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E1471A6C-9365-3042-B258-8CC365EF3BFA}" xr6:coauthVersionLast="47" xr6:coauthVersionMax="47" xr10:uidLastSave="{00000000-0000-0000-0000-000000000000}"/>
  <bookViews>
    <workbookView xWindow="2020" yWindow="1380" windowWidth="38400" windowHeight="23940" tabRatio="500"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attributes!$A$1:$ALW$126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419" i="2" l="1"/>
  <c r="C377" i="2"/>
  <c r="C365" i="2"/>
  <c r="C376" i="2"/>
  <c r="C26" i="2"/>
  <c r="C25" i="2"/>
  <c r="C774" i="2"/>
  <c r="C312" i="2"/>
  <c r="C402" i="2"/>
  <c r="C403" i="2"/>
  <c r="C401" i="2"/>
  <c r="C648" i="2"/>
  <c r="A1369" i="2"/>
  <c r="A1368" i="2"/>
  <c r="A1367" i="2"/>
  <c r="A1366" i="2"/>
  <c r="A1365" i="2"/>
  <c r="A1364" i="2"/>
  <c r="A1363" i="2"/>
  <c r="A1362" i="2"/>
  <c r="A1361" i="2"/>
  <c r="A1360" i="2"/>
  <c r="A1359" i="2"/>
  <c r="A1358" i="2"/>
  <c r="A1357" i="2"/>
  <c r="A1356" i="2"/>
  <c r="A1355" i="2"/>
  <c r="A1354" i="2"/>
  <c r="A1353" i="2"/>
  <c r="A1352" i="2"/>
  <c r="A1351" i="2"/>
  <c r="A1350" i="2"/>
  <c r="A1349" i="2"/>
  <c r="A1348" i="2"/>
  <c r="A1347" i="2"/>
  <c r="A1346" i="2"/>
  <c r="A1345" i="2"/>
  <c r="A1344" i="2"/>
  <c r="A1343" i="2"/>
  <c r="A1342" i="2"/>
  <c r="A1341" i="2"/>
  <c r="C806" i="2"/>
  <c r="C862" i="2"/>
  <c r="C861" i="2"/>
  <c r="C855" i="2"/>
  <c r="C860" i="2"/>
  <c r="C362" i="2"/>
  <c r="C824" i="2" l="1"/>
  <c r="C468" i="2"/>
  <c r="C1004" i="2"/>
  <c r="C1003" i="2"/>
  <c r="C1002" i="2"/>
  <c r="C1001" i="2"/>
  <c r="C999" i="2"/>
  <c r="C427" i="2"/>
  <c r="C375" i="2"/>
  <c r="C128" i="2"/>
  <c r="C228" i="2"/>
  <c r="C958" i="2"/>
  <c r="C957" i="2"/>
  <c r="C956" i="2"/>
  <c r="C955" i="2"/>
  <c r="C954" i="2"/>
  <c r="C190" i="2"/>
  <c r="C998" i="2"/>
  <c r="C997" i="2"/>
  <c r="C996" i="2"/>
  <c r="C995" i="2"/>
  <c r="C994" i="2"/>
  <c r="C993" i="2"/>
  <c r="C3" i="2"/>
  <c r="C4" i="2"/>
  <c r="C5" i="2"/>
  <c r="C6" i="2"/>
  <c r="C7" i="2"/>
  <c r="C8" i="2"/>
  <c r="C9" i="2"/>
  <c r="C10" i="2"/>
  <c r="C11" i="2"/>
  <c r="C12" i="2"/>
  <c r="C13" i="2"/>
  <c r="C14" i="2"/>
  <c r="C15" i="2"/>
  <c r="C16" i="2"/>
  <c r="C17" i="2"/>
  <c r="C18" i="2"/>
  <c r="C19" i="2"/>
  <c r="C20" i="2"/>
  <c r="C21" i="2"/>
  <c r="C22" i="2"/>
  <c r="C23" i="2"/>
  <c r="C24"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1" i="2"/>
  <c r="C192" i="2"/>
  <c r="C193" i="2"/>
  <c r="C194" i="2"/>
  <c r="C195" i="2"/>
  <c r="C196" i="2"/>
  <c r="C197" i="2"/>
  <c r="C198" i="2"/>
  <c r="C199" i="2"/>
  <c r="C200" i="2"/>
  <c r="C201" i="2"/>
  <c r="C202" i="2"/>
  <c r="C203" i="2"/>
  <c r="C204" i="2"/>
  <c r="C206" i="2"/>
  <c r="C207" i="2"/>
  <c r="C208" i="2"/>
  <c r="C209" i="2"/>
  <c r="C210" i="2"/>
  <c r="C211" i="2"/>
  <c r="C212" i="2"/>
  <c r="C213" i="2"/>
  <c r="C214" i="2"/>
  <c r="C215" i="2"/>
  <c r="C216" i="2"/>
  <c r="C217" i="2"/>
  <c r="C218" i="2"/>
  <c r="C219" i="2"/>
  <c r="C220" i="2"/>
  <c r="C221" i="2"/>
  <c r="C222" i="2"/>
  <c r="C223" i="2"/>
  <c r="C224" i="2"/>
  <c r="C225" i="2"/>
  <c r="C226" i="2"/>
  <c r="C227"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3" i="2"/>
  <c r="C364" i="2"/>
  <c r="C366" i="2"/>
  <c r="C367" i="2"/>
  <c r="C368" i="2"/>
  <c r="C369" i="2"/>
  <c r="C370" i="2"/>
  <c r="C371" i="2"/>
  <c r="C372" i="2"/>
  <c r="C373" i="2"/>
  <c r="C374" i="2"/>
  <c r="C379" i="2"/>
  <c r="C380" i="2"/>
  <c r="C381" i="2"/>
  <c r="C382" i="2"/>
  <c r="C383" i="2"/>
  <c r="C384" i="2"/>
  <c r="C385" i="2"/>
  <c r="C386" i="2"/>
  <c r="C387" i="2"/>
  <c r="C388" i="2"/>
  <c r="C389" i="2"/>
  <c r="C390" i="2"/>
  <c r="C391" i="2"/>
  <c r="C392" i="2"/>
  <c r="C393" i="2"/>
  <c r="C394" i="2"/>
  <c r="C395" i="2"/>
  <c r="C396" i="2"/>
  <c r="C397" i="2"/>
  <c r="C398" i="2"/>
  <c r="C399" i="2"/>
  <c r="C400" i="2"/>
  <c r="C407" i="2"/>
  <c r="C408" i="2"/>
  <c r="C409" i="2"/>
  <c r="C410" i="2"/>
  <c r="C411" i="2"/>
  <c r="C412" i="2"/>
  <c r="C413" i="2"/>
  <c r="C414" i="2"/>
  <c r="C415" i="2"/>
  <c r="C416" i="2"/>
  <c r="C417" i="2"/>
  <c r="C418" i="2"/>
  <c r="C420" i="2"/>
  <c r="C421" i="2"/>
  <c r="C422" i="2"/>
  <c r="C423" i="2"/>
  <c r="C424" i="2"/>
  <c r="C425" i="2"/>
  <c r="C426"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5" i="2"/>
  <c r="C776" i="2"/>
  <c r="C777" i="2"/>
  <c r="C778" i="2"/>
  <c r="C779" i="2"/>
  <c r="C780" i="2"/>
  <c r="C781" i="2"/>
  <c r="C782" i="2"/>
  <c r="C783" i="2"/>
  <c r="C784" i="2"/>
  <c r="C785" i="2"/>
  <c r="C786" i="2"/>
  <c r="C787" i="2"/>
  <c r="C788" i="2"/>
  <c r="C789" i="2"/>
  <c r="C790" i="2"/>
  <c r="C791" i="2"/>
  <c r="C792" i="2"/>
  <c r="C793" i="2"/>
  <c r="C794" i="2"/>
  <c r="C795" i="2"/>
  <c r="C796" i="2"/>
  <c r="C797" i="2"/>
  <c r="C798" i="2"/>
  <c r="C799" i="2"/>
  <c r="C800" i="2"/>
  <c r="C801" i="2"/>
  <c r="C802" i="2"/>
  <c r="C803" i="2"/>
  <c r="C804" i="2"/>
  <c r="C805" i="2"/>
  <c r="C807" i="2"/>
  <c r="C808" i="2"/>
  <c r="C809" i="2"/>
  <c r="C810" i="2"/>
  <c r="C811" i="2"/>
  <c r="C812" i="2"/>
  <c r="C813" i="2"/>
  <c r="C814" i="2"/>
  <c r="C815" i="2"/>
  <c r="C816" i="2"/>
  <c r="C817" i="2"/>
  <c r="C818" i="2"/>
  <c r="C819" i="2"/>
  <c r="C820" i="2"/>
  <c r="C821" i="2"/>
  <c r="C822" i="2"/>
  <c r="C823" i="2"/>
  <c r="C825" i="2"/>
  <c r="C826" i="2"/>
  <c r="C827" i="2"/>
  <c r="C828" i="2"/>
  <c r="C829" i="2"/>
  <c r="C830" i="2"/>
  <c r="C831" i="2"/>
  <c r="C832" i="2"/>
  <c r="C833" i="2"/>
  <c r="C834" i="2"/>
  <c r="C835" i="2"/>
  <c r="C836" i="2"/>
  <c r="C837" i="2"/>
  <c r="C838" i="2"/>
  <c r="C839" i="2"/>
  <c r="C840" i="2"/>
  <c r="C841" i="2"/>
  <c r="C842" i="2"/>
  <c r="C843" i="2"/>
  <c r="C844" i="2"/>
  <c r="C845" i="2"/>
  <c r="C846" i="2"/>
  <c r="C847" i="2"/>
  <c r="C848" i="2"/>
  <c r="C849" i="2"/>
  <c r="C850" i="2"/>
  <c r="C851" i="2"/>
  <c r="C852" i="2"/>
  <c r="C853" i="2"/>
  <c r="C854" i="2"/>
  <c r="C856" i="2"/>
  <c r="C857" i="2"/>
  <c r="C858" i="2"/>
  <c r="C859"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984" i="2"/>
  <c r="C985" i="2"/>
  <c r="C986" i="2"/>
  <c r="C987" i="2"/>
  <c r="C988" i="2"/>
  <c r="C989" i="2"/>
  <c r="C990"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<sst xmlns="http://schemas.openxmlformats.org/spreadsheetml/2006/main" count="14305" uniqueCount="4799">
  <si>
    <t>tag</t>
  </si>
  <si>
    <t>text</t>
  </si>
  <si>
    <t>priority</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</si>
  <si>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</si>
  <si>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</si>
  <si>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</si>
  <si>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</si>
  <si>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</si>
  <si>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</si>
  <si>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</si>
  <si>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</si>
  <si>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</si>
  <si>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</si>
  <si>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</si>
  <si>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</si>
  <si>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</si>
  <si>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</si>
  <si>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</si>
  <si>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</si>
  <si>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</si>
  <si>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</si>
  <si>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</si>
  <si>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</si>
  <si>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</si>
  <si>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</si>
  <si>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</si>
  <si>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</si>
  <si>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</si>
  <si>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</si>
  <si>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</si>
  <si>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</si>
  <si>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</si>
  <si>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</si>
  <si>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</si>
  <si>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</si>
  <si>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</si>
  <si>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</si>
  <si>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</si>
  <si>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</si>
  <si>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</si>
  <si>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</si>
  <si>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</si>
  <si>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</si>
  <si>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</si>
  <si>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att_column_type</t>
  </si>
  <si>
    <t>lc</t>
  </si>
  <si>
    <t>att_column_outer_diameter</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</si>
  <si>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</si>
  <si>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</si>
  <si>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</si>
  <si>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</si>
  <si>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</si>
  <si>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</si>
  <si>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</si>
  <si>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</si>
  <si>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</si>
  <si>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</si>
  <si>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</si>
  <si>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</si>
  <si>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</si>
  <si>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</si>
  <si>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</si>
  <si>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</si>
  <si>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</si>
  <si>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</si>
  <si>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</si>
  <si>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</si>
  <si>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</si>
  <si>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</si>
  <si>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</si>
  <si>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</si>
  <si>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</si>
  <si>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</si>
  <si>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</si>
  <si>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</si>
  <si>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</si>
  <si>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</si>
  <si>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</si>
  <si>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</si>
  <si>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</si>
  <si>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</si>
  <si>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</si>
  <si>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</si>
  <si>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</si>
  <si>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</si>
  <si>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</si>
  <si>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</si>
  <si>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</si>
  <si>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</si>
  <si>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</si>
  <si>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</si>
  <si>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</si>
  <si>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</si>
  <si>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</si>
  <si>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</si>
  <si>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</si>
  <si>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</si>
  <si>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</si>
  <si>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</si>
  <si>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</si>
  <si>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</si>
  <si>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</si>
  <si>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</si>
  <si>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</si>
  <si>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</si>
  <si>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</si>
  <si>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</si>
  <si>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</si>
  <si>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</si>
  <si>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</si>
  <si>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</si>
  <si>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</si>
  <si>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</si>
  <si>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</si>
  <si>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</si>
  <si>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</si>
  <si>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</si>
  <si>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</si>
  <si>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</si>
  <si>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</si>
  <si>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</si>
  <si>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</si>
  <si>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att_ms2_mz_end</t>
  </si>
  <si>
    <t>att_ms2_resolution</t>
  </si>
  <si>
    <t>att_ms2_mz_start</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</si>
  <si>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</si>
  <si>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</si>
  <si>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</si>
  <si>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</si>
  <si>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</si>
  <si>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</si>
  <si>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</si>
  <si>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</si>
  <si>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</si>
  <si>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</si>
  <si>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</si>
  <si>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</si>
  <si>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</si>
  <si>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</si>
  <si>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</si>
  <si>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</si>
  <si>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</si>
  <si>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</si>
  <si>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</si>
  <si>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</si>
  <si>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</si>
  <si>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</si>
  <si>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</si>
  <si>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</si>
  <si>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</si>
  <si>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</si>
  <si>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</si>
  <si>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</si>
  <si>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</si>
  <si>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</si>
  <si>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</si>
  <si>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</si>
  <si>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</si>
  <si>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</si>
  <si>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</si>
  <si>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</si>
  <si>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</si>
  <si>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</si>
  <si>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</si>
  <si>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</si>
  <si>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</si>
  <si>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</si>
  <si>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</si>
  <si>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</si>
  <si>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</si>
  <si>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</si>
  <si>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</si>
  <si>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</si>
  <si>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</si>
  <si>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</si>
  <si>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</si>
  <si>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</si>
  <si>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</si>
  <si>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</si>
  <si>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</si>
  <si>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</si>
  <si>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</si>
  <si>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</si>
  <si>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</si>
  <si>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</si>
  <si>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</si>
  <si>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</si>
  <si>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</si>
  <si>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</si>
  <si>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</si>
  <si>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</si>
  <si>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</si>
  <si>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</si>
  <si>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</si>
  <si>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</si>
  <si>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</si>
  <si>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</si>
  <si>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</si>
  <si>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</si>
  <si>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</si>
  <si>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</si>
  <si>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</si>
  <si>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</si>
  <si>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</si>
  <si>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</si>
  <si>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</si>
  <si>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</si>
  <si>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</si>
  <si>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</si>
  <si>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</si>
  <si>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</si>
  <si>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</si>
  <si>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</si>
  <si>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</si>
  <si>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</si>
  <si>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</si>
  <si>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</si>
  <si>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</si>
  <si>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</si>
  <si>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</si>
  <si>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</si>
  <si>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</si>
  <si>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</si>
  <si>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</si>
  <si>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</si>
  <si>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</si>
  <si>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</si>
  <si>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</si>
  <si>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</si>
  <si>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</si>
  <si>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</si>
  <si>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</si>
  <si>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</si>
  <si>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</si>
  <si>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</si>
  <si>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</si>
  <si>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</si>
  <si>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</si>
  <si>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</si>
  <si>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</si>
  <si>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</si>
  <si>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</si>
  <si>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</si>
  <si>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</si>
  <si>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</si>
  <si>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</si>
  <si>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</si>
  <si>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</si>
  <si>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</si>
  <si>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</si>
  <si>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</si>
  <si>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</si>
  <si>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</si>
  <si>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</si>
  <si>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</si>
  <si>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</si>
  <si>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</si>
  <si>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</si>
  <si>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</si>
  <si>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</si>
  <si>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</si>
  <si>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</si>
  <si>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</si>
  <si>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</si>
  <si>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</si>
  <si>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</si>
  <si>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</si>
  <si>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</si>
  <si>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</si>
  <si>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</si>
  <si>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</si>
  <si>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</si>
  <si>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</si>
  <si>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</si>
  <si>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</si>
  <si>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</si>
  <si>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</si>
  <si>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</si>
  <si>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</si>
  <si>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</si>
  <si>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</si>
  <si>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</si>
  <si>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</si>
  <si>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</si>
  <si>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</si>
  <si>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</si>
  <si>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</si>
  <si>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</si>
  <si>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</si>
  <si>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</si>
  <si>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</si>
  <si>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</si>
  <si>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</si>
  <si>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</si>
  <si>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</si>
  <si>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</si>
  <si>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</si>
  <si>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</si>
  <si>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</si>
  <si>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</si>
  <si>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</si>
  <si>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</si>
  <si>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</si>
  <si>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</si>
  <si>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</si>
  <si>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</si>
  <si>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</si>
  <si>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</si>
  <si>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</si>
  <si>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</si>
  <si>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</si>
  <si>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</si>
  <si>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</si>
  <si>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</si>
  <si>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</si>
  <si>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</si>
  <si>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</si>
  <si>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</si>
  <si>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</si>
  <si>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</si>
  <si>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</si>
  <si>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</si>
  <si>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</si>
  <si>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</si>
  <si>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</si>
  <si>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</si>
  <si>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</si>
  <si>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</si>
  <si>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</si>
  <si>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</si>
  <si>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</si>
  <si>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</si>
  <si>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</si>
  <si>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</si>
  <si>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</si>
  <si>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</si>
  <si>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</si>
  <si>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</si>
  <si>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</si>
  <si>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</si>
  <si>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</si>
  <si>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</si>
  <si>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</si>
  <si>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</si>
  <si>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</si>
  <si>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</si>
  <si>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</si>
  <si>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</si>
  <si>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</si>
  <si>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</si>
  <si>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</si>
  <si>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</si>
  <si>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</si>
  <si>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</si>
  <si>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</si>
  <si>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</si>
  <si>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</si>
  <si>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</si>
  <si>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</si>
  <si>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</si>
  <si>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</si>
  <si>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</si>
  <si>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</si>
  <si>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</si>
  <si>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</si>
  <si>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</si>
  <si>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</si>
  <si>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</si>
  <si>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</si>
  <si>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</si>
  <si>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</si>
  <si>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</si>
  <si>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</si>
  <si>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</si>
  <si>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</si>
  <si>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</si>
  <si>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</si>
  <si>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</si>
  <si>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</si>
  <si>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</si>
  <si>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</si>
  <si>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</si>
  <si>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</si>
  <si>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</si>
  <si>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</si>
  <si>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</si>
  <si>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</si>
  <si>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</si>
  <si>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</si>
  <si>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</si>
  <si>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</si>
  <si>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</si>
  <si>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</si>
  <si>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</si>
  <si>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</si>
  <si>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</si>
  <si>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</si>
  <si>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</si>
  <si>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</si>
  <si>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</si>
  <si>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</si>
  <si>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</si>
  <si>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</si>
  <si>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</si>
  <si>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</si>
  <si>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</si>
  <si>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</si>
  <si>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</si>
  <si>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</si>
  <si>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</si>
  <si>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</si>
  <si>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</si>
  <si>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</si>
  <si>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</si>
  <si>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</si>
  <si>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</si>
  <si>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</si>
  <si>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</si>
  <si>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</si>
  <si>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</si>
  <si>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</si>
  <si>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</si>
  <si>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</si>
  <si>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</si>
  <si>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</si>
  <si>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</si>
  <si>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</si>
  <si>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</si>
  <si>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</si>
  <si>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</si>
  <si>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</si>
  <si>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</si>
  <si>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</si>
  <si>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</si>
  <si>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</si>
  <si>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</si>
  <si>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</si>
  <si>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</si>
  <si>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</si>
  <si>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</si>
  <si>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</si>
  <si>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</si>
  <si>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</si>
  <si>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</si>
  <si>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</si>
  <si>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</si>
  <si>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</si>
  <si>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</si>
  <si>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</si>
  <si>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</si>
  <si>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</si>
  <si>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</si>
  <si>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</si>
  <si>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</si>
  <si>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</si>
  <si>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</si>
  <si>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</si>
  <si>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</si>
  <si>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</si>
  <si>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</si>
  <si>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</si>
  <si>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</si>
  <si>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</si>
  <si>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</si>
  <si>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</si>
  <si>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</si>
  <si>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</si>
  <si>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</si>
  <si>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</si>
  <si>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</si>
  <si>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</si>
  <si>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</si>
  <si>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</si>
  <si>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</si>
  <si>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</si>
  <si>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</si>
  <si>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</si>
  <si>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</si>
  <si>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</si>
  <si>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</si>
  <si>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</si>
  <si>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</si>
  <si>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</si>
  <si>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</si>
  <si>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</si>
  <si>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</si>
  <si>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</si>
  <si>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</si>
  <si>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</si>
  <si>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</si>
  <si>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</si>
  <si>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</si>
  <si>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</si>
  <si>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</si>
  <si>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</si>
  <si>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</si>
  <si>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</si>
  <si>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</si>
  <si>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</si>
  <si>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</si>
  <si>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</si>
  <si>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</si>
  <si>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</si>
  <si>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</si>
  <si>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</si>
  <si>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</si>
  <si>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</si>
  <si>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</si>
  <si>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</si>
  <si>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</si>
  <si>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</si>
  <si>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</si>
  <si>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</si>
  <si>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</si>
  <si>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</si>
  <si>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</si>
  <si>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</si>
  <si>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</si>
  <si>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</si>
  <si>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</si>
  <si>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</si>
  <si>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</si>
  <si>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</si>
  <si>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</si>
  <si>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</si>
  <si>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</si>
  <si>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</si>
  <si>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</si>
  <si>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</si>
  <si>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</si>
  <si>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</si>
  <si>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</si>
  <si>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</si>
  <si>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</si>
  <si>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</si>
  <si>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</si>
  <si>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</si>
  <si>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</si>
  <si>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</si>
  <si>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</si>
  <si>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</si>
  <si>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</si>
  <si>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</si>
  <si>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</si>
  <si>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</si>
  <si>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</si>
  <si>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</si>
  <si>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</si>
  <si>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</si>
  <si>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</si>
  <si>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</si>
  <si>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</si>
  <si>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</si>
  <si>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</si>
  <si>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</si>
  <si>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</si>
  <si>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</si>
  <si>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</si>
  <si>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</si>
  <si>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</si>
  <si>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</si>
  <si>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</si>
  <si>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</si>
  <si>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</si>
  <si>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</si>
  <si>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</si>
  <si>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</si>
  <si>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</si>
  <si>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</si>
  <si>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</si>
  <si>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</si>
  <si>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</si>
  <si>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</si>
  <si>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</si>
  <si>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</si>
  <si>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</si>
  <si>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</si>
  <si>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</si>
  <si>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</si>
  <si>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</si>
  <si>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</si>
  <si>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</si>
  <si>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</si>
  <si>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</si>
  <si>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</si>
  <si>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</si>
  <si>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</si>
  <si>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</si>
  <si>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</si>
  <si>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</si>
  <si>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</si>
  <si>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</si>
  <si>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</si>
  <si>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</si>
  <si>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</si>
  <si>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</si>
  <si>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</si>
  <si>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</si>
  <si>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</si>
  <si>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</si>
  <si>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</si>
  <si>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</si>
  <si>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</si>
  <si>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</si>
  <si>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</si>
  <si>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</si>
  <si>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15cm</t>
  </si>
  <si>
    <t>30cm</t>
  </si>
  <si>
    <t>50cm</t>
  </si>
  <si>
    <t>c18</t>
  </si>
  <si>
    <t>C18 stationary phase</t>
  </si>
  <si>
    <t>c8</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</si>
  <si>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</si>
  <si>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</si>
  <si>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</si>
  <si>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</si>
  <si>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</si>
  <si>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</si>
  <si>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</si>
  <si>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</si>
  <si>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</si>
  <si>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</si>
  <si>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</si>
  <si>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</si>
  <si>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</si>
  <si>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</si>
  <si>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</si>
  <si>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</si>
  <si>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</si>
  <si>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</si>
  <si>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</si>
  <si>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</si>
  <si>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</si>
  <si>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</si>
  <si>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</si>
  <si>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</si>
  <si>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</si>
  <si>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</si>
  <si>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</si>
  <si>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</si>
  <si>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</si>
  <si>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</si>
  <si>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</si>
  <si>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</si>
  <si>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</si>
  <si>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</si>
  <si>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</si>
  <si>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</si>
  <si>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</si>
  <si>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</si>
  <si>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</si>
  <si>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</si>
  <si>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</si>
  <si>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</si>
  <si>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</si>
  <si>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</si>
  <si>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</si>
  <si>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</si>
  <si>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</si>
  <si>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</si>
  <si>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</si>
  <si>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</si>
  <si>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</si>
  <si>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</si>
  <si>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</si>
  <si>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</si>
  <si>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</si>
  <si>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</si>
  <si>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</si>
  <si>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</si>
  <si>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</si>
  <si>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</si>
  <si>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</si>
  <si>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</si>
  <si>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</si>
  <si>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</si>
  <si>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</si>
  <si>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</si>
  <si>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</si>
  <si>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</si>
  <si>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</si>
  <si>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</si>
  <si>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</si>
  <si>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</si>
  <si>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</si>
  <si>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</si>
  <si>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</si>
  <si>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</si>
  <si>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</si>
  <si>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</si>
  <si>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</si>
  <si>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</si>
  <si>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</si>
  <si>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</si>
  <si>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</si>
  <si>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</si>
  <si>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</si>
  <si>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</si>
  <si>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</si>
  <si>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</si>
  <si>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</si>
  <si>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</si>
  <si>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</si>
  <si>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</si>
  <si>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</si>
  <si>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</si>
  <si>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</si>
  <si>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</si>
  <si>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</si>
  <si>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</si>
  <si>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</si>
  <si>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</si>
  <si>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</si>
  <si>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</si>
  <si>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</si>
  <si>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</si>
  <si>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</si>
  <si>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</si>
  <si>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</si>
  <si>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</si>
  <si>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</si>
  <si>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</si>
  <si>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</si>
  <si>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</si>
  <si>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</si>
  <si>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</si>
  <si>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</si>
  <si>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</si>
  <si>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</si>
  <si>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</si>
  <si>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</si>
  <si>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</si>
  <si>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</si>
  <si>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</si>
  <si>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</si>
  <si>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</si>
  <si>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</si>
  <si>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</si>
  <si>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</si>
  <si>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</si>
  <si>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</si>
  <si>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</si>
  <si>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</si>
  <si>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</si>
  <si>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</si>
  <si>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</si>
  <si>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</si>
  <si>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</si>
  <si>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</si>
  <si>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</si>
  <si>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</si>
  <si>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</si>
  <si>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</si>
  <si>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</si>
  <si>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</si>
  <si>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</si>
  <si>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</si>
  <si>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</si>
  <si>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</si>
  <si>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</si>
  <si>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</si>
  <si>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</si>
  <si>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</si>
  <si>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</si>
  <si>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</si>
  <si>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</si>
  <si>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</si>
  <si>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</si>
  <si>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</si>
  <si>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</si>
  <si>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</si>
  <si>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</si>
  <si>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</si>
  <si>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</si>
  <si>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</si>
  <si>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</si>
  <si>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</si>
  <si>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</si>
  <si>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</si>
  <si>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</si>
  <si>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</si>
  <si>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</si>
  <si>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</si>
  <si>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</si>
  <si>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</si>
  <si>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</si>
  <si>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</si>
  <si>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</si>
  <si>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</si>
  <si>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</si>
  <si>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</si>
  <si>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</si>
  <si>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</si>
  <si>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</si>
  <si>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</si>
  <si>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</si>
  <si>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</si>
  <si>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</si>
  <si>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</si>
  <si>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</si>
  <si>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</si>
  <si>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</si>
  <si>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</si>
  <si>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</si>
  <si>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</si>
  <si>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</si>
  <si>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</si>
  <si>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</si>
  <si>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</si>
  <si>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</si>
  <si>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</si>
  <si>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</si>
  <si>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</si>
  <si>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</si>
  <si>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</si>
  <si>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</si>
  <si>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</si>
  <si>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</si>
  <si>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</si>
  <si>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</si>
  <si>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</si>
  <si>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</si>
  <si>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</si>
  <si>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</si>
  <si>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</si>
  <si>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</si>
  <si>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</si>
  <si>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</si>
  <si>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</si>
  <si>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</si>
  <si>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</si>
  <si>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</si>
  <si>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</si>
  <si>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</si>
  <si>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</si>
  <si>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</si>
  <si>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</si>
  <si>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</si>
  <si>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</si>
  <si>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</si>
  <si>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</si>
  <si>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</si>
  <si>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</si>
  <si>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</si>
  <si>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</si>
  <si>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</si>
  <si>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</si>
  <si>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</si>
  <si>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</si>
  <si>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</si>
  <si>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</si>
  <si>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</si>
  <si>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</si>
  <si>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</si>
  <si>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</si>
  <si>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</si>
  <si>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</si>
  <si>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</si>
  <si>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</si>
  <si>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</si>
  <si>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</si>
  <si>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</si>
  <si>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</si>
  <si>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</si>
  <si>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</si>
  <si>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</si>
  <si>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</si>
  <si>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</si>
  <si>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</si>
  <si>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</si>
  <si>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</si>
  <si>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</si>
  <si>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</si>
  <si>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</si>
  <si>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</si>
  <si>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</si>
  <si>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</si>
  <si>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</si>
  <si>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</si>
  <si>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</si>
  <si>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</si>
  <si>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</si>
  <si>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</si>
  <si>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</si>
  <si>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</si>
  <si>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</si>
  <si>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</si>
  <si>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</si>
  <si>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</si>
  <si>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</si>
  <si>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</si>
  <si>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</si>
  <si>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</si>
  <si>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</si>
  <si>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</si>
  <si>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</si>
  <si>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</si>
  <si>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</si>
  <si>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</si>
  <si>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</si>
  <si>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</si>
  <si>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</si>
  <si>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</si>
  <si>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</si>
  <si>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</si>
  <si>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</si>
  <si>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</si>
  <si>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</si>
  <si>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</si>
  <si>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</si>
  <si>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</si>
  <si>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</si>
  <si>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</si>
  <si>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</si>
  <si>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</si>
  <si>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</si>
  <si>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</si>
  <si>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</si>
  <si>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</si>
  <si>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</si>
  <si>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</si>
  <si>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</si>
  <si>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</si>
  <si>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</si>
  <si>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</si>
  <si>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</si>
  <si>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</si>
  <si>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</si>
  <si>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</si>
  <si>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</si>
  <si>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</si>
  <si>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</si>
  <si>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</si>
  <si>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</si>
  <si>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</si>
  <si>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</si>
  <si>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</si>
  <si>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</si>
  <si>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</si>
  <si>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</si>
  <si>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</si>
  <si>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</si>
  <si>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</si>
  <si>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</si>
  <si>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</si>
  <si>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</si>
  <si>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</si>
  <si>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</si>
  <si>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</si>
  <si>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</si>
  <si>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</si>
  <si>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</si>
  <si>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</si>
  <si>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</si>
  <si>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</si>
  <si>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</si>
  <si>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</si>
  <si>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</si>
  <si>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</si>
  <si>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</si>
  <si>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</si>
  <si>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</si>
  <si>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</si>
  <si>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</si>
  <si>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</si>
  <si>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</si>
  <si>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</si>
  <si>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</si>
  <si>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</si>
  <si>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</si>
  <si>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</si>
  <si>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</si>
  <si>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</si>
  <si>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</si>
  <si>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</si>
  <si>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</si>
  <si>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</si>
  <si>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</si>
  <si>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</si>
  <si>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</si>
  <si>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</si>
  <si>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</si>
  <si>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</si>
  <si>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</si>
  <si>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</si>
  <si>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</si>
  <si>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</si>
  <si>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</si>
  <si>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</si>
  <si>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</si>
  <si>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</si>
  <si>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</si>
  <si>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</si>
  <si>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</si>
  <si>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</si>
  <si>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</si>
  <si>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</si>
  <si>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</si>
  <si>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</si>
  <si>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</si>
  <si>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</si>
  <si>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</si>
  <si>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</si>
  <si>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</si>
  <si>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</si>
  <si>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</si>
  <si>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</si>
  <si>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</si>
  <si>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</si>
  <si>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</si>
  <si>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</si>
  <si>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</si>
  <si>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</si>
  <si>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</si>
  <si>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</si>
  <si>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</si>
  <si>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</si>
  <si>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</si>
  <si>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</si>
  <si>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</si>
  <si>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</si>
  <si>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</si>
  <si>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</si>
  <si>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</si>
  <si>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</si>
  <si>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</si>
  <si>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</si>
  <si>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</si>
  <si>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</si>
  <si>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</si>
  <si>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</si>
  <si>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</si>
  <si>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</si>
  <si>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</si>
  <si>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</si>
  <si>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</si>
  <si>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</si>
  <si>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</si>
  <si>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</si>
  <si>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</si>
  <si>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</si>
  <si>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</si>
  <si>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</si>
  <si>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</si>
  <si>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</si>
  <si>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</si>
  <si>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</si>
  <si>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</si>
  <si>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</si>
  <si>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</si>
  <si>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</si>
  <si>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</si>
  <si>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</si>
  <si>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</si>
  <si>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</si>
  <si>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</si>
  <si>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</si>
  <si>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</si>
  <si>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</si>
  <si>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</si>
  <si>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</si>
  <si>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</si>
  <si>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</si>
  <si>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</si>
  <si>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</si>
  <si>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</si>
  <si>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</si>
  <si>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</si>
  <si>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</si>
  <si>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</si>
  <si>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</si>
  <si>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</si>
  <si>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</si>
  <si>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</si>
  <si>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</si>
  <si>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</si>
  <si>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</si>
  <si>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</si>
  <si>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</si>
  <si>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</si>
  <si>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</si>
  <si>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</si>
  <si>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</si>
  <si>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</si>
  <si>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</si>
  <si>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</si>
  <si>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</si>
  <si>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</si>
  <si>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</si>
  <si>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</si>
  <si>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</si>
  <si>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</si>
  <si>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</si>
  <si>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</si>
  <si>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</si>
  <si>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</si>
  <si>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</si>
  <si>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</si>
  <si>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</si>
  <si>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</si>
  <si>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</si>
  <si>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</si>
  <si>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</si>
  <si>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</si>
  <si>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</si>
  <si>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</si>
  <si>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</si>
  <si>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</si>
  <si>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</si>
  <si>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</si>
  <si>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</si>
  <si>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</si>
  <si>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</si>
  <si>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</si>
  <si>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</si>
  <si>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</si>
  <si>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</si>
  <si>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</si>
  <si>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</si>
  <si>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</si>
  <si>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</si>
  <si>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</si>
  <si>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</si>
  <si>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</si>
  <si>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</si>
  <si>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</si>
  <si>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</si>
  <si>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</si>
  <si>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</si>
  <si>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</si>
  <si>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</si>
  <si>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</si>
  <si>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</si>
  <si>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</si>
  <si>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</si>
  <si>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</si>
  <si>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</si>
  <si>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</si>
  <si>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</si>
  <si>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</si>
  <si>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</si>
  <si>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</si>
  <si>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</si>
  <si>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</si>
  <si>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</si>
  <si>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</si>
  <si>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</si>
  <si>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</si>
  <si>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</si>
  <si>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</si>
  <si>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</si>
  <si>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</si>
  <si>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</si>
  <si>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</si>
  <si>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</si>
  <si>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</si>
  <si>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</si>
  <si>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</si>
  <si>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</si>
  <si>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</si>
  <si>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</si>
  <si>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</si>
  <si>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</si>
  <si>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</si>
  <si>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</si>
  <si>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</si>
  <si>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</si>
  <si>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</si>
  <si>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</si>
  <si>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</si>
  <si>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</si>
  <si>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</si>
  <si>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</si>
  <si>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</si>
  <si>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</si>
  <si>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</si>
  <si>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</si>
  <si>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</si>
  <si>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</si>
  <si>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</si>
  <si>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</si>
  <si>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</si>
  <si>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</si>
  <si>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</si>
  <si>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</si>
  <si>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</si>
  <si>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</si>
  <si>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</si>
  <si>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</si>
  <si>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</si>
  <si>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</si>
  <si>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</si>
  <si>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</si>
  <si>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</si>
  <si>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</si>
  <si>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</si>
  <si>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</si>
  <si>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</si>
  <si>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</si>
  <si>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</si>
  <si>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</si>
  <si>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</si>
  <si>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</si>
  <si>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</si>
  <si>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</si>
  <si>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</si>
  <si>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</si>
  <si>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</si>
  <si>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</si>
  <si>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</si>
  <si>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</si>
  <si>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</si>
  <si>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</si>
  <si>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</si>
  <si>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</si>
  <si>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</si>
  <si>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</si>
  <si>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</si>
  <si>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</si>
  <si>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</si>
  <si>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</si>
  <si>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</si>
  <si>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</si>
  <si>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</si>
  <si>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</si>
  <si>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</si>
  <si>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</si>
  <si>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</si>
  <si>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</si>
  <si>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</si>
  <si>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</si>
  <si>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</si>
  <si>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</si>
  <si>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</si>
  <si>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</si>
  <si>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</si>
  <si>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</si>
  <si>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</si>
  <si>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</si>
  <si>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</si>
  <si>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</si>
  <si>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</si>
  <si>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</si>
  <si>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</si>
  <si>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</si>
  <si>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</si>
  <si>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</si>
  <si>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</si>
  <si>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</si>
  <si>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</si>
  <si>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</si>
  <si>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</si>
  <si>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</si>
  <si>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</si>
  <si>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</si>
  <si>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</si>
  <si>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</si>
  <si>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</si>
  <si>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</si>
  <si>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</si>
  <si>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</si>
  <si>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</si>
  <si>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</si>
  <si>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</si>
  <si>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</si>
  <si>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</si>
  <si>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</si>
  <si>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</si>
  <si>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</si>
  <si>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</si>
  <si>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</si>
  <si>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</si>
  <si>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</si>
  <si>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</si>
  <si>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</si>
  <si>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</si>
  <si>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</si>
  <si>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</si>
  <si>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</si>
  <si>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</si>
  <si>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</si>
  <si>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</si>
  <si>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</si>
  <si>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</si>
  <si>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</si>
  <si>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</si>
  <si>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</si>
  <si>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</si>
  <si>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</si>
  <si>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</si>
  <si>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</si>
  <si>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</si>
  <si>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</si>
  <si>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</si>
  <si>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</si>
  <si>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</si>
  <si>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</si>
  <si>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</si>
  <si>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</si>
  <si>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</si>
  <si>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</si>
  <si>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</si>
  <si>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</si>
  <si>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</si>
  <si>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</si>
  <si>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</si>
  <si>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</si>
  <si>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</si>
  <si>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</si>
  <si>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</si>
  <si>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</si>
  <si>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</si>
  <si>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</si>
  <si>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</si>
  <si>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</si>
  <si>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</si>
  <si>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</si>
  <si>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</si>
  <si>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</si>
  <si>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</si>
  <si>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</si>
  <si>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</si>
  <si>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</si>
  <si>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</si>
  <si>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</si>
  <si>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</si>
  <si>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</si>
  <si>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</si>
  <si>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</si>
  <si>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</si>
  <si>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</si>
  <si>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</si>
  <si>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</si>
  <si>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</si>
  <si>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</si>
  <si>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</si>
  <si>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</si>
  <si>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</si>
  <si>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</si>
  <si>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</si>
  <si>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</si>
  <si>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</si>
  <si>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</si>
  <si>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</si>
  <si>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</si>
  <si>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</si>
  <si>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</si>
  <si>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</si>
  <si>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</si>
  <si>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</si>
  <si>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</si>
  <si>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</si>
  <si>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</si>
  <si>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</si>
  <si>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</si>
  <si>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</si>
  <si>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</si>
  <si>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</si>
  <si>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</si>
  <si>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</si>
  <si>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</si>
  <si>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</si>
  <si>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</si>
  <si>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</si>
  <si>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</si>
  <si>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</si>
  <si>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</si>
  <si>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</si>
  <si>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</si>
  <si>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</si>
  <si>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</si>
  <si>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</si>
  <si>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</si>
  <si>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</si>
  <si>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</si>
  <si>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</si>
  <si>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</si>
  <si>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</si>
  <si>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</si>
  <si>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</si>
  <si>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</si>
  <si>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</si>
  <si>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</si>
  <si>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</si>
  <si>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</si>
  <si>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</si>
  <si>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</si>
  <si>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</si>
  <si>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</si>
  <si>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</si>
  <si>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</si>
  <si>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</si>
  <si>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</si>
  <si>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</si>
  <si>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</si>
  <si>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</si>
  <si>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</si>
  <si>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</si>
  <si>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</si>
  <si>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</si>
  <si>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</si>
  <si>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</si>
  <si>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</si>
  <si>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</si>
  <si>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</si>
  <si>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</si>
  <si>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</si>
  <si>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</si>
  <si>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</si>
  <si>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</si>
  <si>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</si>
  <si>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</si>
  <si>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</si>
  <si>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</si>
  <si>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</si>
  <si>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</si>
  <si>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</si>
  <si>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</si>
  <si>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</si>
  <si>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</si>
  <si>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</si>
  <si>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</si>
  <si>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</si>
  <si>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</si>
  <si>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</si>
  <si>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</si>
  <si>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</si>
  <si>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</si>
  <si>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</si>
  <si>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</si>
  <si>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</si>
  <si>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</si>
  <si>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</si>
  <si>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</si>
  <si>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</si>
  <si>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</si>
  <si>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</si>
  <si>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</si>
  <si>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</si>
  <si>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</si>
  <si>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</si>
  <si>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</si>
  <si>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</si>
  <si>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</si>
  <si>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</si>
  <si>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</si>
  <si>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</si>
  <si>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</si>
  <si>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</si>
  <si>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</si>
  <si>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</si>
  <si>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</si>
  <si>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</si>
  <si>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</si>
  <si>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</si>
  <si>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</si>
  <si>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</si>
  <si>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</si>
  <si>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</si>
  <si>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</si>
  <si>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</si>
  <si>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</si>
  <si>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</si>
  <si>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</si>
  <si>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</si>
  <si>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</si>
  <si>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</si>
  <si>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</si>
  <si>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</si>
  <si>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</si>
  <si>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</si>
  <si>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</si>
  <si>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</si>
  <si>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</si>
  <si>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</si>
  <si>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</si>
  <si>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</si>
  <si>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</si>
  <si>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</si>
  <si>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</si>
  <si>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</si>
  <si>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</si>
  <si>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</si>
  <si>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</si>
  <si>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</si>
  <si>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</si>
  <si>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</si>
  <si>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</si>
  <si>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</si>
  <si>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</si>
  <si>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</si>
  <si>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</si>
  <si>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</si>
  <si>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</si>
  <si>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</si>
  <si>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</si>
  <si>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</si>
  <si>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</si>
  <si>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</si>
  <si>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</si>
  <si>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</si>
  <si>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</si>
  <si>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</si>
  <si>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</si>
  <si>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</si>
  <si>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</si>
  <si>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</si>
  <si>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</si>
  <si>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</si>
  <si>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</si>
  <si>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</si>
  <si>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</si>
  <si>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</si>
  <si>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</si>
  <si>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</si>
  <si>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</si>
  <si>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</si>
  <si>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</si>
  <si>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</si>
  <si>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</si>
  <si>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</si>
  <si>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</si>
  <si>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</si>
  <si>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</si>
  <si>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</si>
  <si>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</si>
  <si>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</si>
  <si>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</si>
  <si>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</si>
  <si>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</si>
  <si>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</si>
  <si>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</si>
  <si>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</si>
  <si>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</si>
  <si>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</si>
  <si>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</si>
  <si>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</si>
  <si>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</si>
  <si>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</si>
  <si>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</si>
  <si>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</si>
  <si>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</si>
  <si>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</si>
  <si>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</si>
  <si>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</si>
  <si>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</si>
  <si>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</si>
  <si>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</si>
  <si>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</si>
  <si>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</si>
  <si>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</si>
  <si>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</si>
  <si>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</si>
  <si>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</si>
  <si>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</si>
  <si>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</si>
  <si>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</si>
  <si>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</si>
  <si>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</si>
  <si>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</si>
  <si>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</si>
  <si>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</si>
  <si>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</si>
  <si>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</si>
  <si>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</si>
  <si>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</si>
  <si>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</si>
  <si>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</si>
  <si>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</si>
  <si>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</si>
  <si>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</si>
  <si>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</si>
  <si>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</si>
  <si>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</si>
  <si>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</si>
  <si>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</si>
  <si>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</si>
  <si>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</si>
  <si>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</si>
  <si>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</si>
  <si>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</si>
  <si>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</si>
  <si>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</si>
  <si>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</si>
  <si>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</si>
  <si>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</si>
  <si>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</si>
  <si>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</si>
  <si>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</si>
  <si>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</si>
  <si>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</si>
  <si>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</si>
  <si>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</si>
  <si>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</si>
  <si>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</si>
  <si>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</si>
  <si>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</si>
  <si>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</si>
  <si>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</si>
  <si>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</si>
  <si>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</si>
  <si>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</si>
  <si>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</si>
  <si>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</si>
  <si>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</si>
  <si>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</si>
  <si>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</si>
  <si>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</si>
  <si>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</si>
  <si>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</si>
  <si>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</si>
  <si>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</si>
  <si>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</si>
  <si>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</si>
  <si>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</si>
  <si>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</si>
  <si>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</si>
  <si>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</si>
  <si>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</si>
  <si>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</si>
  <si>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</si>
  <si>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</si>
  <si>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</si>
  <si>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</si>
  <si>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</si>
  <si>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</si>
  <si>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</si>
  <si>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</si>
  <si>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</si>
  <si>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</si>
  <si>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</si>
  <si>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</si>
  <si>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</si>
  <si>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</si>
  <si>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</si>
  <si>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</si>
  <si>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</si>
  <si>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</si>
  <si>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</si>
  <si>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</si>
  <si>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</si>
  <si>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</si>
  <si>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</si>
  <si>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</si>
  <si>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</si>
  <si>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</si>
  <si>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</si>
  <si>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</si>
  <si>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</si>
  <si>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</si>
  <si>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</si>
  <si>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</si>
  <si>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</si>
  <si>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</si>
  <si>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</si>
  <si>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</si>
  <si>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</si>
  <si>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</si>
  <si>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</si>
  <si>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</si>
  <si>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</si>
  <si>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</si>
  <si>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</si>
  <si>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</si>
  <si>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</si>
  <si>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</si>
  <si>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</si>
  <si>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</si>
  <si>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</si>
  <si>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</si>
  <si>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</si>
  <si>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</si>
  <si>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</si>
  <si>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</si>
  <si>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</si>
  <si>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</si>
  <si>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</si>
  <si>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</si>
  <si>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</si>
  <si>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</si>
  <si>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</si>
  <si>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</si>
  <si>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</si>
  <si>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</si>
  <si>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</si>
  <si>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</si>
  <si>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</si>
  <si>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</si>
  <si>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</si>
  <si>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</si>
  <si>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</si>
  <si>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</si>
  <si>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</si>
  <si>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</si>
  <si>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</si>
  <si>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</si>
  <si>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</si>
  <si>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</si>
  <si>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</si>
  <si>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</si>
  <si>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</si>
  <si>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</si>
  <si>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</si>
  <si>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</si>
  <si>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</si>
  <si>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</si>
  <si>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</si>
  <si>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</si>
  <si>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</si>
  <si>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</si>
  <si>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</si>
  <si>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</si>
  <si>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</si>
  <si>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</si>
  <si>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</si>
  <si>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</si>
  <si>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</si>
  <si>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</si>
  <si>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</si>
  <si>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</si>
  <si>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</si>
  <si>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</si>
  <si>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</si>
  <si>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</si>
  <si>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</si>
  <si>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</si>
  <si>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</si>
  <si>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</si>
  <si>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</si>
  <si>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</si>
  <si>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</si>
  <si>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</si>
  <si>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</si>
  <si>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</si>
  <si>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</si>
  <si>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</si>
  <si>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</si>
  <si>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</si>
  <si>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</si>
  <si>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</si>
  <si>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</si>
  <si>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</si>
  <si>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</si>
  <si>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</si>
  <si>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</si>
  <si>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</si>
  <si>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</si>
  <si>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</si>
  <si>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</si>
  <si>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</si>
  <si>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</si>
  <si>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</si>
  <si>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</si>
  <si>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</si>
  <si>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</si>
  <si>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</si>
  <si>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</si>
  <si>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</si>
  <si>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</si>
  <si>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</si>
  <si>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</si>
  <si>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</si>
  <si>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</si>
  <si>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</si>
  <si>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</si>
  <si>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</si>
  <si>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</si>
  <si>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</si>
  <si>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</si>
  <si>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</si>
  <si>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</si>
  <si>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</si>
  <si>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</si>
  <si>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</si>
  <si>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</si>
  <si>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</si>
  <si>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</si>
  <si>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</si>
  <si>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</si>
  <si>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</si>
  <si>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</si>
  <si>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</si>
  <si>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</si>
  <si>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</si>
  <si>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</si>
  <si>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</si>
  <si>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</si>
  <si>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</si>
  <si>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</si>
  <si>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</si>
  <si>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</si>
  <si>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</si>
  <si>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</si>
  <si>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</si>
  <si>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</si>
  <si>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</si>
  <si>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</si>
  <si>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</si>
  <si>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</si>
  <si>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</si>
  <si>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</si>
  <si>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</si>
  <si>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</si>
  <si>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</si>
  <si>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</si>
  <si>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</si>
  <si>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</si>
  <si>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</si>
  <si>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</si>
  <si>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</si>
  <si>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</si>
  <si>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</si>
  <si>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</si>
  <si>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</si>
  <si>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</si>
  <si>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</si>
  <si>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</si>
  <si>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</si>
  <si>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</si>
  <si>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</si>
  <si>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</si>
  <si>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</si>
  <si>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</si>
  <si>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</si>
  <si>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</si>
  <si>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</si>
  <si>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</si>
  <si>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</si>
  <si>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</si>
  <si>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</si>
  <si>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</si>
  <si>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</si>
  <si>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</si>
  <si>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</si>
  <si>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</si>
  <si>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</si>
  <si>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</si>
  <si>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</si>
  <si>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</si>
  <si>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</si>
  <si>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</si>
  <si>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</si>
  <si>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</si>
  <si>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</si>
  <si>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</si>
  <si>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</si>
  <si>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</si>
  <si>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</si>
  <si>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</si>
  <si>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</si>
  <si>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</si>
  <si>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</si>
  <si>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</si>
  <si>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</si>
  <si>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</si>
  <si>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</si>
  <si>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</si>
  <si>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</si>
  <si>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</si>
  <si>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</si>
  <si>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</si>
  <si>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</si>
  <si>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</si>
  <si>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</si>
  <si>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</si>
  <si>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</si>
  <si>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</si>
  <si>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</si>
  <si>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</si>
  <si>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</si>
  <si>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</si>
  <si>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</si>
  <si>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</si>
  <si>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</si>
  <si>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</si>
  <si>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</si>
  <si>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</si>
  <si>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</si>
  <si>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</si>
  <si>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</si>
  <si>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</si>
  <si>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</si>
  <si>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</si>
  <si>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</si>
  <si>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</si>
  <si>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</si>
  <si>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</si>
  <si>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</si>
  <si>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</si>
  <si>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</si>
  <si>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</si>
  <si>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</si>
  <si>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</si>
  <si>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</si>
  <si>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</si>
  <si>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</si>
  <si>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</si>
  <si>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</si>
  <si>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</si>
  <si>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</si>
  <si>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</si>
  <si>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</si>
  <si>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</si>
  <si>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</si>
  <si>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</si>
  <si>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</si>
  <si>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</si>
  <si>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</si>
  <si>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</si>
  <si>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</si>
  <si>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</si>
  <si>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</si>
  <si>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</si>
  <si>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</si>
  <si>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</si>
  <si>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</si>
  <si>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</si>
  <si>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</si>
  <si>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</si>
  <si>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</si>
  <si>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</si>
  <si>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</si>
  <si>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</si>
  <si>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</si>
  <si>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</si>
  <si>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</si>
  <si>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</si>
  <si>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</si>
  <si>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</si>
  <si>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</si>
  <si>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</si>
  <si>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</si>
  <si>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</si>
  <si>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</si>
  <si>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</si>
  <si>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</si>
  <si>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</si>
  <si>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</si>
  <si>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</si>
  <si>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</si>
  <si>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</si>
  <si>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</si>
  <si>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</si>
  <si>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</si>
  <si>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</si>
  <si>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</si>
  <si>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</si>
  <si>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</si>
  <si>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</si>
  <si>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</si>
  <si>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</si>
  <si>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</si>
  <si>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</si>
  <si>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</si>
  <si>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</si>
  <si>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</si>
  <si>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</si>
  <si>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</si>
  <si>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</si>
  <si>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</si>
  <si>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</si>
  <si>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</si>
  <si>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</si>
  <si>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</si>
  <si>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</si>
  <si>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</si>
  <si>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</si>
  <si>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</si>
  <si>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</si>
  <si>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</si>
  <si>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</si>
  <si>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</si>
  <si>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</si>
  <si>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</si>
  <si>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</si>
  <si>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</si>
  <si>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</si>
  <si>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</si>
  <si>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</si>
  <si>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</si>
  <si>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</si>
  <si>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</si>
  <si>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</si>
  <si>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</si>
  <si>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</si>
  <si>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</si>
  <si>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</si>
  <si>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</si>
  <si>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</si>
  <si>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</si>
  <si>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</si>
  <si>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</si>
  <si>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</si>
  <si>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</si>
  <si>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</si>
  <si>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</si>
  <si>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</si>
  <si>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</si>
  <si>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</si>
  <si>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</si>
  <si>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</si>
  <si>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</si>
  <si>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</si>
  <si>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</si>
  <si>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</si>
  <si>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</si>
  <si>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</si>
  <si>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</si>
  <si>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</si>
  <si>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</si>
  <si>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</si>
  <si>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</si>
  <si>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</si>
  <si>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</si>
  <si>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</si>
  <si>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</si>
  <si>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</si>
  <si>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</si>
  <si>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</si>
  <si>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</si>
  <si>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</si>
  <si>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</si>
  <si>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</si>
  <si>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</si>
  <si>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</si>
  <si>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</si>
  <si>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</si>
  <si>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</si>
  <si>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</si>
  <si>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</si>
  <si>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</si>
  <si>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</si>
  <si>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</si>
  <si>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</si>
  <si>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</si>
  <si>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</si>
  <si>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</si>
  <si>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</si>
  <si>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</si>
  <si>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</si>
  <si>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</si>
  <si>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</si>
  <si>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</si>
  <si>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</si>
  <si>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</si>
  <si>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</si>
  <si>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</si>
  <si>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</si>
  <si>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</si>
  <si>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</si>
  <si>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</si>
  <si>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</si>
  <si>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</si>
  <si>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</si>
  <si>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</si>
  <si>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</si>
  <si>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</si>
  <si>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</si>
  <si>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</si>
  <si>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</si>
  <si>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</si>
  <si>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</si>
  <si>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</si>
  <si>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</si>
  <si>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</si>
  <si>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</si>
  <si>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</si>
  <si>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</si>
  <si>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</si>
  <si>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</si>
  <si>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</si>
  <si>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</si>
  <si>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</si>
  <si>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</si>
  <si>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</si>
  <si>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</si>
  <si>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</si>
  <si>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</si>
  <si>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</si>
  <si>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</si>
  <si>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</si>
  <si>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</si>
  <si>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</si>
  <si>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</si>
  <si>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</si>
  <si>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</si>
  <si>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</si>
  <si>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</si>
  <si>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</si>
  <si>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</si>
  <si>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</si>
  <si>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</si>
  <si>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</si>
  <si>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</si>
  <si>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</si>
  <si>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</si>
  <si>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</si>
  <si>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</si>
  <si>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</si>
  <si>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</si>
  <si>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</si>
  <si>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</si>
  <si>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</si>
  <si>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</si>
  <si>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</si>
  <si>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</si>
  <si>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</si>
  <si>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</si>
  <si>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</si>
  <si>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</si>
  <si>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</si>
  <si>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</si>
  <si>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</si>
  <si>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</si>
  <si>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</si>
  <si>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</si>
  <si>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</si>
  <si>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</si>
  <si>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</si>
  <si>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</si>
  <si>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</si>
  <si>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</si>
  <si>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</si>
  <si>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</si>
  <si>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</si>
  <si>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</si>
  <si>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</si>
  <si>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</si>
  <si>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</si>
  <si>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</si>
  <si>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</si>
  <si>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</si>
  <si>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</si>
  <si>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</si>
  <si>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</si>
  <si>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</si>
  <si>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</si>
  <si>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</si>
  <si>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</si>
  <si>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</si>
  <si>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</si>
  <si>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</si>
  <si>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</si>
  <si>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</si>
  <si>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</si>
  <si>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</si>
  <si>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</si>
  <si>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</si>
  <si>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</si>
  <si>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</si>
  <si>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</si>
  <si>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</si>
  <si>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</si>
  <si>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</si>
  <si>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</si>
  <si>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</si>
  <si>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</si>
  <si>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</si>
  <si>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</si>
  <si>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</si>
  <si>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</si>
  <si>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</si>
  <si>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</si>
  <si>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</si>
  <si>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</si>
  <si>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</si>
  <si>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</si>
  <si>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</si>
  <si>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</si>
  <si>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</si>
  <si>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</si>
  <si>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</si>
  <si>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</si>
  <si>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</si>
  <si>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</si>
  <si>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</si>
  <si>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</si>
  <si>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</si>
  <si>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</si>
  <si>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</si>
  <si>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</si>
  <si>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</si>
  <si>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</si>
  <si>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</si>
  <si>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</si>
  <si>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</si>
  <si>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</si>
  <si>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</si>
  <si>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</si>
  <si>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</si>
  <si>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</si>
  <si>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</si>
  <si>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</si>
  <si>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</si>
  <si>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</si>
  <si>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</si>
  <si>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</si>
  <si>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</si>
  <si>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</si>
  <si>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</si>
  <si>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</si>
  <si>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</si>
  <si>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</si>
  <si>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</si>
  <si>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</si>
  <si>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</si>
  <si>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</si>
  <si>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</si>
  <si>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</si>
  <si>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</si>
  <si>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</si>
  <si>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</si>
  <si>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</si>
  <si>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</si>
  <si>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</si>
  <si>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</si>
  <si>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</si>
  <si>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</si>
  <si>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</si>
  <si>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</si>
  <si>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</si>
  <si>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</si>
  <si>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</si>
  <si>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</si>
  <si>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</si>
  <si>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</si>
  <si>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</si>
  <si>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</si>
  <si>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</si>
  <si>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</si>
  <si>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</si>
  <si>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</si>
  <si>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</si>
  <si>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</si>
  <si>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</si>
  <si>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</si>
  <si>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</si>
  <si>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</si>
  <si>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</si>
  <si>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</si>
  <si>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</si>
  <si>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</si>
  <si>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</si>
  <si>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</si>
  <si>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</si>
  <si>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</si>
  <si>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</si>
  <si>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</si>
  <si>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</si>
  <si>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</si>
  <si>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</si>
  <si>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</si>
  <si>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</si>
  <si>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</si>
  <si>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</si>
  <si>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</si>
  <si>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</si>
  <si>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</si>
  <si>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</si>
  <si>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</si>
  <si>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</si>
  <si>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</si>
  <si>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</si>
  <si>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</si>
  <si>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</si>
  <si>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</si>
  <si>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</si>
  <si>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</si>
  <si>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</si>
  <si>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</si>
  <si>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</si>
  <si>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</si>
  <si>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</si>
  <si>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</si>
  <si>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</si>
  <si>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</si>
  <si>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</si>
  <si>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</si>
  <si>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</si>
  <si>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</si>
  <si>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</si>
  <si>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</si>
  <si>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</si>
  <si>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</si>
  <si>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</si>
  <si>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</si>
  <si>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</si>
  <si>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</si>
  <si>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</si>
  <si>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</si>
  <si>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</si>
  <si>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</si>
  <si>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</si>
  <si>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</si>
  <si>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</si>
  <si>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</si>
  <si>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</si>
  <si>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</si>
  <si>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</si>
  <si>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</si>
  <si>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</si>
  <si>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</si>
  <si>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</si>
  <si>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</si>
  <si>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</si>
  <si>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</si>
  <si>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</si>
  <si>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</si>
  <si>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</si>
  <si>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</si>
  <si>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</si>
  <si>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</si>
  <si>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</si>
  <si>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</si>
  <si>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</si>
  <si>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</si>
  <si>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</si>
  <si>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</si>
  <si>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</si>
  <si>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</si>
  <si>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</si>
  <si>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</si>
  <si>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</si>
  <si>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</si>
  <si>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</si>
  <si>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</si>
  <si>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</si>
  <si>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</si>
  <si>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</si>
  <si>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</si>
  <si>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</si>
  <si>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</si>
  <si>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</si>
  <si>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</si>
  <si>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</si>
  <si>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</si>
  <si>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</si>
  <si>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</si>
  <si>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</si>
  <si>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</si>
  <si>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</si>
  <si>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</si>
  <si>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</si>
  <si>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</si>
  <si>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</si>
  <si>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</si>
  <si>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</si>
  <si>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</si>
  <si>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</si>
  <si>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</si>
  <si>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</si>
  <si>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</si>
  <si>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</si>
  <si>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</si>
  <si>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</si>
  <si>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</si>
  <si>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</si>
  <si>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</si>
  <si>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</si>
  <si>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</si>
  <si>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</si>
  <si>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</si>
  <si>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</si>
  <si>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</si>
  <si>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</si>
  <si>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</si>
  <si>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</si>
  <si>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</si>
  <si>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</si>
  <si>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</si>
  <si>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</si>
  <si>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</si>
  <si>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</si>
  <si>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</si>
  <si>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</si>
  <si>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</si>
  <si>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</si>
  <si>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</si>
  <si>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</si>
  <si>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</si>
  <si>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</si>
  <si>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</si>
  <si>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</si>
  <si>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</si>
  <si>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</si>
  <si>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</si>
  <si>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</si>
  <si>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</si>
  <si>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</si>
  <si>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</si>
  <si>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</si>
  <si>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</si>
  <si>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</si>
  <si>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</si>
  <si>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</si>
  <si>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</si>
  <si>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</si>
  <si>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</si>
  <si>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</si>
  <si>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</si>
  <si>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</si>
  <si>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</si>
  <si>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</si>
  <si>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</si>
  <si>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</si>
  <si>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</si>
  <si>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</si>
  <si>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</si>
  <si>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</si>
  <si>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</si>
  <si>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</si>
  <si>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</si>
  <si>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</si>
  <si>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</si>
  <si>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</si>
  <si>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</si>
  <si>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</si>
  <si>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</si>
  <si>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</si>
  <si>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</si>
  <si>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</si>
  <si>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</si>
  <si>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</si>
  <si>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</si>
  <si>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</si>
  <si>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</si>
  <si>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</si>
  <si>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</si>
  <si>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</si>
  <si>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</si>
  <si>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</si>
  <si>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</si>
  <si>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</si>
  <si>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</si>
  <si>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</si>
  <si>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</si>
  <si>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</si>
  <si>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</si>
  <si>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</si>
  <si>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</si>
  <si>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</si>
  <si>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</si>
  <si>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</si>
  <si>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</si>
  <si>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</si>
  <si>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</si>
  <si>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</si>
  <si>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</si>
  <si>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</si>
  <si>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</si>
  <si>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</si>
  <si>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</si>
  <si>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</si>
  <si>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</si>
  <si>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</si>
  <si>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</si>
  <si>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</si>
  <si>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</si>
  <si>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</si>
  <si>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</si>
  <si>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</si>
  <si>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</si>
  <si>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</si>
  <si>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</si>
  <si>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</si>
  <si>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</si>
  <si>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</si>
  <si>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</si>
  <si>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</si>
  <si>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</si>
  <si>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</si>
  <si>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</si>
  <si>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</si>
  <si>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</si>
  <si>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</si>
  <si>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</si>
  <si>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</si>
  <si>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</si>
  <si>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</si>
  <si>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</si>
  <si>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</si>
  <si>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</si>
  <si>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</si>
  <si>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</si>
  <si>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</si>
  <si>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</si>
  <si>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</si>
  <si>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</si>
  <si>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</si>
  <si>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</si>
  <si>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</si>
  <si>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</si>
  <si>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</si>
  <si>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</si>
  <si>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</si>
  <si>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</si>
  <si>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</si>
  <si>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</si>
  <si>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</si>
  <si>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</si>
  <si>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</si>
  <si>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</si>
  <si>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</si>
  <si>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</si>
  <si>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</si>
  <si>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</si>
  <si>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</si>
  <si>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</si>
  <si>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</si>
  <si>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</si>
  <si>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</si>
  <si>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</si>
  <si>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</si>
  <si>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</si>
  <si>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</si>
  <si>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</si>
  <si>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</si>
  <si>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</si>
  <si>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</si>
  <si>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</si>
  <si>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</si>
  <si>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</si>
  <si>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</si>
  <si>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</si>
  <si>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</si>
  <si>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</si>
  <si>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</si>
  <si>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</si>
  <si>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</si>
  <si>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</si>
  <si>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</si>
  <si>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</si>
  <si>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</si>
  <si>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</si>
  <si>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</si>
  <si>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</si>
  <si>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</si>
  <si>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</si>
  <si>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</si>
  <si>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</si>
  <si>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</si>
  <si>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</si>
  <si>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</si>
  <si>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</si>
  <si>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</si>
  <si>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</si>
  <si>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</si>
  <si>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</si>
  <si>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</si>
  <si>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</si>
  <si>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</si>
  <si>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</si>
  <si>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</si>
  <si>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</si>
  <si>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</si>
  <si>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</si>
  <si>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</si>
  <si>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</si>
  <si>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</si>
  <si>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</si>
  <si>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</si>
  <si>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</si>
  <si>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</si>
  <si>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</si>
  <si>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</si>
  <si>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</si>
  <si>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</si>
  <si>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</si>
  <si>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</si>
  <si>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</si>
  <si>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</si>
  <si>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</si>
  <si>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</si>
  <si>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</si>
  <si>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</si>
  <si>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</si>
  <si>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</si>
  <si>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</si>
  <si>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</si>
  <si>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</si>
  <si>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</si>
  <si>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</si>
  <si>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</si>
  <si>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</si>
  <si>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</si>
  <si>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</si>
  <si>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</si>
  <si>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</si>
  <si>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</si>
  <si>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</si>
  <si>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</si>
  <si>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</si>
  <si>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</si>
  <si>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</si>
  <si>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</si>
  <si>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</si>
  <si>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</si>
  <si>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</si>
  <si>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</si>
  <si>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</si>
  <si>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</si>
  <si>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</si>
  <si>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</si>
  <si>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</si>
  <si>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</si>
  <si>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</si>
  <si>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</si>
  <si>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</si>
  <si>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</si>
  <si>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</si>
  <si>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</si>
  <si>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</si>
  <si>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</si>
  <si>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</si>
  <si>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</si>
  <si>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</si>
  <si>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</si>
  <si>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</si>
  <si>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</si>
  <si>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</si>
  <si>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</si>
  <si>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</si>
  <si>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</si>
  <si>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</si>
  <si>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</si>
  <si>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</si>
  <si>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</si>
  <si>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</si>
  <si>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</si>
  <si>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</si>
  <si>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</si>
  <si>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</si>
  <si>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</si>
  <si>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</si>
  <si>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</si>
  <si>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</si>
  <si>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</si>
  <si>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</si>
  <si>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</si>
  <si>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</si>
  <si>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</si>
  <si>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</si>
  <si>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</si>
  <si>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</si>
  <si>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</si>
  <si>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</si>
  <si>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</si>
  <si>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</si>
  <si>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</si>
  <si>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</si>
  <si>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</si>
  <si>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</si>
  <si>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</si>
  <si>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</si>
  <si>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</si>
  <si>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</si>
  <si>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</si>
  <si>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</si>
  <si>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</si>
  <si>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</si>
  <si>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</si>
  <si>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</si>
  <si>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</si>
  <si>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</si>
  <si>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</si>
  <si>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</si>
  <si>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</si>
  <si>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</si>
  <si>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</si>
  <si>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</si>
  <si>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</si>
  <si>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</si>
  <si>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</si>
  <si>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</si>
  <si>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</si>
  <si>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</si>
  <si>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</si>
  <si>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</si>
  <si>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</si>
  <si>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</si>
  <si>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</si>
  <si>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</si>
  <si>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</si>
  <si>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</si>
  <si>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</si>
  <si>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</si>
  <si>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</si>
  <si>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</si>
  <si>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</si>
  <si>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</si>
  <si>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</si>
  <si>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</si>
  <si>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</si>
  <si>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</si>
  <si>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</si>
  <si>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</si>
  <si>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</si>
  <si>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</si>
  <si>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</si>
  <si>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</si>
  <si>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</si>
  <si>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</si>
  <si>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</si>
  <si>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</si>
  <si>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</si>
  <si>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</si>
  <si>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</si>
  <si>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</si>
  <si>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</si>
  <si>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</si>
  <si>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</si>
  <si>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</si>
  <si>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</si>
  <si>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</si>
  <si>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</si>
  <si>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</si>
  <si>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</si>
  <si>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</si>
  <si>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</si>
  <si>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</si>
  <si>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</si>
  <si>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</si>
  <si>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</si>
  <si>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</si>
  <si>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</si>
  <si>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</si>
  <si>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</si>
  <si>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</si>
  <si>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</si>
  <si>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</si>
  <si>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</si>
  <si>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</si>
  <si>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</si>
  <si>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</si>
  <si>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</si>
  <si>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</si>
  <si>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</si>
  <si>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</si>
  <si>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</si>
  <si>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</si>
  <si>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</si>
  <si>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</si>
  <si>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</si>
  <si>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</si>
  <si>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</si>
  <si>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</si>
  <si>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</si>
  <si>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</si>
  <si>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</si>
  <si>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</si>
  <si>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</si>
  <si>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</si>
  <si>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</si>
  <si>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</si>
  <si>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</si>
  <si>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</si>
  <si>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</si>
  <si>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</si>
  <si>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</si>
  <si>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</si>
  <si>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</si>
  <si>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</si>
  <si>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</si>
  <si>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</si>
  <si>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</si>
  <si>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</si>
  <si>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</si>
  <si>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</si>
  <si>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</si>
  <si>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</si>
  <si>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</si>
  <si>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</si>
  <si>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</si>
  <si>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</si>
  <si>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</si>
  <si>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</si>
  <si>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</si>
  <si>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</si>
  <si>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</si>
  <si>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</si>
  <si>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</si>
  <si>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</si>
  <si>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</si>
  <si>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</si>
  <si>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</si>
  <si>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</si>
  <si>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</si>
  <si>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</si>
  <si>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</si>
  <si>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</si>
  <si>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</si>
  <si>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</si>
  <si>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</si>
  <si>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</si>
  <si>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</si>
  <si>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</si>
  <si>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</si>
  <si>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</si>
  <si>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</si>
  <si>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</si>
  <si>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</si>
  <si>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</si>
  <si>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</si>
  <si>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</si>
  <si>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</si>
  <si>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</si>
  <si>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</si>
  <si>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</si>
  <si>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</si>
  <si>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</si>
  <si>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</si>
  <si>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</si>
  <si>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</si>
  <si>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</si>
  <si>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</si>
  <si>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</si>
  <si>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</si>
  <si>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</si>
  <si>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</si>
  <si>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</si>
  <si>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</si>
  <si>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</si>
  <si>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</si>
  <si>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</si>
  <si>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</si>
  <si>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</si>
  <si>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</si>
  <si>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</si>
  <si>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</si>
  <si>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</si>
  <si>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</si>
  <si>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</si>
  <si>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</si>
  <si>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</si>
  <si>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</si>
  <si>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</si>
  <si>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</si>
  <si>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</si>
  <si>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</si>
  <si>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</si>
  <si>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</si>
  <si>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</si>
  <si>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</si>
  <si>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</si>
  <si>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</si>
  <si>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</si>
  <si>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</si>
  <si>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</si>
  <si>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</si>
  <si>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</si>
  <si>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</si>
  <si>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</si>
  <si>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</si>
  <si>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</si>
  <si>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</si>
  <si>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</si>
  <si>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</si>
  <si>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</si>
  <si>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</si>
  <si>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</si>
  <si>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</si>
  <si>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</si>
  <si>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</si>
  <si>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</si>
  <si>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</si>
  <si>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</si>
  <si>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</si>
  <si>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</si>
  <si>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</si>
  <si>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</si>
  <si>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</si>
  <si>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</si>
  <si>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</si>
  <si>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</si>
  <si>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</si>
  <si>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</si>
  <si>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</si>
  <si>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</si>
  <si>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</si>
  <si>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</si>
  <si>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</si>
  <si>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</si>
  <si>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</si>
  <si>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</si>
  <si>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</si>
  <si>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</si>
  <si>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</si>
  <si>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</si>
  <si>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</si>
  <si>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</si>
  <si>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</si>
  <si>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</si>
  <si>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</si>
  <si>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</si>
  <si>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</si>
  <si>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</si>
  <si>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</si>
  <si>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</si>
  <si>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</si>
  <si>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</si>
  <si>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</si>
  <si>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</si>
  <si>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</si>
  <si>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</si>
  <si>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</si>
  <si>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</si>
  <si>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</si>
  <si>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</si>
  <si>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</si>
  <si>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</si>
  <si>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</si>
  <si>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</si>
  <si>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</si>
  <si>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</si>
  <si>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</si>
  <si>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</si>
  <si>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</si>
  <si>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</si>
  <si>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</si>
  <si>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</si>
  <si>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</si>
  <si>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</si>
  <si>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</si>
  <si>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</si>
  <si>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</si>
  <si>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</si>
  <si>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</si>
  <si>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</si>
  <si>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</si>
  <si>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</si>
  <si>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</si>
  <si>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</si>
  <si>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</si>
  <si>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</si>
  <si>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</si>
  <si>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</si>
  <si>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</si>
  <si>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</si>
  <si>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</si>
  <si>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</si>
  <si>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</si>
  <si>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</si>
  <si>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</si>
  <si>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</si>
  <si>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</si>
  <si>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</si>
  <si>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</si>
  <si>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</si>
  <si>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</si>
  <si>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</si>
  <si>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</si>
  <si>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</si>
  <si>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</si>
  <si>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</si>
  <si>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</si>
  <si>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</si>
  <si>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</si>
  <si>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</si>
  <si>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</si>
  <si>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</si>
  <si>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</si>
  <si>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</si>
  <si>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</si>
  <si>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</si>
  <si>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</si>
  <si>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</si>
  <si>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</si>
  <si>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</si>
  <si>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</si>
  <si>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</si>
  <si>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</si>
  <si>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</si>
  <si>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</si>
  <si>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</si>
  <si>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</si>
  <si>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</si>
  <si>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</si>
  <si>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</si>
  <si>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</si>
  <si>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</si>
  <si>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</si>
  <si>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</si>
  <si>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</si>
  <si>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</si>
  <si>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</si>
  <si>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</si>
  <si>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</si>
  <si>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</si>
  <si>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</si>
  <si>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</si>
  <si>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</si>
  <si>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</si>
  <si>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</si>
  <si>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</si>
  <si>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</si>
  <si>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</si>
  <si>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</si>
  <si>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</si>
  <si>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</si>
  <si>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</si>
  <si>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</si>
  <si>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</si>
  <si>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</si>
  <si>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</si>
  <si>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</si>
  <si>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</si>
  <si>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</si>
  <si>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</si>
  <si>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</si>
  <si>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</si>
  <si>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</si>
  <si>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</si>
  <si>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</si>
  <si>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</si>
  <si>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</si>
  <si>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</si>
  <si>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</si>
  <si>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</si>
  <si>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</si>
  <si>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</si>
  <si>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</si>
  <si>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</si>
  <si>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</si>
  <si>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</si>
  <si>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</si>
  <si>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</si>
  <si>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</si>
  <si>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</si>
  <si>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</si>
  <si>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</si>
  <si>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</si>
  <si>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</si>
  <si>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</si>
  <si>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</si>
  <si>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</si>
  <si>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</si>
  <si>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Proteome</t>
  </si>
  <si>
    <t>att_proteome</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</si>
  <si>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</si>
  <si>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</si>
  <si>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</si>
  <si>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</si>
  <si>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</si>
  <si>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</si>
  <si>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</si>
  <si>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</si>
  <si>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</si>
  <si>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</si>
  <si>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</si>
  <si>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</si>
  <si>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</si>
  <si>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</si>
  <si>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</si>
  <si>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</si>
  <si>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</si>
  <si>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</si>
  <si>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</si>
  <si>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</si>
  <si>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</si>
  <si>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</si>
  <si>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</si>
  <si>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</si>
  <si>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</si>
  <si>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</si>
  <si>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</si>
  <si>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</si>
  <si>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</si>
  <si>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att_cellculture_media</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</si>
  <si>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</si>
  <si>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</si>
  <si>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</si>
  <si>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</si>
  <si>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</si>
  <si>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</si>
  <si>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</si>
  <si>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</si>
  <si>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</si>
  <si>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</si>
  <si>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</si>
  <si>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</si>
  <si>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</si>
  <si>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</si>
  <si>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</si>
  <si>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</si>
  <si>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</si>
  <si>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</si>
  <si>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</si>
  <si>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</si>
  <si>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</si>
  <si>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</si>
  <si>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</si>
  <si>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</si>
  <si>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</si>
  <si>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</si>
  <si>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</si>
  <si>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</si>
  <si>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</si>
  <si>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</si>
  <si>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</si>
  <si>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</si>
  <si>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</si>
  <si>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</si>
  <si>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</si>
  <si>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</si>
  <si>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</si>
  <si>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</si>
  <si>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</si>
  <si>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</si>
  <si>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</si>
  <si>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</si>
  <si>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</si>
  <si>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</si>
  <si>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</si>
  <si>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</si>
  <si>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</si>
  <si>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</si>
  <si>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</si>
  <si>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</si>
  <si>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</si>
  <si>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</si>
  <si>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</si>
  <si>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</si>
  <si>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</si>
  <si>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</si>
  <si>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</si>
  <si>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</si>
  <si>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</si>
  <si>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</si>
  <si>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</si>
  <si>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</si>
  <si>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</si>
  <si>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</si>
  <si>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</si>
  <si>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</si>
  <si>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</si>
  <si>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</si>
  <si>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</si>
  <si>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</si>
  <si>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</si>
  <si>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</si>
  <si>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</si>
  <si>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</si>
  <si>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</si>
  <si>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</si>
  <si>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</si>
  <si>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</si>
  <si>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</si>
  <si>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</si>
  <si>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</si>
  <si>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</si>
  <si>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</si>
  <si>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</si>
  <si>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</si>
  <si>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</si>
  <si>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</si>
  <si>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</si>
  <si>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</si>
  <si>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</si>
  <si>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</si>
  <si>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</si>
  <si>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</si>
  <si>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</si>
  <si>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</si>
  <si>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</si>
  <si>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</si>
  <si>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</si>
  <si>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</si>
  <si>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</si>
  <si>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</si>
  <si>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</si>
  <si>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</si>
  <si>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</si>
  <si>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</si>
  <si>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</si>
  <si>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</si>
  <si>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</si>
  <si>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</si>
  <si>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</si>
  <si>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</si>
  <si>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</si>
  <si>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</si>
  <si>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</si>
  <si>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</si>
  <si>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</si>
  <si>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</si>
  <si>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</si>
  <si>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</si>
  <si>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</si>
  <si>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</si>
  <si>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</si>
  <si>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</si>
  <si>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</si>
  <si>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</si>
  <si>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</si>
  <si>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</si>
  <si>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</si>
  <si>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</si>
  <si>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</si>
  <si>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</si>
  <si>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</si>
  <si>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</si>
  <si>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</si>
  <si>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</si>
  <si>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</si>
  <si>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</si>
  <si>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</si>
  <si>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</si>
  <si>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</si>
  <si>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</si>
  <si>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</si>
  <si>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</si>
  <si>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</si>
  <si>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</si>
  <si>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</si>
  <si>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</si>
  <si>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</si>
  <si>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</si>
  <si>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</si>
  <si>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</si>
  <si>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</si>
  <si>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</si>
  <si>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</si>
  <si>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</si>
  <si>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</si>
  <si>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</si>
  <si>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</si>
  <si>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</si>
  <si>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</si>
  <si>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</si>
  <si>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</si>
  <si>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</si>
  <si>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</si>
  <si>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</si>
  <si>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</si>
  <si>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</si>
  <si>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</si>
  <si>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</si>
  <si>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</si>
  <si>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</si>
  <si>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</si>
  <si>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</si>
  <si>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</si>
  <si>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</si>
  <si>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</si>
  <si>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</si>
  <si>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</si>
  <si>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</si>
  <si>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</si>
  <si>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</si>
  <si>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</si>
  <si>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</si>
  <si>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</si>
  <si>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</si>
  <si>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</si>
  <si>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</si>
  <si>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</si>
  <si>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</si>
  <si>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</si>
  <si>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</si>
  <si>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</si>
  <si>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</si>
  <si>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</si>
  <si>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</si>
  <si>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</si>
  <si>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</si>
  <si>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</si>
  <si>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</si>
  <si>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</si>
  <si>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</si>
  <si>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</si>
  <si>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</si>
  <si>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</si>
  <si>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</si>
  <si>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</si>
  <si>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</si>
  <si>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</si>
  <si>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</si>
  <si>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</si>
  <si>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</si>
  <si>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</si>
  <si>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</si>
  <si>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</si>
  <si>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</si>
  <si>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</si>
  <si>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</si>
  <si>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</si>
  <si>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</si>
  <si>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</si>
  <si>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</si>
  <si>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</si>
  <si>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</si>
  <si>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</si>
  <si>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</si>
  <si>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</si>
  <si>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</si>
  <si>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</si>
  <si>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</si>
  <si>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</si>
  <si>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</si>
  <si>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</si>
  <si>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</si>
  <si>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</si>
  <si>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</si>
  <si>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</si>
  <si>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</si>
  <si>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</si>
  <si>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</si>
  <si>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</si>
  <si>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</si>
  <si>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</si>
  <si>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</si>
  <si>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</si>
  <si>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</si>
  <si>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</si>
  <si>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</si>
  <si>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</si>
  <si>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</si>
  <si>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</si>
  <si>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</si>
  <si>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</si>
  <si>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</si>
  <si>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</si>
  <si>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</si>
  <si>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</si>
  <si>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</si>
  <si>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</si>
  <si>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</si>
  <si>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</si>
  <si>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</si>
  <si>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</si>
  <si>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</si>
  <si>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</si>
  <si>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</si>
  <si>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</si>
  <si>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</si>
  <si>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</si>
  <si>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</si>
  <si>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</si>
  <si>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</si>
  <si>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</si>
  <si>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</si>
  <si>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</si>
  <si>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</si>
  <si>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</si>
  <si>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</si>
  <si>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</si>
  <si>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</si>
  <si>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</si>
  <si>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</si>
  <si>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</si>
  <si>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</si>
  <si>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</si>
  <si>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</si>
  <si>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</si>
  <si>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</si>
  <si>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</si>
  <si>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</si>
  <si>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</si>
  <si>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</si>
  <si>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</si>
  <si>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</si>
  <si>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</si>
  <si>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</si>
  <si>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</si>
  <si>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</si>
  <si>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</si>
  <si>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</si>
  <si>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</si>
  <si>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</si>
  <si>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</si>
  <si>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</si>
  <si>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</si>
  <si>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</si>
  <si>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</si>
  <si>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</si>
  <si>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</si>
  <si>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</si>
  <si>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</si>
  <si>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</si>
  <si>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</si>
  <si>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</si>
  <si>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</si>
  <si>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</si>
  <si>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</si>
  <si>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</si>
  <si>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</si>
  <si>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</si>
  <si>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</si>
  <si>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</si>
  <si>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</si>
  <si>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</si>
  <si>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</si>
  <si>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</si>
  <si>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</si>
  <si>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</si>
  <si>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</si>
  <si>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</si>
  <si>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</si>
  <si>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</si>
  <si>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</si>
  <si>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</si>
  <si>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</si>
  <si>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</si>
  <si>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</si>
  <si>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</si>
  <si>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</si>
  <si>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</si>
  <si>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</si>
  <si>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</si>
  <si>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</si>
  <si>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</si>
  <si>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</si>
  <si>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</si>
  <si>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</si>
  <si>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</si>
  <si>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</si>
  <si>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</si>
  <si>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</si>
  <si>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</si>
  <si>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</si>
  <si>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</si>
  <si>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</si>
  <si>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</si>
  <si>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</si>
  <si>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</si>
  <si>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</si>
  <si>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</si>
  <si>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</si>
  <si>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</si>
  <si>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</si>
  <si>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</si>
  <si>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</si>
  <si>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</si>
  <si>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</si>
  <si>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</si>
  <si>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</si>
  <si>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</si>
  <si>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</si>
  <si>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</si>
  <si>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</si>
  <si>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</si>
  <si>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</si>
  <si>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</si>
  <si>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</si>
  <si>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</si>
  <si>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</si>
  <si>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</si>
  <si>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</si>
  <si>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</si>
  <si>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</si>
  <si>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</si>
  <si>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</si>
  <si>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</si>
  <si>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</si>
  <si>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</si>
  <si>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</si>
  <si>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</si>
  <si>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</si>
  <si>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</si>
  <si>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</si>
  <si>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</si>
  <si>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</si>
  <si>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</si>
  <si>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</si>
  <si>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</si>
  <si>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</si>
  <si>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</si>
  <si>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</si>
  <si>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</si>
  <si>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</si>
  <si>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</si>
  <si>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</si>
  <si>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</si>
  <si>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</si>
  <si>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</si>
  <si>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</si>
  <si>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</si>
  <si>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</si>
  <si>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</si>
  <si>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</si>
  <si>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</si>
  <si>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</si>
  <si>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</si>
  <si>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</si>
  <si>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</si>
  <si>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</si>
  <si>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</si>
  <si>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</si>
  <si>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</si>
  <si>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</si>
  <si>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</si>
  <si>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</si>
  <si>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</si>
  <si>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</si>
  <si>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</si>
  <si>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</si>
  <si>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</si>
  <si>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</si>
  <si>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</si>
  <si>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</si>
  <si>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</si>
  <si>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</si>
  <si>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</si>
  <si>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</si>
  <si>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</si>
  <si>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</si>
  <si>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</si>
  <si>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</si>
  <si>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</si>
  <si>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</si>
  <si>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</si>
  <si>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</si>
  <si>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</si>
  <si>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</si>
  <si>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</si>
  <si>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</si>
  <si>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</si>
  <si>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</si>
  <si>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</si>
  <si>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</si>
  <si>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</si>
  <si>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</si>
  <si>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</si>
  <si>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</si>
  <si>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</si>
  <si>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</si>
  <si>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</si>
  <si>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</si>
  <si>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</si>
  <si>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</si>
  <si>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</si>
  <si>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</si>
  <si>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</si>
  <si>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</si>
  <si>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</si>
  <si>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</si>
  <si>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</si>
  <si>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</si>
  <si>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</si>
  <si>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</si>
  <si>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</si>
  <si>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</si>
  <si>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</si>
  <si>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</si>
  <si>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</si>
  <si>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</si>
  <si>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</si>
  <si>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</si>
  <si>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</si>
  <si>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</si>
  <si>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</si>
  <si>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</si>
  <si>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</si>
  <si>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</si>
  <si>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</si>
  <si>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</si>
  <si>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</si>
  <si>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</si>
  <si>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</si>
  <si>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</si>
  <si>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</si>
  <si>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</si>
  <si>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</si>
  <si>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</si>
  <si>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</si>
  <si>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</si>
  <si>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</si>
  <si>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</si>
  <si>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</si>
  <si>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</si>
  <si>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</si>
  <si>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</si>
  <si>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</si>
  <si>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</si>
  <si>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</si>
  <si>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</si>
  <si>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</si>
  <si>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</si>
  <si>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</si>
  <si>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</si>
  <si>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</si>
  <si>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</si>
  <si>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</si>
  <si>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</si>
  <si>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</si>
  <si>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</si>
  <si>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</si>
  <si>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</si>
  <si>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</si>
  <si>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</si>
  <si>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</si>
  <si>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</si>
  <si>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</si>
  <si>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</si>
  <si>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</si>
  <si>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</si>
  <si>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</si>
  <si>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</si>
  <si>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</si>
  <si>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</si>
  <si>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</si>
  <si>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</si>
  <si>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</si>
  <si>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</si>
  <si>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</si>
  <si>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</si>
  <si>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</si>
  <si>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</si>
  <si>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</si>
  <si>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</si>
  <si>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</si>
  <si>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</si>
  <si>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</si>
  <si>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</si>
  <si>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</si>
  <si>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</si>
  <si>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</si>
  <si>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</si>
  <si>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</si>
  <si>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</si>
  <si>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</si>
  <si>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</si>
  <si>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</si>
  <si>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</si>
  <si>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</si>
  <si>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</si>
  <si>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</si>
  <si>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</si>
  <si>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</si>
  <si>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</si>
  <si>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</si>
  <si>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</si>
  <si>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</si>
  <si>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</si>
  <si>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</si>
  <si>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</si>
  <si>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</si>
  <si>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</si>
  <si>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</si>
  <si>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</si>
  <si>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</si>
  <si>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</si>
  <si>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</si>
  <si>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</si>
  <si>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</si>
  <si>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</si>
  <si>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</si>
  <si>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</si>
  <si>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</si>
  <si>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</si>
  <si>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</si>
  <si>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</si>
  <si>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</si>
  <si>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</si>
  <si>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</si>
  <si>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</si>
  <si>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</si>
  <si>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</si>
  <si>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</si>
  <si>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</si>
  <si>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</si>
  <si>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</si>
  <si>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</si>
  <si>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</si>
  <si>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</si>
  <si>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</si>
  <si>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</si>
  <si>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</si>
  <si>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</si>
  <si>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</si>
  <si>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</si>
  <si>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</si>
  <si>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</si>
  <si>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</si>
  <si>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</si>
  <si>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</si>
  <si>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</si>
  <si>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</si>
  <si>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</si>
  <si>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</si>
  <si>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</si>
  <si>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</si>
  <si>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</si>
  <si>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</si>
  <si>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</si>
  <si>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</si>
  <si>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</si>
  <si>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</si>
  <si>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</si>
  <si>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</si>
  <si>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</si>
  <si>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</si>
  <si>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</si>
  <si>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</si>
  <si>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</si>
  <si>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</si>
  <si>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</si>
  <si>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</si>
  <si>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</si>
  <si>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</si>
  <si>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</si>
  <si>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</si>
  <si>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</si>
  <si>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</si>
  <si>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</si>
  <si>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</si>
  <si>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</si>
  <si>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</si>
  <si>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</si>
  <si>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</si>
  <si>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</si>
  <si>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</si>
  <si>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</si>
  <si>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</si>
  <si>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</si>
  <si>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</si>
  <si>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</si>
  <si>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</si>
  <si>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</si>
  <si>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</si>
  <si>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</si>
  <si>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</si>
  <si>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</si>
  <si>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</si>
  <si>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</si>
  <si>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</si>
  <si>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</si>
  <si>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</si>
  <si>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</si>
  <si>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</si>
  <si>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</si>
  <si>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</si>
  <si>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</si>
  <si>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</si>
  <si>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</si>
  <si>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</si>
  <si>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</si>
  <si>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</si>
  <si>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</si>
  <si>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</si>
  <si>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</si>
  <si>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</si>
  <si>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</si>
  <si>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</si>
  <si>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</si>
  <si>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</si>
  <si>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</si>
  <si>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</si>
  <si>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</si>
  <si>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</si>
  <si>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</si>
  <si>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</si>
  <si>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</si>
  <si>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</si>
  <si>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</si>
  <si>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</si>
  <si>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</si>
  <si>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</si>
  <si>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</si>
  <si>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</si>
  <si>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</si>
  <si>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</si>
  <si>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</si>
  <si>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</si>
  <si>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</si>
  <si>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</si>
  <si>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</si>
  <si>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</si>
  <si>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</si>
  <si>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</si>
  <si>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</si>
  <si>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</si>
  <si>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</si>
  <si>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</si>
  <si>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</si>
  <si>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</si>
  <si>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</si>
  <si>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</si>
  <si>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</si>
  <si>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</si>
  <si>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</si>
  <si>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</si>
  <si>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</si>
  <si>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</si>
  <si>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</si>
  <si>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</si>
  <si>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</si>
  <si>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</si>
  <si>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</si>
  <si>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</si>
  <si>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</si>
  <si>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</si>
  <si>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</si>
  <si>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</si>
  <si>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</si>
  <si>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</si>
  <si>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</si>
  <si>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</si>
  <si>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</si>
  <si>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</si>
  <si>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</si>
  <si>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</si>
  <si>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</si>
  <si>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</si>
  <si>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</si>
  <si>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</si>
  <si>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</si>
  <si>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</si>
  <si>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</si>
  <si>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</si>
  <si>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</si>
  <si>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</si>
  <si>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</si>
  <si>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</si>
  <si>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</si>
  <si>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</si>
  <si>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</si>
  <si>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</si>
  <si>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</si>
  <si>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</si>
  <si>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</si>
  <si>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</si>
  <si>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</si>
  <si>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</si>
  <si>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</si>
  <si>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</si>
  <si>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</si>
  <si>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</si>
  <si>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</si>
  <si>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</si>
  <si>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</si>
  <si>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</si>
  <si>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</si>
  <si>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</si>
  <si>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</si>
  <si>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</si>
  <si>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</si>
  <si>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</si>
  <si>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</si>
  <si>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</si>
  <si>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</si>
  <si>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</si>
  <si>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</si>
  <si>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</si>
  <si>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</si>
  <si>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</si>
  <si>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</si>
  <si>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</si>
  <si>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</si>
  <si>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</si>
  <si>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</si>
  <si>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</si>
  <si>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</si>
  <si>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</si>
  <si>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</si>
  <si>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</si>
  <si>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</si>
  <si>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</si>
  <si>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</si>
  <si>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</si>
  <si>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</si>
  <si>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</si>
  <si>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</si>
  <si>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</si>
  <si>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</si>
  <si>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</si>
  <si>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</si>
  <si>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</si>
  <si>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</si>
  <si>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</si>
  <si>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</si>
  <si>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</si>
  <si>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</si>
  <si>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</si>
  <si>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</si>
  <si>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</si>
  <si>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</si>
  <si>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</si>
  <si>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</si>
  <si>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</si>
  <si>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</si>
  <si>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</si>
  <si>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</si>
  <si>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</si>
  <si>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</si>
  <si>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</si>
  <si>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</si>
  <si>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</si>
  <si>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</si>
  <si>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</si>
  <si>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</si>
  <si>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</si>
  <si>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</si>
  <si>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</si>
  <si>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</si>
  <si>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</si>
  <si>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</si>
  <si>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</si>
  <si>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</si>
  <si>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</si>
  <si>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</si>
  <si>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</si>
  <si>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</si>
  <si>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</si>
  <si>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</si>
  <si>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</si>
  <si>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</si>
  <si>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</si>
  <si>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</si>
  <si>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</si>
  <si>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</si>
  <si>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</si>
  <si>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</si>
  <si>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</si>
  <si>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</si>
  <si>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</si>
  <si>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</si>
  <si>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</si>
  <si>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</si>
  <si>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</si>
  <si>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</si>
  <si>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</si>
  <si>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</si>
  <si>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</si>
  <si>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</si>
  <si>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</si>
  <si>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</si>
  <si>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</si>
  <si>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</si>
  <si>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</si>
  <si>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</si>
  <si>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</si>
  <si>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</si>
  <si>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</si>
  <si>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</si>
  <si>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</si>
  <si>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</si>
  <si>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</si>
  <si>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</si>
  <si>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</si>
  <si>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</si>
  <si>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</si>
  <si>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</si>
  <si>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</si>
  <si>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</si>
  <si>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</si>
  <si>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</si>
  <si>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</si>
  <si>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</si>
  <si>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</si>
  <si>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</si>
  <si>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</si>
  <si>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</si>
  <si>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</si>
  <si>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</si>
  <si>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</si>
  <si>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</si>
  <si>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</si>
  <si>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</si>
  <si>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</si>
  <si>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</si>
  <si>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</si>
  <si>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</si>
  <si>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</si>
  <si>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</si>
  <si>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</si>
  <si>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</si>
  <si>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</si>
  <si>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</si>
  <si>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</si>
  <si>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</si>
  <si>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</si>
  <si>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</si>
  <si>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</si>
  <si>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</si>
  <si>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</si>
  <si>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</si>
  <si>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</si>
  <si>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</si>
  <si>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</si>
  <si>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</si>
  <si>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</si>
  <si>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</si>
  <si>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</si>
  <si>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</si>
  <si>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</si>
  <si>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</si>
  <si>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</si>
  <si>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</si>
  <si>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</si>
  <si>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</si>
  <si>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</si>
  <si>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</si>
  <si>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</si>
  <si>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</si>
  <si>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</si>
  <si>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</si>
  <si>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</si>
  <si>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</si>
  <si>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</si>
  <si>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</si>
  <si>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</si>
  <si>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</si>
  <si>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</si>
  <si>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</si>
  <si>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</si>
  <si>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</si>
  <si>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</si>
  <si>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</si>
  <si>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</si>
  <si>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</si>
  <si>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</si>
  <si>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</si>
  <si>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</si>
  <si>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</si>
  <si>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</si>
  <si>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</si>
  <si>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</si>
  <si>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</si>
  <si>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</si>
  <si>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</si>
  <si>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</si>
  <si>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</si>
  <si>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</si>
  <si>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</si>
  <si>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</si>
  <si>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</si>
  <si>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</si>
  <si>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</si>
  <si>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</si>
  <si>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</si>
  <si>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</si>
  <si>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</si>
  <si>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</si>
  <si>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</si>
  <si>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</si>
  <si>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</si>
  <si>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</si>
  <si>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</si>
  <si>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</si>
  <si>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</si>
  <si>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</si>
  <si>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</si>
  <si>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</si>
  <si>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</si>
  <si>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</si>
  <si>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</si>
  <si>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</si>
  <si>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</si>
  <si>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</si>
  <si>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</si>
  <si>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</si>
  <si>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</si>
  <si>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</si>
  <si>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</si>
  <si>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</si>
  <si>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</si>
  <si>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</si>
  <si>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</si>
  <si>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</si>
  <si>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</si>
  <si>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</si>
  <si>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</si>
  <si>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</si>
  <si>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</si>
  <si>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</si>
  <si>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</si>
  <si>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</si>
  <si>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</si>
  <si>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</si>
  <si>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</si>
  <si>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</si>
  <si>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</si>
  <si>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</si>
  <si>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</si>
  <si>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</si>
  <si>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</si>
  <si>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</si>
  <si>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</si>
  <si>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</si>
  <si>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</si>
  <si>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</si>
  <si>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</si>
  <si>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</si>
  <si>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</si>
  <si>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</si>
  <si>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</si>
  <si>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</si>
  <si>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</si>
  <si>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</si>
  <si>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</si>
  <si>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</si>
  <si>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</si>
  <si>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</si>
  <si>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</si>
  <si>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</si>
  <si>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</si>
  <si>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</si>
  <si>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</si>
  <si>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</si>
  <si>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</si>
  <si>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</si>
  <si>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</si>
  <si>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</si>
  <si>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</si>
  <si>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</si>
  <si>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</si>
  <si>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</si>
  <si>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</si>
  <si>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</si>
  <si>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</si>
  <si>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</si>
  <si>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</si>
  <si>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</si>
  <si>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</si>
  <si>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</si>
  <si>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</si>
  <si>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</si>
  <si>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</si>
  <si>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</si>
  <si>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</si>
  <si>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</si>
  <si>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</si>
  <si>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</si>
  <si>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</si>
  <si>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</si>
  <si>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</si>
  <si>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</si>
  <si>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</si>
  <si>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</si>
  <si>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</si>
  <si>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</si>
  <si>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</si>
  <si>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</si>
  <si>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</si>
  <si>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</si>
  <si>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</si>
  <si>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</si>
  <si>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</si>
  <si>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</si>
  <si>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</si>
  <si>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</si>
  <si>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</si>
  <si>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</si>
  <si>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</si>
  <si>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</si>
  <si>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</si>
  <si>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</si>
  <si>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</si>
  <si>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</si>
  <si>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</si>
  <si>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</si>
  <si>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</si>
  <si>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</si>
  <si>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</si>
  <si>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</si>
  <si>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</si>
  <si>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</si>
  <si>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</si>
  <si>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</si>
  <si>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</si>
  <si>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</si>
  <si>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</si>
  <si>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</si>
  <si>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</si>
  <si>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</si>
  <si>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</si>
  <si>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</si>
  <si>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</si>
  <si>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</si>
  <si>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</si>
  <si>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</si>
  <si>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</si>
  <si>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</si>
  <si>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</si>
  <si>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</si>
  <si>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</si>
  <si>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</si>
  <si>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</si>
  <si>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</si>
  <si>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</si>
  <si>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</si>
  <si>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</si>
  <si>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</si>
  <si>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</si>
  <si>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</si>
  <si>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</si>
  <si>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</si>
  <si>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</si>
  <si>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</si>
  <si>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</si>
  <si>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</si>
  <si>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</si>
  <si>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</si>
  <si>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</si>
  <si>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</si>
  <si>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</si>
  <si>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</si>
  <si>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</si>
  <si>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</si>
  <si>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</si>
  <si>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</si>
  <si>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</si>
  <si>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</si>
  <si>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</si>
  <si>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</si>
  <si>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</si>
  <si>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</si>
  <si>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</si>
  <si>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</si>
  <si>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</si>
  <si>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</si>
  <si>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</si>
  <si>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</si>
  <si>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</si>
  <si>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</si>
  <si>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</si>
  <si>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</si>
  <si>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</si>
  <si>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</si>
  <si>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</si>
  <si>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</si>
  <si>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</si>
  <si>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</si>
  <si>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</si>
  <si>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</si>
  <si>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</si>
  <si>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</si>
  <si>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</si>
  <si>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</si>
  <si>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</si>
  <si>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</si>
  <si>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</si>
  <si>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</si>
  <si>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</si>
  <si>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</si>
  <si>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</si>
  <si>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</si>
  <si>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</si>
  <si>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</si>
  <si>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</si>
  <si>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</si>
  <si>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</si>
  <si>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</si>
  <si>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</si>
  <si>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</si>
  <si>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</si>
  <si>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</si>
  <si>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</si>
  <si>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</si>
  <si>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</si>
  <si>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</si>
  <si>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</si>
  <si>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</si>
  <si>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</si>
  <si>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</si>
  <si>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</si>
  <si>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</si>
  <si>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</si>
  <si>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</si>
  <si>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</si>
  <si>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</si>
  <si>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</si>
  <si>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</si>
  <si>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</si>
  <si>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</si>
  <si>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</si>
  <si>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</si>
  <si>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</si>
  <si>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</si>
  <si>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</si>
  <si>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</si>
  <si>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</si>
  <si>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</si>
  <si>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</si>
  <si>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</si>
  <si>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</si>
  <si>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</si>
  <si>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</si>
  <si>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</si>
  <si>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</si>
  <si>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</si>
  <si>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</si>
  <si>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</si>
  <si>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</si>
  <si>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</si>
  <si>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</si>
  <si>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</si>
  <si>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</si>
  <si>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</si>
  <si>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</si>
  <si>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</si>
  <si>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</si>
  <si>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</si>
  <si>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</si>
  <si>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</si>
  <si>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</si>
  <si>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</si>
  <si>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</si>
  <si>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</si>
  <si>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</si>
  <si>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</si>
  <si>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</si>
  <si>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</si>
  <si>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</si>
  <si>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</si>
  <si>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</si>
  <si>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</si>
  <si>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</si>
  <si>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</si>
  <si>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</si>
  <si>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</si>
  <si>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</si>
  <si>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</si>
  <si>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</si>
  <si>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</si>
  <si>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</si>
  <si>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</si>
  <si>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</si>
  <si>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</si>
  <si>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</si>
  <si>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</si>
  <si>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</si>
  <si>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</si>
  <si>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</si>
  <si>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</si>
  <si>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</si>
  <si>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</si>
  <si>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</si>
  <si>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</si>
  <si>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</si>
  <si>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</si>
  <si>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</si>
  <si>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</si>
  <si>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</si>
  <si>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</si>
  <si>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</si>
  <si>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</si>
  <si>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</si>
  <si>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</si>
  <si>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</si>
  <si>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</si>
  <si>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</si>
  <si>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</si>
  <si>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</si>
  <si>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</si>
  <si>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</si>
  <si>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</si>
  <si>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</si>
  <si>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</si>
  <si>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</si>
  <si>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</si>
  <si>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</si>
  <si>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</si>
  <si>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</si>
  <si>
    <t>att_protein|att_duration|att_temperature</t>
  </si>
  <si>
    <t>exog</t>
  </si>
  <si>
    <t>Exogeneously expressed immunoprecipitation.</t>
  </si>
  <si>
    <t>Cx3cr1CreER(Jung)</t>
  </si>
  <si>
    <t>ml_cx3cr1_jung</t>
  </si>
  <si>
    <t>stem_cell_differentiation</t>
  </si>
  <si>
    <t>Process where stem cells become specialized cells; foundational mechanism of all differentiation</t>
  </si>
  <si>
    <t>embryonic_differentiation</t>
  </si>
  <si>
    <t>Specialization during embryo development into ectoderm, mesoderm, and endoderm</t>
  </si>
  <si>
    <t>terminal_differentiation</t>
  </si>
  <si>
    <t>Final specialization of a cell where it performs a specific function and usually stops dividing</t>
  </si>
  <si>
    <t>artificial_differentiation</t>
  </si>
  <si>
    <t>Lab-controlled process where scientists direct stem cells into specific cell types</t>
  </si>
  <si>
    <t>transdifferentiation</t>
  </si>
  <si>
    <t>Direct conversion of one mature cell type into another without becoming a stem cell</t>
  </si>
  <si>
    <t>dedifferentiation</t>
  </si>
  <si>
    <t>Process where specialized cells revert to a less specialized or stem-like state</t>
  </si>
  <si>
    <t>redifferentiation</t>
  </si>
  <si>
    <t>Process where dedifferentiated cells specialize again into a new cell type</t>
  </si>
  <si>
    <t>abnormal_cancerous_differentiation</t>
  </si>
  <si>
    <t>Loss or disruption of normal differentiation patterns, often seen in cancer cells</t>
  </si>
  <si>
    <t>Embryonic</t>
  </si>
  <si>
    <t>Terminal</t>
  </si>
  <si>
    <t>Artificial</t>
  </si>
  <si>
    <t>Transdifferentation</t>
  </si>
  <si>
    <t>Dedifferentiation</t>
  </si>
  <si>
    <t>Redifferentiation</t>
  </si>
  <si>
    <t>Cancerous differentiation</t>
  </si>
  <si>
    <t>att_cell_diff</t>
  </si>
  <si>
    <t>Cell differentiation</t>
  </si>
  <si>
    <t>Sex</t>
  </si>
  <si>
    <t>att_sex</t>
  </si>
  <si>
    <t>Tetracycline</t>
  </si>
  <si>
    <t>tetracycline</t>
  </si>
  <si>
    <t>Tetracycline is a broad-spectrum antibiotic that inhibits bacterial protein synthesis by blocking tRNA from binding to the ribosome</t>
  </si>
  <si>
    <t>decitabine</t>
  </si>
  <si>
    <t>Decitabine</t>
  </si>
  <si>
    <t>Decitabine (i.e., 5-aza-2′-deoxycytidine), sold under the brand name Dacogen among others, acts as a nucleic acid synthesis inhibitor</t>
  </si>
  <si>
    <t>in_cell_culture</t>
  </si>
  <si>
    <t>cell culture</t>
  </si>
  <si>
    <t>Added to the medium</t>
  </si>
  <si>
    <t>in vivo</t>
  </si>
  <si>
    <t>Injected in vivo</t>
  </si>
  <si>
    <t>Batch/Mouse identifier</t>
  </si>
  <si>
    <t>mouseid</t>
  </si>
  <si>
    <t>Mouse ID</t>
  </si>
  <si>
    <t>The mouse ID</t>
  </si>
  <si>
    <t>No interface installed/active</t>
  </si>
  <si>
    <t>None.</t>
  </si>
  <si>
    <t>No column oven installed. No temperature control.</t>
  </si>
  <si>
    <t>son</t>
  </si>
  <si>
    <t>Sonation</t>
  </si>
  <si>
    <t>Sonation column oven</t>
  </si>
  <si>
    <t>att_duration|att_flow_rate</t>
  </si>
  <si>
    <t>kv</t>
  </si>
  <si>
    <t>v</t>
  </si>
  <si>
    <t>att_centrifugation_fraction</t>
  </si>
  <si>
    <t>RF Funnel Level</t>
  </si>
  <si>
    <t>sample|dataset|filter</t>
  </si>
  <si>
    <t>att_rf_level|att_acquisition</t>
  </si>
  <si>
    <t>att_ms:eclips|att_ms:exploris240|att_ms:exploris480|att_ms:qex|att_ms:qexplus</t>
  </si>
  <si>
    <t>vpp</t>
  </si>
  <si>
    <t>Vp-p</t>
  </si>
  <si>
    <t>Volts Peak-to-Peak. An RF amplitude of 45 Vp-p means the voltage rapidly oscillates between +22.5 V and 22.5V.</t>
  </si>
  <si>
    <t>Percentage of maximum. A value of 45 means the lens is running at 45% of its maximum factory-calibrated RF power. This is the setting in the Tune software.</t>
  </si>
  <si>
    <t>CV</t>
  </si>
  <si>
    <t>FAIMS compensation voltage.</t>
  </si>
  <si>
    <t>att_ms_interface:faims</t>
  </si>
  <si>
    <t>Termperature value set to the inner electrode of the FAIMS device</t>
  </si>
  <si>
    <t>Termperature value set to the outer electrode of the FAIMS device</t>
  </si>
  <si>
    <t>Gasflow set to the FAIMS device</t>
  </si>
  <si>
    <t>lmin</t>
  </si>
  <si>
    <t>MS1 Spectra Resolution</t>
  </si>
  <si>
    <t>MS2 Spectra Resolution</t>
  </si>
  <si>
    <t>(at 200m/z)</t>
  </si>
  <si>
    <t>(at 400m/z)</t>
  </si>
  <si>
    <t>nce</t>
  </si>
  <si>
    <t>NCE</t>
  </si>
  <si>
    <t>Normalized collision energy</t>
  </si>
  <si>
    <t>Voltage applied</t>
  </si>
  <si>
    <t>Mass</t>
  </si>
  <si>
    <t>FAIMS</t>
  </si>
  <si>
    <t>C18</t>
  </si>
  <si>
    <t>C8</t>
  </si>
  <si>
    <t>ul</t>
  </si>
  <si>
    <t>ethbr</t>
  </si>
  <si>
    <t>Ethidium bromide (or homidium bromide,[2] chloride salt homidium chloride)[3][4] is an intercalating agent commonly used as a fluorescent tag (nucleic acid stain) in molecular biology laboratories for techniques such as agarose gel electrophoresis. It is commonly abbreviated as EtBr.</t>
  </si>
  <si>
    <t>EtBr</t>
  </si>
  <si>
    <t>att_ms1_resolution|att_ms2_resolution|att_collision_energy|att_masstocharge|att_numspectra|att_isolation_width</t>
  </si>
  <si>
    <t>Da</t>
  </si>
  <si>
    <t>da</t>
  </si>
  <si>
    <t>th</t>
  </si>
  <si>
    <t>Dalton</t>
  </si>
  <si>
    <t>Th</t>
  </si>
  <si>
    <t>Thomsen (m/z)</t>
  </si>
  <si>
    <t>Irradiance</t>
  </si>
  <si>
    <t>att_irradiation_strength</t>
  </si>
  <si>
    <t>Dosimetry</t>
  </si>
  <si>
    <t>Ionizing Radiation. This measures radiation exposure and the amount of energy absorbed by living tissue or other materials</t>
  </si>
  <si>
    <t>electromagnetic</t>
  </si>
  <si>
    <t>att_irradiance_type</t>
  </si>
  <si>
    <t>sievert</t>
  </si>
  <si>
    <t>Sv</t>
  </si>
  <si>
    <t>Sievert</t>
  </si>
  <si>
    <t>gray</t>
  </si>
  <si>
    <t>Gy</t>
  </si>
  <si>
    <t>Gray</t>
  </si>
  <si>
    <t>rad</t>
  </si>
  <si>
    <t>100rad = 1Gray</t>
  </si>
  <si>
    <t>rem</t>
  </si>
  <si>
    <t>100rem = Sv</t>
  </si>
  <si>
    <t>Electromagnetic &amp; Solar Radiation</t>
  </si>
  <si>
    <t>att_irradiation_strength|att_duration</t>
  </si>
  <si>
    <t>dosimetry</t>
  </si>
  <si>
    <t>Strength</t>
  </si>
  <si>
    <t>Passage Number</t>
  </si>
  <si>
    <t>pms</t>
  </si>
  <si>
    <t>PMS</t>
  </si>
  <si>
    <t>Post mitochondrial supernatant</t>
  </si>
  <si>
    <t>percoll_f1</t>
  </si>
  <si>
    <t>percoll_f2</t>
  </si>
  <si>
    <t>percoll_f3</t>
  </si>
  <si>
    <t>f1</t>
  </si>
  <si>
    <t>f2</t>
  </si>
  <si>
    <t>f3</t>
  </si>
  <si>
    <t>100k</t>
  </si>
  <si>
    <t>Pellet of a 100K centrifugation step.</t>
  </si>
  <si>
    <t>F1</t>
  </si>
  <si>
    <t>F2</t>
  </si>
  <si>
    <t>F3</t>
  </si>
  <si>
    <t>Percoll gradient to islate mitochondria (F2). Considered as pure mitochondria.</t>
  </si>
  <si>
    <t>Percoll gradient to islate mitochondria (F1). ER and MAM fraction.</t>
  </si>
  <si>
    <t>Percoll gradient to islate mitochondria (F3). Mitochondria and lysosome fraction.</t>
  </si>
  <si>
    <t>40k</t>
  </si>
  <si>
    <t>Pellet of a 40K centrifugation step. Likely containing ER.</t>
  </si>
  <si>
    <t>att_gene_editing_method:crispr|att_gene_editing_method:crispr_hdr|att_knockdown_technique:grna</t>
  </si>
  <si>
    <t>att_temperature_min</t>
  </si>
  <si>
    <t>att_temperature_max</t>
  </si>
  <si>
    <t>att_experiment:pisa</t>
  </si>
  <si>
    <t>T(min)</t>
  </si>
  <si>
    <t>T(max)</t>
  </si>
  <si>
    <t>att_lamp_intensity|att_exposure_time|att_laser_intensity|att_temperature_min|att_temperature_max</t>
  </si>
  <si>
    <t>Douncer Strokes</t>
  </si>
  <si>
    <t>Protein denaturants and solubilizers</t>
  </si>
  <si>
    <t>att_detergent_sol</t>
  </si>
  <si>
    <t>Urea</t>
  </si>
  <si>
    <t>Non-surfactant chaotropic agent</t>
  </si>
  <si>
    <t>mandatory|filter|dataset|sample</t>
  </si>
  <si>
    <t>filter|sample</t>
  </si>
  <si>
    <t>Brain Region</t>
  </si>
  <si>
    <t>Largest part of the brain; divided into two hemispheres and responsible for higher functions including thought, memory, language, and voluntary movement</t>
  </si>
  <si>
    <t>Frontal lobe</t>
  </si>
  <si>
    <t>Controls executive functions, decision-making, voluntary movement, and personality</t>
  </si>
  <si>
    <t>Prefrontal cortex</t>
  </si>
  <si>
    <t>Involved in planning, impulse control, working memory, and social behaviour</t>
  </si>
  <si>
    <t>Motor cortex</t>
  </si>
  <si>
    <t>Sends signals to muscles to control voluntary body movements</t>
  </si>
  <si>
    <t>Broca's area</t>
  </si>
  <si>
    <t>Located in the left frontal lobe; responsible for speech production and language processing</t>
  </si>
  <si>
    <t>Parietal lobe</t>
  </si>
  <si>
    <t>Processes sensory information such as touch, temperature, pain, and spatial awareness</t>
  </si>
  <si>
    <t>Somatosensory cortex</t>
  </si>
  <si>
    <t>Receives and interprets tactile and proprioceptive signals from the body</t>
  </si>
  <si>
    <t>Temporal lobe</t>
  </si>
  <si>
    <t>Processes auditory information, memory, and language comprehension</t>
  </si>
  <si>
    <t>Wernicke's area</t>
  </si>
  <si>
    <t>Located in the left temporal lobe; essential for understanding spoken and written language</t>
  </si>
  <si>
    <t>Hippocampus</t>
  </si>
  <si>
    <t>Critical for forming new memories and spatial navigation</t>
  </si>
  <si>
    <t>Amygdala</t>
  </si>
  <si>
    <t>Processes emotions, especially fear and threat responses; involved in emotional memory</t>
  </si>
  <si>
    <t>Occipital lobe</t>
  </si>
  <si>
    <t>Primary visual processing centre; interprets colour, shape, and motion</t>
  </si>
  <si>
    <t>Visual cortex</t>
  </si>
  <si>
    <t>Located in the occipital lobe; receives and processes signals from the eyes</t>
  </si>
  <si>
    <t>Coordinates movement, balance, and fine motor control; involved in motor learning</t>
  </si>
  <si>
    <t>Brain stem</t>
  </si>
  <si>
    <t>Controls vital automatic functions such as breathing, heart rate, and sleep-wake cycles</t>
  </si>
  <si>
    <t>Medulla oblongata</t>
  </si>
  <si>
    <t>Part of the brain stem; regulates breathing, blood pressure, and heart rate</t>
  </si>
  <si>
    <t>Relays signals between the cerebellum and cortex; involved in sleep and facial movement</t>
  </si>
  <si>
    <t>Involved in vision, hearing, eye movement, and relaying motor and sensory signals</t>
  </si>
  <si>
    <t>Acts as a relay station, routing sensory and motor signals to the cortex</t>
  </si>
  <si>
    <t>Regulates hunger, thirst, body temperature, hormones, and the circadian rhythm</t>
  </si>
  <si>
    <t>Basal ganglia</t>
  </si>
  <si>
    <t>Involved in movement coordination, habit formation, and reward processing</t>
  </si>
  <si>
    <t>Corpus callosum</t>
  </si>
  <si>
    <t>Bundle of nerve fibres connecting the left and right cerebral hemispheres</t>
  </si>
  <si>
    <t>Insula</t>
  </si>
  <si>
    <t>Involved in self-awareness, interoception, empathy, and pain perception</t>
  </si>
  <si>
    <t>Cingulate cortex</t>
  </si>
  <si>
    <t>Plays a role in emotion regulation, attention, and conflict monitoring</t>
  </si>
  <si>
    <t>Olfactory bulb</t>
  </si>
  <si>
    <t>Processes smell signals sent from the nose to the brain</t>
  </si>
  <si>
    <t>att_brain_region</t>
  </si>
  <si>
    <t>hippocampus</t>
  </si>
  <si>
    <t>amygdala</t>
  </si>
  <si>
    <t>insula</t>
  </si>
  <si>
    <t>frontal_lobe</t>
  </si>
  <si>
    <t>prefrontal_cortex</t>
  </si>
  <si>
    <t>motor_cortex</t>
  </si>
  <si>
    <t>brocas_area</t>
  </si>
  <si>
    <t>parietal_lobe</t>
  </si>
  <si>
    <t>somatosensory_cortex</t>
  </si>
  <si>
    <t>temporal_lobe</t>
  </si>
  <si>
    <t>wernickes_area</t>
  </si>
  <si>
    <t>occipital_lobe</t>
  </si>
  <si>
    <t>visual_cortex</t>
  </si>
  <si>
    <t>brain_stem</t>
  </si>
  <si>
    <t>medulla_oblongata</t>
  </si>
  <si>
    <t>basal_ganglia</t>
  </si>
  <si>
    <t>corpus_callosum</t>
  </si>
  <si>
    <t>cingulate_cortex</t>
  </si>
  <si>
    <t>olfactory_bulb</t>
  </si>
  <si>
    <t>att_organ:heart</t>
  </si>
  <si>
    <t>att_organ:brain</t>
  </si>
  <si>
    <t>att_organ:skmuscle</t>
  </si>
  <si>
    <t>att_brain_region|att_heart_compartment|att_muscle</t>
  </si>
  <si>
    <t>att_knockdown_technique:siRNA</t>
  </si>
  <si>
    <t>att_duration|att_concentration|att_protein|att_grna|att_si_rna</t>
  </si>
  <si>
    <t>att_sirna_sequence</t>
  </si>
  <si>
    <t>nl</t>
  </si>
  <si>
    <t>ml</t>
  </si>
  <si>
    <t>milliliter</t>
  </si>
  <si>
    <t>neaa</t>
  </si>
  <si>
    <t>NEAA</t>
  </si>
  <si>
    <t>Non essential amino acid mix (Alanine, Arginine, Asparagine, Aspartic Acid, Cysteine, Glutamic Acid, Glutamine, Glycine, Proline, Serine, and Tyrosine)</t>
  </si>
  <si>
    <t>Control (no supplementation, or H2O)</t>
  </si>
  <si>
    <t>att_lysis_method:chemical</t>
  </si>
  <si>
    <t>Control condition for an irradiance experiment.</t>
  </si>
  <si>
    <t>Ctrl</t>
  </si>
  <si>
    <t>pelsa</t>
  </si>
  <si>
    <t>PELSA</t>
  </si>
  <si>
    <t>Peptide-centric local stability assay (PELSA)</t>
  </si>
  <si>
    <t>Peptide centrid analysis to detect peptide stability dependency on compounds binding to the specific proteins</t>
  </si>
  <si>
    <t>Interaction Proteome/Immuno precipitation</t>
  </si>
  <si>
    <t>AP- LC-MS/MS - Interaction Proteome. Pulldown using a specific affinity purification.</t>
  </si>
  <si>
    <t>xl</t>
  </si>
  <si>
    <t>xl;crosslink</t>
  </si>
  <si>
    <t>XL</t>
  </si>
  <si>
    <t>Crosslinking experiment</t>
  </si>
  <si>
    <t>MetRS based detection of newly synthesized proteins</t>
  </si>
  <si>
    <t>att_cell_isolation_method</t>
  </si>
  <si>
    <t>Cell specific Isolation</t>
  </si>
  <si>
    <t>None / Bulk Tissue</t>
  </si>
  <si>
    <t>No cell isolation performed; protein extraction from whole tissue or bulk sample.</t>
  </si>
  <si>
    <t>FACS</t>
  </si>
  <si>
    <t>Fluorescence-Activated Cell Sorting using fluorescent antibodies and flow cytometry to isolate specific cell populations.</t>
  </si>
  <si>
    <t>MACS</t>
  </si>
  <si>
    <t>Magnetic-Activated Cell Sorting using antibody-coated magnetic beads to enrich or isolate target cells.</t>
  </si>
  <si>
    <t>Antibody-based Enrichment</t>
  </si>
  <si>
    <t>Generic antibody-mediated cell enrichment when the exact technology (e.g., MACS) is not specified.</t>
  </si>
  <si>
    <t>Positive Selection</t>
  </si>
  <si>
    <t>Isolation based on the presence of one or more surface markers using antibodies.</t>
  </si>
  <si>
    <t>Negative Selection (Depletion)</t>
  </si>
  <si>
    <t>Removal of unwanted cell populations while leaving target cells untouched.</t>
  </si>
  <si>
    <t>Density Gradient Centrifugation</t>
  </si>
  <si>
    <t>Isolation based on cell density (e.g., Ficoll, Percoll).</t>
  </si>
  <si>
    <t>Differential Centrifugation</t>
  </si>
  <si>
    <t>Separation based on cell size and sedimentation properties through sequential centrifugation.</t>
  </si>
  <si>
    <t>Size-based Filtration</t>
  </si>
  <si>
    <t>Isolation using filters or microfluidic devices that separate cells according to size.</t>
  </si>
  <si>
    <t>Microfluidic Cell Sorting</t>
  </si>
  <si>
    <t>Cell isolation using microfluidic chips based on physical or biochemical characteristics.</t>
  </si>
  <si>
    <t>Laser Capture Microdissection (LCM)</t>
  </si>
  <si>
    <t>Isolation of selected cells directly from tissue sections using laser microdissection.</t>
  </si>
  <si>
    <t>Manual Cell Picking</t>
  </si>
  <si>
    <t>Individual cells selected manually using a microscope and micropipette or micromanipulator.</t>
  </si>
  <si>
    <t>Dielectrophoretic Sorting</t>
  </si>
  <si>
    <t>Cell isolation based on dielectric properties in an electric field.</t>
  </si>
  <si>
    <t>Acoustic Cell Sorting</t>
  </si>
  <si>
    <t>Cell isolation using acoustic waves without labeling.</t>
  </si>
  <si>
    <t>Inertial Cell Sorting</t>
  </si>
  <si>
    <t>Label-free microfluidic separation based on cell size and hydrodynamic properties.</t>
  </si>
  <si>
    <t>Affinity-based Capture</t>
  </si>
  <si>
    <t>Cell isolation using affinity ligands (antibodies, aptamers, lectins) immobilized on a surface.</t>
  </si>
  <si>
    <t>Immunopanning</t>
  </si>
  <si>
    <t>Isolation by binding cells to antibody-coated plates.</t>
  </si>
  <si>
    <t>RosetteSep Enrichment</t>
  </si>
  <si>
    <t>Whole blood enrichment using antibody-mediated rosetting prior to density centrifugation.</t>
  </si>
  <si>
    <t>Cell Culture Selection</t>
  </si>
  <si>
    <t>Isolation through selective culture conditions or adherence.</t>
  </si>
  <si>
    <t>Adherence Selection</t>
  </si>
  <si>
    <t>Isolation based on differential adherence of cells to plastic or coated surfaces.</t>
  </si>
  <si>
    <t>Single-cell Isolation</t>
  </si>
  <si>
    <t>Isolation of individual cells irrespective of the underlying technology.</t>
  </si>
  <si>
    <t>Unknown</t>
  </si>
  <si>
    <t>Cell isolation method not reported.</t>
  </si>
  <si>
    <t>facs</t>
  </si>
  <si>
    <t>macs</t>
  </si>
  <si>
    <t>ab_enrichment</t>
  </si>
  <si>
    <t>pos_sel</t>
  </si>
  <si>
    <t>neg_sel</t>
  </si>
  <si>
    <t>density</t>
  </si>
  <si>
    <t>centr</t>
  </si>
  <si>
    <t>size</t>
  </si>
  <si>
    <t>microfluidic_chamber</t>
  </si>
  <si>
    <t>lcm</t>
  </si>
  <si>
    <t>diellectrophoric</t>
  </si>
  <si>
    <t>acoustics</t>
  </si>
  <si>
    <t>intertial</t>
  </si>
  <si>
    <t>affinity_based</t>
  </si>
  <si>
    <t>immunopanning</t>
  </si>
  <si>
    <t>single_cell</t>
  </si>
  <si>
    <t>adherence_selection</t>
  </si>
  <si>
    <t>cell_culture</t>
  </si>
  <si>
    <t>rosette_stop</t>
  </si>
  <si>
    <t>Cell compartment</t>
  </si>
  <si>
    <t>Cell compartment proteomics such as axon / soma isolation</t>
  </si>
  <si>
    <t>comp</t>
  </si>
  <si>
    <t>axon;soma</t>
  </si>
  <si>
    <t>mciroscoop</t>
  </si>
  <si>
    <t>Microscoop Isolation &amp; Enrichment</t>
  </si>
  <si>
    <t>Enrichment and isolation using the microscoop platform.</t>
  </si>
  <si>
    <t>att_purity</t>
  </si>
  <si>
    <t>Purity</t>
  </si>
  <si>
    <t>p.p.m.</t>
  </si>
  <si>
    <t>Parts per million</t>
  </si>
  <si>
    <t>ppm</t>
  </si>
  <si>
    <t>att_faims_cv|att_faims_gasflow|att_faims_inner_temp|att_faims_outer_temp</t>
  </si>
  <si>
    <t>Tmin</t>
  </si>
  <si>
    <t>Tmax</t>
  </si>
  <si>
    <t>natural_variant</t>
  </si>
  <si>
    <t>Natural Variant</t>
  </si>
  <si>
    <t>Variant occurs in an organism.</t>
  </si>
  <si>
    <t>att_gene_engineering:knockin|att_gene_engineering:inducible_expression|att_gene_engineering:stable_expression|att_gene_engineering:natural_variant</t>
  </si>
  <si>
    <t>dmem</t>
  </si>
  <si>
    <t>DMEM</t>
  </si>
  <si>
    <t>High-glucose formulation popular for many adherent cell lines (e.g., HEK293, fibroblasts)</t>
  </si>
  <si>
    <t>rpmi1640</t>
  </si>
  <si>
    <t>RPMI-1640</t>
  </si>
  <si>
    <t>Originally developed for lymphocytes/suspension cells; widely used for hematopoietic and immune cells</t>
  </si>
  <si>
    <t>dmemf12</t>
  </si>
  <si>
    <t>DMEM/F12</t>
  </si>
  <si>
    <t>1:1 mix of DMEM and Ham's F12, good for a broad range of cell types, including some stem cells and primary cultures</t>
  </si>
  <si>
    <t>mem</t>
  </si>
  <si>
    <t>MEM</t>
  </si>
  <si>
    <t>Simpler formulation, used for many primary and diploid cell lines</t>
  </si>
  <si>
    <t>imdm</t>
  </si>
  <si>
    <t>IMDM</t>
  </si>
  <si>
    <t>Enriched version of DMEM, often used for hybridomas and hematopoietic cells</t>
  </si>
  <si>
    <t>hamf10f12</t>
  </si>
  <si>
    <t>Ham's F-10 / F-12</t>
  </si>
  <si>
    <t>Lower serum requirement, used for CHO cells and some primary cultures</t>
  </si>
  <si>
    <t>mccoy5a</t>
  </si>
  <si>
    <t>McCoy's 5A</t>
  </si>
  <si>
    <t>Used for various cell lines including some cancer cell lines (e.g., HCT116)</t>
  </si>
  <si>
    <t>leibovitzl15</t>
  </si>
  <si>
    <t>Leibovitz's L-15</t>
  </si>
  <si>
    <t>CO2-independent, used for cultures grown outside a CO2 incubator</t>
  </si>
  <si>
    <t>optimem</t>
  </si>
  <si>
    <t>Opti-MEM</t>
  </si>
  <si>
    <t>Reduced-serum medium, often used for transfections</t>
  </si>
  <si>
    <t>neurobasal</t>
  </si>
  <si>
    <t>Neurobasal Medium</t>
  </si>
  <si>
    <t>For neuronal cultures (often used with B-27 supplement)</t>
  </si>
  <si>
    <t>mtesr</t>
  </si>
  <si>
    <t>mTeSR</t>
  </si>
  <si>
    <t>For human pluripotent/embryonic stem cells</t>
  </si>
  <si>
    <t>e8medium</t>
  </si>
  <si>
    <t>E8 Medium</t>
  </si>
  <si>
    <t>aimv</t>
  </si>
  <si>
    <t>AIM-V</t>
  </si>
  <si>
    <t>Serum-free medium for T cell/immune cell expansion</t>
  </si>
  <si>
    <t>xvivo</t>
  </si>
  <si>
    <t>X-VIVO</t>
  </si>
  <si>
    <t>gracesinsect</t>
  </si>
  <si>
    <t>Grace's Insect Medium</t>
  </si>
  <si>
    <t>For insect cell lines (Sf9, Sf21) in baculovirus expression systems</t>
  </si>
  <si>
    <t>sf900</t>
  </si>
  <si>
    <t>Sf-900</t>
  </si>
  <si>
    <t>Fetal Bovine Serum (FBS)</t>
  </si>
  <si>
    <t>Provides growth factors, hormones, and proteins for cell growth; most common serum supplement</t>
  </si>
  <si>
    <t>fcs</t>
  </si>
  <si>
    <t>Fetal Calf Serum (FCS)</t>
  </si>
  <si>
    <t>Alternate name for FBS, provides growth factors, hormones, and proteins for cell growth</t>
  </si>
  <si>
    <t>lglutamine</t>
  </si>
  <si>
    <t>L-Glutamine</t>
  </si>
  <si>
    <t>Essential amino acid required for protein synthesis and energy metabolism; often depleted quickly in culture</t>
  </si>
  <si>
    <t>glutamax</t>
  </si>
  <si>
    <t>GlutaMAX</t>
  </si>
  <si>
    <t>Stable dipeptide substitute for L-glutamine, doesn't degrade or produce toxic ammonia byproduct</t>
  </si>
  <si>
    <t>penstrep</t>
  </si>
  <si>
    <t>Penicillin/Streptomycin</t>
  </si>
  <si>
    <t>Common antibiotic combination to prevent bacterial contamination</t>
  </si>
  <si>
    <t>amphotericinb</t>
  </si>
  <si>
    <t>Amphotericin B</t>
  </si>
  <si>
    <t>Antifungal agent used to prevent fungal/yeast contamination</t>
  </si>
  <si>
    <t>sodiumpyruvate</t>
  </si>
  <si>
    <t>Sodium Pyruvate</t>
  </si>
  <si>
    <t>Energy source and intermediate metabolite, supports cell viability</t>
  </si>
  <si>
    <t>Non-Essential Amino Acids (NEAA)</t>
  </si>
  <si>
    <t>Supplements amino acids not synthesized by certain cell lines, reduces metabolic burden</t>
  </si>
  <si>
    <t>hepes</t>
  </si>
  <si>
    <t>HEPES Buffer</t>
  </si>
  <si>
    <t>Maintains stable pH outside CO2-controlled environments</t>
  </si>
  <si>
    <t>bsa</t>
  </si>
  <si>
    <t>Bovine Serum Albumin (BSA)</t>
  </si>
  <si>
    <t>Protein supplement, often used in serum-free formulations for stability and carrier function</t>
  </si>
  <si>
    <t>Promotes glucose uptake and cell growth, common in serum-free media</t>
  </si>
  <si>
    <t>transferrin</t>
  </si>
  <si>
    <t>Transferrin</t>
  </si>
  <si>
    <t>Iron transport protein, supports cell proliferation, common in serum-free formulations</t>
  </si>
  <si>
    <t>selenium</t>
  </si>
  <si>
    <t>Sodium Selenite</t>
  </si>
  <si>
    <t>Trace element/antioxidant, supports cell growth in serum-free media</t>
  </si>
  <si>
    <t>egf</t>
  </si>
  <si>
    <t>Epidermal Growth Factor (EGF)</t>
  </si>
  <si>
    <t>Growth factor promoting proliferation of epithelial and other cell types</t>
  </si>
  <si>
    <t>fgf</t>
  </si>
  <si>
    <t>Fibroblast Growth Factor (FGF)</t>
  </si>
  <si>
    <t>Growth factor supporting proliferation, especially in stem cell culture</t>
  </si>
  <si>
    <t>bfgf</t>
  </si>
  <si>
    <t>Basic Fibroblast Growth Factor (bFGF/FGF2)</t>
  </si>
  <si>
    <t>Key growth factor for maintaining pluripotency in stem cell culture</t>
  </si>
  <si>
    <t>b27</t>
  </si>
  <si>
    <t>B-27 Supplement</t>
  </si>
  <si>
    <t>Serum-free supplement used with Neurobasal Medium for neuronal cultures</t>
  </si>
  <si>
    <t>n2</t>
  </si>
  <si>
    <t>N-2 Supplement</t>
  </si>
  <si>
    <t>Serum-free supplement supporting neuronal and glial cell growth</t>
  </si>
  <si>
    <t>itstm</t>
  </si>
  <si>
    <t>ITS (Insulin-Transferrin-Selenium)</t>
  </si>
  <si>
    <t>Combined serum-free supplement mix supporting cell growth and viability</t>
  </si>
  <si>
    <t>betamercaptoethanol</t>
  </si>
  <si>
    <t>2-Mercaptoethanol (2-ME)</t>
  </si>
  <si>
    <t>Reducing agent, helps protect cells from oxidative stress, common in immune cell culture</t>
  </si>
  <si>
    <t>dexamethasone</t>
  </si>
  <si>
    <t>Dexamethasone</t>
  </si>
  <si>
    <t>Synthetic glucocorticoid, used to induce differentiation or suppress inflammation in culture</t>
  </si>
  <si>
    <t>ascorbicacid</t>
  </si>
  <si>
    <t>Ascorbic Acid (Vitamin C)</t>
  </si>
  <si>
    <t>Antioxidant and cofactor for collagen synthesis, used in various differentiation protocols</t>
  </si>
  <si>
    <t>att_cellculture_supp</t>
  </si>
  <si>
    <t>No supplements added</t>
  </si>
  <si>
    <t>Cell culture supplements</t>
  </si>
  <si>
    <t>att_confluency</t>
  </si>
  <si>
    <t>Confluency</t>
  </si>
  <si>
    <t>Confl.</t>
  </si>
  <si>
    <t>prec</t>
  </si>
  <si>
    <t>Percentage confluency in a cell culture system</t>
  </si>
  <si>
    <t>att_cellculture_supp|att_temperature|att_confluency</t>
  </si>
  <si>
    <t>att_age|att_sex|att_batch_type</t>
  </si>
  <si>
    <t>att_mass|att_duration|att_temperature|att_volume|att_protease|att_digestion_vessel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</si>
</sst>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25">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sz val="10"/>
      <color theme="1"/>
      <name val="Arial"/>
      <family val="2"/>
    </font>
    <font>
      <b/>
      <i/>
      <sz val="11"/>
      <color theme="0"/>
      <name val="Arial"/>
      <family val="2"/>
    </font>
    <font>
      <b/>
      <i/>
      <sz val="11"/>
      <color theme="1"/>
      <name val="Arial"/>
      <family val="2"/>
    </font>
    <font>
      <sz val="11"/>
      <name val="Arial"/>
      <family val="2"/>
    </font>
    <font>
      <sz val="11"/>
      <color theme="1"/>
      <name val="Arial"/>
      <family val="2"/>
    </font>
    <font>
      <sz val="11"/>
      <color rgb="FF000000"/>
      <name val="Arial"/>
      <family val="2"/>
    </font>
    <font>
      <i/>
      <sz val="11"/>
      <color theme="1"/>
      <name val="Arial"/>
      <family val="2"/>
    </font>
    <font>
      <b/>
      <sz val="10"/>
      <color rgb="FF000000"/>
      <name val="Arial"/>
      <family val="2"/>
      <charset val="1"/>
    </font>
    <font>
      <sz val="10"/>
      <color rgb="FF000000"/>
      <name val="Arial"/>
      <family val="2"/>
      <charset val="1"/>
    </font>
    <font>
      <sz val="10"/>
      <color rgb="FF000000"/>
      <name val="Arial"/>
      <family val="2"/>
    </font>
    <font>
      <sz val="12"/>
      <color rgb="FF9876AA"/>
      <name val="Menlo"/>
      <family val="2"/>
    </font>
    <font>
      <sz val="14"/>
      <color rgb="FF000000"/>
      <name val="-webkit-standard"/>
    </font>
    <font>
      <sz val="8"/>
      <name val="Arial"/>
      <family val="2"/>
      <charset val="1"/>
    </font>
    <font>
      <sz val="12"/>
      <color rgb="FF000000"/>
      <name val="Helvetica"/>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46">
    <xf numFmtId="0" fontId="0" fillId="0" borderId="0" xfId="0"/>
    <xf numFmtId="0" fontId="1" fillId="2" borderId="0" xfId="0" applyFont="1" applyFill="1" applyAlignment="1">
      <alignment vertical="center"/>
    </xf>
    <xf numFmtId="0" fontId="1" fillId="2" borderId="0" xfId="0" applyFont="1" applyFill="1"/>
    <xf numFmtId="0" fontId="0" fillId="0" borderId="0" xfId="0" applyAlignment="1">
      <alignment horizontal="left"/>
    </xf>
    <xf numFmtId="0" fontId="0" fillId="0" borderId="0" xfId="0"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0" fontId="6" fillId="0" borderId="0" xfId="0" applyFont="1"/>
    <xf numFmtId="0" fontId="8" fillId="0" borderId="0" xfId="0" applyFont="1"/>
    <xf numFmtId="0" fontId="7" fillId="0" borderId="0" xfId="0" applyFont="1"/>
    <xf numFmtId="0" fontId="9" fillId="0" borderId="0" xfId="0" applyFont="1" applyAlignment="1">
      <alignment horizontal="right" vertical="center"/>
    </xf>
    <xf numFmtId="0" fontId="10" fillId="0" borderId="0" xfId="0" applyFont="1"/>
    <xf numFmtId="0" fontId="0" fillId="0" borderId="0" xfId="0" applyAlignment="1">
      <alignment wrapText="1"/>
    </xf>
    <xf numFmtId="0" fontId="11" fillId="0" borderId="0" xfId="0" applyFont="1" applyAlignment="1">
      <alignment horizontal="right"/>
    </xf>
    <xf numFmtId="0" fontId="12" fillId="2" borderId="0" xfId="0" applyFont="1" applyFill="1" applyAlignment="1">
      <alignment horizontal="right"/>
    </xf>
    <xf numFmtId="0" fontId="13" fillId="2" borderId="0" xfId="0" applyFont="1" applyFill="1" applyAlignment="1">
      <alignment horizontal="right"/>
    </xf>
    <xf numFmtId="0" fontId="14" fillId="0" borderId="0" xfId="0" applyFont="1" applyAlignment="1">
      <alignment horizontal="right"/>
    </xf>
    <xf numFmtId="0" fontId="15" fillId="0" borderId="0" xfId="0" applyFont="1" applyAlignment="1">
      <alignment horizontal="right"/>
    </xf>
    <xf numFmtId="164" fontId="14" fillId="0" borderId="0" xfId="0" applyNumberFormat="1" applyFont="1" applyAlignment="1">
      <alignment horizontal="right"/>
    </xf>
    <xf numFmtId="0" fontId="14" fillId="0" borderId="0" xfId="0" applyFont="1"/>
    <xf numFmtId="0" fontId="14" fillId="0" borderId="0" xfId="0" applyFont="1" applyAlignment="1">
      <alignment horizontal="right" wrapText="1"/>
    </xf>
    <xf numFmtId="0" fontId="14" fillId="0" borderId="0" xfId="0" applyFont="1" applyAlignment="1">
      <alignment horizontal="left"/>
    </xf>
    <xf numFmtId="49" fontId="15" fillId="0" borderId="0" xfId="0" applyNumberFormat="1" applyFont="1" applyAlignment="1">
      <alignment horizontal="right"/>
    </xf>
    <xf numFmtId="0" fontId="16" fillId="0" borderId="0" xfId="0" applyFont="1"/>
    <xf numFmtId="0" fontId="17" fillId="0" borderId="0" xfId="0" applyFont="1" applyAlignment="1">
      <alignment horizontal="right" vertical="center"/>
    </xf>
    <xf numFmtId="0" fontId="15" fillId="0" borderId="0" xfId="0" applyFont="1"/>
    <xf numFmtId="0" fontId="15" fillId="0" borderId="0" xfId="0" applyFont="1" applyAlignment="1">
      <alignment horizontal="left"/>
    </xf>
    <xf numFmtId="0" fontId="13" fillId="2" borderId="0" xfId="0" applyFont="1" applyFill="1" applyAlignment="1">
      <alignment vertical="center"/>
    </xf>
    <xf numFmtId="49" fontId="13" fillId="2" borderId="0" xfId="0" applyNumberFormat="1" applyFont="1" applyFill="1" applyAlignment="1">
      <alignment vertical="center" wrapText="1"/>
    </xf>
    <xf numFmtId="0" fontId="15" fillId="0" borderId="0" xfId="0" applyFont="1" applyAlignment="1">
      <alignment wrapText="1"/>
    </xf>
    <xf numFmtId="0" fontId="18" fillId="0" borderId="0" xfId="0" applyFont="1"/>
    <xf numFmtId="0" fontId="19" fillId="0" borderId="0" xfId="0" applyFont="1"/>
    <xf numFmtId="0" fontId="19" fillId="0" borderId="0" xfId="0" applyFont="1" applyAlignment="1">
      <alignment horizontal="right"/>
    </xf>
    <xf numFmtId="0" fontId="20" fillId="0" borderId="0" xfId="0" applyFont="1" applyAlignment="1">
      <alignment horizontal="right"/>
    </xf>
    <xf numFmtId="0" fontId="11" fillId="0" borderId="0" xfId="0" applyFont="1" applyAlignment="1">
      <alignment horizontal="left"/>
    </xf>
    <xf numFmtId="0" fontId="21" fillId="0" borderId="0" xfId="0" applyFont="1"/>
    <xf numFmtId="0" fontId="22" fillId="0" borderId="0" xfId="0" applyFont="1"/>
    <xf numFmtId="0" fontId="24" fillId="0" borderId="0" xfId="0" applyFont="1"/>
  </cellXfs>
  <cellStyles count="1">
    <cellStyle name="Normal" xfId="0" builtinId="0"/>
  </cellStyles>
  <dxfs count="5">
    <dxf>
      <font>
        <color rgb="FFCC0000"/>
      </font>
    </dxf>
    <dxf>
      <font>
        <color rgb="FFCC0000"/>
      </font>
    </dxf>
    <dxf>
      <font>
        <color rgb="FFCC0000"/>
      </font>
    </dxf>
    <dxf>
      <font>
        <color rgb="FFCC0000"/>
      </font>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W155"/>
  <sheetViews>
    <sheetView tabSelected="1" zoomScale="125" zoomScaleNormal="170" workbookViewId="0">
      <pane ySplit="1" topLeftCell="A36" activePane="bottomLeft" state="frozen"/>
      <selection pane="bottomLeft" activeCell="B58" sqref="B58"/>
    </sheetView>
  </sheetViews>
  <sheetFormatPr baseColWidth="10" defaultColWidth="10.6640625" defaultRowHeight="13"/>
  <cols>
    <col min="1" max="1" width="24.6640625" customWidth="1"/>
    <col min="2" max="2" width="102.33203125" customWidth="1"/>
    <col min="3" max="3" width="106" customWidth="1"/>
    <col min="4" max="4" width="32.6640625" customWidth="1"/>
    <col min="5" max="5" width="13" customWidth="1"/>
    <col min="8" max="8" width="11.6640625" customWidth="1"/>
    <col min="9" max="9" width="11" customWidth="1"/>
    <col min="10" max="10" width="37.6640625" customWidth="1"/>
  </cols>
  <sheetData>
    <row r="1" spans="1:1011" s="1" customFormat="1" ht="38" customHeight="1">
      <c r="A1" s="35" t="s">
        <v>0</v>
      </c>
      <c r="B1" s="35" t="s">
        <v>3994</v>
      </c>
      <c r="C1" s="35" t="s">
        <v>3885</v>
      </c>
      <c r="D1" s="35" t="s">
        <v>1</v>
      </c>
      <c r="E1" s="35" t="s">
        <v>4042</v>
      </c>
      <c r="F1" s="35" t="s">
        <v>2</v>
      </c>
      <c r="G1" s="35" t="s">
        <v>4036</v>
      </c>
      <c r="H1" s="35" t="s">
        <v>3</v>
      </c>
      <c r="I1" s="35" t="s">
        <v>4</v>
      </c>
      <c r="J1" s="35" t="s">
        <v>4035</v>
      </c>
      <c r="K1" s="35" t="s">
        <v>5</v>
      </c>
      <c r="L1" s="36" t="s">
        <v>6</v>
      </c>
      <c r="M1" s="36" t="s">
        <v>7</v>
      </c>
      <c r="N1" s="36" t="s">
        <v>8</v>
      </c>
      <c r="O1" s="36" t="s">
        <v>9</v>
      </c>
      <c r="P1" s="36" t="s">
        <v>10</v>
      </c>
      <c r="Q1" s="36" t="s">
        <v>3774</v>
      </c>
      <c r="R1" s="35" t="s">
        <v>2467</v>
      </c>
      <c r="S1" s="35" t="s">
        <v>4045</v>
      </c>
      <c r="ALQ1" s="2"/>
      <c r="ALR1" s="2"/>
      <c r="ALS1" s="2"/>
      <c r="ALT1" s="2"/>
      <c r="ALU1"/>
      <c r="ALV1"/>
      <c r="ALW1"/>
    </row>
    <row r="2" spans="1:1011" ht="14">
      <c r="A2" s="34" t="s">
        <v>17</v>
      </c>
      <c r="B2" s="34"/>
      <c r="C2" s="34" t="s">
        <v>4443</v>
      </c>
      <c r="D2" s="33" t="s">
        <v>19</v>
      </c>
      <c r="E2" s="33"/>
      <c r="F2" s="33">
        <v>680</v>
      </c>
      <c r="G2" s="33" t="b">
        <v>0</v>
      </c>
      <c r="H2" s="33" t="s">
        <v>20</v>
      </c>
      <c r="I2" s="33">
        <v>2</v>
      </c>
      <c r="J2" s="33" t="s">
        <v>4200</v>
      </c>
      <c r="K2" s="33" t="s">
        <v>2377</v>
      </c>
      <c r="L2" s="33" t="s">
        <v>4065</v>
      </c>
      <c r="M2" s="33" t="s">
        <v>4192</v>
      </c>
      <c r="N2" s="33" t="s">
        <v>4192</v>
      </c>
      <c r="O2" s="33" t="s">
        <v>4199</v>
      </c>
      <c r="P2" s="33" t="s">
        <v>2448</v>
      </c>
      <c r="Q2" s="33" t="s">
        <v>4152</v>
      </c>
      <c r="R2" s="33"/>
      <c r="S2" s="33"/>
    </row>
    <row r="3" spans="1:1011" ht="14">
      <c r="A3" s="34" t="s">
        <v>22</v>
      </c>
      <c r="B3" s="34"/>
      <c r="C3" s="34" t="s">
        <v>4798</v>
      </c>
      <c r="D3" s="33" t="s">
        <v>69</v>
      </c>
      <c r="E3" s="33"/>
      <c r="F3" s="33">
        <v>500</v>
      </c>
      <c r="G3" s="33" t="b">
        <v>0</v>
      </c>
      <c r="H3" s="33" t="s">
        <v>24</v>
      </c>
      <c r="I3" s="33">
        <v>1</v>
      </c>
      <c r="J3" s="33" t="s">
        <v>4197</v>
      </c>
      <c r="K3" s="33" t="s">
        <v>2377</v>
      </c>
      <c r="L3" s="33" t="s">
        <v>4065</v>
      </c>
      <c r="M3" s="33" t="s">
        <v>4192</v>
      </c>
      <c r="N3" s="33" t="s">
        <v>4192</v>
      </c>
      <c r="O3" s="33" t="s">
        <v>4192</v>
      </c>
      <c r="P3" s="33" t="s">
        <v>2448</v>
      </c>
      <c r="Q3" s="33" t="s">
        <v>4192</v>
      </c>
      <c r="R3" s="33"/>
      <c r="S3" s="33"/>
    </row>
    <row r="4" spans="1:1011" ht="14">
      <c r="A4" s="33" t="s">
        <v>76</v>
      </c>
      <c r="B4" s="33"/>
      <c r="C4" s="33" t="s">
        <v>4496</v>
      </c>
      <c r="D4" s="33" t="s">
        <v>77</v>
      </c>
      <c r="E4" s="33"/>
      <c r="F4" s="33">
        <v>500</v>
      </c>
      <c r="G4" s="33" t="b">
        <v>0</v>
      </c>
      <c r="H4" s="33" t="s">
        <v>78</v>
      </c>
      <c r="I4" s="33">
        <v>0</v>
      </c>
      <c r="J4" s="33" t="s">
        <v>4197</v>
      </c>
      <c r="K4" s="33" t="s">
        <v>2377</v>
      </c>
      <c r="L4" s="33" t="s">
        <v>4065</v>
      </c>
      <c r="M4" s="33" t="s">
        <v>4192</v>
      </c>
      <c r="N4" s="33" t="s">
        <v>4192</v>
      </c>
      <c r="O4" s="33" t="s">
        <v>4192</v>
      </c>
      <c r="P4" s="33" t="s">
        <v>2448</v>
      </c>
      <c r="Q4" s="33" t="s">
        <v>4192</v>
      </c>
      <c r="R4" s="33"/>
      <c r="S4" s="33"/>
    </row>
    <row r="5" spans="1:1011" ht="14">
      <c r="A5" s="33" t="s">
        <v>33</v>
      </c>
      <c r="B5" s="33"/>
      <c r="C5" s="33" t="s">
        <v>3887</v>
      </c>
      <c r="D5" s="33" t="s">
        <v>117</v>
      </c>
      <c r="E5" s="33"/>
      <c r="F5" s="33">
        <v>500</v>
      </c>
      <c r="G5" s="33" t="b">
        <v>0</v>
      </c>
      <c r="H5" s="33" t="s">
        <v>20</v>
      </c>
      <c r="I5" s="33">
        <v>2</v>
      </c>
      <c r="J5" s="33" t="s">
        <v>4200</v>
      </c>
      <c r="K5" s="33" t="s">
        <v>2377</v>
      </c>
      <c r="L5" s="33" t="s">
        <v>4065</v>
      </c>
      <c r="M5" s="33" t="s">
        <v>4192</v>
      </c>
      <c r="N5" s="33" t="s">
        <v>4192</v>
      </c>
      <c r="O5" s="33" t="s">
        <v>4199</v>
      </c>
      <c r="P5" s="33" t="s">
        <v>2448</v>
      </c>
      <c r="Q5" s="33" t="s">
        <v>4152</v>
      </c>
      <c r="R5" s="33"/>
      <c r="S5" s="33"/>
    </row>
    <row r="6" spans="1:1011" s="16" customFormat="1" ht="14">
      <c r="A6" s="33" t="s">
        <v>4016</v>
      </c>
      <c r="B6" s="33"/>
      <c r="C6" s="33" t="s">
        <v>3137</v>
      </c>
      <c r="D6" s="33" t="s">
        <v>2671</v>
      </c>
      <c r="E6" s="33"/>
      <c r="F6" s="33">
        <v>500</v>
      </c>
      <c r="G6" s="33" t="b">
        <v>0</v>
      </c>
      <c r="H6" s="33" t="s">
        <v>45</v>
      </c>
      <c r="I6" s="33">
        <v>2</v>
      </c>
      <c r="J6" s="33" t="s">
        <v>4203</v>
      </c>
      <c r="K6" s="33" t="s">
        <v>2377</v>
      </c>
      <c r="L6" s="33" t="s">
        <v>4065</v>
      </c>
      <c r="M6" s="33" t="s">
        <v>4192</v>
      </c>
      <c r="N6" s="33" t="s">
        <v>4192</v>
      </c>
      <c r="O6" s="33" t="s">
        <v>4199</v>
      </c>
      <c r="P6" s="33" t="s">
        <v>2448</v>
      </c>
      <c r="Q6" s="33" t="s">
        <v>4152</v>
      </c>
      <c r="R6" s="33" t="s">
        <v>2467</v>
      </c>
      <c r="S6" s="33"/>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row>
    <row r="7" spans="1:1011" ht="14">
      <c r="A7" s="33" t="s">
        <v>4015</v>
      </c>
      <c r="B7" s="33"/>
      <c r="C7" s="33" t="s">
        <v>4016</v>
      </c>
      <c r="D7" s="33" t="s">
        <v>2670</v>
      </c>
      <c r="E7" s="33"/>
      <c r="F7" s="33">
        <v>600</v>
      </c>
      <c r="G7" s="33" t="b">
        <v>0</v>
      </c>
      <c r="H7" s="33" t="s">
        <v>45</v>
      </c>
      <c r="I7" s="33">
        <v>2</v>
      </c>
      <c r="J7" s="33" t="s">
        <v>4202</v>
      </c>
      <c r="K7" s="33" t="s">
        <v>2377</v>
      </c>
      <c r="L7" s="33" t="s">
        <v>4065</v>
      </c>
      <c r="M7" s="33" t="s">
        <v>4192</v>
      </c>
      <c r="N7" s="33" t="s">
        <v>4192</v>
      </c>
      <c r="O7" s="33" t="s">
        <v>4199</v>
      </c>
      <c r="P7" s="33" t="s">
        <v>2448</v>
      </c>
      <c r="Q7" s="33" t="s">
        <v>4152</v>
      </c>
      <c r="R7" s="33"/>
      <c r="S7" s="33" t="s">
        <v>4045</v>
      </c>
    </row>
    <row r="8" spans="1:1011" ht="14">
      <c r="A8" s="33" t="s">
        <v>18</v>
      </c>
      <c r="B8" s="33"/>
      <c r="C8" s="33" t="s">
        <v>4414</v>
      </c>
      <c r="D8" s="33" t="s">
        <v>118</v>
      </c>
      <c r="E8" s="33"/>
      <c r="F8" s="33">
        <v>710</v>
      </c>
      <c r="G8" s="33" t="b">
        <v>0</v>
      </c>
      <c r="H8" s="33" t="s">
        <v>20</v>
      </c>
      <c r="I8" s="33">
        <v>2</v>
      </c>
      <c r="J8" s="33" t="s">
        <v>4203</v>
      </c>
      <c r="K8" s="33" t="s">
        <v>2377</v>
      </c>
      <c r="L8" s="33" t="s">
        <v>4065</v>
      </c>
      <c r="M8" s="33" t="s">
        <v>4192</v>
      </c>
      <c r="N8" s="33" t="s">
        <v>4192</v>
      </c>
      <c r="O8" s="33" t="s">
        <v>4199</v>
      </c>
      <c r="P8" s="33" t="s">
        <v>2448</v>
      </c>
      <c r="Q8" s="33" t="s">
        <v>4152</v>
      </c>
      <c r="R8" s="33" t="s">
        <v>2467</v>
      </c>
      <c r="S8" s="33"/>
    </row>
    <row r="9" spans="1:1011" ht="14">
      <c r="A9" s="33" t="s">
        <v>3773</v>
      </c>
      <c r="B9" s="33"/>
      <c r="C9" s="33" t="s">
        <v>18</v>
      </c>
      <c r="D9" s="33" t="s">
        <v>115</v>
      </c>
      <c r="E9" s="33"/>
      <c r="F9" s="33">
        <v>720</v>
      </c>
      <c r="G9" s="33" t="b">
        <v>0</v>
      </c>
      <c r="H9" s="33" t="s">
        <v>20</v>
      </c>
      <c r="I9" s="33">
        <v>2</v>
      </c>
      <c r="J9" s="33" t="s">
        <v>4202</v>
      </c>
      <c r="K9" s="33" t="s">
        <v>2377</v>
      </c>
      <c r="L9" s="33" t="s">
        <v>4065</v>
      </c>
      <c r="M9" s="33" t="s">
        <v>4192</v>
      </c>
      <c r="N9" s="33" t="s">
        <v>4192</v>
      </c>
      <c r="O9" s="33" t="s">
        <v>4199</v>
      </c>
      <c r="P9" s="33" t="s">
        <v>2448</v>
      </c>
      <c r="Q9" s="33" t="s">
        <v>4152</v>
      </c>
      <c r="R9" s="33"/>
      <c r="S9" s="33" t="s">
        <v>4045</v>
      </c>
    </row>
    <row r="10" spans="1:1011" ht="14">
      <c r="A10" s="33" t="s">
        <v>135</v>
      </c>
      <c r="B10" s="33"/>
      <c r="C10" s="33"/>
      <c r="D10" s="33" t="s">
        <v>136</v>
      </c>
      <c r="E10" s="33"/>
      <c r="F10" s="33">
        <v>500</v>
      </c>
      <c r="G10" s="33" t="b">
        <v>0</v>
      </c>
      <c r="H10" s="33" t="s">
        <v>78</v>
      </c>
      <c r="I10" s="33">
        <v>0</v>
      </c>
      <c r="J10" s="33" t="s">
        <v>4197</v>
      </c>
      <c r="K10" s="33" t="s">
        <v>2377</v>
      </c>
      <c r="L10" s="33" t="s">
        <v>4065</v>
      </c>
      <c r="M10" s="33" t="s">
        <v>4192</v>
      </c>
      <c r="N10" s="33" t="s">
        <v>4192</v>
      </c>
      <c r="O10" s="33" t="s">
        <v>4192</v>
      </c>
      <c r="P10" s="33" t="s">
        <v>2448</v>
      </c>
      <c r="Q10" s="33" t="s">
        <v>4192</v>
      </c>
      <c r="R10" s="33"/>
      <c r="S10" s="33"/>
    </row>
    <row r="11" spans="1:1011" ht="14">
      <c r="A11" s="34" t="s">
        <v>142</v>
      </c>
      <c r="B11" s="34"/>
      <c r="C11" s="34" t="s">
        <v>3983</v>
      </c>
      <c r="D11" s="34" t="s">
        <v>143</v>
      </c>
      <c r="E11" s="34"/>
      <c r="F11" s="33">
        <v>500</v>
      </c>
      <c r="G11" s="33" t="b">
        <v>0</v>
      </c>
      <c r="H11" s="33" t="s">
        <v>24</v>
      </c>
      <c r="I11" s="33">
        <v>1</v>
      </c>
      <c r="J11" s="33" t="s">
        <v>4197</v>
      </c>
      <c r="K11" s="33" t="s">
        <v>2377</v>
      </c>
      <c r="L11" s="33" t="s">
        <v>4065</v>
      </c>
      <c r="M11" s="33" t="s">
        <v>4192</v>
      </c>
      <c r="N11" s="33" t="s">
        <v>4192</v>
      </c>
      <c r="O11" s="33" t="s">
        <v>4192</v>
      </c>
      <c r="P11" s="33" t="s">
        <v>2448</v>
      </c>
      <c r="Q11" s="33" t="s">
        <v>4192</v>
      </c>
      <c r="R11" s="33"/>
      <c r="S11" s="33"/>
    </row>
    <row r="12" spans="1:1011" ht="14">
      <c r="A12" s="34" t="s">
        <v>3037</v>
      </c>
      <c r="B12" s="34"/>
      <c r="C12" s="34"/>
      <c r="D12" s="33" t="s">
        <v>3036</v>
      </c>
      <c r="E12" s="33"/>
      <c r="F12" s="33">
        <v>500</v>
      </c>
      <c r="G12" s="33" t="b">
        <v>0</v>
      </c>
      <c r="H12" s="33" t="s">
        <v>36</v>
      </c>
      <c r="I12" s="33">
        <v>0</v>
      </c>
      <c r="J12" s="33" t="s">
        <v>4197</v>
      </c>
      <c r="K12" s="33" t="s">
        <v>2377</v>
      </c>
      <c r="L12" s="33" t="s">
        <v>4065</v>
      </c>
      <c r="M12" s="33" t="s">
        <v>4192</v>
      </c>
      <c r="N12" s="33" t="s">
        <v>4192</v>
      </c>
      <c r="O12" s="33" t="s">
        <v>4192</v>
      </c>
      <c r="P12" s="33" t="s">
        <v>2448</v>
      </c>
      <c r="Q12" s="33" t="s">
        <v>4192</v>
      </c>
      <c r="R12" s="33"/>
      <c r="S12" s="33"/>
    </row>
    <row r="13" spans="1:1011" s="16" customFormat="1" ht="14">
      <c r="A13" s="34" t="s">
        <v>147</v>
      </c>
      <c r="B13" s="34"/>
      <c r="C13" s="34"/>
      <c r="D13" s="33" t="s">
        <v>149</v>
      </c>
      <c r="E13" s="33"/>
      <c r="F13" s="33">
        <v>500</v>
      </c>
      <c r="G13" s="33" t="b">
        <v>0</v>
      </c>
      <c r="H13" s="33" t="s">
        <v>28</v>
      </c>
      <c r="I13" s="33">
        <v>3</v>
      </c>
      <c r="J13" s="33" t="s">
        <v>4197</v>
      </c>
      <c r="K13" s="33" t="s">
        <v>2377</v>
      </c>
      <c r="L13" s="33" t="s">
        <v>4065</v>
      </c>
      <c r="M13" s="33" t="s">
        <v>4192</v>
      </c>
      <c r="N13" s="33" t="s">
        <v>4192</v>
      </c>
      <c r="O13" s="33" t="s">
        <v>4192</v>
      </c>
      <c r="P13" s="33" t="s">
        <v>2448</v>
      </c>
      <c r="Q13" s="33" t="s">
        <v>4192</v>
      </c>
      <c r="R13" s="33"/>
      <c r="S13" s="3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row>
    <row r="14" spans="1:1011" s="17" customFormat="1" ht="14">
      <c r="A14" s="34" t="s">
        <v>148</v>
      </c>
      <c r="B14" s="34"/>
      <c r="C14" s="33" t="s">
        <v>4334</v>
      </c>
      <c r="D14" s="33" t="s">
        <v>150</v>
      </c>
      <c r="E14" s="33"/>
      <c r="F14" s="33">
        <v>500</v>
      </c>
      <c r="G14" s="33" t="b">
        <v>0</v>
      </c>
      <c r="H14" s="33" t="s">
        <v>28</v>
      </c>
      <c r="I14" s="33">
        <v>3</v>
      </c>
      <c r="J14" s="33" t="s">
        <v>4197</v>
      </c>
      <c r="K14" s="33" t="s">
        <v>2377</v>
      </c>
      <c r="L14" s="33" t="s">
        <v>4065</v>
      </c>
      <c r="M14" s="33" t="s">
        <v>4192</v>
      </c>
      <c r="N14" s="33" t="s">
        <v>4192</v>
      </c>
      <c r="O14" s="33" t="s">
        <v>4192</v>
      </c>
      <c r="P14" s="33" t="s">
        <v>2448</v>
      </c>
      <c r="Q14" s="33" t="s">
        <v>4192</v>
      </c>
      <c r="R14" s="33"/>
      <c r="S14" s="33"/>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row>
    <row r="15" spans="1:1011" ht="14">
      <c r="A15" s="33" t="s">
        <v>26</v>
      </c>
      <c r="B15" s="33"/>
      <c r="C15" s="33" t="s">
        <v>3991</v>
      </c>
      <c r="D15" s="33" t="s">
        <v>155</v>
      </c>
      <c r="E15" s="33"/>
      <c r="F15" s="33">
        <v>500</v>
      </c>
      <c r="G15" s="33" t="b">
        <v>0</v>
      </c>
      <c r="H15" s="33" t="s">
        <v>28</v>
      </c>
      <c r="I15" s="33">
        <v>3</v>
      </c>
      <c r="J15" s="33" t="s">
        <v>4197</v>
      </c>
      <c r="K15" s="33" t="s">
        <v>2377</v>
      </c>
      <c r="L15" s="33" t="s">
        <v>4065</v>
      </c>
      <c r="M15" s="33" t="s">
        <v>4192</v>
      </c>
      <c r="N15" s="33" t="s">
        <v>4192</v>
      </c>
      <c r="O15" s="33" t="s">
        <v>4192</v>
      </c>
      <c r="P15" s="33" t="s">
        <v>2448</v>
      </c>
      <c r="Q15" s="33" t="s">
        <v>4192</v>
      </c>
      <c r="R15" s="33"/>
      <c r="S15" s="33"/>
    </row>
    <row r="16" spans="1:1011" ht="14">
      <c r="A16" s="34" t="s">
        <v>63</v>
      </c>
      <c r="B16" s="34"/>
      <c r="C16" s="34" t="s">
        <v>4499</v>
      </c>
      <c r="D16" s="33" t="s">
        <v>107</v>
      </c>
      <c r="E16" s="33"/>
      <c r="F16" s="33">
        <v>700</v>
      </c>
      <c r="G16" s="33" t="b">
        <v>0</v>
      </c>
      <c r="H16" s="33" t="s">
        <v>65</v>
      </c>
      <c r="I16" s="33">
        <v>1</v>
      </c>
      <c r="J16" s="33" t="s">
        <v>4502</v>
      </c>
      <c r="K16" s="33" t="s">
        <v>2377</v>
      </c>
      <c r="L16" s="33" t="s">
        <v>4065</v>
      </c>
      <c r="M16" s="33" t="s">
        <v>4192</v>
      </c>
      <c r="N16" s="33" t="s">
        <v>4192</v>
      </c>
      <c r="O16" s="33" t="s">
        <v>4192</v>
      </c>
      <c r="P16" s="33" t="s">
        <v>2448</v>
      </c>
      <c r="Q16" s="33" t="s">
        <v>4192</v>
      </c>
      <c r="R16" s="33"/>
      <c r="S16" s="33"/>
    </row>
    <row r="17" spans="1:1011" ht="14">
      <c r="A17" s="33" t="s">
        <v>3999</v>
      </c>
      <c r="B17" s="33"/>
      <c r="C17" s="33"/>
      <c r="D17" s="34" t="s">
        <v>4009</v>
      </c>
      <c r="E17" s="34" t="s">
        <v>4041</v>
      </c>
      <c r="F17" s="33">
        <v>500</v>
      </c>
      <c r="G17" s="33" t="b">
        <v>1</v>
      </c>
      <c r="H17" s="33" t="s">
        <v>3041</v>
      </c>
      <c r="I17" s="33">
        <v>2</v>
      </c>
      <c r="J17" s="33" t="s">
        <v>4194</v>
      </c>
      <c r="K17" s="33" t="s">
        <v>4192</v>
      </c>
      <c r="L17" s="33" t="s">
        <v>4065</v>
      </c>
      <c r="M17" s="33" t="s">
        <v>4192</v>
      </c>
      <c r="N17" s="33" t="s">
        <v>4192</v>
      </c>
      <c r="O17" s="33" t="s">
        <v>4192</v>
      </c>
      <c r="P17" s="33" t="s">
        <v>2448</v>
      </c>
      <c r="Q17" s="33" t="s">
        <v>4152</v>
      </c>
      <c r="R17" s="33"/>
      <c r="S17" s="33"/>
    </row>
    <row r="18" spans="1:1011" ht="14">
      <c r="A18" s="25" t="s">
        <v>3992</v>
      </c>
      <c r="B18" s="25"/>
      <c r="C18" s="33"/>
      <c r="D18" s="34" t="s">
        <v>3976</v>
      </c>
      <c r="E18" s="34"/>
      <c r="F18" s="33">
        <v>500</v>
      </c>
      <c r="G18" s="33" t="b">
        <v>1</v>
      </c>
      <c r="H18" s="33" t="s">
        <v>3041</v>
      </c>
      <c r="I18" s="33">
        <v>2</v>
      </c>
      <c r="J18" s="33" t="s">
        <v>4194</v>
      </c>
      <c r="K18" s="33" t="s">
        <v>4192</v>
      </c>
      <c r="L18" s="33" t="s">
        <v>4065</v>
      </c>
      <c r="M18" s="33" t="s">
        <v>4192</v>
      </c>
      <c r="N18" s="33" t="s">
        <v>4192</v>
      </c>
      <c r="O18" s="33" t="s">
        <v>4192</v>
      </c>
      <c r="P18" s="33" t="s">
        <v>2448</v>
      </c>
      <c r="Q18" s="33" t="s">
        <v>4152</v>
      </c>
      <c r="R18" s="33"/>
      <c r="S18" s="33"/>
    </row>
    <row r="19" spans="1:1011" ht="14">
      <c r="A19" s="33" t="s">
        <v>3069</v>
      </c>
      <c r="B19" s="33"/>
      <c r="C19" s="33"/>
      <c r="D19" s="33" t="s">
        <v>3131</v>
      </c>
      <c r="E19" s="33"/>
      <c r="F19" s="33">
        <v>500</v>
      </c>
      <c r="G19" s="33" t="b">
        <v>0</v>
      </c>
      <c r="H19" s="33" t="s">
        <v>36</v>
      </c>
      <c r="I19" s="33">
        <v>0</v>
      </c>
      <c r="J19" s="33" t="s">
        <v>4194</v>
      </c>
      <c r="K19" s="33" t="s">
        <v>4192</v>
      </c>
      <c r="L19" s="33" t="s">
        <v>4065</v>
      </c>
      <c r="M19" s="33" t="s">
        <v>4192</v>
      </c>
      <c r="N19" s="33" t="s">
        <v>4192</v>
      </c>
      <c r="O19" s="33" t="s">
        <v>4192</v>
      </c>
      <c r="P19" s="33" t="s">
        <v>2448</v>
      </c>
      <c r="Q19" s="33" t="s">
        <v>4152</v>
      </c>
      <c r="R19" s="33"/>
      <c r="S19" s="33"/>
    </row>
    <row r="20" spans="1:1011" ht="14">
      <c r="A20" s="34" t="s">
        <v>11</v>
      </c>
      <c r="B20" s="34"/>
      <c r="C20" s="34" t="s">
        <v>3985</v>
      </c>
      <c r="D20" s="33" t="s">
        <v>13</v>
      </c>
      <c r="E20" s="33"/>
      <c r="F20" s="33">
        <v>500</v>
      </c>
      <c r="G20" s="33" t="b">
        <v>0</v>
      </c>
      <c r="H20" s="33" t="s">
        <v>15</v>
      </c>
      <c r="I20" s="33">
        <v>0</v>
      </c>
      <c r="J20" s="33" t="s">
        <v>4194</v>
      </c>
      <c r="K20" s="33" t="s">
        <v>4192</v>
      </c>
      <c r="L20" s="33" t="s">
        <v>4065</v>
      </c>
      <c r="M20" s="33" t="s">
        <v>4192</v>
      </c>
      <c r="N20" s="33" t="s">
        <v>4192</v>
      </c>
      <c r="O20" s="33" t="s">
        <v>4192</v>
      </c>
      <c r="P20" s="33" t="s">
        <v>2448</v>
      </c>
      <c r="Q20" s="33" t="s">
        <v>4152</v>
      </c>
      <c r="R20" s="33"/>
      <c r="S20" s="33"/>
    </row>
    <row r="21" spans="1:1011" ht="49" customHeight="1">
      <c r="A21" s="34" t="s">
        <v>189</v>
      </c>
      <c r="B21" s="34"/>
      <c r="C21" s="34" t="s">
        <v>3886</v>
      </c>
      <c r="D21" s="33" t="s">
        <v>3065</v>
      </c>
      <c r="E21" s="33"/>
      <c r="F21" s="33">
        <v>500</v>
      </c>
      <c r="G21" s="33" t="b">
        <v>0</v>
      </c>
      <c r="H21" s="33" t="s">
        <v>15</v>
      </c>
      <c r="I21" s="33">
        <v>0</v>
      </c>
      <c r="J21" s="33" t="s">
        <v>4194</v>
      </c>
      <c r="K21" s="33" t="s">
        <v>4192</v>
      </c>
      <c r="L21" s="33" t="s">
        <v>4065</v>
      </c>
      <c r="M21" s="33" t="s">
        <v>4192</v>
      </c>
      <c r="N21" s="33" t="s">
        <v>4192</v>
      </c>
      <c r="O21" s="33" t="s">
        <v>4192</v>
      </c>
      <c r="P21" s="33" t="s">
        <v>2448</v>
      </c>
      <c r="Q21" s="33" t="s">
        <v>4152</v>
      </c>
      <c r="R21" s="33"/>
      <c r="S21" s="33"/>
    </row>
    <row r="22" spans="1:1011" ht="14">
      <c r="A22" s="25" t="s">
        <v>3990</v>
      </c>
      <c r="B22" s="25"/>
      <c r="C22" s="33"/>
      <c r="D22" s="34" t="s">
        <v>1708</v>
      </c>
      <c r="E22" s="34"/>
      <c r="F22" s="33">
        <v>500</v>
      </c>
      <c r="G22" s="33" t="b">
        <v>0</v>
      </c>
      <c r="H22" s="33" t="s">
        <v>3041</v>
      </c>
      <c r="I22" s="33">
        <v>2</v>
      </c>
      <c r="J22" s="33" t="s">
        <v>4194</v>
      </c>
      <c r="K22" s="33" t="s">
        <v>4192</v>
      </c>
      <c r="L22" s="33" t="s">
        <v>4065</v>
      </c>
      <c r="M22" s="33" t="s">
        <v>4192</v>
      </c>
      <c r="N22" s="33" t="s">
        <v>4192</v>
      </c>
      <c r="O22" s="33" t="s">
        <v>4192</v>
      </c>
      <c r="P22" s="33" t="s">
        <v>2448</v>
      </c>
      <c r="Q22" s="33" t="s">
        <v>4152</v>
      </c>
      <c r="R22" s="33"/>
      <c r="S22" s="33"/>
    </row>
    <row r="23" spans="1:1011" ht="14">
      <c r="A23" s="33" t="s">
        <v>29</v>
      </c>
      <c r="B23" s="33"/>
      <c r="C23" s="33"/>
      <c r="D23" s="33" t="s">
        <v>30</v>
      </c>
      <c r="E23" s="33"/>
      <c r="F23" s="33">
        <v>500</v>
      </c>
      <c r="G23" s="33" t="b">
        <v>1</v>
      </c>
      <c r="H23" s="33" t="s">
        <v>31</v>
      </c>
      <c r="I23" s="33">
        <v>0</v>
      </c>
      <c r="J23" s="33" t="s">
        <v>4196</v>
      </c>
      <c r="K23" s="33" t="s">
        <v>4192</v>
      </c>
      <c r="L23" s="33" t="s">
        <v>4192</v>
      </c>
      <c r="M23" s="33" t="s">
        <v>4192</v>
      </c>
      <c r="N23" s="33" t="s">
        <v>4192</v>
      </c>
      <c r="O23" s="33" t="s">
        <v>4192</v>
      </c>
      <c r="P23" s="33" t="s">
        <v>2448</v>
      </c>
      <c r="Q23" s="33" t="s">
        <v>4152</v>
      </c>
      <c r="R23" s="33"/>
      <c r="S23" s="33"/>
    </row>
    <row r="24" spans="1:1011" ht="14">
      <c r="A24" s="33" t="s">
        <v>4341</v>
      </c>
      <c r="B24" s="33"/>
      <c r="C24" s="33" t="s">
        <v>29</v>
      </c>
      <c r="D24" s="33" t="s">
        <v>4342</v>
      </c>
      <c r="E24" s="33"/>
      <c r="F24" s="33">
        <v>500</v>
      </c>
      <c r="G24" s="33" t="b">
        <v>0</v>
      </c>
      <c r="H24" s="33" t="s">
        <v>36</v>
      </c>
      <c r="I24" s="33">
        <v>0</v>
      </c>
      <c r="J24" s="33" t="s">
        <v>4196</v>
      </c>
      <c r="K24" s="33" t="s">
        <v>4192</v>
      </c>
      <c r="L24" s="33"/>
      <c r="M24" s="33" t="s">
        <v>4192</v>
      </c>
      <c r="N24" s="33" t="s">
        <v>4192</v>
      </c>
      <c r="O24" s="33" t="s">
        <v>4192</v>
      </c>
      <c r="P24" s="33" t="s">
        <v>2448</v>
      </c>
      <c r="Q24" s="33" t="s">
        <v>4152</v>
      </c>
      <c r="R24" s="33"/>
      <c r="S24" s="33"/>
    </row>
    <row r="25" spans="1:1011" ht="14">
      <c r="A25" s="33" t="s">
        <v>34</v>
      </c>
      <c r="B25" s="33"/>
      <c r="C25" s="33"/>
      <c r="D25" s="33" t="s">
        <v>35</v>
      </c>
      <c r="E25" s="33"/>
      <c r="F25" s="33">
        <v>500</v>
      </c>
      <c r="G25" s="33" t="b">
        <v>0</v>
      </c>
      <c r="H25" s="33" t="s">
        <v>36</v>
      </c>
      <c r="I25" s="33">
        <v>0</v>
      </c>
      <c r="J25" s="33" t="s">
        <v>4195</v>
      </c>
      <c r="K25" s="33" t="s">
        <v>4192</v>
      </c>
      <c r="L25" s="33" t="s">
        <v>4065</v>
      </c>
      <c r="M25" s="33" t="s">
        <v>4192</v>
      </c>
      <c r="N25" s="33" t="s">
        <v>4192</v>
      </c>
      <c r="O25" s="33" t="s">
        <v>4192</v>
      </c>
      <c r="P25" s="33" t="s">
        <v>2448</v>
      </c>
      <c r="Q25" s="33" t="s">
        <v>4192</v>
      </c>
      <c r="R25" s="33"/>
      <c r="S25" s="33"/>
    </row>
    <row r="26" spans="1:1011" ht="14">
      <c r="A26" s="33" t="s">
        <v>3067</v>
      </c>
      <c r="B26" s="33"/>
      <c r="C26" t="s">
        <v>4796</v>
      </c>
      <c r="D26" s="33" t="s">
        <v>3068</v>
      </c>
      <c r="E26" s="33"/>
      <c r="F26" s="33">
        <v>700</v>
      </c>
      <c r="G26" s="33" t="b">
        <v>0</v>
      </c>
      <c r="H26" s="33" t="s">
        <v>36</v>
      </c>
      <c r="I26" s="33">
        <v>0</v>
      </c>
      <c r="J26" s="33" t="s">
        <v>4194</v>
      </c>
      <c r="K26" s="33" t="s">
        <v>4192</v>
      </c>
      <c r="L26" s="33" t="s">
        <v>4065</v>
      </c>
      <c r="M26" s="33" t="s">
        <v>4192</v>
      </c>
      <c r="N26" s="33" t="s">
        <v>4192</v>
      </c>
      <c r="O26" s="33" t="s">
        <v>4192</v>
      </c>
      <c r="P26" s="33" t="s">
        <v>2448</v>
      </c>
      <c r="Q26" s="33" t="s">
        <v>4152</v>
      </c>
      <c r="R26" s="33"/>
      <c r="S26" s="33"/>
    </row>
    <row r="27" spans="1:1011" s="16" customFormat="1" ht="14">
      <c r="A27" s="42" t="s">
        <v>4383</v>
      </c>
      <c r="B27"/>
      <c r="C27" t="s">
        <v>3985</v>
      </c>
      <c r="D27" s="33" t="s">
        <v>4384</v>
      </c>
      <c r="E27"/>
      <c r="F27" s="33">
        <v>500</v>
      </c>
      <c r="G27" s="33" t="b">
        <v>0</v>
      </c>
      <c r="H27" s="33" t="s">
        <v>36</v>
      </c>
      <c r="I27" s="33">
        <v>0</v>
      </c>
      <c r="J27" s="33" t="s">
        <v>4196</v>
      </c>
      <c r="K27" s="33" t="s">
        <v>4192</v>
      </c>
      <c r="L27" s="33"/>
      <c r="M27" s="33" t="s">
        <v>4192</v>
      </c>
      <c r="N27" s="33" t="s">
        <v>4192</v>
      </c>
      <c r="O27" s="33" t="s">
        <v>4192</v>
      </c>
      <c r="P27" s="33" t="s">
        <v>2448</v>
      </c>
      <c r="Q27" s="33" t="s">
        <v>4152</v>
      </c>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row>
    <row r="28" spans="1:1011" ht="14">
      <c r="A28" s="33" t="s">
        <v>37</v>
      </c>
      <c r="B28" s="33"/>
      <c r="C28" s="33" t="s">
        <v>4076</v>
      </c>
      <c r="D28" s="33" t="s">
        <v>38</v>
      </c>
      <c r="E28" s="33"/>
      <c r="F28" s="33">
        <v>1000</v>
      </c>
      <c r="G28" s="33" t="b">
        <v>0</v>
      </c>
      <c r="H28" s="33" t="s">
        <v>36</v>
      </c>
      <c r="I28" s="33">
        <v>0</v>
      </c>
      <c r="J28" s="33" t="s">
        <v>4195</v>
      </c>
      <c r="K28" s="33" t="s">
        <v>4192</v>
      </c>
      <c r="L28" s="33" t="s">
        <v>4065</v>
      </c>
      <c r="M28" s="33" t="s">
        <v>4192</v>
      </c>
      <c r="N28" s="33" t="s">
        <v>4192</v>
      </c>
      <c r="O28" s="33" t="s">
        <v>4192</v>
      </c>
      <c r="P28" s="33" t="s">
        <v>2448</v>
      </c>
      <c r="Q28" s="33" t="s">
        <v>4192</v>
      </c>
      <c r="R28" s="33"/>
      <c r="S28" s="33"/>
    </row>
    <row r="29" spans="1:1011" ht="14">
      <c r="A29" s="33" t="s">
        <v>4326</v>
      </c>
      <c r="B29" s="33"/>
      <c r="C29" s="33"/>
      <c r="D29" s="34" t="s">
        <v>4325</v>
      </c>
      <c r="E29" s="34"/>
      <c r="F29" s="33">
        <v>500</v>
      </c>
      <c r="G29" s="33" t="b">
        <v>1</v>
      </c>
      <c r="H29" s="33" t="s">
        <v>40</v>
      </c>
      <c r="I29" s="33">
        <v>0</v>
      </c>
      <c r="J29" s="33" t="s">
        <v>4194</v>
      </c>
      <c r="K29" s="33" t="s">
        <v>4192</v>
      </c>
      <c r="L29" s="33" t="s">
        <v>4065</v>
      </c>
      <c r="M29" s="33" t="s">
        <v>4192</v>
      </c>
      <c r="N29" s="33" t="s">
        <v>4192</v>
      </c>
      <c r="O29" s="33" t="s">
        <v>4192</v>
      </c>
      <c r="P29" s="33" t="s">
        <v>2448</v>
      </c>
      <c r="Q29" s="33" t="s">
        <v>4152</v>
      </c>
      <c r="R29" s="33"/>
      <c r="S29" s="33"/>
    </row>
    <row r="30" spans="1:1011" ht="14">
      <c r="A30" s="34" t="s">
        <v>4321</v>
      </c>
      <c r="B30" s="34"/>
      <c r="C30" s="34" t="s">
        <v>4327</v>
      </c>
      <c r="D30" s="33" t="s">
        <v>4322</v>
      </c>
      <c r="E30" s="33"/>
      <c r="F30" s="33">
        <v>200</v>
      </c>
      <c r="G30" s="33" t="b">
        <v>0</v>
      </c>
      <c r="H30" s="33" t="s">
        <v>40</v>
      </c>
      <c r="I30" s="33">
        <v>1</v>
      </c>
      <c r="J30" s="33" t="s">
        <v>4194</v>
      </c>
      <c r="K30" s="33" t="s">
        <v>4192</v>
      </c>
      <c r="L30" s="33" t="s">
        <v>4065</v>
      </c>
      <c r="M30" s="33" t="s">
        <v>4192</v>
      </c>
      <c r="N30" s="33" t="s">
        <v>4192</v>
      </c>
      <c r="O30" s="33" t="s">
        <v>4192</v>
      </c>
      <c r="P30" s="33" t="s">
        <v>2448</v>
      </c>
      <c r="Q30" s="33" t="s">
        <v>4152</v>
      </c>
      <c r="R30" s="33"/>
      <c r="S30" s="33"/>
    </row>
    <row r="31" spans="1:1011" ht="14">
      <c r="A31" s="34" t="s">
        <v>50</v>
      </c>
      <c r="B31" s="34"/>
      <c r="C31" s="34" t="s">
        <v>3886</v>
      </c>
      <c r="D31" s="33" t="s">
        <v>51</v>
      </c>
      <c r="E31" s="33"/>
      <c r="F31" s="33">
        <v>600</v>
      </c>
      <c r="G31" s="33" t="b">
        <v>0</v>
      </c>
      <c r="H31" s="33" t="s">
        <v>15</v>
      </c>
      <c r="I31" s="33">
        <v>0</v>
      </c>
      <c r="J31" s="33" t="s">
        <v>4194</v>
      </c>
      <c r="K31" s="33" t="s">
        <v>4192</v>
      </c>
      <c r="L31" s="33" t="s">
        <v>4065</v>
      </c>
      <c r="M31" s="33" t="s">
        <v>4192</v>
      </c>
      <c r="N31" s="33" t="s">
        <v>4192</v>
      </c>
      <c r="O31" s="33" t="s">
        <v>4192</v>
      </c>
      <c r="P31" s="33" t="s">
        <v>2448</v>
      </c>
      <c r="Q31" s="33" t="s">
        <v>4152</v>
      </c>
      <c r="R31" s="33"/>
      <c r="S31" s="33"/>
    </row>
    <row r="32" spans="1:1011" ht="14">
      <c r="A32" s="34" t="s">
        <v>2822</v>
      </c>
      <c r="B32" s="34"/>
      <c r="C32" s="34"/>
      <c r="D32" s="33" t="s">
        <v>2834</v>
      </c>
      <c r="E32" s="33"/>
      <c r="F32" s="33">
        <v>500</v>
      </c>
      <c r="G32" s="33" t="b">
        <v>1</v>
      </c>
      <c r="H32" s="33" t="s">
        <v>36</v>
      </c>
      <c r="I32" s="33">
        <v>0</v>
      </c>
      <c r="J32" s="33" t="s">
        <v>4196</v>
      </c>
      <c r="K32" s="33" t="s">
        <v>4192</v>
      </c>
      <c r="L32" s="33" t="s">
        <v>4192</v>
      </c>
      <c r="M32" s="33" t="s">
        <v>4192</v>
      </c>
      <c r="N32" s="33" t="s">
        <v>4192</v>
      </c>
      <c r="O32" s="33" t="s">
        <v>4192</v>
      </c>
      <c r="P32" s="33" t="s">
        <v>2448</v>
      </c>
      <c r="Q32" s="33" t="s">
        <v>4152</v>
      </c>
      <c r="R32" s="33"/>
      <c r="S32" s="33"/>
    </row>
    <row r="33" spans="1:1011" ht="14">
      <c r="A33" s="34" t="s">
        <v>42</v>
      </c>
      <c r="B33" s="34"/>
      <c r="C33" s="34"/>
      <c r="D33" s="34" t="s">
        <v>43</v>
      </c>
      <c r="E33" s="34"/>
      <c r="F33" s="33">
        <v>500</v>
      </c>
      <c r="G33" s="33" t="b">
        <v>1</v>
      </c>
      <c r="H33" s="33" t="s">
        <v>20</v>
      </c>
      <c r="I33" s="33">
        <v>2</v>
      </c>
      <c r="J33" s="33" t="s">
        <v>4194</v>
      </c>
      <c r="K33" s="33" t="s">
        <v>4192</v>
      </c>
      <c r="L33" s="33" t="s">
        <v>4065</v>
      </c>
      <c r="M33" s="33" t="s">
        <v>4192</v>
      </c>
      <c r="N33" s="33" t="s">
        <v>4192</v>
      </c>
      <c r="O33" s="33" t="s">
        <v>4192</v>
      </c>
      <c r="P33" s="33" t="s">
        <v>2448</v>
      </c>
      <c r="Q33" s="33" t="s">
        <v>4152</v>
      </c>
      <c r="R33" s="33"/>
      <c r="S33" s="33"/>
    </row>
    <row r="34" spans="1:1011" ht="14">
      <c r="A34" s="34" t="s">
        <v>3889</v>
      </c>
      <c r="B34" s="34"/>
      <c r="C34" s="34" t="s">
        <v>3890</v>
      </c>
      <c r="D34" s="34" t="s">
        <v>3891</v>
      </c>
      <c r="E34" s="34"/>
      <c r="F34" s="33">
        <v>500</v>
      </c>
      <c r="G34" s="33" t="b">
        <v>0</v>
      </c>
      <c r="H34" s="34" t="s">
        <v>20</v>
      </c>
      <c r="I34" s="33">
        <v>2</v>
      </c>
      <c r="J34" s="33" t="s">
        <v>4201</v>
      </c>
      <c r="K34" s="33" t="s">
        <v>4192</v>
      </c>
      <c r="L34" s="33" t="s">
        <v>4192</v>
      </c>
      <c r="M34" s="33" t="s">
        <v>4192</v>
      </c>
      <c r="N34" s="33" t="s">
        <v>4192</v>
      </c>
      <c r="O34" s="33" t="s">
        <v>4199</v>
      </c>
      <c r="P34" s="33" t="s">
        <v>2448</v>
      </c>
      <c r="Q34" s="33" t="s">
        <v>4152</v>
      </c>
      <c r="R34" s="33"/>
      <c r="S34" s="33"/>
    </row>
    <row r="35" spans="1:1011" ht="14">
      <c r="A35" s="33" t="s">
        <v>47</v>
      </c>
      <c r="B35" s="33"/>
      <c r="C35" s="25"/>
      <c r="D35" s="33" t="s">
        <v>48</v>
      </c>
      <c r="E35" s="33"/>
      <c r="F35" s="33">
        <v>500</v>
      </c>
      <c r="G35" s="33" t="b">
        <v>0</v>
      </c>
      <c r="H35" s="33" t="s">
        <v>45</v>
      </c>
      <c r="I35" s="33">
        <v>2</v>
      </c>
      <c r="J35" s="33" t="s">
        <v>4201</v>
      </c>
      <c r="K35" s="33" t="s">
        <v>4192</v>
      </c>
      <c r="L35" s="33" t="s">
        <v>4192</v>
      </c>
      <c r="M35" s="33" t="s">
        <v>4192</v>
      </c>
      <c r="N35" s="33" t="s">
        <v>4192</v>
      </c>
      <c r="O35" s="33" t="s">
        <v>4199</v>
      </c>
      <c r="P35" s="33" t="s">
        <v>2448</v>
      </c>
      <c r="Q35" s="33" t="s">
        <v>4152</v>
      </c>
      <c r="R35" s="33"/>
      <c r="S35" s="33"/>
    </row>
    <row r="36" spans="1:1011" ht="15">
      <c r="A36" s="33" t="s">
        <v>44</v>
      </c>
      <c r="B36" s="33"/>
      <c r="C36" s="37" t="s">
        <v>4075</v>
      </c>
      <c r="D36" s="33" t="s">
        <v>49</v>
      </c>
      <c r="E36" s="33"/>
      <c r="F36" s="33">
        <v>700</v>
      </c>
      <c r="G36" s="33" t="b">
        <v>0</v>
      </c>
      <c r="H36" s="33" t="s">
        <v>45</v>
      </c>
      <c r="I36" s="33">
        <v>2</v>
      </c>
      <c r="J36" s="33" t="s">
        <v>4204</v>
      </c>
      <c r="K36" s="33" t="s">
        <v>4192</v>
      </c>
      <c r="L36" s="33" t="s">
        <v>4065</v>
      </c>
      <c r="M36" s="33" t="s">
        <v>4192</v>
      </c>
      <c r="N36" s="33" t="s">
        <v>4192</v>
      </c>
      <c r="O36" s="33" t="s">
        <v>4199</v>
      </c>
      <c r="P36" s="33" t="s">
        <v>2448</v>
      </c>
      <c r="Q36" s="33" t="s">
        <v>4152</v>
      </c>
      <c r="R36" s="33"/>
      <c r="S36" s="33"/>
    </row>
    <row r="37" spans="1:1011" ht="14">
      <c r="A37" s="32" t="s">
        <v>3983</v>
      </c>
      <c r="B37" s="32"/>
      <c r="C37" s="33" t="s">
        <v>12</v>
      </c>
      <c r="D37" s="34" t="s">
        <v>4037</v>
      </c>
      <c r="E37" s="34" t="s">
        <v>4039</v>
      </c>
      <c r="F37" s="33">
        <v>500</v>
      </c>
      <c r="G37" s="33" t="b">
        <v>1</v>
      </c>
      <c r="H37" s="33" t="s">
        <v>3041</v>
      </c>
      <c r="I37" s="33">
        <v>2</v>
      </c>
      <c r="J37" s="33" t="s">
        <v>4194</v>
      </c>
      <c r="K37" s="33" t="s">
        <v>4192</v>
      </c>
      <c r="L37" s="33" t="s">
        <v>4065</v>
      </c>
      <c r="M37" s="33" t="s">
        <v>4192</v>
      </c>
      <c r="N37" s="33" t="s">
        <v>4192</v>
      </c>
      <c r="O37" s="33" t="s">
        <v>4192</v>
      </c>
      <c r="P37" s="33" t="s">
        <v>2448</v>
      </c>
      <c r="Q37" s="33" t="s">
        <v>4152</v>
      </c>
      <c r="R37" s="33"/>
      <c r="S37" s="33"/>
    </row>
    <row r="38" spans="1:1011" ht="14">
      <c r="A38" s="34" t="s">
        <v>61</v>
      </c>
      <c r="B38" s="34"/>
      <c r="C38" s="34"/>
      <c r="D38" s="34" t="s">
        <v>3132</v>
      </c>
      <c r="E38" s="34"/>
      <c r="F38" s="33">
        <v>500</v>
      </c>
      <c r="G38" s="33" t="b">
        <v>0</v>
      </c>
      <c r="H38" s="33" t="s">
        <v>20</v>
      </c>
      <c r="I38" s="33">
        <v>2</v>
      </c>
      <c r="J38" s="33" t="s">
        <v>4194</v>
      </c>
      <c r="K38" s="33" t="s">
        <v>4192</v>
      </c>
      <c r="L38" s="33" t="s">
        <v>4065</v>
      </c>
      <c r="M38" s="33" t="s">
        <v>4192</v>
      </c>
      <c r="N38" s="33" t="s">
        <v>4192</v>
      </c>
      <c r="O38" s="33" t="s">
        <v>4192</v>
      </c>
      <c r="P38" s="33" t="s">
        <v>2448</v>
      </c>
      <c r="Q38" s="33" t="s">
        <v>4152</v>
      </c>
      <c r="R38" s="33"/>
      <c r="S38" s="33"/>
    </row>
    <row r="39" spans="1:1011" ht="14">
      <c r="A39" s="34" t="s">
        <v>4499</v>
      </c>
      <c r="B39" s="34" t="s">
        <v>4583</v>
      </c>
      <c r="C39" s="34" t="s">
        <v>3983</v>
      </c>
      <c r="D39" s="34" t="s">
        <v>4498</v>
      </c>
      <c r="E39" s="34"/>
      <c r="F39" s="33">
        <v>450</v>
      </c>
      <c r="G39" s="33" t="b">
        <v>0</v>
      </c>
      <c r="H39" s="33" t="s">
        <v>65</v>
      </c>
      <c r="I39" s="33">
        <v>1</v>
      </c>
      <c r="J39" s="33" t="s">
        <v>4194</v>
      </c>
      <c r="K39" s="33" t="s">
        <v>4192</v>
      </c>
      <c r="L39" s="33" t="s">
        <v>4065</v>
      </c>
      <c r="M39" s="33" t="s">
        <v>4192</v>
      </c>
      <c r="N39" s="33" t="s">
        <v>4192</v>
      </c>
      <c r="O39" s="33" t="s">
        <v>4192</v>
      </c>
      <c r="P39" s="33" t="s">
        <v>2448</v>
      </c>
      <c r="Q39" s="33" t="s">
        <v>4152</v>
      </c>
      <c r="R39" s="33"/>
      <c r="S39" s="33"/>
    </row>
    <row r="40" spans="1:1011" ht="14">
      <c r="A40" s="33" t="s">
        <v>2681</v>
      </c>
      <c r="B40" s="33"/>
      <c r="C40" s="33" t="s">
        <v>3985</v>
      </c>
      <c r="D40" s="33" t="s">
        <v>2682</v>
      </c>
      <c r="E40" s="33"/>
      <c r="F40" s="33">
        <v>500</v>
      </c>
      <c r="G40" s="33" t="b">
        <v>0</v>
      </c>
      <c r="H40" s="33" t="s">
        <v>15</v>
      </c>
      <c r="I40" s="33">
        <v>0</v>
      </c>
      <c r="J40" s="33" t="s">
        <v>4194</v>
      </c>
      <c r="K40" s="33" t="s">
        <v>4192</v>
      </c>
      <c r="L40" s="33" t="s">
        <v>4065</v>
      </c>
      <c r="M40" s="33" t="s">
        <v>4192</v>
      </c>
      <c r="N40" s="33" t="s">
        <v>4192</v>
      </c>
      <c r="O40" s="33" t="s">
        <v>4192</v>
      </c>
      <c r="P40" s="33" t="s">
        <v>2448</v>
      </c>
      <c r="Q40" s="33" t="s">
        <v>4192</v>
      </c>
      <c r="R40" s="33"/>
      <c r="S40" s="33"/>
    </row>
    <row r="41" spans="1:1011" ht="14">
      <c r="A41" s="33" t="s">
        <v>4411</v>
      </c>
      <c r="B41" s="33"/>
      <c r="C41" s="33"/>
      <c r="D41" s="34" t="s">
        <v>3031</v>
      </c>
      <c r="E41" s="34"/>
      <c r="F41" s="33">
        <v>500</v>
      </c>
      <c r="G41" s="33" t="b">
        <v>0</v>
      </c>
      <c r="H41" s="33" t="s">
        <v>40</v>
      </c>
      <c r="I41" s="33">
        <v>0</v>
      </c>
      <c r="J41" s="33" t="s">
        <v>4194</v>
      </c>
      <c r="K41" s="33" t="s">
        <v>4192</v>
      </c>
      <c r="L41" s="33" t="s">
        <v>4065</v>
      </c>
      <c r="M41" s="33" t="s">
        <v>4192</v>
      </c>
      <c r="N41" s="33" t="s">
        <v>4192</v>
      </c>
      <c r="O41" s="33" t="s">
        <v>4192</v>
      </c>
      <c r="P41" s="33" t="s">
        <v>2448</v>
      </c>
      <c r="Q41" s="33" t="s">
        <v>4152</v>
      </c>
      <c r="R41" s="33"/>
      <c r="S41" s="33"/>
    </row>
    <row r="42" spans="1:1011" ht="14">
      <c r="A42" s="34" t="s">
        <v>4005</v>
      </c>
      <c r="B42" s="34"/>
      <c r="C42" s="34" t="s">
        <v>3989</v>
      </c>
      <c r="D42" s="34" t="s">
        <v>4006</v>
      </c>
      <c r="E42" s="34"/>
      <c r="F42" s="33">
        <v>450</v>
      </c>
      <c r="G42" s="33" t="b">
        <v>0</v>
      </c>
      <c r="H42" s="33" t="s">
        <v>24</v>
      </c>
      <c r="I42" s="33">
        <v>1</v>
      </c>
      <c r="J42" s="33" t="s">
        <v>4195</v>
      </c>
      <c r="K42" s="33" t="s">
        <v>4192</v>
      </c>
      <c r="L42" s="33" t="s">
        <v>4065</v>
      </c>
      <c r="M42" s="33" t="s">
        <v>4192</v>
      </c>
      <c r="N42" s="33" t="s">
        <v>4192</v>
      </c>
      <c r="O42" s="33" t="s">
        <v>4192</v>
      </c>
      <c r="P42" s="33" t="s">
        <v>2448</v>
      </c>
      <c r="Q42" s="33" t="s">
        <v>4192</v>
      </c>
      <c r="R42" s="33"/>
      <c r="S42" s="33"/>
    </row>
    <row r="43" spans="1:1011" s="17" customFormat="1" ht="14">
      <c r="A43" s="33" t="s">
        <v>72</v>
      </c>
      <c r="B43" s="33"/>
      <c r="C43" s="33"/>
      <c r="D43" s="33" t="s">
        <v>73</v>
      </c>
      <c r="E43" s="33"/>
      <c r="F43" s="33">
        <v>500</v>
      </c>
      <c r="G43" s="33" t="b">
        <v>0</v>
      </c>
      <c r="H43" s="33" t="s">
        <v>36</v>
      </c>
      <c r="I43" s="33">
        <v>0</v>
      </c>
      <c r="J43" s="33" t="s">
        <v>4195</v>
      </c>
      <c r="K43" s="33" t="s">
        <v>4192</v>
      </c>
      <c r="L43" s="33" t="s">
        <v>4065</v>
      </c>
      <c r="M43" s="33" t="s">
        <v>4192</v>
      </c>
      <c r="N43" s="33" t="s">
        <v>4192</v>
      </c>
      <c r="O43" s="33" t="s">
        <v>4192</v>
      </c>
      <c r="P43" s="33" t="s">
        <v>2448</v>
      </c>
      <c r="Q43" s="33" t="s">
        <v>4192</v>
      </c>
      <c r="R43" s="33"/>
      <c r="S43" s="3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row>
    <row r="44" spans="1:1011" ht="14">
      <c r="A44" s="25" t="s">
        <v>3985</v>
      </c>
      <c r="B44" s="25"/>
      <c r="C44" s="33"/>
      <c r="D44" s="34" t="s">
        <v>3913</v>
      </c>
      <c r="E44" s="34" t="s">
        <v>4038</v>
      </c>
      <c r="F44" s="33">
        <v>550</v>
      </c>
      <c r="G44" s="33" t="b">
        <v>1</v>
      </c>
      <c r="H44" s="33" t="s">
        <v>3041</v>
      </c>
      <c r="I44" s="33">
        <v>2</v>
      </c>
      <c r="J44" s="33" t="s">
        <v>4194</v>
      </c>
      <c r="K44" s="33" t="s">
        <v>4192</v>
      </c>
      <c r="L44" s="33" t="s">
        <v>4065</v>
      </c>
      <c r="M44" s="33" t="s">
        <v>4192</v>
      </c>
      <c r="N44" s="33" t="s">
        <v>4192</v>
      </c>
      <c r="O44" s="33" t="s">
        <v>4192</v>
      </c>
      <c r="P44" s="33" t="s">
        <v>2448</v>
      </c>
      <c r="Q44" s="33" t="s">
        <v>4152</v>
      </c>
      <c r="R44" s="33"/>
      <c r="S44" s="33"/>
    </row>
    <row r="45" spans="1:1011" ht="14">
      <c r="A45" s="33" t="s">
        <v>4216</v>
      </c>
      <c r="B45" s="33" t="s">
        <v>4191</v>
      </c>
      <c r="C45" s="33"/>
      <c r="D45" s="33" t="s">
        <v>4217</v>
      </c>
      <c r="E45" s="33"/>
      <c r="F45" s="33">
        <v>500</v>
      </c>
      <c r="G45" s="33" t="b">
        <v>0</v>
      </c>
      <c r="H45" s="33" t="s">
        <v>36</v>
      </c>
      <c r="I45" s="33">
        <v>0</v>
      </c>
      <c r="J45" s="33" t="s">
        <v>4194</v>
      </c>
      <c r="K45" s="33" t="s">
        <v>4192</v>
      </c>
      <c r="L45" s="33" t="s">
        <v>4065</v>
      </c>
      <c r="M45" s="33" t="s">
        <v>4192</v>
      </c>
      <c r="N45" s="33" t="s">
        <v>4192</v>
      </c>
      <c r="O45" s="33" t="s">
        <v>4192</v>
      </c>
      <c r="P45" s="33" t="s">
        <v>2448</v>
      </c>
      <c r="Q45" s="33" t="s">
        <v>4152</v>
      </c>
      <c r="R45" s="33"/>
      <c r="S45" s="33"/>
    </row>
    <row r="46" spans="1:1011" ht="14">
      <c r="A46" s="33" t="s">
        <v>163</v>
      </c>
      <c r="B46" s="33"/>
      <c r="C46" s="33"/>
      <c r="D46" s="33" t="s">
        <v>2719</v>
      </c>
      <c r="E46" s="33"/>
      <c r="F46" s="33">
        <v>800</v>
      </c>
      <c r="G46" s="33" t="b">
        <v>0</v>
      </c>
      <c r="H46" s="33" t="s">
        <v>164</v>
      </c>
      <c r="I46" s="33">
        <v>0</v>
      </c>
      <c r="J46" s="33" t="s">
        <v>164</v>
      </c>
      <c r="K46" s="33" t="s">
        <v>4192</v>
      </c>
      <c r="L46" s="33" t="s">
        <v>4192</v>
      </c>
      <c r="M46" s="33" t="s">
        <v>164</v>
      </c>
      <c r="N46" s="33" t="s">
        <v>4192</v>
      </c>
      <c r="O46" s="33" t="s">
        <v>4192</v>
      </c>
      <c r="P46" s="33" t="s">
        <v>4192</v>
      </c>
      <c r="Q46" s="33" t="s">
        <v>4192</v>
      </c>
      <c r="R46" s="33"/>
      <c r="S46" s="33"/>
    </row>
    <row r="47" spans="1:1011" ht="14">
      <c r="A47" s="33" t="s">
        <v>91</v>
      </c>
      <c r="B47" s="33"/>
      <c r="C47" s="33" t="s">
        <v>4188</v>
      </c>
      <c r="D47" s="33" t="s">
        <v>93</v>
      </c>
      <c r="E47" s="33"/>
      <c r="F47" s="33">
        <v>520</v>
      </c>
      <c r="G47" s="33" t="b">
        <v>0</v>
      </c>
      <c r="H47" s="33" t="s">
        <v>94</v>
      </c>
      <c r="I47" s="33">
        <v>0</v>
      </c>
      <c r="J47" s="33" t="s">
        <v>4205</v>
      </c>
      <c r="K47" s="33" t="s">
        <v>4192</v>
      </c>
      <c r="L47" s="33" t="s">
        <v>4065</v>
      </c>
      <c r="M47" s="33" t="s">
        <v>4192</v>
      </c>
      <c r="N47" s="33" t="s">
        <v>94</v>
      </c>
      <c r="O47" s="33" t="s">
        <v>4192</v>
      </c>
      <c r="P47" s="33" t="s">
        <v>4192</v>
      </c>
      <c r="Q47" s="33" t="s">
        <v>4192</v>
      </c>
      <c r="R47" s="33"/>
      <c r="S47" s="33"/>
    </row>
    <row r="48" spans="1:1011" ht="14">
      <c r="A48" s="33" t="s">
        <v>3052</v>
      </c>
      <c r="B48" s="33"/>
      <c r="C48" s="33"/>
      <c r="D48" s="33" t="s">
        <v>3051</v>
      </c>
      <c r="E48" s="33"/>
      <c r="F48" s="33">
        <v>500</v>
      </c>
      <c r="G48" s="33" t="b">
        <v>0</v>
      </c>
      <c r="H48" s="33" t="s">
        <v>36</v>
      </c>
      <c r="I48" s="33">
        <v>0</v>
      </c>
      <c r="J48" s="33" t="s">
        <v>4194</v>
      </c>
      <c r="K48" s="33" t="s">
        <v>4192</v>
      </c>
      <c r="L48" s="33" t="s">
        <v>4065</v>
      </c>
      <c r="M48" s="33" t="s">
        <v>4192</v>
      </c>
      <c r="N48" s="33" t="s">
        <v>4192</v>
      </c>
      <c r="O48" s="33" t="s">
        <v>4192</v>
      </c>
      <c r="P48" s="33" t="s">
        <v>2448</v>
      </c>
      <c r="Q48" s="33" t="s">
        <v>4152</v>
      </c>
      <c r="R48" s="33"/>
      <c r="S48" s="33"/>
    </row>
    <row r="49" spans="1:19" ht="14">
      <c r="A49" s="34" t="s">
        <v>74</v>
      </c>
      <c r="B49" s="34"/>
      <c r="C49" s="34" t="s">
        <v>3985</v>
      </c>
      <c r="D49" s="33" t="s">
        <v>75</v>
      </c>
      <c r="E49" s="33"/>
      <c r="F49" s="33">
        <v>500</v>
      </c>
      <c r="G49" s="33" t="b">
        <v>0</v>
      </c>
      <c r="H49" s="33" t="s">
        <v>15</v>
      </c>
      <c r="I49" s="33">
        <v>0</v>
      </c>
      <c r="J49" s="33" t="s">
        <v>4194</v>
      </c>
      <c r="K49" s="33" t="s">
        <v>4192</v>
      </c>
      <c r="L49" s="33" t="s">
        <v>4065</v>
      </c>
      <c r="M49" s="33" t="s">
        <v>4192</v>
      </c>
      <c r="N49" s="33" t="s">
        <v>4192</v>
      </c>
      <c r="O49" s="33" t="s">
        <v>4192</v>
      </c>
      <c r="P49" s="33" t="s">
        <v>2448</v>
      </c>
      <c r="Q49" s="33" t="s">
        <v>4192</v>
      </c>
      <c r="R49" s="33"/>
      <c r="S49" s="33"/>
    </row>
    <row r="50" spans="1:19" ht="14">
      <c r="A50" s="33" t="s">
        <v>4307</v>
      </c>
      <c r="B50" s="33" t="s">
        <v>4191</v>
      </c>
      <c r="C50" s="33"/>
      <c r="D50" s="33" t="s">
        <v>4308</v>
      </c>
      <c r="E50" s="33"/>
      <c r="F50" s="33">
        <v>500</v>
      </c>
      <c r="G50" s="33" t="b">
        <v>1</v>
      </c>
      <c r="H50" s="33" t="s">
        <v>36</v>
      </c>
      <c r="I50" s="33">
        <v>0</v>
      </c>
      <c r="J50" s="33" t="s">
        <v>4194</v>
      </c>
      <c r="K50" s="33" t="s">
        <v>4192</v>
      </c>
      <c r="L50" s="33" t="s">
        <v>4065</v>
      </c>
      <c r="M50" s="33" t="s">
        <v>4192</v>
      </c>
      <c r="N50" s="33" t="s">
        <v>4192</v>
      </c>
      <c r="O50" s="33" t="s">
        <v>4192</v>
      </c>
      <c r="P50" s="33" t="s">
        <v>2448</v>
      </c>
      <c r="Q50" s="33" t="s">
        <v>4152</v>
      </c>
      <c r="R50" s="33"/>
      <c r="S50" s="33"/>
    </row>
    <row r="51" spans="1:19" ht="14">
      <c r="A51" s="33" t="s">
        <v>4122</v>
      </c>
      <c r="B51" s="33" t="s">
        <v>4123</v>
      </c>
      <c r="C51" s="33"/>
      <c r="D51" s="33" t="s">
        <v>4124</v>
      </c>
      <c r="E51" s="33"/>
      <c r="F51" s="33">
        <v>500</v>
      </c>
      <c r="G51" s="33" t="b">
        <v>0</v>
      </c>
      <c r="H51" s="33" t="s">
        <v>94</v>
      </c>
      <c r="I51" s="33">
        <v>0</v>
      </c>
      <c r="J51" s="33" t="s">
        <v>4205</v>
      </c>
      <c r="K51" s="33" t="s">
        <v>4192</v>
      </c>
      <c r="L51" s="33" t="s">
        <v>4065</v>
      </c>
      <c r="M51" s="33" t="s">
        <v>4192</v>
      </c>
      <c r="N51" s="33" t="s">
        <v>94</v>
      </c>
      <c r="O51" s="33"/>
      <c r="P51" s="33"/>
      <c r="Q51" s="33"/>
      <c r="R51" s="33"/>
      <c r="S51" s="33"/>
    </row>
    <row r="52" spans="1:19" ht="14">
      <c r="A52" s="33" t="s">
        <v>79</v>
      </c>
      <c r="B52" s="33" t="s">
        <v>4422</v>
      </c>
      <c r="C52" s="33"/>
      <c r="D52" s="34" t="s">
        <v>3049</v>
      </c>
      <c r="E52" s="34"/>
      <c r="F52" s="33">
        <v>500</v>
      </c>
      <c r="G52" s="33" t="b">
        <v>1</v>
      </c>
      <c r="H52" s="33" t="s">
        <v>20</v>
      </c>
      <c r="I52" s="33">
        <v>2</v>
      </c>
      <c r="J52" s="33" t="s">
        <v>4194</v>
      </c>
      <c r="K52" s="33" t="s">
        <v>4192</v>
      </c>
      <c r="L52" s="33" t="s">
        <v>4065</v>
      </c>
      <c r="M52" s="33" t="s">
        <v>4192</v>
      </c>
      <c r="N52" s="33" t="s">
        <v>4192</v>
      </c>
      <c r="O52" s="33" t="s">
        <v>4192</v>
      </c>
      <c r="P52" s="33" t="s">
        <v>2448</v>
      </c>
      <c r="Q52" s="33" t="s">
        <v>4152</v>
      </c>
      <c r="R52" s="33"/>
      <c r="S52" s="33"/>
    </row>
    <row r="53" spans="1:19" ht="14">
      <c r="A53" s="33" t="s">
        <v>81</v>
      </c>
      <c r="B53" s="33" t="s">
        <v>4422</v>
      </c>
      <c r="C53" s="33"/>
      <c r="D53" s="34" t="s">
        <v>3129</v>
      </c>
      <c r="E53" s="34"/>
      <c r="F53" s="33">
        <v>500</v>
      </c>
      <c r="G53" s="33" t="b">
        <v>1</v>
      </c>
      <c r="H53" s="33" t="s">
        <v>20</v>
      </c>
      <c r="I53" s="33">
        <v>2</v>
      </c>
      <c r="J53" s="33" t="s">
        <v>4194</v>
      </c>
      <c r="K53" s="33" t="s">
        <v>4192</v>
      </c>
      <c r="L53" s="33" t="s">
        <v>4065</v>
      </c>
      <c r="M53" s="33" t="s">
        <v>4192</v>
      </c>
      <c r="N53" s="33" t="s">
        <v>4192</v>
      </c>
      <c r="O53" s="33" t="s">
        <v>4192</v>
      </c>
      <c r="P53" s="33" t="s">
        <v>2448</v>
      </c>
      <c r="Q53" s="33" t="s">
        <v>4152</v>
      </c>
      <c r="R53" s="33"/>
      <c r="S53" s="33"/>
    </row>
    <row r="54" spans="1:19" ht="14">
      <c r="A54" s="33" t="s">
        <v>82</v>
      </c>
      <c r="B54" s="33" t="s">
        <v>4422</v>
      </c>
      <c r="C54" s="34"/>
      <c r="D54" s="34" t="s">
        <v>83</v>
      </c>
      <c r="E54" s="34"/>
      <c r="F54" s="33">
        <v>500</v>
      </c>
      <c r="G54" s="33" t="b">
        <v>1</v>
      </c>
      <c r="H54" s="33" t="s">
        <v>20</v>
      </c>
      <c r="I54" s="33">
        <v>2</v>
      </c>
      <c r="J54" s="33" t="s">
        <v>4194</v>
      </c>
      <c r="K54" s="33" t="s">
        <v>4192</v>
      </c>
      <c r="L54" s="33" t="s">
        <v>4065</v>
      </c>
      <c r="M54" s="33" t="s">
        <v>4192</v>
      </c>
      <c r="N54" s="33" t="s">
        <v>4192</v>
      </c>
      <c r="O54" s="33" t="s">
        <v>4192</v>
      </c>
      <c r="P54" s="33" t="s">
        <v>2448</v>
      </c>
      <c r="Q54" s="33" t="s">
        <v>4152</v>
      </c>
      <c r="R54" s="33"/>
      <c r="S54" s="33"/>
    </row>
    <row r="55" spans="1:19" ht="14">
      <c r="A55" s="33" t="s">
        <v>84</v>
      </c>
      <c r="B55" s="33" t="s">
        <v>4422</v>
      </c>
      <c r="C55" s="34"/>
      <c r="D55" s="34" t="s">
        <v>85</v>
      </c>
      <c r="E55" s="34"/>
      <c r="F55" s="33">
        <v>500</v>
      </c>
      <c r="G55" s="33" t="b">
        <v>1</v>
      </c>
      <c r="H55" s="33" t="s">
        <v>20</v>
      </c>
      <c r="I55" s="33">
        <v>2</v>
      </c>
      <c r="J55" s="33" t="s">
        <v>4194</v>
      </c>
      <c r="K55" s="33" t="s">
        <v>4192</v>
      </c>
      <c r="L55" s="33" t="s">
        <v>4065</v>
      </c>
      <c r="M55" s="33" t="s">
        <v>4192</v>
      </c>
      <c r="N55" s="33" t="s">
        <v>4192</v>
      </c>
      <c r="O55" s="33" t="s">
        <v>4192</v>
      </c>
      <c r="P55" s="33" t="s">
        <v>2448</v>
      </c>
      <c r="Q55" s="33" t="s">
        <v>4152</v>
      </c>
      <c r="R55" s="33"/>
      <c r="S55" s="33"/>
    </row>
    <row r="56" spans="1:19" ht="14">
      <c r="A56" s="34" t="s">
        <v>86</v>
      </c>
      <c r="B56" s="34"/>
      <c r="C56" s="34"/>
      <c r="D56" s="33" t="s">
        <v>87</v>
      </c>
      <c r="E56" s="33"/>
      <c r="F56" s="33">
        <v>500</v>
      </c>
      <c r="G56" s="33" t="b">
        <v>0</v>
      </c>
      <c r="H56" s="33" t="s">
        <v>28</v>
      </c>
      <c r="I56" s="33">
        <v>0</v>
      </c>
      <c r="J56" s="33" t="s">
        <v>4195</v>
      </c>
      <c r="K56" s="33" t="s">
        <v>4192</v>
      </c>
      <c r="L56" s="33" t="s">
        <v>4065</v>
      </c>
      <c r="M56" s="33" t="s">
        <v>4192</v>
      </c>
      <c r="N56" s="33" t="s">
        <v>4192</v>
      </c>
      <c r="O56" s="33" t="s">
        <v>4192</v>
      </c>
      <c r="P56" s="33" t="s">
        <v>2448</v>
      </c>
      <c r="Q56" s="33" t="s">
        <v>4192</v>
      </c>
      <c r="R56" s="33"/>
      <c r="S56" s="33"/>
    </row>
    <row r="57" spans="1:19" ht="14">
      <c r="A57" s="33" t="s">
        <v>165</v>
      </c>
      <c r="B57" s="33"/>
      <c r="C57" s="33"/>
      <c r="D57" s="33" t="s">
        <v>166</v>
      </c>
      <c r="E57" s="33"/>
      <c r="F57" s="33">
        <v>700</v>
      </c>
      <c r="G57" s="33" t="b">
        <v>0</v>
      </c>
      <c r="H57" s="33" t="s">
        <v>164</v>
      </c>
      <c r="I57" s="33">
        <v>0</v>
      </c>
      <c r="J57" s="33" t="s">
        <v>164</v>
      </c>
      <c r="K57" s="33" t="s">
        <v>4192</v>
      </c>
      <c r="L57" s="33" t="s">
        <v>4192</v>
      </c>
      <c r="M57" s="33" t="s">
        <v>164</v>
      </c>
      <c r="N57" s="33" t="s">
        <v>4192</v>
      </c>
      <c r="O57" s="33" t="s">
        <v>4192</v>
      </c>
      <c r="P57" s="33" t="s">
        <v>4192</v>
      </c>
      <c r="Q57" s="33" t="s">
        <v>4192</v>
      </c>
      <c r="R57" s="33"/>
      <c r="S57" s="33"/>
    </row>
    <row r="58" spans="1:19" ht="14">
      <c r="A58" s="25" t="s">
        <v>3984</v>
      </c>
      <c r="B58" s="25"/>
      <c r="C58" s="33"/>
      <c r="D58" s="34" t="s">
        <v>3906</v>
      </c>
      <c r="E58" s="34" t="s">
        <v>2678</v>
      </c>
      <c r="F58" s="33">
        <v>500</v>
      </c>
      <c r="G58" s="33" t="b">
        <v>1</v>
      </c>
      <c r="H58" s="33" t="s">
        <v>3041</v>
      </c>
      <c r="I58" s="33">
        <v>2</v>
      </c>
      <c r="J58" s="33" t="s">
        <v>4194</v>
      </c>
      <c r="K58" s="33" t="s">
        <v>4192</v>
      </c>
      <c r="L58" s="33" t="s">
        <v>4065</v>
      </c>
      <c r="M58" s="33" t="s">
        <v>4192</v>
      </c>
      <c r="N58" s="33" t="s">
        <v>4192</v>
      </c>
      <c r="O58" s="33" t="s">
        <v>4192</v>
      </c>
      <c r="P58" s="33" t="s">
        <v>2448</v>
      </c>
      <c r="Q58" s="33" t="s">
        <v>4152</v>
      </c>
      <c r="R58" s="33"/>
      <c r="S58" s="33"/>
    </row>
    <row r="59" spans="1:19" ht="14">
      <c r="A59" s="25" t="s">
        <v>1115</v>
      </c>
      <c r="B59" s="25"/>
      <c r="C59" s="33"/>
      <c r="D59" s="34" t="s">
        <v>3969</v>
      </c>
      <c r="E59" s="34"/>
      <c r="F59" s="33">
        <v>500</v>
      </c>
      <c r="G59" s="33" t="b">
        <v>1</v>
      </c>
      <c r="H59" s="33" t="s">
        <v>3041</v>
      </c>
      <c r="I59" s="33">
        <v>2</v>
      </c>
      <c r="J59" s="33" t="s">
        <v>4194</v>
      </c>
      <c r="K59" s="33" t="s">
        <v>4192</v>
      </c>
      <c r="L59" s="33" t="s">
        <v>4065</v>
      </c>
      <c r="M59" s="33" t="s">
        <v>4192</v>
      </c>
      <c r="N59" s="33" t="s">
        <v>4192</v>
      </c>
      <c r="O59" s="33" t="s">
        <v>4192</v>
      </c>
      <c r="P59" s="33" t="s">
        <v>2448</v>
      </c>
      <c r="Q59" s="33" t="s">
        <v>4152</v>
      </c>
      <c r="R59" s="33"/>
      <c r="S59" s="33"/>
    </row>
    <row r="60" spans="1:19" ht="14">
      <c r="A60" s="33" t="s">
        <v>4386</v>
      </c>
      <c r="B60" s="33"/>
      <c r="C60" s="33"/>
      <c r="D60" s="33" t="s">
        <v>4385</v>
      </c>
      <c r="E60" s="33"/>
      <c r="F60" s="33">
        <v>550</v>
      </c>
      <c r="G60" s="33" t="b">
        <v>0</v>
      </c>
      <c r="H60" s="33" t="s">
        <v>36</v>
      </c>
      <c r="I60" s="33">
        <v>0</v>
      </c>
      <c r="J60" s="33" t="s">
        <v>4194</v>
      </c>
      <c r="K60" s="33" t="s">
        <v>4192</v>
      </c>
      <c r="L60" s="33" t="s">
        <v>4065</v>
      </c>
      <c r="M60" s="33" t="s">
        <v>4192</v>
      </c>
      <c r="N60" s="33" t="s">
        <v>4192</v>
      </c>
      <c r="O60" s="33" t="s">
        <v>4192</v>
      </c>
      <c r="P60" s="33" t="s">
        <v>2448</v>
      </c>
      <c r="Q60" s="33" t="s">
        <v>4152</v>
      </c>
      <c r="R60" s="33"/>
      <c r="S60" s="33"/>
    </row>
    <row r="61" spans="1:19" ht="14">
      <c r="A61" s="33" t="s">
        <v>95</v>
      </c>
      <c r="B61" s="33"/>
      <c r="C61" s="33" t="s">
        <v>4147</v>
      </c>
      <c r="D61" s="33" t="s">
        <v>96</v>
      </c>
      <c r="E61" s="33"/>
      <c r="F61" s="33">
        <v>650</v>
      </c>
      <c r="G61" s="33" t="b">
        <v>0</v>
      </c>
      <c r="H61" s="33" t="s">
        <v>94</v>
      </c>
      <c r="I61" s="33">
        <v>0</v>
      </c>
      <c r="J61" s="33" t="s">
        <v>4205</v>
      </c>
      <c r="K61" s="33" t="s">
        <v>4192</v>
      </c>
      <c r="L61" s="33" t="s">
        <v>4065</v>
      </c>
      <c r="M61" s="33" t="s">
        <v>4192</v>
      </c>
      <c r="N61" s="33" t="s">
        <v>94</v>
      </c>
      <c r="O61" s="33" t="s">
        <v>4192</v>
      </c>
      <c r="P61" s="33" t="s">
        <v>4192</v>
      </c>
      <c r="Q61" s="33" t="s">
        <v>4192</v>
      </c>
      <c r="R61" s="33"/>
      <c r="S61" s="33"/>
    </row>
    <row r="62" spans="1:19" ht="14">
      <c r="A62" s="34" t="s">
        <v>99</v>
      </c>
      <c r="B62" s="34"/>
      <c r="C62" s="34" t="s">
        <v>4574</v>
      </c>
      <c r="D62" s="33" t="s">
        <v>2710</v>
      </c>
      <c r="E62" s="33"/>
      <c r="F62" s="33">
        <v>800</v>
      </c>
      <c r="G62" s="33" t="b">
        <v>0</v>
      </c>
      <c r="H62" s="33" t="s">
        <v>3765</v>
      </c>
      <c r="I62" s="33">
        <v>0</v>
      </c>
      <c r="J62" s="33" t="s">
        <v>4503</v>
      </c>
      <c r="K62" s="33" t="s">
        <v>4192</v>
      </c>
      <c r="L62" s="33" t="s">
        <v>4065</v>
      </c>
      <c r="M62" s="33" t="s">
        <v>4192</v>
      </c>
      <c r="N62" s="33" t="s">
        <v>4192</v>
      </c>
      <c r="O62" s="33" t="s">
        <v>4192</v>
      </c>
      <c r="P62" s="33" t="s">
        <v>2448</v>
      </c>
      <c r="Q62" s="33" t="s">
        <v>4152</v>
      </c>
      <c r="R62" s="33"/>
      <c r="S62" s="33"/>
    </row>
    <row r="63" spans="1:19" ht="14">
      <c r="A63" s="33" t="s">
        <v>2878</v>
      </c>
      <c r="B63" s="33"/>
      <c r="C63" s="33"/>
      <c r="D63" s="33" t="s">
        <v>2879</v>
      </c>
      <c r="E63" s="33"/>
      <c r="F63" s="33">
        <v>600</v>
      </c>
      <c r="G63" s="33" t="b">
        <v>0</v>
      </c>
      <c r="H63" s="33" t="s">
        <v>36</v>
      </c>
      <c r="I63" s="33">
        <v>0</v>
      </c>
      <c r="J63" s="33"/>
      <c r="K63" s="33" t="s">
        <v>4192</v>
      </c>
      <c r="L63" s="33" t="s">
        <v>4192</v>
      </c>
      <c r="M63" s="33" t="s">
        <v>4192</v>
      </c>
      <c r="N63" s="33" t="s">
        <v>4192</v>
      </c>
      <c r="O63" s="33" t="s">
        <v>4192</v>
      </c>
      <c r="P63" s="33" t="s">
        <v>4192</v>
      </c>
      <c r="Q63" s="33" t="s">
        <v>4192</v>
      </c>
      <c r="R63" s="33"/>
      <c r="S63" s="33"/>
    </row>
    <row r="64" spans="1:19" ht="14">
      <c r="A64" s="34" t="s">
        <v>4082</v>
      </c>
      <c r="B64" s="33" t="s">
        <v>4490</v>
      </c>
      <c r="C64" s="33"/>
      <c r="D64" s="34" t="s">
        <v>4095</v>
      </c>
      <c r="E64" s="34" t="s">
        <v>1176</v>
      </c>
      <c r="F64" s="33">
        <v>480</v>
      </c>
      <c r="G64" s="33" t="b">
        <v>1</v>
      </c>
      <c r="H64" s="33" t="s">
        <v>94</v>
      </c>
      <c r="I64" s="33">
        <v>0</v>
      </c>
      <c r="J64" s="33" t="s">
        <v>4205</v>
      </c>
      <c r="K64" s="33" t="s">
        <v>4192</v>
      </c>
      <c r="L64" s="33" t="s">
        <v>4065</v>
      </c>
      <c r="M64" s="33" t="s">
        <v>4192</v>
      </c>
      <c r="N64" s="33" t="s">
        <v>94</v>
      </c>
      <c r="O64" s="33" t="s">
        <v>4192</v>
      </c>
      <c r="P64" s="33" t="s">
        <v>4192</v>
      </c>
      <c r="Q64" s="33" t="s">
        <v>4192</v>
      </c>
      <c r="R64" s="33"/>
      <c r="S64" s="33"/>
    </row>
    <row r="65" spans="1:1011" ht="14">
      <c r="A65" s="33" t="s">
        <v>4017</v>
      </c>
      <c r="B65" s="33" t="s">
        <v>4569</v>
      </c>
      <c r="C65" s="33"/>
      <c r="D65" s="33" t="s">
        <v>2890</v>
      </c>
      <c r="E65" s="33"/>
      <c r="F65" s="33">
        <v>500</v>
      </c>
      <c r="G65" s="33" t="b">
        <v>0</v>
      </c>
      <c r="H65" s="33" t="s">
        <v>36</v>
      </c>
      <c r="I65" s="33">
        <v>0</v>
      </c>
      <c r="J65" s="33" t="s">
        <v>4194</v>
      </c>
      <c r="K65" s="33" t="s">
        <v>4192</v>
      </c>
      <c r="L65" s="33" t="s">
        <v>4065</v>
      </c>
      <c r="M65" s="33" t="s">
        <v>4192</v>
      </c>
      <c r="N65" s="33" t="s">
        <v>4192</v>
      </c>
      <c r="O65" s="33" t="s">
        <v>4192</v>
      </c>
      <c r="P65" s="33" t="s">
        <v>2448</v>
      </c>
      <c r="Q65" s="33" t="s">
        <v>4152</v>
      </c>
      <c r="R65" s="33"/>
      <c r="S65" s="33"/>
    </row>
    <row r="66" spans="1:1011" ht="14">
      <c r="A66" s="34" t="s">
        <v>4096</v>
      </c>
      <c r="B66" s="33" t="s">
        <v>4098</v>
      </c>
      <c r="C66" s="33"/>
      <c r="D66" s="34" t="s">
        <v>4115</v>
      </c>
      <c r="E66" s="34" t="s">
        <v>4097</v>
      </c>
      <c r="F66" s="33">
        <v>500</v>
      </c>
      <c r="G66" s="33" t="b">
        <v>1</v>
      </c>
      <c r="H66" s="33" t="s">
        <v>94</v>
      </c>
      <c r="I66" s="33">
        <v>0</v>
      </c>
      <c r="J66" s="33" t="s">
        <v>4205</v>
      </c>
      <c r="K66" s="33" t="s">
        <v>4192</v>
      </c>
      <c r="L66" s="33" t="s">
        <v>4065</v>
      </c>
      <c r="M66" s="33" t="s">
        <v>4192</v>
      </c>
      <c r="N66" s="33" t="s">
        <v>94</v>
      </c>
      <c r="O66" s="33" t="s">
        <v>4192</v>
      </c>
      <c r="P66" s="33" t="s">
        <v>4192</v>
      </c>
      <c r="Q66" s="33" t="s">
        <v>4192</v>
      </c>
      <c r="R66" s="33"/>
      <c r="S66" s="33"/>
    </row>
    <row r="67" spans="1:1011" ht="14">
      <c r="A67" s="33" t="s">
        <v>52</v>
      </c>
      <c r="B67" s="33"/>
      <c r="C67" s="34" t="s">
        <v>3886</v>
      </c>
      <c r="D67" s="33" t="s">
        <v>53</v>
      </c>
      <c r="E67" s="33"/>
      <c r="F67" s="33">
        <v>200</v>
      </c>
      <c r="G67" s="33" t="b">
        <v>0</v>
      </c>
      <c r="H67" s="33" t="s">
        <v>54</v>
      </c>
      <c r="I67" s="33">
        <v>0</v>
      </c>
      <c r="J67" s="33" t="s">
        <v>4194</v>
      </c>
      <c r="K67" s="33" t="s">
        <v>4192</v>
      </c>
      <c r="L67" s="33" t="s">
        <v>4065</v>
      </c>
      <c r="M67" s="33" t="s">
        <v>4192</v>
      </c>
      <c r="N67" s="33" t="s">
        <v>4192</v>
      </c>
      <c r="O67" s="33" t="s">
        <v>4192</v>
      </c>
      <c r="P67" s="33" t="s">
        <v>2448</v>
      </c>
      <c r="Q67" s="33" t="s">
        <v>4192</v>
      </c>
      <c r="R67" s="33"/>
      <c r="S67" s="33"/>
    </row>
    <row r="68" spans="1:1011" ht="14">
      <c r="A68" s="33" t="s">
        <v>2711</v>
      </c>
      <c r="B68" s="33"/>
      <c r="C68" s="33" t="s">
        <v>4355</v>
      </c>
      <c r="D68" s="33" t="s">
        <v>3148</v>
      </c>
      <c r="E68" s="33"/>
      <c r="F68" s="33">
        <v>500</v>
      </c>
      <c r="G68" s="33" t="b">
        <v>1</v>
      </c>
      <c r="H68" s="33" t="s">
        <v>36</v>
      </c>
      <c r="I68" s="33">
        <v>0</v>
      </c>
      <c r="J68" s="33" t="s">
        <v>4194</v>
      </c>
      <c r="K68" s="33" t="s">
        <v>4192</v>
      </c>
      <c r="L68" s="33" t="s">
        <v>4065</v>
      </c>
      <c r="M68" s="33" t="s">
        <v>4192</v>
      </c>
      <c r="N68" s="33" t="s">
        <v>4192</v>
      </c>
      <c r="O68" s="33" t="s">
        <v>4192</v>
      </c>
      <c r="P68" s="33" t="s">
        <v>2448</v>
      </c>
      <c r="Q68" s="33" t="s">
        <v>4152</v>
      </c>
      <c r="R68" s="33"/>
      <c r="S68" s="33"/>
    </row>
    <row r="69" spans="1:1011" ht="14">
      <c r="A69" s="25" t="s">
        <v>4063</v>
      </c>
      <c r="B69" s="25"/>
      <c r="C69" s="33"/>
      <c r="D69" s="34" t="s">
        <v>4064</v>
      </c>
      <c r="E69" s="34" t="s">
        <v>3153</v>
      </c>
      <c r="F69" s="33">
        <v>500</v>
      </c>
      <c r="G69" s="33" t="b">
        <v>1</v>
      </c>
      <c r="H69" s="33" t="s">
        <v>3041</v>
      </c>
      <c r="I69" s="33">
        <v>2</v>
      </c>
      <c r="J69" s="33" t="s">
        <v>4194</v>
      </c>
      <c r="K69" s="33" t="s">
        <v>4192</v>
      </c>
      <c r="L69" s="33" t="s">
        <v>4065</v>
      </c>
      <c r="M69" s="33" t="s">
        <v>4192</v>
      </c>
      <c r="N69" s="33" t="s">
        <v>4192</v>
      </c>
      <c r="O69" s="33" t="s">
        <v>4192</v>
      </c>
      <c r="P69" s="33" t="s">
        <v>2448</v>
      </c>
      <c r="Q69" s="33" t="s">
        <v>4152</v>
      </c>
      <c r="R69" s="33"/>
      <c r="S69" s="33"/>
    </row>
    <row r="70" spans="1:1011" ht="14">
      <c r="A70" s="33" t="s">
        <v>167</v>
      </c>
      <c r="B70" s="33"/>
      <c r="C70" s="33"/>
      <c r="D70" s="33" t="s">
        <v>168</v>
      </c>
      <c r="E70" s="33"/>
      <c r="F70" s="33">
        <v>550</v>
      </c>
      <c r="G70" s="33" t="b">
        <v>0</v>
      </c>
      <c r="H70" s="33" t="s">
        <v>164</v>
      </c>
      <c r="I70" s="33">
        <v>0</v>
      </c>
      <c r="J70" s="33" t="s">
        <v>4193</v>
      </c>
      <c r="K70" s="33" t="s">
        <v>4192</v>
      </c>
      <c r="L70" s="33" t="s">
        <v>4065</v>
      </c>
      <c r="M70" s="33" t="s">
        <v>164</v>
      </c>
      <c r="N70" s="33" t="s">
        <v>4192</v>
      </c>
      <c r="O70" s="33" t="s">
        <v>4192</v>
      </c>
      <c r="P70" s="33" t="s">
        <v>4192</v>
      </c>
      <c r="Q70" s="33" t="s">
        <v>4192</v>
      </c>
      <c r="R70" s="33"/>
      <c r="S70" s="33"/>
    </row>
    <row r="71" spans="1:1011" ht="14">
      <c r="A71" s="34" t="s">
        <v>80</v>
      </c>
      <c r="B71" s="34"/>
      <c r="C71" s="34" t="s">
        <v>4674</v>
      </c>
      <c r="D71" s="33" t="s">
        <v>116</v>
      </c>
      <c r="E71" s="33"/>
      <c r="F71" s="33">
        <v>500</v>
      </c>
      <c r="G71" s="33" t="b">
        <v>0</v>
      </c>
      <c r="H71" s="33" t="s">
        <v>20</v>
      </c>
      <c r="I71" s="33">
        <v>2</v>
      </c>
      <c r="J71" s="33" t="s">
        <v>4204</v>
      </c>
      <c r="K71" s="33" t="s">
        <v>4192</v>
      </c>
      <c r="L71" s="33" t="s">
        <v>4065</v>
      </c>
      <c r="M71" s="33" t="s">
        <v>4192</v>
      </c>
      <c r="N71" s="33" t="s">
        <v>4192</v>
      </c>
      <c r="O71" s="33" t="s">
        <v>4199</v>
      </c>
      <c r="P71" s="33" t="s">
        <v>2448</v>
      </c>
      <c r="Q71" s="33" t="s">
        <v>4152</v>
      </c>
      <c r="R71" s="33"/>
      <c r="S71" s="33"/>
    </row>
    <row r="72" spans="1:1011" ht="14">
      <c r="A72" s="34" t="s">
        <v>98</v>
      </c>
      <c r="B72" s="34" t="s">
        <v>4007</v>
      </c>
      <c r="C72" s="34"/>
      <c r="D72" s="34" t="s">
        <v>3130</v>
      </c>
      <c r="E72" s="34"/>
      <c r="F72" s="33">
        <v>500</v>
      </c>
      <c r="G72" s="33" t="b">
        <v>1</v>
      </c>
      <c r="H72" s="33" t="s">
        <v>20</v>
      </c>
      <c r="I72" s="33">
        <v>2</v>
      </c>
      <c r="J72" s="33" t="s">
        <v>4194</v>
      </c>
      <c r="K72" s="33" t="s">
        <v>4192</v>
      </c>
      <c r="L72" s="33" t="s">
        <v>4065</v>
      </c>
      <c r="M72" s="33" t="s">
        <v>4192</v>
      </c>
      <c r="N72" s="33" t="s">
        <v>4192</v>
      </c>
      <c r="O72" s="33" t="s">
        <v>4192</v>
      </c>
      <c r="P72" s="33" t="s">
        <v>2448</v>
      </c>
      <c r="Q72" s="33" t="s">
        <v>4152</v>
      </c>
      <c r="R72" s="33"/>
      <c r="S72" s="33"/>
    </row>
    <row r="73" spans="1:1011" s="16" customFormat="1" ht="14">
      <c r="A73" s="33" t="s">
        <v>4305</v>
      </c>
      <c r="B73" s="33" t="s">
        <v>4191</v>
      </c>
      <c r="C73" s="33"/>
      <c r="D73" s="33" t="s">
        <v>4306</v>
      </c>
      <c r="E73" s="33"/>
      <c r="F73" s="33">
        <v>500</v>
      </c>
      <c r="G73" s="33" t="b">
        <v>1</v>
      </c>
      <c r="H73" s="33" t="s">
        <v>36</v>
      </c>
      <c r="I73" s="33">
        <v>0</v>
      </c>
      <c r="J73" s="33" t="s">
        <v>4194</v>
      </c>
      <c r="K73" s="33" t="s">
        <v>4192</v>
      </c>
      <c r="L73" s="33" t="s">
        <v>4065</v>
      </c>
      <c r="M73" s="33" t="s">
        <v>4192</v>
      </c>
      <c r="N73" s="33" t="s">
        <v>4192</v>
      </c>
      <c r="O73" s="33" t="s">
        <v>4192</v>
      </c>
      <c r="P73" s="33" t="s">
        <v>2448</v>
      </c>
      <c r="Q73" s="33" t="s">
        <v>4152</v>
      </c>
      <c r="R73" s="33"/>
      <c r="S73" s="3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c r="GD73"/>
      <c r="GE73"/>
      <c r="GF73"/>
      <c r="GG73"/>
      <c r="GH73"/>
      <c r="GI73"/>
      <c r="GJ73"/>
      <c r="GK73"/>
      <c r="GL73"/>
      <c r="GM73"/>
      <c r="GN73"/>
      <c r="GO73"/>
      <c r="GP73"/>
      <c r="GQ73"/>
      <c r="GR73"/>
      <c r="GS73"/>
      <c r="GT73"/>
      <c r="GU73"/>
      <c r="GV73"/>
      <c r="GW73"/>
      <c r="GX73"/>
      <c r="GY73"/>
      <c r="GZ73"/>
      <c r="HA73"/>
      <c r="HB73"/>
      <c r="HC73"/>
      <c r="HD73"/>
      <c r="HE73"/>
      <c r="HF73"/>
      <c r="HG73"/>
      <c r="HH73"/>
      <c r="HI73"/>
      <c r="HJ73"/>
      <c r="HK73"/>
      <c r="HL73"/>
      <c r="HM73"/>
      <c r="HN73"/>
      <c r="HO73"/>
      <c r="HP73"/>
      <c r="HQ73"/>
      <c r="HR73"/>
      <c r="HS73"/>
      <c r="HT73"/>
      <c r="HU73"/>
      <c r="HV73"/>
      <c r="HW73"/>
      <c r="HX73"/>
      <c r="HY73"/>
      <c r="HZ73"/>
      <c r="IA73"/>
      <c r="IB73"/>
      <c r="IC73"/>
      <c r="ID73"/>
      <c r="IE73"/>
      <c r="IF73"/>
      <c r="IG73"/>
      <c r="IH73"/>
      <c r="II73"/>
      <c r="IJ73"/>
      <c r="IK73"/>
      <c r="IL73"/>
      <c r="IM73"/>
      <c r="IN73"/>
      <c r="IO73"/>
      <c r="IP73"/>
      <c r="IQ73"/>
      <c r="IR73"/>
      <c r="IS73"/>
      <c r="IT73"/>
      <c r="IU73"/>
      <c r="IV73"/>
      <c r="IW73"/>
      <c r="IX73"/>
      <c r="IY73"/>
      <c r="IZ73"/>
      <c r="JA73"/>
      <c r="JB73"/>
      <c r="JC73"/>
      <c r="JD73"/>
      <c r="JE73"/>
      <c r="JF73"/>
      <c r="JG73"/>
      <c r="JH73"/>
      <c r="JI73"/>
      <c r="JJ73"/>
      <c r="JK73"/>
      <c r="JL73"/>
      <c r="JM73"/>
      <c r="JN73"/>
      <c r="JO73"/>
      <c r="JP73"/>
      <c r="JQ73"/>
      <c r="JR73"/>
      <c r="JS73"/>
      <c r="JT73"/>
      <c r="JU73"/>
      <c r="JV73"/>
      <c r="JW73"/>
      <c r="JX73"/>
      <c r="JY73"/>
      <c r="JZ73"/>
      <c r="KA73"/>
      <c r="KB73"/>
      <c r="KC73"/>
      <c r="KD73"/>
      <c r="KE73"/>
      <c r="KF73"/>
      <c r="KG73"/>
      <c r="KH73"/>
      <c r="KI73"/>
      <c r="KJ73"/>
      <c r="KK73"/>
      <c r="KL73"/>
      <c r="KM73"/>
      <c r="KN73"/>
      <c r="KO73"/>
      <c r="KP73"/>
      <c r="KQ73"/>
      <c r="KR73"/>
      <c r="KS73"/>
      <c r="KT73"/>
      <c r="KU73"/>
      <c r="KV73"/>
      <c r="KW73"/>
      <c r="KX73"/>
      <c r="KY73"/>
      <c r="KZ73"/>
      <c r="LA73"/>
      <c r="LB73"/>
      <c r="LC73"/>
      <c r="LD73"/>
      <c r="LE73"/>
      <c r="LF73"/>
      <c r="LG73"/>
      <c r="LH73"/>
      <c r="LI73"/>
      <c r="LJ73"/>
      <c r="LK73"/>
      <c r="LL73"/>
      <c r="LM73"/>
      <c r="LN73"/>
      <c r="LO73"/>
      <c r="LP73"/>
      <c r="LQ73"/>
      <c r="LR73"/>
      <c r="LS73"/>
      <c r="LT73"/>
      <c r="LU73"/>
      <c r="LV73"/>
      <c r="LW73"/>
      <c r="LX73"/>
      <c r="LY73"/>
      <c r="LZ73"/>
      <c r="MA73"/>
      <c r="MB73"/>
      <c r="MC73"/>
      <c r="MD73"/>
      <c r="ME73"/>
      <c r="MF73"/>
      <c r="MG73"/>
      <c r="MH73"/>
      <c r="MI73"/>
      <c r="MJ73"/>
      <c r="MK73"/>
      <c r="ML73"/>
      <c r="MM73"/>
      <c r="MN73"/>
      <c r="MO73"/>
      <c r="MP73"/>
      <c r="MQ73"/>
      <c r="MR73"/>
      <c r="MS73"/>
      <c r="MT73"/>
      <c r="MU73"/>
      <c r="MV73"/>
      <c r="MW73"/>
      <c r="MX73"/>
      <c r="MY73"/>
      <c r="MZ73"/>
      <c r="NA73"/>
      <c r="NB73"/>
      <c r="NC73"/>
      <c r="ND73"/>
      <c r="NE73"/>
      <c r="NF73"/>
      <c r="NG73"/>
      <c r="NH73"/>
      <c r="NI73"/>
      <c r="NJ73"/>
      <c r="NK73"/>
      <c r="NL73"/>
      <c r="NM73"/>
      <c r="NN73"/>
      <c r="NO73"/>
      <c r="NP73"/>
      <c r="NQ73"/>
      <c r="NR73"/>
      <c r="NS73"/>
      <c r="NT73"/>
      <c r="NU73"/>
      <c r="NV73"/>
      <c r="NW73"/>
      <c r="NX73"/>
      <c r="NY73"/>
      <c r="NZ73"/>
      <c r="OA73"/>
      <c r="OB73"/>
      <c r="OC73"/>
      <c r="OD73"/>
      <c r="OE73"/>
      <c r="OF73"/>
      <c r="OG73"/>
      <c r="OH73"/>
      <c r="OI73"/>
      <c r="OJ73"/>
      <c r="OK73"/>
      <c r="OL73"/>
      <c r="OM73"/>
      <c r="ON73"/>
      <c r="OO73"/>
      <c r="OP73"/>
      <c r="OQ73"/>
      <c r="OR73"/>
      <c r="OS73"/>
      <c r="OT73"/>
      <c r="OU73"/>
      <c r="OV73"/>
      <c r="OW73"/>
      <c r="OX73"/>
      <c r="OY73"/>
      <c r="OZ73"/>
      <c r="PA73"/>
      <c r="PB73"/>
      <c r="PC73"/>
      <c r="PD73"/>
      <c r="PE73"/>
      <c r="PF73"/>
      <c r="PG73"/>
      <c r="PH73"/>
      <c r="PI73"/>
      <c r="PJ73"/>
      <c r="PK73"/>
      <c r="PL73"/>
      <c r="PM73"/>
      <c r="PN73"/>
      <c r="PO73"/>
      <c r="PP73"/>
      <c r="PQ73"/>
      <c r="PR73"/>
      <c r="PS73"/>
      <c r="PT73"/>
      <c r="PU73"/>
      <c r="PV73"/>
      <c r="PW73"/>
      <c r="PX73"/>
      <c r="PY73"/>
      <c r="PZ73"/>
      <c r="QA73"/>
      <c r="QB73"/>
      <c r="QC73"/>
      <c r="QD73"/>
      <c r="QE73"/>
      <c r="QF73"/>
      <c r="QG73"/>
      <c r="QH73"/>
      <c r="QI73"/>
      <c r="QJ73"/>
      <c r="QK73"/>
      <c r="QL73"/>
      <c r="QM73"/>
      <c r="QN73"/>
      <c r="QO73"/>
      <c r="QP73"/>
      <c r="QQ73"/>
      <c r="QR73"/>
      <c r="QS73"/>
      <c r="QT73"/>
      <c r="QU73"/>
      <c r="QV73"/>
      <c r="QW73"/>
      <c r="QX73"/>
      <c r="QY73"/>
      <c r="QZ73"/>
      <c r="RA73"/>
      <c r="RB73"/>
      <c r="RC73"/>
      <c r="RD73"/>
      <c r="RE73"/>
      <c r="RF73"/>
      <c r="RG73"/>
      <c r="RH73"/>
      <c r="RI73"/>
      <c r="RJ73"/>
      <c r="RK73"/>
      <c r="RL73"/>
      <c r="RM73"/>
      <c r="RN73"/>
      <c r="RO73"/>
      <c r="RP73"/>
      <c r="RQ73"/>
      <c r="RR73"/>
      <c r="RS73"/>
      <c r="RT73"/>
      <c r="RU73"/>
      <c r="RV73"/>
      <c r="RW73"/>
      <c r="RX73"/>
      <c r="RY73"/>
      <c r="RZ73"/>
      <c r="SA73"/>
      <c r="SB73"/>
      <c r="SC73"/>
      <c r="SD73"/>
      <c r="SE73"/>
      <c r="SF73"/>
      <c r="SG73"/>
      <c r="SH73"/>
      <c r="SI73"/>
      <c r="SJ73"/>
      <c r="SK73"/>
      <c r="SL73"/>
      <c r="SM73"/>
      <c r="SN73"/>
      <c r="SO73"/>
      <c r="SP73"/>
      <c r="SQ73"/>
      <c r="SR73"/>
      <c r="SS73"/>
      <c r="ST73"/>
      <c r="SU73"/>
      <c r="SV73"/>
      <c r="SW73"/>
      <c r="SX73"/>
      <c r="SY73"/>
      <c r="SZ73"/>
      <c r="TA73"/>
      <c r="TB73"/>
      <c r="TC73"/>
      <c r="TD73"/>
      <c r="TE73"/>
      <c r="TF73"/>
      <c r="TG73"/>
      <c r="TH73"/>
      <c r="TI73"/>
      <c r="TJ73"/>
      <c r="TK73"/>
      <c r="TL73"/>
      <c r="TM73"/>
      <c r="TN73"/>
      <c r="TO73"/>
      <c r="TP73"/>
      <c r="TQ73"/>
      <c r="TR73"/>
      <c r="TS73"/>
      <c r="TT73"/>
      <c r="TU73"/>
      <c r="TV73"/>
      <c r="TW73"/>
      <c r="TX73"/>
      <c r="TY73"/>
      <c r="TZ73"/>
      <c r="UA73"/>
      <c r="UB73"/>
      <c r="UC73"/>
      <c r="UD73"/>
      <c r="UE73"/>
      <c r="UF73"/>
      <c r="UG73"/>
      <c r="UH73"/>
      <c r="UI73"/>
      <c r="UJ73"/>
      <c r="UK73"/>
      <c r="UL73"/>
      <c r="UM73"/>
      <c r="UN73"/>
      <c r="UO73"/>
      <c r="UP73"/>
      <c r="UQ73"/>
      <c r="UR73"/>
      <c r="US73"/>
      <c r="UT73"/>
      <c r="UU73"/>
      <c r="UV73"/>
      <c r="UW73"/>
      <c r="UX73"/>
      <c r="UY73"/>
      <c r="UZ73"/>
      <c r="VA73"/>
      <c r="VB73"/>
      <c r="VC73"/>
      <c r="VD73"/>
      <c r="VE73"/>
      <c r="VF73"/>
      <c r="VG73"/>
      <c r="VH73"/>
      <c r="VI73"/>
      <c r="VJ73"/>
      <c r="VK73"/>
      <c r="VL73"/>
      <c r="VM73"/>
      <c r="VN73"/>
      <c r="VO73"/>
      <c r="VP73"/>
      <c r="VQ73"/>
      <c r="VR73"/>
      <c r="VS73"/>
      <c r="VT73"/>
      <c r="VU73"/>
      <c r="VV73"/>
      <c r="VW73"/>
      <c r="VX73"/>
      <c r="VY73"/>
      <c r="VZ73"/>
      <c r="WA73"/>
      <c r="WB73"/>
      <c r="WC73"/>
      <c r="WD73"/>
      <c r="WE73"/>
      <c r="WF73"/>
      <c r="WG73"/>
      <c r="WH73"/>
      <c r="WI73"/>
      <c r="WJ73"/>
      <c r="WK73"/>
      <c r="WL73"/>
      <c r="WM73"/>
      <c r="WN73"/>
      <c r="WO73"/>
      <c r="WP73"/>
      <c r="WQ73"/>
      <c r="WR73"/>
      <c r="WS73"/>
      <c r="WT73"/>
      <c r="WU73"/>
      <c r="WV73"/>
      <c r="WW73"/>
      <c r="WX73"/>
      <c r="WY73"/>
      <c r="WZ73"/>
      <c r="XA73"/>
      <c r="XB73"/>
      <c r="XC73"/>
      <c r="XD73"/>
      <c r="XE73"/>
      <c r="XF73"/>
      <c r="XG73"/>
      <c r="XH73"/>
      <c r="XI73"/>
      <c r="XJ73"/>
      <c r="XK73"/>
      <c r="XL73"/>
      <c r="XM73"/>
      <c r="XN73"/>
      <c r="XO73"/>
      <c r="XP73"/>
      <c r="XQ73"/>
      <c r="XR73"/>
      <c r="XS73"/>
      <c r="XT73"/>
      <c r="XU73"/>
      <c r="XV73"/>
      <c r="XW73"/>
      <c r="XX73"/>
      <c r="XY73"/>
      <c r="XZ73"/>
      <c r="YA73"/>
      <c r="YB73"/>
      <c r="YC73"/>
      <c r="YD73"/>
      <c r="YE73"/>
      <c r="YF73"/>
      <c r="YG73"/>
      <c r="YH73"/>
      <c r="YI73"/>
      <c r="YJ73"/>
      <c r="YK73"/>
      <c r="YL73"/>
      <c r="YM73"/>
      <c r="YN73"/>
      <c r="YO73"/>
      <c r="YP73"/>
      <c r="YQ73"/>
      <c r="YR73"/>
      <c r="YS73"/>
      <c r="YT73"/>
      <c r="YU73"/>
      <c r="YV73"/>
      <c r="YW73"/>
      <c r="YX73"/>
      <c r="YY73"/>
      <c r="YZ73"/>
      <c r="ZA73"/>
      <c r="ZB73"/>
      <c r="ZC73"/>
      <c r="ZD73"/>
      <c r="ZE73"/>
      <c r="ZF73"/>
      <c r="ZG73"/>
      <c r="ZH73"/>
      <c r="ZI73"/>
      <c r="ZJ73"/>
      <c r="ZK73"/>
      <c r="ZL73"/>
      <c r="ZM73"/>
      <c r="ZN73"/>
      <c r="ZO73"/>
      <c r="ZP73"/>
      <c r="ZQ73"/>
      <c r="ZR73"/>
      <c r="ZS73"/>
      <c r="ZT73"/>
      <c r="ZU73"/>
      <c r="ZV73"/>
      <c r="ZW73"/>
      <c r="ZX73"/>
      <c r="ZY73"/>
      <c r="ZZ73"/>
      <c r="AAA73"/>
      <c r="AAB73"/>
      <c r="AAC73"/>
      <c r="AAD73"/>
      <c r="AAE73"/>
      <c r="AAF73"/>
      <c r="AAG73"/>
      <c r="AAH73"/>
      <c r="AAI73"/>
      <c r="AAJ73"/>
      <c r="AAK73"/>
      <c r="AAL73"/>
      <c r="AAM73"/>
      <c r="AAN73"/>
      <c r="AAO73"/>
      <c r="AAP73"/>
      <c r="AAQ73"/>
      <c r="AAR73"/>
      <c r="AAS73"/>
      <c r="AAT73"/>
      <c r="AAU73"/>
      <c r="AAV73"/>
      <c r="AAW73"/>
      <c r="AAX73"/>
      <c r="AAY73"/>
      <c r="AAZ73"/>
      <c r="ABA73"/>
      <c r="ABB73"/>
      <c r="ABC73"/>
      <c r="ABD73"/>
      <c r="ABE73"/>
      <c r="ABF73"/>
      <c r="ABG73"/>
      <c r="ABH73"/>
      <c r="ABI73"/>
      <c r="ABJ73"/>
      <c r="ABK73"/>
      <c r="ABL73"/>
      <c r="ABM73"/>
      <c r="ABN73"/>
      <c r="ABO73"/>
      <c r="ABP73"/>
      <c r="ABQ73"/>
      <c r="ABR73"/>
      <c r="ABS73"/>
      <c r="ABT73"/>
      <c r="ABU73"/>
      <c r="ABV73"/>
      <c r="ABW73"/>
      <c r="ABX73"/>
      <c r="ABY73"/>
      <c r="ABZ73"/>
      <c r="ACA73"/>
      <c r="ACB73"/>
      <c r="ACC73"/>
      <c r="ACD73"/>
      <c r="ACE73"/>
      <c r="ACF73"/>
      <c r="ACG73"/>
      <c r="ACH73"/>
      <c r="ACI73"/>
      <c r="ACJ73"/>
      <c r="ACK73"/>
      <c r="ACL73"/>
      <c r="ACM73"/>
      <c r="ACN73"/>
      <c r="ACO73"/>
      <c r="ACP73"/>
      <c r="ACQ73"/>
      <c r="ACR73"/>
      <c r="ACS73"/>
      <c r="ACT73"/>
      <c r="ACU73"/>
      <c r="ACV73"/>
      <c r="ACW73"/>
      <c r="ACX73"/>
      <c r="ACY73"/>
      <c r="ACZ73"/>
      <c r="ADA73"/>
      <c r="ADB73"/>
      <c r="ADC73"/>
      <c r="ADD73"/>
      <c r="ADE73"/>
      <c r="ADF73"/>
      <c r="ADG73"/>
      <c r="ADH73"/>
      <c r="ADI73"/>
      <c r="ADJ73"/>
      <c r="ADK73"/>
      <c r="ADL73"/>
      <c r="ADM73"/>
      <c r="ADN73"/>
      <c r="ADO73"/>
      <c r="ADP73"/>
      <c r="ADQ73"/>
      <c r="ADR73"/>
      <c r="ADS73"/>
      <c r="ADT73"/>
      <c r="ADU73"/>
      <c r="ADV73"/>
      <c r="ADW73"/>
      <c r="ADX73"/>
      <c r="ADY73"/>
      <c r="ADZ73"/>
      <c r="AEA73"/>
      <c r="AEB73"/>
      <c r="AEC73"/>
      <c r="AED73"/>
      <c r="AEE73"/>
      <c r="AEF73"/>
      <c r="AEG73"/>
      <c r="AEH73"/>
      <c r="AEI73"/>
      <c r="AEJ73"/>
      <c r="AEK73"/>
      <c r="AEL73"/>
      <c r="AEM73"/>
      <c r="AEN73"/>
      <c r="AEO73"/>
      <c r="AEP73"/>
      <c r="AEQ73"/>
      <c r="AER73"/>
      <c r="AES73"/>
      <c r="AET73"/>
      <c r="AEU73"/>
      <c r="AEV73"/>
      <c r="AEW73"/>
      <c r="AEX73"/>
      <c r="AEY73"/>
      <c r="AEZ73"/>
      <c r="AFA73"/>
      <c r="AFB73"/>
      <c r="AFC73"/>
      <c r="AFD73"/>
      <c r="AFE73"/>
      <c r="AFF73"/>
      <c r="AFG73"/>
      <c r="AFH73"/>
      <c r="AFI73"/>
      <c r="AFJ73"/>
      <c r="AFK73"/>
      <c r="AFL73"/>
      <c r="AFM73"/>
      <c r="AFN73"/>
      <c r="AFO73"/>
      <c r="AFP73"/>
      <c r="AFQ73"/>
      <c r="AFR73"/>
      <c r="AFS73"/>
      <c r="AFT73"/>
      <c r="AFU73"/>
      <c r="AFV73"/>
      <c r="AFW73"/>
      <c r="AFX73"/>
      <c r="AFY73"/>
      <c r="AFZ73"/>
      <c r="AGA73"/>
      <c r="AGB73"/>
      <c r="AGC73"/>
      <c r="AGD73"/>
      <c r="AGE73"/>
      <c r="AGF73"/>
      <c r="AGG73"/>
      <c r="AGH73"/>
      <c r="AGI73"/>
      <c r="AGJ73"/>
      <c r="AGK73"/>
      <c r="AGL73"/>
      <c r="AGM73"/>
      <c r="AGN73"/>
      <c r="AGO73"/>
      <c r="AGP73"/>
      <c r="AGQ73"/>
      <c r="AGR73"/>
      <c r="AGS73"/>
      <c r="AGT73"/>
      <c r="AGU73"/>
      <c r="AGV73"/>
      <c r="AGW73"/>
      <c r="AGX73"/>
      <c r="AGY73"/>
      <c r="AGZ73"/>
      <c r="AHA73"/>
      <c r="AHB73"/>
      <c r="AHC73"/>
      <c r="AHD73"/>
      <c r="AHE73"/>
      <c r="AHF73"/>
      <c r="AHG73"/>
      <c r="AHH73"/>
      <c r="AHI73"/>
      <c r="AHJ73"/>
      <c r="AHK73"/>
      <c r="AHL73"/>
      <c r="AHM73"/>
      <c r="AHN73"/>
      <c r="AHO73"/>
      <c r="AHP73"/>
      <c r="AHQ73"/>
      <c r="AHR73"/>
      <c r="AHS73"/>
      <c r="AHT73"/>
      <c r="AHU73"/>
      <c r="AHV73"/>
      <c r="AHW73"/>
      <c r="AHX73"/>
      <c r="AHY73"/>
      <c r="AHZ73"/>
      <c r="AIA73"/>
      <c r="AIB73"/>
      <c r="AIC73"/>
      <c r="AID73"/>
      <c r="AIE73"/>
      <c r="AIF73"/>
      <c r="AIG73"/>
      <c r="AIH73"/>
      <c r="AII73"/>
      <c r="AIJ73"/>
      <c r="AIK73"/>
      <c r="AIL73"/>
      <c r="AIM73"/>
      <c r="AIN73"/>
      <c r="AIO73"/>
      <c r="AIP73"/>
      <c r="AIQ73"/>
      <c r="AIR73"/>
      <c r="AIS73"/>
      <c r="AIT73"/>
      <c r="AIU73"/>
      <c r="AIV73"/>
      <c r="AIW73"/>
      <c r="AIX73"/>
      <c r="AIY73"/>
      <c r="AIZ73"/>
      <c r="AJA73"/>
      <c r="AJB73"/>
      <c r="AJC73"/>
      <c r="AJD73"/>
      <c r="AJE73"/>
      <c r="AJF73"/>
      <c r="AJG73"/>
      <c r="AJH73"/>
      <c r="AJI73"/>
      <c r="AJJ73"/>
      <c r="AJK73"/>
      <c r="AJL73"/>
      <c r="AJM73"/>
      <c r="AJN73"/>
      <c r="AJO73"/>
      <c r="AJP73"/>
      <c r="AJQ73"/>
      <c r="AJR73"/>
      <c r="AJS73"/>
      <c r="AJT73"/>
      <c r="AJU73"/>
      <c r="AJV73"/>
      <c r="AJW73"/>
      <c r="AJX73"/>
      <c r="AJY73"/>
      <c r="AJZ73"/>
      <c r="AKA73"/>
      <c r="AKB73"/>
      <c r="AKC73"/>
      <c r="AKD73"/>
      <c r="AKE73"/>
      <c r="AKF73"/>
      <c r="AKG73"/>
      <c r="AKH73"/>
      <c r="AKI73"/>
      <c r="AKJ73"/>
      <c r="AKK73"/>
      <c r="AKL73"/>
      <c r="AKM73"/>
      <c r="AKN73"/>
      <c r="AKO73"/>
      <c r="AKP73"/>
      <c r="AKQ73"/>
      <c r="AKR73"/>
      <c r="AKS73"/>
      <c r="AKT73"/>
      <c r="AKU73"/>
      <c r="AKV73"/>
      <c r="AKW73"/>
      <c r="AKX73"/>
      <c r="AKY73"/>
      <c r="AKZ73"/>
      <c r="ALA73"/>
      <c r="ALB73"/>
      <c r="ALC73"/>
      <c r="ALD73"/>
      <c r="ALE73"/>
      <c r="ALF73"/>
      <c r="ALG73"/>
      <c r="ALH73"/>
      <c r="ALI73"/>
      <c r="ALJ73"/>
      <c r="ALK73"/>
      <c r="ALL73"/>
      <c r="ALM73"/>
      <c r="ALN73"/>
      <c r="ALO73"/>
      <c r="ALP73"/>
      <c r="ALQ73"/>
      <c r="ALR73"/>
      <c r="ALS73"/>
      <c r="ALT73"/>
      <c r="ALU73"/>
      <c r="ALV73"/>
      <c r="ALW73"/>
    </row>
    <row r="74" spans="1:1011" ht="14">
      <c r="A74" s="33" t="s">
        <v>4309</v>
      </c>
      <c r="B74" s="33" t="s">
        <v>4191</v>
      </c>
      <c r="C74" s="25"/>
      <c r="D74" s="33" t="s">
        <v>4310</v>
      </c>
      <c r="E74" s="33"/>
      <c r="F74" s="33">
        <v>500</v>
      </c>
      <c r="G74" s="33" t="b">
        <v>1</v>
      </c>
      <c r="H74" s="33" t="s">
        <v>36</v>
      </c>
      <c r="I74" s="33">
        <v>0</v>
      </c>
      <c r="J74" s="33" t="s">
        <v>4194</v>
      </c>
      <c r="K74" s="33" t="s">
        <v>4192</v>
      </c>
      <c r="L74" s="33" t="s">
        <v>4065</v>
      </c>
      <c r="M74" s="33" t="s">
        <v>4192</v>
      </c>
      <c r="N74" s="33" t="s">
        <v>4192</v>
      </c>
      <c r="O74" s="33" t="s">
        <v>4192</v>
      </c>
      <c r="P74" s="33" t="s">
        <v>2448</v>
      </c>
      <c r="Q74" s="33" t="s">
        <v>4152</v>
      </c>
      <c r="R74" s="33"/>
      <c r="S74" s="33"/>
    </row>
    <row r="75" spans="1:1011" ht="14">
      <c r="A75" s="33" t="s">
        <v>169</v>
      </c>
      <c r="B75" s="33"/>
      <c r="C75" s="33"/>
      <c r="D75" s="33" t="s">
        <v>170</v>
      </c>
      <c r="E75" s="33"/>
      <c r="F75" s="33">
        <v>600</v>
      </c>
      <c r="G75" s="33" t="b">
        <v>0</v>
      </c>
      <c r="H75" s="33" t="s">
        <v>164</v>
      </c>
      <c r="I75" s="33">
        <v>0</v>
      </c>
      <c r="J75" s="33" t="s">
        <v>164</v>
      </c>
      <c r="K75" s="33" t="s">
        <v>4192</v>
      </c>
      <c r="L75" s="33" t="s">
        <v>4192</v>
      </c>
      <c r="M75" s="33" t="s">
        <v>164</v>
      </c>
      <c r="N75" s="33" t="s">
        <v>4192</v>
      </c>
      <c r="O75" s="33" t="s">
        <v>4192</v>
      </c>
      <c r="P75" s="33" t="s">
        <v>4192</v>
      </c>
      <c r="Q75" s="33" t="s">
        <v>4192</v>
      </c>
      <c r="R75" s="33"/>
      <c r="S75" s="33"/>
    </row>
    <row r="76" spans="1:1011" ht="14">
      <c r="A76" s="34" t="s">
        <v>3137</v>
      </c>
      <c r="B76" s="34"/>
      <c r="C76" s="34" t="s">
        <v>4408</v>
      </c>
      <c r="D76" s="33" t="s">
        <v>3141</v>
      </c>
      <c r="E76" s="33"/>
      <c r="F76" s="33">
        <v>600</v>
      </c>
      <c r="G76" s="33" t="b">
        <v>0</v>
      </c>
      <c r="H76" s="33" t="s">
        <v>45</v>
      </c>
      <c r="I76" s="33">
        <v>2</v>
      </c>
      <c r="J76" s="33" t="s">
        <v>4194</v>
      </c>
      <c r="K76" s="33" t="s">
        <v>4192</v>
      </c>
      <c r="L76" s="33" t="s">
        <v>4065</v>
      </c>
      <c r="M76" s="33" t="s">
        <v>4192</v>
      </c>
      <c r="N76" s="33" t="s">
        <v>4192</v>
      </c>
      <c r="O76" s="33" t="s">
        <v>4192</v>
      </c>
      <c r="P76" s="33" t="s">
        <v>2448</v>
      </c>
      <c r="Q76" s="33" t="s">
        <v>4152</v>
      </c>
      <c r="R76" s="33"/>
      <c r="S76" s="33"/>
    </row>
    <row r="77" spans="1:1011" ht="14">
      <c r="A77" s="25" t="s">
        <v>3893</v>
      </c>
      <c r="B77" s="25"/>
      <c r="C77" s="33"/>
      <c r="D77" s="34" t="s">
        <v>3894</v>
      </c>
      <c r="E77" s="34" t="s">
        <v>3152</v>
      </c>
      <c r="F77" s="33">
        <v>500</v>
      </c>
      <c r="G77" s="33" t="b">
        <v>1</v>
      </c>
      <c r="H77" s="33" t="s">
        <v>3041</v>
      </c>
      <c r="I77" s="33">
        <v>2</v>
      </c>
      <c r="J77" s="33" t="s">
        <v>4194</v>
      </c>
      <c r="K77" s="33" t="s">
        <v>4192</v>
      </c>
      <c r="L77" s="33" t="s">
        <v>4065</v>
      </c>
      <c r="M77" s="33" t="s">
        <v>4192</v>
      </c>
      <c r="N77" s="33" t="s">
        <v>4192</v>
      </c>
      <c r="O77" s="33" t="s">
        <v>4192</v>
      </c>
      <c r="P77" s="33" t="s">
        <v>2448</v>
      </c>
      <c r="Q77" s="33" t="s">
        <v>4152</v>
      </c>
      <c r="R77" s="33"/>
      <c r="S77" s="33"/>
    </row>
    <row r="78" spans="1:1011" ht="14">
      <c r="A78" s="34" t="s">
        <v>103</v>
      </c>
      <c r="B78" s="34"/>
      <c r="C78" s="34"/>
      <c r="D78" s="34" t="s">
        <v>104</v>
      </c>
      <c r="E78" s="34"/>
      <c r="F78" s="33">
        <v>450</v>
      </c>
      <c r="G78" s="33" t="b">
        <v>0</v>
      </c>
      <c r="H78" s="33" t="s">
        <v>24</v>
      </c>
      <c r="I78" s="33">
        <v>1</v>
      </c>
      <c r="J78" s="33" t="s">
        <v>4194</v>
      </c>
      <c r="K78" s="33" t="s">
        <v>4192</v>
      </c>
      <c r="L78" s="33" t="s">
        <v>4065</v>
      </c>
      <c r="M78" s="33" t="s">
        <v>4192</v>
      </c>
      <c r="N78" s="33" t="s">
        <v>4192</v>
      </c>
      <c r="O78" s="33" t="s">
        <v>4192</v>
      </c>
      <c r="P78" s="33" t="s">
        <v>2448</v>
      </c>
      <c r="Q78" s="33" t="s">
        <v>4192</v>
      </c>
      <c r="R78" s="33"/>
      <c r="S78" s="33"/>
    </row>
    <row r="79" spans="1:1011" ht="14">
      <c r="A79" s="34" t="s">
        <v>105</v>
      </c>
      <c r="B79" s="34"/>
      <c r="C79" s="34"/>
      <c r="D79" s="33" t="s">
        <v>106</v>
      </c>
      <c r="E79" s="33"/>
      <c r="F79" s="33">
        <v>500</v>
      </c>
      <c r="G79" s="33" t="b">
        <v>0</v>
      </c>
      <c r="H79" s="33" t="s">
        <v>65</v>
      </c>
      <c r="I79" s="33">
        <v>1</v>
      </c>
      <c r="J79" s="33" t="s">
        <v>4194</v>
      </c>
      <c r="K79" s="33" t="s">
        <v>4192</v>
      </c>
      <c r="L79" s="33" t="s">
        <v>4065</v>
      </c>
      <c r="M79" s="33" t="s">
        <v>4192</v>
      </c>
      <c r="N79" s="33" t="s">
        <v>4192</v>
      </c>
      <c r="O79" s="33" t="s">
        <v>4192</v>
      </c>
      <c r="P79" s="33" t="s">
        <v>2448</v>
      </c>
      <c r="Q79" s="33" t="s">
        <v>4152</v>
      </c>
      <c r="R79" s="33"/>
      <c r="S79" s="33"/>
    </row>
    <row r="80" spans="1:1011" ht="14">
      <c r="A80" s="25" t="s">
        <v>3988</v>
      </c>
      <c r="B80" s="25"/>
      <c r="C80" s="33"/>
      <c r="D80" s="34" t="s">
        <v>4008</v>
      </c>
      <c r="E80" s="34" t="s">
        <v>4043</v>
      </c>
      <c r="F80" s="33">
        <v>500</v>
      </c>
      <c r="G80" s="33" t="b">
        <v>1</v>
      </c>
      <c r="H80" s="33" t="s">
        <v>3041</v>
      </c>
      <c r="I80" s="33">
        <v>2</v>
      </c>
      <c r="J80" s="33" t="s">
        <v>4194</v>
      </c>
      <c r="K80" s="33" t="s">
        <v>4192</v>
      </c>
      <c r="L80" s="33" t="s">
        <v>4065</v>
      </c>
      <c r="M80" s="33" t="s">
        <v>4192</v>
      </c>
      <c r="N80" s="33" t="s">
        <v>4192</v>
      </c>
      <c r="O80" s="33" t="s">
        <v>4192</v>
      </c>
      <c r="P80" s="33" t="s">
        <v>2448</v>
      </c>
      <c r="Q80" s="33" t="s">
        <v>4152</v>
      </c>
      <c r="R80" s="33"/>
      <c r="S80" s="33"/>
    </row>
    <row r="81" spans="1:1011" ht="14">
      <c r="A81" s="34" t="s">
        <v>2979</v>
      </c>
      <c r="B81" s="34"/>
      <c r="C81" s="34"/>
      <c r="D81" s="34" t="s">
        <v>2994</v>
      </c>
      <c r="E81" s="34"/>
      <c r="F81" s="33">
        <v>500</v>
      </c>
      <c r="G81" s="33" t="b">
        <v>0</v>
      </c>
      <c r="H81" s="33" t="s">
        <v>20</v>
      </c>
      <c r="I81" s="33">
        <v>2</v>
      </c>
      <c r="J81" s="33" t="s">
        <v>4194</v>
      </c>
      <c r="K81" s="33" t="s">
        <v>4192</v>
      </c>
      <c r="L81" s="33" t="s">
        <v>4065</v>
      </c>
      <c r="M81" s="33" t="s">
        <v>4192</v>
      </c>
      <c r="N81" s="33" t="s">
        <v>4192</v>
      </c>
      <c r="O81" s="33" t="s">
        <v>4192</v>
      </c>
      <c r="P81" s="33" t="s">
        <v>2448</v>
      </c>
      <c r="Q81" s="33" t="s">
        <v>4152</v>
      </c>
      <c r="R81" s="33"/>
      <c r="S81" s="33"/>
    </row>
    <row r="82" spans="1:1011" ht="14">
      <c r="A82" s="34" t="s">
        <v>108</v>
      </c>
      <c r="B82" s="34"/>
      <c r="C82" s="34"/>
      <c r="D82" s="33" t="s">
        <v>109</v>
      </c>
      <c r="E82" s="33"/>
      <c r="F82" s="33">
        <v>500</v>
      </c>
      <c r="G82" s="33" t="b">
        <v>0</v>
      </c>
      <c r="H82" s="33" t="s">
        <v>36</v>
      </c>
      <c r="I82" s="33">
        <v>0</v>
      </c>
      <c r="J82" s="33" t="s">
        <v>4194</v>
      </c>
      <c r="K82" s="33" t="s">
        <v>4192</v>
      </c>
      <c r="L82" s="33" t="s">
        <v>4065</v>
      </c>
      <c r="M82" s="33" t="s">
        <v>4192</v>
      </c>
      <c r="N82" s="33" t="s">
        <v>4192</v>
      </c>
      <c r="O82" s="33" t="s">
        <v>4192</v>
      </c>
      <c r="P82" s="33" t="s">
        <v>2448</v>
      </c>
      <c r="Q82" s="33" t="s">
        <v>4192</v>
      </c>
      <c r="R82" s="33"/>
      <c r="S82" s="33"/>
    </row>
    <row r="83" spans="1:1011" ht="14">
      <c r="A83" s="33" t="s">
        <v>3873</v>
      </c>
      <c r="B83" s="33"/>
      <c r="C83" s="33" t="s">
        <v>3886</v>
      </c>
      <c r="D83" s="33" t="s">
        <v>3874</v>
      </c>
      <c r="E83" s="33"/>
      <c r="F83" s="33">
        <v>200</v>
      </c>
      <c r="G83" s="33" t="b">
        <v>0</v>
      </c>
      <c r="H83" s="33" t="s">
        <v>36</v>
      </c>
      <c r="I83" s="33">
        <v>0</v>
      </c>
      <c r="J83" s="33" t="s">
        <v>4194</v>
      </c>
      <c r="K83" s="33" t="s">
        <v>4192</v>
      </c>
      <c r="L83" s="33" t="s">
        <v>4065</v>
      </c>
      <c r="M83" s="33" t="s">
        <v>4192</v>
      </c>
      <c r="N83" s="33" t="s">
        <v>4192</v>
      </c>
      <c r="O83" s="33" t="s">
        <v>4192</v>
      </c>
      <c r="P83" s="33" t="s">
        <v>2448</v>
      </c>
      <c r="Q83" s="33" t="s">
        <v>4152</v>
      </c>
      <c r="R83" s="33"/>
      <c r="S83" s="33"/>
    </row>
    <row r="84" spans="1:1011" s="16" customFormat="1" ht="14">
      <c r="A84" s="34" t="s">
        <v>2978</v>
      </c>
      <c r="B84" s="34"/>
      <c r="C84" s="34"/>
      <c r="D84" s="34" t="s">
        <v>2993</v>
      </c>
      <c r="E84" s="34"/>
      <c r="F84" s="33">
        <v>500</v>
      </c>
      <c r="G84" s="33" t="b">
        <v>0</v>
      </c>
      <c r="H84" s="33" t="s">
        <v>20</v>
      </c>
      <c r="I84" s="33">
        <v>2</v>
      </c>
      <c r="J84" s="33" t="s">
        <v>4194</v>
      </c>
      <c r="K84" s="33" t="s">
        <v>4192</v>
      </c>
      <c r="L84" s="33" t="s">
        <v>4065</v>
      </c>
      <c r="M84" s="33" t="s">
        <v>4192</v>
      </c>
      <c r="N84" s="33" t="s">
        <v>4192</v>
      </c>
      <c r="O84" s="33" t="s">
        <v>4192</v>
      </c>
      <c r="P84" s="33" t="s">
        <v>2448</v>
      </c>
      <c r="Q84" s="33" t="s">
        <v>4152</v>
      </c>
      <c r="R84" s="33"/>
      <c r="S84" s="33"/>
      <c r="T84"/>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c r="GR84"/>
      <c r="GS84"/>
      <c r="GT84"/>
      <c r="GU84"/>
      <c r="GV84"/>
      <c r="GW84"/>
      <c r="GX84"/>
      <c r="GY84"/>
      <c r="GZ84"/>
      <c r="HA84"/>
      <c r="HB84"/>
      <c r="HC84"/>
      <c r="HD84"/>
      <c r="HE84"/>
      <c r="HF84"/>
      <c r="HG84"/>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c r="IW84"/>
      <c r="IX84"/>
      <c r="IY84"/>
      <c r="IZ84"/>
      <c r="JA84"/>
      <c r="JB84"/>
      <c r="JC84"/>
      <c r="JD84"/>
      <c r="JE84"/>
      <c r="JF84"/>
      <c r="JG84"/>
      <c r="JH84"/>
      <c r="JI84"/>
      <c r="JJ84"/>
      <c r="JK84"/>
      <c r="JL84"/>
      <c r="JM84"/>
      <c r="JN84"/>
      <c r="JO84"/>
      <c r="JP84"/>
      <c r="JQ84"/>
      <c r="JR84"/>
      <c r="JS84"/>
      <c r="JT84"/>
      <c r="JU84"/>
      <c r="JV84"/>
      <c r="JW84"/>
      <c r="JX84"/>
      <c r="JY84"/>
      <c r="JZ84"/>
      <c r="KA84"/>
      <c r="KB84"/>
      <c r="KC84"/>
      <c r="KD84"/>
      <c r="KE84"/>
      <c r="KF84"/>
      <c r="KG84"/>
      <c r="KH84"/>
      <c r="KI84"/>
      <c r="KJ84"/>
      <c r="KK84"/>
      <c r="KL84"/>
      <c r="KM84"/>
      <c r="KN84"/>
      <c r="KO84"/>
      <c r="KP84"/>
      <c r="KQ84"/>
      <c r="KR84"/>
      <c r="KS84"/>
      <c r="KT84"/>
      <c r="KU84"/>
      <c r="KV84"/>
      <c r="KW84"/>
      <c r="KX84"/>
      <c r="KY84"/>
      <c r="KZ84"/>
      <c r="LA84"/>
      <c r="LB84"/>
      <c r="LC84"/>
      <c r="LD84"/>
      <c r="LE84"/>
      <c r="LF84"/>
      <c r="LG84"/>
      <c r="LH84"/>
      <c r="LI84"/>
      <c r="LJ84"/>
      <c r="LK84"/>
      <c r="LL84"/>
      <c r="LM84"/>
      <c r="LN84"/>
      <c r="LO84"/>
      <c r="LP84"/>
      <c r="LQ84"/>
      <c r="LR84"/>
      <c r="LS84"/>
      <c r="LT84"/>
      <c r="LU84"/>
      <c r="LV84"/>
      <c r="LW84"/>
      <c r="LX84"/>
      <c r="LY84"/>
      <c r="LZ84"/>
      <c r="MA84"/>
      <c r="MB84"/>
      <c r="MC84"/>
      <c r="MD84"/>
      <c r="ME84"/>
      <c r="MF84"/>
      <c r="MG84"/>
      <c r="MH84"/>
      <c r="MI84"/>
      <c r="MJ84"/>
      <c r="MK84"/>
      <c r="ML84"/>
      <c r="MM84"/>
      <c r="MN84"/>
      <c r="MO84"/>
      <c r="MP84"/>
      <c r="MQ84"/>
      <c r="MR84"/>
      <c r="MS84"/>
      <c r="MT84"/>
      <c r="MU84"/>
      <c r="MV84"/>
      <c r="MW84"/>
      <c r="MX84"/>
      <c r="MY84"/>
      <c r="MZ84"/>
      <c r="NA84"/>
      <c r="NB84"/>
      <c r="NC84"/>
      <c r="ND84"/>
      <c r="NE84"/>
      <c r="NF84"/>
      <c r="NG84"/>
      <c r="NH84"/>
      <c r="NI84"/>
      <c r="NJ84"/>
      <c r="NK84"/>
      <c r="NL84"/>
      <c r="NM84"/>
      <c r="NN84"/>
      <c r="NO84"/>
      <c r="NP84"/>
      <c r="NQ84"/>
      <c r="NR84"/>
      <c r="NS84"/>
      <c r="NT84"/>
      <c r="NU84"/>
      <c r="NV84"/>
      <c r="NW84"/>
      <c r="NX84"/>
      <c r="NY84"/>
      <c r="NZ84"/>
      <c r="OA84"/>
      <c r="OB84"/>
      <c r="OC84"/>
      <c r="OD84"/>
      <c r="OE84"/>
      <c r="OF84"/>
      <c r="OG84"/>
      <c r="OH84"/>
      <c r="OI84"/>
      <c r="OJ84"/>
      <c r="OK84"/>
      <c r="OL84"/>
      <c r="OM84"/>
      <c r="ON84"/>
      <c r="OO84"/>
      <c r="OP84"/>
      <c r="OQ84"/>
      <c r="OR84"/>
      <c r="OS84"/>
      <c r="OT84"/>
      <c r="OU84"/>
      <c r="OV84"/>
      <c r="OW84"/>
      <c r="OX84"/>
      <c r="OY84"/>
      <c r="OZ84"/>
      <c r="PA84"/>
      <c r="PB84"/>
      <c r="PC84"/>
      <c r="PD84"/>
      <c r="PE84"/>
      <c r="PF84"/>
      <c r="PG84"/>
      <c r="PH84"/>
      <c r="PI84"/>
      <c r="PJ84"/>
      <c r="PK84"/>
      <c r="PL84"/>
      <c r="PM84"/>
      <c r="PN84"/>
      <c r="PO84"/>
      <c r="PP84"/>
      <c r="PQ84"/>
      <c r="PR84"/>
      <c r="PS84"/>
      <c r="PT84"/>
      <c r="PU84"/>
      <c r="PV84"/>
      <c r="PW84"/>
      <c r="PX84"/>
      <c r="PY84"/>
      <c r="PZ84"/>
      <c r="QA84"/>
      <c r="QB84"/>
      <c r="QC84"/>
      <c r="QD84"/>
      <c r="QE84"/>
      <c r="QF84"/>
      <c r="QG84"/>
      <c r="QH84"/>
      <c r="QI84"/>
      <c r="QJ84"/>
      <c r="QK84"/>
      <c r="QL84"/>
      <c r="QM84"/>
      <c r="QN84"/>
      <c r="QO84"/>
      <c r="QP84"/>
      <c r="QQ84"/>
      <c r="QR84"/>
      <c r="QS84"/>
      <c r="QT84"/>
      <c r="QU84"/>
      <c r="QV84"/>
      <c r="QW84"/>
      <c r="QX84"/>
      <c r="QY84"/>
      <c r="QZ84"/>
      <c r="RA84"/>
      <c r="RB84"/>
      <c r="RC84"/>
      <c r="RD84"/>
      <c r="RE84"/>
      <c r="RF84"/>
      <c r="RG84"/>
      <c r="RH84"/>
      <c r="RI84"/>
      <c r="RJ84"/>
      <c r="RK84"/>
      <c r="RL84"/>
      <c r="RM84"/>
      <c r="RN84"/>
      <c r="RO84"/>
      <c r="RP84"/>
      <c r="RQ84"/>
      <c r="RR84"/>
      <c r="RS84"/>
      <c r="RT84"/>
      <c r="RU84"/>
      <c r="RV84"/>
      <c r="RW84"/>
      <c r="RX84"/>
      <c r="RY84"/>
      <c r="RZ84"/>
      <c r="SA84"/>
      <c r="SB84"/>
      <c r="SC84"/>
      <c r="SD84"/>
      <c r="SE84"/>
      <c r="SF84"/>
      <c r="SG84"/>
      <c r="SH84"/>
      <c r="SI84"/>
      <c r="SJ84"/>
      <c r="SK84"/>
      <c r="SL84"/>
      <c r="SM84"/>
      <c r="SN84"/>
      <c r="SO84"/>
      <c r="SP84"/>
      <c r="SQ84"/>
      <c r="SR84"/>
      <c r="SS84"/>
      <c r="ST84"/>
      <c r="SU84"/>
      <c r="SV84"/>
      <c r="SW84"/>
      <c r="SX84"/>
      <c r="SY84"/>
      <c r="SZ84"/>
      <c r="TA84"/>
      <c r="TB84"/>
      <c r="TC84"/>
      <c r="TD84"/>
      <c r="TE84"/>
      <c r="TF84"/>
      <c r="TG84"/>
      <c r="TH84"/>
      <c r="TI84"/>
      <c r="TJ84"/>
      <c r="TK84"/>
      <c r="TL84"/>
      <c r="TM84"/>
      <c r="TN84"/>
      <c r="TO84"/>
      <c r="TP84"/>
      <c r="TQ84"/>
      <c r="TR84"/>
      <c r="TS84"/>
      <c r="TT84"/>
      <c r="TU84"/>
      <c r="TV84"/>
      <c r="TW84"/>
      <c r="TX84"/>
      <c r="TY84"/>
      <c r="TZ84"/>
      <c r="UA84"/>
      <c r="UB84"/>
      <c r="UC84"/>
      <c r="UD84"/>
      <c r="UE84"/>
      <c r="UF84"/>
      <c r="UG84"/>
      <c r="UH84"/>
      <c r="UI84"/>
      <c r="UJ84"/>
      <c r="UK84"/>
      <c r="UL84"/>
      <c r="UM84"/>
      <c r="UN84"/>
      <c r="UO84"/>
      <c r="UP84"/>
      <c r="UQ84"/>
      <c r="UR84"/>
      <c r="US84"/>
      <c r="UT84"/>
      <c r="UU84"/>
      <c r="UV84"/>
      <c r="UW84"/>
      <c r="UX84"/>
      <c r="UY84"/>
      <c r="UZ84"/>
      <c r="VA84"/>
      <c r="VB84"/>
      <c r="VC84"/>
      <c r="VD84"/>
      <c r="VE84"/>
      <c r="VF84"/>
      <c r="VG84"/>
      <c r="VH84"/>
      <c r="VI84"/>
      <c r="VJ84"/>
      <c r="VK84"/>
      <c r="VL84"/>
      <c r="VM84"/>
      <c r="VN84"/>
      <c r="VO84"/>
      <c r="VP84"/>
      <c r="VQ84"/>
      <c r="VR84"/>
      <c r="VS84"/>
      <c r="VT84"/>
      <c r="VU84"/>
      <c r="VV84"/>
      <c r="VW84"/>
      <c r="VX84"/>
      <c r="VY84"/>
      <c r="VZ84"/>
      <c r="WA84"/>
      <c r="WB84"/>
      <c r="WC84"/>
      <c r="WD84"/>
      <c r="WE84"/>
      <c r="WF84"/>
      <c r="WG84"/>
      <c r="WH84"/>
      <c r="WI84"/>
      <c r="WJ84"/>
      <c r="WK84"/>
      <c r="WL84"/>
      <c r="WM84"/>
      <c r="WN84"/>
      <c r="WO84"/>
      <c r="WP84"/>
      <c r="WQ84"/>
      <c r="WR84"/>
      <c r="WS84"/>
      <c r="WT84"/>
      <c r="WU84"/>
      <c r="WV84"/>
      <c r="WW84"/>
      <c r="WX84"/>
      <c r="WY84"/>
      <c r="WZ84"/>
      <c r="XA84"/>
      <c r="XB84"/>
      <c r="XC84"/>
      <c r="XD84"/>
      <c r="XE84"/>
      <c r="XF84"/>
      <c r="XG84"/>
      <c r="XH84"/>
      <c r="XI84"/>
      <c r="XJ84"/>
      <c r="XK84"/>
      <c r="XL84"/>
      <c r="XM84"/>
      <c r="XN84"/>
      <c r="XO84"/>
      <c r="XP84"/>
      <c r="XQ84"/>
      <c r="XR84"/>
      <c r="XS84"/>
      <c r="XT84"/>
      <c r="XU84"/>
      <c r="XV84"/>
      <c r="XW84"/>
      <c r="XX84"/>
      <c r="XY84"/>
      <c r="XZ84"/>
      <c r="YA84"/>
      <c r="YB84"/>
      <c r="YC84"/>
      <c r="YD84"/>
      <c r="YE84"/>
      <c r="YF84"/>
      <c r="YG84"/>
      <c r="YH84"/>
      <c r="YI84"/>
      <c r="YJ84"/>
      <c r="YK84"/>
      <c r="YL84"/>
      <c r="YM84"/>
      <c r="YN84"/>
      <c r="YO84"/>
      <c r="YP84"/>
      <c r="YQ84"/>
      <c r="YR84"/>
      <c r="YS84"/>
      <c r="YT84"/>
      <c r="YU84"/>
      <c r="YV84"/>
      <c r="YW84"/>
      <c r="YX84"/>
      <c r="YY84"/>
      <c r="YZ84"/>
      <c r="ZA84"/>
      <c r="ZB84"/>
      <c r="ZC84"/>
      <c r="ZD84"/>
      <c r="ZE84"/>
      <c r="ZF84"/>
      <c r="ZG84"/>
      <c r="ZH84"/>
      <c r="ZI84"/>
      <c r="ZJ84"/>
      <c r="ZK84"/>
      <c r="ZL84"/>
      <c r="ZM84"/>
      <c r="ZN84"/>
      <c r="ZO84"/>
      <c r="ZP84"/>
      <c r="ZQ84"/>
      <c r="ZR84"/>
      <c r="ZS84"/>
      <c r="ZT84"/>
      <c r="ZU84"/>
      <c r="ZV84"/>
      <c r="ZW84"/>
      <c r="ZX84"/>
      <c r="ZY84"/>
      <c r="ZZ84"/>
      <c r="AAA84"/>
      <c r="AAB84"/>
      <c r="AAC84"/>
      <c r="AAD84"/>
      <c r="AAE84"/>
      <c r="AAF84"/>
      <c r="AAG84"/>
      <c r="AAH84"/>
      <c r="AAI84"/>
      <c r="AAJ84"/>
      <c r="AAK84"/>
      <c r="AAL84"/>
      <c r="AAM84"/>
      <c r="AAN84"/>
      <c r="AAO84"/>
      <c r="AAP84"/>
      <c r="AAQ84"/>
      <c r="AAR84"/>
      <c r="AAS84"/>
      <c r="AAT84"/>
      <c r="AAU84"/>
      <c r="AAV84"/>
      <c r="AAW84"/>
      <c r="AAX84"/>
      <c r="AAY84"/>
      <c r="AAZ84"/>
      <c r="ABA84"/>
      <c r="ABB84"/>
      <c r="ABC84"/>
      <c r="ABD84"/>
      <c r="ABE84"/>
      <c r="ABF84"/>
      <c r="ABG84"/>
      <c r="ABH84"/>
      <c r="ABI84"/>
      <c r="ABJ84"/>
      <c r="ABK84"/>
      <c r="ABL84"/>
      <c r="ABM84"/>
      <c r="ABN84"/>
      <c r="ABO84"/>
      <c r="ABP84"/>
      <c r="ABQ84"/>
      <c r="ABR84"/>
      <c r="ABS84"/>
      <c r="ABT84"/>
      <c r="ABU84"/>
      <c r="ABV84"/>
      <c r="ABW84"/>
      <c r="ABX84"/>
      <c r="ABY84"/>
      <c r="ABZ84"/>
      <c r="ACA84"/>
      <c r="ACB84"/>
      <c r="ACC84"/>
      <c r="ACD84"/>
      <c r="ACE84"/>
      <c r="ACF84"/>
      <c r="ACG84"/>
      <c r="ACH84"/>
      <c r="ACI84"/>
      <c r="ACJ84"/>
      <c r="ACK84"/>
      <c r="ACL84"/>
      <c r="ACM84"/>
      <c r="ACN84"/>
      <c r="ACO84"/>
      <c r="ACP84"/>
      <c r="ACQ84"/>
      <c r="ACR84"/>
      <c r="ACS84"/>
      <c r="ACT84"/>
      <c r="ACU84"/>
      <c r="ACV84"/>
      <c r="ACW84"/>
      <c r="ACX84"/>
      <c r="ACY84"/>
      <c r="ACZ84"/>
      <c r="ADA84"/>
      <c r="ADB84"/>
      <c r="ADC84"/>
      <c r="ADD84"/>
      <c r="ADE84"/>
      <c r="ADF84"/>
      <c r="ADG84"/>
      <c r="ADH84"/>
      <c r="ADI84"/>
      <c r="ADJ84"/>
      <c r="ADK84"/>
      <c r="ADL84"/>
      <c r="ADM84"/>
      <c r="ADN84"/>
      <c r="ADO84"/>
      <c r="ADP84"/>
      <c r="ADQ84"/>
      <c r="ADR84"/>
      <c r="ADS84"/>
      <c r="ADT84"/>
      <c r="ADU84"/>
      <c r="ADV84"/>
      <c r="ADW84"/>
      <c r="ADX84"/>
      <c r="ADY84"/>
      <c r="ADZ84"/>
      <c r="AEA84"/>
      <c r="AEB84"/>
      <c r="AEC84"/>
      <c r="AED84"/>
      <c r="AEE84"/>
      <c r="AEF84"/>
      <c r="AEG84"/>
      <c r="AEH84"/>
      <c r="AEI84"/>
      <c r="AEJ84"/>
      <c r="AEK84"/>
      <c r="AEL84"/>
      <c r="AEM84"/>
      <c r="AEN84"/>
      <c r="AEO84"/>
      <c r="AEP84"/>
      <c r="AEQ84"/>
      <c r="AER84"/>
      <c r="AES84"/>
      <c r="AET84"/>
      <c r="AEU84"/>
      <c r="AEV84"/>
      <c r="AEW84"/>
      <c r="AEX84"/>
      <c r="AEY84"/>
      <c r="AEZ84"/>
      <c r="AFA84"/>
      <c r="AFB84"/>
      <c r="AFC84"/>
      <c r="AFD84"/>
      <c r="AFE84"/>
      <c r="AFF84"/>
      <c r="AFG84"/>
      <c r="AFH84"/>
      <c r="AFI84"/>
      <c r="AFJ84"/>
      <c r="AFK84"/>
      <c r="AFL84"/>
      <c r="AFM84"/>
      <c r="AFN84"/>
      <c r="AFO84"/>
      <c r="AFP84"/>
      <c r="AFQ84"/>
      <c r="AFR84"/>
      <c r="AFS84"/>
      <c r="AFT84"/>
      <c r="AFU84"/>
      <c r="AFV84"/>
      <c r="AFW84"/>
      <c r="AFX84"/>
      <c r="AFY84"/>
      <c r="AFZ84"/>
      <c r="AGA84"/>
      <c r="AGB84"/>
      <c r="AGC84"/>
      <c r="AGD84"/>
      <c r="AGE84"/>
      <c r="AGF84"/>
      <c r="AGG84"/>
      <c r="AGH84"/>
      <c r="AGI84"/>
      <c r="AGJ84"/>
      <c r="AGK84"/>
      <c r="AGL84"/>
      <c r="AGM84"/>
      <c r="AGN84"/>
      <c r="AGO84"/>
      <c r="AGP84"/>
      <c r="AGQ84"/>
      <c r="AGR84"/>
      <c r="AGS84"/>
      <c r="AGT84"/>
      <c r="AGU84"/>
      <c r="AGV84"/>
      <c r="AGW84"/>
      <c r="AGX84"/>
      <c r="AGY84"/>
      <c r="AGZ84"/>
      <c r="AHA84"/>
      <c r="AHB84"/>
      <c r="AHC84"/>
      <c r="AHD84"/>
      <c r="AHE84"/>
      <c r="AHF84"/>
      <c r="AHG84"/>
      <c r="AHH84"/>
      <c r="AHI84"/>
      <c r="AHJ84"/>
      <c r="AHK84"/>
      <c r="AHL84"/>
      <c r="AHM84"/>
      <c r="AHN84"/>
      <c r="AHO84"/>
      <c r="AHP84"/>
      <c r="AHQ84"/>
      <c r="AHR84"/>
      <c r="AHS84"/>
      <c r="AHT84"/>
      <c r="AHU84"/>
      <c r="AHV84"/>
      <c r="AHW84"/>
      <c r="AHX84"/>
      <c r="AHY84"/>
      <c r="AHZ84"/>
      <c r="AIA84"/>
      <c r="AIB84"/>
      <c r="AIC84"/>
      <c r="AID84"/>
      <c r="AIE84"/>
      <c r="AIF84"/>
      <c r="AIG84"/>
      <c r="AIH84"/>
      <c r="AII84"/>
      <c r="AIJ84"/>
      <c r="AIK84"/>
      <c r="AIL84"/>
      <c r="AIM84"/>
      <c r="AIN84"/>
      <c r="AIO84"/>
      <c r="AIP84"/>
      <c r="AIQ84"/>
      <c r="AIR84"/>
      <c r="AIS84"/>
      <c r="AIT84"/>
      <c r="AIU84"/>
      <c r="AIV84"/>
      <c r="AIW84"/>
      <c r="AIX84"/>
      <c r="AIY84"/>
      <c r="AIZ84"/>
      <c r="AJA84"/>
      <c r="AJB84"/>
      <c r="AJC84"/>
      <c r="AJD84"/>
      <c r="AJE84"/>
      <c r="AJF84"/>
      <c r="AJG84"/>
      <c r="AJH84"/>
      <c r="AJI84"/>
      <c r="AJJ84"/>
      <c r="AJK84"/>
      <c r="AJL84"/>
      <c r="AJM84"/>
      <c r="AJN84"/>
      <c r="AJO84"/>
      <c r="AJP84"/>
      <c r="AJQ84"/>
      <c r="AJR84"/>
      <c r="AJS84"/>
      <c r="AJT84"/>
      <c r="AJU84"/>
      <c r="AJV84"/>
      <c r="AJW84"/>
      <c r="AJX84"/>
      <c r="AJY84"/>
      <c r="AJZ84"/>
      <c r="AKA84"/>
      <c r="AKB84"/>
      <c r="AKC84"/>
      <c r="AKD84"/>
      <c r="AKE84"/>
      <c r="AKF84"/>
      <c r="AKG84"/>
      <c r="AKH84"/>
      <c r="AKI84"/>
      <c r="AKJ84"/>
      <c r="AKK84"/>
      <c r="AKL84"/>
      <c r="AKM84"/>
      <c r="AKN84"/>
      <c r="AKO84"/>
      <c r="AKP84"/>
      <c r="AKQ84"/>
      <c r="AKR84"/>
      <c r="AKS84"/>
      <c r="AKT84"/>
      <c r="AKU84"/>
      <c r="AKV84"/>
      <c r="AKW84"/>
      <c r="AKX84"/>
      <c r="AKY84"/>
      <c r="AKZ84"/>
      <c r="ALA84"/>
      <c r="ALB84"/>
      <c r="ALC84"/>
      <c r="ALD84"/>
      <c r="ALE84"/>
      <c r="ALF84"/>
      <c r="ALG84"/>
      <c r="ALH84"/>
      <c r="ALI84"/>
      <c r="ALJ84"/>
      <c r="ALK84"/>
      <c r="ALL84"/>
      <c r="ALM84"/>
      <c r="ALN84"/>
      <c r="ALO84"/>
      <c r="ALP84"/>
      <c r="ALQ84"/>
      <c r="ALR84"/>
      <c r="ALS84"/>
      <c r="ALT84"/>
      <c r="ALU84"/>
      <c r="ALV84"/>
      <c r="ALW84"/>
    </row>
    <row r="85" spans="1:1011" ht="14">
      <c r="A85" s="33" t="s">
        <v>110</v>
      </c>
      <c r="B85" s="33"/>
      <c r="C85" s="33"/>
      <c r="D85" s="33" t="s">
        <v>111</v>
      </c>
      <c r="E85" s="33"/>
      <c r="F85" s="33">
        <v>500</v>
      </c>
      <c r="G85" s="33" t="b">
        <v>0</v>
      </c>
      <c r="H85" s="33" t="s">
        <v>112</v>
      </c>
      <c r="I85" s="33">
        <v>0</v>
      </c>
      <c r="J85" s="33" t="s">
        <v>4195</v>
      </c>
      <c r="K85" s="33" t="s">
        <v>4192</v>
      </c>
      <c r="L85" s="33" t="s">
        <v>4065</v>
      </c>
      <c r="M85" s="33" t="s">
        <v>4192</v>
      </c>
      <c r="N85" s="33" t="s">
        <v>4192</v>
      </c>
      <c r="O85" s="33" t="s">
        <v>4192</v>
      </c>
      <c r="P85" s="33" t="s">
        <v>2448</v>
      </c>
      <c r="Q85" s="33" t="s">
        <v>4192</v>
      </c>
      <c r="R85" s="33"/>
      <c r="S85" s="33"/>
    </row>
    <row r="86" spans="1:1011" ht="14">
      <c r="A86" s="33" t="s">
        <v>113</v>
      </c>
      <c r="B86" s="33"/>
      <c r="C86" s="33"/>
      <c r="D86" s="33" t="s">
        <v>114</v>
      </c>
      <c r="E86" s="33"/>
      <c r="F86" s="33">
        <v>500</v>
      </c>
      <c r="G86" s="33" t="b">
        <v>0</v>
      </c>
      <c r="H86" s="33" t="s">
        <v>36</v>
      </c>
      <c r="I86" s="33">
        <v>0</v>
      </c>
      <c r="J86" s="33" t="s">
        <v>4195</v>
      </c>
      <c r="K86" s="33" t="s">
        <v>4192</v>
      </c>
      <c r="L86" s="33" t="s">
        <v>4065</v>
      </c>
      <c r="M86" s="33" t="s">
        <v>4192</v>
      </c>
      <c r="N86" s="33" t="s">
        <v>4192</v>
      </c>
      <c r="O86" s="33" t="s">
        <v>4192</v>
      </c>
      <c r="P86" s="33" t="s">
        <v>2448</v>
      </c>
      <c r="Q86" s="33" t="s">
        <v>4192</v>
      </c>
      <c r="R86" s="33"/>
      <c r="S86" s="33"/>
    </row>
    <row r="87" spans="1:1011" ht="14">
      <c r="A87" s="34" t="s">
        <v>2921</v>
      </c>
      <c r="B87" s="34"/>
      <c r="C87" s="34"/>
      <c r="D87" s="33" t="s">
        <v>3128</v>
      </c>
      <c r="E87" s="33"/>
      <c r="F87" s="33">
        <v>600</v>
      </c>
      <c r="G87" s="33" t="b">
        <v>0</v>
      </c>
      <c r="H87" s="33" t="s">
        <v>36</v>
      </c>
      <c r="I87" s="33">
        <v>0</v>
      </c>
      <c r="J87" s="33" t="s">
        <v>4194</v>
      </c>
      <c r="K87" s="33" t="s">
        <v>4192</v>
      </c>
      <c r="L87" s="33" t="s">
        <v>4065</v>
      </c>
      <c r="M87" s="33" t="s">
        <v>4192</v>
      </c>
      <c r="N87" s="33" t="s">
        <v>4192</v>
      </c>
      <c r="O87" s="33" t="s">
        <v>4192</v>
      </c>
      <c r="P87" s="33" t="s">
        <v>2448</v>
      </c>
      <c r="Q87" s="33" t="s">
        <v>4152</v>
      </c>
      <c r="R87" s="33"/>
      <c r="S87" s="33"/>
    </row>
    <row r="88" spans="1:1011" ht="14">
      <c r="A88" s="34" t="s">
        <v>3166</v>
      </c>
      <c r="B88" s="34"/>
      <c r="C88" s="34" t="s">
        <v>4797</v>
      </c>
      <c r="D88" s="33" t="s">
        <v>3167</v>
      </c>
      <c r="E88" s="33"/>
      <c r="F88" s="33">
        <v>659</v>
      </c>
      <c r="G88" s="33" t="b">
        <v>0</v>
      </c>
      <c r="H88" s="33" t="s">
        <v>36</v>
      </c>
      <c r="I88" s="33">
        <v>0</v>
      </c>
      <c r="J88" s="33" t="s">
        <v>4194</v>
      </c>
      <c r="K88" s="33" t="s">
        <v>4192</v>
      </c>
      <c r="L88" s="33" t="s">
        <v>4065</v>
      </c>
      <c r="M88" s="33" t="s">
        <v>4192</v>
      </c>
      <c r="N88" s="33" t="s">
        <v>4192</v>
      </c>
      <c r="O88" s="33" t="s">
        <v>4192</v>
      </c>
      <c r="P88" s="33" t="s">
        <v>2448</v>
      </c>
      <c r="Q88" s="33" t="s">
        <v>4152</v>
      </c>
      <c r="R88" s="33"/>
      <c r="S88" s="33"/>
    </row>
    <row r="89" spans="1:1011" ht="14">
      <c r="A89" s="34" t="s">
        <v>3042</v>
      </c>
      <c r="B89" s="34"/>
      <c r="C89" s="34"/>
      <c r="D89" s="33" t="s">
        <v>3159</v>
      </c>
      <c r="E89" s="33"/>
      <c r="F89" s="33">
        <v>600</v>
      </c>
      <c r="G89" s="33" t="b">
        <v>0</v>
      </c>
      <c r="H89" s="33" t="s">
        <v>36</v>
      </c>
      <c r="I89" s="33">
        <v>0</v>
      </c>
      <c r="J89" s="33" t="s">
        <v>4194</v>
      </c>
      <c r="K89" s="33" t="s">
        <v>4192</v>
      </c>
      <c r="L89" s="33" t="s">
        <v>4065</v>
      </c>
      <c r="M89" s="33" t="s">
        <v>4192</v>
      </c>
      <c r="N89" s="33" t="s">
        <v>4192</v>
      </c>
      <c r="O89" s="33" t="s">
        <v>4192</v>
      </c>
      <c r="P89" s="33" t="s">
        <v>2448</v>
      </c>
      <c r="Q89" s="33" t="s">
        <v>4152</v>
      </c>
      <c r="R89" s="33"/>
      <c r="S89" s="33"/>
    </row>
    <row r="90" spans="1:1011" ht="14">
      <c r="A90" s="34" t="s">
        <v>119</v>
      </c>
      <c r="B90" s="34"/>
      <c r="C90" s="34"/>
      <c r="D90" s="33" t="s">
        <v>3133</v>
      </c>
      <c r="E90" s="33"/>
      <c r="F90" s="33">
        <v>500</v>
      </c>
      <c r="G90" s="33" t="b">
        <v>0</v>
      </c>
      <c r="H90" s="33" t="s">
        <v>20</v>
      </c>
      <c r="I90" s="33">
        <v>2</v>
      </c>
      <c r="J90" s="33" t="s">
        <v>4194</v>
      </c>
      <c r="K90" s="33" t="s">
        <v>4192</v>
      </c>
      <c r="L90" s="33" t="s">
        <v>4065</v>
      </c>
      <c r="M90" s="33" t="s">
        <v>4192</v>
      </c>
      <c r="N90" s="33" t="s">
        <v>4192</v>
      </c>
      <c r="O90" s="33" t="s">
        <v>4192</v>
      </c>
      <c r="P90" s="33" t="s">
        <v>2448</v>
      </c>
      <c r="Q90" s="33" t="s">
        <v>4152</v>
      </c>
      <c r="R90" s="33"/>
      <c r="S90" s="33"/>
    </row>
    <row r="91" spans="1:1011" ht="24" customHeight="1">
      <c r="A91" s="34" t="s">
        <v>121</v>
      </c>
      <c r="B91" s="34"/>
      <c r="C91" s="34"/>
      <c r="D91" s="33" t="s">
        <v>3134</v>
      </c>
      <c r="E91" s="33"/>
      <c r="F91" s="33">
        <v>500</v>
      </c>
      <c r="G91" s="33" t="b">
        <v>0</v>
      </c>
      <c r="H91" s="33" t="s">
        <v>20</v>
      </c>
      <c r="I91" s="33">
        <v>2</v>
      </c>
      <c r="J91" s="33" t="s">
        <v>4194</v>
      </c>
      <c r="K91" s="33" t="s">
        <v>4192</v>
      </c>
      <c r="L91" s="33" t="s">
        <v>4065</v>
      </c>
      <c r="M91" s="33" t="s">
        <v>4192</v>
      </c>
      <c r="N91" s="33" t="s">
        <v>4192</v>
      </c>
      <c r="O91" s="33" t="s">
        <v>4192</v>
      </c>
      <c r="P91" s="33" t="s">
        <v>2448</v>
      </c>
      <c r="Q91" s="33" t="s">
        <v>4152</v>
      </c>
      <c r="R91" s="33"/>
      <c r="S91" s="33"/>
    </row>
    <row r="92" spans="1:1011" ht="14">
      <c r="A92" s="33" t="s">
        <v>55</v>
      </c>
      <c r="B92" s="33"/>
      <c r="C92" s="34" t="s">
        <v>3886</v>
      </c>
      <c r="D92" s="33" t="s">
        <v>56</v>
      </c>
      <c r="E92" s="33"/>
      <c r="F92" s="33">
        <v>200</v>
      </c>
      <c r="G92" s="33" t="b">
        <v>0</v>
      </c>
      <c r="H92" s="33" t="s">
        <v>54</v>
      </c>
      <c r="I92" s="33">
        <v>0</v>
      </c>
      <c r="J92" s="33" t="s">
        <v>4194</v>
      </c>
      <c r="K92" s="33" t="s">
        <v>4192</v>
      </c>
      <c r="L92" s="33" t="s">
        <v>4065</v>
      </c>
      <c r="M92" s="33" t="s">
        <v>4192</v>
      </c>
      <c r="N92" s="33" t="s">
        <v>4192</v>
      </c>
      <c r="O92" s="33" t="s">
        <v>4192</v>
      </c>
      <c r="P92" s="33" t="s">
        <v>2448</v>
      </c>
      <c r="Q92" s="33" t="s">
        <v>4192</v>
      </c>
      <c r="R92" s="33"/>
      <c r="S92" s="33"/>
    </row>
    <row r="93" spans="1:1011" ht="14">
      <c r="A93" s="34" t="s">
        <v>122</v>
      </c>
      <c r="B93" s="34"/>
      <c r="C93" s="34"/>
      <c r="D93" s="33" t="s">
        <v>3135</v>
      </c>
      <c r="E93" s="33"/>
      <c r="F93" s="33">
        <v>500</v>
      </c>
      <c r="G93" s="33" t="b">
        <v>0</v>
      </c>
      <c r="H93" s="33" t="s">
        <v>20</v>
      </c>
      <c r="I93" s="33">
        <v>2</v>
      </c>
      <c r="J93" s="33" t="s">
        <v>4194</v>
      </c>
      <c r="K93" s="33" t="s">
        <v>4192</v>
      </c>
      <c r="L93" s="33" t="s">
        <v>4065</v>
      </c>
      <c r="M93" s="33" t="s">
        <v>4192</v>
      </c>
      <c r="N93" s="33" t="s">
        <v>4192</v>
      </c>
      <c r="O93" s="33" t="s">
        <v>4192</v>
      </c>
      <c r="P93" s="33" t="s">
        <v>2448</v>
      </c>
      <c r="Q93" s="33" t="s">
        <v>4152</v>
      </c>
      <c r="R93" s="33"/>
      <c r="S93" s="33"/>
    </row>
    <row r="94" spans="1:1011" ht="14">
      <c r="A94" s="34" t="s">
        <v>124</v>
      </c>
      <c r="B94" s="34"/>
      <c r="C94" s="34"/>
      <c r="D94" s="33" t="s">
        <v>3136</v>
      </c>
      <c r="E94" s="33"/>
      <c r="F94" s="33">
        <v>500</v>
      </c>
      <c r="G94" s="33" t="b">
        <v>0</v>
      </c>
      <c r="H94" s="33" t="s">
        <v>20</v>
      </c>
      <c r="I94" s="33">
        <v>2</v>
      </c>
      <c r="J94" s="33" t="s">
        <v>4194</v>
      </c>
      <c r="K94" s="33" t="s">
        <v>4192</v>
      </c>
      <c r="L94" s="33" t="s">
        <v>4065</v>
      </c>
      <c r="M94" s="33" t="s">
        <v>4192</v>
      </c>
      <c r="N94" s="33" t="s">
        <v>4192</v>
      </c>
      <c r="O94" s="33" t="s">
        <v>4192</v>
      </c>
      <c r="P94" s="33" t="s">
        <v>2448</v>
      </c>
      <c r="Q94" s="33" t="s">
        <v>4152</v>
      </c>
      <c r="R94" s="33"/>
      <c r="S94" s="33"/>
    </row>
    <row r="95" spans="1:1011" ht="14">
      <c r="A95" s="33" t="s">
        <v>2943</v>
      </c>
      <c r="B95" s="33"/>
      <c r="C95" s="33"/>
      <c r="D95" s="33" t="s">
        <v>2944</v>
      </c>
      <c r="E95" s="33"/>
      <c r="F95" s="33">
        <v>500</v>
      </c>
      <c r="G95" s="33" t="b">
        <v>0</v>
      </c>
      <c r="H95" s="33" t="s">
        <v>36</v>
      </c>
      <c r="I95" s="33">
        <v>0</v>
      </c>
      <c r="J95" s="33" t="s">
        <v>4195</v>
      </c>
      <c r="K95" s="33" t="s">
        <v>4192</v>
      </c>
      <c r="L95" s="33" t="s">
        <v>4065</v>
      </c>
      <c r="M95" s="33" t="s">
        <v>4192</v>
      </c>
      <c r="N95" s="33" t="s">
        <v>4192</v>
      </c>
      <c r="O95" s="33" t="s">
        <v>4192</v>
      </c>
      <c r="P95" s="33" t="s">
        <v>2448</v>
      </c>
      <c r="Q95" s="33" t="s">
        <v>4192</v>
      </c>
      <c r="R95" s="33"/>
      <c r="S95" s="33"/>
    </row>
    <row r="96" spans="1:1011" ht="14">
      <c r="A96" s="33" t="s">
        <v>125</v>
      </c>
      <c r="B96" s="33" t="s">
        <v>4571</v>
      </c>
      <c r="C96" s="33"/>
      <c r="D96" s="33" t="s">
        <v>2669</v>
      </c>
      <c r="E96" s="33"/>
      <c r="F96" s="33">
        <v>500</v>
      </c>
      <c r="G96" s="33" t="b">
        <v>0</v>
      </c>
      <c r="H96" s="33" t="s">
        <v>36</v>
      </c>
      <c r="I96" s="33">
        <v>0</v>
      </c>
      <c r="J96" s="33" t="s">
        <v>4195</v>
      </c>
      <c r="K96" s="33" t="s">
        <v>4192</v>
      </c>
      <c r="L96" s="33" t="s">
        <v>4065</v>
      </c>
      <c r="M96" s="33" t="s">
        <v>4192</v>
      </c>
      <c r="N96" s="33" t="s">
        <v>4192</v>
      </c>
      <c r="O96" s="33" t="s">
        <v>4192</v>
      </c>
      <c r="P96" s="33" t="s">
        <v>2448</v>
      </c>
      <c r="Q96" s="33" t="s">
        <v>4192</v>
      </c>
      <c r="R96" s="33"/>
      <c r="S96" s="33"/>
    </row>
    <row r="97" spans="1:19" ht="14">
      <c r="A97" s="34" t="s">
        <v>57</v>
      </c>
      <c r="B97" s="34"/>
      <c r="C97" s="34" t="s">
        <v>3886</v>
      </c>
      <c r="D97" s="33" t="s">
        <v>58</v>
      </c>
      <c r="E97" s="33"/>
      <c r="F97" s="33">
        <v>200</v>
      </c>
      <c r="G97" s="33" t="b">
        <v>0</v>
      </c>
      <c r="H97" s="33" t="s">
        <v>54</v>
      </c>
      <c r="I97" s="33">
        <v>0</v>
      </c>
      <c r="J97" s="33" t="s">
        <v>4195</v>
      </c>
      <c r="K97" s="33" t="s">
        <v>4192</v>
      </c>
      <c r="L97" s="33" t="s">
        <v>4065</v>
      </c>
      <c r="M97" s="33" t="s">
        <v>4192</v>
      </c>
      <c r="N97" s="33" t="s">
        <v>4192</v>
      </c>
      <c r="O97" s="33" t="s">
        <v>4192</v>
      </c>
      <c r="P97" s="33" t="s">
        <v>2448</v>
      </c>
      <c r="Q97" s="33" t="s">
        <v>4192</v>
      </c>
      <c r="R97" s="33"/>
      <c r="S97" s="33"/>
    </row>
    <row r="98" spans="1:19" ht="14">
      <c r="A98" s="33" t="s">
        <v>4334</v>
      </c>
      <c r="B98" s="25"/>
      <c r="C98" s="25"/>
      <c r="D98" s="33" t="s">
        <v>4335</v>
      </c>
      <c r="E98" s="33"/>
      <c r="F98" s="33">
        <v>500</v>
      </c>
      <c r="G98" s="33" t="b">
        <v>0</v>
      </c>
      <c r="H98" s="33" t="s">
        <v>36</v>
      </c>
      <c r="I98" s="33">
        <v>0</v>
      </c>
      <c r="J98" s="33" t="s">
        <v>4196</v>
      </c>
      <c r="K98" s="33" t="s">
        <v>4192</v>
      </c>
      <c r="L98" s="33"/>
      <c r="M98" s="33" t="s">
        <v>4192</v>
      </c>
      <c r="N98" s="33" t="s">
        <v>4192</v>
      </c>
      <c r="O98" s="33" t="s">
        <v>4192</v>
      </c>
      <c r="P98" s="33" t="s">
        <v>2448</v>
      </c>
      <c r="Q98" s="33" t="s">
        <v>4152</v>
      </c>
      <c r="R98" s="33"/>
      <c r="S98" s="33"/>
    </row>
    <row r="99" spans="1:19" ht="14">
      <c r="A99" s="34" t="s">
        <v>129</v>
      </c>
      <c r="B99" s="34"/>
      <c r="C99" s="34"/>
      <c r="D99" s="33" t="s">
        <v>134</v>
      </c>
      <c r="E99" s="33"/>
      <c r="F99" s="33">
        <v>400</v>
      </c>
      <c r="G99" s="33" t="b">
        <v>0</v>
      </c>
      <c r="H99" s="33" t="s">
        <v>131</v>
      </c>
      <c r="I99" s="33">
        <v>1</v>
      </c>
      <c r="J99" s="33" t="s">
        <v>4195</v>
      </c>
      <c r="K99" s="33" t="s">
        <v>4192</v>
      </c>
      <c r="L99" s="33" t="s">
        <v>4065</v>
      </c>
      <c r="M99" s="33" t="s">
        <v>4192</v>
      </c>
      <c r="N99" s="33" t="s">
        <v>4192</v>
      </c>
      <c r="O99" s="33" t="s">
        <v>4192</v>
      </c>
      <c r="P99" s="33" t="s">
        <v>2448</v>
      </c>
      <c r="Q99" s="33" t="s">
        <v>4192</v>
      </c>
      <c r="R99" s="33"/>
      <c r="S99" s="33"/>
    </row>
    <row r="100" spans="1:19" ht="14">
      <c r="A100" s="34" t="s">
        <v>132</v>
      </c>
      <c r="B100" s="34"/>
      <c r="C100" s="34"/>
      <c r="D100" s="34" t="s">
        <v>133</v>
      </c>
      <c r="E100" s="34"/>
      <c r="F100" s="33">
        <v>400</v>
      </c>
      <c r="G100" s="33" t="b">
        <v>0</v>
      </c>
      <c r="H100" s="33" t="s">
        <v>131</v>
      </c>
      <c r="I100" s="33">
        <v>1</v>
      </c>
      <c r="J100" s="33" t="s">
        <v>4152</v>
      </c>
      <c r="K100" s="33" t="s">
        <v>4192</v>
      </c>
      <c r="L100" s="33" t="s">
        <v>4192</v>
      </c>
      <c r="M100" s="33" t="s">
        <v>4192</v>
      </c>
      <c r="N100" s="33" t="s">
        <v>4192</v>
      </c>
      <c r="O100" s="33" t="s">
        <v>4192</v>
      </c>
      <c r="P100" s="33" t="s">
        <v>4192</v>
      </c>
      <c r="Q100" s="33" t="s">
        <v>4152</v>
      </c>
      <c r="R100" s="33"/>
      <c r="S100" s="33"/>
    </row>
    <row r="101" spans="1:19" ht="14">
      <c r="A101" s="34" t="s">
        <v>128</v>
      </c>
      <c r="B101" s="34"/>
      <c r="C101" s="34"/>
      <c r="D101" s="34" t="s">
        <v>130</v>
      </c>
      <c r="E101" s="34"/>
      <c r="F101" s="33">
        <v>400</v>
      </c>
      <c r="G101" s="33" t="b">
        <v>0</v>
      </c>
      <c r="H101" s="33" t="s">
        <v>131</v>
      </c>
      <c r="I101" s="33">
        <v>1</v>
      </c>
      <c r="J101" s="33" t="s">
        <v>4195</v>
      </c>
      <c r="K101" s="33" t="s">
        <v>4192</v>
      </c>
      <c r="L101" s="33" t="s">
        <v>4065</v>
      </c>
      <c r="M101" s="33" t="s">
        <v>4192</v>
      </c>
      <c r="N101" s="33" t="s">
        <v>4192</v>
      </c>
      <c r="O101" s="33" t="s">
        <v>4192</v>
      </c>
      <c r="P101" s="33" t="s">
        <v>2448</v>
      </c>
      <c r="Q101" s="33" t="s">
        <v>4192</v>
      </c>
      <c r="R101" s="33"/>
      <c r="S101" s="33"/>
    </row>
    <row r="102" spans="1:19" ht="14">
      <c r="A102" s="33" t="s">
        <v>126</v>
      </c>
      <c r="B102" s="33"/>
      <c r="C102" s="33" t="s">
        <v>4572</v>
      </c>
      <c r="D102" s="33" t="s">
        <v>137</v>
      </c>
      <c r="E102" s="33"/>
      <c r="F102" s="33">
        <v>900</v>
      </c>
      <c r="G102" s="33" t="b">
        <v>0</v>
      </c>
      <c r="H102" s="33" t="s">
        <v>36</v>
      </c>
      <c r="I102" s="33">
        <v>0</v>
      </c>
      <c r="J102" s="33" t="s">
        <v>4194</v>
      </c>
      <c r="K102" s="33" t="s">
        <v>4192</v>
      </c>
      <c r="L102" s="33" t="s">
        <v>4065</v>
      </c>
      <c r="M102" s="33" t="s">
        <v>4192</v>
      </c>
      <c r="N102" s="33" t="s">
        <v>4192</v>
      </c>
      <c r="O102" s="33" t="s">
        <v>4192</v>
      </c>
      <c r="P102" s="33" t="s">
        <v>2448</v>
      </c>
      <c r="Q102" s="33" t="s">
        <v>4192</v>
      </c>
      <c r="R102" s="33"/>
      <c r="S102" s="33"/>
    </row>
    <row r="103" spans="1:19" ht="14">
      <c r="A103" s="25" t="s">
        <v>4061</v>
      </c>
      <c r="B103" s="25"/>
      <c r="C103" s="33"/>
      <c r="D103" s="34" t="s">
        <v>4062</v>
      </c>
      <c r="E103" s="34" t="s">
        <v>3154</v>
      </c>
      <c r="F103" s="33">
        <v>500</v>
      </c>
      <c r="G103" s="33" t="b">
        <v>1</v>
      </c>
      <c r="H103" s="33" t="s">
        <v>3041</v>
      </c>
      <c r="I103" s="33">
        <v>2</v>
      </c>
      <c r="J103" s="33" t="s">
        <v>4194</v>
      </c>
      <c r="K103" s="33" t="s">
        <v>4192</v>
      </c>
      <c r="L103" s="33" t="s">
        <v>4065</v>
      </c>
      <c r="M103" s="33" t="s">
        <v>4192</v>
      </c>
      <c r="N103" s="33" t="s">
        <v>4192</v>
      </c>
      <c r="O103" s="33" t="s">
        <v>4192</v>
      </c>
      <c r="P103" s="33" t="s">
        <v>2448</v>
      </c>
      <c r="Q103" s="33" t="s">
        <v>4152</v>
      </c>
      <c r="R103" s="33"/>
      <c r="S103" s="33"/>
    </row>
    <row r="104" spans="1:19" ht="14">
      <c r="A104" s="25" t="s">
        <v>4068</v>
      </c>
      <c r="B104" s="25"/>
      <c r="C104" s="33"/>
      <c r="D104" s="34" t="s">
        <v>4066</v>
      </c>
      <c r="E104" s="34" t="s">
        <v>4067</v>
      </c>
      <c r="F104" s="33">
        <v>500</v>
      </c>
      <c r="G104" s="33" t="b">
        <v>1</v>
      </c>
      <c r="H104" s="33" t="s">
        <v>3041</v>
      </c>
      <c r="I104" s="33">
        <v>2</v>
      </c>
      <c r="J104" s="33" t="s">
        <v>4194</v>
      </c>
      <c r="K104" s="33" t="s">
        <v>4192</v>
      </c>
      <c r="L104" s="33" t="s">
        <v>4065</v>
      </c>
      <c r="M104" s="33" t="s">
        <v>4192</v>
      </c>
      <c r="N104" s="33" t="s">
        <v>4192</v>
      </c>
      <c r="O104" s="33" t="s">
        <v>4192</v>
      </c>
      <c r="P104" s="33" t="s">
        <v>2448</v>
      </c>
      <c r="Q104" s="33" t="s">
        <v>4152</v>
      </c>
      <c r="R104" s="33"/>
      <c r="S104" s="33"/>
    </row>
    <row r="105" spans="1:19" ht="14">
      <c r="A105" s="25" t="s">
        <v>4076</v>
      </c>
      <c r="B105" s="33"/>
      <c r="C105" s="33"/>
      <c r="D105" s="34" t="s">
        <v>4470</v>
      </c>
      <c r="E105" s="34" t="s">
        <v>4077</v>
      </c>
      <c r="F105" s="33">
        <v>500</v>
      </c>
      <c r="G105" s="33" t="b">
        <v>1</v>
      </c>
      <c r="H105" s="33" t="s">
        <v>3041</v>
      </c>
      <c r="I105" s="33">
        <v>2</v>
      </c>
      <c r="J105" s="33" t="s">
        <v>4194</v>
      </c>
      <c r="K105" s="33" t="s">
        <v>4192</v>
      </c>
      <c r="L105" s="33" t="s">
        <v>4065</v>
      </c>
      <c r="M105" s="33" t="s">
        <v>4192</v>
      </c>
      <c r="N105" s="33" t="s">
        <v>4192</v>
      </c>
      <c r="O105" s="33" t="s">
        <v>4192</v>
      </c>
      <c r="P105" s="33" t="s">
        <v>2448</v>
      </c>
      <c r="Q105" s="33" t="s">
        <v>4152</v>
      </c>
      <c r="R105" s="33"/>
      <c r="S105" s="33"/>
    </row>
    <row r="106" spans="1:19" ht="14">
      <c r="A106" s="33" t="s">
        <v>3865</v>
      </c>
      <c r="B106" s="33"/>
      <c r="C106" s="33"/>
      <c r="D106" s="33" t="s">
        <v>3866</v>
      </c>
      <c r="E106" s="33"/>
      <c r="F106" s="33">
        <v>450</v>
      </c>
      <c r="G106" s="33" t="b">
        <v>0</v>
      </c>
      <c r="H106" s="33" t="s">
        <v>3867</v>
      </c>
      <c r="I106" s="33">
        <v>0</v>
      </c>
      <c r="J106" s="33" t="s">
        <v>4196</v>
      </c>
      <c r="K106" s="33" t="s">
        <v>4192</v>
      </c>
      <c r="L106" s="33" t="s">
        <v>4192</v>
      </c>
      <c r="M106" s="33" t="s">
        <v>4192</v>
      </c>
      <c r="N106" s="33" t="s">
        <v>4192</v>
      </c>
      <c r="O106" s="33" t="s">
        <v>4192</v>
      </c>
      <c r="P106" s="33" t="s">
        <v>2448</v>
      </c>
      <c r="Q106" s="33" t="s">
        <v>4152</v>
      </c>
      <c r="R106" s="33"/>
      <c r="S106" s="33"/>
    </row>
    <row r="107" spans="1:19" ht="14">
      <c r="A107" s="33" t="s">
        <v>140</v>
      </c>
      <c r="B107" s="33"/>
      <c r="C107" s="33" t="s">
        <v>3985</v>
      </c>
      <c r="D107" s="33" t="s">
        <v>141</v>
      </c>
      <c r="E107" s="33"/>
      <c r="F107" s="33">
        <v>500</v>
      </c>
      <c r="G107" s="33" t="b">
        <v>0</v>
      </c>
      <c r="H107" s="33" t="s">
        <v>36</v>
      </c>
      <c r="I107" s="33">
        <v>0</v>
      </c>
      <c r="J107" s="33" t="s">
        <v>4194</v>
      </c>
      <c r="K107" s="33" t="s">
        <v>4192</v>
      </c>
      <c r="L107" s="33" t="s">
        <v>4065</v>
      </c>
      <c r="M107" s="33" t="s">
        <v>4192</v>
      </c>
      <c r="N107" s="33" t="s">
        <v>4192</v>
      </c>
      <c r="O107" s="33" t="s">
        <v>4192</v>
      </c>
      <c r="P107" s="33" t="s">
        <v>2448</v>
      </c>
      <c r="Q107" s="33" t="s">
        <v>4192</v>
      </c>
      <c r="R107" s="33"/>
      <c r="S107" s="33"/>
    </row>
    <row r="108" spans="1:19" ht="14">
      <c r="A108" s="25" t="s">
        <v>4069</v>
      </c>
      <c r="B108" s="25"/>
      <c r="C108" s="33"/>
      <c r="D108" s="34" t="s">
        <v>4070</v>
      </c>
      <c r="E108" s="34" t="s">
        <v>4071</v>
      </c>
      <c r="F108" s="33">
        <v>500</v>
      </c>
      <c r="G108" s="33" t="b">
        <v>1</v>
      </c>
      <c r="H108" s="33" t="s">
        <v>3041</v>
      </c>
      <c r="I108" s="33">
        <v>2</v>
      </c>
      <c r="J108" s="33" t="s">
        <v>4194</v>
      </c>
      <c r="K108" s="33" t="s">
        <v>4192</v>
      </c>
      <c r="L108" s="33" t="s">
        <v>4065</v>
      </c>
      <c r="M108" s="33" t="s">
        <v>4192</v>
      </c>
      <c r="N108" s="33" t="s">
        <v>4192</v>
      </c>
      <c r="O108" s="33" t="s">
        <v>4192</v>
      </c>
      <c r="P108" s="33" t="s">
        <v>2448</v>
      </c>
      <c r="Q108" s="33" t="s">
        <v>4152</v>
      </c>
      <c r="R108" s="33"/>
      <c r="S108" s="33"/>
    </row>
    <row r="109" spans="1:19" ht="14">
      <c r="A109" s="25" t="s">
        <v>3993</v>
      </c>
      <c r="B109" s="25"/>
      <c r="C109" s="33"/>
      <c r="D109" s="34" t="s">
        <v>3977</v>
      </c>
      <c r="E109" s="34"/>
      <c r="F109" s="33">
        <v>500</v>
      </c>
      <c r="G109" s="33" t="b">
        <v>1</v>
      </c>
      <c r="H109" s="33" t="s">
        <v>3041</v>
      </c>
      <c r="I109" s="33">
        <v>2</v>
      </c>
      <c r="J109" s="33" t="s">
        <v>4194</v>
      </c>
      <c r="K109" s="33" t="s">
        <v>4192</v>
      </c>
      <c r="L109" s="33" t="s">
        <v>4065</v>
      </c>
      <c r="M109" s="33" t="s">
        <v>4192</v>
      </c>
      <c r="N109" s="33" t="s">
        <v>4192</v>
      </c>
      <c r="O109" s="33" t="s">
        <v>4192</v>
      </c>
      <c r="P109" s="33" t="s">
        <v>2448</v>
      </c>
      <c r="Q109" s="33" t="s">
        <v>4152</v>
      </c>
      <c r="R109" s="33"/>
      <c r="S109" s="33"/>
    </row>
    <row r="110" spans="1:19" ht="14">
      <c r="A110" s="33" t="s">
        <v>4107</v>
      </c>
      <c r="B110" s="33" t="s">
        <v>4110</v>
      </c>
      <c r="C110" s="33"/>
      <c r="D110" s="33" t="s">
        <v>3977</v>
      </c>
      <c r="E110" s="33"/>
      <c r="F110" s="33">
        <v>500</v>
      </c>
      <c r="G110" s="33" t="b">
        <v>1</v>
      </c>
      <c r="H110" s="33" t="s">
        <v>94</v>
      </c>
      <c r="I110" s="33">
        <v>0</v>
      </c>
      <c r="J110" s="33" t="s">
        <v>4205</v>
      </c>
      <c r="K110" s="33" t="s">
        <v>4192</v>
      </c>
      <c r="L110" s="33" t="s">
        <v>4065</v>
      </c>
      <c r="M110" s="33" t="s">
        <v>4192</v>
      </c>
      <c r="N110" s="33" t="s">
        <v>94</v>
      </c>
      <c r="O110" s="33" t="s">
        <v>4192</v>
      </c>
      <c r="P110" s="33" t="s">
        <v>4192</v>
      </c>
      <c r="Q110" s="33" t="s">
        <v>4192</v>
      </c>
      <c r="R110" s="33"/>
      <c r="S110" s="33"/>
    </row>
    <row r="111" spans="1:19" ht="14">
      <c r="A111" s="33" t="s">
        <v>4109</v>
      </c>
      <c r="B111" s="33" t="s">
        <v>4111</v>
      </c>
      <c r="C111" s="33"/>
      <c r="D111" s="33" t="s">
        <v>4117</v>
      </c>
      <c r="E111" s="33"/>
      <c r="F111" s="33">
        <v>500</v>
      </c>
      <c r="G111" s="33" t="b">
        <v>1</v>
      </c>
      <c r="H111" s="33" t="s">
        <v>94</v>
      </c>
      <c r="I111" s="33">
        <v>0</v>
      </c>
      <c r="J111" s="33" t="s">
        <v>4205</v>
      </c>
      <c r="K111" s="33" t="s">
        <v>4192</v>
      </c>
      <c r="L111" s="33" t="s">
        <v>4065</v>
      </c>
      <c r="M111" s="33" t="s">
        <v>4192</v>
      </c>
      <c r="N111" s="33" t="s">
        <v>94</v>
      </c>
      <c r="O111" s="33" t="s">
        <v>4192</v>
      </c>
      <c r="P111" s="33" t="s">
        <v>4192</v>
      </c>
      <c r="Q111" s="33" t="s">
        <v>4192</v>
      </c>
      <c r="R111" s="33"/>
      <c r="S111" s="33"/>
    </row>
    <row r="112" spans="1:19" ht="14">
      <c r="A112" s="33" t="s">
        <v>4108</v>
      </c>
      <c r="B112" s="33" t="s">
        <v>4111</v>
      </c>
      <c r="C112" s="33"/>
      <c r="D112" s="33" t="s">
        <v>4116</v>
      </c>
      <c r="E112" s="33"/>
      <c r="F112" s="33">
        <v>600</v>
      </c>
      <c r="G112" s="33" t="b">
        <v>1</v>
      </c>
      <c r="H112" s="33" t="s">
        <v>94</v>
      </c>
      <c r="I112" s="33">
        <v>0</v>
      </c>
      <c r="J112" s="33" t="s">
        <v>4205</v>
      </c>
      <c r="K112" s="33" t="s">
        <v>4192</v>
      </c>
      <c r="L112" s="33" t="s">
        <v>4065</v>
      </c>
      <c r="M112" s="33" t="s">
        <v>4192</v>
      </c>
      <c r="N112" s="33" t="s">
        <v>94</v>
      </c>
      <c r="O112" s="33" t="s">
        <v>4192</v>
      </c>
      <c r="P112" s="33" t="s">
        <v>4192</v>
      </c>
      <c r="Q112" s="33" t="s">
        <v>4192</v>
      </c>
      <c r="R112" s="33"/>
      <c r="S112" s="33"/>
    </row>
    <row r="113" spans="1:19" ht="14">
      <c r="A113" s="25" t="s">
        <v>4146</v>
      </c>
      <c r="B113" s="25"/>
      <c r="C113" s="33"/>
      <c r="D113" s="34" t="s">
        <v>4149</v>
      </c>
      <c r="E113" s="34"/>
      <c r="F113" s="33">
        <v>800</v>
      </c>
      <c r="G113" s="33" t="b">
        <v>1</v>
      </c>
      <c r="H113" s="33" t="s">
        <v>3041</v>
      </c>
      <c r="I113" s="33">
        <v>2</v>
      </c>
      <c r="J113" s="33" t="s">
        <v>4194</v>
      </c>
      <c r="K113" s="33" t="s">
        <v>4192</v>
      </c>
      <c r="L113" s="33" t="s">
        <v>4065</v>
      </c>
      <c r="M113" s="33" t="s">
        <v>4192</v>
      </c>
      <c r="N113" s="33" t="s">
        <v>4192</v>
      </c>
      <c r="O113" s="33" t="s">
        <v>4192</v>
      </c>
      <c r="P113" s="33" t="s">
        <v>2448</v>
      </c>
      <c r="Q113" s="33" t="s">
        <v>4152</v>
      </c>
      <c r="R113" s="33"/>
      <c r="S113" s="33"/>
    </row>
    <row r="114" spans="1:19" ht="14">
      <c r="A114" s="34" t="s">
        <v>21</v>
      </c>
      <c r="B114" s="34"/>
      <c r="C114" s="34" t="s">
        <v>3886</v>
      </c>
      <c r="D114" s="34" t="s">
        <v>23</v>
      </c>
      <c r="E114" s="34"/>
      <c r="F114" s="33">
        <v>550</v>
      </c>
      <c r="G114" s="33" t="b">
        <v>0</v>
      </c>
      <c r="H114" s="33" t="s">
        <v>24</v>
      </c>
      <c r="I114" s="33">
        <v>1</v>
      </c>
      <c r="J114" s="33" t="s">
        <v>4195</v>
      </c>
      <c r="K114" s="33" t="s">
        <v>4192</v>
      </c>
      <c r="L114" s="33" t="s">
        <v>4065</v>
      </c>
      <c r="M114" s="33" t="s">
        <v>4192</v>
      </c>
      <c r="N114" s="33" t="s">
        <v>4192</v>
      </c>
      <c r="O114" s="33" t="s">
        <v>4192</v>
      </c>
      <c r="P114" s="33" t="s">
        <v>2448</v>
      </c>
      <c r="Q114" s="33" t="s">
        <v>4192</v>
      </c>
      <c r="R114" s="33"/>
      <c r="S114" s="33"/>
    </row>
    <row r="115" spans="1:19" ht="14">
      <c r="A115" s="33" t="s">
        <v>2773</v>
      </c>
      <c r="B115" s="33"/>
      <c r="C115" s="33" t="s">
        <v>4146</v>
      </c>
      <c r="D115" s="33" t="s">
        <v>2774</v>
      </c>
      <c r="E115" s="33"/>
      <c r="F115" s="33">
        <v>500</v>
      </c>
      <c r="G115" s="33" t="b">
        <v>0</v>
      </c>
      <c r="H115" s="33" t="s">
        <v>36</v>
      </c>
      <c r="I115" s="33">
        <v>0</v>
      </c>
      <c r="J115" s="33" t="s">
        <v>2448</v>
      </c>
      <c r="K115" s="33" t="s">
        <v>4192</v>
      </c>
      <c r="L115" s="33" t="s">
        <v>4192</v>
      </c>
      <c r="M115" s="33" t="s">
        <v>4192</v>
      </c>
      <c r="N115" s="33" t="s">
        <v>4192</v>
      </c>
      <c r="O115" s="33" t="s">
        <v>4192</v>
      </c>
      <c r="P115" s="33" t="s">
        <v>2448</v>
      </c>
      <c r="Q115" s="33" t="s">
        <v>4192</v>
      </c>
      <c r="R115" s="33"/>
      <c r="S115" s="33"/>
    </row>
    <row r="116" spans="1:19" ht="14">
      <c r="A116" s="33" t="s">
        <v>4210</v>
      </c>
      <c r="B116" s="33" t="s">
        <v>4191</v>
      </c>
      <c r="C116" s="33" t="s">
        <v>4146</v>
      </c>
      <c r="D116" s="33" t="s">
        <v>4211</v>
      </c>
      <c r="E116" s="33"/>
      <c r="F116" s="33">
        <v>500</v>
      </c>
      <c r="G116" s="33" t="b">
        <v>1</v>
      </c>
      <c r="H116" s="33" t="s">
        <v>36</v>
      </c>
      <c r="I116" s="33">
        <v>0</v>
      </c>
      <c r="J116" s="33" t="s">
        <v>4194</v>
      </c>
      <c r="K116" s="33" t="s">
        <v>4192</v>
      </c>
      <c r="L116" s="33" t="s">
        <v>4065</v>
      </c>
      <c r="M116" s="33" t="s">
        <v>4192</v>
      </c>
      <c r="N116" s="33" t="s">
        <v>4192</v>
      </c>
      <c r="O116" s="33" t="s">
        <v>4192</v>
      </c>
      <c r="P116" s="33" t="s">
        <v>2448</v>
      </c>
      <c r="Q116" s="33" t="s">
        <v>4152</v>
      </c>
      <c r="R116" s="33"/>
      <c r="S116" s="33"/>
    </row>
    <row r="117" spans="1:19" ht="14">
      <c r="A117" s="33" t="s">
        <v>144</v>
      </c>
      <c r="B117" s="33" t="s">
        <v>4680</v>
      </c>
      <c r="C117" s="33" t="s">
        <v>146</v>
      </c>
      <c r="D117" s="33" t="s">
        <v>145</v>
      </c>
      <c r="E117" s="33"/>
      <c r="F117" s="33">
        <v>400</v>
      </c>
      <c r="G117" s="33" t="b">
        <v>0</v>
      </c>
      <c r="H117" s="33" t="s">
        <v>94</v>
      </c>
      <c r="I117" s="33">
        <v>0</v>
      </c>
      <c r="J117" s="33" t="s">
        <v>4205</v>
      </c>
      <c r="K117" s="33" t="s">
        <v>4192</v>
      </c>
      <c r="L117" s="33" t="s">
        <v>4065</v>
      </c>
      <c r="M117" s="33" t="s">
        <v>4192</v>
      </c>
      <c r="N117" s="33" t="s">
        <v>94</v>
      </c>
      <c r="O117" s="33" t="s">
        <v>4192</v>
      </c>
      <c r="P117" s="33" t="s">
        <v>4192</v>
      </c>
      <c r="Q117" s="33" t="s">
        <v>4192</v>
      </c>
      <c r="R117" s="33"/>
      <c r="S117" s="33"/>
    </row>
    <row r="118" spans="1:19" ht="14">
      <c r="A118" s="33" t="s">
        <v>146</v>
      </c>
      <c r="B118" s="33"/>
      <c r="C118" s="33" t="s">
        <v>4113</v>
      </c>
      <c r="D118" s="33" t="s">
        <v>4106</v>
      </c>
      <c r="E118" s="33"/>
      <c r="F118" s="33">
        <v>500</v>
      </c>
      <c r="G118" s="33" t="b">
        <v>0</v>
      </c>
      <c r="H118" s="33" t="s">
        <v>94</v>
      </c>
      <c r="I118" s="33">
        <v>0</v>
      </c>
      <c r="J118" s="33" t="s">
        <v>4205</v>
      </c>
      <c r="K118" s="33" t="s">
        <v>4192</v>
      </c>
      <c r="L118" s="33" t="s">
        <v>4065</v>
      </c>
      <c r="M118" s="33" t="s">
        <v>4192</v>
      </c>
      <c r="N118" s="33" t="s">
        <v>94</v>
      </c>
      <c r="O118" s="33" t="s">
        <v>4192</v>
      </c>
      <c r="P118" s="33" t="s">
        <v>4192</v>
      </c>
      <c r="Q118" s="33" t="s">
        <v>4192</v>
      </c>
      <c r="R118" s="33"/>
      <c r="S118" s="33"/>
    </row>
    <row r="119" spans="1:19" ht="14">
      <c r="A119" s="34" t="s">
        <v>151</v>
      </c>
      <c r="B119" s="34"/>
      <c r="C119" s="34" t="s">
        <v>4019</v>
      </c>
      <c r="D119" s="34" t="s">
        <v>152</v>
      </c>
      <c r="E119" s="34"/>
      <c r="F119" s="33">
        <v>550</v>
      </c>
      <c r="G119" s="33" t="b">
        <v>0</v>
      </c>
      <c r="H119" s="33" t="s">
        <v>24</v>
      </c>
      <c r="I119" s="33">
        <v>1</v>
      </c>
      <c r="J119" s="33" t="s">
        <v>4195</v>
      </c>
      <c r="K119" s="33" t="s">
        <v>4192</v>
      </c>
      <c r="L119" s="33" t="s">
        <v>4065</v>
      </c>
      <c r="M119" s="33" t="s">
        <v>4192</v>
      </c>
      <c r="N119" s="33" t="s">
        <v>4192</v>
      </c>
      <c r="O119" s="33" t="s">
        <v>4192</v>
      </c>
      <c r="P119" s="33" t="s">
        <v>2448</v>
      </c>
      <c r="Q119" s="33" t="s">
        <v>4192</v>
      </c>
      <c r="R119" s="33"/>
      <c r="S119" s="33"/>
    </row>
    <row r="120" spans="1:19" ht="14">
      <c r="A120" s="33" t="s">
        <v>2823</v>
      </c>
      <c r="B120" s="33"/>
      <c r="C120" s="33"/>
      <c r="D120" s="33" t="s">
        <v>2824</v>
      </c>
      <c r="E120" s="33"/>
      <c r="F120" s="33">
        <v>500</v>
      </c>
      <c r="G120" s="33" t="b">
        <v>0</v>
      </c>
      <c r="H120" s="33" t="s">
        <v>40</v>
      </c>
      <c r="I120" s="33">
        <v>1</v>
      </c>
      <c r="J120" s="33" t="s">
        <v>4194</v>
      </c>
      <c r="K120" s="33" t="s">
        <v>4192</v>
      </c>
      <c r="L120" s="33" t="s">
        <v>4065</v>
      </c>
      <c r="M120" s="33" t="s">
        <v>4192</v>
      </c>
      <c r="N120" s="33" t="s">
        <v>4192</v>
      </c>
      <c r="O120" s="33" t="s">
        <v>4192</v>
      </c>
      <c r="P120" s="33" t="s">
        <v>2448</v>
      </c>
      <c r="Q120" s="33" t="s">
        <v>4152</v>
      </c>
      <c r="R120" s="33"/>
      <c r="S120" s="33"/>
    </row>
    <row r="121" spans="1:19" ht="14">
      <c r="A121" s="33" t="s">
        <v>3085</v>
      </c>
      <c r="B121" s="33"/>
      <c r="C121" s="33"/>
      <c r="D121" s="33" t="s">
        <v>3086</v>
      </c>
      <c r="E121" s="33"/>
      <c r="F121" s="33">
        <v>600</v>
      </c>
      <c r="G121" s="33" t="b">
        <v>0</v>
      </c>
      <c r="H121" s="33" t="s">
        <v>36</v>
      </c>
      <c r="I121" s="33">
        <v>0</v>
      </c>
      <c r="J121" s="33" t="s">
        <v>4198</v>
      </c>
      <c r="K121" s="33" t="s">
        <v>4192</v>
      </c>
      <c r="L121" s="33" t="s">
        <v>4065</v>
      </c>
      <c r="M121" s="33" t="s">
        <v>4192</v>
      </c>
      <c r="N121" s="33" t="s">
        <v>4192</v>
      </c>
      <c r="O121" s="33" t="s">
        <v>4199</v>
      </c>
      <c r="P121" s="33" t="s">
        <v>4192</v>
      </c>
      <c r="Q121" s="33" t="s">
        <v>4192</v>
      </c>
      <c r="R121" s="33"/>
      <c r="S121" s="33"/>
    </row>
    <row r="122" spans="1:19" ht="14">
      <c r="A122" s="33" t="s">
        <v>171</v>
      </c>
      <c r="B122" s="33"/>
      <c r="C122" s="33"/>
      <c r="D122" s="33" t="s">
        <v>172</v>
      </c>
      <c r="E122" s="33"/>
      <c r="F122" s="33">
        <v>500</v>
      </c>
      <c r="G122" s="33" t="b">
        <v>0</v>
      </c>
      <c r="H122" s="33" t="s">
        <v>164</v>
      </c>
      <c r="I122" s="33">
        <v>0</v>
      </c>
      <c r="J122" s="33" t="s">
        <v>4193</v>
      </c>
      <c r="K122" s="33" t="s">
        <v>4192</v>
      </c>
      <c r="L122" s="33" t="s">
        <v>4065</v>
      </c>
      <c r="M122" s="33" t="s">
        <v>164</v>
      </c>
      <c r="N122" s="33" t="s">
        <v>4192</v>
      </c>
      <c r="O122" s="33" t="s">
        <v>4192</v>
      </c>
      <c r="P122" s="33" t="s">
        <v>4192</v>
      </c>
      <c r="Q122" s="33" t="s">
        <v>4192</v>
      </c>
      <c r="R122" s="33"/>
      <c r="S122" s="33"/>
    </row>
    <row r="123" spans="1:19" ht="14">
      <c r="A123" s="33" t="s">
        <v>153</v>
      </c>
      <c r="B123" s="33"/>
      <c r="C123" s="33"/>
      <c r="D123" s="33" t="s">
        <v>154</v>
      </c>
      <c r="E123" s="33"/>
      <c r="F123" s="33">
        <v>500</v>
      </c>
      <c r="G123" s="33" t="b">
        <v>0</v>
      </c>
      <c r="H123" s="33" t="s">
        <v>20</v>
      </c>
      <c r="I123" s="33">
        <v>2</v>
      </c>
      <c r="J123" s="33" t="s">
        <v>4204</v>
      </c>
      <c r="K123" s="33" t="s">
        <v>4192</v>
      </c>
      <c r="L123" s="33" t="s">
        <v>4065</v>
      </c>
      <c r="M123" s="33" t="s">
        <v>4192</v>
      </c>
      <c r="N123" s="33" t="s">
        <v>4192</v>
      </c>
      <c r="O123" s="33" t="s">
        <v>4199</v>
      </c>
      <c r="P123" s="33" t="s">
        <v>2448</v>
      </c>
      <c r="Q123" s="33" t="s">
        <v>4152</v>
      </c>
      <c r="R123" s="33"/>
      <c r="S123" s="33"/>
    </row>
    <row r="124" spans="1:19" ht="14">
      <c r="A124" s="33" t="s">
        <v>173</v>
      </c>
      <c r="B124" s="33"/>
      <c r="C124" s="33"/>
      <c r="D124" s="33" t="s">
        <v>174</v>
      </c>
      <c r="E124" s="33"/>
      <c r="F124" s="33">
        <v>300</v>
      </c>
      <c r="G124" s="33" t="b">
        <v>0</v>
      </c>
      <c r="H124" s="33" t="s">
        <v>164</v>
      </c>
      <c r="I124" s="33">
        <v>0</v>
      </c>
      <c r="J124" s="33" t="s">
        <v>164</v>
      </c>
      <c r="K124" s="33" t="s">
        <v>4192</v>
      </c>
      <c r="L124" s="33" t="s">
        <v>4192</v>
      </c>
      <c r="M124" s="33" t="s">
        <v>164</v>
      </c>
      <c r="N124" s="33" t="s">
        <v>4192</v>
      </c>
      <c r="O124" s="33" t="s">
        <v>4192</v>
      </c>
      <c r="P124" s="33" t="s">
        <v>4192</v>
      </c>
      <c r="Q124" s="33" t="s">
        <v>4192</v>
      </c>
      <c r="R124" s="33"/>
      <c r="S124" s="33"/>
    </row>
    <row r="125" spans="1:19" ht="14">
      <c r="A125" s="34" t="s">
        <v>25</v>
      </c>
      <c r="B125" s="34"/>
      <c r="C125" s="34"/>
      <c r="D125" s="33" t="s">
        <v>27</v>
      </c>
      <c r="E125" s="33"/>
      <c r="F125" s="33">
        <v>500</v>
      </c>
      <c r="G125" s="33" t="b">
        <v>0</v>
      </c>
      <c r="H125" s="33" t="s">
        <v>28</v>
      </c>
      <c r="I125" s="33">
        <v>3</v>
      </c>
      <c r="J125" s="33" t="s">
        <v>4195</v>
      </c>
      <c r="K125" s="33" t="s">
        <v>4192</v>
      </c>
      <c r="L125" s="33" t="s">
        <v>4065</v>
      </c>
      <c r="M125" s="33" t="s">
        <v>4192</v>
      </c>
      <c r="N125" s="33" t="s">
        <v>4192</v>
      </c>
      <c r="O125" s="33" t="s">
        <v>4192</v>
      </c>
      <c r="P125" s="33" t="s">
        <v>2448</v>
      </c>
      <c r="Q125" s="33" t="s">
        <v>4192</v>
      </c>
      <c r="R125" s="33"/>
      <c r="S125" s="33"/>
    </row>
    <row r="126" spans="1:19" ht="14">
      <c r="A126" s="33" t="s">
        <v>3021</v>
      </c>
      <c r="B126" s="33"/>
      <c r="C126" s="33"/>
      <c r="D126" s="33" t="s">
        <v>3020</v>
      </c>
      <c r="E126" s="33"/>
      <c r="F126" s="33">
        <v>500</v>
      </c>
      <c r="G126" s="33" t="b">
        <v>0</v>
      </c>
      <c r="H126" s="33" t="s">
        <v>36</v>
      </c>
      <c r="I126" s="33">
        <v>0</v>
      </c>
      <c r="J126" s="33" t="s">
        <v>4194</v>
      </c>
      <c r="K126" s="33" t="s">
        <v>4192</v>
      </c>
      <c r="L126" s="33" t="s">
        <v>4065</v>
      </c>
      <c r="M126" s="33" t="s">
        <v>4192</v>
      </c>
      <c r="N126" s="33" t="s">
        <v>4192</v>
      </c>
      <c r="O126" s="33" t="s">
        <v>4192</v>
      </c>
      <c r="P126" s="33" t="s">
        <v>2448</v>
      </c>
      <c r="Q126" s="33" t="s">
        <v>4152</v>
      </c>
      <c r="R126" s="33"/>
      <c r="S126" s="33"/>
    </row>
    <row r="127" spans="1:19" ht="14">
      <c r="A127" s="33" t="s">
        <v>88</v>
      </c>
      <c r="B127" s="33"/>
      <c r="C127" s="33"/>
      <c r="D127" s="33" t="s">
        <v>89</v>
      </c>
      <c r="E127" s="33"/>
      <c r="F127" s="33">
        <v>500</v>
      </c>
      <c r="G127" s="33" t="b">
        <v>0</v>
      </c>
      <c r="H127" s="33" t="s">
        <v>90</v>
      </c>
      <c r="I127" s="33">
        <v>0</v>
      </c>
      <c r="J127" s="33" t="s">
        <v>4195</v>
      </c>
      <c r="K127" s="33" t="s">
        <v>4192</v>
      </c>
      <c r="L127" s="33" t="s">
        <v>4065</v>
      </c>
      <c r="M127" s="33" t="s">
        <v>4192</v>
      </c>
      <c r="N127" s="33" t="s">
        <v>4192</v>
      </c>
      <c r="O127" s="33" t="s">
        <v>4192</v>
      </c>
      <c r="P127" s="33" t="s">
        <v>2448</v>
      </c>
      <c r="Q127" s="33" t="s">
        <v>4192</v>
      </c>
      <c r="R127" s="33"/>
      <c r="S127" s="33"/>
    </row>
    <row r="128" spans="1:19" ht="14">
      <c r="A128" s="34" t="s">
        <v>156</v>
      </c>
      <c r="B128" s="34"/>
      <c r="C128" s="34"/>
      <c r="D128" s="33" t="s">
        <v>157</v>
      </c>
      <c r="E128" s="33"/>
      <c r="F128" s="33">
        <v>500</v>
      </c>
      <c r="G128" s="33" t="b">
        <v>0</v>
      </c>
      <c r="H128" s="33" t="s">
        <v>131</v>
      </c>
      <c r="I128" s="33">
        <v>1</v>
      </c>
      <c r="J128" s="33" t="s">
        <v>4195</v>
      </c>
      <c r="K128" s="33" t="s">
        <v>4192</v>
      </c>
      <c r="L128" s="33" t="s">
        <v>4065</v>
      </c>
      <c r="M128" s="33" t="s">
        <v>4192</v>
      </c>
      <c r="N128" s="33" t="s">
        <v>4192</v>
      </c>
      <c r="O128" s="33" t="s">
        <v>4192</v>
      </c>
      <c r="P128" s="33" t="s">
        <v>2448</v>
      </c>
      <c r="Q128" s="33" t="s">
        <v>4192</v>
      </c>
      <c r="R128" s="33"/>
      <c r="S128" s="33"/>
    </row>
    <row r="129" spans="1:19" ht="14">
      <c r="A129" s="33" t="s">
        <v>2779</v>
      </c>
      <c r="B129" s="33"/>
      <c r="C129" s="33"/>
      <c r="D129" s="33" t="s">
        <v>3019</v>
      </c>
      <c r="E129" s="33"/>
      <c r="F129" s="33">
        <v>650</v>
      </c>
      <c r="G129" s="33" t="b">
        <v>0</v>
      </c>
      <c r="H129" s="33" t="s">
        <v>40</v>
      </c>
      <c r="I129" s="33">
        <v>0</v>
      </c>
      <c r="J129" s="33" t="s">
        <v>4194</v>
      </c>
      <c r="K129" s="33" t="s">
        <v>4192</v>
      </c>
      <c r="L129" s="33" t="s">
        <v>4065</v>
      </c>
      <c r="M129" s="33" t="s">
        <v>4192</v>
      </c>
      <c r="N129" s="33" t="s">
        <v>4192</v>
      </c>
      <c r="O129" s="33" t="s">
        <v>4192</v>
      </c>
      <c r="P129" s="33" t="s">
        <v>2448</v>
      </c>
      <c r="Q129" s="33" t="s">
        <v>4152</v>
      </c>
      <c r="R129" s="33"/>
      <c r="S129" s="33"/>
    </row>
    <row r="130" spans="1:19" ht="14">
      <c r="A130" s="33" t="s">
        <v>4112</v>
      </c>
      <c r="B130" s="33" t="s">
        <v>4114</v>
      </c>
      <c r="C130" s="33"/>
      <c r="D130" s="33" t="s">
        <v>4118</v>
      </c>
      <c r="E130" s="33"/>
      <c r="F130" s="33">
        <v>500</v>
      </c>
      <c r="G130" s="33" t="b">
        <v>1</v>
      </c>
      <c r="H130" s="33" t="s">
        <v>94</v>
      </c>
      <c r="I130" s="33">
        <v>0</v>
      </c>
      <c r="J130" s="33" t="s">
        <v>4205</v>
      </c>
      <c r="K130" s="33" t="s">
        <v>4192</v>
      </c>
      <c r="L130" s="33" t="s">
        <v>4065</v>
      </c>
      <c r="M130" s="33" t="s">
        <v>4192</v>
      </c>
      <c r="N130" s="33" t="s">
        <v>94</v>
      </c>
      <c r="O130" s="33" t="s">
        <v>4192</v>
      </c>
      <c r="P130" s="33" t="s">
        <v>4192</v>
      </c>
      <c r="Q130" s="33" t="s">
        <v>4192</v>
      </c>
      <c r="R130" s="33"/>
      <c r="S130" s="33"/>
    </row>
    <row r="131" spans="1:19" ht="14">
      <c r="A131" s="25" t="s">
        <v>3890</v>
      </c>
      <c r="B131" s="25"/>
      <c r="C131" s="33"/>
      <c r="D131" s="34" t="s">
        <v>3892</v>
      </c>
      <c r="E131" s="34" t="s">
        <v>2468</v>
      </c>
      <c r="F131" s="33">
        <v>500</v>
      </c>
      <c r="G131" s="33" t="b">
        <v>1</v>
      </c>
      <c r="H131" s="33" t="s">
        <v>3041</v>
      </c>
      <c r="I131" s="33">
        <v>2</v>
      </c>
      <c r="J131" s="33" t="s">
        <v>4194</v>
      </c>
      <c r="K131" s="33" t="s">
        <v>4192</v>
      </c>
      <c r="L131" s="33" t="s">
        <v>4065</v>
      </c>
      <c r="M131" s="33" t="s">
        <v>4192</v>
      </c>
      <c r="N131" s="33" t="s">
        <v>4192</v>
      </c>
      <c r="O131" s="33" t="s">
        <v>4192</v>
      </c>
      <c r="P131" s="33" t="s">
        <v>2448</v>
      </c>
      <c r="Q131" s="33" t="s">
        <v>4152</v>
      </c>
      <c r="R131" s="33"/>
      <c r="S131" s="33"/>
    </row>
    <row r="132" spans="1:19" ht="14">
      <c r="A132" s="33" t="s">
        <v>59</v>
      </c>
      <c r="B132" s="33"/>
      <c r="C132" s="34" t="s">
        <v>3886</v>
      </c>
      <c r="D132" s="33" t="s">
        <v>60</v>
      </c>
      <c r="E132" s="33"/>
      <c r="F132" s="33">
        <v>200</v>
      </c>
      <c r="G132" s="33" t="b">
        <v>0</v>
      </c>
      <c r="H132" s="33" t="s">
        <v>54</v>
      </c>
      <c r="I132" s="33">
        <v>0</v>
      </c>
      <c r="J132" s="33" t="s">
        <v>4194</v>
      </c>
      <c r="K132" s="33" t="s">
        <v>4192</v>
      </c>
      <c r="L132" s="33" t="s">
        <v>4065</v>
      </c>
      <c r="M132" s="33" t="s">
        <v>4192</v>
      </c>
      <c r="N132" s="33" t="s">
        <v>4192</v>
      </c>
      <c r="O132" s="33" t="s">
        <v>4192</v>
      </c>
      <c r="P132" s="33" t="s">
        <v>2448</v>
      </c>
      <c r="Q132" s="33" t="s">
        <v>4192</v>
      </c>
      <c r="R132" s="33"/>
      <c r="S132" s="33"/>
    </row>
    <row r="133" spans="1:19" ht="14">
      <c r="A133" s="34" t="s">
        <v>158</v>
      </c>
      <c r="B133" s="34"/>
      <c r="C133" s="34" t="s">
        <v>4017</v>
      </c>
      <c r="D133" s="33" t="s">
        <v>159</v>
      </c>
      <c r="E133" s="33"/>
      <c r="F133" s="33">
        <v>500</v>
      </c>
      <c r="G133" s="33" t="b">
        <v>0</v>
      </c>
      <c r="H133" s="33" t="s">
        <v>36</v>
      </c>
      <c r="I133" s="33">
        <v>0</v>
      </c>
      <c r="J133" s="33" t="s">
        <v>4194</v>
      </c>
      <c r="K133" s="33" t="s">
        <v>4192</v>
      </c>
      <c r="L133" s="33" t="s">
        <v>4065</v>
      </c>
      <c r="M133" s="33" t="s">
        <v>4192</v>
      </c>
      <c r="N133" s="33" t="s">
        <v>4192</v>
      </c>
      <c r="O133" s="33" t="s">
        <v>4192</v>
      </c>
      <c r="P133" s="33" t="s">
        <v>2448</v>
      </c>
      <c r="Q133" s="33" t="s">
        <v>4192</v>
      </c>
      <c r="R133" s="33"/>
      <c r="S133" s="33"/>
    </row>
    <row r="134" spans="1:19" ht="14">
      <c r="A134" s="34" t="s">
        <v>160</v>
      </c>
      <c r="B134" s="34"/>
      <c r="C134" s="34"/>
      <c r="D134" s="33" t="s">
        <v>2672</v>
      </c>
      <c r="E134" s="33"/>
      <c r="F134" s="33">
        <v>500</v>
      </c>
      <c r="G134" s="33" t="b">
        <v>0</v>
      </c>
      <c r="H134" s="33" t="s">
        <v>36</v>
      </c>
      <c r="I134" s="33">
        <v>0</v>
      </c>
      <c r="J134" s="33" t="s">
        <v>4195</v>
      </c>
      <c r="K134" s="33" t="s">
        <v>4192</v>
      </c>
      <c r="L134" s="33" t="s">
        <v>4065</v>
      </c>
      <c r="M134" s="33" t="s">
        <v>4192</v>
      </c>
      <c r="N134" s="33" t="s">
        <v>4192</v>
      </c>
      <c r="O134" s="33" t="s">
        <v>4192</v>
      </c>
      <c r="P134" s="33" t="s">
        <v>2448</v>
      </c>
      <c r="Q134" s="33" t="s">
        <v>4192</v>
      </c>
      <c r="R134" s="33"/>
      <c r="S134" s="33"/>
    </row>
    <row r="135" spans="1:19" ht="14">
      <c r="A135" s="25" t="s">
        <v>3987</v>
      </c>
      <c r="B135" s="25"/>
      <c r="C135" s="33"/>
      <c r="D135" s="34" t="s">
        <v>4435</v>
      </c>
      <c r="E135" s="34" t="s">
        <v>3945</v>
      </c>
      <c r="F135" s="33">
        <v>500</v>
      </c>
      <c r="G135" s="33" t="b">
        <v>1</v>
      </c>
      <c r="H135" s="33" t="s">
        <v>3041</v>
      </c>
      <c r="I135" s="33">
        <v>2</v>
      </c>
      <c r="J135" s="33" t="s">
        <v>4194</v>
      </c>
      <c r="K135" s="33" t="s">
        <v>4192</v>
      </c>
      <c r="L135" s="33" t="s">
        <v>4065</v>
      </c>
      <c r="M135" s="33" t="s">
        <v>4192</v>
      </c>
      <c r="N135" s="33" t="s">
        <v>4192</v>
      </c>
      <c r="O135" s="33" t="s">
        <v>4192</v>
      </c>
      <c r="P135" s="33" t="s">
        <v>2448</v>
      </c>
      <c r="Q135" s="33" t="s">
        <v>4152</v>
      </c>
      <c r="R135" s="33"/>
      <c r="S135" s="33"/>
    </row>
    <row r="136" spans="1:19" ht="14">
      <c r="A136" s="33" t="s">
        <v>4189</v>
      </c>
      <c r="B136" s="33" t="s">
        <v>4190</v>
      </c>
      <c r="C136" s="33" t="s">
        <v>146</v>
      </c>
      <c r="D136" s="33" t="s">
        <v>4184</v>
      </c>
      <c r="E136" s="33"/>
      <c r="F136" s="33">
        <v>400</v>
      </c>
      <c r="G136" s="33" t="b">
        <v>0</v>
      </c>
      <c r="H136" s="33" t="s">
        <v>94</v>
      </c>
      <c r="I136" s="33">
        <v>0</v>
      </c>
      <c r="J136" s="33" t="s">
        <v>4205</v>
      </c>
      <c r="K136" s="33" t="s">
        <v>4192</v>
      </c>
      <c r="L136" s="33" t="s">
        <v>4065</v>
      </c>
      <c r="M136" s="33" t="s">
        <v>4192</v>
      </c>
      <c r="N136" s="33" t="s">
        <v>94</v>
      </c>
      <c r="O136" s="33" t="s">
        <v>4192</v>
      </c>
      <c r="P136" s="33" t="s">
        <v>4192</v>
      </c>
      <c r="Q136" s="33" t="s">
        <v>4192</v>
      </c>
      <c r="R136" s="33"/>
      <c r="S136" s="33"/>
    </row>
    <row r="137" spans="1:19" ht="14">
      <c r="A137" s="25" t="s">
        <v>3991</v>
      </c>
      <c r="B137" s="25"/>
      <c r="C137" s="33"/>
      <c r="D137" s="34" t="s">
        <v>3973</v>
      </c>
      <c r="E137" s="34" t="s">
        <v>3974</v>
      </c>
      <c r="F137" s="33">
        <v>500</v>
      </c>
      <c r="G137" s="33" t="b">
        <v>1</v>
      </c>
      <c r="H137" s="33" t="s">
        <v>3041</v>
      </c>
      <c r="I137" s="33">
        <v>2</v>
      </c>
      <c r="J137" s="33" t="s">
        <v>4194</v>
      </c>
      <c r="K137" s="33" t="s">
        <v>4192</v>
      </c>
      <c r="L137" s="33" t="s">
        <v>4065</v>
      </c>
      <c r="M137" s="33" t="s">
        <v>4192</v>
      </c>
      <c r="N137" s="33" t="s">
        <v>4192</v>
      </c>
      <c r="O137" s="33" t="s">
        <v>4192</v>
      </c>
      <c r="P137" s="33" t="s">
        <v>2448</v>
      </c>
      <c r="Q137" s="33" t="s">
        <v>4152</v>
      </c>
      <c r="R137" s="33"/>
      <c r="S137" s="33"/>
    </row>
    <row r="138" spans="1:19" ht="14">
      <c r="A138" s="25" t="s">
        <v>3888</v>
      </c>
      <c r="B138" s="25"/>
      <c r="C138" s="33"/>
      <c r="D138" s="34" t="s">
        <v>3940</v>
      </c>
      <c r="E138" s="34" t="s">
        <v>4040</v>
      </c>
      <c r="F138" s="33">
        <v>500</v>
      </c>
      <c r="G138" s="33" t="b">
        <v>1</v>
      </c>
      <c r="H138" s="33" t="s">
        <v>3041</v>
      </c>
      <c r="I138" s="33">
        <v>2</v>
      </c>
      <c r="J138" s="33" t="s">
        <v>4194</v>
      </c>
      <c r="K138" s="33" t="s">
        <v>4192</v>
      </c>
      <c r="L138" s="33" t="s">
        <v>4065</v>
      </c>
      <c r="M138" s="33" t="s">
        <v>4192</v>
      </c>
      <c r="N138" s="33" t="s">
        <v>4192</v>
      </c>
      <c r="O138" s="33" t="s">
        <v>4192</v>
      </c>
      <c r="P138" s="33" t="s">
        <v>2448</v>
      </c>
      <c r="Q138" s="33" t="s">
        <v>4152</v>
      </c>
      <c r="R138" s="33"/>
      <c r="S138" s="33"/>
    </row>
    <row r="139" spans="1:19" ht="14">
      <c r="A139" s="25" t="s">
        <v>3989</v>
      </c>
      <c r="B139" s="25"/>
      <c r="C139" s="33"/>
      <c r="D139" s="34" t="s">
        <v>3954</v>
      </c>
      <c r="E139" s="34" t="s">
        <v>3941</v>
      </c>
      <c r="F139" s="33">
        <v>500</v>
      </c>
      <c r="G139" s="33" t="b">
        <v>1</v>
      </c>
      <c r="H139" s="33" t="s">
        <v>3041</v>
      </c>
      <c r="I139" s="33">
        <v>2</v>
      </c>
      <c r="J139" s="33" t="s">
        <v>4194</v>
      </c>
      <c r="K139" s="33" t="s">
        <v>4192</v>
      </c>
      <c r="L139" s="33" t="s">
        <v>4065</v>
      </c>
      <c r="M139" s="33" t="s">
        <v>4192</v>
      </c>
      <c r="N139" s="33" t="s">
        <v>4192</v>
      </c>
      <c r="O139" s="33" t="s">
        <v>4192</v>
      </c>
      <c r="P139" s="33" t="s">
        <v>2448</v>
      </c>
      <c r="Q139" s="33" t="s">
        <v>4152</v>
      </c>
      <c r="R139" s="33"/>
      <c r="S139" s="33"/>
    </row>
    <row r="140" spans="1:19" ht="14">
      <c r="A140" s="33" t="s">
        <v>92</v>
      </c>
      <c r="B140" s="33"/>
      <c r="C140" s="33"/>
      <c r="D140" s="33" t="s">
        <v>97</v>
      </c>
      <c r="E140" s="33"/>
      <c r="F140" s="33">
        <v>550</v>
      </c>
      <c r="G140" s="33" t="b">
        <v>0</v>
      </c>
      <c r="H140" s="33" t="s">
        <v>94</v>
      </c>
      <c r="I140" s="33">
        <v>0</v>
      </c>
      <c r="J140" s="33" t="s">
        <v>4205</v>
      </c>
      <c r="K140" s="33" t="s">
        <v>4192</v>
      </c>
      <c r="L140" s="33" t="s">
        <v>4065</v>
      </c>
      <c r="M140" s="33" t="s">
        <v>4192</v>
      </c>
      <c r="N140" s="33" t="s">
        <v>94</v>
      </c>
      <c r="O140" s="33" t="s">
        <v>4192</v>
      </c>
      <c r="P140" s="33" t="s">
        <v>4192</v>
      </c>
      <c r="Q140" s="33" t="s">
        <v>4192</v>
      </c>
      <c r="R140" s="33"/>
      <c r="S140" s="33"/>
    </row>
    <row r="141" spans="1:19" ht="14">
      <c r="A141" s="33" t="s">
        <v>4150</v>
      </c>
      <c r="B141" s="33"/>
      <c r="C141" s="33" t="s">
        <v>3886</v>
      </c>
      <c r="D141" s="33" t="s">
        <v>4151</v>
      </c>
      <c r="E141" s="33"/>
      <c r="F141" s="33">
        <v>600</v>
      </c>
      <c r="G141" s="33" t="b">
        <v>0</v>
      </c>
      <c r="H141" s="33" t="s">
        <v>36</v>
      </c>
      <c r="I141" s="33">
        <v>0</v>
      </c>
      <c r="J141" s="33" t="s">
        <v>4196</v>
      </c>
      <c r="K141" s="33"/>
      <c r="L141" s="33"/>
      <c r="M141" s="33"/>
      <c r="N141" s="33"/>
      <c r="O141" s="33"/>
      <c r="P141" s="33" t="s">
        <v>2448</v>
      </c>
      <c r="Q141" s="33" t="s">
        <v>4152</v>
      </c>
      <c r="R141" s="33"/>
      <c r="S141" s="33"/>
    </row>
    <row r="142" spans="1:19" ht="14">
      <c r="A142" s="25" t="s">
        <v>153</v>
      </c>
      <c r="B142" t="s">
        <v>4415</v>
      </c>
      <c r="D142" s="34" t="s">
        <v>4412</v>
      </c>
      <c r="E142" s="34" t="s">
        <v>1921</v>
      </c>
      <c r="F142" s="33">
        <v>500</v>
      </c>
      <c r="G142" s="33" t="b">
        <v>1</v>
      </c>
      <c r="H142" s="33" t="s">
        <v>3041</v>
      </c>
      <c r="I142" s="33">
        <v>0</v>
      </c>
      <c r="J142" s="33" t="s">
        <v>4413</v>
      </c>
      <c r="L142" s="33" t="s">
        <v>4065</v>
      </c>
      <c r="M142" s="33" t="s">
        <v>4192</v>
      </c>
      <c r="N142" s="33" t="s">
        <v>4192</v>
      </c>
      <c r="O142" s="33" t="s">
        <v>4192</v>
      </c>
      <c r="P142" s="33" t="s">
        <v>2448</v>
      </c>
      <c r="Q142" s="33" t="s">
        <v>4152</v>
      </c>
    </row>
    <row r="143" spans="1:19" ht="14">
      <c r="A143" t="s">
        <v>120</v>
      </c>
      <c r="D143" s="34" t="s">
        <v>4427</v>
      </c>
      <c r="E143" s="34" t="s">
        <v>1921</v>
      </c>
      <c r="F143" s="33">
        <v>600</v>
      </c>
      <c r="G143" s="33" t="b">
        <v>1</v>
      </c>
      <c r="H143" s="33" t="s">
        <v>3041</v>
      </c>
      <c r="I143" s="33">
        <v>0</v>
      </c>
      <c r="J143" s="33" t="s">
        <v>4413</v>
      </c>
      <c r="L143" s="33" t="s">
        <v>4065</v>
      </c>
      <c r="M143" s="33" t="s">
        <v>4192</v>
      </c>
      <c r="N143" s="33" t="s">
        <v>4192</v>
      </c>
      <c r="O143" s="33" t="s">
        <v>4192</v>
      </c>
      <c r="P143" s="33" t="s">
        <v>2448</v>
      </c>
      <c r="Q143" s="33" t="s">
        <v>4152</v>
      </c>
    </row>
    <row r="144" spans="1:19" ht="14">
      <c r="A144" t="s">
        <v>123</v>
      </c>
      <c r="D144" s="34" t="s">
        <v>4428</v>
      </c>
      <c r="E144" s="34" t="s">
        <v>1921</v>
      </c>
      <c r="F144" s="33">
        <v>600</v>
      </c>
      <c r="G144" s="33" t="b">
        <v>1</v>
      </c>
      <c r="H144" s="33" t="s">
        <v>3041</v>
      </c>
      <c r="I144" s="33">
        <v>0</v>
      </c>
      <c r="J144" s="33" t="s">
        <v>4413</v>
      </c>
      <c r="L144" s="33" t="s">
        <v>4065</v>
      </c>
      <c r="M144" s="33" t="s">
        <v>4192</v>
      </c>
      <c r="N144" s="33" t="s">
        <v>4192</v>
      </c>
      <c r="O144" s="33" t="s">
        <v>4192</v>
      </c>
      <c r="P144" s="33" t="s">
        <v>2448</v>
      </c>
      <c r="Q144" s="33" t="s">
        <v>4152</v>
      </c>
    </row>
    <row r="145" spans="1:17" ht="14">
      <c r="A145" t="s">
        <v>70</v>
      </c>
      <c r="D145" s="34" t="s">
        <v>71</v>
      </c>
      <c r="F145" s="33">
        <v>600</v>
      </c>
      <c r="G145" s="33" t="b">
        <v>0</v>
      </c>
      <c r="H145" s="33" t="s">
        <v>40</v>
      </c>
      <c r="I145" s="33">
        <v>0</v>
      </c>
      <c r="J145" s="33" t="s">
        <v>4413</v>
      </c>
      <c r="L145" s="33" t="s">
        <v>4065</v>
      </c>
      <c r="M145" s="33" t="s">
        <v>4192</v>
      </c>
      <c r="N145" s="33" t="s">
        <v>4192</v>
      </c>
      <c r="O145" s="33" t="s">
        <v>4192</v>
      </c>
      <c r="P145" s="33" t="s">
        <v>2448</v>
      </c>
      <c r="Q145" s="33" t="s">
        <v>4152</v>
      </c>
    </row>
    <row r="146" spans="1:17" ht="14">
      <c r="A146" t="s">
        <v>4455</v>
      </c>
      <c r="C146" t="s">
        <v>4467</v>
      </c>
      <c r="D146" s="34" t="s">
        <v>4450</v>
      </c>
      <c r="F146" s="33">
        <v>800</v>
      </c>
      <c r="G146" s="33" t="b">
        <v>0</v>
      </c>
      <c r="H146" s="33" t="s">
        <v>40</v>
      </c>
      <c r="I146" s="33">
        <v>0</v>
      </c>
      <c r="J146" s="33" t="s">
        <v>4413</v>
      </c>
      <c r="L146" s="33" t="s">
        <v>4065</v>
      </c>
      <c r="M146" s="33" t="s">
        <v>4192</v>
      </c>
      <c r="N146" s="33" t="s">
        <v>4192</v>
      </c>
      <c r="O146" s="33" t="s">
        <v>4192</v>
      </c>
      <c r="P146" s="33" t="s">
        <v>2448</v>
      </c>
      <c r="Q146" s="33" t="s">
        <v>4152</v>
      </c>
    </row>
    <row r="147" spans="1:17" ht="14">
      <c r="A147" t="s">
        <v>4451</v>
      </c>
      <c r="D147" s="34" t="s">
        <v>4469</v>
      </c>
      <c r="F147" s="33">
        <v>750</v>
      </c>
      <c r="G147" s="33" t="b">
        <v>1</v>
      </c>
      <c r="H147" s="33" t="s">
        <v>40</v>
      </c>
      <c r="I147" s="33">
        <v>0</v>
      </c>
      <c r="J147" s="33" t="s">
        <v>4413</v>
      </c>
      <c r="L147" s="33" t="s">
        <v>4065</v>
      </c>
      <c r="M147" s="33" t="s">
        <v>4192</v>
      </c>
      <c r="N147" s="33" t="s">
        <v>4192</v>
      </c>
      <c r="O147" s="33" t="s">
        <v>4192</v>
      </c>
      <c r="P147" s="33" t="s">
        <v>2448</v>
      </c>
      <c r="Q147" s="33" t="s">
        <v>4152</v>
      </c>
    </row>
    <row r="148" spans="1:17" ht="14">
      <c r="A148" t="s">
        <v>4491</v>
      </c>
      <c r="B148" t="s">
        <v>4493</v>
      </c>
      <c r="D148" s="34" t="s">
        <v>4494</v>
      </c>
      <c r="E148" t="s">
        <v>4675</v>
      </c>
      <c r="F148" s="33">
        <v>600</v>
      </c>
      <c r="G148" s="33" t="b">
        <v>1</v>
      </c>
      <c r="H148" s="33" t="s">
        <v>40</v>
      </c>
      <c r="I148" s="33">
        <v>0</v>
      </c>
      <c r="J148" s="33" t="s">
        <v>4413</v>
      </c>
      <c r="L148" s="33" t="s">
        <v>4065</v>
      </c>
      <c r="M148" s="33" t="s">
        <v>4192</v>
      </c>
      <c r="N148" s="33" t="s">
        <v>4192</v>
      </c>
      <c r="O148" s="33" t="s">
        <v>4192</v>
      </c>
      <c r="P148" s="33" t="s">
        <v>2448</v>
      </c>
      <c r="Q148" s="33" t="s">
        <v>4152</v>
      </c>
    </row>
    <row r="149" spans="1:17" ht="14">
      <c r="A149" t="s">
        <v>4492</v>
      </c>
      <c r="B149" t="s">
        <v>4493</v>
      </c>
      <c r="D149" s="34" t="s">
        <v>4495</v>
      </c>
      <c r="E149" t="s">
        <v>4676</v>
      </c>
      <c r="F149" s="33">
        <v>500</v>
      </c>
      <c r="G149" s="33" t="b">
        <v>1</v>
      </c>
      <c r="H149" s="33" t="s">
        <v>40</v>
      </c>
      <c r="I149" s="33">
        <v>0</v>
      </c>
      <c r="J149" s="33" t="s">
        <v>4413</v>
      </c>
      <c r="L149" s="33" t="s">
        <v>4065</v>
      </c>
      <c r="M149" s="33" t="s">
        <v>4192</v>
      </c>
      <c r="N149" s="33" t="s">
        <v>4192</v>
      </c>
      <c r="O149" s="33" t="s">
        <v>4192</v>
      </c>
      <c r="P149" s="33" t="s">
        <v>2448</v>
      </c>
      <c r="Q149" s="33" t="s">
        <v>4152</v>
      </c>
    </row>
    <row r="150" spans="1:17" ht="14">
      <c r="A150" s="21" t="s">
        <v>4549</v>
      </c>
      <c r="B150" t="s">
        <v>4570</v>
      </c>
      <c r="D150" s="34" t="s">
        <v>4504</v>
      </c>
      <c r="F150" s="33">
        <v>500</v>
      </c>
      <c r="G150" s="33" t="b">
        <v>0</v>
      </c>
      <c r="H150" s="33" t="s">
        <v>40</v>
      </c>
      <c r="I150" s="33">
        <v>0</v>
      </c>
      <c r="J150" s="33" t="s">
        <v>4413</v>
      </c>
      <c r="L150" s="33" t="s">
        <v>4065</v>
      </c>
      <c r="M150" s="33" t="s">
        <v>4192</v>
      </c>
      <c r="N150" s="33" t="s">
        <v>4192</v>
      </c>
      <c r="O150" s="33" t="s">
        <v>4192</v>
      </c>
      <c r="P150" s="33" t="s">
        <v>2448</v>
      </c>
      <c r="Q150" s="33" t="s">
        <v>4152</v>
      </c>
    </row>
    <row r="151" spans="1:17" ht="14">
      <c r="A151" t="s">
        <v>4575</v>
      </c>
      <c r="B151" t="s">
        <v>4573</v>
      </c>
      <c r="D151" s="34" t="s">
        <v>1185</v>
      </c>
      <c r="F151" s="33">
        <v>500</v>
      </c>
      <c r="G151" t="b">
        <v>1</v>
      </c>
      <c r="H151" s="33" t="s">
        <v>40</v>
      </c>
      <c r="I151" s="33">
        <v>0</v>
      </c>
      <c r="J151" s="33" t="s">
        <v>4413</v>
      </c>
      <c r="L151" s="33" t="s">
        <v>4065</v>
      </c>
      <c r="M151" s="33" t="s">
        <v>4192</v>
      </c>
      <c r="N151" s="33" t="s">
        <v>4192</v>
      </c>
      <c r="O151" s="33" t="s">
        <v>4192</v>
      </c>
      <c r="P151" s="33" t="s">
        <v>2448</v>
      </c>
      <c r="Q151" s="33" t="s">
        <v>4152</v>
      </c>
    </row>
    <row r="152" spans="1:17" ht="14">
      <c r="A152" t="s">
        <v>4597</v>
      </c>
      <c r="C152" t="s">
        <v>4669</v>
      </c>
      <c r="D152" s="34" t="s">
        <v>4598</v>
      </c>
      <c r="F152" s="33">
        <v>600</v>
      </c>
      <c r="G152" s="33" t="b">
        <v>0</v>
      </c>
      <c r="H152" s="33" t="s">
        <v>40</v>
      </c>
      <c r="I152" s="33">
        <v>0</v>
      </c>
      <c r="J152" s="33" t="s">
        <v>4413</v>
      </c>
      <c r="L152" s="33" t="s">
        <v>4065</v>
      </c>
      <c r="M152" s="33" t="s">
        <v>4192</v>
      </c>
      <c r="N152" s="33" t="s">
        <v>4192</v>
      </c>
      <c r="O152" s="33" t="s">
        <v>4192</v>
      </c>
      <c r="P152" s="33" t="s">
        <v>2448</v>
      </c>
      <c r="Q152" s="33" t="s">
        <v>4152</v>
      </c>
    </row>
    <row r="153" spans="1:17" ht="14">
      <c r="A153" t="s">
        <v>4669</v>
      </c>
      <c r="D153" s="34" t="s">
        <v>4670</v>
      </c>
      <c r="F153" s="33">
        <v>600</v>
      </c>
      <c r="G153" s="33" t="b">
        <v>1</v>
      </c>
      <c r="H153" s="33" t="s">
        <v>40</v>
      </c>
      <c r="I153" s="33">
        <v>0</v>
      </c>
      <c r="J153" s="33" t="s">
        <v>4413</v>
      </c>
      <c r="L153" s="33" t="s">
        <v>4065</v>
      </c>
      <c r="M153" s="33" t="s">
        <v>4192</v>
      </c>
      <c r="N153" s="33" t="s">
        <v>4192</v>
      </c>
      <c r="O153" s="33" t="s">
        <v>4192</v>
      </c>
      <c r="P153" s="33" t="s">
        <v>2448</v>
      </c>
      <c r="Q153" s="33" t="s">
        <v>4152</v>
      </c>
    </row>
    <row r="154" spans="1:17" ht="14">
      <c r="A154" t="s">
        <v>4788</v>
      </c>
      <c r="C154" t="s">
        <v>3983</v>
      </c>
      <c r="D154" s="34" t="s">
        <v>4790</v>
      </c>
      <c r="F154" s="33">
        <v>650</v>
      </c>
      <c r="G154" s="33" t="b">
        <v>0</v>
      </c>
      <c r="H154" s="33" t="s">
        <v>40</v>
      </c>
      <c r="I154" s="33">
        <v>0</v>
      </c>
      <c r="J154" s="33" t="s">
        <v>4413</v>
      </c>
      <c r="L154" s="33" t="s">
        <v>4065</v>
      </c>
      <c r="M154" s="33" t="s">
        <v>4192</v>
      </c>
      <c r="N154" s="33" t="s">
        <v>4192</v>
      </c>
      <c r="O154" s="33" t="s">
        <v>4192</v>
      </c>
      <c r="P154" s="33" t="s">
        <v>2448</v>
      </c>
      <c r="Q154" s="33" t="s">
        <v>4152</v>
      </c>
    </row>
    <row r="155" spans="1:17" ht="16">
      <c r="A155" t="s">
        <v>4791</v>
      </c>
      <c r="B155" s="45"/>
      <c r="D155" s="34" t="s">
        <v>4792</v>
      </c>
      <c r="E155" t="s">
        <v>4793</v>
      </c>
      <c r="F155" s="33">
        <v>500</v>
      </c>
      <c r="G155" s="33" t="b">
        <v>1</v>
      </c>
      <c r="H155" s="33" t="s">
        <v>40</v>
      </c>
      <c r="I155" s="33">
        <v>0</v>
      </c>
      <c r="J155" s="33" t="s">
        <v>4413</v>
      </c>
      <c r="L155" s="33" t="s">
        <v>4065</v>
      </c>
      <c r="M155" s="33" t="s">
        <v>4192</v>
      </c>
      <c r="N155" s="33" t="s">
        <v>4192</v>
      </c>
      <c r="O155" s="33" t="s">
        <v>4192</v>
      </c>
      <c r="P155" s="33" t="s">
        <v>2448</v>
      </c>
      <c r="Q155" s="33" t="s">
        <v>4152</v>
      </c>
    </row>
  </sheetData>
  <autoFilter ref="A1:ALW126" xr:uid="{00000000-0001-0000-0000-000000000000}">
    <sortState xmlns:xlrd2="http://schemas.microsoft.com/office/spreadsheetml/2017/richdata2" ref="A2:ALW153">
      <sortCondition descending="1" ref="K1:K153"/>
    </sortState>
  </autoFilter>
  <conditionalFormatting sqref="L1:Q1">
    <cfRule type="containsText" dxfId="4" priority="1" operator="containsText" text="TRUE">
      <formula>NOT(ISERROR(SEARCH("TRUE",L1)))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cols>
    <col min="1" max="1" width="24.6640625" customWidth="1"/>
    <col min="2" max="2" width="73.5" customWidth="1"/>
  </cols>
  <sheetData>
    <row r="1" spans="1:2">
      <c r="A1" s="1" t="s">
        <v>0</v>
      </c>
      <c r="B1" s="1" t="s">
        <v>3885</v>
      </c>
    </row>
    <row r="2" spans="1:2">
      <c r="A2" t="s">
        <v>163</v>
      </c>
    </row>
    <row r="3" spans="1:2">
      <c r="A3" t="s">
        <v>165</v>
      </c>
    </row>
    <row r="4" spans="1:2">
      <c r="A4" t="s">
        <v>169</v>
      </c>
    </row>
    <row r="5" spans="1:2">
      <c r="A5" t="s">
        <v>167</v>
      </c>
    </row>
    <row r="6" spans="1:2">
      <c r="A6" t="s">
        <v>171</v>
      </c>
    </row>
    <row r="7" spans="1:2">
      <c r="A7" t="s">
        <v>173</v>
      </c>
    </row>
    <row r="8" spans="1:2">
      <c r="A8" s="18" t="s">
        <v>3983</v>
      </c>
      <c r="B8" t="s">
        <v>12</v>
      </c>
    </row>
    <row r="9" spans="1:2">
      <c r="A9" s="4" t="s">
        <v>3984</v>
      </c>
    </row>
    <row r="10" spans="1:2">
      <c r="A10" s="4" t="s">
        <v>3985</v>
      </c>
    </row>
    <row r="11" spans="1:2">
      <c r="A11" s="4" t="s">
        <v>4146</v>
      </c>
    </row>
    <row r="12" spans="1:2">
      <c r="A12" s="4" t="s">
        <v>3987</v>
      </c>
    </row>
    <row r="13" spans="1:2">
      <c r="A13" s="4" t="s">
        <v>3988</v>
      </c>
    </row>
    <row r="14" spans="1:2">
      <c r="A14" s="4" t="s">
        <v>3890</v>
      </c>
    </row>
    <row r="15" spans="1:2">
      <c r="A15" s="4" t="s">
        <v>3888</v>
      </c>
    </row>
    <row r="16" spans="1:2">
      <c r="A16" s="4" t="s">
        <v>3893</v>
      </c>
    </row>
    <row r="17" spans="1:2">
      <c r="A17" s="4" t="s">
        <v>3989</v>
      </c>
    </row>
    <row r="18" spans="1:2">
      <c r="A18" s="4" t="s">
        <v>3990</v>
      </c>
    </row>
    <row r="19" spans="1:2">
      <c r="A19" s="4" t="s">
        <v>1115</v>
      </c>
    </row>
    <row r="20" spans="1:2">
      <c r="A20" s="4" t="s">
        <v>3991</v>
      </c>
    </row>
    <row r="21" spans="1:2">
      <c r="A21" s="4" t="s">
        <v>3992</v>
      </c>
    </row>
    <row r="22" spans="1:2">
      <c r="A22" s="4" t="s">
        <v>3993</v>
      </c>
    </row>
    <row r="23" spans="1:2">
      <c r="A23" t="s">
        <v>3999</v>
      </c>
    </row>
    <row r="24" spans="1:2">
      <c r="A24" s="4" t="s">
        <v>4061</v>
      </c>
    </row>
    <row r="25" spans="1:2">
      <c r="A25" s="4" t="s">
        <v>4063</v>
      </c>
    </row>
    <row r="26" spans="1:2">
      <c r="A26" s="4" t="s">
        <v>4068</v>
      </c>
    </row>
    <row r="27" spans="1:2">
      <c r="A27" s="4" t="s">
        <v>4069</v>
      </c>
    </row>
    <row r="28" spans="1:2">
      <c r="A28" s="4" t="s">
        <v>4076</v>
      </c>
    </row>
    <row r="29" spans="1:2">
      <c r="A29" s="3" t="s">
        <v>11</v>
      </c>
      <c r="B29" s="3"/>
    </row>
    <row r="30" spans="1:2">
      <c r="A30" s="3" t="s">
        <v>74</v>
      </c>
      <c r="B30" s="3" t="s">
        <v>3985</v>
      </c>
    </row>
    <row r="31" spans="1:2">
      <c r="A31" s="3" t="s">
        <v>189</v>
      </c>
      <c r="B31" s="3"/>
    </row>
    <row r="32" spans="1:2">
      <c r="A32" t="s">
        <v>2681</v>
      </c>
    </row>
    <row r="33" spans="1:2">
      <c r="A33" s="3" t="s">
        <v>50</v>
      </c>
      <c r="B33" s="3" t="s">
        <v>3886</v>
      </c>
    </row>
    <row r="34" spans="1:2">
      <c r="A34" t="s">
        <v>2779</v>
      </c>
    </row>
    <row r="35" spans="1:2">
      <c r="A35" t="s">
        <v>1115</v>
      </c>
    </row>
    <row r="36" spans="1:2">
      <c r="A36" t="s">
        <v>2823</v>
      </c>
    </row>
    <row r="37" spans="1:2">
      <c r="A37" s="3" t="s">
        <v>39</v>
      </c>
      <c r="B37" s="3"/>
    </row>
    <row r="38" spans="1:2">
      <c r="A38" s="3" t="s">
        <v>41</v>
      </c>
      <c r="B38" s="3"/>
    </row>
    <row r="39" spans="1:2">
      <c r="A39" s="3" t="s">
        <v>2822</v>
      </c>
      <c r="B39" s="3"/>
    </row>
    <row r="40" spans="1:2">
      <c r="A40" t="s">
        <v>37</v>
      </c>
      <c r="B40" t="s">
        <v>4076</v>
      </c>
    </row>
    <row r="41" spans="1:2">
      <c r="A41" t="s">
        <v>2878</v>
      </c>
    </row>
    <row r="42" spans="1:2">
      <c r="A42" s="3" t="s">
        <v>2921</v>
      </c>
      <c r="B42" s="3"/>
    </row>
    <row r="43" spans="1:2">
      <c r="A43" s="3" t="s">
        <v>3042</v>
      </c>
      <c r="B43" s="3"/>
    </row>
    <row r="44" spans="1:2">
      <c r="A44" t="s">
        <v>2814</v>
      </c>
    </row>
    <row r="45" spans="1:2">
      <c r="A45" t="s">
        <v>34</v>
      </c>
    </row>
    <row r="46" spans="1:2">
      <c r="A46" t="s">
        <v>72</v>
      </c>
    </row>
    <row r="47" spans="1:2">
      <c r="A47" s="3" t="s">
        <v>108</v>
      </c>
      <c r="B47" s="3"/>
    </row>
    <row r="48" spans="1:2">
      <c r="A48" t="s">
        <v>113</v>
      </c>
    </row>
    <row r="49" spans="1:2">
      <c r="A49" t="s">
        <v>125</v>
      </c>
    </row>
    <row r="50" spans="1:2">
      <c r="A50" t="s">
        <v>2943</v>
      </c>
    </row>
    <row r="51" spans="1:2">
      <c r="A51" t="s">
        <v>126</v>
      </c>
    </row>
    <row r="52" spans="1:2">
      <c r="A52" s="3" t="s">
        <v>3037</v>
      </c>
      <c r="B52" s="3"/>
    </row>
    <row r="53" spans="1:2">
      <c r="A53" t="s">
        <v>140</v>
      </c>
    </row>
    <row r="54" spans="1:2">
      <c r="A54" s="3" t="s">
        <v>158</v>
      </c>
      <c r="B54" s="3"/>
    </row>
    <row r="55" spans="1:2">
      <c r="A55" s="3" t="s">
        <v>160</v>
      </c>
      <c r="B55" s="3"/>
    </row>
    <row r="56" spans="1:2">
      <c r="A56" t="s">
        <v>2773</v>
      </c>
      <c r="B56" t="s">
        <v>4146</v>
      </c>
    </row>
    <row r="57" spans="1:2">
      <c r="A57" t="s">
        <v>4017</v>
      </c>
    </row>
    <row r="58" spans="1:2">
      <c r="A58" t="s">
        <v>3021</v>
      </c>
    </row>
    <row r="59" spans="1:2">
      <c r="A59" t="s">
        <v>3052</v>
      </c>
    </row>
    <row r="60" spans="1:2" ht="16">
      <c r="A60" s="15" t="s">
        <v>3067</v>
      </c>
      <c r="B60" s="15"/>
    </row>
    <row r="61" spans="1:2">
      <c r="A61" t="s">
        <v>3069</v>
      </c>
    </row>
    <row r="62" spans="1:2">
      <c r="A62" t="s">
        <v>3085</v>
      </c>
    </row>
    <row r="63" spans="1:2">
      <c r="A63" t="s">
        <v>2711</v>
      </c>
    </row>
    <row r="64" spans="1:2">
      <c r="A64" t="s">
        <v>3873</v>
      </c>
      <c r="B64" t="s">
        <v>3886</v>
      </c>
    </row>
    <row r="65" spans="1:2">
      <c r="A65" s="3" t="s">
        <v>3166</v>
      </c>
      <c r="B65" s="3"/>
    </row>
    <row r="66" spans="1:2">
      <c r="A66" t="s">
        <v>3865</v>
      </c>
    </row>
    <row r="67" spans="1:2">
      <c r="A67" t="s">
        <v>110</v>
      </c>
    </row>
    <row r="68" spans="1:2">
      <c r="A68" t="s">
        <v>33</v>
      </c>
      <c r="B68" t="s">
        <v>3887</v>
      </c>
    </row>
    <row r="69" spans="1:2">
      <c r="A69" t="s">
        <v>79</v>
      </c>
      <c r="B69" t="s">
        <v>3888</v>
      </c>
    </row>
    <row r="70" spans="1:2">
      <c r="A70" s="3" t="s">
        <v>61</v>
      </c>
      <c r="B70" s="3"/>
    </row>
    <row r="71" spans="1:2">
      <c r="A71" s="3" t="s">
        <v>3889</v>
      </c>
      <c r="B71" s="3" t="s">
        <v>3890</v>
      </c>
    </row>
    <row r="72" spans="1:2">
      <c r="A72" t="s">
        <v>82</v>
      </c>
      <c r="B72" s="3" t="s">
        <v>3890</v>
      </c>
    </row>
    <row r="73" spans="1:2">
      <c r="A73" t="s">
        <v>84</v>
      </c>
      <c r="B73" s="3" t="s">
        <v>3890</v>
      </c>
    </row>
    <row r="74" spans="1:2">
      <c r="A74" t="s">
        <v>3773</v>
      </c>
      <c r="B74" t="s">
        <v>18</v>
      </c>
    </row>
    <row r="75" spans="1:2">
      <c r="A75" t="s">
        <v>18</v>
      </c>
      <c r="B75" t="s">
        <v>17</v>
      </c>
    </row>
    <row r="76" spans="1:2">
      <c r="A76" s="3" t="s">
        <v>17</v>
      </c>
      <c r="B76" s="3" t="s">
        <v>3998</v>
      </c>
    </row>
    <row r="77" spans="1:2">
      <c r="A77" s="3" t="s">
        <v>42</v>
      </c>
      <c r="B77" s="3"/>
    </row>
    <row r="78" spans="1:2">
      <c r="A78" s="3" t="s">
        <v>80</v>
      </c>
      <c r="B78" s="3"/>
    </row>
    <row r="79" spans="1:2">
      <c r="A79" s="3" t="s">
        <v>98</v>
      </c>
      <c r="B79" s="3"/>
    </row>
    <row r="80" spans="1:2">
      <c r="A80" s="3" t="s">
        <v>119</v>
      </c>
      <c r="B80" s="3"/>
    </row>
    <row r="81" spans="1:2">
      <c r="A81" s="3" t="s">
        <v>121</v>
      </c>
      <c r="B81" s="3"/>
    </row>
    <row r="82" spans="1:2">
      <c r="A82" s="3" t="s">
        <v>122</v>
      </c>
      <c r="B82" s="3"/>
    </row>
    <row r="83" spans="1:2">
      <c r="A83" s="3" t="s">
        <v>124</v>
      </c>
      <c r="B83" s="3"/>
    </row>
    <row r="84" spans="1:2">
      <c r="A84" t="s">
        <v>153</v>
      </c>
    </row>
    <row r="85" spans="1:2">
      <c r="A85" t="s">
        <v>81</v>
      </c>
    </row>
    <row r="86" spans="1:2">
      <c r="A86" t="s">
        <v>120</v>
      </c>
      <c r="B86" t="s">
        <v>3990</v>
      </c>
    </row>
    <row r="87" spans="1:2">
      <c r="A87" t="s">
        <v>123</v>
      </c>
      <c r="B87" t="s">
        <v>3990</v>
      </c>
    </row>
    <row r="88" spans="1:2">
      <c r="A88" s="3" t="s">
        <v>2978</v>
      </c>
      <c r="B88" s="3"/>
    </row>
    <row r="89" spans="1:2">
      <c r="A89" s="3" t="s">
        <v>2979</v>
      </c>
      <c r="B89" s="3"/>
    </row>
    <row r="90" spans="1:2">
      <c r="A90" s="3" t="s">
        <v>105</v>
      </c>
      <c r="B90" s="3"/>
    </row>
    <row r="91" spans="1:2">
      <c r="A91" s="3" t="s">
        <v>63</v>
      </c>
      <c r="B91" s="3" t="s">
        <v>105</v>
      </c>
    </row>
    <row r="92" spans="1:2">
      <c r="A92" s="3" t="s">
        <v>62</v>
      </c>
      <c r="B92" s="3" t="s">
        <v>3983</v>
      </c>
    </row>
    <row r="93" spans="1:2">
      <c r="A93" s="3" t="s">
        <v>3137</v>
      </c>
      <c r="B93" s="3" t="s">
        <v>3985</v>
      </c>
    </row>
    <row r="94" spans="1:2" ht="28">
      <c r="A94" t="s">
        <v>44</v>
      </c>
      <c r="B94" s="20" t="s">
        <v>4075</v>
      </c>
    </row>
    <row r="95" spans="1:2">
      <c r="A95" t="s">
        <v>4015</v>
      </c>
      <c r="B95" t="s">
        <v>4016</v>
      </c>
    </row>
    <row r="96" spans="1:2">
      <c r="A96" t="s">
        <v>4016</v>
      </c>
      <c r="B96" t="s">
        <v>3137</v>
      </c>
    </row>
    <row r="97" spans="1:2">
      <c r="A97" t="s">
        <v>47</v>
      </c>
      <c r="B97" s="4"/>
    </row>
    <row r="98" spans="1:2">
      <c r="A98" t="s">
        <v>144</v>
      </c>
      <c r="B98" t="s">
        <v>146</v>
      </c>
    </row>
    <row r="99" spans="1:2">
      <c r="A99" t="s">
        <v>91</v>
      </c>
      <c r="B99" t="s">
        <v>4099</v>
      </c>
    </row>
    <row r="100" spans="1:2">
      <c r="A100" t="s">
        <v>92</v>
      </c>
    </row>
    <row r="101" spans="1:2">
      <c r="A101" t="s">
        <v>95</v>
      </c>
      <c r="B101" t="s">
        <v>4147</v>
      </c>
    </row>
    <row r="102" spans="1:2">
      <c r="A102" s="3" t="s">
        <v>4082</v>
      </c>
    </row>
    <row r="103" spans="1:2">
      <c r="A103" s="3" t="s">
        <v>4096</v>
      </c>
    </row>
    <row r="104" spans="1:2">
      <c r="A104" t="s">
        <v>146</v>
      </c>
      <c r="B104" t="s">
        <v>4113</v>
      </c>
    </row>
    <row r="105" spans="1:2">
      <c r="A105" t="s">
        <v>4107</v>
      </c>
    </row>
    <row r="106" spans="1:2">
      <c r="A106" t="s">
        <v>4108</v>
      </c>
    </row>
    <row r="107" spans="1:2">
      <c r="A107" t="s">
        <v>4109</v>
      </c>
    </row>
    <row r="108" spans="1:2">
      <c r="A108" t="s">
        <v>4112</v>
      </c>
    </row>
    <row r="109" spans="1:2">
      <c r="A109" t="s">
        <v>4122</v>
      </c>
    </row>
    <row r="110" spans="1:2">
      <c r="A110" t="s">
        <v>76</v>
      </c>
    </row>
    <row r="111" spans="1:2">
      <c r="A111" t="s">
        <v>135</v>
      </c>
    </row>
    <row r="112" spans="1:2">
      <c r="A112" t="s">
        <v>88</v>
      </c>
    </row>
    <row r="113" spans="1:2">
      <c r="A113" s="3" t="s">
        <v>156</v>
      </c>
      <c r="B113" s="3"/>
    </row>
    <row r="114" spans="1:2">
      <c r="A114" s="3" t="s">
        <v>128</v>
      </c>
      <c r="B114" s="3"/>
    </row>
    <row r="115" spans="1:2">
      <c r="A115" s="3" t="s">
        <v>129</v>
      </c>
      <c r="B115" s="3"/>
    </row>
    <row r="116" spans="1:2">
      <c r="A116" s="3" t="s">
        <v>132</v>
      </c>
      <c r="B116" s="3"/>
    </row>
    <row r="117" spans="1:2">
      <c r="A117" s="3" t="s">
        <v>99</v>
      </c>
      <c r="B117" s="3" t="s">
        <v>4148</v>
      </c>
    </row>
    <row r="118" spans="1:2">
      <c r="A118" s="17" t="s">
        <v>3764</v>
      </c>
      <c r="B118" s="17"/>
    </row>
    <row r="119" spans="1:2">
      <c r="A119" s="3" t="s">
        <v>22</v>
      </c>
      <c r="B119" s="3" t="s">
        <v>4081</v>
      </c>
    </row>
    <row r="120" spans="1:2">
      <c r="A120" s="3" t="s">
        <v>151</v>
      </c>
      <c r="B120" s="3" t="s">
        <v>4019</v>
      </c>
    </row>
    <row r="121" spans="1:2">
      <c r="A121" s="3" t="s">
        <v>142</v>
      </c>
      <c r="B121" s="3"/>
    </row>
    <row r="122" spans="1:2">
      <c r="A122" s="3" t="s">
        <v>4005</v>
      </c>
      <c r="B122" s="3" t="s">
        <v>3989</v>
      </c>
    </row>
    <row r="123" spans="1:2">
      <c r="A123" s="3" t="s">
        <v>103</v>
      </c>
      <c r="B123" s="3"/>
    </row>
    <row r="124" spans="1:2">
      <c r="A124" s="3" t="s">
        <v>21</v>
      </c>
      <c r="B124" s="3" t="s">
        <v>3886</v>
      </c>
    </row>
    <row r="125" spans="1:2">
      <c r="A125" t="s">
        <v>26</v>
      </c>
      <c r="B125" t="s">
        <v>3991</v>
      </c>
    </row>
    <row r="126" spans="1:2">
      <c r="A126" s="3" t="s">
        <v>25</v>
      </c>
      <c r="B126" s="3"/>
    </row>
    <row r="127" spans="1:2">
      <c r="A127" s="3" t="s">
        <v>86</v>
      </c>
      <c r="B127" s="3"/>
    </row>
    <row r="128" spans="1:2">
      <c r="A128" s="3" t="s">
        <v>147</v>
      </c>
      <c r="B128" s="3"/>
    </row>
    <row r="129" spans="1:2">
      <c r="A129" s="3" t="s">
        <v>148</v>
      </c>
      <c r="B129" s="3"/>
    </row>
    <row r="130" spans="1:2">
      <c r="A130" t="s">
        <v>52</v>
      </c>
    </row>
    <row r="131" spans="1:2">
      <c r="A131" t="s">
        <v>55</v>
      </c>
    </row>
    <row r="132" spans="1:2">
      <c r="A132" s="3" t="s">
        <v>57</v>
      </c>
      <c r="B132" s="3"/>
    </row>
    <row r="133" spans="1:2">
      <c r="A133" t="s">
        <v>59</v>
      </c>
    </row>
    <row r="134" spans="1:2">
      <c r="A134" t="s">
        <v>29</v>
      </c>
    </row>
    <row r="135" spans="1:2">
      <c r="A135" t="s">
        <v>4150</v>
      </c>
      <c r="B135" t="s">
        <v>3886</v>
      </c>
    </row>
    <row r="141" spans="1:2">
      <c r="B141" s="4"/>
    </row>
    <row r="142" spans="1:2">
      <c r="B142" s="4"/>
    </row>
    <row r="153" spans="1:1">
      <c r="A153" s="4"/>
    </row>
    <row r="154" spans="1:1">
      <c r="A154" s="4"/>
    </row>
    <row r="155" spans="1:1">
      <c r="A155" s="4"/>
    </row>
    <row r="156" spans="1:1">
      <c r="A156" s="4"/>
    </row>
    <row r="157" spans="1:1">
      <c r="A157"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512"/>
  <sheetViews>
    <sheetView topLeftCell="A1283" zoomScale="120" zoomScaleNormal="120" workbookViewId="0">
      <selection activeCell="F1315" sqref="F1315"/>
    </sheetView>
  </sheetViews>
  <sheetFormatPr baseColWidth="10" defaultColWidth="10.6640625" defaultRowHeight="13"/>
  <cols>
    <col min="1" max="1" width="19.1640625" style="4" customWidth="1"/>
    <col min="2" max="2" width="27.6640625" style="21" customWidth="1"/>
    <col min="3" max="3" width="31" style="4" customWidth="1"/>
    <col min="4" max="4" width="15.1640625" style="4" customWidth="1"/>
    <col min="5" max="5" width="35.5" style="4" customWidth="1"/>
    <col min="6" max="6" width="52.5" style="4" customWidth="1"/>
    <col min="7" max="11" width="10.6640625" style="4"/>
    <col min="12" max="12" width="43.83203125" style="4" customWidth="1"/>
    <col min="13" max="1008" width="10.6640625" style="4"/>
  </cols>
  <sheetData>
    <row r="1" spans="1:1010" s="12" customFormat="1" ht="16">
      <c r="A1" s="43" t="s">
        <v>2666</v>
      </c>
      <c r="B1" s="23" t="s">
        <v>175</v>
      </c>
      <c r="C1" s="22" t="s">
        <v>0</v>
      </c>
      <c r="D1" s="22" t="s">
        <v>176</v>
      </c>
      <c r="E1" s="22" t="s">
        <v>1</v>
      </c>
      <c r="F1" s="22" t="s">
        <v>177</v>
      </c>
      <c r="G1" s="22" t="s">
        <v>2</v>
      </c>
      <c r="H1" s="22" t="s">
        <v>4018</v>
      </c>
      <c r="ALR1" s="13"/>
      <c r="ALS1" s="13"/>
      <c r="ALT1" s="13"/>
      <c r="ALU1" s="14"/>
      <c r="ALV1" s="14"/>
    </row>
    <row r="2" spans="1:1010" ht="14">
      <c r="A2" s="24" t="s">
        <v>178</v>
      </c>
      <c r="B2" s="25" t="s">
        <v>110</v>
      </c>
      <c r="C2" s="24" t="str">
        <f>A2</f>
        <v>steroid_synthesis</v>
      </c>
      <c r="D2" s="26" t="s">
        <v>12</v>
      </c>
      <c r="E2" s="24" t="s">
        <v>179</v>
      </c>
      <c r="F2" s="24" t="s">
        <v>180</v>
      </c>
      <c r="G2" s="24">
        <v>500</v>
      </c>
      <c r="H2" s="24"/>
    </row>
    <row r="3" spans="1:1010" ht="14">
      <c r="A3" s="24" t="s">
        <v>181</v>
      </c>
      <c r="B3" s="25" t="s">
        <v>110</v>
      </c>
      <c r="C3" s="24" t="str">
        <f t="shared" ref="C3:C68" si="0">A3</f>
        <v>q_linked_reactions</v>
      </c>
      <c r="D3" s="26" t="s">
        <v>12</v>
      </c>
      <c r="E3" s="24" t="s">
        <v>182</v>
      </c>
      <c r="F3" s="24" t="s">
        <v>183</v>
      </c>
      <c r="G3" s="24">
        <v>500</v>
      </c>
      <c r="H3" s="24"/>
    </row>
    <row r="4" spans="1:1010" ht="14">
      <c r="A4" s="24" t="s">
        <v>184</v>
      </c>
      <c r="B4" s="25" t="s">
        <v>110</v>
      </c>
      <c r="C4" s="24" t="str">
        <f t="shared" si="0"/>
        <v>protein_import</v>
      </c>
      <c r="D4" s="26" t="s">
        <v>12</v>
      </c>
      <c r="E4" s="24" t="s">
        <v>185</v>
      </c>
      <c r="F4" s="24" t="s">
        <v>185</v>
      </c>
      <c r="G4" s="24">
        <v>500</v>
      </c>
      <c r="H4" s="24"/>
    </row>
    <row r="5" spans="1:1010" ht="14">
      <c r="A5" s="24" t="s">
        <v>186</v>
      </c>
      <c r="B5" s="25" t="s">
        <v>46</v>
      </c>
      <c r="C5" s="24" t="str">
        <f t="shared" si="0"/>
        <v>360um</v>
      </c>
      <c r="D5" s="26" t="s">
        <v>12</v>
      </c>
      <c r="E5" s="24">
        <v>360</v>
      </c>
      <c r="F5" s="24" t="s">
        <v>187</v>
      </c>
      <c r="G5" s="24">
        <v>500</v>
      </c>
      <c r="H5" s="24"/>
    </row>
    <row r="6" spans="1:1010" ht="14">
      <c r="A6" s="24" t="s">
        <v>188</v>
      </c>
      <c r="B6" s="25" t="s">
        <v>189</v>
      </c>
      <c r="C6" s="24" t="str">
        <f t="shared" si="0"/>
        <v>arginine</v>
      </c>
      <c r="D6" s="24" t="s">
        <v>188</v>
      </c>
      <c r="E6" s="24" t="s">
        <v>190</v>
      </c>
      <c r="F6" s="24" t="s">
        <v>191</v>
      </c>
      <c r="G6" s="24">
        <v>500</v>
      </c>
      <c r="H6" s="24"/>
    </row>
    <row r="7" spans="1:1010" ht="14">
      <c r="A7" s="24" t="s">
        <v>192</v>
      </c>
      <c r="B7" s="25" t="s">
        <v>189</v>
      </c>
      <c r="C7" s="24" t="str">
        <f t="shared" si="0"/>
        <v>asparagine</v>
      </c>
      <c r="D7" s="24" t="s">
        <v>192</v>
      </c>
      <c r="E7" s="24" t="s">
        <v>193</v>
      </c>
      <c r="F7" s="24" t="s">
        <v>194</v>
      </c>
      <c r="G7" s="24">
        <v>500</v>
      </c>
      <c r="H7" s="24"/>
    </row>
    <row r="8" spans="1:1010" ht="14">
      <c r="A8" s="24" t="s">
        <v>195</v>
      </c>
      <c r="B8" s="25" t="s">
        <v>189</v>
      </c>
      <c r="C8" s="24" t="str">
        <f t="shared" si="0"/>
        <v>asparticacid</v>
      </c>
      <c r="D8" s="24" t="s">
        <v>195</v>
      </c>
      <c r="E8" s="24" t="s">
        <v>196</v>
      </c>
      <c r="F8" s="24" t="s">
        <v>197</v>
      </c>
      <c r="G8" s="24">
        <v>500</v>
      </c>
      <c r="H8" s="24"/>
    </row>
    <row r="9" spans="1:1010" ht="14">
      <c r="A9" s="24" t="s">
        <v>198</v>
      </c>
      <c r="B9" s="25" t="s">
        <v>189</v>
      </c>
      <c r="C9" s="24" t="str">
        <f t="shared" si="0"/>
        <v>cysteine</v>
      </c>
      <c r="D9" s="24" t="s">
        <v>198</v>
      </c>
      <c r="E9" s="24" t="s">
        <v>199</v>
      </c>
      <c r="F9" s="24" t="s">
        <v>200</v>
      </c>
      <c r="G9" s="24">
        <v>500</v>
      </c>
      <c r="H9" s="24"/>
    </row>
    <row r="10" spans="1:1010" ht="14">
      <c r="A10" s="24" t="s">
        <v>201</v>
      </c>
      <c r="B10" s="25" t="s">
        <v>189</v>
      </c>
      <c r="C10" s="24" t="str">
        <f t="shared" si="0"/>
        <v>glutamicacid</v>
      </c>
      <c r="D10" s="24" t="s">
        <v>201</v>
      </c>
      <c r="E10" s="24" t="s">
        <v>202</v>
      </c>
      <c r="F10" s="24" t="s">
        <v>203</v>
      </c>
      <c r="G10" s="24">
        <v>500</v>
      </c>
      <c r="H10" s="24"/>
    </row>
    <row r="11" spans="1:1010" ht="14">
      <c r="A11" s="24" t="s">
        <v>204</v>
      </c>
      <c r="B11" s="25" t="s">
        <v>189</v>
      </c>
      <c r="C11" s="24" t="str">
        <f t="shared" si="0"/>
        <v>glutamine</v>
      </c>
      <c r="D11" s="24" t="s">
        <v>204</v>
      </c>
      <c r="E11" s="24" t="s">
        <v>205</v>
      </c>
      <c r="F11" s="24" t="s">
        <v>206</v>
      </c>
      <c r="G11" s="24">
        <v>500</v>
      </c>
      <c r="H11" s="24"/>
    </row>
    <row r="12" spans="1:1010" ht="14">
      <c r="A12" s="24" t="s">
        <v>207</v>
      </c>
      <c r="B12" s="25" t="s">
        <v>189</v>
      </c>
      <c r="C12" s="24" t="str">
        <f t="shared" si="0"/>
        <v>glycine</v>
      </c>
      <c r="D12" s="24" t="s">
        <v>207</v>
      </c>
      <c r="E12" s="24" t="s">
        <v>208</v>
      </c>
      <c r="F12" s="24" t="s">
        <v>209</v>
      </c>
      <c r="G12" s="24">
        <v>500</v>
      </c>
      <c r="H12" s="24"/>
    </row>
    <row r="13" spans="1:1010" ht="14">
      <c r="A13" s="24" t="s">
        <v>210</v>
      </c>
      <c r="B13" s="25" t="s">
        <v>189</v>
      </c>
      <c r="C13" s="24" t="str">
        <f t="shared" si="0"/>
        <v>histidine</v>
      </c>
      <c r="D13" s="24" t="s">
        <v>210</v>
      </c>
      <c r="E13" s="24" t="s">
        <v>211</v>
      </c>
      <c r="F13" s="24" t="s">
        <v>212</v>
      </c>
      <c r="G13" s="24">
        <v>500</v>
      </c>
      <c r="H13" s="24"/>
    </row>
    <row r="14" spans="1:1010" ht="14">
      <c r="A14" s="24" t="s">
        <v>213</v>
      </c>
      <c r="B14" s="25" t="s">
        <v>189</v>
      </c>
      <c r="C14" s="24" t="str">
        <f t="shared" si="0"/>
        <v>isoleucine</v>
      </c>
      <c r="D14" s="24" t="s">
        <v>213</v>
      </c>
      <c r="E14" s="24" t="s">
        <v>214</v>
      </c>
      <c r="F14" s="24" t="s">
        <v>215</v>
      </c>
      <c r="G14" s="24">
        <v>500</v>
      </c>
      <c r="H14" s="24"/>
    </row>
    <row r="15" spans="1:1010" ht="14">
      <c r="A15" s="24" t="s">
        <v>216</v>
      </c>
      <c r="B15" s="25" t="s">
        <v>189</v>
      </c>
      <c r="C15" s="24" t="str">
        <f t="shared" si="0"/>
        <v>leucine</v>
      </c>
      <c r="D15" s="24" t="s">
        <v>216</v>
      </c>
      <c r="E15" s="24" t="s">
        <v>217</v>
      </c>
      <c r="F15" s="24" t="s">
        <v>218</v>
      </c>
      <c r="G15" s="24">
        <v>500</v>
      </c>
      <c r="H15" s="24"/>
    </row>
    <row r="16" spans="1:1010" ht="14">
      <c r="A16" s="24" t="s">
        <v>219</v>
      </c>
      <c r="B16" s="25" t="s">
        <v>189</v>
      </c>
      <c r="C16" s="24" t="str">
        <f t="shared" si="0"/>
        <v>lysine</v>
      </c>
      <c r="D16" s="24" t="s">
        <v>219</v>
      </c>
      <c r="E16" s="24" t="s">
        <v>220</v>
      </c>
      <c r="F16" s="24" t="s">
        <v>221</v>
      </c>
      <c r="G16" s="24">
        <v>500</v>
      </c>
      <c r="H16" s="24"/>
    </row>
    <row r="17" spans="1:8" ht="14">
      <c r="A17" s="24" t="s">
        <v>222</v>
      </c>
      <c r="B17" s="25" t="s">
        <v>189</v>
      </c>
      <c r="C17" s="24" t="str">
        <f t="shared" si="0"/>
        <v>methionine</v>
      </c>
      <c r="D17" s="24" t="s">
        <v>222</v>
      </c>
      <c r="E17" s="24" t="s">
        <v>223</v>
      </c>
      <c r="F17" s="24" t="s">
        <v>224</v>
      </c>
      <c r="G17" s="24">
        <v>500</v>
      </c>
      <c r="H17" s="24"/>
    </row>
    <row r="18" spans="1:8" ht="14">
      <c r="A18" s="24" t="s">
        <v>225</v>
      </c>
      <c r="B18" s="25" t="s">
        <v>189</v>
      </c>
      <c r="C18" s="24" t="str">
        <f t="shared" si="0"/>
        <v>phenylalanine</v>
      </c>
      <c r="D18" s="24" t="s">
        <v>225</v>
      </c>
      <c r="E18" s="24" t="s">
        <v>226</v>
      </c>
      <c r="F18" s="24" t="s">
        <v>227</v>
      </c>
      <c r="G18" s="24">
        <v>500</v>
      </c>
      <c r="H18" s="24"/>
    </row>
    <row r="19" spans="1:8" ht="14">
      <c r="A19" s="24" t="s">
        <v>228</v>
      </c>
      <c r="B19" s="25" t="s">
        <v>189</v>
      </c>
      <c r="C19" s="24" t="str">
        <f t="shared" si="0"/>
        <v>proline</v>
      </c>
      <c r="D19" s="24" t="s">
        <v>228</v>
      </c>
      <c r="E19" s="24" t="s">
        <v>229</v>
      </c>
      <c r="F19" s="24" t="s">
        <v>230</v>
      </c>
      <c r="G19" s="24">
        <v>500</v>
      </c>
      <c r="H19" s="24"/>
    </row>
    <row r="20" spans="1:8" ht="14">
      <c r="A20" s="24" t="s">
        <v>231</v>
      </c>
      <c r="B20" s="25" t="s">
        <v>189</v>
      </c>
      <c r="C20" s="24" t="str">
        <f t="shared" si="0"/>
        <v>serine</v>
      </c>
      <c r="D20" s="24" t="s">
        <v>231</v>
      </c>
      <c r="E20" s="24" t="s">
        <v>232</v>
      </c>
      <c r="F20" s="24" t="s">
        <v>233</v>
      </c>
      <c r="G20" s="24">
        <v>500</v>
      </c>
      <c r="H20" s="24"/>
    </row>
    <row r="21" spans="1:8" ht="14">
      <c r="A21" s="24" t="s">
        <v>234</v>
      </c>
      <c r="B21" s="25" t="s">
        <v>189</v>
      </c>
      <c r="C21" s="24" t="str">
        <f t="shared" si="0"/>
        <v>threonine</v>
      </c>
      <c r="D21" s="24" t="s">
        <v>234</v>
      </c>
      <c r="E21" s="24" t="s">
        <v>235</v>
      </c>
      <c r="F21" s="24" t="s">
        <v>236</v>
      </c>
      <c r="G21" s="24">
        <v>500</v>
      </c>
      <c r="H21" s="24"/>
    </row>
    <row r="22" spans="1:8" ht="14">
      <c r="A22" s="24" t="s">
        <v>237</v>
      </c>
      <c r="B22" s="25" t="s">
        <v>189</v>
      </c>
      <c r="C22" s="24" t="str">
        <f t="shared" si="0"/>
        <v>tryptophan</v>
      </c>
      <c r="D22" s="24" t="s">
        <v>237</v>
      </c>
      <c r="E22" s="24" t="s">
        <v>238</v>
      </c>
      <c r="F22" s="24" t="s">
        <v>239</v>
      </c>
      <c r="G22" s="24">
        <v>500</v>
      </c>
      <c r="H22" s="24"/>
    </row>
    <row r="23" spans="1:8" ht="14">
      <c r="A23" s="24" t="s">
        <v>240</v>
      </c>
      <c r="B23" s="25" t="s">
        <v>189</v>
      </c>
      <c r="C23" s="24" t="str">
        <f t="shared" si="0"/>
        <v>tyrosine</v>
      </c>
      <c r="D23" s="24" t="s">
        <v>240</v>
      </c>
      <c r="E23" s="24" t="s">
        <v>241</v>
      </c>
      <c r="F23" s="24" t="s">
        <v>242</v>
      </c>
      <c r="G23" s="24">
        <v>500</v>
      </c>
      <c r="H23" s="24"/>
    </row>
    <row r="24" spans="1:8" ht="14">
      <c r="A24" s="24" t="s">
        <v>243</v>
      </c>
      <c r="B24" s="25" t="s">
        <v>189</v>
      </c>
      <c r="C24" s="24" t="str">
        <f t="shared" si="0"/>
        <v>valine</v>
      </c>
      <c r="D24" s="24" t="s">
        <v>243</v>
      </c>
      <c r="E24" s="24" t="s">
        <v>244</v>
      </c>
      <c r="F24" s="24" t="s">
        <v>245</v>
      </c>
      <c r="G24" s="24">
        <v>500</v>
      </c>
      <c r="H24" s="24"/>
    </row>
    <row r="25" spans="1:8" ht="14">
      <c r="A25" s="24" t="s">
        <v>4167</v>
      </c>
      <c r="B25" s="25" t="s">
        <v>189</v>
      </c>
      <c r="C25" s="24" t="str">
        <f t="shared" si="0"/>
        <v>ctrl</v>
      </c>
      <c r="D25" s="24" t="s">
        <v>4167</v>
      </c>
      <c r="E25" s="24" t="s">
        <v>2775</v>
      </c>
      <c r="F25" s="24" t="s">
        <v>4582</v>
      </c>
      <c r="G25" s="24">
        <v>550</v>
      </c>
      <c r="H25" s="24"/>
    </row>
    <row r="26" spans="1:8" ht="14">
      <c r="A26" s="24" t="s">
        <v>4579</v>
      </c>
      <c r="B26" s="25" t="s">
        <v>189</v>
      </c>
      <c r="C26" s="24" t="str">
        <f t="shared" si="0"/>
        <v>neaa</v>
      </c>
      <c r="D26" s="24" t="s">
        <v>4579</v>
      </c>
      <c r="E26" s="24" t="s">
        <v>4580</v>
      </c>
      <c r="F26" s="24" t="s">
        <v>4581</v>
      </c>
      <c r="G26" s="24">
        <v>540</v>
      </c>
      <c r="H26" s="24"/>
    </row>
    <row r="27" spans="1:8" ht="14">
      <c r="A27" s="24" t="s">
        <v>188</v>
      </c>
      <c r="B27" s="25" t="s">
        <v>11</v>
      </c>
      <c r="C27" s="24" t="str">
        <f t="shared" si="0"/>
        <v>arginine</v>
      </c>
      <c r="D27" s="26" t="s">
        <v>12</v>
      </c>
      <c r="E27" s="24" t="s">
        <v>190</v>
      </c>
      <c r="F27" s="24" t="s">
        <v>191</v>
      </c>
      <c r="G27" s="24">
        <v>500</v>
      </c>
      <c r="H27" s="24"/>
    </row>
    <row r="28" spans="1:8" ht="14">
      <c r="A28" s="24" t="s">
        <v>192</v>
      </c>
      <c r="B28" s="25" t="s">
        <v>11</v>
      </c>
      <c r="C28" s="24" t="str">
        <f t="shared" si="0"/>
        <v>asparagine</v>
      </c>
      <c r="D28" s="26" t="s">
        <v>12</v>
      </c>
      <c r="E28" s="24" t="s">
        <v>193</v>
      </c>
      <c r="F28" s="24" t="s">
        <v>194</v>
      </c>
      <c r="G28" s="24">
        <v>500</v>
      </c>
      <c r="H28" s="24"/>
    </row>
    <row r="29" spans="1:8" ht="14">
      <c r="A29" s="24" t="s">
        <v>195</v>
      </c>
      <c r="B29" s="25" t="s">
        <v>11</v>
      </c>
      <c r="C29" s="24" t="str">
        <f t="shared" si="0"/>
        <v>asparticacid</v>
      </c>
      <c r="D29" s="26" t="s">
        <v>12</v>
      </c>
      <c r="E29" s="24" t="s">
        <v>196</v>
      </c>
      <c r="F29" s="24" t="s">
        <v>197</v>
      </c>
      <c r="G29" s="24">
        <v>500</v>
      </c>
      <c r="H29" s="24"/>
    </row>
    <row r="30" spans="1:8" ht="14">
      <c r="A30" s="24" t="s">
        <v>198</v>
      </c>
      <c r="B30" s="25" t="s">
        <v>11</v>
      </c>
      <c r="C30" s="24" t="str">
        <f t="shared" si="0"/>
        <v>cysteine</v>
      </c>
      <c r="D30" s="26" t="s">
        <v>12</v>
      </c>
      <c r="E30" s="24" t="s">
        <v>199</v>
      </c>
      <c r="F30" s="24" t="s">
        <v>200</v>
      </c>
      <c r="G30" s="24">
        <v>500</v>
      </c>
      <c r="H30" s="24"/>
    </row>
    <row r="31" spans="1:8" ht="14">
      <c r="A31" s="24" t="s">
        <v>201</v>
      </c>
      <c r="B31" s="25" t="s">
        <v>11</v>
      </c>
      <c r="C31" s="24" t="str">
        <f t="shared" si="0"/>
        <v>glutamicacid</v>
      </c>
      <c r="D31" s="26" t="s">
        <v>12</v>
      </c>
      <c r="E31" s="24" t="s">
        <v>202</v>
      </c>
      <c r="F31" s="24" t="s">
        <v>203</v>
      </c>
      <c r="G31" s="24">
        <v>500</v>
      </c>
      <c r="H31" s="24"/>
    </row>
    <row r="32" spans="1:8" ht="14">
      <c r="A32" s="24" t="s">
        <v>204</v>
      </c>
      <c r="B32" s="25" t="s">
        <v>11</v>
      </c>
      <c r="C32" s="24" t="str">
        <f t="shared" si="0"/>
        <v>glutamine</v>
      </c>
      <c r="D32" s="26" t="s">
        <v>12</v>
      </c>
      <c r="E32" s="24" t="s">
        <v>205</v>
      </c>
      <c r="F32" s="24" t="s">
        <v>206</v>
      </c>
      <c r="G32" s="24">
        <v>500</v>
      </c>
      <c r="H32" s="24"/>
    </row>
    <row r="33" spans="1:8" ht="14">
      <c r="A33" s="24" t="s">
        <v>207</v>
      </c>
      <c r="B33" s="25" t="s">
        <v>11</v>
      </c>
      <c r="C33" s="24" t="str">
        <f t="shared" si="0"/>
        <v>glycine</v>
      </c>
      <c r="D33" s="26" t="s">
        <v>12</v>
      </c>
      <c r="E33" s="24" t="s">
        <v>208</v>
      </c>
      <c r="F33" s="24" t="s">
        <v>209</v>
      </c>
      <c r="G33" s="24">
        <v>500</v>
      </c>
      <c r="H33" s="24"/>
    </row>
    <row r="34" spans="1:8" ht="14">
      <c r="A34" s="24" t="s">
        <v>210</v>
      </c>
      <c r="B34" s="25" t="s">
        <v>11</v>
      </c>
      <c r="C34" s="24" t="str">
        <f t="shared" si="0"/>
        <v>histidine</v>
      </c>
      <c r="D34" s="26" t="s">
        <v>12</v>
      </c>
      <c r="E34" s="24" t="s">
        <v>211</v>
      </c>
      <c r="F34" s="24" t="s">
        <v>212</v>
      </c>
      <c r="G34" s="24">
        <v>500</v>
      </c>
      <c r="H34" s="24"/>
    </row>
    <row r="35" spans="1:8" ht="14">
      <c r="A35" s="24" t="s">
        <v>213</v>
      </c>
      <c r="B35" s="25" t="s">
        <v>11</v>
      </c>
      <c r="C35" s="24" t="str">
        <f t="shared" si="0"/>
        <v>isoleucine</v>
      </c>
      <c r="D35" s="26" t="s">
        <v>12</v>
      </c>
      <c r="E35" s="24" t="s">
        <v>214</v>
      </c>
      <c r="F35" s="24" t="s">
        <v>215</v>
      </c>
      <c r="G35" s="24">
        <v>500</v>
      </c>
      <c r="H35" s="24"/>
    </row>
    <row r="36" spans="1:8" ht="14">
      <c r="A36" s="24" t="s">
        <v>216</v>
      </c>
      <c r="B36" s="25" t="s">
        <v>11</v>
      </c>
      <c r="C36" s="24" t="str">
        <f t="shared" si="0"/>
        <v>leucine</v>
      </c>
      <c r="D36" s="26" t="s">
        <v>12</v>
      </c>
      <c r="E36" s="24" t="s">
        <v>217</v>
      </c>
      <c r="F36" s="24" t="s">
        <v>218</v>
      </c>
      <c r="G36" s="24">
        <v>500</v>
      </c>
      <c r="H36" s="24"/>
    </row>
    <row r="37" spans="1:8" ht="14">
      <c r="A37" s="24" t="s">
        <v>219</v>
      </c>
      <c r="B37" s="25" t="s">
        <v>11</v>
      </c>
      <c r="C37" s="24" t="str">
        <f t="shared" si="0"/>
        <v>lysine</v>
      </c>
      <c r="D37" s="26" t="s">
        <v>12</v>
      </c>
      <c r="E37" s="24" t="s">
        <v>220</v>
      </c>
      <c r="F37" s="24" t="s">
        <v>221</v>
      </c>
      <c r="G37" s="24">
        <v>500</v>
      </c>
      <c r="H37" s="24"/>
    </row>
    <row r="38" spans="1:8" ht="14">
      <c r="A38" s="24" t="s">
        <v>222</v>
      </c>
      <c r="B38" s="25" t="s">
        <v>11</v>
      </c>
      <c r="C38" s="24" t="str">
        <f t="shared" si="0"/>
        <v>methionine</v>
      </c>
      <c r="D38" s="26" t="s">
        <v>12</v>
      </c>
      <c r="E38" s="24" t="s">
        <v>223</v>
      </c>
      <c r="F38" s="24" t="s">
        <v>224</v>
      </c>
      <c r="G38" s="24">
        <v>500</v>
      </c>
      <c r="H38" s="24"/>
    </row>
    <row r="39" spans="1:8" ht="14">
      <c r="A39" s="24" t="s">
        <v>225</v>
      </c>
      <c r="B39" s="25" t="s">
        <v>11</v>
      </c>
      <c r="C39" s="24" t="str">
        <f t="shared" si="0"/>
        <v>phenylalanine</v>
      </c>
      <c r="D39" s="26" t="s">
        <v>12</v>
      </c>
      <c r="E39" s="24" t="s">
        <v>226</v>
      </c>
      <c r="F39" s="24" t="s">
        <v>227</v>
      </c>
      <c r="G39" s="24">
        <v>500</v>
      </c>
      <c r="H39" s="24"/>
    </row>
    <row r="40" spans="1:8" ht="14">
      <c r="A40" s="24" t="s">
        <v>228</v>
      </c>
      <c r="B40" s="25" t="s">
        <v>11</v>
      </c>
      <c r="C40" s="24" t="str">
        <f t="shared" si="0"/>
        <v>proline</v>
      </c>
      <c r="D40" s="26" t="s">
        <v>12</v>
      </c>
      <c r="E40" s="24" t="s">
        <v>229</v>
      </c>
      <c r="F40" s="24" t="s">
        <v>230</v>
      </c>
      <c r="G40" s="24">
        <v>500</v>
      </c>
      <c r="H40" s="24"/>
    </row>
    <row r="41" spans="1:8" ht="14">
      <c r="A41" s="24" t="s">
        <v>231</v>
      </c>
      <c r="B41" s="25" t="s">
        <v>11</v>
      </c>
      <c r="C41" s="24" t="str">
        <f t="shared" si="0"/>
        <v>serine</v>
      </c>
      <c r="D41" s="26" t="s">
        <v>12</v>
      </c>
      <c r="E41" s="24" t="s">
        <v>232</v>
      </c>
      <c r="F41" s="24" t="s">
        <v>233</v>
      </c>
      <c r="G41" s="24">
        <v>500</v>
      </c>
      <c r="H41" s="24"/>
    </row>
    <row r="42" spans="1:8" ht="14">
      <c r="A42" s="24" t="s">
        <v>234</v>
      </c>
      <c r="B42" s="25" t="s">
        <v>11</v>
      </c>
      <c r="C42" s="24" t="str">
        <f t="shared" si="0"/>
        <v>threonine</v>
      </c>
      <c r="D42" s="26" t="s">
        <v>12</v>
      </c>
      <c r="E42" s="24" t="s">
        <v>235</v>
      </c>
      <c r="F42" s="24" t="s">
        <v>236</v>
      </c>
      <c r="G42" s="24">
        <v>500</v>
      </c>
      <c r="H42" s="24"/>
    </row>
    <row r="43" spans="1:8" ht="14">
      <c r="A43" s="24" t="s">
        <v>237</v>
      </c>
      <c r="B43" s="25" t="s">
        <v>11</v>
      </c>
      <c r="C43" s="24" t="str">
        <f t="shared" si="0"/>
        <v>tryptophan</v>
      </c>
      <c r="D43" s="26" t="s">
        <v>12</v>
      </c>
      <c r="E43" s="24" t="s">
        <v>238</v>
      </c>
      <c r="F43" s="24" t="s">
        <v>239</v>
      </c>
      <c r="G43" s="24">
        <v>500</v>
      </c>
      <c r="H43" s="24"/>
    </row>
    <row r="44" spans="1:8" ht="14">
      <c r="A44" s="24" t="s">
        <v>240</v>
      </c>
      <c r="B44" s="25" t="s">
        <v>11</v>
      </c>
      <c r="C44" s="24" t="str">
        <f t="shared" si="0"/>
        <v>tyrosine</v>
      </c>
      <c r="D44" s="26" t="s">
        <v>12</v>
      </c>
      <c r="E44" s="24" t="s">
        <v>241</v>
      </c>
      <c r="F44" s="24" t="s">
        <v>242</v>
      </c>
      <c r="G44" s="24">
        <v>500</v>
      </c>
      <c r="H44" s="24"/>
    </row>
    <row r="45" spans="1:8" ht="14">
      <c r="A45" s="24" t="s">
        <v>243</v>
      </c>
      <c r="B45" s="25" t="s">
        <v>11</v>
      </c>
      <c r="C45" s="24" t="str">
        <f t="shared" si="0"/>
        <v>valine</v>
      </c>
      <c r="D45" s="26" t="s">
        <v>12</v>
      </c>
      <c r="E45" s="24" t="s">
        <v>244</v>
      </c>
      <c r="F45" s="24" t="s">
        <v>245</v>
      </c>
      <c r="G45" s="24">
        <v>500</v>
      </c>
      <c r="H45" s="24"/>
    </row>
    <row r="46" spans="1:8" ht="14">
      <c r="A46" s="24" t="s">
        <v>261</v>
      </c>
      <c r="B46" s="25" t="s">
        <v>11</v>
      </c>
      <c r="C46" s="24" t="str">
        <f t="shared" si="0"/>
        <v>none</v>
      </c>
      <c r="D46" s="26" t="s">
        <v>12</v>
      </c>
      <c r="E46" s="24" t="s">
        <v>2941</v>
      </c>
      <c r="F46" s="24" t="s">
        <v>2942</v>
      </c>
      <c r="G46" s="24">
        <v>500</v>
      </c>
      <c r="H46" s="24"/>
    </row>
    <row r="47" spans="1:8" ht="14">
      <c r="A47" s="24" t="s">
        <v>246</v>
      </c>
      <c r="B47" s="25" t="s">
        <v>17</v>
      </c>
      <c r="C47" s="24" t="str">
        <f t="shared" si="0"/>
        <v>dda</v>
      </c>
      <c r="D47" s="24" t="s">
        <v>246</v>
      </c>
      <c r="E47" s="24" t="s">
        <v>247</v>
      </c>
      <c r="F47" s="24" t="s">
        <v>248</v>
      </c>
      <c r="G47" s="24">
        <v>500</v>
      </c>
      <c r="H47" s="24"/>
    </row>
    <row r="48" spans="1:8" ht="14">
      <c r="A48" s="24" t="s">
        <v>249</v>
      </c>
      <c r="B48" s="25" t="s">
        <v>17</v>
      </c>
      <c r="C48" s="24" t="str">
        <f t="shared" si="0"/>
        <v>dia</v>
      </c>
      <c r="D48" s="24" t="s">
        <v>249</v>
      </c>
      <c r="E48" s="24" t="s">
        <v>250</v>
      </c>
      <c r="F48" s="24" t="s">
        <v>251</v>
      </c>
      <c r="G48" s="24">
        <v>500</v>
      </c>
      <c r="H48" s="24"/>
    </row>
    <row r="49" spans="1:8" ht="14">
      <c r="A49" s="24" t="s">
        <v>252</v>
      </c>
      <c r="B49" s="25" t="s">
        <v>17</v>
      </c>
      <c r="C49" s="24" t="str">
        <f t="shared" si="0"/>
        <v>srm</v>
      </c>
      <c r="D49" s="24" t="s">
        <v>252</v>
      </c>
      <c r="E49" s="24" t="s">
        <v>253</v>
      </c>
      <c r="F49" s="24" t="s">
        <v>254</v>
      </c>
      <c r="G49" s="24">
        <v>500</v>
      </c>
      <c r="H49" s="24"/>
    </row>
    <row r="50" spans="1:8" ht="14">
      <c r="A50" s="24" t="s">
        <v>255</v>
      </c>
      <c r="B50" s="25" t="s">
        <v>21</v>
      </c>
      <c r="C50" s="24" t="str">
        <f t="shared" si="0"/>
        <v>caa</v>
      </c>
      <c r="D50" s="26" t="s">
        <v>12</v>
      </c>
      <c r="E50" s="24" t="s">
        <v>256</v>
      </c>
      <c r="F50" s="24" t="s">
        <v>257</v>
      </c>
      <c r="G50" s="24">
        <v>500</v>
      </c>
      <c r="H50" s="24"/>
    </row>
    <row r="51" spans="1:8" ht="14">
      <c r="A51" s="24" t="s">
        <v>258</v>
      </c>
      <c r="B51" s="25" t="s">
        <v>21</v>
      </c>
      <c r="C51" s="24" t="str">
        <f t="shared" si="0"/>
        <v>iaa</v>
      </c>
      <c r="D51" s="26" t="s">
        <v>12</v>
      </c>
      <c r="E51" s="24" t="s">
        <v>259</v>
      </c>
      <c r="F51" s="24" t="s">
        <v>260</v>
      </c>
      <c r="G51" s="24">
        <v>500</v>
      </c>
      <c r="H51" s="24"/>
    </row>
    <row r="52" spans="1:8" ht="14">
      <c r="A52" s="24" t="s">
        <v>261</v>
      </c>
      <c r="B52" s="25" t="s">
        <v>21</v>
      </c>
      <c r="C52" s="24" t="str">
        <f t="shared" si="0"/>
        <v>none</v>
      </c>
      <c r="D52" s="26" t="s">
        <v>12</v>
      </c>
      <c r="E52" s="24" t="s">
        <v>262</v>
      </c>
      <c r="F52" s="24" t="s">
        <v>263</v>
      </c>
      <c r="G52" s="24">
        <v>500</v>
      </c>
      <c r="H52" s="24"/>
    </row>
    <row r="53" spans="1:8" ht="14">
      <c r="A53" s="24" t="s">
        <v>264</v>
      </c>
      <c r="B53" s="25" t="s">
        <v>25</v>
      </c>
      <c r="C53" s="24" t="str">
        <f t="shared" si="0"/>
        <v>directdia</v>
      </c>
      <c r="D53" s="26" t="s">
        <v>12</v>
      </c>
      <c r="E53" s="24" t="s">
        <v>265</v>
      </c>
      <c r="F53" s="24" t="s">
        <v>266</v>
      </c>
      <c r="G53" s="24">
        <v>500</v>
      </c>
      <c r="H53" s="24"/>
    </row>
    <row r="54" spans="1:8" ht="14">
      <c r="A54" s="24" t="s">
        <v>267</v>
      </c>
      <c r="B54" s="25" t="s">
        <v>25</v>
      </c>
      <c r="C54" s="24" t="str">
        <f t="shared" si="0"/>
        <v>libdia</v>
      </c>
      <c r="D54" s="26" t="s">
        <v>12</v>
      </c>
      <c r="E54" s="24" t="s">
        <v>268</v>
      </c>
      <c r="F54" s="24" t="s">
        <v>269</v>
      </c>
      <c r="G54" s="24">
        <v>500</v>
      </c>
      <c r="H54" s="24"/>
    </row>
    <row r="55" spans="1:8" ht="14">
      <c r="A55" s="24" t="s">
        <v>270</v>
      </c>
      <c r="B55" s="25" t="s">
        <v>271</v>
      </c>
      <c r="C55" s="24" t="str">
        <f t="shared" si="0"/>
        <v>adipoq_cre</v>
      </c>
      <c r="D55" s="26" t="s">
        <v>12</v>
      </c>
      <c r="E55" s="24" t="s">
        <v>272</v>
      </c>
      <c r="F55" s="24" t="s">
        <v>273</v>
      </c>
      <c r="G55" s="24">
        <v>500</v>
      </c>
      <c r="H55" s="24"/>
    </row>
    <row r="56" spans="1:8" ht="14">
      <c r="A56" s="24" t="s">
        <v>274</v>
      </c>
      <c r="B56" s="25" t="s">
        <v>271</v>
      </c>
      <c r="C56" s="24" t="str">
        <f t="shared" si="0"/>
        <v>alb_cre</v>
      </c>
      <c r="D56" s="26" t="s">
        <v>12</v>
      </c>
      <c r="E56" s="24" t="s">
        <v>275</v>
      </c>
      <c r="F56" s="24" t="s">
        <v>276</v>
      </c>
      <c r="G56" s="24">
        <v>500</v>
      </c>
      <c r="H56" s="24"/>
    </row>
    <row r="57" spans="1:8" ht="14">
      <c r="A57" s="24" t="s">
        <v>277</v>
      </c>
      <c r="B57" s="25" t="s">
        <v>271</v>
      </c>
      <c r="C57" s="24" t="str">
        <f t="shared" si="0"/>
        <v>asc_ko</v>
      </c>
      <c r="D57" s="26" t="s">
        <v>12</v>
      </c>
      <c r="E57" s="24" t="s">
        <v>278</v>
      </c>
      <c r="F57" s="24" t="s">
        <v>278</v>
      </c>
      <c r="G57" s="24">
        <v>500</v>
      </c>
      <c r="H57" s="24"/>
    </row>
    <row r="58" spans="1:8" ht="14">
      <c r="A58" s="24" t="s">
        <v>279</v>
      </c>
      <c r="B58" s="25" t="s">
        <v>271</v>
      </c>
      <c r="C58" s="24" t="str">
        <f t="shared" si="0"/>
        <v>baf53b_cre</v>
      </c>
      <c r="D58" s="26" t="s">
        <v>12</v>
      </c>
      <c r="E58" s="24" t="s">
        <v>280</v>
      </c>
      <c r="F58" s="24" t="s">
        <v>281</v>
      </c>
      <c r="G58" s="24">
        <v>500</v>
      </c>
      <c r="H58" s="24"/>
    </row>
    <row r="59" spans="1:8" ht="14">
      <c r="A59" s="24" t="s">
        <v>282</v>
      </c>
      <c r="B59" s="25" t="s">
        <v>271</v>
      </c>
      <c r="C59" s="24" t="str">
        <f t="shared" si="0"/>
        <v>c57_bl6j</v>
      </c>
      <c r="D59" s="26" t="s">
        <v>12</v>
      </c>
      <c r="E59" s="24" t="s">
        <v>283</v>
      </c>
      <c r="F59" s="24" t="s">
        <v>283</v>
      </c>
      <c r="G59" s="24">
        <v>500</v>
      </c>
      <c r="H59" s="24"/>
    </row>
    <row r="60" spans="1:8" ht="14">
      <c r="A60" s="24" t="s">
        <v>284</v>
      </c>
      <c r="B60" s="25" t="s">
        <v>271</v>
      </c>
      <c r="C60" s="24" t="str">
        <f t="shared" si="0"/>
        <v>clec4f_cre</v>
      </c>
      <c r="D60" s="26" t="s">
        <v>12</v>
      </c>
      <c r="E60" s="24" t="s">
        <v>285</v>
      </c>
      <c r="F60" s="24" t="s">
        <v>286</v>
      </c>
      <c r="G60" s="24">
        <v>500</v>
      </c>
      <c r="H60" s="24"/>
    </row>
    <row r="61" spans="1:8" ht="14">
      <c r="A61" s="24" t="s">
        <v>287</v>
      </c>
      <c r="B61" s="25" t="s">
        <v>271</v>
      </c>
      <c r="C61" s="24" t="str">
        <f t="shared" si="0"/>
        <v>cx3cr1_cre</v>
      </c>
      <c r="D61" s="26" t="s">
        <v>12</v>
      </c>
      <c r="E61" s="24" t="s">
        <v>288</v>
      </c>
      <c r="F61" s="24" t="s">
        <v>289</v>
      </c>
      <c r="G61" s="24">
        <v>500</v>
      </c>
      <c r="H61" s="24"/>
    </row>
    <row r="62" spans="1:8" ht="14">
      <c r="A62" s="24" t="s">
        <v>290</v>
      </c>
      <c r="B62" s="25" t="s">
        <v>271</v>
      </c>
      <c r="C62" s="24" t="str">
        <f t="shared" si="0"/>
        <v>cxcr4creert2</v>
      </c>
      <c r="D62" s="26" t="s">
        <v>12</v>
      </c>
      <c r="E62" s="24" t="s">
        <v>291</v>
      </c>
      <c r="F62" s="24" t="s">
        <v>291</v>
      </c>
      <c r="G62" s="24">
        <v>500</v>
      </c>
      <c r="H62" s="24"/>
    </row>
    <row r="63" spans="1:8" ht="14">
      <c r="A63" s="24" t="s">
        <v>292</v>
      </c>
      <c r="B63" s="25" t="s">
        <v>271</v>
      </c>
      <c r="C63" s="24" t="str">
        <f t="shared" si="0"/>
        <v>glast_cre</v>
      </c>
      <c r="D63" s="26" t="s">
        <v>12</v>
      </c>
      <c r="E63" s="24" t="s">
        <v>293</v>
      </c>
      <c r="F63" s="24" t="s">
        <v>294</v>
      </c>
      <c r="G63" s="24">
        <v>500</v>
      </c>
      <c r="H63" s="24"/>
    </row>
    <row r="64" spans="1:8" ht="14">
      <c r="A64" s="24" t="s">
        <v>295</v>
      </c>
      <c r="B64" s="25" t="s">
        <v>271</v>
      </c>
      <c r="C64" s="24" t="str">
        <f t="shared" si="0"/>
        <v>lrat_cre</v>
      </c>
      <c r="D64" s="26" t="s">
        <v>12</v>
      </c>
      <c r="E64" s="24" t="s">
        <v>296</v>
      </c>
      <c r="F64" s="24" t="s">
        <v>297</v>
      </c>
      <c r="G64" s="24">
        <v>500</v>
      </c>
      <c r="H64" s="24"/>
    </row>
    <row r="65" spans="1:8" ht="14">
      <c r="A65" s="24" t="s">
        <v>298</v>
      </c>
      <c r="B65" s="25" t="s">
        <v>271</v>
      </c>
      <c r="C65" s="24" t="str">
        <f t="shared" si="0"/>
        <v>lysm_cre</v>
      </c>
      <c r="D65" s="26" t="s">
        <v>12</v>
      </c>
      <c r="E65" s="24" t="s">
        <v>299</v>
      </c>
      <c r="F65" s="24" t="s">
        <v>300</v>
      </c>
      <c r="G65" s="24">
        <v>500</v>
      </c>
      <c r="H65" s="24"/>
    </row>
    <row r="66" spans="1:8" ht="14">
      <c r="A66" s="24" t="s">
        <v>301</v>
      </c>
      <c r="B66" s="25" t="s">
        <v>271</v>
      </c>
      <c r="C66" s="24" t="str">
        <f t="shared" si="0"/>
        <v>ms4a3_cre</v>
      </c>
      <c r="D66" s="26" t="s">
        <v>12</v>
      </c>
      <c r="E66" s="24" t="s">
        <v>302</v>
      </c>
      <c r="F66" s="24" t="s">
        <v>303</v>
      </c>
      <c r="G66" s="24">
        <v>500</v>
      </c>
      <c r="H66" s="24"/>
    </row>
    <row r="67" spans="1:8" ht="14">
      <c r="A67" s="24" t="s">
        <v>304</v>
      </c>
      <c r="B67" s="25" t="s">
        <v>271</v>
      </c>
      <c r="C67" s="24" t="str">
        <f t="shared" si="0"/>
        <v>mt_nlrp3_cre</v>
      </c>
      <c r="D67" s="26" t="s">
        <v>12</v>
      </c>
      <c r="E67" s="24" t="s">
        <v>305</v>
      </c>
      <c r="F67" s="24" t="s">
        <v>306</v>
      </c>
      <c r="G67" s="24">
        <v>500</v>
      </c>
      <c r="H67" s="24"/>
    </row>
    <row r="68" spans="1:8" ht="14">
      <c r="A68" s="24" t="s">
        <v>307</v>
      </c>
      <c r="B68" s="25" t="s">
        <v>271</v>
      </c>
      <c r="C68" s="24" t="str">
        <f t="shared" si="0"/>
        <v>nlrp3_flox</v>
      </c>
      <c r="D68" s="26" t="s">
        <v>12</v>
      </c>
      <c r="E68" s="24" t="s">
        <v>308</v>
      </c>
      <c r="F68" s="24" t="s">
        <v>308</v>
      </c>
      <c r="G68" s="24">
        <v>500</v>
      </c>
      <c r="H68" s="24"/>
    </row>
    <row r="69" spans="1:8" ht="14">
      <c r="A69" s="24" t="s">
        <v>309</v>
      </c>
      <c r="B69" s="25" t="s">
        <v>271</v>
      </c>
      <c r="C69" s="24" t="str">
        <f t="shared" ref="C69:C133" si="1">A69</f>
        <v>nlrp3_ko</v>
      </c>
      <c r="D69" s="26" t="s">
        <v>12</v>
      </c>
      <c r="E69" s="24" t="s">
        <v>310</v>
      </c>
      <c r="F69" s="24" t="s">
        <v>310</v>
      </c>
      <c r="G69" s="24">
        <v>500</v>
      </c>
      <c r="H69" s="24"/>
    </row>
    <row r="70" spans="1:8" ht="14">
      <c r="A70" s="24" t="s">
        <v>311</v>
      </c>
      <c r="B70" s="25" t="s">
        <v>271</v>
      </c>
      <c r="C70" s="24" t="str">
        <f t="shared" si="1"/>
        <v>oaf</v>
      </c>
      <c r="D70" s="26" t="s">
        <v>12</v>
      </c>
      <c r="E70" s="24" t="s">
        <v>312</v>
      </c>
      <c r="F70" s="24" t="s">
        <v>312</v>
      </c>
      <c r="G70" s="24">
        <v>500</v>
      </c>
      <c r="H70" s="24"/>
    </row>
    <row r="71" spans="1:8" ht="14">
      <c r="A71" s="24" t="s">
        <v>313</v>
      </c>
      <c r="B71" s="25" t="s">
        <v>271</v>
      </c>
      <c r="C71" s="24" t="str">
        <f t="shared" si="1"/>
        <v>r26_ert2cre</v>
      </c>
      <c r="D71" s="26" t="s">
        <v>12</v>
      </c>
      <c r="E71" s="24" t="s">
        <v>314</v>
      </c>
      <c r="F71" s="24" t="s">
        <v>315</v>
      </c>
      <c r="G71" s="24">
        <v>500</v>
      </c>
      <c r="H71" s="24"/>
    </row>
    <row r="72" spans="1:8" ht="14">
      <c r="A72" s="24" t="s">
        <v>316</v>
      </c>
      <c r="B72" s="25" t="s">
        <v>271</v>
      </c>
      <c r="C72" s="24" t="str">
        <f t="shared" si="1"/>
        <v>r26_metrs_flox</v>
      </c>
      <c r="D72" s="26" t="s">
        <v>12</v>
      </c>
      <c r="E72" s="26" t="s">
        <v>317</v>
      </c>
      <c r="F72" s="24" t="s">
        <v>318</v>
      </c>
      <c r="G72" s="24">
        <v>500</v>
      </c>
      <c r="H72" s="24"/>
    </row>
    <row r="73" spans="1:8" ht="14">
      <c r="A73" s="24" t="s">
        <v>319</v>
      </c>
      <c r="B73" s="25" t="s">
        <v>271</v>
      </c>
      <c r="C73" s="24" t="str">
        <f t="shared" si="1"/>
        <v>r26_nlrp3_flox</v>
      </c>
      <c r="D73" s="26" t="s">
        <v>12</v>
      </c>
      <c r="E73" s="24" t="s">
        <v>320</v>
      </c>
      <c r="F73" s="24" t="s">
        <v>320</v>
      </c>
      <c r="G73" s="24">
        <v>500</v>
      </c>
      <c r="H73" s="24"/>
    </row>
    <row r="74" spans="1:8" ht="14">
      <c r="A74" s="24" t="s">
        <v>321</v>
      </c>
      <c r="B74" s="25" t="s">
        <v>271</v>
      </c>
      <c r="C74" s="24" t="str">
        <f t="shared" si="1"/>
        <v>ribotag_lox</v>
      </c>
      <c r="D74" s="26" t="s">
        <v>12</v>
      </c>
      <c r="E74" s="24" t="s">
        <v>322</v>
      </c>
      <c r="F74" s="26" t="s">
        <v>12</v>
      </c>
      <c r="G74" s="24">
        <v>500</v>
      </c>
      <c r="H74" s="24"/>
    </row>
    <row r="75" spans="1:8" ht="14">
      <c r="A75" s="24" t="s">
        <v>323</v>
      </c>
      <c r="B75" s="25" t="s">
        <v>271</v>
      </c>
      <c r="C75" s="24" t="str">
        <f t="shared" si="1"/>
        <v>sox10_cre</v>
      </c>
      <c r="D75" s="26" t="s">
        <v>12</v>
      </c>
      <c r="E75" s="24" t="s">
        <v>324</v>
      </c>
      <c r="F75" s="24" t="s">
        <v>325</v>
      </c>
      <c r="G75" s="24">
        <v>500</v>
      </c>
      <c r="H75" s="24"/>
    </row>
    <row r="76" spans="1:8" ht="14">
      <c r="A76" s="24" t="s">
        <v>326</v>
      </c>
      <c r="B76" s="25" t="s">
        <v>271</v>
      </c>
      <c r="C76" s="24" t="str">
        <f t="shared" si="1"/>
        <v>ucp1_cre</v>
      </c>
      <c r="D76" s="26" t="s">
        <v>12</v>
      </c>
      <c r="E76" s="24" t="s">
        <v>327</v>
      </c>
      <c r="F76" s="24" t="s">
        <v>328</v>
      </c>
      <c r="G76" s="24">
        <v>500</v>
      </c>
      <c r="H76" s="24"/>
    </row>
    <row r="77" spans="1:8" ht="14">
      <c r="A77" s="24" t="s">
        <v>329</v>
      </c>
      <c r="B77" s="25" t="s">
        <v>271</v>
      </c>
      <c r="C77" s="24" t="str">
        <f t="shared" si="1"/>
        <v>vil_cre</v>
      </c>
      <c r="D77" s="26" t="s">
        <v>12</v>
      </c>
      <c r="E77" s="24" t="s">
        <v>330</v>
      </c>
      <c r="F77" s="24" t="s">
        <v>331</v>
      </c>
      <c r="G77" s="24">
        <v>500</v>
      </c>
      <c r="H77" s="24"/>
    </row>
    <row r="78" spans="1:8" ht="14">
      <c r="A78" s="24" t="s">
        <v>332</v>
      </c>
      <c r="B78" s="25" t="s">
        <v>34</v>
      </c>
      <c r="C78" s="24" t="str">
        <f t="shared" si="1"/>
        <v>adipose_macrophages</v>
      </c>
      <c r="D78" s="24" t="s">
        <v>333</v>
      </c>
      <c r="E78" s="24" t="s">
        <v>334</v>
      </c>
      <c r="F78" s="24" t="s">
        <v>335</v>
      </c>
      <c r="G78" s="24">
        <v>500</v>
      </c>
      <c r="H78" s="24"/>
    </row>
    <row r="79" spans="1:8" ht="14">
      <c r="A79" s="24" t="s">
        <v>336</v>
      </c>
      <c r="B79" s="25" t="s">
        <v>34</v>
      </c>
      <c r="C79" s="24" t="str">
        <f t="shared" si="1"/>
        <v>astrocytes</v>
      </c>
      <c r="D79" s="24" t="s">
        <v>336</v>
      </c>
      <c r="E79" s="24" t="s">
        <v>294</v>
      </c>
      <c r="F79" s="24" t="s">
        <v>294</v>
      </c>
      <c r="G79" s="24">
        <v>500</v>
      </c>
      <c r="H79" s="24"/>
    </row>
    <row r="80" spans="1:8" ht="14">
      <c r="A80" s="24" t="s">
        <v>337</v>
      </c>
      <c r="B80" s="25" t="s">
        <v>34</v>
      </c>
      <c r="C80" s="24" t="str">
        <f t="shared" si="1"/>
        <v>basophils</v>
      </c>
      <c r="D80" s="24" t="s">
        <v>337</v>
      </c>
      <c r="E80" s="24" t="s">
        <v>338</v>
      </c>
      <c r="F80" s="24" t="s">
        <v>339</v>
      </c>
      <c r="G80" s="24">
        <v>500</v>
      </c>
      <c r="H80" s="24"/>
    </row>
    <row r="81" spans="1:8" ht="14">
      <c r="A81" s="24" t="s">
        <v>340</v>
      </c>
      <c r="B81" s="25" t="s">
        <v>34</v>
      </c>
      <c r="C81" s="24" t="str">
        <f t="shared" si="1"/>
        <v>bcells</v>
      </c>
      <c r="D81" s="24" t="s">
        <v>340</v>
      </c>
      <c r="E81" s="24" t="s">
        <v>341</v>
      </c>
      <c r="F81" s="24" t="s">
        <v>341</v>
      </c>
      <c r="G81" s="24">
        <v>500</v>
      </c>
      <c r="H81" s="24"/>
    </row>
    <row r="82" spans="1:8" ht="14">
      <c r="A82" s="24" t="s">
        <v>342</v>
      </c>
      <c r="B82" s="25" t="s">
        <v>34</v>
      </c>
      <c r="C82" s="24" t="str">
        <f t="shared" si="1"/>
        <v>cytotoxict</v>
      </c>
      <c r="D82" s="24" t="s">
        <v>342</v>
      </c>
      <c r="E82" s="24" t="s">
        <v>343</v>
      </c>
      <c r="F82" s="24" t="s">
        <v>344</v>
      </c>
      <c r="G82" s="24">
        <v>500</v>
      </c>
      <c r="H82" s="24"/>
    </row>
    <row r="83" spans="1:8" ht="14">
      <c r="A83" s="24" t="s">
        <v>345</v>
      </c>
      <c r="B83" s="25" t="s">
        <v>34</v>
      </c>
      <c r="C83" s="24" t="str">
        <f t="shared" si="1"/>
        <v>endothelial</v>
      </c>
      <c r="D83" s="24" t="s">
        <v>345</v>
      </c>
      <c r="E83" s="24" t="s">
        <v>346</v>
      </c>
      <c r="F83" s="24" t="s">
        <v>347</v>
      </c>
      <c r="G83" s="24">
        <v>500</v>
      </c>
      <c r="H83" s="24"/>
    </row>
    <row r="84" spans="1:8" ht="14">
      <c r="A84" s="24" t="s">
        <v>348</v>
      </c>
      <c r="B84" s="25" t="s">
        <v>34</v>
      </c>
      <c r="C84" s="24" t="str">
        <f t="shared" si="1"/>
        <v>eosinophils</v>
      </c>
      <c r="D84" s="24" t="s">
        <v>348</v>
      </c>
      <c r="E84" s="24" t="s">
        <v>349</v>
      </c>
      <c r="F84" s="24" t="s">
        <v>350</v>
      </c>
      <c r="G84" s="24">
        <v>500</v>
      </c>
      <c r="H84" s="24"/>
    </row>
    <row r="85" spans="1:8" ht="14">
      <c r="A85" s="24" t="s">
        <v>351</v>
      </c>
      <c r="B85" s="25" t="s">
        <v>34</v>
      </c>
      <c r="C85" s="24" t="str">
        <f t="shared" si="1"/>
        <v>epithelioid</v>
      </c>
      <c r="D85" s="24" t="s">
        <v>351</v>
      </c>
      <c r="E85" s="24" t="s">
        <v>352</v>
      </c>
      <c r="F85" s="24" t="s">
        <v>353</v>
      </c>
      <c r="G85" s="24">
        <v>500</v>
      </c>
      <c r="H85" s="24"/>
    </row>
    <row r="86" spans="1:8" ht="14">
      <c r="A86" s="24" t="s">
        <v>354</v>
      </c>
      <c r="B86" s="25" t="s">
        <v>34</v>
      </c>
      <c r="C86" s="24" t="str">
        <f t="shared" si="1"/>
        <v>erythrocytes</v>
      </c>
      <c r="D86" s="24" t="s">
        <v>354</v>
      </c>
      <c r="E86" s="24" t="s">
        <v>355</v>
      </c>
      <c r="F86" s="24" t="s">
        <v>356</v>
      </c>
      <c r="G86" s="24">
        <v>500</v>
      </c>
      <c r="H86" s="24"/>
    </row>
    <row r="87" spans="1:8" ht="14">
      <c r="A87" s="24" t="s">
        <v>357</v>
      </c>
      <c r="B87" s="25" t="s">
        <v>34</v>
      </c>
      <c r="C87" s="24" t="str">
        <f t="shared" si="1"/>
        <v>gammadeltat</v>
      </c>
      <c r="D87" s="24" t="s">
        <v>357</v>
      </c>
      <c r="E87" s="24" t="s">
        <v>358</v>
      </c>
      <c r="F87" s="24" t="s">
        <v>359</v>
      </c>
      <c r="G87" s="24">
        <v>500</v>
      </c>
      <c r="H87" s="24"/>
    </row>
    <row r="88" spans="1:8" ht="14">
      <c r="A88" s="24" t="s">
        <v>360</v>
      </c>
      <c r="B88" s="25" t="s">
        <v>34</v>
      </c>
      <c r="C88" s="24" t="str">
        <f t="shared" si="1"/>
        <v>hofbauer</v>
      </c>
      <c r="D88" s="24" t="s">
        <v>360</v>
      </c>
      <c r="E88" s="24" t="s">
        <v>361</v>
      </c>
      <c r="F88" s="24" t="s">
        <v>362</v>
      </c>
      <c r="G88" s="24">
        <v>500</v>
      </c>
      <c r="H88" s="24"/>
    </row>
    <row r="89" spans="1:8" ht="14">
      <c r="A89" s="24" t="s">
        <v>363</v>
      </c>
      <c r="B89" s="25" t="s">
        <v>34</v>
      </c>
      <c r="C89" s="24" t="str">
        <f t="shared" si="1"/>
        <v>keratinocytes</v>
      </c>
      <c r="D89" s="24" t="s">
        <v>363</v>
      </c>
      <c r="E89" s="24" t="s">
        <v>364</v>
      </c>
      <c r="F89" s="24" t="s">
        <v>365</v>
      </c>
      <c r="G89" s="24">
        <v>500</v>
      </c>
      <c r="H89" s="24"/>
    </row>
    <row r="90" spans="1:8" ht="14">
      <c r="A90" s="24" t="s">
        <v>366</v>
      </c>
      <c r="B90" s="25" t="s">
        <v>34</v>
      </c>
      <c r="C90" s="24" t="str">
        <f t="shared" si="1"/>
        <v>kupffer</v>
      </c>
      <c r="D90" s="24" t="s">
        <v>366</v>
      </c>
      <c r="E90" s="24" t="s">
        <v>367</v>
      </c>
      <c r="F90" s="24" t="s">
        <v>368</v>
      </c>
      <c r="G90" s="24">
        <v>500</v>
      </c>
      <c r="H90" s="24"/>
    </row>
    <row r="91" spans="1:8" ht="14">
      <c r="A91" s="24" t="s">
        <v>369</v>
      </c>
      <c r="B91" s="25" t="s">
        <v>34</v>
      </c>
      <c r="C91" s="24" t="str">
        <f t="shared" si="1"/>
        <v>langerhans</v>
      </c>
      <c r="D91" s="24" t="s">
        <v>369</v>
      </c>
      <c r="E91" s="24" t="s">
        <v>370</v>
      </c>
      <c r="F91" s="24" t="s">
        <v>371</v>
      </c>
      <c r="G91" s="24">
        <v>500</v>
      </c>
      <c r="H91" s="24"/>
    </row>
    <row r="92" spans="1:8" ht="14">
      <c r="A92" s="24" t="s">
        <v>372</v>
      </c>
      <c r="B92" s="25" t="s">
        <v>34</v>
      </c>
      <c r="C92" s="24" t="str">
        <f t="shared" si="1"/>
        <v>leukocytes</v>
      </c>
      <c r="D92" s="24" t="s">
        <v>372</v>
      </c>
      <c r="E92" s="24" t="s">
        <v>373</v>
      </c>
      <c r="F92" s="24" t="s">
        <v>374</v>
      </c>
      <c r="G92" s="24">
        <v>500</v>
      </c>
      <c r="H92" s="24"/>
    </row>
    <row r="93" spans="1:8" ht="14">
      <c r="A93" s="24" t="s">
        <v>375</v>
      </c>
      <c r="B93" s="25" t="s">
        <v>34</v>
      </c>
      <c r="C93" s="24" t="str">
        <f t="shared" si="1"/>
        <v>lymphocytes</v>
      </c>
      <c r="D93" s="24" t="s">
        <v>375</v>
      </c>
      <c r="E93" s="24" t="s">
        <v>376</v>
      </c>
      <c r="F93" s="24" t="s">
        <v>377</v>
      </c>
      <c r="G93" s="24">
        <v>500</v>
      </c>
      <c r="H93" s="24"/>
    </row>
    <row r="94" spans="1:8" ht="14">
      <c r="A94" s="24" t="s">
        <v>378</v>
      </c>
      <c r="B94" s="25" t="s">
        <v>34</v>
      </c>
      <c r="C94" s="24" t="str">
        <f t="shared" si="1"/>
        <v>macrophage</v>
      </c>
      <c r="D94" s="24" t="s">
        <v>378</v>
      </c>
      <c r="E94" s="24" t="s">
        <v>379</v>
      </c>
      <c r="F94" s="24" t="s">
        <v>379</v>
      </c>
      <c r="G94" s="24">
        <v>500</v>
      </c>
      <c r="H94" s="24"/>
    </row>
    <row r="95" spans="1:8" ht="14">
      <c r="A95" s="24" t="s">
        <v>380</v>
      </c>
      <c r="B95" s="25" t="s">
        <v>34</v>
      </c>
      <c r="C95" s="24" t="str">
        <f t="shared" si="1"/>
        <v>microglia</v>
      </c>
      <c r="D95" s="24" t="s">
        <v>380</v>
      </c>
      <c r="E95" s="24" t="s">
        <v>381</v>
      </c>
      <c r="F95" s="24" t="s">
        <v>382</v>
      </c>
      <c r="G95" s="24">
        <v>500</v>
      </c>
      <c r="H95" s="24"/>
    </row>
    <row r="96" spans="1:8" ht="14">
      <c r="A96" s="24" t="s">
        <v>383</v>
      </c>
      <c r="B96" s="25" t="s">
        <v>34</v>
      </c>
      <c r="C96" s="24" t="str">
        <f t="shared" si="1"/>
        <v>monoblast</v>
      </c>
      <c r="D96" s="24" t="s">
        <v>383</v>
      </c>
      <c r="E96" s="24" t="s">
        <v>384</v>
      </c>
      <c r="F96" s="24" t="s">
        <v>384</v>
      </c>
      <c r="G96" s="24">
        <v>500</v>
      </c>
      <c r="H96" s="24"/>
    </row>
    <row r="97" spans="1:8" ht="14">
      <c r="A97" s="24" t="s">
        <v>385</v>
      </c>
      <c r="B97" s="25" t="s">
        <v>34</v>
      </c>
      <c r="C97" s="24" t="str">
        <f t="shared" si="1"/>
        <v>monocytes</v>
      </c>
      <c r="D97" s="24" t="s">
        <v>385</v>
      </c>
      <c r="E97" s="24" t="s">
        <v>303</v>
      </c>
      <c r="F97" s="24" t="s">
        <v>386</v>
      </c>
      <c r="G97" s="24">
        <v>500</v>
      </c>
      <c r="H97" s="24"/>
    </row>
    <row r="98" spans="1:8" ht="14">
      <c r="A98" s="24" t="s">
        <v>387</v>
      </c>
      <c r="B98" s="25" t="s">
        <v>34</v>
      </c>
      <c r="C98" s="24" t="str">
        <f t="shared" si="1"/>
        <v>neutrophils</v>
      </c>
      <c r="D98" s="24" t="s">
        <v>387</v>
      </c>
      <c r="E98" s="24" t="s">
        <v>388</v>
      </c>
      <c r="F98" s="24" t="s">
        <v>389</v>
      </c>
      <c r="G98" s="24">
        <v>500</v>
      </c>
      <c r="H98" s="24"/>
    </row>
    <row r="99" spans="1:8" ht="14">
      <c r="A99" s="24" t="s">
        <v>390</v>
      </c>
      <c r="B99" s="25" t="s">
        <v>34</v>
      </c>
      <c r="C99" s="24" t="str">
        <f t="shared" si="1"/>
        <v>nk</v>
      </c>
      <c r="D99" s="24" t="s">
        <v>390</v>
      </c>
      <c r="E99" s="24" t="s">
        <v>391</v>
      </c>
      <c r="F99" s="24" t="s">
        <v>392</v>
      </c>
      <c r="G99" s="24">
        <v>500</v>
      </c>
      <c r="H99" s="24"/>
    </row>
    <row r="100" spans="1:8" ht="14">
      <c r="A100" s="24" t="s">
        <v>393</v>
      </c>
      <c r="B100" s="25" t="s">
        <v>34</v>
      </c>
      <c r="C100" s="24" t="str">
        <f t="shared" si="1"/>
        <v>osteoblast</v>
      </c>
      <c r="D100" s="24" t="s">
        <v>393</v>
      </c>
      <c r="E100" s="24" t="s">
        <v>394</v>
      </c>
      <c r="F100" s="24" t="s">
        <v>395</v>
      </c>
      <c r="G100" s="24">
        <v>500</v>
      </c>
      <c r="H100" s="24"/>
    </row>
    <row r="101" spans="1:8" ht="14">
      <c r="A101" s="24" t="s">
        <v>396</v>
      </c>
      <c r="B101" s="25" t="s">
        <v>34</v>
      </c>
      <c r="C101" s="24" t="str">
        <f t="shared" si="1"/>
        <v>osteoclast</v>
      </c>
      <c r="D101" s="24" t="s">
        <v>396</v>
      </c>
      <c r="E101" s="24" t="s">
        <v>397</v>
      </c>
      <c r="F101" s="24" t="s">
        <v>398</v>
      </c>
      <c r="G101" s="24">
        <v>500</v>
      </c>
      <c r="H101" s="24"/>
    </row>
    <row r="102" spans="1:8" ht="14">
      <c r="A102" s="24" t="s">
        <v>399</v>
      </c>
      <c r="B102" s="25" t="s">
        <v>34</v>
      </c>
      <c r="C102" s="24" t="str">
        <f t="shared" si="1"/>
        <v>osteocytes</v>
      </c>
      <c r="D102" s="24" t="s">
        <v>399</v>
      </c>
      <c r="E102" s="24" t="s">
        <v>400</v>
      </c>
      <c r="F102" s="24" t="s">
        <v>401</v>
      </c>
      <c r="G102" s="24">
        <v>500</v>
      </c>
      <c r="H102" s="24"/>
    </row>
    <row r="103" spans="1:8" ht="14">
      <c r="A103" s="24" t="s">
        <v>402</v>
      </c>
      <c r="B103" s="25" t="s">
        <v>34</v>
      </c>
      <c r="C103" s="24" t="str">
        <f t="shared" si="1"/>
        <v>osteogenic</v>
      </c>
      <c r="D103" s="24" t="s">
        <v>402</v>
      </c>
      <c r="E103" s="24" t="s">
        <v>403</v>
      </c>
      <c r="F103" s="24" t="s">
        <v>404</v>
      </c>
      <c r="G103" s="24">
        <v>500</v>
      </c>
      <c r="H103" s="24"/>
    </row>
    <row r="104" spans="1:8" ht="14">
      <c r="A104" s="24" t="s">
        <v>405</v>
      </c>
      <c r="B104" s="25" t="s">
        <v>34</v>
      </c>
      <c r="C104" s="24" t="str">
        <f t="shared" si="1"/>
        <v>regt</v>
      </c>
      <c r="D104" s="24" t="s">
        <v>405</v>
      </c>
      <c r="E104" s="24" t="s">
        <v>406</v>
      </c>
      <c r="F104" s="24" t="s">
        <v>407</v>
      </c>
      <c r="G104" s="24">
        <v>500</v>
      </c>
      <c r="H104" s="24"/>
    </row>
    <row r="105" spans="1:8" ht="14">
      <c r="A105" s="24" t="s">
        <v>408</v>
      </c>
      <c r="B105" s="25" t="s">
        <v>34</v>
      </c>
      <c r="C105" s="24" t="str">
        <f t="shared" si="1"/>
        <v>stemcells</v>
      </c>
      <c r="D105" s="24" t="s">
        <v>408</v>
      </c>
      <c r="E105" s="24" t="s">
        <v>409</v>
      </c>
      <c r="F105" s="24" t="s">
        <v>410</v>
      </c>
      <c r="G105" s="24">
        <v>500</v>
      </c>
      <c r="H105" s="24"/>
    </row>
    <row r="106" spans="1:8" ht="14">
      <c r="A106" s="24" t="s">
        <v>411</v>
      </c>
      <c r="B106" s="25" t="s">
        <v>34</v>
      </c>
      <c r="C106" s="24" t="str">
        <f t="shared" si="1"/>
        <v>tcells</v>
      </c>
      <c r="D106" s="24" t="s">
        <v>411</v>
      </c>
      <c r="E106" s="24" t="s">
        <v>412</v>
      </c>
      <c r="F106" s="24" t="s">
        <v>412</v>
      </c>
      <c r="G106" s="24">
        <v>500</v>
      </c>
      <c r="H106" s="24"/>
    </row>
    <row r="107" spans="1:8" ht="14">
      <c r="A107" s="24" t="s">
        <v>413</v>
      </c>
      <c r="B107" s="25" t="s">
        <v>34</v>
      </c>
      <c r="C107" s="24" t="str">
        <f t="shared" si="1"/>
        <v>thelper</v>
      </c>
      <c r="D107" s="24" t="s">
        <v>413</v>
      </c>
      <c r="E107" s="24" t="s">
        <v>414</v>
      </c>
      <c r="F107" s="24" t="s">
        <v>415</v>
      </c>
      <c r="G107" s="24">
        <v>500</v>
      </c>
      <c r="H107" s="24"/>
    </row>
    <row r="108" spans="1:8" ht="14">
      <c r="A108" s="24" t="s">
        <v>416</v>
      </c>
      <c r="B108" s="25" t="s">
        <v>34</v>
      </c>
      <c r="C108" s="24" t="str">
        <f t="shared" si="1"/>
        <v>thrombocytes</v>
      </c>
      <c r="D108" s="24" t="s">
        <v>416</v>
      </c>
      <c r="E108" s="24" t="s">
        <v>417</v>
      </c>
      <c r="F108" s="24" t="s">
        <v>418</v>
      </c>
      <c r="G108" s="24">
        <v>500</v>
      </c>
      <c r="H108" s="24"/>
    </row>
    <row r="109" spans="1:8" ht="14">
      <c r="A109" s="24" t="s">
        <v>419</v>
      </c>
      <c r="B109" s="25" t="s">
        <v>37</v>
      </c>
      <c r="C109" s="24" t="str">
        <f t="shared" si="1"/>
        <v>786_0</v>
      </c>
      <c r="D109" s="24">
        <v>786</v>
      </c>
      <c r="E109" s="24" t="s">
        <v>420</v>
      </c>
      <c r="F109" s="24" t="s">
        <v>421</v>
      </c>
      <c r="G109" s="24">
        <v>500</v>
      </c>
      <c r="H109" s="24"/>
    </row>
    <row r="110" spans="1:8" ht="14">
      <c r="A110" s="24" t="s">
        <v>422</v>
      </c>
      <c r="B110" s="25" t="s">
        <v>37</v>
      </c>
      <c r="C110" s="24" t="str">
        <f t="shared" si="1"/>
        <v>a498</v>
      </c>
      <c r="D110" s="24" t="s">
        <v>422</v>
      </c>
      <c r="E110" s="24" t="s">
        <v>423</v>
      </c>
      <c r="F110" s="24" t="s">
        <v>421</v>
      </c>
      <c r="G110" s="24">
        <v>500</v>
      </c>
      <c r="H110" s="24"/>
    </row>
    <row r="111" spans="1:8" ht="14">
      <c r="A111" s="24" t="s">
        <v>424</v>
      </c>
      <c r="B111" s="25" t="s">
        <v>37</v>
      </c>
      <c r="C111" s="24" t="str">
        <f t="shared" si="1"/>
        <v>a549</v>
      </c>
      <c r="D111" s="24" t="s">
        <v>424</v>
      </c>
      <c r="E111" s="24" t="s">
        <v>425</v>
      </c>
      <c r="F111" s="24" t="s">
        <v>426</v>
      </c>
      <c r="G111" s="24">
        <v>500</v>
      </c>
      <c r="H111" s="24"/>
    </row>
    <row r="112" spans="1:8" ht="14">
      <c r="A112" s="24" t="s">
        <v>427</v>
      </c>
      <c r="B112" s="25" t="s">
        <v>37</v>
      </c>
      <c r="C112" s="24" t="str">
        <f t="shared" si="1"/>
        <v>achn</v>
      </c>
      <c r="D112" s="24" t="s">
        <v>427</v>
      </c>
      <c r="E112" s="24" t="s">
        <v>428</v>
      </c>
      <c r="F112" s="24" t="s">
        <v>421</v>
      </c>
      <c r="G112" s="24">
        <v>500</v>
      </c>
      <c r="H112" s="24"/>
    </row>
    <row r="113" spans="1:8" ht="14">
      <c r="A113" s="24" t="s">
        <v>429</v>
      </c>
      <c r="B113" s="25" t="s">
        <v>37</v>
      </c>
      <c r="C113" s="24" t="str">
        <f t="shared" si="1"/>
        <v>bmdc</v>
      </c>
      <c r="D113" s="24" t="s">
        <v>429</v>
      </c>
      <c r="E113" s="24" t="s">
        <v>430</v>
      </c>
      <c r="F113" s="24" t="s">
        <v>430</v>
      </c>
      <c r="G113" s="24">
        <v>500</v>
      </c>
      <c r="H113" s="24"/>
    </row>
    <row r="114" spans="1:8" ht="14">
      <c r="A114" s="24" t="s">
        <v>431</v>
      </c>
      <c r="B114" s="25" t="s">
        <v>37</v>
      </c>
      <c r="C114" s="24" t="str">
        <f t="shared" si="1"/>
        <v>bmm</v>
      </c>
      <c r="D114" s="24" t="s">
        <v>431</v>
      </c>
      <c r="E114" s="24" t="s">
        <v>432</v>
      </c>
      <c r="F114" s="24" t="s">
        <v>433</v>
      </c>
      <c r="G114" s="24">
        <v>500</v>
      </c>
      <c r="H114" s="24"/>
    </row>
    <row r="115" spans="1:8" ht="14">
      <c r="A115" s="24" t="s">
        <v>434</v>
      </c>
      <c r="B115" s="25" t="s">
        <v>37</v>
      </c>
      <c r="C115" s="24" t="str">
        <f t="shared" si="1"/>
        <v>bt549</v>
      </c>
      <c r="D115" s="24" t="s">
        <v>434</v>
      </c>
      <c r="E115" s="24" t="s">
        <v>435</v>
      </c>
      <c r="F115" s="24" t="s">
        <v>436</v>
      </c>
      <c r="G115" s="24">
        <v>500</v>
      </c>
      <c r="H115" s="24"/>
    </row>
    <row r="116" spans="1:8" ht="14">
      <c r="A116" s="24" t="s">
        <v>437</v>
      </c>
      <c r="B116" s="25" t="s">
        <v>37</v>
      </c>
      <c r="C116" s="24" t="str">
        <f t="shared" si="1"/>
        <v>caki1</v>
      </c>
      <c r="D116" s="24" t="s">
        <v>437</v>
      </c>
      <c r="E116" s="24" t="s">
        <v>438</v>
      </c>
      <c r="F116" s="24" t="s">
        <v>421</v>
      </c>
      <c r="G116" s="24">
        <v>500</v>
      </c>
      <c r="H116" s="24"/>
    </row>
    <row r="117" spans="1:8" ht="14">
      <c r="A117" s="24" t="s">
        <v>439</v>
      </c>
      <c r="B117" s="25" t="s">
        <v>37</v>
      </c>
      <c r="C117" s="24" t="str">
        <f t="shared" si="1"/>
        <v>cho</v>
      </c>
      <c r="D117" s="24" t="s">
        <v>439</v>
      </c>
      <c r="E117" s="24" t="s">
        <v>440</v>
      </c>
      <c r="F117" s="24" t="s">
        <v>441</v>
      </c>
      <c r="G117" s="24">
        <v>500</v>
      </c>
      <c r="H117" s="24"/>
    </row>
    <row r="118" spans="1:8" ht="14">
      <c r="A118" s="24" t="s">
        <v>442</v>
      </c>
      <c r="B118" s="25" t="s">
        <v>37</v>
      </c>
      <c r="C118" s="24" t="str">
        <f t="shared" si="1"/>
        <v>colo205</v>
      </c>
      <c r="D118" s="24" t="s">
        <v>442</v>
      </c>
      <c r="E118" s="24" t="s">
        <v>443</v>
      </c>
      <c r="F118" s="24" t="s">
        <v>444</v>
      </c>
      <c r="G118" s="24">
        <v>500</v>
      </c>
      <c r="H118" s="24"/>
    </row>
    <row r="119" spans="1:8" ht="14">
      <c r="A119" s="24" t="s">
        <v>445</v>
      </c>
      <c r="B119" s="25" t="s">
        <v>37</v>
      </c>
      <c r="C119" s="24" t="str">
        <f t="shared" si="1"/>
        <v>crfcem</v>
      </c>
      <c r="D119" s="24" t="s">
        <v>445</v>
      </c>
      <c r="E119" s="24" t="s">
        <v>446</v>
      </c>
      <c r="F119" s="24" t="s">
        <v>447</v>
      </c>
      <c r="G119" s="24">
        <v>500</v>
      </c>
      <c r="H119" s="24"/>
    </row>
    <row r="120" spans="1:8" ht="14">
      <c r="A120" s="24" t="s">
        <v>448</v>
      </c>
      <c r="B120" s="25" t="s">
        <v>37</v>
      </c>
      <c r="C120" s="24" t="str">
        <f t="shared" si="1"/>
        <v>du145</v>
      </c>
      <c r="D120" s="24" t="s">
        <v>448</v>
      </c>
      <c r="E120" s="24" t="s">
        <v>449</v>
      </c>
      <c r="F120" s="24" t="s">
        <v>450</v>
      </c>
      <c r="G120" s="24">
        <v>500</v>
      </c>
      <c r="H120" s="24"/>
    </row>
    <row r="121" spans="1:8" ht="14">
      <c r="A121" s="24" t="s">
        <v>451</v>
      </c>
      <c r="B121" s="25" t="s">
        <v>37</v>
      </c>
      <c r="C121" s="24" t="str">
        <f t="shared" si="1"/>
        <v>ekvx</v>
      </c>
      <c r="D121" s="24" t="s">
        <v>451</v>
      </c>
      <c r="E121" s="24" t="s">
        <v>452</v>
      </c>
      <c r="F121" s="24" t="s">
        <v>426</v>
      </c>
      <c r="G121" s="24">
        <v>500</v>
      </c>
      <c r="H121" s="24"/>
    </row>
    <row r="122" spans="1:8" ht="14">
      <c r="A122" s="24" t="s">
        <v>453</v>
      </c>
      <c r="B122" s="25" t="s">
        <v>37</v>
      </c>
      <c r="C122" s="24" t="str">
        <f t="shared" si="1"/>
        <v>hcc2998</v>
      </c>
      <c r="D122" s="24" t="s">
        <v>453</v>
      </c>
      <c r="E122" s="24" t="s">
        <v>454</v>
      </c>
      <c r="F122" s="24" t="s">
        <v>444</v>
      </c>
      <c r="G122" s="24">
        <v>500</v>
      </c>
      <c r="H122" s="24"/>
    </row>
    <row r="123" spans="1:8" ht="14">
      <c r="A123" s="24" t="s">
        <v>455</v>
      </c>
      <c r="B123" s="25" t="s">
        <v>37</v>
      </c>
      <c r="C123" s="24" t="str">
        <f t="shared" si="1"/>
        <v>hct116</v>
      </c>
      <c r="D123" s="24" t="s">
        <v>455</v>
      </c>
      <c r="E123" s="24" t="s">
        <v>456</v>
      </c>
      <c r="F123" s="24" t="s">
        <v>444</v>
      </c>
      <c r="G123" s="24">
        <v>500</v>
      </c>
      <c r="H123" s="24"/>
    </row>
    <row r="124" spans="1:8" ht="14">
      <c r="A124" s="24" t="s">
        <v>457</v>
      </c>
      <c r="B124" s="25" t="s">
        <v>37</v>
      </c>
      <c r="C124" s="24" t="str">
        <f t="shared" si="1"/>
        <v>hct15</v>
      </c>
      <c r="D124" s="24" t="s">
        <v>457</v>
      </c>
      <c r="E124" s="24" t="s">
        <v>458</v>
      </c>
      <c r="F124" s="24" t="s">
        <v>444</v>
      </c>
      <c r="G124" s="24">
        <v>500</v>
      </c>
      <c r="H124" s="24"/>
    </row>
    <row r="125" spans="1:8" ht="14">
      <c r="A125" s="24" t="s">
        <v>459</v>
      </c>
      <c r="B125" s="25" t="s">
        <v>37</v>
      </c>
      <c r="C125" s="24" t="str">
        <f t="shared" si="1"/>
        <v>hek293</v>
      </c>
      <c r="D125" s="24" t="s">
        <v>459</v>
      </c>
      <c r="E125" s="24" t="s">
        <v>460</v>
      </c>
      <c r="F125" s="24" t="s">
        <v>461</v>
      </c>
      <c r="G125" s="24">
        <v>500</v>
      </c>
      <c r="H125" s="24"/>
    </row>
    <row r="126" spans="1:8" ht="14">
      <c r="A126" s="24" t="s">
        <v>462</v>
      </c>
      <c r="B126" s="25" t="s">
        <v>37</v>
      </c>
      <c r="C126" s="24" t="str">
        <f t="shared" si="1"/>
        <v>hek293t</v>
      </c>
      <c r="D126" s="24" t="s">
        <v>462</v>
      </c>
      <c r="E126" s="24" t="s">
        <v>463</v>
      </c>
      <c r="F126" s="24" t="s">
        <v>464</v>
      </c>
      <c r="G126" s="24">
        <v>500</v>
      </c>
      <c r="H126" s="24"/>
    </row>
    <row r="127" spans="1:8" ht="14">
      <c r="A127" s="24" t="s">
        <v>465</v>
      </c>
      <c r="B127" s="25" t="s">
        <v>37</v>
      </c>
      <c r="C127" s="24" t="str">
        <f t="shared" si="1"/>
        <v>hela</v>
      </c>
      <c r="D127" s="24" t="s">
        <v>465</v>
      </c>
      <c r="E127" s="24" t="s">
        <v>466</v>
      </c>
      <c r="F127" s="24" t="s">
        <v>467</v>
      </c>
      <c r="G127" s="24">
        <v>500</v>
      </c>
      <c r="H127" s="24"/>
    </row>
    <row r="128" spans="1:8" ht="14">
      <c r="A128" s="24" t="s">
        <v>3116</v>
      </c>
      <c r="B128" s="25" t="s">
        <v>37</v>
      </c>
      <c r="C128" s="24" t="str">
        <f t="shared" si="1"/>
        <v>trexflip</v>
      </c>
      <c r="D128" s="24" t="s">
        <v>3117</v>
      </c>
      <c r="E128" s="24" t="s">
        <v>3118</v>
      </c>
      <c r="F128" s="24" t="s">
        <v>3119</v>
      </c>
      <c r="G128" s="24">
        <v>500</v>
      </c>
      <c r="H128" s="24"/>
    </row>
    <row r="129" spans="1:8" ht="14">
      <c r="A129" s="24" t="s">
        <v>468</v>
      </c>
      <c r="B129" s="25" t="s">
        <v>37</v>
      </c>
      <c r="C129" s="24" t="str">
        <f t="shared" si="1"/>
        <v>hl60</v>
      </c>
      <c r="D129" s="24" t="s">
        <v>468</v>
      </c>
      <c r="E129" s="24" t="s">
        <v>469</v>
      </c>
      <c r="F129" s="24" t="s">
        <v>447</v>
      </c>
      <c r="G129" s="24">
        <v>500</v>
      </c>
      <c r="H129" s="24"/>
    </row>
    <row r="130" spans="1:8" ht="14">
      <c r="A130" s="24" t="s">
        <v>470</v>
      </c>
      <c r="B130" s="25" t="s">
        <v>37</v>
      </c>
      <c r="C130" s="24" t="str">
        <f t="shared" si="1"/>
        <v>hop62</v>
      </c>
      <c r="D130" s="24" t="s">
        <v>470</v>
      </c>
      <c r="E130" s="24" t="s">
        <v>471</v>
      </c>
      <c r="F130" s="24" t="s">
        <v>426</v>
      </c>
      <c r="G130" s="24">
        <v>500</v>
      </c>
      <c r="H130" s="24"/>
    </row>
    <row r="131" spans="1:8" ht="14">
      <c r="A131" s="24" t="s">
        <v>472</v>
      </c>
      <c r="B131" s="25" t="s">
        <v>37</v>
      </c>
      <c r="C131" s="24" t="str">
        <f t="shared" si="1"/>
        <v>hop92</v>
      </c>
      <c r="D131" s="24" t="s">
        <v>472</v>
      </c>
      <c r="E131" s="24" t="s">
        <v>473</v>
      </c>
      <c r="F131" s="24" t="s">
        <v>426</v>
      </c>
      <c r="G131" s="24">
        <v>500</v>
      </c>
      <c r="H131" s="24"/>
    </row>
    <row r="132" spans="1:8" ht="14">
      <c r="A132" s="24" t="s">
        <v>474</v>
      </c>
      <c r="B132" s="25" t="s">
        <v>37</v>
      </c>
      <c r="C132" s="24" t="str">
        <f t="shared" si="1"/>
        <v>hs578t</v>
      </c>
      <c r="D132" s="24" t="s">
        <v>474</v>
      </c>
      <c r="E132" s="24" t="s">
        <v>475</v>
      </c>
      <c r="F132" s="24" t="s">
        <v>436</v>
      </c>
      <c r="G132" s="24">
        <v>500</v>
      </c>
      <c r="H132" s="24"/>
    </row>
    <row r="133" spans="1:8" ht="14">
      <c r="A133" s="24" t="s">
        <v>476</v>
      </c>
      <c r="B133" s="25" t="s">
        <v>37</v>
      </c>
      <c r="C133" s="24" t="str">
        <f t="shared" si="1"/>
        <v>ht29</v>
      </c>
      <c r="D133" s="24" t="s">
        <v>476</v>
      </c>
      <c r="E133" s="24" t="s">
        <v>477</v>
      </c>
      <c r="F133" s="24" t="s">
        <v>444</v>
      </c>
      <c r="G133" s="24">
        <v>500</v>
      </c>
      <c r="H133" s="24"/>
    </row>
    <row r="134" spans="1:8" ht="14">
      <c r="A134" s="24" t="s">
        <v>478</v>
      </c>
      <c r="B134" s="25" t="s">
        <v>37</v>
      </c>
      <c r="C134" s="24" t="str">
        <f t="shared" ref="C134:C190" si="2">A134</f>
        <v>igrov1</v>
      </c>
      <c r="D134" s="24" t="s">
        <v>478</v>
      </c>
      <c r="E134" s="24" t="s">
        <v>479</v>
      </c>
      <c r="F134" s="24" t="s">
        <v>480</v>
      </c>
      <c r="G134" s="24">
        <v>500</v>
      </c>
      <c r="H134" s="24"/>
    </row>
    <row r="135" spans="1:8" ht="14">
      <c r="A135" s="24" t="s">
        <v>481</v>
      </c>
      <c r="B135" s="25" t="s">
        <v>37</v>
      </c>
      <c r="C135" s="24" t="str">
        <f t="shared" si="2"/>
        <v>immmef</v>
      </c>
      <c r="D135" s="24" t="s">
        <v>481</v>
      </c>
      <c r="E135" s="24" t="s">
        <v>482</v>
      </c>
      <c r="F135" s="24" t="s">
        <v>483</v>
      </c>
      <c r="G135" s="24">
        <v>500</v>
      </c>
      <c r="H135" s="24"/>
    </row>
    <row r="136" spans="1:8" ht="14">
      <c r="A136" s="24" t="s">
        <v>484</v>
      </c>
      <c r="B136" s="25" t="s">
        <v>37</v>
      </c>
      <c r="C136" s="24" t="str">
        <f t="shared" si="2"/>
        <v>jeko1</v>
      </c>
      <c r="D136" s="24" t="s">
        <v>484</v>
      </c>
      <c r="E136" s="24" t="s">
        <v>485</v>
      </c>
      <c r="F136" s="24" t="s">
        <v>486</v>
      </c>
      <c r="G136" s="24">
        <v>500</v>
      </c>
      <c r="H136" s="24"/>
    </row>
    <row r="137" spans="1:8" ht="14">
      <c r="A137" s="24" t="s">
        <v>487</v>
      </c>
      <c r="B137" s="25" t="s">
        <v>37</v>
      </c>
      <c r="C137" s="24" t="str">
        <f t="shared" si="2"/>
        <v>jurkat</v>
      </c>
      <c r="D137" s="24" t="s">
        <v>487</v>
      </c>
      <c r="E137" s="24" t="s">
        <v>488</v>
      </c>
      <c r="F137" s="24" t="s">
        <v>489</v>
      </c>
      <c r="G137" s="24">
        <v>500</v>
      </c>
      <c r="H137" s="24"/>
    </row>
    <row r="138" spans="1:8" ht="14">
      <c r="A138" s="24" t="s">
        <v>490</v>
      </c>
      <c r="B138" s="25" t="s">
        <v>37</v>
      </c>
      <c r="C138" s="24" t="str">
        <f t="shared" si="2"/>
        <v>jvm13</v>
      </c>
      <c r="D138" s="24" t="s">
        <v>490</v>
      </c>
      <c r="E138" s="24" t="s">
        <v>491</v>
      </c>
      <c r="F138" s="24" t="s">
        <v>486</v>
      </c>
      <c r="G138" s="24">
        <v>500</v>
      </c>
      <c r="H138" s="24"/>
    </row>
    <row r="139" spans="1:8" ht="14">
      <c r="A139" s="24" t="s">
        <v>492</v>
      </c>
      <c r="B139" s="25" t="s">
        <v>37</v>
      </c>
      <c r="C139" s="24" t="str">
        <f t="shared" si="2"/>
        <v>jvm2</v>
      </c>
      <c r="D139" s="24" t="s">
        <v>492</v>
      </c>
      <c r="E139" s="24" t="s">
        <v>493</v>
      </c>
      <c r="F139" s="24" t="s">
        <v>486</v>
      </c>
      <c r="G139" s="24">
        <v>500</v>
      </c>
      <c r="H139" s="24"/>
    </row>
    <row r="140" spans="1:8" ht="14">
      <c r="A140" s="24" t="s">
        <v>494</v>
      </c>
      <c r="B140" s="25" t="s">
        <v>37</v>
      </c>
      <c r="C140" s="24" t="str">
        <f t="shared" si="2"/>
        <v>k562</v>
      </c>
      <c r="D140" s="24" t="s">
        <v>494</v>
      </c>
      <c r="E140" s="24" t="s">
        <v>495</v>
      </c>
      <c r="F140" s="24" t="s">
        <v>447</v>
      </c>
      <c r="G140" s="24">
        <v>500</v>
      </c>
      <c r="H140" s="24"/>
    </row>
    <row r="141" spans="1:8" ht="14">
      <c r="A141" s="24" t="s">
        <v>496</v>
      </c>
      <c r="B141" s="25" t="s">
        <v>37</v>
      </c>
      <c r="C141" s="24" t="str">
        <f t="shared" si="2"/>
        <v>km12</v>
      </c>
      <c r="D141" s="24" t="s">
        <v>496</v>
      </c>
      <c r="E141" s="24" t="s">
        <v>497</v>
      </c>
      <c r="F141" s="24" t="s">
        <v>444</v>
      </c>
      <c r="G141" s="24">
        <v>500</v>
      </c>
      <c r="H141" s="24"/>
    </row>
    <row r="142" spans="1:8" ht="14">
      <c r="A142" s="24" t="s">
        <v>498</v>
      </c>
      <c r="B142" s="25" t="s">
        <v>37</v>
      </c>
      <c r="C142" s="24" t="str">
        <f t="shared" si="2"/>
        <v>lox_imvi</v>
      </c>
      <c r="D142" s="24" t="s">
        <v>498</v>
      </c>
      <c r="E142" s="24" t="s">
        <v>499</v>
      </c>
      <c r="F142" s="24" t="s">
        <v>500</v>
      </c>
      <c r="G142" s="24">
        <v>500</v>
      </c>
      <c r="H142" s="24"/>
    </row>
    <row r="143" spans="1:8" ht="14">
      <c r="A143" s="24" t="s">
        <v>501</v>
      </c>
      <c r="B143" s="25" t="s">
        <v>37</v>
      </c>
      <c r="C143" s="24" t="str">
        <f t="shared" si="2"/>
        <v>m14</v>
      </c>
      <c r="D143" s="24" t="s">
        <v>501</v>
      </c>
      <c r="E143" s="24" t="s">
        <v>502</v>
      </c>
      <c r="F143" s="24" t="s">
        <v>500</v>
      </c>
      <c r="G143" s="24">
        <v>500</v>
      </c>
      <c r="H143" s="24"/>
    </row>
    <row r="144" spans="1:8" ht="14">
      <c r="A144" s="24" t="s">
        <v>503</v>
      </c>
      <c r="B144" s="25" t="s">
        <v>37</v>
      </c>
      <c r="C144" s="24" t="str">
        <f t="shared" si="2"/>
        <v>malme3m</v>
      </c>
      <c r="D144" s="24" t="s">
        <v>503</v>
      </c>
      <c r="E144" s="24" t="s">
        <v>504</v>
      </c>
      <c r="F144" s="24" t="s">
        <v>500</v>
      </c>
      <c r="G144" s="24">
        <v>500</v>
      </c>
      <c r="H144" s="24"/>
    </row>
    <row r="145" spans="1:8" ht="14">
      <c r="A145" s="24" t="s">
        <v>505</v>
      </c>
      <c r="B145" s="25" t="s">
        <v>37</v>
      </c>
      <c r="C145" s="24" t="str">
        <f t="shared" si="2"/>
        <v>maver1</v>
      </c>
      <c r="D145" s="24" t="s">
        <v>505</v>
      </c>
      <c r="E145" s="24" t="s">
        <v>506</v>
      </c>
      <c r="F145" s="24" t="s">
        <v>486</v>
      </c>
      <c r="G145" s="24">
        <v>500</v>
      </c>
      <c r="H145" s="24"/>
    </row>
    <row r="146" spans="1:8" ht="14">
      <c r="A146" s="24" t="s">
        <v>507</v>
      </c>
      <c r="B146" s="25" t="s">
        <v>37</v>
      </c>
      <c r="C146" s="24" t="str">
        <f t="shared" si="2"/>
        <v>mcf7</v>
      </c>
      <c r="D146" s="24" t="s">
        <v>507</v>
      </c>
      <c r="E146" s="24" t="s">
        <v>508</v>
      </c>
      <c r="F146" s="24" t="s">
        <v>436</v>
      </c>
      <c r="G146" s="24">
        <v>500</v>
      </c>
      <c r="H146" s="24"/>
    </row>
    <row r="147" spans="1:8" ht="14">
      <c r="A147" s="24" t="s">
        <v>509</v>
      </c>
      <c r="B147" s="25" t="s">
        <v>37</v>
      </c>
      <c r="C147" s="24" t="str">
        <f t="shared" si="2"/>
        <v>mdamb231</v>
      </c>
      <c r="D147" s="24" t="s">
        <v>509</v>
      </c>
      <c r="E147" s="24" t="s">
        <v>510</v>
      </c>
      <c r="F147" s="24" t="s">
        <v>436</v>
      </c>
      <c r="G147" s="24">
        <v>500</v>
      </c>
      <c r="H147" s="24"/>
    </row>
    <row r="148" spans="1:8" ht="14">
      <c r="A148" s="24" t="s">
        <v>511</v>
      </c>
      <c r="B148" s="25" t="s">
        <v>37</v>
      </c>
      <c r="C148" s="24" t="str">
        <f t="shared" si="2"/>
        <v>mdamb435</v>
      </c>
      <c r="D148" s="24" t="s">
        <v>511</v>
      </c>
      <c r="E148" s="24" t="s">
        <v>512</v>
      </c>
      <c r="F148" s="24" t="s">
        <v>500</v>
      </c>
      <c r="G148" s="24">
        <v>500</v>
      </c>
      <c r="H148" s="24"/>
    </row>
    <row r="149" spans="1:8" ht="14">
      <c r="A149" s="24" t="s">
        <v>513</v>
      </c>
      <c r="B149" s="25" t="s">
        <v>37</v>
      </c>
      <c r="C149" s="24" t="str">
        <f t="shared" si="2"/>
        <v>mdamb468</v>
      </c>
      <c r="D149" s="24" t="s">
        <v>513</v>
      </c>
      <c r="E149" s="24" t="s">
        <v>514</v>
      </c>
      <c r="F149" s="24" t="s">
        <v>436</v>
      </c>
      <c r="G149" s="24">
        <v>500</v>
      </c>
      <c r="H149" s="24"/>
    </row>
    <row r="150" spans="1:8" ht="14">
      <c r="A150" s="24" t="s">
        <v>515</v>
      </c>
      <c r="B150" s="25" t="s">
        <v>37</v>
      </c>
      <c r="C150" s="24" t="str">
        <f t="shared" si="2"/>
        <v>mef</v>
      </c>
      <c r="D150" s="24" t="s">
        <v>515</v>
      </c>
      <c r="E150" s="24" t="s">
        <v>516</v>
      </c>
      <c r="F150" s="24" t="s">
        <v>517</v>
      </c>
      <c r="G150" s="24">
        <v>500</v>
      </c>
      <c r="H150" s="24"/>
    </row>
    <row r="151" spans="1:8" ht="14">
      <c r="A151" s="24" t="s">
        <v>518</v>
      </c>
      <c r="B151" s="25" t="s">
        <v>37</v>
      </c>
      <c r="C151" s="24" t="str">
        <f t="shared" si="2"/>
        <v>mino</v>
      </c>
      <c r="D151" s="24" t="s">
        <v>518</v>
      </c>
      <c r="E151" s="24" t="s">
        <v>519</v>
      </c>
      <c r="F151" s="24" t="s">
        <v>486</v>
      </c>
      <c r="G151" s="24">
        <v>500</v>
      </c>
      <c r="H151" s="24"/>
    </row>
    <row r="152" spans="1:8" ht="14">
      <c r="A152" s="24" t="s">
        <v>520</v>
      </c>
      <c r="B152" s="25" t="s">
        <v>37</v>
      </c>
      <c r="C152" s="24" t="str">
        <f t="shared" si="2"/>
        <v>molt4</v>
      </c>
      <c r="D152" s="24" t="s">
        <v>520</v>
      </c>
      <c r="E152" s="24" t="s">
        <v>521</v>
      </c>
      <c r="F152" s="24" t="s">
        <v>447</v>
      </c>
      <c r="G152" s="24">
        <v>500</v>
      </c>
      <c r="H152" s="24"/>
    </row>
    <row r="153" spans="1:8" ht="14">
      <c r="A153" s="24" t="s">
        <v>522</v>
      </c>
      <c r="B153" s="25" t="s">
        <v>37</v>
      </c>
      <c r="C153" s="24" t="str">
        <f t="shared" si="2"/>
        <v>nceb1</v>
      </c>
      <c r="D153" s="24" t="s">
        <v>522</v>
      </c>
      <c r="E153" s="24" t="s">
        <v>523</v>
      </c>
      <c r="F153" s="24" t="s">
        <v>486</v>
      </c>
      <c r="G153" s="24">
        <v>500</v>
      </c>
      <c r="H153" s="24"/>
    </row>
    <row r="154" spans="1:8" ht="14">
      <c r="A154" s="24" t="s">
        <v>524</v>
      </c>
      <c r="B154" s="25" t="s">
        <v>37</v>
      </c>
      <c r="C154" s="24" t="str">
        <f t="shared" si="2"/>
        <v>nci_adrres</v>
      </c>
      <c r="D154" s="24" t="s">
        <v>525</v>
      </c>
      <c r="E154" s="24" t="s">
        <v>526</v>
      </c>
      <c r="F154" s="24" t="s">
        <v>480</v>
      </c>
      <c r="G154" s="24">
        <v>500</v>
      </c>
      <c r="H154" s="24"/>
    </row>
    <row r="155" spans="1:8" ht="14">
      <c r="A155" s="24" t="s">
        <v>527</v>
      </c>
      <c r="B155" s="25" t="s">
        <v>37</v>
      </c>
      <c r="C155" s="24" t="str">
        <f t="shared" si="2"/>
        <v>nci_h226</v>
      </c>
      <c r="D155" s="24" t="s">
        <v>528</v>
      </c>
      <c r="E155" s="24" t="s">
        <v>529</v>
      </c>
      <c r="F155" s="24" t="s">
        <v>426</v>
      </c>
      <c r="G155" s="24">
        <v>500</v>
      </c>
      <c r="H155" s="24"/>
    </row>
    <row r="156" spans="1:8" ht="14">
      <c r="A156" s="24" t="s">
        <v>530</v>
      </c>
      <c r="B156" s="25" t="s">
        <v>37</v>
      </c>
      <c r="C156" s="24" t="str">
        <f t="shared" si="2"/>
        <v>nci_h23</v>
      </c>
      <c r="D156" s="24" t="s">
        <v>531</v>
      </c>
      <c r="E156" s="24" t="s">
        <v>532</v>
      </c>
      <c r="F156" s="24" t="s">
        <v>426</v>
      </c>
      <c r="G156" s="24">
        <v>500</v>
      </c>
      <c r="H156" s="24"/>
    </row>
    <row r="157" spans="1:8" ht="14">
      <c r="A157" s="24" t="s">
        <v>533</v>
      </c>
      <c r="B157" s="25" t="s">
        <v>37</v>
      </c>
      <c r="C157" s="24" t="str">
        <f t="shared" si="2"/>
        <v>nci_h322m</v>
      </c>
      <c r="D157" s="24" t="s">
        <v>534</v>
      </c>
      <c r="E157" s="24" t="s">
        <v>535</v>
      </c>
      <c r="F157" s="24" t="s">
        <v>426</v>
      </c>
      <c r="G157" s="24">
        <v>500</v>
      </c>
      <c r="H157" s="24"/>
    </row>
    <row r="158" spans="1:8" ht="14">
      <c r="A158" s="24" t="s">
        <v>536</v>
      </c>
      <c r="B158" s="25" t="s">
        <v>37</v>
      </c>
      <c r="C158" s="24" t="str">
        <f t="shared" si="2"/>
        <v>nci_h460</v>
      </c>
      <c r="D158" s="24" t="s">
        <v>537</v>
      </c>
      <c r="E158" s="24" t="s">
        <v>538</v>
      </c>
      <c r="F158" s="24" t="s">
        <v>426</v>
      </c>
      <c r="G158" s="24">
        <v>500</v>
      </c>
      <c r="H158" s="24"/>
    </row>
    <row r="159" spans="1:8" ht="14">
      <c r="A159" s="24" t="s">
        <v>539</v>
      </c>
      <c r="B159" s="25" t="s">
        <v>37</v>
      </c>
      <c r="C159" s="24" t="str">
        <f t="shared" si="2"/>
        <v>nci_h522</v>
      </c>
      <c r="D159" s="24" t="s">
        <v>540</v>
      </c>
      <c r="E159" s="24" t="s">
        <v>541</v>
      </c>
      <c r="F159" s="24" t="s">
        <v>426</v>
      </c>
      <c r="G159" s="24">
        <v>500</v>
      </c>
      <c r="H159" s="24"/>
    </row>
    <row r="160" spans="1:8" ht="14">
      <c r="A160" s="24" t="s">
        <v>542</v>
      </c>
      <c r="B160" s="25" t="s">
        <v>37</v>
      </c>
      <c r="C160" s="24" t="str">
        <f t="shared" si="2"/>
        <v>ovcar3</v>
      </c>
      <c r="D160" s="24" t="s">
        <v>542</v>
      </c>
      <c r="E160" s="24" t="s">
        <v>543</v>
      </c>
      <c r="F160" s="24" t="s">
        <v>480</v>
      </c>
      <c r="G160" s="24">
        <v>500</v>
      </c>
      <c r="H160" s="24"/>
    </row>
    <row r="161" spans="1:8" ht="14">
      <c r="A161" s="24" t="s">
        <v>544</v>
      </c>
      <c r="B161" s="25" t="s">
        <v>37</v>
      </c>
      <c r="C161" s="24" t="str">
        <f t="shared" si="2"/>
        <v>ovcar4</v>
      </c>
      <c r="D161" s="24" t="s">
        <v>544</v>
      </c>
      <c r="E161" s="24" t="s">
        <v>545</v>
      </c>
      <c r="F161" s="24" t="s">
        <v>480</v>
      </c>
      <c r="G161" s="24">
        <v>500</v>
      </c>
      <c r="H161" s="24"/>
    </row>
    <row r="162" spans="1:8" ht="14">
      <c r="A162" s="24" t="s">
        <v>546</v>
      </c>
      <c r="B162" s="25" t="s">
        <v>37</v>
      </c>
      <c r="C162" s="24" t="str">
        <f t="shared" si="2"/>
        <v>ovcar5</v>
      </c>
      <c r="D162" s="24" t="s">
        <v>546</v>
      </c>
      <c r="E162" s="24" t="s">
        <v>547</v>
      </c>
      <c r="F162" s="24" t="s">
        <v>480</v>
      </c>
      <c r="G162" s="24">
        <v>500</v>
      </c>
      <c r="H162" s="24"/>
    </row>
    <row r="163" spans="1:8" ht="14">
      <c r="A163" s="24" t="s">
        <v>548</v>
      </c>
      <c r="B163" s="25" t="s">
        <v>37</v>
      </c>
      <c r="C163" s="24" t="str">
        <f t="shared" si="2"/>
        <v>ovcar8</v>
      </c>
      <c r="D163" s="24" t="s">
        <v>548</v>
      </c>
      <c r="E163" s="24" t="s">
        <v>549</v>
      </c>
      <c r="F163" s="24" t="s">
        <v>480</v>
      </c>
      <c r="G163" s="24">
        <v>500</v>
      </c>
      <c r="H163" s="24"/>
    </row>
    <row r="164" spans="1:8" ht="14">
      <c r="A164" s="24" t="s">
        <v>550</v>
      </c>
      <c r="B164" s="25" t="s">
        <v>37</v>
      </c>
      <c r="C164" s="24" t="str">
        <f t="shared" si="2"/>
        <v>p388</v>
      </c>
      <c r="D164" s="24" t="s">
        <v>550</v>
      </c>
      <c r="E164" s="24" t="s">
        <v>551</v>
      </c>
      <c r="F164" s="24" t="s">
        <v>552</v>
      </c>
      <c r="G164" s="24">
        <v>500</v>
      </c>
      <c r="H164" s="24"/>
    </row>
    <row r="165" spans="1:8" ht="14">
      <c r="A165" s="24" t="s">
        <v>553</v>
      </c>
      <c r="B165" s="25" t="s">
        <v>37</v>
      </c>
      <c r="C165" s="24" t="str">
        <f t="shared" si="2"/>
        <v>pc3</v>
      </c>
      <c r="D165" s="24" t="s">
        <v>553</v>
      </c>
      <c r="E165" s="24" t="s">
        <v>554</v>
      </c>
      <c r="F165" s="24" t="s">
        <v>450</v>
      </c>
      <c r="G165" s="24">
        <v>500</v>
      </c>
      <c r="H165" s="24"/>
    </row>
    <row r="166" spans="1:8" ht="14">
      <c r="A166" s="24" t="s">
        <v>555</v>
      </c>
      <c r="B166" s="25" t="s">
        <v>37</v>
      </c>
      <c r="C166" s="24" t="str">
        <f t="shared" si="2"/>
        <v>rec1</v>
      </c>
      <c r="D166" s="24" t="s">
        <v>555</v>
      </c>
      <c r="E166" s="24" t="s">
        <v>556</v>
      </c>
      <c r="F166" s="24" t="s">
        <v>486</v>
      </c>
      <c r="G166" s="24">
        <v>500</v>
      </c>
      <c r="H166" s="24"/>
    </row>
    <row r="167" spans="1:8" ht="14">
      <c r="A167" s="24" t="s">
        <v>557</v>
      </c>
      <c r="B167" s="25" t="s">
        <v>37</v>
      </c>
      <c r="C167" s="24" t="str">
        <f t="shared" si="2"/>
        <v>rpmi8226</v>
      </c>
      <c r="D167" s="24" t="s">
        <v>557</v>
      </c>
      <c r="E167" s="24" t="s">
        <v>558</v>
      </c>
      <c r="F167" s="24" t="s">
        <v>447</v>
      </c>
      <c r="G167" s="24">
        <v>500</v>
      </c>
      <c r="H167" s="24"/>
    </row>
    <row r="168" spans="1:8" ht="14">
      <c r="A168" s="24" t="s">
        <v>559</v>
      </c>
      <c r="B168" s="25" t="s">
        <v>37</v>
      </c>
      <c r="C168" s="24" t="str">
        <f t="shared" si="2"/>
        <v>rxf393</v>
      </c>
      <c r="D168" s="24" t="s">
        <v>559</v>
      </c>
      <c r="E168" s="24" t="s">
        <v>560</v>
      </c>
      <c r="F168" s="24" t="s">
        <v>421</v>
      </c>
      <c r="G168" s="24">
        <v>500</v>
      </c>
      <c r="H168" s="24"/>
    </row>
    <row r="169" spans="1:8" ht="14">
      <c r="A169" s="24" t="s">
        <v>561</v>
      </c>
      <c r="B169" s="25" t="s">
        <v>37</v>
      </c>
      <c r="C169" s="24" t="str">
        <f t="shared" si="2"/>
        <v>sf268</v>
      </c>
      <c r="D169" s="24" t="s">
        <v>561</v>
      </c>
      <c r="E169" s="24" t="s">
        <v>562</v>
      </c>
      <c r="F169" s="24" t="s">
        <v>563</v>
      </c>
      <c r="G169" s="24">
        <v>500</v>
      </c>
      <c r="H169" s="24"/>
    </row>
    <row r="170" spans="1:8" ht="14">
      <c r="A170" s="24" t="s">
        <v>564</v>
      </c>
      <c r="B170" s="25" t="s">
        <v>37</v>
      </c>
      <c r="C170" s="24" t="str">
        <f t="shared" si="2"/>
        <v>sf295</v>
      </c>
      <c r="D170" s="24" t="s">
        <v>564</v>
      </c>
      <c r="E170" s="24" t="s">
        <v>565</v>
      </c>
      <c r="F170" s="24" t="s">
        <v>563</v>
      </c>
      <c r="G170" s="24">
        <v>500</v>
      </c>
      <c r="H170" s="24"/>
    </row>
    <row r="171" spans="1:8" ht="14">
      <c r="A171" s="24" t="s">
        <v>566</v>
      </c>
      <c r="B171" s="25" t="s">
        <v>37</v>
      </c>
      <c r="C171" s="24" t="str">
        <f t="shared" si="2"/>
        <v>sf539</v>
      </c>
      <c r="D171" s="24" t="s">
        <v>566</v>
      </c>
      <c r="E171" s="24" t="s">
        <v>567</v>
      </c>
      <c r="F171" s="24" t="s">
        <v>563</v>
      </c>
      <c r="G171" s="24">
        <v>500</v>
      </c>
      <c r="H171" s="24"/>
    </row>
    <row r="172" spans="1:8" ht="14">
      <c r="A172" s="24" t="s">
        <v>568</v>
      </c>
      <c r="B172" s="25" t="s">
        <v>37</v>
      </c>
      <c r="C172" s="24" t="str">
        <f t="shared" si="2"/>
        <v>skmel2</v>
      </c>
      <c r="D172" s="24" t="s">
        <v>568</v>
      </c>
      <c r="E172" s="24" t="s">
        <v>569</v>
      </c>
      <c r="F172" s="24" t="s">
        <v>500</v>
      </c>
      <c r="G172" s="24">
        <v>500</v>
      </c>
      <c r="H172" s="24"/>
    </row>
    <row r="173" spans="1:8" ht="14">
      <c r="A173" s="24" t="s">
        <v>570</v>
      </c>
      <c r="B173" s="25" t="s">
        <v>37</v>
      </c>
      <c r="C173" s="24" t="str">
        <f t="shared" si="2"/>
        <v>skmel28</v>
      </c>
      <c r="D173" s="24" t="s">
        <v>570</v>
      </c>
      <c r="E173" s="24" t="s">
        <v>571</v>
      </c>
      <c r="F173" s="24" t="s">
        <v>500</v>
      </c>
      <c r="G173" s="24">
        <v>500</v>
      </c>
      <c r="H173" s="24"/>
    </row>
    <row r="174" spans="1:8" ht="14">
      <c r="A174" s="24" t="s">
        <v>572</v>
      </c>
      <c r="B174" s="25" t="s">
        <v>37</v>
      </c>
      <c r="C174" s="24" t="str">
        <f t="shared" si="2"/>
        <v>skmel5</v>
      </c>
      <c r="D174" s="24" t="s">
        <v>572</v>
      </c>
      <c r="E174" s="24" t="s">
        <v>573</v>
      </c>
      <c r="F174" s="24" t="s">
        <v>500</v>
      </c>
      <c r="G174" s="24">
        <v>500</v>
      </c>
      <c r="H174" s="24"/>
    </row>
    <row r="175" spans="1:8" ht="14">
      <c r="A175" s="24" t="s">
        <v>574</v>
      </c>
      <c r="B175" s="25" t="s">
        <v>37</v>
      </c>
      <c r="C175" s="24" t="str">
        <f t="shared" si="2"/>
        <v>skov3</v>
      </c>
      <c r="D175" s="24" t="s">
        <v>574</v>
      </c>
      <c r="E175" s="24" t="s">
        <v>575</v>
      </c>
      <c r="F175" s="24" t="s">
        <v>480</v>
      </c>
      <c r="G175" s="24">
        <v>500</v>
      </c>
      <c r="H175" s="24"/>
    </row>
    <row r="176" spans="1:8" ht="14">
      <c r="A176" s="24" t="s">
        <v>576</v>
      </c>
      <c r="B176" s="25" t="s">
        <v>37</v>
      </c>
      <c r="C176" s="24" t="str">
        <f t="shared" si="2"/>
        <v>sn12c</v>
      </c>
      <c r="D176" s="24" t="s">
        <v>576</v>
      </c>
      <c r="E176" s="24" t="s">
        <v>577</v>
      </c>
      <c r="F176" s="24" t="s">
        <v>421</v>
      </c>
      <c r="G176" s="24">
        <v>500</v>
      </c>
      <c r="H176" s="24"/>
    </row>
    <row r="177" spans="1:8" ht="14">
      <c r="A177" s="24" t="s">
        <v>578</v>
      </c>
      <c r="B177" s="25" t="s">
        <v>37</v>
      </c>
      <c r="C177" s="24" t="str">
        <f t="shared" si="2"/>
        <v>snb19</v>
      </c>
      <c r="D177" s="24" t="s">
        <v>578</v>
      </c>
      <c r="E177" s="24" t="s">
        <v>579</v>
      </c>
      <c r="F177" s="24" t="s">
        <v>563</v>
      </c>
      <c r="G177" s="24">
        <v>500</v>
      </c>
      <c r="H177" s="24"/>
    </row>
    <row r="178" spans="1:8" ht="14">
      <c r="A178" s="24" t="s">
        <v>580</v>
      </c>
      <c r="B178" s="25" t="s">
        <v>37</v>
      </c>
      <c r="C178" s="24" t="str">
        <f t="shared" si="2"/>
        <v>snb75</v>
      </c>
      <c r="D178" s="24" t="s">
        <v>580</v>
      </c>
      <c r="E178" s="24" t="s">
        <v>581</v>
      </c>
      <c r="F178" s="24" t="s">
        <v>563</v>
      </c>
      <c r="G178" s="24">
        <v>500</v>
      </c>
      <c r="H178" s="24"/>
    </row>
    <row r="179" spans="1:8" ht="14">
      <c r="A179" s="24" t="s">
        <v>582</v>
      </c>
      <c r="B179" s="25" t="s">
        <v>37</v>
      </c>
      <c r="C179" s="24" t="str">
        <f t="shared" si="2"/>
        <v>sr</v>
      </c>
      <c r="D179" s="24" t="s">
        <v>582</v>
      </c>
      <c r="E179" s="24" t="s">
        <v>583</v>
      </c>
      <c r="F179" s="24" t="s">
        <v>447</v>
      </c>
      <c r="G179" s="24">
        <v>500</v>
      </c>
      <c r="H179" s="24"/>
    </row>
    <row r="180" spans="1:8" ht="14">
      <c r="A180" s="24" t="s">
        <v>584</v>
      </c>
      <c r="B180" s="25" t="s">
        <v>37</v>
      </c>
      <c r="C180" s="24" t="str">
        <f t="shared" si="2"/>
        <v>sw620</v>
      </c>
      <c r="D180" s="24" t="s">
        <v>584</v>
      </c>
      <c r="E180" s="24" t="s">
        <v>585</v>
      </c>
      <c r="F180" s="24" t="s">
        <v>444</v>
      </c>
      <c r="G180" s="24">
        <v>500</v>
      </c>
      <c r="H180" s="24"/>
    </row>
    <row r="181" spans="1:8" ht="14">
      <c r="A181" s="24" t="s">
        <v>586</v>
      </c>
      <c r="B181" s="25" t="s">
        <v>37</v>
      </c>
      <c r="C181" s="24" t="str">
        <f t="shared" si="2"/>
        <v>t47d</v>
      </c>
      <c r="D181" s="24" t="s">
        <v>586</v>
      </c>
      <c r="E181" s="24" t="s">
        <v>587</v>
      </c>
      <c r="F181" s="24" t="s">
        <v>436</v>
      </c>
      <c r="G181" s="24">
        <v>500</v>
      </c>
      <c r="H181" s="24"/>
    </row>
    <row r="182" spans="1:8" ht="14">
      <c r="A182" s="24" t="s">
        <v>588</v>
      </c>
      <c r="B182" s="25" t="s">
        <v>37</v>
      </c>
      <c r="C182" s="24" t="str">
        <f t="shared" si="2"/>
        <v>thp1</v>
      </c>
      <c r="D182" s="24" t="s">
        <v>588</v>
      </c>
      <c r="E182" s="24" t="s">
        <v>589</v>
      </c>
      <c r="F182" s="24" t="s">
        <v>590</v>
      </c>
      <c r="G182" s="24">
        <v>500</v>
      </c>
      <c r="H182" s="24"/>
    </row>
    <row r="183" spans="1:8" ht="14">
      <c r="A183" s="24" t="s">
        <v>591</v>
      </c>
      <c r="B183" s="25" t="s">
        <v>37</v>
      </c>
      <c r="C183" s="24" t="str">
        <f t="shared" si="2"/>
        <v>tk10</v>
      </c>
      <c r="D183" s="24" t="s">
        <v>591</v>
      </c>
      <c r="E183" s="24" t="s">
        <v>592</v>
      </c>
      <c r="F183" s="24" t="s">
        <v>421</v>
      </c>
      <c r="G183" s="24">
        <v>500</v>
      </c>
      <c r="H183" s="24"/>
    </row>
    <row r="184" spans="1:8" ht="14">
      <c r="A184" s="24" t="s">
        <v>593</v>
      </c>
      <c r="B184" s="25" t="s">
        <v>37</v>
      </c>
      <c r="C184" s="24" t="str">
        <f t="shared" si="2"/>
        <v>u251</v>
      </c>
      <c r="D184" s="24" t="s">
        <v>593</v>
      </c>
      <c r="E184" s="24" t="s">
        <v>594</v>
      </c>
      <c r="F184" s="24" t="s">
        <v>563</v>
      </c>
      <c r="G184" s="24">
        <v>500</v>
      </c>
      <c r="H184" s="24"/>
    </row>
    <row r="185" spans="1:8" ht="14">
      <c r="A185" s="24" t="s">
        <v>595</v>
      </c>
      <c r="B185" s="25" t="s">
        <v>37</v>
      </c>
      <c r="C185" s="24" t="str">
        <f t="shared" si="2"/>
        <v>u937</v>
      </c>
      <c r="D185" s="24" t="s">
        <v>595</v>
      </c>
      <c r="E185" s="24" t="s">
        <v>596</v>
      </c>
      <c r="F185" s="24" t="s">
        <v>597</v>
      </c>
      <c r="G185" s="24">
        <v>500</v>
      </c>
      <c r="H185" s="24"/>
    </row>
    <row r="186" spans="1:8" ht="14">
      <c r="A186" s="24" t="s">
        <v>598</v>
      </c>
      <c r="B186" s="25" t="s">
        <v>37</v>
      </c>
      <c r="C186" s="24" t="str">
        <f t="shared" si="2"/>
        <v>uacc257</v>
      </c>
      <c r="D186" s="24" t="s">
        <v>598</v>
      </c>
      <c r="E186" s="24" t="s">
        <v>599</v>
      </c>
      <c r="F186" s="24" t="s">
        <v>500</v>
      </c>
      <c r="G186" s="24">
        <v>500</v>
      </c>
      <c r="H186" s="24"/>
    </row>
    <row r="187" spans="1:8" ht="14">
      <c r="A187" s="24" t="s">
        <v>600</v>
      </c>
      <c r="B187" s="25" t="s">
        <v>37</v>
      </c>
      <c r="C187" s="24" t="str">
        <f t="shared" si="2"/>
        <v>uacc62</v>
      </c>
      <c r="D187" s="24" t="s">
        <v>600</v>
      </c>
      <c r="E187" s="24" t="s">
        <v>601</v>
      </c>
      <c r="F187" s="24" t="s">
        <v>500</v>
      </c>
      <c r="G187" s="24">
        <v>500</v>
      </c>
      <c r="H187" s="24"/>
    </row>
    <row r="188" spans="1:8" ht="14">
      <c r="A188" s="24" t="s">
        <v>602</v>
      </c>
      <c r="B188" s="25" t="s">
        <v>37</v>
      </c>
      <c r="C188" s="24" t="str">
        <f t="shared" si="2"/>
        <v>uo31</v>
      </c>
      <c r="D188" s="24" t="s">
        <v>602</v>
      </c>
      <c r="E188" s="24" t="s">
        <v>603</v>
      </c>
      <c r="F188" s="24" t="s">
        <v>421</v>
      </c>
      <c r="G188" s="24">
        <v>500</v>
      </c>
      <c r="H188" s="24"/>
    </row>
    <row r="189" spans="1:8" ht="14">
      <c r="A189" s="24" t="s">
        <v>604</v>
      </c>
      <c r="B189" s="25" t="s">
        <v>37</v>
      </c>
      <c r="C189" s="24" t="str">
        <f t="shared" si="2"/>
        <v>z138</v>
      </c>
      <c r="D189" s="24" t="s">
        <v>604</v>
      </c>
      <c r="E189" s="24" t="s">
        <v>605</v>
      </c>
      <c r="F189" s="24" t="s">
        <v>486</v>
      </c>
      <c r="G189" s="24">
        <v>500</v>
      </c>
      <c r="H189" s="24"/>
    </row>
    <row r="190" spans="1:8" ht="14">
      <c r="A190" s="24" t="s">
        <v>3097</v>
      </c>
      <c r="B190" s="25" t="s">
        <v>37</v>
      </c>
      <c r="C190" s="24" t="str">
        <f t="shared" si="2"/>
        <v>bv2</v>
      </c>
      <c r="D190" s="24" t="s">
        <v>3097</v>
      </c>
      <c r="E190" s="24" t="s">
        <v>3095</v>
      </c>
      <c r="F190" s="27" t="s">
        <v>3096</v>
      </c>
      <c r="G190" s="24">
        <v>500</v>
      </c>
      <c r="H190" s="24"/>
    </row>
    <row r="191" spans="1:8" ht="14">
      <c r="A191" s="24" t="s">
        <v>609</v>
      </c>
      <c r="B191" s="25" t="s">
        <v>47</v>
      </c>
      <c r="C191" s="24" t="str">
        <f t="shared" ref="C191:C254" si="3">A191</f>
        <v>c18</v>
      </c>
      <c r="D191" s="26" t="s">
        <v>12</v>
      </c>
      <c r="E191" s="24" t="s">
        <v>4437</v>
      </c>
      <c r="F191" s="24" t="s">
        <v>610</v>
      </c>
      <c r="G191" s="24">
        <v>500</v>
      </c>
      <c r="H191" s="24"/>
    </row>
    <row r="192" spans="1:8" ht="14">
      <c r="A192" s="24" t="s">
        <v>611</v>
      </c>
      <c r="B192" s="25" t="s">
        <v>47</v>
      </c>
      <c r="C192" s="24" t="str">
        <f t="shared" si="3"/>
        <v>c8</v>
      </c>
      <c r="D192" s="26" t="s">
        <v>12</v>
      </c>
      <c r="E192" s="24" t="s">
        <v>4438</v>
      </c>
      <c r="F192" s="24" t="s">
        <v>612</v>
      </c>
      <c r="G192" s="24">
        <v>500</v>
      </c>
      <c r="H192" s="24"/>
    </row>
    <row r="193" spans="1:8" ht="14">
      <c r="A193" s="24" t="s">
        <v>613</v>
      </c>
      <c r="B193" s="25" t="s">
        <v>44</v>
      </c>
      <c r="C193" s="24" t="str">
        <f t="shared" si="3"/>
        <v>aurora</v>
      </c>
      <c r="D193" s="26" t="s">
        <v>12</v>
      </c>
      <c r="E193" s="24" t="s">
        <v>2717</v>
      </c>
      <c r="F193" s="24" t="s">
        <v>2718</v>
      </c>
      <c r="G193" s="24">
        <v>500</v>
      </c>
      <c r="H193" s="24"/>
    </row>
    <row r="194" spans="1:8" ht="14">
      <c r="A194" s="24" t="s">
        <v>616</v>
      </c>
      <c r="B194" s="25" t="s">
        <v>44</v>
      </c>
      <c r="C194" s="24" t="str">
        <f t="shared" si="3"/>
        <v>easyspray</v>
      </c>
      <c r="D194" s="26" t="s">
        <v>12</v>
      </c>
      <c r="E194" s="24" t="s">
        <v>617</v>
      </c>
      <c r="F194" s="24" t="s">
        <v>618</v>
      </c>
      <c r="G194" s="24">
        <v>500</v>
      </c>
      <c r="H194" s="24"/>
    </row>
    <row r="195" spans="1:8" ht="14">
      <c r="A195" s="24" t="s">
        <v>619</v>
      </c>
      <c r="B195" s="25" t="s">
        <v>44</v>
      </c>
      <c r="C195" s="24" t="str">
        <f t="shared" si="3"/>
        <v>inhouse</v>
      </c>
      <c r="D195" s="26" t="s">
        <v>12</v>
      </c>
      <c r="E195" s="24" t="s">
        <v>620</v>
      </c>
      <c r="F195" s="24" t="s">
        <v>621</v>
      </c>
      <c r="G195" s="24">
        <v>500</v>
      </c>
      <c r="H195" s="24"/>
    </row>
    <row r="196" spans="1:8" ht="14">
      <c r="A196" s="24" t="s">
        <v>622</v>
      </c>
      <c r="B196" s="25" t="s">
        <v>44</v>
      </c>
      <c r="C196" s="24" t="str">
        <f t="shared" si="3"/>
        <v>upac_doubleviper</v>
      </c>
      <c r="D196" s="26" t="s">
        <v>12</v>
      </c>
      <c r="E196" s="24" t="s">
        <v>623</v>
      </c>
      <c r="F196" s="24" t="s">
        <v>624</v>
      </c>
      <c r="G196" s="24">
        <v>500</v>
      </c>
      <c r="H196" s="24"/>
    </row>
    <row r="197" spans="1:8" ht="14">
      <c r="A197" s="24" t="s">
        <v>625</v>
      </c>
      <c r="B197" s="25" t="s">
        <v>44</v>
      </c>
      <c r="C197" s="24" t="str">
        <f t="shared" si="3"/>
        <v>upac_low_loadneo</v>
      </c>
      <c r="D197" s="26" t="s">
        <v>12</v>
      </c>
      <c r="E197" s="24" t="s">
        <v>626</v>
      </c>
      <c r="F197" s="24" t="s">
        <v>627</v>
      </c>
      <c r="G197" s="24">
        <v>500</v>
      </c>
      <c r="H197" s="24"/>
    </row>
    <row r="198" spans="1:8" ht="14">
      <c r="A198" s="24" t="s">
        <v>628</v>
      </c>
      <c r="B198" s="25" t="s">
        <v>44</v>
      </c>
      <c r="C198" s="24" t="str">
        <f t="shared" si="3"/>
        <v>upac_neo</v>
      </c>
      <c r="D198" s="26" t="s">
        <v>12</v>
      </c>
      <c r="E198" s="24" t="s">
        <v>629</v>
      </c>
      <c r="F198" s="24" t="s">
        <v>630</v>
      </c>
      <c r="G198" s="24">
        <v>500</v>
      </c>
      <c r="H198" s="24"/>
    </row>
    <row r="199" spans="1:8" ht="14">
      <c r="A199" s="24" t="s">
        <v>2980</v>
      </c>
      <c r="B199" s="25" t="s">
        <v>44</v>
      </c>
      <c r="C199" s="24" t="str">
        <f t="shared" si="3"/>
        <v>pepsep</v>
      </c>
      <c r="D199" s="26" t="s">
        <v>2980</v>
      </c>
      <c r="E199" s="24" t="s">
        <v>2981</v>
      </c>
      <c r="F199" s="24" t="s">
        <v>2982</v>
      </c>
      <c r="G199" s="24">
        <v>500</v>
      </c>
      <c r="H199" s="24"/>
    </row>
    <row r="200" spans="1:8" ht="14">
      <c r="A200" s="24" t="s">
        <v>2983</v>
      </c>
      <c r="B200" s="25" t="s">
        <v>44</v>
      </c>
      <c r="C200" s="24" t="str">
        <f t="shared" si="3"/>
        <v>pepsepultra</v>
      </c>
      <c r="D200" s="26" t="s">
        <v>2980</v>
      </c>
      <c r="E200" s="24" t="s">
        <v>2984</v>
      </c>
      <c r="F200" s="24" t="s">
        <v>2992</v>
      </c>
      <c r="G200" s="24">
        <v>500</v>
      </c>
      <c r="H200" s="24"/>
    </row>
    <row r="201" spans="1:8" ht="14">
      <c r="A201" s="24" t="s">
        <v>2985</v>
      </c>
      <c r="B201" s="25" t="s">
        <v>44</v>
      </c>
      <c r="C201" s="24" t="str">
        <f t="shared" si="3"/>
        <v>pepsepmax</v>
      </c>
      <c r="D201" s="26" t="s">
        <v>2980</v>
      </c>
      <c r="E201" s="24" t="s">
        <v>2986</v>
      </c>
      <c r="F201" s="24" t="s">
        <v>2991</v>
      </c>
      <c r="G201" s="24">
        <v>500</v>
      </c>
      <c r="H201" s="24"/>
    </row>
    <row r="202" spans="1:8" ht="14">
      <c r="A202" s="24" t="s">
        <v>2987</v>
      </c>
      <c r="B202" s="25" t="s">
        <v>44</v>
      </c>
      <c r="C202" s="24" t="str">
        <f t="shared" si="3"/>
        <v>pepsepmaxht</v>
      </c>
      <c r="D202" s="26" t="s">
        <v>2988</v>
      </c>
      <c r="E202" s="24" t="s">
        <v>2989</v>
      </c>
      <c r="F202" s="24" t="s">
        <v>2990</v>
      </c>
      <c r="G202" s="24">
        <v>500</v>
      </c>
      <c r="H202" s="24"/>
    </row>
    <row r="203" spans="1:8" ht="14">
      <c r="A203" s="24" t="s">
        <v>631</v>
      </c>
      <c r="B203" s="25" t="s">
        <v>50</v>
      </c>
      <c r="C203" s="24" t="str">
        <f t="shared" si="3"/>
        <v>5_fluorouracil</v>
      </c>
      <c r="D203" s="24" t="s">
        <v>632</v>
      </c>
      <c r="E203" s="24" t="s">
        <v>633</v>
      </c>
      <c r="F203" s="24" t="s">
        <v>634</v>
      </c>
      <c r="G203" s="24">
        <v>500</v>
      </c>
      <c r="H203" s="24"/>
    </row>
    <row r="204" spans="1:8" ht="14">
      <c r="A204" s="24" t="s">
        <v>635</v>
      </c>
      <c r="B204" s="25" t="s">
        <v>50</v>
      </c>
      <c r="C204" s="24" t="str">
        <f t="shared" si="3"/>
        <v>anisomycin</v>
      </c>
      <c r="D204" s="24" t="s">
        <v>635</v>
      </c>
      <c r="E204" s="24" t="s">
        <v>636</v>
      </c>
      <c r="F204" s="24" t="s">
        <v>636</v>
      </c>
      <c r="G204" s="24">
        <v>500</v>
      </c>
      <c r="H204" s="24"/>
    </row>
    <row r="205" spans="1:8" ht="14">
      <c r="A205" s="24" t="s">
        <v>4388</v>
      </c>
      <c r="B205" s="25" t="s">
        <v>50</v>
      </c>
      <c r="C205" s="24" t="s">
        <v>4388</v>
      </c>
      <c r="D205" s="24" t="s">
        <v>4388</v>
      </c>
      <c r="E205" s="24" t="s">
        <v>4387</v>
      </c>
      <c r="F205" s="24" t="s">
        <v>4389</v>
      </c>
      <c r="G205" s="24">
        <v>500</v>
      </c>
      <c r="H205" s="24"/>
    </row>
    <row r="206" spans="1:8" ht="14">
      <c r="A206" s="24" t="s">
        <v>637</v>
      </c>
      <c r="B206" s="25" t="s">
        <v>50</v>
      </c>
      <c r="C206" s="24" t="str">
        <f t="shared" si="3"/>
        <v>antimycin</v>
      </c>
      <c r="D206" s="24" t="s">
        <v>637</v>
      </c>
      <c r="E206" s="24" t="s">
        <v>638</v>
      </c>
      <c r="F206" s="24" t="s">
        <v>639</v>
      </c>
      <c r="G206" s="24">
        <v>500</v>
      </c>
      <c r="H206" s="24"/>
    </row>
    <row r="207" spans="1:8" ht="14">
      <c r="A207" s="24" t="s">
        <v>640</v>
      </c>
      <c r="B207" s="25" t="s">
        <v>50</v>
      </c>
      <c r="C207" s="24" t="str">
        <f t="shared" si="3"/>
        <v>atp</v>
      </c>
      <c r="D207" s="24" t="s">
        <v>640</v>
      </c>
      <c r="E207" s="24" t="s">
        <v>641</v>
      </c>
      <c r="F207" s="24" t="s">
        <v>642</v>
      </c>
      <c r="G207" s="24">
        <v>500</v>
      </c>
      <c r="H207" s="24"/>
    </row>
    <row r="208" spans="1:8" ht="14">
      <c r="A208" s="24" t="s">
        <v>643</v>
      </c>
      <c r="B208" s="25" t="s">
        <v>50</v>
      </c>
      <c r="C208" s="24" t="str">
        <f t="shared" si="3"/>
        <v>berzosertib</v>
      </c>
      <c r="D208" s="24" t="s">
        <v>643</v>
      </c>
      <c r="E208" s="24" t="s">
        <v>644</v>
      </c>
      <c r="F208" s="24" t="s">
        <v>644</v>
      </c>
      <c r="G208" s="24">
        <v>500</v>
      </c>
      <c r="H208" s="24"/>
    </row>
    <row r="209" spans="1:8" ht="14">
      <c r="A209" s="24" t="s">
        <v>645</v>
      </c>
      <c r="B209" s="25" t="s">
        <v>50</v>
      </c>
      <c r="C209" s="24" t="str">
        <f t="shared" si="3"/>
        <v>bortezomib</v>
      </c>
      <c r="D209" s="24" t="s">
        <v>645</v>
      </c>
      <c r="E209" s="24" t="s">
        <v>646</v>
      </c>
      <c r="F209" s="24" t="s">
        <v>646</v>
      </c>
      <c r="G209" s="24">
        <v>500</v>
      </c>
      <c r="H209" s="24"/>
    </row>
    <row r="210" spans="1:8" ht="14">
      <c r="A210" s="24" t="s">
        <v>647</v>
      </c>
      <c r="B210" s="25" t="s">
        <v>50</v>
      </c>
      <c r="C210" s="24" t="str">
        <f t="shared" si="3"/>
        <v>cccp</v>
      </c>
      <c r="D210" s="24" t="s">
        <v>647</v>
      </c>
      <c r="E210" s="24" t="s">
        <v>648</v>
      </c>
      <c r="F210" s="24" t="s">
        <v>649</v>
      </c>
      <c r="G210" s="24">
        <v>500</v>
      </c>
      <c r="H210" s="24"/>
    </row>
    <row r="211" spans="1:8" ht="14">
      <c r="A211" s="24" t="s">
        <v>650</v>
      </c>
      <c r="B211" s="25" t="s">
        <v>50</v>
      </c>
      <c r="C211" s="24" t="str">
        <f t="shared" si="3"/>
        <v>cycloheximide</v>
      </c>
      <c r="D211" s="24" t="s">
        <v>650</v>
      </c>
      <c r="E211" s="24" t="s">
        <v>651</v>
      </c>
      <c r="F211" s="24" t="s">
        <v>651</v>
      </c>
      <c r="G211" s="24">
        <v>500</v>
      </c>
      <c r="H211" s="24"/>
    </row>
    <row r="212" spans="1:8" ht="14">
      <c r="A212" s="24" t="s">
        <v>652</v>
      </c>
      <c r="B212" s="25" t="s">
        <v>50</v>
      </c>
      <c r="C212" s="24" t="str">
        <f t="shared" si="3"/>
        <v>dmso</v>
      </c>
      <c r="D212" s="24" t="s">
        <v>652</v>
      </c>
      <c r="E212" s="24" t="s">
        <v>653</v>
      </c>
      <c r="F212" s="24" t="s">
        <v>654</v>
      </c>
      <c r="G212" s="24">
        <v>500</v>
      </c>
      <c r="H212" s="24"/>
    </row>
    <row r="213" spans="1:8" ht="14">
      <c r="A213" s="24" t="s">
        <v>655</v>
      </c>
      <c r="B213" s="25" t="s">
        <v>50</v>
      </c>
      <c r="C213" s="24" t="str">
        <f t="shared" si="3"/>
        <v>doxorubicin</v>
      </c>
      <c r="D213" s="24" t="s">
        <v>655</v>
      </c>
      <c r="E213" s="24" t="s">
        <v>656</v>
      </c>
      <c r="F213" s="24" t="s">
        <v>657</v>
      </c>
      <c r="G213" s="24">
        <v>500</v>
      </c>
      <c r="H213" s="24"/>
    </row>
    <row r="214" spans="1:8" ht="14">
      <c r="A214" s="24" t="s">
        <v>658</v>
      </c>
      <c r="B214" s="25" t="s">
        <v>50</v>
      </c>
      <c r="C214" s="24" t="str">
        <f t="shared" si="3"/>
        <v>doxycycline</v>
      </c>
      <c r="D214" s="24" t="s">
        <v>658</v>
      </c>
      <c r="E214" s="24" t="s">
        <v>659</v>
      </c>
      <c r="F214" s="24" t="s">
        <v>660</v>
      </c>
      <c r="G214" s="24">
        <v>500</v>
      </c>
      <c r="H214" s="24"/>
    </row>
    <row r="215" spans="1:8" ht="14">
      <c r="A215" s="24" t="s">
        <v>2729</v>
      </c>
      <c r="B215" s="25" t="s">
        <v>50</v>
      </c>
      <c r="C215" s="24" t="str">
        <f t="shared" si="3"/>
        <v>epoximicin</v>
      </c>
      <c r="D215" s="24" t="s">
        <v>2728</v>
      </c>
      <c r="E215" s="24" t="s">
        <v>2727</v>
      </c>
      <c r="F215" s="24" t="s">
        <v>2730</v>
      </c>
      <c r="G215" s="24">
        <v>500</v>
      </c>
      <c r="H215" s="24"/>
    </row>
    <row r="216" spans="1:8" ht="14">
      <c r="A216" s="24" t="s">
        <v>661</v>
      </c>
      <c r="B216" s="25" t="s">
        <v>50</v>
      </c>
      <c r="C216" s="24" t="str">
        <f t="shared" si="3"/>
        <v>etoposide</v>
      </c>
      <c r="D216" s="24" t="s">
        <v>661</v>
      </c>
      <c r="E216" s="24" t="s">
        <v>662</v>
      </c>
      <c r="F216" s="24" t="s">
        <v>663</v>
      </c>
      <c r="G216" s="24">
        <v>500</v>
      </c>
      <c r="H216" s="24"/>
    </row>
    <row r="217" spans="1:8" ht="14">
      <c r="A217" s="24" t="s">
        <v>664</v>
      </c>
      <c r="B217" s="25" t="s">
        <v>50</v>
      </c>
      <c r="C217" s="24" t="str">
        <f t="shared" si="3"/>
        <v>fccp</v>
      </c>
      <c r="D217" s="24" t="s">
        <v>664</v>
      </c>
      <c r="E217" s="24" t="s">
        <v>665</v>
      </c>
      <c r="F217" s="24" t="s">
        <v>666</v>
      </c>
      <c r="G217" s="24">
        <v>500</v>
      </c>
      <c r="H217" s="24"/>
    </row>
    <row r="218" spans="1:8" ht="14">
      <c r="A218" s="24" t="s">
        <v>667</v>
      </c>
      <c r="B218" s="25" t="s">
        <v>50</v>
      </c>
      <c r="C218" s="24" t="str">
        <f t="shared" si="3"/>
        <v>h2o</v>
      </c>
      <c r="D218" s="24" t="s">
        <v>667</v>
      </c>
      <c r="E218" s="24" t="s">
        <v>668</v>
      </c>
      <c r="F218" s="24" t="s">
        <v>669</v>
      </c>
      <c r="G218" s="24">
        <v>500</v>
      </c>
      <c r="H218" s="24"/>
    </row>
    <row r="219" spans="1:8" ht="14">
      <c r="A219" s="24" t="s">
        <v>2724</v>
      </c>
      <c r="B219" s="25" t="s">
        <v>50</v>
      </c>
      <c r="C219" s="24" t="str">
        <f t="shared" si="3"/>
        <v>h2o2</v>
      </c>
      <c r="D219" s="24" t="s">
        <v>2724</v>
      </c>
      <c r="E219" s="24" t="s">
        <v>2725</v>
      </c>
      <c r="F219" s="24" t="s">
        <v>2726</v>
      </c>
      <c r="G219" s="24">
        <v>500</v>
      </c>
      <c r="H219" s="24"/>
    </row>
    <row r="220" spans="1:8" ht="14">
      <c r="A220" s="24" t="s">
        <v>670</v>
      </c>
      <c r="B220" s="25" t="s">
        <v>50</v>
      </c>
      <c r="C220" s="24" t="str">
        <f t="shared" si="3"/>
        <v>hydroxyurea</v>
      </c>
      <c r="D220" s="24" t="s">
        <v>670</v>
      </c>
      <c r="E220" s="24" t="s">
        <v>671</v>
      </c>
      <c r="F220" s="24" t="s">
        <v>672</v>
      </c>
      <c r="G220" s="24">
        <v>500</v>
      </c>
      <c r="H220" s="24"/>
    </row>
    <row r="221" spans="1:8" ht="14">
      <c r="A221" s="24" t="s">
        <v>673</v>
      </c>
      <c r="B221" s="25" t="s">
        <v>50</v>
      </c>
      <c r="C221" s="24" t="str">
        <f t="shared" si="3"/>
        <v>oligomycin</v>
      </c>
      <c r="D221" s="24" t="s">
        <v>673</v>
      </c>
      <c r="E221" s="24" t="s">
        <v>674</v>
      </c>
      <c r="F221" s="24" t="s">
        <v>675</v>
      </c>
      <c r="G221" s="24">
        <v>500</v>
      </c>
      <c r="H221" s="24"/>
    </row>
    <row r="222" spans="1:8" ht="14">
      <c r="A222" s="24" t="s">
        <v>676</v>
      </c>
      <c r="B222" s="25" t="s">
        <v>50</v>
      </c>
      <c r="C222" s="24" t="str">
        <f t="shared" si="3"/>
        <v>rapamycin</v>
      </c>
      <c r="D222" s="24" t="s">
        <v>676</v>
      </c>
      <c r="E222" s="24" t="s">
        <v>677</v>
      </c>
      <c r="F222" s="24" t="s">
        <v>678</v>
      </c>
      <c r="G222" s="24">
        <v>500</v>
      </c>
      <c r="H222" s="24"/>
    </row>
    <row r="223" spans="1:8" ht="14">
      <c r="A223" s="24" t="s">
        <v>679</v>
      </c>
      <c r="B223" s="25" t="s">
        <v>50</v>
      </c>
      <c r="C223" s="24" t="str">
        <f t="shared" si="3"/>
        <v>rotenone</v>
      </c>
      <c r="D223" s="24" t="s">
        <v>679</v>
      </c>
      <c r="E223" s="24" t="s">
        <v>680</v>
      </c>
      <c r="F223" s="24" t="s">
        <v>681</v>
      </c>
      <c r="G223" s="24">
        <v>500</v>
      </c>
      <c r="H223" s="24"/>
    </row>
    <row r="224" spans="1:8" ht="14">
      <c r="A224" s="24" t="s">
        <v>682</v>
      </c>
      <c r="B224" s="25" t="s">
        <v>50</v>
      </c>
      <c r="C224" s="24" t="str">
        <f t="shared" si="3"/>
        <v>tamoxifen</v>
      </c>
      <c r="D224" s="24" t="s">
        <v>682</v>
      </c>
      <c r="E224" s="24" t="s">
        <v>683</v>
      </c>
      <c r="F224" s="24" t="s">
        <v>683</v>
      </c>
      <c r="G224" s="24">
        <v>500</v>
      </c>
      <c r="H224" s="24"/>
    </row>
    <row r="225" spans="1:8" ht="14">
      <c r="A225" s="24" t="s">
        <v>684</v>
      </c>
      <c r="B225" s="25" t="s">
        <v>50</v>
      </c>
      <c r="C225" s="24" t="str">
        <f t="shared" si="3"/>
        <v>torin</v>
      </c>
      <c r="D225" s="24" t="s">
        <v>684</v>
      </c>
      <c r="E225" s="24" t="s">
        <v>685</v>
      </c>
      <c r="F225" s="24" t="s">
        <v>686</v>
      </c>
      <c r="G225" s="24">
        <v>500</v>
      </c>
      <c r="H225" s="24"/>
    </row>
    <row r="226" spans="1:8" ht="14">
      <c r="A226" s="24" t="s">
        <v>687</v>
      </c>
      <c r="B226" s="25" t="s">
        <v>50</v>
      </c>
      <c r="C226" s="24" t="str">
        <f t="shared" si="3"/>
        <v>trametinib</v>
      </c>
      <c r="D226" s="24" t="s">
        <v>687</v>
      </c>
      <c r="E226" s="24" t="s">
        <v>688</v>
      </c>
      <c r="F226" s="24" t="s">
        <v>688</v>
      </c>
      <c r="G226" s="24">
        <v>500</v>
      </c>
      <c r="H226" s="24"/>
    </row>
    <row r="227" spans="1:8" ht="14">
      <c r="A227" s="24" t="s">
        <v>689</v>
      </c>
      <c r="B227" s="25" t="s">
        <v>50</v>
      </c>
      <c r="C227" s="24" t="str">
        <f t="shared" si="3"/>
        <v>unstimulated</v>
      </c>
      <c r="D227" s="24" t="s">
        <v>689</v>
      </c>
      <c r="E227" s="24" t="s">
        <v>690</v>
      </c>
      <c r="F227" s="24" t="s">
        <v>691</v>
      </c>
      <c r="G227" s="24">
        <v>500</v>
      </c>
      <c r="H227" s="24"/>
    </row>
    <row r="228" spans="1:8" ht="14">
      <c r="A228" s="24" t="s">
        <v>3113</v>
      </c>
      <c r="B228" s="25" t="s">
        <v>50</v>
      </c>
      <c r="C228" s="24" t="str">
        <f t="shared" si="3"/>
        <v>pbs</v>
      </c>
      <c r="D228" s="24" t="s">
        <v>3113</v>
      </c>
      <c r="E228" s="24" t="s">
        <v>3114</v>
      </c>
      <c r="F228" s="24" t="s">
        <v>3115</v>
      </c>
      <c r="G228" s="24">
        <v>500</v>
      </c>
      <c r="H228" s="24"/>
    </row>
    <row r="229" spans="1:8" ht="14">
      <c r="A229" s="24" t="s">
        <v>4390</v>
      </c>
      <c r="B229" s="25" t="s">
        <v>50</v>
      </c>
      <c r="C229" s="24" t="s">
        <v>4390</v>
      </c>
      <c r="D229" s="24" t="s">
        <v>4390</v>
      </c>
      <c r="E229" s="24" t="s">
        <v>4391</v>
      </c>
      <c r="F229" s="24" t="s">
        <v>4392</v>
      </c>
      <c r="G229" s="24">
        <v>500</v>
      </c>
      <c r="H229" s="24"/>
    </row>
    <row r="230" spans="1:8" ht="14">
      <c r="A230" s="24" t="s">
        <v>4440</v>
      </c>
      <c r="B230" s="25" t="s">
        <v>50</v>
      </c>
      <c r="C230" s="24" t="s">
        <v>4440</v>
      </c>
      <c r="D230" s="24" t="s">
        <v>4440</v>
      </c>
      <c r="E230" s="24" t="s">
        <v>4442</v>
      </c>
      <c r="F230" s="24" t="s">
        <v>4441</v>
      </c>
      <c r="G230" s="24">
        <v>550</v>
      </c>
      <c r="H230" s="24"/>
    </row>
    <row r="231" spans="1:8" ht="14">
      <c r="A231" s="24" t="s">
        <v>692</v>
      </c>
      <c r="B231" s="25" t="s">
        <v>50</v>
      </c>
      <c r="C231" s="24" t="str">
        <f t="shared" si="3"/>
        <v>microenvironment</v>
      </c>
      <c r="D231" s="26" t="s">
        <v>12</v>
      </c>
      <c r="E231" s="24" t="s">
        <v>692</v>
      </c>
      <c r="F231" s="24" t="s">
        <v>692</v>
      </c>
      <c r="G231" s="24">
        <v>500</v>
      </c>
      <c r="H231" s="24"/>
    </row>
    <row r="232" spans="1:8" ht="14">
      <c r="A232" s="24" t="s">
        <v>693</v>
      </c>
      <c r="B232" s="25" t="s">
        <v>52</v>
      </c>
      <c r="C232" s="24" t="str">
        <f t="shared" si="3"/>
        <v>egs</v>
      </c>
      <c r="D232" s="26" t="s">
        <v>12</v>
      </c>
      <c r="E232" s="24" t="s">
        <v>694</v>
      </c>
      <c r="F232" s="24" t="s">
        <v>695</v>
      </c>
      <c r="G232" s="24">
        <v>500</v>
      </c>
      <c r="H232" s="24"/>
    </row>
    <row r="233" spans="1:8" ht="14">
      <c r="A233" s="24" t="s">
        <v>696</v>
      </c>
      <c r="B233" s="25" t="s">
        <v>52</v>
      </c>
      <c r="C233" s="24" t="str">
        <f t="shared" si="3"/>
        <v>suflo_egs</v>
      </c>
      <c r="D233" s="26" t="s">
        <v>12</v>
      </c>
      <c r="E233" s="24" t="s">
        <v>697</v>
      </c>
      <c r="F233" s="24" t="s">
        <v>698</v>
      </c>
      <c r="G233" s="24">
        <v>500</v>
      </c>
      <c r="H233" s="24"/>
    </row>
    <row r="234" spans="1:8" ht="14">
      <c r="A234" s="24" t="s">
        <v>699</v>
      </c>
      <c r="B234" s="25" t="s">
        <v>55</v>
      </c>
      <c r="C234" s="24" t="str">
        <f t="shared" si="3"/>
        <v>dsbu</v>
      </c>
      <c r="D234" s="26" t="s">
        <v>12</v>
      </c>
      <c r="E234" s="24" t="s">
        <v>700</v>
      </c>
      <c r="F234" s="24" t="s">
        <v>701</v>
      </c>
      <c r="G234" s="24">
        <v>500</v>
      </c>
      <c r="H234" s="24"/>
    </row>
    <row r="235" spans="1:8" ht="14">
      <c r="A235" s="24" t="s">
        <v>702</v>
      </c>
      <c r="B235" s="25" t="s">
        <v>55</v>
      </c>
      <c r="C235" s="24" t="str">
        <f t="shared" si="3"/>
        <v>dsso</v>
      </c>
      <c r="D235" s="26" t="s">
        <v>12</v>
      </c>
      <c r="E235" s="24" t="s">
        <v>703</v>
      </c>
      <c r="F235" s="24" t="s">
        <v>704</v>
      </c>
      <c r="G235" s="24">
        <v>500</v>
      </c>
      <c r="H235" s="24"/>
    </row>
    <row r="236" spans="1:8" ht="14">
      <c r="A236" s="24" t="s">
        <v>705</v>
      </c>
      <c r="B236" s="25" t="s">
        <v>57</v>
      </c>
      <c r="C236" s="24" t="str">
        <f t="shared" si="3"/>
        <v>amas</v>
      </c>
      <c r="D236" s="26" t="s">
        <v>12</v>
      </c>
      <c r="E236" s="24" t="s">
        <v>706</v>
      </c>
      <c r="F236" s="24" t="s">
        <v>707</v>
      </c>
      <c r="G236" s="24">
        <v>500</v>
      </c>
      <c r="H236" s="24"/>
    </row>
    <row r="237" spans="1:8" ht="14">
      <c r="A237" s="24" t="s">
        <v>708</v>
      </c>
      <c r="B237" s="25" t="s">
        <v>57</v>
      </c>
      <c r="C237" s="24" t="str">
        <f t="shared" si="3"/>
        <v>bm_peg_3</v>
      </c>
      <c r="D237" s="26" t="s">
        <v>12</v>
      </c>
      <c r="E237" s="24" t="s">
        <v>709</v>
      </c>
      <c r="F237" s="24" t="s">
        <v>710</v>
      </c>
      <c r="G237" s="24">
        <v>500</v>
      </c>
      <c r="H237" s="24"/>
    </row>
    <row r="238" spans="1:8" ht="14">
      <c r="A238" s="24" t="s">
        <v>711</v>
      </c>
      <c r="B238" s="25" t="s">
        <v>57</v>
      </c>
      <c r="C238" s="24" t="str">
        <f t="shared" si="3"/>
        <v>bmb</v>
      </c>
      <c r="D238" s="26" t="s">
        <v>12</v>
      </c>
      <c r="E238" s="24" t="s">
        <v>712</v>
      </c>
      <c r="F238" s="24" t="s">
        <v>713</v>
      </c>
      <c r="G238" s="24">
        <v>500</v>
      </c>
      <c r="H238" s="24"/>
    </row>
    <row r="239" spans="1:8" ht="14">
      <c r="A239" s="24" t="s">
        <v>714</v>
      </c>
      <c r="B239" s="25" t="s">
        <v>57</v>
      </c>
      <c r="C239" s="24" t="str">
        <f t="shared" si="3"/>
        <v>bmh</v>
      </c>
      <c r="D239" s="26" t="s">
        <v>12</v>
      </c>
      <c r="E239" s="24" t="s">
        <v>715</v>
      </c>
      <c r="F239" s="24" t="s">
        <v>716</v>
      </c>
      <c r="G239" s="24">
        <v>500</v>
      </c>
      <c r="H239" s="24"/>
    </row>
    <row r="240" spans="1:8" ht="14">
      <c r="A240" s="24" t="s">
        <v>717</v>
      </c>
      <c r="B240" s="25" t="s">
        <v>57</v>
      </c>
      <c r="C240" s="24" t="str">
        <f t="shared" si="3"/>
        <v>bmoe</v>
      </c>
      <c r="D240" s="26" t="s">
        <v>12</v>
      </c>
      <c r="E240" s="24" t="s">
        <v>718</v>
      </c>
      <c r="F240" s="24" t="s">
        <v>719</v>
      </c>
      <c r="G240" s="24">
        <v>500</v>
      </c>
      <c r="H240" s="24"/>
    </row>
    <row r="241" spans="1:8" ht="14">
      <c r="A241" s="24" t="s">
        <v>720</v>
      </c>
      <c r="B241" s="25" t="s">
        <v>57</v>
      </c>
      <c r="C241" s="24" t="str">
        <f t="shared" si="3"/>
        <v>bmph</v>
      </c>
      <c r="D241" s="26" t="s">
        <v>12</v>
      </c>
      <c r="E241" s="24" t="s">
        <v>721</v>
      </c>
      <c r="F241" s="24" t="s">
        <v>722</v>
      </c>
      <c r="G241" s="24">
        <v>500</v>
      </c>
      <c r="H241" s="24"/>
    </row>
    <row r="242" spans="1:8" ht="14">
      <c r="A242" s="24" t="s">
        <v>723</v>
      </c>
      <c r="B242" s="25" t="s">
        <v>57</v>
      </c>
      <c r="C242" s="24" t="str">
        <f t="shared" si="3"/>
        <v>bmps</v>
      </c>
      <c r="D242" s="26" t="s">
        <v>12</v>
      </c>
      <c r="E242" s="24" t="s">
        <v>724</v>
      </c>
      <c r="F242" s="24" t="s">
        <v>725</v>
      </c>
      <c r="G242" s="24">
        <v>500</v>
      </c>
      <c r="H242" s="24"/>
    </row>
    <row r="243" spans="1:8" ht="14">
      <c r="A243" s="24" t="s">
        <v>726</v>
      </c>
      <c r="B243" s="25" t="s">
        <v>57</v>
      </c>
      <c r="C243" s="24" t="str">
        <f t="shared" si="3"/>
        <v>bs_peg_5</v>
      </c>
      <c r="D243" s="26" t="s">
        <v>12</v>
      </c>
      <c r="E243" s="24" t="s">
        <v>727</v>
      </c>
      <c r="F243" s="24" t="s">
        <v>728</v>
      </c>
      <c r="G243" s="24">
        <v>500</v>
      </c>
      <c r="H243" s="24"/>
    </row>
    <row r="244" spans="1:8" ht="14">
      <c r="A244" s="24" t="s">
        <v>729</v>
      </c>
      <c r="B244" s="25" t="s">
        <v>57</v>
      </c>
      <c r="C244" s="24" t="str">
        <f t="shared" si="3"/>
        <v>bs_peg_9</v>
      </c>
      <c r="D244" s="26" t="s">
        <v>12</v>
      </c>
      <c r="E244" s="24" t="s">
        <v>730</v>
      </c>
      <c r="F244" s="24" t="s">
        <v>731</v>
      </c>
      <c r="G244" s="24">
        <v>500</v>
      </c>
      <c r="H244" s="24"/>
    </row>
    <row r="245" spans="1:8" ht="14">
      <c r="A245" s="24" t="s">
        <v>732</v>
      </c>
      <c r="B245" s="25" t="s">
        <v>57</v>
      </c>
      <c r="C245" s="24" t="str">
        <f t="shared" si="3"/>
        <v>bs2g_d0</v>
      </c>
      <c r="D245" s="26" t="s">
        <v>12</v>
      </c>
      <c r="E245" s="24" t="s">
        <v>733</v>
      </c>
      <c r="F245" s="24" t="s">
        <v>734</v>
      </c>
      <c r="G245" s="24">
        <v>500</v>
      </c>
      <c r="H245" s="24"/>
    </row>
    <row r="246" spans="1:8" ht="14">
      <c r="A246" s="24" t="s">
        <v>735</v>
      </c>
      <c r="B246" s="25" t="s">
        <v>57</v>
      </c>
      <c r="C246" s="24" t="str">
        <f t="shared" si="3"/>
        <v>bs3</v>
      </c>
      <c r="D246" s="26" t="s">
        <v>12</v>
      </c>
      <c r="E246" s="24" t="s">
        <v>736</v>
      </c>
      <c r="F246" s="24" t="s">
        <v>737</v>
      </c>
      <c r="G246" s="24">
        <v>500</v>
      </c>
      <c r="H246" s="24"/>
    </row>
    <row r="247" spans="1:8" ht="10.5" customHeight="1">
      <c r="A247" s="24" t="s">
        <v>738</v>
      </c>
      <c r="B247" s="25" t="s">
        <v>57</v>
      </c>
      <c r="C247" s="24" t="str">
        <f t="shared" si="3"/>
        <v>bs3_d0</v>
      </c>
      <c r="D247" s="26" t="s">
        <v>12</v>
      </c>
      <c r="E247" s="24" t="s">
        <v>739</v>
      </c>
      <c r="F247" s="24" t="s">
        <v>740</v>
      </c>
      <c r="G247" s="24">
        <v>500</v>
      </c>
      <c r="H247" s="24"/>
    </row>
    <row r="248" spans="1:8" ht="14">
      <c r="A248" s="24" t="s">
        <v>741</v>
      </c>
      <c r="B248" s="25" t="s">
        <v>57</v>
      </c>
      <c r="C248" s="24" t="str">
        <f t="shared" si="3"/>
        <v>bs3_d4</v>
      </c>
      <c r="D248" s="26" t="s">
        <v>12</v>
      </c>
      <c r="E248" s="24" t="s">
        <v>742</v>
      </c>
      <c r="F248" s="24" t="s">
        <v>740</v>
      </c>
      <c r="G248" s="24">
        <v>500</v>
      </c>
      <c r="H248" s="24"/>
    </row>
    <row r="249" spans="1:8" ht="14">
      <c r="A249" s="24" t="s">
        <v>743</v>
      </c>
      <c r="B249" s="25" t="s">
        <v>57</v>
      </c>
      <c r="C249" s="24" t="str">
        <f t="shared" si="3"/>
        <v>dmp</v>
      </c>
      <c r="D249" s="26" t="s">
        <v>12</v>
      </c>
      <c r="E249" s="24" t="s">
        <v>744</v>
      </c>
      <c r="F249" s="24" t="s">
        <v>745</v>
      </c>
      <c r="G249" s="24">
        <v>500</v>
      </c>
      <c r="H249" s="24"/>
    </row>
    <row r="250" spans="1:8" ht="14">
      <c r="A250" s="24" t="s">
        <v>746</v>
      </c>
      <c r="B250" s="25" t="s">
        <v>57</v>
      </c>
      <c r="C250" s="24" t="str">
        <f t="shared" si="3"/>
        <v>dms</v>
      </c>
      <c r="D250" s="26" t="s">
        <v>12</v>
      </c>
      <c r="E250" s="24" t="s">
        <v>747</v>
      </c>
      <c r="F250" s="24" t="s">
        <v>748</v>
      </c>
      <c r="G250" s="24">
        <v>500</v>
      </c>
      <c r="H250" s="24"/>
    </row>
    <row r="251" spans="1:8" ht="14">
      <c r="A251" s="24" t="s">
        <v>749</v>
      </c>
      <c r="B251" s="25" t="s">
        <v>57</v>
      </c>
      <c r="C251" s="24" t="str">
        <f t="shared" si="3"/>
        <v>dss</v>
      </c>
      <c r="D251" s="26" t="s">
        <v>12</v>
      </c>
      <c r="E251" s="24" t="s">
        <v>750</v>
      </c>
      <c r="F251" s="24" t="s">
        <v>751</v>
      </c>
      <c r="G251" s="24">
        <v>500</v>
      </c>
      <c r="H251" s="24"/>
    </row>
    <row r="252" spans="1:8" ht="14">
      <c r="A252" s="24" t="s">
        <v>752</v>
      </c>
      <c r="B252" s="25" t="s">
        <v>57</v>
      </c>
      <c r="C252" s="24" t="str">
        <f t="shared" si="3"/>
        <v>edc</v>
      </c>
      <c r="D252" s="26" t="s">
        <v>12</v>
      </c>
      <c r="E252" s="24" t="s">
        <v>753</v>
      </c>
      <c r="F252" s="24" t="s">
        <v>754</v>
      </c>
      <c r="G252" s="24">
        <v>500</v>
      </c>
      <c r="H252" s="24"/>
    </row>
    <row r="253" spans="1:8" ht="14">
      <c r="A253" s="24" t="s">
        <v>755</v>
      </c>
      <c r="B253" s="25" t="s">
        <v>57</v>
      </c>
      <c r="C253" s="24" t="str">
        <f t="shared" si="3"/>
        <v>emch</v>
      </c>
      <c r="D253" s="26" t="s">
        <v>12</v>
      </c>
      <c r="E253" s="24" t="s">
        <v>756</v>
      </c>
      <c r="F253" s="24" t="s">
        <v>757</v>
      </c>
      <c r="G253" s="24">
        <v>500</v>
      </c>
      <c r="H253" s="24"/>
    </row>
    <row r="254" spans="1:8" ht="14">
      <c r="A254" s="24" t="s">
        <v>758</v>
      </c>
      <c r="B254" s="25" t="s">
        <v>57</v>
      </c>
      <c r="C254" s="24" t="str">
        <f t="shared" si="3"/>
        <v>emcs</v>
      </c>
      <c r="D254" s="26" t="s">
        <v>12</v>
      </c>
      <c r="E254" s="24" t="s">
        <v>759</v>
      </c>
      <c r="F254" s="24" t="s">
        <v>760</v>
      </c>
      <c r="G254" s="24">
        <v>500</v>
      </c>
      <c r="H254" s="24"/>
    </row>
    <row r="255" spans="1:8" ht="14">
      <c r="A255" s="24" t="s">
        <v>761</v>
      </c>
      <c r="B255" s="25" t="s">
        <v>57</v>
      </c>
      <c r="C255" s="24" t="str">
        <f t="shared" ref="C255:C319" si="4">A255</f>
        <v>gmbs</v>
      </c>
      <c r="D255" s="26" t="s">
        <v>12</v>
      </c>
      <c r="E255" s="24" t="s">
        <v>762</v>
      </c>
      <c r="F255" s="24" t="s">
        <v>763</v>
      </c>
      <c r="G255" s="24">
        <v>500</v>
      </c>
      <c r="H255" s="24"/>
    </row>
    <row r="256" spans="1:8" ht="14">
      <c r="A256" s="24" t="s">
        <v>764</v>
      </c>
      <c r="B256" s="25" t="s">
        <v>57</v>
      </c>
      <c r="C256" s="24" t="str">
        <f t="shared" si="4"/>
        <v>kmuh</v>
      </c>
      <c r="D256" s="26" t="s">
        <v>12</v>
      </c>
      <c r="E256" s="24" t="s">
        <v>765</v>
      </c>
      <c r="F256" s="24" t="s">
        <v>766</v>
      </c>
      <c r="G256" s="24">
        <v>500</v>
      </c>
      <c r="H256" s="24"/>
    </row>
    <row r="257" spans="1:8" ht="14">
      <c r="A257" s="24" t="s">
        <v>767</v>
      </c>
      <c r="B257" s="25" t="s">
        <v>57</v>
      </c>
      <c r="C257" s="24" t="str">
        <f t="shared" si="4"/>
        <v>l_photo_methionine</v>
      </c>
      <c r="D257" s="26" t="s">
        <v>12</v>
      </c>
      <c r="E257" s="24" t="s">
        <v>768</v>
      </c>
      <c r="F257" s="24" t="s">
        <v>769</v>
      </c>
      <c r="G257" s="24">
        <v>500</v>
      </c>
      <c r="H257" s="24"/>
    </row>
    <row r="258" spans="1:8" ht="14">
      <c r="A258" s="24" t="s">
        <v>770</v>
      </c>
      <c r="B258" s="25" t="s">
        <v>57</v>
      </c>
      <c r="C258" s="24" t="str">
        <f t="shared" si="4"/>
        <v>lc_smcc</v>
      </c>
      <c r="D258" s="26" t="s">
        <v>12</v>
      </c>
      <c r="E258" s="24" t="s">
        <v>771</v>
      </c>
      <c r="F258" s="24" t="s">
        <v>772</v>
      </c>
      <c r="G258" s="24">
        <v>500</v>
      </c>
      <c r="H258" s="24"/>
    </row>
    <row r="259" spans="1:8" ht="14">
      <c r="A259" s="24" t="s">
        <v>773</v>
      </c>
      <c r="B259" s="25" t="s">
        <v>57</v>
      </c>
      <c r="C259" s="24" t="str">
        <f t="shared" si="4"/>
        <v>maleimide_peg4_dbco</v>
      </c>
      <c r="D259" s="26" t="s">
        <v>12</v>
      </c>
      <c r="E259" s="24" t="s">
        <v>774</v>
      </c>
      <c r="F259" s="24" t="s">
        <v>775</v>
      </c>
      <c r="G259" s="24">
        <v>500</v>
      </c>
      <c r="H259" s="24"/>
    </row>
    <row r="260" spans="1:8" ht="14">
      <c r="A260" s="24" t="s">
        <v>776</v>
      </c>
      <c r="B260" s="25" t="s">
        <v>57</v>
      </c>
      <c r="C260" s="24" t="str">
        <f t="shared" si="4"/>
        <v>mpbh</v>
      </c>
      <c r="D260" s="26" t="s">
        <v>12</v>
      </c>
      <c r="E260" s="24" t="s">
        <v>777</v>
      </c>
      <c r="F260" s="24" t="s">
        <v>778</v>
      </c>
      <c r="G260" s="24">
        <v>500</v>
      </c>
      <c r="H260" s="24"/>
    </row>
    <row r="261" spans="1:8" ht="14">
      <c r="A261" s="24" t="s">
        <v>779</v>
      </c>
      <c r="B261" s="25" t="s">
        <v>57</v>
      </c>
      <c r="C261" s="24" t="str">
        <f t="shared" si="4"/>
        <v>nhs</v>
      </c>
      <c r="D261" s="26" t="s">
        <v>12</v>
      </c>
      <c r="E261" s="24" t="s">
        <v>780</v>
      </c>
      <c r="F261" s="24" t="s">
        <v>781</v>
      </c>
      <c r="G261" s="24">
        <v>500</v>
      </c>
      <c r="H261" s="24"/>
    </row>
    <row r="262" spans="1:8" ht="14">
      <c r="A262" s="24" t="s">
        <v>782</v>
      </c>
      <c r="B262" s="25" t="s">
        <v>57</v>
      </c>
      <c r="C262" s="24" t="str">
        <f t="shared" si="4"/>
        <v>nhs_azide</v>
      </c>
      <c r="D262" s="26" t="s">
        <v>12</v>
      </c>
      <c r="E262" s="24" t="s">
        <v>783</v>
      </c>
      <c r="F262" s="24" t="s">
        <v>784</v>
      </c>
      <c r="G262" s="24">
        <v>500</v>
      </c>
      <c r="H262" s="24"/>
    </row>
    <row r="263" spans="1:8" ht="14">
      <c r="A263" s="24" t="s">
        <v>785</v>
      </c>
      <c r="B263" s="25" t="s">
        <v>57</v>
      </c>
      <c r="C263" s="24" t="str">
        <f t="shared" si="4"/>
        <v>nhs_peg4_azide</v>
      </c>
      <c r="D263" s="26" t="s">
        <v>12</v>
      </c>
      <c r="E263" s="24" t="s">
        <v>786</v>
      </c>
      <c r="F263" s="24" t="s">
        <v>787</v>
      </c>
      <c r="G263" s="24">
        <v>500</v>
      </c>
      <c r="H263" s="24"/>
    </row>
    <row r="264" spans="1:8" ht="14">
      <c r="A264" s="24" t="s">
        <v>788</v>
      </c>
      <c r="B264" s="25" t="s">
        <v>57</v>
      </c>
      <c r="C264" s="24" t="str">
        <f t="shared" si="4"/>
        <v>nhs_phosphine</v>
      </c>
      <c r="D264" s="26" t="s">
        <v>12</v>
      </c>
      <c r="E264" s="24" t="s">
        <v>789</v>
      </c>
      <c r="F264" s="24" t="s">
        <v>790</v>
      </c>
      <c r="G264" s="24">
        <v>500</v>
      </c>
      <c r="H264" s="24"/>
    </row>
    <row r="265" spans="1:8" ht="14">
      <c r="A265" s="24" t="s">
        <v>791</v>
      </c>
      <c r="B265" s="25" t="s">
        <v>57</v>
      </c>
      <c r="C265" s="24" t="str">
        <f t="shared" si="4"/>
        <v>pmpi</v>
      </c>
      <c r="D265" s="26" t="s">
        <v>12</v>
      </c>
      <c r="E265" s="24" t="s">
        <v>792</v>
      </c>
      <c r="F265" s="24" t="s">
        <v>793</v>
      </c>
      <c r="G265" s="24">
        <v>500</v>
      </c>
      <c r="H265" s="24"/>
    </row>
    <row r="266" spans="1:8" ht="14">
      <c r="A266" s="24" t="s">
        <v>794</v>
      </c>
      <c r="B266" s="25" t="s">
        <v>57</v>
      </c>
      <c r="C266" s="24" t="str">
        <f t="shared" si="4"/>
        <v>sbap</v>
      </c>
      <c r="D266" s="26" t="s">
        <v>12</v>
      </c>
      <c r="E266" s="24" t="s">
        <v>795</v>
      </c>
      <c r="F266" s="24" t="s">
        <v>796</v>
      </c>
      <c r="G266" s="24">
        <v>500</v>
      </c>
      <c r="H266" s="24"/>
    </row>
    <row r="267" spans="1:8" ht="14">
      <c r="A267" s="24" t="s">
        <v>797</v>
      </c>
      <c r="B267" s="25" t="s">
        <v>57</v>
      </c>
      <c r="C267" s="24" t="str">
        <f t="shared" si="4"/>
        <v>sda</v>
      </c>
      <c r="D267" s="26" t="s">
        <v>12</v>
      </c>
      <c r="E267" s="24" t="s">
        <v>798</v>
      </c>
      <c r="F267" s="24" t="s">
        <v>799</v>
      </c>
      <c r="G267" s="24">
        <v>500</v>
      </c>
      <c r="H267" s="24"/>
    </row>
    <row r="268" spans="1:8" ht="14">
      <c r="A268" s="24" t="s">
        <v>800</v>
      </c>
      <c r="B268" s="25" t="s">
        <v>57</v>
      </c>
      <c r="C268" s="24" t="str">
        <f t="shared" si="4"/>
        <v>sia</v>
      </c>
      <c r="D268" s="26" t="s">
        <v>12</v>
      </c>
      <c r="E268" s="24" t="s">
        <v>801</v>
      </c>
      <c r="F268" s="24" t="s">
        <v>802</v>
      </c>
      <c r="G268" s="24">
        <v>500</v>
      </c>
      <c r="H268" s="24"/>
    </row>
    <row r="269" spans="1:8" ht="14">
      <c r="A269" s="24" t="s">
        <v>803</v>
      </c>
      <c r="B269" s="25" t="s">
        <v>57</v>
      </c>
      <c r="C269" s="24" t="str">
        <f t="shared" si="4"/>
        <v>smpb</v>
      </c>
      <c r="D269" s="26" t="s">
        <v>12</v>
      </c>
      <c r="E269" s="24" t="s">
        <v>804</v>
      </c>
      <c r="F269" s="24" t="s">
        <v>805</v>
      </c>
      <c r="G269" s="24">
        <v>500</v>
      </c>
      <c r="H269" s="24"/>
    </row>
    <row r="270" spans="1:8" ht="14">
      <c r="A270" s="24" t="s">
        <v>806</v>
      </c>
      <c r="B270" s="25" t="s">
        <v>57</v>
      </c>
      <c r="C270" s="24" t="str">
        <f t="shared" si="4"/>
        <v>smph</v>
      </c>
      <c r="D270" s="26" t="s">
        <v>12</v>
      </c>
      <c r="E270" s="24" t="s">
        <v>807</v>
      </c>
      <c r="F270" s="24" t="s">
        <v>808</v>
      </c>
      <c r="G270" s="24">
        <v>500</v>
      </c>
      <c r="H270" s="24"/>
    </row>
    <row r="271" spans="1:8" ht="14">
      <c r="A271" s="24" t="s">
        <v>809</v>
      </c>
      <c r="B271" s="25" t="s">
        <v>57</v>
      </c>
      <c r="C271" s="24" t="str">
        <f t="shared" si="4"/>
        <v>spb</v>
      </c>
      <c r="D271" s="26" t="s">
        <v>12</v>
      </c>
      <c r="E271" s="24" t="s">
        <v>810</v>
      </c>
      <c r="F271" s="24" t="s">
        <v>811</v>
      </c>
      <c r="G271" s="24">
        <v>500</v>
      </c>
      <c r="H271" s="24"/>
    </row>
    <row r="272" spans="1:8" ht="14">
      <c r="A272" s="24" t="s">
        <v>812</v>
      </c>
      <c r="B272" s="25" t="s">
        <v>57</v>
      </c>
      <c r="C272" s="24" t="str">
        <f t="shared" si="4"/>
        <v>sulfo_emcs</v>
      </c>
      <c r="D272" s="26" t="s">
        <v>12</v>
      </c>
      <c r="E272" s="24" t="s">
        <v>813</v>
      </c>
      <c r="F272" s="24" t="s">
        <v>814</v>
      </c>
      <c r="G272" s="24">
        <v>500</v>
      </c>
      <c r="H272" s="24"/>
    </row>
    <row r="273" spans="1:8" ht="14">
      <c r="A273" s="24" t="s">
        <v>815</v>
      </c>
      <c r="B273" s="25" t="s">
        <v>57</v>
      </c>
      <c r="C273" s="24" t="str">
        <f t="shared" si="4"/>
        <v>sulfo_kmus</v>
      </c>
      <c r="D273" s="26" t="s">
        <v>12</v>
      </c>
      <c r="E273" s="24" t="s">
        <v>816</v>
      </c>
      <c r="F273" s="24" t="s">
        <v>817</v>
      </c>
      <c r="G273" s="24">
        <v>500</v>
      </c>
      <c r="H273" s="24"/>
    </row>
    <row r="274" spans="1:8" ht="14">
      <c r="A274" s="24" t="s">
        <v>818</v>
      </c>
      <c r="B274" s="25" t="s">
        <v>57</v>
      </c>
      <c r="C274" s="24" t="str">
        <f t="shared" si="4"/>
        <v>sulfo_lc_sda</v>
      </c>
      <c r="D274" s="26" t="s">
        <v>12</v>
      </c>
      <c r="E274" s="24" t="s">
        <v>819</v>
      </c>
      <c r="F274" s="24" t="s">
        <v>820</v>
      </c>
      <c r="G274" s="24">
        <v>500</v>
      </c>
      <c r="H274" s="24"/>
    </row>
    <row r="275" spans="1:8" ht="14">
      <c r="A275" s="24" t="s">
        <v>821</v>
      </c>
      <c r="B275" s="25" t="s">
        <v>57</v>
      </c>
      <c r="C275" s="24" t="str">
        <f t="shared" si="4"/>
        <v>sulfo_mbs</v>
      </c>
      <c r="D275" s="26" t="s">
        <v>12</v>
      </c>
      <c r="E275" s="24" t="s">
        <v>822</v>
      </c>
      <c r="F275" s="24" t="s">
        <v>823</v>
      </c>
      <c r="G275" s="24">
        <v>500</v>
      </c>
      <c r="H275" s="24"/>
    </row>
    <row r="276" spans="1:8" ht="14">
      <c r="A276" s="24" t="s">
        <v>824</v>
      </c>
      <c r="B276" s="25" t="s">
        <v>57</v>
      </c>
      <c r="C276" s="24" t="str">
        <f t="shared" si="4"/>
        <v>sulfo_sda</v>
      </c>
      <c r="D276" s="26" t="s">
        <v>12</v>
      </c>
      <c r="E276" s="24" t="s">
        <v>825</v>
      </c>
      <c r="F276" s="24" t="s">
        <v>826</v>
      </c>
      <c r="G276" s="24">
        <v>500</v>
      </c>
      <c r="H276" s="24"/>
    </row>
    <row r="277" spans="1:8" ht="14">
      <c r="A277" s="24" t="s">
        <v>827</v>
      </c>
      <c r="B277" s="25" t="s">
        <v>57</v>
      </c>
      <c r="C277" s="24" t="str">
        <f t="shared" si="4"/>
        <v>sulfo_siab</v>
      </c>
      <c r="D277" s="26" t="s">
        <v>12</v>
      </c>
      <c r="E277" s="24" t="s">
        <v>828</v>
      </c>
      <c r="F277" s="24" t="s">
        <v>829</v>
      </c>
      <c r="G277" s="24">
        <v>500</v>
      </c>
      <c r="H277" s="24"/>
    </row>
    <row r="278" spans="1:8" ht="14">
      <c r="A278" s="24" t="s">
        <v>830</v>
      </c>
      <c r="B278" s="25" t="s">
        <v>57</v>
      </c>
      <c r="C278" s="24" t="str">
        <f t="shared" si="4"/>
        <v>sulfo_smcc</v>
      </c>
      <c r="D278" s="26" t="s">
        <v>12</v>
      </c>
      <c r="E278" s="24" t="s">
        <v>831</v>
      </c>
      <c r="F278" s="24" t="s">
        <v>832</v>
      </c>
      <c r="G278" s="24">
        <v>500</v>
      </c>
      <c r="H278" s="24"/>
    </row>
    <row r="279" spans="1:8" ht="14">
      <c r="A279" s="24" t="s">
        <v>833</v>
      </c>
      <c r="B279" s="25" t="s">
        <v>57</v>
      </c>
      <c r="C279" s="24" t="str">
        <f t="shared" si="4"/>
        <v>sulfo_smpb</v>
      </c>
      <c r="D279" s="26" t="s">
        <v>12</v>
      </c>
      <c r="E279" s="24" t="s">
        <v>834</v>
      </c>
      <c r="F279" s="24" t="s">
        <v>835</v>
      </c>
      <c r="G279" s="24">
        <v>500</v>
      </c>
      <c r="H279" s="24"/>
    </row>
    <row r="280" spans="1:8" ht="14">
      <c r="A280" s="24" t="s">
        <v>836</v>
      </c>
      <c r="B280" s="25" t="s">
        <v>57</v>
      </c>
      <c r="C280" s="24" t="str">
        <f t="shared" si="4"/>
        <v>tbdspp</v>
      </c>
      <c r="D280" s="26" t="s">
        <v>12</v>
      </c>
      <c r="E280" s="24" t="s">
        <v>837</v>
      </c>
      <c r="F280" s="24" t="s">
        <v>838</v>
      </c>
      <c r="G280" s="24">
        <v>500</v>
      </c>
      <c r="H280" s="24"/>
    </row>
    <row r="281" spans="1:8" ht="14">
      <c r="A281" s="24" t="s">
        <v>839</v>
      </c>
      <c r="B281" s="25" t="s">
        <v>57</v>
      </c>
      <c r="C281" s="24" t="str">
        <f t="shared" si="4"/>
        <v>tfpester_peg12_dbco</v>
      </c>
      <c r="D281" s="26" t="s">
        <v>12</v>
      </c>
      <c r="E281" s="24" t="s">
        <v>840</v>
      </c>
      <c r="F281" s="24" t="s">
        <v>841</v>
      </c>
      <c r="G281" s="24">
        <v>500</v>
      </c>
      <c r="H281" s="24"/>
    </row>
    <row r="282" spans="1:8" ht="14">
      <c r="A282" s="24" t="s">
        <v>842</v>
      </c>
      <c r="B282" s="25" t="s">
        <v>57</v>
      </c>
      <c r="C282" s="24" t="str">
        <f t="shared" si="4"/>
        <v>tfpester_peg4_dbco</v>
      </c>
      <c r="D282" s="26" t="s">
        <v>12</v>
      </c>
      <c r="E282" s="24" t="s">
        <v>843</v>
      </c>
      <c r="F282" s="24" t="s">
        <v>844</v>
      </c>
      <c r="G282" s="24">
        <v>500</v>
      </c>
      <c r="H282" s="24"/>
    </row>
    <row r="283" spans="1:8" ht="14">
      <c r="A283" s="24" t="s">
        <v>845</v>
      </c>
      <c r="B283" s="25" t="s">
        <v>57</v>
      </c>
      <c r="C283" s="24" t="str">
        <f t="shared" si="4"/>
        <v>tmea</v>
      </c>
      <c r="D283" s="26" t="s">
        <v>12</v>
      </c>
      <c r="E283" s="24" t="s">
        <v>846</v>
      </c>
      <c r="F283" s="24" t="s">
        <v>847</v>
      </c>
      <c r="G283" s="24">
        <v>500</v>
      </c>
      <c r="H283" s="24"/>
    </row>
    <row r="284" spans="1:8" ht="14">
      <c r="A284" s="24" t="s">
        <v>848</v>
      </c>
      <c r="B284" s="25" t="s">
        <v>57</v>
      </c>
      <c r="C284" s="24" t="str">
        <f t="shared" si="4"/>
        <v>tsat</v>
      </c>
      <c r="D284" s="26" t="s">
        <v>12</v>
      </c>
      <c r="E284" s="24" t="s">
        <v>849</v>
      </c>
      <c r="F284" s="24" t="s">
        <v>850</v>
      </c>
      <c r="G284" s="24">
        <v>500</v>
      </c>
      <c r="H284" s="24"/>
    </row>
    <row r="285" spans="1:8" ht="14">
      <c r="A285" s="24" t="s">
        <v>851</v>
      </c>
      <c r="B285" s="25" t="s">
        <v>59</v>
      </c>
      <c r="C285" s="24" t="str">
        <f t="shared" si="4"/>
        <v>dsp</v>
      </c>
      <c r="D285" s="26" t="s">
        <v>12</v>
      </c>
      <c r="E285" s="24" t="s">
        <v>852</v>
      </c>
      <c r="F285" s="24" t="s">
        <v>853</v>
      </c>
      <c r="G285" s="24">
        <v>500</v>
      </c>
      <c r="H285" s="24"/>
    </row>
    <row r="286" spans="1:8" ht="14">
      <c r="A286" s="24" t="s">
        <v>854</v>
      </c>
      <c r="B286" s="25" t="s">
        <v>59</v>
      </c>
      <c r="C286" s="24" t="str">
        <f t="shared" si="4"/>
        <v>dtbp</v>
      </c>
      <c r="D286" s="26" t="s">
        <v>12</v>
      </c>
      <c r="E286" s="24" t="s">
        <v>855</v>
      </c>
      <c r="F286" s="24" t="s">
        <v>856</v>
      </c>
      <c r="G286" s="24">
        <v>500</v>
      </c>
      <c r="H286" s="24"/>
    </row>
    <row r="287" spans="1:8" ht="14">
      <c r="A287" s="24" t="s">
        <v>857</v>
      </c>
      <c r="B287" s="25" t="s">
        <v>59</v>
      </c>
      <c r="C287" s="24" t="str">
        <f t="shared" si="4"/>
        <v>dtme</v>
      </c>
      <c r="D287" s="26" t="s">
        <v>12</v>
      </c>
      <c r="E287" s="24" t="s">
        <v>858</v>
      </c>
      <c r="F287" s="24" t="s">
        <v>859</v>
      </c>
      <c r="G287" s="24">
        <v>500</v>
      </c>
      <c r="H287" s="24"/>
    </row>
    <row r="288" spans="1:8" ht="14">
      <c r="A288" s="24" t="s">
        <v>860</v>
      </c>
      <c r="B288" s="25" t="s">
        <v>59</v>
      </c>
      <c r="C288" s="24" t="str">
        <f t="shared" si="4"/>
        <v>dtssp</v>
      </c>
      <c r="D288" s="26" t="s">
        <v>12</v>
      </c>
      <c r="E288" s="24" t="s">
        <v>861</v>
      </c>
      <c r="F288" s="24" t="s">
        <v>862</v>
      </c>
      <c r="G288" s="24">
        <v>500</v>
      </c>
      <c r="H288" s="24"/>
    </row>
    <row r="289" spans="1:8" ht="14">
      <c r="A289" s="24" t="s">
        <v>863</v>
      </c>
      <c r="B289" s="25" t="s">
        <v>59</v>
      </c>
      <c r="C289" s="24" t="str">
        <f t="shared" si="4"/>
        <v>lc_spdp</v>
      </c>
      <c r="D289" s="26" t="s">
        <v>12</v>
      </c>
      <c r="E289" s="24" t="s">
        <v>864</v>
      </c>
      <c r="F289" s="24" t="s">
        <v>865</v>
      </c>
      <c r="G289" s="24">
        <v>500</v>
      </c>
      <c r="H289" s="24"/>
    </row>
    <row r="290" spans="1:8" ht="14">
      <c r="A290" s="24" t="s">
        <v>866</v>
      </c>
      <c r="B290" s="25" t="s">
        <v>59</v>
      </c>
      <c r="C290" s="24" t="str">
        <f t="shared" si="4"/>
        <v>pdph</v>
      </c>
      <c r="D290" s="26" t="s">
        <v>12</v>
      </c>
      <c r="E290" s="24" t="s">
        <v>867</v>
      </c>
      <c r="F290" s="24" t="s">
        <v>868</v>
      </c>
      <c r="G290" s="24">
        <v>500</v>
      </c>
      <c r="H290" s="24"/>
    </row>
    <row r="291" spans="1:8" ht="14">
      <c r="A291" s="24" t="s">
        <v>869</v>
      </c>
      <c r="B291" s="25" t="s">
        <v>59</v>
      </c>
      <c r="C291" s="24" t="str">
        <f t="shared" si="4"/>
        <v>peg12_spdp</v>
      </c>
      <c r="D291" s="26" t="s">
        <v>12</v>
      </c>
      <c r="E291" s="24" t="s">
        <v>870</v>
      </c>
      <c r="F291" s="24" t="s">
        <v>871</v>
      </c>
      <c r="G291" s="24">
        <v>500</v>
      </c>
      <c r="H291" s="24"/>
    </row>
    <row r="292" spans="1:8" ht="14">
      <c r="A292" s="24" t="s">
        <v>872</v>
      </c>
      <c r="B292" s="25" t="s">
        <v>59</v>
      </c>
      <c r="C292" s="24" t="str">
        <f t="shared" si="4"/>
        <v>peg4_spdp</v>
      </c>
      <c r="D292" s="26" t="s">
        <v>12</v>
      </c>
      <c r="E292" s="24" t="s">
        <v>873</v>
      </c>
      <c r="F292" s="24" t="s">
        <v>874</v>
      </c>
      <c r="G292" s="24">
        <v>500</v>
      </c>
      <c r="H292" s="24"/>
    </row>
    <row r="293" spans="1:8" ht="14">
      <c r="A293" s="24" t="s">
        <v>875</v>
      </c>
      <c r="B293" s="25" t="s">
        <v>59</v>
      </c>
      <c r="C293" s="24" t="str">
        <f t="shared" si="4"/>
        <v>sdad</v>
      </c>
      <c r="D293" s="26" t="s">
        <v>12</v>
      </c>
      <c r="E293" s="24" t="s">
        <v>876</v>
      </c>
      <c r="F293" s="24" t="s">
        <v>877</v>
      </c>
      <c r="G293" s="24">
        <v>500</v>
      </c>
      <c r="H293" s="24"/>
    </row>
    <row r="294" spans="1:8" ht="14">
      <c r="A294" s="24" t="s">
        <v>878</v>
      </c>
      <c r="B294" s="25" t="s">
        <v>59</v>
      </c>
      <c r="C294" s="24" t="str">
        <f t="shared" si="4"/>
        <v>smcc</v>
      </c>
      <c r="D294" s="26" t="s">
        <v>12</v>
      </c>
      <c r="E294" s="24" t="s">
        <v>879</v>
      </c>
      <c r="F294" s="24" t="s">
        <v>880</v>
      </c>
      <c r="G294" s="24">
        <v>500</v>
      </c>
      <c r="H294" s="24"/>
    </row>
    <row r="295" spans="1:8" ht="14">
      <c r="A295" s="24" t="s">
        <v>881</v>
      </c>
      <c r="B295" s="25" t="s">
        <v>59</v>
      </c>
      <c r="C295" s="24" t="str">
        <f t="shared" si="4"/>
        <v>smpt</v>
      </c>
      <c r="D295" s="26" t="s">
        <v>12</v>
      </c>
      <c r="E295" s="24" t="s">
        <v>882</v>
      </c>
      <c r="F295" s="24" t="s">
        <v>883</v>
      </c>
      <c r="G295" s="24">
        <v>500</v>
      </c>
      <c r="H295" s="24"/>
    </row>
    <row r="296" spans="1:8" ht="14">
      <c r="A296" s="24" t="s">
        <v>884</v>
      </c>
      <c r="B296" s="25" t="s">
        <v>59</v>
      </c>
      <c r="C296" s="24" t="str">
        <f t="shared" si="4"/>
        <v>spdp</v>
      </c>
      <c r="D296" s="26" t="s">
        <v>12</v>
      </c>
      <c r="E296" s="24" t="s">
        <v>885</v>
      </c>
      <c r="F296" s="24" t="s">
        <v>886</v>
      </c>
      <c r="G296" s="24">
        <v>500</v>
      </c>
      <c r="H296" s="24"/>
    </row>
    <row r="297" spans="1:8" ht="14">
      <c r="A297" s="24" t="s">
        <v>887</v>
      </c>
      <c r="B297" s="25" t="s">
        <v>59</v>
      </c>
      <c r="C297" s="24" t="str">
        <f t="shared" si="4"/>
        <v>sulfo_lc_spdp</v>
      </c>
      <c r="D297" s="26" t="s">
        <v>12</v>
      </c>
      <c r="E297" s="24" t="s">
        <v>888</v>
      </c>
      <c r="F297" s="24" t="s">
        <v>889</v>
      </c>
      <c r="G297" s="24">
        <v>500</v>
      </c>
      <c r="H297" s="24"/>
    </row>
    <row r="298" spans="1:8" ht="14">
      <c r="A298" s="24" t="s">
        <v>890</v>
      </c>
      <c r="B298" s="25" t="s">
        <v>59</v>
      </c>
      <c r="C298" s="24" t="str">
        <f t="shared" si="4"/>
        <v>sulfo_sanpah</v>
      </c>
      <c r="D298" s="26" t="s">
        <v>12</v>
      </c>
      <c r="E298" s="24" t="s">
        <v>891</v>
      </c>
      <c r="F298" s="24" t="s">
        <v>892</v>
      </c>
      <c r="G298" s="24">
        <v>500</v>
      </c>
      <c r="H298" s="24"/>
    </row>
    <row r="299" spans="1:8" ht="14">
      <c r="A299" s="24" t="s">
        <v>893</v>
      </c>
      <c r="B299" s="25" t="s">
        <v>59</v>
      </c>
      <c r="C299" s="24" t="str">
        <f t="shared" si="4"/>
        <v>sulfo_sdad</v>
      </c>
      <c r="D299" s="26" t="s">
        <v>12</v>
      </c>
      <c r="E299" s="24" t="s">
        <v>894</v>
      </c>
      <c r="F299" s="24" t="s">
        <v>895</v>
      </c>
      <c r="G299" s="24">
        <v>500</v>
      </c>
      <c r="H299" s="24"/>
    </row>
    <row r="300" spans="1:8" ht="14">
      <c r="A300" s="24" t="s">
        <v>896</v>
      </c>
      <c r="B300" s="25" t="s">
        <v>897</v>
      </c>
      <c r="C300" s="24" t="str">
        <f t="shared" si="4"/>
        <v>database_orf_search</v>
      </c>
      <c r="D300" s="26" t="s">
        <v>12</v>
      </c>
      <c r="E300" s="24" t="s">
        <v>898</v>
      </c>
      <c r="F300" s="24" t="s">
        <v>899</v>
      </c>
      <c r="G300" s="24">
        <v>500</v>
      </c>
      <c r="H300" s="24"/>
    </row>
    <row r="301" spans="1:8" ht="14">
      <c r="A301" s="24" t="s">
        <v>900</v>
      </c>
      <c r="B301" s="25" t="s">
        <v>897</v>
      </c>
      <c r="C301" s="24" t="str">
        <f t="shared" si="4"/>
        <v>database_search</v>
      </c>
      <c r="D301" s="26" t="s">
        <v>12</v>
      </c>
      <c r="E301" s="24" t="s">
        <v>901</v>
      </c>
      <c r="F301" s="24" t="s">
        <v>902</v>
      </c>
      <c r="G301" s="24">
        <v>500</v>
      </c>
      <c r="H301" s="24"/>
    </row>
    <row r="302" spans="1:8" ht="14">
      <c r="A302" s="24" t="s">
        <v>903</v>
      </c>
      <c r="B302" s="25" t="s">
        <v>897</v>
      </c>
      <c r="C302" s="24" t="str">
        <f t="shared" si="4"/>
        <v>de_novo</v>
      </c>
      <c r="D302" s="26" t="s">
        <v>12</v>
      </c>
      <c r="E302" s="24" t="s">
        <v>904</v>
      </c>
      <c r="F302" s="24" t="s">
        <v>904</v>
      </c>
      <c r="G302" s="24">
        <v>500</v>
      </c>
      <c r="H302" s="24"/>
    </row>
    <row r="303" spans="1:8" ht="14">
      <c r="A303" s="24" t="s">
        <v>905</v>
      </c>
      <c r="B303" s="25" t="s">
        <v>4499</v>
      </c>
      <c r="C303" s="24" t="str">
        <f t="shared" si="4"/>
        <v>chaps</v>
      </c>
      <c r="D303" s="26" t="s">
        <v>12</v>
      </c>
      <c r="E303" s="24" t="s">
        <v>906</v>
      </c>
      <c r="F303" s="24" t="s">
        <v>907</v>
      </c>
      <c r="G303" s="24">
        <v>500</v>
      </c>
      <c r="H303" s="24"/>
    </row>
    <row r="304" spans="1:8" ht="14">
      <c r="A304" s="24" t="s">
        <v>908</v>
      </c>
      <c r="B304" s="25" t="s">
        <v>4499</v>
      </c>
      <c r="C304" s="24" t="str">
        <f t="shared" si="4"/>
        <v>dmm</v>
      </c>
      <c r="D304" s="26" t="s">
        <v>12</v>
      </c>
      <c r="E304" s="24" t="s">
        <v>909</v>
      </c>
      <c r="F304" s="24" t="s">
        <v>910</v>
      </c>
      <c r="G304" s="24">
        <v>500</v>
      </c>
      <c r="H304" s="24"/>
    </row>
    <row r="305" spans="1:8" ht="14">
      <c r="A305" s="24" t="s">
        <v>911</v>
      </c>
      <c r="B305" s="25" t="s">
        <v>4499</v>
      </c>
      <c r="C305" s="24" t="str">
        <f t="shared" si="4"/>
        <v>np40</v>
      </c>
      <c r="D305" s="26" t="s">
        <v>12</v>
      </c>
      <c r="E305" s="24" t="s">
        <v>912</v>
      </c>
      <c r="F305" s="24" t="s">
        <v>913</v>
      </c>
      <c r="G305" s="24">
        <v>500</v>
      </c>
      <c r="H305" s="24"/>
    </row>
    <row r="306" spans="1:8" ht="14">
      <c r="A306" s="24" t="s">
        <v>914</v>
      </c>
      <c r="B306" s="25" t="s">
        <v>4499</v>
      </c>
      <c r="C306" s="24" t="str">
        <f t="shared" si="4"/>
        <v>og</v>
      </c>
      <c r="D306" s="26" t="s">
        <v>12</v>
      </c>
      <c r="E306" s="24" t="s">
        <v>915</v>
      </c>
      <c r="F306" s="24" t="s">
        <v>916</v>
      </c>
      <c r="G306" s="24">
        <v>500</v>
      </c>
      <c r="H306" s="24"/>
    </row>
    <row r="307" spans="1:8" ht="14">
      <c r="A307" s="24" t="s">
        <v>917</v>
      </c>
      <c r="B307" s="25" t="s">
        <v>4499</v>
      </c>
      <c r="C307" s="24" t="str">
        <f t="shared" si="4"/>
        <v>otg</v>
      </c>
      <c r="D307" s="26" t="s">
        <v>12</v>
      </c>
      <c r="E307" s="24" t="s">
        <v>918</v>
      </c>
      <c r="F307" s="24" t="s">
        <v>919</v>
      </c>
      <c r="G307" s="24">
        <v>500</v>
      </c>
      <c r="H307" s="24"/>
    </row>
    <row r="308" spans="1:8" ht="14">
      <c r="A308" s="24" t="s">
        <v>920</v>
      </c>
      <c r="B308" s="25" t="s">
        <v>4499</v>
      </c>
      <c r="C308" s="24" t="str">
        <f t="shared" si="4"/>
        <v>sds</v>
      </c>
      <c r="D308" s="26" t="s">
        <v>12</v>
      </c>
      <c r="E308" s="24" t="s">
        <v>921</v>
      </c>
      <c r="F308" s="24" t="s">
        <v>922</v>
      </c>
      <c r="G308" s="24">
        <v>500</v>
      </c>
      <c r="H308" s="24"/>
    </row>
    <row r="309" spans="1:8" ht="14">
      <c r="A309" s="24" t="s">
        <v>923</v>
      </c>
      <c r="B309" s="25" t="s">
        <v>4499</v>
      </c>
      <c r="C309" s="24" t="str">
        <f t="shared" si="4"/>
        <v>tritonx100</v>
      </c>
      <c r="D309" s="26" t="s">
        <v>12</v>
      </c>
      <c r="E309" s="24" t="s">
        <v>924</v>
      </c>
      <c r="F309" s="24" t="s">
        <v>925</v>
      </c>
      <c r="G309" s="24">
        <v>500</v>
      </c>
      <c r="H309" s="24"/>
    </row>
    <row r="310" spans="1:8" ht="14">
      <c r="A310" s="24" t="s">
        <v>926</v>
      </c>
      <c r="B310" s="25" t="s">
        <v>4499</v>
      </c>
      <c r="C310" s="24" t="str">
        <f t="shared" si="4"/>
        <v>tween20</v>
      </c>
      <c r="D310" s="26" t="s">
        <v>12</v>
      </c>
      <c r="E310" s="24" t="s">
        <v>927</v>
      </c>
      <c r="F310" s="24" t="s">
        <v>928</v>
      </c>
      <c r="G310" s="24">
        <v>500</v>
      </c>
      <c r="H310" s="24"/>
    </row>
    <row r="311" spans="1:8" ht="14">
      <c r="A311" s="24" t="s">
        <v>929</v>
      </c>
      <c r="B311" s="25" t="s">
        <v>4499</v>
      </c>
      <c r="C311" s="24" t="str">
        <f t="shared" si="4"/>
        <v>tween80</v>
      </c>
      <c r="D311" s="26" t="s">
        <v>12</v>
      </c>
      <c r="E311" s="24" t="s">
        <v>930</v>
      </c>
      <c r="F311" s="24" t="s">
        <v>931</v>
      </c>
      <c r="G311" s="24">
        <v>500</v>
      </c>
      <c r="H311" s="24"/>
    </row>
    <row r="312" spans="1:8" ht="18">
      <c r="A312" s="24" t="s">
        <v>1244</v>
      </c>
      <c r="B312" s="25" t="s">
        <v>4499</v>
      </c>
      <c r="C312" s="24" t="str">
        <f t="shared" si="4"/>
        <v>urea</v>
      </c>
      <c r="D312" s="26" t="s">
        <v>12</v>
      </c>
      <c r="E312" s="24" t="s">
        <v>4500</v>
      </c>
      <c r="F312" s="44" t="s">
        <v>4501</v>
      </c>
      <c r="G312" s="24">
        <v>500</v>
      </c>
      <c r="H312" s="24"/>
    </row>
    <row r="313" spans="1:8" ht="14">
      <c r="A313" s="24">
        <v>1200</v>
      </c>
      <c r="B313" s="25" t="s">
        <v>66</v>
      </c>
      <c r="C313" s="24">
        <f t="shared" si="4"/>
        <v>1200</v>
      </c>
      <c r="D313" s="26" t="s">
        <v>12</v>
      </c>
      <c r="E313" s="24">
        <v>1200</v>
      </c>
      <c r="F313" s="26" t="s">
        <v>12</v>
      </c>
      <c r="G313" s="24">
        <v>500</v>
      </c>
      <c r="H313" s="24"/>
    </row>
    <row r="314" spans="1:8" ht="14">
      <c r="A314" s="24">
        <v>800</v>
      </c>
      <c r="B314" s="25" t="s">
        <v>66</v>
      </c>
      <c r="C314" s="24">
        <f t="shared" si="4"/>
        <v>800</v>
      </c>
      <c r="D314" s="26" t="s">
        <v>12</v>
      </c>
      <c r="E314" s="24">
        <v>800</v>
      </c>
      <c r="F314" s="26" t="s">
        <v>12</v>
      </c>
      <c r="G314" s="24">
        <v>500</v>
      </c>
      <c r="H314" s="24"/>
    </row>
    <row r="315" spans="1:8" ht="14">
      <c r="A315" s="24">
        <v>400</v>
      </c>
      <c r="B315" s="25" t="s">
        <v>68</v>
      </c>
      <c r="C315" s="24">
        <f t="shared" si="4"/>
        <v>400</v>
      </c>
      <c r="D315" s="26" t="s">
        <v>12</v>
      </c>
      <c r="E315" s="24">
        <v>400</v>
      </c>
      <c r="F315" s="26" t="s">
        <v>12</v>
      </c>
      <c r="G315" s="24">
        <v>500</v>
      </c>
      <c r="H315" s="24"/>
    </row>
    <row r="316" spans="1:8" ht="14">
      <c r="A316" s="24">
        <v>30</v>
      </c>
      <c r="B316" s="25" t="s">
        <v>67</v>
      </c>
      <c r="C316" s="24">
        <f t="shared" si="4"/>
        <v>30</v>
      </c>
      <c r="D316" s="26" t="s">
        <v>12</v>
      </c>
      <c r="E316" s="24">
        <v>30</v>
      </c>
      <c r="F316" s="24" t="s">
        <v>932</v>
      </c>
      <c r="G316" s="24">
        <v>500</v>
      </c>
      <c r="H316" s="24"/>
    </row>
    <row r="317" spans="1:8" ht="14">
      <c r="A317" s="24">
        <v>34</v>
      </c>
      <c r="B317" s="25" t="s">
        <v>67</v>
      </c>
      <c r="C317" s="24">
        <f t="shared" si="4"/>
        <v>34</v>
      </c>
      <c r="D317" s="26" t="s">
        <v>12</v>
      </c>
      <c r="E317" s="24">
        <v>30</v>
      </c>
      <c r="F317" s="24" t="s">
        <v>3050</v>
      </c>
      <c r="G317" s="24">
        <v>500</v>
      </c>
      <c r="H317" s="24"/>
    </row>
    <row r="318" spans="1:8" ht="14">
      <c r="A318" s="24">
        <v>40</v>
      </c>
      <c r="B318" s="25" t="s">
        <v>67</v>
      </c>
      <c r="C318" s="24">
        <f t="shared" si="4"/>
        <v>40</v>
      </c>
      <c r="D318" s="26" t="s">
        <v>12</v>
      </c>
      <c r="E318" s="24">
        <v>40</v>
      </c>
      <c r="F318" s="24" t="s">
        <v>933</v>
      </c>
      <c r="G318" s="24">
        <v>500</v>
      </c>
      <c r="H318" s="24"/>
    </row>
    <row r="319" spans="1:8" ht="14">
      <c r="A319" s="24" t="s">
        <v>934</v>
      </c>
      <c r="B319" s="25" t="s">
        <v>22</v>
      </c>
      <c r="C319" s="24" t="str">
        <f t="shared" si="4"/>
        <v>fasp</v>
      </c>
      <c r="D319" s="26" t="s">
        <v>12</v>
      </c>
      <c r="E319" s="24" t="s">
        <v>935</v>
      </c>
      <c r="F319" s="24" t="s">
        <v>936</v>
      </c>
      <c r="G319" s="24">
        <v>500</v>
      </c>
      <c r="H319" s="24"/>
    </row>
    <row r="320" spans="1:8" ht="14">
      <c r="A320" s="24" t="s">
        <v>937</v>
      </c>
      <c r="B320" s="25" t="s">
        <v>22</v>
      </c>
      <c r="C320" s="24" t="str">
        <f t="shared" ref="C320:C377" si="5">A320</f>
        <v>ingel</v>
      </c>
      <c r="D320" s="26" t="s">
        <v>12</v>
      </c>
      <c r="E320" s="24" t="s">
        <v>938</v>
      </c>
      <c r="F320" s="24" t="s">
        <v>939</v>
      </c>
      <c r="G320" s="24">
        <v>500</v>
      </c>
      <c r="H320" s="24"/>
    </row>
    <row r="321" spans="1:8" ht="14">
      <c r="A321" s="24" t="s">
        <v>940</v>
      </c>
      <c r="B321" s="25" t="s">
        <v>22</v>
      </c>
      <c r="C321" s="24" t="str">
        <f t="shared" si="5"/>
        <v>insol</v>
      </c>
      <c r="D321" s="26" t="s">
        <v>12</v>
      </c>
      <c r="E321" s="24" t="s">
        <v>941</v>
      </c>
      <c r="F321" s="24" t="s">
        <v>942</v>
      </c>
      <c r="G321" s="24">
        <v>500</v>
      </c>
      <c r="H321" s="24"/>
    </row>
    <row r="322" spans="1:8" ht="14">
      <c r="A322" s="24" t="s">
        <v>943</v>
      </c>
      <c r="B322" s="25" t="s">
        <v>22</v>
      </c>
      <c r="C322" s="24" t="str">
        <f t="shared" si="5"/>
        <v>sp3</v>
      </c>
      <c r="D322" s="26" t="s">
        <v>12</v>
      </c>
      <c r="E322" s="24" t="s">
        <v>944</v>
      </c>
      <c r="F322" s="24" t="s">
        <v>945</v>
      </c>
      <c r="G322" s="24">
        <v>500</v>
      </c>
      <c r="H322" s="24"/>
    </row>
    <row r="323" spans="1:8" ht="14">
      <c r="A323" s="24" t="s">
        <v>946</v>
      </c>
      <c r="B323" s="25" t="s">
        <v>70</v>
      </c>
      <c r="C323" s="24" t="str">
        <f t="shared" si="5"/>
        <v>384well_plate</v>
      </c>
      <c r="D323" s="26" t="s">
        <v>12</v>
      </c>
      <c r="E323" s="24" t="s">
        <v>947</v>
      </c>
      <c r="F323" s="24" t="s">
        <v>947</v>
      </c>
      <c r="G323" s="24">
        <v>500</v>
      </c>
      <c r="H323" s="24"/>
    </row>
    <row r="324" spans="1:8" ht="14">
      <c r="A324" s="24" t="s">
        <v>948</v>
      </c>
      <c r="B324" s="25" t="s">
        <v>70</v>
      </c>
      <c r="C324" s="24" t="str">
        <f t="shared" si="5"/>
        <v>96well_plate</v>
      </c>
      <c r="D324" s="26" t="s">
        <v>12</v>
      </c>
      <c r="E324" s="24" t="s">
        <v>949</v>
      </c>
      <c r="F324" s="24" t="s">
        <v>950</v>
      </c>
      <c r="G324" s="24">
        <v>500</v>
      </c>
      <c r="H324" s="24"/>
    </row>
    <row r="325" spans="1:8" ht="14">
      <c r="A325" s="24" t="s">
        <v>951</v>
      </c>
      <c r="B325" s="25" t="s">
        <v>70</v>
      </c>
      <c r="C325" s="24" t="str">
        <f t="shared" si="5"/>
        <v>onefive_ml_tube</v>
      </c>
      <c r="D325" s="26" t="s">
        <v>12</v>
      </c>
      <c r="E325" s="24" t="s">
        <v>952</v>
      </c>
      <c r="F325" s="24" t="s">
        <v>953</v>
      </c>
      <c r="G325" s="24">
        <v>500</v>
      </c>
      <c r="H325" s="24"/>
    </row>
    <row r="326" spans="1:8" ht="14">
      <c r="A326" s="24" t="s">
        <v>954</v>
      </c>
      <c r="B326" s="25" t="s">
        <v>70</v>
      </c>
      <c r="C326" s="24" t="str">
        <f t="shared" si="5"/>
        <v>pcrstripe</v>
      </c>
      <c r="D326" s="26" t="s">
        <v>12</v>
      </c>
      <c r="E326" s="24" t="s">
        <v>955</v>
      </c>
      <c r="F326" s="24" t="s">
        <v>955</v>
      </c>
      <c r="G326" s="24">
        <v>500</v>
      </c>
      <c r="H326" s="24"/>
    </row>
    <row r="327" spans="1:8" ht="14">
      <c r="A327" s="24" t="s">
        <v>956</v>
      </c>
      <c r="B327" s="25" t="s">
        <v>70</v>
      </c>
      <c r="C327" s="24" t="str">
        <f t="shared" si="5"/>
        <v>two_ml_tube</v>
      </c>
      <c r="D327" s="26" t="s">
        <v>12</v>
      </c>
      <c r="E327" s="24" t="s">
        <v>957</v>
      </c>
      <c r="F327" s="24" t="s">
        <v>958</v>
      </c>
      <c r="G327" s="24">
        <v>500</v>
      </c>
      <c r="H327" s="24"/>
    </row>
    <row r="328" spans="1:8" ht="14">
      <c r="A328" s="24" t="s">
        <v>959</v>
      </c>
      <c r="B328" s="25" t="s">
        <v>72</v>
      </c>
      <c r="C328" s="24" t="str">
        <f t="shared" si="5"/>
        <v>als</v>
      </c>
      <c r="D328" s="24" t="s">
        <v>959</v>
      </c>
      <c r="E328" s="24" t="s">
        <v>960</v>
      </c>
      <c r="F328" s="24" t="s">
        <v>961</v>
      </c>
      <c r="G328" s="24">
        <v>500</v>
      </c>
      <c r="H328" s="24"/>
    </row>
    <row r="329" spans="1:8" ht="14">
      <c r="A329" s="24" t="s">
        <v>962</v>
      </c>
      <c r="B329" s="25" t="s">
        <v>72</v>
      </c>
      <c r="C329" s="24" t="str">
        <f t="shared" si="5"/>
        <v>alzheimer</v>
      </c>
      <c r="D329" s="24" t="s">
        <v>962</v>
      </c>
      <c r="E329" s="24" t="s">
        <v>963</v>
      </c>
      <c r="F329" s="24" t="s">
        <v>964</v>
      </c>
      <c r="G329" s="24">
        <v>500</v>
      </c>
      <c r="H329" s="24"/>
    </row>
    <row r="330" spans="1:8" ht="14">
      <c r="A330" s="24" t="s">
        <v>965</v>
      </c>
      <c r="B330" s="25" t="s">
        <v>72</v>
      </c>
      <c r="C330" s="24" t="str">
        <f t="shared" si="5"/>
        <v>autoimmune</v>
      </c>
      <c r="D330" s="24" t="s">
        <v>965</v>
      </c>
      <c r="E330" s="24" t="s">
        <v>966</v>
      </c>
      <c r="F330" s="24" t="s">
        <v>967</v>
      </c>
      <c r="G330" s="24">
        <v>500</v>
      </c>
      <c r="H330" s="24"/>
    </row>
    <row r="331" spans="1:8" ht="14">
      <c r="A331" s="24" t="s">
        <v>968</v>
      </c>
      <c r="B331" s="25" t="s">
        <v>72</v>
      </c>
      <c r="C331" s="24" t="str">
        <f t="shared" si="5"/>
        <v>cancer</v>
      </c>
      <c r="D331" s="24" t="s">
        <v>968</v>
      </c>
      <c r="E331" s="24" t="s">
        <v>969</v>
      </c>
      <c r="F331" s="24" t="s">
        <v>970</v>
      </c>
      <c r="G331" s="24">
        <v>500</v>
      </c>
      <c r="H331" s="24"/>
    </row>
    <row r="332" spans="1:8" ht="14">
      <c r="A332" s="24" t="s">
        <v>971</v>
      </c>
      <c r="B332" s="25" t="s">
        <v>72</v>
      </c>
      <c r="C332" s="24" t="str">
        <f t="shared" si="5"/>
        <v>cardiovascular_diseases</v>
      </c>
      <c r="D332" s="24" t="s">
        <v>972</v>
      </c>
      <c r="E332" s="24" t="s">
        <v>973</v>
      </c>
      <c r="F332" s="24" t="s">
        <v>974</v>
      </c>
      <c r="G332" s="24">
        <v>500</v>
      </c>
      <c r="H332" s="24"/>
    </row>
    <row r="333" spans="1:8" ht="14">
      <c r="A333" s="24" t="s">
        <v>975</v>
      </c>
      <c r="B333" s="25" t="s">
        <v>72</v>
      </c>
      <c r="C333" s="24" t="str">
        <f t="shared" si="5"/>
        <v>chronic_inflammation</v>
      </c>
      <c r="D333" s="24" t="s">
        <v>976</v>
      </c>
      <c r="E333" s="24" t="s">
        <v>977</v>
      </c>
      <c r="F333" s="24" t="s">
        <v>978</v>
      </c>
      <c r="G333" s="24">
        <v>500</v>
      </c>
      <c r="H333" s="24"/>
    </row>
    <row r="334" spans="1:8" ht="14">
      <c r="A334" s="24" t="s">
        <v>979</v>
      </c>
      <c r="B334" s="25" t="s">
        <v>72</v>
      </c>
      <c r="C334" s="24" t="str">
        <f t="shared" si="5"/>
        <v>coeliac</v>
      </c>
      <c r="D334" s="24" t="s">
        <v>979</v>
      </c>
      <c r="E334" s="24" t="s">
        <v>980</v>
      </c>
      <c r="F334" s="24" t="s">
        <v>981</v>
      </c>
      <c r="G334" s="24">
        <v>500</v>
      </c>
      <c r="H334" s="24"/>
    </row>
    <row r="335" spans="1:8" ht="14">
      <c r="A335" s="24" t="s">
        <v>982</v>
      </c>
      <c r="B335" s="25" t="s">
        <v>72</v>
      </c>
      <c r="C335" s="24" t="str">
        <f t="shared" si="5"/>
        <v>covid19</v>
      </c>
      <c r="D335" s="24" t="s">
        <v>982</v>
      </c>
      <c r="E335" s="24" t="s">
        <v>983</v>
      </c>
      <c r="F335" s="24" t="s">
        <v>984</v>
      </c>
      <c r="G335" s="24">
        <v>500</v>
      </c>
      <c r="H335" s="24"/>
    </row>
    <row r="336" spans="1:8" ht="14">
      <c r="A336" s="24" t="s">
        <v>985</v>
      </c>
      <c r="B336" s="25" t="s">
        <v>72</v>
      </c>
      <c r="C336" s="24" t="str">
        <f t="shared" si="5"/>
        <v>dementia</v>
      </c>
      <c r="D336" s="24" t="s">
        <v>985</v>
      </c>
      <c r="E336" s="24" t="s">
        <v>986</v>
      </c>
      <c r="F336" s="24" t="s">
        <v>986</v>
      </c>
      <c r="G336" s="24">
        <v>500</v>
      </c>
      <c r="H336" s="24"/>
    </row>
    <row r="337" spans="1:8" ht="14">
      <c r="A337" s="24" t="s">
        <v>987</v>
      </c>
      <c r="B337" s="25" t="s">
        <v>72</v>
      </c>
      <c r="C337" s="24" t="str">
        <f t="shared" si="5"/>
        <v>demyelinating</v>
      </c>
      <c r="D337" s="24" t="s">
        <v>987</v>
      </c>
      <c r="E337" s="24" t="s">
        <v>988</v>
      </c>
      <c r="F337" s="24" t="s">
        <v>989</v>
      </c>
      <c r="G337" s="24">
        <v>500</v>
      </c>
      <c r="H337" s="24"/>
    </row>
    <row r="338" spans="1:8" ht="14">
      <c r="A338" s="24" t="s">
        <v>990</v>
      </c>
      <c r="B338" s="25" t="s">
        <v>72</v>
      </c>
      <c r="C338" s="24" t="str">
        <f t="shared" si="5"/>
        <v>diabetes</v>
      </c>
      <c r="D338" s="24" t="s">
        <v>990</v>
      </c>
      <c r="E338" s="24" t="s">
        <v>991</v>
      </c>
      <c r="F338" s="24" t="s">
        <v>991</v>
      </c>
      <c r="G338" s="24">
        <v>500</v>
      </c>
      <c r="H338" s="24"/>
    </row>
    <row r="339" spans="1:8" ht="14">
      <c r="A339" s="24" t="s">
        <v>992</v>
      </c>
      <c r="B339" s="25" t="s">
        <v>72</v>
      </c>
      <c r="C339" s="24" t="str">
        <f t="shared" si="5"/>
        <v>glioblastoma</v>
      </c>
      <c r="D339" s="24" t="s">
        <v>992</v>
      </c>
      <c r="E339" s="24" t="s">
        <v>993</v>
      </c>
      <c r="F339" s="24" t="s">
        <v>994</v>
      </c>
      <c r="G339" s="24">
        <v>500</v>
      </c>
      <c r="H339" s="24"/>
    </row>
    <row r="340" spans="1:8" ht="14">
      <c r="A340" s="24" t="s">
        <v>995</v>
      </c>
      <c r="B340" s="25" t="s">
        <v>72</v>
      </c>
      <c r="C340" s="24" t="str">
        <f t="shared" si="5"/>
        <v>hiv</v>
      </c>
      <c r="D340" s="24" t="s">
        <v>995</v>
      </c>
      <c r="E340" s="24" t="s">
        <v>996</v>
      </c>
      <c r="F340" s="24" t="s">
        <v>997</v>
      </c>
      <c r="G340" s="24">
        <v>500</v>
      </c>
      <c r="H340" s="24"/>
    </row>
    <row r="341" spans="1:8" ht="14">
      <c r="A341" s="24" t="s">
        <v>998</v>
      </c>
      <c r="B341" s="25" t="s">
        <v>72</v>
      </c>
      <c r="C341" s="24" t="str">
        <f t="shared" si="5"/>
        <v>huntington</v>
      </c>
      <c r="D341" s="24" t="s">
        <v>998</v>
      </c>
      <c r="E341" s="24" t="s">
        <v>999</v>
      </c>
      <c r="F341" s="24" t="s">
        <v>1000</v>
      </c>
      <c r="G341" s="24">
        <v>500</v>
      </c>
      <c r="H341" s="24"/>
    </row>
    <row r="342" spans="1:8" ht="14">
      <c r="A342" s="24" t="s">
        <v>1001</v>
      </c>
      <c r="B342" s="25" t="s">
        <v>72</v>
      </c>
      <c r="C342" s="24" t="str">
        <f t="shared" si="5"/>
        <v>ibd</v>
      </c>
      <c r="D342" s="24" t="s">
        <v>1001</v>
      </c>
      <c r="E342" s="24" t="s">
        <v>1002</v>
      </c>
      <c r="F342" s="24" t="s">
        <v>1003</v>
      </c>
      <c r="G342" s="24">
        <v>500</v>
      </c>
      <c r="H342" s="24"/>
    </row>
    <row r="343" spans="1:8" ht="14">
      <c r="A343" s="24" t="s">
        <v>1004</v>
      </c>
      <c r="B343" s="25" t="s">
        <v>72</v>
      </c>
      <c r="C343" s="24" t="str">
        <f t="shared" si="5"/>
        <v>infection</v>
      </c>
      <c r="D343" s="24" t="s">
        <v>1004</v>
      </c>
      <c r="E343" s="24" t="s">
        <v>1005</v>
      </c>
      <c r="F343" s="24" t="s">
        <v>1006</v>
      </c>
      <c r="G343" s="24">
        <v>500</v>
      </c>
      <c r="H343" s="24"/>
    </row>
    <row r="344" spans="1:8" ht="14">
      <c r="A344" s="24" t="s">
        <v>1007</v>
      </c>
      <c r="B344" s="25" t="s">
        <v>72</v>
      </c>
      <c r="C344" s="24" t="str">
        <f t="shared" si="5"/>
        <v>influenza</v>
      </c>
      <c r="D344" s="24" t="s">
        <v>1007</v>
      </c>
      <c r="E344" s="24" t="s">
        <v>1008</v>
      </c>
      <c r="F344" s="24" t="s">
        <v>1009</v>
      </c>
      <c r="G344" s="24">
        <v>500</v>
      </c>
      <c r="H344" s="24"/>
    </row>
    <row r="345" spans="1:8" ht="14">
      <c r="A345" s="24" t="s">
        <v>1010</v>
      </c>
      <c r="B345" s="25" t="s">
        <v>72</v>
      </c>
      <c r="C345" s="24" t="str">
        <f t="shared" si="5"/>
        <v>leukemia</v>
      </c>
      <c r="D345" s="24" t="s">
        <v>1010</v>
      </c>
      <c r="E345" s="24" t="s">
        <v>552</v>
      </c>
      <c r="F345" s="24" t="s">
        <v>1011</v>
      </c>
      <c r="G345" s="24">
        <v>500</v>
      </c>
      <c r="H345" s="24"/>
    </row>
    <row r="346" spans="1:8" ht="14">
      <c r="A346" s="24" t="s">
        <v>1012</v>
      </c>
      <c r="B346" s="25" t="s">
        <v>72</v>
      </c>
      <c r="C346" s="24" t="str">
        <f t="shared" si="5"/>
        <v>lymphoma</v>
      </c>
      <c r="D346" s="24" t="s">
        <v>1012</v>
      </c>
      <c r="E346" s="24" t="s">
        <v>1013</v>
      </c>
      <c r="F346" s="24" t="s">
        <v>1014</v>
      </c>
      <c r="G346" s="24">
        <v>500</v>
      </c>
      <c r="H346" s="24"/>
    </row>
    <row r="347" spans="1:8" ht="14">
      <c r="A347" s="24" t="s">
        <v>1015</v>
      </c>
      <c r="B347" s="25" t="s">
        <v>72</v>
      </c>
      <c r="C347" s="24" t="str">
        <f t="shared" si="5"/>
        <v>malaria</v>
      </c>
      <c r="D347" s="24" t="s">
        <v>1015</v>
      </c>
      <c r="E347" s="24" t="s">
        <v>1016</v>
      </c>
      <c r="F347" s="24" t="s">
        <v>1017</v>
      </c>
      <c r="G347" s="24">
        <v>500</v>
      </c>
      <c r="H347" s="24"/>
    </row>
    <row r="348" spans="1:8" ht="14">
      <c r="A348" s="24" t="s">
        <v>20</v>
      </c>
      <c r="B348" s="25" t="s">
        <v>72</v>
      </c>
      <c r="C348" s="24" t="str">
        <f t="shared" si="5"/>
        <v>ms</v>
      </c>
      <c r="D348" s="24" t="s">
        <v>20</v>
      </c>
      <c r="E348" s="24" t="s">
        <v>1018</v>
      </c>
      <c r="F348" s="24" t="s">
        <v>1019</v>
      </c>
      <c r="G348" s="24">
        <v>500</v>
      </c>
      <c r="H348" s="24"/>
    </row>
    <row r="349" spans="1:8" ht="14">
      <c r="A349" s="24" t="s">
        <v>1020</v>
      </c>
      <c r="B349" s="25" t="s">
        <v>72</v>
      </c>
      <c r="C349" s="24" t="str">
        <f t="shared" si="5"/>
        <v>msa</v>
      </c>
      <c r="D349" s="24" t="s">
        <v>1020</v>
      </c>
      <c r="E349" s="24" t="s">
        <v>1021</v>
      </c>
      <c r="F349" s="24" t="s">
        <v>1022</v>
      </c>
      <c r="G349" s="24">
        <v>500</v>
      </c>
      <c r="H349" s="24"/>
    </row>
    <row r="350" spans="1:8" ht="14">
      <c r="A350" s="24" t="s">
        <v>1023</v>
      </c>
      <c r="B350" s="25" t="s">
        <v>72</v>
      </c>
      <c r="C350" s="24" t="str">
        <f t="shared" si="5"/>
        <v>neurodegenerative</v>
      </c>
      <c r="D350" s="24" t="s">
        <v>1023</v>
      </c>
      <c r="E350" s="24" t="s">
        <v>1024</v>
      </c>
      <c r="F350" s="24" t="s">
        <v>1025</v>
      </c>
      <c r="G350" s="24">
        <v>500</v>
      </c>
      <c r="H350" s="24"/>
    </row>
    <row r="351" spans="1:8" ht="14">
      <c r="A351" s="24" t="s">
        <v>1026</v>
      </c>
      <c r="B351" s="25" t="s">
        <v>72</v>
      </c>
      <c r="C351" s="24" t="str">
        <f t="shared" si="5"/>
        <v>parkinson</v>
      </c>
      <c r="D351" s="24" t="s">
        <v>1026</v>
      </c>
      <c r="E351" s="24" t="s">
        <v>1027</v>
      </c>
      <c r="F351" s="24" t="s">
        <v>1028</v>
      </c>
      <c r="G351" s="24">
        <v>500</v>
      </c>
      <c r="H351" s="24"/>
    </row>
    <row r="352" spans="1:8" ht="14">
      <c r="A352" s="24" t="s">
        <v>1029</v>
      </c>
      <c r="B352" s="25" t="s">
        <v>72</v>
      </c>
      <c r="C352" s="24" t="str">
        <f t="shared" si="5"/>
        <v>prion</v>
      </c>
      <c r="D352" s="24" t="s">
        <v>1029</v>
      </c>
      <c r="E352" s="24" t="s">
        <v>1030</v>
      </c>
      <c r="F352" s="24" t="s">
        <v>1031</v>
      </c>
      <c r="G352" s="24">
        <v>500</v>
      </c>
      <c r="H352" s="24"/>
    </row>
    <row r="353" spans="1:8" ht="14">
      <c r="A353" s="24" t="s">
        <v>1032</v>
      </c>
      <c r="B353" s="25" t="s">
        <v>72</v>
      </c>
      <c r="C353" s="24" t="str">
        <f t="shared" si="5"/>
        <v>rheumatoid</v>
      </c>
      <c r="D353" s="24" t="s">
        <v>1032</v>
      </c>
      <c r="E353" s="24" t="s">
        <v>1033</v>
      </c>
      <c r="F353" s="24" t="s">
        <v>1034</v>
      </c>
      <c r="G353" s="24">
        <v>500</v>
      </c>
      <c r="H353" s="24"/>
    </row>
    <row r="354" spans="1:8" ht="14">
      <c r="A354" s="24" t="s">
        <v>1035</v>
      </c>
      <c r="B354" s="25" t="s">
        <v>72</v>
      </c>
      <c r="C354" s="24" t="str">
        <f t="shared" si="5"/>
        <v>stress</v>
      </c>
      <c r="D354" s="24" t="s">
        <v>1035</v>
      </c>
      <c r="E354" s="24" t="s">
        <v>1036</v>
      </c>
      <c r="F354" s="24" t="s">
        <v>1037</v>
      </c>
      <c r="G354" s="24">
        <v>500</v>
      </c>
      <c r="H354" s="24"/>
    </row>
    <row r="355" spans="1:8" ht="14">
      <c r="A355" s="24" t="s">
        <v>1038</v>
      </c>
      <c r="B355" s="25" t="s">
        <v>72</v>
      </c>
      <c r="C355" s="24" t="str">
        <f t="shared" si="5"/>
        <v>stroke</v>
      </c>
      <c r="D355" s="24" t="s">
        <v>1038</v>
      </c>
      <c r="E355" s="24" t="s">
        <v>1039</v>
      </c>
      <c r="F355" s="24" t="s">
        <v>1040</v>
      </c>
      <c r="G355" s="24">
        <v>500</v>
      </c>
      <c r="H355" s="24"/>
    </row>
    <row r="356" spans="1:8" ht="14">
      <c r="A356" s="24" t="s">
        <v>1041</v>
      </c>
      <c r="B356" s="25" t="s">
        <v>72</v>
      </c>
      <c r="C356" s="24" t="str">
        <f t="shared" si="5"/>
        <v>tuberculosis</v>
      </c>
      <c r="D356" s="24" t="s">
        <v>1041</v>
      </c>
      <c r="E356" s="24" t="s">
        <v>1042</v>
      </c>
      <c r="F356" s="24" t="s">
        <v>1043</v>
      </c>
      <c r="G356" s="24">
        <v>500</v>
      </c>
      <c r="H356" s="24"/>
    </row>
    <row r="357" spans="1:8" ht="14">
      <c r="A357" s="24" t="s">
        <v>1044</v>
      </c>
      <c r="B357" s="25" t="s">
        <v>74</v>
      </c>
      <c r="C357" s="24" t="str">
        <f t="shared" si="5"/>
        <v>hypoxia</v>
      </c>
      <c r="D357" s="24" t="s">
        <v>1044</v>
      </c>
      <c r="E357" s="24" t="s">
        <v>1045</v>
      </c>
      <c r="F357" s="24" t="s">
        <v>1046</v>
      </c>
      <c r="G357" s="24">
        <v>500</v>
      </c>
      <c r="H357" s="24"/>
    </row>
    <row r="358" spans="1:8" ht="14">
      <c r="A358" s="24" t="s">
        <v>1047</v>
      </c>
      <c r="B358" s="25" t="s">
        <v>74</v>
      </c>
      <c r="C358" s="24" t="str">
        <f t="shared" si="5"/>
        <v>normoxia</v>
      </c>
      <c r="D358" s="24" t="s">
        <v>1047</v>
      </c>
      <c r="E358" s="24" t="s">
        <v>1048</v>
      </c>
      <c r="F358" s="24" t="s">
        <v>1049</v>
      </c>
      <c r="G358" s="24">
        <v>500</v>
      </c>
      <c r="H358" s="24"/>
    </row>
    <row r="359" spans="1:8" ht="14">
      <c r="A359" s="24" t="s">
        <v>1050</v>
      </c>
      <c r="B359" s="25" t="s">
        <v>76</v>
      </c>
      <c r="C359" s="24" t="str">
        <f t="shared" si="5"/>
        <v>acetylome</v>
      </c>
      <c r="D359" s="24" t="s">
        <v>1050</v>
      </c>
      <c r="E359" s="24" t="s">
        <v>1051</v>
      </c>
      <c r="F359" s="24" t="s">
        <v>1051</v>
      </c>
      <c r="G359" s="24">
        <v>500</v>
      </c>
      <c r="H359" s="24"/>
    </row>
    <row r="360" spans="1:8" ht="14">
      <c r="A360" s="24" t="s">
        <v>1052</v>
      </c>
      <c r="B360" s="25" t="s">
        <v>76</v>
      </c>
      <c r="C360" s="24" t="str">
        <f t="shared" si="5"/>
        <v>dvp</v>
      </c>
      <c r="D360" s="24" t="s">
        <v>1052</v>
      </c>
      <c r="E360" s="24" t="s">
        <v>1053</v>
      </c>
      <c r="F360" s="24" t="s">
        <v>1054</v>
      </c>
      <c r="G360" s="24">
        <v>500</v>
      </c>
      <c r="H360" s="24"/>
    </row>
    <row r="361" spans="1:8" ht="14">
      <c r="A361" s="24" t="s">
        <v>1055</v>
      </c>
      <c r="B361" s="25" t="s">
        <v>76</v>
      </c>
      <c r="C361" s="24" t="str">
        <f t="shared" si="5"/>
        <v>expression_proteome</v>
      </c>
      <c r="D361" s="24" t="s">
        <v>1056</v>
      </c>
      <c r="E361" s="24" t="s">
        <v>1057</v>
      </c>
      <c r="F361" s="24" t="s">
        <v>4044</v>
      </c>
      <c r="G361" s="24">
        <v>800</v>
      </c>
      <c r="H361" s="24"/>
    </row>
    <row r="362" spans="1:8" ht="14">
      <c r="A362" s="24" t="s">
        <v>4046</v>
      </c>
      <c r="B362" s="25" t="s">
        <v>76</v>
      </c>
      <c r="C362" s="24" t="str">
        <f t="shared" si="5"/>
        <v>microscoop</v>
      </c>
      <c r="D362" s="24" t="s">
        <v>4046</v>
      </c>
      <c r="E362" s="24" t="s">
        <v>4047</v>
      </c>
      <c r="F362" s="24" t="s">
        <v>4048</v>
      </c>
      <c r="G362" s="24">
        <v>500</v>
      </c>
      <c r="H362" s="24"/>
    </row>
    <row r="363" spans="1:8" ht="14">
      <c r="A363" s="24" t="s">
        <v>3045</v>
      </c>
      <c r="B363" s="25" t="s">
        <v>76</v>
      </c>
      <c r="C363" s="24" t="str">
        <f t="shared" si="5"/>
        <v>proximity</v>
      </c>
      <c r="D363" s="24" t="s">
        <v>3046</v>
      </c>
      <c r="E363" s="24" t="s">
        <v>3047</v>
      </c>
      <c r="F363" s="24" t="s">
        <v>3048</v>
      </c>
      <c r="G363" s="24">
        <v>500</v>
      </c>
      <c r="H363" s="24"/>
    </row>
    <row r="364" spans="1:8" ht="14">
      <c r="A364" s="24" t="s">
        <v>1058</v>
      </c>
      <c r="B364" s="25" t="s">
        <v>76</v>
      </c>
      <c r="C364" s="24" t="str">
        <f t="shared" si="5"/>
        <v>interaction</v>
      </c>
      <c r="D364" s="24" t="s">
        <v>1058</v>
      </c>
      <c r="E364" s="24" t="s">
        <v>4590</v>
      </c>
      <c r="F364" s="24" t="s">
        <v>4591</v>
      </c>
      <c r="G364" s="24">
        <v>500</v>
      </c>
      <c r="H364" s="24"/>
    </row>
    <row r="365" spans="1:8" ht="14">
      <c r="A365" s="24" t="s">
        <v>4592</v>
      </c>
      <c r="B365" s="25" t="s">
        <v>76</v>
      </c>
      <c r="C365" s="24" t="str">
        <f t="shared" ref="C365" si="6">A365</f>
        <v>xl</v>
      </c>
      <c r="D365" s="24" t="s">
        <v>4593</v>
      </c>
      <c r="E365" s="24" t="s">
        <v>4594</v>
      </c>
      <c r="F365" s="24" t="s">
        <v>4595</v>
      </c>
      <c r="G365" s="24">
        <v>500</v>
      </c>
      <c r="H365" s="24"/>
    </row>
    <row r="366" spans="1:8" ht="14">
      <c r="A366" s="24" t="s">
        <v>1060</v>
      </c>
      <c r="B366" s="25" t="s">
        <v>76</v>
      </c>
      <c r="C366" s="24" t="str">
        <f t="shared" si="5"/>
        <v>metrs</v>
      </c>
      <c r="D366" s="24" t="s">
        <v>1060</v>
      </c>
      <c r="E366" s="24" t="s">
        <v>1061</v>
      </c>
      <c r="F366" s="24" t="s">
        <v>4596</v>
      </c>
      <c r="G366" s="24">
        <v>500</v>
      </c>
      <c r="H366" s="24"/>
    </row>
    <row r="367" spans="1:8" ht="14">
      <c r="A367" s="24" t="s">
        <v>1062</v>
      </c>
      <c r="B367" s="25" t="s">
        <v>76</v>
      </c>
      <c r="C367" s="24" t="str">
        <f t="shared" si="5"/>
        <v>neo_nterm_enrichment</v>
      </c>
      <c r="D367" s="24" t="s">
        <v>1063</v>
      </c>
      <c r="E367" s="24" t="s">
        <v>1064</v>
      </c>
      <c r="F367" s="24" t="s">
        <v>1064</v>
      </c>
      <c r="G367" s="24">
        <v>500</v>
      </c>
      <c r="H367" s="24"/>
    </row>
    <row r="368" spans="1:8" ht="14">
      <c r="A368" s="24" t="s">
        <v>1065</v>
      </c>
      <c r="B368" s="25" t="s">
        <v>76</v>
      </c>
      <c r="C368" s="24" t="str">
        <f t="shared" si="5"/>
        <v>oxinome</v>
      </c>
      <c r="D368" s="24" t="s">
        <v>1065</v>
      </c>
      <c r="E368" s="24" t="s">
        <v>1066</v>
      </c>
      <c r="F368" s="24" t="s">
        <v>1066</v>
      </c>
      <c r="G368" s="24">
        <v>500</v>
      </c>
      <c r="H368" s="24"/>
    </row>
    <row r="369" spans="1:8" ht="14">
      <c r="A369" s="24" t="s">
        <v>1067</v>
      </c>
      <c r="B369" s="25" t="s">
        <v>76</v>
      </c>
      <c r="C369" s="24" t="str">
        <f t="shared" si="5"/>
        <v>phosphoproteome</v>
      </c>
      <c r="D369" s="24" t="s">
        <v>1067</v>
      </c>
      <c r="E369" s="24" t="s">
        <v>1068</v>
      </c>
      <c r="F369" s="24" t="s">
        <v>1068</v>
      </c>
      <c r="G369" s="24">
        <v>500</v>
      </c>
      <c r="H369" s="24"/>
    </row>
    <row r="370" spans="1:8" ht="14">
      <c r="A370" s="24" t="s">
        <v>1069</v>
      </c>
      <c r="B370" s="25" t="s">
        <v>76</v>
      </c>
      <c r="C370" s="24" t="str">
        <f t="shared" si="5"/>
        <v>pulse_silac</v>
      </c>
      <c r="D370" s="24" t="s">
        <v>1069</v>
      </c>
      <c r="E370" s="24" t="s">
        <v>1070</v>
      </c>
      <c r="F370" s="24" t="s">
        <v>1070</v>
      </c>
      <c r="G370" s="24">
        <v>500</v>
      </c>
      <c r="H370" s="24"/>
    </row>
    <row r="371" spans="1:8" ht="14">
      <c r="A371" s="24" t="s">
        <v>1071</v>
      </c>
      <c r="B371" s="25" t="s">
        <v>76</v>
      </c>
      <c r="C371" s="24" t="str">
        <f t="shared" si="5"/>
        <v>secretome</v>
      </c>
      <c r="D371" s="24" t="s">
        <v>1071</v>
      </c>
      <c r="E371" s="24" t="s">
        <v>1072</v>
      </c>
      <c r="F371" s="24" t="s">
        <v>1072</v>
      </c>
      <c r="G371" s="24">
        <v>500</v>
      </c>
      <c r="H371" s="24"/>
    </row>
    <row r="372" spans="1:8" ht="14">
      <c r="A372" s="24" t="s">
        <v>1073</v>
      </c>
      <c r="B372" s="25" t="s">
        <v>76</v>
      </c>
      <c r="C372" s="24" t="str">
        <f t="shared" si="5"/>
        <v>spatial</v>
      </c>
      <c r="D372" s="24" t="s">
        <v>1073</v>
      </c>
      <c r="E372" s="24" t="s">
        <v>1074</v>
      </c>
      <c r="F372" s="24" t="s">
        <v>1074</v>
      </c>
      <c r="G372" s="24">
        <v>500</v>
      </c>
      <c r="H372" s="24"/>
    </row>
    <row r="373" spans="1:8" ht="14">
      <c r="A373" s="24" t="s">
        <v>1075</v>
      </c>
      <c r="B373" s="25" t="s">
        <v>76</v>
      </c>
      <c r="C373" s="24" t="str">
        <f t="shared" si="5"/>
        <v>ubiquitinome</v>
      </c>
      <c r="D373" s="24" t="s">
        <v>1075</v>
      </c>
      <c r="E373" s="24" t="s">
        <v>1076</v>
      </c>
      <c r="F373" s="24" t="s">
        <v>1076</v>
      </c>
      <c r="G373" s="24">
        <v>500</v>
      </c>
      <c r="H373" s="24"/>
    </row>
    <row r="374" spans="1:8" ht="14">
      <c r="A374" s="24" t="s">
        <v>3032</v>
      </c>
      <c r="B374" s="25" t="s">
        <v>76</v>
      </c>
      <c r="C374" s="24" t="str">
        <f t="shared" si="5"/>
        <v>solub</v>
      </c>
      <c r="D374" s="24" t="s">
        <v>3033</v>
      </c>
      <c r="E374" s="24" t="s">
        <v>3034</v>
      </c>
      <c r="F374" s="24" t="s">
        <v>3035</v>
      </c>
      <c r="G374" s="24">
        <v>500</v>
      </c>
      <c r="H374" s="24"/>
    </row>
    <row r="375" spans="1:8" ht="14">
      <c r="A375" s="24" t="s">
        <v>3120</v>
      </c>
      <c r="B375" s="25" t="s">
        <v>76</v>
      </c>
      <c r="C375" s="24" t="str">
        <f t="shared" si="5"/>
        <v>pisa</v>
      </c>
      <c r="D375" s="24" t="s">
        <v>3121</v>
      </c>
      <c r="E375" s="24" t="s">
        <v>3122</v>
      </c>
      <c r="F375" s="24" t="s">
        <v>3123</v>
      </c>
      <c r="G375" s="24">
        <v>700</v>
      </c>
      <c r="H375" s="24"/>
    </row>
    <row r="376" spans="1:8" ht="14">
      <c r="A376" s="24" t="s">
        <v>4586</v>
      </c>
      <c r="B376" s="25" t="s">
        <v>76</v>
      </c>
      <c r="C376" s="24" t="str">
        <f t="shared" si="5"/>
        <v>pelsa</v>
      </c>
      <c r="D376" s="24" t="s">
        <v>4587</v>
      </c>
      <c r="E376" s="24" t="s">
        <v>4588</v>
      </c>
      <c r="F376" s="24" t="s">
        <v>4589</v>
      </c>
      <c r="G376" s="24">
        <v>680</v>
      </c>
      <c r="H376" s="24"/>
    </row>
    <row r="377" spans="1:8" ht="14">
      <c r="A377" s="24" t="s">
        <v>4664</v>
      </c>
      <c r="B377" s="25" t="s">
        <v>76</v>
      </c>
      <c r="C377" s="24" t="str">
        <f t="shared" si="5"/>
        <v>comp</v>
      </c>
      <c r="D377" s="24" t="s">
        <v>4665</v>
      </c>
      <c r="E377" s="24" t="s">
        <v>4662</v>
      </c>
      <c r="F377" s="24" t="s">
        <v>4663</v>
      </c>
      <c r="G377" s="24">
        <v>500</v>
      </c>
      <c r="H377" s="24"/>
    </row>
    <row r="378" spans="1:8" ht="14">
      <c r="A378" s="24" t="s">
        <v>3126</v>
      </c>
      <c r="B378" s="25" t="s">
        <v>3124</v>
      </c>
      <c r="C378" s="24" t="s">
        <v>3120</v>
      </c>
      <c r="D378" s="24" t="s">
        <v>3120</v>
      </c>
      <c r="E378" s="24" t="s">
        <v>3125</v>
      </c>
      <c r="F378" s="24" t="s">
        <v>3127</v>
      </c>
      <c r="G378" s="24">
        <v>500</v>
      </c>
      <c r="H378" s="24"/>
    </row>
    <row r="379" spans="1:8" ht="14">
      <c r="A379" s="24" t="s">
        <v>1077</v>
      </c>
      <c r="B379" s="25" t="s">
        <v>1078</v>
      </c>
      <c r="C379" s="24" t="str">
        <f t="shared" ref="C379:C437" si="7">A379</f>
        <v>bal</v>
      </c>
      <c r="D379" s="26" t="s">
        <v>12</v>
      </c>
      <c r="E379" s="24" t="s">
        <v>1079</v>
      </c>
      <c r="F379" s="24" t="s">
        <v>1080</v>
      </c>
      <c r="G379" s="24">
        <v>500</v>
      </c>
      <c r="H379" s="24"/>
    </row>
    <row r="380" spans="1:8" ht="14">
      <c r="A380" s="24" t="s">
        <v>1081</v>
      </c>
      <c r="B380" s="25" t="s">
        <v>1078</v>
      </c>
      <c r="C380" s="24" t="str">
        <f t="shared" si="7"/>
        <v>cerebrospinal</v>
      </c>
      <c r="D380" s="26" t="s">
        <v>12</v>
      </c>
      <c r="E380" s="24" t="s">
        <v>1082</v>
      </c>
      <c r="F380" s="24" t="s">
        <v>1083</v>
      </c>
      <c r="G380" s="24">
        <v>500</v>
      </c>
      <c r="H380" s="24"/>
    </row>
    <row r="381" spans="1:8" ht="14">
      <c r="A381" s="24" t="s">
        <v>1084</v>
      </c>
      <c r="B381" s="25" t="s">
        <v>1078</v>
      </c>
      <c r="C381" s="24" t="str">
        <f t="shared" si="7"/>
        <v>feces</v>
      </c>
      <c r="D381" s="26" t="s">
        <v>12</v>
      </c>
      <c r="E381" s="24" t="s">
        <v>1085</v>
      </c>
      <c r="F381" s="24" t="s">
        <v>1086</v>
      </c>
      <c r="G381" s="24">
        <v>500</v>
      </c>
      <c r="H381" s="24"/>
    </row>
    <row r="382" spans="1:8" ht="14">
      <c r="A382" s="24" t="s">
        <v>1087</v>
      </c>
      <c r="B382" s="25" t="s">
        <v>1078</v>
      </c>
      <c r="C382" s="24" t="str">
        <f t="shared" si="7"/>
        <v>interstitial</v>
      </c>
      <c r="D382" s="26" t="s">
        <v>12</v>
      </c>
      <c r="E382" s="24" t="s">
        <v>1088</v>
      </c>
      <c r="F382" s="24" t="s">
        <v>1089</v>
      </c>
      <c r="G382" s="24">
        <v>500</v>
      </c>
      <c r="H382" s="24"/>
    </row>
    <row r="383" spans="1:8" ht="14">
      <c r="A383" s="24" t="s">
        <v>1090</v>
      </c>
      <c r="B383" s="25" t="s">
        <v>1078</v>
      </c>
      <c r="C383" s="24" t="str">
        <f t="shared" si="7"/>
        <v>lymph</v>
      </c>
      <c r="D383" s="26" t="s">
        <v>12</v>
      </c>
      <c r="E383" s="24" t="s">
        <v>1091</v>
      </c>
      <c r="F383" s="24" t="s">
        <v>1092</v>
      </c>
      <c r="G383" s="24">
        <v>500</v>
      </c>
      <c r="H383" s="24"/>
    </row>
    <row r="384" spans="1:8" ht="14">
      <c r="A384" s="24" t="s">
        <v>1093</v>
      </c>
      <c r="B384" s="25" t="s">
        <v>1078</v>
      </c>
      <c r="C384" s="24" t="str">
        <f t="shared" si="7"/>
        <v>peritoneal</v>
      </c>
      <c r="D384" s="26" t="s">
        <v>12</v>
      </c>
      <c r="E384" s="24" t="s">
        <v>1094</v>
      </c>
      <c r="F384" s="24" t="s">
        <v>1095</v>
      </c>
      <c r="G384" s="24">
        <v>500</v>
      </c>
      <c r="H384" s="24"/>
    </row>
    <row r="385" spans="1:8" ht="14">
      <c r="A385" s="24" t="s">
        <v>1096</v>
      </c>
      <c r="B385" s="25" t="s">
        <v>1078</v>
      </c>
      <c r="C385" s="24" t="str">
        <f t="shared" si="7"/>
        <v>plasma</v>
      </c>
      <c r="D385" s="26" t="s">
        <v>12</v>
      </c>
      <c r="E385" s="24" t="s">
        <v>1097</v>
      </c>
      <c r="F385" s="24" t="s">
        <v>1098</v>
      </c>
      <c r="G385" s="24">
        <v>500</v>
      </c>
      <c r="H385" s="24"/>
    </row>
    <row r="386" spans="1:8" ht="14">
      <c r="A386" s="24" t="s">
        <v>1099</v>
      </c>
      <c r="B386" s="25" t="s">
        <v>1078</v>
      </c>
      <c r="C386" s="24" t="str">
        <f t="shared" si="7"/>
        <v>pleural</v>
      </c>
      <c r="D386" s="26" t="s">
        <v>12</v>
      </c>
      <c r="E386" s="24" t="s">
        <v>1100</v>
      </c>
      <c r="F386" s="24" t="s">
        <v>1101</v>
      </c>
      <c r="G386" s="24">
        <v>500</v>
      </c>
      <c r="H386" s="24"/>
    </row>
    <row r="387" spans="1:8" ht="14">
      <c r="A387" s="24" t="s">
        <v>1102</v>
      </c>
      <c r="B387" s="25" t="s">
        <v>1078</v>
      </c>
      <c r="C387" s="24" t="str">
        <f t="shared" si="7"/>
        <v>saliva</v>
      </c>
      <c r="D387" s="26" t="s">
        <v>12</v>
      </c>
      <c r="E387" s="24" t="s">
        <v>1103</v>
      </c>
      <c r="F387" s="24" t="s">
        <v>1104</v>
      </c>
      <c r="G387" s="24">
        <v>500</v>
      </c>
      <c r="H387" s="24"/>
    </row>
    <row r="388" spans="1:8" ht="14">
      <c r="A388" s="24" t="s">
        <v>1105</v>
      </c>
      <c r="B388" s="25" t="s">
        <v>1078</v>
      </c>
      <c r="C388" s="24" t="str">
        <f t="shared" si="7"/>
        <v>seminal</v>
      </c>
      <c r="D388" s="26" t="s">
        <v>12</v>
      </c>
      <c r="E388" s="24" t="s">
        <v>1106</v>
      </c>
      <c r="F388" s="24" t="s">
        <v>1107</v>
      </c>
      <c r="G388" s="24">
        <v>500</v>
      </c>
      <c r="H388" s="24"/>
    </row>
    <row r="389" spans="1:8" ht="14">
      <c r="A389" s="24" t="s">
        <v>1108</v>
      </c>
      <c r="B389" s="25" t="s">
        <v>1078</v>
      </c>
      <c r="C389" s="24" t="str">
        <f t="shared" si="7"/>
        <v>serum</v>
      </c>
      <c r="D389" s="26" t="s">
        <v>12</v>
      </c>
      <c r="E389" s="24" t="s">
        <v>1109</v>
      </c>
      <c r="F389" s="24" t="s">
        <v>1110</v>
      </c>
      <c r="G389" s="24">
        <v>500</v>
      </c>
      <c r="H389" s="24"/>
    </row>
    <row r="390" spans="1:8" ht="14">
      <c r="A390" s="24" t="s">
        <v>1111</v>
      </c>
      <c r="B390" s="25" t="s">
        <v>1078</v>
      </c>
      <c r="C390" s="24" t="str">
        <f t="shared" si="7"/>
        <v>urine</v>
      </c>
      <c r="D390" s="26" t="s">
        <v>12</v>
      </c>
      <c r="E390" s="24" t="s">
        <v>1112</v>
      </c>
      <c r="F390" s="24" t="s">
        <v>1113</v>
      </c>
      <c r="G390" s="24">
        <v>500</v>
      </c>
      <c r="H390" s="24"/>
    </row>
    <row r="391" spans="1:8" ht="14">
      <c r="A391" s="24" t="s">
        <v>1114</v>
      </c>
      <c r="B391" s="34" t="s">
        <v>156</v>
      </c>
      <c r="C391" s="24" t="str">
        <f t="shared" si="7"/>
        <v>01k</v>
      </c>
      <c r="D391" s="24" t="s">
        <v>1114</v>
      </c>
      <c r="E391" s="24" t="s">
        <v>1114</v>
      </c>
      <c r="F391" s="24" t="s">
        <v>1116</v>
      </c>
      <c r="G391" s="24">
        <v>500</v>
      </c>
      <c r="H391" s="24"/>
    </row>
    <row r="392" spans="1:8" ht="14">
      <c r="A392" s="24" t="s">
        <v>1117</v>
      </c>
      <c r="B392" s="34" t="s">
        <v>156</v>
      </c>
      <c r="C392" s="24" t="str">
        <f t="shared" si="7"/>
        <v>05k</v>
      </c>
      <c r="D392" s="24" t="s">
        <v>1117</v>
      </c>
      <c r="E392" s="24" t="s">
        <v>1117</v>
      </c>
      <c r="F392" s="24" t="s">
        <v>1118</v>
      </c>
      <c r="G392" s="24">
        <v>500</v>
      </c>
      <c r="H392" s="24"/>
    </row>
    <row r="393" spans="1:8" ht="14">
      <c r="A393" s="24" t="s">
        <v>1119</v>
      </c>
      <c r="B393" s="34" t="s">
        <v>156</v>
      </c>
      <c r="C393" s="24" t="str">
        <f t="shared" si="7"/>
        <v>12k</v>
      </c>
      <c r="D393" s="24" t="s">
        <v>1119</v>
      </c>
      <c r="E393" s="24" t="s">
        <v>1119</v>
      </c>
      <c r="F393" s="24" t="s">
        <v>1120</v>
      </c>
      <c r="G393" s="24">
        <v>500</v>
      </c>
      <c r="H393" s="24"/>
    </row>
    <row r="394" spans="1:8" ht="14">
      <c r="A394" s="24" t="s">
        <v>1121</v>
      </c>
      <c r="B394" s="34" t="s">
        <v>156</v>
      </c>
      <c r="C394" s="24" t="str">
        <f t="shared" si="7"/>
        <v>24k</v>
      </c>
      <c r="D394" s="24" t="s">
        <v>1121</v>
      </c>
      <c r="E394" s="24" t="s">
        <v>1121</v>
      </c>
      <c r="F394" s="24" t="s">
        <v>1122</v>
      </c>
      <c r="G394" s="24">
        <v>500</v>
      </c>
      <c r="H394" s="24"/>
    </row>
    <row r="395" spans="1:8" ht="14">
      <c r="A395" s="24" t="s">
        <v>1123</v>
      </c>
      <c r="B395" s="34" t="s">
        <v>156</v>
      </c>
      <c r="C395" s="24" t="str">
        <f t="shared" si="7"/>
        <v>79k</v>
      </c>
      <c r="D395" s="24" t="s">
        <v>1123</v>
      </c>
      <c r="E395" s="24" t="s">
        <v>1123</v>
      </c>
      <c r="F395" s="24" t="s">
        <v>1124</v>
      </c>
      <c r="G395" s="24">
        <v>500</v>
      </c>
      <c r="H395" s="24"/>
    </row>
    <row r="396" spans="1:8" ht="14">
      <c r="A396" s="24" t="s">
        <v>1125</v>
      </c>
      <c r="B396" s="34" t="s">
        <v>156</v>
      </c>
      <c r="C396" s="24" t="str">
        <f t="shared" si="7"/>
        <v>crude_mito</v>
      </c>
      <c r="D396" s="24" t="s">
        <v>1126</v>
      </c>
      <c r="E396" s="24" t="s">
        <v>1127</v>
      </c>
      <c r="F396" s="24" t="s">
        <v>1128</v>
      </c>
      <c r="G396" s="24">
        <v>500</v>
      </c>
      <c r="H396" s="24"/>
    </row>
    <row r="397" spans="1:8" ht="14">
      <c r="A397" s="24" t="s">
        <v>1129</v>
      </c>
      <c r="B397" s="34" t="s">
        <v>156</v>
      </c>
      <c r="C397" s="24" t="str">
        <f t="shared" si="7"/>
        <v>cytosolic</v>
      </c>
      <c r="D397" s="24" t="s">
        <v>1129</v>
      </c>
      <c r="E397" s="24" t="s">
        <v>1130</v>
      </c>
      <c r="F397" s="24" t="s">
        <v>1131</v>
      </c>
      <c r="G397" s="24">
        <v>500</v>
      </c>
      <c r="H397" s="24"/>
    </row>
    <row r="398" spans="1:8" ht="14">
      <c r="A398" s="24" t="s">
        <v>1132</v>
      </c>
      <c r="B398" s="34" t="s">
        <v>156</v>
      </c>
      <c r="C398" s="24" t="str">
        <f t="shared" si="7"/>
        <v>total</v>
      </c>
      <c r="D398" s="24" t="s">
        <v>1132</v>
      </c>
      <c r="E398" s="24" t="s">
        <v>1133</v>
      </c>
      <c r="F398" s="24" t="s">
        <v>1134</v>
      </c>
      <c r="G398" s="24">
        <v>500</v>
      </c>
      <c r="H398" s="24"/>
    </row>
    <row r="399" spans="1:8" ht="14">
      <c r="A399" s="24" t="s">
        <v>3015</v>
      </c>
      <c r="B399" s="34" t="s">
        <v>156</v>
      </c>
      <c r="C399" s="24" t="str">
        <f t="shared" si="7"/>
        <v>pellet</v>
      </c>
      <c r="D399" s="24" t="s">
        <v>3015</v>
      </c>
      <c r="E399" s="24" t="s">
        <v>3016</v>
      </c>
      <c r="F399" s="24" t="s">
        <v>3018</v>
      </c>
      <c r="G399" s="24">
        <v>500</v>
      </c>
      <c r="H399" s="24"/>
    </row>
    <row r="400" spans="1:8" ht="14">
      <c r="A400" s="24" t="s">
        <v>2860</v>
      </c>
      <c r="B400" s="34" t="s">
        <v>156</v>
      </c>
      <c r="C400" s="24" t="str">
        <f t="shared" si="7"/>
        <v>supernatant</v>
      </c>
      <c r="D400" s="24" t="s">
        <v>2860</v>
      </c>
      <c r="E400" s="24" t="s">
        <v>2861</v>
      </c>
      <c r="F400" s="24" t="s">
        <v>3017</v>
      </c>
      <c r="G400" s="24">
        <v>500</v>
      </c>
      <c r="H400" s="24"/>
    </row>
    <row r="401" spans="1:8" ht="14">
      <c r="A401" s="24" t="s">
        <v>4471</v>
      </c>
      <c r="B401" s="34" t="s">
        <v>156</v>
      </c>
      <c r="C401" s="24" t="str">
        <f t="shared" si="7"/>
        <v>pms</v>
      </c>
      <c r="D401" s="24" t="s">
        <v>4471</v>
      </c>
      <c r="E401" s="24" t="s">
        <v>4472</v>
      </c>
      <c r="F401" s="24" t="s">
        <v>4473</v>
      </c>
      <c r="G401" s="24">
        <v>500</v>
      </c>
      <c r="H401" s="24"/>
    </row>
    <row r="402" spans="1:8" ht="14">
      <c r="A402" s="24" t="s">
        <v>4474</v>
      </c>
      <c r="B402" s="34" t="s">
        <v>156</v>
      </c>
      <c r="C402" s="24" t="str">
        <f t="shared" si="7"/>
        <v>percoll_f1</v>
      </c>
      <c r="D402" s="24" t="s">
        <v>4477</v>
      </c>
      <c r="E402" s="24" t="s">
        <v>4482</v>
      </c>
      <c r="F402" s="24" t="s">
        <v>4486</v>
      </c>
      <c r="G402" s="24">
        <v>500</v>
      </c>
      <c r="H402" s="24"/>
    </row>
    <row r="403" spans="1:8" ht="14">
      <c r="A403" s="24" t="s">
        <v>4475</v>
      </c>
      <c r="B403" s="34" t="s">
        <v>156</v>
      </c>
      <c r="C403" s="24" t="str">
        <f t="shared" si="7"/>
        <v>percoll_f2</v>
      </c>
      <c r="D403" s="24" t="s">
        <v>4478</v>
      </c>
      <c r="E403" s="24" t="s">
        <v>4483</v>
      </c>
      <c r="F403" s="24" t="s">
        <v>4485</v>
      </c>
      <c r="G403" s="24">
        <v>500</v>
      </c>
      <c r="H403" s="24"/>
    </row>
    <row r="404" spans="1:8" ht="14">
      <c r="A404" s="24" t="s">
        <v>4476</v>
      </c>
      <c r="B404" s="34" t="s">
        <v>156</v>
      </c>
      <c r="C404" s="24" t="s">
        <v>4476</v>
      </c>
      <c r="D404" s="24" t="s">
        <v>4479</v>
      </c>
      <c r="E404" s="24" t="s">
        <v>4484</v>
      </c>
      <c r="F404" s="24" t="s">
        <v>4487</v>
      </c>
      <c r="G404" s="24">
        <v>500</v>
      </c>
      <c r="H404" s="24"/>
    </row>
    <row r="405" spans="1:8" ht="14">
      <c r="A405" s="24" t="s">
        <v>4480</v>
      </c>
      <c r="B405" s="34" t="s">
        <v>156</v>
      </c>
      <c r="C405" s="24" t="s">
        <v>4480</v>
      </c>
      <c r="D405" s="24" t="s">
        <v>4480</v>
      </c>
      <c r="E405" s="24" t="s">
        <v>4480</v>
      </c>
      <c r="F405" s="24" t="s">
        <v>4481</v>
      </c>
      <c r="G405" s="24">
        <v>500</v>
      </c>
      <c r="H405" s="24"/>
    </row>
    <row r="406" spans="1:8" ht="14">
      <c r="A406" s="24" t="s">
        <v>4488</v>
      </c>
      <c r="B406" s="34" t="s">
        <v>156</v>
      </c>
      <c r="C406" s="24" t="s">
        <v>4488</v>
      </c>
      <c r="D406" s="24" t="s">
        <v>4488</v>
      </c>
      <c r="E406" s="24" t="s">
        <v>4488</v>
      </c>
      <c r="F406" s="24" t="s">
        <v>4489</v>
      </c>
      <c r="G406" s="24">
        <v>500</v>
      </c>
      <c r="H406" s="24"/>
    </row>
    <row r="407" spans="1:8" ht="14">
      <c r="A407" s="24" t="s">
        <v>2819</v>
      </c>
      <c r="B407" s="25" t="s">
        <v>91</v>
      </c>
      <c r="C407" s="24" t="str">
        <f t="shared" si="7"/>
        <v>homologrecombination</v>
      </c>
      <c r="D407" s="24" t="s">
        <v>12</v>
      </c>
      <c r="E407" s="24" t="s">
        <v>2820</v>
      </c>
      <c r="F407" s="24" t="s">
        <v>2821</v>
      </c>
      <c r="G407" s="24">
        <v>500</v>
      </c>
      <c r="H407" s="24"/>
    </row>
    <row r="408" spans="1:8" ht="14">
      <c r="A408" s="24" t="s">
        <v>1135</v>
      </c>
      <c r="B408" s="25" t="s">
        <v>91</v>
      </c>
      <c r="C408" s="24" t="str">
        <f t="shared" si="7"/>
        <v>biggybac</v>
      </c>
      <c r="D408" s="26" t="s">
        <v>12</v>
      </c>
      <c r="E408" s="24" t="s">
        <v>1136</v>
      </c>
      <c r="F408" s="24" t="s">
        <v>1137</v>
      </c>
      <c r="G408" s="24">
        <v>500</v>
      </c>
      <c r="H408" s="24"/>
    </row>
    <row r="409" spans="1:8" ht="14">
      <c r="A409" s="24" t="s">
        <v>1138</v>
      </c>
      <c r="B409" s="25" t="s">
        <v>91</v>
      </c>
      <c r="C409" s="24" t="str">
        <f t="shared" si="7"/>
        <v>crispr</v>
      </c>
      <c r="D409" s="26" t="s">
        <v>12</v>
      </c>
      <c r="E409" s="24" t="s">
        <v>1139</v>
      </c>
      <c r="F409" s="24" t="s">
        <v>1140</v>
      </c>
      <c r="G409" s="24">
        <v>500</v>
      </c>
      <c r="H409" s="24"/>
    </row>
    <row r="410" spans="1:8" ht="14">
      <c r="A410" s="24" t="s">
        <v>1141</v>
      </c>
      <c r="B410" s="25" t="s">
        <v>91</v>
      </c>
      <c r="C410" s="24" t="str">
        <f t="shared" si="7"/>
        <v>crispr_hdr</v>
      </c>
      <c r="D410" s="26" t="s">
        <v>12</v>
      </c>
      <c r="E410" s="24" t="s">
        <v>1142</v>
      </c>
      <c r="F410" s="24" t="s">
        <v>1143</v>
      </c>
      <c r="G410" s="24">
        <v>500</v>
      </c>
      <c r="H410" s="24"/>
    </row>
    <row r="411" spans="1:8" ht="14">
      <c r="A411" s="24" t="s">
        <v>1144</v>
      </c>
      <c r="B411" s="25" t="s">
        <v>91</v>
      </c>
      <c r="C411" s="24" t="str">
        <f t="shared" si="7"/>
        <v>lentiviral</v>
      </c>
      <c r="D411" s="26" t="s">
        <v>12</v>
      </c>
      <c r="E411" s="24" t="s">
        <v>1145</v>
      </c>
      <c r="F411" s="24" t="s">
        <v>1146</v>
      </c>
      <c r="G411" s="24">
        <v>500</v>
      </c>
      <c r="H411" s="24"/>
    </row>
    <row r="412" spans="1:8" ht="14">
      <c r="A412" s="24" t="s">
        <v>1147</v>
      </c>
      <c r="B412" s="25" t="s">
        <v>91</v>
      </c>
      <c r="C412" s="24" t="str">
        <f t="shared" si="7"/>
        <v>talen</v>
      </c>
      <c r="D412" s="26" t="s">
        <v>12</v>
      </c>
      <c r="E412" s="24" t="s">
        <v>1148</v>
      </c>
      <c r="F412" s="24" t="s">
        <v>1149</v>
      </c>
      <c r="G412" s="24">
        <v>500</v>
      </c>
      <c r="H412" s="24"/>
    </row>
    <row r="413" spans="1:8" ht="14">
      <c r="A413" s="24" t="s">
        <v>1150</v>
      </c>
      <c r="B413" s="25" t="s">
        <v>91</v>
      </c>
      <c r="C413" s="24" t="str">
        <f t="shared" si="7"/>
        <v>zincfinger</v>
      </c>
      <c r="D413" s="26" t="s">
        <v>12</v>
      </c>
      <c r="E413" s="24" t="s">
        <v>1151</v>
      </c>
      <c r="F413" s="24" t="s">
        <v>1152</v>
      </c>
      <c r="G413" s="24">
        <v>500</v>
      </c>
      <c r="H413" s="24"/>
    </row>
    <row r="414" spans="1:8" ht="14">
      <c r="A414" s="24" t="s">
        <v>1153</v>
      </c>
      <c r="B414" s="25" t="s">
        <v>95</v>
      </c>
      <c r="C414" s="24" t="str">
        <f t="shared" si="7"/>
        <v>deletion</v>
      </c>
      <c r="D414" s="26" t="s">
        <v>12</v>
      </c>
      <c r="E414" s="24" t="s">
        <v>1154</v>
      </c>
      <c r="F414" s="24" t="s">
        <v>1155</v>
      </c>
      <c r="G414" s="24">
        <v>500</v>
      </c>
      <c r="H414" s="24"/>
    </row>
    <row r="415" spans="1:8" ht="14">
      <c r="A415" s="24" t="s">
        <v>1156</v>
      </c>
      <c r="B415" s="25" t="s">
        <v>95</v>
      </c>
      <c r="C415" s="24" t="str">
        <f t="shared" si="7"/>
        <v>inducible_expression</v>
      </c>
      <c r="D415" s="26" t="s">
        <v>12</v>
      </c>
      <c r="E415" s="24" t="s">
        <v>1157</v>
      </c>
      <c r="F415" s="24" t="s">
        <v>1158</v>
      </c>
      <c r="G415" s="24">
        <v>500</v>
      </c>
      <c r="H415" s="24"/>
    </row>
    <row r="416" spans="1:8" ht="14">
      <c r="A416" s="24" t="s">
        <v>1159</v>
      </c>
      <c r="B416" s="25" t="s">
        <v>95</v>
      </c>
      <c r="C416" s="24" t="str">
        <f t="shared" si="7"/>
        <v>knockin</v>
      </c>
      <c r="D416" s="26" t="s">
        <v>12</v>
      </c>
      <c r="E416" s="24" t="s">
        <v>1160</v>
      </c>
      <c r="F416" s="24" t="s">
        <v>1161</v>
      </c>
      <c r="G416" s="24">
        <v>500</v>
      </c>
      <c r="H416" s="24"/>
    </row>
    <row r="417" spans="1:8" ht="14">
      <c r="A417" s="24" t="s">
        <v>1162</v>
      </c>
      <c r="B417" s="25" t="s">
        <v>95</v>
      </c>
      <c r="C417" s="24" t="str">
        <f t="shared" si="7"/>
        <v>ko</v>
      </c>
      <c r="D417" s="26" t="s">
        <v>12</v>
      </c>
      <c r="E417" s="24" t="s">
        <v>1163</v>
      </c>
      <c r="F417" s="24" t="s">
        <v>1164</v>
      </c>
      <c r="G417" s="24">
        <v>500</v>
      </c>
      <c r="H417" s="24"/>
    </row>
    <row r="418" spans="1:8" ht="14">
      <c r="A418" s="24" t="s">
        <v>1165</v>
      </c>
      <c r="B418" s="25" t="s">
        <v>95</v>
      </c>
      <c r="C418" s="24" t="str">
        <f t="shared" si="7"/>
        <v>stable_expression</v>
      </c>
      <c r="D418" s="26" t="s">
        <v>12</v>
      </c>
      <c r="E418" s="24" t="s">
        <v>1166</v>
      </c>
      <c r="F418" s="24" t="s">
        <v>1167</v>
      </c>
      <c r="G418" s="24">
        <v>500</v>
      </c>
      <c r="H418" s="24"/>
    </row>
    <row r="419" spans="1:8" ht="14">
      <c r="A419" s="24" t="s">
        <v>4677</v>
      </c>
      <c r="B419" s="25" t="s">
        <v>95</v>
      </c>
      <c r="C419" s="24" t="str">
        <f t="shared" si="7"/>
        <v>natural_variant</v>
      </c>
      <c r="D419" s="26" t="s">
        <v>12</v>
      </c>
      <c r="E419" s="24" t="s">
        <v>4678</v>
      </c>
      <c r="F419" s="24" t="s">
        <v>4679</v>
      </c>
      <c r="G419" s="24"/>
      <c r="H419" s="24"/>
    </row>
    <row r="420" spans="1:8" ht="14">
      <c r="A420" s="24" t="s">
        <v>3868</v>
      </c>
      <c r="B420" s="25" t="s">
        <v>92</v>
      </c>
      <c r="C420" s="24" t="str">
        <f t="shared" si="7"/>
        <v>hetero</v>
      </c>
      <c r="D420" s="26" t="s">
        <v>12</v>
      </c>
      <c r="E420" s="24" t="s">
        <v>1168</v>
      </c>
      <c r="F420" s="24" t="s">
        <v>1169</v>
      </c>
      <c r="G420" s="24">
        <v>500</v>
      </c>
      <c r="H420" s="24"/>
    </row>
    <row r="421" spans="1:8" ht="14">
      <c r="A421" s="24" t="s">
        <v>3869</v>
      </c>
      <c r="B421" s="25" t="s">
        <v>92</v>
      </c>
      <c r="C421" s="24" t="str">
        <f t="shared" si="7"/>
        <v>homozygot</v>
      </c>
      <c r="D421" s="26" t="s">
        <v>12</v>
      </c>
      <c r="E421" s="24" t="s">
        <v>1170</v>
      </c>
      <c r="F421" s="24" t="s">
        <v>1171</v>
      </c>
      <c r="G421" s="24">
        <v>500</v>
      </c>
      <c r="H421" s="24"/>
    </row>
    <row r="422" spans="1:8" ht="14">
      <c r="A422" s="24" t="s">
        <v>2551</v>
      </c>
      <c r="B422" s="25" t="s">
        <v>92</v>
      </c>
      <c r="C422" s="24" t="str">
        <f t="shared" si="7"/>
        <v>wt</v>
      </c>
      <c r="D422" s="26" t="s">
        <v>12</v>
      </c>
      <c r="E422" s="24" t="s">
        <v>2667</v>
      </c>
      <c r="F422" s="24" t="s">
        <v>2668</v>
      </c>
      <c r="G422" s="24">
        <v>500</v>
      </c>
      <c r="H422" s="24"/>
    </row>
    <row r="423" spans="1:8" ht="14">
      <c r="A423" s="24" t="s">
        <v>2880</v>
      </c>
      <c r="B423" s="25" t="s">
        <v>92</v>
      </c>
      <c r="C423" s="24" t="str">
        <f t="shared" si="7"/>
        <v>hemi</v>
      </c>
      <c r="D423" s="26" t="s">
        <v>12</v>
      </c>
      <c r="E423" s="24" t="s">
        <v>2881</v>
      </c>
      <c r="F423" s="24" t="s">
        <v>2882</v>
      </c>
      <c r="G423" s="24">
        <v>500</v>
      </c>
      <c r="H423" s="24"/>
    </row>
    <row r="424" spans="1:8" ht="14">
      <c r="A424" s="24" t="s">
        <v>2675</v>
      </c>
      <c r="B424" s="25" t="s">
        <v>92</v>
      </c>
      <c r="C424" s="24" t="str">
        <f t="shared" si="7"/>
        <v>unknown</v>
      </c>
      <c r="D424" s="26" t="s">
        <v>12</v>
      </c>
      <c r="E424" s="24" t="s">
        <v>2720</v>
      </c>
      <c r="F424" s="24" t="s">
        <v>2676</v>
      </c>
      <c r="G424" s="24">
        <v>500</v>
      </c>
      <c r="H424" s="24"/>
    </row>
    <row r="425" spans="1:8" ht="14">
      <c r="A425" s="24" t="s">
        <v>2815</v>
      </c>
      <c r="B425" s="25" t="s">
        <v>4386</v>
      </c>
      <c r="C425" s="24" t="str">
        <f t="shared" si="7"/>
        <v>male</v>
      </c>
      <c r="D425" s="26" t="s">
        <v>12</v>
      </c>
      <c r="E425" s="24" t="s">
        <v>2816</v>
      </c>
      <c r="F425" s="24" t="s">
        <v>2816</v>
      </c>
      <c r="G425" s="24">
        <v>500</v>
      </c>
      <c r="H425" s="24"/>
    </row>
    <row r="426" spans="1:8" ht="14">
      <c r="A426" s="24" t="s">
        <v>2817</v>
      </c>
      <c r="B426" s="25" t="s">
        <v>4386</v>
      </c>
      <c r="C426" s="24" t="str">
        <f t="shared" si="7"/>
        <v>female</v>
      </c>
      <c r="D426" s="26" t="s">
        <v>12</v>
      </c>
      <c r="E426" s="24" t="s">
        <v>2818</v>
      </c>
      <c r="F426" s="24" t="s">
        <v>2818</v>
      </c>
      <c r="G426" s="24">
        <v>500</v>
      </c>
      <c r="H426" s="24"/>
    </row>
    <row r="427" spans="1:8" ht="14">
      <c r="A427" s="24" t="s">
        <v>3138</v>
      </c>
      <c r="B427" s="25" t="s">
        <v>3137</v>
      </c>
      <c r="C427" s="24" t="str">
        <f t="shared" si="7"/>
        <v>binary</v>
      </c>
      <c r="D427" s="26" t="s">
        <v>12</v>
      </c>
      <c r="E427" s="24" t="s">
        <v>3139</v>
      </c>
      <c r="F427" s="24" t="s">
        <v>3140</v>
      </c>
      <c r="G427" s="24">
        <v>500</v>
      </c>
      <c r="H427" s="24"/>
    </row>
    <row r="428" spans="1:8" ht="14">
      <c r="A428" s="24" t="s">
        <v>4445</v>
      </c>
      <c r="B428" s="25" t="s">
        <v>98</v>
      </c>
      <c r="C428" s="24" t="str">
        <f t="shared" si="7"/>
        <v>da</v>
      </c>
      <c r="D428" s="26" t="s">
        <v>12</v>
      </c>
      <c r="E428" s="24" t="s">
        <v>4444</v>
      </c>
      <c r="F428" s="24" t="s">
        <v>4447</v>
      </c>
      <c r="G428" s="24">
        <v>500</v>
      </c>
      <c r="H428" s="24"/>
    </row>
    <row r="429" spans="1:8" ht="14">
      <c r="A429" s="24" t="s">
        <v>4446</v>
      </c>
      <c r="B429" s="25" t="s">
        <v>98</v>
      </c>
      <c r="C429" s="24" t="str">
        <f t="shared" si="7"/>
        <v>th</v>
      </c>
      <c r="D429" s="26" t="s">
        <v>12</v>
      </c>
      <c r="E429" s="24" t="s">
        <v>4448</v>
      </c>
      <c r="F429" s="24" t="s">
        <v>4449</v>
      </c>
      <c r="G429" s="24">
        <v>500</v>
      </c>
      <c r="H429" s="24"/>
    </row>
    <row r="430" spans="1:8" ht="14">
      <c r="A430" s="24" t="s">
        <v>1172</v>
      </c>
      <c r="B430" s="25" t="s">
        <v>99</v>
      </c>
      <c r="C430" s="24" t="str">
        <f t="shared" si="7"/>
        <v>esirna</v>
      </c>
      <c r="D430" s="24" t="s">
        <v>1172</v>
      </c>
      <c r="E430" s="24" t="s">
        <v>1173</v>
      </c>
      <c r="F430" s="24" t="s">
        <v>1174</v>
      </c>
      <c r="G430" s="24">
        <v>500</v>
      </c>
      <c r="H430" s="24"/>
    </row>
    <row r="431" spans="1:8" ht="14">
      <c r="A431" s="24" t="s">
        <v>1175</v>
      </c>
      <c r="B431" s="25" t="s">
        <v>99</v>
      </c>
      <c r="C431" s="24" t="str">
        <f t="shared" si="7"/>
        <v>grna</v>
      </c>
      <c r="D431" s="24" t="s">
        <v>1175</v>
      </c>
      <c r="E431" s="24" t="s">
        <v>1176</v>
      </c>
      <c r="F431" s="24" t="s">
        <v>1177</v>
      </c>
      <c r="G431" s="24">
        <v>500</v>
      </c>
      <c r="H431" s="24"/>
    </row>
    <row r="432" spans="1:8" ht="14">
      <c r="A432" s="24" t="s">
        <v>1178</v>
      </c>
      <c r="B432" s="25" t="s">
        <v>99</v>
      </c>
      <c r="C432" s="24" t="str">
        <f t="shared" si="7"/>
        <v>mirna</v>
      </c>
      <c r="D432" s="24" t="s">
        <v>1178</v>
      </c>
      <c r="E432" s="24" t="s">
        <v>1179</v>
      </c>
      <c r="F432" s="24" t="s">
        <v>1180</v>
      </c>
      <c r="G432" s="24">
        <v>500</v>
      </c>
      <c r="H432" s="24"/>
    </row>
    <row r="433" spans="1:8" ht="14">
      <c r="A433" s="24" t="s">
        <v>1181</v>
      </c>
      <c r="B433" s="25" t="s">
        <v>99</v>
      </c>
      <c r="C433" s="24" t="str">
        <f t="shared" si="7"/>
        <v>shrna</v>
      </c>
      <c r="D433" s="24" t="s">
        <v>1181</v>
      </c>
      <c r="E433" s="24" t="s">
        <v>1182</v>
      </c>
      <c r="F433" s="24" t="s">
        <v>1183</v>
      </c>
      <c r="G433" s="24">
        <v>500</v>
      </c>
      <c r="H433" s="24"/>
    </row>
    <row r="434" spans="1:8" ht="14">
      <c r="A434" s="24" t="s">
        <v>1184</v>
      </c>
      <c r="B434" s="25" t="s">
        <v>99</v>
      </c>
      <c r="C434" s="24" t="str">
        <f t="shared" si="7"/>
        <v>sirna</v>
      </c>
      <c r="D434" s="24" t="s">
        <v>1184</v>
      </c>
      <c r="E434" s="24" t="s">
        <v>1185</v>
      </c>
      <c r="F434" s="24" t="s">
        <v>1186</v>
      </c>
      <c r="G434" s="24">
        <v>500</v>
      </c>
      <c r="H434" s="24"/>
    </row>
    <row r="435" spans="1:8" ht="14">
      <c r="A435" s="24" t="s">
        <v>1187</v>
      </c>
      <c r="B435" s="25" t="s">
        <v>4015</v>
      </c>
      <c r="C435" s="24" t="str">
        <f t="shared" si="7"/>
        <v>e1000</v>
      </c>
      <c r="D435" s="24" t="s">
        <v>1187</v>
      </c>
      <c r="E435" s="24" t="s">
        <v>1188</v>
      </c>
      <c r="F435" s="24" t="s">
        <v>1189</v>
      </c>
      <c r="G435" s="24">
        <v>500</v>
      </c>
      <c r="H435" s="24"/>
    </row>
    <row r="436" spans="1:8" ht="14">
      <c r="A436" s="24" t="s">
        <v>1190</v>
      </c>
      <c r="B436" s="25" t="s">
        <v>4015</v>
      </c>
      <c r="C436" s="24" t="str">
        <f t="shared" si="7"/>
        <v>e1200</v>
      </c>
      <c r="D436" s="24" t="s">
        <v>1190</v>
      </c>
      <c r="E436" s="24" t="s">
        <v>1191</v>
      </c>
      <c r="F436" s="24" t="s">
        <v>1192</v>
      </c>
      <c r="G436" s="24">
        <v>500</v>
      </c>
      <c r="H436" s="24"/>
    </row>
    <row r="437" spans="1:8" ht="14">
      <c r="A437" s="24" t="s">
        <v>1193</v>
      </c>
      <c r="B437" s="25" t="s">
        <v>4015</v>
      </c>
      <c r="C437" s="24" t="str">
        <f t="shared" si="7"/>
        <v>evosep</v>
      </c>
      <c r="D437" s="24" t="s">
        <v>1193</v>
      </c>
      <c r="E437" s="24" t="s">
        <v>1194</v>
      </c>
      <c r="F437" s="24" t="s">
        <v>1194</v>
      </c>
      <c r="G437" s="24">
        <v>500</v>
      </c>
      <c r="H437" s="24"/>
    </row>
    <row r="438" spans="1:8" ht="14">
      <c r="A438" s="24" t="s">
        <v>1195</v>
      </c>
      <c r="B438" s="25" t="s">
        <v>4015</v>
      </c>
      <c r="C438" s="24" t="str">
        <f t="shared" ref="C438:C504" si="8">A438</f>
        <v>nanoelute</v>
      </c>
      <c r="D438" s="24" t="s">
        <v>1195</v>
      </c>
      <c r="E438" s="24" t="s">
        <v>1196</v>
      </c>
      <c r="F438" s="24" t="s">
        <v>1197</v>
      </c>
      <c r="G438" s="24">
        <v>500</v>
      </c>
      <c r="H438" s="24"/>
    </row>
    <row r="439" spans="1:8" ht="14">
      <c r="A439" s="24" t="s">
        <v>1198</v>
      </c>
      <c r="B439" s="25" t="s">
        <v>4015</v>
      </c>
      <c r="C439" s="24" t="str">
        <f t="shared" si="8"/>
        <v>ultimate</v>
      </c>
      <c r="D439" s="24" t="s">
        <v>1198</v>
      </c>
      <c r="E439" s="24" t="s">
        <v>1199</v>
      </c>
      <c r="F439" s="24" t="s">
        <v>1200</v>
      </c>
      <c r="G439" s="24">
        <v>500</v>
      </c>
      <c r="H439" s="24"/>
    </row>
    <row r="440" spans="1:8" ht="14">
      <c r="A440" s="24" t="s">
        <v>1201</v>
      </c>
      <c r="B440" s="25" t="s">
        <v>4015</v>
      </c>
      <c r="C440" s="24" t="str">
        <f t="shared" si="8"/>
        <v>vanquish</v>
      </c>
      <c r="D440" s="24" t="s">
        <v>1201</v>
      </c>
      <c r="E440" s="24" t="s">
        <v>1202</v>
      </c>
      <c r="F440" s="24" t="s">
        <v>1203</v>
      </c>
      <c r="G440" s="24">
        <v>500</v>
      </c>
      <c r="H440" s="24"/>
    </row>
    <row r="441" spans="1:8" ht="14">
      <c r="A441" s="24" t="s">
        <v>2874</v>
      </c>
      <c r="B441" s="25" t="s">
        <v>4016</v>
      </c>
      <c r="C441" s="24" t="str">
        <f t="shared" si="8"/>
        <v>easy1200mpi</v>
      </c>
      <c r="D441" s="24" t="s">
        <v>12</v>
      </c>
      <c r="E441" s="24" t="s">
        <v>2875</v>
      </c>
      <c r="F441" s="24" t="s">
        <v>2876</v>
      </c>
      <c r="G441" s="24">
        <v>500</v>
      </c>
      <c r="H441" s="24"/>
    </row>
    <row r="442" spans="1:8" ht="14">
      <c r="A442" s="24" t="s">
        <v>1204</v>
      </c>
      <c r="B442" s="25" t="s">
        <v>4016</v>
      </c>
      <c r="C442" s="24" t="str">
        <f t="shared" si="8"/>
        <v>easylc1</v>
      </c>
      <c r="D442" s="26" t="s">
        <v>12</v>
      </c>
      <c r="E442" s="24" t="s">
        <v>1205</v>
      </c>
      <c r="F442" s="24" t="s">
        <v>1205</v>
      </c>
      <c r="G442" s="24">
        <v>500</v>
      </c>
      <c r="H442" s="24"/>
    </row>
    <row r="443" spans="1:8" ht="14">
      <c r="A443" s="24" t="s">
        <v>1206</v>
      </c>
      <c r="B443" s="25" t="s">
        <v>4016</v>
      </c>
      <c r="C443" s="24" t="str">
        <f t="shared" si="8"/>
        <v>easylc2</v>
      </c>
      <c r="D443" s="26" t="s">
        <v>12</v>
      </c>
      <c r="E443" s="24" t="s">
        <v>1207</v>
      </c>
      <c r="F443" s="24" t="s">
        <v>1207</v>
      </c>
      <c r="G443" s="24">
        <v>500</v>
      </c>
      <c r="H443" s="24"/>
    </row>
    <row r="444" spans="1:8" ht="14">
      <c r="A444" s="24" t="s">
        <v>1208</v>
      </c>
      <c r="B444" s="25" t="s">
        <v>4016</v>
      </c>
      <c r="C444" s="24" t="str">
        <f t="shared" si="8"/>
        <v>evosep1</v>
      </c>
      <c r="D444" s="26" t="s">
        <v>12</v>
      </c>
      <c r="E444" s="24" t="s">
        <v>1209</v>
      </c>
      <c r="F444" s="24" t="s">
        <v>1210</v>
      </c>
      <c r="G444" s="24">
        <v>500</v>
      </c>
      <c r="H444" s="24"/>
    </row>
    <row r="445" spans="1:8" ht="14">
      <c r="A445" s="24" t="s">
        <v>1211</v>
      </c>
      <c r="B445" s="25" t="s">
        <v>4016</v>
      </c>
      <c r="C445" s="24" t="str">
        <f t="shared" si="8"/>
        <v>vanquishneo1</v>
      </c>
      <c r="D445" s="26" t="s">
        <v>12</v>
      </c>
      <c r="E445" s="24" t="s">
        <v>1212</v>
      </c>
      <c r="F445" s="24" t="s">
        <v>1212</v>
      </c>
      <c r="G445" s="24">
        <v>500</v>
      </c>
      <c r="H445" s="24"/>
    </row>
    <row r="446" spans="1:8" ht="14">
      <c r="A446" s="24" t="s">
        <v>1213</v>
      </c>
      <c r="B446" s="25" t="s">
        <v>103</v>
      </c>
      <c r="C446" s="24" t="str">
        <f t="shared" si="8"/>
        <v>bravo</v>
      </c>
      <c r="D446" s="24" t="s">
        <v>1213</v>
      </c>
      <c r="E446" s="24" t="s">
        <v>1214</v>
      </c>
      <c r="F446" s="24" t="s">
        <v>1215</v>
      </c>
      <c r="G446" s="24">
        <v>500</v>
      </c>
      <c r="H446" s="24"/>
    </row>
    <row r="447" spans="1:8" ht="14">
      <c r="A447" s="24" t="s">
        <v>1216</v>
      </c>
      <c r="B447" s="25" t="s">
        <v>103</v>
      </c>
      <c r="C447" s="24" t="str">
        <f t="shared" si="8"/>
        <v>felix</v>
      </c>
      <c r="D447" s="24" t="s">
        <v>1216</v>
      </c>
      <c r="E447" s="24" t="s">
        <v>1217</v>
      </c>
      <c r="F447" s="24" t="s">
        <v>1218</v>
      </c>
      <c r="G447" s="24">
        <v>500</v>
      </c>
      <c r="H447" s="24"/>
    </row>
    <row r="448" spans="1:8" ht="14">
      <c r="A448" s="24" t="s">
        <v>1219</v>
      </c>
      <c r="B448" s="25" t="s">
        <v>103</v>
      </c>
      <c r="C448" s="24" t="str">
        <f t="shared" si="8"/>
        <v>kingfisher</v>
      </c>
      <c r="D448" s="24" t="s">
        <v>1219</v>
      </c>
      <c r="E448" s="24" t="s">
        <v>1220</v>
      </c>
      <c r="F448" s="24" t="s">
        <v>1221</v>
      </c>
      <c r="G448" s="24">
        <v>500</v>
      </c>
      <c r="H448" s="24"/>
    </row>
    <row r="449" spans="1:8" ht="14">
      <c r="A449" s="24" t="s">
        <v>1222</v>
      </c>
      <c r="B449" s="25" t="s">
        <v>103</v>
      </c>
      <c r="C449" s="24" t="str">
        <f t="shared" si="8"/>
        <v>microlabhamilton</v>
      </c>
      <c r="D449" s="24" t="s">
        <v>1222</v>
      </c>
      <c r="E449" s="24" t="s">
        <v>1223</v>
      </c>
      <c r="F449" s="24" t="s">
        <v>1224</v>
      </c>
      <c r="G449" s="24">
        <v>500</v>
      </c>
      <c r="H449" s="24"/>
    </row>
    <row r="450" spans="1:8" ht="14">
      <c r="A450" s="24" t="s">
        <v>1225</v>
      </c>
      <c r="B450" s="25" t="s">
        <v>103</v>
      </c>
      <c r="C450" s="24" t="str">
        <f t="shared" si="8"/>
        <v>mosquitoHV</v>
      </c>
      <c r="D450" s="24" t="s">
        <v>1225</v>
      </c>
      <c r="E450" s="24" t="s">
        <v>1226</v>
      </c>
      <c r="F450" s="24" t="s">
        <v>1227</v>
      </c>
      <c r="G450" s="24">
        <v>500</v>
      </c>
      <c r="H450" s="24"/>
    </row>
    <row r="451" spans="1:8" ht="14">
      <c r="A451" s="24" t="s">
        <v>1228</v>
      </c>
      <c r="B451" s="25" t="s">
        <v>103</v>
      </c>
      <c r="C451" s="24" t="str">
        <f t="shared" si="8"/>
        <v>mosquitoLV</v>
      </c>
      <c r="D451" s="24" t="s">
        <v>1228</v>
      </c>
      <c r="E451" s="24" t="s">
        <v>1229</v>
      </c>
      <c r="F451" s="24" t="s">
        <v>1230</v>
      </c>
      <c r="G451" s="24">
        <v>500</v>
      </c>
      <c r="H451" s="24"/>
    </row>
    <row r="452" spans="1:8" ht="14">
      <c r="A452" s="24" t="s">
        <v>1231</v>
      </c>
      <c r="B452" s="25" t="s">
        <v>103</v>
      </c>
      <c r="C452" s="24" t="str">
        <f t="shared" si="8"/>
        <v>opentrons</v>
      </c>
      <c r="D452" s="24" t="s">
        <v>1231</v>
      </c>
      <c r="E452" s="24" t="s">
        <v>2715</v>
      </c>
      <c r="F452" s="24" t="s">
        <v>2715</v>
      </c>
      <c r="G452" s="24">
        <v>500</v>
      </c>
      <c r="H452" s="24"/>
    </row>
    <row r="453" spans="1:8" ht="14">
      <c r="A453" s="24" t="s">
        <v>2877</v>
      </c>
      <c r="B453" s="25" t="s">
        <v>103</v>
      </c>
      <c r="C453" s="24" t="str">
        <f t="shared" si="8"/>
        <v>opentronsot2</v>
      </c>
      <c r="D453" s="24" t="s">
        <v>1231</v>
      </c>
      <c r="E453" s="24" t="s">
        <v>2716</v>
      </c>
      <c r="F453" s="24" t="s">
        <v>2716</v>
      </c>
      <c r="G453" s="24">
        <v>500</v>
      </c>
      <c r="H453" s="24"/>
    </row>
    <row r="454" spans="1:8" ht="14">
      <c r="A454" s="24" t="s">
        <v>1233</v>
      </c>
      <c r="B454" s="25" t="s">
        <v>103</v>
      </c>
      <c r="C454" s="24" t="str">
        <f t="shared" si="8"/>
        <v>tecan</v>
      </c>
      <c r="D454" s="24" t="s">
        <v>1233</v>
      </c>
      <c r="E454" s="24" t="s">
        <v>1234</v>
      </c>
      <c r="F454" s="24" t="s">
        <v>1235</v>
      </c>
      <c r="G454" s="24">
        <v>500</v>
      </c>
      <c r="H454" s="24"/>
    </row>
    <row r="455" spans="1:8" ht="14">
      <c r="A455" s="24" t="s">
        <v>261</v>
      </c>
      <c r="B455" s="25" t="s">
        <v>103</v>
      </c>
      <c r="C455" s="24" t="str">
        <f t="shared" si="8"/>
        <v>none</v>
      </c>
      <c r="D455" s="24" t="s">
        <v>3038</v>
      </c>
      <c r="E455" s="24" t="s">
        <v>3039</v>
      </c>
      <c r="F455" s="24" t="s">
        <v>3040</v>
      </c>
      <c r="G455" s="24">
        <v>500</v>
      </c>
      <c r="H455" s="24"/>
    </row>
    <row r="456" spans="1:8" ht="14">
      <c r="A456" s="24" t="s">
        <v>1236</v>
      </c>
      <c r="B456" s="25" t="s">
        <v>105</v>
      </c>
      <c r="C456" s="24" t="str">
        <f t="shared" si="8"/>
        <v>one_sdc</v>
      </c>
      <c r="D456" s="26" t="s">
        <v>12</v>
      </c>
      <c r="E456" s="24" t="s">
        <v>1237</v>
      </c>
      <c r="F456" s="24" t="s">
        <v>1238</v>
      </c>
      <c r="G456" s="24">
        <v>500</v>
      </c>
      <c r="H456" s="24"/>
    </row>
    <row r="457" spans="1:8" ht="14">
      <c r="A457" s="24" t="s">
        <v>920</v>
      </c>
      <c r="B457" s="25" t="s">
        <v>105</v>
      </c>
      <c r="C457" s="24" t="str">
        <f t="shared" si="8"/>
        <v>sds</v>
      </c>
      <c r="D457" s="26" t="s">
        <v>12</v>
      </c>
      <c r="E457" s="24" t="s">
        <v>1239</v>
      </c>
      <c r="F457" s="24" t="s">
        <v>1240</v>
      </c>
      <c r="G457" s="24">
        <v>500</v>
      </c>
      <c r="H457" s="24"/>
    </row>
    <row r="458" spans="1:8" ht="14">
      <c r="A458" s="24" t="s">
        <v>1241</v>
      </c>
      <c r="B458" s="25" t="s">
        <v>105</v>
      </c>
      <c r="C458" s="24" t="str">
        <f t="shared" si="8"/>
        <v>two_sdc</v>
      </c>
      <c r="D458" s="26" t="s">
        <v>12</v>
      </c>
      <c r="E458" s="24" t="s">
        <v>1242</v>
      </c>
      <c r="F458" s="24" t="s">
        <v>1243</v>
      </c>
      <c r="G458" s="24">
        <v>500</v>
      </c>
      <c r="H458" s="24"/>
    </row>
    <row r="459" spans="1:8" ht="14">
      <c r="A459" s="24" t="s">
        <v>1244</v>
      </c>
      <c r="B459" s="25" t="s">
        <v>105</v>
      </c>
      <c r="C459" s="24" t="str">
        <f t="shared" si="8"/>
        <v>urea</v>
      </c>
      <c r="D459" s="26" t="s">
        <v>12</v>
      </c>
      <c r="E459" s="24" t="s">
        <v>1245</v>
      </c>
      <c r="F459" s="24" t="s">
        <v>1246</v>
      </c>
      <c r="G459" s="24">
        <v>500</v>
      </c>
      <c r="H459" s="24"/>
    </row>
    <row r="460" spans="1:8" ht="14">
      <c r="A460" s="24" t="s">
        <v>3025</v>
      </c>
      <c r="B460" s="25" t="s">
        <v>105</v>
      </c>
      <c r="C460" s="24" t="str">
        <f t="shared" si="8"/>
        <v>ripa</v>
      </c>
      <c r="D460" s="26" t="s">
        <v>12</v>
      </c>
      <c r="E460" s="24" t="s">
        <v>3026</v>
      </c>
      <c r="F460" s="24" t="s">
        <v>3027</v>
      </c>
      <c r="G460" s="24">
        <v>500</v>
      </c>
      <c r="H460" s="24"/>
    </row>
    <row r="461" spans="1:8" ht="14">
      <c r="A461" s="24" t="s">
        <v>3028</v>
      </c>
      <c r="B461" s="25" t="s">
        <v>105</v>
      </c>
      <c r="C461" s="24" t="str">
        <f t="shared" si="8"/>
        <v>ripasds</v>
      </c>
      <c r="D461" s="26" t="s">
        <v>12</v>
      </c>
      <c r="E461" s="24" t="s">
        <v>3029</v>
      </c>
      <c r="F461" s="24" t="s">
        <v>3030</v>
      </c>
      <c r="G461" s="24">
        <v>500</v>
      </c>
      <c r="H461" s="24"/>
    </row>
    <row r="462" spans="1:8" ht="14">
      <c r="A462" s="24" t="s">
        <v>2712</v>
      </c>
      <c r="B462" s="25" t="s">
        <v>63</v>
      </c>
      <c r="C462" s="24" t="str">
        <f t="shared" si="8"/>
        <v>chemical</v>
      </c>
      <c r="D462" s="26" t="s">
        <v>12</v>
      </c>
      <c r="E462" s="24" t="s">
        <v>2713</v>
      </c>
      <c r="F462" s="24" t="s">
        <v>2714</v>
      </c>
      <c r="G462" s="24">
        <v>500</v>
      </c>
      <c r="H462" s="24"/>
    </row>
    <row r="463" spans="1:8" ht="14">
      <c r="A463" s="24" t="s">
        <v>2722</v>
      </c>
      <c r="B463" s="25" t="s">
        <v>63</v>
      </c>
      <c r="C463" s="24" t="str">
        <f t="shared" si="8"/>
        <v>sonicaton</v>
      </c>
      <c r="D463" s="26" t="s">
        <v>12</v>
      </c>
      <c r="E463" s="24" t="s">
        <v>2723</v>
      </c>
      <c r="F463" s="24" t="s">
        <v>2721</v>
      </c>
      <c r="G463" s="24">
        <v>500</v>
      </c>
      <c r="H463" s="24"/>
    </row>
    <row r="464" spans="1:8" ht="14">
      <c r="A464" s="24" t="s">
        <v>1247</v>
      </c>
      <c r="B464" s="25" t="s">
        <v>63</v>
      </c>
      <c r="C464" s="24" t="str">
        <f t="shared" si="8"/>
        <v>dounce</v>
      </c>
      <c r="D464" s="26" t="s">
        <v>12</v>
      </c>
      <c r="E464" s="24" t="s">
        <v>1248</v>
      </c>
      <c r="F464" s="24" t="s">
        <v>4497</v>
      </c>
      <c r="G464" s="24">
        <v>500</v>
      </c>
      <c r="H464" s="24"/>
    </row>
    <row r="465" spans="1:1008" ht="14">
      <c r="A465" s="24" t="s">
        <v>1250</v>
      </c>
      <c r="B465" s="25" t="s">
        <v>63</v>
      </c>
      <c r="C465" s="24" t="str">
        <f t="shared" si="8"/>
        <v>motar_pestle</v>
      </c>
      <c r="D465" s="26" t="s">
        <v>12</v>
      </c>
      <c r="E465" s="24" t="s">
        <v>1251</v>
      </c>
      <c r="F465" s="24" t="s">
        <v>1252</v>
      </c>
      <c r="G465" s="24">
        <v>500</v>
      </c>
      <c r="H465" s="24"/>
    </row>
    <row r="466" spans="1:1008" ht="14">
      <c r="A466" s="24" t="s">
        <v>1253</v>
      </c>
      <c r="B466" s="25" t="s">
        <v>63</v>
      </c>
      <c r="C466" s="24" t="str">
        <f t="shared" si="8"/>
        <v>paracyllus</v>
      </c>
      <c r="D466" s="26" t="s">
        <v>12</v>
      </c>
      <c r="E466" s="24" t="s">
        <v>1254</v>
      </c>
      <c r="F466" s="24" t="s">
        <v>1255</v>
      </c>
      <c r="G466" s="24">
        <v>500</v>
      </c>
      <c r="H466" s="24"/>
    </row>
    <row r="467" spans="1:1008" ht="60">
      <c r="A467" s="24" t="s">
        <v>2399</v>
      </c>
      <c r="B467" s="25" t="s">
        <v>3042</v>
      </c>
      <c r="C467" s="24" t="str">
        <f t="shared" si="8"/>
        <v>c57bl6j</v>
      </c>
      <c r="D467" s="26" t="s">
        <v>12</v>
      </c>
      <c r="E467" s="24" t="s">
        <v>3043</v>
      </c>
      <c r="F467" s="28" t="s">
        <v>3044</v>
      </c>
      <c r="G467" s="24">
        <v>500</v>
      </c>
      <c r="H467" s="27"/>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c r="BE467"/>
      <c r="BF467"/>
      <c r="BG467"/>
      <c r="BH467"/>
      <c r="BI467"/>
      <c r="BJ467"/>
      <c r="BK467"/>
      <c r="BL467"/>
      <c r="BM467"/>
      <c r="BN467"/>
      <c r="BO467"/>
      <c r="BP467"/>
      <c r="BQ467"/>
      <c r="BR467"/>
      <c r="BS467"/>
      <c r="BT467"/>
      <c r="BU467"/>
      <c r="BV467"/>
      <c r="BW467"/>
      <c r="BX467"/>
      <c r="BY467"/>
      <c r="BZ467"/>
      <c r="CA467"/>
      <c r="CB467"/>
      <c r="CC467"/>
      <c r="CD467"/>
      <c r="CE467"/>
      <c r="CF467"/>
      <c r="CG467"/>
      <c r="CH467"/>
      <c r="CI467"/>
      <c r="CJ467"/>
      <c r="CK467"/>
      <c r="CL467"/>
      <c r="CM467"/>
      <c r="CN467"/>
      <c r="CO467"/>
      <c r="CP467"/>
      <c r="CQ467"/>
      <c r="CR467"/>
      <c r="CS467"/>
      <c r="CT467"/>
      <c r="CU467"/>
      <c r="CV467"/>
      <c r="CW467"/>
      <c r="CX467"/>
      <c r="CY467"/>
      <c r="CZ467"/>
      <c r="DA467"/>
      <c r="DB467"/>
      <c r="DC467"/>
      <c r="DD467"/>
      <c r="DE467"/>
      <c r="DF467"/>
      <c r="DG467"/>
      <c r="DH467"/>
      <c r="DI467"/>
      <c r="DJ467"/>
      <c r="DK467"/>
      <c r="DL467"/>
      <c r="DM467"/>
      <c r="DN467"/>
      <c r="DO467"/>
      <c r="DP467"/>
      <c r="DQ467"/>
      <c r="DR467"/>
      <c r="DS467"/>
      <c r="DT467"/>
      <c r="DU467"/>
      <c r="DV467"/>
      <c r="DW467"/>
      <c r="DX467"/>
      <c r="DY467"/>
      <c r="DZ467"/>
      <c r="EA467"/>
      <c r="EB467"/>
      <c r="EC467"/>
      <c r="ED467"/>
      <c r="EE467"/>
      <c r="EF467"/>
      <c r="EG467"/>
      <c r="EH467"/>
      <c r="EI467"/>
      <c r="EJ467"/>
      <c r="EK467"/>
      <c r="EL467"/>
      <c r="EM467"/>
      <c r="EN467"/>
      <c r="EO467"/>
      <c r="EP467"/>
      <c r="EQ467"/>
      <c r="ER467"/>
      <c r="ES467"/>
      <c r="ET467"/>
      <c r="EU467"/>
      <c r="EV467"/>
      <c r="EW467"/>
      <c r="EX467"/>
      <c r="EY467"/>
      <c r="EZ467"/>
      <c r="FA467"/>
      <c r="FB467"/>
      <c r="FC467"/>
      <c r="FD467"/>
      <c r="FE467"/>
      <c r="FF467"/>
      <c r="FG467"/>
      <c r="FH467"/>
      <c r="FI467"/>
      <c r="FJ467"/>
      <c r="FK467"/>
      <c r="FL467"/>
      <c r="FM467"/>
      <c r="FN467"/>
      <c r="FO467"/>
      <c r="FP467"/>
      <c r="FQ467"/>
      <c r="FR467"/>
      <c r="FS467"/>
      <c r="FT467"/>
      <c r="FU467"/>
      <c r="FV467"/>
      <c r="FW467"/>
      <c r="FX467"/>
      <c r="FY467"/>
      <c r="FZ467"/>
      <c r="GA467"/>
      <c r="GB467"/>
      <c r="GC467"/>
      <c r="GD467"/>
      <c r="GE467"/>
      <c r="GF467"/>
      <c r="GG467"/>
      <c r="GH467"/>
      <c r="GI467"/>
      <c r="GJ467"/>
      <c r="GK467"/>
      <c r="GL467"/>
      <c r="GM467"/>
      <c r="GN467"/>
      <c r="GO467"/>
      <c r="GP467"/>
      <c r="GQ467"/>
      <c r="GR467"/>
      <c r="GS467"/>
      <c r="GT467"/>
      <c r="GU467"/>
      <c r="GV467"/>
      <c r="GW467"/>
      <c r="GX467"/>
      <c r="GY467"/>
      <c r="GZ467"/>
      <c r="HA467"/>
      <c r="HB467"/>
      <c r="HC467"/>
      <c r="HD467"/>
      <c r="HE467"/>
      <c r="HF467"/>
      <c r="HG467"/>
      <c r="HH467"/>
      <c r="HI467"/>
      <c r="HJ467"/>
      <c r="HK467"/>
      <c r="HL467"/>
      <c r="HM467"/>
      <c r="HN467"/>
      <c r="HO467"/>
      <c r="HP467"/>
      <c r="HQ467"/>
      <c r="HR467"/>
      <c r="HS467"/>
      <c r="HT467"/>
      <c r="HU467"/>
      <c r="HV467"/>
      <c r="HW467"/>
      <c r="HX467"/>
      <c r="HY467"/>
      <c r="HZ467"/>
      <c r="IA467"/>
      <c r="IB467"/>
      <c r="IC467"/>
      <c r="ID467"/>
      <c r="IE467"/>
      <c r="IF467"/>
      <c r="IG467"/>
      <c r="IH467"/>
      <c r="II467"/>
      <c r="IJ467"/>
      <c r="IK467"/>
      <c r="IL467"/>
      <c r="IM467"/>
      <c r="IN467"/>
      <c r="IO467"/>
      <c r="IP467"/>
      <c r="IQ467"/>
      <c r="IR467"/>
      <c r="IS467"/>
      <c r="IT467"/>
      <c r="IU467"/>
      <c r="IV467"/>
      <c r="IW467"/>
      <c r="IX467"/>
      <c r="IY467"/>
      <c r="IZ467"/>
      <c r="JA467"/>
      <c r="JB467"/>
      <c r="JC467"/>
      <c r="JD467"/>
      <c r="JE467"/>
      <c r="JF467"/>
      <c r="JG467"/>
      <c r="JH467"/>
      <c r="JI467"/>
      <c r="JJ467"/>
      <c r="JK467"/>
      <c r="JL467"/>
      <c r="JM467"/>
      <c r="JN467"/>
      <c r="JO467"/>
      <c r="JP467"/>
      <c r="JQ467"/>
      <c r="JR467"/>
      <c r="JS467"/>
      <c r="JT467"/>
      <c r="JU467"/>
      <c r="JV467"/>
      <c r="JW467"/>
      <c r="JX467"/>
      <c r="JY467"/>
      <c r="JZ467"/>
      <c r="KA467"/>
      <c r="KB467"/>
      <c r="KC467"/>
      <c r="KD467"/>
      <c r="KE467"/>
      <c r="KF467"/>
      <c r="KG467"/>
      <c r="KH467"/>
      <c r="KI467"/>
      <c r="KJ467"/>
      <c r="KK467"/>
      <c r="KL467"/>
      <c r="KM467"/>
      <c r="KN467"/>
      <c r="KO467"/>
      <c r="KP467"/>
      <c r="KQ467"/>
      <c r="KR467"/>
      <c r="KS467"/>
      <c r="KT467"/>
      <c r="KU467"/>
      <c r="KV467"/>
      <c r="KW467"/>
      <c r="KX467"/>
      <c r="KY467"/>
      <c r="KZ467"/>
      <c r="LA467"/>
      <c r="LB467"/>
      <c r="LC467"/>
      <c r="LD467"/>
      <c r="LE467"/>
      <c r="LF467"/>
      <c r="LG467"/>
      <c r="LH467"/>
      <c r="LI467"/>
      <c r="LJ467"/>
      <c r="LK467"/>
      <c r="LL467"/>
      <c r="LM467"/>
      <c r="LN467"/>
      <c r="LO467"/>
      <c r="LP467"/>
      <c r="LQ467"/>
      <c r="LR467"/>
      <c r="LS467"/>
      <c r="LT467"/>
      <c r="LU467"/>
      <c r="LV467"/>
      <c r="LW467"/>
      <c r="LX467"/>
      <c r="LY467"/>
      <c r="LZ467"/>
      <c r="MA467"/>
      <c r="MB467"/>
      <c r="MC467"/>
      <c r="MD467"/>
      <c r="ME467"/>
      <c r="MF467"/>
      <c r="MG467"/>
      <c r="MH467"/>
      <c r="MI467"/>
      <c r="MJ467"/>
      <c r="MK467"/>
      <c r="ML467"/>
      <c r="MM467"/>
      <c r="MN467"/>
      <c r="MO467"/>
      <c r="MP467"/>
      <c r="MQ467"/>
      <c r="MR467"/>
      <c r="MS467"/>
      <c r="MT467"/>
      <c r="MU467"/>
      <c r="MV467"/>
      <c r="MW467"/>
      <c r="MX467"/>
      <c r="MY467"/>
      <c r="MZ467"/>
      <c r="NA467"/>
      <c r="NB467"/>
      <c r="NC467"/>
      <c r="ND467"/>
      <c r="NE467"/>
      <c r="NF467"/>
      <c r="NG467"/>
      <c r="NH467"/>
      <c r="NI467"/>
      <c r="NJ467"/>
      <c r="NK467"/>
      <c r="NL467"/>
      <c r="NM467"/>
      <c r="NN467"/>
      <c r="NO467"/>
      <c r="NP467"/>
      <c r="NQ467"/>
      <c r="NR467"/>
      <c r="NS467"/>
      <c r="NT467"/>
      <c r="NU467"/>
      <c r="NV467"/>
      <c r="NW467"/>
      <c r="NX467"/>
      <c r="NY467"/>
      <c r="NZ467"/>
      <c r="OA467"/>
      <c r="OB467"/>
      <c r="OC467"/>
      <c r="OD467"/>
      <c r="OE467"/>
      <c r="OF467"/>
      <c r="OG467"/>
      <c r="OH467"/>
      <c r="OI467"/>
      <c r="OJ467"/>
      <c r="OK467"/>
      <c r="OL467"/>
      <c r="OM467"/>
      <c r="ON467"/>
      <c r="OO467"/>
      <c r="OP467"/>
      <c r="OQ467"/>
      <c r="OR467"/>
      <c r="OS467"/>
      <c r="OT467"/>
      <c r="OU467"/>
      <c r="OV467"/>
      <c r="OW467"/>
      <c r="OX467"/>
      <c r="OY467"/>
      <c r="OZ467"/>
      <c r="PA467"/>
      <c r="PB467"/>
      <c r="PC467"/>
      <c r="PD467"/>
      <c r="PE467"/>
      <c r="PF467"/>
      <c r="PG467"/>
      <c r="PH467"/>
      <c r="PI467"/>
      <c r="PJ467"/>
      <c r="PK467"/>
      <c r="PL467"/>
      <c r="PM467"/>
      <c r="PN467"/>
      <c r="PO467"/>
      <c r="PP467"/>
      <c r="PQ467"/>
      <c r="PR467"/>
      <c r="PS467"/>
      <c r="PT467"/>
      <c r="PU467"/>
      <c r="PV467"/>
      <c r="PW467"/>
      <c r="PX467"/>
      <c r="PY467"/>
      <c r="PZ467"/>
      <c r="QA467"/>
      <c r="QB467"/>
      <c r="QC467"/>
      <c r="QD467"/>
      <c r="QE467"/>
      <c r="QF467"/>
      <c r="QG467"/>
      <c r="QH467"/>
      <c r="QI467"/>
      <c r="QJ467"/>
      <c r="QK467"/>
      <c r="QL467"/>
      <c r="QM467"/>
      <c r="QN467"/>
      <c r="QO467"/>
      <c r="QP467"/>
      <c r="QQ467"/>
      <c r="QR467"/>
      <c r="QS467"/>
      <c r="QT467"/>
      <c r="QU467"/>
      <c r="QV467"/>
      <c r="QW467"/>
      <c r="QX467"/>
      <c r="QY467"/>
      <c r="QZ467"/>
      <c r="RA467"/>
      <c r="RB467"/>
      <c r="RC467"/>
      <c r="RD467"/>
      <c r="RE467"/>
      <c r="RF467"/>
      <c r="RG467"/>
      <c r="RH467"/>
      <c r="RI467"/>
      <c r="RJ467"/>
      <c r="RK467"/>
      <c r="RL467"/>
      <c r="RM467"/>
      <c r="RN467"/>
      <c r="RO467"/>
      <c r="RP467"/>
      <c r="RQ467"/>
      <c r="RR467"/>
      <c r="RS467"/>
      <c r="RT467"/>
      <c r="RU467"/>
      <c r="RV467"/>
      <c r="RW467"/>
      <c r="RX467"/>
      <c r="RY467"/>
      <c r="RZ467"/>
      <c r="SA467"/>
      <c r="SB467"/>
      <c r="SC467"/>
      <c r="SD467"/>
      <c r="SE467"/>
      <c r="SF467"/>
      <c r="SG467"/>
      <c r="SH467"/>
      <c r="SI467"/>
      <c r="SJ467"/>
      <c r="SK467"/>
      <c r="SL467"/>
      <c r="SM467"/>
      <c r="SN467"/>
      <c r="SO467"/>
      <c r="SP467"/>
      <c r="SQ467"/>
      <c r="SR467"/>
      <c r="SS467"/>
      <c r="ST467"/>
      <c r="SU467"/>
      <c r="SV467"/>
      <c r="SW467"/>
      <c r="SX467"/>
      <c r="SY467"/>
      <c r="SZ467"/>
      <c r="TA467"/>
      <c r="TB467"/>
      <c r="TC467"/>
      <c r="TD467"/>
      <c r="TE467"/>
      <c r="TF467"/>
      <c r="TG467"/>
      <c r="TH467"/>
      <c r="TI467"/>
      <c r="TJ467"/>
      <c r="TK467"/>
      <c r="TL467"/>
      <c r="TM467"/>
      <c r="TN467"/>
      <c r="TO467"/>
      <c r="TP467"/>
      <c r="TQ467"/>
      <c r="TR467"/>
      <c r="TS467"/>
      <c r="TT467"/>
      <c r="TU467"/>
      <c r="TV467"/>
      <c r="TW467"/>
      <c r="TX467"/>
      <c r="TY467"/>
      <c r="TZ467"/>
      <c r="UA467"/>
      <c r="UB467"/>
      <c r="UC467"/>
      <c r="UD467"/>
      <c r="UE467"/>
      <c r="UF467"/>
      <c r="UG467"/>
      <c r="UH467"/>
      <c r="UI467"/>
      <c r="UJ467"/>
      <c r="UK467"/>
      <c r="UL467"/>
      <c r="UM467"/>
      <c r="UN467"/>
      <c r="UO467"/>
      <c r="UP467"/>
      <c r="UQ467"/>
      <c r="UR467"/>
      <c r="US467"/>
      <c r="UT467"/>
      <c r="UU467"/>
      <c r="UV467"/>
      <c r="UW467"/>
      <c r="UX467"/>
      <c r="UY467"/>
      <c r="UZ467"/>
      <c r="VA467"/>
      <c r="VB467"/>
      <c r="VC467"/>
      <c r="VD467"/>
      <c r="VE467"/>
      <c r="VF467"/>
      <c r="VG467"/>
      <c r="VH467"/>
      <c r="VI467"/>
      <c r="VJ467"/>
      <c r="VK467"/>
      <c r="VL467"/>
      <c r="VM467"/>
      <c r="VN467"/>
      <c r="VO467"/>
      <c r="VP467"/>
      <c r="VQ467"/>
      <c r="VR467"/>
      <c r="VS467"/>
      <c r="VT467"/>
      <c r="VU467"/>
      <c r="VV467"/>
      <c r="VW467"/>
      <c r="VX467"/>
      <c r="VY467"/>
      <c r="VZ467"/>
      <c r="WA467"/>
      <c r="WB467"/>
      <c r="WC467"/>
      <c r="WD467"/>
      <c r="WE467"/>
      <c r="WF467"/>
      <c r="WG467"/>
      <c r="WH467"/>
      <c r="WI467"/>
      <c r="WJ467"/>
      <c r="WK467"/>
      <c r="WL467"/>
      <c r="WM467"/>
      <c r="WN467"/>
      <c r="WO467"/>
      <c r="WP467"/>
      <c r="WQ467"/>
      <c r="WR467"/>
      <c r="WS467"/>
      <c r="WT467"/>
      <c r="WU467"/>
      <c r="WV467"/>
      <c r="WW467"/>
      <c r="WX467"/>
      <c r="WY467"/>
      <c r="WZ467"/>
      <c r="XA467"/>
      <c r="XB467"/>
      <c r="XC467"/>
      <c r="XD467"/>
      <c r="XE467"/>
      <c r="XF467"/>
      <c r="XG467"/>
      <c r="XH467"/>
      <c r="XI467"/>
      <c r="XJ467"/>
      <c r="XK467"/>
      <c r="XL467"/>
      <c r="XM467"/>
      <c r="XN467"/>
      <c r="XO467"/>
      <c r="XP467"/>
      <c r="XQ467"/>
      <c r="XR467"/>
      <c r="XS467"/>
      <c r="XT467"/>
      <c r="XU467"/>
      <c r="XV467"/>
      <c r="XW467"/>
      <c r="XX467"/>
      <c r="XY467"/>
      <c r="XZ467"/>
      <c r="YA467"/>
      <c r="YB467"/>
      <c r="YC467"/>
      <c r="YD467"/>
      <c r="YE467"/>
      <c r="YF467"/>
      <c r="YG467"/>
      <c r="YH467"/>
      <c r="YI467"/>
      <c r="YJ467"/>
      <c r="YK467"/>
      <c r="YL467"/>
      <c r="YM467"/>
      <c r="YN467"/>
      <c r="YO467"/>
      <c r="YP467"/>
      <c r="YQ467"/>
      <c r="YR467"/>
      <c r="YS467"/>
      <c r="YT467"/>
      <c r="YU467"/>
      <c r="YV467"/>
      <c r="YW467"/>
      <c r="YX467"/>
      <c r="YY467"/>
      <c r="YZ467"/>
      <c r="ZA467"/>
      <c r="ZB467"/>
      <c r="ZC467"/>
      <c r="ZD467"/>
      <c r="ZE467"/>
      <c r="ZF467"/>
      <c r="ZG467"/>
      <c r="ZH467"/>
      <c r="ZI467"/>
      <c r="ZJ467"/>
      <c r="ZK467"/>
      <c r="ZL467"/>
      <c r="ZM467"/>
      <c r="ZN467"/>
      <c r="ZO467"/>
      <c r="ZP467"/>
      <c r="ZQ467"/>
      <c r="ZR467"/>
      <c r="ZS467"/>
      <c r="ZT467"/>
      <c r="ZU467"/>
      <c r="ZV467"/>
      <c r="ZW467"/>
      <c r="ZX467"/>
      <c r="ZY467"/>
      <c r="ZZ467"/>
      <c r="AAA467"/>
      <c r="AAB467"/>
      <c r="AAC467"/>
      <c r="AAD467"/>
      <c r="AAE467"/>
      <c r="AAF467"/>
      <c r="AAG467"/>
      <c r="AAH467"/>
      <c r="AAI467"/>
      <c r="AAJ467"/>
      <c r="AAK467"/>
      <c r="AAL467"/>
      <c r="AAM467"/>
      <c r="AAN467"/>
      <c r="AAO467"/>
      <c r="AAP467"/>
      <c r="AAQ467"/>
      <c r="AAR467"/>
      <c r="AAS467"/>
      <c r="AAT467"/>
      <c r="AAU467"/>
      <c r="AAV467"/>
      <c r="AAW467"/>
      <c r="AAX467"/>
      <c r="AAY467"/>
      <c r="AAZ467"/>
      <c r="ABA467"/>
      <c r="ABB467"/>
      <c r="ABC467"/>
      <c r="ABD467"/>
      <c r="ABE467"/>
      <c r="ABF467"/>
      <c r="ABG467"/>
      <c r="ABH467"/>
      <c r="ABI467"/>
      <c r="ABJ467"/>
      <c r="ABK467"/>
      <c r="ABL467"/>
      <c r="ABM467"/>
      <c r="ABN467"/>
      <c r="ABO467"/>
      <c r="ABP467"/>
      <c r="ABQ467"/>
      <c r="ABR467"/>
      <c r="ABS467"/>
      <c r="ABT467"/>
      <c r="ABU467"/>
      <c r="ABV467"/>
      <c r="ABW467"/>
      <c r="ABX467"/>
      <c r="ABY467"/>
      <c r="ABZ467"/>
      <c r="ACA467"/>
      <c r="ACB467"/>
      <c r="ACC467"/>
      <c r="ACD467"/>
      <c r="ACE467"/>
      <c r="ACF467"/>
      <c r="ACG467"/>
      <c r="ACH467"/>
      <c r="ACI467"/>
      <c r="ACJ467"/>
      <c r="ACK467"/>
      <c r="ACL467"/>
      <c r="ACM467"/>
      <c r="ACN467"/>
      <c r="ACO467"/>
      <c r="ACP467"/>
      <c r="ACQ467"/>
      <c r="ACR467"/>
      <c r="ACS467"/>
      <c r="ACT467"/>
      <c r="ACU467"/>
      <c r="ACV467"/>
      <c r="ACW467"/>
      <c r="ACX467"/>
      <c r="ACY467"/>
      <c r="ACZ467"/>
      <c r="ADA467"/>
      <c r="ADB467"/>
      <c r="ADC467"/>
      <c r="ADD467"/>
      <c r="ADE467"/>
      <c r="ADF467"/>
      <c r="ADG467"/>
      <c r="ADH467"/>
      <c r="ADI467"/>
      <c r="ADJ467"/>
      <c r="ADK467"/>
      <c r="ADL467"/>
      <c r="ADM467"/>
      <c r="ADN467"/>
      <c r="ADO467"/>
      <c r="ADP467"/>
      <c r="ADQ467"/>
      <c r="ADR467"/>
      <c r="ADS467"/>
      <c r="ADT467"/>
      <c r="ADU467"/>
      <c r="ADV467"/>
      <c r="ADW467"/>
      <c r="ADX467"/>
      <c r="ADY467"/>
      <c r="ADZ467"/>
      <c r="AEA467"/>
      <c r="AEB467"/>
      <c r="AEC467"/>
      <c r="AED467"/>
      <c r="AEE467"/>
      <c r="AEF467"/>
      <c r="AEG467"/>
      <c r="AEH467"/>
      <c r="AEI467"/>
      <c r="AEJ467"/>
      <c r="AEK467"/>
      <c r="AEL467"/>
      <c r="AEM467"/>
      <c r="AEN467"/>
      <c r="AEO467"/>
      <c r="AEP467"/>
      <c r="AEQ467"/>
      <c r="AER467"/>
      <c r="AES467"/>
      <c r="AET467"/>
      <c r="AEU467"/>
      <c r="AEV467"/>
      <c r="AEW467"/>
      <c r="AEX467"/>
      <c r="AEY467"/>
      <c r="AEZ467"/>
      <c r="AFA467"/>
      <c r="AFB467"/>
      <c r="AFC467"/>
      <c r="AFD467"/>
      <c r="AFE467"/>
      <c r="AFF467"/>
      <c r="AFG467"/>
      <c r="AFH467"/>
      <c r="AFI467"/>
      <c r="AFJ467"/>
      <c r="AFK467"/>
      <c r="AFL467"/>
      <c r="AFM467"/>
      <c r="AFN467"/>
      <c r="AFO467"/>
      <c r="AFP467"/>
      <c r="AFQ467"/>
      <c r="AFR467"/>
      <c r="AFS467"/>
      <c r="AFT467"/>
      <c r="AFU467"/>
      <c r="AFV467"/>
      <c r="AFW467"/>
      <c r="AFX467"/>
      <c r="AFY467"/>
      <c r="AFZ467"/>
      <c r="AGA467"/>
      <c r="AGB467"/>
      <c r="AGC467"/>
      <c r="AGD467"/>
      <c r="AGE467"/>
      <c r="AGF467"/>
      <c r="AGG467"/>
      <c r="AGH467"/>
      <c r="AGI467"/>
      <c r="AGJ467"/>
      <c r="AGK467"/>
      <c r="AGL467"/>
      <c r="AGM467"/>
      <c r="AGN467"/>
      <c r="AGO467"/>
      <c r="AGP467"/>
      <c r="AGQ467"/>
      <c r="AGR467"/>
      <c r="AGS467"/>
      <c r="AGT467"/>
      <c r="AGU467"/>
      <c r="AGV467"/>
      <c r="AGW467"/>
      <c r="AGX467"/>
      <c r="AGY467"/>
      <c r="AGZ467"/>
      <c r="AHA467"/>
      <c r="AHB467"/>
      <c r="AHC467"/>
      <c r="AHD467"/>
      <c r="AHE467"/>
      <c r="AHF467"/>
      <c r="AHG467"/>
      <c r="AHH467"/>
      <c r="AHI467"/>
      <c r="AHJ467"/>
      <c r="AHK467"/>
      <c r="AHL467"/>
      <c r="AHM467"/>
      <c r="AHN467"/>
      <c r="AHO467"/>
      <c r="AHP467"/>
      <c r="AHQ467"/>
      <c r="AHR467"/>
      <c r="AHS467"/>
      <c r="AHT467"/>
      <c r="AHU467"/>
      <c r="AHV467"/>
      <c r="AHW467"/>
      <c r="AHX467"/>
      <c r="AHY467"/>
      <c r="AHZ467"/>
      <c r="AIA467"/>
      <c r="AIB467"/>
      <c r="AIC467"/>
      <c r="AID467"/>
      <c r="AIE467"/>
      <c r="AIF467"/>
      <c r="AIG467"/>
      <c r="AIH467"/>
      <c r="AII467"/>
      <c r="AIJ467"/>
      <c r="AIK467"/>
      <c r="AIL467"/>
      <c r="AIM467"/>
      <c r="AIN467"/>
      <c r="AIO467"/>
      <c r="AIP467"/>
      <c r="AIQ467"/>
      <c r="AIR467"/>
      <c r="AIS467"/>
      <c r="AIT467"/>
      <c r="AIU467"/>
      <c r="AIV467"/>
      <c r="AIW467"/>
      <c r="AIX467"/>
      <c r="AIY467"/>
      <c r="AIZ467"/>
      <c r="AJA467"/>
      <c r="AJB467"/>
      <c r="AJC467"/>
      <c r="AJD467"/>
      <c r="AJE467"/>
      <c r="AJF467"/>
      <c r="AJG467"/>
      <c r="AJH467"/>
      <c r="AJI467"/>
      <c r="AJJ467"/>
      <c r="AJK467"/>
      <c r="AJL467"/>
      <c r="AJM467"/>
      <c r="AJN467"/>
      <c r="AJO467"/>
      <c r="AJP467"/>
      <c r="AJQ467"/>
      <c r="AJR467"/>
      <c r="AJS467"/>
      <c r="AJT467"/>
      <c r="AJU467"/>
      <c r="AJV467"/>
      <c r="AJW467"/>
      <c r="AJX467"/>
      <c r="AJY467"/>
      <c r="AJZ467"/>
      <c r="AKA467"/>
      <c r="AKB467"/>
      <c r="AKC467"/>
      <c r="AKD467"/>
      <c r="AKE467"/>
      <c r="AKF467"/>
      <c r="AKG467"/>
      <c r="AKH467"/>
      <c r="AKI467"/>
      <c r="AKJ467"/>
      <c r="AKK467"/>
      <c r="AKL467"/>
      <c r="AKM467"/>
      <c r="AKN467"/>
      <c r="AKO467"/>
      <c r="AKP467"/>
      <c r="AKQ467"/>
      <c r="AKR467"/>
      <c r="AKS467"/>
      <c r="AKT467"/>
      <c r="AKU467"/>
      <c r="AKV467"/>
      <c r="AKW467"/>
      <c r="AKX467"/>
      <c r="AKY467"/>
      <c r="AKZ467"/>
      <c r="ALA467"/>
      <c r="ALB467"/>
      <c r="ALC467"/>
      <c r="ALD467"/>
      <c r="ALE467"/>
      <c r="ALF467"/>
      <c r="ALG467"/>
      <c r="ALH467"/>
      <c r="ALI467"/>
      <c r="ALJ467"/>
      <c r="ALK467"/>
      <c r="ALL467"/>
      <c r="ALM467"/>
      <c r="ALN467"/>
      <c r="ALO467"/>
      <c r="ALP467"/>
      <c r="ALQ467"/>
      <c r="ALR467"/>
      <c r="ALS467"/>
      <c r="ALT467"/>
    </row>
    <row r="468" spans="1:1008" ht="15">
      <c r="A468" s="24" t="s">
        <v>3160</v>
      </c>
      <c r="B468" s="25" t="s">
        <v>3042</v>
      </c>
      <c r="C468" s="24" t="str">
        <f t="shared" si="8"/>
        <v>c57bl6n</v>
      </c>
      <c r="D468" s="26" t="s">
        <v>12</v>
      </c>
      <c r="E468" s="24" t="s">
        <v>3161</v>
      </c>
      <c r="F468" s="28" t="s">
        <v>3162</v>
      </c>
      <c r="G468" s="24">
        <v>500</v>
      </c>
      <c r="H468" s="27"/>
      <c r="I468"/>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c r="BF468"/>
      <c r="BG468"/>
      <c r="BH468"/>
      <c r="BI468"/>
      <c r="BJ468"/>
      <c r="BK468"/>
      <c r="BL468"/>
      <c r="BM468"/>
      <c r="BN468"/>
      <c r="BO468"/>
      <c r="BP468"/>
      <c r="BQ468"/>
      <c r="BR468"/>
      <c r="BS468"/>
      <c r="BT468"/>
      <c r="BU468"/>
      <c r="BV468"/>
      <c r="BW468"/>
      <c r="BX468"/>
      <c r="BY468"/>
      <c r="BZ468"/>
      <c r="CA468"/>
      <c r="CB468"/>
      <c r="CC468"/>
      <c r="CD468"/>
      <c r="CE468"/>
      <c r="CF468"/>
      <c r="CG468"/>
      <c r="CH468"/>
      <c r="CI468"/>
      <c r="CJ468"/>
      <c r="CK468"/>
      <c r="CL468"/>
      <c r="CM468"/>
      <c r="CN468"/>
      <c r="CO468"/>
      <c r="CP468"/>
      <c r="CQ468"/>
      <c r="CR468"/>
      <c r="CS468"/>
      <c r="CT468"/>
      <c r="CU468"/>
      <c r="CV468"/>
      <c r="CW468"/>
      <c r="CX468"/>
      <c r="CY468"/>
      <c r="CZ468"/>
      <c r="DA468"/>
      <c r="DB468"/>
      <c r="DC468"/>
      <c r="DD468"/>
      <c r="DE468"/>
      <c r="DF468"/>
      <c r="DG468"/>
      <c r="DH468"/>
      <c r="DI468"/>
      <c r="DJ468"/>
      <c r="DK468"/>
      <c r="DL468"/>
      <c r="DM468"/>
      <c r="DN468"/>
      <c r="DO468"/>
      <c r="DP468"/>
      <c r="DQ468"/>
      <c r="DR468"/>
      <c r="DS468"/>
      <c r="DT468"/>
      <c r="DU468"/>
      <c r="DV468"/>
      <c r="DW468"/>
      <c r="DX468"/>
      <c r="DY468"/>
      <c r="DZ468"/>
      <c r="EA468"/>
      <c r="EB468"/>
      <c r="EC468"/>
      <c r="ED468"/>
      <c r="EE468"/>
      <c r="EF468"/>
      <c r="EG468"/>
      <c r="EH468"/>
      <c r="EI468"/>
      <c r="EJ468"/>
      <c r="EK468"/>
      <c r="EL468"/>
      <c r="EM468"/>
      <c r="EN468"/>
      <c r="EO468"/>
      <c r="EP468"/>
      <c r="EQ468"/>
      <c r="ER468"/>
      <c r="ES468"/>
      <c r="ET468"/>
      <c r="EU468"/>
      <c r="EV468"/>
      <c r="EW468"/>
      <c r="EX468"/>
      <c r="EY468"/>
      <c r="EZ468"/>
      <c r="FA468"/>
      <c r="FB468"/>
      <c r="FC468"/>
      <c r="FD468"/>
      <c r="FE468"/>
      <c r="FF468"/>
      <c r="FG468"/>
      <c r="FH468"/>
      <c r="FI468"/>
      <c r="FJ468"/>
      <c r="FK468"/>
      <c r="FL468"/>
      <c r="FM468"/>
      <c r="FN468"/>
      <c r="FO468"/>
      <c r="FP468"/>
      <c r="FQ468"/>
      <c r="FR468"/>
      <c r="FS468"/>
      <c r="FT468"/>
      <c r="FU468"/>
      <c r="FV468"/>
      <c r="FW468"/>
      <c r="FX468"/>
      <c r="FY468"/>
      <c r="FZ468"/>
      <c r="GA468"/>
      <c r="GB468"/>
      <c r="GC468"/>
      <c r="GD468"/>
      <c r="GE468"/>
      <c r="GF468"/>
      <c r="GG468"/>
      <c r="GH468"/>
      <c r="GI468"/>
      <c r="GJ468"/>
      <c r="GK468"/>
      <c r="GL468"/>
      <c r="GM468"/>
      <c r="GN468"/>
      <c r="GO468"/>
      <c r="GP468"/>
      <c r="GQ468"/>
      <c r="GR468"/>
      <c r="GS468"/>
      <c r="GT468"/>
      <c r="GU468"/>
      <c r="GV468"/>
      <c r="GW468"/>
      <c r="GX468"/>
      <c r="GY468"/>
      <c r="GZ468"/>
      <c r="HA468"/>
      <c r="HB468"/>
      <c r="HC468"/>
      <c r="HD468"/>
      <c r="HE468"/>
      <c r="HF468"/>
      <c r="HG468"/>
      <c r="HH468"/>
      <c r="HI468"/>
      <c r="HJ468"/>
      <c r="HK468"/>
      <c r="HL468"/>
      <c r="HM468"/>
      <c r="HN468"/>
      <c r="HO468"/>
      <c r="HP468"/>
      <c r="HQ468"/>
      <c r="HR468"/>
      <c r="HS468"/>
      <c r="HT468"/>
      <c r="HU468"/>
      <c r="HV468"/>
      <c r="HW468"/>
      <c r="HX468"/>
      <c r="HY468"/>
      <c r="HZ468"/>
      <c r="IA468"/>
      <c r="IB468"/>
      <c r="IC468"/>
      <c r="ID468"/>
      <c r="IE468"/>
      <c r="IF468"/>
      <c r="IG468"/>
      <c r="IH468"/>
      <c r="II468"/>
      <c r="IJ468"/>
      <c r="IK468"/>
      <c r="IL468"/>
      <c r="IM468"/>
      <c r="IN468"/>
      <c r="IO468"/>
      <c r="IP468"/>
      <c r="IQ468"/>
      <c r="IR468"/>
      <c r="IS468"/>
      <c r="IT468"/>
      <c r="IU468"/>
      <c r="IV468"/>
      <c r="IW468"/>
      <c r="IX468"/>
      <c r="IY468"/>
      <c r="IZ468"/>
      <c r="JA468"/>
      <c r="JB468"/>
      <c r="JC468"/>
      <c r="JD468"/>
      <c r="JE468"/>
      <c r="JF468"/>
      <c r="JG468"/>
      <c r="JH468"/>
      <c r="JI468"/>
      <c r="JJ468"/>
      <c r="JK468"/>
      <c r="JL468"/>
      <c r="JM468"/>
      <c r="JN468"/>
      <c r="JO468"/>
      <c r="JP468"/>
      <c r="JQ468"/>
      <c r="JR468"/>
      <c r="JS468"/>
      <c r="JT468"/>
      <c r="JU468"/>
      <c r="JV468"/>
      <c r="JW468"/>
      <c r="JX468"/>
      <c r="JY468"/>
      <c r="JZ468"/>
      <c r="KA468"/>
      <c r="KB468"/>
      <c r="KC468"/>
      <c r="KD468"/>
      <c r="KE468"/>
      <c r="KF468"/>
      <c r="KG468"/>
      <c r="KH468"/>
      <c r="KI468"/>
      <c r="KJ468"/>
      <c r="KK468"/>
      <c r="KL468"/>
      <c r="KM468"/>
      <c r="KN468"/>
      <c r="KO468"/>
      <c r="KP468"/>
      <c r="KQ468"/>
      <c r="KR468"/>
      <c r="KS468"/>
      <c r="KT468"/>
      <c r="KU468"/>
      <c r="KV468"/>
      <c r="KW468"/>
      <c r="KX468"/>
      <c r="KY468"/>
      <c r="KZ468"/>
      <c r="LA468"/>
      <c r="LB468"/>
      <c r="LC468"/>
      <c r="LD468"/>
      <c r="LE468"/>
      <c r="LF468"/>
      <c r="LG468"/>
      <c r="LH468"/>
      <c r="LI468"/>
      <c r="LJ468"/>
      <c r="LK468"/>
      <c r="LL468"/>
      <c r="LM468"/>
      <c r="LN468"/>
      <c r="LO468"/>
      <c r="LP468"/>
      <c r="LQ468"/>
      <c r="LR468"/>
      <c r="LS468"/>
      <c r="LT468"/>
      <c r="LU468"/>
      <c r="LV468"/>
      <c r="LW468"/>
      <c r="LX468"/>
      <c r="LY468"/>
      <c r="LZ468"/>
      <c r="MA468"/>
      <c r="MB468"/>
      <c r="MC468"/>
      <c r="MD468"/>
      <c r="ME468"/>
      <c r="MF468"/>
      <c r="MG468"/>
      <c r="MH468"/>
      <c r="MI468"/>
      <c r="MJ468"/>
      <c r="MK468"/>
      <c r="ML468"/>
      <c r="MM468"/>
      <c r="MN468"/>
      <c r="MO468"/>
      <c r="MP468"/>
      <c r="MQ468"/>
      <c r="MR468"/>
      <c r="MS468"/>
      <c r="MT468"/>
      <c r="MU468"/>
      <c r="MV468"/>
      <c r="MW468"/>
      <c r="MX468"/>
      <c r="MY468"/>
      <c r="MZ468"/>
      <c r="NA468"/>
      <c r="NB468"/>
      <c r="NC468"/>
      <c r="ND468"/>
      <c r="NE468"/>
      <c r="NF468"/>
      <c r="NG468"/>
      <c r="NH468"/>
      <c r="NI468"/>
      <c r="NJ468"/>
      <c r="NK468"/>
      <c r="NL468"/>
      <c r="NM468"/>
      <c r="NN468"/>
      <c r="NO468"/>
      <c r="NP468"/>
      <c r="NQ468"/>
      <c r="NR468"/>
      <c r="NS468"/>
      <c r="NT468"/>
      <c r="NU468"/>
      <c r="NV468"/>
      <c r="NW468"/>
      <c r="NX468"/>
      <c r="NY468"/>
      <c r="NZ468"/>
      <c r="OA468"/>
      <c r="OB468"/>
      <c r="OC468"/>
      <c r="OD468"/>
      <c r="OE468"/>
      <c r="OF468"/>
      <c r="OG468"/>
      <c r="OH468"/>
      <c r="OI468"/>
      <c r="OJ468"/>
      <c r="OK468"/>
      <c r="OL468"/>
      <c r="OM468"/>
      <c r="ON468"/>
      <c r="OO468"/>
      <c r="OP468"/>
      <c r="OQ468"/>
      <c r="OR468"/>
      <c r="OS468"/>
      <c r="OT468"/>
      <c r="OU468"/>
      <c r="OV468"/>
      <c r="OW468"/>
      <c r="OX468"/>
      <c r="OY468"/>
      <c r="OZ468"/>
      <c r="PA468"/>
      <c r="PB468"/>
      <c r="PC468"/>
      <c r="PD468"/>
      <c r="PE468"/>
      <c r="PF468"/>
      <c r="PG468"/>
      <c r="PH468"/>
      <c r="PI468"/>
      <c r="PJ468"/>
      <c r="PK468"/>
      <c r="PL468"/>
      <c r="PM468"/>
      <c r="PN468"/>
      <c r="PO468"/>
      <c r="PP468"/>
      <c r="PQ468"/>
      <c r="PR468"/>
      <c r="PS468"/>
      <c r="PT468"/>
      <c r="PU468"/>
      <c r="PV468"/>
      <c r="PW468"/>
      <c r="PX468"/>
      <c r="PY468"/>
      <c r="PZ468"/>
      <c r="QA468"/>
      <c r="QB468"/>
      <c r="QC468"/>
      <c r="QD468"/>
      <c r="QE468"/>
      <c r="QF468"/>
      <c r="QG468"/>
      <c r="QH468"/>
      <c r="QI468"/>
      <c r="QJ468"/>
      <c r="QK468"/>
      <c r="QL468"/>
      <c r="QM468"/>
      <c r="QN468"/>
      <c r="QO468"/>
      <c r="QP468"/>
      <c r="QQ468"/>
      <c r="QR468"/>
      <c r="QS468"/>
      <c r="QT468"/>
      <c r="QU468"/>
      <c r="QV468"/>
      <c r="QW468"/>
      <c r="QX468"/>
      <c r="QY468"/>
      <c r="QZ468"/>
      <c r="RA468"/>
      <c r="RB468"/>
      <c r="RC468"/>
      <c r="RD468"/>
      <c r="RE468"/>
      <c r="RF468"/>
      <c r="RG468"/>
      <c r="RH468"/>
      <c r="RI468"/>
      <c r="RJ468"/>
      <c r="RK468"/>
      <c r="RL468"/>
      <c r="RM468"/>
      <c r="RN468"/>
      <c r="RO468"/>
      <c r="RP468"/>
      <c r="RQ468"/>
      <c r="RR468"/>
      <c r="RS468"/>
      <c r="RT468"/>
      <c r="RU468"/>
      <c r="RV468"/>
      <c r="RW468"/>
      <c r="RX468"/>
      <c r="RY468"/>
      <c r="RZ468"/>
      <c r="SA468"/>
      <c r="SB468"/>
      <c r="SC468"/>
      <c r="SD468"/>
      <c r="SE468"/>
      <c r="SF468"/>
      <c r="SG468"/>
      <c r="SH468"/>
      <c r="SI468"/>
      <c r="SJ468"/>
      <c r="SK468"/>
      <c r="SL468"/>
      <c r="SM468"/>
      <c r="SN468"/>
      <c r="SO468"/>
      <c r="SP468"/>
      <c r="SQ468"/>
      <c r="SR468"/>
      <c r="SS468"/>
      <c r="ST468"/>
      <c r="SU468"/>
      <c r="SV468"/>
      <c r="SW468"/>
      <c r="SX468"/>
      <c r="SY468"/>
      <c r="SZ468"/>
      <c r="TA468"/>
      <c r="TB468"/>
      <c r="TC468"/>
      <c r="TD468"/>
      <c r="TE468"/>
      <c r="TF468"/>
      <c r="TG468"/>
      <c r="TH468"/>
      <c r="TI468"/>
      <c r="TJ468"/>
      <c r="TK468"/>
      <c r="TL468"/>
      <c r="TM468"/>
      <c r="TN468"/>
      <c r="TO468"/>
      <c r="TP468"/>
      <c r="TQ468"/>
      <c r="TR468"/>
      <c r="TS468"/>
      <c r="TT468"/>
      <c r="TU468"/>
      <c r="TV468"/>
      <c r="TW468"/>
      <c r="TX468"/>
      <c r="TY468"/>
      <c r="TZ468"/>
      <c r="UA468"/>
      <c r="UB468"/>
      <c r="UC468"/>
      <c r="UD468"/>
      <c r="UE468"/>
      <c r="UF468"/>
      <c r="UG468"/>
      <c r="UH468"/>
      <c r="UI468"/>
      <c r="UJ468"/>
      <c r="UK468"/>
      <c r="UL468"/>
      <c r="UM468"/>
      <c r="UN468"/>
      <c r="UO468"/>
      <c r="UP468"/>
      <c r="UQ468"/>
      <c r="UR468"/>
      <c r="US468"/>
      <c r="UT468"/>
      <c r="UU468"/>
      <c r="UV468"/>
      <c r="UW468"/>
      <c r="UX468"/>
      <c r="UY468"/>
      <c r="UZ468"/>
      <c r="VA468"/>
      <c r="VB468"/>
      <c r="VC468"/>
      <c r="VD468"/>
      <c r="VE468"/>
      <c r="VF468"/>
      <c r="VG468"/>
      <c r="VH468"/>
      <c r="VI468"/>
      <c r="VJ468"/>
      <c r="VK468"/>
      <c r="VL468"/>
      <c r="VM468"/>
      <c r="VN468"/>
      <c r="VO468"/>
      <c r="VP468"/>
      <c r="VQ468"/>
      <c r="VR468"/>
      <c r="VS468"/>
      <c r="VT468"/>
      <c r="VU468"/>
      <c r="VV468"/>
      <c r="VW468"/>
      <c r="VX468"/>
      <c r="VY468"/>
      <c r="VZ468"/>
      <c r="WA468"/>
      <c r="WB468"/>
      <c r="WC468"/>
      <c r="WD468"/>
      <c r="WE468"/>
      <c r="WF468"/>
      <c r="WG468"/>
      <c r="WH468"/>
      <c r="WI468"/>
      <c r="WJ468"/>
      <c r="WK468"/>
      <c r="WL468"/>
      <c r="WM468"/>
      <c r="WN468"/>
      <c r="WO468"/>
      <c r="WP468"/>
      <c r="WQ468"/>
      <c r="WR468"/>
      <c r="WS468"/>
      <c r="WT468"/>
      <c r="WU468"/>
      <c r="WV468"/>
      <c r="WW468"/>
      <c r="WX468"/>
      <c r="WY468"/>
      <c r="WZ468"/>
      <c r="XA468"/>
      <c r="XB468"/>
      <c r="XC468"/>
      <c r="XD468"/>
      <c r="XE468"/>
      <c r="XF468"/>
      <c r="XG468"/>
      <c r="XH468"/>
      <c r="XI468"/>
      <c r="XJ468"/>
      <c r="XK468"/>
      <c r="XL468"/>
      <c r="XM468"/>
      <c r="XN468"/>
      <c r="XO468"/>
      <c r="XP468"/>
      <c r="XQ468"/>
      <c r="XR468"/>
      <c r="XS468"/>
      <c r="XT468"/>
      <c r="XU468"/>
      <c r="XV468"/>
      <c r="XW468"/>
      <c r="XX468"/>
      <c r="XY468"/>
      <c r="XZ468"/>
      <c r="YA468"/>
      <c r="YB468"/>
      <c r="YC468"/>
      <c r="YD468"/>
      <c r="YE468"/>
      <c r="YF468"/>
      <c r="YG468"/>
      <c r="YH468"/>
      <c r="YI468"/>
      <c r="YJ468"/>
      <c r="YK468"/>
      <c r="YL468"/>
      <c r="YM468"/>
      <c r="YN468"/>
      <c r="YO468"/>
      <c r="YP468"/>
      <c r="YQ468"/>
      <c r="YR468"/>
      <c r="YS468"/>
      <c r="YT468"/>
      <c r="YU468"/>
      <c r="YV468"/>
      <c r="YW468"/>
      <c r="YX468"/>
      <c r="YY468"/>
      <c r="YZ468"/>
      <c r="ZA468"/>
      <c r="ZB468"/>
      <c r="ZC468"/>
      <c r="ZD468"/>
      <c r="ZE468"/>
      <c r="ZF468"/>
      <c r="ZG468"/>
      <c r="ZH468"/>
      <c r="ZI468"/>
      <c r="ZJ468"/>
      <c r="ZK468"/>
      <c r="ZL468"/>
      <c r="ZM468"/>
      <c r="ZN468"/>
      <c r="ZO468"/>
      <c r="ZP468"/>
      <c r="ZQ468"/>
      <c r="ZR468"/>
      <c r="ZS468"/>
      <c r="ZT468"/>
      <c r="ZU468"/>
      <c r="ZV468"/>
      <c r="ZW468"/>
      <c r="ZX468"/>
      <c r="ZY468"/>
      <c r="ZZ468"/>
      <c r="AAA468"/>
      <c r="AAB468"/>
      <c r="AAC468"/>
      <c r="AAD468"/>
      <c r="AAE468"/>
      <c r="AAF468"/>
      <c r="AAG468"/>
      <c r="AAH468"/>
      <c r="AAI468"/>
      <c r="AAJ468"/>
      <c r="AAK468"/>
      <c r="AAL468"/>
      <c r="AAM468"/>
      <c r="AAN468"/>
      <c r="AAO468"/>
      <c r="AAP468"/>
      <c r="AAQ468"/>
      <c r="AAR468"/>
      <c r="AAS468"/>
      <c r="AAT468"/>
      <c r="AAU468"/>
      <c r="AAV468"/>
      <c r="AAW468"/>
      <c r="AAX468"/>
      <c r="AAY468"/>
      <c r="AAZ468"/>
      <c r="ABA468"/>
      <c r="ABB468"/>
      <c r="ABC468"/>
      <c r="ABD468"/>
      <c r="ABE468"/>
      <c r="ABF468"/>
      <c r="ABG468"/>
      <c r="ABH468"/>
      <c r="ABI468"/>
      <c r="ABJ468"/>
      <c r="ABK468"/>
      <c r="ABL468"/>
      <c r="ABM468"/>
      <c r="ABN468"/>
      <c r="ABO468"/>
      <c r="ABP468"/>
      <c r="ABQ468"/>
      <c r="ABR468"/>
      <c r="ABS468"/>
      <c r="ABT468"/>
      <c r="ABU468"/>
      <c r="ABV468"/>
      <c r="ABW468"/>
      <c r="ABX468"/>
      <c r="ABY468"/>
      <c r="ABZ468"/>
      <c r="ACA468"/>
      <c r="ACB468"/>
      <c r="ACC468"/>
      <c r="ACD468"/>
      <c r="ACE468"/>
      <c r="ACF468"/>
      <c r="ACG468"/>
      <c r="ACH468"/>
      <c r="ACI468"/>
      <c r="ACJ468"/>
      <c r="ACK468"/>
      <c r="ACL468"/>
      <c r="ACM468"/>
      <c r="ACN468"/>
      <c r="ACO468"/>
      <c r="ACP468"/>
      <c r="ACQ468"/>
      <c r="ACR468"/>
      <c r="ACS468"/>
      <c r="ACT468"/>
      <c r="ACU468"/>
      <c r="ACV468"/>
      <c r="ACW468"/>
      <c r="ACX468"/>
      <c r="ACY468"/>
      <c r="ACZ468"/>
      <c r="ADA468"/>
      <c r="ADB468"/>
      <c r="ADC468"/>
      <c r="ADD468"/>
      <c r="ADE468"/>
      <c r="ADF468"/>
      <c r="ADG468"/>
      <c r="ADH468"/>
      <c r="ADI468"/>
      <c r="ADJ468"/>
      <c r="ADK468"/>
      <c r="ADL468"/>
      <c r="ADM468"/>
      <c r="ADN468"/>
      <c r="ADO468"/>
      <c r="ADP468"/>
      <c r="ADQ468"/>
      <c r="ADR468"/>
      <c r="ADS468"/>
      <c r="ADT468"/>
      <c r="ADU468"/>
      <c r="ADV468"/>
      <c r="ADW468"/>
      <c r="ADX468"/>
      <c r="ADY468"/>
      <c r="ADZ468"/>
      <c r="AEA468"/>
      <c r="AEB468"/>
      <c r="AEC468"/>
      <c r="AED468"/>
      <c r="AEE468"/>
      <c r="AEF468"/>
      <c r="AEG468"/>
      <c r="AEH468"/>
      <c r="AEI468"/>
      <c r="AEJ468"/>
      <c r="AEK468"/>
      <c r="AEL468"/>
      <c r="AEM468"/>
      <c r="AEN468"/>
      <c r="AEO468"/>
      <c r="AEP468"/>
      <c r="AEQ468"/>
      <c r="AER468"/>
      <c r="AES468"/>
      <c r="AET468"/>
      <c r="AEU468"/>
      <c r="AEV468"/>
      <c r="AEW468"/>
      <c r="AEX468"/>
      <c r="AEY468"/>
      <c r="AEZ468"/>
      <c r="AFA468"/>
      <c r="AFB468"/>
      <c r="AFC468"/>
      <c r="AFD468"/>
      <c r="AFE468"/>
      <c r="AFF468"/>
      <c r="AFG468"/>
      <c r="AFH468"/>
      <c r="AFI468"/>
      <c r="AFJ468"/>
      <c r="AFK468"/>
      <c r="AFL468"/>
      <c r="AFM468"/>
      <c r="AFN468"/>
      <c r="AFO468"/>
      <c r="AFP468"/>
      <c r="AFQ468"/>
      <c r="AFR468"/>
      <c r="AFS468"/>
      <c r="AFT468"/>
      <c r="AFU468"/>
      <c r="AFV468"/>
      <c r="AFW468"/>
      <c r="AFX468"/>
      <c r="AFY468"/>
      <c r="AFZ468"/>
      <c r="AGA468"/>
      <c r="AGB468"/>
      <c r="AGC468"/>
      <c r="AGD468"/>
      <c r="AGE468"/>
      <c r="AGF468"/>
      <c r="AGG468"/>
      <c r="AGH468"/>
      <c r="AGI468"/>
      <c r="AGJ468"/>
      <c r="AGK468"/>
      <c r="AGL468"/>
      <c r="AGM468"/>
      <c r="AGN468"/>
      <c r="AGO468"/>
      <c r="AGP468"/>
      <c r="AGQ468"/>
      <c r="AGR468"/>
      <c r="AGS468"/>
      <c r="AGT468"/>
      <c r="AGU468"/>
      <c r="AGV468"/>
      <c r="AGW468"/>
      <c r="AGX468"/>
      <c r="AGY468"/>
      <c r="AGZ468"/>
      <c r="AHA468"/>
      <c r="AHB468"/>
      <c r="AHC468"/>
      <c r="AHD468"/>
      <c r="AHE468"/>
      <c r="AHF468"/>
      <c r="AHG468"/>
      <c r="AHH468"/>
      <c r="AHI468"/>
      <c r="AHJ468"/>
      <c r="AHK468"/>
      <c r="AHL468"/>
      <c r="AHM468"/>
      <c r="AHN468"/>
      <c r="AHO468"/>
      <c r="AHP468"/>
      <c r="AHQ468"/>
      <c r="AHR468"/>
      <c r="AHS468"/>
      <c r="AHT468"/>
      <c r="AHU468"/>
      <c r="AHV468"/>
      <c r="AHW468"/>
      <c r="AHX468"/>
      <c r="AHY468"/>
      <c r="AHZ468"/>
      <c r="AIA468"/>
      <c r="AIB468"/>
      <c r="AIC468"/>
      <c r="AID468"/>
      <c r="AIE468"/>
      <c r="AIF468"/>
      <c r="AIG468"/>
      <c r="AIH468"/>
      <c r="AII468"/>
      <c r="AIJ468"/>
      <c r="AIK468"/>
      <c r="AIL468"/>
      <c r="AIM468"/>
      <c r="AIN468"/>
      <c r="AIO468"/>
      <c r="AIP468"/>
      <c r="AIQ468"/>
      <c r="AIR468"/>
      <c r="AIS468"/>
      <c r="AIT468"/>
      <c r="AIU468"/>
      <c r="AIV468"/>
      <c r="AIW468"/>
      <c r="AIX468"/>
      <c r="AIY468"/>
      <c r="AIZ468"/>
      <c r="AJA468"/>
      <c r="AJB468"/>
      <c r="AJC468"/>
      <c r="AJD468"/>
      <c r="AJE468"/>
      <c r="AJF468"/>
      <c r="AJG468"/>
      <c r="AJH468"/>
      <c r="AJI468"/>
      <c r="AJJ468"/>
      <c r="AJK468"/>
      <c r="AJL468"/>
      <c r="AJM468"/>
      <c r="AJN468"/>
      <c r="AJO468"/>
      <c r="AJP468"/>
      <c r="AJQ468"/>
      <c r="AJR468"/>
      <c r="AJS468"/>
      <c r="AJT468"/>
      <c r="AJU468"/>
      <c r="AJV468"/>
      <c r="AJW468"/>
      <c r="AJX468"/>
      <c r="AJY468"/>
      <c r="AJZ468"/>
      <c r="AKA468"/>
      <c r="AKB468"/>
      <c r="AKC468"/>
      <c r="AKD468"/>
      <c r="AKE468"/>
      <c r="AKF468"/>
      <c r="AKG468"/>
      <c r="AKH468"/>
      <c r="AKI468"/>
      <c r="AKJ468"/>
      <c r="AKK468"/>
      <c r="AKL468"/>
      <c r="AKM468"/>
      <c r="AKN468"/>
      <c r="AKO468"/>
      <c r="AKP468"/>
      <c r="AKQ468"/>
      <c r="AKR468"/>
      <c r="AKS468"/>
      <c r="AKT468"/>
      <c r="AKU468"/>
      <c r="AKV468"/>
      <c r="AKW468"/>
      <c r="AKX468"/>
      <c r="AKY468"/>
      <c r="AKZ468"/>
      <c r="ALA468"/>
      <c r="ALB468"/>
      <c r="ALC468"/>
      <c r="ALD468"/>
      <c r="ALE468"/>
      <c r="ALF468"/>
      <c r="ALG468"/>
      <c r="ALH468"/>
      <c r="ALI468"/>
      <c r="ALJ468"/>
      <c r="ALK468"/>
      <c r="ALL468"/>
      <c r="ALM468"/>
      <c r="ALN468"/>
      <c r="ALO468"/>
      <c r="ALP468"/>
      <c r="ALQ468"/>
      <c r="ALR468"/>
      <c r="ALS468"/>
      <c r="ALT468"/>
    </row>
    <row r="469" spans="1:1008" ht="76">
      <c r="A469" s="24" t="s">
        <v>3163</v>
      </c>
      <c r="B469" s="25" t="s">
        <v>3042</v>
      </c>
      <c r="C469" s="24" t="s">
        <v>3163</v>
      </c>
      <c r="D469" s="26" t="s">
        <v>12</v>
      </c>
      <c r="E469" s="24" t="s">
        <v>3164</v>
      </c>
      <c r="F469" s="28" t="s">
        <v>3165</v>
      </c>
      <c r="G469" s="24">
        <v>500</v>
      </c>
      <c r="H469" s="27"/>
      <c r="I469" s="19"/>
      <c r="J469"/>
      <c r="K469"/>
      <c r="L469"/>
      <c r="M469"/>
      <c r="N469"/>
      <c r="O469"/>
      <c r="P469"/>
      <c r="Q469"/>
      <c r="R469"/>
      <c r="S469"/>
      <c r="T469"/>
      <c r="U469"/>
      <c r="V469"/>
      <c r="W469"/>
      <c r="X469"/>
      <c r="Y469"/>
      <c r="Z469"/>
      <c r="AA469"/>
      <c r="AB469"/>
      <c r="AC469"/>
      <c r="AD469"/>
      <c r="AE469"/>
      <c r="AF469"/>
      <c r="AG469"/>
      <c r="AH469"/>
      <c r="AI469"/>
      <c r="AJ469"/>
      <c r="AK469"/>
      <c r="AL469"/>
      <c r="AM469"/>
      <c r="AN469"/>
      <c r="AO469"/>
      <c r="AP469"/>
      <c r="AQ469"/>
      <c r="AR469"/>
      <c r="AS469"/>
      <c r="AT469"/>
      <c r="AU469"/>
      <c r="AV469"/>
      <c r="AW469"/>
      <c r="AX469"/>
      <c r="AY469"/>
      <c r="AZ469"/>
      <c r="BA469"/>
      <c r="BB469"/>
      <c r="BC469"/>
      <c r="BD469"/>
      <c r="BE469"/>
      <c r="BF469"/>
      <c r="BG469"/>
      <c r="BH469"/>
      <c r="BI469"/>
      <c r="BJ469"/>
      <c r="BK469"/>
      <c r="BL469"/>
      <c r="BM469"/>
      <c r="BN469"/>
      <c r="BO469"/>
      <c r="BP469"/>
      <c r="BQ469"/>
      <c r="BR469"/>
      <c r="BS469"/>
      <c r="BT469"/>
      <c r="BU469"/>
      <c r="BV469"/>
      <c r="BW469"/>
      <c r="BX469"/>
      <c r="BY469"/>
      <c r="BZ469"/>
      <c r="CA469"/>
      <c r="CB469"/>
      <c r="CC469"/>
      <c r="CD469"/>
      <c r="CE469"/>
      <c r="CF469"/>
      <c r="CG469"/>
      <c r="CH469"/>
      <c r="CI469"/>
      <c r="CJ469"/>
      <c r="CK469"/>
      <c r="CL469"/>
      <c r="CM469"/>
      <c r="CN469"/>
      <c r="CO469"/>
      <c r="CP469"/>
      <c r="CQ469"/>
      <c r="CR469"/>
      <c r="CS469"/>
      <c r="CT469"/>
      <c r="CU469"/>
      <c r="CV469"/>
      <c r="CW469"/>
      <c r="CX469"/>
      <c r="CY469"/>
      <c r="CZ469"/>
      <c r="DA469"/>
      <c r="DB469"/>
      <c r="DC469"/>
      <c r="DD469"/>
      <c r="DE469"/>
      <c r="DF469"/>
      <c r="DG469"/>
      <c r="DH469"/>
      <c r="DI469"/>
      <c r="DJ469"/>
      <c r="DK469"/>
      <c r="DL469"/>
      <c r="DM469"/>
      <c r="DN469"/>
      <c r="DO469"/>
      <c r="DP469"/>
      <c r="DQ469"/>
      <c r="DR469"/>
      <c r="DS469"/>
      <c r="DT469"/>
      <c r="DU469"/>
      <c r="DV469"/>
      <c r="DW469"/>
      <c r="DX469"/>
      <c r="DY469"/>
      <c r="DZ469"/>
      <c r="EA469"/>
      <c r="EB469"/>
      <c r="EC469"/>
      <c r="ED469"/>
      <c r="EE469"/>
      <c r="EF469"/>
      <c r="EG469"/>
      <c r="EH469"/>
      <c r="EI469"/>
      <c r="EJ469"/>
      <c r="EK469"/>
      <c r="EL469"/>
      <c r="EM469"/>
      <c r="EN469"/>
      <c r="EO469"/>
      <c r="EP469"/>
      <c r="EQ469"/>
      <c r="ER469"/>
      <c r="ES469"/>
      <c r="ET469"/>
      <c r="EU469"/>
      <c r="EV469"/>
      <c r="EW469"/>
      <c r="EX469"/>
      <c r="EY469"/>
      <c r="EZ469"/>
      <c r="FA469"/>
      <c r="FB469"/>
      <c r="FC469"/>
      <c r="FD469"/>
      <c r="FE469"/>
      <c r="FF469"/>
      <c r="FG469"/>
      <c r="FH469"/>
      <c r="FI469"/>
      <c r="FJ469"/>
      <c r="FK469"/>
      <c r="FL469"/>
      <c r="FM469"/>
      <c r="FN469"/>
      <c r="FO469"/>
      <c r="FP469"/>
      <c r="FQ469"/>
      <c r="FR469"/>
      <c r="FS469"/>
      <c r="FT469"/>
      <c r="FU469"/>
      <c r="FV469"/>
      <c r="FW469"/>
      <c r="FX469"/>
      <c r="FY469"/>
      <c r="FZ469"/>
      <c r="GA469"/>
      <c r="GB469"/>
      <c r="GC469"/>
      <c r="GD469"/>
      <c r="GE469"/>
      <c r="GF469"/>
      <c r="GG469"/>
      <c r="GH469"/>
      <c r="GI469"/>
      <c r="GJ469"/>
      <c r="GK469"/>
      <c r="GL469"/>
      <c r="GM469"/>
      <c r="GN469"/>
      <c r="GO469"/>
      <c r="GP469"/>
      <c r="GQ469"/>
      <c r="GR469"/>
      <c r="GS469"/>
      <c r="GT469"/>
      <c r="GU469"/>
      <c r="GV469"/>
      <c r="GW469"/>
      <c r="GX469"/>
      <c r="GY469"/>
      <c r="GZ469"/>
      <c r="HA469"/>
      <c r="HB469"/>
      <c r="HC469"/>
      <c r="HD469"/>
      <c r="HE469"/>
      <c r="HF469"/>
      <c r="HG469"/>
      <c r="HH469"/>
      <c r="HI469"/>
      <c r="HJ469"/>
      <c r="HK469"/>
      <c r="HL469"/>
      <c r="HM469"/>
      <c r="HN469"/>
      <c r="HO469"/>
      <c r="HP469"/>
      <c r="HQ469"/>
      <c r="HR469"/>
      <c r="HS469"/>
      <c r="HT469"/>
      <c r="HU469"/>
      <c r="HV469"/>
      <c r="HW469"/>
      <c r="HX469"/>
      <c r="HY469"/>
      <c r="HZ469"/>
      <c r="IA469"/>
      <c r="IB469"/>
      <c r="IC469"/>
      <c r="ID469"/>
      <c r="IE469"/>
      <c r="IF469"/>
      <c r="IG469"/>
      <c r="IH469"/>
      <c r="II469"/>
      <c r="IJ469"/>
      <c r="IK469"/>
      <c r="IL469"/>
      <c r="IM469"/>
      <c r="IN469"/>
      <c r="IO469"/>
      <c r="IP469"/>
      <c r="IQ469"/>
      <c r="IR469"/>
      <c r="IS469"/>
      <c r="IT469"/>
      <c r="IU469"/>
      <c r="IV469"/>
      <c r="IW469"/>
      <c r="IX469"/>
      <c r="IY469"/>
      <c r="IZ469"/>
      <c r="JA469"/>
      <c r="JB469"/>
      <c r="JC469"/>
      <c r="JD469"/>
      <c r="JE469"/>
      <c r="JF469"/>
      <c r="JG469"/>
      <c r="JH469"/>
      <c r="JI469"/>
      <c r="JJ469"/>
      <c r="JK469"/>
      <c r="JL469"/>
      <c r="JM469"/>
      <c r="JN469"/>
      <c r="JO469"/>
      <c r="JP469"/>
      <c r="JQ469"/>
      <c r="JR469"/>
      <c r="JS469"/>
      <c r="JT469"/>
      <c r="JU469"/>
      <c r="JV469"/>
      <c r="JW469"/>
      <c r="JX469"/>
      <c r="JY469"/>
      <c r="JZ469"/>
      <c r="KA469"/>
      <c r="KB469"/>
      <c r="KC469"/>
      <c r="KD469"/>
      <c r="KE469"/>
      <c r="KF469"/>
      <c r="KG469"/>
      <c r="KH469"/>
      <c r="KI469"/>
      <c r="KJ469"/>
      <c r="KK469"/>
      <c r="KL469"/>
      <c r="KM469"/>
      <c r="KN469"/>
      <c r="KO469"/>
      <c r="KP469"/>
      <c r="KQ469"/>
      <c r="KR469"/>
      <c r="KS469"/>
      <c r="KT469"/>
      <c r="KU469"/>
      <c r="KV469"/>
      <c r="KW469"/>
      <c r="KX469"/>
      <c r="KY469"/>
      <c r="KZ469"/>
      <c r="LA469"/>
      <c r="LB469"/>
      <c r="LC469"/>
      <c r="LD469"/>
      <c r="LE469"/>
      <c r="LF469"/>
      <c r="LG469"/>
      <c r="LH469"/>
      <c r="LI469"/>
      <c r="LJ469"/>
      <c r="LK469"/>
      <c r="LL469"/>
      <c r="LM469"/>
      <c r="LN469"/>
      <c r="LO469"/>
      <c r="LP469"/>
      <c r="LQ469"/>
      <c r="LR469"/>
      <c r="LS469"/>
      <c r="LT469"/>
      <c r="LU469"/>
      <c r="LV469"/>
      <c r="LW469"/>
      <c r="LX469"/>
      <c r="LY469"/>
      <c r="LZ469"/>
      <c r="MA469"/>
      <c r="MB469"/>
      <c r="MC469"/>
      <c r="MD469"/>
      <c r="ME469"/>
      <c r="MF469"/>
      <c r="MG469"/>
      <c r="MH469"/>
      <c r="MI469"/>
      <c r="MJ469"/>
      <c r="MK469"/>
      <c r="ML469"/>
      <c r="MM469"/>
      <c r="MN469"/>
      <c r="MO469"/>
      <c r="MP469"/>
      <c r="MQ469"/>
      <c r="MR469"/>
      <c r="MS469"/>
      <c r="MT469"/>
      <c r="MU469"/>
      <c r="MV469"/>
      <c r="MW469"/>
      <c r="MX469"/>
      <c r="MY469"/>
      <c r="MZ469"/>
      <c r="NA469"/>
      <c r="NB469"/>
      <c r="NC469"/>
      <c r="ND469"/>
      <c r="NE469"/>
      <c r="NF469"/>
      <c r="NG469"/>
      <c r="NH469"/>
      <c r="NI469"/>
      <c r="NJ469"/>
      <c r="NK469"/>
      <c r="NL469"/>
      <c r="NM469"/>
      <c r="NN469"/>
      <c r="NO469"/>
      <c r="NP469"/>
      <c r="NQ469"/>
      <c r="NR469"/>
      <c r="NS469"/>
      <c r="NT469"/>
      <c r="NU469"/>
      <c r="NV469"/>
      <c r="NW469"/>
      <c r="NX469"/>
      <c r="NY469"/>
      <c r="NZ469"/>
      <c r="OA469"/>
      <c r="OB469"/>
      <c r="OC469"/>
      <c r="OD469"/>
      <c r="OE469"/>
      <c r="OF469"/>
      <c r="OG469"/>
      <c r="OH469"/>
      <c r="OI469"/>
      <c r="OJ469"/>
      <c r="OK469"/>
      <c r="OL469"/>
      <c r="OM469"/>
      <c r="ON469"/>
      <c r="OO469"/>
      <c r="OP469"/>
      <c r="OQ469"/>
      <c r="OR469"/>
      <c r="OS469"/>
      <c r="OT469"/>
      <c r="OU469"/>
      <c r="OV469"/>
      <c r="OW469"/>
      <c r="OX469"/>
      <c r="OY469"/>
      <c r="OZ469"/>
      <c r="PA469"/>
      <c r="PB469"/>
      <c r="PC469"/>
      <c r="PD469"/>
      <c r="PE469"/>
      <c r="PF469"/>
      <c r="PG469"/>
      <c r="PH469"/>
      <c r="PI469"/>
      <c r="PJ469"/>
      <c r="PK469"/>
      <c r="PL469"/>
      <c r="PM469"/>
      <c r="PN469"/>
      <c r="PO469"/>
      <c r="PP469"/>
      <c r="PQ469"/>
      <c r="PR469"/>
      <c r="PS469"/>
      <c r="PT469"/>
      <c r="PU469"/>
      <c r="PV469"/>
      <c r="PW469"/>
      <c r="PX469"/>
      <c r="PY469"/>
      <c r="PZ469"/>
      <c r="QA469"/>
      <c r="QB469"/>
      <c r="QC469"/>
      <c r="QD469"/>
      <c r="QE469"/>
      <c r="QF469"/>
      <c r="QG469"/>
      <c r="QH469"/>
      <c r="QI469"/>
      <c r="QJ469"/>
      <c r="QK469"/>
      <c r="QL469"/>
      <c r="QM469"/>
      <c r="QN469"/>
      <c r="QO469"/>
      <c r="QP469"/>
      <c r="QQ469"/>
      <c r="QR469"/>
      <c r="QS469"/>
      <c r="QT469"/>
      <c r="QU469"/>
      <c r="QV469"/>
      <c r="QW469"/>
      <c r="QX469"/>
      <c r="QY469"/>
      <c r="QZ469"/>
      <c r="RA469"/>
      <c r="RB469"/>
      <c r="RC469"/>
      <c r="RD469"/>
      <c r="RE469"/>
      <c r="RF469"/>
      <c r="RG469"/>
      <c r="RH469"/>
      <c r="RI469"/>
      <c r="RJ469"/>
      <c r="RK469"/>
      <c r="RL469"/>
      <c r="RM469"/>
      <c r="RN469"/>
      <c r="RO469"/>
      <c r="RP469"/>
      <c r="RQ469"/>
      <c r="RR469"/>
      <c r="RS469"/>
      <c r="RT469"/>
      <c r="RU469"/>
      <c r="RV469"/>
      <c r="RW469"/>
      <c r="RX469"/>
      <c r="RY469"/>
      <c r="RZ469"/>
      <c r="SA469"/>
      <c r="SB469"/>
      <c r="SC469"/>
      <c r="SD469"/>
      <c r="SE469"/>
      <c r="SF469"/>
      <c r="SG469"/>
      <c r="SH469"/>
      <c r="SI469"/>
      <c r="SJ469"/>
      <c r="SK469"/>
      <c r="SL469"/>
      <c r="SM469"/>
      <c r="SN469"/>
      <c r="SO469"/>
      <c r="SP469"/>
      <c r="SQ469"/>
      <c r="SR469"/>
      <c r="SS469"/>
      <c r="ST469"/>
      <c r="SU469"/>
      <c r="SV469"/>
      <c r="SW469"/>
      <c r="SX469"/>
      <c r="SY469"/>
      <c r="SZ469"/>
      <c r="TA469"/>
      <c r="TB469"/>
      <c r="TC469"/>
      <c r="TD469"/>
      <c r="TE469"/>
      <c r="TF469"/>
      <c r="TG469"/>
      <c r="TH469"/>
      <c r="TI469"/>
      <c r="TJ469"/>
      <c r="TK469"/>
      <c r="TL469"/>
      <c r="TM469"/>
      <c r="TN469"/>
      <c r="TO469"/>
      <c r="TP469"/>
      <c r="TQ469"/>
      <c r="TR469"/>
      <c r="TS469"/>
      <c r="TT469"/>
      <c r="TU469"/>
      <c r="TV469"/>
      <c r="TW469"/>
      <c r="TX469"/>
      <c r="TY469"/>
      <c r="TZ469"/>
      <c r="UA469"/>
      <c r="UB469"/>
      <c r="UC469"/>
      <c r="UD469"/>
      <c r="UE469"/>
      <c r="UF469"/>
      <c r="UG469"/>
      <c r="UH469"/>
      <c r="UI469"/>
      <c r="UJ469"/>
      <c r="UK469"/>
      <c r="UL469"/>
      <c r="UM469"/>
      <c r="UN469"/>
      <c r="UO469"/>
      <c r="UP469"/>
      <c r="UQ469"/>
      <c r="UR469"/>
      <c r="US469"/>
      <c r="UT469"/>
      <c r="UU469"/>
      <c r="UV469"/>
      <c r="UW469"/>
      <c r="UX469"/>
      <c r="UY469"/>
      <c r="UZ469"/>
      <c r="VA469"/>
      <c r="VB469"/>
      <c r="VC469"/>
      <c r="VD469"/>
      <c r="VE469"/>
      <c r="VF469"/>
      <c r="VG469"/>
      <c r="VH469"/>
      <c r="VI469"/>
      <c r="VJ469"/>
      <c r="VK469"/>
      <c r="VL469"/>
      <c r="VM469"/>
      <c r="VN469"/>
      <c r="VO469"/>
      <c r="VP469"/>
      <c r="VQ469"/>
      <c r="VR469"/>
      <c r="VS469"/>
      <c r="VT469"/>
      <c r="VU469"/>
      <c r="VV469"/>
      <c r="VW469"/>
      <c r="VX469"/>
      <c r="VY469"/>
      <c r="VZ469"/>
      <c r="WA469"/>
      <c r="WB469"/>
      <c r="WC469"/>
      <c r="WD469"/>
      <c r="WE469"/>
      <c r="WF469"/>
      <c r="WG469"/>
      <c r="WH469"/>
      <c r="WI469"/>
      <c r="WJ469"/>
      <c r="WK469"/>
      <c r="WL469"/>
      <c r="WM469"/>
      <c r="WN469"/>
      <c r="WO469"/>
      <c r="WP469"/>
      <c r="WQ469"/>
      <c r="WR469"/>
      <c r="WS469"/>
      <c r="WT469"/>
      <c r="WU469"/>
      <c r="WV469"/>
      <c r="WW469"/>
      <c r="WX469"/>
      <c r="WY469"/>
      <c r="WZ469"/>
      <c r="XA469"/>
      <c r="XB469"/>
      <c r="XC469"/>
      <c r="XD469"/>
      <c r="XE469"/>
      <c r="XF469"/>
      <c r="XG469"/>
      <c r="XH469"/>
      <c r="XI469"/>
      <c r="XJ469"/>
      <c r="XK469"/>
      <c r="XL469"/>
      <c r="XM469"/>
      <c r="XN469"/>
      <c r="XO469"/>
      <c r="XP469"/>
      <c r="XQ469"/>
      <c r="XR469"/>
      <c r="XS469"/>
      <c r="XT469"/>
      <c r="XU469"/>
      <c r="XV469"/>
      <c r="XW469"/>
      <c r="XX469"/>
      <c r="XY469"/>
      <c r="XZ469"/>
      <c r="YA469"/>
      <c r="YB469"/>
      <c r="YC469"/>
      <c r="YD469"/>
      <c r="YE469"/>
      <c r="YF469"/>
      <c r="YG469"/>
      <c r="YH469"/>
      <c r="YI469"/>
      <c r="YJ469"/>
      <c r="YK469"/>
      <c r="YL469"/>
      <c r="YM469"/>
      <c r="YN469"/>
      <c r="YO469"/>
      <c r="YP469"/>
      <c r="YQ469"/>
      <c r="YR469"/>
      <c r="YS469"/>
      <c r="YT469"/>
      <c r="YU469"/>
      <c r="YV469"/>
      <c r="YW469"/>
      <c r="YX469"/>
      <c r="YY469"/>
      <c r="YZ469"/>
      <c r="ZA469"/>
      <c r="ZB469"/>
      <c r="ZC469"/>
      <c r="ZD469"/>
      <c r="ZE469"/>
      <c r="ZF469"/>
      <c r="ZG469"/>
      <c r="ZH469"/>
      <c r="ZI469"/>
      <c r="ZJ469"/>
      <c r="ZK469"/>
      <c r="ZL469"/>
      <c r="ZM469"/>
      <c r="ZN469"/>
      <c r="ZO469"/>
      <c r="ZP469"/>
      <c r="ZQ469"/>
      <c r="ZR469"/>
      <c r="ZS469"/>
      <c r="ZT469"/>
      <c r="ZU469"/>
      <c r="ZV469"/>
      <c r="ZW469"/>
      <c r="ZX469"/>
      <c r="ZY469"/>
      <c r="ZZ469"/>
      <c r="AAA469"/>
      <c r="AAB469"/>
      <c r="AAC469"/>
      <c r="AAD469"/>
      <c r="AAE469"/>
      <c r="AAF469"/>
      <c r="AAG469"/>
      <c r="AAH469"/>
      <c r="AAI469"/>
      <c r="AAJ469"/>
      <c r="AAK469"/>
      <c r="AAL469"/>
      <c r="AAM469"/>
      <c r="AAN469"/>
      <c r="AAO469"/>
      <c r="AAP469"/>
      <c r="AAQ469"/>
      <c r="AAR469"/>
      <c r="AAS469"/>
      <c r="AAT469"/>
      <c r="AAU469"/>
      <c r="AAV469"/>
      <c r="AAW469"/>
      <c r="AAX469"/>
      <c r="AAY469"/>
      <c r="AAZ469"/>
      <c r="ABA469"/>
      <c r="ABB469"/>
      <c r="ABC469"/>
      <c r="ABD469"/>
      <c r="ABE469"/>
      <c r="ABF469"/>
      <c r="ABG469"/>
      <c r="ABH469"/>
      <c r="ABI469"/>
      <c r="ABJ469"/>
      <c r="ABK469"/>
      <c r="ABL469"/>
      <c r="ABM469"/>
      <c r="ABN469"/>
      <c r="ABO469"/>
      <c r="ABP469"/>
      <c r="ABQ469"/>
      <c r="ABR469"/>
      <c r="ABS469"/>
      <c r="ABT469"/>
      <c r="ABU469"/>
      <c r="ABV469"/>
      <c r="ABW469"/>
      <c r="ABX469"/>
      <c r="ABY469"/>
      <c r="ABZ469"/>
      <c r="ACA469"/>
      <c r="ACB469"/>
      <c r="ACC469"/>
      <c r="ACD469"/>
      <c r="ACE469"/>
      <c r="ACF469"/>
      <c r="ACG469"/>
      <c r="ACH469"/>
      <c r="ACI469"/>
      <c r="ACJ469"/>
      <c r="ACK469"/>
      <c r="ACL469"/>
      <c r="ACM469"/>
      <c r="ACN469"/>
      <c r="ACO469"/>
      <c r="ACP469"/>
      <c r="ACQ469"/>
      <c r="ACR469"/>
      <c r="ACS469"/>
      <c r="ACT469"/>
      <c r="ACU469"/>
      <c r="ACV469"/>
      <c r="ACW469"/>
      <c r="ACX469"/>
      <c r="ACY469"/>
      <c r="ACZ469"/>
      <c r="ADA469"/>
      <c r="ADB469"/>
      <c r="ADC469"/>
      <c r="ADD469"/>
      <c r="ADE469"/>
      <c r="ADF469"/>
      <c r="ADG469"/>
      <c r="ADH469"/>
      <c r="ADI469"/>
      <c r="ADJ469"/>
      <c r="ADK469"/>
      <c r="ADL469"/>
      <c r="ADM469"/>
      <c r="ADN469"/>
      <c r="ADO469"/>
      <c r="ADP469"/>
      <c r="ADQ469"/>
      <c r="ADR469"/>
      <c r="ADS469"/>
      <c r="ADT469"/>
      <c r="ADU469"/>
      <c r="ADV469"/>
      <c r="ADW469"/>
      <c r="ADX469"/>
      <c r="ADY469"/>
      <c r="ADZ469"/>
      <c r="AEA469"/>
      <c r="AEB469"/>
      <c r="AEC469"/>
      <c r="AED469"/>
      <c r="AEE469"/>
      <c r="AEF469"/>
      <c r="AEG469"/>
      <c r="AEH469"/>
      <c r="AEI469"/>
      <c r="AEJ469"/>
      <c r="AEK469"/>
      <c r="AEL469"/>
      <c r="AEM469"/>
      <c r="AEN469"/>
      <c r="AEO469"/>
      <c r="AEP469"/>
      <c r="AEQ469"/>
      <c r="AER469"/>
      <c r="AES469"/>
      <c r="AET469"/>
      <c r="AEU469"/>
      <c r="AEV469"/>
      <c r="AEW469"/>
      <c r="AEX469"/>
      <c r="AEY469"/>
      <c r="AEZ469"/>
      <c r="AFA469"/>
      <c r="AFB469"/>
      <c r="AFC469"/>
      <c r="AFD469"/>
      <c r="AFE469"/>
      <c r="AFF469"/>
      <c r="AFG469"/>
      <c r="AFH469"/>
      <c r="AFI469"/>
      <c r="AFJ469"/>
      <c r="AFK469"/>
      <c r="AFL469"/>
      <c r="AFM469"/>
      <c r="AFN469"/>
      <c r="AFO469"/>
      <c r="AFP469"/>
      <c r="AFQ469"/>
      <c r="AFR469"/>
      <c r="AFS469"/>
      <c r="AFT469"/>
      <c r="AFU469"/>
      <c r="AFV469"/>
      <c r="AFW469"/>
      <c r="AFX469"/>
      <c r="AFY469"/>
      <c r="AFZ469"/>
      <c r="AGA469"/>
      <c r="AGB469"/>
      <c r="AGC469"/>
      <c r="AGD469"/>
      <c r="AGE469"/>
      <c r="AGF469"/>
      <c r="AGG469"/>
      <c r="AGH469"/>
      <c r="AGI469"/>
      <c r="AGJ469"/>
      <c r="AGK469"/>
      <c r="AGL469"/>
      <c r="AGM469"/>
      <c r="AGN469"/>
      <c r="AGO469"/>
      <c r="AGP469"/>
      <c r="AGQ469"/>
      <c r="AGR469"/>
      <c r="AGS469"/>
      <c r="AGT469"/>
      <c r="AGU469"/>
      <c r="AGV469"/>
      <c r="AGW469"/>
      <c r="AGX469"/>
      <c r="AGY469"/>
      <c r="AGZ469"/>
      <c r="AHA469"/>
      <c r="AHB469"/>
      <c r="AHC469"/>
      <c r="AHD469"/>
      <c r="AHE469"/>
      <c r="AHF469"/>
      <c r="AHG469"/>
      <c r="AHH469"/>
      <c r="AHI469"/>
      <c r="AHJ469"/>
      <c r="AHK469"/>
      <c r="AHL469"/>
      <c r="AHM469"/>
      <c r="AHN469"/>
      <c r="AHO469"/>
      <c r="AHP469"/>
      <c r="AHQ469"/>
      <c r="AHR469"/>
      <c r="AHS469"/>
      <c r="AHT469"/>
      <c r="AHU469"/>
      <c r="AHV469"/>
      <c r="AHW469"/>
      <c r="AHX469"/>
      <c r="AHY469"/>
      <c r="AHZ469"/>
      <c r="AIA469"/>
      <c r="AIB469"/>
      <c r="AIC469"/>
      <c r="AID469"/>
      <c r="AIE469"/>
      <c r="AIF469"/>
      <c r="AIG469"/>
      <c r="AIH469"/>
      <c r="AII469"/>
      <c r="AIJ469"/>
      <c r="AIK469"/>
      <c r="AIL469"/>
      <c r="AIM469"/>
      <c r="AIN469"/>
      <c r="AIO469"/>
      <c r="AIP469"/>
      <c r="AIQ469"/>
      <c r="AIR469"/>
      <c r="AIS469"/>
      <c r="AIT469"/>
      <c r="AIU469"/>
      <c r="AIV469"/>
      <c r="AIW469"/>
      <c r="AIX469"/>
      <c r="AIY469"/>
      <c r="AIZ469"/>
      <c r="AJA469"/>
      <c r="AJB469"/>
      <c r="AJC469"/>
      <c r="AJD469"/>
      <c r="AJE469"/>
      <c r="AJF469"/>
      <c r="AJG469"/>
      <c r="AJH469"/>
      <c r="AJI469"/>
      <c r="AJJ469"/>
      <c r="AJK469"/>
      <c r="AJL469"/>
      <c r="AJM469"/>
      <c r="AJN469"/>
      <c r="AJO469"/>
      <c r="AJP469"/>
      <c r="AJQ469"/>
      <c r="AJR469"/>
      <c r="AJS469"/>
      <c r="AJT469"/>
      <c r="AJU469"/>
      <c r="AJV469"/>
      <c r="AJW469"/>
      <c r="AJX469"/>
      <c r="AJY469"/>
      <c r="AJZ469"/>
      <c r="AKA469"/>
      <c r="AKB469"/>
      <c r="AKC469"/>
      <c r="AKD469"/>
      <c r="AKE469"/>
      <c r="AKF469"/>
      <c r="AKG469"/>
      <c r="AKH469"/>
      <c r="AKI469"/>
      <c r="AKJ469"/>
      <c r="AKK469"/>
      <c r="AKL469"/>
      <c r="AKM469"/>
      <c r="AKN469"/>
      <c r="AKO469"/>
      <c r="AKP469"/>
      <c r="AKQ469"/>
      <c r="AKR469"/>
      <c r="AKS469"/>
      <c r="AKT469"/>
      <c r="AKU469"/>
      <c r="AKV469"/>
      <c r="AKW469"/>
      <c r="AKX469"/>
      <c r="AKY469"/>
      <c r="AKZ469"/>
      <c r="ALA469"/>
      <c r="ALB469"/>
      <c r="ALC469"/>
      <c r="ALD469"/>
      <c r="ALE469"/>
      <c r="ALF469"/>
      <c r="ALG469"/>
      <c r="ALH469"/>
      <c r="ALI469"/>
      <c r="ALJ469"/>
      <c r="ALK469"/>
      <c r="ALL469"/>
      <c r="ALM469"/>
      <c r="ALN469"/>
      <c r="ALO469"/>
      <c r="ALP469"/>
      <c r="ALQ469"/>
      <c r="ALR469"/>
      <c r="ALS469"/>
      <c r="ALT469"/>
    </row>
    <row r="470" spans="1:1008" ht="136">
      <c r="A470" s="24" t="s">
        <v>4014</v>
      </c>
      <c r="B470" s="25" t="s">
        <v>3042</v>
      </c>
      <c r="C470" s="24" t="s">
        <v>4014</v>
      </c>
      <c r="D470" s="26"/>
      <c r="E470" s="24" t="s">
        <v>4012</v>
      </c>
      <c r="F470" s="28" t="s">
        <v>4013</v>
      </c>
      <c r="G470" s="24"/>
      <c r="H470" s="27"/>
      <c r="I470" s="19"/>
      <c r="J470"/>
      <c r="K470"/>
      <c r="L470"/>
      <c r="M470"/>
      <c r="N470"/>
      <c r="O470"/>
      <c r="P470"/>
      <c r="Q470"/>
      <c r="R470"/>
      <c r="S470"/>
      <c r="T470"/>
      <c r="U470"/>
      <c r="V470"/>
      <c r="W470"/>
      <c r="X470"/>
      <c r="Y470"/>
      <c r="Z470"/>
      <c r="AA470"/>
      <c r="AB470"/>
      <c r="AC470"/>
      <c r="AD470"/>
      <c r="AE470"/>
      <c r="AF470"/>
      <c r="AG470"/>
      <c r="AH470"/>
      <c r="AI470"/>
      <c r="AJ470"/>
      <c r="AK470"/>
      <c r="AL470"/>
      <c r="AM470"/>
      <c r="AN470"/>
      <c r="AO470"/>
      <c r="AP470"/>
      <c r="AQ470"/>
      <c r="AR470"/>
      <c r="AS470"/>
      <c r="AT470"/>
      <c r="AU470"/>
      <c r="AV470"/>
      <c r="AW470"/>
      <c r="AX470"/>
      <c r="AY470"/>
      <c r="AZ470"/>
      <c r="BA470"/>
      <c r="BB470"/>
      <c r="BC470"/>
      <c r="BD470"/>
      <c r="BE470"/>
      <c r="BF470"/>
      <c r="BG470"/>
      <c r="BH470"/>
      <c r="BI470"/>
      <c r="BJ470"/>
      <c r="BK470"/>
      <c r="BL470"/>
      <c r="BM470"/>
      <c r="BN470"/>
      <c r="BO470"/>
      <c r="BP470"/>
      <c r="BQ470"/>
      <c r="BR470"/>
      <c r="BS470"/>
      <c r="BT470"/>
      <c r="BU470"/>
      <c r="BV470"/>
      <c r="BW470"/>
      <c r="BX470"/>
      <c r="BY470"/>
      <c r="BZ470"/>
      <c r="CA470"/>
      <c r="CB470"/>
      <c r="CC470"/>
      <c r="CD470"/>
      <c r="CE470"/>
      <c r="CF470"/>
      <c r="CG470"/>
      <c r="CH470"/>
      <c r="CI470"/>
      <c r="CJ470"/>
      <c r="CK470"/>
      <c r="CL470"/>
      <c r="CM470"/>
      <c r="CN470"/>
      <c r="CO470"/>
      <c r="CP470"/>
      <c r="CQ470"/>
      <c r="CR470"/>
      <c r="CS470"/>
      <c r="CT470"/>
      <c r="CU470"/>
      <c r="CV470"/>
      <c r="CW470"/>
      <c r="CX470"/>
      <c r="CY470"/>
      <c r="CZ470"/>
      <c r="DA470"/>
      <c r="DB470"/>
      <c r="DC470"/>
      <c r="DD470"/>
      <c r="DE470"/>
      <c r="DF470"/>
      <c r="DG470"/>
      <c r="DH470"/>
      <c r="DI470"/>
      <c r="DJ470"/>
      <c r="DK470"/>
      <c r="DL470"/>
      <c r="DM470"/>
      <c r="DN470"/>
      <c r="DO470"/>
      <c r="DP470"/>
      <c r="DQ470"/>
      <c r="DR470"/>
      <c r="DS470"/>
      <c r="DT470"/>
      <c r="DU470"/>
      <c r="DV470"/>
      <c r="DW470"/>
      <c r="DX470"/>
      <c r="DY470"/>
      <c r="DZ470"/>
      <c r="EA470"/>
      <c r="EB470"/>
      <c r="EC470"/>
      <c r="ED470"/>
      <c r="EE470"/>
      <c r="EF470"/>
      <c r="EG470"/>
      <c r="EH470"/>
      <c r="EI470"/>
      <c r="EJ470"/>
      <c r="EK470"/>
      <c r="EL470"/>
      <c r="EM470"/>
      <c r="EN470"/>
      <c r="EO470"/>
      <c r="EP470"/>
      <c r="EQ470"/>
      <c r="ER470"/>
      <c r="ES470"/>
      <c r="ET470"/>
      <c r="EU470"/>
      <c r="EV470"/>
      <c r="EW470"/>
      <c r="EX470"/>
      <c r="EY470"/>
      <c r="EZ470"/>
      <c r="FA470"/>
      <c r="FB470"/>
      <c r="FC470"/>
      <c r="FD470"/>
      <c r="FE470"/>
      <c r="FF470"/>
      <c r="FG470"/>
      <c r="FH470"/>
      <c r="FI470"/>
      <c r="FJ470"/>
      <c r="FK470"/>
      <c r="FL470"/>
      <c r="FM470"/>
      <c r="FN470"/>
      <c r="FO470"/>
      <c r="FP470"/>
      <c r="FQ470"/>
      <c r="FR470"/>
      <c r="FS470"/>
      <c r="FT470"/>
      <c r="FU470"/>
      <c r="FV470"/>
      <c r="FW470"/>
      <c r="FX470"/>
      <c r="FY470"/>
      <c r="FZ470"/>
      <c r="GA470"/>
      <c r="GB470"/>
      <c r="GC470"/>
      <c r="GD470"/>
      <c r="GE470"/>
      <c r="GF470"/>
      <c r="GG470"/>
      <c r="GH470"/>
      <c r="GI470"/>
      <c r="GJ470"/>
      <c r="GK470"/>
      <c r="GL470"/>
      <c r="GM470"/>
      <c r="GN470"/>
      <c r="GO470"/>
      <c r="GP470"/>
      <c r="GQ470"/>
      <c r="GR470"/>
      <c r="GS470"/>
      <c r="GT470"/>
      <c r="GU470"/>
      <c r="GV470"/>
      <c r="GW470"/>
      <c r="GX470"/>
      <c r="GY470"/>
      <c r="GZ470"/>
      <c r="HA470"/>
      <c r="HB470"/>
      <c r="HC470"/>
      <c r="HD470"/>
      <c r="HE470"/>
      <c r="HF470"/>
      <c r="HG470"/>
      <c r="HH470"/>
      <c r="HI470"/>
      <c r="HJ470"/>
      <c r="HK470"/>
      <c r="HL470"/>
      <c r="HM470"/>
      <c r="HN470"/>
      <c r="HO470"/>
      <c r="HP470"/>
      <c r="HQ470"/>
      <c r="HR470"/>
      <c r="HS470"/>
      <c r="HT470"/>
      <c r="HU470"/>
      <c r="HV470"/>
      <c r="HW470"/>
      <c r="HX470"/>
      <c r="HY470"/>
      <c r="HZ470"/>
      <c r="IA470"/>
      <c r="IB470"/>
      <c r="IC470"/>
      <c r="ID470"/>
      <c r="IE470"/>
      <c r="IF470"/>
      <c r="IG470"/>
      <c r="IH470"/>
      <c r="II470"/>
      <c r="IJ470"/>
      <c r="IK470"/>
      <c r="IL470"/>
      <c r="IM470"/>
      <c r="IN470"/>
      <c r="IO470"/>
      <c r="IP470"/>
      <c r="IQ470"/>
      <c r="IR470"/>
      <c r="IS470"/>
      <c r="IT470"/>
      <c r="IU470"/>
      <c r="IV470"/>
      <c r="IW470"/>
      <c r="IX470"/>
      <c r="IY470"/>
      <c r="IZ470"/>
      <c r="JA470"/>
      <c r="JB470"/>
      <c r="JC470"/>
      <c r="JD470"/>
      <c r="JE470"/>
      <c r="JF470"/>
      <c r="JG470"/>
      <c r="JH470"/>
      <c r="JI470"/>
      <c r="JJ470"/>
      <c r="JK470"/>
      <c r="JL470"/>
      <c r="JM470"/>
      <c r="JN470"/>
      <c r="JO470"/>
      <c r="JP470"/>
      <c r="JQ470"/>
      <c r="JR470"/>
      <c r="JS470"/>
      <c r="JT470"/>
      <c r="JU470"/>
      <c r="JV470"/>
      <c r="JW470"/>
      <c r="JX470"/>
      <c r="JY470"/>
      <c r="JZ470"/>
      <c r="KA470"/>
      <c r="KB470"/>
      <c r="KC470"/>
      <c r="KD470"/>
      <c r="KE470"/>
      <c r="KF470"/>
      <c r="KG470"/>
      <c r="KH470"/>
      <c r="KI470"/>
      <c r="KJ470"/>
      <c r="KK470"/>
      <c r="KL470"/>
      <c r="KM470"/>
      <c r="KN470"/>
      <c r="KO470"/>
      <c r="KP470"/>
      <c r="KQ470"/>
      <c r="KR470"/>
      <c r="KS470"/>
      <c r="KT470"/>
      <c r="KU470"/>
      <c r="KV470"/>
      <c r="KW470"/>
      <c r="KX470"/>
      <c r="KY470"/>
      <c r="KZ470"/>
      <c r="LA470"/>
      <c r="LB470"/>
      <c r="LC470"/>
      <c r="LD470"/>
      <c r="LE470"/>
      <c r="LF470"/>
      <c r="LG470"/>
      <c r="LH470"/>
      <c r="LI470"/>
      <c r="LJ470"/>
      <c r="LK470"/>
      <c r="LL470"/>
      <c r="LM470"/>
      <c r="LN470"/>
      <c r="LO470"/>
      <c r="LP470"/>
      <c r="LQ470"/>
      <c r="LR470"/>
      <c r="LS470"/>
      <c r="LT470"/>
      <c r="LU470"/>
      <c r="LV470"/>
      <c r="LW470"/>
      <c r="LX470"/>
      <c r="LY470"/>
      <c r="LZ470"/>
      <c r="MA470"/>
      <c r="MB470"/>
      <c r="MC470"/>
      <c r="MD470"/>
      <c r="ME470"/>
      <c r="MF470"/>
      <c r="MG470"/>
      <c r="MH470"/>
      <c r="MI470"/>
      <c r="MJ470"/>
      <c r="MK470"/>
      <c r="ML470"/>
      <c r="MM470"/>
      <c r="MN470"/>
      <c r="MO470"/>
      <c r="MP470"/>
      <c r="MQ470"/>
      <c r="MR470"/>
      <c r="MS470"/>
      <c r="MT470"/>
      <c r="MU470"/>
      <c r="MV470"/>
      <c r="MW470"/>
      <c r="MX470"/>
      <c r="MY470"/>
      <c r="MZ470"/>
      <c r="NA470"/>
      <c r="NB470"/>
      <c r="NC470"/>
      <c r="ND470"/>
      <c r="NE470"/>
      <c r="NF470"/>
      <c r="NG470"/>
      <c r="NH470"/>
      <c r="NI470"/>
      <c r="NJ470"/>
      <c r="NK470"/>
      <c r="NL470"/>
      <c r="NM470"/>
      <c r="NN470"/>
      <c r="NO470"/>
      <c r="NP470"/>
      <c r="NQ470"/>
      <c r="NR470"/>
      <c r="NS470"/>
      <c r="NT470"/>
      <c r="NU470"/>
      <c r="NV470"/>
      <c r="NW470"/>
      <c r="NX470"/>
      <c r="NY470"/>
      <c r="NZ470"/>
      <c r="OA470"/>
      <c r="OB470"/>
      <c r="OC470"/>
      <c r="OD470"/>
      <c r="OE470"/>
      <c r="OF470"/>
      <c r="OG470"/>
      <c r="OH470"/>
      <c r="OI470"/>
      <c r="OJ470"/>
      <c r="OK470"/>
      <c r="OL470"/>
      <c r="OM470"/>
      <c r="ON470"/>
      <c r="OO470"/>
      <c r="OP470"/>
      <c r="OQ470"/>
      <c r="OR470"/>
      <c r="OS470"/>
      <c r="OT470"/>
      <c r="OU470"/>
      <c r="OV470"/>
      <c r="OW470"/>
      <c r="OX470"/>
      <c r="OY470"/>
      <c r="OZ470"/>
      <c r="PA470"/>
      <c r="PB470"/>
      <c r="PC470"/>
      <c r="PD470"/>
      <c r="PE470"/>
      <c r="PF470"/>
      <c r="PG470"/>
      <c r="PH470"/>
      <c r="PI470"/>
      <c r="PJ470"/>
      <c r="PK470"/>
      <c r="PL470"/>
      <c r="PM470"/>
      <c r="PN470"/>
      <c r="PO470"/>
      <c r="PP470"/>
      <c r="PQ470"/>
      <c r="PR470"/>
      <c r="PS470"/>
      <c r="PT470"/>
      <c r="PU470"/>
      <c r="PV470"/>
      <c r="PW470"/>
      <c r="PX470"/>
      <c r="PY470"/>
      <c r="PZ470"/>
      <c r="QA470"/>
      <c r="QB470"/>
      <c r="QC470"/>
      <c r="QD470"/>
      <c r="QE470"/>
      <c r="QF470"/>
      <c r="QG470"/>
      <c r="QH470"/>
      <c r="QI470"/>
      <c r="QJ470"/>
      <c r="QK470"/>
      <c r="QL470"/>
      <c r="QM470"/>
      <c r="QN470"/>
      <c r="QO470"/>
      <c r="QP470"/>
      <c r="QQ470"/>
      <c r="QR470"/>
      <c r="QS470"/>
      <c r="QT470"/>
      <c r="QU470"/>
      <c r="QV470"/>
      <c r="QW470"/>
      <c r="QX470"/>
      <c r="QY470"/>
      <c r="QZ470"/>
      <c r="RA470"/>
      <c r="RB470"/>
      <c r="RC470"/>
      <c r="RD470"/>
      <c r="RE470"/>
      <c r="RF470"/>
      <c r="RG470"/>
      <c r="RH470"/>
      <c r="RI470"/>
      <c r="RJ470"/>
      <c r="RK470"/>
      <c r="RL470"/>
      <c r="RM470"/>
      <c r="RN470"/>
      <c r="RO470"/>
      <c r="RP470"/>
      <c r="RQ470"/>
      <c r="RR470"/>
      <c r="RS470"/>
      <c r="RT470"/>
      <c r="RU470"/>
      <c r="RV470"/>
      <c r="RW470"/>
      <c r="RX470"/>
      <c r="RY470"/>
      <c r="RZ470"/>
      <c r="SA470"/>
      <c r="SB470"/>
      <c r="SC470"/>
      <c r="SD470"/>
      <c r="SE470"/>
      <c r="SF470"/>
      <c r="SG470"/>
      <c r="SH470"/>
      <c r="SI470"/>
      <c r="SJ470"/>
      <c r="SK470"/>
      <c r="SL470"/>
      <c r="SM470"/>
      <c r="SN470"/>
      <c r="SO470"/>
      <c r="SP470"/>
      <c r="SQ470"/>
      <c r="SR470"/>
      <c r="SS470"/>
      <c r="ST470"/>
      <c r="SU470"/>
      <c r="SV470"/>
      <c r="SW470"/>
      <c r="SX470"/>
      <c r="SY470"/>
      <c r="SZ470"/>
      <c r="TA470"/>
      <c r="TB470"/>
      <c r="TC470"/>
      <c r="TD470"/>
      <c r="TE470"/>
      <c r="TF470"/>
      <c r="TG470"/>
      <c r="TH470"/>
      <c r="TI470"/>
      <c r="TJ470"/>
      <c r="TK470"/>
      <c r="TL470"/>
      <c r="TM470"/>
      <c r="TN470"/>
      <c r="TO470"/>
      <c r="TP470"/>
      <c r="TQ470"/>
      <c r="TR470"/>
      <c r="TS470"/>
      <c r="TT470"/>
      <c r="TU470"/>
      <c r="TV470"/>
      <c r="TW470"/>
      <c r="TX470"/>
      <c r="TY470"/>
      <c r="TZ470"/>
      <c r="UA470"/>
      <c r="UB470"/>
      <c r="UC470"/>
      <c r="UD470"/>
      <c r="UE470"/>
      <c r="UF470"/>
      <c r="UG470"/>
      <c r="UH470"/>
      <c r="UI470"/>
      <c r="UJ470"/>
      <c r="UK470"/>
      <c r="UL470"/>
      <c r="UM470"/>
      <c r="UN470"/>
      <c r="UO470"/>
      <c r="UP470"/>
      <c r="UQ470"/>
      <c r="UR470"/>
      <c r="US470"/>
      <c r="UT470"/>
      <c r="UU470"/>
      <c r="UV470"/>
      <c r="UW470"/>
      <c r="UX470"/>
      <c r="UY470"/>
      <c r="UZ470"/>
      <c r="VA470"/>
      <c r="VB470"/>
      <c r="VC470"/>
      <c r="VD470"/>
      <c r="VE470"/>
      <c r="VF470"/>
      <c r="VG470"/>
      <c r="VH470"/>
      <c r="VI470"/>
      <c r="VJ470"/>
      <c r="VK470"/>
      <c r="VL470"/>
      <c r="VM470"/>
      <c r="VN470"/>
      <c r="VO470"/>
      <c r="VP470"/>
      <c r="VQ470"/>
      <c r="VR470"/>
      <c r="VS470"/>
      <c r="VT470"/>
      <c r="VU470"/>
      <c r="VV470"/>
      <c r="VW470"/>
      <c r="VX470"/>
      <c r="VY470"/>
      <c r="VZ470"/>
      <c r="WA470"/>
      <c r="WB470"/>
      <c r="WC470"/>
      <c r="WD470"/>
      <c r="WE470"/>
      <c r="WF470"/>
      <c r="WG470"/>
      <c r="WH470"/>
      <c r="WI470"/>
      <c r="WJ470"/>
      <c r="WK470"/>
      <c r="WL470"/>
      <c r="WM470"/>
      <c r="WN470"/>
      <c r="WO470"/>
      <c r="WP470"/>
      <c r="WQ470"/>
      <c r="WR470"/>
      <c r="WS470"/>
      <c r="WT470"/>
      <c r="WU470"/>
      <c r="WV470"/>
      <c r="WW470"/>
      <c r="WX470"/>
      <c r="WY470"/>
      <c r="WZ470"/>
      <c r="XA470"/>
      <c r="XB470"/>
      <c r="XC470"/>
      <c r="XD470"/>
      <c r="XE470"/>
      <c r="XF470"/>
      <c r="XG470"/>
      <c r="XH470"/>
      <c r="XI470"/>
      <c r="XJ470"/>
      <c r="XK470"/>
      <c r="XL470"/>
      <c r="XM470"/>
      <c r="XN470"/>
      <c r="XO470"/>
      <c r="XP470"/>
      <c r="XQ470"/>
      <c r="XR470"/>
      <c r="XS470"/>
      <c r="XT470"/>
      <c r="XU470"/>
      <c r="XV470"/>
      <c r="XW470"/>
      <c r="XX470"/>
      <c r="XY470"/>
      <c r="XZ470"/>
      <c r="YA470"/>
      <c r="YB470"/>
      <c r="YC470"/>
      <c r="YD470"/>
      <c r="YE470"/>
      <c r="YF470"/>
      <c r="YG470"/>
      <c r="YH470"/>
      <c r="YI470"/>
      <c r="YJ470"/>
      <c r="YK470"/>
      <c r="YL470"/>
      <c r="YM470"/>
      <c r="YN470"/>
      <c r="YO470"/>
      <c r="YP470"/>
      <c r="YQ470"/>
      <c r="YR470"/>
      <c r="YS470"/>
      <c r="YT470"/>
      <c r="YU470"/>
      <c r="YV470"/>
      <c r="YW470"/>
      <c r="YX470"/>
      <c r="YY470"/>
      <c r="YZ470"/>
      <c r="ZA470"/>
      <c r="ZB470"/>
      <c r="ZC470"/>
      <c r="ZD470"/>
      <c r="ZE470"/>
      <c r="ZF470"/>
      <c r="ZG470"/>
      <c r="ZH470"/>
      <c r="ZI470"/>
      <c r="ZJ470"/>
      <c r="ZK470"/>
      <c r="ZL470"/>
      <c r="ZM470"/>
      <c r="ZN470"/>
      <c r="ZO470"/>
      <c r="ZP470"/>
      <c r="ZQ470"/>
      <c r="ZR470"/>
      <c r="ZS470"/>
      <c r="ZT470"/>
      <c r="ZU470"/>
      <c r="ZV470"/>
      <c r="ZW470"/>
      <c r="ZX470"/>
      <c r="ZY470"/>
      <c r="ZZ470"/>
      <c r="AAA470"/>
      <c r="AAB470"/>
      <c r="AAC470"/>
      <c r="AAD470"/>
      <c r="AAE470"/>
      <c r="AAF470"/>
      <c r="AAG470"/>
      <c r="AAH470"/>
      <c r="AAI470"/>
      <c r="AAJ470"/>
      <c r="AAK470"/>
      <c r="AAL470"/>
      <c r="AAM470"/>
      <c r="AAN470"/>
      <c r="AAO470"/>
      <c r="AAP470"/>
      <c r="AAQ470"/>
      <c r="AAR470"/>
      <c r="AAS470"/>
      <c r="AAT470"/>
      <c r="AAU470"/>
      <c r="AAV470"/>
      <c r="AAW470"/>
      <c r="AAX470"/>
      <c r="AAY470"/>
      <c r="AAZ470"/>
      <c r="ABA470"/>
      <c r="ABB470"/>
      <c r="ABC470"/>
      <c r="ABD470"/>
      <c r="ABE470"/>
      <c r="ABF470"/>
      <c r="ABG470"/>
      <c r="ABH470"/>
      <c r="ABI470"/>
      <c r="ABJ470"/>
      <c r="ABK470"/>
      <c r="ABL470"/>
      <c r="ABM470"/>
      <c r="ABN470"/>
      <c r="ABO470"/>
      <c r="ABP470"/>
      <c r="ABQ470"/>
      <c r="ABR470"/>
      <c r="ABS470"/>
      <c r="ABT470"/>
      <c r="ABU470"/>
      <c r="ABV470"/>
      <c r="ABW470"/>
      <c r="ABX470"/>
      <c r="ABY470"/>
      <c r="ABZ470"/>
      <c r="ACA470"/>
      <c r="ACB470"/>
      <c r="ACC470"/>
      <c r="ACD470"/>
      <c r="ACE470"/>
      <c r="ACF470"/>
      <c r="ACG470"/>
      <c r="ACH470"/>
      <c r="ACI470"/>
      <c r="ACJ470"/>
      <c r="ACK470"/>
      <c r="ACL470"/>
      <c r="ACM470"/>
      <c r="ACN470"/>
      <c r="ACO470"/>
      <c r="ACP470"/>
      <c r="ACQ470"/>
      <c r="ACR470"/>
      <c r="ACS470"/>
      <c r="ACT470"/>
      <c r="ACU470"/>
      <c r="ACV470"/>
      <c r="ACW470"/>
      <c r="ACX470"/>
      <c r="ACY470"/>
      <c r="ACZ470"/>
      <c r="ADA470"/>
      <c r="ADB470"/>
      <c r="ADC470"/>
      <c r="ADD470"/>
      <c r="ADE470"/>
      <c r="ADF470"/>
      <c r="ADG470"/>
      <c r="ADH470"/>
      <c r="ADI470"/>
      <c r="ADJ470"/>
      <c r="ADK470"/>
      <c r="ADL470"/>
      <c r="ADM470"/>
      <c r="ADN470"/>
      <c r="ADO470"/>
      <c r="ADP470"/>
      <c r="ADQ470"/>
      <c r="ADR470"/>
      <c r="ADS470"/>
      <c r="ADT470"/>
      <c r="ADU470"/>
      <c r="ADV470"/>
      <c r="ADW470"/>
      <c r="ADX470"/>
      <c r="ADY470"/>
      <c r="ADZ470"/>
      <c r="AEA470"/>
      <c r="AEB470"/>
      <c r="AEC470"/>
      <c r="AED470"/>
      <c r="AEE470"/>
      <c r="AEF470"/>
      <c r="AEG470"/>
      <c r="AEH470"/>
      <c r="AEI470"/>
      <c r="AEJ470"/>
      <c r="AEK470"/>
      <c r="AEL470"/>
      <c r="AEM470"/>
      <c r="AEN470"/>
      <c r="AEO470"/>
      <c r="AEP470"/>
      <c r="AEQ470"/>
      <c r="AER470"/>
      <c r="AES470"/>
      <c r="AET470"/>
      <c r="AEU470"/>
      <c r="AEV470"/>
      <c r="AEW470"/>
      <c r="AEX470"/>
      <c r="AEY470"/>
      <c r="AEZ470"/>
      <c r="AFA470"/>
      <c r="AFB470"/>
      <c r="AFC470"/>
      <c r="AFD470"/>
      <c r="AFE470"/>
      <c r="AFF470"/>
      <c r="AFG470"/>
      <c r="AFH470"/>
      <c r="AFI470"/>
      <c r="AFJ470"/>
      <c r="AFK470"/>
      <c r="AFL470"/>
      <c r="AFM470"/>
      <c r="AFN470"/>
      <c r="AFO470"/>
      <c r="AFP470"/>
      <c r="AFQ470"/>
      <c r="AFR470"/>
      <c r="AFS470"/>
      <c r="AFT470"/>
      <c r="AFU470"/>
      <c r="AFV470"/>
      <c r="AFW470"/>
      <c r="AFX470"/>
      <c r="AFY470"/>
      <c r="AFZ470"/>
      <c r="AGA470"/>
      <c r="AGB470"/>
      <c r="AGC470"/>
      <c r="AGD470"/>
      <c r="AGE470"/>
      <c r="AGF470"/>
      <c r="AGG470"/>
      <c r="AGH470"/>
      <c r="AGI470"/>
      <c r="AGJ470"/>
      <c r="AGK470"/>
      <c r="AGL470"/>
      <c r="AGM470"/>
      <c r="AGN470"/>
      <c r="AGO470"/>
      <c r="AGP470"/>
      <c r="AGQ470"/>
      <c r="AGR470"/>
      <c r="AGS470"/>
      <c r="AGT470"/>
      <c r="AGU470"/>
      <c r="AGV470"/>
      <c r="AGW470"/>
      <c r="AGX470"/>
      <c r="AGY470"/>
      <c r="AGZ470"/>
      <c r="AHA470"/>
      <c r="AHB470"/>
      <c r="AHC470"/>
      <c r="AHD470"/>
      <c r="AHE470"/>
      <c r="AHF470"/>
      <c r="AHG470"/>
      <c r="AHH470"/>
      <c r="AHI470"/>
      <c r="AHJ470"/>
      <c r="AHK470"/>
      <c r="AHL470"/>
      <c r="AHM470"/>
      <c r="AHN470"/>
      <c r="AHO470"/>
      <c r="AHP470"/>
      <c r="AHQ470"/>
      <c r="AHR470"/>
      <c r="AHS470"/>
      <c r="AHT470"/>
      <c r="AHU470"/>
      <c r="AHV470"/>
      <c r="AHW470"/>
      <c r="AHX470"/>
      <c r="AHY470"/>
      <c r="AHZ470"/>
      <c r="AIA470"/>
      <c r="AIB470"/>
      <c r="AIC470"/>
      <c r="AID470"/>
      <c r="AIE470"/>
      <c r="AIF470"/>
      <c r="AIG470"/>
      <c r="AIH470"/>
      <c r="AII470"/>
      <c r="AIJ470"/>
      <c r="AIK470"/>
      <c r="AIL470"/>
      <c r="AIM470"/>
      <c r="AIN470"/>
      <c r="AIO470"/>
      <c r="AIP470"/>
      <c r="AIQ470"/>
      <c r="AIR470"/>
      <c r="AIS470"/>
      <c r="AIT470"/>
      <c r="AIU470"/>
      <c r="AIV470"/>
      <c r="AIW470"/>
      <c r="AIX470"/>
      <c r="AIY470"/>
      <c r="AIZ470"/>
      <c r="AJA470"/>
      <c r="AJB470"/>
      <c r="AJC470"/>
      <c r="AJD470"/>
      <c r="AJE470"/>
      <c r="AJF470"/>
      <c r="AJG470"/>
      <c r="AJH470"/>
      <c r="AJI470"/>
      <c r="AJJ470"/>
      <c r="AJK470"/>
      <c r="AJL470"/>
      <c r="AJM470"/>
      <c r="AJN470"/>
      <c r="AJO470"/>
      <c r="AJP470"/>
      <c r="AJQ470"/>
      <c r="AJR470"/>
      <c r="AJS470"/>
      <c r="AJT470"/>
      <c r="AJU470"/>
      <c r="AJV470"/>
      <c r="AJW470"/>
      <c r="AJX470"/>
      <c r="AJY470"/>
      <c r="AJZ470"/>
      <c r="AKA470"/>
      <c r="AKB470"/>
      <c r="AKC470"/>
      <c r="AKD470"/>
      <c r="AKE470"/>
      <c r="AKF470"/>
      <c r="AKG470"/>
      <c r="AKH470"/>
      <c r="AKI470"/>
      <c r="AKJ470"/>
      <c r="AKK470"/>
      <c r="AKL470"/>
      <c r="AKM470"/>
      <c r="AKN470"/>
      <c r="AKO470"/>
      <c r="AKP470"/>
      <c r="AKQ470"/>
      <c r="AKR470"/>
      <c r="AKS470"/>
      <c r="AKT470"/>
      <c r="AKU470"/>
      <c r="AKV470"/>
      <c r="AKW470"/>
      <c r="AKX470"/>
      <c r="AKY470"/>
      <c r="AKZ470"/>
      <c r="ALA470"/>
      <c r="ALB470"/>
      <c r="ALC470"/>
      <c r="ALD470"/>
      <c r="ALE470"/>
      <c r="ALF470"/>
      <c r="ALG470"/>
      <c r="ALH470"/>
      <c r="ALI470"/>
      <c r="ALJ470"/>
      <c r="ALK470"/>
      <c r="ALL470"/>
      <c r="ALM470"/>
      <c r="ALN470"/>
      <c r="ALO470"/>
      <c r="ALP470"/>
      <c r="ALQ470"/>
      <c r="ALR470"/>
      <c r="ALS470"/>
      <c r="ALT470"/>
    </row>
    <row r="471" spans="1:1008" ht="14">
      <c r="A471" s="24" t="s">
        <v>1256</v>
      </c>
      <c r="B471" s="25" t="s">
        <v>108</v>
      </c>
      <c r="C471" s="24" t="str">
        <f t="shared" si="8"/>
        <v>arg0</v>
      </c>
      <c r="D471" s="26" t="s">
        <v>12</v>
      </c>
      <c r="E471" s="24" t="s">
        <v>1257</v>
      </c>
      <c r="F471" s="24" t="s">
        <v>1258</v>
      </c>
      <c r="G471" s="24">
        <v>500</v>
      </c>
      <c r="H471" s="24"/>
    </row>
    <row r="472" spans="1:1008" ht="14">
      <c r="A472" s="24" t="s">
        <v>1259</v>
      </c>
      <c r="B472" s="25" t="s">
        <v>108</v>
      </c>
      <c r="C472" s="24" t="str">
        <f t="shared" si="8"/>
        <v>arg10</v>
      </c>
      <c r="D472" s="26" t="s">
        <v>12</v>
      </c>
      <c r="E472" s="24" t="s">
        <v>1260</v>
      </c>
      <c r="F472" s="24" t="s">
        <v>1261</v>
      </c>
      <c r="G472" s="24">
        <v>500</v>
      </c>
      <c r="H472" s="24"/>
    </row>
    <row r="473" spans="1:1008" ht="14">
      <c r="A473" s="24" t="s">
        <v>1262</v>
      </c>
      <c r="B473" s="25" t="s">
        <v>108</v>
      </c>
      <c r="C473" s="24" t="str">
        <f t="shared" si="8"/>
        <v>arg6</v>
      </c>
      <c r="D473" s="26" t="s">
        <v>12</v>
      </c>
      <c r="E473" s="24" t="s">
        <v>1263</v>
      </c>
      <c r="F473" s="24" t="s">
        <v>1264</v>
      </c>
      <c r="G473" s="24">
        <v>500</v>
      </c>
      <c r="H473" s="24"/>
    </row>
    <row r="474" spans="1:1008" ht="14">
      <c r="A474" s="24" t="s">
        <v>1265</v>
      </c>
      <c r="B474" s="25" t="s">
        <v>108</v>
      </c>
      <c r="C474" s="24" t="str">
        <f t="shared" si="8"/>
        <v>lys0</v>
      </c>
      <c r="D474" s="26" t="s">
        <v>12</v>
      </c>
      <c r="E474" s="24" t="s">
        <v>1266</v>
      </c>
      <c r="F474" s="26" t="s">
        <v>2801</v>
      </c>
      <c r="G474" s="24">
        <v>500</v>
      </c>
      <c r="H474" s="24"/>
    </row>
    <row r="475" spans="1:1008" ht="14">
      <c r="A475" s="24" t="s">
        <v>1267</v>
      </c>
      <c r="B475" s="25" t="s">
        <v>108</v>
      </c>
      <c r="C475" s="24" t="str">
        <f t="shared" si="8"/>
        <v>lys4</v>
      </c>
      <c r="D475" s="26" t="s">
        <v>12</v>
      </c>
      <c r="E475" s="24" t="s">
        <v>1268</v>
      </c>
      <c r="F475" s="24" t="s">
        <v>1269</v>
      </c>
      <c r="G475" s="24">
        <v>500</v>
      </c>
      <c r="H475" s="24"/>
    </row>
    <row r="476" spans="1:1008" ht="14">
      <c r="A476" s="24" t="s">
        <v>1270</v>
      </c>
      <c r="B476" s="25" t="s">
        <v>108</v>
      </c>
      <c r="C476" s="24" t="str">
        <f t="shared" si="8"/>
        <v>lys6</v>
      </c>
      <c r="D476" s="26" t="s">
        <v>12</v>
      </c>
      <c r="E476" s="24" t="s">
        <v>1271</v>
      </c>
      <c r="F476" s="24" t="s">
        <v>1272</v>
      </c>
      <c r="G476" s="24">
        <v>500</v>
      </c>
      <c r="H476" s="24"/>
    </row>
    <row r="477" spans="1:1008" ht="14">
      <c r="A477" s="24" t="s">
        <v>1273</v>
      </c>
      <c r="B477" s="25" t="s">
        <v>108</v>
      </c>
      <c r="C477" s="24" t="str">
        <f t="shared" si="8"/>
        <v>lys8</v>
      </c>
      <c r="D477" s="26" t="s">
        <v>12</v>
      </c>
      <c r="E477" s="24" t="s">
        <v>1274</v>
      </c>
      <c r="F477" s="24" t="s">
        <v>1275</v>
      </c>
      <c r="G477" s="24">
        <v>500</v>
      </c>
      <c r="H477" s="24"/>
    </row>
    <row r="478" spans="1:1008" ht="14">
      <c r="A478" s="24" t="s">
        <v>2803</v>
      </c>
      <c r="B478" s="25" t="s">
        <v>108</v>
      </c>
      <c r="C478" s="24" t="str">
        <f t="shared" si="8"/>
        <v>lys0arg0</v>
      </c>
      <c r="D478" s="26" t="s">
        <v>12</v>
      </c>
      <c r="E478" s="24" t="s">
        <v>2802</v>
      </c>
      <c r="F478" s="24" t="s">
        <v>2810</v>
      </c>
      <c r="G478" s="24">
        <v>500</v>
      </c>
      <c r="H478" s="24"/>
    </row>
    <row r="479" spans="1:1008" ht="14">
      <c r="A479" s="24" t="s">
        <v>2804</v>
      </c>
      <c r="B479" s="25" t="s">
        <v>108</v>
      </c>
      <c r="C479" s="24" t="str">
        <f t="shared" si="8"/>
        <v>lys4arg6</v>
      </c>
      <c r="D479" s="26"/>
      <c r="E479" s="24" t="s">
        <v>2805</v>
      </c>
      <c r="F479" s="24" t="s">
        <v>2809</v>
      </c>
      <c r="G479" s="24">
        <v>500</v>
      </c>
      <c r="H479" s="24"/>
    </row>
    <row r="480" spans="1:1008" ht="14">
      <c r="A480" s="24" t="s">
        <v>2806</v>
      </c>
      <c r="B480" s="25" t="s">
        <v>108</v>
      </c>
      <c r="C480" s="24" t="str">
        <f t="shared" si="8"/>
        <v>lys8arg10</v>
      </c>
      <c r="D480" s="26"/>
      <c r="E480" s="24" t="s">
        <v>2807</v>
      </c>
      <c r="F480" s="24" t="s">
        <v>2808</v>
      </c>
      <c r="G480" s="24">
        <v>500</v>
      </c>
      <c r="H480" s="24"/>
    </row>
    <row r="481" spans="1:8" ht="14">
      <c r="A481" s="24" t="s">
        <v>1276</v>
      </c>
      <c r="B481" s="25" t="s">
        <v>110</v>
      </c>
      <c r="C481" s="24" t="str">
        <f t="shared" si="8"/>
        <v>abc_transporters</v>
      </c>
      <c r="D481" s="26" t="s">
        <v>12</v>
      </c>
      <c r="E481" s="24" t="s">
        <v>1277</v>
      </c>
      <c r="F481" s="24" t="s">
        <v>1278</v>
      </c>
      <c r="G481" s="24">
        <v>500</v>
      </c>
      <c r="H481" s="24"/>
    </row>
    <row r="482" spans="1:8" ht="14">
      <c r="A482" s="24" t="s">
        <v>1279</v>
      </c>
      <c r="B482" s="25" t="s">
        <v>110</v>
      </c>
      <c r="C482" s="24" t="str">
        <f t="shared" si="8"/>
        <v>amidoxime_reducing_complex</v>
      </c>
      <c r="D482" s="26" t="s">
        <v>12</v>
      </c>
      <c r="E482" s="24" t="s">
        <v>1280</v>
      </c>
      <c r="F482" s="24" t="s">
        <v>1281</v>
      </c>
      <c r="G482" s="24">
        <v>500</v>
      </c>
      <c r="H482" s="24"/>
    </row>
    <row r="483" spans="1:8" ht="14">
      <c r="A483" s="24" t="s">
        <v>1282</v>
      </c>
      <c r="B483" s="25" t="s">
        <v>110</v>
      </c>
      <c r="C483" s="24" t="str">
        <f t="shared" si="8"/>
        <v>amino_acid_metabolism</v>
      </c>
      <c r="D483" s="26" t="s">
        <v>12</v>
      </c>
      <c r="E483" s="24" t="s">
        <v>1283</v>
      </c>
      <c r="F483" s="24" t="s">
        <v>1284</v>
      </c>
      <c r="G483" s="24">
        <v>500</v>
      </c>
      <c r="H483" s="24"/>
    </row>
    <row r="484" spans="1:8" ht="14">
      <c r="A484" s="24" t="s">
        <v>1285</v>
      </c>
      <c r="B484" s="25" t="s">
        <v>110</v>
      </c>
      <c r="C484" s="24" t="str">
        <f t="shared" si="8"/>
        <v>apoptosis</v>
      </c>
      <c r="D484" s="26" t="s">
        <v>12</v>
      </c>
      <c r="E484" s="24" t="s">
        <v>1286</v>
      </c>
      <c r="F484" s="24" t="s">
        <v>1287</v>
      </c>
      <c r="G484" s="24">
        <v>500</v>
      </c>
      <c r="H484" s="24"/>
    </row>
    <row r="485" spans="1:8" ht="14">
      <c r="A485" s="24" t="s">
        <v>1288</v>
      </c>
      <c r="B485" s="25" t="s">
        <v>110</v>
      </c>
      <c r="C485" s="24" t="str">
        <f t="shared" si="8"/>
        <v>autophagy</v>
      </c>
      <c r="D485" s="26" t="s">
        <v>12</v>
      </c>
      <c r="E485" s="24" t="s">
        <v>1289</v>
      </c>
      <c r="F485" s="24" t="s">
        <v>1290</v>
      </c>
      <c r="G485" s="24">
        <v>500</v>
      </c>
      <c r="H485" s="24"/>
    </row>
    <row r="486" spans="1:8" ht="14">
      <c r="A486" s="24" t="s">
        <v>1291</v>
      </c>
      <c r="B486" s="25" t="s">
        <v>110</v>
      </c>
      <c r="C486" s="24" t="str">
        <f t="shared" si="8"/>
        <v>biotin_utilizing_proteins</v>
      </c>
      <c r="D486" s="26" t="s">
        <v>12</v>
      </c>
      <c r="E486" s="24" t="s">
        <v>1292</v>
      </c>
      <c r="F486" s="24" t="s">
        <v>1293</v>
      </c>
      <c r="G486" s="24">
        <v>500</v>
      </c>
      <c r="H486" s="24"/>
    </row>
    <row r="487" spans="1:8" ht="14">
      <c r="A487" s="24" t="s">
        <v>1294</v>
      </c>
      <c r="B487" s="25" t="s">
        <v>110</v>
      </c>
      <c r="C487" s="24" t="str">
        <f t="shared" si="8"/>
        <v>branched_chain_amino_acid_dehydrogenase_complex</v>
      </c>
      <c r="D487" s="26" t="s">
        <v>12</v>
      </c>
      <c r="E487" s="24" t="s">
        <v>1295</v>
      </c>
      <c r="F487" s="24" t="s">
        <v>1296</v>
      </c>
      <c r="G487" s="24">
        <v>500</v>
      </c>
      <c r="H487" s="24"/>
    </row>
    <row r="488" spans="1:8" ht="14">
      <c r="A488" s="24" t="s">
        <v>1297</v>
      </c>
      <c r="B488" s="25" t="s">
        <v>110</v>
      </c>
      <c r="C488" s="24" t="str">
        <f t="shared" si="8"/>
        <v>branched_chain_amino_acid_metabolism</v>
      </c>
      <c r="D488" s="26" t="s">
        <v>12</v>
      </c>
      <c r="E488" s="24" t="s">
        <v>1298</v>
      </c>
      <c r="F488" s="24" t="s">
        <v>1299</v>
      </c>
      <c r="G488" s="24">
        <v>500</v>
      </c>
      <c r="H488" s="24"/>
    </row>
    <row r="489" spans="1:8" ht="14">
      <c r="A489" s="24" t="s">
        <v>1300</v>
      </c>
      <c r="B489" s="25" t="s">
        <v>110</v>
      </c>
      <c r="C489" s="24" t="str">
        <f t="shared" si="8"/>
        <v>calcium_cycle</v>
      </c>
      <c r="D489" s="26" t="s">
        <v>12</v>
      </c>
      <c r="E489" s="24" t="s">
        <v>1301</v>
      </c>
      <c r="F489" s="24" t="s">
        <v>1302</v>
      </c>
      <c r="G489" s="24">
        <v>500</v>
      </c>
      <c r="H489" s="24"/>
    </row>
    <row r="490" spans="1:8" ht="14">
      <c r="A490" s="24" t="s">
        <v>1303</v>
      </c>
      <c r="B490" s="25" t="s">
        <v>110</v>
      </c>
      <c r="C490" s="24" t="str">
        <f t="shared" si="8"/>
        <v>calcium_homeostasis</v>
      </c>
      <c r="D490" s="26" t="s">
        <v>12</v>
      </c>
      <c r="E490" s="24" t="s">
        <v>1304</v>
      </c>
      <c r="F490" s="24" t="s">
        <v>1305</v>
      </c>
      <c r="G490" s="24">
        <v>500</v>
      </c>
      <c r="H490" s="24"/>
    </row>
    <row r="491" spans="1:8" ht="14">
      <c r="A491" s="24" t="s">
        <v>1306</v>
      </c>
      <c r="B491" s="25" t="s">
        <v>110</v>
      </c>
      <c r="C491" s="24" t="str">
        <f t="shared" si="8"/>
        <v>calcium_uniporter</v>
      </c>
      <c r="D491" s="26" t="s">
        <v>12</v>
      </c>
      <c r="E491" s="24" t="s">
        <v>1307</v>
      </c>
      <c r="F491" s="24" t="s">
        <v>1308</v>
      </c>
      <c r="G491" s="24">
        <v>500</v>
      </c>
      <c r="H491" s="24"/>
    </row>
    <row r="492" spans="1:8" ht="14">
      <c r="A492" s="24" t="s">
        <v>1309</v>
      </c>
      <c r="B492" s="25" t="s">
        <v>110</v>
      </c>
      <c r="C492" s="24" t="str">
        <f t="shared" si="8"/>
        <v>camp_pka_signaling</v>
      </c>
      <c r="D492" s="26" t="s">
        <v>12</v>
      </c>
      <c r="E492" s="24" t="s">
        <v>1310</v>
      </c>
      <c r="F492" s="24" t="s">
        <v>1311</v>
      </c>
      <c r="G492" s="24">
        <v>500</v>
      </c>
      <c r="H492" s="24"/>
    </row>
    <row r="493" spans="1:8" ht="14">
      <c r="A493" s="24" t="s">
        <v>1312</v>
      </c>
      <c r="B493" s="25" t="s">
        <v>110</v>
      </c>
      <c r="C493" s="24" t="str">
        <f t="shared" si="8"/>
        <v>carbohydrate_metabolism</v>
      </c>
      <c r="D493" s="26" t="s">
        <v>12</v>
      </c>
      <c r="E493" s="24" t="s">
        <v>1313</v>
      </c>
      <c r="F493" s="24" t="s">
        <v>1314</v>
      </c>
      <c r="G493" s="24">
        <v>500</v>
      </c>
      <c r="H493" s="24"/>
    </row>
    <row r="494" spans="1:8" ht="14">
      <c r="A494" s="24" t="s">
        <v>1315</v>
      </c>
      <c r="B494" s="25" t="s">
        <v>110</v>
      </c>
      <c r="C494" s="24" t="str">
        <f t="shared" si="8"/>
        <v>cardiolipin_synthesis</v>
      </c>
      <c r="D494" s="26" t="s">
        <v>12</v>
      </c>
      <c r="E494" s="24" t="s">
        <v>1316</v>
      </c>
      <c r="F494" s="24" t="s">
        <v>1317</v>
      </c>
      <c r="G494" s="24">
        <v>500</v>
      </c>
      <c r="H494" s="24"/>
    </row>
    <row r="495" spans="1:8" ht="14">
      <c r="A495" s="24" t="s">
        <v>1318</v>
      </c>
      <c r="B495" s="25" t="s">
        <v>110</v>
      </c>
      <c r="C495" s="24" t="str">
        <f t="shared" si="8"/>
        <v>carnitine_shuttle</v>
      </c>
      <c r="D495" s="26" t="s">
        <v>12</v>
      </c>
      <c r="E495" s="24" t="s">
        <v>1319</v>
      </c>
      <c r="F495" s="24" t="s">
        <v>1320</v>
      </c>
      <c r="G495" s="24">
        <v>500</v>
      </c>
      <c r="H495" s="24"/>
    </row>
    <row r="496" spans="1:8" ht="14">
      <c r="A496" s="24" t="s">
        <v>1321</v>
      </c>
      <c r="B496" s="25" t="s">
        <v>110</v>
      </c>
      <c r="C496" s="24" t="str">
        <f t="shared" si="8"/>
        <v>carnitine_synthesis_and_transport</v>
      </c>
      <c r="D496" s="26" t="s">
        <v>12</v>
      </c>
      <c r="E496" s="24" t="s">
        <v>1322</v>
      </c>
      <c r="F496" s="24" t="s">
        <v>1323</v>
      </c>
      <c r="G496" s="24">
        <v>500</v>
      </c>
      <c r="H496" s="24"/>
    </row>
    <row r="497" spans="1:8" ht="14">
      <c r="A497" s="24" t="s">
        <v>1324</v>
      </c>
      <c r="B497" s="25" t="s">
        <v>110</v>
      </c>
      <c r="C497" s="24" t="str">
        <f t="shared" si="8"/>
        <v>catechol_metabolism</v>
      </c>
      <c r="D497" s="26" t="s">
        <v>12</v>
      </c>
      <c r="E497" s="24" t="s">
        <v>1325</v>
      </c>
      <c r="F497" s="24" t="s">
        <v>1326</v>
      </c>
      <c r="G497" s="24">
        <v>500</v>
      </c>
      <c r="H497" s="24"/>
    </row>
    <row r="498" spans="1:8" ht="14">
      <c r="A498" s="24" t="s">
        <v>1327</v>
      </c>
      <c r="B498" s="25" t="s">
        <v>110</v>
      </c>
      <c r="C498" s="24" t="str">
        <f t="shared" si="8"/>
        <v>chaperones</v>
      </c>
      <c r="D498" s="26" t="s">
        <v>12</v>
      </c>
      <c r="E498" s="24" t="s">
        <v>1328</v>
      </c>
      <c r="F498" s="24" t="s">
        <v>1329</v>
      </c>
      <c r="G498" s="24">
        <v>500</v>
      </c>
      <c r="H498" s="24"/>
    </row>
    <row r="499" spans="1:8" ht="14">
      <c r="A499" s="24" t="s">
        <v>1330</v>
      </c>
      <c r="B499" s="25" t="s">
        <v>110</v>
      </c>
      <c r="C499" s="24" t="str">
        <f t="shared" si="8"/>
        <v>cholesterol_associated</v>
      </c>
      <c r="D499" s="26" t="s">
        <v>12</v>
      </c>
      <c r="E499" s="24" t="s">
        <v>1331</v>
      </c>
      <c r="F499" s="24" t="s">
        <v>1332</v>
      </c>
      <c r="G499" s="24">
        <v>500</v>
      </c>
      <c r="H499" s="24"/>
    </row>
    <row r="500" spans="1:8" ht="14">
      <c r="A500" s="24" t="s">
        <v>1333</v>
      </c>
      <c r="B500" s="25" t="s">
        <v>110</v>
      </c>
      <c r="C500" s="24" t="str">
        <f t="shared" si="8"/>
        <v>choline_and_betaine_metabolism</v>
      </c>
      <c r="D500" s="26" t="s">
        <v>12</v>
      </c>
      <c r="E500" s="24" t="s">
        <v>1334</v>
      </c>
      <c r="F500" s="24" t="s">
        <v>1335</v>
      </c>
      <c r="G500" s="24">
        <v>500</v>
      </c>
      <c r="H500" s="24"/>
    </row>
    <row r="501" spans="1:8" ht="14">
      <c r="A501" s="24" t="s">
        <v>1336</v>
      </c>
      <c r="B501" s="25" t="s">
        <v>110</v>
      </c>
      <c r="C501" s="24" t="str">
        <f t="shared" si="8"/>
        <v>ci_assembly_factors</v>
      </c>
      <c r="D501" s="26" t="s">
        <v>12</v>
      </c>
      <c r="E501" s="24" t="s">
        <v>1337</v>
      </c>
      <c r="F501" s="24" t="s">
        <v>1338</v>
      </c>
      <c r="G501" s="24">
        <v>500</v>
      </c>
      <c r="H501" s="24"/>
    </row>
    <row r="502" spans="1:8" ht="14">
      <c r="A502" s="24" t="s">
        <v>1339</v>
      </c>
      <c r="B502" s="25" t="s">
        <v>110</v>
      </c>
      <c r="C502" s="24" t="str">
        <f t="shared" si="8"/>
        <v>ci_subunits</v>
      </c>
      <c r="D502" s="26" t="s">
        <v>12</v>
      </c>
      <c r="E502" s="24" t="s">
        <v>1340</v>
      </c>
      <c r="F502" s="24" t="s">
        <v>1341</v>
      </c>
      <c r="G502" s="24">
        <v>500</v>
      </c>
      <c r="H502" s="24"/>
    </row>
    <row r="503" spans="1:8" ht="14">
      <c r="A503" s="24" t="s">
        <v>1342</v>
      </c>
      <c r="B503" s="25" t="s">
        <v>110</v>
      </c>
      <c r="C503" s="24" t="str">
        <f t="shared" si="8"/>
        <v>cii_assembly_factors</v>
      </c>
      <c r="D503" s="26" t="s">
        <v>12</v>
      </c>
      <c r="E503" s="24" t="s">
        <v>1343</v>
      </c>
      <c r="F503" s="24" t="s">
        <v>1344</v>
      </c>
      <c r="G503" s="24">
        <v>500</v>
      </c>
      <c r="H503" s="24"/>
    </row>
    <row r="504" spans="1:8" ht="14">
      <c r="A504" s="24" t="s">
        <v>1345</v>
      </c>
      <c r="B504" s="25" t="s">
        <v>110</v>
      </c>
      <c r="C504" s="24" t="str">
        <f t="shared" si="8"/>
        <v>cii_subunits</v>
      </c>
      <c r="D504" s="26" t="s">
        <v>12</v>
      </c>
      <c r="E504" s="24" t="s">
        <v>1346</v>
      </c>
      <c r="F504" s="24" t="s">
        <v>1347</v>
      </c>
      <c r="G504" s="24">
        <v>500</v>
      </c>
      <c r="H504" s="24"/>
    </row>
    <row r="505" spans="1:8" ht="14">
      <c r="A505" s="24" t="s">
        <v>1348</v>
      </c>
      <c r="B505" s="25" t="s">
        <v>110</v>
      </c>
      <c r="C505" s="24" t="str">
        <f t="shared" ref="C505:C568" si="9">A505</f>
        <v>ciii_assembly_factors</v>
      </c>
      <c r="D505" s="26" t="s">
        <v>12</v>
      </c>
      <c r="E505" s="24" t="s">
        <v>1349</v>
      </c>
      <c r="F505" s="24" t="s">
        <v>1350</v>
      </c>
      <c r="G505" s="24">
        <v>500</v>
      </c>
      <c r="H505" s="24"/>
    </row>
    <row r="506" spans="1:8" ht="14">
      <c r="A506" s="24" t="s">
        <v>1351</v>
      </c>
      <c r="B506" s="25" t="s">
        <v>110</v>
      </c>
      <c r="C506" s="24" t="str">
        <f t="shared" si="9"/>
        <v>ciii_subunits</v>
      </c>
      <c r="D506" s="26" t="s">
        <v>12</v>
      </c>
      <c r="E506" s="24" t="s">
        <v>1352</v>
      </c>
      <c r="F506" s="24" t="s">
        <v>1353</v>
      </c>
      <c r="G506" s="24">
        <v>500</v>
      </c>
      <c r="H506" s="24"/>
    </row>
    <row r="507" spans="1:8" ht="14">
      <c r="A507" s="24" t="s">
        <v>1354</v>
      </c>
      <c r="B507" s="25" t="s">
        <v>110</v>
      </c>
      <c r="C507" s="24" t="str">
        <f t="shared" si="9"/>
        <v>civ_assembly_factors</v>
      </c>
      <c r="D507" s="26" t="s">
        <v>12</v>
      </c>
      <c r="E507" s="24" t="s">
        <v>1355</v>
      </c>
      <c r="F507" s="24" t="s">
        <v>1356</v>
      </c>
      <c r="G507" s="24">
        <v>500</v>
      </c>
      <c r="H507" s="24"/>
    </row>
    <row r="508" spans="1:8" ht="14">
      <c r="A508" s="24" t="s">
        <v>1357</v>
      </c>
      <c r="B508" s="25" t="s">
        <v>110</v>
      </c>
      <c r="C508" s="24" t="str">
        <f t="shared" si="9"/>
        <v>civ_subunits</v>
      </c>
      <c r="D508" s="26" t="s">
        <v>12</v>
      </c>
      <c r="E508" s="24" t="s">
        <v>1358</v>
      </c>
      <c r="F508" s="24" t="s">
        <v>1359</v>
      </c>
      <c r="G508" s="24">
        <v>500</v>
      </c>
      <c r="H508" s="24"/>
    </row>
    <row r="509" spans="1:8" ht="14">
      <c r="A509" s="24" t="s">
        <v>1360</v>
      </c>
      <c r="B509" s="25" t="s">
        <v>110</v>
      </c>
      <c r="C509" s="24" t="str">
        <f t="shared" si="9"/>
        <v>coenzyme_a_metabolism</v>
      </c>
      <c r="D509" s="26" t="s">
        <v>12</v>
      </c>
      <c r="E509" s="24" t="s">
        <v>1361</v>
      </c>
      <c r="F509" s="24" t="s">
        <v>1362</v>
      </c>
      <c r="G509" s="24">
        <v>500</v>
      </c>
      <c r="H509" s="24"/>
    </row>
    <row r="510" spans="1:8" ht="14">
      <c r="A510" s="24" t="s">
        <v>1363</v>
      </c>
      <c r="B510" s="25" t="s">
        <v>110</v>
      </c>
      <c r="C510" s="24" t="str">
        <f t="shared" si="9"/>
        <v>coenzyme_q_metabolism</v>
      </c>
      <c r="D510" s="26" t="s">
        <v>12</v>
      </c>
      <c r="E510" s="24" t="s">
        <v>1364</v>
      </c>
      <c r="F510" s="24" t="s">
        <v>1365</v>
      </c>
      <c r="G510" s="24">
        <v>500</v>
      </c>
      <c r="H510" s="24"/>
    </row>
    <row r="511" spans="1:8" ht="14">
      <c r="A511" s="24" t="s">
        <v>1366</v>
      </c>
      <c r="B511" s="25" t="s">
        <v>110</v>
      </c>
      <c r="C511" s="24" t="str">
        <f t="shared" si="9"/>
        <v>complex_i</v>
      </c>
      <c r="D511" s="26" t="s">
        <v>12</v>
      </c>
      <c r="E511" s="24" t="s">
        <v>1367</v>
      </c>
      <c r="F511" s="24" t="s">
        <v>1368</v>
      </c>
      <c r="G511" s="24">
        <v>500</v>
      </c>
      <c r="H511" s="24"/>
    </row>
    <row r="512" spans="1:8" ht="14">
      <c r="A512" s="24" t="s">
        <v>1369</v>
      </c>
      <c r="B512" s="25" t="s">
        <v>110</v>
      </c>
      <c r="C512" s="24" t="str">
        <f t="shared" si="9"/>
        <v>complex_ii</v>
      </c>
      <c r="D512" s="26" t="s">
        <v>12</v>
      </c>
      <c r="E512" s="24" t="s">
        <v>1370</v>
      </c>
      <c r="F512" s="24" t="s">
        <v>1371</v>
      </c>
      <c r="G512" s="24">
        <v>500</v>
      </c>
      <c r="H512" s="24"/>
    </row>
    <row r="513" spans="1:8" ht="14">
      <c r="A513" s="24" t="s">
        <v>1372</v>
      </c>
      <c r="B513" s="25" t="s">
        <v>110</v>
      </c>
      <c r="C513" s="24" t="str">
        <f t="shared" si="9"/>
        <v>complex_iii</v>
      </c>
      <c r="D513" s="26" t="s">
        <v>12</v>
      </c>
      <c r="E513" s="24" t="s">
        <v>1373</v>
      </c>
      <c r="F513" s="24" t="s">
        <v>1374</v>
      </c>
      <c r="G513" s="24">
        <v>500</v>
      </c>
      <c r="H513" s="24"/>
    </row>
    <row r="514" spans="1:8" ht="14">
      <c r="A514" s="24" t="s">
        <v>1375</v>
      </c>
      <c r="B514" s="25" t="s">
        <v>110</v>
      </c>
      <c r="C514" s="24" t="str">
        <f t="shared" si="9"/>
        <v>complex_iv</v>
      </c>
      <c r="D514" s="26" t="s">
        <v>12</v>
      </c>
      <c r="E514" s="24" t="s">
        <v>1376</v>
      </c>
      <c r="F514" s="24" t="s">
        <v>1377</v>
      </c>
      <c r="G514" s="24">
        <v>500</v>
      </c>
      <c r="H514" s="24"/>
    </row>
    <row r="515" spans="1:8" ht="14">
      <c r="A515" s="24" t="s">
        <v>1378</v>
      </c>
      <c r="B515" s="25" t="s">
        <v>110</v>
      </c>
      <c r="C515" s="24" t="str">
        <f t="shared" si="9"/>
        <v>complex_v</v>
      </c>
      <c r="D515" s="26" t="s">
        <v>12</v>
      </c>
      <c r="E515" s="24" t="s">
        <v>1379</v>
      </c>
      <c r="F515" s="24" t="s">
        <v>1380</v>
      </c>
      <c r="G515" s="24">
        <v>500</v>
      </c>
      <c r="H515" s="24"/>
    </row>
    <row r="516" spans="1:8" ht="14">
      <c r="A516" s="24" t="s">
        <v>1381</v>
      </c>
      <c r="B516" s="25" t="s">
        <v>110</v>
      </c>
      <c r="C516" s="24" t="str">
        <f t="shared" si="9"/>
        <v>copper_metabolism</v>
      </c>
      <c r="D516" s="26" t="s">
        <v>12</v>
      </c>
      <c r="E516" s="24" t="s">
        <v>1382</v>
      </c>
      <c r="F516" s="24" t="s">
        <v>1383</v>
      </c>
      <c r="G516" s="24">
        <v>500</v>
      </c>
      <c r="H516" s="24"/>
    </row>
    <row r="517" spans="1:8" ht="14">
      <c r="A517" s="24" t="s">
        <v>1384</v>
      </c>
      <c r="B517" s="25" t="s">
        <v>110</v>
      </c>
      <c r="C517" s="24" t="str">
        <f t="shared" si="9"/>
        <v>creatine_metabolism</v>
      </c>
      <c r="D517" s="26" t="s">
        <v>12</v>
      </c>
      <c r="E517" s="24" t="s">
        <v>1385</v>
      </c>
      <c r="F517" s="24" t="s">
        <v>1386</v>
      </c>
      <c r="G517" s="24">
        <v>500</v>
      </c>
      <c r="H517" s="24"/>
    </row>
    <row r="518" spans="1:8" ht="14">
      <c r="A518" s="24" t="s">
        <v>1387</v>
      </c>
      <c r="B518" s="25" t="s">
        <v>110</v>
      </c>
      <c r="C518" s="24" t="str">
        <f t="shared" si="9"/>
        <v>cristae_formation</v>
      </c>
      <c r="D518" s="26" t="s">
        <v>12</v>
      </c>
      <c r="E518" s="24" t="s">
        <v>1388</v>
      </c>
      <c r="F518" s="24" t="s">
        <v>1389</v>
      </c>
      <c r="G518" s="24">
        <v>500</v>
      </c>
      <c r="H518" s="24"/>
    </row>
    <row r="519" spans="1:8" ht="14">
      <c r="A519" s="24" t="s">
        <v>1390</v>
      </c>
      <c r="B519" s="25" t="s">
        <v>110</v>
      </c>
      <c r="C519" s="24" t="str">
        <f t="shared" si="9"/>
        <v>cv_assembly_factors</v>
      </c>
      <c r="D519" s="26" t="s">
        <v>12</v>
      </c>
      <c r="E519" s="24" t="s">
        <v>1391</v>
      </c>
      <c r="F519" s="24" t="s">
        <v>1392</v>
      </c>
      <c r="G519" s="24">
        <v>500</v>
      </c>
      <c r="H519" s="24"/>
    </row>
    <row r="520" spans="1:8" ht="14">
      <c r="A520" s="24" t="s">
        <v>1393</v>
      </c>
      <c r="B520" s="25" t="s">
        <v>110</v>
      </c>
      <c r="C520" s="24" t="str">
        <f t="shared" si="9"/>
        <v>cv_subunits</v>
      </c>
      <c r="D520" s="26" t="s">
        <v>12</v>
      </c>
      <c r="E520" s="24" t="s">
        <v>1394</v>
      </c>
      <c r="F520" s="24" t="s">
        <v>1395</v>
      </c>
      <c r="G520" s="24">
        <v>500</v>
      </c>
      <c r="H520" s="24"/>
    </row>
    <row r="521" spans="1:8" ht="14">
      <c r="A521" s="24" t="s">
        <v>1396</v>
      </c>
      <c r="B521" s="25" t="s">
        <v>110</v>
      </c>
      <c r="C521" s="24" t="str">
        <f t="shared" si="9"/>
        <v>cytochrome_c</v>
      </c>
      <c r="D521" s="26" t="s">
        <v>12</v>
      </c>
      <c r="E521" s="24" t="s">
        <v>1397</v>
      </c>
      <c r="F521" s="24" t="s">
        <v>1398</v>
      </c>
      <c r="G521" s="24">
        <v>500</v>
      </c>
      <c r="H521" s="24"/>
    </row>
    <row r="522" spans="1:8" ht="14">
      <c r="A522" s="24" t="s">
        <v>1399</v>
      </c>
      <c r="B522" s="25" t="s">
        <v>110</v>
      </c>
      <c r="C522" s="24" t="str">
        <f t="shared" si="9"/>
        <v>cytochromes</v>
      </c>
      <c r="D522" s="26" t="s">
        <v>12</v>
      </c>
      <c r="E522" s="24" t="s">
        <v>1400</v>
      </c>
      <c r="F522" s="24" t="s">
        <v>1401</v>
      </c>
      <c r="G522" s="24">
        <v>500</v>
      </c>
      <c r="H522" s="24"/>
    </row>
    <row r="523" spans="1:8" ht="14">
      <c r="A523" s="24" t="s">
        <v>1402</v>
      </c>
      <c r="B523" s="25" t="s">
        <v>110</v>
      </c>
      <c r="C523" s="24" t="str">
        <f t="shared" si="9"/>
        <v>detoxification</v>
      </c>
      <c r="D523" s="26" t="s">
        <v>12</v>
      </c>
      <c r="E523" s="24" t="s">
        <v>1403</v>
      </c>
      <c r="F523" s="24" t="s">
        <v>1404</v>
      </c>
      <c r="G523" s="24">
        <v>500</v>
      </c>
      <c r="H523" s="24"/>
    </row>
    <row r="524" spans="1:8" ht="14">
      <c r="A524" s="24" t="s">
        <v>1405</v>
      </c>
      <c r="B524" s="25" t="s">
        <v>110</v>
      </c>
      <c r="C524" s="24" t="str">
        <f t="shared" si="9"/>
        <v>ef_hand_proteins</v>
      </c>
      <c r="D524" s="26" t="s">
        <v>12</v>
      </c>
      <c r="E524" s="24" t="s">
        <v>1406</v>
      </c>
      <c r="F524" s="24" t="s">
        <v>1407</v>
      </c>
      <c r="G524" s="24">
        <v>500</v>
      </c>
      <c r="H524" s="24"/>
    </row>
    <row r="525" spans="1:8" ht="14">
      <c r="A525" s="24" t="s">
        <v>1408</v>
      </c>
      <c r="B525" s="25" t="s">
        <v>110</v>
      </c>
      <c r="C525" s="24" t="str">
        <f t="shared" si="9"/>
        <v>eicosanoid_metabolism</v>
      </c>
      <c r="D525" s="26" t="s">
        <v>12</v>
      </c>
      <c r="E525" s="24" t="s">
        <v>1409</v>
      </c>
      <c r="F525" s="24" t="s">
        <v>1410</v>
      </c>
      <c r="G525" s="24">
        <v>500</v>
      </c>
      <c r="H525" s="24"/>
    </row>
    <row r="526" spans="1:8" ht="14">
      <c r="A526" s="24" t="s">
        <v>1411</v>
      </c>
      <c r="B526" s="25" t="s">
        <v>110</v>
      </c>
      <c r="C526" s="24" t="str">
        <f t="shared" si="9"/>
        <v>electron_carriers</v>
      </c>
      <c r="D526" s="26" t="s">
        <v>12</v>
      </c>
      <c r="E526" s="24" t="s">
        <v>1412</v>
      </c>
      <c r="F526" s="24" t="s">
        <v>1413</v>
      </c>
      <c r="G526" s="24">
        <v>500</v>
      </c>
      <c r="H526" s="24"/>
    </row>
    <row r="527" spans="1:8" ht="14">
      <c r="A527" s="24" t="s">
        <v>1414</v>
      </c>
      <c r="B527" s="25" t="s">
        <v>110</v>
      </c>
      <c r="C527" s="24" t="str">
        <f t="shared" si="9"/>
        <v>fatty_acid_oxidation</v>
      </c>
      <c r="D527" s="26" t="s">
        <v>12</v>
      </c>
      <c r="E527" s="24" t="s">
        <v>1415</v>
      </c>
      <c r="F527" s="24" t="s">
        <v>1416</v>
      </c>
      <c r="G527" s="24">
        <v>500</v>
      </c>
      <c r="H527" s="24"/>
    </row>
    <row r="528" spans="1:8" ht="14">
      <c r="A528" s="24" t="s">
        <v>1417</v>
      </c>
      <c r="B528" s="25" t="s">
        <v>110</v>
      </c>
      <c r="C528" s="24" t="str">
        <f t="shared" si="9"/>
        <v>fe_s_cluster_biosynthesis</v>
      </c>
      <c r="D528" s="26" t="s">
        <v>12</v>
      </c>
      <c r="E528" s="24" t="s">
        <v>1418</v>
      </c>
      <c r="F528" s="24" t="s">
        <v>1419</v>
      </c>
      <c r="G528" s="24">
        <v>500</v>
      </c>
      <c r="H528" s="24"/>
    </row>
    <row r="529" spans="1:8" ht="14">
      <c r="A529" s="24" t="s">
        <v>1420</v>
      </c>
      <c r="B529" s="25" t="s">
        <v>110</v>
      </c>
      <c r="C529" s="24" t="str">
        <f t="shared" si="9"/>
        <v>fe_s_containing_proteins</v>
      </c>
      <c r="D529" s="26" t="s">
        <v>12</v>
      </c>
      <c r="E529" s="24" t="s">
        <v>1421</v>
      </c>
      <c r="F529" s="24" t="s">
        <v>1422</v>
      </c>
      <c r="G529" s="24">
        <v>500</v>
      </c>
      <c r="H529" s="24"/>
    </row>
    <row r="530" spans="1:8" ht="14">
      <c r="A530" s="24" t="s">
        <v>1423</v>
      </c>
      <c r="B530" s="25" t="s">
        <v>110</v>
      </c>
      <c r="C530" s="24" t="str">
        <f t="shared" si="9"/>
        <v>fission</v>
      </c>
      <c r="D530" s="26" t="s">
        <v>12</v>
      </c>
      <c r="E530" s="24" t="s">
        <v>1424</v>
      </c>
      <c r="F530" s="24" t="s">
        <v>1425</v>
      </c>
      <c r="G530" s="24">
        <v>500</v>
      </c>
      <c r="H530" s="24"/>
    </row>
    <row r="531" spans="1:8" ht="14">
      <c r="A531" s="24" t="s">
        <v>1426</v>
      </c>
      <c r="B531" s="25" t="s">
        <v>110</v>
      </c>
      <c r="C531" s="24" t="str">
        <f t="shared" si="9"/>
        <v>fmet_processing</v>
      </c>
      <c r="D531" s="26" t="s">
        <v>12</v>
      </c>
      <c r="E531" s="24" t="s">
        <v>1427</v>
      </c>
      <c r="F531" s="24" t="s">
        <v>1428</v>
      </c>
      <c r="G531" s="24">
        <v>500</v>
      </c>
      <c r="H531" s="24"/>
    </row>
    <row r="532" spans="1:8" ht="14">
      <c r="A532" s="24" t="s">
        <v>1429</v>
      </c>
      <c r="B532" s="25" t="s">
        <v>110</v>
      </c>
      <c r="C532" s="24" t="str">
        <f t="shared" si="9"/>
        <v>folate_and_1_c_metabolism</v>
      </c>
      <c r="D532" s="26" t="s">
        <v>12</v>
      </c>
      <c r="E532" s="24" t="s">
        <v>1430</v>
      </c>
      <c r="F532" s="24" t="s">
        <v>1431</v>
      </c>
      <c r="G532" s="24">
        <v>500</v>
      </c>
      <c r="H532" s="24"/>
    </row>
    <row r="533" spans="1:8" ht="14">
      <c r="A533" s="24" t="s">
        <v>1432</v>
      </c>
      <c r="B533" s="25" t="s">
        <v>110</v>
      </c>
      <c r="C533" s="24" t="str">
        <f t="shared" si="9"/>
        <v>fusion</v>
      </c>
      <c r="D533" s="26" t="s">
        <v>12</v>
      </c>
      <c r="E533" s="24" t="s">
        <v>1433</v>
      </c>
      <c r="F533" s="24" t="s">
        <v>1434</v>
      </c>
      <c r="G533" s="24">
        <v>500</v>
      </c>
      <c r="H533" s="24"/>
    </row>
    <row r="534" spans="1:8" ht="14">
      <c r="A534" s="24" t="s">
        <v>1435</v>
      </c>
      <c r="B534" s="25" t="s">
        <v>110</v>
      </c>
      <c r="C534" s="24" t="str">
        <f t="shared" si="9"/>
        <v>gaba_metabolism</v>
      </c>
      <c r="D534" s="26" t="s">
        <v>12</v>
      </c>
      <c r="E534" s="24" t="s">
        <v>1436</v>
      </c>
      <c r="F534" s="24" t="s">
        <v>1437</v>
      </c>
      <c r="G534" s="24">
        <v>500</v>
      </c>
      <c r="H534" s="24"/>
    </row>
    <row r="535" spans="1:8" ht="14">
      <c r="A535" s="24" t="s">
        <v>1438</v>
      </c>
      <c r="B535" s="25" t="s">
        <v>110</v>
      </c>
      <c r="C535" s="24" t="str">
        <f t="shared" si="9"/>
        <v>gluconeogenesis</v>
      </c>
      <c r="D535" s="26" t="s">
        <v>12</v>
      </c>
      <c r="E535" s="24" t="s">
        <v>1439</v>
      </c>
      <c r="F535" s="24" t="s">
        <v>1440</v>
      </c>
      <c r="G535" s="24">
        <v>500</v>
      </c>
      <c r="H535" s="24"/>
    </row>
    <row r="536" spans="1:8" ht="14">
      <c r="A536" s="24" t="s">
        <v>1441</v>
      </c>
      <c r="B536" s="25" t="s">
        <v>110</v>
      </c>
      <c r="C536" s="24" t="str">
        <f t="shared" si="9"/>
        <v>glutamate_metabolism</v>
      </c>
      <c r="D536" s="26" t="s">
        <v>12</v>
      </c>
      <c r="E536" s="24" t="s">
        <v>1442</v>
      </c>
      <c r="F536" s="24" t="s">
        <v>1443</v>
      </c>
      <c r="G536" s="24">
        <v>500</v>
      </c>
      <c r="H536" s="24"/>
    </row>
    <row r="537" spans="1:8" ht="14">
      <c r="A537" s="24" t="s">
        <v>1444</v>
      </c>
      <c r="B537" s="25" t="s">
        <v>110</v>
      </c>
      <c r="C537" s="24" t="str">
        <f t="shared" si="9"/>
        <v>glycerol_phosphate_shuttle</v>
      </c>
      <c r="D537" s="26" t="s">
        <v>12</v>
      </c>
      <c r="E537" s="24" t="s">
        <v>1445</v>
      </c>
      <c r="F537" s="24" t="s">
        <v>1446</v>
      </c>
      <c r="G537" s="24">
        <v>500</v>
      </c>
      <c r="H537" s="24"/>
    </row>
    <row r="538" spans="1:8" ht="14">
      <c r="A538" s="24" t="s">
        <v>1447</v>
      </c>
      <c r="B538" s="25" t="s">
        <v>110</v>
      </c>
      <c r="C538" s="24" t="str">
        <f t="shared" si="9"/>
        <v>glycine_cleavage_system</v>
      </c>
      <c r="D538" s="26" t="s">
        <v>12</v>
      </c>
      <c r="E538" s="24" t="s">
        <v>1448</v>
      </c>
      <c r="F538" s="24" t="s">
        <v>1449</v>
      </c>
      <c r="G538" s="24">
        <v>500</v>
      </c>
      <c r="H538" s="24"/>
    </row>
    <row r="539" spans="1:8" ht="14">
      <c r="A539" s="24" t="s">
        <v>1450</v>
      </c>
      <c r="B539" s="25" t="s">
        <v>110</v>
      </c>
      <c r="C539" s="24" t="str">
        <f t="shared" si="9"/>
        <v>glycine_metabolism</v>
      </c>
      <c r="D539" s="26" t="s">
        <v>12</v>
      </c>
      <c r="E539" s="24" t="s">
        <v>1451</v>
      </c>
      <c r="F539" s="24" t="s">
        <v>1452</v>
      </c>
      <c r="G539" s="24">
        <v>500</v>
      </c>
      <c r="H539" s="24"/>
    </row>
    <row r="540" spans="1:8" ht="14">
      <c r="A540" s="24" t="s">
        <v>1453</v>
      </c>
      <c r="B540" s="25" t="s">
        <v>110</v>
      </c>
      <c r="C540" s="24" t="str">
        <f t="shared" si="9"/>
        <v>glyoxylate_metabolism</v>
      </c>
      <c r="D540" s="26" t="s">
        <v>12</v>
      </c>
      <c r="E540" s="24" t="s">
        <v>1454</v>
      </c>
      <c r="F540" s="24" t="s">
        <v>1455</v>
      </c>
      <c r="G540" s="24">
        <v>500</v>
      </c>
      <c r="H540" s="24"/>
    </row>
    <row r="541" spans="1:8" ht="14">
      <c r="A541" s="24" t="s">
        <v>1456</v>
      </c>
      <c r="B541" s="25" t="s">
        <v>110</v>
      </c>
      <c r="C541" s="24" t="str">
        <f t="shared" si="9"/>
        <v>heme_containing_proteins</v>
      </c>
      <c r="D541" s="26" t="s">
        <v>12</v>
      </c>
      <c r="E541" s="24" t="s">
        <v>1457</v>
      </c>
      <c r="F541" s="24" t="s">
        <v>1458</v>
      </c>
      <c r="G541" s="24">
        <v>500</v>
      </c>
      <c r="H541" s="24"/>
    </row>
    <row r="542" spans="1:8" ht="14">
      <c r="A542" s="24" t="s">
        <v>1459</v>
      </c>
      <c r="B542" s="25" t="s">
        <v>110</v>
      </c>
      <c r="C542" s="24" t="str">
        <f t="shared" si="9"/>
        <v>heme_synthesis_and_processing</v>
      </c>
      <c r="D542" s="26" t="s">
        <v>12</v>
      </c>
      <c r="E542" s="24" t="s">
        <v>1460</v>
      </c>
      <c r="F542" s="24" t="s">
        <v>1461</v>
      </c>
      <c r="G542" s="24">
        <v>500</v>
      </c>
      <c r="H542" s="24"/>
    </row>
    <row r="543" spans="1:8" ht="14">
      <c r="A543" s="24" t="s">
        <v>1462</v>
      </c>
      <c r="B543" s="25" t="s">
        <v>110</v>
      </c>
      <c r="C543" s="24" t="str">
        <f t="shared" si="9"/>
        <v>immune_response</v>
      </c>
      <c r="D543" s="26" t="s">
        <v>12</v>
      </c>
      <c r="E543" s="24" t="s">
        <v>1463</v>
      </c>
      <c r="F543" s="24" t="s">
        <v>1464</v>
      </c>
      <c r="G543" s="24">
        <v>500</v>
      </c>
      <c r="H543" s="24"/>
    </row>
    <row r="544" spans="1:8" ht="14">
      <c r="A544" s="24" t="s">
        <v>1465</v>
      </c>
      <c r="B544" s="25" t="s">
        <v>110</v>
      </c>
      <c r="C544" s="24" t="str">
        <f t="shared" si="9"/>
        <v>import_motor</v>
      </c>
      <c r="D544" s="26" t="s">
        <v>12</v>
      </c>
      <c r="E544" s="24" t="s">
        <v>1466</v>
      </c>
      <c r="F544" s="24" t="s">
        <v>1467</v>
      </c>
      <c r="G544" s="24">
        <v>500</v>
      </c>
      <c r="H544" s="24"/>
    </row>
    <row r="545" spans="1:8" ht="14">
      <c r="A545" s="24" t="s">
        <v>1468</v>
      </c>
      <c r="B545" s="25" t="s">
        <v>110</v>
      </c>
      <c r="C545" s="24" t="str">
        <f t="shared" si="9"/>
        <v>intramitochondrial_membrane_interactions</v>
      </c>
      <c r="D545" s="26" t="s">
        <v>12</v>
      </c>
      <c r="E545" s="24" t="s">
        <v>1469</v>
      </c>
      <c r="F545" s="24" t="s">
        <v>1470</v>
      </c>
      <c r="G545" s="24">
        <v>500</v>
      </c>
      <c r="H545" s="24"/>
    </row>
    <row r="546" spans="1:8" ht="14">
      <c r="A546" s="24" t="s">
        <v>1471</v>
      </c>
      <c r="B546" s="25" t="s">
        <v>110</v>
      </c>
      <c r="C546" s="24" t="str">
        <f t="shared" si="9"/>
        <v>iron_homeostasis</v>
      </c>
      <c r="D546" s="26" t="s">
        <v>12</v>
      </c>
      <c r="E546" s="24" t="s">
        <v>1472</v>
      </c>
      <c r="F546" s="24" t="s">
        <v>1473</v>
      </c>
      <c r="G546" s="24">
        <v>500</v>
      </c>
      <c r="H546" s="24"/>
    </row>
    <row r="547" spans="1:8" ht="14">
      <c r="A547" s="24" t="s">
        <v>1474</v>
      </c>
      <c r="B547" s="25" t="s">
        <v>110</v>
      </c>
      <c r="C547" s="24" t="str">
        <f t="shared" si="9"/>
        <v>itaconate_metabolism</v>
      </c>
      <c r="D547" s="26" t="s">
        <v>12</v>
      </c>
      <c r="E547" s="24" t="s">
        <v>1475</v>
      </c>
      <c r="F547" s="24" t="s">
        <v>1476</v>
      </c>
      <c r="G547" s="24">
        <v>500</v>
      </c>
      <c r="H547" s="24"/>
    </row>
    <row r="548" spans="1:8" ht="14">
      <c r="A548" s="24" t="s">
        <v>1477</v>
      </c>
      <c r="B548" s="25" t="s">
        <v>110</v>
      </c>
      <c r="C548" s="24" t="str">
        <f t="shared" si="9"/>
        <v>ketone_metabolism</v>
      </c>
      <c r="D548" s="26" t="s">
        <v>12</v>
      </c>
      <c r="E548" s="24" t="s">
        <v>1478</v>
      </c>
      <c r="F548" s="24" t="s">
        <v>1479</v>
      </c>
      <c r="G548" s="24">
        <v>500</v>
      </c>
      <c r="H548" s="24"/>
    </row>
    <row r="549" spans="1:8" ht="14">
      <c r="A549" s="24" t="s">
        <v>1480</v>
      </c>
      <c r="B549" s="25" t="s">
        <v>110</v>
      </c>
      <c r="C549" s="24" t="str">
        <f t="shared" si="9"/>
        <v>kynurenine_metabolism</v>
      </c>
      <c r="D549" s="26" t="s">
        <v>12</v>
      </c>
      <c r="E549" s="24" t="s">
        <v>1481</v>
      </c>
      <c r="F549" s="24" t="s">
        <v>1482</v>
      </c>
      <c r="G549" s="24">
        <v>500</v>
      </c>
      <c r="H549" s="24"/>
    </row>
    <row r="550" spans="1:8" ht="14">
      <c r="A550" s="24" t="s">
        <v>1483</v>
      </c>
      <c r="B550" s="25" t="s">
        <v>110</v>
      </c>
      <c r="C550" s="24" t="str">
        <f t="shared" si="9"/>
        <v>lipid_metabolism</v>
      </c>
      <c r="D550" s="26" t="s">
        <v>12</v>
      </c>
      <c r="E550" s="24" t="s">
        <v>1484</v>
      </c>
      <c r="F550" s="24" t="s">
        <v>1485</v>
      </c>
      <c r="G550" s="24">
        <v>500</v>
      </c>
      <c r="H550" s="24"/>
    </row>
    <row r="551" spans="1:8" ht="14">
      <c r="A551" s="24" t="s">
        <v>1486</v>
      </c>
      <c r="B551" s="25" t="s">
        <v>110</v>
      </c>
      <c r="C551" s="24" t="str">
        <f t="shared" si="9"/>
        <v>lipoate_insertion</v>
      </c>
      <c r="D551" s="26" t="s">
        <v>12</v>
      </c>
      <c r="E551" s="24" t="s">
        <v>1487</v>
      </c>
      <c r="F551" s="24" t="s">
        <v>1488</v>
      </c>
      <c r="G551" s="24">
        <v>500</v>
      </c>
      <c r="H551" s="24"/>
    </row>
    <row r="552" spans="1:8" ht="14">
      <c r="A552" s="24" t="s">
        <v>1489</v>
      </c>
      <c r="B552" s="25" t="s">
        <v>110</v>
      </c>
      <c r="C552" s="24" t="str">
        <f t="shared" si="9"/>
        <v>lysine_metabolism</v>
      </c>
      <c r="D552" s="26" t="s">
        <v>12</v>
      </c>
      <c r="E552" s="24" t="s">
        <v>1490</v>
      </c>
      <c r="F552" s="24" t="s">
        <v>1491</v>
      </c>
      <c r="G552" s="24">
        <v>500</v>
      </c>
      <c r="H552" s="24"/>
    </row>
    <row r="553" spans="1:8" ht="14">
      <c r="A553" s="24" t="s">
        <v>1492</v>
      </c>
      <c r="B553" s="25" t="s">
        <v>110</v>
      </c>
      <c r="C553" s="24" t="str">
        <f t="shared" si="9"/>
        <v>malate_aspartate_shuttle</v>
      </c>
      <c r="D553" s="26" t="s">
        <v>12</v>
      </c>
      <c r="E553" s="24" t="s">
        <v>1493</v>
      </c>
      <c r="F553" s="24" t="s">
        <v>1494</v>
      </c>
      <c r="G553" s="24">
        <v>500</v>
      </c>
      <c r="H553" s="24"/>
    </row>
    <row r="554" spans="1:8" ht="14">
      <c r="A554" s="24" t="s">
        <v>1495</v>
      </c>
      <c r="B554" s="25" t="s">
        <v>110</v>
      </c>
      <c r="C554" s="24" t="str">
        <f t="shared" si="9"/>
        <v>metabolism</v>
      </c>
      <c r="D554" s="26" t="s">
        <v>12</v>
      </c>
      <c r="E554" s="24" t="s">
        <v>1496</v>
      </c>
      <c r="F554" s="24" t="s">
        <v>1496</v>
      </c>
      <c r="G554" s="24">
        <v>500</v>
      </c>
      <c r="H554" s="24"/>
    </row>
    <row r="555" spans="1:8" ht="14">
      <c r="A555" s="24" t="s">
        <v>1497</v>
      </c>
      <c r="B555" s="25" t="s">
        <v>110</v>
      </c>
      <c r="C555" s="24" t="str">
        <f t="shared" si="9"/>
        <v>metals_and_cofactors</v>
      </c>
      <c r="D555" s="26" t="s">
        <v>12</v>
      </c>
      <c r="E555" s="24" t="s">
        <v>1498</v>
      </c>
      <c r="F555" s="24" t="s">
        <v>1499</v>
      </c>
      <c r="G555" s="24">
        <v>500</v>
      </c>
      <c r="H555" s="24"/>
    </row>
    <row r="556" spans="1:8" ht="14">
      <c r="A556" s="24" t="s">
        <v>1500</v>
      </c>
      <c r="B556" s="25" t="s">
        <v>110</v>
      </c>
      <c r="C556" s="24" t="str">
        <f t="shared" si="9"/>
        <v>mia40</v>
      </c>
      <c r="D556" s="26" t="s">
        <v>12</v>
      </c>
      <c r="E556" s="24" t="s">
        <v>1501</v>
      </c>
      <c r="F556" s="24" t="s">
        <v>1502</v>
      </c>
      <c r="G556" s="24">
        <v>500</v>
      </c>
      <c r="H556" s="24"/>
    </row>
    <row r="557" spans="1:8" ht="14">
      <c r="A557" s="24" t="s">
        <v>1503</v>
      </c>
      <c r="B557" s="25" t="s">
        <v>110</v>
      </c>
      <c r="C557" s="24" t="str">
        <f t="shared" si="9"/>
        <v>micos_complex</v>
      </c>
      <c r="D557" s="26" t="s">
        <v>12</v>
      </c>
      <c r="E557" s="24" t="s">
        <v>1504</v>
      </c>
      <c r="F557" s="24" t="s">
        <v>1505</v>
      </c>
      <c r="G557" s="24">
        <v>500</v>
      </c>
      <c r="H557" s="24"/>
    </row>
    <row r="558" spans="1:8" ht="14">
      <c r="A558" s="24" t="s">
        <v>1506</v>
      </c>
      <c r="B558" s="25" t="s">
        <v>110</v>
      </c>
      <c r="C558" s="24" t="str">
        <f t="shared" si="9"/>
        <v>mitochondrial_dynamics_and_surveillance</v>
      </c>
      <c r="D558" s="26" t="s">
        <v>12</v>
      </c>
      <c r="E558" s="24" t="s">
        <v>1507</v>
      </c>
      <c r="F558" s="24" t="s">
        <v>1507</v>
      </c>
      <c r="G558" s="24">
        <v>500</v>
      </c>
      <c r="H558" s="24"/>
    </row>
    <row r="559" spans="1:8" ht="14">
      <c r="A559" s="24" t="s">
        <v>1508</v>
      </c>
      <c r="B559" s="25" t="s">
        <v>110</v>
      </c>
      <c r="C559" s="24" t="str">
        <f t="shared" si="9"/>
        <v>mitochondrial_permeability_transition_pore</v>
      </c>
      <c r="D559" s="26" t="s">
        <v>12</v>
      </c>
      <c r="E559" s="24" t="s">
        <v>1509</v>
      </c>
      <c r="F559" s="24" t="s">
        <v>1510</v>
      </c>
      <c r="G559" s="24">
        <v>500</v>
      </c>
      <c r="H559" s="24"/>
    </row>
    <row r="560" spans="1:8" ht="14">
      <c r="A560" s="24" t="s">
        <v>1511</v>
      </c>
      <c r="B560" s="25" t="s">
        <v>110</v>
      </c>
      <c r="C560" s="24" t="str">
        <f t="shared" si="9"/>
        <v>mitochondrial_ribosome</v>
      </c>
      <c r="D560" s="26" t="s">
        <v>12</v>
      </c>
      <c r="E560" s="24" t="s">
        <v>1512</v>
      </c>
      <c r="F560" s="24" t="s">
        <v>1513</v>
      </c>
      <c r="G560" s="24">
        <v>500</v>
      </c>
      <c r="H560" s="24"/>
    </row>
    <row r="561" spans="1:8" ht="14">
      <c r="A561" s="24" t="s">
        <v>1514</v>
      </c>
      <c r="B561" s="25" t="s">
        <v>110</v>
      </c>
      <c r="C561" s="24" t="str">
        <f t="shared" si="9"/>
        <v>mitochondrial_ribosome_assembly</v>
      </c>
      <c r="D561" s="26" t="s">
        <v>12</v>
      </c>
      <c r="E561" s="24" t="s">
        <v>1515</v>
      </c>
      <c r="F561" s="24" t="s">
        <v>1516</v>
      </c>
      <c r="G561" s="24">
        <v>500</v>
      </c>
      <c r="H561" s="24"/>
    </row>
    <row r="562" spans="1:8" ht="14">
      <c r="A562" s="24" t="s">
        <v>1517</v>
      </c>
      <c r="B562" s="25" t="s">
        <v>110</v>
      </c>
      <c r="C562" s="24" t="str">
        <f t="shared" si="9"/>
        <v>mitophagy</v>
      </c>
      <c r="D562" s="26" t="s">
        <v>12</v>
      </c>
      <c r="E562" s="24" t="s">
        <v>1518</v>
      </c>
      <c r="F562" s="24" t="s">
        <v>1519</v>
      </c>
      <c r="G562" s="24">
        <v>500</v>
      </c>
      <c r="H562" s="24"/>
    </row>
    <row r="563" spans="1:8" ht="14">
      <c r="A563" s="24" t="s">
        <v>1520</v>
      </c>
      <c r="B563" s="25" t="s">
        <v>110</v>
      </c>
      <c r="C563" s="24" t="str">
        <f t="shared" si="9"/>
        <v>molybdenum_cofactor_synthesis_and_proteins</v>
      </c>
      <c r="D563" s="26" t="s">
        <v>12</v>
      </c>
      <c r="E563" s="24" t="s">
        <v>1521</v>
      </c>
      <c r="F563" s="24" t="s">
        <v>1522</v>
      </c>
      <c r="G563" s="24">
        <v>500</v>
      </c>
      <c r="H563" s="24"/>
    </row>
    <row r="564" spans="1:8" ht="14">
      <c r="A564" s="24" t="s">
        <v>1523</v>
      </c>
      <c r="B564" s="25" t="s">
        <v>110</v>
      </c>
      <c r="C564" s="24" t="str">
        <f t="shared" si="9"/>
        <v>mt_mrna_modifications</v>
      </c>
      <c r="D564" s="26" t="s">
        <v>12</v>
      </c>
      <c r="E564" s="24" t="s">
        <v>1524</v>
      </c>
      <c r="F564" s="24" t="s">
        <v>1525</v>
      </c>
      <c r="G564" s="24">
        <v>500</v>
      </c>
      <c r="H564" s="24"/>
    </row>
    <row r="565" spans="1:8" ht="14">
      <c r="A565" s="24" t="s">
        <v>1526</v>
      </c>
      <c r="B565" s="25" t="s">
        <v>110</v>
      </c>
      <c r="C565" s="24" t="str">
        <f t="shared" si="9"/>
        <v>mt_rrna_modifications</v>
      </c>
      <c r="D565" s="26" t="s">
        <v>12</v>
      </c>
      <c r="E565" s="24" t="s">
        <v>1527</v>
      </c>
      <c r="F565" s="24" t="s">
        <v>1528</v>
      </c>
      <c r="G565" s="24">
        <v>500</v>
      </c>
      <c r="H565" s="24"/>
    </row>
    <row r="566" spans="1:8" ht="14">
      <c r="A566" s="24" t="s">
        <v>1529</v>
      </c>
      <c r="B566" s="25" t="s">
        <v>110</v>
      </c>
      <c r="C566" s="24" t="str">
        <f t="shared" si="9"/>
        <v>mt_trna_modifications</v>
      </c>
      <c r="D566" s="26" t="s">
        <v>12</v>
      </c>
      <c r="E566" s="24" t="s">
        <v>1530</v>
      </c>
      <c r="F566" s="24" t="s">
        <v>1531</v>
      </c>
      <c r="G566" s="24">
        <v>500</v>
      </c>
      <c r="H566" s="24"/>
    </row>
    <row r="567" spans="1:8" ht="14">
      <c r="A567" s="24" t="s">
        <v>1532</v>
      </c>
      <c r="B567" s="25" t="s">
        <v>110</v>
      </c>
      <c r="C567" s="24" t="str">
        <f t="shared" si="9"/>
        <v>mt_trna_synthetases</v>
      </c>
      <c r="D567" s="26" t="s">
        <v>12</v>
      </c>
      <c r="E567" s="24" t="s">
        <v>1533</v>
      </c>
      <c r="F567" s="24" t="s">
        <v>1534</v>
      </c>
      <c r="G567" s="24">
        <v>500</v>
      </c>
      <c r="H567" s="24"/>
    </row>
    <row r="568" spans="1:8" ht="14">
      <c r="A568" s="24" t="s">
        <v>1535</v>
      </c>
      <c r="B568" s="25" t="s">
        <v>110</v>
      </c>
      <c r="C568" s="24" t="str">
        <f t="shared" si="9"/>
        <v>mtdna_maintenance</v>
      </c>
      <c r="D568" s="26" t="s">
        <v>12</v>
      </c>
      <c r="E568" s="24" t="s">
        <v>1536</v>
      </c>
      <c r="F568" s="24" t="s">
        <v>1537</v>
      </c>
      <c r="G568" s="24">
        <v>500</v>
      </c>
      <c r="H568" s="24"/>
    </row>
    <row r="569" spans="1:8" ht="14">
      <c r="A569" s="24" t="s">
        <v>1538</v>
      </c>
      <c r="B569" s="25" t="s">
        <v>110</v>
      </c>
      <c r="C569" s="24" t="str">
        <f t="shared" ref="C569:C632" si="10">A569</f>
        <v>mtdna_modifications</v>
      </c>
      <c r="D569" s="26" t="s">
        <v>12</v>
      </c>
      <c r="E569" s="24" t="s">
        <v>1539</v>
      </c>
      <c r="F569" s="24" t="s">
        <v>1540</v>
      </c>
      <c r="G569" s="24">
        <v>500</v>
      </c>
      <c r="H569" s="24"/>
    </row>
    <row r="570" spans="1:8" ht="14">
      <c r="A570" s="24" t="s">
        <v>1541</v>
      </c>
      <c r="B570" s="25" t="s">
        <v>110</v>
      </c>
      <c r="C570" s="24" t="str">
        <f t="shared" si="10"/>
        <v>mtdna_nucleoid</v>
      </c>
      <c r="D570" s="26" t="s">
        <v>12</v>
      </c>
      <c r="E570" s="24" t="s">
        <v>1542</v>
      </c>
      <c r="F570" s="24" t="s">
        <v>1543</v>
      </c>
      <c r="G570" s="24">
        <v>500</v>
      </c>
      <c r="H570" s="24"/>
    </row>
    <row r="571" spans="1:8" ht="14">
      <c r="A571" s="24" t="s">
        <v>1544</v>
      </c>
      <c r="B571" s="25" t="s">
        <v>110</v>
      </c>
      <c r="C571" s="24" t="str">
        <f t="shared" si="10"/>
        <v>mtdna_repair</v>
      </c>
      <c r="D571" s="26" t="s">
        <v>12</v>
      </c>
      <c r="E571" s="24" t="s">
        <v>1545</v>
      </c>
      <c r="F571" s="24" t="s">
        <v>1546</v>
      </c>
      <c r="G571" s="24">
        <v>500</v>
      </c>
      <c r="H571" s="24"/>
    </row>
    <row r="572" spans="1:8" ht="14">
      <c r="A572" s="24" t="s">
        <v>1547</v>
      </c>
      <c r="B572" s="25" t="s">
        <v>110</v>
      </c>
      <c r="C572" s="24" t="str">
        <f t="shared" si="10"/>
        <v>mtdna_replication</v>
      </c>
      <c r="D572" s="26" t="s">
        <v>12</v>
      </c>
      <c r="E572" s="24" t="s">
        <v>1548</v>
      </c>
      <c r="F572" s="24" t="s">
        <v>1549</v>
      </c>
      <c r="G572" s="24">
        <v>500</v>
      </c>
      <c r="H572" s="24"/>
    </row>
    <row r="573" spans="1:8" ht="14">
      <c r="A573" s="24" t="s">
        <v>1550</v>
      </c>
      <c r="B573" s="25" t="s">
        <v>110</v>
      </c>
      <c r="C573" s="24" t="str">
        <f t="shared" si="10"/>
        <v>mtdna_stability_and_decay</v>
      </c>
      <c r="D573" s="26" t="s">
        <v>12</v>
      </c>
      <c r="E573" s="24" t="s">
        <v>1551</v>
      </c>
      <c r="F573" s="24" t="s">
        <v>1552</v>
      </c>
      <c r="G573" s="24">
        <v>500</v>
      </c>
      <c r="H573" s="24"/>
    </row>
    <row r="574" spans="1:8" ht="14">
      <c r="A574" s="24" t="s">
        <v>1553</v>
      </c>
      <c r="B574" s="25" t="s">
        <v>110</v>
      </c>
      <c r="C574" s="24" t="str">
        <f t="shared" si="10"/>
        <v>mtrna_granules</v>
      </c>
      <c r="D574" s="26" t="s">
        <v>12</v>
      </c>
      <c r="E574" s="24" t="s">
        <v>1554</v>
      </c>
      <c r="F574" s="24" t="s">
        <v>1555</v>
      </c>
      <c r="G574" s="24">
        <v>500</v>
      </c>
      <c r="H574" s="24"/>
    </row>
    <row r="575" spans="1:8" ht="14">
      <c r="A575" s="24" t="s">
        <v>1556</v>
      </c>
      <c r="B575" s="25" t="s">
        <v>110</v>
      </c>
      <c r="C575" s="24" t="str">
        <f t="shared" si="10"/>
        <v>mtrna_metabolism</v>
      </c>
      <c r="D575" s="26" t="s">
        <v>12</v>
      </c>
      <c r="E575" s="24" t="s">
        <v>1557</v>
      </c>
      <c r="F575" s="24" t="s">
        <v>1558</v>
      </c>
      <c r="G575" s="24">
        <v>500</v>
      </c>
      <c r="H575" s="24"/>
    </row>
    <row r="576" spans="1:8" ht="14">
      <c r="A576" s="24" t="s">
        <v>1559</v>
      </c>
      <c r="B576" s="25" t="s">
        <v>110</v>
      </c>
      <c r="C576" s="24" t="str">
        <f t="shared" si="10"/>
        <v>mtrna_stability_and_decay</v>
      </c>
      <c r="D576" s="26" t="s">
        <v>12</v>
      </c>
      <c r="E576" s="24" t="s">
        <v>1560</v>
      </c>
      <c r="F576" s="24" t="s">
        <v>1561</v>
      </c>
      <c r="G576" s="24">
        <v>500</v>
      </c>
      <c r="H576" s="24"/>
    </row>
    <row r="577" spans="1:8" ht="14">
      <c r="A577" s="24" t="s">
        <v>1562</v>
      </c>
      <c r="B577" s="25" t="s">
        <v>110</v>
      </c>
      <c r="C577" s="24" t="str">
        <f t="shared" si="10"/>
        <v>nad_biosynthesis_and_metabolism</v>
      </c>
      <c r="D577" s="26" t="s">
        <v>12</v>
      </c>
      <c r="E577" s="24" t="s">
        <v>1563</v>
      </c>
      <c r="F577" s="24" t="s">
        <v>1564</v>
      </c>
      <c r="G577" s="24">
        <v>500</v>
      </c>
      <c r="H577" s="24"/>
    </row>
    <row r="578" spans="1:8" ht="14">
      <c r="A578" s="24" t="s">
        <v>1565</v>
      </c>
      <c r="B578" s="25" t="s">
        <v>110</v>
      </c>
      <c r="C578" s="24" t="str">
        <f t="shared" si="10"/>
        <v>nucleotide_import</v>
      </c>
      <c r="D578" s="26" t="s">
        <v>12</v>
      </c>
      <c r="E578" s="24" t="s">
        <v>1566</v>
      </c>
      <c r="F578" s="24" t="s">
        <v>1567</v>
      </c>
      <c r="G578" s="24">
        <v>500</v>
      </c>
      <c r="H578" s="24"/>
    </row>
    <row r="579" spans="1:8" ht="14">
      <c r="A579" s="24" t="s">
        <v>1568</v>
      </c>
      <c r="B579" s="25" t="s">
        <v>110</v>
      </c>
      <c r="C579" s="24" t="str">
        <f t="shared" si="10"/>
        <v>nucleotide_metabolism</v>
      </c>
      <c r="D579" s="26" t="s">
        <v>12</v>
      </c>
      <c r="E579" s="24" t="s">
        <v>1569</v>
      </c>
      <c r="F579" s="24" t="s">
        <v>1570</v>
      </c>
      <c r="G579" s="24">
        <v>500</v>
      </c>
      <c r="H579" s="24"/>
    </row>
    <row r="580" spans="1:8" ht="14">
      <c r="A580" s="24" t="s">
        <v>1571</v>
      </c>
      <c r="B580" s="25" t="s">
        <v>110</v>
      </c>
      <c r="C580" s="24" t="str">
        <f t="shared" si="10"/>
        <v>nucleotide_synthesis_and_processing</v>
      </c>
      <c r="D580" s="26" t="s">
        <v>12</v>
      </c>
      <c r="E580" s="24" t="s">
        <v>1572</v>
      </c>
      <c r="F580" s="24" t="s">
        <v>1573</v>
      </c>
      <c r="G580" s="24">
        <v>500</v>
      </c>
      <c r="H580" s="24"/>
    </row>
    <row r="581" spans="1:8" ht="14">
      <c r="A581" s="24" t="s">
        <v>1574</v>
      </c>
      <c r="B581" s="25" t="s">
        <v>110</v>
      </c>
      <c r="C581" s="24" t="str">
        <f t="shared" si="10"/>
        <v>organelle_contact_sites</v>
      </c>
      <c r="D581" s="26" t="s">
        <v>12</v>
      </c>
      <c r="E581" s="24" t="s">
        <v>1575</v>
      </c>
      <c r="F581" s="24" t="s">
        <v>1576</v>
      </c>
      <c r="G581" s="24">
        <v>500</v>
      </c>
      <c r="H581" s="24"/>
    </row>
    <row r="582" spans="1:8" ht="14">
      <c r="A582" s="24" t="s">
        <v>1577</v>
      </c>
      <c r="B582" s="25" t="s">
        <v>110</v>
      </c>
      <c r="C582" s="24" t="str">
        <f t="shared" si="10"/>
        <v>oxa</v>
      </c>
      <c r="D582" s="26" t="s">
        <v>12</v>
      </c>
      <c r="E582" s="24" t="s">
        <v>1578</v>
      </c>
      <c r="F582" s="24" t="s">
        <v>1579</v>
      </c>
      <c r="G582" s="24">
        <v>500</v>
      </c>
      <c r="H582" s="24"/>
    </row>
    <row r="583" spans="1:8" ht="14">
      <c r="A583" s="24" t="s">
        <v>1580</v>
      </c>
      <c r="B583" s="25" t="s">
        <v>110</v>
      </c>
      <c r="C583" s="24" t="str">
        <f t="shared" si="10"/>
        <v>oxphos</v>
      </c>
      <c r="D583" s="26" t="s">
        <v>12</v>
      </c>
      <c r="E583" s="24" t="s">
        <v>1581</v>
      </c>
      <c r="F583" s="24" t="s">
        <v>1581</v>
      </c>
      <c r="G583" s="24">
        <v>500</v>
      </c>
      <c r="H583" s="24"/>
    </row>
    <row r="584" spans="1:8" ht="14">
      <c r="A584" s="24" t="s">
        <v>1582</v>
      </c>
      <c r="B584" s="25" t="s">
        <v>110</v>
      </c>
      <c r="C584" s="24" t="str">
        <f t="shared" si="10"/>
        <v>oxphos_assembly_factors</v>
      </c>
      <c r="D584" s="26" t="s">
        <v>12</v>
      </c>
      <c r="E584" s="24" t="s">
        <v>1583</v>
      </c>
      <c r="F584" s="24" t="s">
        <v>1584</v>
      </c>
      <c r="G584" s="24">
        <v>500</v>
      </c>
      <c r="H584" s="24"/>
    </row>
    <row r="585" spans="1:8" ht="14">
      <c r="A585" s="24" t="s">
        <v>1585</v>
      </c>
      <c r="B585" s="25" t="s">
        <v>110</v>
      </c>
      <c r="C585" s="24" t="str">
        <f t="shared" si="10"/>
        <v>oxphos_subunits</v>
      </c>
      <c r="D585" s="26" t="s">
        <v>12</v>
      </c>
      <c r="E585" s="24" t="s">
        <v>1586</v>
      </c>
      <c r="F585" s="24" t="s">
        <v>1587</v>
      </c>
      <c r="G585" s="24">
        <v>500</v>
      </c>
      <c r="H585" s="24"/>
    </row>
    <row r="586" spans="1:8" ht="14">
      <c r="A586" s="24" t="s">
        <v>1588</v>
      </c>
      <c r="B586" s="25" t="s">
        <v>110</v>
      </c>
      <c r="C586" s="24" t="str">
        <f t="shared" si="10"/>
        <v>phospholipid_metabolism</v>
      </c>
      <c r="D586" s="26" t="s">
        <v>12</v>
      </c>
      <c r="E586" s="24" t="s">
        <v>1589</v>
      </c>
      <c r="F586" s="24" t="s">
        <v>1590</v>
      </c>
      <c r="G586" s="24">
        <v>500</v>
      </c>
      <c r="H586" s="24"/>
    </row>
    <row r="587" spans="1:8" ht="14">
      <c r="A587" s="24" t="s">
        <v>1591</v>
      </c>
      <c r="B587" s="25" t="s">
        <v>110</v>
      </c>
      <c r="C587" s="24" t="str">
        <f t="shared" si="10"/>
        <v>polycistronic_mtrna_processing</v>
      </c>
      <c r="D587" s="26" t="s">
        <v>12</v>
      </c>
      <c r="E587" s="24" t="s">
        <v>1592</v>
      </c>
      <c r="F587" s="24" t="s">
        <v>1593</v>
      </c>
      <c r="G587" s="24">
        <v>500</v>
      </c>
      <c r="H587" s="24"/>
    </row>
    <row r="588" spans="1:8" ht="14">
      <c r="A588" s="24" t="s">
        <v>1594</v>
      </c>
      <c r="B588" s="25" t="s">
        <v>110</v>
      </c>
      <c r="C588" s="24" t="str">
        <f t="shared" si="10"/>
        <v>preprotein_cleavage</v>
      </c>
      <c r="D588" s="26" t="s">
        <v>12</v>
      </c>
      <c r="E588" s="24" t="s">
        <v>1595</v>
      </c>
      <c r="F588" s="24" t="s">
        <v>1596</v>
      </c>
      <c r="G588" s="24">
        <v>500</v>
      </c>
      <c r="H588" s="24"/>
    </row>
    <row r="589" spans="1:8" ht="14">
      <c r="A589" s="24" t="s">
        <v>1597</v>
      </c>
      <c r="B589" s="25" t="s">
        <v>110</v>
      </c>
      <c r="C589" s="24" t="str">
        <f t="shared" si="10"/>
        <v>proline_metabolism</v>
      </c>
      <c r="D589" s="26" t="s">
        <v>12</v>
      </c>
      <c r="E589" s="24" t="s">
        <v>1598</v>
      </c>
      <c r="F589" s="24" t="s">
        <v>1599</v>
      </c>
      <c r="G589" s="24">
        <v>500</v>
      </c>
      <c r="H589" s="24"/>
    </row>
    <row r="590" spans="1:8" ht="14">
      <c r="A590" s="24" t="s">
        <v>1600</v>
      </c>
      <c r="B590" s="25" t="s">
        <v>110</v>
      </c>
      <c r="C590" s="24" t="str">
        <f t="shared" si="10"/>
        <v>propanoate_metabolism</v>
      </c>
      <c r="D590" s="26" t="s">
        <v>12</v>
      </c>
      <c r="E590" s="24" t="s">
        <v>1601</v>
      </c>
      <c r="F590" s="24" t="s">
        <v>1602</v>
      </c>
      <c r="G590" s="24">
        <v>500</v>
      </c>
      <c r="H590" s="24"/>
    </row>
    <row r="591" spans="1:8" ht="14">
      <c r="A591" s="24" t="s">
        <v>1603</v>
      </c>
      <c r="B591" s="25" t="s">
        <v>110</v>
      </c>
      <c r="C591" s="24" t="str">
        <f t="shared" si="10"/>
        <v>proteases</v>
      </c>
      <c r="D591" s="26" t="s">
        <v>12</v>
      </c>
      <c r="E591" s="24" t="s">
        <v>1604</v>
      </c>
      <c r="F591" s="24" t="s">
        <v>1605</v>
      </c>
      <c r="G591" s="24">
        <v>500</v>
      </c>
      <c r="H591" s="24"/>
    </row>
    <row r="592" spans="1:8" ht="14">
      <c r="A592" s="24" t="s">
        <v>1606</v>
      </c>
      <c r="B592" s="25" t="s">
        <v>110</v>
      </c>
      <c r="C592" s="24" t="str">
        <f t="shared" si="10"/>
        <v>protein_homeostasis</v>
      </c>
      <c r="D592" s="26" t="s">
        <v>12</v>
      </c>
      <c r="E592" s="24" t="s">
        <v>1607</v>
      </c>
      <c r="F592" s="24" t="s">
        <v>1608</v>
      </c>
      <c r="G592" s="24">
        <v>500</v>
      </c>
      <c r="H592" s="24"/>
    </row>
    <row r="593" spans="1:8" ht="14">
      <c r="A593" s="24" t="s">
        <v>1609</v>
      </c>
      <c r="B593" s="25" t="s">
        <v>110</v>
      </c>
      <c r="C593" s="24" t="str">
        <f t="shared" si="10"/>
        <v>protein_import_and_sorting</v>
      </c>
      <c r="D593" s="26" t="s">
        <v>12</v>
      </c>
      <c r="E593" s="24" t="s">
        <v>1610</v>
      </c>
      <c r="F593" s="24" t="s">
        <v>1611</v>
      </c>
      <c r="G593" s="24">
        <v>500</v>
      </c>
      <c r="H593" s="24"/>
    </row>
    <row r="594" spans="1:8" ht="14">
      <c r="A594" s="24" t="s">
        <v>1612</v>
      </c>
      <c r="B594" s="25" t="s">
        <v>110</v>
      </c>
      <c r="C594" s="24" t="str">
        <f t="shared" si="10"/>
        <v>pyruvate_metabolism</v>
      </c>
      <c r="D594" s="26" t="s">
        <v>12</v>
      </c>
      <c r="E594" s="24" t="s">
        <v>1613</v>
      </c>
      <c r="F594" s="24" t="s">
        <v>1614</v>
      </c>
      <c r="G594" s="24">
        <v>500</v>
      </c>
      <c r="H594" s="24"/>
    </row>
    <row r="595" spans="1:8" ht="14">
      <c r="A595" s="24" t="s">
        <v>1615</v>
      </c>
      <c r="B595" s="25" t="s">
        <v>110</v>
      </c>
      <c r="C595" s="24" t="str">
        <f t="shared" si="10"/>
        <v>respirasome_assembly</v>
      </c>
      <c r="D595" s="26" t="s">
        <v>12</v>
      </c>
      <c r="E595" s="24" t="s">
        <v>1616</v>
      </c>
      <c r="F595" s="24" t="s">
        <v>1617</v>
      </c>
      <c r="G595" s="24">
        <v>500</v>
      </c>
      <c r="H595" s="24"/>
    </row>
    <row r="596" spans="1:8" ht="14">
      <c r="A596" s="24" t="s">
        <v>1618</v>
      </c>
      <c r="B596" s="25" t="s">
        <v>110</v>
      </c>
      <c r="C596" s="24" t="str">
        <f t="shared" si="10"/>
        <v>ros_and_glutathione_metabolism</v>
      </c>
      <c r="D596" s="26" t="s">
        <v>12</v>
      </c>
      <c r="E596" s="24" t="s">
        <v>1619</v>
      </c>
      <c r="F596" s="24" t="s">
        <v>1620</v>
      </c>
      <c r="G596" s="24">
        <v>500</v>
      </c>
      <c r="H596" s="24"/>
    </row>
    <row r="597" spans="1:8" ht="14">
      <c r="A597" s="24" t="s">
        <v>1621</v>
      </c>
      <c r="B597" s="25" t="s">
        <v>110</v>
      </c>
      <c r="C597" s="24" t="str">
        <f t="shared" si="10"/>
        <v>sam</v>
      </c>
      <c r="D597" s="26" t="s">
        <v>12</v>
      </c>
      <c r="E597" s="24" t="s">
        <v>1622</v>
      </c>
      <c r="F597" s="24" t="s">
        <v>1623</v>
      </c>
      <c r="G597" s="24">
        <v>500</v>
      </c>
      <c r="H597" s="24"/>
    </row>
    <row r="598" spans="1:8" ht="14">
      <c r="A598" s="24" t="s">
        <v>1624</v>
      </c>
      <c r="B598" s="25" t="s">
        <v>110</v>
      </c>
      <c r="C598" s="24" t="str">
        <f t="shared" si="10"/>
        <v>selenoproteins</v>
      </c>
      <c r="D598" s="26" t="s">
        <v>12</v>
      </c>
      <c r="E598" s="24" t="s">
        <v>1625</v>
      </c>
      <c r="F598" s="24" t="s">
        <v>1626</v>
      </c>
      <c r="G598" s="24">
        <v>500</v>
      </c>
      <c r="H598" s="24"/>
    </row>
    <row r="599" spans="1:8" ht="14">
      <c r="A599" s="24" t="s">
        <v>1627</v>
      </c>
      <c r="B599" s="25" t="s">
        <v>110</v>
      </c>
      <c r="C599" s="24" t="str">
        <f t="shared" si="10"/>
        <v>serine_metabolism</v>
      </c>
      <c r="D599" s="26" t="s">
        <v>12</v>
      </c>
      <c r="E599" s="24" t="s">
        <v>1628</v>
      </c>
      <c r="F599" s="24" t="s">
        <v>1629</v>
      </c>
      <c r="G599" s="24">
        <v>500</v>
      </c>
      <c r="H599" s="24"/>
    </row>
    <row r="600" spans="1:8" ht="14">
      <c r="A600" s="24" t="s">
        <v>1630</v>
      </c>
      <c r="B600" s="25" t="s">
        <v>110</v>
      </c>
      <c r="C600" s="24" t="str">
        <f t="shared" si="10"/>
        <v>sideroflexins</v>
      </c>
      <c r="D600" s="26" t="s">
        <v>12</v>
      </c>
      <c r="E600" s="24" t="s">
        <v>1631</v>
      </c>
      <c r="F600" s="24" t="s">
        <v>1632</v>
      </c>
      <c r="G600" s="24">
        <v>500</v>
      </c>
      <c r="H600" s="24"/>
    </row>
    <row r="601" spans="1:8" ht="14">
      <c r="A601" s="24" t="s">
        <v>1633</v>
      </c>
      <c r="B601" s="25" t="s">
        <v>110</v>
      </c>
      <c r="C601" s="24" t="str">
        <f t="shared" si="10"/>
        <v>signaling</v>
      </c>
      <c r="D601" s="26" t="s">
        <v>12</v>
      </c>
      <c r="E601" s="24" t="s">
        <v>1634</v>
      </c>
      <c r="F601" s="24" t="s">
        <v>1634</v>
      </c>
      <c r="G601" s="24">
        <v>500</v>
      </c>
      <c r="H601" s="24"/>
    </row>
    <row r="602" spans="1:8" ht="14">
      <c r="A602" s="24" t="s">
        <v>1635</v>
      </c>
      <c r="B602" s="25" t="s">
        <v>110</v>
      </c>
      <c r="C602" s="24" t="str">
        <f t="shared" si="10"/>
        <v>slc25a_family</v>
      </c>
      <c r="D602" s="26" t="s">
        <v>12</v>
      </c>
      <c r="E602" s="24" t="s">
        <v>1636</v>
      </c>
      <c r="F602" s="24" t="s">
        <v>1637</v>
      </c>
      <c r="G602" s="24">
        <v>500</v>
      </c>
      <c r="H602" s="24"/>
    </row>
    <row r="603" spans="1:8" ht="14">
      <c r="A603" s="24" t="s">
        <v>1638</v>
      </c>
      <c r="B603" s="25" t="s">
        <v>110</v>
      </c>
      <c r="C603" s="24" t="str">
        <f t="shared" si="10"/>
        <v>small_molecule_transport</v>
      </c>
      <c r="D603" s="26" t="s">
        <v>12</v>
      </c>
      <c r="E603" s="24" t="s">
        <v>1639</v>
      </c>
      <c r="F603" s="24" t="s">
        <v>1639</v>
      </c>
      <c r="G603" s="24">
        <v>500</v>
      </c>
      <c r="H603" s="24"/>
    </row>
    <row r="604" spans="1:8" ht="14">
      <c r="A604" s="24" t="s">
        <v>1640</v>
      </c>
      <c r="B604" s="25" t="s">
        <v>110</v>
      </c>
      <c r="C604" s="24" t="str">
        <f t="shared" si="10"/>
        <v>sulfur_metabolism</v>
      </c>
      <c r="D604" s="26" t="s">
        <v>12</v>
      </c>
      <c r="E604" s="24" t="s">
        <v>1641</v>
      </c>
      <c r="F604" s="24" t="s">
        <v>1642</v>
      </c>
      <c r="G604" s="24">
        <v>500</v>
      </c>
      <c r="H604" s="24"/>
    </row>
    <row r="605" spans="1:8" ht="14">
      <c r="A605" s="24" t="s">
        <v>1643</v>
      </c>
      <c r="B605" s="25" t="s">
        <v>110</v>
      </c>
      <c r="C605" s="24" t="str">
        <f t="shared" si="10"/>
        <v>tca_associated</v>
      </c>
      <c r="D605" s="26" t="s">
        <v>12</v>
      </c>
      <c r="E605" s="24" t="s">
        <v>1644</v>
      </c>
      <c r="F605" s="24" t="s">
        <v>1645</v>
      </c>
      <c r="G605" s="24">
        <v>500</v>
      </c>
      <c r="H605" s="24"/>
    </row>
    <row r="606" spans="1:8" ht="14">
      <c r="A606" s="24" t="s">
        <v>1646</v>
      </c>
      <c r="B606" s="25" t="s">
        <v>110</v>
      </c>
      <c r="C606" s="24" t="str">
        <f t="shared" si="10"/>
        <v>tca_cycle</v>
      </c>
      <c r="D606" s="26" t="s">
        <v>12</v>
      </c>
      <c r="E606" s="24" t="s">
        <v>1647</v>
      </c>
      <c r="F606" s="24" t="s">
        <v>1648</v>
      </c>
      <c r="G606" s="24">
        <v>500</v>
      </c>
      <c r="H606" s="24"/>
    </row>
    <row r="607" spans="1:8" ht="14">
      <c r="A607" s="24" t="s">
        <v>1649</v>
      </c>
      <c r="B607" s="25" t="s">
        <v>110</v>
      </c>
      <c r="C607" s="24" t="str">
        <f t="shared" si="10"/>
        <v>tetrahydrobiopterin_synthesis</v>
      </c>
      <c r="D607" s="26" t="s">
        <v>12</v>
      </c>
      <c r="E607" s="24" t="s">
        <v>1650</v>
      </c>
      <c r="F607" s="24" t="s">
        <v>1651</v>
      </c>
      <c r="G607" s="24">
        <v>500</v>
      </c>
      <c r="H607" s="24"/>
    </row>
    <row r="608" spans="1:8" ht="14">
      <c r="A608" s="24" t="s">
        <v>1652</v>
      </c>
      <c r="B608" s="25" t="s">
        <v>110</v>
      </c>
      <c r="C608" s="24" t="str">
        <f t="shared" si="10"/>
        <v>tim22_carrier_pathway</v>
      </c>
      <c r="D608" s="26" t="s">
        <v>12</v>
      </c>
      <c r="E608" s="24" t="s">
        <v>1653</v>
      </c>
      <c r="F608" s="24" t="s">
        <v>1654</v>
      </c>
      <c r="G608" s="24">
        <v>500</v>
      </c>
      <c r="H608" s="24"/>
    </row>
    <row r="609" spans="1:8" ht="14">
      <c r="A609" s="24" t="s">
        <v>1655</v>
      </c>
      <c r="B609" s="25" t="s">
        <v>110</v>
      </c>
      <c r="C609" s="24" t="str">
        <f t="shared" si="10"/>
        <v>tim23_presequence_pathway</v>
      </c>
      <c r="D609" s="26" t="s">
        <v>12</v>
      </c>
      <c r="E609" s="24" t="s">
        <v>1656</v>
      </c>
      <c r="F609" s="24" t="s">
        <v>1657</v>
      </c>
      <c r="G609" s="24">
        <v>500</v>
      </c>
      <c r="H609" s="24"/>
    </row>
    <row r="610" spans="1:8" ht="14">
      <c r="A610" s="24" t="s">
        <v>1658</v>
      </c>
      <c r="B610" s="25" t="s">
        <v>110</v>
      </c>
      <c r="C610" s="24" t="str">
        <f t="shared" si="10"/>
        <v>tom</v>
      </c>
      <c r="D610" s="26" t="s">
        <v>12</v>
      </c>
      <c r="E610" s="24" t="s">
        <v>1659</v>
      </c>
      <c r="F610" s="24" t="s">
        <v>1660</v>
      </c>
      <c r="G610" s="24">
        <v>500</v>
      </c>
      <c r="H610" s="24"/>
    </row>
    <row r="611" spans="1:8" ht="14">
      <c r="A611" s="24" t="s">
        <v>1661</v>
      </c>
      <c r="B611" s="25" t="s">
        <v>110</v>
      </c>
      <c r="C611" s="24" t="str">
        <f t="shared" si="10"/>
        <v>trafficking</v>
      </c>
      <c r="D611" s="26" t="s">
        <v>12</v>
      </c>
      <c r="E611" s="24" t="s">
        <v>1662</v>
      </c>
      <c r="F611" s="24" t="s">
        <v>1663</v>
      </c>
      <c r="G611" s="24">
        <v>500</v>
      </c>
      <c r="H611" s="24"/>
    </row>
    <row r="612" spans="1:8" ht="14">
      <c r="A612" s="24" t="s">
        <v>1664</v>
      </c>
      <c r="B612" s="25" t="s">
        <v>110</v>
      </c>
      <c r="C612" s="24" t="str">
        <f t="shared" si="10"/>
        <v>transcription</v>
      </c>
      <c r="D612" s="26" t="s">
        <v>12</v>
      </c>
      <c r="E612" s="24" t="s">
        <v>1665</v>
      </c>
      <c r="F612" s="24" t="s">
        <v>1666</v>
      </c>
      <c r="G612" s="24">
        <v>500</v>
      </c>
      <c r="H612" s="24"/>
    </row>
    <row r="613" spans="1:8" ht="14">
      <c r="A613" s="24" t="s">
        <v>1667</v>
      </c>
      <c r="B613" s="25" t="s">
        <v>110</v>
      </c>
      <c r="C613" s="24" t="str">
        <f t="shared" si="10"/>
        <v>translation</v>
      </c>
      <c r="D613" s="26" t="s">
        <v>12</v>
      </c>
      <c r="E613" s="24" t="s">
        <v>1668</v>
      </c>
      <c r="F613" s="24" t="s">
        <v>1669</v>
      </c>
      <c r="G613" s="24">
        <v>500</v>
      </c>
      <c r="H613" s="24"/>
    </row>
    <row r="614" spans="1:8" ht="14">
      <c r="A614" s="24" t="s">
        <v>1670</v>
      </c>
      <c r="B614" s="25" t="s">
        <v>110</v>
      </c>
      <c r="C614" s="24" t="str">
        <f t="shared" si="10"/>
        <v>translation_factors</v>
      </c>
      <c r="D614" s="26" t="s">
        <v>12</v>
      </c>
      <c r="E614" s="24" t="s">
        <v>1671</v>
      </c>
      <c r="F614" s="24" t="s">
        <v>1672</v>
      </c>
      <c r="G614" s="24">
        <v>500</v>
      </c>
      <c r="H614" s="24"/>
    </row>
    <row r="615" spans="1:8" ht="14">
      <c r="A615" s="24" t="s">
        <v>1673</v>
      </c>
      <c r="B615" s="25" t="s">
        <v>110</v>
      </c>
      <c r="C615" s="24" t="str">
        <f t="shared" si="10"/>
        <v>type_ii_fatty_acid_synthesis</v>
      </c>
      <c r="D615" s="26" t="s">
        <v>12</v>
      </c>
      <c r="E615" s="24" t="s">
        <v>1674</v>
      </c>
      <c r="F615" s="24" t="s">
        <v>1675</v>
      </c>
      <c r="G615" s="24">
        <v>500</v>
      </c>
      <c r="H615" s="24"/>
    </row>
    <row r="616" spans="1:8" ht="14">
      <c r="A616" s="24" t="s">
        <v>1676</v>
      </c>
      <c r="B616" s="25" t="s">
        <v>110</v>
      </c>
      <c r="C616" s="24" t="str">
        <f t="shared" si="10"/>
        <v>urea_cycle</v>
      </c>
      <c r="D616" s="26" t="s">
        <v>12</v>
      </c>
      <c r="E616" s="24" t="s">
        <v>1677</v>
      </c>
      <c r="F616" s="24" t="s">
        <v>1678</v>
      </c>
      <c r="G616" s="24">
        <v>500</v>
      </c>
      <c r="H616" s="24"/>
    </row>
    <row r="617" spans="1:8" ht="14">
      <c r="A617" s="24" t="s">
        <v>1679</v>
      </c>
      <c r="B617" s="25" t="s">
        <v>110</v>
      </c>
      <c r="C617" s="24" t="str">
        <f t="shared" si="10"/>
        <v>vitamin_a_metabolism</v>
      </c>
      <c r="D617" s="26" t="s">
        <v>12</v>
      </c>
      <c r="E617" s="24" t="s">
        <v>1680</v>
      </c>
      <c r="F617" s="24" t="s">
        <v>1681</v>
      </c>
      <c r="G617" s="24">
        <v>500</v>
      </c>
      <c r="H617" s="24"/>
    </row>
    <row r="618" spans="1:8" ht="14">
      <c r="A618" s="24" t="s">
        <v>1682</v>
      </c>
      <c r="B618" s="25" t="s">
        <v>110</v>
      </c>
      <c r="C618" s="24" t="str">
        <f t="shared" si="10"/>
        <v>vitamin_b1_metabolism</v>
      </c>
      <c r="D618" s="26" t="s">
        <v>12</v>
      </c>
      <c r="E618" s="24" t="s">
        <v>1683</v>
      </c>
      <c r="F618" s="24" t="s">
        <v>1684</v>
      </c>
      <c r="G618" s="24">
        <v>500</v>
      </c>
      <c r="H618" s="24"/>
    </row>
    <row r="619" spans="1:8" ht="14">
      <c r="A619" s="24" t="s">
        <v>1685</v>
      </c>
      <c r="B619" s="25" t="s">
        <v>110</v>
      </c>
      <c r="C619" s="24" t="str">
        <f t="shared" si="10"/>
        <v>vitamin_b12_metabolism</v>
      </c>
      <c r="D619" s="26" t="s">
        <v>12</v>
      </c>
      <c r="E619" s="24" t="s">
        <v>1686</v>
      </c>
      <c r="F619" s="24" t="s">
        <v>1687</v>
      </c>
      <c r="G619" s="24">
        <v>500</v>
      </c>
      <c r="H619" s="24"/>
    </row>
    <row r="620" spans="1:8" ht="14">
      <c r="A620" s="24" t="s">
        <v>1688</v>
      </c>
      <c r="B620" s="25" t="s">
        <v>110</v>
      </c>
      <c r="C620" s="24" t="str">
        <f t="shared" si="10"/>
        <v>vitamin_b2_metabolism</v>
      </c>
      <c r="D620" s="26" t="s">
        <v>12</v>
      </c>
      <c r="E620" s="24" t="s">
        <v>1689</v>
      </c>
      <c r="F620" s="24" t="s">
        <v>1690</v>
      </c>
      <c r="G620" s="24">
        <v>500</v>
      </c>
      <c r="H620" s="24"/>
    </row>
    <row r="621" spans="1:8" ht="14">
      <c r="A621" s="24" t="s">
        <v>1691</v>
      </c>
      <c r="B621" s="25" t="s">
        <v>110</v>
      </c>
      <c r="C621" s="24" t="str">
        <f t="shared" si="10"/>
        <v>vitamin_b6_metabolism</v>
      </c>
      <c r="D621" s="26" t="s">
        <v>12</v>
      </c>
      <c r="E621" s="24" t="s">
        <v>1692</v>
      </c>
      <c r="F621" s="24" t="s">
        <v>1693</v>
      </c>
      <c r="G621" s="24">
        <v>500</v>
      </c>
      <c r="H621" s="24"/>
    </row>
    <row r="622" spans="1:8" ht="14">
      <c r="A622" s="24" t="s">
        <v>1694</v>
      </c>
      <c r="B622" s="25" t="s">
        <v>110</v>
      </c>
      <c r="C622" s="24" t="str">
        <f t="shared" si="10"/>
        <v>vitamin_c_metabolism</v>
      </c>
      <c r="D622" s="26" t="s">
        <v>12</v>
      </c>
      <c r="E622" s="24" t="s">
        <v>1695</v>
      </c>
      <c r="F622" s="24" t="s">
        <v>1696</v>
      </c>
      <c r="G622" s="24">
        <v>500</v>
      </c>
      <c r="H622" s="24"/>
    </row>
    <row r="623" spans="1:8" ht="14">
      <c r="A623" s="24" t="s">
        <v>1697</v>
      </c>
      <c r="B623" s="25" t="s">
        <v>110</v>
      </c>
      <c r="C623" s="24" t="str">
        <f t="shared" si="10"/>
        <v>vitamin_d_metabolism</v>
      </c>
      <c r="D623" s="26" t="s">
        <v>12</v>
      </c>
      <c r="E623" s="24" t="s">
        <v>1698</v>
      </c>
      <c r="F623" s="24" t="s">
        <v>1699</v>
      </c>
      <c r="G623" s="24">
        <v>500</v>
      </c>
      <c r="H623" s="24"/>
    </row>
    <row r="624" spans="1:8" ht="14">
      <c r="A624" s="24" t="s">
        <v>1700</v>
      </c>
      <c r="B624" s="25" t="s">
        <v>110</v>
      </c>
      <c r="C624" s="24" t="str">
        <f t="shared" si="10"/>
        <v>vitamin_metabolism</v>
      </c>
      <c r="D624" s="26" t="s">
        <v>12</v>
      </c>
      <c r="E624" s="24" t="s">
        <v>1701</v>
      </c>
      <c r="F624" s="24" t="s">
        <v>1702</v>
      </c>
      <c r="G624" s="24">
        <v>500</v>
      </c>
      <c r="H624" s="24"/>
    </row>
    <row r="625" spans="1:8" ht="14">
      <c r="A625" s="24" t="s">
        <v>1703</v>
      </c>
      <c r="B625" s="25" t="s">
        <v>110</v>
      </c>
      <c r="C625" s="24" t="str">
        <f t="shared" si="10"/>
        <v>xenobiotic_metabolism</v>
      </c>
      <c r="D625" s="26" t="s">
        <v>12</v>
      </c>
      <c r="E625" s="24" t="s">
        <v>1704</v>
      </c>
      <c r="F625" s="24" t="s">
        <v>1705</v>
      </c>
      <c r="G625" s="24">
        <v>500</v>
      </c>
      <c r="H625" s="24"/>
    </row>
    <row r="626" spans="1:8" ht="14">
      <c r="A626" s="24" t="s">
        <v>1706</v>
      </c>
      <c r="B626" s="25" t="s">
        <v>1707</v>
      </c>
      <c r="C626" s="24" t="str">
        <f t="shared" si="10"/>
        <v>arbitrary</v>
      </c>
      <c r="D626" s="26" t="s">
        <v>12</v>
      </c>
      <c r="E626" s="24" t="s">
        <v>1708</v>
      </c>
      <c r="F626" s="24" t="s">
        <v>1709</v>
      </c>
      <c r="G626" s="24">
        <v>500</v>
      </c>
      <c r="H626" s="24"/>
    </row>
    <row r="627" spans="1:8" ht="14">
      <c r="A627" s="24" t="s">
        <v>1710</v>
      </c>
      <c r="B627" s="25" t="s">
        <v>1707</v>
      </c>
      <c r="C627" s="24" t="str">
        <f t="shared" si="10"/>
        <v>random</v>
      </c>
      <c r="D627" s="26" t="s">
        <v>12</v>
      </c>
      <c r="E627" s="24" t="s">
        <v>1711</v>
      </c>
      <c r="F627" s="24" t="s">
        <v>1709</v>
      </c>
      <c r="G627" s="24">
        <v>500</v>
      </c>
      <c r="H627" s="24"/>
    </row>
    <row r="628" spans="1:8" ht="14">
      <c r="A628" s="24" t="s">
        <v>1712</v>
      </c>
      <c r="B628" s="25" t="s">
        <v>113</v>
      </c>
      <c r="C628" s="24" t="str">
        <f t="shared" si="10"/>
        <v>in_vitro</v>
      </c>
      <c r="D628" s="26" t="s">
        <v>12</v>
      </c>
      <c r="E628" s="24" t="s">
        <v>1713</v>
      </c>
      <c r="F628" s="24" t="s">
        <v>1714</v>
      </c>
      <c r="G628" s="24">
        <v>500</v>
      </c>
      <c r="H628" s="24"/>
    </row>
    <row r="629" spans="1:8" ht="14">
      <c r="A629" s="24" t="s">
        <v>1715</v>
      </c>
      <c r="B629" s="25" t="s">
        <v>113</v>
      </c>
      <c r="C629" s="24" t="str">
        <f t="shared" si="10"/>
        <v>in_vivo</v>
      </c>
      <c r="D629" s="26" t="s">
        <v>12</v>
      </c>
      <c r="E629" s="24" t="s">
        <v>1716</v>
      </c>
      <c r="F629" s="24" t="s">
        <v>1717</v>
      </c>
      <c r="G629" s="24">
        <v>500</v>
      </c>
      <c r="H629" s="24"/>
    </row>
    <row r="630" spans="1:8" s="3" customFormat="1" ht="14">
      <c r="A630" s="24" t="s">
        <v>1718</v>
      </c>
      <c r="B630" s="25" t="s">
        <v>113</v>
      </c>
      <c r="C630" s="24" t="str">
        <f t="shared" si="10"/>
        <v>xenografts</v>
      </c>
      <c r="D630" s="26" t="s">
        <v>12</v>
      </c>
      <c r="E630" s="24" t="s">
        <v>1718</v>
      </c>
      <c r="F630" s="24" t="s">
        <v>1719</v>
      </c>
      <c r="G630" s="24">
        <v>500</v>
      </c>
      <c r="H630" s="29"/>
    </row>
    <row r="631" spans="1:8" s="3" customFormat="1" ht="14">
      <c r="A631" s="24" t="s">
        <v>2923</v>
      </c>
      <c r="B631" s="25" t="s">
        <v>2921</v>
      </c>
      <c r="C631" s="24" t="str">
        <f t="shared" si="10"/>
        <v>nestincre</v>
      </c>
      <c r="D631" s="24" t="s">
        <v>12</v>
      </c>
      <c r="E631" s="24" t="s">
        <v>2922</v>
      </c>
      <c r="F631" s="24" t="s">
        <v>2935</v>
      </c>
      <c r="G631" s="24">
        <v>500</v>
      </c>
      <c r="H631" s="29"/>
    </row>
    <row r="632" spans="1:8" ht="14">
      <c r="A632" s="24" t="s">
        <v>2925</v>
      </c>
      <c r="B632" s="25" t="s">
        <v>2921</v>
      </c>
      <c r="C632" s="24" t="str">
        <f t="shared" si="10"/>
        <v>cmvcre</v>
      </c>
      <c r="D632" s="24" t="s">
        <v>12</v>
      </c>
      <c r="E632" s="24" t="s">
        <v>2924</v>
      </c>
      <c r="F632" s="24" t="s">
        <v>2934</v>
      </c>
      <c r="G632" s="24">
        <v>500</v>
      </c>
      <c r="H632" s="24"/>
    </row>
    <row r="633" spans="1:8" ht="14">
      <c r="A633" s="24" t="s">
        <v>2928</v>
      </c>
      <c r="B633" s="25" t="s">
        <v>2921</v>
      </c>
      <c r="C633" s="24" t="str">
        <f t="shared" ref="C633:C697" si="11">A633</f>
        <v>myh6cre</v>
      </c>
      <c r="D633" s="24" t="s">
        <v>12</v>
      </c>
      <c r="E633" s="24" t="s">
        <v>2927</v>
      </c>
      <c r="F633" s="24" t="s">
        <v>2926</v>
      </c>
      <c r="G633" s="24">
        <v>500</v>
      </c>
      <c r="H633" s="24"/>
    </row>
    <row r="634" spans="1:8" ht="14">
      <c r="A634" s="24" t="s">
        <v>2396</v>
      </c>
      <c r="B634" s="25" t="s">
        <v>2921</v>
      </c>
      <c r="C634" s="24" t="str">
        <f t="shared" si="11"/>
        <v>albcre</v>
      </c>
      <c r="D634" s="24" t="s">
        <v>12</v>
      </c>
      <c r="E634" s="24" t="s">
        <v>2929</v>
      </c>
      <c r="F634" s="24" t="s">
        <v>2933</v>
      </c>
      <c r="G634" s="24">
        <v>500</v>
      </c>
      <c r="H634" s="24"/>
    </row>
    <row r="635" spans="1:8" ht="14">
      <c r="A635" s="24" t="s">
        <v>2930</v>
      </c>
      <c r="B635" s="25" t="s">
        <v>2921</v>
      </c>
      <c r="C635" s="24" t="str">
        <f t="shared" si="11"/>
        <v>ucpcre</v>
      </c>
      <c r="D635" s="24" t="s">
        <v>12</v>
      </c>
      <c r="E635" s="24" t="s">
        <v>2931</v>
      </c>
      <c r="F635" s="24" t="s">
        <v>2932</v>
      </c>
      <c r="G635" s="24">
        <v>500</v>
      </c>
      <c r="H635" s="24"/>
    </row>
    <row r="636" spans="1:8" ht="14">
      <c r="A636" s="24" t="s">
        <v>2393</v>
      </c>
      <c r="B636" s="25" t="s">
        <v>2921</v>
      </c>
      <c r="C636" s="24" t="str">
        <f t="shared" si="11"/>
        <v>adipoqcre</v>
      </c>
      <c r="D636" s="24" t="s">
        <v>12</v>
      </c>
      <c r="E636" s="24" t="s">
        <v>2936</v>
      </c>
      <c r="F636" s="24" t="s">
        <v>2937</v>
      </c>
      <c r="G636" s="24">
        <v>500</v>
      </c>
      <c r="H636" s="24"/>
    </row>
    <row r="637" spans="1:8" ht="14">
      <c r="A637" s="24" t="s">
        <v>2938</v>
      </c>
      <c r="B637" s="25" t="s">
        <v>2921</v>
      </c>
      <c r="C637" s="24" t="str">
        <f t="shared" si="11"/>
        <v>ckmmcre</v>
      </c>
      <c r="D637" s="24" t="s">
        <v>12</v>
      </c>
      <c r="E637" s="24" t="s">
        <v>2939</v>
      </c>
      <c r="F637" s="24" t="s">
        <v>2940</v>
      </c>
      <c r="G637" s="24">
        <v>500</v>
      </c>
      <c r="H637" s="24"/>
    </row>
    <row r="638" spans="1:8" ht="14">
      <c r="A638" s="24" t="s">
        <v>1720</v>
      </c>
      <c r="B638" s="25" t="s">
        <v>3773</v>
      </c>
      <c r="C638" s="24" t="str">
        <f t="shared" si="11"/>
        <v>eclips</v>
      </c>
      <c r="D638" s="26" t="s">
        <v>12</v>
      </c>
      <c r="E638" s="24" t="s">
        <v>1721</v>
      </c>
      <c r="F638" s="24" t="s">
        <v>1721</v>
      </c>
      <c r="G638" s="24">
        <v>500</v>
      </c>
      <c r="H638" s="24"/>
    </row>
    <row r="639" spans="1:8" ht="14">
      <c r="A639" s="24" t="s">
        <v>1722</v>
      </c>
      <c r="B639" s="25" t="s">
        <v>3773</v>
      </c>
      <c r="C639" s="24" t="str">
        <f t="shared" si="11"/>
        <v>exploris240</v>
      </c>
      <c r="D639" s="26" t="s">
        <v>12</v>
      </c>
      <c r="E639" s="24" t="s">
        <v>1723</v>
      </c>
      <c r="F639" s="24" t="s">
        <v>1724</v>
      </c>
      <c r="G639" s="24">
        <v>500</v>
      </c>
      <c r="H639" s="24"/>
    </row>
    <row r="640" spans="1:8" ht="14">
      <c r="A640" s="24" t="s">
        <v>1725</v>
      </c>
      <c r="B640" s="25" t="s">
        <v>3773</v>
      </c>
      <c r="C640" s="24" t="str">
        <f t="shared" si="11"/>
        <v>exploris480</v>
      </c>
      <c r="D640" s="26" t="s">
        <v>12</v>
      </c>
      <c r="E640" s="24" t="s">
        <v>1726</v>
      </c>
      <c r="F640" s="24" t="s">
        <v>1727</v>
      </c>
      <c r="G640" s="24">
        <v>500</v>
      </c>
      <c r="H640" s="24"/>
    </row>
    <row r="641" spans="1:8" ht="14">
      <c r="A641" s="24" t="s">
        <v>1728</v>
      </c>
      <c r="B641" s="25" t="s">
        <v>3773</v>
      </c>
      <c r="C641" s="24" t="str">
        <f t="shared" si="11"/>
        <v>qex</v>
      </c>
      <c r="D641" s="26" t="s">
        <v>12</v>
      </c>
      <c r="E641" s="24" t="s">
        <v>1729</v>
      </c>
      <c r="F641" s="24" t="s">
        <v>1730</v>
      </c>
      <c r="G641" s="24">
        <v>500</v>
      </c>
      <c r="H641" s="24"/>
    </row>
    <row r="642" spans="1:8" ht="14">
      <c r="A642" s="24" t="s">
        <v>1731</v>
      </c>
      <c r="B642" s="25" t="s">
        <v>3773</v>
      </c>
      <c r="C642" s="24" t="str">
        <f t="shared" si="11"/>
        <v>qexplus</v>
      </c>
      <c r="D642" s="26" t="s">
        <v>12</v>
      </c>
      <c r="E642" s="24" t="s">
        <v>1732</v>
      </c>
      <c r="F642" s="24" t="s">
        <v>1733</v>
      </c>
      <c r="G642" s="24">
        <v>500</v>
      </c>
      <c r="H642" s="24"/>
    </row>
    <row r="643" spans="1:8" ht="14">
      <c r="A643" s="24" t="s">
        <v>3010</v>
      </c>
      <c r="B643" s="25" t="s">
        <v>3773</v>
      </c>
      <c r="C643" s="24" t="str">
        <f t="shared" si="11"/>
        <v>tofpro2</v>
      </c>
      <c r="D643" s="26" t="s">
        <v>12</v>
      </c>
      <c r="E643" s="24" t="s">
        <v>3011</v>
      </c>
      <c r="F643" s="24" t="s">
        <v>3012</v>
      </c>
      <c r="G643" s="24">
        <v>500</v>
      </c>
      <c r="H643" s="24"/>
    </row>
    <row r="644" spans="1:8" ht="14">
      <c r="A644" s="24" t="s">
        <v>1734</v>
      </c>
      <c r="B644" s="25" t="s">
        <v>3773</v>
      </c>
      <c r="C644" s="24" t="str">
        <f t="shared" si="11"/>
        <v>ttofhct</v>
      </c>
      <c r="D644" s="26" t="s">
        <v>12</v>
      </c>
      <c r="E644" s="24" t="s">
        <v>1735</v>
      </c>
      <c r="F644" s="24" t="s">
        <v>3013</v>
      </c>
      <c r="G644" s="24">
        <v>500</v>
      </c>
      <c r="H644" s="24"/>
    </row>
    <row r="645" spans="1:8" ht="14">
      <c r="A645" s="24" t="s">
        <v>1736</v>
      </c>
      <c r="B645" s="25" t="s">
        <v>3773</v>
      </c>
      <c r="C645" s="24" t="str">
        <f t="shared" si="11"/>
        <v>ttofscp</v>
      </c>
      <c r="D645" s="26" t="s">
        <v>12</v>
      </c>
      <c r="E645" s="24" t="s">
        <v>1737</v>
      </c>
      <c r="F645" s="24" t="s">
        <v>3014</v>
      </c>
      <c r="G645" s="24">
        <v>500</v>
      </c>
      <c r="H645" s="24"/>
    </row>
    <row r="646" spans="1:8" ht="14">
      <c r="A646" s="24" t="s">
        <v>1738</v>
      </c>
      <c r="B646" s="25" t="s">
        <v>80</v>
      </c>
      <c r="C646" s="24" t="str">
        <f t="shared" si="11"/>
        <v>faims</v>
      </c>
      <c r="D646" s="26" t="s">
        <v>12</v>
      </c>
      <c r="E646" s="24" t="s">
        <v>4436</v>
      </c>
      <c r="F646" s="24" t="s">
        <v>1740</v>
      </c>
      <c r="G646" s="24">
        <v>500</v>
      </c>
      <c r="H646" s="24"/>
    </row>
    <row r="647" spans="1:8" ht="14">
      <c r="A647" s="24" t="s">
        <v>3094</v>
      </c>
      <c r="B647" s="25" t="s">
        <v>80</v>
      </c>
      <c r="C647" s="24" t="str">
        <f t="shared" si="11"/>
        <v>no_interface</v>
      </c>
      <c r="D647" s="26" t="s">
        <v>12</v>
      </c>
      <c r="E647" s="24" t="s">
        <v>4402</v>
      </c>
      <c r="F647" s="24" t="s">
        <v>1742</v>
      </c>
      <c r="G647" s="24">
        <v>500</v>
      </c>
      <c r="H647" s="24"/>
    </row>
    <row r="648" spans="1:8" ht="14">
      <c r="A648" s="24" t="s">
        <v>261</v>
      </c>
      <c r="B648" s="25" t="s">
        <v>80</v>
      </c>
      <c r="C648" s="24" t="str">
        <f t="shared" si="11"/>
        <v>none</v>
      </c>
      <c r="D648" s="26" t="s">
        <v>12</v>
      </c>
      <c r="E648" s="24" t="s">
        <v>1741</v>
      </c>
      <c r="F648" s="24" t="s">
        <v>4403</v>
      </c>
      <c r="G648" s="24">
        <v>500</v>
      </c>
      <c r="H648" s="24"/>
    </row>
    <row r="649" spans="1:8" ht="14">
      <c r="A649" s="24" t="s">
        <v>1743</v>
      </c>
      <c r="B649" s="25" t="s">
        <v>33</v>
      </c>
      <c r="C649" s="24" t="str">
        <f t="shared" si="11"/>
        <v>easy_spray</v>
      </c>
      <c r="D649" s="26" t="s">
        <v>12</v>
      </c>
      <c r="E649" s="24" t="s">
        <v>1744</v>
      </c>
      <c r="F649" s="24" t="s">
        <v>1745</v>
      </c>
      <c r="G649" s="24">
        <v>500</v>
      </c>
      <c r="H649" s="24"/>
    </row>
    <row r="650" spans="1:8" ht="14">
      <c r="A650" s="24" t="s">
        <v>1746</v>
      </c>
      <c r="B650" s="25" t="s">
        <v>33</v>
      </c>
      <c r="C650" s="24" t="str">
        <f t="shared" si="11"/>
        <v>flex</v>
      </c>
      <c r="D650" s="26" t="s">
        <v>12</v>
      </c>
      <c r="E650" s="24" t="s">
        <v>1747</v>
      </c>
      <c r="F650" s="24" t="s">
        <v>1748</v>
      </c>
      <c r="G650" s="24">
        <v>500</v>
      </c>
      <c r="H650" s="24"/>
    </row>
    <row r="651" spans="1:8" ht="14">
      <c r="A651" s="24" t="s">
        <v>1749</v>
      </c>
      <c r="B651" s="25" t="s">
        <v>33</v>
      </c>
      <c r="C651" s="24" t="str">
        <f t="shared" si="11"/>
        <v>ion_max</v>
      </c>
      <c r="D651" s="26" t="s">
        <v>12</v>
      </c>
      <c r="E651" s="24" t="s">
        <v>1750</v>
      </c>
      <c r="F651" s="24" t="s">
        <v>1751</v>
      </c>
      <c r="G651" s="24">
        <v>500</v>
      </c>
      <c r="H651" s="24"/>
    </row>
    <row r="652" spans="1:8" ht="14">
      <c r="A652" s="24" t="s">
        <v>2996</v>
      </c>
      <c r="B652" s="25" t="s">
        <v>33</v>
      </c>
      <c r="C652" s="24" t="str">
        <f t="shared" si="11"/>
        <v>captivespray</v>
      </c>
      <c r="D652" s="26" t="s">
        <v>2995</v>
      </c>
      <c r="E652" s="24" t="s">
        <v>3000</v>
      </c>
      <c r="F652" s="24" t="s">
        <v>3002</v>
      </c>
      <c r="G652" s="24">
        <v>500</v>
      </c>
      <c r="H652" s="24"/>
    </row>
    <row r="653" spans="1:8" ht="14">
      <c r="A653" s="24" t="s">
        <v>2997</v>
      </c>
      <c r="B653" s="25" t="s">
        <v>33</v>
      </c>
      <c r="C653" s="24" t="str">
        <f t="shared" si="11"/>
        <v>captivespraytwo</v>
      </c>
      <c r="D653" s="26" t="s">
        <v>2998</v>
      </c>
      <c r="E653" s="24" t="s">
        <v>2999</v>
      </c>
      <c r="F653" s="24" t="s">
        <v>3001</v>
      </c>
      <c r="G653" s="24">
        <v>500</v>
      </c>
      <c r="H653" s="24"/>
    </row>
    <row r="654" spans="1:8" ht="14">
      <c r="A654" s="24" t="s">
        <v>3003</v>
      </c>
      <c r="B654" s="25" t="s">
        <v>33</v>
      </c>
      <c r="C654" s="24" t="str">
        <f t="shared" si="11"/>
        <v>captiivespraypro</v>
      </c>
      <c r="D654" s="26" t="s">
        <v>3004</v>
      </c>
      <c r="E654" s="24" t="s">
        <v>3005</v>
      </c>
      <c r="F654" s="24" t="s">
        <v>3006</v>
      </c>
      <c r="G654" s="24">
        <v>500</v>
      </c>
      <c r="H654" s="24"/>
    </row>
    <row r="655" spans="1:8" ht="14">
      <c r="A655" s="24" t="s">
        <v>1752</v>
      </c>
      <c r="B655" s="25" t="s">
        <v>18</v>
      </c>
      <c r="C655" s="24" t="str">
        <f t="shared" si="11"/>
        <v>e1</v>
      </c>
      <c r="D655" s="24" t="s">
        <v>1752</v>
      </c>
      <c r="E655" s="24" t="s">
        <v>1753</v>
      </c>
      <c r="F655" s="24" t="s">
        <v>1754</v>
      </c>
      <c r="G655" s="24">
        <v>500</v>
      </c>
      <c r="H655" s="24"/>
    </row>
    <row r="656" spans="1:8" ht="14">
      <c r="A656" s="24" t="s">
        <v>1755</v>
      </c>
      <c r="B656" s="25" t="s">
        <v>18</v>
      </c>
      <c r="C656" s="24" t="str">
        <f t="shared" si="11"/>
        <v>e2</v>
      </c>
      <c r="D656" s="24" t="s">
        <v>1755</v>
      </c>
      <c r="E656" s="24" t="s">
        <v>1756</v>
      </c>
      <c r="F656" s="24" t="s">
        <v>1757</v>
      </c>
      <c r="G656" s="24">
        <v>500</v>
      </c>
      <c r="H656" s="24"/>
    </row>
    <row r="657" spans="1:8" ht="14">
      <c r="A657" s="24" t="s">
        <v>1758</v>
      </c>
      <c r="B657" s="25" t="s">
        <v>18</v>
      </c>
      <c r="C657" s="24" t="str">
        <f t="shared" si="11"/>
        <v>expl480</v>
      </c>
      <c r="D657" s="24" t="s">
        <v>1758</v>
      </c>
      <c r="E657" s="24" t="s">
        <v>1759</v>
      </c>
      <c r="F657" s="24" t="s">
        <v>2873</v>
      </c>
      <c r="G657" s="24">
        <v>500</v>
      </c>
      <c r="H657" s="24"/>
    </row>
    <row r="658" spans="1:8" ht="14">
      <c r="A658" s="24" t="s">
        <v>2870</v>
      </c>
      <c r="B658" s="25" t="s">
        <v>18</v>
      </c>
      <c r="C658" s="24" t="str">
        <f t="shared" si="11"/>
        <v>hfxage</v>
      </c>
      <c r="D658" s="24" t="s">
        <v>12</v>
      </c>
      <c r="E658" s="24" t="s">
        <v>2871</v>
      </c>
      <c r="F658" s="24" t="s">
        <v>2872</v>
      </c>
      <c r="G658" s="24">
        <v>500</v>
      </c>
      <c r="H658" s="24"/>
    </row>
    <row r="659" spans="1:8" ht="14">
      <c r="A659" s="24" t="s">
        <v>1760</v>
      </c>
      <c r="B659" s="25" t="s">
        <v>18</v>
      </c>
      <c r="C659" s="24" t="str">
        <f t="shared" si="11"/>
        <v>ignarius</v>
      </c>
      <c r="D659" s="24" t="s">
        <v>1760</v>
      </c>
      <c r="E659" s="24" t="s">
        <v>1761</v>
      </c>
      <c r="F659" s="24" t="s">
        <v>1762</v>
      </c>
      <c r="G659" s="24">
        <v>500</v>
      </c>
      <c r="H659" s="24"/>
    </row>
    <row r="660" spans="1:8" ht="14">
      <c r="A660" s="24" t="s">
        <v>1763</v>
      </c>
      <c r="B660" s="25" t="s">
        <v>18</v>
      </c>
      <c r="C660" s="24" t="str">
        <f t="shared" si="11"/>
        <v>timstof</v>
      </c>
      <c r="D660" s="24" t="s">
        <v>1763</v>
      </c>
      <c r="E660" s="24" t="s">
        <v>1764</v>
      </c>
      <c r="F660" s="24" t="s">
        <v>1765</v>
      </c>
      <c r="G660" s="24">
        <v>500</v>
      </c>
      <c r="H660" s="24"/>
    </row>
    <row r="661" spans="1:8" ht="14">
      <c r="A661" s="24" t="s">
        <v>1766</v>
      </c>
      <c r="B661" s="25" t="s">
        <v>123</v>
      </c>
      <c r="C661" s="24" t="str">
        <f t="shared" si="11"/>
        <v>120000res</v>
      </c>
      <c r="D661" s="26" t="s">
        <v>12</v>
      </c>
      <c r="E661" s="24">
        <v>120000</v>
      </c>
      <c r="F661" s="24" t="s">
        <v>1767</v>
      </c>
      <c r="G661" s="24">
        <v>500</v>
      </c>
      <c r="H661" s="24"/>
    </row>
    <row r="662" spans="1:8" ht="14">
      <c r="A662" s="24" t="s">
        <v>1768</v>
      </c>
      <c r="B662" s="25" t="s">
        <v>123</v>
      </c>
      <c r="C662" s="24" t="str">
        <f t="shared" si="11"/>
        <v>15000res</v>
      </c>
      <c r="D662" s="26" t="s">
        <v>12</v>
      </c>
      <c r="E662" s="24">
        <v>15000</v>
      </c>
      <c r="F662" s="24" t="s">
        <v>1767</v>
      </c>
      <c r="G662" s="24">
        <v>500</v>
      </c>
      <c r="H662" s="24"/>
    </row>
    <row r="663" spans="1:8" ht="14">
      <c r="A663" s="24" t="s">
        <v>1769</v>
      </c>
      <c r="B663" s="25" t="s">
        <v>123</v>
      </c>
      <c r="C663" s="24" t="str">
        <f t="shared" si="11"/>
        <v>17500res</v>
      </c>
      <c r="D663" s="26" t="s">
        <v>12</v>
      </c>
      <c r="E663" s="24">
        <v>17500</v>
      </c>
      <c r="F663" s="24" t="s">
        <v>1770</v>
      </c>
      <c r="G663" s="24">
        <v>500</v>
      </c>
      <c r="H663" s="24"/>
    </row>
    <row r="664" spans="1:8" ht="14">
      <c r="A664" s="24" t="s">
        <v>1771</v>
      </c>
      <c r="B664" s="25" t="s">
        <v>123</v>
      </c>
      <c r="C664" s="24" t="str">
        <f t="shared" si="11"/>
        <v>30000res</v>
      </c>
      <c r="D664" s="26" t="s">
        <v>12</v>
      </c>
      <c r="E664" s="24">
        <v>30000</v>
      </c>
      <c r="F664" s="24" t="s">
        <v>1767</v>
      </c>
      <c r="G664" s="24">
        <v>500</v>
      </c>
      <c r="H664" s="24"/>
    </row>
    <row r="665" spans="1:8" ht="14">
      <c r="A665" s="24" t="s">
        <v>1772</v>
      </c>
      <c r="B665" s="25" t="s">
        <v>123</v>
      </c>
      <c r="C665" s="24" t="str">
        <f t="shared" si="11"/>
        <v>35000res</v>
      </c>
      <c r="D665" s="26" t="s">
        <v>12</v>
      </c>
      <c r="E665" s="24">
        <v>35000</v>
      </c>
      <c r="F665" s="24" t="s">
        <v>1770</v>
      </c>
      <c r="G665" s="24">
        <v>500</v>
      </c>
      <c r="H665" s="24"/>
    </row>
    <row r="666" spans="1:8" ht="14">
      <c r="A666" s="24" t="s">
        <v>1773</v>
      </c>
      <c r="B666" s="25" t="s">
        <v>123</v>
      </c>
      <c r="C666" s="24" t="str">
        <f t="shared" si="11"/>
        <v>45000res</v>
      </c>
      <c r="D666" s="26" t="s">
        <v>12</v>
      </c>
      <c r="E666" s="24">
        <v>45000</v>
      </c>
      <c r="F666" s="24" t="s">
        <v>1767</v>
      </c>
      <c r="G666" s="24">
        <v>500</v>
      </c>
      <c r="H666" s="24"/>
    </row>
    <row r="667" spans="1:8" ht="14">
      <c r="A667" s="24" t="s">
        <v>1774</v>
      </c>
      <c r="B667" s="25" t="s">
        <v>123</v>
      </c>
      <c r="C667" s="24" t="str">
        <f t="shared" si="11"/>
        <v>60000res</v>
      </c>
      <c r="D667" s="26" t="s">
        <v>12</v>
      </c>
      <c r="E667" s="24">
        <v>60000</v>
      </c>
      <c r="F667" s="24" t="s">
        <v>1767</v>
      </c>
      <c r="G667" s="24">
        <v>500</v>
      </c>
      <c r="H667" s="24"/>
    </row>
    <row r="668" spans="1:8" ht="14">
      <c r="A668" s="24" t="s">
        <v>1775</v>
      </c>
      <c r="B668" s="25" t="s">
        <v>123</v>
      </c>
      <c r="C668" s="24" t="str">
        <f t="shared" si="11"/>
        <v>7500res</v>
      </c>
      <c r="D668" s="26" t="s">
        <v>12</v>
      </c>
      <c r="E668" s="24">
        <v>7500</v>
      </c>
      <c r="F668" s="24" t="s">
        <v>1767</v>
      </c>
      <c r="G668" s="24">
        <v>500</v>
      </c>
      <c r="H668" s="24"/>
    </row>
    <row r="669" spans="1:8" ht="14">
      <c r="A669" s="24" t="s">
        <v>1776</v>
      </c>
      <c r="B669" s="25" t="s">
        <v>125</v>
      </c>
      <c r="C669" s="24" t="str">
        <f t="shared" si="11"/>
        <v>ab</v>
      </c>
      <c r="D669" s="26" t="s">
        <v>12</v>
      </c>
      <c r="E669" s="24" t="s">
        <v>1778</v>
      </c>
      <c r="F669" s="24" t="s">
        <v>1777</v>
      </c>
      <c r="G669" s="24">
        <v>500</v>
      </c>
      <c r="H669" s="24"/>
    </row>
    <row r="670" spans="1:8" ht="14">
      <c r="A670" s="24" t="s">
        <v>1779</v>
      </c>
      <c r="B670" s="25" t="s">
        <v>125</v>
      </c>
      <c r="C670" s="24" t="str">
        <f t="shared" si="11"/>
        <v>al</v>
      </c>
      <c r="D670" s="26" t="s">
        <v>12</v>
      </c>
      <c r="E670" s="24" t="s">
        <v>1781</v>
      </c>
      <c r="F670" s="24" t="s">
        <v>1780</v>
      </c>
      <c r="G670" s="24">
        <v>500</v>
      </c>
      <c r="H670" s="24"/>
    </row>
    <row r="671" spans="1:8" ht="14">
      <c r="A671" s="24" t="s">
        <v>1782</v>
      </c>
      <c r="B671" s="25" t="s">
        <v>125</v>
      </c>
      <c r="C671" s="24" t="str">
        <f t="shared" si="11"/>
        <v>am</v>
      </c>
      <c r="D671" s="26" t="s">
        <v>12</v>
      </c>
      <c r="E671" s="24" t="s">
        <v>1784</v>
      </c>
      <c r="F671" s="24" t="s">
        <v>1783</v>
      </c>
      <c r="G671" s="24">
        <v>500</v>
      </c>
      <c r="H671" s="24"/>
    </row>
    <row r="672" spans="1:8" ht="14">
      <c r="A672" s="24" t="s">
        <v>1785</v>
      </c>
      <c r="B672" s="25" t="s">
        <v>125</v>
      </c>
      <c r="C672" s="24" t="str">
        <f t="shared" si="11"/>
        <v>an</v>
      </c>
      <c r="D672" s="26" t="s">
        <v>12</v>
      </c>
      <c r="E672" s="24" t="s">
        <v>1787</v>
      </c>
      <c r="F672" s="24" t="s">
        <v>1786</v>
      </c>
      <c r="G672" s="24">
        <v>500</v>
      </c>
      <c r="H672" s="24"/>
    </row>
    <row r="673" spans="1:8" ht="14">
      <c r="A673" s="24" t="s">
        <v>1788</v>
      </c>
      <c r="B673" s="25" t="s">
        <v>125</v>
      </c>
      <c r="C673" s="24" t="str">
        <f t="shared" si="11"/>
        <v>bbl</v>
      </c>
      <c r="D673" s="26" t="s">
        <v>12</v>
      </c>
      <c r="E673" s="24" t="s">
        <v>1790</v>
      </c>
      <c r="F673" s="24" t="s">
        <v>1789</v>
      </c>
      <c r="G673" s="24">
        <v>500</v>
      </c>
      <c r="H673" s="24"/>
    </row>
    <row r="674" spans="1:8" ht="14">
      <c r="A674" s="24" t="s">
        <v>1791</v>
      </c>
      <c r="B674" s="25" t="s">
        <v>125</v>
      </c>
      <c r="C674" s="24" t="str">
        <f t="shared" si="11"/>
        <v>bbs</v>
      </c>
      <c r="D674" s="26" t="s">
        <v>12</v>
      </c>
      <c r="E674" s="24" t="s">
        <v>1793</v>
      </c>
      <c r="F674" s="24" t="s">
        <v>1792</v>
      </c>
      <c r="G674" s="24">
        <v>500</v>
      </c>
      <c r="H674" s="24"/>
    </row>
    <row r="675" spans="1:8" ht="14">
      <c r="A675" s="24" t="s">
        <v>1794</v>
      </c>
      <c r="B675" s="25" t="s">
        <v>125</v>
      </c>
      <c r="C675" s="24" t="str">
        <f t="shared" si="11"/>
        <v>bfa</v>
      </c>
      <c r="D675" s="26" t="s">
        <v>12</v>
      </c>
      <c r="E675" s="24" t="s">
        <v>1796</v>
      </c>
      <c r="F675" s="24" t="s">
        <v>1795</v>
      </c>
      <c r="G675" s="24">
        <v>500</v>
      </c>
      <c r="H675" s="24"/>
    </row>
    <row r="676" spans="1:8" ht="14">
      <c r="A676" s="24" t="s">
        <v>1797</v>
      </c>
      <c r="B676" s="25" t="s">
        <v>125</v>
      </c>
      <c r="C676" s="24" t="str">
        <f t="shared" si="11"/>
        <v>bfp_ca</v>
      </c>
      <c r="D676" s="26" t="s">
        <v>12</v>
      </c>
      <c r="E676" s="24" t="s">
        <v>1799</v>
      </c>
      <c r="F676" s="24" t="s">
        <v>1798</v>
      </c>
      <c r="G676" s="24">
        <v>500</v>
      </c>
      <c r="H676" s="24"/>
    </row>
    <row r="677" spans="1:8" ht="14">
      <c r="A677" s="24" t="s">
        <v>1800</v>
      </c>
      <c r="B677" s="25" t="s">
        <v>125</v>
      </c>
      <c r="C677" s="24" t="str">
        <f t="shared" si="11"/>
        <v>bfp_cr</v>
      </c>
      <c r="D677" s="26" t="s">
        <v>12</v>
      </c>
      <c r="E677" s="24" t="s">
        <v>1802</v>
      </c>
      <c r="F677" s="24" t="s">
        <v>1801</v>
      </c>
      <c r="G677" s="24">
        <v>500</v>
      </c>
      <c r="H677" s="24"/>
    </row>
    <row r="678" spans="1:8" ht="14">
      <c r="A678" s="24" t="s">
        <v>1803</v>
      </c>
      <c r="B678" s="25" t="s">
        <v>125</v>
      </c>
      <c r="C678" s="24" t="str">
        <f t="shared" si="11"/>
        <v>bfp_mi</v>
      </c>
      <c r="D678" s="26" t="s">
        <v>12</v>
      </c>
      <c r="E678" s="24" t="s">
        <v>1805</v>
      </c>
      <c r="F678" s="24" t="s">
        <v>1804</v>
      </c>
      <c r="G678" s="24">
        <v>500</v>
      </c>
      <c r="H678" s="24"/>
    </row>
    <row r="679" spans="1:8" ht="14">
      <c r="A679" s="24" t="s">
        <v>1806</v>
      </c>
      <c r="B679" s="25" t="s">
        <v>125</v>
      </c>
      <c r="C679" s="24" t="str">
        <f t="shared" si="11"/>
        <v>bra</v>
      </c>
      <c r="D679" s="26" t="s">
        <v>12</v>
      </c>
      <c r="E679" s="24" t="s">
        <v>1808</v>
      </c>
      <c r="F679" s="24" t="s">
        <v>1807</v>
      </c>
      <c r="G679" s="24">
        <v>500</v>
      </c>
      <c r="H679" s="24"/>
    </row>
    <row r="680" spans="1:8" ht="14">
      <c r="A680" s="24" t="s">
        <v>1809</v>
      </c>
      <c r="B680" s="25" t="s">
        <v>125</v>
      </c>
      <c r="C680" s="24" t="str">
        <f t="shared" si="11"/>
        <v>cf</v>
      </c>
      <c r="D680" s="26" t="s">
        <v>12</v>
      </c>
      <c r="E680" s="24" t="s">
        <v>1811</v>
      </c>
      <c r="F680" s="24" t="s">
        <v>1810</v>
      </c>
      <c r="G680" s="24">
        <v>500</v>
      </c>
      <c r="H680" s="24"/>
    </row>
    <row r="681" spans="1:8" ht="14">
      <c r="A681" s="24" t="s">
        <v>1812</v>
      </c>
      <c r="B681" s="25" t="s">
        <v>125</v>
      </c>
      <c r="C681" s="24" t="str">
        <f t="shared" si="11"/>
        <v>cor</v>
      </c>
      <c r="D681" s="26" t="s">
        <v>12</v>
      </c>
      <c r="E681" s="24" t="s">
        <v>1814</v>
      </c>
      <c r="F681" s="24" t="s">
        <v>1813</v>
      </c>
      <c r="G681" s="24">
        <v>500</v>
      </c>
      <c r="H681" s="24"/>
    </row>
    <row r="682" spans="1:8" ht="14">
      <c r="A682" s="24" t="s">
        <v>1815</v>
      </c>
      <c r="B682" s="25" t="s">
        <v>125</v>
      </c>
      <c r="C682" s="24" t="str">
        <f t="shared" si="11"/>
        <v>ecrb</v>
      </c>
      <c r="D682" s="26" t="s">
        <v>12</v>
      </c>
      <c r="E682" s="24" t="s">
        <v>1817</v>
      </c>
      <c r="F682" s="24" t="s">
        <v>1816</v>
      </c>
      <c r="G682" s="24">
        <v>500</v>
      </c>
      <c r="H682" s="24"/>
    </row>
    <row r="683" spans="1:8" ht="14">
      <c r="A683" s="24" t="s">
        <v>1818</v>
      </c>
      <c r="B683" s="25" t="s">
        <v>125</v>
      </c>
      <c r="C683" s="24" t="str">
        <f t="shared" si="11"/>
        <v>ecrl</v>
      </c>
      <c r="D683" s="26" t="s">
        <v>12</v>
      </c>
      <c r="E683" s="24" t="s">
        <v>1820</v>
      </c>
      <c r="F683" s="24" t="s">
        <v>1819</v>
      </c>
      <c r="G683" s="24">
        <v>500</v>
      </c>
      <c r="H683" s="24"/>
    </row>
    <row r="684" spans="1:8" ht="14">
      <c r="A684" s="24" t="s">
        <v>1821</v>
      </c>
      <c r="B684" s="25" t="s">
        <v>125</v>
      </c>
      <c r="C684" s="24" t="str">
        <f t="shared" si="11"/>
        <v>ecu</v>
      </c>
      <c r="D684" s="26" t="s">
        <v>12</v>
      </c>
      <c r="E684" s="24" t="s">
        <v>1823</v>
      </c>
      <c r="F684" s="24" t="s">
        <v>1822</v>
      </c>
      <c r="G684" s="24">
        <v>500</v>
      </c>
      <c r="H684" s="24"/>
    </row>
    <row r="685" spans="1:8" ht="14">
      <c r="A685" s="24" t="s">
        <v>1824</v>
      </c>
      <c r="B685" s="25" t="s">
        <v>125</v>
      </c>
      <c r="C685" s="24" t="str">
        <f t="shared" si="11"/>
        <v>edl</v>
      </c>
      <c r="D685" s="26" t="s">
        <v>12</v>
      </c>
      <c r="E685" s="24" t="s">
        <v>1826</v>
      </c>
      <c r="F685" s="24" t="s">
        <v>1825</v>
      </c>
      <c r="G685" s="24">
        <v>500</v>
      </c>
      <c r="H685" s="24"/>
    </row>
    <row r="686" spans="1:8" ht="14">
      <c r="A686" s="24" t="s">
        <v>1827</v>
      </c>
      <c r="B686" s="25" t="s">
        <v>125</v>
      </c>
      <c r="C686" s="24" t="str">
        <f t="shared" si="11"/>
        <v>ehl</v>
      </c>
      <c r="D686" s="26" t="s">
        <v>12</v>
      </c>
      <c r="E686" s="24" t="s">
        <v>1829</v>
      </c>
      <c r="F686" s="24" t="s">
        <v>1828</v>
      </c>
      <c r="G686" s="24">
        <v>500</v>
      </c>
      <c r="H686" s="24"/>
    </row>
    <row r="687" spans="1:8" ht="14">
      <c r="A687" s="24" t="s">
        <v>1830</v>
      </c>
      <c r="B687" s="25" t="s">
        <v>125</v>
      </c>
      <c r="C687" s="24" t="str">
        <f t="shared" si="11"/>
        <v>eip1</v>
      </c>
      <c r="D687" s="26" t="s">
        <v>12</v>
      </c>
      <c r="E687" s="24" t="s">
        <v>1832</v>
      </c>
      <c r="F687" s="24" t="s">
        <v>1831</v>
      </c>
      <c r="G687" s="24">
        <v>500</v>
      </c>
      <c r="H687" s="24"/>
    </row>
    <row r="688" spans="1:8" ht="14">
      <c r="A688" s="24" t="s">
        <v>1833</v>
      </c>
      <c r="B688" s="25" t="s">
        <v>125</v>
      </c>
      <c r="C688" s="24" t="str">
        <f t="shared" si="11"/>
        <v>eip2</v>
      </c>
      <c r="D688" s="26" t="s">
        <v>12</v>
      </c>
      <c r="E688" s="24" t="s">
        <v>1835</v>
      </c>
      <c r="F688" s="24" t="s">
        <v>1834</v>
      </c>
      <c r="G688" s="24">
        <v>500</v>
      </c>
      <c r="H688" s="24"/>
    </row>
    <row r="689" spans="1:8" ht="14">
      <c r="A689" s="24" t="s">
        <v>1836</v>
      </c>
      <c r="B689" s="25" t="s">
        <v>125</v>
      </c>
      <c r="C689" s="24" t="str">
        <f t="shared" si="11"/>
        <v>fcr</v>
      </c>
      <c r="D689" s="26" t="s">
        <v>12</v>
      </c>
      <c r="E689" s="24" t="s">
        <v>1838</v>
      </c>
      <c r="F689" s="24" t="s">
        <v>1837</v>
      </c>
      <c r="G689" s="24">
        <v>500</v>
      </c>
      <c r="H689" s="24"/>
    </row>
    <row r="690" spans="1:8" ht="14">
      <c r="A690" s="24" t="s">
        <v>1839</v>
      </c>
      <c r="B690" s="25" t="s">
        <v>125</v>
      </c>
      <c r="C690" s="24" t="str">
        <f t="shared" si="11"/>
        <v>fcu</v>
      </c>
      <c r="D690" s="26" t="s">
        <v>12</v>
      </c>
      <c r="E690" s="24" t="s">
        <v>1841</v>
      </c>
      <c r="F690" s="24" t="s">
        <v>1840</v>
      </c>
      <c r="G690" s="24">
        <v>500</v>
      </c>
      <c r="H690" s="24"/>
    </row>
    <row r="691" spans="1:8" ht="14">
      <c r="A691" s="24" t="s">
        <v>1842</v>
      </c>
      <c r="B691" s="25" t="s">
        <v>125</v>
      </c>
      <c r="C691" s="24" t="str">
        <f t="shared" si="11"/>
        <v>fdl</v>
      </c>
      <c r="D691" s="26" t="s">
        <v>12</v>
      </c>
      <c r="E691" s="24" t="s">
        <v>1844</v>
      </c>
      <c r="F691" s="24" t="s">
        <v>1843</v>
      </c>
      <c r="G691" s="24">
        <v>500</v>
      </c>
      <c r="H691" s="24"/>
    </row>
    <row r="692" spans="1:8" ht="14">
      <c r="A692" s="24" t="s">
        <v>1845</v>
      </c>
      <c r="B692" s="25" t="s">
        <v>125</v>
      </c>
      <c r="C692" s="24" t="str">
        <f t="shared" si="11"/>
        <v>ga</v>
      </c>
      <c r="D692" s="26" t="s">
        <v>12</v>
      </c>
      <c r="E692" s="24" t="s">
        <v>1847</v>
      </c>
      <c r="F692" s="24" t="s">
        <v>1846</v>
      </c>
      <c r="G692" s="24">
        <v>500</v>
      </c>
      <c r="H692" s="24"/>
    </row>
    <row r="693" spans="1:8" ht="14">
      <c r="A693" s="24" t="s">
        <v>1848</v>
      </c>
      <c r="B693" s="25" t="s">
        <v>125</v>
      </c>
      <c r="C693" s="24" t="str">
        <f t="shared" si="11"/>
        <v>gem</v>
      </c>
      <c r="D693" s="26" t="s">
        <v>12</v>
      </c>
      <c r="E693" s="24" t="s">
        <v>1850</v>
      </c>
      <c r="F693" s="24" t="s">
        <v>1849</v>
      </c>
      <c r="G693" s="24">
        <v>500</v>
      </c>
      <c r="H693" s="24"/>
    </row>
    <row r="694" spans="1:8" ht="14">
      <c r="A694" s="24" t="s">
        <v>1851</v>
      </c>
      <c r="B694" s="25" t="s">
        <v>125</v>
      </c>
      <c r="C694" s="24" t="str">
        <f t="shared" si="11"/>
        <v>gm</v>
      </c>
      <c r="D694" s="26" t="s">
        <v>12</v>
      </c>
      <c r="E694" s="24" t="s">
        <v>1853</v>
      </c>
      <c r="F694" s="24" t="s">
        <v>1852</v>
      </c>
      <c r="G694" s="24">
        <v>500</v>
      </c>
      <c r="H694" s="24"/>
    </row>
    <row r="695" spans="1:8" ht="14">
      <c r="A695" s="24" t="s">
        <v>1854</v>
      </c>
      <c r="B695" s="25" t="s">
        <v>125</v>
      </c>
      <c r="C695" s="24" t="str">
        <f t="shared" si="11"/>
        <v>gm_dr</v>
      </c>
      <c r="D695" s="26" t="s">
        <v>12</v>
      </c>
      <c r="E695" s="24" t="s">
        <v>1856</v>
      </c>
      <c r="F695" s="24" t="s">
        <v>1855</v>
      </c>
      <c r="G695" s="24">
        <v>500</v>
      </c>
      <c r="H695" s="24"/>
    </row>
    <row r="696" spans="1:8" ht="14">
      <c r="A696" s="24" t="s">
        <v>1857</v>
      </c>
      <c r="B696" s="25" t="s">
        <v>125</v>
      </c>
      <c r="C696" s="24" t="str">
        <f t="shared" si="11"/>
        <v>gm_mi</v>
      </c>
      <c r="D696" s="26" t="s">
        <v>12</v>
      </c>
      <c r="E696" s="24" t="s">
        <v>1859</v>
      </c>
      <c r="F696" s="24" t="s">
        <v>1858</v>
      </c>
      <c r="G696" s="24">
        <v>500</v>
      </c>
      <c r="H696" s="24"/>
    </row>
    <row r="697" spans="1:8" ht="14">
      <c r="A697" s="24" t="s">
        <v>1860</v>
      </c>
      <c r="B697" s="25" t="s">
        <v>125</v>
      </c>
      <c r="C697" s="24" t="str">
        <f t="shared" si="11"/>
        <v>gm_ve</v>
      </c>
      <c r="D697" s="26" t="s">
        <v>12</v>
      </c>
      <c r="E697" s="24" t="s">
        <v>1862</v>
      </c>
      <c r="F697" s="24" t="s">
        <v>1861</v>
      </c>
      <c r="G697" s="24">
        <v>500</v>
      </c>
      <c r="H697" s="24"/>
    </row>
    <row r="698" spans="1:8" ht="14">
      <c r="A698" s="24" t="s">
        <v>1863</v>
      </c>
      <c r="B698" s="25" t="s">
        <v>125</v>
      </c>
      <c r="C698" s="24" t="str">
        <f t="shared" ref="C698:C757" si="12">A698</f>
        <v>gp</v>
      </c>
      <c r="D698" s="26" t="s">
        <v>12</v>
      </c>
      <c r="E698" s="24" t="s">
        <v>1865</v>
      </c>
      <c r="F698" s="24" t="s">
        <v>1864</v>
      </c>
      <c r="G698" s="24">
        <v>500</v>
      </c>
      <c r="H698" s="24"/>
    </row>
    <row r="699" spans="1:8" ht="14">
      <c r="A699" s="24" t="s">
        <v>1866</v>
      </c>
      <c r="B699" s="25" t="s">
        <v>125</v>
      </c>
      <c r="C699" s="24" t="str">
        <f t="shared" si="12"/>
        <v>ili</v>
      </c>
      <c r="D699" s="26" t="s">
        <v>12</v>
      </c>
      <c r="E699" s="24" t="s">
        <v>1868</v>
      </c>
      <c r="F699" s="24" t="s">
        <v>1867</v>
      </c>
      <c r="G699" s="24">
        <v>500</v>
      </c>
      <c r="H699" s="24"/>
    </row>
    <row r="700" spans="1:8" ht="14">
      <c r="A700" s="24" t="s">
        <v>1869</v>
      </c>
      <c r="B700" s="25" t="s">
        <v>125</v>
      </c>
      <c r="C700" s="24" t="str">
        <f t="shared" si="12"/>
        <v>lg</v>
      </c>
      <c r="D700" s="26" t="s">
        <v>12</v>
      </c>
      <c r="E700" s="24" t="s">
        <v>1871</v>
      </c>
      <c r="F700" s="24" t="s">
        <v>1870</v>
      </c>
      <c r="G700" s="24">
        <v>500</v>
      </c>
      <c r="H700" s="24"/>
    </row>
    <row r="701" spans="1:8" ht="14">
      <c r="A701" s="24" t="s">
        <v>1872</v>
      </c>
      <c r="B701" s="25" t="s">
        <v>125</v>
      </c>
      <c r="C701" s="24" t="str">
        <f t="shared" si="12"/>
        <v>mg</v>
      </c>
      <c r="D701" s="26" t="s">
        <v>12</v>
      </c>
      <c r="E701" s="24" t="s">
        <v>1874</v>
      </c>
      <c r="F701" s="24" t="s">
        <v>1873</v>
      </c>
      <c r="G701" s="24">
        <v>500</v>
      </c>
      <c r="H701" s="24"/>
    </row>
    <row r="702" spans="1:8" ht="14">
      <c r="A702" s="24" t="s">
        <v>1875</v>
      </c>
      <c r="B702" s="25" t="s">
        <v>125</v>
      </c>
      <c r="C702" s="24" t="str">
        <f t="shared" si="12"/>
        <v>oe</v>
      </c>
      <c r="D702" s="26" t="s">
        <v>12</v>
      </c>
      <c r="E702" s="24" t="s">
        <v>1877</v>
      </c>
      <c r="F702" s="24" t="s">
        <v>1876</v>
      </c>
      <c r="G702" s="24">
        <v>500</v>
      </c>
      <c r="H702" s="24"/>
    </row>
    <row r="703" spans="1:8" ht="14">
      <c r="A703" s="24" t="s">
        <v>1878</v>
      </c>
      <c r="B703" s="25" t="s">
        <v>125</v>
      </c>
      <c r="C703" s="24" t="str">
        <f t="shared" si="12"/>
        <v>oi</v>
      </c>
      <c r="D703" s="26" t="s">
        <v>12</v>
      </c>
      <c r="E703" s="24" t="s">
        <v>1880</v>
      </c>
      <c r="F703" s="24" t="s">
        <v>1879</v>
      </c>
      <c r="G703" s="24">
        <v>500</v>
      </c>
      <c r="H703" s="24"/>
    </row>
    <row r="704" spans="1:8" ht="14">
      <c r="A704" s="24" t="s">
        <v>1881</v>
      </c>
      <c r="B704" s="25" t="s">
        <v>125</v>
      </c>
      <c r="C704" s="24" t="str">
        <f t="shared" si="12"/>
        <v>pb</v>
      </c>
      <c r="D704" s="26" t="s">
        <v>12</v>
      </c>
      <c r="E704" s="24" t="s">
        <v>1883</v>
      </c>
      <c r="F704" s="24" t="s">
        <v>1882</v>
      </c>
      <c r="G704" s="24">
        <v>500</v>
      </c>
      <c r="H704" s="24"/>
    </row>
    <row r="705" spans="1:8" ht="14">
      <c r="A705" s="24" t="s">
        <v>1884</v>
      </c>
      <c r="B705" s="25" t="s">
        <v>125</v>
      </c>
      <c r="C705" s="24" t="str">
        <f t="shared" si="12"/>
        <v>pdqa</v>
      </c>
      <c r="D705" s="26" t="s">
        <v>12</v>
      </c>
      <c r="E705" s="24" t="s">
        <v>1886</v>
      </c>
      <c r="F705" s="24" t="s">
        <v>1885</v>
      </c>
      <c r="G705" s="24">
        <v>500</v>
      </c>
      <c r="H705" s="24"/>
    </row>
    <row r="706" spans="1:8" ht="14">
      <c r="A706" s="24" t="s">
        <v>1887</v>
      </c>
      <c r="B706" s="25" t="s">
        <v>125</v>
      </c>
      <c r="C706" s="24" t="str">
        <f t="shared" si="12"/>
        <v>pdqi</v>
      </c>
      <c r="D706" s="26" t="s">
        <v>12</v>
      </c>
      <c r="E706" s="24" t="s">
        <v>1889</v>
      </c>
      <c r="F706" s="24" t="s">
        <v>1888</v>
      </c>
      <c r="G706" s="24">
        <v>500</v>
      </c>
      <c r="H706" s="24"/>
    </row>
    <row r="707" spans="1:8" ht="14">
      <c r="A707" s="24" t="s">
        <v>1890</v>
      </c>
      <c r="B707" s="25" t="s">
        <v>125</v>
      </c>
      <c r="C707" s="24" t="str">
        <f t="shared" si="12"/>
        <v>pect</v>
      </c>
      <c r="D707" s="26" t="s">
        <v>12</v>
      </c>
      <c r="E707" s="24" t="s">
        <v>1892</v>
      </c>
      <c r="F707" s="24" t="s">
        <v>1891</v>
      </c>
      <c r="G707" s="24">
        <v>500</v>
      </c>
      <c r="H707" s="24"/>
    </row>
    <row r="708" spans="1:8" ht="14">
      <c r="A708" s="24" t="s">
        <v>1893</v>
      </c>
      <c r="B708" s="25" t="s">
        <v>125</v>
      </c>
      <c r="C708" s="24" t="str">
        <f t="shared" si="12"/>
        <v>pl</v>
      </c>
      <c r="D708" s="26" t="s">
        <v>12</v>
      </c>
      <c r="E708" s="24" t="s">
        <v>1895</v>
      </c>
      <c r="F708" s="24" t="s">
        <v>1894</v>
      </c>
      <c r="G708" s="24">
        <v>500</v>
      </c>
      <c r="H708" s="24"/>
    </row>
    <row r="709" spans="1:8" ht="14">
      <c r="A709" s="24" t="s">
        <v>1896</v>
      </c>
      <c r="B709" s="25" t="s">
        <v>125</v>
      </c>
      <c r="C709" s="24" t="str">
        <f t="shared" si="12"/>
        <v>plant</v>
      </c>
      <c r="D709" s="26" t="s">
        <v>12</v>
      </c>
      <c r="E709" s="24" t="s">
        <v>1898</v>
      </c>
      <c r="F709" s="24" t="s">
        <v>1897</v>
      </c>
      <c r="G709" s="24">
        <v>500</v>
      </c>
      <c r="H709" s="24"/>
    </row>
    <row r="710" spans="1:8" ht="14">
      <c r="A710" s="24" t="s">
        <v>1899</v>
      </c>
      <c r="B710" s="25" t="s">
        <v>125</v>
      </c>
      <c r="C710" s="24" t="str">
        <f t="shared" si="12"/>
        <v>plo</v>
      </c>
      <c r="D710" s="26" t="s">
        <v>12</v>
      </c>
      <c r="E710" s="24" t="s">
        <v>1901</v>
      </c>
      <c r="F710" s="24" t="s">
        <v>1900</v>
      </c>
      <c r="G710" s="24">
        <v>500</v>
      </c>
      <c r="H710" s="24"/>
    </row>
    <row r="711" spans="1:8" ht="14">
      <c r="A711" s="24" t="s">
        <v>1902</v>
      </c>
      <c r="B711" s="25" t="s">
        <v>125</v>
      </c>
      <c r="C711" s="24" t="str">
        <f t="shared" si="12"/>
        <v>pma</v>
      </c>
      <c r="D711" s="26" t="s">
        <v>12</v>
      </c>
      <c r="E711" s="24" t="s">
        <v>1904</v>
      </c>
      <c r="F711" s="24" t="s">
        <v>1903</v>
      </c>
      <c r="G711" s="24">
        <v>500</v>
      </c>
      <c r="H711" s="24"/>
    </row>
    <row r="712" spans="1:8" ht="14">
      <c r="A712" s="24" t="s">
        <v>1905</v>
      </c>
      <c r="B712" s="25" t="s">
        <v>125</v>
      </c>
      <c r="C712" s="24" t="str">
        <f t="shared" si="12"/>
        <v>pmi</v>
      </c>
      <c r="D712" s="26" t="s">
        <v>12</v>
      </c>
      <c r="E712" s="24" t="s">
        <v>1907</v>
      </c>
      <c r="F712" s="24" t="s">
        <v>1906</v>
      </c>
      <c r="G712" s="24">
        <v>500</v>
      </c>
      <c r="H712" s="24"/>
    </row>
    <row r="713" spans="1:8" ht="14">
      <c r="A713" s="24" t="s">
        <v>1908</v>
      </c>
      <c r="B713" s="25" t="s">
        <v>125</v>
      </c>
      <c r="C713" s="24" t="str">
        <f t="shared" si="12"/>
        <v>pop</v>
      </c>
      <c r="D713" s="26" t="s">
        <v>12</v>
      </c>
      <c r="E713" s="24" t="s">
        <v>1910</v>
      </c>
      <c r="F713" s="24" t="s">
        <v>1909</v>
      </c>
      <c r="G713" s="24">
        <v>500</v>
      </c>
      <c r="H713" s="24"/>
    </row>
    <row r="714" spans="1:8" ht="14">
      <c r="A714" s="24" t="s">
        <v>1911</v>
      </c>
      <c r="B714" s="25" t="s">
        <v>125</v>
      </c>
      <c r="C714" s="24" t="str">
        <f t="shared" si="12"/>
        <v>pt</v>
      </c>
      <c r="D714" s="26" t="s">
        <v>12</v>
      </c>
      <c r="E714" s="24" t="s">
        <v>1913</v>
      </c>
      <c r="F714" s="24" t="s">
        <v>1912</v>
      </c>
      <c r="G714" s="24">
        <v>500</v>
      </c>
      <c r="H714" s="24"/>
    </row>
    <row r="715" spans="1:8" ht="14">
      <c r="A715" s="24" t="s">
        <v>1914</v>
      </c>
      <c r="B715" s="25" t="s">
        <v>125</v>
      </c>
      <c r="C715" s="24" t="str">
        <f t="shared" si="12"/>
        <v>pte</v>
      </c>
      <c r="D715" s="26" t="s">
        <v>12</v>
      </c>
      <c r="E715" s="24" t="s">
        <v>1916</v>
      </c>
      <c r="F715" s="24" t="s">
        <v>1915</v>
      </c>
      <c r="G715" s="24">
        <v>500</v>
      </c>
      <c r="H715" s="24"/>
    </row>
    <row r="716" spans="1:8" ht="14">
      <c r="A716" s="24" t="s">
        <v>1917</v>
      </c>
      <c r="B716" s="25" t="s">
        <v>125</v>
      </c>
      <c r="C716" s="24" t="str">
        <f t="shared" si="12"/>
        <v>qf</v>
      </c>
      <c r="D716" s="26" t="s">
        <v>12</v>
      </c>
      <c r="E716" s="24" t="s">
        <v>1919</v>
      </c>
      <c r="F716" s="24" t="s">
        <v>1918</v>
      </c>
      <c r="G716" s="24">
        <v>500</v>
      </c>
      <c r="H716" s="24"/>
    </row>
    <row r="717" spans="1:8" ht="14">
      <c r="A717" s="24" t="s">
        <v>1920</v>
      </c>
      <c r="B717" s="25" t="s">
        <v>125</v>
      </c>
      <c r="C717" s="24" t="str">
        <f t="shared" si="12"/>
        <v>rf</v>
      </c>
      <c r="D717" s="26" t="s">
        <v>12</v>
      </c>
      <c r="E717" s="24" t="s">
        <v>1922</v>
      </c>
      <c r="F717" s="24" t="s">
        <v>1921</v>
      </c>
      <c r="G717" s="24">
        <v>500</v>
      </c>
      <c r="H717" s="24"/>
    </row>
    <row r="718" spans="1:8" ht="14">
      <c r="A718" s="24" t="s">
        <v>1923</v>
      </c>
      <c r="B718" s="25" t="s">
        <v>125</v>
      </c>
      <c r="C718" s="24" t="str">
        <f t="shared" si="12"/>
        <v>sm</v>
      </c>
      <c r="D718" s="26" t="s">
        <v>12</v>
      </c>
      <c r="E718" s="24" t="s">
        <v>1925</v>
      </c>
      <c r="F718" s="24" t="s">
        <v>1924</v>
      </c>
      <c r="G718" s="24">
        <v>500</v>
      </c>
      <c r="H718" s="24"/>
    </row>
    <row r="719" spans="1:8" ht="14">
      <c r="A719" s="24" t="s">
        <v>1926</v>
      </c>
      <c r="B719" s="25" t="s">
        <v>125</v>
      </c>
      <c r="C719" s="24" t="str">
        <f t="shared" si="12"/>
        <v>sol</v>
      </c>
      <c r="D719" s="26" t="s">
        <v>12</v>
      </c>
      <c r="E719" s="24" t="s">
        <v>1928</v>
      </c>
      <c r="F719" s="24" t="s">
        <v>1927</v>
      </c>
      <c r="G719" s="24">
        <v>500</v>
      </c>
      <c r="H719" s="24"/>
    </row>
    <row r="720" spans="1:8" ht="14">
      <c r="A720" s="24" t="s">
        <v>1929</v>
      </c>
      <c r="B720" s="25" t="s">
        <v>125</v>
      </c>
      <c r="C720" s="24" t="str">
        <f t="shared" si="12"/>
        <v>st</v>
      </c>
      <c r="D720" s="26" t="s">
        <v>12</v>
      </c>
      <c r="E720" s="24" t="s">
        <v>1931</v>
      </c>
      <c r="F720" s="24" t="s">
        <v>1930</v>
      </c>
      <c r="G720" s="24">
        <v>500</v>
      </c>
      <c r="H720" s="24"/>
    </row>
    <row r="721" spans="1:8" ht="14">
      <c r="A721" s="24" t="s">
        <v>1932</v>
      </c>
      <c r="B721" s="25" t="s">
        <v>125</v>
      </c>
      <c r="C721" s="24" t="str">
        <f t="shared" si="12"/>
        <v>ta</v>
      </c>
      <c r="D721" s="26" t="s">
        <v>12</v>
      </c>
      <c r="E721" s="24" t="s">
        <v>1934</v>
      </c>
      <c r="F721" s="24" t="s">
        <v>1933</v>
      </c>
      <c r="G721" s="24">
        <v>500</v>
      </c>
      <c r="H721" s="24"/>
    </row>
    <row r="722" spans="1:8" ht="14">
      <c r="A722" s="24" t="s">
        <v>1935</v>
      </c>
      <c r="B722" s="25" t="s">
        <v>125</v>
      </c>
      <c r="C722" s="24" t="str">
        <f t="shared" si="12"/>
        <v>tbl</v>
      </c>
      <c r="D722" s="26" t="s">
        <v>12</v>
      </c>
      <c r="E722" s="24" t="s">
        <v>1937</v>
      </c>
      <c r="F722" s="24" t="s">
        <v>1936</v>
      </c>
      <c r="G722" s="24">
        <v>500</v>
      </c>
      <c r="H722" s="24"/>
    </row>
    <row r="723" spans="1:8" ht="14">
      <c r="A723" s="24" t="s">
        <v>1938</v>
      </c>
      <c r="B723" s="25" t="s">
        <v>125</v>
      </c>
      <c r="C723" s="24" t="str">
        <f t="shared" si="12"/>
        <v>tbm</v>
      </c>
      <c r="D723" s="26" t="s">
        <v>12</v>
      </c>
      <c r="E723" s="24" t="s">
        <v>1940</v>
      </c>
      <c r="F723" s="24" t="s">
        <v>1939</v>
      </c>
      <c r="G723" s="24">
        <v>500</v>
      </c>
      <c r="H723" s="24"/>
    </row>
    <row r="724" spans="1:8" ht="14">
      <c r="A724" s="24" t="s">
        <v>1941</v>
      </c>
      <c r="B724" s="25" t="s">
        <v>125</v>
      </c>
      <c r="C724" s="24" t="str">
        <f t="shared" si="12"/>
        <v>tbo</v>
      </c>
      <c r="D724" s="26" t="s">
        <v>12</v>
      </c>
      <c r="E724" s="24" t="s">
        <v>1943</v>
      </c>
      <c r="F724" s="24" t="s">
        <v>1942</v>
      </c>
      <c r="G724" s="24">
        <v>500</v>
      </c>
      <c r="H724" s="24"/>
    </row>
    <row r="725" spans="1:8" ht="14">
      <c r="A725" s="24" t="s">
        <v>1944</v>
      </c>
      <c r="B725" s="25" t="s">
        <v>125</v>
      </c>
      <c r="C725" s="24" t="str">
        <f t="shared" si="12"/>
        <v>tp</v>
      </c>
      <c r="D725" s="26" t="s">
        <v>12</v>
      </c>
      <c r="E725" s="24" t="s">
        <v>1946</v>
      </c>
      <c r="F725" s="24" t="s">
        <v>1945</v>
      </c>
      <c r="G725" s="24">
        <v>500</v>
      </c>
      <c r="H725" s="24"/>
    </row>
    <row r="726" spans="1:8" ht="14">
      <c r="A726" s="24" t="s">
        <v>1947</v>
      </c>
      <c r="B726" s="25" t="s">
        <v>125</v>
      </c>
      <c r="C726" s="24" t="str">
        <f t="shared" si="12"/>
        <v>vi</v>
      </c>
      <c r="D726" s="26" t="s">
        <v>12</v>
      </c>
      <c r="E726" s="24" t="s">
        <v>1949</v>
      </c>
      <c r="F726" s="24" t="s">
        <v>1948</v>
      </c>
      <c r="G726" s="24">
        <v>500</v>
      </c>
      <c r="H726" s="24"/>
    </row>
    <row r="727" spans="1:8" ht="14">
      <c r="A727" s="24" t="s">
        <v>1950</v>
      </c>
      <c r="B727" s="25" t="s">
        <v>125</v>
      </c>
      <c r="C727" s="24" t="str">
        <f t="shared" si="12"/>
        <v>vl</v>
      </c>
      <c r="D727" s="26" t="s">
        <v>12</v>
      </c>
      <c r="E727" s="24" t="s">
        <v>1952</v>
      </c>
      <c r="F727" s="24" t="s">
        <v>1951</v>
      </c>
      <c r="G727" s="24">
        <v>500</v>
      </c>
      <c r="H727" s="24"/>
    </row>
    <row r="728" spans="1:8" ht="14">
      <c r="A728" s="24" t="s">
        <v>1953</v>
      </c>
      <c r="B728" s="25" t="s">
        <v>125</v>
      </c>
      <c r="C728" s="24" t="str">
        <f t="shared" si="12"/>
        <v>vm</v>
      </c>
      <c r="D728" s="26" t="s">
        <v>12</v>
      </c>
      <c r="E728" s="24" t="s">
        <v>1955</v>
      </c>
      <c r="F728" s="24" t="s">
        <v>1954</v>
      </c>
      <c r="G728" s="24">
        <v>500</v>
      </c>
      <c r="H728" s="24"/>
    </row>
    <row r="729" spans="1:8" ht="14">
      <c r="A729" s="24" t="s">
        <v>2677</v>
      </c>
      <c r="B729" s="25" t="s">
        <v>125</v>
      </c>
      <c r="C729" s="24" t="str">
        <f t="shared" si="12"/>
        <v>quad</v>
      </c>
      <c r="D729" s="26" t="s">
        <v>12</v>
      </c>
      <c r="E729" s="24" t="s">
        <v>2679</v>
      </c>
      <c r="F729" s="24" t="s">
        <v>2678</v>
      </c>
      <c r="G729" s="24">
        <v>500</v>
      </c>
      <c r="H729" s="24"/>
    </row>
    <row r="730" spans="1:8" ht="14">
      <c r="A730" s="24" t="s">
        <v>1956</v>
      </c>
      <c r="B730" s="25" t="s">
        <v>128</v>
      </c>
      <c r="C730" s="24" t="str">
        <f t="shared" si="12"/>
        <v>zirconium</v>
      </c>
      <c r="D730" s="26" t="s">
        <v>12</v>
      </c>
      <c r="E730" s="24" t="s">
        <v>1957</v>
      </c>
      <c r="F730" s="24" t="s">
        <v>1958</v>
      </c>
      <c r="G730" s="24">
        <v>500</v>
      </c>
      <c r="H730" s="24"/>
    </row>
    <row r="731" spans="1:8" ht="14">
      <c r="A731" s="24" t="s">
        <v>1959</v>
      </c>
      <c r="B731" s="25" t="s">
        <v>129</v>
      </c>
      <c r="C731" s="24" t="str">
        <f t="shared" si="12"/>
        <v>bgpage</v>
      </c>
      <c r="D731" s="26" t="s">
        <v>12</v>
      </c>
      <c r="E731" s="24" t="s">
        <v>1960</v>
      </c>
      <c r="F731" s="24" t="s">
        <v>1961</v>
      </c>
      <c r="G731" s="24">
        <v>500</v>
      </c>
      <c r="H731" s="24"/>
    </row>
    <row r="732" spans="1:8" ht="14">
      <c r="A732" s="24" t="s">
        <v>1962</v>
      </c>
      <c r="B732" s="25" t="s">
        <v>129</v>
      </c>
      <c r="C732" s="24" t="str">
        <f t="shared" si="12"/>
        <v>highph_hplc</v>
      </c>
      <c r="D732" s="26" t="s">
        <v>12</v>
      </c>
      <c r="E732" s="24" t="s">
        <v>1963</v>
      </c>
      <c r="F732" s="24" t="s">
        <v>1964</v>
      </c>
      <c r="G732" s="24">
        <v>500</v>
      </c>
      <c r="H732" s="24"/>
    </row>
    <row r="733" spans="1:8" ht="14">
      <c r="A733" s="24" t="s">
        <v>1965</v>
      </c>
      <c r="B733" s="25" t="s">
        <v>129</v>
      </c>
      <c r="C733" s="24" t="str">
        <f t="shared" si="12"/>
        <v>highph_tip</v>
      </c>
      <c r="D733" s="26" t="s">
        <v>12</v>
      </c>
      <c r="E733" s="24" t="s">
        <v>1966</v>
      </c>
      <c r="F733" s="24" t="s">
        <v>1967</v>
      </c>
      <c r="G733" s="24">
        <v>500</v>
      </c>
      <c r="H733" s="24"/>
    </row>
    <row r="734" spans="1:8" ht="14">
      <c r="A734" s="24" t="s">
        <v>1968</v>
      </c>
      <c r="B734" s="25" t="s">
        <v>129</v>
      </c>
      <c r="C734" s="24" t="str">
        <f t="shared" si="12"/>
        <v>sax</v>
      </c>
      <c r="D734" s="26" t="s">
        <v>12</v>
      </c>
      <c r="E734" s="24" t="s">
        <v>1969</v>
      </c>
      <c r="F734" s="24" t="s">
        <v>1970</v>
      </c>
      <c r="G734" s="24">
        <v>500</v>
      </c>
      <c r="H734" s="24"/>
    </row>
    <row r="735" spans="1:8" ht="14">
      <c r="A735" s="24" t="s">
        <v>1971</v>
      </c>
      <c r="B735" s="25" t="s">
        <v>129</v>
      </c>
      <c r="C735" s="24" t="str">
        <f t="shared" si="12"/>
        <v>scx</v>
      </c>
      <c r="D735" s="26" t="s">
        <v>12</v>
      </c>
      <c r="E735" s="24" t="s">
        <v>1972</v>
      </c>
      <c r="F735" s="24" t="s">
        <v>1973</v>
      </c>
      <c r="G735" s="24">
        <v>500</v>
      </c>
      <c r="H735" s="24"/>
    </row>
    <row r="736" spans="1:8" ht="14">
      <c r="A736" s="24" t="s">
        <v>1974</v>
      </c>
      <c r="B736" s="25" t="s">
        <v>129</v>
      </c>
      <c r="C736" s="24" t="str">
        <f t="shared" si="12"/>
        <v>sdspage</v>
      </c>
      <c r="D736" s="26" t="s">
        <v>12</v>
      </c>
      <c r="E736" s="24" t="s">
        <v>1975</v>
      </c>
      <c r="F736" s="24" t="s">
        <v>1976</v>
      </c>
      <c r="G736" s="24">
        <v>500</v>
      </c>
      <c r="H736" s="24"/>
    </row>
    <row r="737" spans="1:8" ht="14">
      <c r="A737" s="24" t="s">
        <v>1977</v>
      </c>
      <c r="B737" s="25" t="s">
        <v>135</v>
      </c>
      <c r="C737" s="24" t="str">
        <f t="shared" si="12"/>
        <v>proteomics</v>
      </c>
      <c r="D737" s="26" t="s">
        <v>12</v>
      </c>
      <c r="E737" s="24" t="s">
        <v>1978</v>
      </c>
      <c r="F737" s="24" t="s">
        <v>1979</v>
      </c>
      <c r="G737" s="24">
        <v>500</v>
      </c>
      <c r="H737" s="24"/>
    </row>
    <row r="738" spans="1:8" ht="14">
      <c r="A738" s="24" t="s">
        <v>1980</v>
      </c>
      <c r="B738" s="25" t="s">
        <v>126</v>
      </c>
      <c r="C738" s="24" t="str">
        <f t="shared" si="12"/>
        <v>appendix</v>
      </c>
      <c r="D738" s="24" t="s">
        <v>1980</v>
      </c>
      <c r="E738" s="24" t="s">
        <v>1981</v>
      </c>
      <c r="F738" s="24" t="s">
        <v>1981</v>
      </c>
      <c r="G738" s="24">
        <v>500</v>
      </c>
      <c r="H738" s="24"/>
    </row>
    <row r="739" spans="1:8" ht="14">
      <c r="A739" s="24" t="s">
        <v>1982</v>
      </c>
      <c r="B739" s="25" t="s">
        <v>126</v>
      </c>
      <c r="C739" s="24" t="str">
        <f t="shared" si="12"/>
        <v>arteries</v>
      </c>
      <c r="D739" s="24" t="s">
        <v>1982</v>
      </c>
      <c r="E739" s="24" t="s">
        <v>1983</v>
      </c>
      <c r="F739" s="24" t="s">
        <v>1983</v>
      </c>
      <c r="G739" s="24">
        <v>500</v>
      </c>
      <c r="H739" s="24"/>
    </row>
    <row r="740" spans="1:8" ht="14">
      <c r="A740" s="24" t="s">
        <v>1984</v>
      </c>
      <c r="B740" s="25" t="s">
        <v>126</v>
      </c>
      <c r="C740" s="24" t="str">
        <f t="shared" si="12"/>
        <v>bladder</v>
      </c>
      <c r="D740" s="24" t="s">
        <v>1984</v>
      </c>
      <c r="E740" s="24" t="s">
        <v>1985</v>
      </c>
      <c r="F740" s="24" t="s">
        <v>1985</v>
      </c>
      <c r="G740" s="24">
        <v>500</v>
      </c>
      <c r="H740" s="24"/>
    </row>
    <row r="741" spans="1:8" ht="14">
      <c r="A741" s="24" t="s">
        <v>1986</v>
      </c>
      <c r="B741" s="25" t="s">
        <v>126</v>
      </c>
      <c r="C741" s="24" t="str">
        <f t="shared" si="12"/>
        <v>bone_marrow</v>
      </c>
      <c r="D741" s="24" t="s">
        <v>1986</v>
      </c>
      <c r="E741" s="24" t="s">
        <v>1987</v>
      </c>
      <c r="F741" s="24" t="s">
        <v>1987</v>
      </c>
      <c r="G741" s="24">
        <v>500</v>
      </c>
      <c r="H741" s="24"/>
    </row>
    <row r="742" spans="1:8" ht="14">
      <c r="A742" s="24" t="s">
        <v>1988</v>
      </c>
      <c r="B742" s="25" t="s">
        <v>126</v>
      </c>
      <c r="C742" s="24" t="str">
        <f t="shared" si="12"/>
        <v>brain</v>
      </c>
      <c r="D742" s="24" t="s">
        <v>1988</v>
      </c>
      <c r="E742" s="24" t="s">
        <v>1989</v>
      </c>
      <c r="F742" s="24" t="s">
        <v>1989</v>
      </c>
      <c r="G742" s="24">
        <v>500</v>
      </c>
      <c r="H742" s="24"/>
    </row>
    <row r="743" spans="1:8" ht="14">
      <c r="A743" s="24" t="s">
        <v>1990</v>
      </c>
      <c r="B743" s="25" t="s">
        <v>126</v>
      </c>
      <c r="C743" s="24" t="str">
        <f t="shared" si="12"/>
        <v>bronchi</v>
      </c>
      <c r="D743" s="24" t="s">
        <v>1990</v>
      </c>
      <c r="E743" s="24" t="s">
        <v>1991</v>
      </c>
      <c r="F743" s="24" t="s">
        <v>1991</v>
      </c>
      <c r="G743" s="24">
        <v>500</v>
      </c>
      <c r="H743" s="24"/>
    </row>
    <row r="744" spans="1:8" ht="14">
      <c r="A744" s="24" t="s">
        <v>1992</v>
      </c>
      <c r="B744" s="25" t="s">
        <v>126</v>
      </c>
      <c r="C744" s="24" t="str">
        <f t="shared" si="12"/>
        <v>cecum</v>
      </c>
      <c r="D744" s="24" t="s">
        <v>1992</v>
      </c>
      <c r="E744" s="24" t="s">
        <v>1993</v>
      </c>
      <c r="F744" s="24" t="s">
        <v>1993</v>
      </c>
      <c r="G744" s="24">
        <v>500</v>
      </c>
      <c r="H744" s="24"/>
    </row>
    <row r="745" spans="1:8" ht="14">
      <c r="A745" s="24" t="s">
        <v>1998</v>
      </c>
      <c r="B745" s="25" t="s">
        <v>126</v>
      </c>
      <c r="C745" s="24" t="str">
        <f t="shared" si="12"/>
        <v>ear</v>
      </c>
      <c r="D745" s="24" t="s">
        <v>1998</v>
      </c>
      <c r="E745" s="24" t="s">
        <v>1999</v>
      </c>
      <c r="F745" s="24" t="s">
        <v>1999</v>
      </c>
      <c r="G745" s="24">
        <v>500</v>
      </c>
      <c r="H745" s="24"/>
    </row>
    <row r="746" spans="1:8" ht="14">
      <c r="A746" s="24" t="s">
        <v>2000</v>
      </c>
      <c r="B746" s="25" t="s">
        <v>126</v>
      </c>
      <c r="C746" s="24" t="str">
        <f t="shared" si="12"/>
        <v>esophagus</v>
      </c>
      <c r="D746" s="24" t="s">
        <v>2000</v>
      </c>
      <c r="E746" s="24" t="s">
        <v>2001</v>
      </c>
      <c r="F746" s="24" t="s">
        <v>2001</v>
      </c>
      <c r="G746" s="24">
        <v>500</v>
      </c>
      <c r="H746" s="24"/>
    </row>
    <row r="747" spans="1:8" ht="14">
      <c r="A747" s="24" t="s">
        <v>2002</v>
      </c>
      <c r="B747" s="25" t="s">
        <v>126</v>
      </c>
      <c r="C747" s="24" t="str">
        <f t="shared" si="12"/>
        <v>eye</v>
      </c>
      <c r="D747" s="24" t="s">
        <v>2002</v>
      </c>
      <c r="E747" s="24" t="s">
        <v>2003</v>
      </c>
      <c r="F747" s="24" t="s">
        <v>2003</v>
      </c>
      <c r="G747" s="24">
        <v>500</v>
      </c>
      <c r="H747" s="24"/>
    </row>
    <row r="748" spans="1:8" ht="14">
      <c r="A748" s="24" t="s">
        <v>2004</v>
      </c>
      <c r="B748" s="25" t="s">
        <v>126</v>
      </c>
      <c r="C748" s="24" t="str">
        <f t="shared" si="12"/>
        <v>gallbladder</v>
      </c>
      <c r="D748" s="24" t="s">
        <v>2004</v>
      </c>
      <c r="E748" s="24" t="s">
        <v>2005</v>
      </c>
      <c r="F748" s="24" t="s">
        <v>2005</v>
      </c>
      <c r="G748" s="24">
        <v>500</v>
      </c>
      <c r="H748" s="24"/>
    </row>
    <row r="749" spans="1:8" ht="14">
      <c r="A749" s="24" t="s">
        <v>2006</v>
      </c>
      <c r="B749" s="25" t="s">
        <v>126</v>
      </c>
      <c r="C749" s="24" t="str">
        <f t="shared" si="12"/>
        <v>ganglia</v>
      </c>
      <c r="D749" s="24" t="s">
        <v>2006</v>
      </c>
      <c r="E749" s="24" t="s">
        <v>2007</v>
      </c>
      <c r="F749" s="24" t="s">
        <v>2007</v>
      </c>
      <c r="G749" s="24">
        <v>500</v>
      </c>
      <c r="H749" s="24"/>
    </row>
    <row r="750" spans="1:8" ht="14">
      <c r="A750" s="24" t="s">
        <v>2008</v>
      </c>
      <c r="B750" s="25" t="s">
        <v>126</v>
      </c>
      <c r="C750" s="24" t="str">
        <f t="shared" si="12"/>
        <v>heart</v>
      </c>
      <c r="D750" s="24" t="s">
        <v>2008</v>
      </c>
      <c r="E750" s="24" t="s">
        <v>2009</v>
      </c>
      <c r="F750" s="24" t="s">
        <v>2009</v>
      </c>
      <c r="G750" s="24">
        <v>500</v>
      </c>
      <c r="H750" s="24"/>
    </row>
    <row r="751" spans="1:8" ht="14">
      <c r="A751" s="24" t="s">
        <v>2012</v>
      </c>
      <c r="B751" s="25" t="s">
        <v>126</v>
      </c>
      <c r="C751" s="24" t="str">
        <f t="shared" si="12"/>
        <v>kidney</v>
      </c>
      <c r="D751" s="24" t="s">
        <v>2012</v>
      </c>
      <c r="E751" s="24" t="s">
        <v>2013</v>
      </c>
      <c r="F751" s="24" t="s">
        <v>2013</v>
      </c>
      <c r="G751" s="24">
        <v>500</v>
      </c>
      <c r="H751" s="24"/>
    </row>
    <row r="752" spans="1:8" ht="14">
      <c r="A752" s="24" t="s">
        <v>2014</v>
      </c>
      <c r="B752" s="25" t="s">
        <v>126</v>
      </c>
      <c r="C752" s="24" t="str">
        <f t="shared" si="12"/>
        <v>large_intestine</v>
      </c>
      <c r="D752" s="24" t="s">
        <v>2015</v>
      </c>
      <c r="E752" s="24" t="s">
        <v>2016</v>
      </c>
      <c r="F752" s="24" t="s">
        <v>2017</v>
      </c>
      <c r="G752" s="24">
        <v>500</v>
      </c>
      <c r="H752" s="24"/>
    </row>
    <row r="753" spans="1:8" ht="14">
      <c r="A753" s="24" t="s">
        <v>2018</v>
      </c>
      <c r="B753" s="25" t="s">
        <v>126</v>
      </c>
      <c r="C753" s="24" t="str">
        <f t="shared" si="12"/>
        <v>liver</v>
      </c>
      <c r="D753" s="24" t="s">
        <v>2018</v>
      </c>
      <c r="E753" s="24" t="s">
        <v>2019</v>
      </c>
      <c r="F753" s="24" t="s">
        <v>2019</v>
      </c>
      <c r="G753" s="24">
        <v>500</v>
      </c>
      <c r="H753" s="24"/>
    </row>
    <row r="754" spans="1:8" ht="14">
      <c r="A754" s="24" t="s">
        <v>2020</v>
      </c>
      <c r="B754" s="25" t="s">
        <v>126</v>
      </c>
      <c r="C754" s="24" t="str">
        <f t="shared" si="12"/>
        <v>lung</v>
      </c>
      <c r="D754" s="24" t="s">
        <v>2020</v>
      </c>
      <c r="E754" s="24" t="s">
        <v>2021</v>
      </c>
      <c r="F754" s="24" t="s">
        <v>2021</v>
      </c>
      <c r="G754" s="24">
        <v>500</v>
      </c>
      <c r="H754" s="24"/>
    </row>
    <row r="755" spans="1:8" ht="14">
      <c r="A755" s="24" t="s">
        <v>2022</v>
      </c>
      <c r="B755" s="25" t="s">
        <v>126</v>
      </c>
      <c r="C755" s="24" t="str">
        <f t="shared" si="12"/>
        <v>lymph_node</v>
      </c>
      <c r="D755" s="24" t="s">
        <v>1090</v>
      </c>
      <c r="E755" s="24" t="s">
        <v>2023</v>
      </c>
      <c r="F755" s="24" t="s">
        <v>2023</v>
      </c>
      <c r="G755" s="24">
        <v>500</v>
      </c>
      <c r="H755" s="24"/>
    </row>
    <row r="756" spans="1:8" ht="14">
      <c r="A756" s="24" t="s">
        <v>2024</v>
      </c>
      <c r="B756" s="25" t="s">
        <v>126</v>
      </c>
      <c r="C756" s="24" t="str">
        <f t="shared" si="12"/>
        <v>medulla</v>
      </c>
      <c r="D756" s="24" t="s">
        <v>2024</v>
      </c>
      <c r="E756" s="24" t="s">
        <v>2025</v>
      </c>
      <c r="F756" s="24" t="s">
        <v>2025</v>
      </c>
      <c r="G756" s="24">
        <v>500</v>
      </c>
      <c r="H756" s="24"/>
    </row>
    <row r="757" spans="1:8" ht="14">
      <c r="A757" s="24" t="s">
        <v>2026</v>
      </c>
      <c r="B757" s="25" t="s">
        <v>126</v>
      </c>
      <c r="C757" s="24" t="str">
        <f t="shared" si="12"/>
        <v>mesentery</v>
      </c>
      <c r="D757" s="24" t="s">
        <v>2026</v>
      </c>
      <c r="E757" s="24" t="s">
        <v>2027</v>
      </c>
      <c r="F757" s="24" t="s">
        <v>2027</v>
      </c>
      <c r="G757" s="24">
        <v>500</v>
      </c>
      <c r="H757" s="24"/>
    </row>
    <row r="758" spans="1:8" ht="14">
      <c r="A758" s="24" t="s">
        <v>2030</v>
      </c>
      <c r="B758" s="25" t="s">
        <v>126</v>
      </c>
      <c r="C758" s="24" t="str">
        <f t="shared" ref="C758:C824" si="13">A758</f>
        <v>ovaries</v>
      </c>
      <c r="D758" s="24" t="s">
        <v>2030</v>
      </c>
      <c r="E758" s="24" t="s">
        <v>2031</v>
      </c>
      <c r="F758" s="24" t="s">
        <v>2031</v>
      </c>
      <c r="G758" s="24">
        <v>500</v>
      </c>
      <c r="H758" s="24"/>
    </row>
    <row r="759" spans="1:8" ht="14">
      <c r="A759" s="24" t="s">
        <v>2032</v>
      </c>
      <c r="B759" s="25" t="s">
        <v>126</v>
      </c>
      <c r="C759" s="24" t="str">
        <f t="shared" si="13"/>
        <v>pancreas</v>
      </c>
      <c r="D759" s="24" t="s">
        <v>2032</v>
      </c>
      <c r="E759" s="24" t="s">
        <v>2033</v>
      </c>
      <c r="F759" s="24" t="s">
        <v>2033</v>
      </c>
      <c r="G759" s="24">
        <v>500</v>
      </c>
      <c r="H759" s="24"/>
    </row>
    <row r="760" spans="1:8" ht="14">
      <c r="A760" s="24" t="s">
        <v>2034</v>
      </c>
      <c r="B760" s="25" t="s">
        <v>126</v>
      </c>
      <c r="C760" s="24" t="str">
        <f t="shared" si="13"/>
        <v>pons</v>
      </c>
      <c r="D760" s="24" t="s">
        <v>2034</v>
      </c>
      <c r="E760" s="24" t="s">
        <v>2035</v>
      </c>
      <c r="F760" s="24" t="s">
        <v>2035</v>
      </c>
      <c r="G760" s="24">
        <v>500</v>
      </c>
      <c r="H760" s="24"/>
    </row>
    <row r="761" spans="1:8" ht="14">
      <c r="A761" s="24" t="s">
        <v>2036</v>
      </c>
      <c r="B761" s="25" t="s">
        <v>126</v>
      </c>
      <c r="C761" s="24" t="str">
        <f t="shared" si="13"/>
        <v>prostate</v>
      </c>
      <c r="D761" s="24" t="s">
        <v>2036</v>
      </c>
      <c r="E761" s="24" t="s">
        <v>2037</v>
      </c>
      <c r="F761" s="24" t="s">
        <v>2037</v>
      </c>
      <c r="G761" s="24">
        <v>500</v>
      </c>
      <c r="H761" s="24"/>
    </row>
    <row r="762" spans="1:8" ht="14">
      <c r="A762" s="24" t="s">
        <v>2038</v>
      </c>
      <c r="B762" s="25" t="s">
        <v>126</v>
      </c>
      <c r="C762" s="24" t="str">
        <f t="shared" si="13"/>
        <v>rectum</v>
      </c>
      <c r="D762" s="24" t="s">
        <v>2038</v>
      </c>
      <c r="E762" s="24" t="s">
        <v>2039</v>
      </c>
      <c r="F762" s="24" t="s">
        <v>2039</v>
      </c>
      <c r="G762" s="24">
        <v>500</v>
      </c>
      <c r="H762" s="24"/>
    </row>
    <row r="763" spans="1:8" ht="14">
      <c r="A763" s="24" t="s">
        <v>2040</v>
      </c>
      <c r="B763" s="25" t="s">
        <v>126</v>
      </c>
      <c r="C763" s="24" t="str">
        <f t="shared" si="13"/>
        <v>small_intestine</v>
      </c>
      <c r="D763" s="24" t="s">
        <v>2041</v>
      </c>
      <c r="E763" s="24" t="s">
        <v>2042</v>
      </c>
      <c r="F763" s="24" t="s">
        <v>2043</v>
      </c>
      <c r="G763" s="24">
        <v>500</v>
      </c>
      <c r="H763" s="24"/>
    </row>
    <row r="764" spans="1:8" ht="14">
      <c r="A764" s="24" t="s">
        <v>2044</v>
      </c>
      <c r="B764" s="25" t="s">
        <v>126</v>
      </c>
      <c r="C764" s="24" t="str">
        <f t="shared" si="13"/>
        <v>spinal_cord</v>
      </c>
      <c r="D764" s="24" t="s">
        <v>2044</v>
      </c>
      <c r="E764" s="24" t="s">
        <v>2045</v>
      </c>
      <c r="F764" s="24" t="s">
        <v>2046</v>
      </c>
      <c r="G764" s="24">
        <v>500</v>
      </c>
      <c r="H764" s="24"/>
    </row>
    <row r="765" spans="1:8" ht="14">
      <c r="A765" s="24" t="s">
        <v>2047</v>
      </c>
      <c r="B765" s="25" t="s">
        <v>126</v>
      </c>
      <c r="C765" s="24" t="str">
        <f t="shared" si="13"/>
        <v>spleen</v>
      </c>
      <c r="D765" s="24" t="s">
        <v>2047</v>
      </c>
      <c r="E765" s="24" t="s">
        <v>2048</v>
      </c>
      <c r="F765" s="24" t="s">
        <v>2048</v>
      </c>
      <c r="G765" s="24">
        <v>500</v>
      </c>
      <c r="H765" s="24"/>
    </row>
    <row r="766" spans="1:8" ht="14">
      <c r="A766" s="24" t="s">
        <v>2049</v>
      </c>
      <c r="B766" s="25" t="s">
        <v>126</v>
      </c>
      <c r="C766" s="24" t="str">
        <f t="shared" si="13"/>
        <v>stomach</v>
      </c>
      <c r="D766" s="24" t="s">
        <v>2049</v>
      </c>
      <c r="E766" s="24" t="s">
        <v>2050</v>
      </c>
      <c r="F766" s="24" t="s">
        <v>2050</v>
      </c>
      <c r="G766" s="24">
        <v>500</v>
      </c>
      <c r="H766" s="24"/>
    </row>
    <row r="767" spans="1:8" ht="14">
      <c r="A767" s="24" t="s">
        <v>2051</v>
      </c>
      <c r="B767" s="25" t="s">
        <v>126</v>
      </c>
      <c r="C767" s="24" t="str">
        <f t="shared" si="13"/>
        <v>testicles</v>
      </c>
      <c r="D767" s="24" t="s">
        <v>2051</v>
      </c>
      <c r="E767" s="24" t="s">
        <v>2052</v>
      </c>
      <c r="F767" s="24" t="s">
        <v>2052</v>
      </c>
      <c r="G767" s="24">
        <v>500</v>
      </c>
      <c r="H767" s="24"/>
    </row>
    <row r="768" spans="1:8" ht="14">
      <c r="A768" s="24" t="s">
        <v>2053</v>
      </c>
      <c r="B768" s="25" t="s">
        <v>126</v>
      </c>
      <c r="C768" s="24" t="str">
        <f t="shared" si="13"/>
        <v>thalamus</v>
      </c>
      <c r="D768" s="24" t="s">
        <v>2053</v>
      </c>
      <c r="E768" s="24" t="s">
        <v>2054</v>
      </c>
      <c r="F768" s="24" t="s">
        <v>2054</v>
      </c>
      <c r="G768" s="24">
        <v>500</v>
      </c>
      <c r="H768" s="24"/>
    </row>
    <row r="769" spans="1:8" ht="14">
      <c r="A769" s="24" t="s">
        <v>2055</v>
      </c>
      <c r="B769" s="25" t="s">
        <v>126</v>
      </c>
      <c r="C769" s="24" t="str">
        <f t="shared" si="13"/>
        <v>thymus</v>
      </c>
      <c r="D769" s="24" t="s">
        <v>2055</v>
      </c>
      <c r="E769" s="24" t="s">
        <v>2056</v>
      </c>
      <c r="F769" s="24" t="s">
        <v>2056</v>
      </c>
      <c r="G769" s="24">
        <v>500</v>
      </c>
      <c r="H769" s="24"/>
    </row>
    <row r="770" spans="1:8" ht="14">
      <c r="A770" s="24" t="s">
        <v>2057</v>
      </c>
      <c r="B770" s="25" t="s">
        <v>126</v>
      </c>
      <c r="C770" s="24" t="str">
        <f t="shared" si="13"/>
        <v>tongue</v>
      </c>
      <c r="D770" s="24" t="s">
        <v>2057</v>
      </c>
      <c r="E770" s="24" t="s">
        <v>2058</v>
      </c>
      <c r="F770" s="24" t="s">
        <v>2058</v>
      </c>
      <c r="G770" s="24">
        <v>500</v>
      </c>
      <c r="H770" s="24"/>
    </row>
    <row r="771" spans="1:8" ht="14">
      <c r="A771" s="24" t="s">
        <v>2059</v>
      </c>
      <c r="B771" s="25" t="s">
        <v>126</v>
      </c>
      <c r="C771" s="24" t="str">
        <f t="shared" si="13"/>
        <v>tonsils</v>
      </c>
      <c r="D771" s="24" t="s">
        <v>2059</v>
      </c>
      <c r="E771" s="24" t="s">
        <v>2060</v>
      </c>
      <c r="F771" s="24" t="s">
        <v>2060</v>
      </c>
      <c r="G771" s="24">
        <v>500</v>
      </c>
      <c r="H771" s="24"/>
    </row>
    <row r="772" spans="1:8" ht="14">
      <c r="A772" s="24" t="s">
        <v>2061</v>
      </c>
      <c r="B772" s="25" t="s">
        <v>126</v>
      </c>
      <c r="C772" s="24" t="str">
        <f t="shared" si="13"/>
        <v>uterus</v>
      </c>
      <c r="D772" s="24" t="s">
        <v>2061</v>
      </c>
      <c r="E772" s="24" t="s">
        <v>2062</v>
      </c>
      <c r="F772" s="24" t="s">
        <v>2062</v>
      </c>
      <c r="G772" s="24">
        <v>500</v>
      </c>
      <c r="H772" s="24"/>
    </row>
    <row r="773" spans="1:8" ht="14">
      <c r="A773" s="24" t="s">
        <v>2063</v>
      </c>
      <c r="B773" s="25" t="s">
        <v>126</v>
      </c>
      <c r="C773" s="24" t="str">
        <f t="shared" si="13"/>
        <v>veins</v>
      </c>
      <c r="D773" s="24" t="s">
        <v>2063</v>
      </c>
      <c r="E773" s="24" t="s">
        <v>2064</v>
      </c>
      <c r="F773" s="24" t="s">
        <v>2064</v>
      </c>
      <c r="G773" s="24">
        <v>500</v>
      </c>
      <c r="H773" s="24"/>
    </row>
    <row r="774" spans="1:8" ht="14">
      <c r="A774" s="24" t="s">
        <v>4010</v>
      </c>
      <c r="B774" s="25" t="s">
        <v>126</v>
      </c>
      <c r="C774" s="24" t="str">
        <f>A774</f>
        <v>skmuscle</v>
      </c>
      <c r="D774" s="24" t="s">
        <v>4011</v>
      </c>
      <c r="E774" s="24" t="s">
        <v>2680</v>
      </c>
      <c r="F774" s="24" t="s">
        <v>2680</v>
      </c>
      <c r="G774" s="24"/>
      <c r="H774" s="24"/>
    </row>
    <row r="775" spans="1:8" ht="14">
      <c r="A775" s="24" t="s">
        <v>2778</v>
      </c>
      <c r="B775" s="25" t="s">
        <v>138</v>
      </c>
      <c r="C775" s="24" t="str">
        <f t="shared" si="13"/>
        <v>controls</v>
      </c>
      <c r="D775" s="24" t="s">
        <v>2775</v>
      </c>
      <c r="E775" s="24" t="s">
        <v>2776</v>
      </c>
      <c r="F775" s="24" t="s">
        <v>2777</v>
      </c>
      <c r="G775" s="24">
        <v>500</v>
      </c>
      <c r="H775" s="24"/>
    </row>
    <row r="776" spans="1:8" ht="14">
      <c r="A776" s="24" t="s">
        <v>2085</v>
      </c>
      <c r="B776" s="25" t="s">
        <v>2086</v>
      </c>
      <c r="C776" s="24" t="str">
        <f t="shared" si="13"/>
        <v>cardiovascular</v>
      </c>
      <c r="D776" s="26" t="s">
        <v>12</v>
      </c>
      <c r="E776" s="24" t="s">
        <v>2087</v>
      </c>
      <c r="F776" s="24" t="s">
        <v>2088</v>
      </c>
      <c r="G776" s="24">
        <v>500</v>
      </c>
      <c r="H776" s="24"/>
    </row>
    <row r="777" spans="1:8" ht="14">
      <c r="A777" s="24" t="s">
        <v>2089</v>
      </c>
      <c r="B777" s="25" t="s">
        <v>2086</v>
      </c>
      <c r="C777" s="24" t="str">
        <f t="shared" si="13"/>
        <v>digestive</v>
      </c>
      <c r="D777" s="26" t="s">
        <v>12</v>
      </c>
      <c r="E777" s="24" t="s">
        <v>2090</v>
      </c>
      <c r="F777" s="24" t="s">
        <v>2091</v>
      </c>
      <c r="G777" s="24">
        <v>500</v>
      </c>
      <c r="H777" s="24"/>
    </row>
    <row r="778" spans="1:8" ht="14">
      <c r="A778" s="24" t="s">
        <v>2092</v>
      </c>
      <c r="B778" s="25" t="s">
        <v>2086</v>
      </c>
      <c r="C778" s="24" t="str">
        <f t="shared" si="13"/>
        <v>endocrine</v>
      </c>
      <c r="D778" s="26" t="s">
        <v>12</v>
      </c>
      <c r="E778" s="24" t="s">
        <v>2093</v>
      </c>
      <c r="F778" s="24" t="s">
        <v>2094</v>
      </c>
      <c r="G778" s="24">
        <v>500</v>
      </c>
      <c r="H778" s="24"/>
    </row>
    <row r="779" spans="1:8" ht="14">
      <c r="A779" s="24" t="s">
        <v>2095</v>
      </c>
      <c r="B779" s="25" t="s">
        <v>2086</v>
      </c>
      <c r="C779" s="24" t="str">
        <f t="shared" si="13"/>
        <v>excretory</v>
      </c>
      <c r="D779" s="26" t="s">
        <v>12</v>
      </c>
      <c r="E779" s="24" t="s">
        <v>2096</v>
      </c>
      <c r="F779" s="24" t="s">
        <v>2097</v>
      </c>
      <c r="G779" s="24">
        <v>500</v>
      </c>
      <c r="H779" s="24"/>
    </row>
    <row r="780" spans="1:8" ht="14">
      <c r="A780" s="24" t="s">
        <v>2098</v>
      </c>
      <c r="B780" s="25" t="s">
        <v>2086</v>
      </c>
      <c r="C780" s="24" t="str">
        <f t="shared" si="13"/>
        <v>integumentary</v>
      </c>
      <c r="D780" s="26" t="s">
        <v>12</v>
      </c>
      <c r="E780" s="24" t="s">
        <v>2099</v>
      </c>
      <c r="F780" s="24" t="s">
        <v>2100</v>
      </c>
      <c r="G780" s="24">
        <v>500</v>
      </c>
      <c r="H780" s="24"/>
    </row>
    <row r="781" spans="1:8" ht="14">
      <c r="A781" s="24" t="s">
        <v>2101</v>
      </c>
      <c r="B781" s="25" t="s">
        <v>2086</v>
      </c>
      <c r="C781" s="24" t="str">
        <f t="shared" si="13"/>
        <v>lymphatic</v>
      </c>
      <c r="D781" s="26" t="s">
        <v>12</v>
      </c>
      <c r="E781" s="24" t="s">
        <v>2102</v>
      </c>
      <c r="F781" s="24" t="s">
        <v>2103</v>
      </c>
      <c r="G781" s="24">
        <v>500</v>
      </c>
      <c r="H781" s="24"/>
    </row>
    <row r="782" spans="1:8" ht="14">
      <c r="A782" s="24" t="s">
        <v>2104</v>
      </c>
      <c r="B782" s="25" t="s">
        <v>2086</v>
      </c>
      <c r="C782" s="24" t="str">
        <f t="shared" si="13"/>
        <v>muscular</v>
      </c>
      <c r="D782" s="26" t="s">
        <v>12</v>
      </c>
      <c r="E782" s="24" t="s">
        <v>2105</v>
      </c>
      <c r="F782" s="24" t="s">
        <v>2106</v>
      </c>
      <c r="G782" s="24">
        <v>500</v>
      </c>
      <c r="H782" s="24"/>
    </row>
    <row r="783" spans="1:8" ht="14">
      <c r="A783" s="24" t="s">
        <v>2107</v>
      </c>
      <c r="B783" s="25" t="s">
        <v>2086</v>
      </c>
      <c r="C783" s="24" t="str">
        <f t="shared" si="13"/>
        <v>nervous_system</v>
      </c>
      <c r="D783" s="26" t="s">
        <v>12</v>
      </c>
      <c r="E783" s="24" t="s">
        <v>2108</v>
      </c>
      <c r="F783" s="24" t="s">
        <v>2109</v>
      </c>
      <c r="G783" s="24">
        <v>500</v>
      </c>
      <c r="H783" s="24"/>
    </row>
    <row r="784" spans="1:8" ht="14">
      <c r="A784" s="24" t="s">
        <v>2110</v>
      </c>
      <c r="B784" s="25" t="s">
        <v>2086</v>
      </c>
      <c r="C784" s="24" t="str">
        <f t="shared" si="13"/>
        <v>reproductive</v>
      </c>
      <c r="D784" s="26" t="s">
        <v>12</v>
      </c>
      <c r="E784" s="24" t="s">
        <v>2111</v>
      </c>
      <c r="F784" s="24" t="s">
        <v>2112</v>
      </c>
      <c r="G784" s="24">
        <v>500</v>
      </c>
      <c r="H784" s="24"/>
    </row>
    <row r="785" spans="1:8" ht="14">
      <c r="A785" s="24" t="s">
        <v>2113</v>
      </c>
      <c r="B785" s="25" t="s">
        <v>2086</v>
      </c>
      <c r="C785" s="24" t="str">
        <f t="shared" si="13"/>
        <v>respiratory</v>
      </c>
      <c r="D785" s="26" t="s">
        <v>12</v>
      </c>
      <c r="E785" s="24" t="s">
        <v>2114</v>
      </c>
      <c r="F785" s="24" t="s">
        <v>2115</v>
      </c>
      <c r="G785" s="24">
        <v>500</v>
      </c>
      <c r="H785" s="24"/>
    </row>
    <row r="786" spans="1:8" ht="14">
      <c r="A786" s="24" t="s">
        <v>2116</v>
      </c>
      <c r="B786" s="25" t="s">
        <v>2086</v>
      </c>
      <c r="C786" s="24" t="str">
        <f t="shared" si="13"/>
        <v>skeletal</v>
      </c>
      <c r="D786" s="26" t="s">
        <v>12</v>
      </c>
      <c r="E786" s="24" t="s">
        <v>2117</v>
      </c>
      <c r="F786" s="24" t="s">
        <v>2118</v>
      </c>
      <c r="G786" s="24">
        <v>500</v>
      </c>
      <c r="H786" s="24"/>
    </row>
    <row r="787" spans="1:8" ht="14">
      <c r="A787" s="24" t="s">
        <v>2119</v>
      </c>
      <c r="B787" s="25" t="s">
        <v>2086</v>
      </c>
      <c r="C787" s="24" t="str">
        <f t="shared" si="13"/>
        <v>urinary</v>
      </c>
      <c r="D787" s="26" t="s">
        <v>12</v>
      </c>
      <c r="E787" s="24" t="s">
        <v>2120</v>
      </c>
      <c r="F787" s="24" t="s">
        <v>2121</v>
      </c>
      <c r="G787" s="24">
        <v>500</v>
      </c>
      <c r="H787" s="24"/>
    </row>
    <row r="788" spans="1:8" ht="14">
      <c r="A788" s="24" t="s">
        <v>2122</v>
      </c>
      <c r="B788" s="25" t="s">
        <v>140</v>
      </c>
      <c r="C788" s="24" t="str">
        <f t="shared" si="13"/>
        <v>intervalcardio</v>
      </c>
      <c r="D788" s="26" t="s">
        <v>12</v>
      </c>
      <c r="E788" s="24" t="s">
        <v>2123</v>
      </c>
      <c r="F788" s="24" t="s">
        <v>2124</v>
      </c>
      <c r="G788" s="24">
        <v>500</v>
      </c>
      <c r="H788" s="24"/>
    </row>
    <row r="789" spans="1:8" ht="14">
      <c r="A789" s="24" t="s">
        <v>2125</v>
      </c>
      <c r="B789" s="25" t="s">
        <v>140</v>
      </c>
      <c r="C789" s="24" t="str">
        <f t="shared" si="13"/>
        <v>steadycardio</v>
      </c>
      <c r="D789" s="26" t="s">
        <v>12</v>
      </c>
      <c r="E789" s="24" t="s">
        <v>2697</v>
      </c>
      <c r="F789" s="24" t="s">
        <v>2126</v>
      </c>
      <c r="G789" s="24">
        <v>500</v>
      </c>
      <c r="H789" s="24"/>
    </row>
    <row r="790" spans="1:8" ht="14">
      <c r="A790" s="24" t="s">
        <v>2127</v>
      </c>
      <c r="B790" s="25" t="s">
        <v>140</v>
      </c>
      <c r="C790" s="24" t="str">
        <f t="shared" si="13"/>
        <v>strength</v>
      </c>
      <c r="D790" s="26" t="s">
        <v>12</v>
      </c>
      <c r="E790" s="24" t="s">
        <v>2128</v>
      </c>
      <c r="F790" s="24" t="s">
        <v>2129</v>
      </c>
      <c r="G790" s="24">
        <v>500</v>
      </c>
      <c r="H790" s="24"/>
    </row>
    <row r="791" spans="1:8" ht="14">
      <c r="A791" s="24" t="s">
        <v>2698</v>
      </c>
      <c r="B791" s="25" t="s">
        <v>140</v>
      </c>
      <c r="C791" s="24" t="str">
        <f t="shared" si="13"/>
        <v>hiit</v>
      </c>
      <c r="D791" s="26" t="s">
        <v>12</v>
      </c>
      <c r="E791" s="24" t="s">
        <v>2699</v>
      </c>
      <c r="F791" s="24" t="s">
        <v>2700</v>
      </c>
      <c r="G791" s="24">
        <v>500</v>
      </c>
      <c r="H791" s="24"/>
    </row>
    <row r="792" spans="1:8" ht="14">
      <c r="A792" s="24" t="s">
        <v>2130</v>
      </c>
      <c r="B792" s="25" t="s">
        <v>142</v>
      </c>
      <c r="C792" s="24" t="str">
        <f t="shared" si="13"/>
        <v>argc</v>
      </c>
      <c r="D792" s="26" t="s">
        <v>12</v>
      </c>
      <c r="E792" s="24" t="s">
        <v>2131</v>
      </c>
      <c r="F792" s="24" t="s">
        <v>2132</v>
      </c>
      <c r="G792" s="24">
        <v>500</v>
      </c>
      <c r="H792" s="24"/>
    </row>
    <row r="793" spans="1:8" ht="14">
      <c r="A793" s="24" t="s">
        <v>2133</v>
      </c>
      <c r="B793" s="25" t="s">
        <v>142</v>
      </c>
      <c r="C793" s="24" t="str">
        <f t="shared" si="13"/>
        <v>aspn</v>
      </c>
      <c r="D793" s="26" t="s">
        <v>12</v>
      </c>
      <c r="E793" s="24" t="s">
        <v>2134</v>
      </c>
      <c r="F793" s="24" t="s">
        <v>2135</v>
      </c>
      <c r="G793" s="24">
        <v>500</v>
      </c>
      <c r="H793" s="24"/>
    </row>
    <row r="794" spans="1:8" ht="14">
      <c r="A794" s="24" t="s">
        <v>2136</v>
      </c>
      <c r="B794" s="25" t="s">
        <v>142</v>
      </c>
      <c r="C794" s="24" t="str">
        <f t="shared" si="13"/>
        <v>chymotrypsin</v>
      </c>
      <c r="D794" s="26" t="s">
        <v>12</v>
      </c>
      <c r="E794" s="24" t="s">
        <v>2137</v>
      </c>
      <c r="F794" s="24" t="s">
        <v>2138</v>
      </c>
      <c r="G794" s="24">
        <v>500</v>
      </c>
      <c r="H794" s="24"/>
    </row>
    <row r="795" spans="1:8" ht="14">
      <c r="A795" s="24" t="s">
        <v>2139</v>
      </c>
      <c r="B795" s="25" t="s">
        <v>142</v>
      </c>
      <c r="C795" s="24" t="str">
        <f t="shared" si="13"/>
        <v>elastase</v>
      </c>
      <c r="D795" s="26" t="s">
        <v>12</v>
      </c>
      <c r="E795" s="24" t="s">
        <v>2140</v>
      </c>
      <c r="F795" s="24" t="s">
        <v>2141</v>
      </c>
      <c r="G795" s="24">
        <v>500</v>
      </c>
      <c r="H795" s="24"/>
    </row>
    <row r="796" spans="1:8" ht="14">
      <c r="A796" s="24" t="s">
        <v>2142</v>
      </c>
      <c r="B796" s="25" t="s">
        <v>142</v>
      </c>
      <c r="C796" s="24" t="str">
        <f t="shared" si="13"/>
        <v>gluc</v>
      </c>
      <c r="D796" s="26" t="s">
        <v>12</v>
      </c>
      <c r="E796" s="24" t="s">
        <v>2143</v>
      </c>
      <c r="F796" s="24" t="s">
        <v>2144</v>
      </c>
      <c r="G796" s="24">
        <v>500</v>
      </c>
      <c r="H796" s="24"/>
    </row>
    <row r="797" spans="1:8" ht="14">
      <c r="A797" s="24" t="s">
        <v>2145</v>
      </c>
      <c r="B797" s="25" t="s">
        <v>142</v>
      </c>
      <c r="C797" s="24" t="str">
        <f t="shared" si="13"/>
        <v>lysc</v>
      </c>
      <c r="D797" s="26" t="s">
        <v>12</v>
      </c>
      <c r="E797" s="24" t="s">
        <v>2146</v>
      </c>
      <c r="F797" s="24" t="s">
        <v>2147</v>
      </c>
      <c r="G797" s="24">
        <v>500</v>
      </c>
      <c r="H797" s="24"/>
    </row>
    <row r="798" spans="1:8" ht="14">
      <c r="A798" s="24" t="s">
        <v>2148</v>
      </c>
      <c r="B798" s="25" t="s">
        <v>142</v>
      </c>
      <c r="C798" s="24" t="str">
        <f t="shared" si="13"/>
        <v>raspn</v>
      </c>
      <c r="D798" s="26" t="s">
        <v>12</v>
      </c>
      <c r="E798" s="24" t="s">
        <v>2149</v>
      </c>
      <c r="F798" s="24" t="s">
        <v>2150</v>
      </c>
      <c r="G798" s="24">
        <v>500</v>
      </c>
      <c r="H798" s="24"/>
    </row>
    <row r="799" spans="1:8" ht="14">
      <c r="A799" s="24" t="s">
        <v>2151</v>
      </c>
      <c r="B799" s="25" t="s">
        <v>142</v>
      </c>
      <c r="C799" s="24" t="str">
        <f t="shared" si="13"/>
        <v>trypsin</v>
      </c>
      <c r="D799" s="26" t="s">
        <v>12</v>
      </c>
      <c r="E799" s="24" t="s">
        <v>2152</v>
      </c>
      <c r="F799" s="24" t="s">
        <v>2153</v>
      </c>
      <c r="G799" s="24">
        <v>500</v>
      </c>
      <c r="H799" s="24"/>
    </row>
    <row r="800" spans="1:8" ht="14">
      <c r="A800" s="24" t="s">
        <v>2701</v>
      </c>
      <c r="B800" s="25" t="s">
        <v>144</v>
      </c>
      <c r="C800" s="24" t="str">
        <f t="shared" si="13"/>
        <v>apex</v>
      </c>
      <c r="D800" s="26" t="s">
        <v>12</v>
      </c>
      <c r="E800" s="24" t="s">
        <v>2702</v>
      </c>
      <c r="F800" s="24" t="s">
        <v>2703</v>
      </c>
      <c r="G800" s="24">
        <v>500</v>
      </c>
      <c r="H800" s="24"/>
    </row>
    <row r="801" spans="1:8" ht="14">
      <c r="A801" s="24" t="s">
        <v>2704</v>
      </c>
      <c r="B801" s="25" t="s">
        <v>144</v>
      </c>
      <c r="C801" s="24" t="str">
        <f t="shared" si="13"/>
        <v>bioid</v>
      </c>
      <c r="D801" s="26" t="s">
        <v>12</v>
      </c>
      <c r="E801" s="24" t="s">
        <v>2705</v>
      </c>
      <c r="F801" s="24" t="s">
        <v>2706</v>
      </c>
      <c r="G801" s="24">
        <v>500</v>
      </c>
      <c r="H801" s="24"/>
    </row>
    <row r="802" spans="1:8" ht="14">
      <c r="A802" s="24" t="s">
        <v>2707</v>
      </c>
      <c r="B802" s="25" t="s">
        <v>144</v>
      </c>
      <c r="C802" s="24" t="str">
        <f t="shared" si="13"/>
        <v>turboid</v>
      </c>
      <c r="D802" s="26" t="s">
        <v>12</v>
      </c>
      <c r="E802" s="24" t="s">
        <v>2708</v>
      </c>
      <c r="F802" s="24" t="s">
        <v>2709</v>
      </c>
      <c r="G802" s="24">
        <v>500</v>
      </c>
      <c r="H802" s="24"/>
    </row>
    <row r="803" spans="1:8" ht="14">
      <c r="A803" s="24" t="s">
        <v>1153</v>
      </c>
      <c r="B803" s="25" t="s">
        <v>144</v>
      </c>
      <c r="C803" s="24" t="str">
        <f t="shared" si="13"/>
        <v>deletion</v>
      </c>
      <c r="D803" s="26" t="s">
        <v>12</v>
      </c>
      <c r="E803" s="24" t="s">
        <v>2154</v>
      </c>
      <c r="F803" s="24" t="s">
        <v>2155</v>
      </c>
      <c r="G803" s="24">
        <v>500</v>
      </c>
      <c r="H803" s="24"/>
    </row>
    <row r="804" spans="1:8" ht="14">
      <c r="A804" s="24" t="s">
        <v>2156</v>
      </c>
      <c r="B804" s="25" t="s">
        <v>144</v>
      </c>
      <c r="C804" s="24" t="str">
        <f t="shared" si="13"/>
        <v>flag</v>
      </c>
      <c r="D804" s="26" t="s">
        <v>12</v>
      </c>
      <c r="E804" s="24" t="s">
        <v>2157</v>
      </c>
      <c r="F804" s="24" t="s">
        <v>2158</v>
      </c>
      <c r="G804" s="24">
        <v>500</v>
      </c>
      <c r="H804" s="24"/>
    </row>
    <row r="805" spans="1:8" ht="14">
      <c r="A805" s="24" t="s">
        <v>2159</v>
      </c>
      <c r="B805" s="25" t="s">
        <v>4189</v>
      </c>
      <c r="C805" s="24" t="str">
        <f t="shared" si="13"/>
        <v>frameshift</v>
      </c>
      <c r="D805" s="26" t="s">
        <v>12</v>
      </c>
      <c r="E805" s="24" t="s">
        <v>2160</v>
      </c>
      <c r="F805" s="24" t="s">
        <v>2161</v>
      </c>
      <c r="G805" s="24">
        <v>500</v>
      </c>
      <c r="H805" s="24"/>
    </row>
    <row r="806" spans="1:8" ht="14">
      <c r="A806" s="24" t="s">
        <v>4185</v>
      </c>
      <c r="B806" s="25" t="s">
        <v>4189</v>
      </c>
      <c r="C806" s="24" t="str">
        <f t="shared" ref="C806" si="14">A806</f>
        <v>premstop</v>
      </c>
      <c r="D806" s="26" t="s">
        <v>12</v>
      </c>
      <c r="E806" s="24" t="s">
        <v>4186</v>
      </c>
      <c r="F806" s="24" t="s">
        <v>4187</v>
      </c>
      <c r="G806" s="24">
        <v>500</v>
      </c>
      <c r="H806" s="24"/>
    </row>
    <row r="807" spans="1:8" ht="14">
      <c r="A807" s="24" t="s">
        <v>2162</v>
      </c>
      <c r="B807" s="25" t="s">
        <v>144</v>
      </c>
      <c r="C807" s="24" t="str">
        <f t="shared" si="13"/>
        <v>gfp</v>
      </c>
      <c r="D807" s="26" t="s">
        <v>12</v>
      </c>
      <c r="E807" s="24" t="s">
        <v>2163</v>
      </c>
      <c r="F807" s="24" t="s">
        <v>2164</v>
      </c>
      <c r="G807" s="24">
        <v>500</v>
      </c>
      <c r="H807" s="24"/>
    </row>
    <row r="808" spans="1:8" ht="14">
      <c r="A808" s="24" t="s">
        <v>2165</v>
      </c>
      <c r="B808" s="25" t="s">
        <v>144</v>
      </c>
      <c r="C808" s="24" t="str">
        <f t="shared" si="13"/>
        <v>ha</v>
      </c>
      <c r="D808" s="26" t="s">
        <v>12</v>
      </c>
      <c r="E808" s="24" t="s">
        <v>2166</v>
      </c>
      <c r="F808" s="24" t="s">
        <v>2167</v>
      </c>
      <c r="G808" s="24">
        <v>500</v>
      </c>
      <c r="H808" s="24"/>
    </row>
    <row r="809" spans="1:8" ht="14">
      <c r="A809" s="24" t="s">
        <v>2168</v>
      </c>
      <c r="B809" s="25" t="s">
        <v>144</v>
      </c>
      <c r="C809" s="24" t="str">
        <f t="shared" si="13"/>
        <v>his</v>
      </c>
      <c r="D809" s="26" t="s">
        <v>12</v>
      </c>
      <c r="E809" s="24" t="s">
        <v>2169</v>
      </c>
      <c r="F809" s="24" t="s">
        <v>2170</v>
      </c>
      <c r="G809" s="24">
        <v>500</v>
      </c>
      <c r="H809" s="24"/>
    </row>
    <row r="810" spans="1:8" ht="14">
      <c r="A810" s="24" t="s">
        <v>2171</v>
      </c>
      <c r="B810" s="25" t="s">
        <v>144</v>
      </c>
      <c r="C810" s="24" t="str">
        <f t="shared" si="13"/>
        <v>insertion</v>
      </c>
      <c r="D810" s="26" t="s">
        <v>12</v>
      </c>
      <c r="E810" s="24" t="s">
        <v>2172</v>
      </c>
      <c r="F810" s="24" t="s">
        <v>2173</v>
      </c>
      <c r="G810" s="24">
        <v>500</v>
      </c>
      <c r="H810" s="24"/>
    </row>
    <row r="811" spans="1:8" ht="14">
      <c r="A811" s="24" t="s">
        <v>2174</v>
      </c>
      <c r="B811" s="25" t="s">
        <v>144</v>
      </c>
      <c r="C811" s="24" t="str">
        <f t="shared" si="13"/>
        <v>myc</v>
      </c>
      <c r="D811" s="26" t="s">
        <v>12</v>
      </c>
      <c r="E811" s="24" t="s">
        <v>2175</v>
      </c>
      <c r="F811" s="24" t="s">
        <v>2176</v>
      </c>
      <c r="G811" s="24">
        <v>500</v>
      </c>
      <c r="H811" s="24"/>
    </row>
    <row r="812" spans="1:8" ht="14">
      <c r="A812" s="24" t="s">
        <v>2177</v>
      </c>
      <c r="B812" s="25" t="s">
        <v>144</v>
      </c>
      <c r="C812" s="24" t="str">
        <f t="shared" si="13"/>
        <v>pep86</v>
      </c>
      <c r="D812" s="26" t="s">
        <v>12</v>
      </c>
      <c r="E812" s="24" t="s">
        <v>2673</v>
      </c>
      <c r="F812" s="24" t="s">
        <v>2178</v>
      </c>
      <c r="G812" s="24">
        <v>500</v>
      </c>
      <c r="H812" s="24"/>
    </row>
    <row r="813" spans="1:8" ht="14">
      <c r="A813" s="24" t="s">
        <v>2179</v>
      </c>
      <c r="B813" s="25" t="s">
        <v>144</v>
      </c>
      <c r="C813" s="24" t="str">
        <f t="shared" si="13"/>
        <v>substitution</v>
      </c>
      <c r="D813" s="26" t="s">
        <v>12</v>
      </c>
      <c r="E813" s="24" t="s">
        <v>2180</v>
      </c>
      <c r="F813" s="24" t="s">
        <v>2181</v>
      </c>
      <c r="G813" s="24">
        <v>500</v>
      </c>
      <c r="H813" s="24"/>
    </row>
    <row r="814" spans="1:8" ht="14">
      <c r="A814" s="24" t="s">
        <v>2182</v>
      </c>
      <c r="B814" s="25" t="s">
        <v>144</v>
      </c>
      <c r="C814" s="24" t="str">
        <f t="shared" si="13"/>
        <v>truncation</v>
      </c>
      <c r="D814" s="26" t="s">
        <v>12</v>
      </c>
      <c r="E814" s="24" t="s">
        <v>2183</v>
      </c>
      <c r="F814" s="24" t="s">
        <v>2184</v>
      </c>
      <c r="G814" s="24">
        <v>500</v>
      </c>
      <c r="H814" s="24"/>
    </row>
    <row r="815" spans="1:8" ht="14">
      <c r="A815" s="24" t="s">
        <v>261</v>
      </c>
      <c r="B815" s="25" t="s">
        <v>144</v>
      </c>
      <c r="C815" s="24" t="str">
        <f t="shared" si="13"/>
        <v>none</v>
      </c>
      <c r="D815" s="26" t="s">
        <v>12</v>
      </c>
      <c r="E815" s="24" t="s">
        <v>1741</v>
      </c>
      <c r="F815" s="24" t="s">
        <v>2674</v>
      </c>
      <c r="G815" s="24">
        <v>500</v>
      </c>
      <c r="H815" s="24"/>
    </row>
    <row r="816" spans="1:8" ht="14">
      <c r="A816" s="24" t="s">
        <v>2185</v>
      </c>
      <c r="B816" s="25" t="s">
        <v>146</v>
      </c>
      <c r="C816" s="24" t="str">
        <f t="shared" si="13"/>
        <v>aa</v>
      </c>
      <c r="D816" s="26" t="s">
        <v>12</v>
      </c>
      <c r="E816" s="24" t="s">
        <v>2186</v>
      </c>
      <c r="F816" s="24" t="s">
        <v>2187</v>
      </c>
      <c r="G816" s="24">
        <v>500</v>
      </c>
      <c r="H816" s="24"/>
    </row>
    <row r="817" spans="1:1008" ht="14">
      <c r="A817" s="24" t="s">
        <v>2188</v>
      </c>
      <c r="B817" s="25" t="s">
        <v>146</v>
      </c>
      <c r="C817" s="24" t="str">
        <f t="shared" si="13"/>
        <v>cterm</v>
      </c>
      <c r="D817" s="26" t="s">
        <v>12</v>
      </c>
      <c r="E817" s="24" t="s">
        <v>2189</v>
      </c>
      <c r="F817" s="24" t="s">
        <v>2190</v>
      </c>
      <c r="G817" s="24">
        <v>500</v>
      </c>
      <c r="H817" s="24"/>
    </row>
    <row r="818" spans="1:1008" ht="14">
      <c r="A818" s="24" t="s">
        <v>2191</v>
      </c>
      <c r="B818" s="25" t="s">
        <v>146</v>
      </c>
      <c r="C818" s="24" t="str">
        <f t="shared" si="13"/>
        <v>nterm</v>
      </c>
      <c r="D818" s="26" t="s">
        <v>12</v>
      </c>
      <c r="E818" s="24" t="s">
        <v>2192</v>
      </c>
      <c r="F818" s="24" t="s">
        <v>2193</v>
      </c>
      <c r="G818" s="24">
        <v>500</v>
      </c>
      <c r="H818" s="24"/>
    </row>
    <row r="819" spans="1:1008" ht="14">
      <c r="A819" s="24" t="s">
        <v>2194</v>
      </c>
      <c r="B819" s="25" t="s">
        <v>146</v>
      </c>
      <c r="C819" s="24" t="str">
        <f t="shared" si="13"/>
        <v>region</v>
      </c>
      <c r="D819" s="26" t="s">
        <v>12</v>
      </c>
      <c r="E819" s="24" t="s">
        <v>2195</v>
      </c>
      <c r="F819" s="24" t="s">
        <v>2196</v>
      </c>
      <c r="G819" s="24">
        <v>500</v>
      </c>
      <c r="H819" s="27"/>
      <c r="I819"/>
      <c r="J819"/>
      <c r="K819"/>
      <c r="L819"/>
      <c r="M819"/>
      <c r="N819"/>
      <c r="O819"/>
      <c r="P819"/>
      <c r="Q819"/>
      <c r="R819"/>
      <c r="S819"/>
      <c r="T819"/>
      <c r="U819"/>
      <c r="V819"/>
      <c r="W819"/>
      <c r="X819"/>
      <c r="Y819"/>
      <c r="Z819"/>
      <c r="AA819"/>
      <c r="AB819"/>
      <c r="AC819"/>
      <c r="AD819"/>
      <c r="AE819"/>
      <c r="AF819"/>
      <c r="AG819"/>
      <c r="AH819"/>
      <c r="AI819"/>
      <c r="AJ819"/>
      <c r="AK819"/>
      <c r="AL819"/>
      <c r="AM819"/>
      <c r="AN819"/>
      <c r="AO819"/>
      <c r="AP819"/>
      <c r="AQ819"/>
      <c r="AR819"/>
      <c r="AS819"/>
      <c r="AT819"/>
      <c r="AU819"/>
      <c r="AV819"/>
      <c r="AW819"/>
      <c r="AX819"/>
      <c r="AY819"/>
      <c r="AZ819"/>
      <c r="BA819"/>
      <c r="BB819"/>
      <c r="BC819"/>
      <c r="BD819"/>
      <c r="BE819"/>
      <c r="BF819"/>
      <c r="BG819"/>
      <c r="BH819"/>
      <c r="BI819"/>
      <c r="BJ819"/>
      <c r="BK819"/>
      <c r="BL819"/>
      <c r="BM819"/>
      <c r="BN819"/>
      <c r="BO819"/>
      <c r="BP819"/>
      <c r="BQ819"/>
      <c r="BR819"/>
      <c r="BS819"/>
      <c r="BT819"/>
      <c r="BU819"/>
      <c r="BV819"/>
      <c r="BW819"/>
      <c r="BX819"/>
      <c r="BY819"/>
      <c r="BZ819"/>
      <c r="CA819"/>
      <c r="CB819"/>
      <c r="CC819"/>
      <c r="CD819"/>
      <c r="CE819"/>
      <c r="CF819"/>
      <c r="CG819"/>
      <c r="CH819"/>
      <c r="CI819"/>
      <c r="CJ819"/>
      <c r="CK819"/>
      <c r="CL819"/>
      <c r="CM819"/>
      <c r="CN819"/>
      <c r="CO819"/>
      <c r="CP819"/>
      <c r="CQ819"/>
      <c r="CR819"/>
      <c r="CS819"/>
      <c r="CT819"/>
      <c r="CU819"/>
      <c r="CV819"/>
      <c r="CW819"/>
      <c r="CX819"/>
      <c r="CY819"/>
      <c r="CZ819"/>
      <c r="DA819"/>
      <c r="DB819"/>
      <c r="DC819"/>
      <c r="DD819"/>
      <c r="DE819"/>
      <c r="DF819"/>
      <c r="DG819"/>
      <c r="DH819"/>
      <c r="DI819"/>
      <c r="DJ819"/>
      <c r="DK819"/>
      <c r="DL819"/>
      <c r="DM819"/>
      <c r="DN819"/>
      <c r="DO819"/>
      <c r="DP819"/>
      <c r="DQ819"/>
      <c r="DR819"/>
      <c r="DS819"/>
      <c r="DT819"/>
      <c r="DU819"/>
      <c r="DV819"/>
      <c r="DW819"/>
      <c r="DX819"/>
      <c r="DY819"/>
      <c r="DZ819"/>
      <c r="EA819"/>
      <c r="EB819"/>
      <c r="EC819"/>
      <c r="ED819"/>
      <c r="EE819"/>
      <c r="EF819"/>
      <c r="EG819"/>
      <c r="EH819"/>
      <c r="EI819"/>
      <c r="EJ819"/>
      <c r="EK819"/>
      <c r="EL819"/>
      <c r="EM819"/>
      <c r="EN819"/>
      <c r="EO819"/>
      <c r="EP819"/>
      <c r="EQ819"/>
      <c r="ER819"/>
      <c r="ES819"/>
      <c r="ET819"/>
      <c r="EU819"/>
      <c r="EV819"/>
      <c r="EW819"/>
      <c r="EX819"/>
      <c r="EY819"/>
      <c r="EZ819"/>
      <c r="FA819"/>
      <c r="FB819"/>
      <c r="FC819"/>
      <c r="FD819"/>
      <c r="FE819"/>
      <c r="FF819"/>
      <c r="FG819"/>
      <c r="FH819"/>
      <c r="FI819"/>
      <c r="FJ819"/>
      <c r="FK819"/>
      <c r="FL819"/>
      <c r="FM819"/>
      <c r="FN819"/>
      <c r="FO819"/>
      <c r="FP819"/>
      <c r="FQ819"/>
      <c r="FR819"/>
      <c r="FS819"/>
      <c r="FT819"/>
      <c r="FU819"/>
      <c r="FV819"/>
      <c r="FW819"/>
      <c r="FX819"/>
      <c r="FY819"/>
      <c r="FZ819"/>
      <c r="GA819"/>
      <c r="GB819"/>
      <c r="GC819"/>
      <c r="GD819"/>
      <c r="GE819"/>
      <c r="GF819"/>
      <c r="GG819"/>
      <c r="GH819"/>
      <c r="GI819"/>
      <c r="GJ819"/>
      <c r="GK819"/>
      <c r="GL819"/>
      <c r="GM819"/>
      <c r="GN819"/>
      <c r="GO819"/>
      <c r="GP819"/>
      <c r="GQ819"/>
      <c r="GR819"/>
      <c r="GS819"/>
      <c r="GT819"/>
      <c r="GU819"/>
      <c r="GV819"/>
      <c r="GW819"/>
      <c r="GX819"/>
      <c r="GY819"/>
      <c r="GZ819"/>
      <c r="HA819"/>
      <c r="HB819"/>
      <c r="HC819"/>
      <c r="HD819"/>
      <c r="HE819"/>
      <c r="HF819"/>
      <c r="HG819"/>
      <c r="HH819"/>
      <c r="HI819"/>
      <c r="HJ819"/>
      <c r="HK819"/>
      <c r="HL819"/>
      <c r="HM819"/>
      <c r="HN819"/>
      <c r="HO819"/>
      <c r="HP819"/>
      <c r="HQ819"/>
      <c r="HR819"/>
      <c r="HS819"/>
      <c r="HT819"/>
      <c r="HU819"/>
      <c r="HV819"/>
      <c r="HW819"/>
      <c r="HX819"/>
      <c r="HY819"/>
      <c r="HZ819"/>
      <c r="IA819"/>
      <c r="IB819"/>
      <c r="IC819"/>
      <c r="ID819"/>
      <c r="IE819"/>
      <c r="IF819"/>
      <c r="IG819"/>
      <c r="IH819"/>
      <c r="II819"/>
      <c r="IJ819"/>
      <c r="IK819"/>
      <c r="IL819"/>
      <c r="IM819"/>
      <c r="IN819"/>
      <c r="IO819"/>
      <c r="IP819"/>
      <c r="IQ819"/>
      <c r="IR819"/>
      <c r="IS819"/>
      <c r="IT819"/>
      <c r="IU819"/>
      <c r="IV819"/>
      <c r="IW819"/>
      <c r="IX819"/>
      <c r="IY819"/>
      <c r="IZ819"/>
      <c r="JA819"/>
      <c r="JB819"/>
      <c r="JC819"/>
      <c r="JD819"/>
      <c r="JE819"/>
      <c r="JF819"/>
      <c r="JG819"/>
      <c r="JH819"/>
      <c r="JI819"/>
      <c r="JJ819"/>
      <c r="JK819"/>
      <c r="JL819"/>
      <c r="JM819"/>
      <c r="JN819"/>
      <c r="JO819"/>
      <c r="JP819"/>
      <c r="JQ819"/>
      <c r="JR819"/>
      <c r="JS819"/>
      <c r="JT819"/>
      <c r="JU819"/>
      <c r="JV819"/>
      <c r="JW819"/>
      <c r="JX819"/>
      <c r="JY819"/>
      <c r="JZ819"/>
      <c r="KA819"/>
      <c r="KB819"/>
      <c r="KC819"/>
      <c r="KD819"/>
      <c r="KE819"/>
      <c r="KF819"/>
      <c r="KG819"/>
      <c r="KH819"/>
      <c r="KI819"/>
      <c r="KJ819"/>
      <c r="KK819"/>
      <c r="KL819"/>
      <c r="KM819"/>
      <c r="KN819"/>
      <c r="KO819"/>
      <c r="KP819"/>
      <c r="KQ819"/>
      <c r="KR819"/>
      <c r="KS819"/>
      <c r="KT819"/>
      <c r="KU819"/>
      <c r="KV819"/>
      <c r="KW819"/>
      <c r="KX819"/>
      <c r="KY819"/>
      <c r="KZ819"/>
      <c r="LA819"/>
      <c r="LB819"/>
      <c r="LC819"/>
      <c r="LD819"/>
      <c r="LE819"/>
      <c r="LF819"/>
      <c r="LG819"/>
      <c r="LH819"/>
      <c r="LI819"/>
      <c r="LJ819"/>
      <c r="LK819"/>
      <c r="LL819"/>
      <c r="LM819"/>
      <c r="LN819"/>
      <c r="LO819"/>
      <c r="LP819"/>
      <c r="LQ819"/>
      <c r="LR819"/>
      <c r="LS819"/>
      <c r="LT819"/>
      <c r="LU819"/>
      <c r="LV819"/>
      <c r="LW819"/>
      <c r="LX819"/>
      <c r="LY819"/>
      <c r="LZ819"/>
      <c r="MA819"/>
      <c r="MB819"/>
      <c r="MC819"/>
      <c r="MD819"/>
      <c r="ME819"/>
      <c r="MF819"/>
      <c r="MG819"/>
      <c r="MH819"/>
      <c r="MI819"/>
      <c r="MJ819"/>
      <c r="MK819"/>
      <c r="ML819"/>
      <c r="MM819"/>
      <c r="MN819"/>
      <c r="MO819"/>
      <c r="MP819"/>
      <c r="MQ819"/>
      <c r="MR819"/>
      <c r="MS819"/>
      <c r="MT819"/>
      <c r="MU819"/>
      <c r="MV819"/>
      <c r="MW819"/>
      <c r="MX819"/>
      <c r="MY819"/>
      <c r="MZ819"/>
      <c r="NA819"/>
      <c r="NB819"/>
      <c r="NC819"/>
      <c r="ND819"/>
      <c r="NE819"/>
      <c r="NF819"/>
      <c r="NG819"/>
      <c r="NH819"/>
      <c r="NI819"/>
      <c r="NJ819"/>
      <c r="NK819"/>
      <c r="NL819"/>
      <c r="NM819"/>
      <c r="NN819"/>
      <c r="NO819"/>
      <c r="NP819"/>
      <c r="NQ819"/>
      <c r="NR819"/>
      <c r="NS819"/>
      <c r="NT819"/>
      <c r="NU819"/>
      <c r="NV819"/>
      <c r="NW819"/>
      <c r="NX819"/>
      <c r="NY819"/>
      <c r="NZ819"/>
      <c r="OA819"/>
      <c r="OB819"/>
      <c r="OC819"/>
      <c r="OD819"/>
      <c r="OE819"/>
      <c r="OF819"/>
      <c r="OG819"/>
      <c r="OH819"/>
      <c r="OI819"/>
      <c r="OJ819"/>
      <c r="OK819"/>
      <c r="OL819"/>
      <c r="OM819"/>
      <c r="ON819"/>
      <c r="OO819"/>
      <c r="OP819"/>
      <c r="OQ819"/>
      <c r="OR819"/>
      <c r="OS819"/>
      <c r="OT819"/>
      <c r="OU819"/>
      <c r="OV819"/>
      <c r="OW819"/>
      <c r="OX819"/>
      <c r="OY819"/>
      <c r="OZ819"/>
      <c r="PA819"/>
      <c r="PB819"/>
      <c r="PC819"/>
      <c r="PD819"/>
      <c r="PE819"/>
      <c r="PF819"/>
      <c r="PG819"/>
      <c r="PH819"/>
      <c r="PI819"/>
      <c r="PJ819"/>
      <c r="PK819"/>
      <c r="PL819"/>
      <c r="PM819"/>
      <c r="PN819"/>
      <c r="PO819"/>
      <c r="PP819"/>
      <c r="PQ819"/>
      <c r="PR819"/>
      <c r="PS819"/>
      <c r="PT819"/>
      <c r="PU819"/>
      <c r="PV819"/>
      <c r="PW819"/>
      <c r="PX819"/>
      <c r="PY819"/>
      <c r="PZ819"/>
      <c r="QA819"/>
      <c r="QB819"/>
      <c r="QC819"/>
      <c r="QD819"/>
      <c r="QE819"/>
      <c r="QF819"/>
      <c r="QG819"/>
      <c r="QH819"/>
      <c r="QI819"/>
      <c r="QJ819"/>
      <c r="QK819"/>
      <c r="QL819"/>
      <c r="QM819"/>
      <c r="QN819"/>
      <c r="QO819"/>
      <c r="QP819"/>
      <c r="QQ819"/>
      <c r="QR819"/>
      <c r="QS819"/>
      <c r="QT819"/>
      <c r="QU819"/>
      <c r="QV819"/>
      <c r="QW819"/>
      <c r="QX819"/>
      <c r="QY819"/>
      <c r="QZ819"/>
      <c r="RA819"/>
      <c r="RB819"/>
      <c r="RC819"/>
      <c r="RD819"/>
      <c r="RE819"/>
      <c r="RF819"/>
      <c r="RG819"/>
      <c r="RH819"/>
      <c r="RI819"/>
      <c r="RJ819"/>
      <c r="RK819"/>
      <c r="RL819"/>
      <c r="RM819"/>
      <c r="RN819"/>
      <c r="RO819"/>
      <c r="RP819"/>
      <c r="RQ819"/>
      <c r="RR819"/>
      <c r="RS819"/>
      <c r="RT819"/>
      <c r="RU819"/>
      <c r="RV819"/>
      <c r="RW819"/>
      <c r="RX819"/>
      <c r="RY819"/>
      <c r="RZ819"/>
      <c r="SA819"/>
      <c r="SB819"/>
      <c r="SC819"/>
      <c r="SD819"/>
      <c r="SE819"/>
      <c r="SF819"/>
      <c r="SG819"/>
      <c r="SH819"/>
      <c r="SI819"/>
      <c r="SJ819"/>
      <c r="SK819"/>
      <c r="SL819"/>
      <c r="SM819"/>
      <c r="SN819"/>
      <c r="SO819"/>
      <c r="SP819"/>
      <c r="SQ819"/>
      <c r="SR819"/>
      <c r="SS819"/>
      <c r="ST819"/>
      <c r="SU819"/>
      <c r="SV819"/>
      <c r="SW819"/>
      <c r="SX819"/>
      <c r="SY819"/>
      <c r="SZ819"/>
      <c r="TA819"/>
      <c r="TB819"/>
      <c r="TC819"/>
      <c r="TD819"/>
      <c r="TE819"/>
      <c r="TF819"/>
      <c r="TG819"/>
      <c r="TH819"/>
      <c r="TI819"/>
      <c r="TJ819"/>
      <c r="TK819"/>
      <c r="TL819"/>
      <c r="TM819"/>
      <c r="TN819"/>
      <c r="TO819"/>
      <c r="TP819"/>
      <c r="TQ819"/>
      <c r="TR819"/>
      <c r="TS819"/>
      <c r="TT819"/>
      <c r="TU819"/>
      <c r="TV819"/>
      <c r="TW819"/>
      <c r="TX819"/>
      <c r="TY819"/>
      <c r="TZ819"/>
      <c r="UA819"/>
      <c r="UB819"/>
      <c r="UC819"/>
      <c r="UD819"/>
      <c r="UE819"/>
      <c r="UF819"/>
      <c r="UG819"/>
      <c r="UH819"/>
      <c r="UI819"/>
      <c r="UJ819"/>
      <c r="UK819"/>
      <c r="UL819"/>
      <c r="UM819"/>
      <c r="UN819"/>
      <c r="UO819"/>
      <c r="UP819"/>
      <c r="UQ819"/>
      <c r="UR819"/>
      <c r="US819"/>
      <c r="UT819"/>
      <c r="UU819"/>
      <c r="UV819"/>
      <c r="UW819"/>
      <c r="UX819"/>
      <c r="UY819"/>
      <c r="UZ819"/>
      <c r="VA819"/>
      <c r="VB819"/>
      <c r="VC819"/>
      <c r="VD819"/>
      <c r="VE819"/>
      <c r="VF819"/>
      <c r="VG819"/>
      <c r="VH819"/>
      <c r="VI819"/>
      <c r="VJ819"/>
      <c r="VK819"/>
      <c r="VL819"/>
      <c r="VM819"/>
      <c r="VN819"/>
      <c r="VO819"/>
      <c r="VP819"/>
      <c r="VQ819"/>
      <c r="VR819"/>
      <c r="VS819"/>
      <c r="VT819"/>
      <c r="VU819"/>
      <c r="VV819"/>
      <c r="VW819"/>
      <c r="VX819"/>
      <c r="VY819"/>
      <c r="VZ819"/>
      <c r="WA819"/>
      <c r="WB819"/>
      <c r="WC819"/>
      <c r="WD819"/>
      <c r="WE819"/>
      <c r="WF819"/>
      <c r="WG819"/>
      <c r="WH819"/>
      <c r="WI819"/>
      <c r="WJ819"/>
      <c r="WK819"/>
      <c r="WL819"/>
      <c r="WM819"/>
      <c r="WN819"/>
      <c r="WO819"/>
      <c r="WP819"/>
      <c r="WQ819"/>
      <c r="WR819"/>
      <c r="WS819"/>
      <c r="WT819"/>
      <c r="WU819"/>
      <c r="WV819"/>
      <c r="WW819"/>
      <c r="WX819"/>
      <c r="WY819"/>
      <c r="WZ819"/>
      <c r="XA819"/>
      <c r="XB819"/>
      <c r="XC819"/>
      <c r="XD819"/>
      <c r="XE819"/>
      <c r="XF819"/>
      <c r="XG819"/>
      <c r="XH819"/>
      <c r="XI819"/>
      <c r="XJ819"/>
      <c r="XK819"/>
      <c r="XL819"/>
      <c r="XM819"/>
      <c r="XN819"/>
      <c r="XO819"/>
      <c r="XP819"/>
      <c r="XQ819"/>
      <c r="XR819"/>
      <c r="XS819"/>
      <c r="XT819"/>
      <c r="XU819"/>
      <c r="XV819"/>
      <c r="XW819"/>
      <c r="XX819"/>
      <c r="XY819"/>
      <c r="XZ819"/>
      <c r="YA819"/>
      <c r="YB819"/>
      <c r="YC819"/>
      <c r="YD819"/>
      <c r="YE819"/>
      <c r="YF819"/>
      <c r="YG819"/>
      <c r="YH819"/>
      <c r="YI819"/>
      <c r="YJ819"/>
      <c r="YK819"/>
      <c r="YL819"/>
      <c r="YM819"/>
      <c r="YN819"/>
      <c r="YO819"/>
      <c r="YP819"/>
      <c r="YQ819"/>
      <c r="YR819"/>
      <c r="YS819"/>
      <c r="YT819"/>
      <c r="YU819"/>
      <c r="YV819"/>
      <c r="YW819"/>
      <c r="YX819"/>
      <c r="YY819"/>
      <c r="YZ819"/>
      <c r="ZA819"/>
      <c r="ZB819"/>
      <c r="ZC819"/>
      <c r="ZD819"/>
      <c r="ZE819"/>
      <c r="ZF819"/>
      <c r="ZG819"/>
      <c r="ZH819"/>
      <c r="ZI819"/>
      <c r="ZJ819"/>
      <c r="ZK819"/>
      <c r="ZL819"/>
      <c r="ZM819"/>
      <c r="ZN819"/>
      <c r="ZO819"/>
      <c r="ZP819"/>
      <c r="ZQ819"/>
      <c r="ZR819"/>
      <c r="ZS819"/>
      <c r="ZT819"/>
      <c r="ZU819"/>
      <c r="ZV819"/>
      <c r="ZW819"/>
      <c r="ZX819"/>
      <c r="ZY819"/>
      <c r="ZZ819"/>
      <c r="AAA819"/>
      <c r="AAB819"/>
      <c r="AAC819"/>
      <c r="AAD819"/>
      <c r="AAE819"/>
      <c r="AAF819"/>
      <c r="AAG819"/>
      <c r="AAH819"/>
      <c r="AAI819"/>
      <c r="AAJ819"/>
      <c r="AAK819"/>
      <c r="AAL819"/>
      <c r="AAM819"/>
      <c r="AAN819"/>
      <c r="AAO819"/>
      <c r="AAP819"/>
      <c r="AAQ819"/>
      <c r="AAR819"/>
      <c r="AAS819"/>
      <c r="AAT819"/>
      <c r="AAU819"/>
      <c r="AAV819"/>
      <c r="AAW819"/>
      <c r="AAX819"/>
      <c r="AAY819"/>
      <c r="AAZ819"/>
      <c r="ABA819"/>
      <c r="ABB819"/>
      <c r="ABC819"/>
      <c r="ABD819"/>
      <c r="ABE819"/>
      <c r="ABF819"/>
      <c r="ABG819"/>
      <c r="ABH819"/>
      <c r="ABI819"/>
      <c r="ABJ819"/>
      <c r="ABK819"/>
      <c r="ABL819"/>
      <c r="ABM819"/>
      <c r="ABN819"/>
      <c r="ABO819"/>
      <c r="ABP819"/>
      <c r="ABQ819"/>
      <c r="ABR819"/>
      <c r="ABS819"/>
      <c r="ABT819"/>
      <c r="ABU819"/>
      <c r="ABV819"/>
      <c r="ABW819"/>
      <c r="ABX819"/>
      <c r="ABY819"/>
      <c r="ABZ819"/>
      <c r="ACA819"/>
      <c r="ACB819"/>
      <c r="ACC819"/>
      <c r="ACD819"/>
      <c r="ACE819"/>
      <c r="ACF819"/>
      <c r="ACG819"/>
      <c r="ACH819"/>
      <c r="ACI819"/>
      <c r="ACJ819"/>
      <c r="ACK819"/>
      <c r="ACL819"/>
      <c r="ACM819"/>
      <c r="ACN819"/>
      <c r="ACO819"/>
      <c r="ACP819"/>
      <c r="ACQ819"/>
      <c r="ACR819"/>
      <c r="ACS819"/>
      <c r="ACT819"/>
      <c r="ACU819"/>
      <c r="ACV819"/>
      <c r="ACW819"/>
      <c r="ACX819"/>
      <c r="ACY819"/>
      <c r="ACZ819"/>
      <c r="ADA819"/>
      <c r="ADB819"/>
      <c r="ADC819"/>
      <c r="ADD819"/>
      <c r="ADE819"/>
      <c r="ADF819"/>
      <c r="ADG819"/>
      <c r="ADH819"/>
      <c r="ADI819"/>
      <c r="ADJ819"/>
      <c r="ADK819"/>
      <c r="ADL819"/>
      <c r="ADM819"/>
      <c r="ADN819"/>
      <c r="ADO819"/>
      <c r="ADP819"/>
      <c r="ADQ819"/>
      <c r="ADR819"/>
      <c r="ADS819"/>
      <c r="ADT819"/>
      <c r="ADU819"/>
      <c r="ADV819"/>
      <c r="ADW819"/>
      <c r="ADX819"/>
      <c r="ADY819"/>
      <c r="ADZ819"/>
      <c r="AEA819"/>
      <c r="AEB819"/>
      <c r="AEC819"/>
      <c r="AED819"/>
      <c r="AEE819"/>
      <c r="AEF819"/>
      <c r="AEG819"/>
      <c r="AEH819"/>
      <c r="AEI819"/>
      <c r="AEJ819"/>
      <c r="AEK819"/>
      <c r="AEL819"/>
      <c r="AEM819"/>
      <c r="AEN819"/>
      <c r="AEO819"/>
      <c r="AEP819"/>
      <c r="AEQ819"/>
      <c r="AER819"/>
      <c r="AES819"/>
      <c r="AET819"/>
      <c r="AEU819"/>
      <c r="AEV819"/>
      <c r="AEW819"/>
      <c r="AEX819"/>
      <c r="AEY819"/>
      <c r="AEZ819"/>
      <c r="AFA819"/>
      <c r="AFB819"/>
      <c r="AFC819"/>
      <c r="AFD819"/>
      <c r="AFE819"/>
      <c r="AFF819"/>
      <c r="AFG819"/>
      <c r="AFH819"/>
      <c r="AFI819"/>
      <c r="AFJ819"/>
      <c r="AFK819"/>
      <c r="AFL819"/>
      <c r="AFM819"/>
      <c r="AFN819"/>
      <c r="AFO819"/>
      <c r="AFP819"/>
      <c r="AFQ819"/>
      <c r="AFR819"/>
      <c r="AFS819"/>
      <c r="AFT819"/>
      <c r="AFU819"/>
      <c r="AFV819"/>
      <c r="AFW819"/>
      <c r="AFX819"/>
      <c r="AFY819"/>
      <c r="AFZ819"/>
      <c r="AGA819"/>
      <c r="AGB819"/>
      <c r="AGC819"/>
      <c r="AGD819"/>
      <c r="AGE819"/>
      <c r="AGF819"/>
      <c r="AGG819"/>
      <c r="AGH819"/>
      <c r="AGI819"/>
      <c r="AGJ819"/>
      <c r="AGK819"/>
      <c r="AGL819"/>
      <c r="AGM819"/>
      <c r="AGN819"/>
      <c r="AGO819"/>
      <c r="AGP819"/>
      <c r="AGQ819"/>
      <c r="AGR819"/>
      <c r="AGS819"/>
      <c r="AGT819"/>
      <c r="AGU819"/>
      <c r="AGV819"/>
      <c r="AGW819"/>
      <c r="AGX819"/>
      <c r="AGY819"/>
      <c r="AGZ819"/>
      <c r="AHA819"/>
      <c r="AHB819"/>
      <c r="AHC819"/>
      <c r="AHD819"/>
      <c r="AHE819"/>
      <c r="AHF819"/>
      <c r="AHG819"/>
      <c r="AHH819"/>
      <c r="AHI819"/>
      <c r="AHJ819"/>
      <c r="AHK819"/>
      <c r="AHL819"/>
      <c r="AHM819"/>
      <c r="AHN819"/>
      <c r="AHO819"/>
      <c r="AHP819"/>
      <c r="AHQ819"/>
      <c r="AHR819"/>
      <c r="AHS819"/>
      <c r="AHT819"/>
      <c r="AHU819"/>
      <c r="AHV819"/>
      <c r="AHW819"/>
      <c r="AHX819"/>
      <c r="AHY819"/>
      <c r="AHZ819"/>
      <c r="AIA819"/>
      <c r="AIB819"/>
      <c r="AIC819"/>
      <c r="AID819"/>
      <c r="AIE819"/>
      <c r="AIF819"/>
      <c r="AIG819"/>
      <c r="AIH819"/>
      <c r="AII819"/>
      <c r="AIJ819"/>
      <c r="AIK819"/>
      <c r="AIL819"/>
      <c r="AIM819"/>
      <c r="AIN819"/>
      <c r="AIO819"/>
      <c r="AIP819"/>
      <c r="AIQ819"/>
      <c r="AIR819"/>
      <c r="AIS819"/>
      <c r="AIT819"/>
      <c r="AIU819"/>
      <c r="AIV819"/>
      <c r="AIW819"/>
      <c r="AIX819"/>
      <c r="AIY819"/>
      <c r="AIZ819"/>
      <c r="AJA819"/>
      <c r="AJB819"/>
      <c r="AJC819"/>
      <c r="AJD819"/>
      <c r="AJE819"/>
      <c r="AJF819"/>
      <c r="AJG819"/>
      <c r="AJH819"/>
      <c r="AJI819"/>
      <c r="AJJ819"/>
      <c r="AJK819"/>
      <c r="AJL819"/>
      <c r="AJM819"/>
      <c r="AJN819"/>
      <c r="AJO819"/>
      <c r="AJP819"/>
      <c r="AJQ819"/>
      <c r="AJR819"/>
      <c r="AJS819"/>
      <c r="AJT819"/>
      <c r="AJU819"/>
      <c r="AJV819"/>
      <c r="AJW819"/>
      <c r="AJX819"/>
      <c r="AJY819"/>
      <c r="AJZ819"/>
      <c r="AKA819"/>
      <c r="AKB819"/>
      <c r="AKC819"/>
      <c r="AKD819"/>
      <c r="AKE819"/>
      <c r="AKF819"/>
      <c r="AKG819"/>
      <c r="AKH819"/>
      <c r="AKI819"/>
      <c r="AKJ819"/>
      <c r="AKK819"/>
      <c r="AKL819"/>
      <c r="AKM819"/>
      <c r="AKN819"/>
      <c r="AKO819"/>
      <c r="AKP819"/>
      <c r="AKQ819"/>
      <c r="AKR819"/>
      <c r="AKS819"/>
      <c r="AKT819"/>
      <c r="AKU819"/>
      <c r="AKV819"/>
      <c r="AKW819"/>
      <c r="AKX819"/>
      <c r="AKY819"/>
      <c r="AKZ819"/>
      <c r="ALA819"/>
      <c r="ALB819"/>
      <c r="ALC819"/>
      <c r="ALD819"/>
      <c r="ALE819"/>
      <c r="ALF819"/>
      <c r="ALG819"/>
      <c r="ALH819"/>
      <c r="ALI819"/>
      <c r="ALJ819"/>
      <c r="ALK819"/>
      <c r="ALL819"/>
      <c r="ALM819"/>
      <c r="ALN819"/>
      <c r="ALO819"/>
      <c r="ALP819"/>
      <c r="ALQ819"/>
      <c r="ALR819"/>
      <c r="ALS819"/>
      <c r="ALT819"/>
    </row>
    <row r="820" spans="1:1008" ht="14">
      <c r="A820" s="24" t="s">
        <v>2825</v>
      </c>
      <c r="B820" s="25" t="s">
        <v>2823</v>
      </c>
      <c r="C820" s="24" t="str">
        <f t="shared" si="13"/>
        <v>antibody</v>
      </c>
      <c r="D820" s="26" t="s">
        <v>12</v>
      </c>
      <c r="E820" s="24" t="s">
        <v>2826</v>
      </c>
      <c r="F820" s="24" t="s">
        <v>2827</v>
      </c>
      <c r="G820" s="24">
        <v>500</v>
      </c>
      <c r="H820" s="27"/>
      <c r="I820"/>
      <c r="J820"/>
      <c r="K820"/>
      <c r="L820"/>
      <c r="M820"/>
      <c r="N820"/>
      <c r="O820"/>
      <c r="P820"/>
      <c r="Q820"/>
      <c r="R820"/>
      <c r="S820"/>
      <c r="T820"/>
      <c r="U820"/>
      <c r="V820"/>
      <c r="W820"/>
      <c r="X820"/>
      <c r="Y820"/>
      <c r="Z820"/>
      <c r="AA820"/>
      <c r="AB820"/>
      <c r="AC820"/>
      <c r="AD820"/>
      <c r="AE820"/>
      <c r="AF820"/>
      <c r="AG820"/>
      <c r="AH820"/>
      <c r="AI820"/>
      <c r="AJ820"/>
      <c r="AK820"/>
      <c r="AL820"/>
      <c r="AM820"/>
      <c r="AN820"/>
      <c r="AO820"/>
      <c r="AP820"/>
      <c r="AQ820"/>
      <c r="AR820"/>
      <c r="AS820"/>
      <c r="AT820"/>
      <c r="AU820"/>
      <c r="AV820"/>
      <c r="AW820"/>
      <c r="AX820"/>
      <c r="AY820"/>
      <c r="AZ820"/>
      <c r="BA820"/>
      <c r="BB820"/>
      <c r="BC820"/>
      <c r="BD820"/>
      <c r="BE820"/>
      <c r="BF820"/>
      <c r="BG820"/>
      <c r="BH820"/>
      <c r="BI820"/>
      <c r="BJ820"/>
      <c r="BK820"/>
      <c r="BL820"/>
      <c r="BM820"/>
      <c r="BN820"/>
      <c r="BO820"/>
      <c r="BP820"/>
      <c r="BQ820"/>
      <c r="BR820"/>
      <c r="BS820"/>
      <c r="BT820"/>
      <c r="BU820"/>
      <c r="BV820"/>
      <c r="BW820"/>
      <c r="BX820"/>
      <c r="BY820"/>
      <c r="BZ820"/>
      <c r="CA820"/>
      <c r="CB820"/>
      <c r="CC820"/>
      <c r="CD820"/>
      <c r="CE820"/>
      <c r="CF820"/>
      <c r="CG820"/>
      <c r="CH820"/>
      <c r="CI820"/>
      <c r="CJ820"/>
      <c r="CK820"/>
      <c r="CL820"/>
      <c r="CM820"/>
      <c r="CN820"/>
      <c r="CO820"/>
      <c r="CP820"/>
      <c r="CQ820"/>
      <c r="CR820"/>
      <c r="CS820"/>
      <c r="CT820"/>
      <c r="CU820"/>
      <c r="CV820"/>
      <c r="CW820"/>
      <c r="CX820"/>
      <c r="CY820"/>
      <c r="CZ820"/>
      <c r="DA820"/>
      <c r="DB820"/>
      <c r="DC820"/>
      <c r="DD820"/>
      <c r="DE820"/>
      <c r="DF820"/>
      <c r="DG820"/>
      <c r="DH820"/>
      <c r="DI820"/>
      <c r="DJ820"/>
      <c r="DK820"/>
      <c r="DL820"/>
      <c r="DM820"/>
      <c r="DN820"/>
      <c r="DO820"/>
      <c r="DP820"/>
      <c r="DQ820"/>
      <c r="DR820"/>
      <c r="DS820"/>
      <c r="DT820"/>
      <c r="DU820"/>
      <c r="DV820"/>
      <c r="DW820"/>
      <c r="DX820"/>
      <c r="DY820"/>
      <c r="DZ820"/>
      <c r="EA820"/>
      <c r="EB820"/>
      <c r="EC820"/>
      <c r="ED820"/>
      <c r="EE820"/>
      <c r="EF820"/>
      <c r="EG820"/>
      <c r="EH820"/>
      <c r="EI820"/>
      <c r="EJ820"/>
      <c r="EK820"/>
      <c r="EL820"/>
      <c r="EM820"/>
      <c r="EN820"/>
      <c r="EO820"/>
      <c r="EP820"/>
      <c r="EQ820"/>
      <c r="ER820"/>
      <c r="ES820"/>
      <c r="ET820"/>
      <c r="EU820"/>
      <c r="EV820"/>
      <c r="EW820"/>
      <c r="EX820"/>
      <c r="EY820"/>
      <c r="EZ820"/>
      <c r="FA820"/>
      <c r="FB820"/>
      <c r="FC820"/>
      <c r="FD820"/>
      <c r="FE820"/>
      <c r="FF820"/>
      <c r="FG820"/>
      <c r="FH820"/>
      <c r="FI820"/>
      <c r="FJ820"/>
      <c r="FK820"/>
      <c r="FL820"/>
      <c r="FM820"/>
      <c r="FN820"/>
      <c r="FO820"/>
      <c r="FP820"/>
      <c r="FQ820"/>
      <c r="FR820"/>
      <c r="FS820"/>
      <c r="FT820"/>
      <c r="FU820"/>
      <c r="FV820"/>
      <c r="FW820"/>
      <c r="FX820"/>
      <c r="FY820"/>
      <c r="FZ820"/>
      <c r="GA820"/>
      <c r="GB820"/>
      <c r="GC820"/>
      <c r="GD820"/>
      <c r="GE820"/>
      <c r="GF820"/>
      <c r="GG820"/>
      <c r="GH820"/>
      <c r="GI820"/>
      <c r="GJ820"/>
      <c r="GK820"/>
      <c r="GL820"/>
      <c r="GM820"/>
      <c r="GN820"/>
      <c r="GO820"/>
      <c r="GP820"/>
      <c r="GQ820"/>
      <c r="GR820"/>
      <c r="GS820"/>
      <c r="GT820"/>
      <c r="GU820"/>
      <c r="GV820"/>
      <c r="GW820"/>
      <c r="GX820"/>
      <c r="GY820"/>
      <c r="GZ820"/>
      <c r="HA820"/>
      <c r="HB820"/>
      <c r="HC820"/>
      <c r="HD820"/>
      <c r="HE820"/>
      <c r="HF820"/>
      <c r="HG820"/>
      <c r="HH820"/>
      <c r="HI820"/>
      <c r="HJ820"/>
      <c r="HK820"/>
      <c r="HL820"/>
      <c r="HM820"/>
      <c r="HN820"/>
      <c r="HO820"/>
      <c r="HP820"/>
      <c r="HQ820"/>
      <c r="HR820"/>
      <c r="HS820"/>
      <c r="HT820"/>
      <c r="HU820"/>
      <c r="HV820"/>
      <c r="HW820"/>
      <c r="HX820"/>
      <c r="HY820"/>
      <c r="HZ820"/>
      <c r="IA820"/>
      <c r="IB820"/>
      <c r="IC820"/>
      <c r="ID820"/>
      <c r="IE820"/>
      <c r="IF820"/>
      <c r="IG820"/>
      <c r="IH820"/>
      <c r="II820"/>
      <c r="IJ820"/>
      <c r="IK820"/>
      <c r="IL820"/>
      <c r="IM820"/>
      <c r="IN820"/>
      <c r="IO820"/>
      <c r="IP820"/>
      <c r="IQ820"/>
      <c r="IR820"/>
      <c r="IS820"/>
      <c r="IT820"/>
      <c r="IU820"/>
      <c r="IV820"/>
      <c r="IW820"/>
      <c r="IX820"/>
      <c r="IY820"/>
      <c r="IZ820"/>
      <c r="JA820"/>
      <c r="JB820"/>
      <c r="JC820"/>
      <c r="JD820"/>
      <c r="JE820"/>
      <c r="JF820"/>
      <c r="JG820"/>
      <c r="JH820"/>
      <c r="JI820"/>
      <c r="JJ820"/>
      <c r="JK820"/>
      <c r="JL820"/>
      <c r="JM820"/>
      <c r="JN820"/>
      <c r="JO820"/>
      <c r="JP820"/>
      <c r="JQ820"/>
      <c r="JR820"/>
      <c r="JS820"/>
      <c r="JT820"/>
      <c r="JU820"/>
      <c r="JV820"/>
      <c r="JW820"/>
      <c r="JX820"/>
      <c r="JY820"/>
      <c r="JZ820"/>
      <c r="KA820"/>
      <c r="KB820"/>
      <c r="KC820"/>
      <c r="KD820"/>
      <c r="KE820"/>
      <c r="KF820"/>
      <c r="KG820"/>
      <c r="KH820"/>
      <c r="KI820"/>
      <c r="KJ820"/>
      <c r="KK820"/>
      <c r="KL820"/>
      <c r="KM820"/>
      <c r="KN820"/>
      <c r="KO820"/>
      <c r="KP820"/>
      <c r="KQ820"/>
      <c r="KR820"/>
      <c r="KS820"/>
      <c r="KT820"/>
      <c r="KU820"/>
      <c r="KV820"/>
      <c r="KW820"/>
      <c r="KX820"/>
      <c r="KY820"/>
      <c r="KZ820"/>
      <c r="LA820"/>
      <c r="LB820"/>
      <c r="LC820"/>
      <c r="LD820"/>
      <c r="LE820"/>
      <c r="LF820"/>
      <c r="LG820"/>
      <c r="LH820"/>
      <c r="LI820"/>
      <c r="LJ820"/>
      <c r="LK820"/>
      <c r="LL820"/>
      <c r="LM820"/>
      <c r="LN820"/>
      <c r="LO820"/>
      <c r="LP820"/>
      <c r="LQ820"/>
      <c r="LR820"/>
      <c r="LS820"/>
      <c r="LT820"/>
      <c r="LU820"/>
      <c r="LV820"/>
      <c r="LW820"/>
      <c r="LX820"/>
      <c r="LY820"/>
      <c r="LZ820"/>
      <c r="MA820"/>
      <c r="MB820"/>
      <c r="MC820"/>
      <c r="MD820"/>
      <c r="ME820"/>
      <c r="MF820"/>
      <c r="MG820"/>
      <c r="MH820"/>
      <c r="MI820"/>
      <c r="MJ820"/>
      <c r="MK820"/>
      <c r="ML820"/>
      <c r="MM820"/>
      <c r="MN820"/>
      <c r="MO820"/>
      <c r="MP820"/>
      <c r="MQ820"/>
      <c r="MR820"/>
      <c r="MS820"/>
      <c r="MT820"/>
      <c r="MU820"/>
      <c r="MV820"/>
      <c r="MW820"/>
      <c r="MX820"/>
      <c r="MY820"/>
      <c r="MZ820"/>
      <c r="NA820"/>
      <c r="NB820"/>
      <c r="NC820"/>
      <c r="ND820"/>
      <c r="NE820"/>
      <c r="NF820"/>
      <c r="NG820"/>
      <c r="NH820"/>
      <c r="NI820"/>
      <c r="NJ820"/>
      <c r="NK820"/>
      <c r="NL820"/>
      <c r="NM820"/>
      <c r="NN820"/>
      <c r="NO820"/>
      <c r="NP820"/>
      <c r="NQ820"/>
      <c r="NR820"/>
      <c r="NS820"/>
      <c r="NT820"/>
      <c r="NU820"/>
      <c r="NV820"/>
      <c r="NW820"/>
      <c r="NX820"/>
      <c r="NY820"/>
      <c r="NZ820"/>
      <c r="OA820"/>
      <c r="OB820"/>
      <c r="OC820"/>
      <c r="OD820"/>
      <c r="OE820"/>
      <c r="OF820"/>
      <c r="OG820"/>
      <c r="OH820"/>
      <c r="OI820"/>
      <c r="OJ820"/>
      <c r="OK820"/>
      <c r="OL820"/>
      <c r="OM820"/>
      <c r="ON820"/>
      <c r="OO820"/>
      <c r="OP820"/>
      <c r="OQ820"/>
      <c r="OR820"/>
      <c r="OS820"/>
      <c r="OT820"/>
      <c r="OU820"/>
      <c r="OV820"/>
      <c r="OW820"/>
      <c r="OX820"/>
      <c r="OY820"/>
      <c r="OZ820"/>
      <c r="PA820"/>
      <c r="PB820"/>
      <c r="PC820"/>
      <c r="PD820"/>
      <c r="PE820"/>
      <c r="PF820"/>
      <c r="PG820"/>
      <c r="PH820"/>
      <c r="PI820"/>
      <c r="PJ820"/>
      <c r="PK820"/>
      <c r="PL820"/>
      <c r="PM820"/>
      <c r="PN820"/>
      <c r="PO820"/>
      <c r="PP820"/>
      <c r="PQ820"/>
      <c r="PR820"/>
      <c r="PS820"/>
      <c r="PT820"/>
      <c r="PU820"/>
      <c r="PV820"/>
      <c r="PW820"/>
      <c r="PX820"/>
      <c r="PY820"/>
      <c r="PZ820"/>
      <c r="QA820"/>
      <c r="QB820"/>
      <c r="QC820"/>
      <c r="QD820"/>
      <c r="QE820"/>
      <c r="QF820"/>
      <c r="QG820"/>
      <c r="QH820"/>
      <c r="QI820"/>
      <c r="QJ820"/>
      <c r="QK820"/>
      <c r="QL820"/>
      <c r="QM820"/>
      <c r="QN820"/>
      <c r="QO820"/>
      <c r="QP820"/>
      <c r="QQ820"/>
      <c r="QR820"/>
      <c r="QS820"/>
      <c r="QT820"/>
      <c r="QU820"/>
      <c r="QV820"/>
      <c r="QW820"/>
      <c r="QX820"/>
      <c r="QY820"/>
      <c r="QZ820"/>
      <c r="RA820"/>
      <c r="RB820"/>
      <c r="RC820"/>
      <c r="RD820"/>
      <c r="RE820"/>
      <c r="RF820"/>
      <c r="RG820"/>
      <c r="RH820"/>
      <c r="RI820"/>
      <c r="RJ820"/>
      <c r="RK820"/>
      <c r="RL820"/>
      <c r="RM820"/>
      <c r="RN820"/>
      <c r="RO820"/>
      <c r="RP820"/>
      <c r="RQ820"/>
      <c r="RR820"/>
      <c r="RS820"/>
      <c r="RT820"/>
      <c r="RU820"/>
      <c r="RV820"/>
      <c r="RW820"/>
      <c r="RX820"/>
      <c r="RY820"/>
      <c r="RZ820"/>
      <c r="SA820"/>
      <c r="SB820"/>
      <c r="SC820"/>
      <c r="SD820"/>
      <c r="SE820"/>
      <c r="SF820"/>
      <c r="SG820"/>
      <c r="SH820"/>
      <c r="SI820"/>
      <c r="SJ820"/>
      <c r="SK820"/>
      <c r="SL820"/>
      <c r="SM820"/>
      <c r="SN820"/>
      <c r="SO820"/>
      <c r="SP820"/>
      <c r="SQ820"/>
      <c r="SR820"/>
      <c r="SS820"/>
      <c r="ST820"/>
      <c r="SU820"/>
      <c r="SV820"/>
      <c r="SW820"/>
      <c r="SX820"/>
      <c r="SY820"/>
      <c r="SZ820"/>
      <c r="TA820"/>
      <c r="TB820"/>
      <c r="TC820"/>
      <c r="TD820"/>
      <c r="TE820"/>
      <c r="TF820"/>
      <c r="TG820"/>
      <c r="TH820"/>
      <c r="TI820"/>
      <c r="TJ820"/>
      <c r="TK820"/>
      <c r="TL820"/>
      <c r="TM820"/>
      <c r="TN820"/>
      <c r="TO820"/>
      <c r="TP820"/>
      <c r="TQ820"/>
      <c r="TR820"/>
      <c r="TS820"/>
      <c r="TT820"/>
      <c r="TU820"/>
      <c r="TV820"/>
      <c r="TW820"/>
      <c r="TX820"/>
      <c r="TY820"/>
      <c r="TZ820"/>
      <c r="UA820"/>
      <c r="UB820"/>
      <c r="UC820"/>
      <c r="UD820"/>
      <c r="UE820"/>
      <c r="UF820"/>
      <c r="UG820"/>
      <c r="UH820"/>
      <c r="UI820"/>
      <c r="UJ820"/>
      <c r="UK820"/>
      <c r="UL820"/>
      <c r="UM820"/>
      <c r="UN820"/>
      <c r="UO820"/>
      <c r="UP820"/>
      <c r="UQ820"/>
      <c r="UR820"/>
      <c r="US820"/>
      <c r="UT820"/>
      <c r="UU820"/>
      <c r="UV820"/>
      <c r="UW820"/>
      <c r="UX820"/>
      <c r="UY820"/>
      <c r="UZ820"/>
      <c r="VA820"/>
      <c r="VB820"/>
      <c r="VC820"/>
      <c r="VD820"/>
      <c r="VE820"/>
      <c r="VF820"/>
      <c r="VG820"/>
      <c r="VH820"/>
      <c r="VI820"/>
      <c r="VJ820"/>
      <c r="VK820"/>
      <c r="VL820"/>
      <c r="VM820"/>
      <c r="VN820"/>
      <c r="VO820"/>
      <c r="VP820"/>
      <c r="VQ820"/>
      <c r="VR820"/>
      <c r="VS820"/>
      <c r="VT820"/>
      <c r="VU820"/>
      <c r="VV820"/>
      <c r="VW820"/>
      <c r="VX820"/>
      <c r="VY820"/>
      <c r="VZ820"/>
      <c r="WA820"/>
      <c r="WB820"/>
      <c r="WC820"/>
      <c r="WD820"/>
      <c r="WE820"/>
      <c r="WF820"/>
      <c r="WG820"/>
      <c r="WH820"/>
      <c r="WI820"/>
      <c r="WJ820"/>
      <c r="WK820"/>
      <c r="WL820"/>
      <c r="WM820"/>
      <c r="WN820"/>
      <c r="WO820"/>
      <c r="WP820"/>
      <c r="WQ820"/>
      <c r="WR820"/>
      <c r="WS820"/>
      <c r="WT820"/>
      <c r="WU820"/>
      <c r="WV820"/>
      <c r="WW820"/>
      <c r="WX820"/>
      <c r="WY820"/>
      <c r="WZ820"/>
      <c r="XA820"/>
      <c r="XB820"/>
      <c r="XC820"/>
      <c r="XD820"/>
      <c r="XE820"/>
      <c r="XF820"/>
      <c r="XG820"/>
      <c r="XH820"/>
      <c r="XI820"/>
      <c r="XJ820"/>
      <c r="XK820"/>
      <c r="XL820"/>
      <c r="XM820"/>
      <c r="XN820"/>
      <c r="XO820"/>
      <c r="XP820"/>
      <c r="XQ820"/>
      <c r="XR820"/>
      <c r="XS820"/>
      <c r="XT820"/>
      <c r="XU820"/>
      <c r="XV820"/>
      <c r="XW820"/>
      <c r="XX820"/>
      <c r="XY820"/>
      <c r="XZ820"/>
      <c r="YA820"/>
      <c r="YB820"/>
      <c r="YC820"/>
      <c r="YD820"/>
      <c r="YE820"/>
      <c r="YF820"/>
      <c r="YG820"/>
      <c r="YH820"/>
      <c r="YI820"/>
      <c r="YJ820"/>
      <c r="YK820"/>
      <c r="YL820"/>
      <c r="YM820"/>
      <c r="YN820"/>
      <c r="YO820"/>
      <c r="YP820"/>
      <c r="YQ820"/>
      <c r="YR820"/>
      <c r="YS820"/>
      <c r="YT820"/>
      <c r="YU820"/>
      <c r="YV820"/>
      <c r="YW820"/>
      <c r="YX820"/>
      <c r="YY820"/>
      <c r="YZ820"/>
      <c r="ZA820"/>
      <c r="ZB820"/>
      <c r="ZC820"/>
      <c r="ZD820"/>
      <c r="ZE820"/>
      <c r="ZF820"/>
      <c r="ZG820"/>
      <c r="ZH820"/>
      <c r="ZI820"/>
      <c r="ZJ820"/>
      <c r="ZK820"/>
      <c r="ZL820"/>
      <c r="ZM820"/>
      <c r="ZN820"/>
      <c r="ZO820"/>
      <c r="ZP820"/>
      <c r="ZQ820"/>
      <c r="ZR820"/>
      <c r="ZS820"/>
      <c r="ZT820"/>
      <c r="ZU820"/>
      <c r="ZV820"/>
      <c r="ZW820"/>
      <c r="ZX820"/>
      <c r="ZY820"/>
      <c r="ZZ820"/>
      <c r="AAA820"/>
      <c r="AAB820"/>
      <c r="AAC820"/>
      <c r="AAD820"/>
      <c r="AAE820"/>
      <c r="AAF820"/>
      <c r="AAG820"/>
      <c r="AAH820"/>
      <c r="AAI820"/>
      <c r="AAJ820"/>
      <c r="AAK820"/>
      <c r="AAL820"/>
      <c r="AAM820"/>
      <c r="AAN820"/>
      <c r="AAO820"/>
      <c r="AAP820"/>
      <c r="AAQ820"/>
      <c r="AAR820"/>
      <c r="AAS820"/>
      <c r="AAT820"/>
      <c r="AAU820"/>
      <c r="AAV820"/>
      <c r="AAW820"/>
      <c r="AAX820"/>
      <c r="AAY820"/>
      <c r="AAZ820"/>
      <c r="ABA820"/>
      <c r="ABB820"/>
      <c r="ABC820"/>
      <c r="ABD820"/>
      <c r="ABE820"/>
      <c r="ABF820"/>
      <c r="ABG820"/>
      <c r="ABH820"/>
      <c r="ABI820"/>
      <c r="ABJ820"/>
      <c r="ABK820"/>
      <c r="ABL820"/>
      <c r="ABM820"/>
      <c r="ABN820"/>
      <c r="ABO820"/>
      <c r="ABP820"/>
      <c r="ABQ820"/>
      <c r="ABR820"/>
      <c r="ABS820"/>
      <c r="ABT820"/>
      <c r="ABU820"/>
      <c r="ABV820"/>
      <c r="ABW820"/>
      <c r="ABX820"/>
      <c r="ABY820"/>
      <c r="ABZ820"/>
      <c r="ACA820"/>
      <c r="ACB820"/>
      <c r="ACC820"/>
      <c r="ACD820"/>
      <c r="ACE820"/>
      <c r="ACF820"/>
      <c r="ACG820"/>
      <c r="ACH820"/>
      <c r="ACI820"/>
      <c r="ACJ820"/>
      <c r="ACK820"/>
      <c r="ACL820"/>
      <c r="ACM820"/>
      <c r="ACN820"/>
      <c r="ACO820"/>
      <c r="ACP820"/>
      <c r="ACQ820"/>
      <c r="ACR820"/>
      <c r="ACS820"/>
      <c r="ACT820"/>
      <c r="ACU820"/>
      <c r="ACV820"/>
      <c r="ACW820"/>
      <c r="ACX820"/>
      <c r="ACY820"/>
      <c r="ACZ820"/>
      <c r="ADA820"/>
      <c r="ADB820"/>
      <c r="ADC820"/>
      <c r="ADD820"/>
      <c r="ADE820"/>
      <c r="ADF820"/>
      <c r="ADG820"/>
      <c r="ADH820"/>
      <c r="ADI820"/>
      <c r="ADJ820"/>
      <c r="ADK820"/>
      <c r="ADL820"/>
      <c r="ADM820"/>
      <c r="ADN820"/>
      <c r="ADO820"/>
      <c r="ADP820"/>
      <c r="ADQ820"/>
      <c r="ADR820"/>
      <c r="ADS820"/>
      <c r="ADT820"/>
      <c r="ADU820"/>
      <c r="ADV820"/>
      <c r="ADW820"/>
      <c r="ADX820"/>
      <c r="ADY820"/>
      <c r="ADZ820"/>
      <c r="AEA820"/>
      <c r="AEB820"/>
      <c r="AEC820"/>
      <c r="AED820"/>
      <c r="AEE820"/>
      <c r="AEF820"/>
      <c r="AEG820"/>
      <c r="AEH820"/>
      <c r="AEI820"/>
      <c r="AEJ820"/>
      <c r="AEK820"/>
      <c r="AEL820"/>
      <c r="AEM820"/>
      <c r="AEN820"/>
      <c r="AEO820"/>
      <c r="AEP820"/>
      <c r="AEQ820"/>
      <c r="AER820"/>
      <c r="AES820"/>
      <c r="AET820"/>
      <c r="AEU820"/>
      <c r="AEV820"/>
      <c r="AEW820"/>
      <c r="AEX820"/>
      <c r="AEY820"/>
      <c r="AEZ820"/>
      <c r="AFA820"/>
      <c r="AFB820"/>
      <c r="AFC820"/>
      <c r="AFD820"/>
      <c r="AFE820"/>
      <c r="AFF820"/>
      <c r="AFG820"/>
      <c r="AFH820"/>
      <c r="AFI820"/>
      <c r="AFJ820"/>
      <c r="AFK820"/>
      <c r="AFL820"/>
      <c r="AFM820"/>
      <c r="AFN820"/>
      <c r="AFO820"/>
      <c r="AFP820"/>
      <c r="AFQ820"/>
      <c r="AFR820"/>
      <c r="AFS820"/>
      <c r="AFT820"/>
      <c r="AFU820"/>
      <c r="AFV820"/>
      <c r="AFW820"/>
      <c r="AFX820"/>
      <c r="AFY820"/>
      <c r="AFZ820"/>
      <c r="AGA820"/>
      <c r="AGB820"/>
      <c r="AGC820"/>
      <c r="AGD820"/>
      <c r="AGE820"/>
      <c r="AGF820"/>
      <c r="AGG820"/>
      <c r="AGH820"/>
      <c r="AGI820"/>
      <c r="AGJ820"/>
      <c r="AGK820"/>
      <c r="AGL820"/>
      <c r="AGM820"/>
      <c r="AGN820"/>
      <c r="AGO820"/>
      <c r="AGP820"/>
      <c r="AGQ820"/>
      <c r="AGR820"/>
      <c r="AGS820"/>
      <c r="AGT820"/>
      <c r="AGU820"/>
      <c r="AGV820"/>
      <c r="AGW820"/>
      <c r="AGX820"/>
      <c r="AGY820"/>
      <c r="AGZ820"/>
      <c r="AHA820"/>
      <c r="AHB820"/>
      <c r="AHC820"/>
      <c r="AHD820"/>
      <c r="AHE820"/>
      <c r="AHF820"/>
      <c r="AHG820"/>
      <c r="AHH820"/>
      <c r="AHI820"/>
      <c r="AHJ820"/>
      <c r="AHK820"/>
      <c r="AHL820"/>
      <c r="AHM820"/>
      <c r="AHN820"/>
      <c r="AHO820"/>
      <c r="AHP820"/>
      <c r="AHQ820"/>
      <c r="AHR820"/>
      <c r="AHS820"/>
      <c r="AHT820"/>
      <c r="AHU820"/>
      <c r="AHV820"/>
      <c r="AHW820"/>
      <c r="AHX820"/>
      <c r="AHY820"/>
      <c r="AHZ820"/>
      <c r="AIA820"/>
      <c r="AIB820"/>
      <c r="AIC820"/>
      <c r="AID820"/>
      <c r="AIE820"/>
      <c r="AIF820"/>
      <c r="AIG820"/>
      <c r="AIH820"/>
      <c r="AII820"/>
      <c r="AIJ820"/>
      <c r="AIK820"/>
      <c r="AIL820"/>
      <c r="AIM820"/>
      <c r="AIN820"/>
      <c r="AIO820"/>
      <c r="AIP820"/>
      <c r="AIQ820"/>
      <c r="AIR820"/>
      <c r="AIS820"/>
      <c r="AIT820"/>
      <c r="AIU820"/>
      <c r="AIV820"/>
      <c r="AIW820"/>
      <c r="AIX820"/>
      <c r="AIY820"/>
      <c r="AIZ820"/>
      <c r="AJA820"/>
      <c r="AJB820"/>
      <c r="AJC820"/>
      <c r="AJD820"/>
      <c r="AJE820"/>
      <c r="AJF820"/>
      <c r="AJG820"/>
      <c r="AJH820"/>
      <c r="AJI820"/>
      <c r="AJJ820"/>
      <c r="AJK820"/>
      <c r="AJL820"/>
      <c r="AJM820"/>
      <c r="AJN820"/>
      <c r="AJO820"/>
      <c r="AJP820"/>
      <c r="AJQ820"/>
      <c r="AJR820"/>
      <c r="AJS820"/>
      <c r="AJT820"/>
      <c r="AJU820"/>
      <c r="AJV820"/>
      <c r="AJW820"/>
      <c r="AJX820"/>
      <c r="AJY820"/>
      <c r="AJZ820"/>
      <c r="AKA820"/>
      <c r="AKB820"/>
      <c r="AKC820"/>
      <c r="AKD820"/>
      <c r="AKE820"/>
      <c r="AKF820"/>
      <c r="AKG820"/>
      <c r="AKH820"/>
      <c r="AKI820"/>
      <c r="AKJ820"/>
      <c r="AKK820"/>
      <c r="AKL820"/>
      <c r="AKM820"/>
      <c r="AKN820"/>
      <c r="AKO820"/>
      <c r="AKP820"/>
      <c r="AKQ820"/>
      <c r="AKR820"/>
      <c r="AKS820"/>
      <c r="AKT820"/>
      <c r="AKU820"/>
      <c r="AKV820"/>
      <c r="AKW820"/>
      <c r="AKX820"/>
      <c r="AKY820"/>
      <c r="AKZ820"/>
      <c r="ALA820"/>
      <c r="ALB820"/>
      <c r="ALC820"/>
      <c r="ALD820"/>
      <c r="ALE820"/>
      <c r="ALF820"/>
      <c r="ALG820"/>
      <c r="ALH820"/>
      <c r="ALI820"/>
      <c r="ALJ820"/>
      <c r="ALK820"/>
      <c r="ALL820"/>
      <c r="ALM820"/>
      <c r="ALN820"/>
      <c r="ALO820"/>
      <c r="ALP820"/>
      <c r="ALQ820"/>
      <c r="ALR820"/>
      <c r="ALS820"/>
      <c r="ALT820"/>
    </row>
    <row r="821" spans="1:1008" ht="14">
      <c r="A821" s="24" t="s">
        <v>2828</v>
      </c>
      <c r="B821" s="25" t="s">
        <v>2823</v>
      </c>
      <c r="C821" s="24" t="str">
        <f t="shared" si="13"/>
        <v>metal</v>
      </c>
      <c r="D821" s="26" t="s">
        <v>12</v>
      </c>
      <c r="E821" s="24" t="s">
        <v>2829</v>
      </c>
      <c r="F821" s="24" t="s">
        <v>2830</v>
      </c>
      <c r="G821" s="24">
        <v>500</v>
      </c>
      <c r="H821" s="27"/>
      <c r="I821"/>
      <c r="J821"/>
      <c r="K821"/>
      <c r="L821"/>
      <c r="M821"/>
      <c r="N821"/>
      <c r="O821"/>
      <c r="P821"/>
      <c r="Q821"/>
      <c r="R821"/>
      <c r="S821"/>
      <c r="T821"/>
      <c r="U821"/>
      <c r="V821"/>
      <c r="W821"/>
      <c r="X821"/>
      <c r="Y821"/>
      <c r="Z821"/>
      <c r="AA821"/>
      <c r="AB821"/>
      <c r="AC821"/>
      <c r="AD821"/>
      <c r="AE821"/>
      <c r="AF821"/>
      <c r="AG821"/>
      <c r="AH821"/>
      <c r="AI821"/>
      <c r="AJ821"/>
      <c r="AK821"/>
      <c r="AL821"/>
      <c r="AM821"/>
      <c r="AN821"/>
      <c r="AO821"/>
      <c r="AP821"/>
      <c r="AQ821"/>
      <c r="AR821"/>
      <c r="AS821"/>
      <c r="AT821"/>
      <c r="AU821"/>
      <c r="AV821"/>
      <c r="AW821"/>
      <c r="AX821"/>
      <c r="AY821"/>
      <c r="AZ821"/>
      <c r="BA821"/>
      <c r="BB821"/>
      <c r="BC821"/>
      <c r="BD821"/>
      <c r="BE821"/>
      <c r="BF821"/>
      <c r="BG821"/>
      <c r="BH821"/>
      <c r="BI821"/>
      <c r="BJ821"/>
      <c r="BK821"/>
      <c r="BL821"/>
      <c r="BM821"/>
      <c r="BN821"/>
      <c r="BO821"/>
      <c r="BP821"/>
      <c r="BQ821"/>
      <c r="BR821"/>
      <c r="BS821"/>
      <c r="BT821"/>
      <c r="BU821"/>
      <c r="BV821"/>
      <c r="BW821"/>
      <c r="BX821"/>
      <c r="BY821"/>
      <c r="BZ821"/>
      <c r="CA821"/>
      <c r="CB821"/>
      <c r="CC821"/>
      <c r="CD821"/>
      <c r="CE821"/>
      <c r="CF821"/>
      <c r="CG821"/>
      <c r="CH821"/>
      <c r="CI821"/>
      <c r="CJ821"/>
      <c r="CK821"/>
      <c r="CL821"/>
      <c r="CM821"/>
      <c r="CN821"/>
      <c r="CO821"/>
      <c r="CP821"/>
      <c r="CQ821"/>
      <c r="CR821"/>
      <c r="CS821"/>
      <c r="CT821"/>
      <c r="CU821"/>
      <c r="CV821"/>
      <c r="CW821"/>
      <c r="CX821"/>
      <c r="CY821"/>
      <c r="CZ821"/>
      <c r="DA821"/>
      <c r="DB821"/>
      <c r="DC821"/>
      <c r="DD821"/>
      <c r="DE821"/>
      <c r="DF821"/>
      <c r="DG821"/>
      <c r="DH821"/>
      <c r="DI821"/>
      <c r="DJ821"/>
      <c r="DK821"/>
      <c r="DL821"/>
      <c r="DM821"/>
      <c r="DN821"/>
      <c r="DO821"/>
      <c r="DP821"/>
      <c r="DQ821"/>
      <c r="DR821"/>
      <c r="DS821"/>
      <c r="DT821"/>
      <c r="DU821"/>
      <c r="DV821"/>
      <c r="DW821"/>
      <c r="DX821"/>
      <c r="DY821"/>
      <c r="DZ821"/>
      <c r="EA821"/>
      <c r="EB821"/>
      <c r="EC821"/>
      <c r="ED821"/>
      <c r="EE821"/>
      <c r="EF821"/>
      <c r="EG821"/>
      <c r="EH821"/>
      <c r="EI821"/>
      <c r="EJ821"/>
      <c r="EK821"/>
      <c r="EL821"/>
      <c r="EM821"/>
      <c r="EN821"/>
      <c r="EO821"/>
      <c r="EP821"/>
      <c r="EQ821"/>
      <c r="ER821"/>
      <c r="ES821"/>
      <c r="ET821"/>
      <c r="EU821"/>
      <c r="EV821"/>
      <c r="EW821"/>
      <c r="EX821"/>
      <c r="EY821"/>
      <c r="EZ821"/>
      <c r="FA821"/>
      <c r="FB821"/>
      <c r="FC821"/>
      <c r="FD821"/>
      <c r="FE821"/>
      <c r="FF821"/>
      <c r="FG821"/>
      <c r="FH821"/>
      <c r="FI821"/>
      <c r="FJ821"/>
      <c r="FK821"/>
      <c r="FL821"/>
      <c r="FM821"/>
      <c r="FN821"/>
      <c r="FO821"/>
      <c r="FP821"/>
      <c r="FQ821"/>
      <c r="FR821"/>
      <c r="FS821"/>
      <c r="FT821"/>
      <c r="FU821"/>
      <c r="FV821"/>
      <c r="FW821"/>
      <c r="FX821"/>
      <c r="FY821"/>
      <c r="FZ821"/>
      <c r="GA821"/>
      <c r="GB821"/>
      <c r="GC821"/>
      <c r="GD821"/>
      <c r="GE821"/>
      <c r="GF821"/>
      <c r="GG821"/>
      <c r="GH821"/>
      <c r="GI821"/>
      <c r="GJ821"/>
      <c r="GK821"/>
      <c r="GL821"/>
      <c r="GM821"/>
      <c r="GN821"/>
      <c r="GO821"/>
      <c r="GP821"/>
      <c r="GQ821"/>
      <c r="GR821"/>
      <c r="GS821"/>
      <c r="GT821"/>
      <c r="GU821"/>
      <c r="GV821"/>
      <c r="GW821"/>
      <c r="GX821"/>
      <c r="GY821"/>
      <c r="GZ821"/>
      <c r="HA821"/>
      <c r="HB821"/>
      <c r="HC821"/>
      <c r="HD821"/>
      <c r="HE821"/>
      <c r="HF821"/>
      <c r="HG821"/>
      <c r="HH821"/>
      <c r="HI821"/>
      <c r="HJ821"/>
      <c r="HK821"/>
      <c r="HL821"/>
      <c r="HM821"/>
      <c r="HN821"/>
      <c r="HO821"/>
      <c r="HP821"/>
      <c r="HQ821"/>
      <c r="HR821"/>
      <c r="HS821"/>
      <c r="HT821"/>
      <c r="HU821"/>
      <c r="HV821"/>
      <c r="HW821"/>
      <c r="HX821"/>
      <c r="HY821"/>
      <c r="HZ821"/>
      <c r="IA821"/>
      <c r="IB821"/>
      <c r="IC821"/>
      <c r="ID821"/>
      <c r="IE821"/>
      <c r="IF821"/>
      <c r="IG821"/>
      <c r="IH821"/>
      <c r="II821"/>
      <c r="IJ821"/>
      <c r="IK821"/>
      <c r="IL821"/>
      <c r="IM821"/>
      <c r="IN821"/>
      <c r="IO821"/>
      <c r="IP821"/>
      <c r="IQ821"/>
      <c r="IR821"/>
      <c r="IS821"/>
      <c r="IT821"/>
      <c r="IU821"/>
      <c r="IV821"/>
      <c r="IW821"/>
      <c r="IX821"/>
      <c r="IY821"/>
      <c r="IZ821"/>
      <c r="JA821"/>
      <c r="JB821"/>
      <c r="JC821"/>
      <c r="JD821"/>
      <c r="JE821"/>
      <c r="JF821"/>
      <c r="JG821"/>
      <c r="JH821"/>
      <c r="JI821"/>
      <c r="JJ821"/>
      <c r="JK821"/>
      <c r="JL821"/>
      <c r="JM821"/>
      <c r="JN821"/>
      <c r="JO821"/>
      <c r="JP821"/>
      <c r="JQ821"/>
      <c r="JR821"/>
      <c r="JS821"/>
      <c r="JT821"/>
      <c r="JU821"/>
      <c r="JV821"/>
      <c r="JW821"/>
      <c r="JX821"/>
      <c r="JY821"/>
      <c r="JZ821"/>
      <c r="KA821"/>
      <c r="KB821"/>
      <c r="KC821"/>
      <c r="KD821"/>
      <c r="KE821"/>
      <c r="KF821"/>
      <c r="KG821"/>
      <c r="KH821"/>
      <c r="KI821"/>
      <c r="KJ821"/>
      <c r="KK821"/>
      <c r="KL821"/>
      <c r="KM821"/>
      <c r="KN821"/>
      <c r="KO821"/>
      <c r="KP821"/>
      <c r="KQ821"/>
      <c r="KR821"/>
      <c r="KS821"/>
      <c r="KT821"/>
      <c r="KU821"/>
      <c r="KV821"/>
      <c r="KW821"/>
      <c r="KX821"/>
      <c r="KY821"/>
      <c r="KZ821"/>
      <c r="LA821"/>
      <c r="LB821"/>
      <c r="LC821"/>
      <c r="LD821"/>
      <c r="LE821"/>
      <c r="LF821"/>
      <c r="LG821"/>
      <c r="LH821"/>
      <c r="LI821"/>
      <c r="LJ821"/>
      <c r="LK821"/>
      <c r="LL821"/>
      <c r="LM821"/>
      <c r="LN821"/>
      <c r="LO821"/>
      <c r="LP821"/>
      <c r="LQ821"/>
      <c r="LR821"/>
      <c r="LS821"/>
      <c r="LT821"/>
      <c r="LU821"/>
      <c r="LV821"/>
      <c r="LW821"/>
      <c r="LX821"/>
      <c r="LY821"/>
      <c r="LZ821"/>
      <c r="MA821"/>
      <c r="MB821"/>
      <c r="MC821"/>
      <c r="MD821"/>
      <c r="ME821"/>
      <c r="MF821"/>
      <c r="MG821"/>
      <c r="MH821"/>
      <c r="MI821"/>
      <c r="MJ821"/>
      <c r="MK821"/>
      <c r="ML821"/>
      <c r="MM821"/>
      <c r="MN821"/>
      <c r="MO821"/>
      <c r="MP821"/>
      <c r="MQ821"/>
      <c r="MR821"/>
      <c r="MS821"/>
      <c r="MT821"/>
      <c r="MU821"/>
      <c r="MV821"/>
      <c r="MW821"/>
      <c r="MX821"/>
      <c r="MY821"/>
      <c r="MZ821"/>
      <c r="NA821"/>
      <c r="NB821"/>
      <c r="NC821"/>
      <c r="ND821"/>
      <c r="NE821"/>
      <c r="NF821"/>
      <c r="NG821"/>
      <c r="NH821"/>
      <c r="NI821"/>
      <c r="NJ821"/>
      <c r="NK821"/>
      <c r="NL821"/>
      <c r="NM821"/>
      <c r="NN821"/>
      <c r="NO821"/>
      <c r="NP821"/>
      <c r="NQ821"/>
      <c r="NR821"/>
      <c r="NS821"/>
      <c r="NT821"/>
      <c r="NU821"/>
      <c r="NV821"/>
      <c r="NW821"/>
      <c r="NX821"/>
      <c r="NY821"/>
      <c r="NZ821"/>
      <c r="OA821"/>
      <c r="OB821"/>
      <c r="OC821"/>
      <c r="OD821"/>
      <c r="OE821"/>
      <c r="OF821"/>
      <c r="OG821"/>
      <c r="OH821"/>
      <c r="OI821"/>
      <c r="OJ821"/>
      <c r="OK821"/>
      <c r="OL821"/>
      <c r="OM821"/>
      <c r="ON821"/>
      <c r="OO821"/>
      <c r="OP821"/>
      <c r="OQ821"/>
      <c r="OR821"/>
      <c r="OS821"/>
      <c r="OT821"/>
      <c r="OU821"/>
      <c r="OV821"/>
      <c r="OW821"/>
      <c r="OX821"/>
      <c r="OY821"/>
      <c r="OZ821"/>
      <c r="PA821"/>
      <c r="PB821"/>
      <c r="PC821"/>
      <c r="PD821"/>
      <c r="PE821"/>
      <c r="PF821"/>
      <c r="PG821"/>
      <c r="PH821"/>
      <c r="PI821"/>
      <c r="PJ821"/>
      <c r="PK821"/>
      <c r="PL821"/>
      <c r="PM821"/>
      <c r="PN821"/>
      <c r="PO821"/>
      <c r="PP821"/>
      <c r="PQ821"/>
      <c r="PR821"/>
      <c r="PS821"/>
      <c r="PT821"/>
      <c r="PU821"/>
      <c r="PV821"/>
      <c r="PW821"/>
      <c r="PX821"/>
      <c r="PY821"/>
      <c r="PZ821"/>
      <c r="QA821"/>
      <c r="QB821"/>
      <c r="QC821"/>
      <c r="QD821"/>
      <c r="QE821"/>
      <c r="QF821"/>
      <c r="QG821"/>
      <c r="QH821"/>
      <c r="QI821"/>
      <c r="QJ821"/>
      <c r="QK821"/>
      <c r="QL821"/>
      <c r="QM821"/>
      <c r="QN821"/>
      <c r="QO821"/>
      <c r="QP821"/>
      <c r="QQ821"/>
      <c r="QR821"/>
      <c r="QS821"/>
      <c r="QT821"/>
      <c r="QU821"/>
      <c r="QV821"/>
      <c r="QW821"/>
      <c r="QX821"/>
      <c r="QY821"/>
      <c r="QZ821"/>
      <c r="RA821"/>
      <c r="RB821"/>
      <c r="RC821"/>
      <c r="RD821"/>
      <c r="RE821"/>
      <c r="RF821"/>
      <c r="RG821"/>
      <c r="RH821"/>
      <c r="RI821"/>
      <c r="RJ821"/>
      <c r="RK821"/>
      <c r="RL821"/>
      <c r="RM821"/>
      <c r="RN821"/>
      <c r="RO821"/>
      <c r="RP821"/>
      <c r="RQ821"/>
      <c r="RR821"/>
      <c r="RS821"/>
      <c r="RT821"/>
      <c r="RU821"/>
      <c r="RV821"/>
      <c r="RW821"/>
      <c r="RX821"/>
      <c r="RY821"/>
      <c r="RZ821"/>
      <c r="SA821"/>
      <c r="SB821"/>
      <c r="SC821"/>
      <c r="SD821"/>
      <c r="SE821"/>
      <c r="SF821"/>
      <c r="SG821"/>
      <c r="SH821"/>
      <c r="SI821"/>
      <c r="SJ821"/>
      <c r="SK821"/>
      <c r="SL821"/>
      <c r="SM821"/>
      <c r="SN821"/>
      <c r="SO821"/>
      <c r="SP821"/>
      <c r="SQ821"/>
      <c r="SR821"/>
      <c r="SS821"/>
      <c r="ST821"/>
      <c r="SU821"/>
      <c r="SV821"/>
      <c r="SW821"/>
      <c r="SX821"/>
      <c r="SY821"/>
      <c r="SZ821"/>
      <c r="TA821"/>
      <c r="TB821"/>
      <c r="TC821"/>
      <c r="TD821"/>
      <c r="TE821"/>
      <c r="TF821"/>
      <c r="TG821"/>
      <c r="TH821"/>
      <c r="TI821"/>
      <c r="TJ821"/>
      <c r="TK821"/>
      <c r="TL821"/>
      <c r="TM821"/>
      <c r="TN821"/>
      <c r="TO821"/>
      <c r="TP821"/>
      <c r="TQ821"/>
      <c r="TR821"/>
      <c r="TS821"/>
      <c r="TT821"/>
      <c r="TU821"/>
      <c r="TV821"/>
      <c r="TW821"/>
      <c r="TX821"/>
      <c r="TY821"/>
      <c r="TZ821"/>
      <c r="UA821"/>
      <c r="UB821"/>
      <c r="UC821"/>
      <c r="UD821"/>
      <c r="UE821"/>
      <c r="UF821"/>
      <c r="UG821"/>
      <c r="UH821"/>
      <c r="UI821"/>
      <c r="UJ821"/>
      <c r="UK821"/>
      <c r="UL821"/>
      <c r="UM821"/>
      <c r="UN821"/>
      <c r="UO821"/>
      <c r="UP821"/>
      <c r="UQ821"/>
      <c r="UR821"/>
      <c r="US821"/>
      <c r="UT821"/>
      <c r="UU821"/>
      <c r="UV821"/>
      <c r="UW821"/>
      <c r="UX821"/>
      <c r="UY821"/>
      <c r="UZ821"/>
      <c r="VA821"/>
      <c r="VB821"/>
      <c r="VC821"/>
      <c r="VD821"/>
      <c r="VE821"/>
      <c r="VF821"/>
      <c r="VG821"/>
      <c r="VH821"/>
      <c r="VI821"/>
      <c r="VJ821"/>
      <c r="VK821"/>
      <c r="VL821"/>
      <c r="VM821"/>
      <c r="VN821"/>
      <c r="VO821"/>
      <c r="VP821"/>
      <c r="VQ821"/>
      <c r="VR821"/>
      <c r="VS821"/>
      <c r="VT821"/>
      <c r="VU821"/>
      <c r="VV821"/>
      <c r="VW821"/>
      <c r="VX821"/>
      <c r="VY821"/>
      <c r="VZ821"/>
      <c r="WA821"/>
      <c r="WB821"/>
      <c r="WC821"/>
      <c r="WD821"/>
      <c r="WE821"/>
      <c r="WF821"/>
      <c r="WG821"/>
      <c r="WH821"/>
      <c r="WI821"/>
      <c r="WJ821"/>
      <c r="WK821"/>
      <c r="WL821"/>
      <c r="WM821"/>
      <c r="WN821"/>
      <c r="WO821"/>
      <c r="WP821"/>
      <c r="WQ821"/>
      <c r="WR821"/>
      <c r="WS821"/>
      <c r="WT821"/>
      <c r="WU821"/>
      <c r="WV821"/>
      <c r="WW821"/>
      <c r="WX821"/>
      <c r="WY821"/>
      <c r="WZ821"/>
      <c r="XA821"/>
      <c r="XB821"/>
      <c r="XC821"/>
      <c r="XD821"/>
      <c r="XE821"/>
      <c r="XF821"/>
      <c r="XG821"/>
      <c r="XH821"/>
      <c r="XI821"/>
      <c r="XJ821"/>
      <c r="XK821"/>
      <c r="XL821"/>
      <c r="XM821"/>
      <c r="XN821"/>
      <c r="XO821"/>
      <c r="XP821"/>
      <c r="XQ821"/>
      <c r="XR821"/>
      <c r="XS821"/>
      <c r="XT821"/>
      <c r="XU821"/>
      <c r="XV821"/>
      <c r="XW821"/>
      <c r="XX821"/>
      <c r="XY821"/>
      <c r="XZ821"/>
      <c r="YA821"/>
      <c r="YB821"/>
      <c r="YC821"/>
      <c r="YD821"/>
      <c r="YE821"/>
      <c r="YF821"/>
      <c r="YG821"/>
      <c r="YH821"/>
      <c r="YI821"/>
      <c r="YJ821"/>
      <c r="YK821"/>
      <c r="YL821"/>
      <c r="YM821"/>
      <c r="YN821"/>
      <c r="YO821"/>
      <c r="YP821"/>
      <c r="YQ821"/>
      <c r="YR821"/>
      <c r="YS821"/>
      <c r="YT821"/>
      <c r="YU821"/>
      <c r="YV821"/>
      <c r="YW821"/>
      <c r="YX821"/>
      <c r="YY821"/>
      <c r="YZ821"/>
      <c r="ZA821"/>
      <c r="ZB821"/>
      <c r="ZC821"/>
      <c r="ZD821"/>
      <c r="ZE821"/>
      <c r="ZF821"/>
      <c r="ZG821"/>
      <c r="ZH821"/>
      <c r="ZI821"/>
      <c r="ZJ821"/>
      <c r="ZK821"/>
      <c r="ZL821"/>
      <c r="ZM821"/>
      <c r="ZN821"/>
      <c r="ZO821"/>
      <c r="ZP821"/>
      <c r="ZQ821"/>
      <c r="ZR821"/>
      <c r="ZS821"/>
      <c r="ZT821"/>
      <c r="ZU821"/>
      <c r="ZV821"/>
      <c r="ZW821"/>
      <c r="ZX821"/>
      <c r="ZY821"/>
      <c r="ZZ821"/>
      <c r="AAA821"/>
      <c r="AAB821"/>
      <c r="AAC821"/>
      <c r="AAD821"/>
      <c r="AAE821"/>
      <c r="AAF821"/>
      <c r="AAG821"/>
      <c r="AAH821"/>
      <c r="AAI821"/>
      <c r="AAJ821"/>
      <c r="AAK821"/>
      <c r="AAL821"/>
      <c r="AAM821"/>
      <c r="AAN821"/>
      <c r="AAO821"/>
      <c r="AAP821"/>
      <c r="AAQ821"/>
      <c r="AAR821"/>
      <c r="AAS821"/>
      <c r="AAT821"/>
      <c r="AAU821"/>
      <c r="AAV821"/>
      <c r="AAW821"/>
      <c r="AAX821"/>
      <c r="AAY821"/>
      <c r="AAZ821"/>
      <c r="ABA821"/>
      <c r="ABB821"/>
      <c r="ABC821"/>
      <c r="ABD821"/>
      <c r="ABE821"/>
      <c r="ABF821"/>
      <c r="ABG821"/>
      <c r="ABH821"/>
      <c r="ABI821"/>
      <c r="ABJ821"/>
      <c r="ABK821"/>
      <c r="ABL821"/>
      <c r="ABM821"/>
      <c r="ABN821"/>
      <c r="ABO821"/>
      <c r="ABP821"/>
      <c r="ABQ821"/>
      <c r="ABR821"/>
      <c r="ABS821"/>
      <c r="ABT821"/>
      <c r="ABU821"/>
      <c r="ABV821"/>
      <c r="ABW821"/>
      <c r="ABX821"/>
      <c r="ABY821"/>
      <c r="ABZ821"/>
      <c r="ACA821"/>
      <c r="ACB821"/>
      <c r="ACC821"/>
      <c r="ACD821"/>
      <c r="ACE821"/>
      <c r="ACF821"/>
      <c r="ACG821"/>
      <c r="ACH821"/>
      <c r="ACI821"/>
      <c r="ACJ821"/>
      <c r="ACK821"/>
      <c r="ACL821"/>
      <c r="ACM821"/>
      <c r="ACN821"/>
      <c r="ACO821"/>
      <c r="ACP821"/>
      <c r="ACQ821"/>
      <c r="ACR821"/>
      <c r="ACS821"/>
      <c r="ACT821"/>
      <c r="ACU821"/>
      <c r="ACV821"/>
      <c r="ACW821"/>
      <c r="ACX821"/>
      <c r="ACY821"/>
      <c r="ACZ821"/>
      <c r="ADA821"/>
      <c r="ADB821"/>
      <c r="ADC821"/>
      <c r="ADD821"/>
      <c r="ADE821"/>
      <c r="ADF821"/>
      <c r="ADG821"/>
      <c r="ADH821"/>
      <c r="ADI821"/>
      <c r="ADJ821"/>
      <c r="ADK821"/>
      <c r="ADL821"/>
      <c r="ADM821"/>
      <c r="ADN821"/>
      <c r="ADO821"/>
      <c r="ADP821"/>
      <c r="ADQ821"/>
      <c r="ADR821"/>
      <c r="ADS821"/>
      <c r="ADT821"/>
      <c r="ADU821"/>
      <c r="ADV821"/>
      <c r="ADW821"/>
      <c r="ADX821"/>
      <c r="ADY821"/>
      <c r="ADZ821"/>
      <c r="AEA821"/>
      <c r="AEB821"/>
      <c r="AEC821"/>
      <c r="AED821"/>
      <c r="AEE821"/>
      <c r="AEF821"/>
      <c r="AEG821"/>
      <c r="AEH821"/>
      <c r="AEI821"/>
      <c r="AEJ821"/>
      <c r="AEK821"/>
      <c r="AEL821"/>
      <c r="AEM821"/>
      <c r="AEN821"/>
      <c r="AEO821"/>
      <c r="AEP821"/>
      <c r="AEQ821"/>
      <c r="AER821"/>
      <c r="AES821"/>
      <c r="AET821"/>
      <c r="AEU821"/>
      <c r="AEV821"/>
      <c r="AEW821"/>
      <c r="AEX821"/>
      <c r="AEY821"/>
      <c r="AEZ821"/>
      <c r="AFA821"/>
      <c r="AFB821"/>
      <c r="AFC821"/>
      <c r="AFD821"/>
      <c r="AFE821"/>
      <c r="AFF821"/>
      <c r="AFG821"/>
      <c r="AFH821"/>
      <c r="AFI821"/>
      <c r="AFJ821"/>
      <c r="AFK821"/>
      <c r="AFL821"/>
      <c r="AFM821"/>
      <c r="AFN821"/>
      <c r="AFO821"/>
      <c r="AFP821"/>
      <c r="AFQ821"/>
      <c r="AFR821"/>
      <c r="AFS821"/>
      <c r="AFT821"/>
      <c r="AFU821"/>
      <c r="AFV821"/>
      <c r="AFW821"/>
      <c r="AFX821"/>
      <c r="AFY821"/>
      <c r="AFZ821"/>
      <c r="AGA821"/>
      <c r="AGB821"/>
      <c r="AGC821"/>
      <c r="AGD821"/>
      <c r="AGE821"/>
      <c r="AGF821"/>
      <c r="AGG821"/>
      <c r="AGH821"/>
      <c r="AGI821"/>
      <c r="AGJ821"/>
      <c r="AGK821"/>
      <c r="AGL821"/>
      <c r="AGM821"/>
      <c r="AGN821"/>
      <c r="AGO821"/>
      <c r="AGP821"/>
      <c r="AGQ821"/>
      <c r="AGR821"/>
      <c r="AGS821"/>
      <c r="AGT821"/>
      <c r="AGU821"/>
      <c r="AGV821"/>
      <c r="AGW821"/>
      <c r="AGX821"/>
      <c r="AGY821"/>
      <c r="AGZ821"/>
      <c r="AHA821"/>
      <c r="AHB821"/>
      <c r="AHC821"/>
      <c r="AHD821"/>
      <c r="AHE821"/>
      <c r="AHF821"/>
      <c r="AHG821"/>
      <c r="AHH821"/>
      <c r="AHI821"/>
      <c r="AHJ821"/>
      <c r="AHK821"/>
      <c r="AHL821"/>
      <c r="AHM821"/>
      <c r="AHN821"/>
      <c r="AHO821"/>
      <c r="AHP821"/>
      <c r="AHQ821"/>
      <c r="AHR821"/>
      <c r="AHS821"/>
      <c r="AHT821"/>
      <c r="AHU821"/>
      <c r="AHV821"/>
      <c r="AHW821"/>
      <c r="AHX821"/>
      <c r="AHY821"/>
      <c r="AHZ821"/>
      <c r="AIA821"/>
      <c r="AIB821"/>
      <c r="AIC821"/>
      <c r="AID821"/>
      <c r="AIE821"/>
      <c r="AIF821"/>
      <c r="AIG821"/>
      <c r="AIH821"/>
      <c r="AII821"/>
      <c r="AIJ821"/>
      <c r="AIK821"/>
      <c r="AIL821"/>
      <c r="AIM821"/>
      <c r="AIN821"/>
      <c r="AIO821"/>
      <c r="AIP821"/>
      <c r="AIQ821"/>
      <c r="AIR821"/>
      <c r="AIS821"/>
      <c r="AIT821"/>
      <c r="AIU821"/>
      <c r="AIV821"/>
      <c r="AIW821"/>
      <c r="AIX821"/>
      <c r="AIY821"/>
      <c r="AIZ821"/>
      <c r="AJA821"/>
      <c r="AJB821"/>
      <c r="AJC821"/>
      <c r="AJD821"/>
      <c r="AJE821"/>
      <c r="AJF821"/>
      <c r="AJG821"/>
      <c r="AJH821"/>
      <c r="AJI821"/>
      <c r="AJJ821"/>
      <c r="AJK821"/>
      <c r="AJL821"/>
      <c r="AJM821"/>
      <c r="AJN821"/>
      <c r="AJO821"/>
      <c r="AJP821"/>
      <c r="AJQ821"/>
      <c r="AJR821"/>
      <c r="AJS821"/>
      <c r="AJT821"/>
      <c r="AJU821"/>
      <c r="AJV821"/>
      <c r="AJW821"/>
      <c r="AJX821"/>
      <c r="AJY821"/>
      <c r="AJZ821"/>
      <c r="AKA821"/>
      <c r="AKB821"/>
      <c r="AKC821"/>
      <c r="AKD821"/>
      <c r="AKE821"/>
      <c r="AKF821"/>
      <c r="AKG821"/>
      <c r="AKH821"/>
      <c r="AKI821"/>
      <c r="AKJ821"/>
      <c r="AKK821"/>
      <c r="AKL821"/>
      <c r="AKM821"/>
      <c r="AKN821"/>
      <c r="AKO821"/>
      <c r="AKP821"/>
      <c r="AKQ821"/>
      <c r="AKR821"/>
      <c r="AKS821"/>
      <c r="AKT821"/>
      <c r="AKU821"/>
      <c r="AKV821"/>
      <c r="AKW821"/>
      <c r="AKX821"/>
      <c r="AKY821"/>
      <c r="AKZ821"/>
      <c r="ALA821"/>
      <c r="ALB821"/>
      <c r="ALC821"/>
      <c r="ALD821"/>
      <c r="ALE821"/>
      <c r="ALF821"/>
      <c r="ALG821"/>
      <c r="ALH821"/>
      <c r="ALI821"/>
      <c r="ALJ821"/>
      <c r="ALK821"/>
      <c r="ALL821"/>
      <c r="ALM821"/>
      <c r="ALN821"/>
      <c r="ALO821"/>
      <c r="ALP821"/>
      <c r="ALQ821"/>
      <c r="ALR821"/>
      <c r="ALS821"/>
      <c r="ALT821"/>
    </row>
    <row r="822" spans="1:1008" ht="14">
      <c r="A822" s="24" t="s">
        <v>2833</v>
      </c>
      <c r="B822" s="25" t="s">
        <v>2823</v>
      </c>
      <c r="C822" s="24" t="str">
        <f t="shared" si="13"/>
        <v>ionchromatography</v>
      </c>
      <c r="D822" s="26" t="s">
        <v>12</v>
      </c>
      <c r="E822" s="24" t="s">
        <v>2831</v>
      </c>
      <c r="F822" s="24" t="s">
        <v>2832</v>
      </c>
      <c r="G822" s="24">
        <v>500</v>
      </c>
      <c r="H822" s="24"/>
    </row>
    <row r="823" spans="1:1008" ht="14">
      <c r="A823" s="24" t="s">
        <v>2197</v>
      </c>
      <c r="B823" s="25" t="s">
        <v>147</v>
      </c>
      <c r="C823" s="24" t="str">
        <f t="shared" si="13"/>
        <v>directlfq</v>
      </c>
      <c r="D823" s="26" t="s">
        <v>12</v>
      </c>
      <c r="E823" s="24" t="s">
        <v>2198</v>
      </c>
      <c r="F823" s="26" t="s">
        <v>12</v>
      </c>
      <c r="G823" s="24">
        <v>500</v>
      </c>
      <c r="H823" s="24"/>
    </row>
    <row r="824" spans="1:1008" ht="14">
      <c r="A824" s="24" t="s">
        <v>3870</v>
      </c>
      <c r="B824" s="25" t="s">
        <v>147</v>
      </c>
      <c r="C824" s="24" t="str">
        <f t="shared" si="13"/>
        <v>ibaq</v>
      </c>
      <c r="D824" s="26" t="s">
        <v>12</v>
      </c>
      <c r="E824" s="24" t="s">
        <v>3871</v>
      </c>
      <c r="F824" s="26" t="s">
        <v>3872</v>
      </c>
      <c r="G824" s="24">
        <v>500</v>
      </c>
      <c r="H824" s="24"/>
    </row>
    <row r="825" spans="1:1008" ht="14">
      <c r="A825" s="24" t="s">
        <v>2199</v>
      </c>
      <c r="B825" s="25" t="s">
        <v>147</v>
      </c>
      <c r="C825" s="24" t="str">
        <f t="shared" ref="C825:C892" si="15">A825</f>
        <v>maxlfq</v>
      </c>
      <c r="D825" s="26" t="s">
        <v>12</v>
      </c>
      <c r="E825" s="24" t="s">
        <v>2200</v>
      </c>
      <c r="F825" s="26" t="s">
        <v>12</v>
      </c>
      <c r="G825" s="24">
        <v>500</v>
      </c>
      <c r="H825" s="24"/>
    </row>
    <row r="826" spans="1:1008" ht="14">
      <c r="A826" s="24" t="s">
        <v>2201</v>
      </c>
      <c r="B826" s="25" t="s">
        <v>147</v>
      </c>
      <c r="C826" s="24" t="str">
        <f t="shared" si="15"/>
        <v>speccount</v>
      </c>
      <c r="D826" s="26" t="s">
        <v>12</v>
      </c>
      <c r="E826" s="24" t="s">
        <v>2202</v>
      </c>
      <c r="F826" s="26" t="s">
        <v>12</v>
      </c>
      <c r="G826" s="24">
        <v>500</v>
      </c>
      <c r="H826" s="24"/>
    </row>
    <row r="827" spans="1:1008" ht="14">
      <c r="A827" s="24" t="s">
        <v>2203</v>
      </c>
      <c r="B827" s="25" t="s">
        <v>148</v>
      </c>
      <c r="C827" s="24" t="str">
        <f t="shared" si="15"/>
        <v>isobaric</v>
      </c>
      <c r="D827" s="26" t="s">
        <v>12</v>
      </c>
      <c r="E827" s="24" t="s">
        <v>2203</v>
      </c>
      <c r="F827" s="24" t="s">
        <v>2204</v>
      </c>
      <c r="G827" s="24">
        <v>500</v>
      </c>
      <c r="H827" s="24"/>
    </row>
    <row r="828" spans="1:1008" ht="14">
      <c r="A828" s="24" t="s">
        <v>2205</v>
      </c>
      <c r="B828" s="25" t="s">
        <v>148</v>
      </c>
      <c r="C828" s="24" t="str">
        <f t="shared" si="15"/>
        <v>istopic</v>
      </c>
      <c r="D828" s="26" t="s">
        <v>12</v>
      </c>
      <c r="E828" s="24" t="s">
        <v>2205</v>
      </c>
      <c r="F828" s="24" t="s">
        <v>2206</v>
      </c>
      <c r="G828" s="24">
        <v>500</v>
      </c>
      <c r="H828" s="24"/>
    </row>
    <row r="829" spans="1:1008" ht="14">
      <c r="A829" s="24" t="s">
        <v>2207</v>
      </c>
      <c r="B829" s="25" t="s">
        <v>148</v>
      </c>
      <c r="C829" s="24" t="str">
        <f t="shared" si="15"/>
        <v>label_free</v>
      </c>
      <c r="D829" s="26" t="s">
        <v>12</v>
      </c>
      <c r="E829" s="24" t="s">
        <v>2208</v>
      </c>
      <c r="F829" s="24" t="s">
        <v>2209</v>
      </c>
      <c r="G829" s="24">
        <v>500</v>
      </c>
      <c r="H829" s="24"/>
    </row>
    <row r="830" spans="1:1008" ht="14">
      <c r="A830" s="24" t="s">
        <v>2210</v>
      </c>
      <c r="B830" s="25" t="s">
        <v>148</v>
      </c>
      <c r="C830" s="24" t="str">
        <f t="shared" si="15"/>
        <v>silac</v>
      </c>
      <c r="D830" s="26" t="s">
        <v>12</v>
      </c>
      <c r="E830" s="24" t="s">
        <v>2210</v>
      </c>
      <c r="F830" s="24" t="s">
        <v>2211</v>
      </c>
      <c r="G830" s="24">
        <v>500</v>
      </c>
      <c r="H830" s="24"/>
    </row>
    <row r="831" spans="1:1008" ht="14">
      <c r="A831" s="24" t="s">
        <v>2212</v>
      </c>
      <c r="B831" s="25" t="s">
        <v>151</v>
      </c>
      <c r="C831" s="24" t="str">
        <f t="shared" si="15"/>
        <v>dtt</v>
      </c>
      <c r="D831" s="26" t="s">
        <v>12</v>
      </c>
      <c r="E831" s="24" t="s">
        <v>2213</v>
      </c>
      <c r="F831" s="24" t="s">
        <v>2214</v>
      </c>
      <c r="G831" s="24">
        <v>500</v>
      </c>
      <c r="H831" s="24"/>
    </row>
    <row r="832" spans="1:1008" ht="14">
      <c r="A832" s="24" t="s">
        <v>3093</v>
      </c>
      <c r="B832" s="25" t="s">
        <v>151</v>
      </c>
      <c r="C832" s="24" t="str">
        <f t="shared" si="15"/>
        <v>no_reduction</v>
      </c>
      <c r="D832" s="26" t="s">
        <v>12</v>
      </c>
      <c r="E832" s="24" t="s">
        <v>262</v>
      </c>
      <c r="F832" s="24" t="s">
        <v>2215</v>
      </c>
      <c r="G832" s="24">
        <v>500</v>
      </c>
      <c r="H832" s="24"/>
    </row>
    <row r="833" spans="1:8" ht="14">
      <c r="A833" s="24" t="s">
        <v>2216</v>
      </c>
      <c r="B833" s="25" t="s">
        <v>151</v>
      </c>
      <c r="C833" s="24" t="str">
        <f t="shared" si="15"/>
        <v>tcep</v>
      </c>
      <c r="D833" s="26" t="s">
        <v>12</v>
      </c>
      <c r="E833" s="24" t="s">
        <v>2217</v>
      </c>
      <c r="F833" s="24" t="s">
        <v>2218</v>
      </c>
      <c r="G833" s="24">
        <v>500</v>
      </c>
      <c r="H833" s="24"/>
    </row>
    <row r="834" spans="1:8" ht="14">
      <c r="A834" s="24" t="s">
        <v>1285</v>
      </c>
      <c r="B834" s="25" t="s">
        <v>2219</v>
      </c>
      <c r="C834" s="24" t="str">
        <f t="shared" si="15"/>
        <v>apoptosis</v>
      </c>
      <c r="D834" s="26" t="s">
        <v>12</v>
      </c>
      <c r="E834" s="24" t="s">
        <v>1286</v>
      </c>
      <c r="F834" s="24" t="s">
        <v>2220</v>
      </c>
      <c r="G834" s="24">
        <v>500</v>
      </c>
      <c r="H834" s="24"/>
    </row>
    <row r="835" spans="1:8" ht="14">
      <c r="A835" s="24" t="s">
        <v>2221</v>
      </c>
      <c r="B835" s="25" t="s">
        <v>2219</v>
      </c>
      <c r="C835" s="24" t="str">
        <f t="shared" si="15"/>
        <v>autocrine</v>
      </c>
      <c r="D835" s="26" t="s">
        <v>12</v>
      </c>
      <c r="E835" s="24" t="s">
        <v>2222</v>
      </c>
      <c r="F835" s="24" t="s">
        <v>2223</v>
      </c>
      <c r="G835" s="24">
        <v>500</v>
      </c>
      <c r="H835" s="24"/>
    </row>
    <row r="836" spans="1:8" ht="14">
      <c r="A836" s="24" t="s">
        <v>2224</v>
      </c>
      <c r="B836" s="25" t="s">
        <v>2219</v>
      </c>
      <c r="C836" s="24" t="str">
        <f t="shared" si="15"/>
        <v>complement</v>
      </c>
      <c r="D836" s="26" t="s">
        <v>12</v>
      </c>
      <c r="E836" s="24" t="s">
        <v>2225</v>
      </c>
      <c r="F836" s="24" t="s">
        <v>2226</v>
      </c>
      <c r="G836" s="24">
        <v>500</v>
      </c>
      <c r="H836" s="24"/>
    </row>
    <row r="837" spans="1:8" ht="14">
      <c r="A837" s="24" t="s">
        <v>2227</v>
      </c>
      <c r="B837" s="25" t="s">
        <v>2219</v>
      </c>
      <c r="C837" s="24" t="str">
        <f t="shared" si="15"/>
        <v>cytokines</v>
      </c>
      <c r="D837" s="26" t="s">
        <v>12</v>
      </c>
      <c r="E837" s="24" t="s">
        <v>2228</v>
      </c>
      <c r="F837" s="24" t="s">
        <v>2229</v>
      </c>
      <c r="G837" s="24">
        <v>500</v>
      </c>
      <c r="H837" s="24"/>
    </row>
    <row r="838" spans="1:8" ht="14">
      <c r="A838" s="24" t="s">
        <v>2230</v>
      </c>
      <c r="B838" s="25" t="s">
        <v>2219</v>
      </c>
      <c r="C838" s="24" t="str">
        <f t="shared" si="15"/>
        <v>inflammation</v>
      </c>
      <c r="D838" s="26" t="s">
        <v>12</v>
      </c>
      <c r="E838" s="24" t="s">
        <v>2231</v>
      </c>
      <c r="F838" s="24" t="s">
        <v>2232</v>
      </c>
      <c r="G838" s="24">
        <v>500</v>
      </c>
      <c r="H838" s="24"/>
    </row>
    <row r="839" spans="1:8" ht="14">
      <c r="A839" s="24" t="s">
        <v>2233</v>
      </c>
      <c r="B839" s="25" t="s">
        <v>2219</v>
      </c>
      <c r="C839" s="24" t="str">
        <f t="shared" si="15"/>
        <v>insulin</v>
      </c>
      <c r="D839" s="26" t="s">
        <v>12</v>
      </c>
      <c r="E839" s="24" t="s">
        <v>2234</v>
      </c>
      <c r="F839" s="24" t="s">
        <v>2235</v>
      </c>
      <c r="G839" s="24">
        <v>500</v>
      </c>
      <c r="H839" s="24"/>
    </row>
    <row r="840" spans="1:8" ht="14">
      <c r="A840" s="24" t="s">
        <v>2236</v>
      </c>
      <c r="B840" s="25" t="s">
        <v>2219</v>
      </c>
      <c r="C840" s="24" t="str">
        <f t="shared" si="15"/>
        <v>juxtacrine</v>
      </c>
      <c r="D840" s="26" t="s">
        <v>12</v>
      </c>
      <c r="E840" s="24" t="s">
        <v>2237</v>
      </c>
      <c r="F840" s="24" t="s">
        <v>2238</v>
      </c>
      <c r="G840" s="24">
        <v>500</v>
      </c>
      <c r="H840" s="24"/>
    </row>
    <row r="841" spans="1:8" ht="14">
      <c r="A841" s="24" t="s">
        <v>2239</v>
      </c>
      <c r="B841" s="25" t="s">
        <v>2219</v>
      </c>
      <c r="C841" s="24" t="str">
        <f t="shared" si="15"/>
        <v>necrosis</v>
      </c>
      <c r="D841" s="26" t="s">
        <v>12</v>
      </c>
      <c r="E841" s="24" t="s">
        <v>2240</v>
      </c>
      <c r="F841" s="24" t="s">
        <v>2241</v>
      </c>
      <c r="G841" s="24">
        <v>500</v>
      </c>
      <c r="H841" s="24"/>
    </row>
    <row r="842" spans="1:8" ht="14">
      <c r="A842" s="24" t="s">
        <v>2242</v>
      </c>
      <c r="B842" s="25" t="s">
        <v>2219</v>
      </c>
      <c r="C842" s="24" t="str">
        <f t="shared" si="15"/>
        <v>paracrine</v>
      </c>
      <c r="D842" s="26" t="s">
        <v>12</v>
      </c>
      <c r="E842" s="24" t="s">
        <v>2243</v>
      </c>
      <c r="F842" s="24" t="s">
        <v>2244</v>
      </c>
      <c r="G842" s="24">
        <v>500</v>
      </c>
      <c r="H842" s="24"/>
    </row>
    <row r="843" spans="1:8" ht="14">
      <c r="A843" s="24" t="s">
        <v>1633</v>
      </c>
      <c r="B843" s="25" t="s">
        <v>2219</v>
      </c>
      <c r="C843" s="24" t="str">
        <f t="shared" si="15"/>
        <v>signaling</v>
      </c>
      <c r="D843" s="26" t="s">
        <v>12</v>
      </c>
      <c r="E843" s="24" t="s">
        <v>1634</v>
      </c>
      <c r="F843" s="24" t="s">
        <v>2245</v>
      </c>
      <c r="G843" s="24">
        <v>500</v>
      </c>
      <c r="H843" s="24"/>
    </row>
    <row r="844" spans="1:8" ht="14">
      <c r="A844" s="24" t="s">
        <v>2246</v>
      </c>
      <c r="B844" s="25" t="s">
        <v>26</v>
      </c>
      <c r="C844" s="24" t="str">
        <f t="shared" si="15"/>
        <v>diann</v>
      </c>
      <c r="D844" s="26" t="s">
        <v>12</v>
      </c>
      <c r="E844" s="24" t="s">
        <v>2247</v>
      </c>
      <c r="F844" s="24" t="s">
        <v>2248</v>
      </c>
      <c r="G844" s="24">
        <v>500</v>
      </c>
      <c r="H844" s="24"/>
    </row>
    <row r="845" spans="1:8" ht="14">
      <c r="A845" s="24" t="s">
        <v>2249</v>
      </c>
      <c r="B845" s="25" t="s">
        <v>26</v>
      </c>
      <c r="C845" s="24" t="str">
        <f t="shared" si="15"/>
        <v>maxquant</v>
      </c>
      <c r="D845" s="26" t="s">
        <v>12</v>
      </c>
      <c r="E845" s="24" t="s">
        <v>2250</v>
      </c>
      <c r="F845" s="24" t="s">
        <v>2251</v>
      </c>
      <c r="G845" s="24">
        <v>500</v>
      </c>
      <c r="H845" s="24"/>
    </row>
    <row r="846" spans="1:8" ht="14">
      <c r="A846" s="24" t="s">
        <v>2252</v>
      </c>
      <c r="B846" s="25" t="s">
        <v>26</v>
      </c>
      <c r="C846" s="24" t="str">
        <f t="shared" si="15"/>
        <v>metamorpheus</v>
      </c>
      <c r="D846" s="26" t="s">
        <v>12</v>
      </c>
      <c r="E846" s="24" t="s">
        <v>2253</v>
      </c>
      <c r="F846" s="24" t="s">
        <v>2254</v>
      </c>
      <c r="G846" s="24">
        <v>500</v>
      </c>
      <c r="H846" s="24"/>
    </row>
    <row r="847" spans="1:8" ht="14">
      <c r="A847" s="24" t="s">
        <v>2255</v>
      </c>
      <c r="B847" s="25" t="s">
        <v>26</v>
      </c>
      <c r="C847" s="24" t="str">
        <f t="shared" si="15"/>
        <v>minora</v>
      </c>
      <c r="D847" s="26" t="s">
        <v>12</v>
      </c>
      <c r="E847" s="24" t="s">
        <v>2256</v>
      </c>
      <c r="F847" s="24" t="s">
        <v>2257</v>
      </c>
      <c r="G847" s="24">
        <v>500</v>
      </c>
      <c r="H847" s="24"/>
    </row>
    <row r="848" spans="1:8" ht="14">
      <c r="A848" s="24" t="s">
        <v>2258</v>
      </c>
      <c r="B848" s="25" t="s">
        <v>26</v>
      </c>
      <c r="C848" s="24" t="str">
        <f t="shared" si="15"/>
        <v>msfragger</v>
      </c>
      <c r="D848" s="26" t="s">
        <v>12</v>
      </c>
      <c r="E848" s="24" t="s">
        <v>2259</v>
      </c>
      <c r="F848" s="24" t="s">
        <v>2260</v>
      </c>
      <c r="G848" s="24">
        <v>500</v>
      </c>
      <c r="H848" s="24"/>
    </row>
    <row r="849" spans="1:8" ht="14">
      <c r="A849" s="24" t="s">
        <v>2261</v>
      </c>
      <c r="B849" s="25" t="s">
        <v>26</v>
      </c>
      <c r="C849" s="24" t="str">
        <f t="shared" si="15"/>
        <v>msgf</v>
      </c>
      <c r="D849" s="26" t="s">
        <v>12</v>
      </c>
      <c r="E849" s="24" t="s">
        <v>2262</v>
      </c>
      <c r="F849" s="24" t="s">
        <v>2263</v>
      </c>
      <c r="G849" s="24">
        <v>500</v>
      </c>
      <c r="H849" s="24"/>
    </row>
    <row r="850" spans="1:8" ht="14">
      <c r="A850" s="24" t="s">
        <v>2264</v>
      </c>
      <c r="B850" s="25" t="s">
        <v>26</v>
      </c>
      <c r="C850" s="24" t="str">
        <f t="shared" si="15"/>
        <v>spectronaut</v>
      </c>
      <c r="D850" s="26" t="s">
        <v>12</v>
      </c>
      <c r="E850" s="24" t="s">
        <v>2265</v>
      </c>
      <c r="F850" s="24" t="s">
        <v>2266</v>
      </c>
      <c r="G850" s="24">
        <v>500</v>
      </c>
      <c r="H850" s="24"/>
    </row>
    <row r="851" spans="1:8" ht="14">
      <c r="A851" s="24" t="s">
        <v>2780</v>
      </c>
      <c r="B851" s="25" t="s">
        <v>2779</v>
      </c>
      <c r="C851" s="24" t="str">
        <f t="shared" si="15"/>
        <v>wc</v>
      </c>
      <c r="D851" s="26" t="s">
        <v>12</v>
      </c>
      <c r="E851" s="24" t="s">
        <v>2781</v>
      </c>
      <c r="F851" s="24" t="s">
        <v>2782</v>
      </c>
      <c r="G851" s="24">
        <v>500</v>
      </c>
      <c r="H851" s="24"/>
    </row>
    <row r="852" spans="1:8" ht="14">
      <c r="A852" s="24" t="s">
        <v>2784</v>
      </c>
      <c r="B852" s="25" t="s">
        <v>2779</v>
      </c>
      <c r="C852" s="24" t="str">
        <f t="shared" si="15"/>
        <v>membrane</v>
      </c>
      <c r="D852" s="26" t="s">
        <v>12</v>
      </c>
      <c r="E852" s="24" t="s">
        <v>2785</v>
      </c>
      <c r="F852" s="24" t="s">
        <v>2786</v>
      </c>
      <c r="G852" s="24">
        <v>500</v>
      </c>
      <c r="H852" s="24"/>
    </row>
    <row r="853" spans="1:8" ht="14">
      <c r="A853" s="24" t="s">
        <v>2783</v>
      </c>
      <c r="B853" s="25" t="s">
        <v>2779</v>
      </c>
      <c r="C853" s="24" t="str">
        <f t="shared" si="15"/>
        <v>mitochondria</v>
      </c>
      <c r="D853" s="26" t="s">
        <v>12</v>
      </c>
      <c r="E853" s="24" t="s">
        <v>2800</v>
      </c>
      <c r="F853" s="24" t="s">
        <v>2799</v>
      </c>
      <c r="G853" s="24">
        <v>500</v>
      </c>
      <c r="H853" s="24"/>
    </row>
    <row r="854" spans="1:8" ht="14">
      <c r="A854" s="24" t="s">
        <v>2813</v>
      </c>
      <c r="B854" s="25" t="s">
        <v>2779</v>
      </c>
      <c r="C854" s="24" t="str">
        <f t="shared" si="15"/>
        <v>mitochondriapk</v>
      </c>
      <c r="D854" s="26" t="s">
        <v>12</v>
      </c>
      <c r="E854" s="24" t="s">
        <v>2811</v>
      </c>
      <c r="F854" s="24" t="s">
        <v>2812</v>
      </c>
      <c r="G854" s="24">
        <v>500</v>
      </c>
      <c r="H854" s="24"/>
    </row>
    <row r="855" spans="1:8" ht="14">
      <c r="A855" s="24" t="s">
        <v>4054</v>
      </c>
      <c r="B855" s="25" t="s">
        <v>2779</v>
      </c>
      <c r="C855" s="24" t="str">
        <f t="shared" ref="C855" si="16">A855</f>
        <v>mitochondriace</v>
      </c>
      <c r="D855" s="26" t="s">
        <v>12</v>
      </c>
      <c r="E855" s="24" t="s">
        <v>4052</v>
      </c>
      <c r="F855" s="24" t="s">
        <v>4053</v>
      </c>
      <c r="G855" s="24">
        <v>500</v>
      </c>
      <c r="H855" s="24"/>
    </row>
    <row r="856" spans="1:8" ht="14">
      <c r="A856" s="24" t="s">
        <v>2787</v>
      </c>
      <c r="B856" s="25" t="s">
        <v>2779</v>
      </c>
      <c r="C856" s="24" t="str">
        <f t="shared" si="15"/>
        <v>golgi</v>
      </c>
      <c r="D856" s="26" t="s">
        <v>12</v>
      </c>
      <c r="E856" s="24" t="s">
        <v>2788</v>
      </c>
      <c r="F856" s="24" t="s">
        <v>2789</v>
      </c>
      <c r="G856" s="24">
        <v>500</v>
      </c>
      <c r="H856" s="24"/>
    </row>
    <row r="857" spans="1:8" ht="14">
      <c r="A857" s="24" t="s">
        <v>2790</v>
      </c>
      <c r="B857" s="25" t="s">
        <v>2779</v>
      </c>
      <c r="C857" s="24" t="str">
        <f t="shared" si="15"/>
        <v>plasmamembrane</v>
      </c>
      <c r="D857" s="26" t="s">
        <v>12</v>
      </c>
      <c r="E857" s="24" t="s">
        <v>2798</v>
      </c>
      <c r="F857" s="24" t="s">
        <v>2791</v>
      </c>
      <c r="G857" s="24">
        <v>500</v>
      </c>
      <c r="H857" s="24"/>
    </row>
    <row r="858" spans="1:8" ht="14">
      <c r="A858" s="24" t="s">
        <v>2792</v>
      </c>
      <c r="B858" s="25" t="s">
        <v>2779</v>
      </c>
      <c r="C858" s="24" t="str">
        <f t="shared" si="15"/>
        <v>nucleus</v>
      </c>
      <c r="D858" s="26" t="s">
        <v>12</v>
      </c>
      <c r="E858" s="24" t="s">
        <v>2793</v>
      </c>
      <c r="F858" s="24" t="s">
        <v>2794</v>
      </c>
      <c r="G858" s="24">
        <v>500</v>
      </c>
      <c r="H858" s="24"/>
    </row>
    <row r="859" spans="1:8" ht="14">
      <c r="A859" s="24" t="s">
        <v>2795</v>
      </c>
      <c r="B859" s="25" t="s">
        <v>2779</v>
      </c>
      <c r="C859" s="24" t="str">
        <f t="shared" si="15"/>
        <v>cytosol</v>
      </c>
      <c r="D859" s="26" t="s">
        <v>12</v>
      </c>
      <c r="E859" s="24" t="s">
        <v>2796</v>
      </c>
      <c r="F859" s="24" t="s">
        <v>2797</v>
      </c>
      <c r="G859" s="24">
        <v>500</v>
      </c>
      <c r="H859" s="24"/>
    </row>
    <row r="860" spans="1:8" ht="14">
      <c r="A860" s="24" t="s">
        <v>4049</v>
      </c>
      <c r="B860" s="25" t="s">
        <v>2779</v>
      </c>
      <c r="C860" s="24" t="str">
        <f t="shared" si="15"/>
        <v>er</v>
      </c>
      <c r="D860" s="26" t="s">
        <v>12</v>
      </c>
      <c r="E860" s="24" t="s">
        <v>4051</v>
      </c>
      <c r="F860" s="24" t="s">
        <v>4050</v>
      </c>
      <c r="G860" s="24">
        <v>500</v>
      </c>
      <c r="H860" s="24"/>
    </row>
    <row r="861" spans="1:8" ht="14">
      <c r="A861" s="24" t="s">
        <v>4059</v>
      </c>
      <c r="B861" s="25" t="s">
        <v>2779</v>
      </c>
      <c r="C861" s="24" t="str">
        <f t="shared" si="15"/>
        <v>ercesup</v>
      </c>
      <c r="D861" s="26" t="s">
        <v>12</v>
      </c>
      <c r="E861" s="24" t="s">
        <v>4055</v>
      </c>
      <c r="F861" s="24" t="s">
        <v>4057</v>
      </c>
      <c r="G861" s="24">
        <v>500</v>
      </c>
      <c r="H861" s="24"/>
    </row>
    <row r="862" spans="1:8" ht="14">
      <c r="A862" s="24" t="s">
        <v>4060</v>
      </c>
      <c r="B862" s="25" t="s">
        <v>2779</v>
      </c>
      <c r="C862" s="24" t="str">
        <f t="shared" ref="C862" si="17">A862</f>
        <v>ercepellet</v>
      </c>
      <c r="D862" s="26" t="s">
        <v>12</v>
      </c>
      <c r="E862" s="24" t="s">
        <v>4056</v>
      </c>
      <c r="F862" s="24" t="s">
        <v>4058</v>
      </c>
      <c r="G862" s="24">
        <v>500</v>
      </c>
      <c r="H862" s="24"/>
    </row>
    <row r="863" spans="1:8" ht="14">
      <c r="A863" s="24" t="s">
        <v>2267</v>
      </c>
      <c r="B863" s="25" t="s">
        <v>158</v>
      </c>
      <c r="C863" s="24" t="str">
        <f t="shared" si="15"/>
        <v>adipose</v>
      </c>
      <c r="D863" s="24" t="s">
        <v>2267</v>
      </c>
      <c r="E863" s="24" t="s">
        <v>2268</v>
      </c>
      <c r="F863" s="24" t="s">
        <v>2269</v>
      </c>
      <c r="G863" s="24">
        <v>500</v>
      </c>
      <c r="H863" s="24"/>
    </row>
    <row r="864" spans="1:8" ht="14">
      <c r="A864" s="24" t="s">
        <v>2270</v>
      </c>
      <c r="B864" s="25" t="s">
        <v>158</v>
      </c>
      <c r="C864" s="24" t="str">
        <f t="shared" si="15"/>
        <v>areolar</v>
      </c>
      <c r="D864" s="24" t="s">
        <v>2270</v>
      </c>
      <c r="E864" s="24" t="s">
        <v>2271</v>
      </c>
      <c r="F864" s="24" t="s">
        <v>2272</v>
      </c>
      <c r="G864" s="24">
        <v>500</v>
      </c>
      <c r="H864" s="24"/>
    </row>
    <row r="865" spans="1:8" ht="14">
      <c r="A865" s="24" t="s">
        <v>2273</v>
      </c>
      <c r="B865" s="25" t="s">
        <v>158</v>
      </c>
      <c r="C865" s="24" t="str">
        <f t="shared" si="15"/>
        <v>blood</v>
      </c>
      <c r="D865" s="24" t="s">
        <v>2273</v>
      </c>
      <c r="E865" s="24" t="s">
        <v>2274</v>
      </c>
      <c r="F865" s="24" t="s">
        <v>2274</v>
      </c>
      <c r="G865" s="24">
        <v>500</v>
      </c>
      <c r="H865" s="24"/>
    </row>
    <row r="866" spans="1:8" ht="14">
      <c r="A866" s="24" t="s">
        <v>2275</v>
      </c>
      <c r="B866" s="25" t="s">
        <v>158</v>
      </c>
      <c r="C866" s="24" t="str">
        <f t="shared" si="15"/>
        <v>connective</v>
      </c>
      <c r="D866" s="24" t="s">
        <v>2275</v>
      </c>
      <c r="E866" s="24" t="s">
        <v>2276</v>
      </c>
      <c r="F866" s="24" t="s">
        <v>2277</v>
      </c>
      <c r="G866" s="24">
        <v>500</v>
      </c>
      <c r="H866" s="24"/>
    </row>
    <row r="867" spans="1:8" ht="14">
      <c r="A867" s="24" t="s">
        <v>2278</v>
      </c>
      <c r="B867" s="25" t="s">
        <v>158</v>
      </c>
      <c r="C867" s="24" t="str">
        <f t="shared" si="15"/>
        <v>dermis</v>
      </c>
      <c r="D867" s="24" t="s">
        <v>2278</v>
      </c>
      <c r="E867" s="24" t="s">
        <v>2279</v>
      </c>
      <c r="F867" s="24" t="s">
        <v>2279</v>
      </c>
      <c r="G867" s="24">
        <v>500</v>
      </c>
      <c r="H867" s="24"/>
    </row>
    <row r="868" spans="1:8" ht="14">
      <c r="A868" s="24" t="s">
        <v>2280</v>
      </c>
      <c r="B868" s="25" t="s">
        <v>158</v>
      </c>
      <c r="C868" s="24" t="str">
        <f t="shared" si="15"/>
        <v>epidermis</v>
      </c>
      <c r="D868" s="24" t="s">
        <v>2280</v>
      </c>
      <c r="E868" s="24" t="s">
        <v>2281</v>
      </c>
      <c r="F868" s="24" t="s">
        <v>2281</v>
      </c>
      <c r="G868" s="24">
        <v>500</v>
      </c>
      <c r="H868" s="24"/>
    </row>
    <row r="869" spans="1:8" ht="14">
      <c r="A869" s="24" t="s">
        <v>2282</v>
      </c>
      <c r="B869" s="25" t="s">
        <v>158</v>
      </c>
      <c r="C869" s="24" t="str">
        <f t="shared" si="15"/>
        <v>epithelial</v>
      </c>
      <c r="D869" s="24" t="s">
        <v>2282</v>
      </c>
      <c r="E869" s="24" t="s">
        <v>2283</v>
      </c>
      <c r="F869" s="24" t="s">
        <v>2284</v>
      </c>
      <c r="G869" s="24">
        <v>500</v>
      </c>
      <c r="H869" s="24"/>
    </row>
    <row r="870" spans="1:8" ht="14">
      <c r="A870" s="24" t="s">
        <v>2285</v>
      </c>
      <c r="B870" s="25" t="s">
        <v>158</v>
      </c>
      <c r="C870" s="24" t="str">
        <f t="shared" si="15"/>
        <v>hypodermis</v>
      </c>
      <c r="D870" s="24" t="s">
        <v>2285</v>
      </c>
      <c r="E870" s="24" t="s">
        <v>2286</v>
      </c>
      <c r="F870" s="24" t="s">
        <v>2286</v>
      </c>
      <c r="G870" s="24">
        <v>500</v>
      </c>
      <c r="H870" s="24"/>
    </row>
    <row r="871" spans="1:8" ht="14">
      <c r="A871" s="24" t="s">
        <v>2287</v>
      </c>
      <c r="B871" s="25" t="s">
        <v>158</v>
      </c>
      <c r="C871" s="24" t="str">
        <f t="shared" si="15"/>
        <v>muscle</v>
      </c>
      <c r="D871" s="24" t="s">
        <v>2287</v>
      </c>
      <c r="E871" s="24" t="s">
        <v>2680</v>
      </c>
      <c r="F871" s="24" t="s">
        <v>2288</v>
      </c>
      <c r="G871" s="24">
        <v>500</v>
      </c>
      <c r="H871" s="24"/>
    </row>
    <row r="872" spans="1:8" ht="14">
      <c r="A872" s="24" t="s">
        <v>2289</v>
      </c>
      <c r="B872" s="25" t="s">
        <v>158</v>
      </c>
      <c r="C872" s="24" t="str">
        <f t="shared" si="15"/>
        <v>nervous</v>
      </c>
      <c r="D872" s="24" t="s">
        <v>2289</v>
      </c>
      <c r="E872" s="24" t="s">
        <v>2108</v>
      </c>
      <c r="F872" s="24" t="s">
        <v>2290</v>
      </c>
      <c r="G872" s="24">
        <v>500</v>
      </c>
      <c r="H872" s="24"/>
    </row>
    <row r="873" spans="1:8" ht="14">
      <c r="A873" s="24" t="s">
        <v>2291</v>
      </c>
      <c r="B873" s="25" t="s">
        <v>158</v>
      </c>
      <c r="C873" s="24" t="str">
        <f t="shared" si="15"/>
        <v>reticular</v>
      </c>
      <c r="D873" s="24" t="s">
        <v>2291</v>
      </c>
      <c r="E873" s="24" t="s">
        <v>2292</v>
      </c>
      <c r="F873" s="24" t="s">
        <v>2293</v>
      </c>
      <c r="G873" s="24">
        <v>500</v>
      </c>
      <c r="H873" s="24"/>
    </row>
    <row r="874" spans="1:8" ht="14">
      <c r="A874" s="24" t="s">
        <v>2294</v>
      </c>
      <c r="B874" s="25" t="s">
        <v>158</v>
      </c>
      <c r="C874" s="24" t="str">
        <f t="shared" si="15"/>
        <v>stromal</v>
      </c>
      <c r="D874" s="24" t="s">
        <v>2294</v>
      </c>
      <c r="E874" s="24" t="s">
        <v>2295</v>
      </c>
      <c r="F874" s="24" t="s">
        <v>2296</v>
      </c>
      <c r="G874" s="24">
        <v>500</v>
      </c>
      <c r="H874" s="24"/>
    </row>
    <row r="875" spans="1:8" ht="14">
      <c r="A875" s="24" t="s">
        <v>2297</v>
      </c>
      <c r="B875" s="25" t="s">
        <v>160</v>
      </c>
      <c r="C875" s="24" t="str">
        <f t="shared" si="15"/>
        <v>tmt10_126</v>
      </c>
      <c r="D875" s="26" t="s">
        <v>12</v>
      </c>
      <c r="E875" s="24">
        <v>126</v>
      </c>
      <c r="F875" s="26" t="s">
        <v>12</v>
      </c>
      <c r="G875" s="24">
        <v>500</v>
      </c>
      <c r="H875" s="24"/>
    </row>
    <row r="876" spans="1:8" ht="14">
      <c r="A876" s="24" t="s">
        <v>2298</v>
      </c>
      <c r="B876" s="25" t="s">
        <v>160</v>
      </c>
      <c r="C876" s="24" t="str">
        <f t="shared" si="15"/>
        <v>tmt10_127C</v>
      </c>
      <c r="D876" s="26" t="s">
        <v>12</v>
      </c>
      <c r="E876" s="24" t="s">
        <v>2299</v>
      </c>
      <c r="F876" s="26" t="s">
        <v>12</v>
      </c>
      <c r="G876" s="24">
        <v>500</v>
      </c>
      <c r="H876" s="24"/>
    </row>
    <row r="877" spans="1:8" ht="14">
      <c r="A877" s="24" t="s">
        <v>2300</v>
      </c>
      <c r="B877" s="25" t="s">
        <v>160</v>
      </c>
      <c r="C877" s="24" t="str">
        <f t="shared" si="15"/>
        <v>tmt10_127N</v>
      </c>
      <c r="D877" s="26" t="s">
        <v>12</v>
      </c>
      <c r="E877" s="24" t="s">
        <v>2301</v>
      </c>
      <c r="F877" s="26" t="s">
        <v>12</v>
      </c>
      <c r="G877" s="24">
        <v>500</v>
      </c>
      <c r="H877" s="24"/>
    </row>
    <row r="878" spans="1:8" ht="14">
      <c r="A878" s="24" t="s">
        <v>2302</v>
      </c>
      <c r="B878" s="25" t="s">
        <v>160</v>
      </c>
      <c r="C878" s="24" t="str">
        <f t="shared" si="15"/>
        <v>tmt10_128C</v>
      </c>
      <c r="D878" s="26" t="s">
        <v>12</v>
      </c>
      <c r="E878" s="24" t="s">
        <v>2303</v>
      </c>
      <c r="F878" s="26" t="s">
        <v>12</v>
      </c>
      <c r="G878" s="24">
        <v>500</v>
      </c>
      <c r="H878" s="24"/>
    </row>
    <row r="879" spans="1:8" ht="14">
      <c r="A879" s="24" t="s">
        <v>2304</v>
      </c>
      <c r="B879" s="25" t="s">
        <v>160</v>
      </c>
      <c r="C879" s="24" t="str">
        <f t="shared" si="15"/>
        <v>tmt10_128N</v>
      </c>
      <c r="D879" s="26" t="s">
        <v>12</v>
      </c>
      <c r="E879" s="24" t="s">
        <v>2305</v>
      </c>
      <c r="F879" s="26" t="s">
        <v>12</v>
      </c>
      <c r="G879" s="24">
        <v>500</v>
      </c>
      <c r="H879" s="24"/>
    </row>
    <row r="880" spans="1:8" ht="14">
      <c r="A880" s="24" t="s">
        <v>2306</v>
      </c>
      <c r="B880" s="25" t="s">
        <v>160</v>
      </c>
      <c r="C880" s="24" t="str">
        <f t="shared" si="15"/>
        <v>tmt10_129C</v>
      </c>
      <c r="D880" s="26" t="s">
        <v>12</v>
      </c>
      <c r="E880" s="24" t="s">
        <v>2307</v>
      </c>
      <c r="F880" s="26" t="s">
        <v>12</v>
      </c>
      <c r="G880" s="24">
        <v>500</v>
      </c>
      <c r="H880" s="24"/>
    </row>
    <row r="881" spans="1:8" ht="14">
      <c r="A881" s="24" t="s">
        <v>2308</v>
      </c>
      <c r="B881" s="25" t="s">
        <v>160</v>
      </c>
      <c r="C881" s="24" t="str">
        <f t="shared" si="15"/>
        <v>tmt10_129N</v>
      </c>
      <c r="D881" s="26" t="s">
        <v>12</v>
      </c>
      <c r="E881" s="24" t="s">
        <v>2309</v>
      </c>
      <c r="F881" s="26" t="s">
        <v>12</v>
      </c>
      <c r="G881" s="24">
        <v>500</v>
      </c>
      <c r="H881" s="24"/>
    </row>
    <row r="882" spans="1:8" ht="14">
      <c r="A882" s="24" t="s">
        <v>2310</v>
      </c>
      <c r="B882" s="25" t="s">
        <v>160</v>
      </c>
      <c r="C882" s="24" t="str">
        <f t="shared" si="15"/>
        <v>tmt10_130C</v>
      </c>
      <c r="D882" s="26" t="s">
        <v>12</v>
      </c>
      <c r="E882" s="24" t="s">
        <v>2311</v>
      </c>
      <c r="F882" s="26" t="s">
        <v>12</v>
      </c>
      <c r="G882" s="24">
        <v>500</v>
      </c>
      <c r="H882" s="24"/>
    </row>
    <row r="883" spans="1:8" ht="14">
      <c r="A883" s="24" t="s">
        <v>2312</v>
      </c>
      <c r="B883" s="25" t="s">
        <v>160</v>
      </c>
      <c r="C883" s="24" t="str">
        <f t="shared" si="15"/>
        <v>tmt10_130N</v>
      </c>
      <c r="D883" s="26" t="s">
        <v>12</v>
      </c>
      <c r="E883" s="24" t="s">
        <v>2313</v>
      </c>
      <c r="F883" s="26" t="s">
        <v>12</v>
      </c>
      <c r="G883" s="24">
        <v>500</v>
      </c>
      <c r="H883" s="24"/>
    </row>
    <row r="884" spans="1:8" ht="14">
      <c r="A884" s="24" t="s">
        <v>2314</v>
      </c>
      <c r="B884" s="25" t="s">
        <v>160</v>
      </c>
      <c r="C884" s="24" t="str">
        <f t="shared" si="15"/>
        <v>tmt10_131</v>
      </c>
      <c r="D884" s="26" t="s">
        <v>12</v>
      </c>
      <c r="E884" s="24">
        <v>131</v>
      </c>
      <c r="F884" s="26" t="s">
        <v>12</v>
      </c>
      <c r="G884" s="24">
        <v>500</v>
      </c>
      <c r="H884" s="24"/>
    </row>
    <row r="885" spans="1:8" ht="14">
      <c r="A885" s="24" t="s">
        <v>2315</v>
      </c>
      <c r="B885" s="25" t="s">
        <v>160</v>
      </c>
      <c r="C885" s="24" t="str">
        <f t="shared" si="15"/>
        <v>tmt11_126</v>
      </c>
      <c r="D885" s="26" t="s">
        <v>12</v>
      </c>
      <c r="E885" s="24">
        <v>126</v>
      </c>
      <c r="F885" s="26" t="s">
        <v>12</v>
      </c>
      <c r="G885" s="24">
        <v>500</v>
      </c>
      <c r="H885" s="24"/>
    </row>
    <row r="886" spans="1:8" ht="14">
      <c r="A886" s="24" t="s">
        <v>2316</v>
      </c>
      <c r="B886" s="25" t="s">
        <v>160</v>
      </c>
      <c r="C886" s="24" t="str">
        <f t="shared" si="15"/>
        <v>tmt11_127C</v>
      </c>
      <c r="D886" s="26" t="s">
        <v>12</v>
      </c>
      <c r="E886" s="24" t="s">
        <v>2299</v>
      </c>
      <c r="F886" s="26" t="s">
        <v>12</v>
      </c>
      <c r="G886" s="24">
        <v>500</v>
      </c>
      <c r="H886" s="24"/>
    </row>
    <row r="887" spans="1:8" ht="14">
      <c r="A887" s="24" t="s">
        <v>2317</v>
      </c>
      <c r="B887" s="25" t="s">
        <v>160</v>
      </c>
      <c r="C887" s="24" t="str">
        <f t="shared" si="15"/>
        <v>tmt11_127N</v>
      </c>
      <c r="D887" s="26" t="s">
        <v>12</v>
      </c>
      <c r="E887" s="24" t="s">
        <v>2301</v>
      </c>
      <c r="F887" s="26" t="s">
        <v>12</v>
      </c>
      <c r="G887" s="24">
        <v>500</v>
      </c>
      <c r="H887" s="24"/>
    </row>
    <row r="888" spans="1:8" ht="14">
      <c r="A888" s="24" t="s">
        <v>2318</v>
      </c>
      <c r="B888" s="25" t="s">
        <v>160</v>
      </c>
      <c r="C888" s="24" t="str">
        <f t="shared" si="15"/>
        <v>tmt11_128C</v>
      </c>
      <c r="D888" s="26" t="s">
        <v>12</v>
      </c>
      <c r="E888" s="24" t="s">
        <v>2303</v>
      </c>
      <c r="F888" s="26" t="s">
        <v>12</v>
      </c>
      <c r="G888" s="24">
        <v>500</v>
      </c>
      <c r="H888" s="24"/>
    </row>
    <row r="889" spans="1:8" ht="14">
      <c r="A889" s="24" t="s">
        <v>2319</v>
      </c>
      <c r="B889" s="25" t="s">
        <v>160</v>
      </c>
      <c r="C889" s="24" t="str">
        <f t="shared" si="15"/>
        <v>tmt11_128N</v>
      </c>
      <c r="D889" s="26" t="s">
        <v>12</v>
      </c>
      <c r="E889" s="24" t="s">
        <v>2305</v>
      </c>
      <c r="F889" s="26" t="s">
        <v>12</v>
      </c>
      <c r="G889" s="24">
        <v>500</v>
      </c>
      <c r="H889" s="24"/>
    </row>
    <row r="890" spans="1:8" ht="14">
      <c r="A890" s="24" t="s">
        <v>2320</v>
      </c>
      <c r="B890" s="25" t="s">
        <v>160</v>
      </c>
      <c r="C890" s="24" t="str">
        <f t="shared" si="15"/>
        <v>tmt11_129C</v>
      </c>
      <c r="D890" s="26" t="s">
        <v>12</v>
      </c>
      <c r="E890" s="24" t="s">
        <v>2307</v>
      </c>
      <c r="F890" s="26" t="s">
        <v>12</v>
      </c>
      <c r="G890" s="24">
        <v>500</v>
      </c>
      <c r="H890" s="24"/>
    </row>
    <row r="891" spans="1:8" ht="14">
      <c r="A891" s="24" t="s">
        <v>2321</v>
      </c>
      <c r="B891" s="25" t="s">
        <v>160</v>
      </c>
      <c r="C891" s="24" t="str">
        <f t="shared" si="15"/>
        <v>tmt11_129N</v>
      </c>
      <c r="D891" s="26" t="s">
        <v>12</v>
      </c>
      <c r="E891" s="24" t="s">
        <v>2309</v>
      </c>
      <c r="F891" s="26" t="s">
        <v>12</v>
      </c>
      <c r="G891" s="24">
        <v>500</v>
      </c>
      <c r="H891" s="24"/>
    </row>
    <row r="892" spans="1:8" ht="14">
      <c r="A892" s="24" t="s">
        <v>2322</v>
      </c>
      <c r="B892" s="25" t="s">
        <v>160</v>
      </c>
      <c r="C892" s="24" t="str">
        <f t="shared" si="15"/>
        <v>tmt11_130C</v>
      </c>
      <c r="D892" s="26" t="s">
        <v>12</v>
      </c>
      <c r="E892" s="24" t="s">
        <v>2311</v>
      </c>
      <c r="F892" s="26" t="s">
        <v>12</v>
      </c>
      <c r="G892" s="24">
        <v>500</v>
      </c>
      <c r="H892" s="24"/>
    </row>
    <row r="893" spans="1:8" ht="14">
      <c r="A893" s="24" t="s">
        <v>2323</v>
      </c>
      <c r="B893" s="25" t="s">
        <v>160</v>
      </c>
      <c r="C893" s="24" t="str">
        <f t="shared" ref="C893:C961" si="18">A893</f>
        <v>tmt11_130N</v>
      </c>
      <c r="D893" s="26" t="s">
        <v>12</v>
      </c>
      <c r="E893" s="24" t="s">
        <v>2313</v>
      </c>
      <c r="F893" s="26" t="s">
        <v>12</v>
      </c>
      <c r="G893" s="24">
        <v>500</v>
      </c>
      <c r="H893" s="24"/>
    </row>
    <row r="894" spans="1:8" ht="14">
      <c r="A894" s="24" t="s">
        <v>2324</v>
      </c>
      <c r="B894" s="25" t="s">
        <v>160</v>
      </c>
      <c r="C894" s="24" t="str">
        <f t="shared" si="18"/>
        <v>tmt11_131C</v>
      </c>
      <c r="D894" s="26" t="s">
        <v>12</v>
      </c>
      <c r="E894" s="24" t="s">
        <v>2325</v>
      </c>
      <c r="F894" s="26" t="s">
        <v>12</v>
      </c>
      <c r="G894" s="24">
        <v>500</v>
      </c>
      <c r="H894" s="24"/>
    </row>
    <row r="895" spans="1:8" ht="14">
      <c r="A895" s="24" t="s">
        <v>2326</v>
      </c>
      <c r="B895" s="25" t="s">
        <v>160</v>
      </c>
      <c r="C895" s="24" t="str">
        <f t="shared" si="18"/>
        <v>tmt11_131N</v>
      </c>
      <c r="D895" s="26" t="s">
        <v>12</v>
      </c>
      <c r="E895" s="24" t="s">
        <v>2327</v>
      </c>
      <c r="F895" s="26" t="s">
        <v>12</v>
      </c>
      <c r="G895" s="24">
        <v>500</v>
      </c>
      <c r="H895" s="24"/>
    </row>
    <row r="896" spans="1:8" ht="14">
      <c r="A896" s="24" t="s">
        <v>2328</v>
      </c>
      <c r="B896" s="25" t="s">
        <v>160</v>
      </c>
      <c r="C896" s="24" t="str">
        <f t="shared" si="18"/>
        <v>tmt18_126</v>
      </c>
      <c r="D896" s="26" t="s">
        <v>12</v>
      </c>
      <c r="E896" s="24">
        <v>126</v>
      </c>
      <c r="F896" s="26" t="s">
        <v>12</v>
      </c>
      <c r="G896" s="24">
        <v>500</v>
      </c>
      <c r="H896" s="24"/>
    </row>
    <row r="897" spans="1:8" ht="14">
      <c r="A897" s="24" t="s">
        <v>2329</v>
      </c>
      <c r="B897" s="25" t="s">
        <v>160</v>
      </c>
      <c r="C897" s="24" t="str">
        <f t="shared" si="18"/>
        <v>tmt18_127C</v>
      </c>
      <c r="D897" s="26" t="s">
        <v>12</v>
      </c>
      <c r="E897" s="24" t="s">
        <v>2299</v>
      </c>
      <c r="F897" s="26" t="s">
        <v>12</v>
      </c>
      <c r="G897" s="24">
        <v>500</v>
      </c>
      <c r="H897" s="24"/>
    </row>
    <row r="898" spans="1:8" ht="14">
      <c r="A898" s="24" t="s">
        <v>2330</v>
      </c>
      <c r="B898" s="25" t="s">
        <v>160</v>
      </c>
      <c r="C898" s="24" t="str">
        <f t="shared" si="18"/>
        <v>tmt18_127N</v>
      </c>
      <c r="D898" s="26" t="s">
        <v>12</v>
      </c>
      <c r="E898" s="24" t="s">
        <v>2301</v>
      </c>
      <c r="F898" s="26" t="s">
        <v>12</v>
      </c>
      <c r="G898" s="24">
        <v>500</v>
      </c>
      <c r="H898" s="24"/>
    </row>
    <row r="899" spans="1:8" ht="14">
      <c r="A899" s="24" t="s">
        <v>2331</v>
      </c>
      <c r="B899" s="25" t="s">
        <v>160</v>
      </c>
      <c r="C899" s="24" t="str">
        <f t="shared" si="18"/>
        <v>tmt18_128C</v>
      </c>
      <c r="D899" s="26" t="s">
        <v>12</v>
      </c>
      <c r="E899" s="24" t="s">
        <v>2303</v>
      </c>
      <c r="F899" s="26" t="s">
        <v>12</v>
      </c>
      <c r="G899" s="24">
        <v>500</v>
      </c>
      <c r="H899" s="24"/>
    </row>
    <row r="900" spans="1:8" ht="14">
      <c r="A900" s="24" t="s">
        <v>2332</v>
      </c>
      <c r="B900" s="25" t="s">
        <v>160</v>
      </c>
      <c r="C900" s="24" t="str">
        <f t="shared" si="18"/>
        <v>tmt18_128N</v>
      </c>
      <c r="D900" s="26" t="s">
        <v>12</v>
      </c>
      <c r="E900" s="24" t="s">
        <v>2305</v>
      </c>
      <c r="F900" s="26" t="s">
        <v>12</v>
      </c>
      <c r="G900" s="24">
        <v>500</v>
      </c>
      <c r="H900" s="24"/>
    </row>
    <row r="901" spans="1:8" ht="14">
      <c r="A901" s="24" t="s">
        <v>2333</v>
      </c>
      <c r="B901" s="25" t="s">
        <v>160</v>
      </c>
      <c r="C901" s="24" t="str">
        <f t="shared" si="18"/>
        <v>tmt18_129C</v>
      </c>
      <c r="D901" s="26" t="s">
        <v>12</v>
      </c>
      <c r="E901" s="24" t="s">
        <v>2307</v>
      </c>
      <c r="F901" s="26" t="s">
        <v>12</v>
      </c>
      <c r="G901" s="24">
        <v>500</v>
      </c>
      <c r="H901" s="24"/>
    </row>
    <row r="902" spans="1:8" ht="14">
      <c r="A902" s="24" t="s">
        <v>2334</v>
      </c>
      <c r="B902" s="25" t="s">
        <v>160</v>
      </c>
      <c r="C902" s="24" t="str">
        <f t="shared" si="18"/>
        <v>tmt18_129N</v>
      </c>
      <c r="D902" s="26" t="s">
        <v>12</v>
      </c>
      <c r="E902" s="24" t="s">
        <v>2309</v>
      </c>
      <c r="F902" s="26" t="s">
        <v>12</v>
      </c>
      <c r="G902" s="24">
        <v>500</v>
      </c>
      <c r="H902" s="24"/>
    </row>
    <row r="903" spans="1:8" ht="14">
      <c r="A903" s="24" t="s">
        <v>2335</v>
      </c>
      <c r="B903" s="25" t="s">
        <v>160</v>
      </c>
      <c r="C903" s="24" t="str">
        <f t="shared" si="18"/>
        <v>tmt18_130C</v>
      </c>
      <c r="D903" s="26" t="s">
        <v>12</v>
      </c>
      <c r="E903" s="24" t="s">
        <v>2311</v>
      </c>
      <c r="F903" s="26" t="s">
        <v>12</v>
      </c>
      <c r="G903" s="24">
        <v>500</v>
      </c>
      <c r="H903" s="24"/>
    </row>
    <row r="904" spans="1:8" ht="14">
      <c r="A904" s="24" t="s">
        <v>2336</v>
      </c>
      <c r="B904" s="25" t="s">
        <v>160</v>
      </c>
      <c r="C904" s="24" t="str">
        <f t="shared" si="18"/>
        <v>tmt18_130N</v>
      </c>
      <c r="D904" s="26" t="s">
        <v>12</v>
      </c>
      <c r="E904" s="24" t="s">
        <v>2313</v>
      </c>
      <c r="F904" s="26" t="s">
        <v>12</v>
      </c>
      <c r="G904" s="24">
        <v>500</v>
      </c>
      <c r="H904" s="24"/>
    </row>
    <row r="905" spans="1:8" ht="14">
      <c r="A905" s="24" t="s">
        <v>2337</v>
      </c>
      <c r="B905" s="25" t="s">
        <v>160</v>
      </c>
      <c r="C905" s="24" t="str">
        <f t="shared" si="18"/>
        <v>tmt18_131C</v>
      </c>
      <c r="D905" s="26" t="s">
        <v>12</v>
      </c>
      <c r="E905" s="24" t="s">
        <v>2325</v>
      </c>
      <c r="F905" s="26" t="s">
        <v>12</v>
      </c>
      <c r="G905" s="24">
        <v>500</v>
      </c>
      <c r="H905" s="24"/>
    </row>
    <row r="906" spans="1:8" ht="14">
      <c r="A906" s="24" t="s">
        <v>2338</v>
      </c>
      <c r="B906" s="25" t="s">
        <v>160</v>
      </c>
      <c r="C906" s="24" t="str">
        <f t="shared" si="18"/>
        <v>tmt18_131N</v>
      </c>
      <c r="D906" s="26" t="s">
        <v>12</v>
      </c>
      <c r="E906" s="24" t="s">
        <v>2327</v>
      </c>
      <c r="F906" s="26" t="s">
        <v>12</v>
      </c>
      <c r="G906" s="24">
        <v>500</v>
      </c>
      <c r="H906" s="24"/>
    </row>
    <row r="907" spans="1:8" ht="14">
      <c r="A907" s="24" t="s">
        <v>2339</v>
      </c>
      <c r="B907" s="25" t="s">
        <v>160</v>
      </c>
      <c r="C907" s="24" t="str">
        <f t="shared" si="18"/>
        <v>tmt18_132C</v>
      </c>
      <c r="D907" s="26" t="s">
        <v>12</v>
      </c>
      <c r="E907" s="24" t="s">
        <v>2340</v>
      </c>
      <c r="F907" s="26" t="s">
        <v>12</v>
      </c>
      <c r="G907" s="24">
        <v>500</v>
      </c>
      <c r="H907" s="24"/>
    </row>
    <row r="908" spans="1:8" ht="14">
      <c r="A908" s="24" t="s">
        <v>2341</v>
      </c>
      <c r="B908" s="25" t="s">
        <v>160</v>
      </c>
      <c r="C908" s="24" t="str">
        <f t="shared" si="18"/>
        <v>tmt18_132N</v>
      </c>
      <c r="D908" s="26" t="s">
        <v>12</v>
      </c>
      <c r="E908" s="24" t="s">
        <v>2342</v>
      </c>
      <c r="F908" s="26" t="s">
        <v>12</v>
      </c>
      <c r="G908" s="24">
        <v>500</v>
      </c>
      <c r="H908" s="24"/>
    </row>
    <row r="909" spans="1:8" ht="14">
      <c r="A909" s="24" t="s">
        <v>2343</v>
      </c>
      <c r="B909" s="25" t="s">
        <v>160</v>
      </c>
      <c r="C909" s="24" t="str">
        <f t="shared" si="18"/>
        <v>tmt18_133C</v>
      </c>
      <c r="D909" s="26" t="s">
        <v>12</v>
      </c>
      <c r="E909" s="24" t="s">
        <v>2344</v>
      </c>
      <c r="F909" s="26" t="s">
        <v>12</v>
      </c>
      <c r="G909" s="24">
        <v>500</v>
      </c>
      <c r="H909" s="24"/>
    </row>
    <row r="910" spans="1:8" ht="14">
      <c r="A910" s="24" t="s">
        <v>2345</v>
      </c>
      <c r="B910" s="25" t="s">
        <v>160</v>
      </c>
      <c r="C910" s="24" t="str">
        <f t="shared" si="18"/>
        <v>tmt18_133N</v>
      </c>
      <c r="D910" s="26" t="s">
        <v>12</v>
      </c>
      <c r="E910" s="24" t="s">
        <v>2346</v>
      </c>
      <c r="F910" s="26" t="s">
        <v>12</v>
      </c>
      <c r="G910" s="24">
        <v>500</v>
      </c>
      <c r="H910" s="24"/>
    </row>
    <row r="911" spans="1:8" ht="14">
      <c r="A911" s="24" t="s">
        <v>2347</v>
      </c>
      <c r="B911" s="25" t="s">
        <v>160</v>
      </c>
      <c r="C911" s="24" t="str">
        <f t="shared" si="18"/>
        <v>tmt18_134C</v>
      </c>
      <c r="D911" s="26" t="s">
        <v>12</v>
      </c>
      <c r="E911" s="24" t="s">
        <v>2348</v>
      </c>
      <c r="F911" s="26" t="s">
        <v>12</v>
      </c>
      <c r="G911" s="24">
        <v>500</v>
      </c>
      <c r="H911" s="24"/>
    </row>
    <row r="912" spans="1:8" ht="14">
      <c r="A912" s="24" t="s">
        <v>2349</v>
      </c>
      <c r="B912" s="25" t="s">
        <v>160</v>
      </c>
      <c r="C912" s="24" t="str">
        <f t="shared" si="18"/>
        <v>tmt18_134N</v>
      </c>
      <c r="D912" s="26" t="s">
        <v>12</v>
      </c>
      <c r="E912" s="24" t="s">
        <v>2350</v>
      </c>
      <c r="F912" s="26" t="s">
        <v>12</v>
      </c>
      <c r="G912" s="24">
        <v>500</v>
      </c>
      <c r="H912" s="24"/>
    </row>
    <row r="913" spans="1:8" ht="14">
      <c r="A913" s="24" t="s">
        <v>2351</v>
      </c>
      <c r="B913" s="25" t="s">
        <v>160</v>
      </c>
      <c r="C913" s="24" t="str">
        <f t="shared" si="18"/>
        <v>tmt18_135N</v>
      </c>
      <c r="D913" s="26" t="s">
        <v>12</v>
      </c>
      <c r="E913" s="24" t="s">
        <v>2352</v>
      </c>
      <c r="F913" s="26" t="s">
        <v>12</v>
      </c>
      <c r="G913" s="24">
        <v>500</v>
      </c>
      <c r="H913" s="24"/>
    </row>
    <row r="914" spans="1:8" ht="14">
      <c r="A914" s="24" t="s">
        <v>2353</v>
      </c>
      <c r="B914" s="25" t="s">
        <v>160</v>
      </c>
      <c r="C914" s="24" t="str">
        <f t="shared" si="18"/>
        <v>tmt6_126</v>
      </c>
      <c r="D914" s="26" t="s">
        <v>12</v>
      </c>
      <c r="E914" s="24">
        <v>126</v>
      </c>
      <c r="F914" s="26" t="s">
        <v>12</v>
      </c>
      <c r="G914" s="24">
        <v>500</v>
      </c>
      <c r="H914" s="24"/>
    </row>
    <row r="915" spans="1:8" ht="14">
      <c r="A915" s="24" t="s">
        <v>2354</v>
      </c>
      <c r="B915" s="25" t="s">
        <v>160</v>
      </c>
      <c r="C915" s="24" t="str">
        <f t="shared" si="18"/>
        <v>tmt6_127</v>
      </c>
      <c r="D915" s="26" t="s">
        <v>12</v>
      </c>
      <c r="E915" s="24">
        <v>127</v>
      </c>
      <c r="F915" s="26" t="s">
        <v>12</v>
      </c>
      <c r="G915" s="24">
        <v>500</v>
      </c>
      <c r="H915" s="24"/>
    </row>
    <row r="916" spans="1:8" ht="14">
      <c r="A916" s="24" t="s">
        <v>2355</v>
      </c>
      <c r="B916" s="25" t="s">
        <v>160</v>
      </c>
      <c r="C916" s="24" t="str">
        <f t="shared" si="18"/>
        <v>tmt6_128</v>
      </c>
      <c r="D916" s="26" t="s">
        <v>12</v>
      </c>
      <c r="E916" s="24">
        <v>128</v>
      </c>
      <c r="F916" s="26" t="s">
        <v>12</v>
      </c>
      <c r="G916" s="24">
        <v>500</v>
      </c>
      <c r="H916" s="24"/>
    </row>
    <row r="917" spans="1:8" ht="14">
      <c r="A917" s="24" t="s">
        <v>2356</v>
      </c>
      <c r="B917" s="25" t="s">
        <v>160</v>
      </c>
      <c r="C917" s="24" t="str">
        <f t="shared" si="18"/>
        <v>tmt6_129</v>
      </c>
      <c r="D917" s="26" t="s">
        <v>12</v>
      </c>
      <c r="E917" s="24">
        <v>129</v>
      </c>
      <c r="F917" s="26" t="s">
        <v>12</v>
      </c>
      <c r="G917" s="24">
        <v>500</v>
      </c>
      <c r="H917" s="24"/>
    </row>
    <row r="918" spans="1:8" ht="14">
      <c r="A918" s="24" t="s">
        <v>2357</v>
      </c>
      <c r="B918" s="25" t="s">
        <v>160</v>
      </c>
      <c r="C918" s="24" t="str">
        <f t="shared" si="18"/>
        <v>tmt6_130</v>
      </c>
      <c r="D918" s="26" t="s">
        <v>12</v>
      </c>
      <c r="E918" s="24">
        <v>130</v>
      </c>
      <c r="F918" s="26" t="s">
        <v>12</v>
      </c>
      <c r="G918" s="24">
        <v>500</v>
      </c>
      <c r="H918" s="24"/>
    </row>
    <row r="919" spans="1:8" ht="14">
      <c r="A919" s="24" t="s">
        <v>2358</v>
      </c>
      <c r="B919" s="25" t="s">
        <v>160</v>
      </c>
      <c r="C919" s="24" t="str">
        <f t="shared" si="18"/>
        <v>tmt6_131</v>
      </c>
      <c r="D919" s="26" t="s">
        <v>12</v>
      </c>
      <c r="E919" s="24">
        <v>131</v>
      </c>
      <c r="F919" s="26" t="s">
        <v>12</v>
      </c>
      <c r="G919" s="24">
        <v>500</v>
      </c>
      <c r="H919" s="24"/>
    </row>
    <row r="920" spans="1:8" ht="14">
      <c r="A920" s="24" t="s">
        <v>2359</v>
      </c>
      <c r="B920" s="25" t="s">
        <v>167</v>
      </c>
      <c r="C920" s="24" t="str">
        <f t="shared" si="18"/>
        <v>biochem</v>
      </c>
      <c r="D920" s="26" t="s">
        <v>12</v>
      </c>
      <c r="E920" s="24" t="s">
        <v>2360</v>
      </c>
      <c r="F920" s="24" t="s">
        <v>2361</v>
      </c>
      <c r="G920" s="24">
        <v>500</v>
      </c>
      <c r="H920" s="24"/>
    </row>
    <row r="921" spans="1:8" ht="14">
      <c r="A921" s="24" t="s">
        <v>2362</v>
      </c>
      <c r="B921" s="25" t="s">
        <v>167</v>
      </c>
      <c r="C921" s="24" t="str">
        <f t="shared" si="18"/>
        <v>cecad</v>
      </c>
      <c r="D921" s="26" t="s">
        <v>12</v>
      </c>
      <c r="E921" s="24" t="s">
        <v>2363</v>
      </c>
      <c r="F921" s="24" t="s">
        <v>2364</v>
      </c>
      <c r="G921" s="24">
        <v>500</v>
      </c>
      <c r="H921" s="24"/>
    </row>
    <row r="922" spans="1:8" ht="14">
      <c r="A922" s="24" t="s">
        <v>2365</v>
      </c>
      <c r="B922" s="25" t="s">
        <v>167</v>
      </c>
      <c r="C922" s="24" t="str">
        <f t="shared" si="18"/>
        <v>mpiage</v>
      </c>
      <c r="D922" s="26" t="s">
        <v>12</v>
      </c>
      <c r="E922" s="24" t="s">
        <v>2366</v>
      </c>
      <c r="F922" s="24" t="s">
        <v>2367</v>
      </c>
      <c r="G922" s="24">
        <v>500</v>
      </c>
      <c r="H922" s="24"/>
    </row>
    <row r="923" spans="1:8" ht="14">
      <c r="A923" s="24" t="s">
        <v>2368</v>
      </c>
      <c r="B923" s="25" t="s">
        <v>167</v>
      </c>
      <c r="C923" s="24" t="str">
        <f t="shared" si="18"/>
        <v>mpimetab</v>
      </c>
      <c r="D923" s="26" t="s">
        <v>12</v>
      </c>
      <c r="E923" s="24" t="s">
        <v>2369</v>
      </c>
      <c r="F923" s="24" t="s">
        <v>2370</v>
      </c>
      <c r="G923" s="24">
        <v>500</v>
      </c>
      <c r="H923" s="24"/>
    </row>
    <row r="924" spans="1:8" ht="14">
      <c r="A924" s="24" t="s">
        <v>2917</v>
      </c>
      <c r="B924" s="25" t="s">
        <v>167</v>
      </c>
      <c r="C924" s="24" t="str">
        <f t="shared" si="18"/>
        <v>unibonn</v>
      </c>
      <c r="D924" s="26" t="s">
        <v>12</v>
      </c>
      <c r="E924" s="24" t="s">
        <v>2918</v>
      </c>
      <c r="F924" s="24" t="s">
        <v>2918</v>
      </c>
      <c r="G924" s="24">
        <v>500</v>
      </c>
      <c r="H924" s="24"/>
    </row>
    <row r="925" spans="1:8" ht="14">
      <c r="A925" s="24" t="s">
        <v>2371</v>
      </c>
      <c r="B925" s="25" t="s">
        <v>171</v>
      </c>
      <c r="C925" s="24" t="str">
        <f t="shared" si="18"/>
        <v>mitoprotea</v>
      </c>
      <c r="D925" s="24" t="s">
        <v>12</v>
      </c>
      <c r="E925" s="24" t="s">
        <v>2372</v>
      </c>
      <c r="F925" s="24" t="s">
        <v>2373</v>
      </c>
      <c r="G925" s="24">
        <v>500</v>
      </c>
      <c r="H925" s="24"/>
    </row>
    <row r="926" spans="1:8" ht="14">
      <c r="A926" s="24" t="s">
        <v>2374</v>
      </c>
      <c r="B926" s="25" t="s">
        <v>171</v>
      </c>
      <c r="C926" s="24" t="str">
        <f t="shared" si="18"/>
        <v>molageing</v>
      </c>
      <c r="D926" s="24" t="s">
        <v>12</v>
      </c>
      <c r="E926" s="24" t="s">
        <v>2375</v>
      </c>
      <c r="F926" s="24" t="s">
        <v>2376</v>
      </c>
      <c r="G926" s="24">
        <v>500</v>
      </c>
      <c r="H926" s="24"/>
    </row>
    <row r="927" spans="1:8" ht="14">
      <c r="A927" s="24" t="s">
        <v>3009</v>
      </c>
      <c r="B927" s="25" t="s">
        <v>171</v>
      </c>
      <c r="C927" s="24" t="str">
        <f t="shared" si="18"/>
        <v>protfa</v>
      </c>
      <c r="D927" s="24" t="s">
        <v>12</v>
      </c>
      <c r="E927" s="24" t="s">
        <v>3008</v>
      </c>
      <c r="F927" s="24" t="s">
        <v>3007</v>
      </c>
      <c r="G927" s="24">
        <v>500</v>
      </c>
      <c r="H927" s="24"/>
    </row>
    <row r="928" spans="1:8" ht="14">
      <c r="A928" s="24" t="s">
        <v>2731</v>
      </c>
      <c r="B928" s="25" t="s">
        <v>171</v>
      </c>
      <c r="C928" s="24" t="str">
        <f t="shared" si="18"/>
        <v>frezza</v>
      </c>
      <c r="D928" s="24" t="s">
        <v>12</v>
      </c>
      <c r="E928" s="24" t="s">
        <v>2732</v>
      </c>
      <c r="F928" s="24" t="s">
        <v>2733</v>
      </c>
      <c r="G928" s="24">
        <v>500</v>
      </c>
      <c r="H928" s="24"/>
    </row>
    <row r="929" spans="1:8" ht="14">
      <c r="A929" s="24" t="s">
        <v>2734</v>
      </c>
      <c r="B929" s="25" t="s">
        <v>171</v>
      </c>
      <c r="C929" s="24" t="str">
        <f t="shared" si="18"/>
        <v>krueger</v>
      </c>
      <c r="D929" s="24" t="s">
        <v>12</v>
      </c>
      <c r="E929" s="24" t="s">
        <v>2735</v>
      </c>
      <c r="F929" s="24" t="s">
        <v>2736</v>
      </c>
      <c r="G929" s="24">
        <v>500</v>
      </c>
      <c r="H929" s="24"/>
    </row>
    <row r="930" spans="1:8" ht="14">
      <c r="A930" s="24" t="s">
        <v>2737</v>
      </c>
      <c r="B930" s="25" t="s">
        <v>171</v>
      </c>
      <c r="C930" s="24" t="str">
        <f t="shared" si="18"/>
        <v>rugarli</v>
      </c>
      <c r="D930" s="24" t="s">
        <v>12</v>
      </c>
      <c r="E930" s="24" t="s">
        <v>2738</v>
      </c>
      <c r="F930" s="24" t="s">
        <v>2736</v>
      </c>
      <c r="G930" s="24">
        <v>500</v>
      </c>
      <c r="H930" s="24"/>
    </row>
    <row r="931" spans="1:8" ht="14">
      <c r="A931" s="24" t="s">
        <v>2739</v>
      </c>
      <c r="B931" s="25" t="s">
        <v>171</v>
      </c>
      <c r="C931" s="24" t="str">
        <f t="shared" si="18"/>
        <v>trifunovic</v>
      </c>
      <c r="D931" s="24" t="s">
        <v>12</v>
      </c>
      <c r="E931" s="24" t="s">
        <v>2740</v>
      </c>
      <c r="F931" s="24" t="s">
        <v>2741</v>
      </c>
      <c r="G931" s="24">
        <v>500</v>
      </c>
      <c r="H931" s="24"/>
    </row>
    <row r="932" spans="1:8" ht="14">
      <c r="A932" s="24" t="s">
        <v>2891</v>
      </c>
      <c r="B932" s="25" t="s">
        <v>171</v>
      </c>
      <c r="C932" s="24" t="str">
        <f t="shared" si="18"/>
        <v>bergmani</v>
      </c>
      <c r="D932" s="24" t="s">
        <v>12</v>
      </c>
      <c r="E932" s="24" t="s">
        <v>2899</v>
      </c>
      <c r="F932" s="24" t="s">
        <v>2909</v>
      </c>
      <c r="G932" s="24">
        <v>500</v>
      </c>
      <c r="H932" s="24"/>
    </row>
    <row r="933" spans="1:8" ht="14">
      <c r="A933" s="24" t="s">
        <v>2892</v>
      </c>
      <c r="B933" s="25" t="s">
        <v>171</v>
      </c>
      <c r="C933" s="24" t="str">
        <f t="shared" si="18"/>
        <v>motori</v>
      </c>
      <c r="D933" s="24" t="s">
        <v>12</v>
      </c>
      <c r="E933" s="24" t="s">
        <v>2900</v>
      </c>
      <c r="F933" s="24" t="s">
        <v>2910</v>
      </c>
      <c r="G933" s="24">
        <v>500</v>
      </c>
      <c r="H933" s="24"/>
    </row>
    <row r="934" spans="1:8" ht="14">
      <c r="A934" s="24" t="s">
        <v>2893</v>
      </c>
      <c r="B934" s="25" t="s">
        <v>171</v>
      </c>
      <c r="C934" s="24" t="str">
        <f t="shared" si="18"/>
        <v>becker</v>
      </c>
      <c r="D934" s="24" t="s">
        <v>12</v>
      </c>
      <c r="E934" s="24" t="s">
        <v>2901</v>
      </c>
      <c r="F934" s="24" t="s">
        <v>2916</v>
      </c>
      <c r="G934" s="24">
        <v>500</v>
      </c>
      <c r="H934" s="24"/>
    </row>
    <row r="935" spans="1:8" ht="14">
      <c r="A935" s="24" t="s">
        <v>2894</v>
      </c>
      <c r="B935" s="25" t="s">
        <v>171</v>
      </c>
      <c r="C935" s="24" t="str">
        <f t="shared" si="18"/>
        <v>bruening</v>
      </c>
      <c r="D935" s="24" t="s">
        <v>12</v>
      </c>
      <c r="E935" s="24" t="s">
        <v>2914</v>
      </c>
      <c r="F935" s="24" t="s">
        <v>2913</v>
      </c>
      <c r="G935" s="24">
        <v>500</v>
      </c>
      <c r="H935" s="24"/>
    </row>
    <row r="936" spans="1:8" ht="14">
      <c r="A936" s="24" t="s">
        <v>2903</v>
      </c>
      <c r="B936" s="25" t="s">
        <v>171</v>
      </c>
      <c r="C936" s="24" t="str">
        <f t="shared" si="18"/>
        <v>escobar</v>
      </c>
      <c r="D936" s="24" t="s">
        <v>12</v>
      </c>
      <c r="E936" s="24" t="s">
        <v>2902</v>
      </c>
      <c r="F936" s="24" t="s">
        <v>2911</v>
      </c>
      <c r="G936" s="24">
        <v>500</v>
      </c>
      <c r="H936" s="24"/>
    </row>
    <row r="937" spans="1:8" ht="14">
      <c r="A937" s="24" t="s">
        <v>2768</v>
      </c>
      <c r="B937" s="25" t="s">
        <v>171</v>
      </c>
      <c r="C937" s="24" t="str">
        <f t="shared" si="18"/>
        <v>garcia</v>
      </c>
      <c r="D937" s="24" t="s">
        <v>12</v>
      </c>
      <c r="E937" s="24" t="s">
        <v>2769</v>
      </c>
      <c r="F937" s="24" t="s">
        <v>2912</v>
      </c>
      <c r="G937" s="24">
        <v>500</v>
      </c>
      <c r="H937" s="24"/>
    </row>
    <row r="938" spans="1:8" ht="14">
      <c r="A938" s="24" t="s">
        <v>2895</v>
      </c>
      <c r="B938" s="25" t="s">
        <v>171</v>
      </c>
      <c r="C938" s="24" t="str">
        <f t="shared" si="18"/>
        <v>piano</v>
      </c>
      <c r="D938" s="24" t="s">
        <v>12</v>
      </c>
      <c r="E938" s="24" t="s">
        <v>2904</v>
      </c>
      <c r="F938" s="24" t="s">
        <v>2919</v>
      </c>
      <c r="G938" s="24">
        <v>500</v>
      </c>
      <c r="H938" s="24"/>
    </row>
    <row r="939" spans="1:8" ht="14">
      <c r="A939" s="24" t="s">
        <v>2896</v>
      </c>
      <c r="B939" s="25" t="s">
        <v>171</v>
      </c>
      <c r="C939" s="24" t="str">
        <f t="shared" si="18"/>
        <v>schwarz</v>
      </c>
      <c r="D939" s="24" t="s">
        <v>12</v>
      </c>
      <c r="E939" s="24" t="s">
        <v>2905</v>
      </c>
      <c r="F939" s="24" t="s">
        <v>2915</v>
      </c>
      <c r="G939" s="24">
        <v>500</v>
      </c>
      <c r="H939" s="24"/>
    </row>
    <row r="940" spans="1:8" ht="14">
      <c r="A940" s="24" t="s">
        <v>2897</v>
      </c>
      <c r="B940" s="25" t="s">
        <v>171</v>
      </c>
      <c r="C940" s="24" t="str">
        <f t="shared" si="18"/>
        <v>corrado</v>
      </c>
      <c r="D940" s="24" t="s">
        <v>12</v>
      </c>
      <c r="E940" s="24" t="s">
        <v>2906</v>
      </c>
      <c r="F940" s="24" t="s">
        <v>2920</v>
      </c>
      <c r="G940" s="24">
        <v>500</v>
      </c>
      <c r="H940" s="24"/>
    </row>
    <row r="941" spans="1:8" ht="14">
      <c r="A941" s="24" t="s">
        <v>2898</v>
      </c>
      <c r="B941" s="25" t="s">
        <v>171</v>
      </c>
      <c r="C941" s="24" t="str">
        <f t="shared" si="18"/>
        <v>eming</v>
      </c>
      <c r="D941" s="24" t="s">
        <v>12</v>
      </c>
      <c r="E941" s="24" t="s">
        <v>2907</v>
      </c>
      <c r="F941" s="24" t="s">
        <v>2908</v>
      </c>
      <c r="G941" s="24">
        <v>500</v>
      </c>
      <c r="H941" s="24"/>
    </row>
    <row r="942" spans="1:8" ht="14">
      <c r="A942" s="24" t="s">
        <v>2765</v>
      </c>
      <c r="B942" s="25" t="s">
        <v>171</v>
      </c>
      <c r="C942" s="24" t="str">
        <f t="shared" si="18"/>
        <v>hoppe</v>
      </c>
      <c r="D942" s="24" t="s">
        <v>12</v>
      </c>
      <c r="E942" s="24" t="s">
        <v>2766</v>
      </c>
      <c r="F942" s="24" t="s">
        <v>2767</v>
      </c>
      <c r="G942" s="24">
        <v>500</v>
      </c>
      <c r="H942" s="24"/>
    </row>
    <row r="943" spans="1:8" ht="14">
      <c r="A943" s="24" t="s">
        <v>2768</v>
      </c>
      <c r="B943" s="25" t="s">
        <v>171</v>
      </c>
      <c r="C943" s="24" t="str">
        <f t="shared" si="18"/>
        <v>garcia</v>
      </c>
      <c r="D943" s="24" t="s">
        <v>12</v>
      </c>
      <c r="E943" s="24" t="s">
        <v>2769</v>
      </c>
      <c r="F943" s="24" t="s">
        <v>2767</v>
      </c>
      <c r="G943" s="24">
        <v>500</v>
      </c>
      <c r="H943" s="24"/>
    </row>
    <row r="944" spans="1:8" ht="14">
      <c r="A944" s="24" t="s">
        <v>2770</v>
      </c>
      <c r="B944" s="25" t="s">
        <v>171</v>
      </c>
      <c r="C944" s="24" t="str">
        <f t="shared" si="18"/>
        <v>khaskar</v>
      </c>
      <c r="D944" s="24" t="s">
        <v>12</v>
      </c>
      <c r="E944" s="24" t="s">
        <v>2771</v>
      </c>
      <c r="F944" s="24" t="s">
        <v>2772</v>
      </c>
      <c r="G944" s="24">
        <v>500</v>
      </c>
      <c r="H944" s="24"/>
    </row>
    <row r="945" spans="1:8" ht="14">
      <c r="A945" s="24" t="s">
        <v>2887</v>
      </c>
      <c r="B945" s="25" t="s">
        <v>171</v>
      </c>
      <c r="C945" s="24" t="str">
        <f t="shared" si="18"/>
        <v>riemer</v>
      </c>
      <c r="D945" s="24" t="s">
        <v>12</v>
      </c>
      <c r="E945" s="24" t="s">
        <v>2888</v>
      </c>
      <c r="F945" s="24" t="s">
        <v>2889</v>
      </c>
      <c r="G945" s="24">
        <v>500</v>
      </c>
      <c r="H945" s="24"/>
    </row>
    <row r="946" spans="1:8" ht="14">
      <c r="A946" s="24" t="s">
        <v>2685</v>
      </c>
      <c r="B946" s="30" t="s">
        <v>2681</v>
      </c>
      <c r="C946" s="24" t="str">
        <f t="shared" si="18"/>
        <v>wd</v>
      </c>
      <c r="D946" s="24" t="s">
        <v>12</v>
      </c>
      <c r="E946" s="24" t="s">
        <v>2684</v>
      </c>
      <c r="F946" s="24" t="s">
        <v>2683</v>
      </c>
      <c r="G946" s="24">
        <v>500</v>
      </c>
      <c r="H946" s="24"/>
    </row>
    <row r="947" spans="1:8" ht="14">
      <c r="A947" s="24" t="s">
        <v>2686</v>
      </c>
      <c r="B947" s="30" t="s">
        <v>2681</v>
      </c>
      <c r="C947" s="24" t="str">
        <f t="shared" si="18"/>
        <v>sd</v>
      </c>
      <c r="D947" s="24" t="s">
        <v>12</v>
      </c>
      <c r="E947" s="24" t="s">
        <v>2687</v>
      </c>
      <c r="F947" s="24"/>
      <c r="G947" s="24">
        <v>500</v>
      </c>
      <c r="H947" s="24"/>
    </row>
    <row r="948" spans="1:8" ht="14">
      <c r="A948" s="24" t="s">
        <v>2688</v>
      </c>
      <c r="B948" s="30" t="s">
        <v>2681</v>
      </c>
      <c r="C948" s="24" t="str">
        <f t="shared" si="18"/>
        <v>veg</v>
      </c>
      <c r="D948" s="24" t="s">
        <v>12</v>
      </c>
      <c r="E948" s="24" t="s">
        <v>2689</v>
      </c>
      <c r="F948" s="24" t="s">
        <v>2690</v>
      </c>
      <c r="G948" s="24">
        <v>500</v>
      </c>
      <c r="H948" s="24"/>
    </row>
    <row r="949" spans="1:8" ht="14">
      <c r="A949" s="24" t="s">
        <v>2693</v>
      </c>
      <c r="B949" s="30" t="s">
        <v>2681</v>
      </c>
      <c r="C949" s="24" t="str">
        <f t="shared" si="18"/>
        <v>hg</v>
      </c>
      <c r="D949" s="24" t="s">
        <v>12</v>
      </c>
      <c r="E949" s="24" t="s">
        <v>2691</v>
      </c>
      <c r="F949" s="24" t="s">
        <v>2692</v>
      </c>
      <c r="G949" s="24">
        <v>500</v>
      </c>
      <c r="H949" s="24"/>
    </row>
    <row r="950" spans="1:8" ht="14">
      <c r="A950" s="24" t="s">
        <v>2696</v>
      </c>
      <c r="B950" s="25" t="s">
        <v>2681</v>
      </c>
      <c r="C950" s="24" t="str">
        <f t="shared" si="18"/>
        <v>hfd</v>
      </c>
      <c r="D950" s="24" t="s">
        <v>12</v>
      </c>
      <c r="E950" s="24" t="s">
        <v>2694</v>
      </c>
      <c r="F950" s="24" t="s">
        <v>2695</v>
      </c>
      <c r="G950" s="24">
        <v>500</v>
      </c>
      <c r="H950" s="24"/>
    </row>
    <row r="951" spans="1:8" ht="14">
      <c r="A951" s="24" t="s">
        <v>2431</v>
      </c>
      <c r="B951" s="25" t="s">
        <v>50</v>
      </c>
      <c r="C951" s="24" t="str">
        <f t="shared" si="18"/>
        <v>lps</v>
      </c>
      <c r="D951" s="24" t="s">
        <v>12</v>
      </c>
      <c r="E951" s="24" t="s">
        <v>2432</v>
      </c>
      <c r="F951" s="24" t="s">
        <v>2433</v>
      </c>
      <c r="G951" s="24">
        <v>500</v>
      </c>
      <c r="H951" s="24"/>
    </row>
    <row r="952" spans="1:8" ht="14">
      <c r="A952" s="24" t="s">
        <v>2442</v>
      </c>
      <c r="B952" s="25" t="s">
        <v>50</v>
      </c>
      <c r="C952" s="24" t="str">
        <f t="shared" si="18"/>
        <v>r848</v>
      </c>
      <c r="D952" s="24" t="s">
        <v>12</v>
      </c>
      <c r="E952" s="24" t="s">
        <v>2443</v>
      </c>
      <c r="F952" s="24" t="s">
        <v>2835</v>
      </c>
      <c r="G952" s="24">
        <v>500</v>
      </c>
      <c r="H952" s="24"/>
    </row>
    <row r="953" spans="1:8" ht="14">
      <c r="A953" s="24" t="s">
        <v>3064</v>
      </c>
      <c r="B953" s="25" t="s">
        <v>50</v>
      </c>
      <c r="C953" s="24" t="str">
        <f t="shared" si="18"/>
        <v>mitoblock10</v>
      </c>
      <c r="D953" s="24" t="s">
        <v>12</v>
      </c>
      <c r="E953" s="24" t="s">
        <v>3062</v>
      </c>
      <c r="F953" s="24" t="s">
        <v>3063</v>
      </c>
      <c r="G953" s="24">
        <v>500</v>
      </c>
      <c r="H953" s="24"/>
    </row>
    <row r="954" spans="1:8" ht="14">
      <c r="A954" s="24" t="s">
        <v>3098</v>
      </c>
      <c r="B954" s="25" t="s">
        <v>50</v>
      </c>
      <c r="C954" s="24" t="str">
        <f t="shared" si="18"/>
        <v>ifng</v>
      </c>
      <c r="D954" s="24" t="s">
        <v>12</v>
      </c>
      <c r="E954" s="24" t="s">
        <v>3099</v>
      </c>
      <c r="F954" s="24" t="s">
        <v>3100</v>
      </c>
      <c r="G954" s="24">
        <v>500</v>
      </c>
      <c r="H954" s="24"/>
    </row>
    <row r="955" spans="1:8" ht="14">
      <c r="A955" s="24" t="s">
        <v>3101</v>
      </c>
      <c r="B955" s="25" t="s">
        <v>50</v>
      </c>
      <c r="C955" s="24" t="str">
        <f t="shared" si="18"/>
        <v>il4</v>
      </c>
      <c r="D955" s="24" t="s">
        <v>12</v>
      </c>
      <c r="E955" s="24" t="s">
        <v>3102</v>
      </c>
      <c r="F955" s="24" t="s">
        <v>3103</v>
      </c>
      <c r="G955" s="24">
        <v>500</v>
      </c>
      <c r="H955" s="24"/>
    </row>
    <row r="956" spans="1:8" ht="14">
      <c r="A956" s="24" t="s">
        <v>3104</v>
      </c>
      <c r="B956" s="25" t="s">
        <v>50</v>
      </c>
      <c r="C956" s="24" t="str">
        <f t="shared" si="18"/>
        <v>il13</v>
      </c>
      <c r="D956" s="24" t="s">
        <v>12</v>
      </c>
      <c r="E956" s="24" t="s">
        <v>3105</v>
      </c>
      <c r="F956" s="24" t="s">
        <v>3106</v>
      </c>
      <c r="G956" s="24">
        <v>500</v>
      </c>
      <c r="H956" s="24"/>
    </row>
    <row r="957" spans="1:8" ht="14">
      <c r="A957" s="24" t="s">
        <v>3107</v>
      </c>
      <c r="B957" s="25" t="s">
        <v>50</v>
      </c>
      <c r="C957" s="24" t="str">
        <f t="shared" si="18"/>
        <v>asynlow</v>
      </c>
      <c r="D957" s="24" t="s">
        <v>12</v>
      </c>
      <c r="E957" s="24" t="s">
        <v>3108</v>
      </c>
      <c r="F957" s="24" t="s">
        <v>3111</v>
      </c>
      <c r="G957" s="24">
        <v>500</v>
      </c>
      <c r="H957" s="24"/>
    </row>
    <row r="958" spans="1:8" ht="14">
      <c r="A958" s="24" t="s">
        <v>3109</v>
      </c>
      <c r="B958" s="25" t="s">
        <v>50</v>
      </c>
      <c r="C958" s="24" t="str">
        <f t="shared" si="18"/>
        <v>asynhigh</v>
      </c>
      <c r="D958" s="24" t="s">
        <v>12</v>
      </c>
      <c r="E958" s="24" t="s">
        <v>3110</v>
      </c>
      <c r="F958" s="24" t="s">
        <v>3112</v>
      </c>
      <c r="G958" s="24">
        <v>500</v>
      </c>
      <c r="H958" s="24"/>
    </row>
    <row r="959" spans="1:8" ht="14">
      <c r="A959" s="24" t="s">
        <v>2836</v>
      </c>
      <c r="B959" s="25" t="s">
        <v>34</v>
      </c>
      <c r="C959" s="24" t="str">
        <f t="shared" si="18"/>
        <v>mdc</v>
      </c>
      <c r="D959" s="24" t="s">
        <v>12</v>
      </c>
      <c r="E959" s="24" t="s">
        <v>2857</v>
      </c>
      <c r="F959" s="24" t="s">
        <v>2856</v>
      </c>
      <c r="G959" s="24">
        <v>500</v>
      </c>
      <c r="H959" s="24"/>
    </row>
    <row r="960" spans="1:8" ht="14">
      <c r="A960" s="24" t="s">
        <v>2837</v>
      </c>
      <c r="B960" s="25" t="s">
        <v>34</v>
      </c>
      <c r="C960" s="24" t="str">
        <f t="shared" si="18"/>
        <v>mtregs</v>
      </c>
      <c r="D960" s="24" t="s">
        <v>12</v>
      </c>
      <c r="E960" s="24" t="s">
        <v>2855</v>
      </c>
      <c r="F960" s="24" t="s">
        <v>2854</v>
      </c>
      <c r="G960" s="24">
        <v>500</v>
      </c>
      <c r="H960" s="24"/>
    </row>
    <row r="961" spans="1:8" ht="14">
      <c r="A961" s="24" t="s">
        <v>2838</v>
      </c>
      <c r="B961" s="25" t="s">
        <v>34</v>
      </c>
      <c r="C961" s="24" t="str">
        <f t="shared" si="18"/>
        <v>pdc</v>
      </c>
      <c r="D961" s="24" t="s">
        <v>12</v>
      </c>
      <c r="E961" s="24" t="s">
        <v>2858</v>
      </c>
      <c r="F961" s="24" t="s">
        <v>2853</v>
      </c>
      <c r="G961" s="24">
        <v>500</v>
      </c>
      <c r="H961" s="24"/>
    </row>
    <row r="962" spans="1:8" ht="14">
      <c r="A962" s="24" t="s">
        <v>2839</v>
      </c>
      <c r="B962" s="25" t="s">
        <v>34</v>
      </c>
      <c r="C962" s="24" t="str">
        <f t="shared" ref="C962:C1004" si="19">A962</f>
        <v>attregs</v>
      </c>
      <c r="D962" s="24" t="s">
        <v>12</v>
      </c>
      <c r="E962" s="24" t="s">
        <v>2852</v>
      </c>
      <c r="F962" s="24" t="s">
        <v>2859</v>
      </c>
      <c r="G962" s="24">
        <v>500</v>
      </c>
      <c r="H962" s="24"/>
    </row>
    <row r="963" spans="1:8" ht="14">
      <c r="A963" s="24" t="s">
        <v>2840</v>
      </c>
      <c r="B963" s="25" t="s">
        <v>34</v>
      </c>
      <c r="C963" s="24" t="str">
        <f t="shared" si="19"/>
        <v>infdc</v>
      </c>
      <c r="D963" s="24" t="s">
        <v>12</v>
      </c>
      <c r="E963" s="24" t="s">
        <v>2851</v>
      </c>
      <c r="F963" s="24" t="s">
        <v>2850</v>
      </c>
      <c r="G963" s="24">
        <v>500</v>
      </c>
      <c r="H963" s="24"/>
    </row>
    <row r="964" spans="1:8" ht="14">
      <c r="A964" s="24" t="s">
        <v>2841</v>
      </c>
      <c r="B964" s="25" t="s">
        <v>34</v>
      </c>
      <c r="C964" s="24" t="str">
        <f t="shared" si="19"/>
        <v>itgres</v>
      </c>
      <c r="D964" s="24" t="s">
        <v>12</v>
      </c>
      <c r="E964" s="24" t="s">
        <v>2849</v>
      </c>
      <c r="F964" s="24" t="s">
        <v>2848</v>
      </c>
      <c r="G964" s="24">
        <v>500</v>
      </c>
      <c r="H964" s="24"/>
    </row>
    <row r="965" spans="1:8" ht="14">
      <c r="A965" s="24" t="s">
        <v>2842</v>
      </c>
      <c r="B965" s="25" t="s">
        <v>34</v>
      </c>
      <c r="C965" s="24" t="str">
        <f t="shared" si="19"/>
        <v>dendritic</v>
      </c>
      <c r="D965" s="24" t="s">
        <v>12</v>
      </c>
      <c r="E965" s="24" t="s">
        <v>2847</v>
      </c>
      <c r="F965" s="24" t="s">
        <v>2846</v>
      </c>
      <c r="G965" s="24">
        <v>500</v>
      </c>
      <c r="H965" s="24"/>
    </row>
    <row r="966" spans="1:8" ht="14">
      <c r="A966" s="24" t="s">
        <v>2843</v>
      </c>
      <c r="B966" s="25" t="s">
        <v>34</v>
      </c>
      <c r="C966" s="24" t="str">
        <f t="shared" si="19"/>
        <v>ememcell</v>
      </c>
      <c r="D966" s="24" t="s">
        <v>12</v>
      </c>
      <c r="E966" s="24" t="s">
        <v>2845</v>
      </c>
      <c r="F966" s="24" t="s">
        <v>2844</v>
      </c>
      <c r="G966" s="24">
        <v>500</v>
      </c>
      <c r="H966" s="24"/>
    </row>
    <row r="967" spans="1:8" ht="14">
      <c r="A967" s="24" t="s">
        <v>2860</v>
      </c>
      <c r="B967" s="25" t="s">
        <v>2779</v>
      </c>
      <c r="C967" s="24" t="str">
        <f t="shared" si="19"/>
        <v>supernatant</v>
      </c>
      <c r="D967" s="24" t="s">
        <v>12</v>
      </c>
      <c r="E967" s="24" t="s">
        <v>2861</v>
      </c>
      <c r="F967" s="24" t="s">
        <v>2862</v>
      </c>
      <c r="G967" s="24">
        <v>500</v>
      </c>
      <c r="H967" s="24"/>
    </row>
    <row r="968" spans="1:8" ht="14">
      <c r="A968" s="24" t="s">
        <v>2863</v>
      </c>
      <c r="B968" s="25" t="s">
        <v>4017</v>
      </c>
      <c r="C968" s="24" t="str">
        <f t="shared" si="19"/>
        <v>leftatrium</v>
      </c>
      <c r="D968" s="24" t="s">
        <v>12</v>
      </c>
      <c r="E968" s="24" t="s">
        <v>2864</v>
      </c>
      <c r="F968" s="24" t="s">
        <v>2865</v>
      </c>
      <c r="G968" s="24">
        <v>500</v>
      </c>
      <c r="H968" s="24"/>
    </row>
    <row r="969" spans="1:8" ht="14">
      <c r="A969" s="24" t="s">
        <v>2866</v>
      </c>
      <c r="B969" s="25" t="s">
        <v>4017</v>
      </c>
      <c r="C969" s="24" t="str">
        <f t="shared" si="19"/>
        <v>rightatrium</v>
      </c>
      <c r="D969" s="24" t="s">
        <v>12</v>
      </c>
      <c r="E969" s="24" t="s">
        <v>2867</v>
      </c>
      <c r="F969" s="24" t="s">
        <v>2868</v>
      </c>
      <c r="G969" s="24">
        <v>500</v>
      </c>
      <c r="H969" s="24"/>
    </row>
    <row r="970" spans="1:8" ht="14">
      <c r="A970" s="24" t="s">
        <v>2885</v>
      </c>
      <c r="B970" s="25" t="s">
        <v>4017</v>
      </c>
      <c r="C970" s="24" t="str">
        <f t="shared" si="19"/>
        <v>leftventri</v>
      </c>
      <c r="D970" s="24" t="s">
        <v>12</v>
      </c>
      <c r="E970" s="24" t="s">
        <v>2883</v>
      </c>
      <c r="F970" s="24" t="s">
        <v>2869</v>
      </c>
      <c r="G970" s="24">
        <v>500</v>
      </c>
      <c r="H970" s="24"/>
    </row>
    <row r="971" spans="1:8" ht="14">
      <c r="A971" s="24" t="s">
        <v>2886</v>
      </c>
      <c r="B971" s="25" t="s">
        <v>4017</v>
      </c>
      <c r="C971" s="24" t="str">
        <f t="shared" si="19"/>
        <v>rightventri</v>
      </c>
      <c r="D971" s="24" t="s">
        <v>12</v>
      </c>
      <c r="E971" s="24" t="s">
        <v>2884</v>
      </c>
      <c r="F971" s="24" t="s">
        <v>2869</v>
      </c>
      <c r="G971" s="24">
        <v>500</v>
      </c>
      <c r="H971" s="24"/>
    </row>
    <row r="972" spans="1:8" ht="14">
      <c r="A972" s="24" t="s">
        <v>2945</v>
      </c>
      <c r="B972" s="25" t="s">
        <v>2943</v>
      </c>
      <c r="C972" s="24" t="str">
        <f t="shared" si="19"/>
        <v>type1</v>
      </c>
      <c r="D972" s="24" t="s">
        <v>12</v>
      </c>
      <c r="E972" s="24" t="s">
        <v>2963</v>
      </c>
      <c r="F972" s="24" t="s">
        <v>2968</v>
      </c>
      <c r="G972" s="24">
        <v>500</v>
      </c>
      <c r="H972" s="24"/>
    </row>
    <row r="973" spans="1:8" ht="14">
      <c r="A973" s="24" t="s">
        <v>2946</v>
      </c>
      <c r="B973" s="25" t="s">
        <v>2943</v>
      </c>
      <c r="C973" s="24" t="str">
        <f t="shared" si="19"/>
        <v>type2a</v>
      </c>
      <c r="D973" s="24" t="s">
        <v>12</v>
      </c>
      <c r="E973" s="24" t="s">
        <v>2964</v>
      </c>
      <c r="F973" s="24" t="s">
        <v>2969</v>
      </c>
      <c r="G973" s="24">
        <v>500</v>
      </c>
      <c r="H973" s="24"/>
    </row>
    <row r="974" spans="1:8" ht="14">
      <c r="A974" s="24" t="s">
        <v>2947</v>
      </c>
      <c r="B974" s="25" t="s">
        <v>2943</v>
      </c>
      <c r="C974" s="24" t="str">
        <f t="shared" si="19"/>
        <v>type2b</v>
      </c>
      <c r="D974" s="24" t="s">
        <v>12</v>
      </c>
      <c r="E974" s="24" t="s">
        <v>2965</v>
      </c>
      <c r="F974" s="24" t="s">
        <v>2970</v>
      </c>
      <c r="G974" s="24">
        <v>500</v>
      </c>
      <c r="H974" s="24"/>
    </row>
    <row r="975" spans="1:8" ht="14">
      <c r="A975" s="24" t="s">
        <v>2948</v>
      </c>
      <c r="B975" s="25" t="s">
        <v>2943</v>
      </c>
      <c r="C975" s="24" t="str">
        <f t="shared" si="19"/>
        <v>type2x</v>
      </c>
      <c r="D975" s="24" t="s">
        <v>12</v>
      </c>
      <c r="E975" s="24" t="s">
        <v>2966</v>
      </c>
      <c r="F975" s="24" t="s">
        <v>2971</v>
      </c>
      <c r="G975" s="24">
        <v>500</v>
      </c>
      <c r="H975" s="24"/>
    </row>
    <row r="976" spans="1:8" ht="14">
      <c r="A976" s="24" t="s">
        <v>2949</v>
      </c>
      <c r="B976" s="25" t="s">
        <v>2943</v>
      </c>
      <c r="C976" s="24" t="str">
        <f t="shared" si="19"/>
        <v>type2d</v>
      </c>
      <c r="D976" s="24" t="s">
        <v>12</v>
      </c>
      <c r="E976" s="24" t="s">
        <v>2967</v>
      </c>
      <c r="F976" s="24" t="s">
        <v>2950</v>
      </c>
      <c r="G976" s="24">
        <v>500</v>
      </c>
      <c r="H976" s="24"/>
    </row>
    <row r="977" spans="1:8" ht="14">
      <c r="A977" s="24" t="s">
        <v>2951</v>
      </c>
      <c r="B977" s="25" t="s">
        <v>2943</v>
      </c>
      <c r="C977" s="24" t="str">
        <f t="shared" si="19"/>
        <v>mixedt12a</v>
      </c>
      <c r="D977" s="24" t="s">
        <v>12</v>
      </c>
      <c r="E977" s="24" t="s">
        <v>2952</v>
      </c>
      <c r="F977" s="24" t="s">
        <v>2973</v>
      </c>
      <c r="G977" s="24">
        <v>500</v>
      </c>
      <c r="H977" s="24"/>
    </row>
    <row r="978" spans="1:8" ht="14">
      <c r="A978" s="24" t="s">
        <v>2953</v>
      </c>
      <c r="B978" s="25" t="s">
        <v>2943</v>
      </c>
      <c r="C978" s="24" t="str">
        <f t="shared" si="19"/>
        <v>mixedt12x</v>
      </c>
      <c r="D978" s="24" t="s">
        <v>12</v>
      </c>
      <c r="E978" s="24" t="s">
        <v>2954</v>
      </c>
      <c r="F978" s="24" t="s">
        <v>2972</v>
      </c>
      <c r="G978" s="24">
        <v>500</v>
      </c>
      <c r="H978" s="24"/>
    </row>
    <row r="979" spans="1:8" ht="14">
      <c r="A979" s="24" t="s">
        <v>2955</v>
      </c>
      <c r="B979" s="25" t="s">
        <v>2943</v>
      </c>
      <c r="C979" s="24" t="str">
        <f t="shared" si="19"/>
        <v>mixedt1tb</v>
      </c>
      <c r="D979" s="24" t="s">
        <v>12</v>
      </c>
      <c r="E979" s="24" t="s">
        <v>2956</v>
      </c>
      <c r="F979" s="24" t="s">
        <v>2974</v>
      </c>
      <c r="G979" s="24">
        <v>500</v>
      </c>
      <c r="H979" s="24"/>
    </row>
    <row r="980" spans="1:8" ht="14">
      <c r="A980" s="24" t="s">
        <v>2957</v>
      </c>
      <c r="B980" s="25" t="s">
        <v>2943</v>
      </c>
      <c r="C980" s="24" t="str">
        <f t="shared" si="19"/>
        <v>mixed2a2b</v>
      </c>
      <c r="D980" s="24" t="s">
        <v>12</v>
      </c>
      <c r="E980" s="24" t="s">
        <v>2958</v>
      </c>
      <c r="F980" s="24" t="s">
        <v>2975</v>
      </c>
      <c r="G980" s="24">
        <v>500</v>
      </c>
      <c r="H980" s="24"/>
    </row>
    <row r="981" spans="1:8" ht="14">
      <c r="A981" s="24" t="s">
        <v>2959</v>
      </c>
      <c r="B981" s="25" t="s">
        <v>2943</v>
      </c>
      <c r="C981" s="24" t="str">
        <f t="shared" si="19"/>
        <v>mixed2a2x</v>
      </c>
      <c r="D981" s="24" t="s">
        <v>12</v>
      </c>
      <c r="E981" s="24" t="s">
        <v>2960</v>
      </c>
      <c r="F981" s="24" t="s">
        <v>2976</v>
      </c>
      <c r="G981" s="24">
        <v>500</v>
      </c>
      <c r="H981" s="24"/>
    </row>
    <row r="982" spans="1:8" ht="14">
      <c r="A982" s="24" t="s">
        <v>2961</v>
      </c>
      <c r="B982" s="25" t="s">
        <v>2943</v>
      </c>
      <c r="C982" s="24" t="str">
        <f t="shared" si="19"/>
        <v>mixed2b2x</v>
      </c>
      <c r="D982" s="24" t="s">
        <v>12</v>
      </c>
      <c r="E982" s="24" t="s">
        <v>2962</v>
      </c>
      <c r="F982" s="24" t="s">
        <v>2977</v>
      </c>
      <c r="G982" s="24">
        <v>500</v>
      </c>
      <c r="H982" s="24"/>
    </row>
    <row r="983" spans="1:8" ht="14">
      <c r="A983" s="24" t="s">
        <v>3071</v>
      </c>
      <c r="B983" s="25" t="s">
        <v>3021</v>
      </c>
      <c r="C983" s="24" t="str">
        <f t="shared" si="19"/>
        <v>sol_pellet</v>
      </c>
      <c r="D983" s="24" t="s">
        <v>12</v>
      </c>
      <c r="E983" s="24" t="s">
        <v>3016</v>
      </c>
      <c r="F983" s="24" t="s">
        <v>3022</v>
      </c>
      <c r="G983" s="24">
        <v>500</v>
      </c>
      <c r="H983" s="24"/>
    </row>
    <row r="984" spans="1:8" ht="14">
      <c r="A984" s="24" t="s">
        <v>3070</v>
      </c>
      <c r="B984" s="25" t="s">
        <v>3021</v>
      </c>
      <c r="C984" s="24" t="str">
        <f t="shared" si="19"/>
        <v>sol_total</v>
      </c>
      <c r="D984" s="24" t="s">
        <v>12</v>
      </c>
      <c r="E984" s="24" t="s">
        <v>1133</v>
      </c>
      <c r="F984" s="24" t="s">
        <v>3023</v>
      </c>
      <c r="G984" s="24">
        <v>500</v>
      </c>
      <c r="H984" s="24"/>
    </row>
    <row r="985" spans="1:8" ht="14">
      <c r="A985" s="24" t="s">
        <v>3072</v>
      </c>
      <c r="B985" s="25" t="s">
        <v>3021</v>
      </c>
      <c r="C985" s="24" t="str">
        <f t="shared" si="19"/>
        <v>sol_supernatant</v>
      </c>
      <c r="D985" s="24" t="s">
        <v>12</v>
      </c>
      <c r="E985" s="24" t="s">
        <v>2861</v>
      </c>
      <c r="F985" s="24" t="s">
        <v>3024</v>
      </c>
      <c r="G985" s="24">
        <v>500</v>
      </c>
      <c r="H985" s="24"/>
    </row>
    <row r="986" spans="1:8" ht="14">
      <c r="A986" s="24">
        <v>275</v>
      </c>
      <c r="B986" s="25" t="s">
        <v>32</v>
      </c>
      <c r="C986" s="24">
        <f t="shared" si="19"/>
        <v>275</v>
      </c>
      <c r="D986" s="24" t="s">
        <v>12</v>
      </c>
      <c r="E986" s="24">
        <v>275</v>
      </c>
      <c r="F986" s="24" t="s">
        <v>12</v>
      </c>
      <c r="G986" s="24">
        <v>500</v>
      </c>
      <c r="H986" s="24"/>
    </row>
    <row r="987" spans="1:8" ht="14">
      <c r="A987" s="24">
        <v>320</v>
      </c>
      <c r="B987" s="25" t="s">
        <v>32</v>
      </c>
      <c r="C987" s="24">
        <f t="shared" si="19"/>
        <v>320</v>
      </c>
      <c r="D987" s="24" t="s">
        <v>12</v>
      </c>
      <c r="E987" s="24">
        <v>320</v>
      </c>
      <c r="F987" s="24" t="s">
        <v>12</v>
      </c>
      <c r="G987" s="24">
        <v>500</v>
      </c>
      <c r="H987" s="24"/>
    </row>
    <row r="988" spans="1:8" ht="14">
      <c r="A988" s="24" t="s">
        <v>3053</v>
      </c>
      <c r="B988" s="25" t="s">
        <v>3052</v>
      </c>
      <c r="C988" s="24" t="str">
        <f t="shared" si="19"/>
        <v>input</v>
      </c>
      <c r="D988" s="24" t="s">
        <v>12</v>
      </c>
      <c r="E988" s="24" t="s">
        <v>3054</v>
      </c>
      <c r="F988" s="27" t="s">
        <v>3055</v>
      </c>
      <c r="G988" s="24">
        <v>500</v>
      </c>
      <c r="H988" s="24"/>
    </row>
    <row r="989" spans="1:8" ht="14">
      <c r="A989" s="24" t="s">
        <v>3059</v>
      </c>
      <c r="B989" s="25" t="s">
        <v>3052</v>
      </c>
      <c r="C989" s="24" t="str">
        <f t="shared" si="19"/>
        <v>elution</v>
      </c>
      <c r="D989" s="24" t="s">
        <v>12</v>
      </c>
      <c r="E989" s="24" t="s">
        <v>3056</v>
      </c>
      <c r="F989" s="24" t="s">
        <v>3061</v>
      </c>
      <c r="G989" s="24">
        <v>500</v>
      </c>
      <c r="H989" s="24"/>
    </row>
    <row r="990" spans="1:8" ht="14">
      <c r="A990" s="24" t="s">
        <v>3058</v>
      </c>
      <c r="B990" s="25" t="s">
        <v>3052</v>
      </c>
      <c r="C990" s="24" t="str">
        <f t="shared" si="19"/>
        <v>wash</v>
      </c>
      <c r="D990" s="24" t="s">
        <v>12</v>
      </c>
      <c r="E990" s="24" t="s">
        <v>3057</v>
      </c>
      <c r="F990" s="24" t="s">
        <v>3060</v>
      </c>
      <c r="G990" s="24">
        <v>500</v>
      </c>
      <c r="H990" s="24"/>
    </row>
    <row r="993" spans="1:8" ht="14">
      <c r="A993" s="24" t="s">
        <v>3073</v>
      </c>
      <c r="B993" s="25" t="s">
        <v>3069</v>
      </c>
      <c r="C993" s="24" t="str">
        <f t="shared" si="19"/>
        <v>embryo</v>
      </c>
      <c r="D993" s="24" t="s">
        <v>12</v>
      </c>
      <c r="E993" s="24" t="s">
        <v>3078</v>
      </c>
      <c r="F993" s="24" t="s">
        <v>3077</v>
      </c>
      <c r="G993" s="24">
        <v>500</v>
      </c>
      <c r="H993" s="24"/>
    </row>
    <row r="994" spans="1:8" ht="14">
      <c r="A994" s="24" t="s">
        <v>3074</v>
      </c>
      <c r="B994" s="25" t="s">
        <v>3069</v>
      </c>
      <c r="C994" s="24" t="str">
        <f t="shared" si="19"/>
        <v>young</v>
      </c>
      <c r="D994" s="24" t="s">
        <v>12</v>
      </c>
      <c r="E994" s="24" t="s">
        <v>3079</v>
      </c>
      <c r="F994" s="24" t="s">
        <v>3082</v>
      </c>
      <c r="G994" s="24">
        <v>500</v>
      </c>
      <c r="H994" s="24"/>
    </row>
    <row r="995" spans="1:8" ht="14">
      <c r="A995" s="24" t="s">
        <v>3075</v>
      </c>
      <c r="B995" s="25" t="s">
        <v>3069</v>
      </c>
      <c r="C995" s="24" t="str">
        <f t="shared" si="19"/>
        <v>adult</v>
      </c>
      <c r="D995" s="24" t="s">
        <v>12</v>
      </c>
      <c r="E995" s="24" t="s">
        <v>3080</v>
      </c>
      <c r="F995" s="24" t="s">
        <v>3084</v>
      </c>
      <c r="G995" s="24">
        <v>500</v>
      </c>
      <c r="H995" s="24"/>
    </row>
    <row r="996" spans="1:8" ht="14">
      <c r="A996" s="24" t="s">
        <v>3076</v>
      </c>
      <c r="B996" s="25" t="s">
        <v>3069</v>
      </c>
      <c r="C996" s="24" t="str">
        <f t="shared" si="19"/>
        <v>old</v>
      </c>
      <c r="D996" s="24" t="s">
        <v>12</v>
      </c>
      <c r="E996" s="24" t="s">
        <v>3081</v>
      </c>
      <c r="F996" s="24" t="s">
        <v>3083</v>
      </c>
      <c r="G996" s="24">
        <v>500</v>
      </c>
      <c r="H996" s="24"/>
    </row>
    <row r="997" spans="1:8" ht="14">
      <c r="A997" s="24" t="s">
        <v>3087</v>
      </c>
      <c r="B997" s="25" t="s">
        <v>3085</v>
      </c>
      <c r="C997" s="24" t="str">
        <f t="shared" si="19"/>
        <v>qc_hela</v>
      </c>
      <c r="D997" s="24" t="s">
        <v>12</v>
      </c>
      <c r="E997" s="24" t="s">
        <v>3088</v>
      </c>
      <c r="F997" s="24" t="s">
        <v>3089</v>
      </c>
      <c r="G997" s="24">
        <v>500</v>
      </c>
      <c r="H997" s="24"/>
    </row>
    <row r="998" spans="1:8" ht="14">
      <c r="A998" s="24" t="s">
        <v>3090</v>
      </c>
      <c r="B998" s="25" t="s">
        <v>3085</v>
      </c>
      <c r="C998" s="24" t="str">
        <f t="shared" si="19"/>
        <v>qc_base</v>
      </c>
      <c r="D998" s="24" t="s">
        <v>12</v>
      </c>
      <c r="E998" s="24" t="s">
        <v>3091</v>
      </c>
      <c r="F998" s="24" t="s">
        <v>3092</v>
      </c>
      <c r="G998" s="24">
        <v>500</v>
      </c>
      <c r="H998" s="24"/>
    </row>
    <row r="999" spans="1:8" ht="14">
      <c r="A999" s="24" t="s">
        <v>3142</v>
      </c>
      <c r="B999" s="25" t="s">
        <v>2711</v>
      </c>
      <c r="C999" s="24" t="str">
        <f t="shared" si="19"/>
        <v>endog</v>
      </c>
      <c r="D999" s="24" t="s">
        <v>12</v>
      </c>
      <c r="E999" s="24" t="s">
        <v>3143</v>
      </c>
      <c r="F999" s="24" t="s">
        <v>3144</v>
      </c>
      <c r="G999" s="24">
        <v>500</v>
      </c>
      <c r="H999" s="24"/>
    </row>
    <row r="1000" spans="1:8" ht="14">
      <c r="A1000" s="24" t="s">
        <v>4356</v>
      </c>
      <c r="B1000" s="25" t="s">
        <v>2711</v>
      </c>
      <c r="C1000" s="24" t="s">
        <v>4356</v>
      </c>
      <c r="D1000" s="24" t="s">
        <v>12</v>
      </c>
      <c r="E1000" s="24" t="s">
        <v>3146</v>
      </c>
      <c r="F1000" s="24" t="s">
        <v>4357</v>
      </c>
      <c r="G1000" s="24">
        <v>500</v>
      </c>
      <c r="H1000" s="24"/>
    </row>
    <row r="1001" spans="1:8" ht="14">
      <c r="A1001" s="24" t="s">
        <v>3145</v>
      </c>
      <c r="B1001" s="25" t="s">
        <v>2711</v>
      </c>
      <c r="C1001" s="24" t="str">
        <f t="shared" si="19"/>
        <v>GST</v>
      </c>
      <c r="D1001" s="24" t="s">
        <v>12</v>
      </c>
      <c r="E1001" s="24" t="s">
        <v>3145</v>
      </c>
      <c r="F1001" s="24" t="s">
        <v>3147</v>
      </c>
      <c r="G1001" s="24">
        <v>500</v>
      </c>
      <c r="H1001" s="24"/>
    </row>
    <row r="1002" spans="1:8" ht="14">
      <c r="A1002" s="24" t="s">
        <v>3150</v>
      </c>
      <c r="B1002" s="25" t="s">
        <v>3149</v>
      </c>
      <c r="C1002" s="24" t="str">
        <f t="shared" si="19"/>
        <v>column_length</v>
      </c>
      <c r="D1002" s="24" t="s">
        <v>12</v>
      </c>
      <c r="E1002" s="24" t="s">
        <v>3152</v>
      </c>
      <c r="F1002" s="24" t="s">
        <v>3158</v>
      </c>
      <c r="G1002" s="24">
        <v>500</v>
      </c>
      <c r="H1002" s="24"/>
    </row>
    <row r="1003" spans="1:8" ht="14">
      <c r="A1003" s="24" t="s">
        <v>3157</v>
      </c>
      <c r="B1003" s="25" t="s">
        <v>3149</v>
      </c>
      <c r="C1003" s="24" t="str">
        <f t="shared" si="19"/>
        <v>column_inner_diameter</v>
      </c>
      <c r="D1003" s="24" t="s">
        <v>12</v>
      </c>
      <c r="E1003" s="24" t="s">
        <v>3153</v>
      </c>
      <c r="F1003" s="24" t="s">
        <v>3155</v>
      </c>
      <c r="G1003" s="24">
        <v>500</v>
      </c>
      <c r="H1003" s="24"/>
    </row>
    <row r="1004" spans="1:8" ht="14">
      <c r="A1004" s="24" t="s">
        <v>3151</v>
      </c>
      <c r="B1004" s="25" t="s">
        <v>3149</v>
      </c>
      <c r="C1004" s="24" t="str">
        <f t="shared" si="19"/>
        <v>column_outer_diameter</v>
      </c>
      <c r="D1004" s="24" t="s">
        <v>12</v>
      </c>
      <c r="E1004" s="24" t="s">
        <v>3154</v>
      </c>
      <c r="F1004" s="24" t="s">
        <v>3156</v>
      </c>
      <c r="G1004" s="24">
        <v>500</v>
      </c>
      <c r="H1004" s="24"/>
    </row>
    <row r="1005" spans="1:8" ht="14">
      <c r="A1005" s="27" t="s">
        <v>3352</v>
      </c>
      <c r="B1005" s="25" t="s">
        <v>3166</v>
      </c>
      <c r="C1005" s="27" t="s">
        <v>3352</v>
      </c>
      <c r="D1005" s="24" t="s">
        <v>12</v>
      </c>
      <c r="E1005" s="24" t="s">
        <v>3168</v>
      </c>
      <c r="F1005" s="24" t="s">
        <v>3353</v>
      </c>
      <c r="G1005" s="24">
        <v>500</v>
      </c>
      <c r="H1005" s="24"/>
    </row>
    <row r="1006" spans="1:8" ht="14">
      <c r="A1006" s="27" t="s">
        <v>3354</v>
      </c>
      <c r="B1006" s="25" t="s">
        <v>3166</v>
      </c>
      <c r="C1006" s="27" t="s">
        <v>3354</v>
      </c>
      <c r="D1006" s="24" t="s">
        <v>12</v>
      </c>
      <c r="E1006" s="24" t="s">
        <v>3169</v>
      </c>
      <c r="F1006" s="24" t="s">
        <v>3355</v>
      </c>
      <c r="G1006" s="24">
        <v>500</v>
      </c>
      <c r="H1006" s="24"/>
    </row>
    <row r="1007" spans="1:8" ht="14">
      <c r="A1007" s="27" t="s">
        <v>3356</v>
      </c>
      <c r="B1007" s="25" t="s">
        <v>3166</v>
      </c>
      <c r="C1007" s="27" t="s">
        <v>3356</v>
      </c>
      <c r="D1007" s="24" t="s">
        <v>12</v>
      </c>
      <c r="E1007" s="24" t="s">
        <v>3170</v>
      </c>
      <c r="F1007" s="24" t="s">
        <v>3357</v>
      </c>
      <c r="G1007" s="24">
        <v>500</v>
      </c>
      <c r="H1007" s="24"/>
    </row>
    <row r="1008" spans="1:8" ht="14">
      <c r="A1008" s="27" t="s">
        <v>3358</v>
      </c>
      <c r="B1008" s="25" t="s">
        <v>3166</v>
      </c>
      <c r="C1008" s="27" t="s">
        <v>3358</v>
      </c>
      <c r="D1008" s="24" t="s">
        <v>12</v>
      </c>
      <c r="E1008" s="24" t="s">
        <v>3171</v>
      </c>
      <c r="F1008" s="24" t="s">
        <v>3359</v>
      </c>
      <c r="G1008" s="24">
        <v>500</v>
      </c>
      <c r="H1008" s="24"/>
    </row>
    <row r="1009" spans="1:8" ht="14">
      <c r="A1009" s="27" t="s">
        <v>3360</v>
      </c>
      <c r="B1009" s="25" t="s">
        <v>3166</v>
      </c>
      <c r="C1009" s="27" t="s">
        <v>3360</v>
      </c>
      <c r="D1009" s="24" t="s">
        <v>12</v>
      </c>
      <c r="E1009" s="24" t="s">
        <v>3172</v>
      </c>
      <c r="F1009" s="24" t="s">
        <v>3361</v>
      </c>
      <c r="G1009" s="24">
        <v>500</v>
      </c>
      <c r="H1009" s="24"/>
    </row>
    <row r="1010" spans="1:8" ht="14">
      <c r="A1010" s="27" t="s">
        <v>3362</v>
      </c>
      <c r="B1010" s="25" t="s">
        <v>3166</v>
      </c>
      <c r="C1010" s="27" t="s">
        <v>3362</v>
      </c>
      <c r="D1010" s="24" t="s">
        <v>12</v>
      </c>
      <c r="E1010" s="24" t="s">
        <v>3173</v>
      </c>
      <c r="F1010" s="24" t="s">
        <v>3363</v>
      </c>
      <c r="G1010" s="24">
        <v>500</v>
      </c>
      <c r="H1010" s="24"/>
    </row>
    <row r="1011" spans="1:8" ht="14">
      <c r="A1011" s="27" t="s">
        <v>3364</v>
      </c>
      <c r="B1011" s="25" t="s">
        <v>3166</v>
      </c>
      <c r="C1011" s="27" t="s">
        <v>3364</v>
      </c>
      <c r="D1011" s="24" t="s">
        <v>12</v>
      </c>
      <c r="E1011" s="24" t="s">
        <v>3174</v>
      </c>
      <c r="F1011" s="24" t="s">
        <v>3365</v>
      </c>
      <c r="G1011" s="24">
        <v>500</v>
      </c>
      <c r="H1011" s="24"/>
    </row>
    <row r="1012" spans="1:8" ht="14">
      <c r="A1012" s="27" t="s">
        <v>3366</v>
      </c>
      <c r="B1012" s="25" t="s">
        <v>3166</v>
      </c>
      <c r="C1012" s="27" t="s">
        <v>3366</v>
      </c>
      <c r="D1012" s="24" t="s">
        <v>12</v>
      </c>
      <c r="E1012" s="24" t="s">
        <v>3175</v>
      </c>
      <c r="F1012" s="24" t="s">
        <v>3367</v>
      </c>
      <c r="G1012" s="24">
        <v>500</v>
      </c>
      <c r="H1012" s="24"/>
    </row>
    <row r="1013" spans="1:8" ht="14">
      <c r="A1013" s="27" t="s">
        <v>3368</v>
      </c>
      <c r="B1013" s="25" t="s">
        <v>3166</v>
      </c>
      <c r="C1013" s="27" t="s">
        <v>3368</v>
      </c>
      <c r="D1013" s="24" t="s">
        <v>12</v>
      </c>
      <c r="E1013" s="24" t="s">
        <v>3176</v>
      </c>
      <c r="F1013" s="24" t="s">
        <v>3369</v>
      </c>
      <c r="G1013" s="24">
        <v>500</v>
      </c>
      <c r="H1013" s="24"/>
    </row>
    <row r="1014" spans="1:8" ht="14">
      <c r="A1014" s="27" t="s">
        <v>3370</v>
      </c>
      <c r="B1014" s="25" t="s">
        <v>3166</v>
      </c>
      <c r="C1014" s="27" t="s">
        <v>3370</v>
      </c>
      <c r="D1014" s="24" t="s">
        <v>12</v>
      </c>
      <c r="E1014" s="24" t="s">
        <v>3177</v>
      </c>
      <c r="F1014" s="24" t="s">
        <v>3371</v>
      </c>
      <c r="G1014" s="24">
        <v>500</v>
      </c>
      <c r="H1014" s="24"/>
    </row>
    <row r="1015" spans="1:8" ht="14">
      <c r="A1015" s="27" t="s">
        <v>3372</v>
      </c>
      <c r="B1015" s="25" t="s">
        <v>3166</v>
      </c>
      <c r="C1015" s="27" t="s">
        <v>3372</v>
      </c>
      <c r="D1015" s="24" t="s">
        <v>12</v>
      </c>
      <c r="E1015" s="24" t="s">
        <v>3178</v>
      </c>
      <c r="F1015" s="24" t="s">
        <v>3373</v>
      </c>
      <c r="G1015" s="24">
        <v>500</v>
      </c>
      <c r="H1015" s="24"/>
    </row>
    <row r="1016" spans="1:8" ht="14">
      <c r="A1016" s="27" t="s">
        <v>3374</v>
      </c>
      <c r="B1016" s="25" t="s">
        <v>3166</v>
      </c>
      <c r="C1016" s="27" t="s">
        <v>3374</v>
      </c>
      <c r="D1016" s="24" t="s">
        <v>12</v>
      </c>
      <c r="E1016" s="24" t="s">
        <v>3179</v>
      </c>
      <c r="F1016" s="24" t="s">
        <v>3375</v>
      </c>
      <c r="G1016" s="24">
        <v>500</v>
      </c>
      <c r="H1016" s="24"/>
    </row>
    <row r="1017" spans="1:8" ht="14">
      <c r="A1017" s="27" t="s">
        <v>3376</v>
      </c>
      <c r="B1017" s="25" t="s">
        <v>3166</v>
      </c>
      <c r="C1017" s="27" t="s">
        <v>3376</v>
      </c>
      <c r="D1017" s="24" t="s">
        <v>12</v>
      </c>
      <c r="E1017" s="24" t="s">
        <v>3180</v>
      </c>
      <c r="F1017" s="24" t="s">
        <v>3377</v>
      </c>
      <c r="G1017" s="24">
        <v>500</v>
      </c>
      <c r="H1017" s="24"/>
    </row>
    <row r="1018" spans="1:8" ht="14">
      <c r="A1018" s="27" t="s">
        <v>3378</v>
      </c>
      <c r="B1018" s="25" t="s">
        <v>3166</v>
      </c>
      <c r="C1018" s="27" t="s">
        <v>3378</v>
      </c>
      <c r="D1018" s="24" t="s">
        <v>12</v>
      </c>
      <c r="E1018" s="24" t="s">
        <v>3181</v>
      </c>
      <c r="F1018" s="24" t="s">
        <v>3379</v>
      </c>
      <c r="G1018" s="24">
        <v>500</v>
      </c>
      <c r="H1018" s="24"/>
    </row>
    <row r="1019" spans="1:8" ht="14">
      <c r="A1019" s="27" t="s">
        <v>3380</v>
      </c>
      <c r="B1019" s="25" t="s">
        <v>3166</v>
      </c>
      <c r="C1019" s="27" t="s">
        <v>3380</v>
      </c>
      <c r="D1019" s="24" t="s">
        <v>12</v>
      </c>
      <c r="E1019" s="24" t="s">
        <v>3182</v>
      </c>
      <c r="F1019" s="24" t="s">
        <v>3381</v>
      </c>
      <c r="G1019" s="24">
        <v>500</v>
      </c>
      <c r="H1019" s="24"/>
    </row>
    <row r="1020" spans="1:8" ht="14">
      <c r="A1020" s="27" t="s">
        <v>3382</v>
      </c>
      <c r="B1020" s="25" t="s">
        <v>3166</v>
      </c>
      <c r="C1020" s="27" t="s">
        <v>3382</v>
      </c>
      <c r="D1020" s="24" t="s">
        <v>12</v>
      </c>
      <c r="E1020" s="24" t="s">
        <v>3183</v>
      </c>
      <c r="F1020" s="24" t="s">
        <v>3383</v>
      </c>
      <c r="G1020" s="24">
        <v>500</v>
      </c>
      <c r="H1020" s="24"/>
    </row>
    <row r="1021" spans="1:8" ht="14">
      <c r="A1021" s="27" t="s">
        <v>3384</v>
      </c>
      <c r="B1021" s="25" t="s">
        <v>3166</v>
      </c>
      <c r="C1021" s="27" t="s">
        <v>3384</v>
      </c>
      <c r="D1021" s="24" t="s">
        <v>12</v>
      </c>
      <c r="E1021" s="24" t="s">
        <v>3184</v>
      </c>
      <c r="F1021" s="24" t="s">
        <v>3385</v>
      </c>
      <c r="G1021" s="24">
        <v>500</v>
      </c>
      <c r="H1021" s="24"/>
    </row>
    <row r="1022" spans="1:8" ht="14">
      <c r="A1022" s="27" t="s">
        <v>3386</v>
      </c>
      <c r="B1022" s="25" t="s">
        <v>3166</v>
      </c>
      <c r="C1022" s="27" t="s">
        <v>3386</v>
      </c>
      <c r="D1022" s="24" t="s">
        <v>12</v>
      </c>
      <c r="E1022" s="24" t="s">
        <v>3185</v>
      </c>
      <c r="F1022" s="24" t="s">
        <v>3387</v>
      </c>
      <c r="G1022" s="24">
        <v>500</v>
      </c>
      <c r="H1022" s="24"/>
    </row>
    <row r="1023" spans="1:8" ht="14">
      <c r="A1023" s="27" t="s">
        <v>3388</v>
      </c>
      <c r="B1023" s="25" t="s">
        <v>3166</v>
      </c>
      <c r="C1023" s="27" t="s">
        <v>3388</v>
      </c>
      <c r="D1023" s="24" t="s">
        <v>12</v>
      </c>
      <c r="E1023" s="24" t="s">
        <v>3186</v>
      </c>
      <c r="F1023" s="24" t="s">
        <v>3389</v>
      </c>
      <c r="G1023" s="24">
        <v>500</v>
      </c>
      <c r="H1023" s="24"/>
    </row>
    <row r="1024" spans="1:8" ht="14">
      <c r="A1024" s="27" t="s">
        <v>3390</v>
      </c>
      <c r="B1024" s="25" t="s">
        <v>3166</v>
      </c>
      <c r="C1024" s="27" t="s">
        <v>3390</v>
      </c>
      <c r="D1024" s="24" t="s">
        <v>12</v>
      </c>
      <c r="E1024" s="24" t="s">
        <v>3187</v>
      </c>
      <c r="F1024" s="24" t="s">
        <v>3391</v>
      </c>
      <c r="G1024" s="24">
        <v>500</v>
      </c>
      <c r="H1024" s="24"/>
    </row>
    <row r="1025" spans="1:8" ht="14">
      <c r="A1025" s="27" t="s">
        <v>3392</v>
      </c>
      <c r="B1025" s="25" t="s">
        <v>3166</v>
      </c>
      <c r="C1025" s="27" t="s">
        <v>3392</v>
      </c>
      <c r="D1025" s="24" t="s">
        <v>12</v>
      </c>
      <c r="E1025" s="24" t="s">
        <v>3188</v>
      </c>
      <c r="F1025" s="24" t="s">
        <v>3393</v>
      </c>
      <c r="G1025" s="24">
        <v>500</v>
      </c>
      <c r="H1025" s="24"/>
    </row>
    <row r="1026" spans="1:8" ht="14">
      <c r="A1026" s="27" t="s">
        <v>3394</v>
      </c>
      <c r="B1026" s="25" t="s">
        <v>3166</v>
      </c>
      <c r="C1026" s="27" t="s">
        <v>3394</v>
      </c>
      <c r="D1026" s="24" t="s">
        <v>12</v>
      </c>
      <c r="E1026" s="24" t="s">
        <v>3189</v>
      </c>
      <c r="F1026" s="24" t="s">
        <v>3395</v>
      </c>
      <c r="G1026" s="24">
        <v>500</v>
      </c>
      <c r="H1026" s="24"/>
    </row>
    <row r="1027" spans="1:8" ht="14">
      <c r="A1027" s="27" t="s">
        <v>3396</v>
      </c>
      <c r="B1027" s="25" t="s">
        <v>3166</v>
      </c>
      <c r="C1027" s="27" t="s">
        <v>3396</v>
      </c>
      <c r="D1027" s="24" t="s">
        <v>12</v>
      </c>
      <c r="E1027" s="24" t="s">
        <v>3190</v>
      </c>
      <c r="F1027" s="24" t="s">
        <v>3397</v>
      </c>
      <c r="G1027" s="24">
        <v>500</v>
      </c>
      <c r="H1027" s="24"/>
    </row>
    <row r="1028" spans="1:8" ht="14">
      <c r="A1028" s="27" t="s">
        <v>3398</v>
      </c>
      <c r="B1028" s="25" t="s">
        <v>3166</v>
      </c>
      <c r="C1028" s="27" t="s">
        <v>3398</v>
      </c>
      <c r="D1028" s="24" t="s">
        <v>12</v>
      </c>
      <c r="E1028" s="24" t="s">
        <v>3191</v>
      </c>
      <c r="F1028" s="24" t="s">
        <v>3399</v>
      </c>
      <c r="G1028" s="24">
        <v>500</v>
      </c>
      <c r="H1028" s="24"/>
    </row>
    <row r="1029" spans="1:8" ht="14">
      <c r="A1029" s="27" t="s">
        <v>3400</v>
      </c>
      <c r="B1029" s="25" t="s">
        <v>3166</v>
      </c>
      <c r="C1029" s="27" t="s">
        <v>3400</v>
      </c>
      <c r="D1029" s="24" t="s">
        <v>12</v>
      </c>
      <c r="E1029" s="24" t="s">
        <v>3192</v>
      </c>
      <c r="F1029" s="24" t="s">
        <v>3401</v>
      </c>
      <c r="G1029" s="24">
        <v>500</v>
      </c>
      <c r="H1029" s="24"/>
    </row>
    <row r="1030" spans="1:8" ht="14">
      <c r="A1030" s="27" t="s">
        <v>3402</v>
      </c>
      <c r="B1030" s="25" t="s">
        <v>3166</v>
      </c>
      <c r="C1030" s="27" t="s">
        <v>3402</v>
      </c>
      <c r="D1030" s="24" t="s">
        <v>12</v>
      </c>
      <c r="E1030" s="24" t="s">
        <v>3193</v>
      </c>
      <c r="F1030" s="24" t="s">
        <v>3403</v>
      </c>
      <c r="G1030" s="24">
        <v>500</v>
      </c>
      <c r="H1030" s="24"/>
    </row>
    <row r="1031" spans="1:8" ht="14">
      <c r="A1031" s="27" t="s">
        <v>3404</v>
      </c>
      <c r="B1031" s="25" t="s">
        <v>3166</v>
      </c>
      <c r="C1031" s="27" t="s">
        <v>3404</v>
      </c>
      <c r="D1031" s="24" t="s">
        <v>12</v>
      </c>
      <c r="E1031" s="24" t="s">
        <v>3194</v>
      </c>
      <c r="F1031" s="24" t="s">
        <v>3405</v>
      </c>
      <c r="G1031" s="24">
        <v>500</v>
      </c>
      <c r="H1031" s="24"/>
    </row>
    <row r="1032" spans="1:8" ht="14">
      <c r="A1032" s="27" t="s">
        <v>3406</v>
      </c>
      <c r="B1032" s="25" t="s">
        <v>3166</v>
      </c>
      <c r="C1032" s="27" t="s">
        <v>3406</v>
      </c>
      <c r="D1032" s="24" t="s">
        <v>12</v>
      </c>
      <c r="E1032" s="24" t="s">
        <v>3195</v>
      </c>
      <c r="F1032" s="24" t="s">
        <v>3407</v>
      </c>
      <c r="G1032" s="24">
        <v>500</v>
      </c>
      <c r="H1032" s="24"/>
    </row>
    <row r="1033" spans="1:8" ht="14">
      <c r="A1033" s="27" t="s">
        <v>3408</v>
      </c>
      <c r="B1033" s="25" t="s">
        <v>3166</v>
      </c>
      <c r="C1033" s="27" t="s">
        <v>3408</v>
      </c>
      <c r="D1033" s="24" t="s">
        <v>12</v>
      </c>
      <c r="E1033" s="24" t="s">
        <v>3196</v>
      </c>
      <c r="F1033" s="24" t="s">
        <v>3409</v>
      </c>
      <c r="G1033" s="24">
        <v>500</v>
      </c>
      <c r="H1033" s="24"/>
    </row>
    <row r="1034" spans="1:8" ht="14">
      <c r="A1034" s="27" t="s">
        <v>3410</v>
      </c>
      <c r="B1034" s="25" t="s">
        <v>3166</v>
      </c>
      <c r="C1034" s="27" t="s">
        <v>3410</v>
      </c>
      <c r="D1034" s="24" t="s">
        <v>12</v>
      </c>
      <c r="E1034" s="24" t="s">
        <v>3197</v>
      </c>
      <c r="F1034" s="24" t="s">
        <v>3411</v>
      </c>
      <c r="G1034" s="24">
        <v>500</v>
      </c>
      <c r="H1034" s="24"/>
    </row>
    <row r="1035" spans="1:8" ht="14">
      <c r="A1035" s="27" t="s">
        <v>3412</v>
      </c>
      <c r="B1035" s="25" t="s">
        <v>3166</v>
      </c>
      <c r="C1035" s="27" t="s">
        <v>3412</v>
      </c>
      <c r="D1035" s="24" t="s">
        <v>12</v>
      </c>
      <c r="E1035" s="24" t="s">
        <v>3198</v>
      </c>
      <c r="F1035" s="24" t="s">
        <v>3413</v>
      </c>
      <c r="G1035" s="24">
        <v>500</v>
      </c>
      <c r="H1035" s="24"/>
    </row>
    <row r="1036" spans="1:8" ht="14">
      <c r="A1036" s="27" t="s">
        <v>3414</v>
      </c>
      <c r="B1036" s="25" t="s">
        <v>3166</v>
      </c>
      <c r="C1036" s="27" t="s">
        <v>3414</v>
      </c>
      <c r="D1036" s="24" t="s">
        <v>12</v>
      </c>
      <c r="E1036" s="24" t="s">
        <v>3199</v>
      </c>
      <c r="F1036" s="24" t="s">
        <v>3415</v>
      </c>
      <c r="G1036" s="24">
        <v>500</v>
      </c>
      <c r="H1036" s="24"/>
    </row>
    <row r="1037" spans="1:8" ht="14">
      <c r="A1037" s="27" t="s">
        <v>3416</v>
      </c>
      <c r="B1037" s="25" t="s">
        <v>3166</v>
      </c>
      <c r="C1037" s="27" t="s">
        <v>3416</v>
      </c>
      <c r="D1037" s="24" t="s">
        <v>12</v>
      </c>
      <c r="E1037" s="24" t="s">
        <v>3200</v>
      </c>
      <c r="F1037" s="24" t="s">
        <v>3417</v>
      </c>
      <c r="G1037" s="24">
        <v>500</v>
      </c>
      <c r="H1037" s="24"/>
    </row>
    <row r="1038" spans="1:8" ht="14">
      <c r="A1038" s="27" t="s">
        <v>3418</v>
      </c>
      <c r="B1038" s="25" t="s">
        <v>3166</v>
      </c>
      <c r="C1038" s="27" t="s">
        <v>3418</v>
      </c>
      <c r="D1038" s="24" t="s">
        <v>12</v>
      </c>
      <c r="E1038" s="24" t="s">
        <v>3201</v>
      </c>
      <c r="F1038" s="24" t="s">
        <v>3419</v>
      </c>
      <c r="G1038" s="24">
        <v>500</v>
      </c>
      <c r="H1038" s="24"/>
    </row>
    <row r="1039" spans="1:8" ht="14">
      <c r="A1039" s="27" t="s">
        <v>3420</v>
      </c>
      <c r="B1039" s="25" t="s">
        <v>3166</v>
      </c>
      <c r="C1039" s="27" t="s">
        <v>3420</v>
      </c>
      <c r="D1039" s="24" t="s">
        <v>12</v>
      </c>
      <c r="E1039" s="24" t="s">
        <v>3202</v>
      </c>
      <c r="F1039" s="24" t="s">
        <v>3421</v>
      </c>
      <c r="G1039" s="24">
        <v>500</v>
      </c>
      <c r="H1039" s="24"/>
    </row>
    <row r="1040" spans="1:8" ht="14">
      <c r="A1040" s="27" t="s">
        <v>3422</v>
      </c>
      <c r="B1040" s="25" t="s">
        <v>3166</v>
      </c>
      <c r="C1040" s="27" t="s">
        <v>3422</v>
      </c>
      <c r="D1040" s="24" t="s">
        <v>12</v>
      </c>
      <c r="E1040" s="24" t="s">
        <v>3203</v>
      </c>
      <c r="F1040" s="24" t="s">
        <v>3423</v>
      </c>
      <c r="G1040" s="24">
        <v>500</v>
      </c>
      <c r="H1040" s="24"/>
    </row>
    <row r="1041" spans="1:8" ht="14">
      <c r="A1041" s="27" t="s">
        <v>3424</v>
      </c>
      <c r="B1041" s="25" t="s">
        <v>3166</v>
      </c>
      <c r="C1041" s="27" t="s">
        <v>3424</v>
      </c>
      <c r="D1041" s="24" t="s">
        <v>12</v>
      </c>
      <c r="E1041" s="24" t="s">
        <v>3204</v>
      </c>
      <c r="F1041" s="24" t="s">
        <v>3425</v>
      </c>
      <c r="G1041" s="24">
        <v>500</v>
      </c>
      <c r="H1041" s="24"/>
    </row>
    <row r="1042" spans="1:8" ht="14">
      <c r="A1042" s="27" t="s">
        <v>3426</v>
      </c>
      <c r="B1042" s="25" t="s">
        <v>3166</v>
      </c>
      <c r="C1042" s="27" t="s">
        <v>3426</v>
      </c>
      <c r="D1042" s="24" t="s">
        <v>12</v>
      </c>
      <c r="E1042" s="24" t="s">
        <v>3205</v>
      </c>
      <c r="F1042" s="24" t="s">
        <v>3427</v>
      </c>
      <c r="G1042" s="24">
        <v>500</v>
      </c>
      <c r="H1042" s="24"/>
    </row>
    <row r="1043" spans="1:8" ht="14">
      <c r="A1043" s="27" t="s">
        <v>3428</v>
      </c>
      <c r="B1043" s="25" t="s">
        <v>3166</v>
      </c>
      <c r="C1043" s="27" t="s">
        <v>3428</v>
      </c>
      <c r="D1043" s="24" t="s">
        <v>12</v>
      </c>
      <c r="E1043" s="24" t="s">
        <v>3206</v>
      </c>
      <c r="F1043" s="24" t="s">
        <v>3429</v>
      </c>
      <c r="G1043" s="24">
        <v>500</v>
      </c>
      <c r="H1043" s="24"/>
    </row>
    <row r="1044" spans="1:8" ht="14">
      <c r="A1044" s="27" t="s">
        <v>3430</v>
      </c>
      <c r="B1044" s="25" t="s">
        <v>3166</v>
      </c>
      <c r="C1044" s="27" t="s">
        <v>3430</v>
      </c>
      <c r="D1044" s="24" t="s">
        <v>12</v>
      </c>
      <c r="E1044" s="24" t="s">
        <v>3207</v>
      </c>
      <c r="F1044" s="24" t="s">
        <v>3431</v>
      </c>
      <c r="G1044" s="24">
        <v>500</v>
      </c>
      <c r="H1044" s="24"/>
    </row>
    <row r="1045" spans="1:8" ht="14">
      <c r="A1045" s="27" t="s">
        <v>3432</v>
      </c>
      <c r="B1045" s="25" t="s">
        <v>3166</v>
      </c>
      <c r="C1045" s="27" t="s">
        <v>3432</v>
      </c>
      <c r="D1045" s="24" t="s">
        <v>12</v>
      </c>
      <c r="E1045" s="24" t="s">
        <v>3208</v>
      </c>
      <c r="F1045" s="24" t="s">
        <v>3433</v>
      </c>
      <c r="G1045" s="24">
        <v>500</v>
      </c>
      <c r="H1045" s="24"/>
    </row>
    <row r="1046" spans="1:8" ht="14">
      <c r="A1046" s="27" t="s">
        <v>3434</v>
      </c>
      <c r="B1046" s="25" t="s">
        <v>3166</v>
      </c>
      <c r="C1046" s="27" t="s">
        <v>3434</v>
      </c>
      <c r="D1046" s="24" t="s">
        <v>12</v>
      </c>
      <c r="E1046" s="24" t="s">
        <v>3209</v>
      </c>
      <c r="F1046" s="24" t="s">
        <v>3435</v>
      </c>
      <c r="G1046" s="24">
        <v>500</v>
      </c>
      <c r="H1046" s="24"/>
    </row>
    <row r="1047" spans="1:8" ht="14">
      <c r="A1047" s="27" t="s">
        <v>3436</v>
      </c>
      <c r="B1047" s="25" t="s">
        <v>3166</v>
      </c>
      <c r="C1047" s="27" t="s">
        <v>3436</v>
      </c>
      <c r="D1047" s="24" t="s">
        <v>12</v>
      </c>
      <c r="E1047" s="24" t="s">
        <v>3210</v>
      </c>
      <c r="F1047" s="24" t="s">
        <v>3437</v>
      </c>
      <c r="G1047" s="24">
        <v>500</v>
      </c>
      <c r="H1047" s="24"/>
    </row>
    <row r="1048" spans="1:8" ht="14">
      <c r="A1048" s="27" t="s">
        <v>3438</v>
      </c>
      <c r="B1048" s="25" t="s">
        <v>3166</v>
      </c>
      <c r="C1048" s="27" t="s">
        <v>3438</v>
      </c>
      <c r="D1048" s="24" t="s">
        <v>12</v>
      </c>
      <c r="E1048" s="24" t="s">
        <v>3211</v>
      </c>
      <c r="F1048" s="24" t="s">
        <v>3439</v>
      </c>
      <c r="G1048" s="24">
        <v>500</v>
      </c>
      <c r="H1048" s="24"/>
    </row>
    <row r="1049" spans="1:8" ht="14">
      <c r="A1049" s="27" t="s">
        <v>3440</v>
      </c>
      <c r="B1049" s="25" t="s">
        <v>3166</v>
      </c>
      <c r="C1049" s="27" t="s">
        <v>3440</v>
      </c>
      <c r="D1049" s="24" t="s">
        <v>12</v>
      </c>
      <c r="E1049" s="24" t="s">
        <v>3212</v>
      </c>
      <c r="F1049" s="24" t="s">
        <v>3441</v>
      </c>
      <c r="G1049" s="24">
        <v>500</v>
      </c>
      <c r="H1049" s="24"/>
    </row>
    <row r="1050" spans="1:8" ht="14">
      <c r="A1050" s="27" t="s">
        <v>3442</v>
      </c>
      <c r="B1050" s="25" t="s">
        <v>3166</v>
      </c>
      <c r="C1050" s="27" t="s">
        <v>3442</v>
      </c>
      <c r="D1050" s="24" t="s">
        <v>12</v>
      </c>
      <c r="E1050" s="24" t="s">
        <v>3213</v>
      </c>
      <c r="F1050" s="24" t="s">
        <v>3443</v>
      </c>
      <c r="G1050" s="24">
        <v>500</v>
      </c>
      <c r="H1050" s="24"/>
    </row>
    <row r="1051" spans="1:8" ht="14">
      <c r="A1051" s="27" t="s">
        <v>3444</v>
      </c>
      <c r="B1051" s="25" t="s">
        <v>3166</v>
      </c>
      <c r="C1051" s="27" t="s">
        <v>3444</v>
      </c>
      <c r="D1051" s="24" t="s">
        <v>12</v>
      </c>
      <c r="E1051" s="24" t="s">
        <v>3214</v>
      </c>
      <c r="F1051" s="24" t="s">
        <v>3445</v>
      </c>
      <c r="G1051" s="24">
        <v>500</v>
      </c>
      <c r="H1051" s="24"/>
    </row>
    <row r="1052" spans="1:8" ht="14">
      <c r="A1052" s="27" t="s">
        <v>3446</v>
      </c>
      <c r="B1052" s="25" t="s">
        <v>3166</v>
      </c>
      <c r="C1052" s="27" t="s">
        <v>3446</v>
      </c>
      <c r="D1052" s="24" t="s">
        <v>12</v>
      </c>
      <c r="E1052" s="24" t="s">
        <v>3215</v>
      </c>
      <c r="F1052" s="24" t="s">
        <v>3447</v>
      </c>
      <c r="G1052" s="24">
        <v>500</v>
      </c>
      <c r="H1052" s="24"/>
    </row>
    <row r="1053" spans="1:8" ht="14">
      <c r="A1053" s="27" t="s">
        <v>3448</v>
      </c>
      <c r="B1053" s="25" t="s">
        <v>3166</v>
      </c>
      <c r="C1053" s="27" t="s">
        <v>3448</v>
      </c>
      <c r="D1053" s="24" t="s">
        <v>12</v>
      </c>
      <c r="E1053" s="24" t="s">
        <v>3216</v>
      </c>
      <c r="F1053" s="24" t="s">
        <v>3449</v>
      </c>
      <c r="G1053" s="24">
        <v>500</v>
      </c>
      <c r="H1053" s="24"/>
    </row>
    <row r="1054" spans="1:8" ht="14">
      <c r="A1054" s="27" t="s">
        <v>3450</v>
      </c>
      <c r="B1054" s="25" t="s">
        <v>3166</v>
      </c>
      <c r="C1054" s="27" t="s">
        <v>3450</v>
      </c>
      <c r="D1054" s="24" t="s">
        <v>12</v>
      </c>
      <c r="E1054" s="24" t="s">
        <v>3217</v>
      </c>
      <c r="F1054" s="24" t="s">
        <v>3451</v>
      </c>
      <c r="G1054" s="24">
        <v>500</v>
      </c>
      <c r="H1054" s="24"/>
    </row>
    <row r="1055" spans="1:8" ht="14">
      <c r="A1055" s="27" t="s">
        <v>3452</v>
      </c>
      <c r="B1055" s="25" t="s">
        <v>3166</v>
      </c>
      <c r="C1055" s="27" t="s">
        <v>3452</v>
      </c>
      <c r="D1055" s="24" t="s">
        <v>12</v>
      </c>
      <c r="E1055" s="24" t="s">
        <v>3218</v>
      </c>
      <c r="F1055" s="24" t="s">
        <v>3453</v>
      </c>
      <c r="G1055" s="24">
        <v>500</v>
      </c>
      <c r="H1055" s="24"/>
    </row>
    <row r="1056" spans="1:8" ht="14">
      <c r="A1056" s="27" t="s">
        <v>3454</v>
      </c>
      <c r="B1056" s="25" t="s">
        <v>3166</v>
      </c>
      <c r="C1056" s="27" t="s">
        <v>3454</v>
      </c>
      <c r="D1056" s="24" t="s">
        <v>12</v>
      </c>
      <c r="E1056" s="24" t="s">
        <v>3219</v>
      </c>
      <c r="F1056" s="24" t="s">
        <v>3455</v>
      </c>
      <c r="G1056" s="24">
        <v>500</v>
      </c>
      <c r="H1056" s="24"/>
    </row>
    <row r="1057" spans="1:8" ht="14">
      <c r="A1057" s="27" t="s">
        <v>3456</v>
      </c>
      <c r="B1057" s="25" t="s">
        <v>3166</v>
      </c>
      <c r="C1057" s="27" t="s">
        <v>3456</v>
      </c>
      <c r="D1057" s="24" t="s">
        <v>12</v>
      </c>
      <c r="E1057" s="24" t="s">
        <v>3220</v>
      </c>
      <c r="F1057" s="24" t="s">
        <v>3457</v>
      </c>
      <c r="G1057" s="24">
        <v>500</v>
      </c>
      <c r="H1057" s="24"/>
    </row>
    <row r="1058" spans="1:8" ht="14">
      <c r="A1058" s="27" t="s">
        <v>3458</v>
      </c>
      <c r="B1058" s="25" t="s">
        <v>3166</v>
      </c>
      <c r="C1058" s="27" t="s">
        <v>3458</v>
      </c>
      <c r="D1058" s="24" t="s">
        <v>12</v>
      </c>
      <c r="E1058" s="24" t="s">
        <v>3459</v>
      </c>
      <c r="F1058" s="24" t="s">
        <v>3460</v>
      </c>
      <c r="G1058" s="24">
        <v>500</v>
      </c>
      <c r="H1058" s="24"/>
    </row>
    <row r="1059" spans="1:8" ht="14">
      <c r="A1059" s="27" t="s">
        <v>3461</v>
      </c>
      <c r="B1059" s="25" t="s">
        <v>3166</v>
      </c>
      <c r="C1059" s="27" t="s">
        <v>3461</v>
      </c>
      <c r="D1059" s="24" t="s">
        <v>12</v>
      </c>
      <c r="E1059" s="24" t="s">
        <v>3462</v>
      </c>
      <c r="F1059" s="24" t="s">
        <v>3463</v>
      </c>
      <c r="G1059" s="24">
        <v>500</v>
      </c>
      <c r="H1059" s="24"/>
    </row>
    <row r="1060" spans="1:8" ht="14">
      <c r="A1060" s="27" t="s">
        <v>3464</v>
      </c>
      <c r="B1060" s="25" t="s">
        <v>3166</v>
      </c>
      <c r="C1060" s="27" t="s">
        <v>3464</v>
      </c>
      <c r="D1060" s="24" t="s">
        <v>12</v>
      </c>
      <c r="E1060" s="24" t="s">
        <v>3221</v>
      </c>
      <c r="F1060" s="24" t="s">
        <v>3465</v>
      </c>
      <c r="G1060" s="24">
        <v>500</v>
      </c>
      <c r="H1060" s="24"/>
    </row>
    <row r="1061" spans="1:8" ht="14">
      <c r="A1061" s="27" t="s">
        <v>3466</v>
      </c>
      <c r="B1061" s="25" t="s">
        <v>3166</v>
      </c>
      <c r="C1061" s="27" t="s">
        <v>3466</v>
      </c>
      <c r="D1061" s="24" t="s">
        <v>12</v>
      </c>
      <c r="E1061" s="24" t="s">
        <v>3222</v>
      </c>
      <c r="F1061" s="24" t="s">
        <v>3467</v>
      </c>
      <c r="G1061" s="24">
        <v>500</v>
      </c>
      <c r="H1061" s="24"/>
    </row>
    <row r="1062" spans="1:8" ht="14">
      <c r="A1062" s="27" t="s">
        <v>3468</v>
      </c>
      <c r="B1062" s="25" t="s">
        <v>3166</v>
      </c>
      <c r="C1062" s="27" t="s">
        <v>3468</v>
      </c>
      <c r="D1062" s="24" t="s">
        <v>12</v>
      </c>
      <c r="E1062" s="24" t="s">
        <v>3223</v>
      </c>
      <c r="F1062" s="24" t="s">
        <v>3469</v>
      </c>
      <c r="G1062" s="24">
        <v>500</v>
      </c>
      <c r="H1062" s="24"/>
    </row>
    <row r="1063" spans="1:8" ht="14">
      <c r="A1063" s="27" t="s">
        <v>3470</v>
      </c>
      <c r="B1063" s="25" t="s">
        <v>3166</v>
      </c>
      <c r="C1063" s="27" t="s">
        <v>3470</v>
      </c>
      <c r="D1063" s="24" t="s">
        <v>12</v>
      </c>
      <c r="E1063" s="24" t="s">
        <v>3224</v>
      </c>
      <c r="F1063" s="24" t="s">
        <v>3471</v>
      </c>
      <c r="G1063" s="24">
        <v>500</v>
      </c>
      <c r="H1063" s="24"/>
    </row>
    <row r="1064" spans="1:8" ht="14">
      <c r="A1064" s="27" t="s">
        <v>3472</v>
      </c>
      <c r="B1064" s="25" t="s">
        <v>3166</v>
      </c>
      <c r="C1064" s="27" t="s">
        <v>3472</v>
      </c>
      <c r="D1064" s="24" t="s">
        <v>12</v>
      </c>
      <c r="E1064" s="24" t="s">
        <v>3225</v>
      </c>
      <c r="F1064" s="24" t="s">
        <v>3473</v>
      </c>
      <c r="G1064" s="24">
        <v>500</v>
      </c>
      <c r="H1064" s="24"/>
    </row>
    <row r="1065" spans="1:8" ht="14">
      <c r="A1065" s="27" t="s">
        <v>3474</v>
      </c>
      <c r="B1065" s="25" t="s">
        <v>3166</v>
      </c>
      <c r="C1065" s="27" t="s">
        <v>3474</v>
      </c>
      <c r="D1065" s="24" t="s">
        <v>12</v>
      </c>
      <c r="E1065" s="24" t="s">
        <v>3226</v>
      </c>
      <c r="F1065" s="24" t="s">
        <v>3475</v>
      </c>
      <c r="G1065" s="24">
        <v>500</v>
      </c>
      <c r="H1065" s="24"/>
    </row>
    <row r="1066" spans="1:8" ht="14">
      <c r="A1066" s="27" t="s">
        <v>3476</v>
      </c>
      <c r="B1066" s="25" t="s">
        <v>3166</v>
      </c>
      <c r="C1066" s="27" t="s">
        <v>3476</v>
      </c>
      <c r="D1066" s="24" t="s">
        <v>12</v>
      </c>
      <c r="E1066" s="24" t="s">
        <v>3227</v>
      </c>
      <c r="F1066" s="24" t="s">
        <v>3477</v>
      </c>
      <c r="G1066" s="24">
        <v>500</v>
      </c>
      <c r="H1066" s="24"/>
    </row>
    <row r="1067" spans="1:8" ht="14">
      <c r="A1067" s="27" t="s">
        <v>3478</v>
      </c>
      <c r="B1067" s="25" t="s">
        <v>3166</v>
      </c>
      <c r="C1067" s="27" t="s">
        <v>3478</v>
      </c>
      <c r="D1067" s="24" t="s">
        <v>12</v>
      </c>
      <c r="E1067" s="24" t="s">
        <v>3479</v>
      </c>
      <c r="F1067" s="24" t="s">
        <v>3480</v>
      </c>
      <c r="G1067" s="24">
        <v>500</v>
      </c>
      <c r="H1067" s="24"/>
    </row>
    <row r="1068" spans="1:8" ht="14">
      <c r="A1068" s="27" t="s">
        <v>3481</v>
      </c>
      <c r="B1068" s="25" t="s">
        <v>3166</v>
      </c>
      <c r="C1068" s="27" t="s">
        <v>3481</v>
      </c>
      <c r="D1068" s="24" t="s">
        <v>12</v>
      </c>
      <c r="E1068" s="24" t="s">
        <v>3482</v>
      </c>
      <c r="F1068" s="24" t="s">
        <v>3483</v>
      </c>
      <c r="G1068" s="24">
        <v>500</v>
      </c>
      <c r="H1068" s="24"/>
    </row>
    <row r="1069" spans="1:8" ht="14">
      <c r="A1069" s="27" t="s">
        <v>3484</v>
      </c>
      <c r="B1069" s="25" t="s">
        <v>3166</v>
      </c>
      <c r="C1069" s="27" t="s">
        <v>3484</v>
      </c>
      <c r="D1069" s="24" t="s">
        <v>12</v>
      </c>
      <c r="E1069" s="24" t="s">
        <v>3482</v>
      </c>
      <c r="F1069" s="24" t="s">
        <v>3485</v>
      </c>
      <c r="G1069" s="24">
        <v>500</v>
      </c>
      <c r="H1069" s="24"/>
    </row>
    <row r="1070" spans="1:8" ht="14">
      <c r="A1070" s="27" t="s">
        <v>3486</v>
      </c>
      <c r="B1070" s="25" t="s">
        <v>3166</v>
      </c>
      <c r="C1070" s="27" t="s">
        <v>3486</v>
      </c>
      <c r="D1070" s="24" t="s">
        <v>12</v>
      </c>
      <c r="E1070" s="24" t="s">
        <v>3228</v>
      </c>
      <c r="F1070" s="24" t="s">
        <v>3487</v>
      </c>
      <c r="G1070" s="24">
        <v>500</v>
      </c>
      <c r="H1070" s="24"/>
    </row>
    <row r="1071" spans="1:8" ht="14">
      <c r="A1071" s="27" t="s">
        <v>3488</v>
      </c>
      <c r="B1071" s="25" t="s">
        <v>3166</v>
      </c>
      <c r="C1071" s="27" t="s">
        <v>3488</v>
      </c>
      <c r="D1071" s="24" t="s">
        <v>12</v>
      </c>
      <c r="E1071" s="24" t="s">
        <v>3229</v>
      </c>
      <c r="F1071" s="24" t="s">
        <v>3489</v>
      </c>
      <c r="G1071" s="24">
        <v>500</v>
      </c>
      <c r="H1071" s="24"/>
    </row>
    <row r="1072" spans="1:8" ht="14">
      <c r="A1072" s="27" t="s">
        <v>3490</v>
      </c>
      <c r="B1072" s="25" t="s">
        <v>3166</v>
      </c>
      <c r="C1072" s="27" t="s">
        <v>3490</v>
      </c>
      <c r="D1072" s="24" t="s">
        <v>12</v>
      </c>
      <c r="E1072" s="24" t="s">
        <v>3230</v>
      </c>
      <c r="F1072" s="24" t="s">
        <v>3491</v>
      </c>
      <c r="G1072" s="24">
        <v>500</v>
      </c>
      <c r="H1072" s="24"/>
    </row>
    <row r="1073" spans="1:8" ht="14">
      <c r="A1073" s="27" t="s">
        <v>3492</v>
      </c>
      <c r="B1073" s="25" t="s">
        <v>3166</v>
      </c>
      <c r="C1073" s="27" t="s">
        <v>3492</v>
      </c>
      <c r="D1073" s="24" t="s">
        <v>12</v>
      </c>
      <c r="E1073" s="24" t="s">
        <v>3231</v>
      </c>
      <c r="F1073" s="24" t="s">
        <v>3493</v>
      </c>
      <c r="G1073" s="24">
        <v>500</v>
      </c>
      <c r="H1073" s="24"/>
    </row>
    <row r="1074" spans="1:8" ht="14">
      <c r="A1074" s="27" t="s">
        <v>3494</v>
      </c>
      <c r="B1074" s="25" t="s">
        <v>3166</v>
      </c>
      <c r="C1074" s="27" t="s">
        <v>3494</v>
      </c>
      <c r="D1074" s="24" t="s">
        <v>12</v>
      </c>
      <c r="E1074" s="24" t="s">
        <v>3232</v>
      </c>
      <c r="F1074" s="24" t="s">
        <v>3495</v>
      </c>
      <c r="G1074" s="24">
        <v>500</v>
      </c>
      <c r="H1074" s="24"/>
    </row>
    <row r="1075" spans="1:8" ht="14">
      <c r="A1075" s="27" t="s">
        <v>3496</v>
      </c>
      <c r="B1075" s="25" t="s">
        <v>3166</v>
      </c>
      <c r="C1075" s="27" t="s">
        <v>3496</v>
      </c>
      <c r="D1075" s="24" t="s">
        <v>12</v>
      </c>
      <c r="E1075" s="24" t="s">
        <v>3233</v>
      </c>
      <c r="F1075" s="24" t="s">
        <v>3497</v>
      </c>
      <c r="G1075" s="24">
        <v>500</v>
      </c>
      <c r="H1075" s="24"/>
    </row>
    <row r="1076" spans="1:8" ht="14">
      <c r="A1076" s="27" t="s">
        <v>3498</v>
      </c>
      <c r="B1076" s="25" t="s">
        <v>3166</v>
      </c>
      <c r="C1076" s="27" t="s">
        <v>3498</v>
      </c>
      <c r="D1076" s="24" t="s">
        <v>12</v>
      </c>
      <c r="E1076" s="24" t="s">
        <v>3234</v>
      </c>
      <c r="F1076" s="24" t="s">
        <v>3499</v>
      </c>
      <c r="G1076" s="24">
        <v>500</v>
      </c>
      <c r="H1076" s="24"/>
    </row>
    <row r="1077" spans="1:8" ht="14">
      <c r="A1077" s="27" t="s">
        <v>3500</v>
      </c>
      <c r="B1077" s="25" t="s">
        <v>3166</v>
      </c>
      <c r="C1077" s="27" t="s">
        <v>3500</v>
      </c>
      <c r="D1077" s="24" t="s">
        <v>12</v>
      </c>
      <c r="E1077" s="24" t="s">
        <v>3235</v>
      </c>
      <c r="F1077" s="24" t="s">
        <v>3501</v>
      </c>
      <c r="G1077" s="24">
        <v>500</v>
      </c>
      <c r="H1077" s="24"/>
    </row>
    <row r="1078" spans="1:8" ht="14">
      <c r="A1078" s="27" t="s">
        <v>3502</v>
      </c>
      <c r="B1078" s="25" t="s">
        <v>3166</v>
      </c>
      <c r="C1078" s="27" t="s">
        <v>3502</v>
      </c>
      <c r="D1078" s="24" t="s">
        <v>12</v>
      </c>
      <c r="E1078" s="24" t="s">
        <v>3236</v>
      </c>
      <c r="F1078" s="24" t="s">
        <v>3503</v>
      </c>
      <c r="G1078" s="24">
        <v>500</v>
      </c>
      <c r="H1078" s="24"/>
    </row>
    <row r="1079" spans="1:8" ht="14">
      <c r="A1079" s="27" t="s">
        <v>3504</v>
      </c>
      <c r="B1079" s="25" t="s">
        <v>3166</v>
      </c>
      <c r="C1079" s="27" t="s">
        <v>3504</v>
      </c>
      <c r="D1079" s="24" t="s">
        <v>12</v>
      </c>
      <c r="E1079" s="24" t="s">
        <v>3237</v>
      </c>
      <c r="F1079" s="24" t="s">
        <v>3505</v>
      </c>
      <c r="G1079" s="24">
        <v>500</v>
      </c>
      <c r="H1079" s="24"/>
    </row>
    <row r="1080" spans="1:8" ht="14">
      <c r="A1080" s="27" t="s">
        <v>3506</v>
      </c>
      <c r="B1080" s="25" t="s">
        <v>3166</v>
      </c>
      <c r="C1080" s="27" t="s">
        <v>3506</v>
      </c>
      <c r="D1080" s="24" t="s">
        <v>12</v>
      </c>
      <c r="E1080" s="24" t="s">
        <v>3238</v>
      </c>
      <c r="F1080" s="24" t="s">
        <v>3507</v>
      </c>
      <c r="G1080" s="24">
        <v>500</v>
      </c>
      <c r="H1080" s="24"/>
    </row>
    <row r="1081" spans="1:8" ht="14">
      <c r="A1081" s="27" t="s">
        <v>3508</v>
      </c>
      <c r="B1081" s="25" t="s">
        <v>3166</v>
      </c>
      <c r="C1081" s="27" t="s">
        <v>3508</v>
      </c>
      <c r="D1081" s="24" t="s">
        <v>12</v>
      </c>
      <c r="E1081" s="24" t="s">
        <v>3239</v>
      </c>
      <c r="F1081" s="24" t="s">
        <v>3509</v>
      </c>
      <c r="G1081" s="24">
        <v>500</v>
      </c>
      <c r="H1081" s="24"/>
    </row>
    <row r="1082" spans="1:8" ht="14">
      <c r="A1082" s="27" t="s">
        <v>3510</v>
      </c>
      <c r="B1082" s="25" t="s">
        <v>3166</v>
      </c>
      <c r="C1082" s="27" t="s">
        <v>3510</v>
      </c>
      <c r="D1082" s="24" t="s">
        <v>12</v>
      </c>
      <c r="E1082" s="24" t="s">
        <v>3240</v>
      </c>
      <c r="F1082" s="24" t="s">
        <v>3511</v>
      </c>
      <c r="G1082" s="24">
        <v>500</v>
      </c>
      <c r="H1082" s="24"/>
    </row>
    <row r="1083" spans="1:8" ht="14">
      <c r="A1083" s="27" t="s">
        <v>3512</v>
      </c>
      <c r="B1083" s="25" t="s">
        <v>3166</v>
      </c>
      <c r="C1083" s="27" t="s">
        <v>3512</v>
      </c>
      <c r="D1083" s="24" t="s">
        <v>12</v>
      </c>
      <c r="E1083" s="24" t="s">
        <v>3241</v>
      </c>
      <c r="F1083" s="24" t="s">
        <v>3513</v>
      </c>
      <c r="G1083" s="24">
        <v>500</v>
      </c>
      <c r="H1083" s="24"/>
    </row>
    <row r="1084" spans="1:8" ht="14">
      <c r="A1084" s="27" t="s">
        <v>3514</v>
      </c>
      <c r="B1084" s="25" t="s">
        <v>3166</v>
      </c>
      <c r="C1084" s="27" t="s">
        <v>3514</v>
      </c>
      <c r="D1084" s="24" t="s">
        <v>12</v>
      </c>
      <c r="E1084" s="24" t="s">
        <v>3242</v>
      </c>
      <c r="F1084" s="24" t="s">
        <v>3515</v>
      </c>
      <c r="G1084" s="24">
        <v>500</v>
      </c>
      <c r="H1084" s="24"/>
    </row>
    <row r="1085" spans="1:8" ht="14">
      <c r="A1085" s="27" t="s">
        <v>3516</v>
      </c>
      <c r="B1085" s="25" t="s">
        <v>3166</v>
      </c>
      <c r="C1085" s="27" t="s">
        <v>3516</v>
      </c>
      <c r="D1085" s="24" t="s">
        <v>12</v>
      </c>
      <c r="E1085" s="24" t="s">
        <v>3243</v>
      </c>
      <c r="F1085" s="24" t="s">
        <v>3517</v>
      </c>
      <c r="G1085" s="24">
        <v>500</v>
      </c>
      <c r="H1085" s="24"/>
    </row>
    <row r="1086" spans="1:8" ht="14">
      <c r="A1086" s="27" t="s">
        <v>3518</v>
      </c>
      <c r="B1086" s="25" t="s">
        <v>3166</v>
      </c>
      <c r="C1086" s="27" t="s">
        <v>3518</v>
      </c>
      <c r="D1086" s="24" t="s">
        <v>12</v>
      </c>
      <c r="E1086" s="24" t="s">
        <v>3244</v>
      </c>
      <c r="F1086" s="24" t="s">
        <v>3519</v>
      </c>
      <c r="G1086" s="24">
        <v>500</v>
      </c>
      <c r="H1086" s="24"/>
    </row>
    <row r="1087" spans="1:8" ht="14">
      <c r="A1087" s="27" t="s">
        <v>3520</v>
      </c>
      <c r="B1087" s="25" t="s">
        <v>3166</v>
      </c>
      <c r="C1087" s="27" t="s">
        <v>3520</v>
      </c>
      <c r="D1087" s="24" t="s">
        <v>12</v>
      </c>
      <c r="E1087" s="24" t="s">
        <v>3762</v>
      </c>
      <c r="F1087" s="24" t="s">
        <v>3763</v>
      </c>
      <c r="G1087" s="24">
        <v>500</v>
      </c>
      <c r="H1087" s="24"/>
    </row>
    <row r="1088" spans="1:8" ht="14">
      <c r="A1088" s="27" t="s">
        <v>3521</v>
      </c>
      <c r="B1088" s="25" t="s">
        <v>3166</v>
      </c>
      <c r="C1088" s="27" t="s">
        <v>3521</v>
      </c>
      <c r="D1088" s="24" t="s">
        <v>12</v>
      </c>
      <c r="E1088" s="24" t="s">
        <v>3245</v>
      </c>
      <c r="F1088" s="24" t="s">
        <v>3522</v>
      </c>
      <c r="G1088" s="24">
        <v>500</v>
      </c>
      <c r="H1088" s="24"/>
    </row>
    <row r="1089" spans="1:8" ht="14">
      <c r="A1089" s="27" t="s">
        <v>3523</v>
      </c>
      <c r="B1089" s="25" t="s">
        <v>3166</v>
      </c>
      <c r="C1089" s="27" t="s">
        <v>3523</v>
      </c>
      <c r="D1089" s="24" t="s">
        <v>12</v>
      </c>
      <c r="E1089" s="24" t="s">
        <v>3246</v>
      </c>
      <c r="F1089" s="24" t="s">
        <v>3524</v>
      </c>
      <c r="G1089" s="24">
        <v>500</v>
      </c>
      <c r="H1089" s="24"/>
    </row>
    <row r="1090" spans="1:8" ht="14">
      <c r="A1090" s="27" t="s">
        <v>3525</v>
      </c>
      <c r="B1090" s="25" t="s">
        <v>3166</v>
      </c>
      <c r="C1090" s="27" t="s">
        <v>3525</v>
      </c>
      <c r="D1090" s="24" t="s">
        <v>12</v>
      </c>
      <c r="E1090" s="24" t="s">
        <v>3247</v>
      </c>
      <c r="F1090" s="24" t="s">
        <v>3526</v>
      </c>
      <c r="G1090" s="24">
        <v>500</v>
      </c>
      <c r="H1090" s="24"/>
    </row>
    <row r="1091" spans="1:8" ht="14">
      <c r="A1091" s="27" t="s">
        <v>3527</v>
      </c>
      <c r="B1091" s="25" t="s">
        <v>3166</v>
      </c>
      <c r="C1091" s="27" t="s">
        <v>3527</v>
      </c>
      <c r="D1091" s="24" t="s">
        <v>12</v>
      </c>
      <c r="E1091" s="24" t="s">
        <v>3248</v>
      </c>
      <c r="F1091" s="24" t="s">
        <v>3528</v>
      </c>
      <c r="G1091" s="24">
        <v>500</v>
      </c>
      <c r="H1091" s="24"/>
    </row>
    <row r="1092" spans="1:8" ht="14">
      <c r="A1092" s="27" t="s">
        <v>3529</v>
      </c>
      <c r="B1092" s="25" t="s">
        <v>3166</v>
      </c>
      <c r="C1092" s="27" t="s">
        <v>3529</v>
      </c>
      <c r="D1092" s="24" t="s">
        <v>12</v>
      </c>
      <c r="E1092" s="24" t="s">
        <v>3249</v>
      </c>
      <c r="F1092" s="24" t="s">
        <v>3530</v>
      </c>
      <c r="G1092" s="24">
        <v>500</v>
      </c>
      <c r="H1092" s="24"/>
    </row>
    <row r="1093" spans="1:8" ht="14">
      <c r="A1093" s="27" t="s">
        <v>3531</v>
      </c>
      <c r="B1093" s="25" t="s">
        <v>3166</v>
      </c>
      <c r="C1093" s="27" t="s">
        <v>3531</v>
      </c>
      <c r="D1093" s="24" t="s">
        <v>12</v>
      </c>
      <c r="E1093" s="24" t="s">
        <v>3532</v>
      </c>
      <c r="F1093" s="24" t="s">
        <v>3533</v>
      </c>
      <c r="G1093" s="24">
        <v>500</v>
      </c>
      <c r="H1093" s="24"/>
    </row>
    <row r="1094" spans="1:8" ht="14">
      <c r="A1094" s="27" t="s">
        <v>3534</v>
      </c>
      <c r="B1094" s="25" t="s">
        <v>3166</v>
      </c>
      <c r="C1094" s="27" t="s">
        <v>3534</v>
      </c>
      <c r="D1094" s="24" t="s">
        <v>12</v>
      </c>
      <c r="E1094" s="24" t="s">
        <v>3535</v>
      </c>
      <c r="F1094" s="24" t="s">
        <v>3536</v>
      </c>
      <c r="G1094" s="24">
        <v>500</v>
      </c>
      <c r="H1094" s="24"/>
    </row>
    <row r="1095" spans="1:8" ht="14">
      <c r="A1095" s="27" t="s">
        <v>3537</v>
      </c>
      <c r="B1095" s="25" t="s">
        <v>3166</v>
      </c>
      <c r="C1095" s="27" t="s">
        <v>3537</v>
      </c>
      <c r="D1095" s="24" t="s">
        <v>12</v>
      </c>
      <c r="E1095" s="24" t="s">
        <v>3250</v>
      </c>
      <c r="F1095" s="24" t="s">
        <v>3538</v>
      </c>
      <c r="G1095" s="24">
        <v>500</v>
      </c>
      <c r="H1095" s="24"/>
    </row>
    <row r="1096" spans="1:8" ht="14">
      <c r="A1096" s="27" t="s">
        <v>3539</v>
      </c>
      <c r="B1096" s="25" t="s">
        <v>3166</v>
      </c>
      <c r="C1096" s="27" t="s">
        <v>3539</v>
      </c>
      <c r="D1096" s="24" t="s">
        <v>12</v>
      </c>
      <c r="E1096" s="24" t="s">
        <v>3251</v>
      </c>
      <c r="F1096" s="24" t="s">
        <v>3540</v>
      </c>
      <c r="G1096" s="24">
        <v>500</v>
      </c>
      <c r="H1096" s="24"/>
    </row>
    <row r="1097" spans="1:8" ht="14">
      <c r="A1097" s="27" t="s">
        <v>3541</v>
      </c>
      <c r="B1097" s="25" t="s">
        <v>3166</v>
      </c>
      <c r="C1097" s="27" t="s">
        <v>3541</v>
      </c>
      <c r="D1097" s="24" t="s">
        <v>12</v>
      </c>
      <c r="E1097" s="24" t="s">
        <v>3252</v>
      </c>
      <c r="F1097" s="24" t="s">
        <v>3542</v>
      </c>
      <c r="G1097" s="24">
        <v>500</v>
      </c>
      <c r="H1097" s="24"/>
    </row>
    <row r="1098" spans="1:8" ht="14">
      <c r="A1098" s="27" t="s">
        <v>3543</v>
      </c>
      <c r="B1098" s="25" t="s">
        <v>3166</v>
      </c>
      <c r="C1098" s="27" t="s">
        <v>3543</v>
      </c>
      <c r="D1098" s="24" t="s">
        <v>12</v>
      </c>
      <c r="E1098" s="24" t="s">
        <v>3253</v>
      </c>
      <c r="F1098" s="24" t="s">
        <v>3544</v>
      </c>
      <c r="G1098" s="24">
        <v>500</v>
      </c>
      <c r="H1098" s="24"/>
    </row>
    <row r="1099" spans="1:8" ht="14">
      <c r="A1099" s="27" t="s">
        <v>3545</v>
      </c>
      <c r="B1099" s="25" t="s">
        <v>3166</v>
      </c>
      <c r="C1099" s="27" t="s">
        <v>3545</v>
      </c>
      <c r="D1099" s="24" t="s">
        <v>12</v>
      </c>
      <c r="E1099" s="24" t="s">
        <v>3254</v>
      </c>
      <c r="F1099" s="24" t="s">
        <v>3546</v>
      </c>
      <c r="G1099" s="24">
        <v>500</v>
      </c>
      <c r="H1099" s="24"/>
    </row>
    <row r="1100" spans="1:8" ht="14">
      <c r="A1100" s="27" t="s">
        <v>3547</v>
      </c>
      <c r="B1100" s="25" t="s">
        <v>3166</v>
      </c>
      <c r="C1100" s="27" t="s">
        <v>3547</v>
      </c>
      <c r="D1100" s="24" t="s">
        <v>12</v>
      </c>
      <c r="E1100" s="24" t="s">
        <v>3255</v>
      </c>
      <c r="F1100" s="24" t="s">
        <v>3548</v>
      </c>
      <c r="G1100" s="24">
        <v>500</v>
      </c>
      <c r="H1100" s="24"/>
    </row>
    <row r="1101" spans="1:8" ht="14">
      <c r="A1101" s="27" t="s">
        <v>3549</v>
      </c>
      <c r="B1101" s="25" t="s">
        <v>3166</v>
      </c>
      <c r="C1101" s="27" t="s">
        <v>3549</v>
      </c>
      <c r="D1101" s="24" t="s">
        <v>12</v>
      </c>
      <c r="E1101" s="24" t="s">
        <v>3256</v>
      </c>
      <c r="F1101" s="24" t="s">
        <v>3550</v>
      </c>
      <c r="G1101" s="24">
        <v>500</v>
      </c>
      <c r="H1101" s="24"/>
    </row>
    <row r="1102" spans="1:8" ht="14">
      <c r="A1102" s="27" t="s">
        <v>3551</v>
      </c>
      <c r="B1102" s="25" t="s">
        <v>3166</v>
      </c>
      <c r="C1102" s="27" t="s">
        <v>3551</v>
      </c>
      <c r="D1102" s="24" t="s">
        <v>12</v>
      </c>
      <c r="E1102" s="24" t="s">
        <v>3552</v>
      </c>
      <c r="F1102" s="24" t="s">
        <v>3553</v>
      </c>
      <c r="G1102" s="24">
        <v>500</v>
      </c>
      <c r="H1102" s="24"/>
    </row>
    <row r="1103" spans="1:8" ht="14">
      <c r="A1103" s="27" t="s">
        <v>3554</v>
      </c>
      <c r="B1103" s="25" t="s">
        <v>3166</v>
      </c>
      <c r="C1103" s="27" t="s">
        <v>3554</v>
      </c>
      <c r="D1103" s="24" t="s">
        <v>12</v>
      </c>
      <c r="E1103" s="24" t="s">
        <v>3257</v>
      </c>
      <c r="F1103" s="24" t="s">
        <v>3555</v>
      </c>
      <c r="G1103" s="24">
        <v>500</v>
      </c>
      <c r="H1103" s="24"/>
    </row>
    <row r="1104" spans="1:8" ht="14">
      <c r="A1104" s="27" t="s">
        <v>3556</v>
      </c>
      <c r="B1104" s="25" t="s">
        <v>3166</v>
      </c>
      <c r="C1104" s="27" t="s">
        <v>3556</v>
      </c>
      <c r="D1104" s="24" t="s">
        <v>12</v>
      </c>
      <c r="E1104" s="24" t="s">
        <v>3258</v>
      </c>
      <c r="F1104" s="24" t="s">
        <v>3557</v>
      </c>
      <c r="G1104" s="24">
        <v>500</v>
      </c>
      <c r="H1104" s="24"/>
    </row>
    <row r="1105" spans="1:8" ht="14">
      <c r="A1105" s="27" t="s">
        <v>3558</v>
      </c>
      <c r="B1105" s="25" t="s">
        <v>3166</v>
      </c>
      <c r="C1105" s="27" t="s">
        <v>3558</v>
      </c>
      <c r="D1105" s="24" t="s">
        <v>12</v>
      </c>
      <c r="E1105" s="24" t="s">
        <v>3259</v>
      </c>
      <c r="F1105" s="24" t="s">
        <v>3559</v>
      </c>
      <c r="G1105" s="24">
        <v>500</v>
      </c>
      <c r="H1105" s="24"/>
    </row>
    <row r="1106" spans="1:8" ht="14">
      <c r="A1106" s="27" t="s">
        <v>3560</v>
      </c>
      <c r="B1106" s="25" t="s">
        <v>3166</v>
      </c>
      <c r="C1106" s="27" t="s">
        <v>3560</v>
      </c>
      <c r="D1106" s="24" t="s">
        <v>12</v>
      </c>
      <c r="E1106" s="24" t="s">
        <v>3260</v>
      </c>
      <c r="F1106" s="24" t="s">
        <v>3561</v>
      </c>
      <c r="G1106" s="24">
        <v>500</v>
      </c>
      <c r="H1106" s="24"/>
    </row>
    <row r="1107" spans="1:8" ht="14">
      <c r="A1107" s="27" t="s">
        <v>3562</v>
      </c>
      <c r="B1107" s="25" t="s">
        <v>3166</v>
      </c>
      <c r="C1107" s="27" t="s">
        <v>3562</v>
      </c>
      <c r="D1107" s="24" t="s">
        <v>12</v>
      </c>
      <c r="E1107" s="24" t="s">
        <v>3261</v>
      </c>
      <c r="F1107" s="24" t="s">
        <v>3563</v>
      </c>
      <c r="G1107" s="24">
        <v>500</v>
      </c>
      <c r="H1107" s="24"/>
    </row>
    <row r="1108" spans="1:8" ht="14">
      <c r="A1108" s="27" t="s">
        <v>3564</v>
      </c>
      <c r="B1108" s="25" t="s">
        <v>3166</v>
      </c>
      <c r="C1108" s="27" t="s">
        <v>3564</v>
      </c>
      <c r="D1108" s="24" t="s">
        <v>12</v>
      </c>
      <c r="E1108" s="24" t="s">
        <v>3262</v>
      </c>
      <c r="F1108" s="24" t="s">
        <v>3565</v>
      </c>
      <c r="G1108" s="24">
        <v>500</v>
      </c>
      <c r="H1108" s="24"/>
    </row>
    <row r="1109" spans="1:8" ht="14">
      <c r="A1109" s="27" t="s">
        <v>3566</v>
      </c>
      <c r="B1109" s="25" t="s">
        <v>3166</v>
      </c>
      <c r="C1109" s="27" t="s">
        <v>3566</v>
      </c>
      <c r="D1109" s="24" t="s">
        <v>12</v>
      </c>
      <c r="E1109" s="24" t="s">
        <v>3263</v>
      </c>
      <c r="F1109" s="24" t="s">
        <v>3567</v>
      </c>
      <c r="G1109" s="24">
        <v>500</v>
      </c>
      <c r="H1109" s="24"/>
    </row>
    <row r="1110" spans="1:8" ht="14">
      <c r="A1110" s="27" t="s">
        <v>3568</v>
      </c>
      <c r="B1110" s="25" t="s">
        <v>3166</v>
      </c>
      <c r="C1110" s="27" t="s">
        <v>3568</v>
      </c>
      <c r="D1110" s="24" t="s">
        <v>12</v>
      </c>
      <c r="E1110" s="24" t="s">
        <v>3264</v>
      </c>
      <c r="F1110" s="24" t="s">
        <v>3569</v>
      </c>
      <c r="G1110" s="24">
        <v>500</v>
      </c>
      <c r="H1110" s="24"/>
    </row>
    <row r="1111" spans="1:8" ht="14">
      <c r="A1111" s="27" t="s">
        <v>3570</v>
      </c>
      <c r="B1111" s="25" t="s">
        <v>3166</v>
      </c>
      <c r="C1111" s="27" t="s">
        <v>3570</v>
      </c>
      <c r="D1111" s="24" t="s">
        <v>12</v>
      </c>
      <c r="E1111" s="24" t="s">
        <v>3265</v>
      </c>
      <c r="F1111" s="24" t="s">
        <v>3571</v>
      </c>
      <c r="G1111" s="24">
        <v>500</v>
      </c>
      <c r="H1111" s="24"/>
    </row>
    <row r="1112" spans="1:8" ht="14">
      <c r="A1112" s="27" t="s">
        <v>3572</v>
      </c>
      <c r="B1112" s="25" t="s">
        <v>3166</v>
      </c>
      <c r="C1112" s="27" t="s">
        <v>3572</v>
      </c>
      <c r="D1112" s="24" t="s">
        <v>12</v>
      </c>
      <c r="E1112" s="24" t="s">
        <v>3266</v>
      </c>
      <c r="F1112" s="24" t="s">
        <v>3573</v>
      </c>
      <c r="G1112" s="24">
        <v>500</v>
      </c>
      <c r="H1112" s="24"/>
    </row>
    <row r="1113" spans="1:8" ht="14">
      <c r="A1113" s="27" t="s">
        <v>3574</v>
      </c>
      <c r="B1113" s="25" t="s">
        <v>3166</v>
      </c>
      <c r="C1113" s="27" t="s">
        <v>3574</v>
      </c>
      <c r="D1113" s="24" t="s">
        <v>12</v>
      </c>
      <c r="E1113" s="24" t="s">
        <v>3267</v>
      </c>
      <c r="F1113" s="24" t="s">
        <v>3575</v>
      </c>
      <c r="G1113" s="24">
        <v>500</v>
      </c>
      <c r="H1113" s="24"/>
    </row>
    <row r="1114" spans="1:8" ht="14">
      <c r="A1114" s="27" t="s">
        <v>3576</v>
      </c>
      <c r="B1114" s="25" t="s">
        <v>3166</v>
      </c>
      <c r="C1114" s="27" t="s">
        <v>3576</v>
      </c>
      <c r="D1114" s="24" t="s">
        <v>12</v>
      </c>
      <c r="E1114" s="24" t="s">
        <v>3268</v>
      </c>
      <c r="F1114" s="24" t="s">
        <v>3577</v>
      </c>
      <c r="G1114" s="24">
        <v>500</v>
      </c>
      <c r="H1114" s="24"/>
    </row>
    <row r="1115" spans="1:8" ht="14">
      <c r="A1115" s="27" t="s">
        <v>3578</v>
      </c>
      <c r="B1115" s="25" t="s">
        <v>3166</v>
      </c>
      <c r="C1115" s="27" t="s">
        <v>3578</v>
      </c>
      <c r="D1115" s="24" t="s">
        <v>12</v>
      </c>
      <c r="E1115" s="24" t="s">
        <v>3269</v>
      </c>
      <c r="F1115" s="24" t="s">
        <v>3579</v>
      </c>
      <c r="G1115" s="24">
        <v>500</v>
      </c>
      <c r="H1115" s="24"/>
    </row>
    <row r="1116" spans="1:8" ht="14">
      <c r="A1116" s="27" t="s">
        <v>3580</v>
      </c>
      <c r="B1116" s="25" t="s">
        <v>3166</v>
      </c>
      <c r="C1116" s="27" t="s">
        <v>3580</v>
      </c>
      <c r="D1116" s="24" t="s">
        <v>12</v>
      </c>
      <c r="E1116" s="24" t="s">
        <v>3270</v>
      </c>
      <c r="F1116" s="24" t="s">
        <v>3581</v>
      </c>
      <c r="G1116" s="24">
        <v>500</v>
      </c>
      <c r="H1116" s="24"/>
    </row>
    <row r="1117" spans="1:8" ht="14">
      <c r="A1117" s="27" t="s">
        <v>3582</v>
      </c>
      <c r="B1117" s="25" t="s">
        <v>3166</v>
      </c>
      <c r="C1117" s="27" t="s">
        <v>3582</v>
      </c>
      <c r="D1117" s="24" t="s">
        <v>12</v>
      </c>
      <c r="E1117" s="24" t="s">
        <v>3271</v>
      </c>
      <c r="F1117" s="24" t="s">
        <v>3583</v>
      </c>
      <c r="G1117" s="24">
        <v>500</v>
      </c>
      <c r="H1117" s="24"/>
    </row>
    <row r="1118" spans="1:8" ht="14">
      <c r="A1118" s="27" t="s">
        <v>3584</v>
      </c>
      <c r="B1118" s="25" t="s">
        <v>3166</v>
      </c>
      <c r="C1118" s="27" t="s">
        <v>3584</v>
      </c>
      <c r="D1118" s="24" t="s">
        <v>12</v>
      </c>
      <c r="E1118" s="24" t="s">
        <v>3272</v>
      </c>
      <c r="F1118" s="24" t="s">
        <v>3585</v>
      </c>
      <c r="G1118" s="24">
        <v>500</v>
      </c>
      <c r="H1118" s="24"/>
    </row>
    <row r="1119" spans="1:8" ht="14">
      <c r="A1119" s="27" t="s">
        <v>3586</v>
      </c>
      <c r="B1119" s="25" t="s">
        <v>3166</v>
      </c>
      <c r="C1119" s="27" t="s">
        <v>3586</v>
      </c>
      <c r="D1119" s="24" t="s">
        <v>12</v>
      </c>
      <c r="E1119" s="24" t="s">
        <v>3273</v>
      </c>
      <c r="F1119" s="24" t="s">
        <v>3587</v>
      </c>
      <c r="G1119" s="24">
        <v>500</v>
      </c>
      <c r="H1119" s="24"/>
    </row>
    <row r="1120" spans="1:8" ht="14">
      <c r="A1120" s="27" t="s">
        <v>3588</v>
      </c>
      <c r="B1120" s="25" t="s">
        <v>3166</v>
      </c>
      <c r="C1120" s="27" t="s">
        <v>3588</v>
      </c>
      <c r="D1120" s="24" t="s">
        <v>12</v>
      </c>
      <c r="E1120" s="24" t="s">
        <v>3274</v>
      </c>
      <c r="F1120" s="24" t="s">
        <v>3589</v>
      </c>
      <c r="G1120" s="24">
        <v>500</v>
      </c>
      <c r="H1120" s="24"/>
    </row>
    <row r="1121" spans="1:8" ht="14">
      <c r="A1121" s="27" t="s">
        <v>3590</v>
      </c>
      <c r="B1121" s="25" t="s">
        <v>3166</v>
      </c>
      <c r="C1121" s="27" t="s">
        <v>3590</v>
      </c>
      <c r="D1121" s="24" t="s">
        <v>12</v>
      </c>
      <c r="E1121" s="24" t="s">
        <v>3275</v>
      </c>
      <c r="F1121" s="24" t="s">
        <v>3591</v>
      </c>
      <c r="G1121" s="24">
        <v>500</v>
      </c>
      <c r="H1121" s="24"/>
    </row>
    <row r="1122" spans="1:8" ht="14">
      <c r="A1122" s="27" t="s">
        <v>3592</v>
      </c>
      <c r="B1122" s="25" t="s">
        <v>3166</v>
      </c>
      <c r="C1122" s="27" t="s">
        <v>3592</v>
      </c>
      <c r="D1122" s="24" t="s">
        <v>12</v>
      </c>
      <c r="E1122" s="24" t="s">
        <v>3276</v>
      </c>
      <c r="F1122" s="24" t="s">
        <v>3593</v>
      </c>
      <c r="G1122" s="24">
        <v>500</v>
      </c>
      <c r="H1122" s="24"/>
    </row>
    <row r="1123" spans="1:8" ht="14">
      <c r="A1123" s="27" t="s">
        <v>3594</v>
      </c>
      <c r="B1123" s="25" t="s">
        <v>3166</v>
      </c>
      <c r="C1123" s="27" t="s">
        <v>3594</v>
      </c>
      <c r="D1123" s="24" t="s">
        <v>12</v>
      </c>
      <c r="E1123" s="24" t="s">
        <v>3595</v>
      </c>
      <c r="F1123" s="24" t="s">
        <v>3596</v>
      </c>
      <c r="G1123" s="24">
        <v>500</v>
      </c>
      <c r="H1123" s="24"/>
    </row>
    <row r="1124" spans="1:8" ht="14">
      <c r="A1124" s="27" t="s">
        <v>3597</v>
      </c>
      <c r="B1124" s="25" t="s">
        <v>3166</v>
      </c>
      <c r="C1124" s="27" t="s">
        <v>3597</v>
      </c>
      <c r="D1124" s="24" t="s">
        <v>12</v>
      </c>
      <c r="E1124" s="24" t="s">
        <v>3277</v>
      </c>
      <c r="F1124" s="24" t="s">
        <v>3598</v>
      </c>
      <c r="G1124" s="24">
        <v>500</v>
      </c>
      <c r="H1124" s="24"/>
    </row>
    <row r="1125" spans="1:8" ht="14">
      <c r="A1125" s="27" t="s">
        <v>3599</v>
      </c>
      <c r="B1125" s="25" t="s">
        <v>3166</v>
      </c>
      <c r="C1125" s="27" t="s">
        <v>3599</v>
      </c>
      <c r="D1125" s="24" t="s">
        <v>12</v>
      </c>
      <c r="E1125" s="24" t="s">
        <v>3278</v>
      </c>
      <c r="F1125" s="24" t="s">
        <v>3600</v>
      </c>
      <c r="G1125" s="24">
        <v>500</v>
      </c>
      <c r="H1125" s="24"/>
    </row>
    <row r="1126" spans="1:8" ht="14">
      <c r="A1126" s="27" t="s">
        <v>3601</v>
      </c>
      <c r="B1126" s="25" t="s">
        <v>3166</v>
      </c>
      <c r="C1126" s="27" t="s">
        <v>3601</v>
      </c>
      <c r="D1126" s="24" t="s">
        <v>12</v>
      </c>
      <c r="E1126" s="24" t="s">
        <v>3279</v>
      </c>
      <c r="F1126" s="24" t="s">
        <v>3602</v>
      </c>
      <c r="G1126" s="24">
        <v>500</v>
      </c>
      <c r="H1126" s="24"/>
    </row>
    <row r="1127" spans="1:8" ht="14">
      <c r="A1127" s="27" t="s">
        <v>3603</v>
      </c>
      <c r="B1127" s="25" t="s">
        <v>3166</v>
      </c>
      <c r="C1127" s="27" t="s">
        <v>3603</v>
      </c>
      <c r="D1127" s="24" t="s">
        <v>12</v>
      </c>
      <c r="E1127" s="24" t="s">
        <v>3604</v>
      </c>
      <c r="F1127" s="24" t="s">
        <v>3605</v>
      </c>
      <c r="G1127" s="24">
        <v>500</v>
      </c>
      <c r="H1127" s="24"/>
    </row>
    <row r="1128" spans="1:8" ht="14">
      <c r="A1128" s="27" t="s">
        <v>3606</v>
      </c>
      <c r="B1128" s="25" t="s">
        <v>3166</v>
      </c>
      <c r="C1128" s="27" t="s">
        <v>3606</v>
      </c>
      <c r="D1128" s="24" t="s">
        <v>12</v>
      </c>
      <c r="E1128" s="24" t="s">
        <v>3280</v>
      </c>
      <c r="F1128" s="24" t="s">
        <v>3607</v>
      </c>
      <c r="G1128" s="24">
        <v>500</v>
      </c>
      <c r="H1128" s="24"/>
    </row>
    <row r="1129" spans="1:8" ht="14">
      <c r="A1129" s="27" t="s">
        <v>3608</v>
      </c>
      <c r="B1129" s="25" t="s">
        <v>3166</v>
      </c>
      <c r="C1129" s="27" t="s">
        <v>3608</v>
      </c>
      <c r="D1129" s="24" t="s">
        <v>12</v>
      </c>
      <c r="E1129" s="24" t="s">
        <v>3281</v>
      </c>
      <c r="F1129" s="24" t="s">
        <v>3609</v>
      </c>
      <c r="G1129" s="24">
        <v>500</v>
      </c>
      <c r="H1129" s="24"/>
    </row>
    <row r="1130" spans="1:8" ht="14">
      <c r="A1130" s="27" t="s">
        <v>3610</v>
      </c>
      <c r="B1130" s="25" t="s">
        <v>3166</v>
      </c>
      <c r="C1130" s="27" t="s">
        <v>3610</v>
      </c>
      <c r="D1130" s="24" t="s">
        <v>12</v>
      </c>
      <c r="E1130" s="24" t="s">
        <v>3282</v>
      </c>
      <c r="F1130" s="24" t="s">
        <v>3611</v>
      </c>
      <c r="G1130" s="24">
        <v>500</v>
      </c>
      <c r="H1130" s="24"/>
    </row>
    <row r="1131" spans="1:8" ht="14">
      <c r="A1131" s="27" t="s">
        <v>3612</v>
      </c>
      <c r="B1131" s="25" t="s">
        <v>3166</v>
      </c>
      <c r="C1131" s="27" t="s">
        <v>3612</v>
      </c>
      <c r="D1131" s="24" t="s">
        <v>12</v>
      </c>
      <c r="E1131" s="24" t="s">
        <v>3283</v>
      </c>
      <c r="F1131" s="24" t="s">
        <v>3613</v>
      </c>
      <c r="G1131" s="24">
        <v>500</v>
      </c>
      <c r="H1131" s="24"/>
    </row>
    <row r="1132" spans="1:8" ht="14">
      <c r="A1132" s="27" t="s">
        <v>3614</v>
      </c>
      <c r="B1132" s="25" t="s">
        <v>3166</v>
      </c>
      <c r="C1132" s="27" t="s">
        <v>3614</v>
      </c>
      <c r="D1132" s="24" t="s">
        <v>12</v>
      </c>
      <c r="E1132" s="24" t="s">
        <v>3284</v>
      </c>
      <c r="F1132" s="24" t="s">
        <v>3615</v>
      </c>
      <c r="G1132" s="24">
        <v>500</v>
      </c>
      <c r="H1132" s="24"/>
    </row>
    <row r="1133" spans="1:8" ht="14">
      <c r="A1133" s="27" t="s">
        <v>3616</v>
      </c>
      <c r="B1133" s="25" t="s">
        <v>3166</v>
      </c>
      <c r="C1133" s="27" t="s">
        <v>3616</v>
      </c>
      <c r="D1133" s="24" t="s">
        <v>12</v>
      </c>
      <c r="E1133" s="24" t="s">
        <v>3285</v>
      </c>
      <c r="F1133" s="24" t="s">
        <v>3617</v>
      </c>
      <c r="G1133" s="24">
        <v>500</v>
      </c>
      <c r="H1133" s="24"/>
    </row>
    <row r="1134" spans="1:8" ht="14">
      <c r="A1134" s="27" t="s">
        <v>3618</v>
      </c>
      <c r="B1134" s="25" t="s">
        <v>3166</v>
      </c>
      <c r="C1134" s="27" t="s">
        <v>3618</v>
      </c>
      <c r="D1134" s="24" t="s">
        <v>12</v>
      </c>
      <c r="E1134" s="24" t="s">
        <v>3286</v>
      </c>
      <c r="F1134" s="24" t="s">
        <v>3619</v>
      </c>
      <c r="G1134" s="24">
        <v>500</v>
      </c>
      <c r="H1134" s="24"/>
    </row>
    <row r="1135" spans="1:8" ht="14">
      <c r="A1135" s="27" t="s">
        <v>3620</v>
      </c>
      <c r="B1135" s="25" t="s">
        <v>3166</v>
      </c>
      <c r="C1135" s="27" t="s">
        <v>3620</v>
      </c>
      <c r="D1135" s="24" t="s">
        <v>12</v>
      </c>
      <c r="E1135" s="24" t="s">
        <v>3287</v>
      </c>
      <c r="F1135" s="24" t="s">
        <v>3621</v>
      </c>
      <c r="G1135" s="24">
        <v>500</v>
      </c>
      <c r="H1135" s="24"/>
    </row>
    <row r="1136" spans="1:8" ht="14">
      <c r="A1136" s="27" t="s">
        <v>3622</v>
      </c>
      <c r="B1136" s="25" t="s">
        <v>3166</v>
      </c>
      <c r="C1136" s="27" t="s">
        <v>3622</v>
      </c>
      <c r="D1136" s="24" t="s">
        <v>12</v>
      </c>
      <c r="E1136" s="24" t="s">
        <v>3288</v>
      </c>
      <c r="F1136" s="24" t="s">
        <v>3623</v>
      </c>
      <c r="G1136" s="24">
        <v>500</v>
      </c>
      <c r="H1136" s="24"/>
    </row>
    <row r="1137" spans="1:8" ht="14">
      <c r="A1137" s="27" t="s">
        <v>3624</v>
      </c>
      <c r="B1137" s="25" t="s">
        <v>3166</v>
      </c>
      <c r="C1137" s="27" t="s">
        <v>3624</v>
      </c>
      <c r="D1137" s="24" t="s">
        <v>12</v>
      </c>
      <c r="E1137" s="24" t="s">
        <v>3289</v>
      </c>
      <c r="F1137" s="24" t="s">
        <v>3625</v>
      </c>
      <c r="G1137" s="24">
        <v>500</v>
      </c>
      <c r="H1137" s="24"/>
    </row>
    <row r="1138" spans="1:8" ht="14">
      <c r="A1138" s="27" t="s">
        <v>3626</v>
      </c>
      <c r="B1138" s="25" t="s">
        <v>3166</v>
      </c>
      <c r="C1138" s="27" t="s">
        <v>3626</v>
      </c>
      <c r="D1138" s="24" t="s">
        <v>12</v>
      </c>
      <c r="E1138" s="24" t="s">
        <v>3290</v>
      </c>
      <c r="F1138" s="24" t="s">
        <v>3627</v>
      </c>
      <c r="G1138" s="24">
        <v>500</v>
      </c>
      <c r="H1138" s="24"/>
    </row>
    <row r="1139" spans="1:8" ht="14">
      <c r="A1139" s="27" t="s">
        <v>3628</v>
      </c>
      <c r="B1139" s="25" t="s">
        <v>3166</v>
      </c>
      <c r="C1139" s="27" t="s">
        <v>3628</v>
      </c>
      <c r="D1139" s="24" t="s">
        <v>12</v>
      </c>
      <c r="E1139" s="24" t="s">
        <v>3291</v>
      </c>
      <c r="F1139" s="24" t="s">
        <v>3629</v>
      </c>
      <c r="G1139" s="24">
        <v>500</v>
      </c>
      <c r="H1139" s="24"/>
    </row>
    <row r="1140" spans="1:8" ht="14">
      <c r="A1140" s="27" t="s">
        <v>3630</v>
      </c>
      <c r="B1140" s="25" t="s">
        <v>3166</v>
      </c>
      <c r="C1140" s="27" t="s">
        <v>3630</v>
      </c>
      <c r="D1140" s="24" t="s">
        <v>12</v>
      </c>
      <c r="E1140" s="24" t="s">
        <v>3292</v>
      </c>
      <c r="F1140" s="24" t="s">
        <v>3631</v>
      </c>
      <c r="G1140" s="24">
        <v>500</v>
      </c>
      <c r="H1140" s="24"/>
    </row>
    <row r="1141" spans="1:8" ht="14">
      <c r="A1141" s="27" t="s">
        <v>3632</v>
      </c>
      <c r="B1141" s="25" t="s">
        <v>3166</v>
      </c>
      <c r="C1141" s="27" t="s">
        <v>3632</v>
      </c>
      <c r="D1141" s="24" t="s">
        <v>12</v>
      </c>
      <c r="E1141" s="24" t="s">
        <v>3293</v>
      </c>
      <c r="F1141" s="24" t="s">
        <v>3633</v>
      </c>
      <c r="G1141" s="24">
        <v>500</v>
      </c>
      <c r="H1141" s="24"/>
    </row>
    <row r="1142" spans="1:8" ht="14">
      <c r="A1142" s="27" t="s">
        <v>3634</v>
      </c>
      <c r="B1142" s="25" t="s">
        <v>3166</v>
      </c>
      <c r="C1142" s="27" t="s">
        <v>3634</v>
      </c>
      <c r="D1142" s="24" t="s">
        <v>12</v>
      </c>
      <c r="E1142" s="24" t="s">
        <v>3294</v>
      </c>
      <c r="F1142" s="24" t="s">
        <v>3635</v>
      </c>
      <c r="G1142" s="24">
        <v>500</v>
      </c>
      <c r="H1142" s="24"/>
    </row>
    <row r="1143" spans="1:8" ht="14">
      <c r="A1143" s="27" t="s">
        <v>3636</v>
      </c>
      <c r="B1143" s="25" t="s">
        <v>3166</v>
      </c>
      <c r="C1143" s="27" t="s">
        <v>3636</v>
      </c>
      <c r="D1143" s="24" t="s">
        <v>12</v>
      </c>
      <c r="E1143" s="24" t="s">
        <v>3295</v>
      </c>
      <c r="F1143" s="24" t="s">
        <v>3637</v>
      </c>
      <c r="G1143" s="24">
        <v>500</v>
      </c>
      <c r="H1143" s="24"/>
    </row>
    <row r="1144" spans="1:8" ht="14">
      <c r="A1144" s="27" t="s">
        <v>3638</v>
      </c>
      <c r="B1144" s="25" t="s">
        <v>3166</v>
      </c>
      <c r="C1144" s="27" t="s">
        <v>3638</v>
      </c>
      <c r="D1144" s="24" t="s">
        <v>12</v>
      </c>
      <c r="E1144" s="24" t="s">
        <v>3296</v>
      </c>
      <c r="F1144" s="24" t="s">
        <v>3639</v>
      </c>
      <c r="G1144" s="24">
        <v>500</v>
      </c>
      <c r="H1144" s="24"/>
    </row>
    <row r="1145" spans="1:8" ht="14">
      <c r="A1145" s="27" t="s">
        <v>3640</v>
      </c>
      <c r="B1145" s="25" t="s">
        <v>3166</v>
      </c>
      <c r="C1145" s="27" t="s">
        <v>3640</v>
      </c>
      <c r="D1145" s="24" t="s">
        <v>12</v>
      </c>
      <c r="E1145" s="24" t="s">
        <v>3297</v>
      </c>
      <c r="F1145" s="24" t="s">
        <v>3641</v>
      </c>
      <c r="G1145" s="24">
        <v>500</v>
      </c>
      <c r="H1145" s="24"/>
    </row>
    <row r="1146" spans="1:8" ht="14">
      <c r="A1146" s="27" t="s">
        <v>3642</v>
      </c>
      <c r="B1146" s="25" t="s">
        <v>3166</v>
      </c>
      <c r="C1146" s="27" t="s">
        <v>3642</v>
      </c>
      <c r="D1146" s="24" t="s">
        <v>12</v>
      </c>
      <c r="E1146" s="24" t="s">
        <v>3298</v>
      </c>
      <c r="F1146" s="24" t="s">
        <v>3643</v>
      </c>
      <c r="G1146" s="24">
        <v>500</v>
      </c>
      <c r="H1146" s="24"/>
    </row>
    <row r="1147" spans="1:8" ht="14">
      <c r="A1147" s="27" t="s">
        <v>3644</v>
      </c>
      <c r="B1147" s="25" t="s">
        <v>3166</v>
      </c>
      <c r="C1147" s="27" t="s">
        <v>3644</v>
      </c>
      <c r="D1147" s="24" t="s">
        <v>12</v>
      </c>
      <c r="E1147" s="24" t="s">
        <v>3299</v>
      </c>
      <c r="F1147" s="24" t="s">
        <v>3645</v>
      </c>
      <c r="G1147" s="24">
        <v>500</v>
      </c>
      <c r="H1147" s="24"/>
    </row>
    <row r="1148" spans="1:8" ht="14">
      <c r="A1148" s="27" t="s">
        <v>3646</v>
      </c>
      <c r="B1148" s="25" t="s">
        <v>3166</v>
      </c>
      <c r="C1148" s="27" t="s">
        <v>3646</v>
      </c>
      <c r="D1148" s="24" t="s">
        <v>12</v>
      </c>
      <c r="E1148" s="24" t="s">
        <v>3300</v>
      </c>
      <c r="F1148" s="24" t="s">
        <v>3647</v>
      </c>
      <c r="G1148" s="24">
        <v>500</v>
      </c>
      <c r="H1148" s="24"/>
    </row>
    <row r="1149" spans="1:8" ht="14">
      <c r="A1149" s="27" t="s">
        <v>3648</v>
      </c>
      <c r="B1149" s="25" t="s">
        <v>3166</v>
      </c>
      <c r="C1149" s="27" t="s">
        <v>3648</v>
      </c>
      <c r="D1149" s="24" t="s">
        <v>12</v>
      </c>
      <c r="E1149" s="24" t="s">
        <v>3301</v>
      </c>
      <c r="F1149" s="24" t="s">
        <v>3649</v>
      </c>
      <c r="G1149" s="24">
        <v>500</v>
      </c>
      <c r="H1149" s="24"/>
    </row>
    <row r="1150" spans="1:8" ht="14">
      <c r="A1150" s="27" t="s">
        <v>3650</v>
      </c>
      <c r="B1150" s="25" t="s">
        <v>3166</v>
      </c>
      <c r="C1150" s="27" t="s">
        <v>3650</v>
      </c>
      <c r="D1150" s="24" t="s">
        <v>12</v>
      </c>
      <c r="E1150" s="24" t="s">
        <v>3302</v>
      </c>
      <c r="F1150" s="24" t="s">
        <v>3651</v>
      </c>
      <c r="G1150" s="24">
        <v>500</v>
      </c>
      <c r="H1150" s="24"/>
    </row>
    <row r="1151" spans="1:8" ht="14">
      <c r="A1151" s="27" t="s">
        <v>3652</v>
      </c>
      <c r="B1151" s="25" t="s">
        <v>3166</v>
      </c>
      <c r="C1151" s="27" t="s">
        <v>3652</v>
      </c>
      <c r="D1151" s="24" t="s">
        <v>12</v>
      </c>
      <c r="E1151" s="24" t="s">
        <v>3303</v>
      </c>
      <c r="F1151" s="24" t="s">
        <v>3653</v>
      </c>
      <c r="G1151" s="24">
        <v>500</v>
      </c>
      <c r="H1151" s="24"/>
    </row>
    <row r="1152" spans="1:8" ht="14">
      <c r="A1152" s="27" t="s">
        <v>3654</v>
      </c>
      <c r="B1152" s="25" t="s">
        <v>3166</v>
      </c>
      <c r="C1152" s="27" t="s">
        <v>3654</v>
      </c>
      <c r="D1152" s="24" t="s">
        <v>12</v>
      </c>
      <c r="E1152" s="24" t="s">
        <v>3304</v>
      </c>
      <c r="F1152" s="24" t="s">
        <v>3655</v>
      </c>
      <c r="G1152" s="24">
        <v>500</v>
      </c>
      <c r="H1152" s="24"/>
    </row>
    <row r="1153" spans="1:8" ht="14">
      <c r="A1153" s="27" t="s">
        <v>3656</v>
      </c>
      <c r="B1153" s="25" t="s">
        <v>3166</v>
      </c>
      <c r="C1153" s="27" t="s">
        <v>3656</v>
      </c>
      <c r="D1153" s="24" t="s">
        <v>12</v>
      </c>
      <c r="E1153" s="24" t="s">
        <v>3305</v>
      </c>
      <c r="F1153" s="24" t="s">
        <v>3657</v>
      </c>
      <c r="G1153" s="24">
        <v>500</v>
      </c>
      <c r="H1153" s="24"/>
    </row>
    <row r="1154" spans="1:8" ht="14">
      <c r="A1154" s="27" t="s">
        <v>3658</v>
      </c>
      <c r="B1154" s="25" t="s">
        <v>3166</v>
      </c>
      <c r="C1154" s="27" t="s">
        <v>3658</v>
      </c>
      <c r="D1154" s="24" t="s">
        <v>12</v>
      </c>
      <c r="E1154" s="24" t="s">
        <v>3306</v>
      </c>
      <c r="F1154" s="24" t="s">
        <v>3659</v>
      </c>
      <c r="G1154" s="24">
        <v>500</v>
      </c>
      <c r="H1154" s="24"/>
    </row>
    <row r="1155" spans="1:8" ht="14">
      <c r="A1155" s="27" t="s">
        <v>3660</v>
      </c>
      <c r="B1155" s="25" t="s">
        <v>3166</v>
      </c>
      <c r="C1155" s="27" t="s">
        <v>3660</v>
      </c>
      <c r="D1155" s="24" t="s">
        <v>12</v>
      </c>
      <c r="E1155" s="24" t="s">
        <v>3307</v>
      </c>
      <c r="F1155" s="24" t="s">
        <v>3661</v>
      </c>
      <c r="G1155" s="24">
        <v>500</v>
      </c>
      <c r="H1155" s="24"/>
    </row>
    <row r="1156" spans="1:8" ht="14">
      <c r="A1156" s="27" t="s">
        <v>3662</v>
      </c>
      <c r="B1156" s="25" t="s">
        <v>3166</v>
      </c>
      <c r="C1156" s="27" t="s">
        <v>3662</v>
      </c>
      <c r="D1156" s="24" t="s">
        <v>12</v>
      </c>
      <c r="E1156" s="24" t="s">
        <v>3308</v>
      </c>
      <c r="F1156" s="24" t="s">
        <v>3663</v>
      </c>
      <c r="G1156" s="24">
        <v>500</v>
      </c>
      <c r="H1156" s="24"/>
    </row>
    <row r="1157" spans="1:8" ht="14">
      <c r="A1157" s="27" t="s">
        <v>3664</v>
      </c>
      <c r="B1157" s="25" t="s">
        <v>3166</v>
      </c>
      <c r="C1157" s="27" t="s">
        <v>3664</v>
      </c>
      <c r="D1157" s="24" t="s">
        <v>12</v>
      </c>
      <c r="E1157" s="24" t="s">
        <v>3309</v>
      </c>
      <c r="F1157" s="24" t="s">
        <v>3665</v>
      </c>
      <c r="G1157" s="24">
        <v>500</v>
      </c>
      <c r="H1157" s="24"/>
    </row>
    <row r="1158" spans="1:8" ht="14">
      <c r="A1158" s="27" t="s">
        <v>3666</v>
      </c>
      <c r="B1158" s="25" t="s">
        <v>3166</v>
      </c>
      <c r="C1158" s="27" t="s">
        <v>3666</v>
      </c>
      <c r="D1158" s="24" t="s">
        <v>12</v>
      </c>
      <c r="E1158" s="24" t="s">
        <v>3310</v>
      </c>
      <c r="F1158" s="24" t="s">
        <v>3667</v>
      </c>
      <c r="G1158" s="24">
        <v>500</v>
      </c>
      <c r="H1158" s="24"/>
    </row>
    <row r="1159" spans="1:8" ht="14">
      <c r="A1159" s="27" t="s">
        <v>3668</v>
      </c>
      <c r="B1159" s="25" t="s">
        <v>3166</v>
      </c>
      <c r="C1159" s="27" t="s">
        <v>3668</v>
      </c>
      <c r="D1159" s="24" t="s">
        <v>12</v>
      </c>
      <c r="E1159" s="24" t="s">
        <v>3311</v>
      </c>
      <c r="F1159" s="24" t="s">
        <v>3669</v>
      </c>
      <c r="G1159" s="24">
        <v>500</v>
      </c>
      <c r="H1159" s="24"/>
    </row>
    <row r="1160" spans="1:8" ht="14">
      <c r="A1160" s="27" t="s">
        <v>3670</v>
      </c>
      <c r="B1160" s="25" t="s">
        <v>3166</v>
      </c>
      <c r="C1160" s="27" t="s">
        <v>3670</v>
      </c>
      <c r="D1160" s="24" t="s">
        <v>12</v>
      </c>
      <c r="E1160" s="24" t="s">
        <v>3312</v>
      </c>
      <c r="F1160" s="24" t="s">
        <v>3671</v>
      </c>
      <c r="G1160" s="24">
        <v>500</v>
      </c>
      <c r="H1160" s="24"/>
    </row>
    <row r="1161" spans="1:8" ht="14">
      <c r="A1161" s="27" t="s">
        <v>3672</v>
      </c>
      <c r="B1161" s="25" t="s">
        <v>3166</v>
      </c>
      <c r="C1161" s="27" t="s">
        <v>3672</v>
      </c>
      <c r="D1161" s="24" t="s">
        <v>12</v>
      </c>
      <c r="E1161" s="24" t="s">
        <v>3673</v>
      </c>
      <c r="F1161" s="24" t="s">
        <v>3674</v>
      </c>
      <c r="G1161" s="24">
        <v>500</v>
      </c>
      <c r="H1161" s="24"/>
    </row>
    <row r="1162" spans="1:8" ht="14">
      <c r="A1162" s="27" t="s">
        <v>3675</v>
      </c>
      <c r="B1162" s="25" t="s">
        <v>3166</v>
      </c>
      <c r="C1162" s="27" t="s">
        <v>3675</v>
      </c>
      <c r="D1162" s="24" t="s">
        <v>12</v>
      </c>
      <c r="E1162" s="24" t="s">
        <v>3313</v>
      </c>
      <c r="F1162" s="24" t="s">
        <v>3676</v>
      </c>
      <c r="G1162" s="24">
        <v>500</v>
      </c>
      <c r="H1162" s="24"/>
    </row>
    <row r="1163" spans="1:8" ht="14">
      <c r="A1163" s="27" t="s">
        <v>3677</v>
      </c>
      <c r="B1163" s="25" t="s">
        <v>3166</v>
      </c>
      <c r="C1163" s="27" t="s">
        <v>3677</v>
      </c>
      <c r="D1163" s="24" t="s">
        <v>12</v>
      </c>
      <c r="E1163" s="24" t="s">
        <v>3678</v>
      </c>
      <c r="F1163" s="24" t="s">
        <v>3679</v>
      </c>
      <c r="G1163" s="24">
        <v>500</v>
      </c>
      <c r="H1163" s="24"/>
    </row>
    <row r="1164" spans="1:8" ht="14">
      <c r="A1164" s="27" t="s">
        <v>3680</v>
      </c>
      <c r="B1164" s="25" t="s">
        <v>3166</v>
      </c>
      <c r="C1164" s="27" t="s">
        <v>3680</v>
      </c>
      <c r="D1164" s="24" t="s">
        <v>12</v>
      </c>
      <c r="E1164" s="24" t="s">
        <v>3314</v>
      </c>
      <c r="F1164" s="24" t="s">
        <v>3681</v>
      </c>
      <c r="G1164" s="24">
        <v>500</v>
      </c>
      <c r="H1164" s="24"/>
    </row>
    <row r="1165" spans="1:8" ht="14">
      <c r="A1165" s="27" t="s">
        <v>3682</v>
      </c>
      <c r="B1165" s="25" t="s">
        <v>3166</v>
      </c>
      <c r="C1165" s="27" t="s">
        <v>3682</v>
      </c>
      <c r="D1165" s="24" t="s">
        <v>12</v>
      </c>
      <c r="E1165" s="24" t="s">
        <v>3683</v>
      </c>
      <c r="F1165" s="24" t="s">
        <v>3684</v>
      </c>
      <c r="G1165" s="24">
        <v>500</v>
      </c>
      <c r="H1165" s="24"/>
    </row>
    <row r="1166" spans="1:8" ht="14">
      <c r="A1166" s="27" t="s">
        <v>3685</v>
      </c>
      <c r="B1166" s="25" t="s">
        <v>3166</v>
      </c>
      <c r="C1166" s="27" t="s">
        <v>3685</v>
      </c>
      <c r="D1166" s="24" t="s">
        <v>12</v>
      </c>
      <c r="E1166" s="24" t="s">
        <v>3686</v>
      </c>
      <c r="F1166" s="24" t="s">
        <v>3687</v>
      </c>
      <c r="G1166" s="24">
        <v>500</v>
      </c>
      <c r="H1166" s="24"/>
    </row>
    <row r="1167" spans="1:8" ht="14">
      <c r="A1167" s="27" t="s">
        <v>3688</v>
      </c>
      <c r="B1167" s="25" t="s">
        <v>3166</v>
      </c>
      <c r="C1167" s="27" t="s">
        <v>3688</v>
      </c>
      <c r="D1167" s="24" t="s">
        <v>12</v>
      </c>
      <c r="E1167" s="24" t="s">
        <v>3315</v>
      </c>
      <c r="F1167" s="24" t="s">
        <v>3689</v>
      </c>
      <c r="G1167" s="24">
        <v>500</v>
      </c>
      <c r="H1167" s="24"/>
    </row>
    <row r="1168" spans="1:8" ht="14">
      <c r="A1168" s="27" t="s">
        <v>3690</v>
      </c>
      <c r="B1168" s="25" t="s">
        <v>3166</v>
      </c>
      <c r="C1168" s="27" t="s">
        <v>3690</v>
      </c>
      <c r="D1168" s="24" t="s">
        <v>12</v>
      </c>
      <c r="E1168" s="24" t="s">
        <v>3316</v>
      </c>
      <c r="F1168" s="24" t="s">
        <v>3691</v>
      </c>
      <c r="G1168" s="24">
        <v>500</v>
      </c>
      <c r="H1168" s="24"/>
    </row>
    <row r="1169" spans="1:8" ht="14">
      <c r="A1169" s="27" t="s">
        <v>3692</v>
      </c>
      <c r="B1169" s="25" t="s">
        <v>3166</v>
      </c>
      <c r="C1169" s="27" t="s">
        <v>3692</v>
      </c>
      <c r="D1169" s="24" t="s">
        <v>12</v>
      </c>
      <c r="E1169" s="24" t="s">
        <v>3317</v>
      </c>
      <c r="F1169" s="24" t="s">
        <v>3693</v>
      </c>
      <c r="G1169" s="24">
        <v>500</v>
      </c>
      <c r="H1169" s="24"/>
    </row>
    <row r="1170" spans="1:8" ht="14">
      <c r="A1170" s="27" t="s">
        <v>3694</v>
      </c>
      <c r="B1170" s="25" t="s">
        <v>3166</v>
      </c>
      <c r="C1170" s="27" t="s">
        <v>3694</v>
      </c>
      <c r="D1170" s="24" t="s">
        <v>12</v>
      </c>
      <c r="E1170" s="24" t="s">
        <v>3318</v>
      </c>
      <c r="F1170" s="24" t="s">
        <v>3695</v>
      </c>
      <c r="G1170" s="24">
        <v>500</v>
      </c>
      <c r="H1170" s="24"/>
    </row>
    <row r="1171" spans="1:8" ht="14">
      <c r="A1171" s="27" t="s">
        <v>3696</v>
      </c>
      <c r="B1171" s="25" t="s">
        <v>3166</v>
      </c>
      <c r="C1171" s="27" t="s">
        <v>3696</v>
      </c>
      <c r="D1171" s="24" t="s">
        <v>12</v>
      </c>
      <c r="E1171" s="24" t="s">
        <v>3319</v>
      </c>
      <c r="F1171" s="24" t="s">
        <v>3697</v>
      </c>
      <c r="G1171" s="24">
        <v>500</v>
      </c>
      <c r="H1171" s="24"/>
    </row>
    <row r="1172" spans="1:8" ht="14">
      <c r="A1172" s="27" t="s">
        <v>3698</v>
      </c>
      <c r="B1172" s="25" t="s">
        <v>3166</v>
      </c>
      <c r="C1172" s="27" t="s">
        <v>3698</v>
      </c>
      <c r="D1172" s="24" t="s">
        <v>12</v>
      </c>
      <c r="E1172" s="24" t="s">
        <v>3320</v>
      </c>
      <c r="F1172" s="24" t="s">
        <v>3699</v>
      </c>
      <c r="G1172" s="24">
        <v>500</v>
      </c>
      <c r="H1172" s="24"/>
    </row>
    <row r="1173" spans="1:8" ht="14">
      <c r="A1173" s="27" t="s">
        <v>3700</v>
      </c>
      <c r="B1173" s="25" t="s">
        <v>3166</v>
      </c>
      <c r="C1173" s="27" t="s">
        <v>3700</v>
      </c>
      <c r="D1173" s="24" t="s">
        <v>12</v>
      </c>
      <c r="E1173" s="24" t="s">
        <v>3321</v>
      </c>
      <c r="F1173" s="24" t="s">
        <v>3701</v>
      </c>
      <c r="G1173" s="24">
        <v>500</v>
      </c>
      <c r="H1173" s="24"/>
    </row>
    <row r="1174" spans="1:8" ht="14">
      <c r="A1174" s="27" t="s">
        <v>3702</v>
      </c>
      <c r="B1174" s="25" t="s">
        <v>3166</v>
      </c>
      <c r="C1174" s="27" t="s">
        <v>3702</v>
      </c>
      <c r="D1174" s="24" t="s">
        <v>12</v>
      </c>
      <c r="E1174" s="24" t="s">
        <v>3322</v>
      </c>
      <c r="F1174" s="24" t="s">
        <v>3703</v>
      </c>
      <c r="G1174" s="24">
        <v>500</v>
      </c>
      <c r="H1174" s="24"/>
    </row>
    <row r="1175" spans="1:8" ht="14">
      <c r="A1175" s="27" t="s">
        <v>3704</v>
      </c>
      <c r="B1175" s="25" t="s">
        <v>3166</v>
      </c>
      <c r="C1175" s="27" t="s">
        <v>3704</v>
      </c>
      <c r="D1175" s="24" t="s">
        <v>12</v>
      </c>
      <c r="E1175" s="24" t="s">
        <v>3323</v>
      </c>
      <c r="F1175" s="24" t="s">
        <v>3705</v>
      </c>
      <c r="G1175" s="24">
        <v>500</v>
      </c>
      <c r="H1175" s="24"/>
    </row>
    <row r="1176" spans="1:8" ht="14">
      <c r="A1176" s="27" t="s">
        <v>3706</v>
      </c>
      <c r="B1176" s="25" t="s">
        <v>3166</v>
      </c>
      <c r="C1176" s="27" t="s">
        <v>3706</v>
      </c>
      <c r="D1176" s="24" t="s">
        <v>12</v>
      </c>
      <c r="E1176" s="24" t="s">
        <v>3324</v>
      </c>
      <c r="F1176" s="24" t="s">
        <v>3707</v>
      </c>
      <c r="G1176" s="24">
        <v>500</v>
      </c>
      <c r="H1176" s="24"/>
    </row>
    <row r="1177" spans="1:8" ht="14">
      <c r="A1177" s="27" t="s">
        <v>3708</v>
      </c>
      <c r="B1177" s="25" t="s">
        <v>3166</v>
      </c>
      <c r="C1177" s="27" t="s">
        <v>3708</v>
      </c>
      <c r="D1177" s="24" t="s">
        <v>12</v>
      </c>
      <c r="E1177" s="24" t="s">
        <v>3325</v>
      </c>
      <c r="F1177" s="24" t="s">
        <v>3709</v>
      </c>
      <c r="G1177" s="24">
        <v>500</v>
      </c>
      <c r="H1177" s="24"/>
    </row>
    <row r="1178" spans="1:8" ht="14">
      <c r="A1178" s="27" t="s">
        <v>3710</v>
      </c>
      <c r="B1178" s="25" t="s">
        <v>3166</v>
      </c>
      <c r="C1178" s="27" t="s">
        <v>3710</v>
      </c>
      <c r="D1178" s="24" t="s">
        <v>12</v>
      </c>
      <c r="E1178" s="24" t="s">
        <v>3326</v>
      </c>
      <c r="F1178" s="24" t="s">
        <v>3711</v>
      </c>
      <c r="G1178" s="24">
        <v>500</v>
      </c>
      <c r="H1178" s="24"/>
    </row>
    <row r="1179" spans="1:8" ht="14">
      <c r="A1179" s="27" t="s">
        <v>3712</v>
      </c>
      <c r="B1179" s="25" t="s">
        <v>3166</v>
      </c>
      <c r="C1179" s="27" t="s">
        <v>3712</v>
      </c>
      <c r="D1179" s="24" t="s">
        <v>12</v>
      </c>
      <c r="E1179" s="24" t="s">
        <v>3327</v>
      </c>
      <c r="F1179" s="24" t="s">
        <v>3713</v>
      </c>
      <c r="G1179" s="24">
        <v>500</v>
      </c>
      <c r="H1179" s="24"/>
    </row>
    <row r="1180" spans="1:8" ht="14">
      <c r="A1180" s="27" t="s">
        <v>3714</v>
      </c>
      <c r="B1180" s="25" t="s">
        <v>3166</v>
      </c>
      <c r="C1180" s="27" t="s">
        <v>3714</v>
      </c>
      <c r="D1180" s="24" t="s">
        <v>12</v>
      </c>
      <c r="E1180" s="24" t="s">
        <v>3328</v>
      </c>
      <c r="F1180" s="24" t="s">
        <v>3715</v>
      </c>
      <c r="G1180" s="24">
        <v>500</v>
      </c>
      <c r="H1180" s="24"/>
    </row>
    <row r="1181" spans="1:8" ht="14">
      <c r="A1181" s="27" t="s">
        <v>3716</v>
      </c>
      <c r="B1181" s="25" t="s">
        <v>3166</v>
      </c>
      <c r="C1181" s="27" t="s">
        <v>3716</v>
      </c>
      <c r="D1181" s="24" t="s">
        <v>12</v>
      </c>
      <c r="E1181" s="24" t="s">
        <v>3329</v>
      </c>
      <c r="F1181" s="24" t="s">
        <v>3717</v>
      </c>
      <c r="G1181" s="24">
        <v>500</v>
      </c>
      <c r="H1181" s="24"/>
    </row>
    <row r="1182" spans="1:8" ht="14">
      <c r="A1182" s="27" t="s">
        <v>3718</v>
      </c>
      <c r="B1182" s="25" t="s">
        <v>3166</v>
      </c>
      <c r="C1182" s="27" t="s">
        <v>3718</v>
      </c>
      <c r="D1182" s="24" t="s">
        <v>12</v>
      </c>
      <c r="E1182" s="24" t="s">
        <v>3330</v>
      </c>
      <c r="F1182" s="24" t="s">
        <v>3719</v>
      </c>
      <c r="G1182" s="24">
        <v>500</v>
      </c>
      <c r="H1182" s="24"/>
    </row>
    <row r="1183" spans="1:8" ht="14">
      <c r="A1183" s="27" t="s">
        <v>3720</v>
      </c>
      <c r="B1183" s="25" t="s">
        <v>3166</v>
      </c>
      <c r="C1183" s="27" t="s">
        <v>3720</v>
      </c>
      <c r="D1183" s="24" t="s">
        <v>12</v>
      </c>
      <c r="E1183" s="24" t="s">
        <v>3331</v>
      </c>
      <c r="F1183" s="24" t="s">
        <v>3721</v>
      </c>
      <c r="G1183" s="24">
        <v>500</v>
      </c>
      <c r="H1183" s="24"/>
    </row>
    <row r="1184" spans="1:8" ht="14">
      <c r="A1184" s="27" t="s">
        <v>3722</v>
      </c>
      <c r="B1184" s="25" t="s">
        <v>3166</v>
      </c>
      <c r="C1184" s="27" t="s">
        <v>3722</v>
      </c>
      <c r="D1184" s="24" t="s">
        <v>12</v>
      </c>
      <c r="E1184" s="24" t="s">
        <v>3332</v>
      </c>
      <c r="F1184" s="24" t="s">
        <v>3723</v>
      </c>
      <c r="G1184" s="24">
        <v>500</v>
      </c>
      <c r="H1184" s="24"/>
    </row>
    <row r="1185" spans="1:8" ht="14">
      <c r="A1185" s="27" t="s">
        <v>3724</v>
      </c>
      <c r="B1185" s="25" t="s">
        <v>3166</v>
      </c>
      <c r="C1185" s="27" t="s">
        <v>3724</v>
      </c>
      <c r="D1185" s="24" t="s">
        <v>12</v>
      </c>
      <c r="E1185" s="24" t="s">
        <v>3333</v>
      </c>
      <c r="F1185" s="24" t="s">
        <v>3725</v>
      </c>
      <c r="G1185" s="24">
        <v>500</v>
      </c>
      <c r="H1185" s="24"/>
    </row>
    <row r="1186" spans="1:8" ht="14">
      <c r="A1186" s="27" t="s">
        <v>3726</v>
      </c>
      <c r="B1186" s="25" t="s">
        <v>3166</v>
      </c>
      <c r="C1186" s="27" t="s">
        <v>3726</v>
      </c>
      <c r="D1186" s="24" t="s">
        <v>12</v>
      </c>
      <c r="E1186" s="24" t="s">
        <v>3334</v>
      </c>
      <c r="F1186" s="24" t="s">
        <v>3727</v>
      </c>
      <c r="G1186" s="24">
        <v>500</v>
      </c>
      <c r="H1186" s="24"/>
    </row>
    <row r="1187" spans="1:8" ht="14">
      <c r="A1187" s="27" t="s">
        <v>3728</v>
      </c>
      <c r="B1187" s="25" t="s">
        <v>3166</v>
      </c>
      <c r="C1187" s="27" t="s">
        <v>3728</v>
      </c>
      <c r="D1187" s="24" t="s">
        <v>12</v>
      </c>
      <c r="E1187" s="24" t="s">
        <v>3335</v>
      </c>
      <c r="F1187" s="24" t="s">
        <v>3729</v>
      </c>
      <c r="G1187" s="24">
        <v>500</v>
      </c>
      <c r="H1187" s="24"/>
    </row>
    <row r="1188" spans="1:8" ht="14">
      <c r="A1188" s="27" t="s">
        <v>3730</v>
      </c>
      <c r="B1188" s="25" t="s">
        <v>3166</v>
      </c>
      <c r="C1188" s="27" t="s">
        <v>3730</v>
      </c>
      <c r="D1188" s="24" t="s">
        <v>12</v>
      </c>
      <c r="E1188" s="24" t="s">
        <v>3336</v>
      </c>
      <c r="F1188" s="24" t="s">
        <v>3731</v>
      </c>
      <c r="G1188" s="24">
        <v>500</v>
      </c>
      <c r="H1188" s="24"/>
    </row>
    <row r="1189" spans="1:8" ht="14">
      <c r="A1189" s="27" t="s">
        <v>3732</v>
      </c>
      <c r="B1189" s="25" t="s">
        <v>3166</v>
      </c>
      <c r="C1189" s="27" t="s">
        <v>3732</v>
      </c>
      <c r="D1189" s="24" t="s">
        <v>12</v>
      </c>
      <c r="E1189" s="24" t="s">
        <v>3337</v>
      </c>
      <c r="F1189" s="24" t="s">
        <v>3733</v>
      </c>
      <c r="G1189" s="24">
        <v>500</v>
      </c>
      <c r="H1189" s="24"/>
    </row>
    <row r="1190" spans="1:8" ht="14">
      <c r="A1190" s="27" t="s">
        <v>3734</v>
      </c>
      <c r="B1190" s="25" t="s">
        <v>3166</v>
      </c>
      <c r="C1190" s="27" t="s">
        <v>3734</v>
      </c>
      <c r="D1190" s="24" t="s">
        <v>12</v>
      </c>
      <c r="E1190" s="24" t="s">
        <v>3338</v>
      </c>
      <c r="F1190" s="24" t="s">
        <v>3735</v>
      </c>
      <c r="G1190" s="24">
        <v>500</v>
      </c>
      <c r="H1190" s="24"/>
    </row>
    <row r="1191" spans="1:8" ht="14">
      <c r="A1191" s="27" t="s">
        <v>3736</v>
      </c>
      <c r="B1191" s="25" t="s">
        <v>3166</v>
      </c>
      <c r="C1191" s="27" t="s">
        <v>3736</v>
      </c>
      <c r="D1191" s="24" t="s">
        <v>12</v>
      </c>
      <c r="E1191" s="24" t="s">
        <v>3339</v>
      </c>
      <c r="F1191" s="24" t="s">
        <v>3737</v>
      </c>
      <c r="G1191" s="24">
        <v>500</v>
      </c>
      <c r="H1191" s="24"/>
    </row>
    <row r="1192" spans="1:8" ht="14">
      <c r="A1192" s="27" t="s">
        <v>3738</v>
      </c>
      <c r="B1192" s="25" t="s">
        <v>3166</v>
      </c>
      <c r="C1192" s="27" t="s">
        <v>3738</v>
      </c>
      <c r="D1192" s="24" t="s">
        <v>12</v>
      </c>
      <c r="E1192" s="24" t="s">
        <v>3340</v>
      </c>
      <c r="F1192" s="24" t="s">
        <v>3739</v>
      </c>
      <c r="G1192" s="24">
        <v>500</v>
      </c>
      <c r="H1192" s="24"/>
    </row>
    <row r="1193" spans="1:8" ht="14">
      <c r="A1193" s="27" t="s">
        <v>3740</v>
      </c>
      <c r="B1193" s="25" t="s">
        <v>3166</v>
      </c>
      <c r="C1193" s="27" t="s">
        <v>3740</v>
      </c>
      <c r="D1193" s="24" t="s">
        <v>12</v>
      </c>
      <c r="E1193" s="24" t="s">
        <v>3341</v>
      </c>
      <c r="F1193" s="24" t="s">
        <v>3741</v>
      </c>
      <c r="G1193" s="24">
        <v>500</v>
      </c>
      <c r="H1193" s="24"/>
    </row>
    <row r="1194" spans="1:8" ht="14">
      <c r="A1194" s="27" t="s">
        <v>3742</v>
      </c>
      <c r="B1194" s="25" t="s">
        <v>3166</v>
      </c>
      <c r="C1194" s="27" t="s">
        <v>3742</v>
      </c>
      <c r="D1194" s="24" t="s">
        <v>12</v>
      </c>
      <c r="E1194" s="24" t="s">
        <v>3342</v>
      </c>
      <c r="F1194" s="24" t="s">
        <v>3743</v>
      </c>
      <c r="G1194" s="24">
        <v>500</v>
      </c>
      <c r="H1194" s="24"/>
    </row>
    <row r="1195" spans="1:8" ht="14">
      <c r="A1195" s="27" t="s">
        <v>3744</v>
      </c>
      <c r="B1195" s="25" t="s">
        <v>3166</v>
      </c>
      <c r="C1195" s="27" t="s">
        <v>3744</v>
      </c>
      <c r="D1195" s="24" t="s">
        <v>12</v>
      </c>
      <c r="E1195" s="24" t="s">
        <v>3343</v>
      </c>
      <c r="F1195" s="24" t="s">
        <v>3745</v>
      </c>
      <c r="G1195" s="24">
        <v>500</v>
      </c>
      <c r="H1195" s="24"/>
    </row>
    <row r="1196" spans="1:8" ht="14">
      <c r="A1196" s="27" t="s">
        <v>3746</v>
      </c>
      <c r="B1196" s="25" t="s">
        <v>3166</v>
      </c>
      <c r="C1196" s="27" t="s">
        <v>3746</v>
      </c>
      <c r="D1196" s="24" t="s">
        <v>12</v>
      </c>
      <c r="E1196" s="24" t="s">
        <v>3344</v>
      </c>
      <c r="F1196" s="24" t="s">
        <v>3747</v>
      </c>
      <c r="G1196" s="24">
        <v>500</v>
      </c>
      <c r="H1196" s="24"/>
    </row>
    <row r="1197" spans="1:8" ht="14">
      <c r="A1197" s="27" t="s">
        <v>3748</v>
      </c>
      <c r="B1197" s="25" t="s">
        <v>3166</v>
      </c>
      <c r="C1197" s="27" t="s">
        <v>3748</v>
      </c>
      <c r="D1197" s="24" t="s">
        <v>12</v>
      </c>
      <c r="E1197" s="24" t="s">
        <v>3345</v>
      </c>
      <c r="F1197" s="24" t="s">
        <v>3749</v>
      </c>
      <c r="G1197" s="24">
        <v>500</v>
      </c>
      <c r="H1197" s="24"/>
    </row>
    <row r="1198" spans="1:8" ht="14">
      <c r="A1198" s="27" t="s">
        <v>3750</v>
      </c>
      <c r="B1198" s="25" t="s">
        <v>3166</v>
      </c>
      <c r="C1198" s="27" t="s">
        <v>3750</v>
      </c>
      <c r="D1198" s="24" t="s">
        <v>12</v>
      </c>
      <c r="E1198" s="24" t="s">
        <v>3346</v>
      </c>
      <c r="F1198" s="24" t="s">
        <v>3751</v>
      </c>
      <c r="G1198" s="24">
        <v>500</v>
      </c>
      <c r="H1198" s="24"/>
    </row>
    <row r="1199" spans="1:8" ht="14">
      <c r="A1199" s="27" t="s">
        <v>3752</v>
      </c>
      <c r="B1199" s="25" t="s">
        <v>3166</v>
      </c>
      <c r="C1199" s="27" t="s">
        <v>3752</v>
      </c>
      <c r="D1199" s="24" t="s">
        <v>12</v>
      </c>
      <c r="E1199" s="24" t="s">
        <v>3347</v>
      </c>
      <c r="F1199" s="24" t="s">
        <v>3753</v>
      </c>
      <c r="G1199" s="24">
        <v>500</v>
      </c>
      <c r="H1199" s="24"/>
    </row>
    <row r="1200" spans="1:8" ht="14">
      <c r="A1200" s="27" t="s">
        <v>3754</v>
      </c>
      <c r="B1200" s="25" t="s">
        <v>3166</v>
      </c>
      <c r="C1200" s="27" t="s">
        <v>3754</v>
      </c>
      <c r="D1200" s="24" t="s">
        <v>12</v>
      </c>
      <c r="E1200" s="24" t="s">
        <v>3348</v>
      </c>
      <c r="F1200" s="24" t="s">
        <v>3755</v>
      </c>
      <c r="G1200" s="24">
        <v>500</v>
      </c>
      <c r="H1200" s="24"/>
    </row>
    <row r="1201" spans="1:8" ht="14">
      <c r="A1201" s="27" t="s">
        <v>3756</v>
      </c>
      <c r="B1201" s="25" t="s">
        <v>3166</v>
      </c>
      <c r="C1201" s="27" t="s">
        <v>3756</v>
      </c>
      <c r="D1201" s="24" t="s">
        <v>12</v>
      </c>
      <c r="E1201" s="24" t="s">
        <v>3349</v>
      </c>
      <c r="F1201" s="24" t="s">
        <v>3757</v>
      </c>
      <c r="G1201" s="24">
        <v>500</v>
      </c>
      <c r="H1201" s="24"/>
    </row>
    <row r="1202" spans="1:8" ht="14">
      <c r="A1202" s="27" t="s">
        <v>3758</v>
      </c>
      <c r="B1202" s="25" t="s">
        <v>3166</v>
      </c>
      <c r="C1202" s="27" t="s">
        <v>3758</v>
      </c>
      <c r="D1202" s="24" t="s">
        <v>12</v>
      </c>
      <c r="E1202" s="24" t="s">
        <v>3350</v>
      </c>
      <c r="F1202" s="24" t="s">
        <v>3759</v>
      </c>
      <c r="G1202" s="24">
        <v>500</v>
      </c>
      <c r="H1202" s="24"/>
    </row>
    <row r="1203" spans="1:8" ht="14">
      <c r="A1203" s="27" t="s">
        <v>3760</v>
      </c>
      <c r="B1203" s="25" t="s">
        <v>3166</v>
      </c>
      <c r="C1203" s="27" t="s">
        <v>3760</v>
      </c>
      <c r="D1203" s="24" t="s">
        <v>12</v>
      </c>
      <c r="E1203" s="24" t="s">
        <v>3351</v>
      </c>
      <c r="F1203" s="24" t="s">
        <v>3761</v>
      </c>
      <c r="G1203" s="24">
        <v>500</v>
      </c>
      <c r="H1203" s="24"/>
    </row>
    <row r="1204" spans="1:8" ht="14">
      <c r="A1204" s="27" t="s">
        <v>4359</v>
      </c>
      <c r="B1204" s="25" t="s">
        <v>3166</v>
      </c>
      <c r="C1204" s="27" t="s">
        <v>4359</v>
      </c>
      <c r="D1204" s="24" t="s">
        <v>12</v>
      </c>
      <c r="E1204" s="31" t="s">
        <v>4358</v>
      </c>
      <c r="F1204" s="31" t="s">
        <v>4358</v>
      </c>
      <c r="G1204" s="24">
        <v>500</v>
      </c>
      <c r="H1204" s="24"/>
    </row>
    <row r="1205" spans="1:8" ht="14">
      <c r="A1205" s="24" t="s">
        <v>100</v>
      </c>
      <c r="B1205" s="25" t="s">
        <v>3764</v>
      </c>
      <c r="C1205" s="24" t="s">
        <v>100</v>
      </c>
      <c r="D1205" s="24" t="s">
        <v>12</v>
      </c>
      <c r="E1205" s="24" t="s">
        <v>3767</v>
      </c>
      <c r="F1205" s="24" t="s">
        <v>3768</v>
      </c>
      <c r="G1205" s="24">
        <v>500</v>
      </c>
      <c r="H1205" s="24"/>
    </row>
    <row r="1206" spans="1:8" ht="14">
      <c r="A1206" s="24" t="s">
        <v>3766</v>
      </c>
      <c r="B1206" s="25" t="s">
        <v>3764</v>
      </c>
      <c r="C1206" s="24" t="s">
        <v>3766</v>
      </c>
      <c r="D1206" s="24" t="s">
        <v>12</v>
      </c>
      <c r="E1206" s="24" t="s">
        <v>1876</v>
      </c>
      <c r="F1206" s="24" t="s">
        <v>3769</v>
      </c>
      <c r="G1206" s="24">
        <v>500</v>
      </c>
      <c r="H1206" s="24"/>
    </row>
    <row r="1207" spans="1:8" ht="14">
      <c r="A1207" s="24" t="s">
        <v>3770</v>
      </c>
      <c r="B1207" s="25" t="s">
        <v>50</v>
      </c>
      <c r="C1207" s="24" t="s">
        <v>3770</v>
      </c>
      <c r="D1207" s="24" t="s">
        <v>12</v>
      </c>
      <c r="E1207" s="24" t="s">
        <v>3771</v>
      </c>
      <c r="F1207" s="24" t="s">
        <v>3772</v>
      </c>
      <c r="G1207" s="24">
        <v>500</v>
      </c>
      <c r="H1207" s="24"/>
    </row>
    <row r="1208" spans="1:8" ht="14">
      <c r="A1208" s="24" t="s">
        <v>3834</v>
      </c>
      <c r="B1208" s="25" t="s">
        <v>3865</v>
      </c>
      <c r="C1208" s="24" t="s">
        <v>3834</v>
      </c>
      <c r="D1208" s="24" t="s">
        <v>12</v>
      </c>
      <c r="E1208" s="24" t="s">
        <v>3775</v>
      </c>
      <c r="F1208" s="24" t="s">
        <v>3776</v>
      </c>
      <c r="G1208" s="24">
        <v>500</v>
      </c>
      <c r="H1208" s="24"/>
    </row>
    <row r="1209" spans="1:8" ht="14">
      <c r="A1209" s="24" t="s">
        <v>3835</v>
      </c>
      <c r="B1209" s="25" t="s">
        <v>3865</v>
      </c>
      <c r="C1209" s="24" t="s">
        <v>3835</v>
      </c>
      <c r="D1209" s="24" t="s">
        <v>12</v>
      </c>
      <c r="E1209" s="24" t="s">
        <v>3777</v>
      </c>
      <c r="F1209" s="24" t="s">
        <v>3778</v>
      </c>
      <c r="G1209" s="24">
        <v>500</v>
      </c>
      <c r="H1209" s="24"/>
    </row>
    <row r="1210" spans="1:8" ht="14">
      <c r="A1210" s="24" t="s">
        <v>3836</v>
      </c>
      <c r="B1210" s="25" t="s">
        <v>3865</v>
      </c>
      <c r="C1210" s="24" t="s">
        <v>3836</v>
      </c>
      <c r="D1210" s="24" t="s">
        <v>12</v>
      </c>
      <c r="E1210" s="24" t="s">
        <v>3779</v>
      </c>
      <c r="F1210" s="24" t="s">
        <v>3780</v>
      </c>
      <c r="G1210" s="24">
        <v>500</v>
      </c>
      <c r="H1210" s="24"/>
    </row>
    <row r="1211" spans="1:8" ht="14">
      <c r="A1211" s="24" t="s">
        <v>3844</v>
      </c>
      <c r="B1211" s="25" t="s">
        <v>3865</v>
      </c>
      <c r="C1211" s="24" t="s">
        <v>3844</v>
      </c>
      <c r="D1211" s="24" t="s">
        <v>12</v>
      </c>
      <c r="E1211" s="24" t="s">
        <v>3781</v>
      </c>
      <c r="F1211" s="24" t="s">
        <v>3782</v>
      </c>
      <c r="G1211" s="24">
        <v>500</v>
      </c>
      <c r="H1211" s="24"/>
    </row>
    <row r="1212" spans="1:8" ht="14">
      <c r="A1212" s="24" t="s">
        <v>3837</v>
      </c>
      <c r="B1212" s="25" t="s">
        <v>3865</v>
      </c>
      <c r="C1212" s="24" t="s">
        <v>3837</v>
      </c>
      <c r="D1212" s="24" t="s">
        <v>12</v>
      </c>
      <c r="E1212" s="24" t="s">
        <v>3783</v>
      </c>
      <c r="F1212" s="24" t="s">
        <v>3784</v>
      </c>
      <c r="G1212" s="24">
        <v>500</v>
      </c>
      <c r="H1212" s="24"/>
    </row>
    <row r="1213" spans="1:8" ht="14">
      <c r="A1213" s="24" t="s">
        <v>3838</v>
      </c>
      <c r="B1213" s="25" t="s">
        <v>3865</v>
      </c>
      <c r="C1213" s="24" t="s">
        <v>3838</v>
      </c>
      <c r="D1213" s="24" t="s">
        <v>12</v>
      </c>
      <c r="E1213" s="24" t="s">
        <v>3785</v>
      </c>
      <c r="F1213" s="24" t="s">
        <v>3786</v>
      </c>
      <c r="G1213" s="24">
        <v>500</v>
      </c>
      <c r="H1213" s="24"/>
    </row>
    <row r="1214" spans="1:8" ht="14">
      <c r="A1214" s="24" t="s">
        <v>3839</v>
      </c>
      <c r="B1214" s="25" t="s">
        <v>3865</v>
      </c>
      <c r="C1214" s="24" t="s">
        <v>3839</v>
      </c>
      <c r="D1214" s="24" t="s">
        <v>12</v>
      </c>
      <c r="E1214" s="24" t="s">
        <v>3787</v>
      </c>
      <c r="F1214" s="24" t="s">
        <v>3788</v>
      </c>
      <c r="G1214" s="24">
        <v>500</v>
      </c>
      <c r="H1214" s="24"/>
    </row>
    <row r="1215" spans="1:8" ht="14">
      <c r="A1215" s="24" t="s">
        <v>3840</v>
      </c>
      <c r="B1215" s="25" t="s">
        <v>3865</v>
      </c>
      <c r="C1215" s="24" t="s">
        <v>3840</v>
      </c>
      <c r="D1215" s="24" t="s">
        <v>12</v>
      </c>
      <c r="E1215" s="24" t="s">
        <v>3789</v>
      </c>
      <c r="F1215" s="24" t="s">
        <v>3790</v>
      </c>
      <c r="G1215" s="24">
        <v>500</v>
      </c>
      <c r="H1215" s="24"/>
    </row>
    <row r="1216" spans="1:8" ht="14">
      <c r="A1216" s="24" t="s">
        <v>3841</v>
      </c>
      <c r="B1216" s="25" t="s">
        <v>3865</v>
      </c>
      <c r="C1216" s="24" t="s">
        <v>3841</v>
      </c>
      <c r="D1216" s="24" t="s">
        <v>12</v>
      </c>
      <c r="E1216" s="24" t="s">
        <v>3791</v>
      </c>
      <c r="F1216" s="24" t="s">
        <v>3792</v>
      </c>
      <c r="G1216" s="24">
        <v>500</v>
      </c>
      <c r="H1216" s="24"/>
    </row>
    <row r="1217" spans="1:8" ht="14">
      <c r="A1217" s="24" t="s">
        <v>3842</v>
      </c>
      <c r="B1217" s="25" t="s">
        <v>3865</v>
      </c>
      <c r="C1217" s="24" t="s">
        <v>3842</v>
      </c>
      <c r="D1217" s="24" t="s">
        <v>12</v>
      </c>
      <c r="E1217" s="24" t="s">
        <v>3793</v>
      </c>
      <c r="F1217" s="24" t="s">
        <v>3794</v>
      </c>
      <c r="G1217" s="24">
        <v>500</v>
      </c>
      <c r="H1217" s="24"/>
    </row>
    <row r="1218" spans="1:8" ht="14">
      <c r="A1218" s="24" t="s">
        <v>3843</v>
      </c>
      <c r="B1218" s="25" t="s">
        <v>3865</v>
      </c>
      <c r="C1218" s="24" t="s">
        <v>3843</v>
      </c>
      <c r="D1218" s="24" t="s">
        <v>12</v>
      </c>
      <c r="E1218" s="24" t="s">
        <v>3795</v>
      </c>
      <c r="F1218" s="24" t="s">
        <v>3796</v>
      </c>
      <c r="G1218" s="24">
        <v>500</v>
      </c>
      <c r="H1218" s="24"/>
    </row>
    <row r="1219" spans="1:8" ht="14">
      <c r="A1219" s="24" t="s">
        <v>3845</v>
      </c>
      <c r="B1219" s="25" t="s">
        <v>3865</v>
      </c>
      <c r="C1219" s="24" t="s">
        <v>3845</v>
      </c>
      <c r="D1219" s="24" t="s">
        <v>12</v>
      </c>
      <c r="E1219" s="24" t="s">
        <v>3797</v>
      </c>
      <c r="F1219" s="24" t="s">
        <v>3798</v>
      </c>
      <c r="G1219" s="24">
        <v>500</v>
      </c>
      <c r="H1219" s="24"/>
    </row>
    <row r="1220" spans="1:8" ht="14">
      <c r="A1220" s="24" t="s">
        <v>3846</v>
      </c>
      <c r="B1220" s="25" t="s">
        <v>3865</v>
      </c>
      <c r="C1220" s="24" t="s">
        <v>3846</v>
      </c>
      <c r="D1220" s="24" t="s">
        <v>12</v>
      </c>
      <c r="E1220" s="24" t="s">
        <v>3799</v>
      </c>
      <c r="F1220" s="24" t="s">
        <v>3800</v>
      </c>
      <c r="G1220" s="24">
        <v>500</v>
      </c>
      <c r="H1220" s="24"/>
    </row>
    <row r="1221" spans="1:8" ht="14">
      <c r="A1221" s="24" t="s">
        <v>3847</v>
      </c>
      <c r="B1221" s="25" t="s">
        <v>3865</v>
      </c>
      <c r="C1221" s="24" t="s">
        <v>3847</v>
      </c>
      <c r="D1221" s="24" t="s">
        <v>12</v>
      </c>
      <c r="E1221" s="24" t="s">
        <v>3801</v>
      </c>
      <c r="F1221" s="24" t="s">
        <v>3802</v>
      </c>
      <c r="G1221" s="24">
        <v>500</v>
      </c>
      <c r="H1221" s="24"/>
    </row>
    <row r="1222" spans="1:8" ht="14">
      <c r="A1222" s="24" t="s">
        <v>3848</v>
      </c>
      <c r="B1222" s="25" t="s">
        <v>3865</v>
      </c>
      <c r="C1222" s="24" t="s">
        <v>3848</v>
      </c>
      <c r="D1222" s="24" t="s">
        <v>12</v>
      </c>
      <c r="E1222" s="24" t="s">
        <v>3803</v>
      </c>
      <c r="F1222" s="24" t="s">
        <v>3804</v>
      </c>
      <c r="G1222" s="24">
        <v>500</v>
      </c>
      <c r="H1222" s="24"/>
    </row>
    <row r="1223" spans="1:8" ht="14">
      <c r="A1223" s="24" t="s">
        <v>3849</v>
      </c>
      <c r="B1223" s="25" t="s">
        <v>3865</v>
      </c>
      <c r="C1223" s="24" t="s">
        <v>3849</v>
      </c>
      <c r="D1223" s="24" t="s">
        <v>12</v>
      </c>
      <c r="E1223" s="24" t="s">
        <v>3805</v>
      </c>
      <c r="F1223" s="24" t="s">
        <v>3806</v>
      </c>
      <c r="G1223" s="24">
        <v>500</v>
      </c>
      <c r="H1223" s="24"/>
    </row>
    <row r="1224" spans="1:8" ht="14">
      <c r="A1224" s="24" t="s">
        <v>3850</v>
      </c>
      <c r="B1224" s="25" t="s">
        <v>3865</v>
      </c>
      <c r="C1224" s="24" t="s">
        <v>3850</v>
      </c>
      <c r="D1224" s="24" t="s">
        <v>12</v>
      </c>
      <c r="E1224" s="24" t="s">
        <v>3807</v>
      </c>
      <c r="F1224" s="24" t="s">
        <v>3808</v>
      </c>
      <c r="G1224" s="24">
        <v>500</v>
      </c>
      <c r="H1224" s="24"/>
    </row>
    <row r="1225" spans="1:8" ht="14">
      <c r="A1225" s="24" t="s">
        <v>3851</v>
      </c>
      <c r="B1225" s="25" t="s">
        <v>3865</v>
      </c>
      <c r="C1225" s="24" t="s">
        <v>3851</v>
      </c>
      <c r="D1225" s="24" t="s">
        <v>12</v>
      </c>
      <c r="E1225" s="24" t="s">
        <v>3809</v>
      </c>
      <c r="F1225" s="24" t="s">
        <v>3810</v>
      </c>
      <c r="G1225" s="24">
        <v>500</v>
      </c>
      <c r="H1225" s="24"/>
    </row>
    <row r="1226" spans="1:8" ht="14">
      <c r="A1226" s="24" t="s">
        <v>3852</v>
      </c>
      <c r="B1226" s="25" t="s">
        <v>3865</v>
      </c>
      <c r="C1226" s="24" t="s">
        <v>3852</v>
      </c>
      <c r="D1226" s="24" t="s">
        <v>12</v>
      </c>
      <c r="E1226" s="24" t="s">
        <v>3811</v>
      </c>
      <c r="F1226" s="24" t="s">
        <v>3812</v>
      </c>
      <c r="G1226" s="24">
        <v>500</v>
      </c>
      <c r="H1226" s="24"/>
    </row>
    <row r="1227" spans="1:8" ht="14">
      <c r="A1227" s="24" t="s">
        <v>3853</v>
      </c>
      <c r="B1227" s="25" t="s">
        <v>3865</v>
      </c>
      <c r="C1227" s="24" t="s">
        <v>3853</v>
      </c>
      <c r="D1227" s="24" t="s">
        <v>12</v>
      </c>
      <c r="E1227" s="24" t="s">
        <v>3813</v>
      </c>
      <c r="F1227" s="24" t="s">
        <v>3814</v>
      </c>
      <c r="G1227" s="24">
        <v>500</v>
      </c>
      <c r="H1227" s="24"/>
    </row>
    <row r="1228" spans="1:8" ht="14">
      <c r="A1228" s="24" t="s">
        <v>3854</v>
      </c>
      <c r="B1228" s="25" t="s">
        <v>3865</v>
      </c>
      <c r="C1228" s="24" t="s">
        <v>3854</v>
      </c>
      <c r="D1228" s="24" t="s">
        <v>12</v>
      </c>
      <c r="E1228" s="24" t="s">
        <v>3815</v>
      </c>
      <c r="F1228" s="24" t="s">
        <v>3816</v>
      </c>
      <c r="G1228" s="24">
        <v>500</v>
      </c>
      <c r="H1228" s="24"/>
    </row>
    <row r="1229" spans="1:8" ht="14">
      <c r="A1229" s="24" t="s">
        <v>3855</v>
      </c>
      <c r="B1229" s="25" t="s">
        <v>3865</v>
      </c>
      <c r="C1229" s="24" t="s">
        <v>3855</v>
      </c>
      <c r="D1229" s="24" t="s">
        <v>12</v>
      </c>
      <c r="E1229" s="24" t="s">
        <v>3817</v>
      </c>
      <c r="F1229" s="24" t="s">
        <v>3818</v>
      </c>
      <c r="G1229" s="24">
        <v>500</v>
      </c>
      <c r="H1229" s="24"/>
    </row>
    <row r="1230" spans="1:8" ht="14">
      <c r="A1230" s="24" t="s">
        <v>3856</v>
      </c>
      <c r="B1230" s="25" t="s">
        <v>3865</v>
      </c>
      <c r="C1230" s="24" t="s">
        <v>3856</v>
      </c>
      <c r="D1230" s="24" t="s">
        <v>12</v>
      </c>
      <c r="E1230" s="24" t="s">
        <v>3819</v>
      </c>
      <c r="F1230" s="24" t="s">
        <v>3820</v>
      </c>
      <c r="G1230" s="24">
        <v>500</v>
      </c>
      <c r="H1230" s="24"/>
    </row>
    <row r="1231" spans="1:8" ht="14">
      <c r="A1231" s="24" t="s">
        <v>3857</v>
      </c>
      <c r="B1231" s="25" t="s">
        <v>3865</v>
      </c>
      <c r="C1231" s="24" t="s">
        <v>3857</v>
      </c>
      <c r="D1231" s="24" t="s">
        <v>12</v>
      </c>
      <c r="E1231" s="24" t="s">
        <v>3821</v>
      </c>
      <c r="F1231" s="24" t="s">
        <v>3822</v>
      </c>
      <c r="G1231" s="24">
        <v>500</v>
      </c>
      <c r="H1231" s="24"/>
    </row>
    <row r="1232" spans="1:8" ht="14">
      <c r="A1232" s="24" t="s">
        <v>3858</v>
      </c>
      <c r="B1232" s="25" t="s">
        <v>3865</v>
      </c>
      <c r="C1232" s="24" t="s">
        <v>3858</v>
      </c>
      <c r="D1232" s="24" t="s">
        <v>12</v>
      </c>
      <c r="E1232" s="24" t="s">
        <v>3823</v>
      </c>
      <c r="F1232" s="24" t="s">
        <v>3824</v>
      </c>
      <c r="G1232" s="24">
        <v>500</v>
      </c>
      <c r="H1232" s="24"/>
    </row>
    <row r="1233" spans="1:8" ht="14">
      <c r="A1233" s="24" t="s">
        <v>3859</v>
      </c>
      <c r="B1233" s="25" t="s">
        <v>3865</v>
      </c>
      <c r="C1233" s="24" t="s">
        <v>3859</v>
      </c>
      <c r="D1233" s="24" t="s">
        <v>12</v>
      </c>
      <c r="E1233" s="24" t="s">
        <v>3825</v>
      </c>
      <c r="F1233" s="24" t="s">
        <v>3826</v>
      </c>
      <c r="G1233" s="24">
        <v>500</v>
      </c>
      <c r="H1233" s="24"/>
    </row>
    <row r="1234" spans="1:8" ht="14">
      <c r="A1234" s="24" t="s">
        <v>3860</v>
      </c>
      <c r="B1234" s="25" t="s">
        <v>3865</v>
      </c>
      <c r="C1234" s="24" t="s">
        <v>3860</v>
      </c>
      <c r="D1234" s="24" t="s">
        <v>12</v>
      </c>
      <c r="E1234" s="24" t="s">
        <v>3827</v>
      </c>
      <c r="F1234" s="24" t="s">
        <v>3828</v>
      </c>
      <c r="G1234" s="24">
        <v>500</v>
      </c>
      <c r="H1234" s="24"/>
    </row>
    <row r="1235" spans="1:8" ht="14">
      <c r="A1235" s="24" t="s">
        <v>3861</v>
      </c>
      <c r="B1235" s="25" t="s">
        <v>3865</v>
      </c>
      <c r="C1235" s="24" t="s">
        <v>3861</v>
      </c>
      <c r="D1235" s="24" t="s">
        <v>12</v>
      </c>
      <c r="E1235" s="24" t="s">
        <v>3862</v>
      </c>
      <c r="F1235" s="24" t="s">
        <v>3829</v>
      </c>
      <c r="G1235" s="24">
        <v>500</v>
      </c>
      <c r="H1235" s="24"/>
    </row>
    <row r="1236" spans="1:8" ht="14">
      <c r="A1236" s="24" t="s">
        <v>3863</v>
      </c>
      <c r="B1236" s="25" t="s">
        <v>3865</v>
      </c>
      <c r="C1236" s="24" t="s">
        <v>3863</v>
      </c>
      <c r="D1236" s="24" t="s">
        <v>12</v>
      </c>
      <c r="E1236" s="24" t="s">
        <v>3830</v>
      </c>
      <c r="F1236" s="24" t="s">
        <v>3831</v>
      </c>
      <c r="G1236" s="24">
        <v>500</v>
      </c>
      <c r="H1236" s="24"/>
    </row>
    <row r="1237" spans="1:8" ht="14">
      <c r="A1237" s="24" t="s">
        <v>3864</v>
      </c>
      <c r="B1237" s="25" t="s">
        <v>3865</v>
      </c>
      <c r="C1237" s="24" t="s">
        <v>3864</v>
      </c>
      <c r="D1237" s="24" t="s">
        <v>12</v>
      </c>
      <c r="E1237" s="24" t="s">
        <v>3832</v>
      </c>
      <c r="F1237" s="24" t="s">
        <v>3833</v>
      </c>
      <c r="G1237" s="24">
        <v>500</v>
      </c>
      <c r="H1237" s="24"/>
    </row>
    <row r="1238" spans="1:8" ht="14">
      <c r="A1238" s="24" t="s">
        <v>3875</v>
      </c>
      <c r="B1238" s="25" t="s">
        <v>3873</v>
      </c>
      <c r="C1238" s="24" t="s">
        <v>3875</v>
      </c>
      <c r="D1238" s="24" t="s">
        <v>3875</v>
      </c>
      <c r="E1238" s="24" t="s">
        <v>3876</v>
      </c>
      <c r="F1238" s="24" t="s">
        <v>3877</v>
      </c>
      <c r="G1238" s="24">
        <v>500</v>
      </c>
      <c r="H1238" s="24"/>
    </row>
    <row r="1239" spans="1:8" ht="14">
      <c r="A1239" s="24" t="s">
        <v>3878</v>
      </c>
      <c r="B1239" s="25" t="s">
        <v>3873</v>
      </c>
      <c r="C1239" s="24" t="s">
        <v>3878</v>
      </c>
      <c r="D1239" s="24" t="s">
        <v>3879</v>
      </c>
      <c r="E1239" s="24" t="s">
        <v>3880</v>
      </c>
      <c r="F1239" s="24" t="s">
        <v>3881</v>
      </c>
      <c r="G1239" s="24">
        <v>500</v>
      </c>
      <c r="H1239" s="24"/>
    </row>
    <row r="1240" spans="1:8" ht="14">
      <c r="A1240" s="24" t="s">
        <v>3882</v>
      </c>
      <c r="B1240" s="25" t="s">
        <v>3873</v>
      </c>
      <c r="C1240" s="24" t="s">
        <v>3882</v>
      </c>
      <c r="D1240" s="24" t="s">
        <v>3882</v>
      </c>
      <c r="E1240" s="24" t="s">
        <v>3883</v>
      </c>
      <c r="F1240" s="24" t="s">
        <v>3884</v>
      </c>
      <c r="G1240" s="24">
        <v>500</v>
      </c>
      <c r="H1240" s="24"/>
    </row>
    <row r="1241" spans="1:8" ht="14">
      <c r="A1241" s="27" t="s">
        <v>4029</v>
      </c>
      <c r="B1241" s="32" t="s">
        <v>3983</v>
      </c>
      <c r="C1241" s="27" t="s">
        <v>4029</v>
      </c>
      <c r="D1241" s="24" t="s">
        <v>12</v>
      </c>
      <c r="E1241" s="27" t="s">
        <v>3895</v>
      </c>
      <c r="F1241" s="27" t="s">
        <v>3896</v>
      </c>
      <c r="G1241" s="27">
        <v>500</v>
      </c>
      <c r="H1241" s="24"/>
    </row>
    <row r="1242" spans="1:8" ht="14">
      <c r="A1242" s="27" t="s">
        <v>4030</v>
      </c>
      <c r="B1242" s="32" t="s">
        <v>3983</v>
      </c>
      <c r="C1242" s="27" t="s">
        <v>4030</v>
      </c>
      <c r="D1242" s="24" t="s">
        <v>12</v>
      </c>
      <c r="E1242" s="27" t="s">
        <v>3897</v>
      </c>
      <c r="F1242" s="27" t="s">
        <v>3898</v>
      </c>
      <c r="G1242" s="27">
        <v>500</v>
      </c>
      <c r="H1242" s="24"/>
    </row>
    <row r="1243" spans="1:8" ht="14">
      <c r="A1243" s="27" t="s">
        <v>4031</v>
      </c>
      <c r="B1243" s="32" t="s">
        <v>3983</v>
      </c>
      <c r="C1243" s="27" t="s">
        <v>4031</v>
      </c>
      <c r="D1243" s="24" t="s">
        <v>12</v>
      </c>
      <c r="E1243" s="27" t="s">
        <v>4032</v>
      </c>
      <c r="F1243" s="27" t="s">
        <v>3899</v>
      </c>
      <c r="G1243" s="27">
        <v>500</v>
      </c>
      <c r="H1243" s="24"/>
    </row>
    <row r="1244" spans="1:8" ht="14">
      <c r="A1244" s="27" t="s">
        <v>3900</v>
      </c>
      <c r="B1244" s="25" t="s">
        <v>3983</v>
      </c>
      <c r="C1244" s="27" t="s">
        <v>3900</v>
      </c>
      <c r="D1244" s="24" t="s">
        <v>12</v>
      </c>
      <c r="E1244" s="27" t="s">
        <v>3900</v>
      </c>
      <c r="F1244" s="27" t="s">
        <v>3901</v>
      </c>
      <c r="G1244" s="27">
        <v>500</v>
      </c>
      <c r="H1244" s="24"/>
    </row>
    <row r="1245" spans="1:8" ht="14">
      <c r="A1245" s="27" t="s">
        <v>4021</v>
      </c>
      <c r="B1245" s="25" t="s">
        <v>3983</v>
      </c>
      <c r="C1245" s="27" t="s">
        <v>3902</v>
      </c>
      <c r="D1245" s="24" t="s">
        <v>12</v>
      </c>
      <c r="E1245" s="27" t="s">
        <v>3902</v>
      </c>
      <c r="F1245" s="27" t="s">
        <v>3903</v>
      </c>
      <c r="G1245" s="27">
        <v>600</v>
      </c>
      <c r="H1245" s="24"/>
    </row>
    <row r="1246" spans="1:8" ht="14">
      <c r="A1246" s="27" t="s">
        <v>4020</v>
      </c>
      <c r="B1246" s="25" t="s">
        <v>3983</v>
      </c>
      <c r="C1246" s="27" t="s">
        <v>3904</v>
      </c>
      <c r="D1246" s="24" t="s">
        <v>12</v>
      </c>
      <c r="E1246" s="27" t="s">
        <v>3904</v>
      </c>
      <c r="F1246" s="27" t="s">
        <v>3905</v>
      </c>
      <c r="G1246" s="27">
        <v>450</v>
      </c>
      <c r="H1246" s="24"/>
    </row>
    <row r="1247" spans="1:8" ht="14">
      <c r="A1247" s="27" t="s">
        <v>4022</v>
      </c>
      <c r="B1247" s="25" t="s">
        <v>3984</v>
      </c>
      <c r="C1247" s="27" t="s">
        <v>4022</v>
      </c>
      <c r="D1247" s="24" t="s">
        <v>12</v>
      </c>
      <c r="E1247" s="27" t="s">
        <v>3907</v>
      </c>
      <c r="F1247" s="27" t="s">
        <v>3908</v>
      </c>
      <c r="G1247" s="27">
        <v>500</v>
      </c>
      <c r="H1247" s="24"/>
    </row>
    <row r="1248" spans="1:8" ht="14">
      <c r="A1248" s="27" t="s">
        <v>4023</v>
      </c>
      <c r="B1248" s="25" t="s">
        <v>3984</v>
      </c>
      <c r="C1248" s="27" t="s">
        <v>4023</v>
      </c>
      <c r="D1248" s="24" t="s">
        <v>12</v>
      </c>
      <c r="E1248" s="27" t="s">
        <v>3909</v>
      </c>
      <c r="F1248" s="27" t="s">
        <v>3910</v>
      </c>
      <c r="G1248" s="27">
        <v>550</v>
      </c>
      <c r="H1248" s="24"/>
    </row>
    <row r="1249" spans="1:1008" ht="14">
      <c r="A1249" s="27" t="s">
        <v>4024</v>
      </c>
      <c r="B1249" s="25" t="s">
        <v>3984</v>
      </c>
      <c r="C1249" s="27" t="s">
        <v>4024</v>
      </c>
      <c r="D1249" s="24" t="s">
        <v>12</v>
      </c>
      <c r="E1249" s="27" t="s">
        <v>3911</v>
      </c>
      <c r="F1249" s="27" t="s">
        <v>3912</v>
      </c>
      <c r="G1249" s="27">
        <v>500</v>
      </c>
      <c r="H1249" s="24"/>
    </row>
    <row r="1250" spans="1:1008" ht="14">
      <c r="A1250" s="27" t="s">
        <v>3914</v>
      </c>
      <c r="B1250" s="25" t="s">
        <v>3985</v>
      </c>
      <c r="C1250" s="27" t="s">
        <v>3914</v>
      </c>
      <c r="D1250" s="24" t="s">
        <v>12</v>
      </c>
      <c r="E1250" s="27" t="s">
        <v>3914</v>
      </c>
      <c r="F1250" s="27" t="s">
        <v>3915</v>
      </c>
      <c r="G1250" s="27">
        <v>550</v>
      </c>
      <c r="H1250" s="27"/>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c r="AT1250"/>
      <c r="AU1250"/>
      <c r="AV1250"/>
      <c r="AW1250"/>
      <c r="AX1250"/>
      <c r="AY1250"/>
      <c r="AZ1250"/>
      <c r="BA1250"/>
      <c r="BB1250"/>
      <c r="BC1250"/>
      <c r="BD1250"/>
      <c r="BE1250"/>
      <c r="BF1250"/>
      <c r="BG1250"/>
      <c r="BH1250"/>
      <c r="BI1250"/>
      <c r="BJ1250"/>
      <c r="BK1250"/>
      <c r="BL1250"/>
      <c r="BM1250"/>
      <c r="BN1250"/>
      <c r="BO1250"/>
      <c r="BP1250"/>
      <c r="BQ1250"/>
      <c r="BR1250"/>
      <c r="BS1250"/>
      <c r="BT1250"/>
      <c r="BU1250"/>
      <c r="BV1250"/>
      <c r="BW1250"/>
      <c r="BX1250"/>
      <c r="BY1250"/>
      <c r="BZ1250"/>
      <c r="CA1250"/>
      <c r="CB1250"/>
      <c r="CC1250"/>
      <c r="CD1250"/>
      <c r="CE1250"/>
      <c r="CF1250"/>
      <c r="CG1250"/>
      <c r="CH1250"/>
      <c r="CI1250"/>
      <c r="CJ1250"/>
      <c r="CK1250"/>
      <c r="CL1250"/>
      <c r="CM1250"/>
      <c r="CN1250"/>
      <c r="CO1250"/>
      <c r="CP1250"/>
      <c r="CQ1250"/>
      <c r="CR1250"/>
      <c r="CS1250"/>
      <c r="CT1250"/>
      <c r="CU1250"/>
      <c r="CV1250"/>
      <c r="CW1250"/>
      <c r="CX1250"/>
      <c r="CY1250"/>
      <c r="CZ1250"/>
      <c r="DA1250"/>
      <c r="DB1250"/>
      <c r="DC1250"/>
      <c r="DD1250"/>
      <c r="DE1250"/>
      <c r="DF1250"/>
      <c r="DG1250"/>
      <c r="DH1250"/>
      <c r="DI1250"/>
      <c r="DJ1250"/>
      <c r="DK1250"/>
      <c r="DL1250"/>
      <c r="DM1250"/>
      <c r="DN1250"/>
      <c r="DO1250"/>
      <c r="DP1250"/>
      <c r="DQ1250"/>
      <c r="DR1250"/>
      <c r="DS1250"/>
      <c r="DT1250"/>
      <c r="DU1250"/>
      <c r="DV1250"/>
      <c r="DW1250"/>
      <c r="DX1250"/>
      <c r="DY1250"/>
      <c r="DZ1250"/>
      <c r="EA1250"/>
      <c r="EB1250"/>
      <c r="EC1250"/>
      <c r="ED1250"/>
      <c r="EE1250"/>
      <c r="EF1250"/>
      <c r="EG1250"/>
      <c r="EH1250"/>
      <c r="EI1250"/>
      <c r="EJ1250"/>
      <c r="EK1250"/>
      <c r="EL1250"/>
      <c r="EM1250"/>
      <c r="EN1250"/>
      <c r="EO1250"/>
      <c r="EP1250"/>
      <c r="EQ1250"/>
      <c r="ER1250"/>
      <c r="ES1250"/>
      <c r="ET1250"/>
      <c r="EU1250"/>
      <c r="EV1250"/>
      <c r="EW1250"/>
      <c r="EX1250"/>
      <c r="EY1250"/>
      <c r="EZ1250"/>
      <c r="FA1250"/>
      <c r="FB1250"/>
      <c r="FC1250"/>
      <c r="FD1250"/>
      <c r="FE1250"/>
      <c r="FF1250"/>
      <c r="FG1250"/>
      <c r="FH1250"/>
      <c r="FI1250"/>
      <c r="FJ1250"/>
      <c r="FK1250"/>
      <c r="FL1250"/>
      <c r="FM1250"/>
      <c r="FN1250"/>
      <c r="FO1250"/>
      <c r="FP1250"/>
      <c r="FQ1250"/>
      <c r="FR1250"/>
      <c r="FS1250"/>
      <c r="FT1250"/>
      <c r="FU1250"/>
      <c r="FV1250"/>
      <c r="FW1250"/>
      <c r="FX1250"/>
      <c r="FY1250"/>
      <c r="FZ1250"/>
      <c r="GA1250"/>
      <c r="GB1250"/>
      <c r="GC1250"/>
      <c r="GD1250"/>
      <c r="GE1250"/>
      <c r="GF1250"/>
      <c r="GG1250"/>
      <c r="GH1250"/>
      <c r="GI1250"/>
      <c r="GJ1250"/>
      <c r="GK1250"/>
      <c r="GL1250"/>
      <c r="GM1250"/>
      <c r="GN1250"/>
      <c r="GO1250"/>
      <c r="GP1250"/>
      <c r="GQ1250"/>
      <c r="GR1250"/>
      <c r="GS1250"/>
      <c r="GT1250"/>
      <c r="GU1250"/>
      <c r="GV1250"/>
      <c r="GW1250"/>
      <c r="GX1250"/>
      <c r="GY1250"/>
      <c r="GZ1250"/>
      <c r="HA1250"/>
      <c r="HB1250"/>
      <c r="HC1250"/>
      <c r="HD1250"/>
      <c r="HE1250"/>
      <c r="HF1250"/>
      <c r="HG1250"/>
      <c r="HH1250"/>
      <c r="HI1250"/>
      <c r="HJ1250"/>
      <c r="HK1250"/>
      <c r="HL1250"/>
      <c r="HM1250"/>
      <c r="HN1250"/>
      <c r="HO1250"/>
      <c r="HP1250"/>
      <c r="HQ1250"/>
      <c r="HR1250"/>
      <c r="HS1250"/>
      <c r="HT1250"/>
      <c r="HU1250"/>
      <c r="HV1250"/>
      <c r="HW1250"/>
      <c r="HX1250"/>
      <c r="HY1250"/>
      <c r="HZ1250"/>
      <c r="IA1250"/>
      <c r="IB1250"/>
      <c r="IC1250"/>
      <c r="ID1250"/>
      <c r="IE1250"/>
      <c r="IF1250"/>
      <c r="IG1250"/>
      <c r="IH1250"/>
      <c r="II1250"/>
      <c r="IJ1250"/>
      <c r="IK1250"/>
      <c r="IL1250"/>
      <c r="IM1250"/>
      <c r="IN1250"/>
      <c r="IO1250"/>
      <c r="IP1250"/>
      <c r="IQ1250"/>
      <c r="IR1250"/>
      <c r="IS1250"/>
      <c r="IT1250"/>
      <c r="IU1250"/>
      <c r="IV1250"/>
      <c r="IW1250"/>
      <c r="IX1250"/>
      <c r="IY1250"/>
      <c r="IZ1250"/>
      <c r="JA1250"/>
      <c r="JB1250"/>
      <c r="JC1250"/>
      <c r="JD1250"/>
      <c r="JE1250"/>
      <c r="JF1250"/>
      <c r="JG1250"/>
      <c r="JH1250"/>
      <c r="JI1250"/>
      <c r="JJ1250"/>
      <c r="JK1250"/>
      <c r="JL1250"/>
      <c r="JM1250"/>
      <c r="JN1250"/>
      <c r="JO1250"/>
      <c r="JP1250"/>
      <c r="JQ1250"/>
      <c r="JR1250"/>
      <c r="JS1250"/>
      <c r="JT1250"/>
      <c r="JU1250"/>
      <c r="JV1250"/>
      <c r="JW1250"/>
      <c r="JX1250"/>
      <c r="JY1250"/>
      <c r="JZ1250"/>
      <c r="KA1250"/>
      <c r="KB1250"/>
      <c r="KC1250"/>
      <c r="KD1250"/>
      <c r="KE1250"/>
      <c r="KF1250"/>
      <c r="KG1250"/>
      <c r="KH1250"/>
      <c r="KI1250"/>
      <c r="KJ1250"/>
      <c r="KK1250"/>
      <c r="KL1250"/>
      <c r="KM1250"/>
      <c r="KN1250"/>
      <c r="KO1250"/>
      <c r="KP1250"/>
      <c r="KQ1250"/>
      <c r="KR1250"/>
      <c r="KS1250"/>
      <c r="KT1250"/>
      <c r="KU1250"/>
      <c r="KV1250"/>
      <c r="KW1250"/>
      <c r="KX1250"/>
      <c r="KY1250"/>
      <c r="KZ1250"/>
      <c r="LA1250"/>
      <c r="LB1250"/>
      <c r="LC1250"/>
      <c r="LD1250"/>
      <c r="LE1250"/>
      <c r="LF1250"/>
      <c r="LG1250"/>
      <c r="LH1250"/>
      <c r="LI1250"/>
      <c r="LJ1250"/>
      <c r="LK1250"/>
      <c r="LL1250"/>
      <c r="LM1250"/>
      <c r="LN1250"/>
      <c r="LO1250"/>
      <c r="LP1250"/>
      <c r="LQ1250"/>
      <c r="LR1250"/>
      <c r="LS1250"/>
      <c r="LT1250"/>
      <c r="LU1250"/>
      <c r="LV1250"/>
      <c r="LW1250"/>
      <c r="LX1250"/>
      <c r="LY1250"/>
      <c r="LZ1250"/>
      <c r="MA1250"/>
      <c r="MB1250"/>
      <c r="MC1250"/>
      <c r="MD1250"/>
      <c r="ME1250"/>
      <c r="MF1250"/>
      <c r="MG1250"/>
      <c r="MH1250"/>
      <c r="MI1250"/>
      <c r="MJ1250"/>
      <c r="MK1250"/>
      <c r="ML1250"/>
      <c r="MM1250"/>
      <c r="MN1250"/>
      <c r="MO1250"/>
      <c r="MP1250"/>
      <c r="MQ1250"/>
      <c r="MR1250"/>
      <c r="MS1250"/>
      <c r="MT1250"/>
      <c r="MU1250"/>
      <c r="MV1250"/>
      <c r="MW1250"/>
      <c r="MX1250"/>
      <c r="MY1250"/>
      <c r="MZ1250"/>
      <c r="NA1250"/>
      <c r="NB1250"/>
      <c r="NC1250"/>
      <c r="ND1250"/>
      <c r="NE1250"/>
      <c r="NF1250"/>
      <c r="NG1250"/>
      <c r="NH1250"/>
      <c r="NI1250"/>
      <c r="NJ1250"/>
      <c r="NK1250"/>
      <c r="NL1250"/>
      <c r="NM1250"/>
      <c r="NN1250"/>
      <c r="NO1250"/>
      <c r="NP1250"/>
      <c r="NQ1250"/>
      <c r="NR1250"/>
      <c r="NS1250"/>
      <c r="NT1250"/>
      <c r="NU1250"/>
      <c r="NV1250"/>
      <c r="NW1250"/>
      <c r="NX1250"/>
      <c r="NY1250"/>
      <c r="NZ1250"/>
      <c r="OA1250"/>
      <c r="OB1250"/>
      <c r="OC1250"/>
      <c r="OD1250"/>
      <c r="OE1250"/>
      <c r="OF1250"/>
      <c r="OG1250"/>
      <c r="OH1250"/>
      <c r="OI1250"/>
      <c r="OJ1250"/>
      <c r="OK1250"/>
      <c r="OL1250"/>
      <c r="OM1250"/>
      <c r="ON1250"/>
      <c r="OO1250"/>
      <c r="OP1250"/>
      <c r="OQ1250"/>
      <c r="OR1250"/>
      <c r="OS1250"/>
      <c r="OT1250"/>
      <c r="OU1250"/>
      <c r="OV1250"/>
      <c r="OW1250"/>
      <c r="OX1250"/>
      <c r="OY1250"/>
      <c r="OZ1250"/>
      <c r="PA1250"/>
      <c r="PB1250"/>
      <c r="PC1250"/>
      <c r="PD1250"/>
      <c r="PE1250"/>
      <c r="PF1250"/>
      <c r="PG1250"/>
      <c r="PH1250"/>
      <c r="PI1250"/>
      <c r="PJ1250"/>
      <c r="PK1250"/>
      <c r="PL1250"/>
      <c r="PM1250"/>
      <c r="PN1250"/>
      <c r="PO1250"/>
      <c r="PP1250"/>
      <c r="PQ1250"/>
      <c r="PR1250"/>
      <c r="PS1250"/>
      <c r="PT1250"/>
      <c r="PU1250"/>
      <c r="PV1250"/>
      <c r="PW1250"/>
      <c r="PX1250"/>
      <c r="PY1250"/>
      <c r="PZ1250"/>
      <c r="QA1250"/>
      <c r="QB1250"/>
      <c r="QC1250"/>
      <c r="QD1250"/>
      <c r="QE1250"/>
      <c r="QF1250"/>
      <c r="QG1250"/>
      <c r="QH1250"/>
      <c r="QI1250"/>
      <c r="QJ1250"/>
      <c r="QK1250"/>
      <c r="QL1250"/>
      <c r="QM1250"/>
      <c r="QN1250"/>
      <c r="QO1250"/>
      <c r="QP1250"/>
      <c r="QQ1250"/>
      <c r="QR1250"/>
      <c r="QS1250"/>
      <c r="QT1250"/>
      <c r="QU1250"/>
      <c r="QV1250"/>
      <c r="QW1250"/>
      <c r="QX1250"/>
      <c r="QY1250"/>
      <c r="QZ1250"/>
      <c r="RA1250"/>
      <c r="RB1250"/>
      <c r="RC1250"/>
      <c r="RD1250"/>
      <c r="RE1250"/>
      <c r="RF1250"/>
      <c r="RG1250"/>
      <c r="RH1250"/>
      <c r="RI1250"/>
      <c r="RJ1250"/>
      <c r="RK1250"/>
      <c r="RL1250"/>
      <c r="RM1250"/>
      <c r="RN1250"/>
      <c r="RO1250"/>
      <c r="RP1250"/>
      <c r="RQ1250"/>
      <c r="RR1250"/>
      <c r="RS1250"/>
      <c r="RT1250"/>
      <c r="RU1250"/>
      <c r="RV1250"/>
      <c r="RW1250"/>
      <c r="RX1250"/>
      <c r="RY1250"/>
      <c r="RZ1250"/>
      <c r="SA1250"/>
      <c r="SB1250"/>
      <c r="SC1250"/>
      <c r="SD1250"/>
      <c r="SE1250"/>
      <c r="SF1250"/>
      <c r="SG1250"/>
      <c r="SH1250"/>
      <c r="SI1250"/>
      <c r="SJ1250"/>
      <c r="SK1250"/>
      <c r="SL1250"/>
      <c r="SM1250"/>
      <c r="SN1250"/>
      <c r="SO1250"/>
      <c r="SP1250"/>
      <c r="SQ1250"/>
      <c r="SR1250"/>
      <c r="SS1250"/>
      <c r="ST1250"/>
      <c r="SU1250"/>
      <c r="SV1250"/>
      <c r="SW1250"/>
      <c r="SX1250"/>
      <c r="SY1250"/>
      <c r="SZ1250"/>
      <c r="TA1250"/>
      <c r="TB1250"/>
      <c r="TC1250"/>
      <c r="TD1250"/>
      <c r="TE1250"/>
      <c r="TF1250"/>
      <c r="TG1250"/>
      <c r="TH1250"/>
      <c r="TI1250"/>
      <c r="TJ1250"/>
      <c r="TK1250"/>
      <c r="TL1250"/>
      <c r="TM1250"/>
      <c r="TN1250"/>
      <c r="TO1250"/>
      <c r="TP1250"/>
      <c r="TQ1250"/>
      <c r="TR1250"/>
      <c r="TS1250"/>
      <c r="TT1250"/>
      <c r="TU1250"/>
      <c r="TV1250"/>
      <c r="TW1250"/>
      <c r="TX1250"/>
      <c r="TY1250"/>
      <c r="TZ1250"/>
      <c r="UA1250"/>
      <c r="UB1250"/>
      <c r="UC1250"/>
      <c r="UD1250"/>
      <c r="UE1250"/>
      <c r="UF1250"/>
      <c r="UG1250"/>
      <c r="UH1250"/>
      <c r="UI1250"/>
      <c r="UJ1250"/>
      <c r="UK1250"/>
      <c r="UL1250"/>
      <c r="UM1250"/>
      <c r="UN1250"/>
      <c r="UO1250"/>
      <c r="UP1250"/>
      <c r="UQ1250"/>
      <c r="UR1250"/>
      <c r="US1250"/>
      <c r="UT1250"/>
      <c r="UU1250"/>
      <c r="UV1250"/>
      <c r="UW1250"/>
      <c r="UX1250"/>
      <c r="UY1250"/>
      <c r="UZ1250"/>
      <c r="VA1250"/>
      <c r="VB1250"/>
      <c r="VC1250"/>
      <c r="VD1250"/>
      <c r="VE1250"/>
      <c r="VF1250"/>
      <c r="VG1250"/>
      <c r="VH1250"/>
      <c r="VI1250"/>
      <c r="VJ1250"/>
      <c r="VK1250"/>
      <c r="VL1250"/>
      <c r="VM1250"/>
      <c r="VN1250"/>
      <c r="VO1250"/>
      <c r="VP1250"/>
      <c r="VQ1250"/>
      <c r="VR1250"/>
      <c r="VS1250"/>
      <c r="VT1250"/>
      <c r="VU1250"/>
      <c r="VV1250"/>
      <c r="VW1250"/>
      <c r="VX1250"/>
      <c r="VY1250"/>
      <c r="VZ1250"/>
      <c r="WA1250"/>
      <c r="WB1250"/>
      <c r="WC1250"/>
      <c r="WD1250"/>
      <c r="WE1250"/>
      <c r="WF1250"/>
      <c r="WG1250"/>
      <c r="WH1250"/>
      <c r="WI1250"/>
      <c r="WJ1250"/>
      <c r="WK1250"/>
      <c r="WL1250"/>
      <c r="WM1250"/>
      <c r="WN1250"/>
      <c r="WO1250"/>
      <c r="WP1250"/>
      <c r="WQ1250"/>
      <c r="WR1250"/>
      <c r="WS1250"/>
      <c r="WT1250"/>
      <c r="WU1250"/>
      <c r="WV1250"/>
      <c r="WW1250"/>
      <c r="WX1250"/>
      <c r="WY1250"/>
      <c r="WZ1250"/>
      <c r="XA1250"/>
      <c r="XB1250"/>
      <c r="XC1250"/>
      <c r="XD1250"/>
      <c r="XE1250"/>
      <c r="XF1250"/>
      <c r="XG1250"/>
      <c r="XH1250"/>
      <c r="XI1250"/>
      <c r="XJ1250"/>
      <c r="XK1250"/>
      <c r="XL1250"/>
      <c r="XM1250"/>
      <c r="XN1250"/>
      <c r="XO1250"/>
      <c r="XP1250"/>
      <c r="XQ1250"/>
      <c r="XR1250"/>
      <c r="XS1250"/>
      <c r="XT1250"/>
      <c r="XU1250"/>
      <c r="XV1250"/>
      <c r="XW1250"/>
      <c r="XX1250"/>
      <c r="XY1250"/>
      <c r="XZ1250"/>
      <c r="YA1250"/>
      <c r="YB1250"/>
      <c r="YC1250"/>
      <c r="YD1250"/>
      <c r="YE1250"/>
      <c r="YF1250"/>
      <c r="YG1250"/>
      <c r="YH1250"/>
      <c r="YI1250"/>
      <c r="YJ1250"/>
      <c r="YK1250"/>
      <c r="YL1250"/>
      <c r="YM1250"/>
      <c r="YN1250"/>
      <c r="YO1250"/>
      <c r="YP1250"/>
      <c r="YQ1250"/>
      <c r="YR1250"/>
      <c r="YS1250"/>
      <c r="YT1250"/>
      <c r="YU1250"/>
      <c r="YV1250"/>
      <c r="YW1250"/>
      <c r="YX1250"/>
      <c r="YY1250"/>
      <c r="YZ1250"/>
      <c r="ZA1250"/>
      <c r="ZB1250"/>
      <c r="ZC1250"/>
      <c r="ZD1250"/>
      <c r="ZE1250"/>
      <c r="ZF1250"/>
      <c r="ZG1250"/>
      <c r="ZH1250"/>
      <c r="ZI1250"/>
      <c r="ZJ1250"/>
      <c r="ZK1250"/>
      <c r="ZL1250"/>
      <c r="ZM1250"/>
      <c r="ZN1250"/>
      <c r="ZO1250"/>
      <c r="ZP1250"/>
      <c r="ZQ1250"/>
      <c r="ZR1250"/>
      <c r="ZS1250"/>
      <c r="ZT1250"/>
      <c r="ZU1250"/>
      <c r="ZV1250"/>
      <c r="ZW1250"/>
      <c r="ZX1250"/>
      <c r="ZY1250"/>
      <c r="ZZ1250"/>
      <c r="AAA1250"/>
      <c r="AAB1250"/>
      <c r="AAC1250"/>
      <c r="AAD1250"/>
      <c r="AAE1250"/>
      <c r="AAF1250"/>
      <c r="AAG1250"/>
      <c r="AAH1250"/>
      <c r="AAI1250"/>
      <c r="AAJ1250"/>
      <c r="AAK1250"/>
      <c r="AAL1250"/>
      <c r="AAM1250"/>
      <c r="AAN1250"/>
      <c r="AAO1250"/>
      <c r="AAP1250"/>
      <c r="AAQ1250"/>
      <c r="AAR1250"/>
      <c r="AAS1250"/>
      <c r="AAT1250"/>
      <c r="AAU1250"/>
      <c r="AAV1250"/>
      <c r="AAW1250"/>
      <c r="AAX1250"/>
      <c r="AAY1250"/>
      <c r="AAZ1250"/>
      <c r="ABA1250"/>
      <c r="ABB1250"/>
      <c r="ABC1250"/>
      <c r="ABD1250"/>
      <c r="ABE1250"/>
      <c r="ABF1250"/>
      <c r="ABG1250"/>
      <c r="ABH1250"/>
      <c r="ABI1250"/>
      <c r="ABJ1250"/>
      <c r="ABK1250"/>
      <c r="ABL1250"/>
      <c r="ABM1250"/>
      <c r="ABN1250"/>
      <c r="ABO1250"/>
      <c r="ABP1250"/>
      <c r="ABQ1250"/>
      <c r="ABR1250"/>
      <c r="ABS1250"/>
      <c r="ABT1250"/>
      <c r="ABU1250"/>
      <c r="ABV1250"/>
      <c r="ABW1250"/>
      <c r="ABX1250"/>
      <c r="ABY1250"/>
      <c r="ABZ1250"/>
      <c r="ACA1250"/>
      <c r="ACB1250"/>
      <c r="ACC1250"/>
      <c r="ACD1250"/>
      <c r="ACE1250"/>
      <c r="ACF1250"/>
      <c r="ACG1250"/>
      <c r="ACH1250"/>
      <c r="ACI1250"/>
      <c r="ACJ1250"/>
      <c r="ACK1250"/>
      <c r="ACL1250"/>
      <c r="ACM1250"/>
      <c r="ACN1250"/>
      <c r="ACO1250"/>
      <c r="ACP1250"/>
      <c r="ACQ1250"/>
      <c r="ACR1250"/>
      <c r="ACS1250"/>
      <c r="ACT1250"/>
      <c r="ACU1250"/>
      <c r="ACV1250"/>
      <c r="ACW1250"/>
      <c r="ACX1250"/>
      <c r="ACY1250"/>
      <c r="ACZ1250"/>
      <c r="ADA1250"/>
      <c r="ADB1250"/>
      <c r="ADC1250"/>
      <c r="ADD1250"/>
      <c r="ADE1250"/>
      <c r="ADF1250"/>
      <c r="ADG1250"/>
      <c r="ADH1250"/>
      <c r="ADI1250"/>
      <c r="ADJ1250"/>
      <c r="ADK1250"/>
      <c r="ADL1250"/>
      <c r="ADM1250"/>
      <c r="ADN1250"/>
      <c r="ADO1250"/>
      <c r="ADP1250"/>
      <c r="ADQ1250"/>
      <c r="ADR1250"/>
      <c r="ADS1250"/>
      <c r="ADT1250"/>
      <c r="ADU1250"/>
      <c r="ADV1250"/>
      <c r="ADW1250"/>
      <c r="ADX1250"/>
      <c r="ADY1250"/>
      <c r="ADZ1250"/>
      <c r="AEA1250"/>
      <c r="AEB1250"/>
      <c r="AEC1250"/>
      <c r="AED1250"/>
      <c r="AEE1250"/>
      <c r="AEF1250"/>
      <c r="AEG1250"/>
      <c r="AEH1250"/>
      <c r="AEI1250"/>
      <c r="AEJ1250"/>
      <c r="AEK1250"/>
      <c r="AEL1250"/>
      <c r="AEM1250"/>
      <c r="AEN1250"/>
      <c r="AEO1250"/>
      <c r="AEP1250"/>
      <c r="AEQ1250"/>
      <c r="AER1250"/>
      <c r="AES1250"/>
      <c r="AET1250"/>
      <c r="AEU1250"/>
      <c r="AEV1250"/>
      <c r="AEW1250"/>
      <c r="AEX1250"/>
      <c r="AEY1250"/>
      <c r="AEZ1250"/>
      <c r="AFA1250"/>
      <c r="AFB1250"/>
      <c r="AFC1250"/>
      <c r="AFD1250"/>
      <c r="AFE1250"/>
      <c r="AFF1250"/>
      <c r="AFG1250"/>
      <c r="AFH1250"/>
      <c r="AFI1250"/>
      <c r="AFJ1250"/>
      <c r="AFK1250"/>
      <c r="AFL1250"/>
      <c r="AFM1250"/>
      <c r="AFN1250"/>
      <c r="AFO1250"/>
      <c r="AFP1250"/>
      <c r="AFQ1250"/>
      <c r="AFR1250"/>
      <c r="AFS1250"/>
      <c r="AFT1250"/>
      <c r="AFU1250"/>
      <c r="AFV1250"/>
      <c r="AFW1250"/>
      <c r="AFX1250"/>
      <c r="AFY1250"/>
      <c r="AFZ1250"/>
      <c r="AGA1250"/>
      <c r="AGB1250"/>
      <c r="AGC1250"/>
      <c r="AGD1250"/>
      <c r="AGE1250"/>
      <c r="AGF1250"/>
      <c r="AGG1250"/>
      <c r="AGH1250"/>
      <c r="AGI1250"/>
      <c r="AGJ1250"/>
      <c r="AGK1250"/>
      <c r="AGL1250"/>
      <c r="AGM1250"/>
      <c r="AGN1250"/>
      <c r="AGO1250"/>
      <c r="AGP1250"/>
      <c r="AGQ1250"/>
      <c r="AGR1250"/>
      <c r="AGS1250"/>
      <c r="AGT1250"/>
      <c r="AGU1250"/>
      <c r="AGV1250"/>
      <c r="AGW1250"/>
      <c r="AGX1250"/>
      <c r="AGY1250"/>
      <c r="AGZ1250"/>
      <c r="AHA1250"/>
      <c r="AHB1250"/>
      <c r="AHC1250"/>
      <c r="AHD1250"/>
      <c r="AHE1250"/>
      <c r="AHF1250"/>
      <c r="AHG1250"/>
      <c r="AHH1250"/>
      <c r="AHI1250"/>
      <c r="AHJ1250"/>
      <c r="AHK1250"/>
      <c r="AHL1250"/>
      <c r="AHM1250"/>
      <c r="AHN1250"/>
      <c r="AHO1250"/>
      <c r="AHP1250"/>
      <c r="AHQ1250"/>
      <c r="AHR1250"/>
      <c r="AHS1250"/>
      <c r="AHT1250"/>
      <c r="AHU1250"/>
      <c r="AHV1250"/>
      <c r="AHW1250"/>
      <c r="AHX1250"/>
      <c r="AHY1250"/>
      <c r="AHZ1250"/>
      <c r="AIA1250"/>
      <c r="AIB1250"/>
      <c r="AIC1250"/>
      <c r="AID1250"/>
      <c r="AIE1250"/>
      <c r="AIF1250"/>
      <c r="AIG1250"/>
      <c r="AIH1250"/>
      <c r="AII1250"/>
      <c r="AIJ1250"/>
      <c r="AIK1250"/>
      <c r="AIL1250"/>
      <c r="AIM1250"/>
      <c r="AIN1250"/>
      <c r="AIO1250"/>
      <c r="AIP1250"/>
      <c r="AIQ1250"/>
      <c r="AIR1250"/>
      <c r="AIS1250"/>
      <c r="AIT1250"/>
      <c r="AIU1250"/>
      <c r="AIV1250"/>
      <c r="AIW1250"/>
      <c r="AIX1250"/>
      <c r="AIY1250"/>
      <c r="AIZ1250"/>
      <c r="AJA1250"/>
      <c r="AJB1250"/>
      <c r="AJC1250"/>
      <c r="AJD1250"/>
      <c r="AJE1250"/>
      <c r="AJF1250"/>
      <c r="AJG1250"/>
      <c r="AJH1250"/>
      <c r="AJI1250"/>
      <c r="AJJ1250"/>
      <c r="AJK1250"/>
      <c r="AJL1250"/>
      <c r="AJM1250"/>
      <c r="AJN1250"/>
      <c r="AJO1250"/>
      <c r="AJP1250"/>
      <c r="AJQ1250"/>
      <c r="AJR1250"/>
      <c r="AJS1250"/>
      <c r="AJT1250"/>
      <c r="AJU1250"/>
      <c r="AJV1250"/>
      <c r="AJW1250"/>
      <c r="AJX1250"/>
      <c r="AJY1250"/>
      <c r="AJZ1250"/>
      <c r="AKA1250"/>
      <c r="AKB1250"/>
      <c r="AKC1250"/>
      <c r="AKD1250"/>
      <c r="AKE1250"/>
      <c r="AKF1250"/>
      <c r="AKG1250"/>
      <c r="AKH1250"/>
      <c r="AKI1250"/>
      <c r="AKJ1250"/>
      <c r="AKK1250"/>
      <c r="AKL1250"/>
      <c r="AKM1250"/>
      <c r="AKN1250"/>
      <c r="AKO1250"/>
      <c r="AKP1250"/>
      <c r="AKQ1250"/>
      <c r="AKR1250"/>
      <c r="AKS1250"/>
      <c r="AKT1250"/>
      <c r="AKU1250"/>
      <c r="AKV1250"/>
      <c r="AKW1250"/>
      <c r="AKX1250"/>
      <c r="AKY1250"/>
      <c r="AKZ1250"/>
      <c r="ALA1250"/>
      <c r="ALB1250"/>
      <c r="ALC1250"/>
      <c r="ALD1250"/>
      <c r="ALE1250"/>
      <c r="ALF1250"/>
      <c r="ALG1250"/>
      <c r="ALH1250"/>
      <c r="ALI1250"/>
      <c r="ALJ1250"/>
      <c r="ALK1250"/>
      <c r="ALL1250"/>
      <c r="ALM1250"/>
      <c r="ALN1250"/>
      <c r="ALO1250"/>
      <c r="ALP1250"/>
      <c r="ALQ1250"/>
      <c r="ALR1250"/>
      <c r="ALS1250"/>
      <c r="ALT1250"/>
    </row>
    <row r="1251" spans="1:1008" ht="14">
      <c r="A1251" s="27" t="s">
        <v>3916</v>
      </c>
      <c r="B1251" s="25" t="s">
        <v>3985</v>
      </c>
      <c r="C1251" s="27" t="s">
        <v>3916</v>
      </c>
      <c r="D1251" s="24" t="s">
        <v>12</v>
      </c>
      <c r="E1251" s="27" t="s">
        <v>3916</v>
      </c>
      <c r="F1251" s="27" t="s">
        <v>3917</v>
      </c>
      <c r="G1251" s="27">
        <v>500</v>
      </c>
      <c r="H1251" s="27"/>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c r="AT1251"/>
      <c r="AU1251"/>
      <c r="AV1251"/>
      <c r="AW1251"/>
      <c r="AX1251"/>
      <c r="AY1251"/>
      <c r="AZ1251"/>
      <c r="BA1251"/>
      <c r="BB1251"/>
      <c r="BC1251"/>
      <c r="BD1251"/>
      <c r="BE1251"/>
      <c r="BF1251"/>
      <c r="BG1251"/>
      <c r="BH1251"/>
      <c r="BI1251"/>
      <c r="BJ1251"/>
      <c r="BK1251"/>
      <c r="BL1251"/>
      <c r="BM1251"/>
      <c r="BN1251"/>
      <c r="BO1251"/>
      <c r="BP1251"/>
      <c r="BQ1251"/>
      <c r="BR1251"/>
      <c r="BS1251"/>
      <c r="BT1251"/>
      <c r="BU1251"/>
      <c r="BV1251"/>
      <c r="BW1251"/>
      <c r="BX1251"/>
      <c r="BY1251"/>
      <c r="BZ1251"/>
      <c r="CA1251"/>
      <c r="CB1251"/>
      <c r="CC1251"/>
      <c r="CD1251"/>
      <c r="CE1251"/>
      <c r="CF1251"/>
      <c r="CG1251"/>
      <c r="CH1251"/>
      <c r="CI1251"/>
      <c r="CJ1251"/>
      <c r="CK1251"/>
      <c r="CL1251"/>
      <c r="CM1251"/>
      <c r="CN1251"/>
      <c r="CO1251"/>
      <c r="CP1251"/>
      <c r="CQ1251"/>
      <c r="CR1251"/>
      <c r="CS1251"/>
      <c r="CT1251"/>
      <c r="CU1251"/>
      <c r="CV1251"/>
      <c r="CW1251"/>
      <c r="CX1251"/>
      <c r="CY1251"/>
      <c r="CZ1251"/>
      <c r="DA1251"/>
      <c r="DB1251"/>
      <c r="DC1251"/>
      <c r="DD1251"/>
      <c r="DE1251"/>
      <c r="DF1251"/>
      <c r="DG1251"/>
      <c r="DH1251"/>
      <c r="DI1251"/>
      <c r="DJ1251"/>
      <c r="DK1251"/>
      <c r="DL1251"/>
      <c r="DM1251"/>
      <c r="DN1251"/>
      <c r="DO1251"/>
      <c r="DP1251"/>
      <c r="DQ1251"/>
      <c r="DR1251"/>
      <c r="DS1251"/>
      <c r="DT1251"/>
      <c r="DU1251"/>
      <c r="DV1251"/>
      <c r="DW1251"/>
      <c r="DX1251"/>
      <c r="DY1251"/>
      <c r="DZ1251"/>
      <c r="EA1251"/>
      <c r="EB1251"/>
      <c r="EC1251"/>
      <c r="ED1251"/>
      <c r="EE1251"/>
      <c r="EF1251"/>
      <c r="EG1251"/>
      <c r="EH1251"/>
      <c r="EI1251"/>
      <c r="EJ1251"/>
      <c r="EK1251"/>
      <c r="EL1251"/>
      <c r="EM1251"/>
      <c r="EN1251"/>
      <c r="EO1251"/>
      <c r="EP1251"/>
      <c r="EQ1251"/>
      <c r="ER1251"/>
      <c r="ES1251"/>
      <c r="ET1251"/>
      <c r="EU1251"/>
      <c r="EV1251"/>
      <c r="EW1251"/>
      <c r="EX1251"/>
      <c r="EY1251"/>
      <c r="EZ1251"/>
      <c r="FA1251"/>
      <c r="FB1251"/>
      <c r="FC1251"/>
      <c r="FD1251"/>
      <c r="FE1251"/>
      <c r="FF1251"/>
      <c r="FG1251"/>
      <c r="FH1251"/>
      <c r="FI1251"/>
      <c r="FJ1251"/>
      <c r="FK1251"/>
      <c r="FL1251"/>
      <c r="FM1251"/>
      <c r="FN1251"/>
      <c r="FO1251"/>
      <c r="FP1251"/>
      <c r="FQ1251"/>
      <c r="FR1251"/>
      <c r="FS1251"/>
      <c r="FT1251"/>
      <c r="FU1251"/>
      <c r="FV1251"/>
      <c r="FW1251"/>
      <c r="FX1251"/>
      <c r="FY1251"/>
      <c r="FZ1251"/>
      <c r="GA1251"/>
      <c r="GB1251"/>
      <c r="GC1251"/>
      <c r="GD1251"/>
      <c r="GE1251"/>
      <c r="GF1251"/>
      <c r="GG1251"/>
      <c r="GH1251"/>
      <c r="GI1251"/>
      <c r="GJ1251"/>
      <c r="GK1251"/>
      <c r="GL1251"/>
      <c r="GM1251"/>
      <c r="GN1251"/>
      <c r="GO1251"/>
      <c r="GP1251"/>
      <c r="GQ1251"/>
      <c r="GR1251"/>
      <c r="GS1251"/>
      <c r="GT1251"/>
      <c r="GU1251"/>
      <c r="GV1251"/>
      <c r="GW1251"/>
      <c r="GX1251"/>
      <c r="GY1251"/>
      <c r="GZ1251"/>
      <c r="HA1251"/>
      <c r="HB1251"/>
      <c r="HC1251"/>
      <c r="HD1251"/>
      <c r="HE1251"/>
      <c r="HF1251"/>
      <c r="HG1251"/>
      <c r="HH1251"/>
      <c r="HI1251"/>
      <c r="HJ1251"/>
      <c r="HK1251"/>
      <c r="HL1251"/>
      <c r="HM1251"/>
      <c r="HN1251"/>
      <c r="HO1251"/>
      <c r="HP1251"/>
      <c r="HQ1251"/>
      <c r="HR1251"/>
      <c r="HS1251"/>
      <c r="HT1251"/>
      <c r="HU1251"/>
      <c r="HV1251"/>
      <c r="HW1251"/>
      <c r="HX1251"/>
      <c r="HY1251"/>
      <c r="HZ1251"/>
      <c r="IA1251"/>
      <c r="IB1251"/>
      <c r="IC1251"/>
      <c r="ID1251"/>
      <c r="IE1251"/>
      <c r="IF1251"/>
      <c r="IG1251"/>
      <c r="IH1251"/>
      <c r="II1251"/>
      <c r="IJ1251"/>
      <c r="IK1251"/>
      <c r="IL1251"/>
      <c r="IM1251"/>
      <c r="IN1251"/>
      <c r="IO1251"/>
      <c r="IP1251"/>
      <c r="IQ1251"/>
      <c r="IR1251"/>
      <c r="IS1251"/>
      <c r="IT1251"/>
      <c r="IU1251"/>
      <c r="IV1251"/>
      <c r="IW1251"/>
      <c r="IX1251"/>
      <c r="IY1251"/>
      <c r="IZ1251"/>
      <c r="JA1251"/>
      <c r="JB1251"/>
      <c r="JC1251"/>
      <c r="JD1251"/>
      <c r="JE1251"/>
      <c r="JF1251"/>
      <c r="JG1251"/>
      <c r="JH1251"/>
      <c r="JI1251"/>
      <c r="JJ1251"/>
      <c r="JK1251"/>
      <c r="JL1251"/>
      <c r="JM1251"/>
      <c r="JN1251"/>
      <c r="JO1251"/>
      <c r="JP1251"/>
      <c r="JQ1251"/>
      <c r="JR1251"/>
      <c r="JS1251"/>
      <c r="JT1251"/>
      <c r="JU1251"/>
      <c r="JV1251"/>
      <c r="JW1251"/>
      <c r="JX1251"/>
      <c r="JY1251"/>
      <c r="JZ1251"/>
      <c r="KA1251"/>
      <c r="KB1251"/>
      <c r="KC1251"/>
      <c r="KD1251"/>
      <c r="KE1251"/>
      <c r="KF1251"/>
      <c r="KG1251"/>
      <c r="KH1251"/>
      <c r="KI1251"/>
      <c r="KJ1251"/>
      <c r="KK1251"/>
      <c r="KL1251"/>
      <c r="KM1251"/>
      <c r="KN1251"/>
      <c r="KO1251"/>
      <c r="KP1251"/>
      <c r="KQ1251"/>
      <c r="KR1251"/>
      <c r="KS1251"/>
      <c r="KT1251"/>
      <c r="KU1251"/>
      <c r="KV1251"/>
      <c r="KW1251"/>
      <c r="KX1251"/>
      <c r="KY1251"/>
      <c r="KZ1251"/>
      <c r="LA1251"/>
      <c r="LB1251"/>
      <c r="LC1251"/>
      <c r="LD1251"/>
      <c r="LE1251"/>
      <c r="LF1251"/>
      <c r="LG1251"/>
      <c r="LH1251"/>
      <c r="LI1251"/>
      <c r="LJ1251"/>
      <c r="LK1251"/>
      <c r="LL1251"/>
      <c r="LM1251"/>
      <c r="LN1251"/>
      <c r="LO1251"/>
      <c r="LP1251"/>
      <c r="LQ1251"/>
      <c r="LR1251"/>
      <c r="LS1251"/>
      <c r="LT1251"/>
      <c r="LU1251"/>
      <c r="LV1251"/>
      <c r="LW1251"/>
      <c r="LX1251"/>
      <c r="LY1251"/>
      <c r="LZ1251"/>
      <c r="MA1251"/>
      <c r="MB1251"/>
      <c r="MC1251"/>
      <c r="MD1251"/>
      <c r="ME1251"/>
      <c r="MF1251"/>
      <c r="MG1251"/>
      <c r="MH1251"/>
      <c r="MI1251"/>
      <c r="MJ1251"/>
      <c r="MK1251"/>
      <c r="ML1251"/>
      <c r="MM1251"/>
      <c r="MN1251"/>
      <c r="MO1251"/>
      <c r="MP1251"/>
      <c r="MQ1251"/>
      <c r="MR1251"/>
      <c r="MS1251"/>
      <c r="MT1251"/>
      <c r="MU1251"/>
      <c r="MV1251"/>
      <c r="MW1251"/>
      <c r="MX1251"/>
      <c r="MY1251"/>
      <c r="MZ1251"/>
      <c r="NA1251"/>
      <c r="NB1251"/>
      <c r="NC1251"/>
      <c r="ND1251"/>
      <c r="NE1251"/>
      <c r="NF1251"/>
      <c r="NG1251"/>
      <c r="NH1251"/>
      <c r="NI1251"/>
      <c r="NJ1251"/>
      <c r="NK1251"/>
      <c r="NL1251"/>
      <c r="NM1251"/>
      <c r="NN1251"/>
      <c r="NO1251"/>
      <c r="NP1251"/>
      <c r="NQ1251"/>
      <c r="NR1251"/>
      <c r="NS1251"/>
      <c r="NT1251"/>
      <c r="NU1251"/>
      <c r="NV1251"/>
      <c r="NW1251"/>
      <c r="NX1251"/>
      <c r="NY1251"/>
      <c r="NZ1251"/>
      <c r="OA1251"/>
      <c r="OB1251"/>
      <c r="OC1251"/>
      <c r="OD1251"/>
      <c r="OE1251"/>
      <c r="OF1251"/>
      <c r="OG1251"/>
      <c r="OH1251"/>
      <c r="OI1251"/>
      <c r="OJ1251"/>
      <c r="OK1251"/>
      <c r="OL1251"/>
      <c r="OM1251"/>
      <c r="ON1251"/>
      <c r="OO1251"/>
      <c r="OP1251"/>
      <c r="OQ1251"/>
      <c r="OR1251"/>
      <c r="OS1251"/>
      <c r="OT1251"/>
      <c r="OU1251"/>
      <c r="OV1251"/>
      <c r="OW1251"/>
      <c r="OX1251"/>
      <c r="OY1251"/>
      <c r="OZ1251"/>
      <c r="PA1251"/>
      <c r="PB1251"/>
      <c r="PC1251"/>
      <c r="PD1251"/>
      <c r="PE1251"/>
      <c r="PF1251"/>
      <c r="PG1251"/>
      <c r="PH1251"/>
      <c r="PI1251"/>
      <c r="PJ1251"/>
      <c r="PK1251"/>
      <c r="PL1251"/>
      <c r="PM1251"/>
      <c r="PN1251"/>
      <c r="PO1251"/>
      <c r="PP1251"/>
      <c r="PQ1251"/>
      <c r="PR1251"/>
      <c r="PS1251"/>
      <c r="PT1251"/>
      <c r="PU1251"/>
      <c r="PV1251"/>
      <c r="PW1251"/>
      <c r="PX1251"/>
      <c r="PY1251"/>
      <c r="PZ1251"/>
      <c r="QA1251"/>
      <c r="QB1251"/>
      <c r="QC1251"/>
      <c r="QD1251"/>
      <c r="QE1251"/>
      <c r="QF1251"/>
      <c r="QG1251"/>
      <c r="QH1251"/>
      <c r="QI1251"/>
      <c r="QJ1251"/>
      <c r="QK1251"/>
      <c r="QL1251"/>
      <c r="QM1251"/>
      <c r="QN1251"/>
      <c r="QO1251"/>
      <c r="QP1251"/>
      <c r="QQ1251"/>
      <c r="QR1251"/>
      <c r="QS1251"/>
      <c r="QT1251"/>
      <c r="QU1251"/>
      <c r="QV1251"/>
      <c r="QW1251"/>
      <c r="QX1251"/>
      <c r="QY1251"/>
      <c r="QZ1251"/>
      <c r="RA1251"/>
      <c r="RB1251"/>
      <c r="RC1251"/>
      <c r="RD1251"/>
      <c r="RE1251"/>
      <c r="RF1251"/>
      <c r="RG1251"/>
      <c r="RH1251"/>
      <c r="RI1251"/>
      <c r="RJ1251"/>
      <c r="RK1251"/>
      <c r="RL1251"/>
      <c r="RM1251"/>
      <c r="RN1251"/>
      <c r="RO1251"/>
      <c r="RP1251"/>
      <c r="RQ1251"/>
      <c r="RR1251"/>
      <c r="RS1251"/>
      <c r="RT1251"/>
      <c r="RU1251"/>
      <c r="RV1251"/>
      <c r="RW1251"/>
      <c r="RX1251"/>
      <c r="RY1251"/>
      <c r="RZ1251"/>
      <c r="SA1251"/>
      <c r="SB1251"/>
      <c r="SC1251"/>
      <c r="SD1251"/>
      <c r="SE1251"/>
      <c r="SF1251"/>
      <c r="SG1251"/>
      <c r="SH1251"/>
      <c r="SI1251"/>
      <c r="SJ1251"/>
      <c r="SK1251"/>
      <c r="SL1251"/>
      <c r="SM1251"/>
      <c r="SN1251"/>
      <c r="SO1251"/>
      <c r="SP1251"/>
      <c r="SQ1251"/>
      <c r="SR1251"/>
      <c r="SS1251"/>
      <c r="ST1251"/>
      <c r="SU1251"/>
      <c r="SV1251"/>
      <c r="SW1251"/>
      <c r="SX1251"/>
      <c r="SY1251"/>
      <c r="SZ1251"/>
      <c r="TA1251"/>
      <c r="TB1251"/>
      <c r="TC1251"/>
      <c r="TD1251"/>
      <c r="TE1251"/>
      <c r="TF1251"/>
      <c r="TG1251"/>
      <c r="TH1251"/>
      <c r="TI1251"/>
      <c r="TJ1251"/>
      <c r="TK1251"/>
      <c r="TL1251"/>
      <c r="TM1251"/>
      <c r="TN1251"/>
      <c r="TO1251"/>
      <c r="TP1251"/>
      <c r="TQ1251"/>
      <c r="TR1251"/>
      <c r="TS1251"/>
      <c r="TT1251"/>
      <c r="TU1251"/>
      <c r="TV1251"/>
      <c r="TW1251"/>
      <c r="TX1251"/>
      <c r="TY1251"/>
      <c r="TZ1251"/>
      <c r="UA1251"/>
      <c r="UB1251"/>
      <c r="UC1251"/>
      <c r="UD1251"/>
      <c r="UE1251"/>
      <c r="UF1251"/>
      <c r="UG1251"/>
      <c r="UH1251"/>
      <c r="UI1251"/>
      <c r="UJ1251"/>
      <c r="UK1251"/>
      <c r="UL1251"/>
      <c r="UM1251"/>
      <c r="UN1251"/>
      <c r="UO1251"/>
      <c r="UP1251"/>
      <c r="UQ1251"/>
      <c r="UR1251"/>
      <c r="US1251"/>
      <c r="UT1251"/>
      <c r="UU1251"/>
      <c r="UV1251"/>
      <c r="UW1251"/>
      <c r="UX1251"/>
      <c r="UY1251"/>
      <c r="UZ1251"/>
      <c r="VA1251"/>
      <c r="VB1251"/>
      <c r="VC1251"/>
      <c r="VD1251"/>
      <c r="VE1251"/>
      <c r="VF1251"/>
      <c r="VG1251"/>
      <c r="VH1251"/>
      <c r="VI1251"/>
      <c r="VJ1251"/>
      <c r="VK1251"/>
      <c r="VL1251"/>
      <c r="VM1251"/>
      <c r="VN1251"/>
      <c r="VO1251"/>
      <c r="VP1251"/>
      <c r="VQ1251"/>
      <c r="VR1251"/>
      <c r="VS1251"/>
      <c r="VT1251"/>
      <c r="VU1251"/>
      <c r="VV1251"/>
      <c r="VW1251"/>
      <c r="VX1251"/>
      <c r="VY1251"/>
      <c r="VZ1251"/>
      <c r="WA1251"/>
      <c r="WB1251"/>
      <c r="WC1251"/>
      <c r="WD1251"/>
      <c r="WE1251"/>
      <c r="WF1251"/>
      <c r="WG1251"/>
      <c r="WH1251"/>
      <c r="WI1251"/>
      <c r="WJ1251"/>
      <c r="WK1251"/>
      <c r="WL1251"/>
      <c r="WM1251"/>
      <c r="WN1251"/>
      <c r="WO1251"/>
      <c r="WP1251"/>
      <c r="WQ1251"/>
      <c r="WR1251"/>
      <c r="WS1251"/>
      <c r="WT1251"/>
      <c r="WU1251"/>
      <c r="WV1251"/>
      <c r="WW1251"/>
      <c r="WX1251"/>
      <c r="WY1251"/>
      <c r="WZ1251"/>
      <c r="XA1251"/>
      <c r="XB1251"/>
      <c r="XC1251"/>
      <c r="XD1251"/>
      <c r="XE1251"/>
      <c r="XF1251"/>
      <c r="XG1251"/>
      <c r="XH1251"/>
      <c r="XI1251"/>
      <c r="XJ1251"/>
      <c r="XK1251"/>
      <c r="XL1251"/>
      <c r="XM1251"/>
      <c r="XN1251"/>
      <c r="XO1251"/>
      <c r="XP1251"/>
      <c r="XQ1251"/>
      <c r="XR1251"/>
      <c r="XS1251"/>
      <c r="XT1251"/>
      <c r="XU1251"/>
      <c r="XV1251"/>
      <c r="XW1251"/>
      <c r="XX1251"/>
      <c r="XY1251"/>
      <c r="XZ1251"/>
      <c r="YA1251"/>
      <c r="YB1251"/>
      <c r="YC1251"/>
      <c r="YD1251"/>
      <c r="YE1251"/>
      <c r="YF1251"/>
      <c r="YG1251"/>
      <c r="YH1251"/>
      <c r="YI1251"/>
      <c r="YJ1251"/>
      <c r="YK1251"/>
      <c r="YL1251"/>
      <c r="YM1251"/>
      <c r="YN1251"/>
      <c r="YO1251"/>
      <c r="YP1251"/>
      <c r="YQ1251"/>
      <c r="YR1251"/>
      <c r="YS1251"/>
      <c r="YT1251"/>
      <c r="YU1251"/>
      <c r="YV1251"/>
      <c r="YW1251"/>
      <c r="YX1251"/>
      <c r="YY1251"/>
      <c r="YZ1251"/>
      <c r="ZA1251"/>
      <c r="ZB1251"/>
      <c r="ZC1251"/>
      <c r="ZD1251"/>
      <c r="ZE1251"/>
      <c r="ZF1251"/>
      <c r="ZG1251"/>
      <c r="ZH1251"/>
      <c r="ZI1251"/>
      <c r="ZJ1251"/>
      <c r="ZK1251"/>
      <c r="ZL1251"/>
      <c r="ZM1251"/>
      <c r="ZN1251"/>
      <c r="ZO1251"/>
      <c r="ZP1251"/>
      <c r="ZQ1251"/>
      <c r="ZR1251"/>
      <c r="ZS1251"/>
      <c r="ZT1251"/>
      <c r="ZU1251"/>
      <c r="ZV1251"/>
      <c r="ZW1251"/>
      <c r="ZX1251"/>
      <c r="ZY1251"/>
      <c r="ZZ1251"/>
      <c r="AAA1251"/>
      <c r="AAB1251"/>
      <c r="AAC1251"/>
      <c r="AAD1251"/>
      <c r="AAE1251"/>
      <c r="AAF1251"/>
      <c r="AAG1251"/>
      <c r="AAH1251"/>
      <c r="AAI1251"/>
      <c r="AAJ1251"/>
      <c r="AAK1251"/>
      <c r="AAL1251"/>
      <c r="AAM1251"/>
      <c r="AAN1251"/>
      <c r="AAO1251"/>
      <c r="AAP1251"/>
      <c r="AAQ1251"/>
      <c r="AAR1251"/>
      <c r="AAS1251"/>
      <c r="AAT1251"/>
      <c r="AAU1251"/>
      <c r="AAV1251"/>
      <c r="AAW1251"/>
      <c r="AAX1251"/>
      <c r="AAY1251"/>
      <c r="AAZ1251"/>
      <c r="ABA1251"/>
      <c r="ABB1251"/>
      <c r="ABC1251"/>
      <c r="ABD1251"/>
      <c r="ABE1251"/>
      <c r="ABF1251"/>
      <c r="ABG1251"/>
      <c r="ABH1251"/>
      <c r="ABI1251"/>
      <c r="ABJ1251"/>
      <c r="ABK1251"/>
      <c r="ABL1251"/>
      <c r="ABM1251"/>
      <c r="ABN1251"/>
      <c r="ABO1251"/>
      <c r="ABP1251"/>
      <c r="ABQ1251"/>
      <c r="ABR1251"/>
      <c r="ABS1251"/>
      <c r="ABT1251"/>
      <c r="ABU1251"/>
      <c r="ABV1251"/>
      <c r="ABW1251"/>
      <c r="ABX1251"/>
      <c r="ABY1251"/>
      <c r="ABZ1251"/>
      <c r="ACA1251"/>
      <c r="ACB1251"/>
      <c r="ACC1251"/>
      <c r="ACD1251"/>
      <c r="ACE1251"/>
      <c r="ACF1251"/>
      <c r="ACG1251"/>
      <c r="ACH1251"/>
      <c r="ACI1251"/>
      <c r="ACJ1251"/>
      <c r="ACK1251"/>
      <c r="ACL1251"/>
      <c r="ACM1251"/>
      <c r="ACN1251"/>
      <c r="ACO1251"/>
      <c r="ACP1251"/>
      <c r="ACQ1251"/>
      <c r="ACR1251"/>
      <c r="ACS1251"/>
      <c r="ACT1251"/>
      <c r="ACU1251"/>
      <c r="ACV1251"/>
      <c r="ACW1251"/>
      <c r="ACX1251"/>
      <c r="ACY1251"/>
      <c r="ACZ1251"/>
      <c r="ADA1251"/>
      <c r="ADB1251"/>
      <c r="ADC1251"/>
      <c r="ADD1251"/>
      <c r="ADE1251"/>
      <c r="ADF1251"/>
      <c r="ADG1251"/>
      <c r="ADH1251"/>
      <c r="ADI1251"/>
      <c r="ADJ1251"/>
      <c r="ADK1251"/>
      <c r="ADL1251"/>
      <c r="ADM1251"/>
      <c r="ADN1251"/>
      <c r="ADO1251"/>
      <c r="ADP1251"/>
      <c r="ADQ1251"/>
      <c r="ADR1251"/>
      <c r="ADS1251"/>
      <c r="ADT1251"/>
      <c r="ADU1251"/>
      <c r="ADV1251"/>
      <c r="ADW1251"/>
      <c r="ADX1251"/>
      <c r="ADY1251"/>
      <c r="ADZ1251"/>
      <c r="AEA1251"/>
      <c r="AEB1251"/>
      <c r="AEC1251"/>
      <c r="AED1251"/>
      <c r="AEE1251"/>
      <c r="AEF1251"/>
      <c r="AEG1251"/>
      <c r="AEH1251"/>
      <c r="AEI1251"/>
      <c r="AEJ1251"/>
      <c r="AEK1251"/>
      <c r="AEL1251"/>
      <c r="AEM1251"/>
      <c r="AEN1251"/>
      <c r="AEO1251"/>
      <c r="AEP1251"/>
      <c r="AEQ1251"/>
      <c r="AER1251"/>
      <c r="AES1251"/>
      <c r="AET1251"/>
      <c r="AEU1251"/>
      <c r="AEV1251"/>
      <c r="AEW1251"/>
      <c r="AEX1251"/>
      <c r="AEY1251"/>
      <c r="AEZ1251"/>
      <c r="AFA1251"/>
      <c r="AFB1251"/>
      <c r="AFC1251"/>
      <c r="AFD1251"/>
      <c r="AFE1251"/>
      <c r="AFF1251"/>
      <c r="AFG1251"/>
      <c r="AFH1251"/>
      <c r="AFI1251"/>
      <c r="AFJ1251"/>
      <c r="AFK1251"/>
      <c r="AFL1251"/>
      <c r="AFM1251"/>
      <c r="AFN1251"/>
      <c r="AFO1251"/>
      <c r="AFP1251"/>
      <c r="AFQ1251"/>
      <c r="AFR1251"/>
      <c r="AFS1251"/>
      <c r="AFT1251"/>
      <c r="AFU1251"/>
      <c r="AFV1251"/>
      <c r="AFW1251"/>
      <c r="AFX1251"/>
      <c r="AFY1251"/>
      <c r="AFZ1251"/>
      <c r="AGA1251"/>
      <c r="AGB1251"/>
      <c r="AGC1251"/>
      <c r="AGD1251"/>
      <c r="AGE1251"/>
      <c r="AGF1251"/>
      <c r="AGG1251"/>
      <c r="AGH1251"/>
      <c r="AGI1251"/>
      <c r="AGJ1251"/>
      <c r="AGK1251"/>
      <c r="AGL1251"/>
      <c r="AGM1251"/>
      <c r="AGN1251"/>
      <c r="AGO1251"/>
      <c r="AGP1251"/>
      <c r="AGQ1251"/>
      <c r="AGR1251"/>
      <c r="AGS1251"/>
      <c r="AGT1251"/>
      <c r="AGU1251"/>
      <c r="AGV1251"/>
      <c r="AGW1251"/>
      <c r="AGX1251"/>
      <c r="AGY1251"/>
      <c r="AGZ1251"/>
      <c r="AHA1251"/>
      <c r="AHB1251"/>
      <c r="AHC1251"/>
      <c r="AHD1251"/>
      <c r="AHE1251"/>
      <c r="AHF1251"/>
      <c r="AHG1251"/>
      <c r="AHH1251"/>
      <c r="AHI1251"/>
      <c r="AHJ1251"/>
      <c r="AHK1251"/>
      <c r="AHL1251"/>
      <c r="AHM1251"/>
      <c r="AHN1251"/>
      <c r="AHO1251"/>
      <c r="AHP1251"/>
      <c r="AHQ1251"/>
      <c r="AHR1251"/>
      <c r="AHS1251"/>
      <c r="AHT1251"/>
      <c r="AHU1251"/>
      <c r="AHV1251"/>
      <c r="AHW1251"/>
      <c r="AHX1251"/>
      <c r="AHY1251"/>
      <c r="AHZ1251"/>
      <c r="AIA1251"/>
      <c r="AIB1251"/>
      <c r="AIC1251"/>
      <c r="AID1251"/>
      <c r="AIE1251"/>
      <c r="AIF1251"/>
      <c r="AIG1251"/>
      <c r="AIH1251"/>
      <c r="AII1251"/>
      <c r="AIJ1251"/>
      <c r="AIK1251"/>
      <c r="AIL1251"/>
      <c r="AIM1251"/>
      <c r="AIN1251"/>
      <c r="AIO1251"/>
      <c r="AIP1251"/>
      <c r="AIQ1251"/>
      <c r="AIR1251"/>
      <c r="AIS1251"/>
      <c r="AIT1251"/>
      <c r="AIU1251"/>
      <c r="AIV1251"/>
      <c r="AIW1251"/>
      <c r="AIX1251"/>
      <c r="AIY1251"/>
      <c r="AIZ1251"/>
      <c r="AJA1251"/>
      <c r="AJB1251"/>
      <c r="AJC1251"/>
      <c r="AJD1251"/>
      <c r="AJE1251"/>
      <c r="AJF1251"/>
      <c r="AJG1251"/>
      <c r="AJH1251"/>
      <c r="AJI1251"/>
      <c r="AJJ1251"/>
      <c r="AJK1251"/>
      <c r="AJL1251"/>
      <c r="AJM1251"/>
      <c r="AJN1251"/>
      <c r="AJO1251"/>
      <c r="AJP1251"/>
      <c r="AJQ1251"/>
      <c r="AJR1251"/>
      <c r="AJS1251"/>
      <c r="AJT1251"/>
      <c r="AJU1251"/>
      <c r="AJV1251"/>
      <c r="AJW1251"/>
      <c r="AJX1251"/>
      <c r="AJY1251"/>
      <c r="AJZ1251"/>
      <c r="AKA1251"/>
      <c r="AKB1251"/>
      <c r="AKC1251"/>
      <c r="AKD1251"/>
      <c r="AKE1251"/>
      <c r="AKF1251"/>
      <c r="AKG1251"/>
      <c r="AKH1251"/>
      <c r="AKI1251"/>
      <c r="AKJ1251"/>
      <c r="AKK1251"/>
      <c r="AKL1251"/>
      <c r="AKM1251"/>
      <c r="AKN1251"/>
      <c r="AKO1251"/>
      <c r="AKP1251"/>
      <c r="AKQ1251"/>
      <c r="AKR1251"/>
      <c r="AKS1251"/>
      <c r="AKT1251"/>
      <c r="AKU1251"/>
      <c r="AKV1251"/>
      <c r="AKW1251"/>
      <c r="AKX1251"/>
      <c r="AKY1251"/>
      <c r="AKZ1251"/>
      <c r="ALA1251"/>
      <c r="ALB1251"/>
      <c r="ALC1251"/>
      <c r="ALD1251"/>
      <c r="ALE1251"/>
      <c r="ALF1251"/>
      <c r="ALG1251"/>
      <c r="ALH1251"/>
      <c r="ALI1251"/>
      <c r="ALJ1251"/>
      <c r="ALK1251"/>
      <c r="ALL1251"/>
      <c r="ALM1251"/>
      <c r="ALN1251"/>
      <c r="ALO1251"/>
      <c r="ALP1251"/>
      <c r="ALQ1251"/>
      <c r="ALR1251"/>
      <c r="ALS1251"/>
      <c r="ALT1251"/>
    </row>
    <row r="1252" spans="1:1008" ht="14">
      <c r="A1252" s="27" t="s">
        <v>3918</v>
      </c>
      <c r="B1252" s="25" t="s">
        <v>3985</v>
      </c>
      <c r="C1252" s="27" t="s">
        <v>3918</v>
      </c>
      <c r="D1252" s="24" t="s">
        <v>12</v>
      </c>
      <c r="E1252" s="27" t="s">
        <v>3918</v>
      </c>
      <c r="F1252" s="27" t="s">
        <v>3919</v>
      </c>
      <c r="G1252" s="27">
        <v>650</v>
      </c>
      <c r="H1252" s="27"/>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c r="AT1252"/>
      <c r="AU1252"/>
      <c r="AV1252"/>
      <c r="AW1252"/>
      <c r="AX1252"/>
      <c r="AY1252"/>
      <c r="AZ1252"/>
      <c r="BA1252"/>
      <c r="BB1252"/>
      <c r="BC1252"/>
      <c r="BD1252"/>
      <c r="BE1252"/>
      <c r="BF1252"/>
      <c r="BG1252"/>
      <c r="BH1252"/>
      <c r="BI1252"/>
      <c r="BJ1252"/>
      <c r="BK1252"/>
      <c r="BL1252"/>
      <c r="BM1252"/>
      <c r="BN1252"/>
      <c r="BO1252"/>
      <c r="BP1252"/>
      <c r="BQ1252"/>
      <c r="BR1252"/>
      <c r="BS1252"/>
      <c r="BT1252"/>
      <c r="BU1252"/>
      <c r="BV1252"/>
      <c r="BW1252"/>
      <c r="BX1252"/>
      <c r="BY1252"/>
      <c r="BZ1252"/>
      <c r="CA1252"/>
      <c r="CB1252"/>
      <c r="CC1252"/>
      <c r="CD1252"/>
      <c r="CE1252"/>
      <c r="CF1252"/>
      <c r="CG1252"/>
      <c r="CH1252"/>
      <c r="CI1252"/>
      <c r="CJ1252"/>
      <c r="CK1252"/>
      <c r="CL1252"/>
      <c r="CM1252"/>
      <c r="CN1252"/>
      <c r="CO1252"/>
      <c r="CP1252"/>
      <c r="CQ1252"/>
      <c r="CR1252"/>
      <c r="CS1252"/>
      <c r="CT1252"/>
      <c r="CU1252"/>
      <c r="CV1252"/>
      <c r="CW1252"/>
      <c r="CX1252"/>
      <c r="CY1252"/>
      <c r="CZ1252"/>
      <c r="DA1252"/>
      <c r="DB1252"/>
      <c r="DC1252"/>
      <c r="DD1252"/>
      <c r="DE1252"/>
      <c r="DF1252"/>
      <c r="DG1252"/>
      <c r="DH1252"/>
      <c r="DI1252"/>
      <c r="DJ1252"/>
      <c r="DK1252"/>
      <c r="DL1252"/>
      <c r="DM1252"/>
      <c r="DN1252"/>
      <c r="DO1252"/>
      <c r="DP1252"/>
      <c r="DQ1252"/>
      <c r="DR1252"/>
      <c r="DS1252"/>
      <c r="DT1252"/>
      <c r="DU1252"/>
      <c r="DV1252"/>
      <c r="DW1252"/>
      <c r="DX1252"/>
      <c r="DY1252"/>
      <c r="DZ1252"/>
      <c r="EA1252"/>
      <c r="EB1252"/>
      <c r="EC1252"/>
      <c r="ED1252"/>
      <c r="EE1252"/>
      <c r="EF1252"/>
      <c r="EG1252"/>
      <c r="EH1252"/>
      <c r="EI1252"/>
      <c r="EJ1252"/>
      <c r="EK1252"/>
      <c r="EL1252"/>
      <c r="EM1252"/>
      <c r="EN1252"/>
      <c r="EO1252"/>
      <c r="EP1252"/>
      <c r="EQ1252"/>
      <c r="ER1252"/>
      <c r="ES1252"/>
      <c r="ET1252"/>
      <c r="EU1252"/>
      <c r="EV1252"/>
      <c r="EW1252"/>
      <c r="EX1252"/>
      <c r="EY1252"/>
      <c r="EZ1252"/>
      <c r="FA1252"/>
      <c r="FB1252"/>
      <c r="FC1252"/>
      <c r="FD1252"/>
      <c r="FE1252"/>
      <c r="FF1252"/>
      <c r="FG1252"/>
      <c r="FH1252"/>
      <c r="FI1252"/>
      <c r="FJ1252"/>
      <c r="FK1252"/>
      <c r="FL1252"/>
      <c r="FM1252"/>
      <c r="FN1252"/>
      <c r="FO1252"/>
      <c r="FP1252"/>
      <c r="FQ1252"/>
      <c r="FR1252"/>
      <c r="FS1252"/>
      <c r="FT1252"/>
      <c r="FU1252"/>
      <c r="FV1252"/>
      <c r="FW1252"/>
      <c r="FX1252"/>
      <c r="FY1252"/>
      <c r="FZ1252"/>
      <c r="GA1252"/>
      <c r="GB1252"/>
      <c r="GC1252"/>
      <c r="GD1252"/>
      <c r="GE1252"/>
      <c r="GF1252"/>
      <c r="GG1252"/>
      <c r="GH1252"/>
      <c r="GI1252"/>
      <c r="GJ1252"/>
      <c r="GK1252"/>
      <c r="GL1252"/>
      <c r="GM1252"/>
      <c r="GN1252"/>
      <c r="GO1252"/>
      <c r="GP1252"/>
      <c r="GQ1252"/>
      <c r="GR1252"/>
      <c r="GS1252"/>
      <c r="GT1252"/>
      <c r="GU1252"/>
      <c r="GV1252"/>
      <c r="GW1252"/>
      <c r="GX1252"/>
      <c r="GY1252"/>
      <c r="GZ1252"/>
      <c r="HA1252"/>
      <c r="HB1252"/>
      <c r="HC1252"/>
      <c r="HD1252"/>
      <c r="HE1252"/>
      <c r="HF1252"/>
      <c r="HG1252"/>
      <c r="HH1252"/>
      <c r="HI1252"/>
      <c r="HJ1252"/>
      <c r="HK1252"/>
      <c r="HL1252"/>
      <c r="HM1252"/>
      <c r="HN1252"/>
      <c r="HO1252"/>
      <c r="HP1252"/>
      <c r="HQ1252"/>
      <c r="HR1252"/>
      <c r="HS1252"/>
      <c r="HT1252"/>
      <c r="HU1252"/>
      <c r="HV1252"/>
      <c r="HW1252"/>
      <c r="HX1252"/>
      <c r="HY1252"/>
      <c r="HZ1252"/>
      <c r="IA1252"/>
      <c r="IB1252"/>
      <c r="IC1252"/>
      <c r="ID1252"/>
      <c r="IE1252"/>
      <c r="IF1252"/>
      <c r="IG1252"/>
      <c r="IH1252"/>
      <c r="II1252"/>
      <c r="IJ1252"/>
      <c r="IK1252"/>
      <c r="IL1252"/>
      <c r="IM1252"/>
      <c r="IN1252"/>
      <c r="IO1252"/>
      <c r="IP1252"/>
      <c r="IQ1252"/>
      <c r="IR1252"/>
      <c r="IS1252"/>
      <c r="IT1252"/>
      <c r="IU1252"/>
      <c r="IV1252"/>
      <c r="IW1252"/>
      <c r="IX1252"/>
      <c r="IY1252"/>
      <c r="IZ1252"/>
      <c r="JA1252"/>
      <c r="JB1252"/>
      <c r="JC1252"/>
      <c r="JD1252"/>
      <c r="JE1252"/>
      <c r="JF1252"/>
      <c r="JG1252"/>
      <c r="JH1252"/>
      <c r="JI1252"/>
      <c r="JJ1252"/>
      <c r="JK1252"/>
      <c r="JL1252"/>
      <c r="JM1252"/>
      <c r="JN1252"/>
      <c r="JO1252"/>
      <c r="JP1252"/>
      <c r="JQ1252"/>
      <c r="JR1252"/>
      <c r="JS1252"/>
      <c r="JT1252"/>
      <c r="JU1252"/>
      <c r="JV1252"/>
      <c r="JW1252"/>
      <c r="JX1252"/>
      <c r="JY1252"/>
      <c r="JZ1252"/>
      <c r="KA1252"/>
      <c r="KB1252"/>
      <c r="KC1252"/>
      <c r="KD1252"/>
      <c r="KE1252"/>
      <c r="KF1252"/>
      <c r="KG1252"/>
      <c r="KH1252"/>
      <c r="KI1252"/>
      <c r="KJ1252"/>
      <c r="KK1252"/>
      <c r="KL1252"/>
      <c r="KM1252"/>
      <c r="KN1252"/>
      <c r="KO1252"/>
      <c r="KP1252"/>
      <c r="KQ1252"/>
      <c r="KR1252"/>
      <c r="KS1252"/>
      <c r="KT1252"/>
      <c r="KU1252"/>
      <c r="KV1252"/>
      <c r="KW1252"/>
      <c r="KX1252"/>
      <c r="KY1252"/>
      <c r="KZ1252"/>
      <c r="LA1252"/>
      <c r="LB1252"/>
      <c r="LC1252"/>
      <c r="LD1252"/>
      <c r="LE1252"/>
      <c r="LF1252"/>
      <c r="LG1252"/>
      <c r="LH1252"/>
      <c r="LI1252"/>
      <c r="LJ1252"/>
      <c r="LK1252"/>
      <c r="LL1252"/>
      <c r="LM1252"/>
      <c r="LN1252"/>
      <c r="LO1252"/>
      <c r="LP1252"/>
      <c r="LQ1252"/>
      <c r="LR1252"/>
      <c r="LS1252"/>
      <c r="LT1252"/>
      <c r="LU1252"/>
      <c r="LV1252"/>
      <c r="LW1252"/>
      <c r="LX1252"/>
      <c r="LY1252"/>
      <c r="LZ1252"/>
      <c r="MA1252"/>
      <c r="MB1252"/>
      <c r="MC1252"/>
      <c r="MD1252"/>
      <c r="ME1252"/>
      <c r="MF1252"/>
      <c r="MG1252"/>
      <c r="MH1252"/>
      <c r="MI1252"/>
      <c r="MJ1252"/>
      <c r="MK1252"/>
      <c r="ML1252"/>
      <c r="MM1252"/>
      <c r="MN1252"/>
      <c r="MO1252"/>
      <c r="MP1252"/>
      <c r="MQ1252"/>
      <c r="MR1252"/>
      <c r="MS1252"/>
      <c r="MT1252"/>
      <c r="MU1252"/>
      <c r="MV1252"/>
      <c r="MW1252"/>
      <c r="MX1252"/>
      <c r="MY1252"/>
      <c r="MZ1252"/>
      <c r="NA1252"/>
      <c r="NB1252"/>
      <c r="NC1252"/>
      <c r="ND1252"/>
      <c r="NE1252"/>
      <c r="NF1252"/>
      <c r="NG1252"/>
      <c r="NH1252"/>
      <c r="NI1252"/>
      <c r="NJ1252"/>
      <c r="NK1252"/>
      <c r="NL1252"/>
      <c r="NM1252"/>
      <c r="NN1252"/>
      <c r="NO1252"/>
      <c r="NP1252"/>
      <c r="NQ1252"/>
      <c r="NR1252"/>
      <c r="NS1252"/>
      <c r="NT1252"/>
      <c r="NU1252"/>
      <c r="NV1252"/>
      <c r="NW1252"/>
      <c r="NX1252"/>
      <c r="NY1252"/>
      <c r="NZ1252"/>
      <c r="OA1252"/>
      <c r="OB1252"/>
      <c r="OC1252"/>
      <c r="OD1252"/>
      <c r="OE1252"/>
      <c r="OF1252"/>
      <c r="OG1252"/>
      <c r="OH1252"/>
      <c r="OI1252"/>
      <c r="OJ1252"/>
      <c r="OK1252"/>
      <c r="OL1252"/>
      <c r="OM1252"/>
      <c r="ON1252"/>
      <c r="OO1252"/>
      <c r="OP1252"/>
      <c r="OQ1252"/>
      <c r="OR1252"/>
      <c r="OS1252"/>
      <c r="OT1252"/>
      <c r="OU1252"/>
      <c r="OV1252"/>
      <c r="OW1252"/>
      <c r="OX1252"/>
      <c r="OY1252"/>
      <c r="OZ1252"/>
      <c r="PA1252"/>
      <c r="PB1252"/>
      <c r="PC1252"/>
      <c r="PD1252"/>
      <c r="PE1252"/>
      <c r="PF1252"/>
      <c r="PG1252"/>
      <c r="PH1252"/>
      <c r="PI1252"/>
      <c r="PJ1252"/>
      <c r="PK1252"/>
      <c r="PL1252"/>
      <c r="PM1252"/>
      <c r="PN1252"/>
      <c r="PO1252"/>
      <c r="PP1252"/>
      <c r="PQ1252"/>
      <c r="PR1252"/>
      <c r="PS1252"/>
      <c r="PT1252"/>
      <c r="PU1252"/>
      <c r="PV1252"/>
      <c r="PW1252"/>
      <c r="PX1252"/>
      <c r="PY1252"/>
      <c r="PZ1252"/>
      <c r="QA1252"/>
      <c r="QB1252"/>
      <c r="QC1252"/>
      <c r="QD1252"/>
      <c r="QE1252"/>
      <c r="QF1252"/>
      <c r="QG1252"/>
      <c r="QH1252"/>
      <c r="QI1252"/>
      <c r="QJ1252"/>
      <c r="QK1252"/>
      <c r="QL1252"/>
      <c r="QM1252"/>
      <c r="QN1252"/>
      <c r="QO1252"/>
      <c r="QP1252"/>
      <c r="QQ1252"/>
      <c r="QR1252"/>
      <c r="QS1252"/>
      <c r="QT1252"/>
      <c r="QU1252"/>
      <c r="QV1252"/>
      <c r="QW1252"/>
      <c r="QX1252"/>
      <c r="QY1252"/>
      <c r="QZ1252"/>
      <c r="RA1252"/>
      <c r="RB1252"/>
      <c r="RC1252"/>
      <c r="RD1252"/>
      <c r="RE1252"/>
      <c r="RF1252"/>
      <c r="RG1252"/>
      <c r="RH1252"/>
      <c r="RI1252"/>
      <c r="RJ1252"/>
      <c r="RK1252"/>
      <c r="RL1252"/>
      <c r="RM1252"/>
      <c r="RN1252"/>
      <c r="RO1252"/>
      <c r="RP1252"/>
      <c r="RQ1252"/>
      <c r="RR1252"/>
      <c r="RS1252"/>
      <c r="RT1252"/>
      <c r="RU1252"/>
      <c r="RV1252"/>
      <c r="RW1252"/>
      <c r="RX1252"/>
      <c r="RY1252"/>
      <c r="RZ1252"/>
      <c r="SA1252"/>
      <c r="SB1252"/>
      <c r="SC1252"/>
      <c r="SD1252"/>
      <c r="SE1252"/>
      <c r="SF1252"/>
      <c r="SG1252"/>
      <c r="SH1252"/>
      <c r="SI1252"/>
      <c r="SJ1252"/>
      <c r="SK1252"/>
      <c r="SL1252"/>
      <c r="SM1252"/>
      <c r="SN1252"/>
      <c r="SO1252"/>
      <c r="SP1252"/>
      <c r="SQ1252"/>
      <c r="SR1252"/>
      <c r="SS1252"/>
      <c r="ST1252"/>
      <c r="SU1252"/>
      <c r="SV1252"/>
      <c r="SW1252"/>
      <c r="SX1252"/>
      <c r="SY1252"/>
      <c r="SZ1252"/>
      <c r="TA1252"/>
      <c r="TB1252"/>
      <c r="TC1252"/>
      <c r="TD1252"/>
      <c r="TE1252"/>
      <c r="TF1252"/>
      <c r="TG1252"/>
      <c r="TH1252"/>
      <c r="TI1252"/>
      <c r="TJ1252"/>
      <c r="TK1252"/>
      <c r="TL1252"/>
      <c r="TM1252"/>
      <c r="TN1252"/>
      <c r="TO1252"/>
      <c r="TP1252"/>
      <c r="TQ1252"/>
      <c r="TR1252"/>
      <c r="TS1252"/>
      <c r="TT1252"/>
      <c r="TU1252"/>
      <c r="TV1252"/>
      <c r="TW1252"/>
      <c r="TX1252"/>
      <c r="TY1252"/>
      <c r="TZ1252"/>
      <c r="UA1252"/>
      <c r="UB1252"/>
      <c r="UC1252"/>
      <c r="UD1252"/>
      <c r="UE1252"/>
      <c r="UF1252"/>
      <c r="UG1252"/>
      <c r="UH1252"/>
      <c r="UI1252"/>
      <c r="UJ1252"/>
      <c r="UK1252"/>
      <c r="UL1252"/>
      <c r="UM1252"/>
      <c r="UN1252"/>
      <c r="UO1252"/>
      <c r="UP1252"/>
      <c r="UQ1252"/>
      <c r="UR1252"/>
      <c r="US1252"/>
      <c r="UT1252"/>
      <c r="UU1252"/>
      <c r="UV1252"/>
      <c r="UW1252"/>
      <c r="UX1252"/>
      <c r="UY1252"/>
      <c r="UZ1252"/>
      <c r="VA1252"/>
      <c r="VB1252"/>
      <c r="VC1252"/>
      <c r="VD1252"/>
      <c r="VE1252"/>
      <c r="VF1252"/>
      <c r="VG1252"/>
      <c r="VH1252"/>
      <c r="VI1252"/>
      <c r="VJ1252"/>
      <c r="VK1252"/>
      <c r="VL1252"/>
      <c r="VM1252"/>
      <c r="VN1252"/>
      <c r="VO1252"/>
      <c r="VP1252"/>
      <c r="VQ1252"/>
      <c r="VR1252"/>
      <c r="VS1252"/>
      <c r="VT1252"/>
      <c r="VU1252"/>
      <c r="VV1252"/>
      <c r="VW1252"/>
      <c r="VX1252"/>
      <c r="VY1252"/>
      <c r="VZ1252"/>
      <c r="WA1252"/>
      <c r="WB1252"/>
      <c r="WC1252"/>
      <c r="WD1252"/>
      <c r="WE1252"/>
      <c r="WF1252"/>
      <c r="WG1252"/>
      <c r="WH1252"/>
      <c r="WI1252"/>
      <c r="WJ1252"/>
      <c r="WK1252"/>
      <c r="WL1252"/>
      <c r="WM1252"/>
      <c r="WN1252"/>
      <c r="WO1252"/>
      <c r="WP1252"/>
      <c r="WQ1252"/>
      <c r="WR1252"/>
      <c r="WS1252"/>
      <c r="WT1252"/>
      <c r="WU1252"/>
      <c r="WV1252"/>
      <c r="WW1252"/>
      <c r="WX1252"/>
      <c r="WY1252"/>
      <c r="WZ1252"/>
      <c r="XA1252"/>
      <c r="XB1252"/>
      <c r="XC1252"/>
      <c r="XD1252"/>
      <c r="XE1252"/>
      <c r="XF1252"/>
      <c r="XG1252"/>
      <c r="XH1252"/>
      <c r="XI1252"/>
      <c r="XJ1252"/>
      <c r="XK1252"/>
      <c r="XL1252"/>
      <c r="XM1252"/>
      <c r="XN1252"/>
      <c r="XO1252"/>
      <c r="XP1252"/>
      <c r="XQ1252"/>
      <c r="XR1252"/>
      <c r="XS1252"/>
      <c r="XT1252"/>
      <c r="XU1252"/>
      <c r="XV1252"/>
      <c r="XW1252"/>
      <c r="XX1252"/>
      <c r="XY1252"/>
      <c r="XZ1252"/>
      <c r="YA1252"/>
      <c r="YB1252"/>
      <c r="YC1252"/>
      <c r="YD1252"/>
      <c r="YE1252"/>
      <c r="YF1252"/>
      <c r="YG1252"/>
      <c r="YH1252"/>
      <c r="YI1252"/>
      <c r="YJ1252"/>
      <c r="YK1252"/>
      <c r="YL1252"/>
      <c r="YM1252"/>
      <c r="YN1252"/>
      <c r="YO1252"/>
      <c r="YP1252"/>
      <c r="YQ1252"/>
      <c r="YR1252"/>
      <c r="YS1252"/>
      <c r="YT1252"/>
      <c r="YU1252"/>
      <c r="YV1252"/>
      <c r="YW1252"/>
      <c r="YX1252"/>
      <c r="YY1252"/>
      <c r="YZ1252"/>
      <c r="ZA1252"/>
      <c r="ZB1252"/>
      <c r="ZC1252"/>
      <c r="ZD1252"/>
      <c r="ZE1252"/>
      <c r="ZF1252"/>
      <c r="ZG1252"/>
      <c r="ZH1252"/>
      <c r="ZI1252"/>
      <c r="ZJ1252"/>
      <c r="ZK1252"/>
      <c r="ZL1252"/>
      <c r="ZM1252"/>
      <c r="ZN1252"/>
      <c r="ZO1252"/>
      <c r="ZP1252"/>
      <c r="ZQ1252"/>
      <c r="ZR1252"/>
      <c r="ZS1252"/>
      <c r="ZT1252"/>
      <c r="ZU1252"/>
      <c r="ZV1252"/>
      <c r="ZW1252"/>
      <c r="ZX1252"/>
      <c r="ZY1252"/>
      <c r="ZZ1252"/>
      <c r="AAA1252"/>
      <c r="AAB1252"/>
      <c r="AAC1252"/>
      <c r="AAD1252"/>
      <c r="AAE1252"/>
      <c r="AAF1252"/>
      <c r="AAG1252"/>
      <c r="AAH1252"/>
      <c r="AAI1252"/>
      <c r="AAJ1252"/>
      <c r="AAK1252"/>
      <c r="AAL1252"/>
      <c r="AAM1252"/>
      <c r="AAN1252"/>
      <c r="AAO1252"/>
      <c r="AAP1252"/>
      <c r="AAQ1252"/>
      <c r="AAR1252"/>
      <c r="AAS1252"/>
      <c r="AAT1252"/>
      <c r="AAU1252"/>
      <c r="AAV1252"/>
      <c r="AAW1252"/>
      <c r="AAX1252"/>
      <c r="AAY1252"/>
      <c r="AAZ1252"/>
      <c r="ABA1252"/>
      <c r="ABB1252"/>
      <c r="ABC1252"/>
      <c r="ABD1252"/>
      <c r="ABE1252"/>
      <c r="ABF1252"/>
      <c r="ABG1252"/>
      <c r="ABH1252"/>
      <c r="ABI1252"/>
      <c r="ABJ1252"/>
      <c r="ABK1252"/>
      <c r="ABL1252"/>
      <c r="ABM1252"/>
      <c r="ABN1252"/>
      <c r="ABO1252"/>
      <c r="ABP1252"/>
      <c r="ABQ1252"/>
      <c r="ABR1252"/>
      <c r="ABS1252"/>
      <c r="ABT1252"/>
      <c r="ABU1252"/>
      <c r="ABV1252"/>
      <c r="ABW1252"/>
      <c r="ABX1252"/>
      <c r="ABY1252"/>
      <c r="ABZ1252"/>
      <c r="ACA1252"/>
      <c r="ACB1252"/>
      <c r="ACC1252"/>
      <c r="ACD1252"/>
      <c r="ACE1252"/>
      <c r="ACF1252"/>
      <c r="ACG1252"/>
      <c r="ACH1252"/>
      <c r="ACI1252"/>
      <c r="ACJ1252"/>
      <c r="ACK1252"/>
      <c r="ACL1252"/>
      <c r="ACM1252"/>
      <c r="ACN1252"/>
      <c r="ACO1252"/>
      <c r="ACP1252"/>
      <c r="ACQ1252"/>
      <c r="ACR1252"/>
      <c r="ACS1252"/>
      <c r="ACT1252"/>
      <c r="ACU1252"/>
      <c r="ACV1252"/>
      <c r="ACW1252"/>
      <c r="ACX1252"/>
      <c r="ACY1252"/>
      <c r="ACZ1252"/>
      <c r="ADA1252"/>
      <c r="ADB1252"/>
      <c r="ADC1252"/>
      <c r="ADD1252"/>
      <c r="ADE1252"/>
      <c r="ADF1252"/>
      <c r="ADG1252"/>
      <c r="ADH1252"/>
      <c r="ADI1252"/>
      <c r="ADJ1252"/>
      <c r="ADK1252"/>
      <c r="ADL1252"/>
      <c r="ADM1252"/>
      <c r="ADN1252"/>
      <c r="ADO1252"/>
      <c r="ADP1252"/>
      <c r="ADQ1252"/>
      <c r="ADR1252"/>
      <c r="ADS1252"/>
      <c r="ADT1252"/>
      <c r="ADU1252"/>
      <c r="ADV1252"/>
      <c r="ADW1252"/>
      <c r="ADX1252"/>
      <c r="ADY1252"/>
      <c r="ADZ1252"/>
      <c r="AEA1252"/>
      <c r="AEB1252"/>
      <c r="AEC1252"/>
      <c r="AED1252"/>
      <c r="AEE1252"/>
      <c r="AEF1252"/>
      <c r="AEG1252"/>
      <c r="AEH1252"/>
      <c r="AEI1252"/>
      <c r="AEJ1252"/>
      <c r="AEK1252"/>
      <c r="AEL1252"/>
      <c r="AEM1252"/>
      <c r="AEN1252"/>
      <c r="AEO1252"/>
      <c r="AEP1252"/>
      <c r="AEQ1252"/>
      <c r="AER1252"/>
      <c r="AES1252"/>
      <c r="AET1252"/>
      <c r="AEU1252"/>
      <c r="AEV1252"/>
      <c r="AEW1252"/>
      <c r="AEX1252"/>
      <c r="AEY1252"/>
      <c r="AEZ1252"/>
      <c r="AFA1252"/>
      <c r="AFB1252"/>
      <c r="AFC1252"/>
      <c r="AFD1252"/>
      <c r="AFE1252"/>
      <c r="AFF1252"/>
      <c r="AFG1252"/>
      <c r="AFH1252"/>
      <c r="AFI1252"/>
      <c r="AFJ1252"/>
      <c r="AFK1252"/>
      <c r="AFL1252"/>
      <c r="AFM1252"/>
      <c r="AFN1252"/>
      <c r="AFO1252"/>
      <c r="AFP1252"/>
      <c r="AFQ1252"/>
      <c r="AFR1252"/>
      <c r="AFS1252"/>
      <c r="AFT1252"/>
      <c r="AFU1252"/>
      <c r="AFV1252"/>
      <c r="AFW1252"/>
      <c r="AFX1252"/>
      <c r="AFY1252"/>
      <c r="AFZ1252"/>
      <c r="AGA1252"/>
      <c r="AGB1252"/>
      <c r="AGC1252"/>
      <c r="AGD1252"/>
      <c r="AGE1252"/>
      <c r="AGF1252"/>
      <c r="AGG1252"/>
      <c r="AGH1252"/>
      <c r="AGI1252"/>
      <c r="AGJ1252"/>
      <c r="AGK1252"/>
      <c r="AGL1252"/>
      <c r="AGM1252"/>
      <c r="AGN1252"/>
      <c r="AGO1252"/>
      <c r="AGP1252"/>
      <c r="AGQ1252"/>
      <c r="AGR1252"/>
      <c r="AGS1252"/>
      <c r="AGT1252"/>
      <c r="AGU1252"/>
      <c r="AGV1252"/>
      <c r="AGW1252"/>
      <c r="AGX1252"/>
      <c r="AGY1252"/>
      <c r="AGZ1252"/>
      <c r="AHA1252"/>
      <c r="AHB1252"/>
      <c r="AHC1252"/>
      <c r="AHD1252"/>
      <c r="AHE1252"/>
      <c r="AHF1252"/>
      <c r="AHG1252"/>
      <c r="AHH1252"/>
      <c r="AHI1252"/>
      <c r="AHJ1252"/>
      <c r="AHK1252"/>
      <c r="AHL1252"/>
      <c r="AHM1252"/>
      <c r="AHN1252"/>
      <c r="AHO1252"/>
      <c r="AHP1252"/>
      <c r="AHQ1252"/>
      <c r="AHR1252"/>
      <c r="AHS1252"/>
      <c r="AHT1252"/>
      <c r="AHU1252"/>
      <c r="AHV1252"/>
      <c r="AHW1252"/>
      <c r="AHX1252"/>
      <c r="AHY1252"/>
      <c r="AHZ1252"/>
      <c r="AIA1252"/>
      <c r="AIB1252"/>
      <c r="AIC1252"/>
      <c r="AID1252"/>
      <c r="AIE1252"/>
      <c r="AIF1252"/>
      <c r="AIG1252"/>
      <c r="AIH1252"/>
      <c r="AII1252"/>
      <c r="AIJ1252"/>
      <c r="AIK1252"/>
      <c r="AIL1252"/>
      <c r="AIM1252"/>
      <c r="AIN1252"/>
      <c r="AIO1252"/>
      <c r="AIP1252"/>
      <c r="AIQ1252"/>
      <c r="AIR1252"/>
      <c r="AIS1252"/>
      <c r="AIT1252"/>
      <c r="AIU1252"/>
      <c r="AIV1252"/>
      <c r="AIW1252"/>
      <c r="AIX1252"/>
      <c r="AIY1252"/>
      <c r="AIZ1252"/>
      <c r="AJA1252"/>
      <c r="AJB1252"/>
      <c r="AJC1252"/>
      <c r="AJD1252"/>
      <c r="AJE1252"/>
      <c r="AJF1252"/>
      <c r="AJG1252"/>
      <c r="AJH1252"/>
      <c r="AJI1252"/>
      <c r="AJJ1252"/>
      <c r="AJK1252"/>
      <c r="AJL1252"/>
      <c r="AJM1252"/>
      <c r="AJN1252"/>
      <c r="AJO1252"/>
      <c r="AJP1252"/>
      <c r="AJQ1252"/>
      <c r="AJR1252"/>
      <c r="AJS1252"/>
      <c r="AJT1252"/>
      <c r="AJU1252"/>
      <c r="AJV1252"/>
      <c r="AJW1252"/>
      <c r="AJX1252"/>
      <c r="AJY1252"/>
      <c r="AJZ1252"/>
      <c r="AKA1252"/>
      <c r="AKB1252"/>
      <c r="AKC1252"/>
      <c r="AKD1252"/>
      <c r="AKE1252"/>
      <c r="AKF1252"/>
      <c r="AKG1252"/>
      <c r="AKH1252"/>
      <c r="AKI1252"/>
      <c r="AKJ1252"/>
      <c r="AKK1252"/>
      <c r="AKL1252"/>
      <c r="AKM1252"/>
      <c r="AKN1252"/>
      <c r="AKO1252"/>
      <c r="AKP1252"/>
      <c r="AKQ1252"/>
      <c r="AKR1252"/>
      <c r="AKS1252"/>
      <c r="AKT1252"/>
      <c r="AKU1252"/>
      <c r="AKV1252"/>
      <c r="AKW1252"/>
      <c r="AKX1252"/>
      <c r="AKY1252"/>
      <c r="AKZ1252"/>
      <c r="ALA1252"/>
      <c r="ALB1252"/>
      <c r="ALC1252"/>
      <c r="ALD1252"/>
      <c r="ALE1252"/>
      <c r="ALF1252"/>
      <c r="ALG1252"/>
      <c r="ALH1252"/>
      <c r="ALI1252"/>
      <c r="ALJ1252"/>
      <c r="ALK1252"/>
      <c r="ALL1252"/>
      <c r="ALM1252"/>
      <c r="ALN1252"/>
      <c r="ALO1252"/>
      <c r="ALP1252"/>
      <c r="ALQ1252"/>
      <c r="ALR1252"/>
      <c r="ALS1252"/>
      <c r="ALT1252"/>
    </row>
    <row r="1253" spans="1:1008" ht="14">
      <c r="A1253" s="27" t="s">
        <v>3920</v>
      </c>
      <c r="B1253" s="25" t="s">
        <v>3985</v>
      </c>
      <c r="C1253" s="27" t="s">
        <v>3920</v>
      </c>
      <c r="D1253" s="24" t="s">
        <v>12</v>
      </c>
      <c r="E1253" s="27" t="s">
        <v>3920</v>
      </c>
      <c r="F1253" s="27" t="s">
        <v>3921</v>
      </c>
      <c r="G1253" s="27">
        <v>600</v>
      </c>
      <c r="H1253" s="27"/>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c r="AT1253"/>
      <c r="AU1253"/>
      <c r="AV1253"/>
      <c r="AW1253"/>
      <c r="AX1253"/>
      <c r="AY1253"/>
      <c r="AZ1253"/>
      <c r="BA1253"/>
      <c r="BB1253"/>
      <c r="BC1253"/>
      <c r="BD1253"/>
      <c r="BE1253"/>
      <c r="BF1253"/>
      <c r="BG1253"/>
      <c r="BH1253"/>
      <c r="BI1253"/>
      <c r="BJ1253"/>
      <c r="BK1253"/>
      <c r="BL1253"/>
      <c r="BM1253"/>
      <c r="BN1253"/>
      <c r="BO1253"/>
      <c r="BP1253"/>
      <c r="BQ1253"/>
      <c r="BR1253"/>
      <c r="BS1253"/>
      <c r="BT1253"/>
      <c r="BU1253"/>
      <c r="BV1253"/>
      <c r="BW1253"/>
      <c r="BX1253"/>
      <c r="BY1253"/>
      <c r="BZ1253"/>
      <c r="CA1253"/>
      <c r="CB1253"/>
      <c r="CC1253"/>
      <c r="CD1253"/>
      <c r="CE1253"/>
      <c r="CF1253"/>
      <c r="CG1253"/>
      <c r="CH1253"/>
      <c r="CI1253"/>
      <c r="CJ1253"/>
      <c r="CK1253"/>
      <c r="CL1253"/>
      <c r="CM1253"/>
      <c r="CN1253"/>
      <c r="CO1253"/>
      <c r="CP1253"/>
      <c r="CQ1253"/>
      <c r="CR1253"/>
      <c r="CS1253"/>
      <c r="CT1253"/>
      <c r="CU1253"/>
      <c r="CV1253"/>
      <c r="CW1253"/>
      <c r="CX1253"/>
      <c r="CY1253"/>
      <c r="CZ1253"/>
      <c r="DA1253"/>
      <c r="DB1253"/>
      <c r="DC1253"/>
      <c r="DD1253"/>
      <c r="DE1253"/>
      <c r="DF1253"/>
      <c r="DG1253"/>
      <c r="DH1253"/>
      <c r="DI1253"/>
      <c r="DJ1253"/>
      <c r="DK1253"/>
      <c r="DL1253"/>
      <c r="DM1253"/>
      <c r="DN1253"/>
      <c r="DO1253"/>
      <c r="DP1253"/>
      <c r="DQ1253"/>
      <c r="DR1253"/>
      <c r="DS1253"/>
      <c r="DT1253"/>
      <c r="DU1253"/>
      <c r="DV1253"/>
      <c r="DW1253"/>
      <c r="DX1253"/>
      <c r="DY1253"/>
      <c r="DZ1253"/>
      <c r="EA1253"/>
      <c r="EB1253"/>
      <c r="EC1253"/>
      <c r="ED1253"/>
      <c r="EE1253"/>
      <c r="EF1253"/>
      <c r="EG1253"/>
      <c r="EH1253"/>
      <c r="EI1253"/>
      <c r="EJ1253"/>
      <c r="EK1253"/>
      <c r="EL1253"/>
      <c r="EM1253"/>
      <c r="EN1253"/>
      <c r="EO1253"/>
      <c r="EP1253"/>
      <c r="EQ1253"/>
      <c r="ER1253"/>
      <c r="ES1253"/>
      <c r="ET1253"/>
      <c r="EU1253"/>
      <c r="EV1253"/>
      <c r="EW1253"/>
      <c r="EX1253"/>
      <c r="EY1253"/>
      <c r="EZ1253"/>
      <c r="FA1253"/>
      <c r="FB1253"/>
      <c r="FC1253"/>
      <c r="FD1253"/>
      <c r="FE1253"/>
      <c r="FF1253"/>
      <c r="FG1253"/>
      <c r="FH1253"/>
      <c r="FI1253"/>
      <c r="FJ1253"/>
      <c r="FK1253"/>
      <c r="FL1253"/>
      <c r="FM1253"/>
      <c r="FN1253"/>
      <c r="FO1253"/>
      <c r="FP1253"/>
      <c r="FQ1253"/>
      <c r="FR1253"/>
      <c r="FS1253"/>
      <c r="FT1253"/>
      <c r="FU1253"/>
      <c r="FV1253"/>
      <c r="FW1253"/>
      <c r="FX1253"/>
      <c r="FY1253"/>
      <c r="FZ1253"/>
      <c r="GA1253"/>
      <c r="GB1253"/>
      <c r="GC1253"/>
      <c r="GD1253"/>
      <c r="GE1253"/>
      <c r="GF1253"/>
      <c r="GG1253"/>
      <c r="GH1253"/>
      <c r="GI1253"/>
      <c r="GJ1253"/>
      <c r="GK1253"/>
      <c r="GL1253"/>
      <c r="GM1253"/>
      <c r="GN1253"/>
      <c r="GO1253"/>
      <c r="GP1253"/>
      <c r="GQ1253"/>
      <c r="GR1253"/>
      <c r="GS1253"/>
      <c r="GT1253"/>
      <c r="GU1253"/>
      <c r="GV1253"/>
      <c r="GW1253"/>
      <c r="GX1253"/>
      <c r="GY1253"/>
      <c r="GZ1253"/>
      <c r="HA1253"/>
      <c r="HB1253"/>
      <c r="HC1253"/>
      <c r="HD1253"/>
      <c r="HE1253"/>
      <c r="HF1253"/>
      <c r="HG1253"/>
      <c r="HH1253"/>
      <c r="HI1253"/>
      <c r="HJ1253"/>
      <c r="HK1253"/>
      <c r="HL1253"/>
      <c r="HM1253"/>
      <c r="HN1253"/>
      <c r="HO1253"/>
      <c r="HP1253"/>
      <c r="HQ1253"/>
      <c r="HR1253"/>
      <c r="HS1253"/>
      <c r="HT1253"/>
      <c r="HU1253"/>
      <c r="HV1253"/>
      <c r="HW1253"/>
      <c r="HX1253"/>
      <c r="HY1253"/>
      <c r="HZ1253"/>
      <c r="IA1253"/>
      <c r="IB1253"/>
      <c r="IC1253"/>
      <c r="ID1253"/>
      <c r="IE1253"/>
      <c r="IF1253"/>
      <c r="IG1253"/>
      <c r="IH1253"/>
      <c r="II1253"/>
      <c r="IJ1253"/>
      <c r="IK1253"/>
      <c r="IL1253"/>
      <c r="IM1253"/>
      <c r="IN1253"/>
      <c r="IO1253"/>
      <c r="IP1253"/>
      <c r="IQ1253"/>
      <c r="IR1253"/>
      <c r="IS1253"/>
      <c r="IT1253"/>
      <c r="IU1253"/>
      <c r="IV1253"/>
      <c r="IW1253"/>
      <c r="IX1253"/>
      <c r="IY1253"/>
      <c r="IZ1253"/>
      <c r="JA1253"/>
      <c r="JB1253"/>
      <c r="JC1253"/>
      <c r="JD1253"/>
      <c r="JE1253"/>
      <c r="JF1253"/>
      <c r="JG1253"/>
      <c r="JH1253"/>
      <c r="JI1253"/>
      <c r="JJ1253"/>
      <c r="JK1253"/>
      <c r="JL1253"/>
      <c r="JM1253"/>
      <c r="JN1253"/>
      <c r="JO1253"/>
      <c r="JP1253"/>
      <c r="JQ1253"/>
      <c r="JR1253"/>
      <c r="JS1253"/>
      <c r="JT1253"/>
      <c r="JU1253"/>
      <c r="JV1253"/>
      <c r="JW1253"/>
      <c r="JX1253"/>
      <c r="JY1253"/>
      <c r="JZ1253"/>
      <c r="KA1253"/>
      <c r="KB1253"/>
      <c r="KC1253"/>
      <c r="KD1253"/>
      <c r="KE1253"/>
      <c r="KF1253"/>
      <c r="KG1253"/>
      <c r="KH1253"/>
      <c r="KI1253"/>
      <c r="KJ1253"/>
      <c r="KK1253"/>
      <c r="KL1253"/>
      <c r="KM1253"/>
      <c r="KN1253"/>
      <c r="KO1253"/>
      <c r="KP1253"/>
      <c r="KQ1253"/>
      <c r="KR1253"/>
      <c r="KS1253"/>
      <c r="KT1253"/>
      <c r="KU1253"/>
      <c r="KV1253"/>
      <c r="KW1253"/>
      <c r="KX1253"/>
      <c r="KY1253"/>
      <c r="KZ1253"/>
      <c r="LA1253"/>
      <c r="LB1253"/>
      <c r="LC1253"/>
      <c r="LD1253"/>
      <c r="LE1253"/>
      <c r="LF1253"/>
      <c r="LG1253"/>
      <c r="LH1253"/>
      <c r="LI1253"/>
      <c r="LJ1253"/>
      <c r="LK1253"/>
      <c r="LL1253"/>
      <c r="LM1253"/>
      <c r="LN1253"/>
      <c r="LO1253"/>
      <c r="LP1253"/>
      <c r="LQ1253"/>
      <c r="LR1253"/>
      <c r="LS1253"/>
      <c r="LT1253"/>
      <c r="LU1253"/>
      <c r="LV1253"/>
      <c r="LW1253"/>
      <c r="LX1253"/>
      <c r="LY1253"/>
      <c r="LZ1253"/>
      <c r="MA1253"/>
      <c r="MB1253"/>
      <c r="MC1253"/>
      <c r="MD1253"/>
      <c r="ME1253"/>
      <c r="MF1253"/>
      <c r="MG1253"/>
      <c r="MH1253"/>
      <c r="MI1253"/>
      <c r="MJ1253"/>
      <c r="MK1253"/>
      <c r="ML1253"/>
      <c r="MM1253"/>
      <c r="MN1253"/>
      <c r="MO1253"/>
      <c r="MP1253"/>
      <c r="MQ1253"/>
      <c r="MR1253"/>
      <c r="MS1253"/>
      <c r="MT1253"/>
      <c r="MU1253"/>
      <c r="MV1253"/>
      <c r="MW1253"/>
      <c r="MX1253"/>
      <c r="MY1253"/>
      <c r="MZ1253"/>
      <c r="NA1253"/>
      <c r="NB1253"/>
      <c r="NC1253"/>
      <c r="ND1253"/>
      <c r="NE1253"/>
      <c r="NF1253"/>
      <c r="NG1253"/>
      <c r="NH1253"/>
      <c r="NI1253"/>
      <c r="NJ1253"/>
      <c r="NK1253"/>
      <c r="NL1253"/>
      <c r="NM1253"/>
      <c r="NN1253"/>
      <c r="NO1253"/>
      <c r="NP1253"/>
      <c r="NQ1253"/>
      <c r="NR1253"/>
      <c r="NS1253"/>
      <c r="NT1253"/>
      <c r="NU1253"/>
      <c r="NV1253"/>
      <c r="NW1253"/>
      <c r="NX1253"/>
      <c r="NY1253"/>
      <c r="NZ1253"/>
      <c r="OA1253"/>
      <c r="OB1253"/>
      <c r="OC1253"/>
      <c r="OD1253"/>
      <c r="OE1253"/>
      <c r="OF1253"/>
      <c r="OG1253"/>
      <c r="OH1253"/>
      <c r="OI1253"/>
      <c r="OJ1253"/>
      <c r="OK1253"/>
      <c r="OL1253"/>
      <c r="OM1253"/>
      <c r="ON1253"/>
      <c r="OO1253"/>
      <c r="OP1253"/>
      <c r="OQ1253"/>
      <c r="OR1253"/>
      <c r="OS1253"/>
      <c r="OT1253"/>
      <c r="OU1253"/>
      <c r="OV1253"/>
      <c r="OW1253"/>
      <c r="OX1253"/>
      <c r="OY1253"/>
      <c r="OZ1253"/>
      <c r="PA1253"/>
      <c r="PB1253"/>
      <c r="PC1253"/>
      <c r="PD1253"/>
      <c r="PE1253"/>
      <c r="PF1253"/>
      <c r="PG1253"/>
      <c r="PH1253"/>
      <c r="PI1253"/>
      <c r="PJ1253"/>
      <c r="PK1253"/>
      <c r="PL1253"/>
      <c r="PM1253"/>
      <c r="PN1253"/>
      <c r="PO1253"/>
      <c r="PP1253"/>
      <c r="PQ1253"/>
      <c r="PR1253"/>
      <c r="PS1253"/>
      <c r="PT1253"/>
      <c r="PU1253"/>
      <c r="PV1253"/>
      <c r="PW1253"/>
      <c r="PX1253"/>
      <c r="PY1253"/>
      <c r="PZ1253"/>
      <c r="QA1253"/>
      <c r="QB1253"/>
      <c r="QC1253"/>
      <c r="QD1253"/>
      <c r="QE1253"/>
      <c r="QF1253"/>
      <c r="QG1253"/>
      <c r="QH1253"/>
      <c r="QI1253"/>
      <c r="QJ1253"/>
      <c r="QK1253"/>
      <c r="QL1253"/>
      <c r="QM1253"/>
      <c r="QN1253"/>
      <c r="QO1253"/>
      <c r="QP1253"/>
      <c r="QQ1253"/>
      <c r="QR1253"/>
      <c r="QS1253"/>
      <c r="QT1253"/>
      <c r="QU1253"/>
      <c r="QV1253"/>
      <c r="QW1253"/>
      <c r="QX1253"/>
      <c r="QY1253"/>
      <c r="QZ1253"/>
      <c r="RA1253"/>
      <c r="RB1253"/>
      <c r="RC1253"/>
      <c r="RD1253"/>
      <c r="RE1253"/>
      <c r="RF1253"/>
      <c r="RG1253"/>
      <c r="RH1253"/>
      <c r="RI1253"/>
      <c r="RJ1253"/>
      <c r="RK1253"/>
      <c r="RL1253"/>
      <c r="RM1253"/>
      <c r="RN1253"/>
      <c r="RO1253"/>
      <c r="RP1253"/>
      <c r="RQ1253"/>
      <c r="RR1253"/>
      <c r="RS1253"/>
      <c r="RT1253"/>
      <c r="RU1253"/>
      <c r="RV1253"/>
      <c r="RW1253"/>
      <c r="RX1253"/>
      <c r="RY1253"/>
      <c r="RZ1253"/>
      <c r="SA1253"/>
      <c r="SB1253"/>
      <c r="SC1253"/>
      <c r="SD1253"/>
      <c r="SE1253"/>
      <c r="SF1253"/>
      <c r="SG1253"/>
      <c r="SH1253"/>
      <c r="SI1253"/>
      <c r="SJ1253"/>
      <c r="SK1253"/>
      <c r="SL1253"/>
      <c r="SM1253"/>
      <c r="SN1253"/>
      <c r="SO1253"/>
      <c r="SP1253"/>
      <c r="SQ1253"/>
      <c r="SR1253"/>
      <c r="SS1253"/>
      <c r="ST1253"/>
      <c r="SU1253"/>
      <c r="SV1253"/>
      <c r="SW1253"/>
      <c r="SX1253"/>
      <c r="SY1253"/>
      <c r="SZ1253"/>
      <c r="TA1253"/>
      <c r="TB1253"/>
      <c r="TC1253"/>
      <c r="TD1253"/>
      <c r="TE1253"/>
      <c r="TF1253"/>
      <c r="TG1253"/>
      <c r="TH1253"/>
      <c r="TI1253"/>
      <c r="TJ1253"/>
      <c r="TK1253"/>
      <c r="TL1253"/>
      <c r="TM1253"/>
      <c r="TN1253"/>
      <c r="TO1253"/>
      <c r="TP1253"/>
      <c r="TQ1253"/>
      <c r="TR1253"/>
      <c r="TS1253"/>
      <c r="TT1253"/>
      <c r="TU1253"/>
      <c r="TV1253"/>
      <c r="TW1253"/>
      <c r="TX1253"/>
      <c r="TY1253"/>
      <c r="TZ1253"/>
      <c r="UA1253"/>
      <c r="UB1253"/>
      <c r="UC1253"/>
      <c r="UD1253"/>
      <c r="UE1253"/>
      <c r="UF1253"/>
      <c r="UG1253"/>
      <c r="UH1253"/>
      <c r="UI1253"/>
      <c r="UJ1253"/>
      <c r="UK1253"/>
      <c r="UL1253"/>
      <c r="UM1253"/>
      <c r="UN1253"/>
      <c r="UO1253"/>
      <c r="UP1253"/>
      <c r="UQ1253"/>
      <c r="UR1253"/>
      <c r="US1253"/>
      <c r="UT1253"/>
      <c r="UU1253"/>
      <c r="UV1253"/>
      <c r="UW1253"/>
      <c r="UX1253"/>
      <c r="UY1253"/>
      <c r="UZ1253"/>
      <c r="VA1253"/>
      <c r="VB1253"/>
      <c r="VC1253"/>
      <c r="VD1253"/>
      <c r="VE1253"/>
      <c r="VF1253"/>
      <c r="VG1253"/>
      <c r="VH1253"/>
      <c r="VI1253"/>
      <c r="VJ1253"/>
      <c r="VK1253"/>
      <c r="VL1253"/>
      <c r="VM1253"/>
      <c r="VN1253"/>
      <c r="VO1253"/>
      <c r="VP1253"/>
      <c r="VQ1253"/>
      <c r="VR1253"/>
      <c r="VS1253"/>
      <c r="VT1253"/>
      <c r="VU1253"/>
      <c r="VV1253"/>
      <c r="VW1253"/>
      <c r="VX1253"/>
      <c r="VY1253"/>
      <c r="VZ1253"/>
      <c r="WA1253"/>
      <c r="WB1253"/>
      <c r="WC1253"/>
      <c r="WD1253"/>
      <c r="WE1253"/>
      <c r="WF1253"/>
      <c r="WG1253"/>
      <c r="WH1253"/>
      <c r="WI1253"/>
      <c r="WJ1253"/>
      <c r="WK1253"/>
      <c r="WL1253"/>
      <c r="WM1253"/>
      <c r="WN1253"/>
      <c r="WO1253"/>
      <c r="WP1253"/>
      <c r="WQ1253"/>
      <c r="WR1253"/>
      <c r="WS1253"/>
      <c r="WT1253"/>
      <c r="WU1253"/>
      <c r="WV1253"/>
      <c r="WW1253"/>
      <c r="WX1253"/>
      <c r="WY1253"/>
      <c r="WZ1253"/>
      <c r="XA1253"/>
      <c r="XB1253"/>
      <c r="XC1253"/>
      <c r="XD1253"/>
      <c r="XE1253"/>
      <c r="XF1253"/>
      <c r="XG1253"/>
      <c r="XH1253"/>
      <c r="XI1253"/>
      <c r="XJ1253"/>
      <c r="XK1253"/>
      <c r="XL1253"/>
      <c r="XM1253"/>
      <c r="XN1253"/>
      <c r="XO1253"/>
      <c r="XP1253"/>
      <c r="XQ1253"/>
      <c r="XR1253"/>
      <c r="XS1253"/>
      <c r="XT1253"/>
      <c r="XU1253"/>
      <c r="XV1253"/>
      <c r="XW1253"/>
      <c r="XX1253"/>
      <c r="XY1253"/>
      <c r="XZ1253"/>
      <c r="YA1253"/>
      <c r="YB1253"/>
      <c r="YC1253"/>
      <c r="YD1253"/>
      <c r="YE1253"/>
      <c r="YF1253"/>
      <c r="YG1253"/>
      <c r="YH1253"/>
      <c r="YI1253"/>
      <c r="YJ1253"/>
      <c r="YK1253"/>
      <c r="YL1253"/>
      <c r="YM1253"/>
      <c r="YN1253"/>
      <c r="YO1253"/>
      <c r="YP1253"/>
      <c r="YQ1253"/>
      <c r="YR1253"/>
      <c r="YS1253"/>
      <c r="YT1253"/>
      <c r="YU1253"/>
      <c r="YV1253"/>
      <c r="YW1253"/>
      <c r="YX1253"/>
      <c r="YY1253"/>
      <c r="YZ1253"/>
      <c r="ZA1253"/>
      <c r="ZB1253"/>
      <c r="ZC1253"/>
      <c r="ZD1253"/>
      <c r="ZE1253"/>
      <c r="ZF1253"/>
      <c r="ZG1253"/>
      <c r="ZH1253"/>
      <c r="ZI1253"/>
      <c r="ZJ1253"/>
      <c r="ZK1253"/>
      <c r="ZL1253"/>
      <c r="ZM1253"/>
      <c r="ZN1253"/>
      <c r="ZO1253"/>
      <c r="ZP1253"/>
      <c r="ZQ1253"/>
      <c r="ZR1253"/>
      <c r="ZS1253"/>
      <c r="ZT1253"/>
      <c r="ZU1253"/>
      <c r="ZV1253"/>
      <c r="ZW1253"/>
      <c r="ZX1253"/>
      <c r="ZY1253"/>
      <c r="ZZ1253"/>
      <c r="AAA1253"/>
      <c r="AAB1253"/>
      <c r="AAC1253"/>
      <c r="AAD1253"/>
      <c r="AAE1253"/>
      <c r="AAF1253"/>
      <c r="AAG1253"/>
      <c r="AAH1253"/>
      <c r="AAI1253"/>
      <c r="AAJ1253"/>
      <c r="AAK1253"/>
      <c r="AAL1253"/>
      <c r="AAM1253"/>
      <c r="AAN1253"/>
      <c r="AAO1253"/>
      <c r="AAP1253"/>
      <c r="AAQ1253"/>
      <c r="AAR1253"/>
      <c r="AAS1253"/>
      <c r="AAT1253"/>
      <c r="AAU1253"/>
      <c r="AAV1253"/>
      <c r="AAW1253"/>
      <c r="AAX1253"/>
      <c r="AAY1253"/>
      <c r="AAZ1253"/>
      <c r="ABA1253"/>
      <c r="ABB1253"/>
      <c r="ABC1253"/>
      <c r="ABD1253"/>
      <c r="ABE1253"/>
      <c r="ABF1253"/>
      <c r="ABG1253"/>
      <c r="ABH1253"/>
      <c r="ABI1253"/>
      <c r="ABJ1253"/>
      <c r="ABK1253"/>
      <c r="ABL1253"/>
      <c r="ABM1253"/>
      <c r="ABN1253"/>
      <c r="ABO1253"/>
      <c r="ABP1253"/>
      <c r="ABQ1253"/>
      <c r="ABR1253"/>
      <c r="ABS1253"/>
      <c r="ABT1253"/>
      <c r="ABU1253"/>
      <c r="ABV1253"/>
      <c r="ABW1253"/>
      <c r="ABX1253"/>
      <c r="ABY1253"/>
      <c r="ABZ1253"/>
      <c r="ACA1253"/>
      <c r="ACB1253"/>
      <c r="ACC1253"/>
      <c r="ACD1253"/>
      <c r="ACE1253"/>
      <c r="ACF1253"/>
      <c r="ACG1253"/>
      <c r="ACH1253"/>
      <c r="ACI1253"/>
      <c r="ACJ1253"/>
      <c r="ACK1253"/>
      <c r="ACL1253"/>
      <c r="ACM1253"/>
      <c r="ACN1253"/>
      <c r="ACO1253"/>
      <c r="ACP1253"/>
      <c r="ACQ1253"/>
      <c r="ACR1253"/>
      <c r="ACS1253"/>
      <c r="ACT1253"/>
      <c r="ACU1253"/>
      <c r="ACV1253"/>
      <c r="ACW1253"/>
      <c r="ACX1253"/>
      <c r="ACY1253"/>
      <c r="ACZ1253"/>
      <c r="ADA1253"/>
      <c r="ADB1253"/>
      <c r="ADC1253"/>
      <c r="ADD1253"/>
      <c r="ADE1253"/>
      <c r="ADF1253"/>
      <c r="ADG1253"/>
      <c r="ADH1253"/>
      <c r="ADI1253"/>
      <c r="ADJ1253"/>
      <c r="ADK1253"/>
      <c r="ADL1253"/>
      <c r="ADM1253"/>
      <c r="ADN1253"/>
      <c r="ADO1253"/>
      <c r="ADP1253"/>
      <c r="ADQ1253"/>
      <c r="ADR1253"/>
      <c r="ADS1253"/>
      <c r="ADT1253"/>
      <c r="ADU1253"/>
      <c r="ADV1253"/>
      <c r="ADW1253"/>
      <c r="ADX1253"/>
      <c r="ADY1253"/>
      <c r="ADZ1253"/>
      <c r="AEA1253"/>
      <c r="AEB1253"/>
      <c r="AEC1253"/>
      <c r="AED1253"/>
      <c r="AEE1253"/>
      <c r="AEF1253"/>
      <c r="AEG1253"/>
      <c r="AEH1253"/>
      <c r="AEI1253"/>
      <c r="AEJ1253"/>
      <c r="AEK1253"/>
      <c r="AEL1253"/>
      <c r="AEM1253"/>
      <c r="AEN1253"/>
      <c r="AEO1253"/>
      <c r="AEP1253"/>
      <c r="AEQ1253"/>
      <c r="AER1253"/>
      <c r="AES1253"/>
      <c r="AET1253"/>
      <c r="AEU1253"/>
      <c r="AEV1253"/>
      <c r="AEW1253"/>
      <c r="AEX1253"/>
      <c r="AEY1253"/>
      <c r="AEZ1253"/>
      <c r="AFA1253"/>
      <c r="AFB1253"/>
      <c r="AFC1253"/>
      <c r="AFD1253"/>
      <c r="AFE1253"/>
      <c r="AFF1253"/>
      <c r="AFG1253"/>
      <c r="AFH1253"/>
      <c r="AFI1253"/>
      <c r="AFJ1253"/>
      <c r="AFK1253"/>
      <c r="AFL1253"/>
      <c r="AFM1253"/>
      <c r="AFN1253"/>
      <c r="AFO1253"/>
      <c r="AFP1253"/>
      <c r="AFQ1253"/>
      <c r="AFR1253"/>
      <c r="AFS1253"/>
      <c r="AFT1253"/>
      <c r="AFU1253"/>
      <c r="AFV1253"/>
      <c r="AFW1253"/>
      <c r="AFX1253"/>
      <c r="AFY1253"/>
      <c r="AFZ1253"/>
      <c r="AGA1253"/>
      <c r="AGB1253"/>
      <c r="AGC1253"/>
      <c r="AGD1253"/>
      <c r="AGE1253"/>
      <c r="AGF1253"/>
      <c r="AGG1253"/>
      <c r="AGH1253"/>
      <c r="AGI1253"/>
      <c r="AGJ1253"/>
      <c r="AGK1253"/>
      <c r="AGL1253"/>
      <c r="AGM1253"/>
      <c r="AGN1253"/>
      <c r="AGO1253"/>
      <c r="AGP1253"/>
      <c r="AGQ1253"/>
      <c r="AGR1253"/>
      <c r="AGS1253"/>
      <c r="AGT1253"/>
      <c r="AGU1253"/>
      <c r="AGV1253"/>
      <c r="AGW1253"/>
      <c r="AGX1253"/>
      <c r="AGY1253"/>
      <c r="AGZ1253"/>
      <c r="AHA1253"/>
      <c r="AHB1253"/>
      <c r="AHC1253"/>
      <c r="AHD1253"/>
      <c r="AHE1253"/>
      <c r="AHF1253"/>
      <c r="AHG1253"/>
      <c r="AHH1253"/>
      <c r="AHI1253"/>
      <c r="AHJ1253"/>
      <c r="AHK1253"/>
      <c r="AHL1253"/>
      <c r="AHM1253"/>
      <c r="AHN1253"/>
      <c r="AHO1253"/>
      <c r="AHP1253"/>
      <c r="AHQ1253"/>
      <c r="AHR1253"/>
      <c r="AHS1253"/>
      <c r="AHT1253"/>
      <c r="AHU1253"/>
      <c r="AHV1253"/>
      <c r="AHW1253"/>
      <c r="AHX1253"/>
      <c r="AHY1253"/>
      <c r="AHZ1253"/>
      <c r="AIA1253"/>
      <c r="AIB1253"/>
      <c r="AIC1253"/>
      <c r="AID1253"/>
      <c r="AIE1253"/>
      <c r="AIF1253"/>
      <c r="AIG1253"/>
      <c r="AIH1253"/>
      <c r="AII1253"/>
      <c r="AIJ1253"/>
      <c r="AIK1253"/>
      <c r="AIL1253"/>
      <c r="AIM1253"/>
      <c r="AIN1253"/>
      <c r="AIO1253"/>
      <c r="AIP1253"/>
      <c r="AIQ1253"/>
      <c r="AIR1253"/>
      <c r="AIS1253"/>
      <c r="AIT1253"/>
      <c r="AIU1253"/>
      <c r="AIV1253"/>
      <c r="AIW1253"/>
      <c r="AIX1253"/>
      <c r="AIY1253"/>
      <c r="AIZ1253"/>
      <c r="AJA1253"/>
      <c r="AJB1253"/>
      <c r="AJC1253"/>
      <c r="AJD1253"/>
      <c r="AJE1253"/>
      <c r="AJF1253"/>
      <c r="AJG1253"/>
      <c r="AJH1253"/>
      <c r="AJI1253"/>
      <c r="AJJ1253"/>
      <c r="AJK1253"/>
      <c r="AJL1253"/>
      <c r="AJM1253"/>
      <c r="AJN1253"/>
      <c r="AJO1253"/>
      <c r="AJP1253"/>
      <c r="AJQ1253"/>
      <c r="AJR1253"/>
      <c r="AJS1253"/>
      <c r="AJT1253"/>
      <c r="AJU1253"/>
      <c r="AJV1253"/>
      <c r="AJW1253"/>
      <c r="AJX1253"/>
      <c r="AJY1253"/>
      <c r="AJZ1253"/>
      <c r="AKA1253"/>
      <c r="AKB1253"/>
      <c r="AKC1253"/>
      <c r="AKD1253"/>
      <c r="AKE1253"/>
      <c r="AKF1253"/>
      <c r="AKG1253"/>
      <c r="AKH1253"/>
      <c r="AKI1253"/>
      <c r="AKJ1253"/>
      <c r="AKK1253"/>
      <c r="AKL1253"/>
      <c r="AKM1253"/>
      <c r="AKN1253"/>
      <c r="AKO1253"/>
      <c r="AKP1253"/>
      <c r="AKQ1253"/>
      <c r="AKR1253"/>
      <c r="AKS1253"/>
      <c r="AKT1253"/>
      <c r="AKU1253"/>
      <c r="AKV1253"/>
      <c r="AKW1253"/>
      <c r="AKX1253"/>
      <c r="AKY1253"/>
      <c r="AKZ1253"/>
      <c r="ALA1253"/>
      <c r="ALB1253"/>
      <c r="ALC1253"/>
      <c r="ALD1253"/>
      <c r="ALE1253"/>
      <c r="ALF1253"/>
      <c r="ALG1253"/>
      <c r="ALH1253"/>
      <c r="ALI1253"/>
      <c r="ALJ1253"/>
      <c r="ALK1253"/>
      <c r="ALL1253"/>
      <c r="ALM1253"/>
      <c r="ALN1253"/>
      <c r="ALO1253"/>
      <c r="ALP1253"/>
      <c r="ALQ1253"/>
      <c r="ALR1253"/>
      <c r="ALS1253"/>
      <c r="ALT1253"/>
    </row>
    <row r="1254" spans="1:1008" ht="14">
      <c r="A1254" s="27" t="s">
        <v>3922</v>
      </c>
      <c r="B1254" s="25" t="s">
        <v>3985</v>
      </c>
      <c r="C1254" s="27" t="s">
        <v>3922</v>
      </c>
      <c r="D1254" s="24" t="s">
        <v>12</v>
      </c>
      <c r="E1254" s="27" t="s">
        <v>3922</v>
      </c>
      <c r="F1254" s="27" t="s">
        <v>3923</v>
      </c>
      <c r="G1254" s="27">
        <v>580</v>
      </c>
      <c r="H1254" s="27"/>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c r="AT1254"/>
      <c r="AU1254"/>
      <c r="AV1254"/>
      <c r="AW1254"/>
      <c r="AX1254"/>
      <c r="AY1254"/>
      <c r="AZ1254"/>
      <c r="BA1254"/>
      <c r="BB1254"/>
      <c r="BC1254"/>
      <c r="BD1254"/>
      <c r="BE1254"/>
      <c r="BF1254"/>
      <c r="BG1254"/>
      <c r="BH1254"/>
      <c r="BI1254"/>
      <c r="BJ1254"/>
      <c r="BK1254"/>
      <c r="BL1254"/>
      <c r="BM1254"/>
      <c r="BN1254"/>
      <c r="BO1254"/>
      <c r="BP1254"/>
      <c r="BQ1254"/>
      <c r="BR1254"/>
      <c r="BS1254"/>
      <c r="BT1254"/>
      <c r="BU1254"/>
      <c r="BV1254"/>
      <c r="BW1254"/>
      <c r="BX1254"/>
      <c r="BY1254"/>
      <c r="BZ1254"/>
      <c r="CA1254"/>
      <c r="CB1254"/>
      <c r="CC1254"/>
      <c r="CD1254"/>
      <c r="CE1254"/>
      <c r="CF1254"/>
      <c r="CG1254"/>
      <c r="CH1254"/>
      <c r="CI1254"/>
      <c r="CJ1254"/>
      <c r="CK1254"/>
      <c r="CL1254"/>
      <c r="CM1254"/>
      <c r="CN1254"/>
      <c r="CO1254"/>
      <c r="CP1254"/>
      <c r="CQ1254"/>
      <c r="CR1254"/>
      <c r="CS1254"/>
      <c r="CT1254"/>
      <c r="CU1254"/>
      <c r="CV1254"/>
      <c r="CW1254"/>
      <c r="CX1254"/>
      <c r="CY1254"/>
      <c r="CZ1254"/>
      <c r="DA1254"/>
      <c r="DB1254"/>
      <c r="DC1254"/>
      <c r="DD1254"/>
      <c r="DE1254"/>
      <c r="DF1254"/>
      <c r="DG1254"/>
      <c r="DH1254"/>
      <c r="DI1254"/>
      <c r="DJ1254"/>
      <c r="DK1254"/>
      <c r="DL1254"/>
      <c r="DM1254"/>
      <c r="DN1254"/>
      <c r="DO1254"/>
      <c r="DP1254"/>
      <c r="DQ1254"/>
      <c r="DR1254"/>
      <c r="DS1254"/>
      <c r="DT1254"/>
      <c r="DU1254"/>
      <c r="DV1254"/>
      <c r="DW1254"/>
      <c r="DX1254"/>
      <c r="DY1254"/>
      <c r="DZ1254"/>
      <c r="EA1254"/>
      <c r="EB1254"/>
      <c r="EC1254"/>
      <c r="ED1254"/>
      <c r="EE1254"/>
      <c r="EF1254"/>
      <c r="EG1254"/>
      <c r="EH1254"/>
      <c r="EI1254"/>
      <c r="EJ1254"/>
      <c r="EK1254"/>
      <c r="EL1254"/>
      <c r="EM1254"/>
      <c r="EN1254"/>
      <c r="EO1254"/>
      <c r="EP1254"/>
      <c r="EQ1254"/>
      <c r="ER1254"/>
      <c r="ES1254"/>
      <c r="ET1254"/>
      <c r="EU1254"/>
      <c r="EV1254"/>
      <c r="EW1254"/>
      <c r="EX1254"/>
      <c r="EY1254"/>
      <c r="EZ1254"/>
      <c r="FA1254"/>
      <c r="FB1254"/>
      <c r="FC1254"/>
      <c r="FD1254"/>
      <c r="FE1254"/>
      <c r="FF1254"/>
      <c r="FG1254"/>
      <c r="FH1254"/>
      <c r="FI1254"/>
      <c r="FJ1254"/>
      <c r="FK1254"/>
      <c r="FL1254"/>
      <c r="FM1254"/>
      <c r="FN1254"/>
      <c r="FO1254"/>
      <c r="FP1254"/>
      <c r="FQ1254"/>
      <c r="FR1254"/>
      <c r="FS1254"/>
      <c r="FT1254"/>
      <c r="FU1254"/>
      <c r="FV1254"/>
      <c r="FW1254"/>
      <c r="FX1254"/>
      <c r="FY1254"/>
      <c r="FZ1254"/>
      <c r="GA1254"/>
      <c r="GB1254"/>
      <c r="GC1254"/>
      <c r="GD1254"/>
      <c r="GE1254"/>
      <c r="GF1254"/>
      <c r="GG1254"/>
      <c r="GH1254"/>
      <c r="GI1254"/>
      <c r="GJ1254"/>
      <c r="GK1254"/>
      <c r="GL1254"/>
      <c r="GM1254"/>
      <c r="GN1254"/>
      <c r="GO1254"/>
      <c r="GP1254"/>
      <c r="GQ1254"/>
      <c r="GR1254"/>
      <c r="GS1254"/>
      <c r="GT1254"/>
      <c r="GU1254"/>
      <c r="GV1254"/>
      <c r="GW1254"/>
      <c r="GX1254"/>
      <c r="GY1254"/>
      <c r="GZ1254"/>
      <c r="HA1254"/>
      <c r="HB1254"/>
      <c r="HC1254"/>
      <c r="HD1254"/>
      <c r="HE1254"/>
      <c r="HF1254"/>
      <c r="HG1254"/>
      <c r="HH1254"/>
      <c r="HI1254"/>
      <c r="HJ1254"/>
      <c r="HK1254"/>
      <c r="HL1254"/>
      <c r="HM1254"/>
      <c r="HN1254"/>
      <c r="HO1254"/>
      <c r="HP1254"/>
      <c r="HQ1254"/>
      <c r="HR1254"/>
      <c r="HS1254"/>
      <c r="HT1254"/>
      <c r="HU1254"/>
      <c r="HV1254"/>
      <c r="HW1254"/>
      <c r="HX1254"/>
      <c r="HY1254"/>
      <c r="HZ1254"/>
      <c r="IA1254"/>
      <c r="IB1254"/>
      <c r="IC1254"/>
      <c r="ID1254"/>
      <c r="IE1254"/>
      <c r="IF1254"/>
      <c r="IG1254"/>
      <c r="IH1254"/>
      <c r="II1254"/>
      <c r="IJ1254"/>
      <c r="IK1254"/>
      <c r="IL1254"/>
      <c r="IM1254"/>
      <c r="IN1254"/>
      <c r="IO1254"/>
      <c r="IP1254"/>
      <c r="IQ1254"/>
      <c r="IR1254"/>
      <c r="IS1254"/>
      <c r="IT1254"/>
      <c r="IU1254"/>
      <c r="IV1254"/>
      <c r="IW1254"/>
      <c r="IX1254"/>
      <c r="IY1254"/>
      <c r="IZ1254"/>
      <c r="JA1254"/>
      <c r="JB1254"/>
      <c r="JC1254"/>
      <c r="JD1254"/>
      <c r="JE1254"/>
      <c r="JF1254"/>
      <c r="JG1254"/>
      <c r="JH1254"/>
      <c r="JI1254"/>
      <c r="JJ1254"/>
      <c r="JK1254"/>
      <c r="JL1254"/>
      <c r="JM1254"/>
      <c r="JN1254"/>
      <c r="JO1254"/>
      <c r="JP1254"/>
      <c r="JQ1254"/>
      <c r="JR1254"/>
      <c r="JS1254"/>
      <c r="JT1254"/>
      <c r="JU1254"/>
      <c r="JV1254"/>
      <c r="JW1254"/>
      <c r="JX1254"/>
      <c r="JY1254"/>
      <c r="JZ1254"/>
      <c r="KA1254"/>
      <c r="KB1254"/>
      <c r="KC1254"/>
      <c r="KD1254"/>
      <c r="KE1254"/>
      <c r="KF1254"/>
      <c r="KG1254"/>
      <c r="KH1254"/>
      <c r="KI1254"/>
      <c r="KJ1254"/>
      <c r="KK1254"/>
      <c r="KL1254"/>
      <c r="KM1254"/>
      <c r="KN1254"/>
      <c r="KO1254"/>
      <c r="KP1254"/>
      <c r="KQ1254"/>
      <c r="KR1254"/>
      <c r="KS1254"/>
      <c r="KT1254"/>
      <c r="KU1254"/>
      <c r="KV1254"/>
      <c r="KW1254"/>
      <c r="KX1254"/>
      <c r="KY1254"/>
      <c r="KZ1254"/>
      <c r="LA1254"/>
      <c r="LB1254"/>
      <c r="LC1254"/>
      <c r="LD1254"/>
      <c r="LE1254"/>
      <c r="LF1254"/>
      <c r="LG1254"/>
      <c r="LH1254"/>
      <c r="LI1254"/>
      <c r="LJ1254"/>
      <c r="LK1254"/>
      <c r="LL1254"/>
      <c r="LM1254"/>
      <c r="LN1254"/>
      <c r="LO1254"/>
      <c r="LP1254"/>
      <c r="LQ1254"/>
      <c r="LR1254"/>
      <c r="LS1254"/>
      <c r="LT1254"/>
      <c r="LU1254"/>
      <c r="LV1254"/>
      <c r="LW1254"/>
      <c r="LX1254"/>
      <c r="LY1254"/>
      <c r="LZ1254"/>
      <c r="MA1254"/>
      <c r="MB1254"/>
      <c r="MC1254"/>
      <c r="MD1254"/>
      <c r="ME1254"/>
      <c r="MF1254"/>
      <c r="MG1254"/>
      <c r="MH1254"/>
      <c r="MI1254"/>
      <c r="MJ1254"/>
      <c r="MK1254"/>
      <c r="ML1254"/>
      <c r="MM1254"/>
      <c r="MN1254"/>
      <c r="MO1254"/>
      <c r="MP1254"/>
      <c r="MQ1254"/>
      <c r="MR1254"/>
      <c r="MS1254"/>
      <c r="MT1254"/>
      <c r="MU1254"/>
      <c r="MV1254"/>
      <c r="MW1254"/>
      <c r="MX1254"/>
      <c r="MY1254"/>
      <c r="MZ1254"/>
      <c r="NA1254"/>
      <c r="NB1254"/>
      <c r="NC1254"/>
      <c r="ND1254"/>
      <c r="NE1254"/>
      <c r="NF1254"/>
      <c r="NG1254"/>
      <c r="NH1254"/>
      <c r="NI1254"/>
      <c r="NJ1254"/>
      <c r="NK1254"/>
      <c r="NL1254"/>
      <c r="NM1254"/>
      <c r="NN1254"/>
      <c r="NO1254"/>
      <c r="NP1254"/>
      <c r="NQ1254"/>
      <c r="NR1254"/>
      <c r="NS1254"/>
      <c r="NT1254"/>
      <c r="NU1254"/>
      <c r="NV1254"/>
      <c r="NW1254"/>
      <c r="NX1254"/>
      <c r="NY1254"/>
      <c r="NZ1254"/>
      <c r="OA1254"/>
      <c r="OB1254"/>
      <c r="OC1254"/>
      <c r="OD1254"/>
      <c r="OE1254"/>
      <c r="OF1254"/>
      <c r="OG1254"/>
      <c r="OH1254"/>
      <c r="OI1254"/>
      <c r="OJ1254"/>
      <c r="OK1254"/>
      <c r="OL1254"/>
      <c r="OM1254"/>
      <c r="ON1254"/>
      <c r="OO1254"/>
      <c r="OP1254"/>
      <c r="OQ1254"/>
      <c r="OR1254"/>
      <c r="OS1254"/>
      <c r="OT1254"/>
      <c r="OU1254"/>
      <c r="OV1254"/>
      <c r="OW1254"/>
      <c r="OX1254"/>
      <c r="OY1254"/>
      <c r="OZ1254"/>
      <c r="PA1254"/>
      <c r="PB1254"/>
      <c r="PC1254"/>
      <c r="PD1254"/>
      <c r="PE1254"/>
      <c r="PF1254"/>
      <c r="PG1254"/>
      <c r="PH1254"/>
      <c r="PI1254"/>
      <c r="PJ1254"/>
      <c r="PK1254"/>
      <c r="PL1254"/>
      <c r="PM1254"/>
      <c r="PN1254"/>
      <c r="PO1254"/>
      <c r="PP1254"/>
      <c r="PQ1254"/>
      <c r="PR1254"/>
      <c r="PS1254"/>
      <c r="PT1254"/>
      <c r="PU1254"/>
      <c r="PV1254"/>
      <c r="PW1254"/>
      <c r="PX1254"/>
      <c r="PY1254"/>
      <c r="PZ1254"/>
      <c r="QA1254"/>
      <c r="QB1254"/>
      <c r="QC1254"/>
      <c r="QD1254"/>
      <c r="QE1254"/>
      <c r="QF1254"/>
      <c r="QG1254"/>
      <c r="QH1254"/>
      <c r="QI1254"/>
      <c r="QJ1254"/>
      <c r="QK1254"/>
      <c r="QL1254"/>
      <c r="QM1254"/>
      <c r="QN1254"/>
      <c r="QO1254"/>
      <c r="QP1254"/>
      <c r="QQ1254"/>
      <c r="QR1254"/>
      <c r="QS1254"/>
      <c r="QT1254"/>
      <c r="QU1254"/>
      <c r="QV1254"/>
      <c r="QW1254"/>
      <c r="QX1254"/>
      <c r="QY1254"/>
      <c r="QZ1254"/>
      <c r="RA1254"/>
      <c r="RB1254"/>
      <c r="RC1254"/>
      <c r="RD1254"/>
      <c r="RE1254"/>
      <c r="RF1254"/>
      <c r="RG1254"/>
      <c r="RH1254"/>
      <c r="RI1254"/>
      <c r="RJ1254"/>
      <c r="RK1254"/>
      <c r="RL1254"/>
      <c r="RM1254"/>
      <c r="RN1254"/>
      <c r="RO1254"/>
      <c r="RP1254"/>
      <c r="RQ1254"/>
      <c r="RR1254"/>
      <c r="RS1254"/>
      <c r="RT1254"/>
      <c r="RU1254"/>
      <c r="RV1254"/>
      <c r="RW1254"/>
      <c r="RX1254"/>
      <c r="RY1254"/>
      <c r="RZ1254"/>
      <c r="SA1254"/>
      <c r="SB1254"/>
      <c r="SC1254"/>
      <c r="SD1254"/>
      <c r="SE1254"/>
      <c r="SF1254"/>
      <c r="SG1254"/>
      <c r="SH1254"/>
      <c r="SI1254"/>
      <c r="SJ1254"/>
      <c r="SK1254"/>
      <c r="SL1254"/>
      <c r="SM1254"/>
      <c r="SN1254"/>
      <c r="SO1254"/>
      <c r="SP1254"/>
      <c r="SQ1254"/>
      <c r="SR1254"/>
      <c r="SS1254"/>
      <c r="ST1254"/>
      <c r="SU1254"/>
      <c r="SV1254"/>
      <c r="SW1254"/>
      <c r="SX1254"/>
      <c r="SY1254"/>
      <c r="SZ1254"/>
      <c r="TA1254"/>
      <c r="TB1254"/>
      <c r="TC1254"/>
      <c r="TD1254"/>
      <c r="TE1254"/>
      <c r="TF1254"/>
      <c r="TG1254"/>
      <c r="TH1254"/>
      <c r="TI1254"/>
      <c r="TJ1254"/>
      <c r="TK1254"/>
      <c r="TL1254"/>
      <c r="TM1254"/>
      <c r="TN1254"/>
      <c r="TO1254"/>
      <c r="TP1254"/>
      <c r="TQ1254"/>
      <c r="TR1254"/>
      <c r="TS1254"/>
      <c r="TT1254"/>
      <c r="TU1254"/>
      <c r="TV1254"/>
      <c r="TW1254"/>
      <c r="TX1254"/>
      <c r="TY1254"/>
      <c r="TZ1254"/>
      <c r="UA1254"/>
      <c r="UB1254"/>
      <c r="UC1254"/>
      <c r="UD1254"/>
      <c r="UE1254"/>
      <c r="UF1254"/>
      <c r="UG1254"/>
      <c r="UH1254"/>
      <c r="UI1254"/>
      <c r="UJ1254"/>
      <c r="UK1254"/>
      <c r="UL1254"/>
      <c r="UM1254"/>
      <c r="UN1254"/>
      <c r="UO1254"/>
      <c r="UP1254"/>
      <c r="UQ1254"/>
      <c r="UR1254"/>
      <c r="US1254"/>
      <c r="UT1254"/>
      <c r="UU1254"/>
      <c r="UV1254"/>
      <c r="UW1254"/>
      <c r="UX1254"/>
      <c r="UY1254"/>
      <c r="UZ1254"/>
      <c r="VA1254"/>
      <c r="VB1254"/>
      <c r="VC1254"/>
      <c r="VD1254"/>
      <c r="VE1254"/>
      <c r="VF1254"/>
      <c r="VG1254"/>
      <c r="VH1254"/>
      <c r="VI1254"/>
      <c r="VJ1254"/>
      <c r="VK1254"/>
      <c r="VL1254"/>
      <c r="VM1254"/>
      <c r="VN1254"/>
      <c r="VO1254"/>
      <c r="VP1254"/>
      <c r="VQ1254"/>
      <c r="VR1254"/>
      <c r="VS1254"/>
      <c r="VT1254"/>
      <c r="VU1254"/>
      <c r="VV1254"/>
      <c r="VW1254"/>
      <c r="VX1254"/>
      <c r="VY1254"/>
      <c r="VZ1254"/>
      <c r="WA1254"/>
      <c r="WB1254"/>
      <c r="WC1254"/>
      <c r="WD1254"/>
      <c r="WE1254"/>
      <c r="WF1254"/>
      <c r="WG1254"/>
      <c r="WH1254"/>
      <c r="WI1254"/>
      <c r="WJ1254"/>
      <c r="WK1254"/>
      <c r="WL1254"/>
      <c r="WM1254"/>
      <c r="WN1254"/>
      <c r="WO1254"/>
      <c r="WP1254"/>
      <c r="WQ1254"/>
      <c r="WR1254"/>
      <c r="WS1254"/>
      <c r="WT1254"/>
      <c r="WU1254"/>
      <c r="WV1254"/>
      <c r="WW1254"/>
      <c r="WX1254"/>
      <c r="WY1254"/>
      <c r="WZ1254"/>
      <c r="XA1254"/>
      <c r="XB1254"/>
      <c r="XC1254"/>
      <c r="XD1254"/>
      <c r="XE1254"/>
      <c r="XF1254"/>
      <c r="XG1254"/>
      <c r="XH1254"/>
      <c r="XI1254"/>
      <c r="XJ1254"/>
      <c r="XK1254"/>
      <c r="XL1254"/>
      <c r="XM1254"/>
      <c r="XN1254"/>
      <c r="XO1254"/>
      <c r="XP1254"/>
      <c r="XQ1254"/>
      <c r="XR1254"/>
      <c r="XS1254"/>
      <c r="XT1254"/>
      <c r="XU1254"/>
      <c r="XV1254"/>
      <c r="XW1254"/>
      <c r="XX1254"/>
      <c r="XY1254"/>
      <c r="XZ1254"/>
      <c r="YA1254"/>
      <c r="YB1254"/>
      <c r="YC1254"/>
      <c r="YD1254"/>
      <c r="YE1254"/>
      <c r="YF1254"/>
      <c r="YG1254"/>
      <c r="YH1254"/>
      <c r="YI1254"/>
      <c r="YJ1254"/>
      <c r="YK1254"/>
      <c r="YL1254"/>
      <c r="YM1254"/>
      <c r="YN1254"/>
      <c r="YO1254"/>
      <c r="YP1254"/>
      <c r="YQ1254"/>
      <c r="YR1254"/>
      <c r="YS1254"/>
      <c r="YT1254"/>
      <c r="YU1254"/>
      <c r="YV1254"/>
      <c r="YW1254"/>
      <c r="YX1254"/>
      <c r="YY1254"/>
      <c r="YZ1254"/>
      <c r="ZA1254"/>
      <c r="ZB1254"/>
      <c r="ZC1254"/>
      <c r="ZD1254"/>
      <c r="ZE1254"/>
      <c r="ZF1254"/>
      <c r="ZG1254"/>
      <c r="ZH1254"/>
      <c r="ZI1254"/>
      <c r="ZJ1254"/>
      <c r="ZK1254"/>
      <c r="ZL1254"/>
      <c r="ZM1254"/>
      <c r="ZN1254"/>
      <c r="ZO1254"/>
      <c r="ZP1254"/>
      <c r="ZQ1254"/>
      <c r="ZR1254"/>
      <c r="ZS1254"/>
      <c r="ZT1254"/>
      <c r="ZU1254"/>
      <c r="ZV1254"/>
      <c r="ZW1254"/>
      <c r="ZX1254"/>
      <c r="ZY1254"/>
      <c r="ZZ1254"/>
      <c r="AAA1254"/>
      <c r="AAB1254"/>
      <c r="AAC1254"/>
      <c r="AAD1254"/>
      <c r="AAE1254"/>
      <c r="AAF1254"/>
      <c r="AAG1254"/>
      <c r="AAH1254"/>
      <c r="AAI1254"/>
      <c r="AAJ1254"/>
      <c r="AAK1254"/>
      <c r="AAL1254"/>
      <c r="AAM1254"/>
      <c r="AAN1254"/>
      <c r="AAO1254"/>
      <c r="AAP1254"/>
      <c r="AAQ1254"/>
      <c r="AAR1254"/>
      <c r="AAS1254"/>
      <c r="AAT1254"/>
      <c r="AAU1254"/>
      <c r="AAV1254"/>
      <c r="AAW1254"/>
      <c r="AAX1254"/>
      <c r="AAY1254"/>
      <c r="AAZ1254"/>
      <c r="ABA1254"/>
      <c r="ABB1254"/>
      <c r="ABC1254"/>
      <c r="ABD1254"/>
      <c r="ABE1254"/>
      <c r="ABF1254"/>
      <c r="ABG1254"/>
      <c r="ABH1254"/>
      <c r="ABI1254"/>
      <c r="ABJ1254"/>
      <c r="ABK1254"/>
      <c r="ABL1254"/>
      <c r="ABM1254"/>
      <c r="ABN1254"/>
      <c r="ABO1254"/>
      <c r="ABP1254"/>
      <c r="ABQ1254"/>
      <c r="ABR1254"/>
      <c r="ABS1254"/>
      <c r="ABT1254"/>
      <c r="ABU1254"/>
      <c r="ABV1254"/>
      <c r="ABW1254"/>
      <c r="ABX1254"/>
      <c r="ABY1254"/>
      <c r="ABZ1254"/>
      <c r="ACA1254"/>
      <c r="ACB1254"/>
      <c r="ACC1254"/>
      <c r="ACD1254"/>
      <c r="ACE1254"/>
      <c r="ACF1254"/>
      <c r="ACG1254"/>
      <c r="ACH1254"/>
      <c r="ACI1254"/>
      <c r="ACJ1254"/>
      <c r="ACK1254"/>
      <c r="ACL1254"/>
      <c r="ACM1254"/>
      <c r="ACN1254"/>
      <c r="ACO1254"/>
      <c r="ACP1254"/>
      <c r="ACQ1254"/>
      <c r="ACR1254"/>
      <c r="ACS1254"/>
      <c r="ACT1254"/>
      <c r="ACU1254"/>
      <c r="ACV1254"/>
      <c r="ACW1254"/>
      <c r="ACX1254"/>
      <c r="ACY1254"/>
      <c r="ACZ1254"/>
      <c r="ADA1254"/>
      <c r="ADB1254"/>
      <c r="ADC1254"/>
      <c r="ADD1254"/>
      <c r="ADE1254"/>
      <c r="ADF1254"/>
      <c r="ADG1254"/>
      <c r="ADH1254"/>
      <c r="ADI1254"/>
      <c r="ADJ1254"/>
      <c r="ADK1254"/>
      <c r="ADL1254"/>
      <c r="ADM1254"/>
      <c r="ADN1254"/>
      <c r="ADO1254"/>
      <c r="ADP1254"/>
      <c r="ADQ1254"/>
      <c r="ADR1254"/>
      <c r="ADS1254"/>
      <c r="ADT1254"/>
      <c r="ADU1254"/>
      <c r="ADV1254"/>
      <c r="ADW1254"/>
      <c r="ADX1254"/>
      <c r="ADY1254"/>
      <c r="ADZ1254"/>
      <c r="AEA1254"/>
      <c r="AEB1254"/>
      <c r="AEC1254"/>
      <c r="AED1254"/>
      <c r="AEE1254"/>
      <c r="AEF1254"/>
      <c r="AEG1254"/>
      <c r="AEH1254"/>
      <c r="AEI1254"/>
      <c r="AEJ1254"/>
      <c r="AEK1254"/>
      <c r="AEL1254"/>
      <c r="AEM1254"/>
      <c r="AEN1254"/>
      <c r="AEO1254"/>
      <c r="AEP1254"/>
      <c r="AEQ1254"/>
      <c r="AER1254"/>
      <c r="AES1254"/>
      <c r="AET1254"/>
      <c r="AEU1254"/>
      <c r="AEV1254"/>
      <c r="AEW1254"/>
      <c r="AEX1254"/>
      <c r="AEY1254"/>
      <c r="AEZ1254"/>
      <c r="AFA1254"/>
      <c r="AFB1254"/>
      <c r="AFC1254"/>
      <c r="AFD1254"/>
      <c r="AFE1254"/>
      <c r="AFF1254"/>
      <c r="AFG1254"/>
      <c r="AFH1254"/>
      <c r="AFI1254"/>
      <c r="AFJ1254"/>
      <c r="AFK1254"/>
      <c r="AFL1254"/>
      <c r="AFM1254"/>
      <c r="AFN1254"/>
      <c r="AFO1254"/>
      <c r="AFP1254"/>
      <c r="AFQ1254"/>
      <c r="AFR1254"/>
      <c r="AFS1254"/>
      <c r="AFT1254"/>
      <c r="AFU1254"/>
      <c r="AFV1254"/>
      <c r="AFW1254"/>
      <c r="AFX1254"/>
      <c r="AFY1254"/>
      <c r="AFZ1254"/>
      <c r="AGA1254"/>
      <c r="AGB1254"/>
      <c r="AGC1254"/>
      <c r="AGD1254"/>
      <c r="AGE1254"/>
      <c r="AGF1254"/>
      <c r="AGG1254"/>
      <c r="AGH1254"/>
      <c r="AGI1254"/>
      <c r="AGJ1254"/>
      <c r="AGK1254"/>
      <c r="AGL1254"/>
      <c r="AGM1254"/>
      <c r="AGN1254"/>
      <c r="AGO1254"/>
      <c r="AGP1254"/>
      <c r="AGQ1254"/>
      <c r="AGR1254"/>
      <c r="AGS1254"/>
      <c r="AGT1254"/>
      <c r="AGU1254"/>
      <c r="AGV1254"/>
      <c r="AGW1254"/>
      <c r="AGX1254"/>
      <c r="AGY1254"/>
      <c r="AGZ1254"/>
      <c r="AHA1254"/>
      <c r="AHB1254"/>
      <c r="AHC1254"/>
      <c r="AHD1254"/>
      <c r="AHE1254"/>
      <c r="AHF1254"/>
      <c r="AHG1254"/>
      <c r="AHH1254"/>
      <c r="AHI1254"/>
      <c r="AHJ1254"/>
      <c r="AHK1254"/>
      <c r="AHL1254"/>
      <c r="AHM1254"/>
      <c r="AHN1254"/>
      <c r="AHO1254"/>
      <c r="AHP1254"/>
      <c r="AHQ1254"/>
      <c r="AHR1254"/>
      <c r="AHS1254"/>
      <c r="AHT1254"/>
      <c r="AHU1254"/>
      <c r="AHV1254"/>
      <c r="AHW1254"/>
      <c r="AHX1254"/>
      <c r="AHY1254"/>
      <c r="AHZ1254"/>
      <c r="AIA1254"/>
      <c r="AIB1254"/>
      <c r="AIC1254"/>
      <c r="AID1254"/>
      <c r="AIE1254"/>
      <c r="AIF1254"/>
      <c r="AIG1254"/>
      <c r="AIH1254"/>
      <c r="AII1254"/>
      <c r="AIJ1254"/>
      <c r="AIK1254"/>
      <c r="AIL1254"/>
      <c r="AIM1254"/>
      <c r="AIN1254"/>
      <c r="AIO1254"/>
      <c r="AIP1254"/>
      <c r="AIQ1254"/>
      <c r="AIR1254"/>
      <c r="AIS1254"/>
      <c r="AIT1254"/>
      <c r="AIU1254"/>
      <c r="AIV1254"/>
      <c r="AIW1254"/>
      <c r="AIX1254"/>
      <c r="AIY1254"/>
      <c r="AIZ1254"/>
      <c r="AJA1254"/>
      <c r="AJB1254"/>
      <c r="AJC1254"/>
      <c r="AJD1254"/>
      <c r="AJE1254"/>
      <c r="AJF1254"/>
      <c r="AJG1254"/>
      <c r="AJH1254"/>
      <c r="AJI1254"/>
      <c r="AJJ1254"/>
      <c r="AJK1254"/>
      <c r="AJL1254"/>
      <c r="AJM1254"/>
      <c r="AJN1254"/>
      <c r="AJO1254"/>
      <c r="AJP1254"/>
      <c r="AJQ1254"/>
      <c r="AJR1254"/>
      <c r="AJS1254"/>
      <c r="AJT1254"/>
      <c r="AJU1254"/>
      <c r="AJV1254"/>
      <c r="AJW1254"/>
      <c r="AJX1254"/>
      <c r="AJY1254"/>
      <c r="AJZ1254"/>
      <c r="AKA1254"/>
      <c r="AKB1254"/>
      <c r="AKC1254"/>
      <c r="AKD1254"/>
      <c r="AKE1254"/>
      <c r="AKF1254"/>
      <c r="AKG1254"/>
      <c r="AKH1254"/>
      <c r="AKI1254"/>
      <c r="AKJ1254"/>
      <c r="AKK1254"/>
      <c r="AKL1254"/>
      <c r="AKM1254"/>
      <c r="AKN1254"/>
      <c r="AKO1254"/>
      <c r="AKP1254"/>
      <c r="AKQ1254"/>
      <c r="AKR1254"/>
      <c r="AKS1254"/>
      <c r="AKT1254"/>
      <c r="AKU1254"/>
      <c r="AKV1254"/>
      <c r="AKW1254"/>
      <c r="AKX1254"/>
      <c r="AKY1254"/>
      <c r="AKZ1254"/>
      <c r="ALA1254"/>
      <c r="ALB1254"/>
      <c r="ALC1254"/>
      <c r="ALD1254"/>
      <c r="ALE1254"/>
      <c r="ALF1254"/>
      <c r="ALG1254"/>
      <c r="ALH1254"/>
      <c r="ALI1254"/>
      <c r="ALJ1254"/>
      <c r="ALK1254"/>
      <c r="ALL1254"/>
      <c r="ALM1254"/>
      <c r="ALN1254"/>
      <c r="ALO1254"/>
      <c r="ALP1254"/>
      <c r="ALQ1254"/>
      <c r="ALR1254"/>
      <c r="ALS1254"/>
      <c r="ALT1254"/>
    </row>
    <row r="1255" spans="1:1008" ht="14">
      <c r="A1255" s="27" t="s">
        <v>3924</v>
      </c>
      <c r="B1255" s="25" t="s">
        <v>3985</v>
      </c>
      <c r="C1255" s="27" t="s">
        <v>3924</v>
      </c>
      <c r="D1255" s="24" t="s">
        <v>12</v>
      </c>
      <c r="E1255" s="27" t="s">
        <v>3924</v>
      </c>
      <c r="F1255" s="27" t="s">
        <v>3925</v>
      </c>
      <c r="G1255" s="27">
        <v>500</v>
      </c>
      <c r="H1255" s="27"/>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c r="AT1255"/>
      <c r="AU1255"/>
      <c r="AV1255"/>
      <c r="AW1255"/>
      <c r="AX1255"/>
      <c r="AY1255"/>
      <c r="AZ1255"/>
      <c r="BA1255"/>
      <c r="BB1255"/>
      <c r="BC1255"/>
      <c r="BD1255"/>
      <c r="BE1255"/>
      <c r="BF1255"/>
      <c r="BG1255"/>
      <c r="BH1255"/>
      <c r="BI1255"/>
      <c r="BJ1255"/>
      <c r="BK1255"/>
      <c r="BL1255"/>
      <c r="BM1255"/>
      <c r="BN1255"/>
      <c r="BO1255"/>
      <c r="BP1255"/>
      <c r="BQ1255"/>
      <c r="BR1255"/>
      <c r="BS1255"/>
      <c r="BT1255"/>
      <c r="BU1255"/>
      <c r="BV1255"/>
      <c r="BW1255"/>
      <c r="BX1255"/>
      <c r="BY1255"/>
      <c r="BZ1255"/>
      <c r="CA1255"/>
      <c r="CB1255"/>
      <c r="CC1255"/>
      <c r="CD1255"/>
      <c r="CE1255"/>
      <c r="CF1255"/>
      <c r="CG1255"/>
      <c r="CH1255"/>
      <c r="CI1255"/>
      <c r="CJ1255"/>
      <c r="CK1255"/>
      <c r="CL1255"/>
      <c r="CM1255"/>
      <c r="CN1255"/>
      <c r="CO1255"/>
      <c r="CP1255"/>
      <c r="CQ1255"/>
      <c r="CR1255"/>
      <c r="CS1255"/>
      <c r="CT1255"/>
      <c r="CU1255"/>
      <c r="CV1255"/>
      <c r="CW1255"/>
      <c r="CX1255"/>
      <c r="CY1255"/>
      <c r="CZ1255"/>
      <c r="DA1255"/>
      <c r="DB1255"/>
      <c r="DC1255"/>
      <c r="DD1255"/>
      <c r="DE1255"/>
      <c r="DF1255"/>
      <c r="DG1255"/>
      <c r="DH1255"/>
      <c r="DI1255"/>
      <c r="DJ1255"/>
      <c r="DK1255"/>
      <c r="DL1255"/>
      <c r="DM1255"/>
      <c r="DN1255"/>
      <c r="DO1255"/>
      <c r="DP1255"/>
      <c r="DQ1255"/>
      <c r="DR1255"/>
      <c r="DS1255"/>
      <c r="DT1255"/>
      <c r="DU1255"/>
      <c r="DV1255"/>
      <c r="DW1255"/>
      <c r="DX1255"/>
      <c r="DY1255"/>
      <c r="DZ1255"/>
      <c r="EA1255"/>
      <c r="EB1255"/>
      <c r="EC1255"/>
      <c r="ED1255"/>
      <c r="EE1255"/>
      <c r="EF1255"/>
      <c r="EG1255"/>
      <c r="EH1255"/>
      <c r="EI1255"/>
      <c r="EJ1255"/>
      <c r="EK1255"/>
      <c r="EL1255"/>
      <c r="EM1255"/>
      <c r="EN1255"/>
      <c r="EO1255"/>
      <c r="EP1255"/>
      <c r="EQ1255"/>
      <c r="ER1255"/>
      <c r="ES1255"/>
      <c r="ET1255"/>
      <c r="EU1255"/>
      <c r="EV1255"/>
      <c r="EW1255"/>
      <c r="EX1255"/>
      <c r="EY1255"/>
      <c r="EZ1255"/>
      <c r="FA1255"/>
      <c r="FB1255"/>
      <c r="FC1255"/>
      <c r="FD1255"/>
      <c r="FE1255"/>
      <c r="FF1255"/>
      <c r="FG1255"/>
      <c r="FH1255"/>
      <c r="FI1255"/>
      <c r="FJ1255"/>
      <c r="FK1255"/>
      <c r="FL1255"/>
      <c r="FM1255"/>
      <c r="FN1255"/>
      <c r="FO1255"/>
      <c r="FP1255"/>
      <c r="FQ1255"/>
      <c r="FR1255"/>
      <c r="FS1255"/>
      <c r="FT1255"/>
      <c r="FU1255"/>
      <c r="FV1255"/>
      <c r="FW1255"/>
      <c r="FX1255"/>
      <c r="FY1255"/>
      <c r="FZ1255"/>
      <c r="GA1255"/>
      <c r="GB1255"/>
      <c r="GC1255"/>
      <c r="GD1255"/>
      <c r="GE1255"/>
      <c r="GF1255"/>
      <c r="GG1255"/>
      <c r="GH1255"/>
      <c r="GI1255"/>
      <c r="GJ1255"/>
      <c r="GK1255"/>
      <c r="GL1255"/>
      <c r="GM1255"/>
      <c r="GN1255"/>
      <c r="GO1255"/>
      <c r="GP1255"/>
      <c r="GQ1255"/>
      <c r="GR1255"/>
      <c r="GS1255"/>
      <c r="GT1255"/>
      <c r="GU1255"/>
      <c r="GV1255"/>
      <c r="GW1255"/>
      <c r="GX1255"/>
      <c r="GY1255"/>
      <c r="GZ1255"/>
      <c r="HA1255"/>
      <c r="HB1255"/>
      <c r="HC1255"/>
      <c r="HD1255"/>
      <c r="HE1255"/>
      <c r="HF1255"/>
      <c r="HG1255"/>
      <c r="HH1255"/>
      <c r="HI1255"/>
      <c r="HJ1255"/>
      <c r="HK1255"/>
      <c r="HL1255"/>
      <c r="HM1255"/>
      <c r="HN1255"/>
      <c r="HO1255"/>
      <c r="HP1255"/>
      <c r="HQ1255"/>
      <c r="HR1255"/>
      <c r="HS1255"/>
      <c r="HT1255"/>
      <c r="HU1255"/>
      <c r="HV1255"/>
      <c r="HW1255"/>
      <c r="HX1255"/>
      <c r="HY1255"/>
      <c r="HZ1255"/>
      <c r="IA1255"/>
      <c r="IB1255"/>
      <c r="IC1255"/>
      <c r="ID1255"/>
      <c r="IE1255"/>
      <c r="IF1255"/>
      <c r="IG1255"/>
      <c r="IH1255"/>
      <c r="II1255"/>
      <c r="IJ1255"/>
      <c r="IK1255"/>
      <c r="IL1255"/>
      <c r="IM1255"/>
      <c r="IN1255"/>
      <c r="IO1255"/>
      <c r="IP1255"/>
      <c r="IQ1255"/>
      <c r="IR1255"/>
      <c r="IS1255"/>
      <c r="IT1255"/>
      <c r="IU1255"/>
      <c r="IV1255"/>
      <c r="IW1255"/>
      <c r="IX1255"/>
      <c r="IY1255"/>
      <c r="IZ1255"/>
      <c r="JA1255"/>
      <c r="JB1255"/>
      <c r="JC1255"/>
      <c r="JD1255"/>
      <c r="JE1255"/>
      <c r="JF1255"/>
      <c r="JG1255"/>
      <c r="JH1255"/>
      <c r="JI1255"/>
      <c r="JJ1255"/>
      <c r="JK1255"/>
      <c r="JL1255"/>
      <c r="JM1255"/>
      <c r="JN1255"/>
      <c r="JO1255"/>
      <c r="JP1255"/>
      <c r="JQ1255"/>
      <c r="JR1255"/>
      <c r="JS1255"/>
      <c r="JT1255"/>
      <c r="JU1255"/>
      <c r="JV1255"/>
      <c r="JW1255"/>
      <c r="JX1255"/>
      <c r="JY1255"/>
      <c r="JZ1255"/>
      <c r="KA1255"/>
      <c r="KB1255"/>
      <c r="KC1255"/>
      <c r="KD1255"/>
      <c r="KE1255"/>
      <c r="KF1255"/>
      <c r="KG1255"/>
      <c r="KH1255"/>
      <c r="KI1255"/>
      <c r="KJ1255"/>
      <c r="KK1255"/>
      <c r="KL1255"/>
      <c r="KM1255"/>
      <c r="KN1255"/>
      <c r="KO1255"/>
      <c r="KP1255"/>
      <c r="KQ1255"/>
      <c r="KR1255"/>
      <c r="KS1255"/>
      <c r="KT1255"/>
      <c r="KU1255"/>
      <c r="KV1255"/>
      <c r="KW1255"/>
      <c r="KX1255"/>
      <c r="KY1255"/>
      <c r="KZ1255"/>
      <c r="LA1255"/>
      <c r="LB1255"/>
      <c r="LC1255"/>
      <c r="LD1255"/>
      <c r="LE1255"/>
      <c r="LF1255"/>
      <c r="LG1255"/>
      <c r="LH1255"/>
      <c r="LI1255"/>
      <c r="LJ1255"/>
      <c r="LK1255"/>
      <c r="LL1255"/>
      <c r="LM1255"/>
      <c r="LN1255"/>
      <c r="LO1255"/>
      <c r="LP1255"/>
      <c r="LQ1255"/>
      <c r="LR1255"/>
      <c r="LS1255"/>
      <c r="LT1255"/>
      <c r="LU1255"/>
      <c r="LV1255"/>
      <c r="LW1255"/>
      <c r="LX1255"/>
      <c r="LY1255"/>
      <c r="LZ1255"/>
      <c r="MA1255"/>
      <c r="MB1255"/>
      <c r="MC1255"/>
      <c r="MD1255"/>
      <c r="ME1255"/>
      <c r="MF1255"/>
      <c r="MG1255"/>
      <c r="MH1255"/>
      <c r="MI1255"/>
      <c r="MJ1255"/>
      <c r="MK1255"/>
      <c r="ML1255"/>
      <c r="MM1255"/>
      <c r="MN1255"/>
      <c r="MO1255"/>
      <c r="MP1255"/>
      <c r="MQ1255"/>
      <c r="MR1255"/>
      <c r="MS1255"/>
      <c r="MT1255"/>
      <c r="MU1255"/>
      <c r="MV1255"/>
      <c r="MW1255"/>
      <c r="MX1255"/>
      <c r="MY1255"/>
      <c r="MZ1255"/>
      <c r="NA1255"/>
      <c r="NB1255"/>
      <c r="NC1255"/>
      <c r="ND1255"/>
      <c r="NE1255"/>
      <c r="NF1255"/>
      <c r="NG1255"/>
      <c r="NH1255"/>
      <c r="NI1255"/>
      <c r="NJ1255"/>
      <c r="NK1255"/>
      <c r="NL1255"/>
      <c r="NM1255"/>
      <c r="NN1255"/>
      <c r="NO1255"/>
      <c r="NP1255"/>
      <c r="NQ1255"/>
      <c r="NR1255"/>
      <c r="NS1255"/>
      <c r="NT1255"/>
      <c r="NU1255"/>
      <c r="NV1255"/>
      <c r="NW1255"/>
      <c r="NX1255"/>
      <c r="NY1255"/>
      <c r="NZ1255"/>
      <c r="OA1255"/>
      <c r="OB1255"/>
      <c r="OC1255"/>
      <c r="OD1255"/>
      <c r="OE1255"/>
      <c r="OF1255"/>
      <c r="OG1255"/>
      <c r="OH1255"/>
      <c r="OI1255"/>
      <c r="OJ1255"/>
      <c r="OK1255"/>
      <c r="OL1255"/>
      <c r="OM1255"/>
      <c r="ON1255"/>
      <c r="OO1255"/>
      <c r="OP1255"/>
      <c r="OQ1255"/>
      <c r="OR1255"/>
      <c r="OS1255"/>
      <c r="OT1255"/>
      <c r="OU1255"/>
      <c r="OV1255"/>
      <c r="OW1255"/>
      <c r="OX1255"/>
      <c r="OY1255"/>
      <c r="OZ1255"/>
      <c r="PA1255"/>
      <c r="PB1255"/>
      <c r="PC1255"/>
      <c r="PD1255"/>
      <c r="PE1255"/>
      <c r="PF1255"/>
      <c r="PG1255"/>
      <c r="PH1255"/>
      <c r="PI1255"/>
      <c r="PJ1255"/>
      <c r="PK1255"/>
      <c r="PL1255"/>
      <c r="PM1255"/>
      <c r="PN1255"/>
      <c r="PO1255"/>
      <c r="PP1255"/>
      <c r="PQ1255"/>
      <c r="PR1255"/>
      <c r="PS1255"/>
      <c r="PT1255"/>
      <c r="PU1255"/>
      <c r="PV1255"/>
      <c r="PW1255"/>
      <c r="PX1255"/>
      <c r="PY1255"/>
      <c r="PZ1255"/>
      <c r="QA1255"/>
      <c r="QB1255"/>
      <c r="QC1255"/>
      <c r="QD1255"/>
      <c r="QE1255"/>
      <c r="QF1255"/>
      <c r="QG1255"/>
      <c r="QH1255"/>
      <c r="QI1255"/>
      <c r="QJ1255"/>
      <c r="QK1255"/>
      <c r="QL1255"/>
      <c r="QM1255"/>
      <c r="QN1255"/>
      <c r="QO1255"/>
      <c r="QP1255"/>
      <c r="QQ1255"/>
      <c r="QR1255"/>
      <c r="QS1255"/>
      <c r="QT1255"/>
      <c r="QU1255"/>
      <c r="QV1255"/>
      <c r="QW1255"/>
      <c r="QX1255"/>
      <c r="QY1255"/>
      <c r="QZ1255"/>
      <c r="RA1255"/>
      <c r="RB1255"/>
      <c r="RC1255"/>
      <c r="RD1255"/>
      <c r="RE1255"/>
      <c r="RF1255"/>
      <c r="RG1255"/>
      <c r="RH1255"/>
      <c r="RI1255"/>
      <c r="RJ1255"/>
      <c r="RK1255"/>
      <c r="RL1255"/>
      <c r="RM1255"/>
      <c r="RN1255"/>
      <c r="RO1255"/>
      <c r="RP1255"/>
      <c r="RQ1255"/>
      <c r="RR1255"/>
      <c r="RS1255"/>
      <c r="RT1255"/>
      <c r="RU1255"/>
      <c r="RV1255"/>
      <c r="RW1255"/>
      <c r="RX1255"/>
      <c r="RY1255"/>
      <c r="RZ1255"/>
      <c r="SA1255"/>
      <c r="SB1255"/>
      <c r="SC1255"/>
      <c r="SD1255"/>
      <c r="SE1255"/>
      <c r="SF1255"/>
      <c r="SG1255"/>
      <c r="SH1255"/>
      <c r="SI1255"/>
      <c r="SJ1255"/>
      <c r="SK1255"/>
      <c r="SL1255"/>
      <c r="SM1255"/>
      <c r="SN1255"/>
      <c r="SO1255"/>
      <c r="SP1255"/>
      <c r="SQ1255"/>
      <c r="SR1255"/>
      <c r="SS1255"/>
      <c r="ST1255"/>
      <c r="SU1255"/>
      <c r="SV1255"/>
      <c r="SW1255"/>
      <c r="SX1255"/>
      <c r="SY1255"/>
      <c r="SZ1255"/>
      <c r="TA1255"/>
      <c r="TB1255"/>
      <c r="TC1255"/>
      <c r="TD1255"/>
      <c r="TE1255"/>
      <c r="TF1255"/>
      <c r="TG1255"/>
      <c r="TH1255"/>
      <c r="TI1255"/>
      <c r="TJ1255"/>
      <c r="TK1255"/>
      <c r="TL1255"/>
      <c r="TM1255"/>
      <c r="TN1255"/>
      <c r="TO1255"/>
      <c r="TP1255"/>
      <c r="TQ1255"/>
      <c r="TR1255"/>
      <c r="TS1255"/>
      <c r="TT1255"/>
      <c r="TU1255"/>
      <c r="TV1255"/>
      <c r="TW1255"/>
      <c r="TX1255"/>
      <c r="TY1255"/>
      <c r="TZ1255"/>
      <c r="UA1255"/>
      <c r="UB1255"/>
      <c r="UC1255"/>
      <c r="UD1255"/>
      <c r="UE1255"/>
      <c r="UF1255"/>
      <c r="UG1255"/>
      <c r="UH1255"/>
      <c r="UI1255"/>
      <c r="UJ1255"/>
      <c r="UK1255"/>
      <c r="UL1255"/>
      <c r="UM1255"/>
      <c r="UN1255"/>
      <c r="UO1255"/>
      <c r="UP1255"/>
      <c r="UQ1255"/>
      <c r="UR1255"/>
      <c r="US1255"/>
      <c r="UT1255"/>
      <c r="UU1255"/>
      <c r="UV1255"/>
      <c r="UW1255"/>
      <c r="UX1255"/>
      <c r="UY1255"/>
      <c r="UZ1255"/>
      <c r="VA1255"/>
      <c r="VB1255"/>
      <c r="VC1255"/>
      <c r="VD1255"/>
      <c r="VE1255"/>
      <c r="VF1255"/>
      <c r="VG1255"/>
      <c r="VH1255"/>
      <c r="VI1255"/>
      <c r="VJ1255"/>
      <c r="VK1255"/>
      <c r="VL1255"/>
      <c r="VM1255"/>
      <c r="VN1255"/>
      <c r="VO1255"/>
      <c r="VP1255"/>
      <c r="VQ1255"/>
      <c r="VR1255"/>
      <c r="VS1255"/>
      <c r="VT1255"/>
      <c r="VU1255"/>
      <c r="VV1255"/>
      <c r="VW1255"/>
      <c r="VX1255"/>
      <c r="VY1255"/>
      <c r="VZ1255"/>
      <c r="WA1255"/>
      <c r="WB1255"/>
      <c r="WC1255"/>
      <c r="WD1255"/>
      <c r="WE1255"/>
      <c r="WF1255"/>
      <c r="WG1255"/>
      <c r="WH1255"/>
      <c r="WI1255"/>
      <c r="WJ1255"/>
      <c r="WK1255"/>
      <c r="WL1255"/>
      <c r="WM1255"/>
      <c r="WN1255"/>
      <c r="WO1255"/>
      <c r="WP1255"/>
      <c r="WQ1255"/>
      <c r="WR1255"/>
      <c r="WS1255"/>
      <c r="WT1255"/>
      <c r="WU1255"/>
      <c r="WV1255"/>
      <c r="WW1255"/>
      <c r="WX1255"/>
      <c r="WY1255"/>
      <c r="WZ1255"/>
      <c r="XA1255"/>
      <c r="XB1255"/>
      <c r="XC1255"/>
      <c r="XD1255"/>
      <c r="XE1255"/>
      <c r="XF1255"/>
      <c r="XG1255"/>
      <c r="XH1255"/>
      <c r="XI1255"/>
      <c r="XJ1255"/>
      <c r="XK1255"/>
      <c r="XL1255"/>
      <c r="XM1255"/>
      <c r="XN1255"/>
      <c r="XO1255"/>
      <c r="XP1255"/>
      <c r="XQ1255"/>
      <c r="XR1255"/>
      <c r="XS1255"/>
      <c r="XT1255"/>
      <c r="XU1255"/>
      <c r="XV1255"/>
      <c r="XW1255"/>
      <c r="XX1255"/>
      <c r="XY1255"/>
      <c r="XZ1255"/>
      <c r="YA1255"/>
      <c r="YB1255"/>
      <c r="YC1255"/>
      <c r="YD1255"/>
      <c r="YE1255"/>
      <c r="YF1255"/>
      <c r="YG1255"/>
      <c r="YH1255"/>
      <c r="YI1255"/>
      <c r="YJ1255"/>
      <c r="YK1255"/>
      <c r="YL1255"/>
      <c r="YM1255"/>
      <c r="YN1255"/>
      <c r="YO1255"/>
      <c r="YP1255"/>
      <c r="YQ1255"/>
      <c r="YR1255"/>
      <c r="YS1255"/>
      <c r="YT1255"/>
      <c r="YU1255"/>
      <c r="YV1255"/>
      <c r="YW1255"/>
      <c r="YX1255"/>
      <c r="YY1255"/>
      <c r="YZ1255"/>
      <c r="ZA1255"/>
      <c r="ZB1255"/>
      <c r="ZC1255"/>
      <c r="ZD1255"/>
      <c r="ZE1255"/>
      <c r="ZF1255"/>
      <c r="ZG1255"/>
      <c r="ZH1255"/>
      <c r="ZI1255"/>
      <c r="ZJ1255"/>
      <c r="ZK1255"/>
      <c r="ZL1255"/>
      <c r="ZM1255"/>
      <c r="ZN1255"/>
      <c r="ZO1255"/>
      <c r="ZP1255"/>
      <c r="ZQ1255"/>
      <c r="ZR1255"/>
      <c r="ZS1255"/>
      <c r="ZT1255"/>
      <c r="ZU1255"/>
      <c r="ZV1255"/>
      <c r="ZW1255"/>
      <c r="ZX1255"/>
      <c r="ZY1255"/>
      <c r="ZZ1255"/>
      <c r="AAA1255"/>
      <c r="AAB1255"/>
      <c r="AAC1255"/>
      <c r="AAD1255"/>
      <c r="AAE1255"/>
      <c r="AAF1255"/>
      <c r="AAG1255"/>
      <c r="AAH1255"/>
      <c r="AAI1255"/>
      <c r="AAJ1255"/>
      <c r="AAK1255"/>
      <c r="AAL1255"/>
      <c r="AAM1255"/>
      <c r="AAN1255"/>
      <c r="AAO1255"/>
      <c r="AAP1255"/>
      <c r="AAQ1255"/>
      <c r="AAR1255"/>
      <c r="AAS1255"/>
      <c r="AAT1255"/>
      <c r="AAU1255"/>
      <c r="AAV1255"/>
      <c r="AAW1255"/>
      <c r="AAX1255"/>
      <c r="AAY1255"/>
      <c r="AAZ1255"/>
      <c r="ABA1255"/>
      <c r="ABB1255"/>
      <c r="ABC1255"/>
      <c r="ABD1255"/>
      <c r="ABE1255"/>
      <c r="ABF1255"/>
      <c r="ABG1255"/>
      <c r="ABH1255"/>
      <c r="ABI1255"/>
      <c r="ABJ1255"/>
      <c r="ABK1255"/>
      <c r="ABL1255"/>
      <c r="ABM1255"/>
      <c r="ABN1255"/>
      <c r="ABO1255"/>
      <c r="ABP1255"/>
      <c r="ABQ1255"/>
      <c r="ABR1255"/>
      <c r="ABS1255"/>
      <c r="ABT1255"/>
      <c r="ABU1255"/>
      <c r="ABV1255"/>
      <c r="ABW1255"/>
      <c r="ABX1255"/>
      <c r="ABY1255"/>
      <c r="ABZ1255"/>
      <c r="ACA1255"/>
      <c r="ACB1255"/>
      <c r="ACC1255"/>
      <c r="ACD1255"/>
      <c r="ACE1255"/>
      <c r="ACF1255"/>
      <c r="ACG1255"/>
      <c r="ACH1255"/>
      <c r="ACI1255"/>
      <c r="ACJ1255"/>
      <c r="ACK1255"/>
      <c r="ACL1255"/>
      <c r="ACM1255"/>
      <c r="ACN1255"/>
      <c r="ACO1255"/>
      <c r="ACP1255"/>
      <c r="ACQ1255"/>
      <c r="ACR1255"/>
      <c r="ACS1255"/>
      <c r="ACT1255"/>
      <c r="ACU1255"/>
      <c r="ACV1255"/>
      <c r="ACW1255"/>
      <c r="ACX1255"/>
      <c r="ACY1255"/>
      <c r="ACZ1255"/>
      <c r="ADA1255"/>
      <c r="ADB1255"/>
      <c r="ADC1255"/>
      <c r="ADD1255"/>
      <c r="ADE1255"/>
      <c r="ADF1255"/>
      <c r="ADG1255"/>
      <c r="ADH1255"/>
      <c r="ADI1255"/>
      <c r="ADJ1255"/>
      <c r="ADK1255"/>
      <c r="ADL1255"/>
      <c r="ADM1255"/>
      <c r="ADN1255"/>
      <c r="ADO1255"/>
      <c r="ADP1255"/>
      <c r="ADQ1255"/>
      <c r="ADR1255"/>
      <c r="ADS1255"/>
      <c r="ADT1255"/>
      <c r="ADU1255"/>
      <c r="ADV1255"/>
      <c r="ADW1255"/>
      <c r="ADX1255"/>
      <c r="ADY1255"/>
      <c r="ADZ1255"/>
      <c r="AEA1255"/>
      <c r="AEB1255"/>
      <c r="AEC1255"/>
      <c r="AED1255"/>
      <c r="AEE1255"/>
      <c r="AEF1255"/>
      <c r="AEG1255"/>
      <c r="AEH1255"/>
      <c r="AEI1255"/>
      <c r="AEJ1255"/>
      <c r="AEK1255"/>
      <c r="AEL1255"/>
      <c r="AEM1255"/>
      <c r="AEN1255"/>
      <c r="AEO1255"/>
      <c r="AEP1255"/>
      <c r="AEQ1255"/>
      <c r="AER1255"/>
      <c r="AES1255"/>
      <c r="AET1255"/>
      <c r="AEU1255"/>
      <c r="AEV1255"/>
      <c r="AEW1255"/>
      <c r="AEX1255"/>
      <c r="AEY1255"/>
      <c r="AEZ1255"/>
      <c r="AFA1255"/>
      <c r="AFB1255"/>
      <c r="AFC1255"/>
      <c r="AFD1255"/>
      <c r="AFE1255"/>
      <c r="AFF1255"/>
      <c r="AFG1255"/>
      <c r="AFH1255"/>
      <c r="AFI1255"/>
      <c r="AFJ1255"/>
      <c r="AFK1255"/>
      <c r="AFL1255"/>
      <c r="AFM1255"/>
      <c r="AFN1255"/>
      <c r="AFO1255"/>
      <c r="AFP1255"/>
      <c r="AFQ1255"/>
      <c r="AFR1255"/>
      <c r="AFS1255"/>
      <c r="AFT1255"/>
      <c r="AFU1255"/>
      <c r="AFV1255"/>
      <c r="AFW1255"/>
      <c r="AFX1255"/>
      <c r="AFY1255"/>
      <c r="AFZ1255"/>
      <c r="AGA1255"/>
      <c r="AGB1255"/>
      <c r="AGC1255"/>
      <c r="AGD1255"/>
      <c r="AGE1255"/>
      <c r="AGF1255"/>
      <c r="AGG1255"/>
      <c r="AGH1255"/>
      <c r="AGI1255"/>
      <c r="AGJ1255"/>
      <c r="AGK1255"/>
      <c r="AGL1255"/>
      <c r="AGM1255"/>
      <c r="AGN1255"/>
      <c r="AGO1255"/>
      <c r="AGP1255"/>
      <c r="AGQ1255"/>
      <c r="AGR1255"/>
      <c r="AGS1255"/>
      <c r="AGT1255"/>
      <c r="AGU1255"/>
      <c r="AGV1255"/>
      <c r="AGW1255"/>
      <c r="AGX1255"/>
      <c r="AGY1255"/>
      <c r="AGZ1255"/>
      <c r="AHA1255"/>
      <c r="AHB1255"/>
      <c r="AHC1255"/>
      <c r="AHD1255"/>
      <c r="AHE1255"/>
      <c r="AHF1255"/>
      <c r="AHG1255"/>
      <c r="AHH1255"/>
      <c r="AHI1255"/>
      <c r="AHJ1255"/>
      <c r="AHK1255"/>
      <c r="AHL1255"/>
      <c r="AHM1255"/>
      <c r="AHN1255"/>
      <c r="AHO1255"/>
      <c r="AHP1255"/>
      <c r="AHQ1255"/>
      <c r="AHR1255"/>
      <c r="AHS1255"/>
      <c r="AHT1255"/>
      <c r="AHU1255"/>
      <c r="AHV1255"/>
      <c r="AHW1255"/>
      <c r="AHX1255"/>
      <c r="AHY1255"/>
      <c r="AHZ1255"/>
      <c r="AIA1255"/>
      <c r="AIB1255"/>
      <c r="AIC1255"/>
      <c r="AID1255"/>
      <c r="AIE1255"/>
      <c r="AIF1255"/>
      <c r="AIG1255"/>
      <c r="AIH1255"/>
      <c r="AII1255"/>
      <c r="AIJ1255"/>
      <c r="AIK1255"/>
      <c r="AIL1255"/>
      <c r="AIM1255"/>
      <c r="AIN1255"/>
      <c r="AIO1255"/>
      <c r="AIP1255"/>
      <c r="AIQ1255"/>
      <c r="AIR1255"/>
      <c r="AIS1255"/>
      <c r="AIT1255"/>
      <c r="AIU1255"/>
      <c r="AIV1255"/>
      <c r="AIW1255"/>
      <c r="AIX1255"/>
      <c r="AIY1255"/>
      <c r="AIZ1255"/>
      <c r="AJA1255"/>
      <c r="AJB1255"/>
      <c r="AJC1255"/>
      <c r="AJD1255"/>
      <c r="AJE1255"/>
      <c r="AJF1255"/>
      <c r="AJG1255"/>
      <c r="AJH1255"/>
      <c r="AJI1255"/>
      <c r="AJJ1255"/>
      <c r="AJK1255"/>
      <c r="AJL1255"/>
      <c r="AJM1255"/>
      <c r="AJN1255"/>
      <c r="AJO1255"/>
      <c r="AJP1255"/>
      <c r="AJQ1255"/>
      <c r="AJR1255"/>
      <c r="AJS1255"/>
      <c r="AJT1255"/>
      <c r="AJU1255"/>
      <c r="AJV1255"/>
      <c r="AJW1255"/>
      <c r="AJX1255"/>
      <c r="AJY1255"/>
      <c r="AJZ1255"/>
      <c r="AKA1255"/>
      <c r="AKB1255"/>
      <c r="AKC1255"/>
      <c r="AKD1255"/>
      <c r="AKE1255"/>
      <c r="AKF1255"/>
      <c r="AKG1255"/>
      <c r="AKH1255"/>
      <c r="AKI1255"/>
      <c r="AKJ1255"/>
      <c r="AKK1255"/>
      <c r="AKL1255"/>
      <c r="AKM1255"/>
      <c r="AKN1255"/>
      <c r="AKO1255"/>
      <c r="AKP1255"/>
      <c r="AKQ1255"/>
      <c r="AKR1255"/>
      <c r="AKS1255"/>
      <c r="AKT1255"/>
      <c r="AKU1255"/>
      <c r="AKV1255"/>
      <c r="AKW1255"/>
      <c r="AKX1255"/>
      <c r="AKY1255"/>
      <c r="AKZ1255"/>
      <c r="ALA1255"/>
      <c r="ALB1255"/>
      <c r="ALC1255"/>
      <c r="ALD1255"/>
      <c r="ALE1255"/>
      <c r="ALF1255"/>
      <c r="ALG1255"/>
      <c r="ALH1255"/>
      <c r="ALI1255"/>
      <c r="ALJ1255"/>
      <c r="ALK1255"/>
      <c r="ALL1255"/>
      <c r="ALM1255"/>
      <c r="ALN1255"/>
      <c r="ALO1255"/>
      <c r="ALP1255"/>
      <c r="ALQ1255"/>
      <c r="ALR1255"/>
      <c r="ALS1255"/>
      <c r="ALT1255"/>
    </row>
    <row r="1256" spans="1:1008" ht="14">
      <c r="A1256" s="27" t="s">
        <v>3926</v>
      </c>
      <c r="B1256" s="25" t="s">
        <v>3987</v>
      </c>
      <c r="C1256" s="27" t="s">
        <v>3926</v>
      </c>
      <c r="D1256" s="24" t="s">
        <v>12</v>
      </c>
      <c r="E1256" s="27" t="s">
        <v>3926</v>
      </c>
      <c r="F1256" s="27" t="s">
        <v>3927</v>
      </c>
      <c r="G1256" s="27">
        <v>500</v>
      </c>
      <c r="H1256" s="27"/>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c r="AT1256"/>
      <c r="AU1256"/>
      <c r="AV1256"/>
      <c r="AW1256"/>
      <c r="AX1256"/>
      <c r="AY1256"/>
      <c r="AZ1256"/>
      <c r="BA1256"/>
      <c r="BB1256"/>
      <c r="BC1256"/>
      <c r="BD1256"/>
      <c r="BE1256"/>
      <c r="BF1256"/>
      <c r="BG1256"/>
      <c r="BH1256"/>
      <c r="BI1256"/>
      <c r="BJ1256"/>
      <c r="BK1256"/>
      <c r="BL1256"/>
      <c r="BM1256"/>
      <c r="BN1256"/>
      <c r="BO1256"/>
      <c r="BP1256"/>
      <c r="BQ1256"/>
      <c r="BR1256"/>
      <c r="BS1256"/>
      <c r="BT1256"/>
      <c r="BU1256"/>
      <c r="BV1256"/>
      <c r="BW1256"/>
      <c r="BX1256"/>
      <c r="BY1256"/>
      <c r="BZ1256"/>
      <c r="CA1256"/>
      <c r="CB1256"/>
      <c r="CC1256"/>
      <c r="CD1256"/>
      <c r="CE1256"/>
      <c r="CF1256"/>
      <c r="CG1256"/>
      <c r="CH1256"/>
      <c r="CI1256"/>
      <c r="CJ1256"/>
      <c r="CK1256"/>
      <c r="CL1256"/>
      <c r="CM1256"/>
      <c r="CN1256"/>
      <c r="CO1256"/>
      <c r="CP1256"/>
      <c r="CQ1256"/>
      <c r="CR1256"/>
      <c r="CS1256"/>
      <c r="CT1256"/>
      <c r="CU1256"/>
      <c r="CV1256"/>
      <c r="CW1256"/>
      <c r="CX1256"/>
      <c r="CY1256"/>
      <c r="CZ1256"/>
      <c r="DA1256"/>
      <c r="DB1256"/>
      <c r="DC1256"/>
      <c r="DD1256"/>
      <c r="DE1256"/>
      <c r="DF1256"/>
      <c r="DG1256"/>
      <c r="DH1256"/>
      <c r="DI1256"/>
      <c r="DJ1256"/>
      <c r="DK1256"/>
      <c r="DL1256"/>
      <c r="DM1256"/>
      <c r="DN1256"/>
      <c r="DO1256"/>
      <c r="DP1256"/>
      <c r="DQ1256"/>
      <c r="DR1256"/>
      <c r="DS1256"/>
      <c r="DT1256"/>
      <c r="DU1256"/>
      <c r="DV1256"/>
      <c r="DW1256"/>
      <c r="DX1256"/>
      <c r="DY1256"/>
      <c r="DZ1256"/>
      <c r="EA1256"/>
      <c r="EB1256"/>
      <c r="EC1256"/>
      <c r="ED1256"/>
      <c r="EE1256"/>
      <c r="EF1256"/>
      <c r="EG1256"/>
      <c r="EH1256"/>
      <c r="EI1256"/>
      <c r="EJ1256"/>
      <c r="EK1256"/>
      <c r="EL1256"/>
      <c r="EM1256"/>
      <c r="EN1256"/>
      <c r="EO1256"/>
      <c r="EP1256"/>
      <c r="EQ1256"/>
      <c r="ER1256"/>
      <c r="ES1256"/>
      <c r="ET1256"/>
      <c r="EU1256"/>
      <c r="EV1256"/>
      <c r="EW1256"/>
      <c r="EX1256"/>
      <c r="EY1256"/>
      <c r="EZ1256"/>
      <c r="FA1256"/>
      <c r="FB1256"/>
      <c r="FC1256"/>
      <c r="FD1256"/>
      <c r="FE1256"/>
      <c r="FF1256"/>
      <c r="FG1256"/>
      <c r="FH1256"/>
      <c r="FI1256"/>
      <c r="FJ1256"/>
      <c r="FK1256"/>
      <c r="FL1256"/>
      <c r="FM1256"/>
      <c r="FN1256"/>
      <c r="FO1256"/>
      <c r="FP1256"/>
      <c r="FQ1256"/>
      <c r="FR1256"/>
      <c r="FS1256"/>
      <c r="FT1256"/>
      <c r="FU1256"/>
      <c r="FV1256"/>
      <c r="FW1256"/>
      <c r="FX1256"/>
      <c r="FY1256"/>
      <c r="FZ1256"/>
      <c r="GA1256"/>
      <c r="GB1256"/>
      <c r="GC1256"/>
      <c r="GD1256"/>
      <c r="GE1256"/>
      <c r="GF1256"/>
      <c r="GG1256"/>
      <c r="GH1256"/>
      <c r="GI1256"/>
      <c r="GJ1256"/>
      <c r="GK1256"/>
      <c r="GL1256"/>
      <c r="GM1256"/>
      <c r="GN1256"/>
      <c r="GO1256"/>
      <c r="GP1256"/>
      <c r="GQ1256"/>
      <c r="GR1256"/>
      <c r="GS1256"/>
      <c r="GT1256"/>
      <c r="GU1256"/>
      <c r="GV1256"/>
      <c r="GW1256"/>
      <c r="GX1256"/>
      <c r="GY1256"/>
      <c r="GZ1256"/>
      <c r="HA1256"/>
      <c r="HB1256"/>
      <c r="HC1256"/>
      <c r="HD1256"/>
      <c r="HE1256"/>
      <c r="HF1256"/>
      <c r="HG1256"/>
      <c r="HH1256"/>
      <c r="HI1256"/>
      <c r="HJ1256"/>
      <c r="HK1256"/>
      <c r="HL1256"/>
      <c r="HM1256"/>
      <c r="HN1256"/>
      <c r="HO1256"/>
      <c r="HP1256"/>
      <c r="HQ1256"/>
      <c r="HR1256"/>
      <c r="HS1256"/>
      <c r="HT1256"/>
      <c r="HU1256"/>
      <c r="HV1256"/>
      <c r="HW1256"/>
      <c r="HX1256"/>
      <c r="HY1256"/>
      <c r="HZ1256"/>
      <c r="IA1256"/>
      <c r="IB1256"/>
      <c r="IC1256"/>
      <c r="ID1256"/>
      <c r="IE1256"/>
      <c r="IF1256"/>
      <c r="IG1256"/>
      <c r="IH1256"/>
      <c r="II1256"/>
      <c r="IJ1256"/>
      <c r="IK1256"/>
      <c r="IL1256"/>
      <c r="IM1256"/>
      <c r="IN1256"/>
      <c r="IO1256"/>
      <c r="IP1256"/>
      <c r="IQ1256"/>
      <c r="IR1256"/>
      <c r="IS1256"/>
      <c r="IT1256"/>
      <c r="IU1256"/>
      <c r="IV1256"/>
      <c r="IW1256"/>
      <c r="IX1256"/>
      <c r="IY1256"/>
      <c r="IZ1256"/>
      <c r="JA1256"/>
      <c r="JB1256"/>
      <c r="JC1256"/>
      <c r="JD1256"/>
      <c r="JE1256"/>
      <c r="JF1256"/>
      <c r="JG1256"/>
      <c r="JH1256"/>
      <c r="JI1256"/>
      <c r="JJ1256"/>
      <c r="JK1256"/>
      <c r="JL1256"/>
      <c r="JM1256"/>
      <c r="JN1256"/>
      <c r="JO1256"/>
      <c r="JP1256"/>
      <c r="JQ1256"/>
      <c r="JR1256"/>
      <c r="JS1256"/>
      <c r="JT1256"/>
      <c r="JU1256"/>
      <c r="JV1256"/>
      <c r="JW1256"/>
      <c r="JX1256"/>
      <c r="JY1256"/>
      <c r="JZ1256"/>
      <c r="KA1256"/>
      <c r="KB1256"/>
      <c r="KC1256"/>
      <c r="KD1256"/>
      <c r="KE1256"/>
      <c r="KF1256"/>
      <c r="KG1256"/>
      <c r="KH1256"/>
      <c r="KI1256"/>
      <c r="KJ1256"/>
      <c r="KK1256"/>
      <c r="KL1256"/>
      <c r="KM1256"/>
      <c r="KN1256"/>
      <c r="KO1256"/>
      <c r="KP1256"/>
      <c r="KQ1256"/>
      <c r="KR1256"/>
      <c r="KS1256"/>
      <c r="KT1256"/>
      <c r="KU1256"/>
      <c r="KV1256"/>
      <c r="KW1256"/>
      <c r="KX1256"/>
      <c r="KY1256"/>
      <c r="KZ1256"/>
      <c r="LA1256"/>
      <c r="LB1256"/>
      <c r="LC1256"/>
      <c r="LD1256"/>
      <c r="LE1256"/>
      <c r="LF1256"/>
      <c r="LG1256"/>
      <c r="LH1256"/>
      <c r="LI1256"/>
      <c r="LJ1256"/>
      <c r="LK1256"/>
      <c r="LL1256"/>
      <c r="LM1256"/>
      <c r="LN1256"/>
      <c r="LO1256"/>
      <c r="LP1256"/>
      <c r="LQ1256"/>
      <c r="LR1256"/>
      <c r="LS1256"/>
      <c r="LT1256"/>
      <c r="LU1256"/>
      <c r="LV1256"/>
      <c r="LW1256"/>
      <c r="LX1256"/>
      <c r="LY1256"/>
      <c r="LZ1256"/>
      <c r="MA1256"/>
      <c r="MB1256"/>
      <c r="MC1256"/>
      <c r="MD1256"/>
      <c r="ME1256"/>
      <c r="MF1256"/>
      <c r="MG1256"/>
      <c r="MH1256"/>
      <c r="MI1256"/>
      <c r="MJ1256"/>
      <c r="MK1256"/>
      <c r="ML1256"/>
      <c r="MM1256"/>
      <c r="MN1256"/>
      <c r="MO1256"/>
      <c r="MP1256"/>
      <c r="MQ1256"/>
      <c r="MR1256"/>
      <c r="MS1256"/>
      <c r="MT1256"/>
      <c r="MU1256"/>
      <c r="MV1256"/>
      <c r="MW1256"/>
      <c r="MX1256"/>
      <c r="MY1256"/>
      <c r="MZ1256"/>
      <c r="NA1256"/>
      <c r="NB1256"/>
      <c r="NC1256"/>
      <c r="ND1256"/>
      <c r="NE1256"/>
      <c r="NF1256"/>
      <c r="NG1256"/>
      <c r="NH1256"/>
      <c r="NI1256"/>
      <c r="NJ1256"/>
      <c r="NK1256"/>
      <c r="NL1256"/>
      <c r="NM1256"/>
      <c r="NN1256"/>
      <c r="NO1256"/>
      <c r="NP1256"/>
      <c r="NQ1256"/>
      <c r="NR1256"/>
      <c r="NS1256"/>
      <c r="NT1256"/>
      <c r="NU1256"/>
      <c r="NV1256"/>
      <c r="NW1256"/>
      <c r="NX1256"/>
      <c r="NY1256"/>
      <c r="NZ1256"/>
      <c r="OA1256"/>
      <c r="OB1256"/>
      <c r="OC1256"/>
      <c r="OD1256"/>
      <c r="OE1256"/>
      <c r="OF1256"/>
      <c r="OG1256"/>
      <c r="OH1256"/>
      <c r="OI1256"/>
      <c r="OJ1256"/>
      <c r="OK1256"/>
      <c r="OL1256"/>
      <c r="OM1256"/>
      <c r="ON1256"/>
      <c r="OO1256"/>
      <c r="OP1256"/>
      <c r="OQ1256"/>
      <c r="OR1256"/>
      <c r="OS1256"/>
      <c r="OT1256"/>
      <c r="OU1256"/>
      <c r="OV1256"/>
      <c r="OW1256"/>
      <c r="OX1256"/>
      <c r="OY1256"/>
      <c r="OZ1256"/>
      <c r="PA1256"/>
      <c r="PB1256"/>
      <c r="PC1256"/>
      <c r="PD1256"/>
      <c r="PE1256"/>
      <c r="PF1256"/>
      <c r="PG1256"/>
      <c r="PH1256"/>
      <c r="PI1256"/>
      <c r="PJ1256"/>
      <c r="PK1256"/>
      <c r="PL1256"/>
      <c r="PM1256"/>
      <c r="PN1256"/>
      <c r="PO1256"/>
      <c r="PP1256"/>
      <c r="PQ1256"/>
      <c r="PR1256"/>
      <c r="PS1256"/>
      <c r="PT1256"/>
      <c r="PU1256"/>
      <c r="PV1256"/>
      <c r="PW1256"/>
      <c r="PX1256"/>
      <c r="PY1256"/>
      <c r="PZ1256"/>
      <c r="QA1256"/>
      <c r="QB1256"/>
      <c r="QC1256"/>
      <c r="QD1256"/>
      <c r="QE1256"/>
      <c r="QF1256"/>
      <c r="QG1256"/>
      <c r="QH1256"/>
      <c r="QI1256"/>
      <c r="QJ1256"/>
      <c r="QK1256"/>
      <c r="QL1256"/>
      <c r="QM1256"/>
      <c r="QN1256"/>
      <c r="QO1256"/>
      <c r="QP1256"/>
      <c r="QQ1256"/>
      <c r="QR1256"/>
      <c r="QS1256"/>
      <c r="QT1256"/>
      <c r="QU1256"/>
      <c r="QV1256"/>
      <c r="QW1256"/>
      <c r="QX1256"/>
      <c r="QY1256"/>
      <c r="QZ1256"/>
      <c r="RA1256"/>
      <c r="RB1256"/>
      <c r="RC1256"/>
      <c r="RD1256"/>
      <c r="RE1256"/>
      <c r="RF1256"/>
      <c r="RG1256"/>
      <c r="RH1256"/>
      <c r="RI1256"/>
      <c r="RJ1256"/>
      <c r="RK1256"/>
      <c r="RL1256"/>
      <c r="RM1256"/>
      <c r="RN1256"/>
      <c r="RO1256"/>
      <c r="RP1256"/>
      <c r="RQ1256"/>
      <c r="RR1256"/>
      <c r="RS1256"/>
      <c r="RT1256"/>
      <c r="RU1256"/>
      <c r="RV1256"/>
      <c r="RW1256"/>
      <c r="RX1256"/>
      <c r="RY1256"/>
      <c r="RZ1256"/>
      <c r="SA1256"/>
      <c r="SB1256"/>
      <c r="SC1256"/>
      <c r="SD1256"/>
      <c r="SE1256"/>
      <c r="SF1256"/>
      <c r="SG1256"/>
      <c r="SH1256"/>
      <c r="SI1256"/>
      <c r="SJ1256"/>
      <c r="SK1256"/>
      <c r="SL1256"/>
      <c r="SM1256"/>
      <c r="SN1256"/>
      <c r="SO1256"/>
      <c r="SP1256"/>
      <c r="SQ1256"/>
      <c r="SR1256"/>
      <c r="SS1256"/>
      <c r="ST1256"/>
      <c r="SU1256"/>
      <c r="SV1256"/>
      <c r="SW1256"/>
      <c r="SX1256"/>
      <c r="SY1256"/>
      <c r="SZ1256"/>
      <c r="TA1256"/>
      <c r="TB1256"/>
      <c r="TC1256"/>
      <c r="TD1256"/>
      <c r="TE1256"/>
      <c r="TF1256"/>
      <c r="TG1256"/>
      <c r="TH1256"/>
      <c r="TI1256"/>
      <c r="TJ1256"/>
      <c r="TK1256"/>
      <c r="TL1256"/>
      <c r="TM1256"/>
      <c r="TN1256"/>
      <c r="TO1256"/>
      <c r="TP1256"/>
      <c r="TQ1256"/>
      <c r="TR1256"/>
      <c r="TS1256"/>
      <c r="TT1256"/>
      <c r="TU1256"/>
      <c r="TV1256"/>
      <c r="TW1256"/>
      <c r="TX1256"/>
      <c r="TY1256"/>
      <c r="TZ1256"/>
      <c r="UA1256"/>
      <c r="UB1256"/>
      <c r="UC1256"/>
      <c r="UD1256"/>
      <c r="UE1256"/>
      <c r="UF1256"/>
      <c r="UG1256"/>
      <c r="UH1256"/>
      <c r="UI1256"/>
      <c r="UJ1256"/>
      <c r="UK1256"/>
      <c r="UL1256"/>
      <c r="UM1256"/>
      <c r="UN1256"/>
      <c r="UO1256"/>
      <c r="UP1256"/>
      <c r="UQ1256"/>
      <c r="UR1256"/>
      <c r="US1256"/>
      <c r="UT1256"/>
      <c r="UU1256"/>
      <c r="UV1256"/>
      <c r="UW1256"/>
      <c r="UX1256"/>
      <c r="UY1256"/>
      <c r="UZ1256"/>
      <c r="VA1256"/>
      <c r="VB1256"/>
      <c r="VC1256"/>
      <c r="VD1256"/>
      <c r="VE1256"/>
      <c r="VF1256"/>
      <c r="VG1256"/>
      <c r="VH1256"/>
      <c r="VI1256"/>
      <c r="VJ1256"/>
      <c r="VK1256"/>
      <c r="VL1256"/>
      <c r="VM1256"/>
      <c r="VN1256"/>
      <c r="VO1256"/>
      <c r="VP1256"/>
      <c r="VQ1256"/>
      <c r="VR1256"/>
      <c r="VS1256"/>
      <c r="VT1256"/>
      <c r="VU1256"/>
      <c r="VV1256"/>
      <c r="VW1256"/>
      <c r="VX1256"/>
      <c r="VY1256"/>
      <c r="VZ1256"/>
      <c r="WA1256"/>
      <c r="WB1256"/>
      <c r="WC1256"/>
      <c r="WD1256"/>
      <c r="WE1256"/>
      <c r="WF1256"/>
      <c r="WG1256"/>
      <c r="WH1256"/>
      <c r="WI1256"/>
      <c r="WJ1256"/>
      <c r="WK1256"/>
      <c r="WL1256"/>
      <c r="WM1256"/>
      <c r="WN1256"/>
      <c r="WO1256"/>
      <c r="WP1256"/>
      <c r="WQ1256"/>
      <c r="WR1256"/>
      <c r="WS1256"/>
      <c r="WT1256"/>
      <c r="WU1256"/>
      <c r="WV1256"/>
      <c r="WW1256"/>
      <c r="WX1256"/>
      <c r="WY1256"/>
      <c r="WZ1256"/>
      <c r="XA1256"/>
      <c r="XB1256"/>
      <c r="XC1256"/>
      <c r="XD1256"/>
      <c r="XE1256"/>
      <c r="XF1256"/>
      <c r="XG1256"/>
      <c r="XH1256"/>
      <c r="XI1256"/>
      <c r="XJ1256"/>
      <c r="XK1256"/>
      <c r="XL1256"/>
      <c r="XM1256"/>
      <c r="XN1256"/>
      <c r="XO1256"/>
      <c r="XP1256"/>
      <c r="XQ1256"/>
      <c r="XR1256"/>
      <c r="XS1256"/>
      <c r="XT1256"/>
      <c r="XU1256"/>
      <c r="XV1256"/>
      <c r="XW1256"/>
      <c r="XX1256"/>
      <c r="XY1256"/>
      <c r="XZ1256"/>
      <c r="YA1256"/>
      <c r="YB1256"/>
      <c r="YC1256"/>
      <c r="YD1256"/>
      <c r="YE1256"/>
      <c r="YF1256"/>
      <c r="YG1256"/>
      <c r="YH1256"/>
      <c r="YI1256"/>
      <c r="YJ1256"/>
      <c r="YK1256"/>
      <c r="YL1256"/>
      <c r="YM1256"/>
      <c r="YN1256"/>
      <c r="YO1256"/>
      <c r="YP1256"/>
      <c r="YQ1256"/>
      <c r="YR1256"/>
      <c r="YS1256"/>
      <c r="YT1256"/>
      <c r="YU1256"/>
      <c r="YV1256"/>
      <c r="YW1256"/>
      <c r="YX1256"/>
      <c r="YY1256"/>
      <c r="YZ1256"/>
      <c r="ZA1256"/>
      <c r="ZB1256"/>
      <c r="ZC1256"/>
      <c r="ZD1256"/>
      <c r="ZE1256"/>
      <c r="ZF1256"/>
      <c r="ZG1256"/>
      <c r="ZH1256"/>
      <c r="ZI1256"/>
      <c r="ZJ1256"/>
      <c r="ZK1256"/>
      <c r="ZL1256"/>
      <c r="ZM1256"/>
      <c r="ZN1256"/>
      <c r="ZO1256"/>
      <c r="ZP1256"/>
      <c r="ZQ1256"/>
      <c r="ZR1256"/>
      <c r="ZS1256"/>
      <c r="ZT1256"/>
      <c r="ZU1256"/>
      <c r="ZV1256"/>
      <c r="ZW1256"/>
      <c r="ZX1256"/>
      <c r="ZY1256"/>
      <c r="ZZ1256"/>
      <c r="AAA1256"/>
      <c r="AAB1256"/>
      <c r="AAC1256"/>
      <c r="AAD1256"/>
      <c r="AAE1256"/>
      <c r="AAF1256"/>
      <c r="AAG1256"/>
      <c r="AAH1256"/>
      <c r="AAI1256"/>
      <c r="AAJ1256"/>
      <c r="AAK1256"/>
      <c r="AAL1256"/>
      <c r="AAM1256"/>
      <c r="AAN1256"/>
      <c r="AAO1256"/>
      <c r="AAP1256"/>
      <c r="AAQ1256"/>
      <c r="AAR1256"/>
      <c r="AAS1256"/>
      <c r="AAT1256"/>
      <c r="AAU1256"/>
      <c r="AAV1256"/>
      <c r="AAW1256"/>
      <c r="AAX1256"/>
      <c r="AAY1256"/>
      <c r="AAZ1256"/>
      <c r="ABA1256"/>
      <c r="ABB1256"/>
      <c r="ABC1256"/>
      <c r="ABD1256"/>
      <c r="ABE1256"/>
      <c r="ABF1256"/>
      <c r="ABG1256"/>
      <c r="ABH1256"/>
      <c r="ABI1256"/>
      <c r="ABJ1256"/>
      <c r="ABK1256"/>
      <c r="ABL1256"/>
      <c r="ABM1256"/>
      <c r="ABN1256"/>
      <c r="ABO1256"/>
      <c r="ABP1256"/>
      <c r="ABQ1256"/>
      <c r="ABR1256"/>
      <c r="ABS1256"/>
      <c r="ABT1256"/>
      <c r="ABU1256"/>
      <c r="ABV1256"/>
      <c r="ABW1256"/>
      <c r="ABX1256"/>
      <c r="ABY1256"/>
      <c r="ABZ1256"/>
      <c r="ACA1256"/>
      <c r="ACB1256"/>
      <c r="ACC1256"/>
      <c r="ACD1256"/>
      <c r="ACE1256"/>
      <c r="ACF1256"/>
      <c r="ACG1256"/>
      <c r="ACH1256"/>
      <c r="ACI1256"/>
      <c r="ACJ1256"/>
      <c r="ACK1256"/>
      <c r="ACL1256"/>
      <c r="ACM1256"/>
      <c r="ACN1256"/>
      <c r="ACO1256"/>
      <c r="ACP1256"/>
      <c r="ACQ1256"/>
      <c r="ACR1256"/>
      <c r="ACS1256"/>
      <c r="ACT1256"/>
      <c r="ACU1256"/>
      <c r="ACV1256"/>
      <c r="ACW1256"/>
      <c r="ACX1256"/>
      <c r="ACY1256"/>
      <c r="ACZ1256"/>
      <c r="ADA1256"/>
      <c r="ADB1256"/>
      <c r="ADC1256"/>
      <c r="ADD1256"/>
      <c r="ADE1256"/>
      <c r="ADF1256"/>
      <c r="ADG1256"/>
      <c r="ADH1256"/>
      <c r="ADI1256"/>
      <c r="ADJ1256"/>
      <c r="ADK1256"/>
      <c r="ADL1256"/>
      <c r="ADM1256"/>
      <c r="ADN1256"/>
      <c r="ADO1256"/>
      <c r="ADP1256"/>
      <c r="ADQ1256"/>
      <c r="ADR1256"/>
      <c r="ADS1256"/>
      <c r="ADT1256"/>
      <c r="ADU1256"/>
      <c r="ADV1256"/>
      <c r="ADW1256"/>
      <c r="ADX1256"/>
      <c r="ADY1256"/>
      <c r="ADZ1256"/>
      <c r="AEA1256"/>
      <c r="AEB1256"/>
      <c r="AEC1256"/>
      <c r="AED1256"/>
      <c r="AEE1256"/>
      <c r="AEF1256"/>
      <c r="AEG1256"/>
      <c r="AEH1256"/>
      <c r="AEI1256"/>
      <c r="AEJ1256"/>
      <c r="AEK1256"/>
      <c r="AEL1256"/>
      <c r="AEM1256"/>
      <c r="AEN1256"/>
      <c r="AEO1256"/>
      <c r="AEP1256"/>
      <c r="AEQ1256"/>
      <c r="AER1256"/>
      <c r="AES1256"/>
      <c r="AET1256"/>
      <c r="AEU1256"/>
      <c r="AEV1256"/>
      <c r="AEW1256"/>
      <c r="AEX1256"/>
      <c r="AEY1256"/>
      <c r="AEZ1256"/>
      <c r="AFA1256"/>
      <c r="AFB1256"/>
      <c r="AFC1256"/>
      <c r="AFD1256"/>
      <c r="AFE1256"/>
      <c r="AFF1256"/>
      <c r="AFG1256"/>
      <c r="AFH1256"/>
      <c r="AFI1256"/>
      <c r="AFJ1256"/>
      <c r="AFK1256"/>
      <c r="AFL1256"/>
      <c r="AFM1256"/>
      <c r="AFN1256"/>
      <c r="AFO1256"/>
      <c r="AFP1256"/>
      <c r="AFQ1256"/>
      <c r="AFR1256"/>
      <c r="AFS1256"/>
      <c r="AFT1256"/>
      <c r="AFU1256"/>
      <c r="AFV1256"/>
      <c r="AFW1256"/>
      <c r="AFX1256"/>
      <c r="AFY1256"/>
      <c r="AFZ1256"/>
      <c r="AGA1256"/>
      <c r="AGB1256"/>
      <c r="AGC1256"/>
      <c r="AGD1256"/>
      <c r="AGE1256"/>
      <c r="AGF1256"/>
      <c r="AGG1256"/>
      <c r="AGH1256"/>
      <c r="AGI1256"/>
      <c r="AGJ1256"/>
      <c r="AGK1256"/>
      <c r="AGL1256"/>
      <c r="AGM1256"/>
      <c r="AGN1256"/>
      <c r="AGO1256"/>
      <c r="AGP1256"/>
      <c r="AGQ1256"/>
      <c r="AGR1256"/>
      <c r="AGS1256"/>
      <c r="AGT1256"/>
      <c r="AGU1256"/>
      <c r="AGV1256"/>
      <c r="AGW1256"/>
      <c r="AGX1256"/>
      <c r="AGY1256"/>
      <c r="AGZ1256"/>
      <c r="AHA1256"/>
      <c r="AHB1256"/>
      <c r="AHC1256"/>
      <c r="AHD1256"/>
      <c r="AHE1256"/>
      <c r="AHF1256"/>
      <c r="AHG1256"/>
      <c r="AHH1256"/>
      <c r="AHI1256"/>
      <c r="AHJ1256"/>
      <c r="AHK1256"/>
      <c r="AHL1256"/>
      <c r="AHM1256"/>
      <c r="AHN1256"/>
      <c r="AHO1256"/>
      <c r="AHP1256"/>
      <c r="AHQ1256"/>
      <c r="AHR1256"/>
      <c r="AHS1256"/>
      <c r="AHT1256"/>
      <c r="AHU1256"/>
      <c r="AHV1256"/>
      <c r="AHW1256"/>
      <c r="AHX1256"/>
      <c r="AHY1256"/>
      <c r="AHZ1256"/>
      <c r="AIA1256"/>
      <c r="AIB1256"/>
      <c r="AIC1256"/>
      <c r="AID1256"/>
      <c r="AIE1256"/>
      <c r="AIF1256"/>
      <c r="AIG1256"/>
      <c r="AIH1256"/>
      <c r="AII1256"/>
      <c r="AIJ1256"/>
      <c r="AIK1256"/>
      <c r="AIL1256"/>
      <c r="AIM1256"/>
      <c r="AIN1256"/>
      <c r="AIO1256"/>
      <c r="AIP1256"/>
      <c r="AIQ1256"/>
      <c r="AIR1256"/>
      <c r="AIS1256"/>
      <c r="AIT1256"/>
      <c r="AIU1256"/>
      <c r="AIV1256"/>
      <c r="AIW1256"/>
      <c r="AIX1256"/>
      <c r="AIY1256"/>
      <c r="AIZ1256"/>
      <c r="AJA1256"/>
      <c r="AJB1256"/>
      <c r="AJC1256"/>
      <c r="AJD1256"/>
      <c r="AJE1256"/>
      <c r="AJF1256"/>
      <c r="AJG1256"/>
      <c r="AJH1256"/>
      <c r="AJI1256"/>
      <c r="AJJ1256"/>
      <c r="AJK1256"/>
      <c r="AJL1256"/>
      <c r="AJM1256"/>
      <c r="AJN1256"/>
      <c r="AJO1256"/>
      <c r="AJP1256"/>
      <c r="AJQ1256"/>
      <c r="AJR1256"/>
      <c r="AJS1256"/>
      <c r="AJT1256"/>
      <c r="AJU1256"/>
      <c r="AJV1256"/>
      <c r="AJW1256"/>
      <c r="AJX1256"/>
      <c r="AJY1256"/>
      <c r="AJZ1256"/>
      <c r="AKA1256"/>
      <c r="AKB1256"/>
      <c r="AKC1256"/>
      <c r="AKD1256"/>
      <c r="AKE1256"/>
      <c r="AKF1256"/>
      <c r="AKG1256"/>
      <c r="AKH1256"/>
      <c r="AKI1256"/>
      <c r="AKJ1256"/>
      <c r="AKK1256"/>
      <c r="AKL1256"/>
      <c r="AKM1256"/>
      <c r="AKN1256"/>
      <c r="AKO1256"/>
      <c r="AKP1256"/>
      <c r="AKQ1256"/>
      <c r="AKR1256"/>
      <c r="AKS1256"/>
      <c r="AKT1256"/>
      <c r="AKU1256"/>
      <c r="AKV1256"/>
      <c r="AKW1256"/>
      <c r="AKX1256"/>
      <c r="AKY1256"/>
      <c r="AKZ1256"/>
      <c r="ALA1256"/>
      <c r="ALB1256"/>
      <c r="ALC1256"/>
      <c r="ALD1256"/>
      <c r="ALE1256"/>
      <c r="ALF1256"/>
      <c r="ALG1256"/>
      <c r="ALH1256"/>
      <c r="ALI1256"/>
      <c r="ALJ1256"/>
      <c r="ALK1256"/>
      <c r="ALL1256"/>
      <c r="ALM1256"/>
      <c r="ALN1256"/>
      <c r="ALO1256"/>
      <c r="ALP1256"/>
      <c r="ALQ1256"/>
      <c r="ALR1256"/>
      <c r="ALS1256"/>
      <c r="ALT1256"/>
    </row>
    <row r="1257" spans="1:1008" ht="14">
      <c r="A1257" s="27" t="s">
        <v>3928</v>
      </c>
      <c r="B1257" s="25" t="s">
        <v>3987</v>
      </c>
      <c r="C1257" s="27" t="s">
        <v>3928</v>
      </c>
      <c r="D1257" s="24" t="s">
        <v>12</v>
      </c>
      <c r="E1257" s="27" t="s">
        <v>3928</v>
      </c>
      <c r="F1257" s="27" t="s">
        <v>3929</v>
      </c>
      <c r="G1257" s="27">
        <v>500</v>
      </c>
      <c r="H1257" s="27"/>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c r="AT1257"/>
      <c r="AU1257"/>
      <c r="AV1257"/>
      <c r="AW1257"/>
      <c r="AX1257"/>
      <c r="AY1257"/>
      <c r="AZ1257"/>
      <c r="BA1257"/>
      <c r="BB1257"/>
      <c r="BC1257"/>
      <c r="BD1257"/>
      <c r="BE1257"/>
      <c r="BF1257"/>
      <c r="BG1257"/>
      <c r="BH1257"/>
      <c r="BI1257"/>
      <c r="BJ1257"/>
      <c r="BK1257"/>
      <c r="BL1257"/>
      <c r="BM1257"/>
      <c r="BN1257"/>
      <c r="BO1257"/>
      <c r="BP1257"/>
      <c r="BQ1257"/>
      <c r="BR1257"/>
      <c r="BS1257"/>
      <c r="BT1257"/>
      <c r="BU1257"/>
      <c r="BV1257"/>
      <c r="BW1257"/>
      <c r="BX1257"/>
      <c r="BY1257"/>
      <c r="BZ1257"/>
      <c r="CA1257"/>
      <c r="CB1257"/>
      <c r="CC1257"/>
      <c r="CD1257"/>
      <c r="CE1257"/>
      <c r="CF1257"/>
      <c r="CG1257"/>
      <c r="CH1257"/>
      <c r="CI1257"/>
      <c r="CJ1257"/>
      <c r="CK1257"/>
      <c r="CL1257"/>
      <c r="CM1257"/>
      <c r="CN1257"/>
      <c r="CO1257"/>
      <c r="CP1257"/>
      <c r="CQ1257"/>
      <c r="CR1257"/>
      <c r="CS1257"/>
      <c r="CT1257"/>
      <c r="CU1257"/>
      <c r="CV1257"/>
      <c r="CW1257"/>
      <c r="CX1257"/>
      <c r="CY1257"/>
      <c r="CZ1257"/>
      <c r="DA1257"/>
      <c r="DB1257"/>
      <c r="DC1257"/>
      <c r="DD1257"/>
      <c r="DE1257"/>
      <c r="DF1257"/>
      <c r="DG1257"/>
      <c r="DH1257"/>
      <c r="DI1257"/>
      <c r="DJ1257"/>
      <c r="DK1257"/>
      <c r="DL1257"/>
      <c r="DM1257"/>
      <c r="DN1257"/>
      <c r="DO1257"/>
      <c r="DP1257"/>
      <c r="DQ1257"/>
      <c r="DR1257"/>
      <c r="DS1257"/>
      <c r="DT1257"/>
      <c r="DU1257"/>
      <c r="DV1257"/>
      <c r="DW1257"/>
      <c r="DX1257"/>
      <c r="DY1257"/>
      <c r="DZ1257"/>
      <c r="EA1257"/>
      <c r="EB1257"/>
      <c r="EC1257"/>
      <c r="ED1257"/>
      <c r="EE1257"/>
      <c r="EF1257"/>
      <c r="EG1257"/>
      <c r="EH1257"/>
      <c r="EI1257"/>
      <c r="EJ1257"/>
      <c r="EK1257"/>
      <c r="EL1257"/>
      <c r="EM1257"/>
      <c r="EN1257"/>
      <c r="EO1257"/>
      <c r="EP1257"/>
      <c r="EQ1257"/>
      <c r="ER1257"/>
      <c r="ES1257"/>
      <c r="ET1257"/>
      <c r="EU1257"/>
      <c r="EV1257"/>
      <c r="EW1257"/>
      <c r="EX1257"/>
      <c r="EY1257"/>
      <c r="EZ1257"/>
      <c r="FA1257"/>
      <c r="FB1257"/>
      <c r="FC1257"/>
      <c r="FD1257"/>
      <c r="FE1257"/>
      <c r="FF1257"/>
      <c r="FG1257"/>
      <c r="FH1257"/>
      <c r="FI1257"/>
      <c r="FJ1257"/>
      <c r="FK1257"/>
      <c r="FL1257"/>
      <c r="FM1257"/>
      <c r="FN1257"/>
      <c r="FO1257"/>
      <c r="FP1257"/>
      <c r="FQ1257"/>
      <c r="FR1257"/>
      <c r="FS1257"/>
      <c r="FT1257"/>
      <c r="FU1257"/>
      <c r="FV1257"/>
      <c r="FW1257"/>
      <c r="FX1257"/>
      <c r="FY1257"/>
      <c r="FZ1257"/>
      <c r="GA1257"/>
      <c r="GB1257"/>
      <c r="GC1257"/>
      <c r="GD1257"/>
      <c r="GE1257"/>
      <c r="GF1257"/>
      <c r="GG1257"/>
      <c r="GH1257"/>
      <c r="GI1257"/>
      <c r="GJ1257"/>
      <c r="GK1257"/>
      <c r="GL1257"/>
      <c r="GM1257"/>
      <c r="GN1257"/>
      <c r="GO1257"/>
      <c r="GP1257"/>
      <c r="GQ1257"/>
      <c r="GR1257"/>
      <c r="GS1257"/>
      <c r="GT1257"/>
      <c r="GU1257"/>
      <c r="GV1257"/>
      <c r="GW1257"/>
      <c r="GX1257"/>
      <c r="GY1257"/>
      <c r="GZ1257"/>
      <c r="HA1257"/>
      <c r="HB1257"/>
      <c r="HC1257"/>
      <c r="HD1257"/>
      <c r="HE1257"/>
      <c r="HF1257"/>
      <c r="HG1257"/>
      <c r="HH1257"/>
      <c r="HI1257"/>
      <c r="HJ1257"/>
      <c r="HK1257"/>
      <c r="HL1257"/>
      <c r="HM1257"/>
      <c r="HN1257"/>
      <c r="HO1257"/>
      <c r="HP1257"/>
      <c r="HQ1257"/>
      <c r="HR1257"/>
      <c r="HS1257"/>
      <c r="HT1257"/>
      <c r="HU1257"/>
      <c r="HV1257"/>
      <c r="HW1257"/>
      <c r="HX1257"/>
      <c r="HY1257"/>
      <c r="HZ1257"/>
      <c r="IA1257"/>
      <c r="IB1257"/>
      <c r="IC1257"/>
      <c r="ID1257"/>
      <c r="IE1257"/>
      <c r="IF1257"/>
      <c r="IG1257"/>
      <c r="IH1257"/>
      <c r="II1257"/>
      <c r="IJ1257"/>
      <c r="IK1257"/>
      <c r="IL1257"/>
      <c r="IM1257"/>
      <c r="IN1257"/>
      <c r="IO1257"/>
      <c r="IP1257"/>
      <c r="IQ1257"/>
      <c r="IR1257"/>
      <c r="IS1257"/>
      <c r="IT1257"/>
      <c r="IU1257"/>
      <c r="IV1257"/>
      <c r="IW1257"/>
      <c r="IX1257"/>
      <c r="IY1257"/>
      <c r="IZ1257"/>
      <c r="JA1257"/>
      <c r="JB1257"/>
      <c r="JC1257"/>
      <c r="JD1257"/>
      <c r="JE1257"/>
      <c r="JF1257"/>
      <c r="JG1257"/>
      <c r="JH1257"/>
      <c r="JI1257"/>
      <c r="JJ1257"/>
      <c r="JK1257"/>
      <c r="JL1257"/>
      <c r="JM1257"/>
      <c r="JN1257"/>
      <c r="JO1257"/>
      <c r="JP1257"/>
      <c r="JQ1257"/>
      <c r="JR1257"/>
      <c r="JS1257"/>
      <c r="JT1257"/>
      <c r="JU1257"/>
      <c r="JV1257"/>
      <c r="JW1257"/>
      <c r="JX1257"/>
      <c r="JY1257"/>
      <c r="JZ1257"/>
      <c r="KA1257"/>
      <c r="KB1257"/>
      <c r="KC1257"/>
      <c r="KD1257"/>
      <c r="KE1257"/>
      <c r="KF1257"/>
      <c r="KG1257"/>
      <c r="KH1257"/>
      <c r="KI1257"/>
      <c r="KJ1257"/>
      <c r="KK1257"/>
      <c r="KL1257"/>
      <c r="KM1257"/>
      <c r="KN1257"/>
      <c r="KO1257"/>
      <c r="KP1257"/>
      <c r="KQ1257"/>
      <c r="KR1257"/>
      <c r="KS1257"/>
      <c r="KT1257"/>
      <c r="KU1257"/>
      <c r="KV1257"/>
      <c r="KW1257"/>
      <c r="KX1257"/>
      <c r="KY1257"/>
      <c r="KZ1257"/>
      <c r="LA1257"/>
      <c r="LB1257"/>
      <c r="LC1257"/>
      <c r="LD1257"/>
      <c r="LE1257"/>
      <c r="LF1257"/>
      <c r="LG1257"/>
      <c r="LH1257"/>
      <c r="LI1257"/>
      <c r="LJ1257"/>
      <c r="LK1257"/>
      <c r="LL1257"/>
      <c r="LM1257"/>
      <c r="LN1257"/>
      <c r="LO1257"/>
      <c r="LP1257"/>
      <c r="LQ1257"/>
      <c r="LR1257"/>
      <c r="LS1257"/>
      <c r="LT1257"/>
      <c r="LU1257"/>
      <c r="LV1257"/>
      <c r="LW1257"/>
      <c r="LX1257"/>
      <c r="LY1257"/>
      <c r="LZ1257"/>
      <c r="MA1257"/>
      <c r="MB1257"/>
      <c r="MC1257"/>
      <c r="MD1257"/>
      <c r="ME1257"/>
      <c r="MF1257"/>
      <c r="MG1257"/>
      <c r="MH1257"/>
      <c r="MI1257"/>
      <c r="MJ1257"/>
      <c r="MK1257"/>
      <c r="ML1257"/>
      <c r="MM1257"/>
      <c r="MN1257"/>
      <c r="MO1257"/>
      <c r="MP1257"/>
      <c r="MQ1257"/>
      <c r="MR1257"/>
      <c r="MS1257"/>
      <c r="MT1257"/>
      <c r="MU1257"/>
      <c r="MV1257"/>
      <c r="MW1257"/>
      <c r="MX1257"/>
      <c r="MY1257"/>
      <c r="MZ1257"/>
      <c r="NA1257"/>
      <c r="NB1257"/>
      <c r="NC1257"/>
      <c r="ND1257"/>
      <c r="NE1257"/>
      <c r="NF1257"/>
      <c r="NG1257"/>
      <c r="NH1257"/>
      <c r="NI1257"/>
      <c r="NJ1257"/>
      <c r="NK1257"/>
      <c r="NL1257"/>
      <c r="NM1257"/>
      <c r="NN1257"/>
      <c r="NO1257"/>
      <c r="NP1257"/>
      <c r="NQ1257"/>
      <c r="NR1257"/>
      <c r="NS1257"/>
      <c r="NT1257"/>
      <c r="NU1257"/>
      <c r="NV1257"/>
      <c r="NW1257"/>
      <c r="NX1257"/>
      <c r="NY1257"/>
      <c r="NZ1257"/>
      <c r="OA1257"/>
      <c r="OB1257"/>
      <c r="OC1257"/>
      <c r="OD1257"/>
      <c r="OE1257"/>
      <c r="OF1257"/>
      <c r="OG1257"/>
      <c r="OH1257"/>
      <c r="OI1257"/>
      <c r="OJ1257"/>
      <c r="OK1257"/>
      <c r="OL1257"/>
      <c r="OM1257"/>
      <c r="ON1257"/>
      <c r="OO1257"/>
      <c r="OP1257"/>
      <c r="OQ1257"/>
      <c r="OR1257"/>
      <c r="OS1257"/>
      <c r="OT1257"/>
      <c r="OU1257"/>
      <c r="OV1257"/>
      <c r="OW1257"/>
      <c r="OX1257"/>
      <c r="OY1257"/>
      <c r="OZ1257"/>
      <c r="PA1257"/>
      <c r="PB1257"/>
      <c r="PC1257"/>
      <c r="PD1257"/>
      <c r="PE1257"/>
      <c r="PF1257"/>
      <c r="PG1257"/>
      <c r="PH1257"/>
      <c r="PI1257"/>
      <c r="PJ1257"/>
      <c r="PK1257"/>
      <c r="PL1257"/>
      <c r="PM1257"/>
      <c r="PN1257"/>
      <c r="PO1257"/>
      <c r="PP1257"/>
      <c r="PQ1257"/>
      <c r="PR1257"/>
      <c r="PS1257"/>
      <c r="PT1257"/>
      <c r="PU1257"/>
      <c r="PV1257"/>
      <c r="PW1257"/>
      <c r="PX1257"/>
      <c r="PY1257"/>
      <c r="PZ1257"/>
      <c r="QA1257"/>
      <c r="QB1257"/>
      <c r="QC1257"/>
      <c r="QD1257"/>
      <c r="QE1257"/>
      <c r="QF1257"/>
      <c r="QG1257"/>
      <c r="QH1257"/>
      <c r="QI1257"/>
      <c r="QJ1257"/>
      <c r="QK1257"/>
      <c r="QL1257"/>
      <c r="QM1257"/>
      <c r="QN1257"/>
      <c r="QO1257"/>
      <c r="QP1257"/>
      <c r="QQ1257"/>
      <c r="QR1257"/>
      <c r="QS1257"/>
      <c r="QT1257"/>
      <c r="QU1257"/>
      <c r="QV1257"/>
      <c r="QW1257"/>
      <c r="QX1257"/>
      <c r="QY1257"/>
      <c r="QZ1257"/>
      <c r="RA1257"/>
      <c r="RB1257"/>
      <c r="RC1257"/>
      <c r="RD1257"/>
      <c r="RE1257"/>
      <c r="RF1257"/>
      <c r="RG1257"/>
      <c r="RH1257"/>
      <c r="RI1257"/>
      <c r="RJ1257"/>
      <c r="RK1257"/>
      <c r="RL1257"/>
      <c r="RM1257"/>
      <c r="RN1257"/>
      <c r="RO1257"/>
      <c r="RP1257"/>
      <c r="RQ1257"/>
      <c r="RR1257"/>
      <c r="RS1257"/>
      <c r="RT1257"/>
      <c r="RU1257"/>
      <c r="RV1257"/>
      <c r="RW1257"/>
      <c r="RX1257"/>
      <c r="RY1257"/>
      <c r="RZ1257"/>
      <c r="SA1257"/>
      <c r="SB1257"/>
      <c r="SC1257"/>
      <c r="SD1257"/>
      <c r="SE1257"/>
      <c r="SF1257"/>
      <c r="SG1257"/>
      <c r="SH1257"/>
      <c r="SI1257"/>
      <c r="SJ1257"/>
      <c r="SK1257"/>
      <c r="SL1257"/>
      <c r="SM1257"/>
      <c r="SN1257"/>
      <c r="SO1257"/>
      <c r="SP1257"/>
      <c r="SQ1257"/>
      <c r="SR1257"/>
      <c r="SS1257"/>
      <c r="ST1257"/>
      <c r="SU1257"/>
      <c r="SV1257"/>
      <c r="SW1257"/>
      <c r="SX1257"/>
      <c r="SY1257"/>
      <c r="SZ1257"/>
      <c r="TA1257"/>
      <c r="TB1257"/>
      <c r="TC1257"/>
      <c r="TD1257"/>
      <c r="TE1257"/>
      <c r="TF1257"/>
      <c r="TG1257"/>
      <c r="TH1257"/>
      <c r="TI1257"/>
      <c r="TJ1257"/>
      <c r="TK1257"/>
      <c r="TL1257"/>
      <c r="TM1257"/>
      <c r="TN1257"/>
      <c r="TO1257"/>
      <c r="TP1257"/>
      <c r="TQ1257"/>
      <c r="TR1257"/>
      <c r="TS1257"/>
      <c r="TT1257"/>
      <c r="TU1257"/>
      <c r="TV1257"/>
      <c r="TW1257"/>
      <c r="TX1257"/>
      <c r="TY1257"/>
      <c r="TZ1257"/>
      <c r="UA1257"/>
      <c r="UB1257"/>
      <c r="UC1257"/>
      <c r="UD1257"/>
      <c r="UE1257"/>
      <c r="UF1257"/>
      <c r="UG1257"/>
      <c r="UH1257"/>
      <c r="UI1257"/>
      <c r="UJ1257"/>
      <c r="UK1257"/>
      <c r="UL1257"/>
      <c r="UM1257"/>
      <c r="UN1257"/>
      <c r="UO1257"/>
      <c r="UP1257"/>
      <c r="UQ1257"/>
      <c r="UR1257"/>
      <c r="US1257"/>
      <c r="UT1257"/>
      <c r="UU1257"/>
      <c r="UV1257"/>
      <c r="UW1257"/>
      <c r="UX1257"/>
      <c r="UY1257"/>
      <c r="UZ1257"/>
      <c r="VA1257"/>
      <c r="VB1257"/>
      <c r="VC1257"/>
      <c r="VD1257"/>
      <c r="VE1257"/>
      <c r="VF1257"/>
      <c r="VG1257"/>
      <c r="VH1257"/>
      <c r="VI1257"/>
      <c r="VJ1257"/>
      <c r="VK1257"/>
      <c r="VL1257"/>
      <c r="VM1257"/>
      <c r="VN1257"/>
      <c r="VO1257"/>
      <c r="VP1257"/>
      <c r="VQ1257"/>
      <c r="VR1257"/>
      <c r="VS1257"/>
      <c r="VT1257"/>
      <c r="VU1257"/>
      <c r="VV1257"/>
      <c r="VW1257"/>
      <c r="VX1257"/>
      <c r="VY1257"/>
      <c r="VZ1257"/>
      <c r="WA1257"/>
      <c r="WB1257"/>
      <c r="WC1257"/>
      <c r="WD1257"/>
      <c r="WE1257"/>
      <c r="WF1257"/>
      <c r="WG1257"/>
      <c r="WH1257"/>
      <c r="WI1257"/>
      <c r="WJ1257"/>
      <c r="WK1257"/>
      <c r="WL1257"/>
      <c r="WM1257"/>
      <c r="WN1257"/>
      <c r="WO1257"/>
      <c r="WP1257"/>
      <c r="WQ1257"/>
      <c r="WR1257"/>
      <c r="WS1257"/>
      <c r="WT1257"/>
      <c r="WU1257"/>
      <c r="WV1257"/>
      <c r="WW1257"/>
      <c r="WX1257"/>
      <c r="WY1257"/>
      <c r="WZ1257"/>
      <c r="XA1257"/>
      <c r="XB1257"/>
      <c r="XC1257"/>
      <c r="XD1257"/>
      <c r="XE1257"/>
      <c r="XF1257"/>
      <c r="XG1257"/>
      <c r="XH1257"/>
      <c r="XI1257"/>
      <c r="XJ1257"/>
      <c r="XK1257"/>
      <c r="XL1257"/>
      <c r="XM1257"/>
      <c r="XN1257"/>
      <c r="XO1257"/>
      <c r="XP1257"/>
      <c r="XQ1257"/>
      <c r="XR1257"/>
      <c r="XS1257"/>
      <c r="XT1257"/>
      <c r="XU1257"/>
      <c r="XV1257"/>
      <c r="XW1257"/>
      <c r="XX1257"/>
      <c r="XY1257"/>
      <c r="XZ1257"/>
      <c r="YA1257"/>
      <c r="YB1257"/>
      <c r="YC1257"/>
      <c r="YD1257"/>
      <c r="YE1257"/>
      <c r="YF1257"/>
      <c r="YG1257"/>
      <c r="YH1257"/>
      <c r="YI1257"/>
      <c r="YJ1257"/>
      <c r="YK1257"/>
      <c r="YL1257"/>
      <c r="YM1257"/>
      <c r="YN1257"/>
      <c r="YO1257"/>
      <c r="YP1257"/>
      <c r="YQ1257"/>
      <c r="YR1257"/>
      <c r="YS1257"/>
      <c r="YT1257"/>
      <c r="YU1257"/>
      <c r="YV1257"/>
      <c r="YW1257"/>
      <c r="YX1257"/>
      <c r="YY1257"/>
      <c r="YZ1257"/>
      <c r="ZA1257"/>
      <c r="ZB1257"/>
      <c r="ZC1257"/>
      <c r="ZD1257"/>
      <c r="ZE1257"/>
      <c r="ZF1257"/>
      <c r="ZG1257"/>
      <c r="ZH1257"/>
      <c r="ZI1257"/>
      <c r="ZJ1257"/>
      <c r="ZK1257"/>
      <c r="ZL1257"/>
      <c r="ZM1257"/>
      <c r="ZN1257"/>
      <c r="ZO1257"/>
      <c r="ZP1257"/>
      <c r="ZQ1257"/>
      <c r="ZR1257"/>
      <c r="ZS1257"/>
      <c r="ZT1257"/>
      <c r="ZU1257"/>
      <c r="ZV1257"/>
      <c r="ZW1257"/>
      <c r="ZX1257"/>
      <c r="ZY1257"/>
      <c r="ZZ1257"/>
      <c r="AAA1257"/>
      <c r="AAB1257"/>
      <c r="AAC1257"/>
      <c r="AAD1257"/>
      <c r="AAE1257"/>
      <c r="AAF1257"/>
      <c r="AAG1257"/>
      <c r="AAH1257"/>
      <c r="AAI1257"/>
      <c r="AAJ1257"/>
      <c r="AAK1257"/>
      <c r="AAL1257"/>
      <c r="AAM1257"/>
      <c r="AAN1257"/>
      <c r="AAO1257"/>
      <c r="AAP1257"/>
      <c r="AAQ1257"/>
      <c r="AAR1257"/>
      <c r="AAS1257"/>
      <c r="AAT1257"/>
      <c r="AAU1257"/>
      <c r="AAV1257"/>
      <c r="AAW1257"/>
      <c r="AAX1257"/>
      <c r="AAY1257"/>
      <c r="AAZ1257"/>
      <c r="ABA1257"/>
      <c r="ABB1257"/>
      <c r="ABC1257"/>
      <c r="ABD1257"/>
      <c r="ABE1257"/>
      <c r="ABF1257"/>
      <c r="ABG1257"/>
      <c r="ABH1257"/>
      <c r="ABI1257"/>
      <c r="ABJ1257"/>
      <c r="ABK1257"/>
      <c r="ABL1257"/>
      <c r="ABM1257"/>
      <c r="ABN1257"/>
      <c r="ABO1257"/>
      <c r="ABP1257"/>
      <c r="ABQ1257"/>
      <c r="ABR1257"/>
      <c r="ABS1257"/>
      <c r="ABT1257"/>
      <c r="ABU1257"/>
      <c r="ABV1257"/>
      <c r="ABW1257"/>
      <c r="ABX1257"/>
      <c r="ABY1257"/>
      <c r="ABZ1257"/>
      <c r="ACA1257"/>
      <c r="ACB1257"/>
      <c r="ACC1257"/>
      <c r="ACD1257"/>
      <c r="ACE1257"/>
      <c r="ACF1257"/>
      <c r="ACG1257"/>
      <c r="ACH1257"/>
      <c r="ACI1257"/>
      <c r="ACJ1257"/>
      <c r="ACK1257"/>
      <c r="ACL1257"/>
      <c r="ACM1257"/>
      <c r="ACN1257"/>
      <c r="ACO1257"/>
      <c r="ACP1257"/>
      <c r="ACQ1257"/>
      <c r="ACR1257"/>
      <c r="ACS1257"/>
      <c r="ACT1257"/>
      <c r="ACU1257"/>
      <c r="ACV1257"/>
      <c r="ACW1257"/>
      <c r="ACX1257"/>
      <c r="ACY1257"/>
      <c r="ACZ1257"/>
      <c r="ADA1257"/>
      <c r="ADB1257"/>
      <c r="ADC1257"/>
      <c r="ADD1257"/>
      <c r="ADE1257"/>
      <c r="ADF1257"/>
      <c r="ADG1257"/>
      <c r="ADH1257"/>
      <c r="ADI1257"/>
      <c r="ADJ1257"/>
      <c r="ADK1257"/>
      <c r="ADL1257"/>
      <c r="ADM1257"/>
      <c r="ADN1257"/>
      <c r="ADO1257"/>
      <c r="ADP1257"/>
      <c r="ADQ1257"/>
      <c r="ADR1257"/>
      <c r="ADS1257"/>
      <c r="ADT1257"/>
      <c r="ADU1257"/>
      <c r="ADV1257"/>
      <c r="ADW1257"/>
      <c r="ADX1257"/>
      <c r="ADY1257"/>
      <c r="ADZ1257"/>
      <c r="AEA1257"/>
      <c r="AEB1257"/>
      <c r="AEC1257"/>
      <c r="AED1257"/>
      <c r="AEE1257"/>
      <c r="AEF1257"/>
      <c r="AEG1257"/>
      <c r="AEH1257"/>
      <c r="AEI1257"/>
      <c r="AEJ1257"/>
      <c r="AEK1257"/>
      <c r="AEL1257"/>
      <c r="AEM1257"/>
      <c r="AEN1257"/>
      <c r="AEO1257"/>
      <c r="AEP1257"/>
      <c r="AEQ1257"/>
      <c r="AER1257"/>
      <c r="AES1257"/>
      <c r="AET1257"/>
      <c r="AEU1257"/>
      <c r="AEV1257"/>
      <c r="AEW1257"/>
      <c r="AEX1257"/>
      <c r="AEY1257"/>
      <c r="AEZ1257"/>
      <c r="AFA1257"/>
      <c r="AFB1257"/>
      <c r="AFC1257"/>
      <c r="AFD1257"/>
      <c r="AFE1257"/>
      <c r="AFF1257"/>
      <c r="AFG1257"/>
      <c r="AFH1257"/>
      <c r="AFI1257"/>
      <c r="AFJ1257"/>
      <c r="AFK1257"/>
      <c r="AFL1257"/>
      <c r="AFM1257"/>
      <c r="AFN1257"/>
      <c r="AFO1257"/>
      <c r="AFP1257"/>
      <c r="AFQ1257"/>
      <c r="AFR1257"/>
      <c r="AFS1257"/>
      <c r="AFT1257"/>
      <c r="AFU1257"/>
      <c r="AFV1257"/>
      <c r="AFW1257"/>
      <c r="AFX1257"/>
      <c r="AFY1257"/>
      <c r="AFZ1257"/>
      <c r="AGA1257"/>
      <c r="AGB1257"/>
      <c r="AGC1257"/>
      <c r="AGD1257"/>
      <c r="AGE1257"/>
      <c r="AGF1257"/>
      <c r="AGG1257"/>
      <c r="AGH1257"/>
      <c r="AGI1257"/>
      <c r="AGJ1257"/>
      <c r="AGK1257"/>
      <c r="AGL1257"/>
      <c r="AGM1257"/>
      <c r="AGN1257"/>
      <c r="AGO1257"/>
      <c r="AGP1257"/>
      <c r="AGQ1257"/>
      <c r="AGR1257"/>
      <c r="AGS1257"/>
      <c r="AGT1257"/>
      <c r="AGU1257"/>
      <c r="AGV1257"/>
      <c r="AGW1257"/>
      <c r="AGX1257"/>
      <c r="AGY1257"/>
      <c r="AGZ1257"/>
      <c r="AHA1257"/>
      <c r="AHB1257"/>
      <c r="AHC1257"/>
      <c r="AHD1257"/>
      <c r="AHE1257"/>
      <c r="AHF1257"/>
      <c r="AHG1257"/>
      <c r="AHH1257"/>
      <c r="AHI1257"/>
      <c r="AHJ1257"/>
      <c r="AHK1257"/>
      <c r="AHL1257"/>
      <c r="AHM1257"/>
      <c r="AHN1257"/>
      <c r="AHO1257"/>
      <c r="AHP1257"/>
      <c r="AHQ1257"/>
      <c r="AHR1257"/>
      <c r="AHS1257"/>
      <c r="AHT1257"/>
      <c r="AHU1257"/>
      <c r="AHV1257"/>
      <c r="AHW1257"/>
      <c r="AHX1257"/>
      <c r="AHY1257"/>
      <c r="AHZ1257"/>
      <c r="AIA1257"/>
      <c r="AIB1257"/>
      <c r="AIC1257"/>
      <c r="AID1257"/>
      <c r="AIE1257"/>
      <c r="AIF1257"/>
      <c r="AIG1257"/>
      <c r="AIH1257"/>
      <c r="AII1257"/>
      <c r="AIJ1257"/>
      <c r="AIK1257"/>
      <c r="AIL1257"/>
      <c r="AIM1257"/>
      <c r="AIN1257"/>
      <c r="AIO1257"/>
      <c r="AIP1257"/>
      <c r="AIQ1257"/>
      <c r="AIR1257"/>
      <c r="AIS1257"/>
      <c r="AIT1257"/>
      <c r="AIU1257"/>
      <c r="AIV1257"/>
      <c r="AIW1257"/>
      <c r="AIX1257"/>
      <c r="AIY1257"/>
      <c r="AIZ1257"/>
      <c r="AJA1257"/>
      <c r="AJB1257"/>
      <c r="AJC1257"/>
      <c r="AJD1257"/>
      <c r="AJE1257"/>
      <c r="AJF1257"/>
      <c r="AJG1257"/>
      <c r="AJH1257"/>
      <c r="AJI1257"/>
      <c r="AJJ1257"/>
      <c r="AJK1257"/>
      <c r="AJL1257"/>
      <c r="AJM1257"/>
      <c r="AJN1257"/>
      <c r="AJO1257"/>
      <c r="AJP1257"/>
      <c r="AJQ1257"/>
      <c r="AJR1257"/>
      <c r="AJS1257"/>
      <c r="AJT1257"/>
      <c r="AJU1257"/>
      <c r="AJV1257"/>
      <c r="AJW1257"/>
      <c r="AJX1257"/>
      <c r="AJY1257"/>
      <c r="AJZ1257"/>
      <c r="AKA1257"/>
      <c r="AKB1257"/>
      <c r="AKC1257"/>
      <c r="AKD1257"/>
      <c r="AKE1257"/>
      <c r="AKF1257"/>
      <c r="AKG1257"/>
      <c r="AKH1257"/>
      <c r="AKI1257"/>
      <c r="AKJ1257"/>
      <c r="AKK1257"/>
      <c r="AKL1257"/>
      <c r="AKM1257"/>
      <c r="AKN1257"/>
      <c r="AKO1257"/>
      <c r="AKP1257"/>
      <c r="AKQ1257"/>
      <c r="AKR1257"/>
      <c r="AKS1257"/>
      <c r="AKT1257"/>
      <c r="AKU1257"/>
      <c r="AKV1257"/>
      <c r="AKW1257"/>
      <c r="AKX1257"/>
      <c r="AKY1257"/>
      <c r="AKZ1257"/>
      <c r="ALA1257"/>
      <c r="ALB1257"/>
      <c r="ALC1257"/>
      <c r="ALD1257"/>
      <c r="ALE1257"/>
      <c r="ALF1257"/>
      <c r="ALG1257"/>
      <c r="ALH1257"/>
      <c r="ALI1257"/>
      <c r="ALJ1257"/>
      <c r="ALK1257"/>
      <c r="ALL1257"/>
      <c r="ALM1257"/>
      <c r="ALN1257"/>
      <c r="ALO1257"/>
      <c r="ALP1257"/>
      <c r="ALQ1257"/>
      <c r="ALR1257"/>
      <c r="ALS1257"/>
      <c r="ALT1257"/>
    </row>
    <row r="1258" spans="1:1008" ht="14">
      <c r="A1258" s="27" t="s">
        <v>3930</v>
      </c>
      <c r="B1258" s="25" t="s">
        <v>3987</v>
      </c>
      <c r="C1258" s="27" t="s">
        <v>3930</v>
      </c>
      <c r="D1258" s="24" t="s">
        <v>12</v>
      </c>
      <c r="E1258" s="27" t="s">
        <v>3930</v>
      </c>
      <c r="F1258" s="27" t="s">
        <v>3931</v>
      </c>
      <c r="G1258" s="27">
        <v>550</v>
      </c>
      <c r="H1258" s="27"/>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c r="AT1258"/>
      <c r="AU1258"/>
      <c r="AV1258"/>
      <c r="AW1258"/>
      <c r="AX1258"/>
      <c r="AY1258"/>
      <c r="AZ1258"/>
      <c r="BA1258"/>
      <c r="BB1258"/>
      <c r="BC1258"/>
      <c r="BD1258"/>
      <c r="BE1258"/>
      <c r="BF1258"/>
      <c r="BG1258"/>
      <c r="BH1258"/>
      <c r="BI1258"/>
      <c r="BJ1258"/>
      <c r="BK1258"/>
      <c r="BL1258"/>
      <c r="BM1258"/>
      <c r="BN1258"/>
      <c r="BO1258"/>
      <c r="BP1258"/>
      <c r="BQ1258"/>
      <c r="BR1258"/>
      <c r="BS1258"/>
      <c r="BT1258"/>
      <c r="BU1258"/>
      <c r="BV1258"/>
      <c r="BW1258"/>
      <c r="BX1258"/>
      <c r="BY1258"/>
      <c r="BZ1258"/>
      <c r="CA1258"/>
      <c r="CB1258"/>
      <c r="CC1258"/>
      <c r="CD1258"/>
      <c r="CE1258"/>
      <c r="CF1258"/>
      <c r="CG1258"/>
      <c r="CH1258"/>
      <c r="CI1258"/>
      <c r="CJ1258"/>
      <c r="CK1258"/>
      <c r="CL1258"/>
      <c r="CM1258"/>
      <c r="CN1258"/>
      <c r="CO1258"/>
      <c r="CP1258"/>
      <c r="CQ1258"/>
      <c r="CR1258"/>
      <c r="CS1258"/>
      <c r="CT1258"/>
      <c r="CU1258"/>
      <c r="CV1258"/>
      <c r="CW1258"/>
      <c r="CX1258"/>
      <c r="CY1258"/>
      <c r="CZ1258"/>
      <c r="DA1258"/>
      <c r="DB1258"/>
      <c r="DC1258"/>
      <c r="DD1258"/>
      <c r="DE1258"/>
      <c r="DF1258"/>
      <c r="DG1258"/>
      <c r="DH1258"/>
      <c r="DI1258"/>
      <c r="DJ1258"/>
      <c r="DK1258"/>
      <c r="DL1258"/>
      <c r="DM1258"/>
      <c r="DN1258"/>
      <c r="DO1258"/>
      <c r="DP1258"/>
      <c r="DQ1258"/>
      <c r="DR1258"/>
      <c r="DS1258"/>
      <c r="DT1258"/>
      <c r="DU1258"/>
      <c r="DV1258"/>
      <c r="DW1258"/>
      <c r="DX1258"/>
      <c r="DY1258"/>
      <c r="DZ1258"/>
      <c r="EA1258"/>
      <c r="EB1258"/>
      <c r="EC1258"/>
      <c r="ED1258"/>
      <c r="EE1258"/>
      <c r="EF1258"/>
      <c r="EG1258"/>
      <c r="EH1258"/>
      <c r="EI1258"/>
      <c r="EJ1258"/>
      <c r="EK1258"/>
      <c r="EL1258"/>
      <c r="EM1258"/>
      <c r="EN1258"/>
      <c r="EO1258"/>
      <c r="EP1258"/>
      <c r="EQ1258"/>
      <c r="ER1258"/>
      <c r="ES1258"/>
      <c r="ET1258"/>
      <c r="EU1258"/>
      <c r="EV1258"/>
      <c r="EW1258"/>
      <c r="EX1258"/>
      <c r="EY1258"/>
      <c r="EZ1258"/>
      <c r="FA1258"/>
      <c r="FB1258"/>
      <c r="FC1258"/>
      <c r="FD1258"/>
      <c r="FE1258"/>
      <c r="FF1258"/>
      <c r="FG1258"/>
      <c r="FH1258"/>
      <c r="FI1258"/>
      <c r="FJ1258"/>
      <c r="FK1258"/>
      <c r="FL1258"/>
      <c r="FM1258"/>
      <c r="FN1258"/>
      <c r="FO1258"/>
      <c r="FP1258"/>
      <c r="FQ1258"/>
      <c r="FR1258"/>
      <c r="FS1258"/>
      <c r="FT1258"/>
      <c r="FU1258"/>
      <c r="FV1258"/>
      <c r="FW1258"/>
      <c r="FX1258"/>
      <c r="FY1258"/>
      <c r="FZ1258"/>
      <c r="GA1258"/>
      <c r="GB1258"/>
      <c r="GC1258"/>
      <c r="GD1258"/>
      <c r="GE1258"/>
      <c r="GF1258"/>
      <c r="GG1258"/>
      <c r="GH1258"/>
      <c r="GI1258"/>
      <c r="GJ1258"/>
      <c r="GK1258"/>
      <c r="GL1258"/>
      <c r="GM1258"/>
      <c r="GN1258"/>
      <c r="GO1258"/>
      <c r="GP1258"/>
      <c r="GQ1258"/>
      <c r="GR1258"/>
      <c r="GS1258"/>
      <c r="GT1258"/>
      <c r="GU1258"/>
      <c r="GV1258"/>
      <c r="GW1258"/>
      <c r="GX1258"/>
      <c r="GY1258"/>
      <c r="GZ1258"/>
      <c r="HA1258"/>
      <c r="HB1258"/>
      <c r="HC1258"/>
      <c r="HD1258"/>
      <c r="HE1258"/>
      <c r="HF1258"/>
      <c r="HG1258"/>
      <c r="HH1258"/>
      <c r="HI1258"/>
      <c r="HJ1258"/>
      <c r="HK1258"/>
      <c r="HL1258"/>
      <c r="HM1258"/>
      <c r="HN1258"/>
      <c r="HO1258"/>
      <c r="HP1258"/>
      <c r="HQ1258"/>
      <c r="HR1258"/>
      <c r="HS1258"/>
      <c r="HT1258"/>
      <c r="HU1258"/>
      <c r="HV1258"/>
      <c r="HW1258"/>
      <c r="HX1258"/>
      <c r="HY1258"/>
      <c r="HZ1258"/>
      <c r="IA1258"/>
      <c r="IB1258"/>
      <c r="IC1258"/>
      <c r="ID1258"/>
      <c r="IE1258"/>
      <c r="IF1258"/>
      <c r="IG1258"/>
      <c r="IH1258"/>
      <c r="II1258"/>
      <c r="IJ1258"/>
      <c r="IK1258"/>
      <c r="IL1258"/>
      <c r="IM1258"/>
      <c r="IN1258"/>
      <c r="IO1258"/>
      <c r="IP1258"/>
      <c r="IQ1258"/>
      <c r="IR1258"/>
      <c r="IS1258"/>
      <c r="IT1258"/>
      <c r="IU1258"/>
      <c r="IV1258"/>
      <c r="IW1258"/>
      <c r="IX1258"/>
      <c r="IY1258"/>
      <c r="IZ1258"/>
      <c r="JA1258"/>
      <c r="JB1258"/>
      <c r="JC1258"/>
      <c r="JD1258"/>
      <c r="JE1258"/>
      <c r="JF1258"/>
      <c r="JG1258"/>
      <c r="JH1258"/>
      <c r="JI1258"/>
      <c r="JJ1258"/>
      <c r="JK1258"/>
      <c r="JL1258"/>
      <c r="JM1258"/>
      <c r="JN1258"/>
      <c r="JO1258"/>
      <c r="JP1258"/>
      <c r="JQ1258"/>
      <c r="JR1258"/>
      <c r="JS1258"/>
      <c r="JT1258"/>
      <c r="JU1258"/>
      <c r="JV1258"/>
      <c r="JW1258"/>
      <c r="JX1258"/>
      <c r="JY1258"/>
      <c r="JZ1258"/>
      <c r="KA1258"/>
      <c r="KB1258"/>
      <c r="KC1258"/>
      <c r="KD1258"/>
      <c r="KE1258"/>
      <c r="KF1258"/>
      <c r="KG1258"/>
      <c r="KH1258"/>
      <c r="KI1258"/>
      <c r="KJ1258"/>
      <c r="KK1258"/>
      <c r="KL1258"/>
      <c r="KM1258"/>
      <c r="KN1258"/>
      <c r="KO1258"/>
      <c r="KP1258"/>
      <c r="KQ1258"/>
      <c r="KR1258"/>
      <c r="KS1258"/>
      <c r="KT1258"/>
      <c r="KU1258"/>
      <c r="KV1258"/>
      <c r="KW1258"/>
      <c r="KX1258"/>
      <c r="KY1258"/>
      <c r="KZ1258"/>
      <c r="LA1258"/>
      <c r="LB1258"/>
      <c r="LC1258"/>
      <c r="LD1258"/>
      <c r="LE1258"/>
      <c r="LF1258"/>
      <c r="LG1258"/>
      <c r="LH1258"/>
      <c r="LI1258"/>
      <c r="LJ1258"/>
      <c r="LK1258"/>
      <c r="LL1258"/>
      <c r="LM1258"/>
      <c r="LN1258"/>
      <c r="LO1258"/>
      <c r="LP1258"/>
      <c r="LQ1258"/>
      <c r="LR1258"/>
      <c r="LS1258"/>
      <c r="LT1258"/>
      <c r="LU1258"/>
      <c r="LV1258"/>
      <c r="LW1258"/>
      <c r="LX1258"/>
      <c r="LY1258"/>
      <c r="LZ1258"/>
      <c r="MA1258"/>
      <c r="MB1258"/>
      <c r="MC1258"/>
      <c r="MD1258"/>
      <c r="ME1258"/>
      <c r="MF1258"/>
      <c r="MG1258"/>
      <c r="MH1258"/>
      <c r="MI1258"/>
      <c r="MJ1258"/>
      <c r="MK1258"/>
      <c r="ML1258"/>
      <c r="MM1258"/>
      <c r="MN1258"/>
      <c r="MO1258"/>
      <c r="MP1258"/>
      <c r="MQ1258"/>
      <c r="MR1258"/>
      <c r="MS1258"/>
      <c r="MT1258"/>
      <c r="MU1258"/>
      <c r="MV1258"/>
      <c r="MW1258"/>
      <c r="MX1258"/>
      <c r="MY1258"/>
      <c r="MZ1258"/>
      <c r="NA1258"/>
      <c r="NB1258"/>
      <c r="NC1258"/>
      <c r="ND1258"/>
      <c r="NE1258"/>
      <c r="NF1258"/>
      <c r="NG1258"/>
      <c r="NH1258"/>
      <c r="NI1258"/>
      <c r="NJ1258"/>
      <c r="NK1258"/>
      <c r="NL1258"/>
      <c r="NM1258"/>
      <c r="NN1258"/>
      <c r="NO1258"/>
      <c r="NP1258"/>
      <c r="NQ1258"/>
      <c r="NR1258"/>
      <c r="NS1258"/>
      <c r="NT1258"/>
      <c r="NU1258"/>
      <c r="NV1258"/>
      <c r="NW1258"/>
      <c r="NX1258"/>
      <c r="NY1258"/>
      <c r="NZ1258"/>
      <c r="OA1258"/>
      <c r="OB1258"/>
      <c r="OC1258"/>
      <c r="OD1258"/>
      <c r="OE1258"/>
      <c r="OF1258"/>
      <c r="OG1258"/>
      <c r="OH1258"/>
      <c r="OI1258"/>
      <c r="OJ1258"/>
      <c r="OK1258"/>
      <c r="OL1258"/>
      <c r="OM1258"/>
      <c r="ON1258"/>
      <c r="OO1258"/>
      <c r="OP1258"/>
      <c r="OQ1258"/>
      <c r="OR1258"/>
      <c r="OS1258"/>
      <c r="OT1258"/>
      <c r="OU1258"/>
      <c r="OV1258"/>
      <c r="OW1258"/>
      <c r="OX1258"/>
      <c r="OY1258"/>
      <c r="OZ1258"/>
      <c r="PA1258"/>
      <c r="PB1258"/>
      <c r="PC1258"/>
      <c r="PD1258"/>
      <c r="PE1258"/>
      <c r="PF1258"/>
      <c r="PG1258"/>
      <c r="PH1258"/>
      <c r="PI1258"/>
      <c r="PJ1258"/>
      <c r="PK1258"/>
      <c r="PL1258"/>
      <c r="PM1258"/>
      <c r="PN1258"/>
      <c r="PO1258"/>
      <c r="PP1258"/>
      <c r="PQ1258"/>
      <c r="PR1258"/>
      <c r="PS1258"/>
      <c r="PT1258"/>
      <c r="PU1258"/>
      <c r="PV1258"/>
      <c r="PW1258"/>
      <c r="PX1258"/>
      <c r="PY1258"/>
      <c r="PZ1258"/>
      <c r="QA1258"/>
      <c r="QB1258"/>
      <c r="QC1258"/>
      <c r="QD1258"/>
      <c r="QE1258"/>
      <c r="QF1258"/>
      <c r="QG1258"/>
      <c r="QH1258"/>
      <c r="QI1258"/>
      <c r="QJ1258"/>
      <c r="QK1258"/>
      <c r="QL1258"/>
      <c r="QM1258"/>
      <c r="QN1258"/>
      <c r="QO1258"/>
      <c r="QP1258"/>
      <c r="QQ1258"/>
      <c r="QR1258"/>
      <c r="QS1258"/>
      <c r="QT1258"/>
      <c r="QU1258"/>
      <c r="QV1258"/>
      <c r="QW1258"/>
      <c r="QX1258"/>
      <c r="QY1258"/>
      <c r="QZ1258"/>
      <c r="RA1258"/>
      <c r="RB1258"/>
      <c r="RC1258"/>
      <c r="RD1258"/>
      <c r="RE1258"/>
      <c r="RF1258"/>
      <c r="RG1258"/>
      <c r="RH1258"/>
      <c r="RI1258"/>
      <c r="RJ1258"/>
      <c r="RK1258"/>
      <c r="RL1258"/>
      <c r="RM1258"/>
      <c r="RN1258"/>
      <c r="RO1258"/>
      <c r="RP1258"/>
      <c r="RQ1258"/>
      <c r="RR1258"/>
      <c r="RS1258"/>
      <c r="RT1258"/>
      <c r="RU1258"/>
      <c r="RV1258"/>
      <c r="RW1258"/>
      <c r="RX1258"/>
      <c r="RY1258"/>
      <c r="RZ1258"/>
      <c r="SA1258"/>
      <c r="SB1258"/>
      <c r="SC1258"/>
      <c r="SD1258"/>
      <c r="SE1258"/>
      <c r="SF1258"/>
      <c r="SG1258"/>
      <c r="SH1258"/>
      <c r="SI1258"/>
      <c r="SJ1258"/>
      <c r="SK1258"/>
      <c r="SL1258"/>
      <c r="SM1258"/>
      <c r="SN1258"/>
      <c r="SO1258"/>
      <c r="SP1258"/>
      <c r="SQ1258"/>
      <c r="SR1258"/>
      <c r="SS1258"/>
      <c r="ST1258"/>
      <c r="SU1258"/>
      <c r="SV1258"/>
      <c r="SW1258"/>
      <c r="SX1258"/>
      <c r="SY1258"/>
      <c r="SZ1258"/>
      <c r="TA1258"/>
      <c r="TB1258"/>
      <c r="TC1258"/>
      <c r="TD1258"/>
      <c r="TE1258"/>
      <c r="TF1258"/>
      <c r="TG1258"/>
      <c r="TH1258"/>
      <c r="TI1258"/>
      <c r="TJ1258"/>
      <c r="TK1258"/>
      <c r="TL1258"/>
      <c r="TM1258"/>
      <c r="TN1258"/>
      <c r="TO1258"/>
      <c r="TP1258"/>
      <c r="TQ1258"/>
      <c r="TR1258"/>
      <c r="TS1258"/>
      <c r="TT1258"/>
      <c r="TU1258"/>
      <c r="TV1258"/>
      <c r="TW1258"/>
      <c r="TX1258"/>
      <c r="TY1258"/>
      <c r="TZ1258"/>
      <c r="UA1258"/>
      <c r="UB1258"/>
      <c r="UC1258"/>
      <c r="UD1258"/>
      <c r="UE1258"/>
      <c r="UF1258"/>
      <c r="UG1258"/>
      <c r="UH1258"/>
      <c r="UI1258"/>
      <c r="UJ1258"/>
      <c r="UK1258"/>
      <c r="UL1258"/>
      <c r="UM1258"/>
      <c r="UN1258"/>
      <c r="UO1258"/>
      <c r="UP1258"/>
      <c r="UQ1258"/>
      <c r="UR1258"/>
      <c r="US1258"/>
      <c r="UT1258"/>
      <c r="UU1258"/>
      <c r="UV1258"/>
      <c r="UW1258"/>
      <c r="UX1258"/>
      <c r="UY1258"/>
      <c r="UZ1258"/>
      <c r="VA1258"/>
      <c r="VB1258"/>
      <c r="VC1258"/>
      <c r="VD1258"/>
      <c r="VE1258"/>
      <c r="VF1258"/>
      <c r="VG1258"/>
      <c r="VH1258"/>
      <c r="VI1258"/>
      <c r="VJ1258"/>
      <c r="VK1258"/>
      <c r="VL1258"/>
      <c r="VM1258"/>
      <c r="VN1258"/>
      <c r="VO1258"/>
      <c r="VP1258"/>
      <c r="VQ1258"/>
      <c r="VR1258"/>
      <c r="VS1258"/>
      <c r="VT1258"/>
      <c r="VU1258"/>
      <c r="VV1258"/>
      <c r="VW1258"/>
      <c r="VX1258"/>
      <c r="VY1258"/>
      <c r="VZ1258"/>
      <c r="WA1258"/>
      <c r="WB1258"/>
      <c r="WC1258"/>
      <c r="WD1258"/>
      <c r="WE1258"/>
      <c r="WF1258"/>
      <c r="WG1258"/>
      <c r="WH1258"/>
      <c r="WI1258"/>
      <c r="WJ1258"/>
      <c r="WK1258"/>
      <c r="WL1258"/>
      <c r="WM1258"/>
      <c r="WN1258"/>
      <c r="WO1258"/>
      <c r="WP1258"/>
      <c r="WQ1258"/>
      <c r="WR1258"/>
      <c r="WS1258"/>
      <c r="WT1258"/>
      <c r="WU1258"/>
      <c r="WV1258"/>
      <c r="WW1258"/>
      <c r="WX1258"/>
      <c r="WY1258"/>
      <c r="WZ1258"/>
      <c r="XA1258"/>
      <c r="XB1258"/>
      <c r="XC1258"/>
      <c r="XD1258"/>
      <c r="XE1258"/>
      <c r="XF1258"/>
      <c r="XG1258"/>
      <c r="XH1258"/>
      <c r="XI1258"/>
      <c r="XJ1258"/>
      <c r="XK1258"/>
      <c r="XL1258"/>
      <c r="XM1258"/>
      <c r="XN1258"/>
      <c r="XO1258"/>
      <c r="XP1258"/>
      <c r="XQ1258"/>
      <c r="XR1258"/>
      <c r="XS1258"/>
      <c r="XT1258"/>
      <c r="XU1258"/>
      <c r="XV1258"/>
      <c r="XW1258"/>
      <c r="XX1258"/>
      <c r="XY1258"/>
      <c r="XZ1258"/>
      <c r="YA1258"/>
      <c r="YB1258"/>
      <c r="YC1258"/>
      <c r="YD1258"/>
      <c r="YE1258"/>
      <c r="YF1258"/>
      <c r="YG1258"/>
      <c r="YH1258"/>
      <c r="YI1258"/>
      <c r="YJ1258"/>
      <c r="YK1258"/>
      <c r="YL1258"/>
      <c r="YM1258"/>
      <c r="YN1258"/>
      <c r="YO1258"/>
      <c r="YP1258"/>
      <c r="YQ1258"/>
      <c r="YR1258"/>
      <c r="YS1258"/>
      <c r="YT1258"/>
      <c r="YU1258"/>
      <c r="YV1258"/>
      <c r="YW1258"/>
      <c r="YX1258"/>
      <c r="YY1258"/>
      <c r="YZ1258"/>
      <c r="ZA1258"/>
      <c r="ZB1258"/>
      <c r="ZC1258"/>
      <c r="ZD1258"/>
      <c r="ZE1258"/>
      <c r="ZF1258"/>
      <c r="ZG1258"/>
      <c r="ZH1258"/>
      <c r="ZI1258"/>
      <c r="ZJ1258"/>
      <c r="ZK1258"/>
      <c r="ZL1258"/>
      <c r="ZM1258"/>
      <c r="ZN1258"/>
      <c r="ZO1258"/>
      <c r="ZP1258"/>
      <c r="ZQ1258"/>
      <c r="ZR1258"/>
      <c r="ZS1258"/>
      <c r="ZT1258"/>
      <c r="ZU1258"/>
      <c r="ZV1258"/>
      <c r="ZW1258"/>
      <c r="ZX1258"/>
      <c r="ZY1258"/>
      <c r="ZZ1258"/>
      <c r="AAA1258"/>
      <c r="AAB1258"/>
      <c r="AAC1258"/>
      <c r="AAD1258"/>
      <c r="AAE1258"/>
      <c r="AAF1258"/>
      <c r="AAG1258"/>
      <c r="AAH1258"/>
      <c r="AAI1258"/>
      <c r="AAJ1258"/>
      <c r="AAK1258"/>
      <c r="AAL1258"/>
      <c r="AAM1258"/>
      <c r="AAN1258"/>
      <c r="AAO1258"/>
      <c r="AAP1258"/>
      <c r="AAQ1258"/>
      <c r="AAR1258"/>
      <c r="AAS1258"/>
      <c r="AAT1258"/>
      <c r="AAU1258"/>
      <c r="AAV1258"/>
      <c r="AAW1258"/>
      <c r="AAX1258"/>
      <c r="AAY1258"/>
      <c r="AAZ1258"/>
      <c r="ABA1258"/>
      <c r="ABB1258"/>
      <c r="ABC1258"/>
      <c r="ABD1258"/>
      <c r="ABE1258"/>
      <c r="ABF1258"/>
      <c r="ABG1258"/>
      <c r="ABH1258"/>
      <c r="ABI1258"/>
      <c r="ABJ1258"/>
      <c r="ABK1258"/>
      <c r="ABL1258"/>
      <c r="ABM1258"/>
      <c r="ABN1258"/>
      <c r="ABO1258"/>
      <c r="ABP1258"/>
      <c r="ABQ1258"/>
      <c r="ABR1258"/>
      <c r="ABS1258"/>
      <c r="ABT1258"/>
      <c r="ABU1258"/>
      <c r="ABV1258"/>
      <c r="ABW1258"/>
      <c r="ABX1258"/>
      <c r="ABY1258"/>
      <c r="ABZ1258"/>
      <c r="ACA1258"/>
      <c r="ACB1258"/>
      <c r="ACC1258"/>
      <c r="ACD1258"/>
      <c r="ACE1258"/>
      <c r="ACF1258"/>
      <c r="ACG1258"/>
      <c r="ACH1258"/>
      <c r="ACI1258"/>
      <c r="ACJ1258"/>
      <c r="ACK1258"/>
      <c r="ACL1258"/>
      <c r="ACM1258"/>
      <c r="ACN1258"/>
      <c r="ACO1258"/>
      <c r="ACP1258"/>
      <c r="ACQ1258"/>
      <c r="ACR1258"/>
      <c r="ACS1258"/>
      <c r="ACT1258"/>
      <c r="ACU1258"/>
      <c r="ACV1258"/>
      <c r="ACW1258"/>
      <c r="ACX1258"/>
      <c r="ACY1258"/>
      <c r="ACZ1258"/>
      <c r="ADA1258"/>
      <c r="ADB1258"/>
      <c r="ADC1258"/>
      <c r="ADD1258"/>
      <c r="ADE1258"/>
      <c r="ADF1258"/>
      <c r="ADG1258"/>
      <c r="ADH1258"/>
      <c r="ADI1258"/>
      <c r="ADJ1258"/>
      <c r="ADK1258"/>
      <c r="ADL1258"/>
      <c r="ADM1258"/>
      <c r="ADN1258"/>
      <c r="ADO1258"/>
      <c r="ADP1258"/>
      <c r="ADQ1258"/>
      <c r="ADR1258"/>
      <c r="ADS1258"/>
      <c r="ADT1258"/>
      <c r="ADU1258"/>
      <c r="ADV1258"/>
      <c r="ADW1258"/>
      <c r="ADX1258"/>
      <c r="ADY1258"/>
      <c r="ADZ1258"/>
      <c r="AEA1258"/>
      <c r="AEB1258"/>
      <c r="AEC1258"/>
      <c r="AED1258"/>
      <c r="AEE1258"/>
      <c r="AEF1258"/>
      <c r="AEG1258"/>
      <c r="AEH1258"/>
      <c r="AEI1258"/>
      <c r="AEJ1258"/>
      <c r="AEK1258"/>
      <c r="AEL1258"/>
      <c r="AEM1258"/>
      <c r="AEN1258"/>
      <c r="AEO1258"/>
      <c r="AEP1258"/>
      <c r="AEQ1258"/>
      <c r="AER1258"/>
      <c r="AES1258"/>
      <c r="AET1258"/>
      <c r="AEU1258"/>
      <c r="AEV1258"/>
      <c r="AEW1258"/>
      <c r="AEX1258"/>
      <c r="AEY1258"/>
      <c r="AEZ1258"/>
      <c r="AFA1258"/>
      <c r="AFB1258"/>
      <c r="AFC1258"/>
      <c r="AFD1258"/>
      <c r="AFE1258"/>
      <c r="AFF1258"/>
      <c r="AFG1258"/>
      <c r="AFH1258"/>
      <c r="AFI1258"/>
      <c r="AFJ1258"/>
      <c r="AFK1258"/>
      <c r="AFL1258"/>
      <c r="AFM1258"/>
      <c r="AFN1258"/>
      <c r="AFO1258"/>
      <c r="AFP1258"/>
      <c r="AFQ1258"/>
      <c r="AFR1258"/>
      <c r="AFS1258"/>
      <c r="AFT1258"/>
      <c r="AFU1258"/>
      <c r="AFV1258"/>
      <c r="AFW1258"/>
      <c r="AFX1258"/>
      <c r="AFY1258"/>
      <c r="AFZ1258"/>
      <c r="AGA1258"/>
      <c r="AGB1258"/>
      <c r="AGC1258"/>
      <c r="AGD1258"/>
      <c r="AGE1258"/>
      <c r="AGF1258"/>
      <c r="AGG1258"/>
      <c r="AGH1258"/>
      <c r="AGI1258"/>
      <c r="AGJ1258"/>
      <c r="AGK1258"/>
      <c r="AGL1258"/>
      <c r="AGM1258"/>
      <c r="AGN1258"/>
      <c r="AGO1258"/>
      <c r="AGP1258"/>
      <c r="AGQ1258"/>
      <c r="AGR1258"/>
      <c r="AGS1258"/>
      <c r="AGT1258"/>
      <c r="AGU1258"/>
      <c r="AGV1258"/>
      <c r="AGW1258"/>
      <c r="AGX1258"/>
      <c r="AGY1258"/>
      <c r="AGZ1258"/>
      <c r="AHA1258"/>
      <c r="AHB1258"/>
      <c r="AHC1258"/>
      <c r="AHD1258"/>
      <c r="AHE1258"/>
      <c r="AHF1258"/>
      <c r="AHG1258"/>
      <c r="AHH1258"/>
      <c r="AHI1258"/>
      <c r="AHJ1258"/>
      <c r="AHK1258"/>
      <c r="AHL1258"/>
      <c r="AHM1258"/>
      <c r="AHN1258"/>
      <c r="AHO1258"/>
      <c r="AHP1258"/>
      <c r="AHQ1258"/>
      <c r="AHR1258"/>
      <c r="AHS1258"/>
      <c r="AHT1258"/>
      <c r="AHU1258"/>
      <c r="AHV1258"/>
      <c r="AHW1258"/>
      <c r="AHX1258"/>
      <c r="AHY1258"/>
      <c r="AHZ1258"/>
      <c r="AIA1258"/>
      <c r="AIB1258"/>
      <c r="AIC1258"/>
      <c r="AID1258"/>
      <c r="AIE1258"/>
      <c r="AIF1258"/>
      <c r="AIG1258"/>
      <c r="AIH1258"/>
      <c r="AII1258"/>
      <c r="AIJ1258"/>
      <c r="AIK1258"/>
      <c r="AIL1258"/>
      <c r="AIM1258"/>
      <c r="AIN1258"/>
      <c r="AIO1258"/>
      <c r="AIP1258"/>
      <c r="AIQ1258"/>
      <c r="AIR1258"/>
      <c r="AIS1258"/>
      <c r="AIT1258"/>
      <c r="AIU1258"/>
      <c r="AIV1258"/>
      <c r="AIW1258"/>
      <c r="AIX1258"/>
      <c r="AIY1258"/>
      <c r="AIZ1258"/>
      <c r="AJA1258"/>
      <c r="AJB1258"/>
      <c r="AJC1258"/>
      <c r="AJD1258"/>
      <c r="AJE1258"/>
      <c r="AJF1258"/>
      <c r="AJG1258"/>
      <c r="AJH1258"/>
      <c r="AJI1258"/>
      <c r="AJJ1258"/>
      <c r="AJK1258"/>
      <c r="AJL1258"/>
      <c r="AJM1258"/>
      <c r="AJN1258"/>
      <c r="AJO1258"/>
      <c r="AJP1258"/>
      <c r="AJQ1258"/>
      <c r="AJR1258"/>
      <c r="AJS1258"/>
      <c r="AJT1258"/>
      <c r="AJU1258"/>
      <c r="AJV1258"/>
      <c r="AJW1258"/>
      <c r="AJX1258"/>
      <c r="AJY1258"/>
      <c r="AJZ1258"/>
      <c r="AKA1258"/>
      <c r="AKB1258"/>
      <c r="AKC1258"/>
      <c r="AKD1258"/>
      <c r="AKE1258"/>
      <c r="AKF1258"/>
      <c r="AKG1258"/>
      <c r="AKH1258"/>
      <c r="AKI1258"/>
      <c r="AKJ1258"/>
      <c r="AKK1258"/>
      <c r="AKL1258"/>
      <c r="AKM1258"/>
      <c r="AKN1258"/>
      <c r="AKO1258"/>
      <c r="AKP1258"/>
      <c r="AKQ1258"/>
      <c r="AKR1258"/>
      <c r="AKS1258"/>
      <c r="AKT1258"/>
      <c r="AKU1258"/>
      <c r="AKV1258"/>
      <c r="AKW1258"/>
      <c r="AKX1258"/>
      <c r="AKY1258"/>
      <c r="AKZ1258"/>
      <c r="ALA1258"/>
      <c r="ALB1258"/>
      <c r="ALC1258"/>
      <c r="ALD1258"/>
      <c r="ALE1258"/>
      <c r="ALF1258"/>
      <c r="ALG1258"/>
      <c r="ALH1258"/>
      <c r="ALI1258"/>
      <c r="ALJ1258"/>
      <c r="ALK1258"/>
      <c r="ALL1258"/>
      <c r="ALM1258"/>
      <c r="ALN1258"/>
      <c r="ALO1258"/>
      <c r="ALP1258"/>
      <c r="ALQ1258"/>
      <c r="ALR1258"/>
      <c r="ALS1258"/>
      <c r="ALT1258"/>
    </row>
    <row r="1259" spans="1:1008" ht="14">
      <c r="A1259" s="27" t="s">
        <v>3932</v>
      </c>
      <c r="B1259" s="25" t="s">
        <v>3987</v>
      </c>
      <c r="C1259" s="27" t="s">
        <v>3932</v>
      </c>
      <c r="D1259" s="24" t="s">
        <v>12</v>
      </c>
      <c r="E1259" s="27" t="s">
        <v>3932</v>
      </c>
      <c r="F1259" s="27" t="s">
        <v>3933</v>
      </c>
      <c r="G1259" s="27">
        <v>500</v>
      </c>
      <c r="H1259" s="27"/>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c r="AT1259"/>
      <c r="AU1259"/>
      <c r="AV1259"/>
      <c r="AW1259"/>
      <c r="AX1259"/>
      <c r="AY1259"/>
      <c r="AZ1259"/>
      <c r="BA1259"/>
      <c r="BB1259"/>
      <c r="BC1259"/>
      <c r="BD1259"/>
      <c r="BE1259"/>
      <c r="BF1259"/>
      <c r="BG1259"/>
      <c r="BH1259"/>
      <c r="BI1259"/>
      <c r="BJ1259"/>
      <c r="BK1259"/>
      <c r="BL1259"/>
      <c r="BM1259"/>
      <c r="BN1259"/>
      <c r="BO1259"/>
      <c r="BP1259"/>
      <c r="BQ1259"/>
      <c r="BR1259"/>
      <c r="BS1259"/>
      <c r="BT1259"/>
      <c r="BU1259"/>
      <c r="BV1259"/>
      <c r="BW1259"/>
      <c r="BX1259"/>
      <c r="BY1259"/>
      <c r="BZ1259"/>
      <c r="CA1259"/>
      <c r="CB1259"/>
      <c r="CC1259"/>
      <c r="CD1259"/>
      <c r="CE1259"/>
      <c r="CF1259"/>
      <c r="CG1259"/>
      <c r="CH1259"/>
      <c r="CI1259"/>
      <c r="CJ1259"/>
      <c r="CK1259"/>
      <c r="CL1259"/>
      <c r="CM1259"/>
      <c r="CN1259"/>
      <c r="CO1259"/>
      <c r="CP1259"/>
      <c r="CQ1259"/>
      <c r="CR1259"/>
      <c r="CS1259"/>
      <c r="CT1259"/>
      <c r="CU1259"/>
      <c r="CV1259"/>
      <c r="CW1259"/>
      <c r="CX1259"/>
      <c r="CY1259"/>
      <c r="CZ1259"/>
      <c r="DA1259"/>
      <c r="DB1259"/>
      <c r="DC1259"/>
      <c r="DD1259"/>
      <c r="DE1259"/>
      <c r="DF1259"/>
      <c r="DG1259"/>
      <c r="DH1259"/>
      <c r="DI1259"/>
      <c r="DJ1259"/>
      <c r="DK1259"/>
      <c r="DL1259"/>
      <c r="DM1259"/>
      <c r="DN1259"/>
      <c r="DO1259"/>
      <c r="DP1259"/>
      <c r="DQ1259"/>
      <c r="DR1259"/>
      <c r="DS1259"/>
      <c r="DT1259"/>
      <c r="DU1259"/>
      <c r="DV1259"/>
      <c r="DW1259"/>
      <c r="DX1259"/>
      <c r="DY1259"/>
      <c r="DZ1259"/>
      <c r="EA1259"/>
      <c r="EB1259"/>
      <c r="EC1259"/>
      <c r="ED1259"/>
      <c r="EE1259"/>
      <c r="EF1259"/>
      <c r="EG1259"/>
      <c r="EH1259"/>
      <c r="EI1259"/>
      <c r="EJ1259"/>
      <c r="EK1259"/>
      <c r="EL1259"/>
      <c r="EM1259"/>
      <c r="EN1259"/>
      <c r="EO1259"/>
      <c r="EP1259"/>
      <c r="EQ1259"/>
      <c r="ER1259"/>
      <c r="ES1259"/>
      <c r="ET1259"/>
      <c r="EU1259"/>
      <c r="EV1259"/>
      <c r="EW1259"/>
      <c r="EX1259"/>
      <c r="EY1259"/>
      <c r="EZ1259"/>
      <c r="FA1259"/>
      <c r="FB1259"/>
      <c r="FC1259"/>
      <c r="FD1259"/>
      <c r="FE1259"/>
      <c r="FF1259"/>
      <c r="FG1259"/>
      <c r="FH1259"/>
      <c r="FI1259"/>
      <c r="FJ1259"/>
      <c r="FK1259"/>
      <c r="FL1259"/>
      <c r="FM1259"/>
      <c r="FN1259"/>
      <c r="FO1259"/>
      <c r="FP1259"/>
      <c r="FQ1259"/>
      <c r="FR1259"/>
      <c r="FS1259"/>
      <c r="FT1259"/>
      <c r="FU1259"/>
      <c r="FV1259"/>
      <c r="FW1259"/>
      <c r="FX1259"/>
      <c r="FY1259"/>
      <c r="FZ1259"/>
      <c r="GA1259"/>
      <c r="GB1259"/>
      <c r="GC1259"/>
      <c r="GD1259"/>
      <c r="GE1259"/>
      <c r="GF1259"/>
      <c r="GG1259"/>
      <c r="GH1259"/>
      <c r="GI1259"/>
      <c r="GJ1259"/>
      <c r="GK1259"/>
      <c r="GL1259"/>
      <c r="GM1259"/>
      <c r="GN1259"/>
      <c r="GO1259"/>
      <c r="GP1259"/>
      <c r="GQ1259"/>
      <c r="GR1259"/>
      <c r="GS1259"/>
      <c r="GT1259"/>
      <c r="GU1259"/>
      <c r="GV1259"/>
      <c r="GW1259"/>
      <c r="GX1259"/>
      <c r="GY1259"/>
      <c r="GZ1259"/>
      <c r="HA1259"/>
      <c r="HB1259"/>
      <c r="HC1259"/>
      <c r="HD1259"/>
      <c r="HE1259"/>
      <c r="HF1259"/>
      <c r="HG1259"/>
      <c r="HH1259"/>
      <c r="HI1259"/>
      <c r="HJ1259"/>
      <c r="HK1259"/>
      <c r="HL1259"/>
      <c r="HM1259"/>
      <c r="HN1259"/>
      <c r="HO1259"/>
      <c r="HP1259"/>
      <c r="HQ1259"/>
      <c r="HR1259"/>
      <c r="HS1259"/>
      <c r="HT1259"/>
      <c r="HU1259"/>
      <c r="HV1259"/>
      <c r="HW1259"/>
      <c r="HX1259"/>
      <c r="HY1259"/>
      <c r="HZ1259"/>
      <c r="IA1259"/>
      <c r="IB1259"/>
      <c r="IC1259"/>
      <c r="ID1259"/>
      <c r="IE1259"/>
      <c r="IF1259"/>
      <c r="IG1259"/>
      <c r="IH1259"/>
      <c r="II1259"/>
      <c r="IJ1259"/>
      <c r="IK1259"/>
      <c r="IL1259"/>
      <c r="IM1259"/>
      <c r="IN1259"/>
      <c r="IO1259"/>
      <c r="IP1259"/>
      <c r="IQ1259"/>
      <c r="IR1259"/>
      <c r="IS1259"/>
      <c r="IT1259"/>
      <c r="IU1259"/>
      <c r="IV1259"/>
      <c r="IW1259"/>
      <c r="IX1259"/>
      <c r="IY1259"/>
      <c r="IZ1259"/>
      <c r="JA1259"/>
      <c r="JB1259"/>
      <c r="JC1259"/>
      <c r="JD1259"/>
      <c r="JE1259"/>
      <c r="JF1259"/>
      <c r="JG1259"/>
      <c r="JH1259"/>
      <c r="JI1259"/>
      <c r="JJ1259"/>
      <c r="JK1259"/>
      <c r="JL1259"/>
      <c r="JM1259"/>
      <c r="JN1259"/>
      <c r="JO1259"/>
      <c r="JP1259"/>
      <c r="JQ1259"/>
      <c r="JR1259"/>
      <c r="JS1259"/>
      <c r="JT1259"/>
      <c r="JU1259"/>
      <c r="JV1259"/>
      <c r="JW1259"/>
      <c r="JX1259"/>
      <c r="JY1259"/>
      <c r="JZ1259"/>
      <c r="KA1259"/>
      <c r="KB1259"/>
      <c r="KC1259"/>
      <c r="KD1259"/>
      <c r="KE1259"/>
      <c r="KF1259"/>
      <c r="KG1259"/>
      <c r="KH1259"/>
      <c r="KI1259"/>
      <c r="KJ1259"/>
      <c r="KK1259"/>
      <c r="KL1259"/>
      <c r="KM1259"/>
      <c r="KN1259"/>
      <c r="KO1259"/>
      <c r="KP1259"/>
      <c r="KQ1259"/>
      <c r="KR1259"/>
      <c r="KS1259"/>
      <c r="KT1259"/>
      <c r="KU1259"/>
      <c r="KV1259"/>
      <c r="KW1259"/>
      <c r="KX1259"/>
      <c r="KY1259"/>
      <c r="KZ1259"/>
      <c r="LA1259"/>
      <c r="LB1259"/>
      <c r="LC1259"/>
      <c r="LD1259"/>
      <c r="LE1259"/>
      <c r="LF1259"/>
      <c r="LG1259"/>
      <c r="LH1259"/>
      <c r="LI1259"/>
      <c r="LJ1259"/>
      <c r="LK1259"/>
      <c r="LL1259"/>
      <c r="LM1259"/>
      <c r="LN1259"/>
      <c r="LO1259"/>
      <c r="LP1259"/>
      <c r="LQ1259"/>
      <c r="LR1259"/>
      <c r="LS1259"/>
      <c r="LT1259"/>
      <c r="LU1259"/>
      <c r="LV1259"/>
      <c r="LW1259"/>
      <c r="LX1259"/>
      <c r="LY1259"/>
      <c r="LZ1259"/>
      <c r="MA1259"/>
      <c r="MB1259"/>
      <c r="MC1259"/>
      <c r="MD1259"/>
      <c r="ME1259"/>
      <c r="MF1259"/>
      <c r="MG1259"/>
      <c r="MH1259"/>
      <c r="MI1259"/>
      <c r="MJ1259"/>
      <c r="MK1259"/>
      <c r="ML1259"/>
      <c r="MM1259"/>
      <c r="MN1259"/>
      <c r="MO1259"/>
      <c r="MP1259"/>
      <c r="MQ1259"/>
      <c r="MR1259"/>
      <c r="MS1259"/>
      <c r="MT1259"/>
      <c r="MU1259"/>
      <c r="MV1259"/>
      <c r="MW1259"/>
      <c r="MX1259"/>
      <c r="MY1259"/>
      <c r="MZ1259"/>
      <c r="NA1259"/>
      <c r="NB1259"/>
      <c r="NC1259"/>
      <c r="ND1259"/>
      <c r="NE1259"/>
      <c r="NF1259"/>
      <c r="NG1259"/>
      <c r="NH1259"/>
      <c r="NI1259"/>
      <c r="NJ1259"/>
      <c r="NK1259"/>
      <c r="NL1259"/>
      <c r="NM1259"/>
      <c r="NN1259"/>
      <c r="NO1259"/>
      <c r="NP1259"/>
      <c r="NQ1259"/>
      <c r="NR1259"/>
      <c r="NS1259"/>
      <c r="NT1259"/>
      <c r="NU1259"/>
      <c r="NV1259"/>
      <c r="NW1259"/>
      <c r="NX1259"/>
      <c r="NY1259"/>
      <c r="NZ1259"/>
      <c r="OA1259"/>
      <c r="OB1259"/>
      <c r="OC1259"/>
      <c r="OD1259"/>
      <c r="OE1259"/>
      <c r="OF1259"/>
      <c r="OG1259"/>
      <c r="OH1259"/>
      <c r="OI1259"/>
      <c r="OJ1259"/>
      <c r="OK1259"/>
      <c r="OL1259"/>
      <c r="OM1259"/>
      <c r="ON1259"/>
      <c r="OO1259"/>
      <c r="OP1259"/>
      <c r="OQ1259"/>
      <c r="OR1259"/>
      <c r="OS1259"/>
      <c r="OT1259"/>
      <c r="OU1259"/>
      <c r="OV1259"/>
      <c r="OW1259"/>
      <c r="OX1259"/>
      <c r="OY1259"/>
      <c r="OZ1259"/>
      <c r="PA1259"/>
      <c r="PB1259"/>
      <c r="PC1259"/>
      <c r="PD1259"/>
      <c r="PE1259"/>
      <c r="PF1259"/>
      <c r="PG1259"/>
      <c r="PH1259"/>
      <c r="PI1259"/>
      <c r="PJ1259"/>
      <c r="PK1259"/>
      <c r="PL1259"/>
      <c r="PM1259"/>
      <c r="PN1259"/>
      <c r="PO1259"/>
      <c r="PP1259"/>
      <c r="PQ1259"/>
      <c r="PR1259"/>
      <c r="PS1259"/>
      <c r="PT1259"/>
      <c r="PU1259"/>
      <c r="PV1259"/>
      <c r="PW1259"/>
      <c r="PX1259"/>
      <c r="PY1259"/>
      <c r="PZ1259"/>
      <c r="QA1259"/>
      <c r="QB1259"/>
      <c r="QC1259"/>
      <c r="QD1259"/>
      <c r="QE1259"/>
      <c r="QF1259"/>
      <c r="QG1259"/>
      <c r="QH1259"/>
      <c r="QI1259"/>
      <c r="QJ1259"/>
      <c r="QK1259"/>
      <c r="QL1259"/>
      <c r="QM1259"/>
      <c r="QN1259"/>
      <c r="QO1259"/>
      <c r="QP1259"/>
      <c r="QQ1259"/>
      <c r="QR1259"/>
      <c r="QS1259"/>
      <c r="QT1259"/>
      <c r="QU1259"/>
      <c r="QV1259"/>
      <c r="QW1259"/>
      <c r="QX1259"/>
      <c r="QY1259"/>
      <c r="QZ1259"/>
      <c r="RA1259"/>
      <c r="RB1259"/>
      <c r="RC1259"/>
      <c r="RD1259"/>
      <c r="RE1259"/>
      <c r="RF1259"/>
      <c r="RG1259"/>
      <c r="RH1259"/>
      <c r="RI1259"/>
      <c r="RJ1259"/>
      <c r="RK1259"/>
      <c r="RL1259"/>
      <c r="RM1259"/>
      <c r="RN1259"/>
      <c r="RO1259"/>
      <c r="RP1259"/>
      <c r="RQ1259"/>
      <c r="RR1259"/>
      <c r="RS1259"/>
      <c r="RT1259"/>
      <c r="RU1259"/>
      <c r="RV1259"/>
      <c r="RW1259"/>
      <c r="RX1259"/>
      <c r="RY1259"/>
      <c r="RZ1259"/>
      <c r="SA1259"/>
      <c r="SB1259"/>
      <c r="SC1259"/>
      <c r="SD1259"/>
      <c r="SE1259"/>
      <c r="SF1259"/>
      <c r="SG1259"/>
      <c r="SH1259"/>
      <c r="SI1259"/>
      <c r="SJ1259"/>
      <c r="SK1259"/>
      <c r="SL1259"/>
      <c r="SM1259"/>
      <c r="SN1259"/>
      <c r="SO1259"/>
      <c r="SP1259"/>
      <c r="SQ1259"/>
      <c r="SR1259"/>
      <c r="SS1259"/>
      <c r="ST1259"/>
      <c r="SU1259"/>
      <c r="SV1259"/>
      <c r="SW1259"/>
      <c r="SX1259"/>
      <c r="SY1259"/>
      <c r="SZ1259"/>
      <c r="TA1259"/>
      <c r="TB1259"/>
      <c r="TC1259"/>
      <c r="TD1259"/>
      <c r="TE1259"/>
      <c r="TF1259"/>
      <c r="TG1259"/>
      <c r="TH1259"/>
      <c r="TI1259"/>
      <c r="TJ1259"/>
      <c r="TK1259"/>
      <c r="TL1259"/>
      <c r="TM1259"/>
      <c r="TN1259"/>
      <c r="TO1259"/>
      <c r="TP1259"/>
      <c r="TQ1259"/>
      <c r="TR1259"/>
      <c r="TS1259"/>
      <c r="TT1259"/>
      <c r="TU1259"/>
      <c r="TV1259"/>
      <c r="TW1259"/>
      <c r="TX1259"/>
      <c r="TY1259"/>
      <c r="TZ1259"/>
      <c r="UA1259"/>
      <c r="UB1259"/>
      <c r="UC1259"/>
      <c r="UD1259"/>
      <c r="UE1259"/>
      <c r="UF1259"/>
      <c r="UG1259"/>
      <c r="UH1259"/>
      <c r="UI1259"/>
      <c r="UJ1259"/>
      <c r="UK1259"/>
      <c r="UL1259"/>
      <c r="UM1259"/>
      <c r="UN1259"/>
      <c r="UO1259"/>
      <c r="UP1259"/>
      <c r="UQ1259"/>
      <c r="UR1259"/>
      <c r="US1259"/>
      <c r="UT1259"/>
      <c r="UU1259"/>
      <c r="UV1259"/>
      <c r="UW1259"/>
      <c r="UX1259"/>
      <c r="UY1259"/>
      <c r="UZ1259"/>
      <c r="VA1259"/>
      <c r="VB1259"/>
      <c r="VC1259"/>
      <c r="VD1259"/>
      <c r="VE1259"/>
      <c r="VF1259"/>
      <c r="VG1259"/>
      <c r="VH1259"/>
      <c r="VI1259"/>
      <c r="VJ1259"/>
      <c r="VK1259"/>
      <c r="VL1259"/>
      <c r="VM1259"/>
      <c r="VN1259"/>
      <c r="VO1259"/>
      <c r="VP1259"/>
      <c r="VQ1259"/>
      <c r="VR1259"/>
      <c r="VS1259"/>
      <c r="VT1259"/>
      <c r="VU1259"/>
      <c r="VV1259"/>
      <c r="VW1259"/>
      <c r="VX1259"/>
      <c r="VY1259"/>
      <c r="VZ1259"/>
      <c r="WA1259"/>
      <c r="WB1259"/>
      <c r="WC1259"/>
      <c r="WD1259"/>
      <c r="WE1259"/>
      <c r="WF1259"/>
      <c r="WG1259"/>
      <c r="WH1259"/>
      <c r="WI1259"/>
      <c r="WJ1259"/>
      <c r="WK1259"/>
      <c r="WL1259"/>
      <c r="WM1259"/>
      <c r="WN1259"/>
      <c r="WO1259"/>
      <c r="WP1259"/>
      <c r="WQ1259"/>
      <c r="WR1259"/>
      <c r="WS1259"/>
      <c r="WT1259"/>
      <c r="WU1259"/>
      <c r="WV1259"/>
      <c r="WW1259"/>
      <c r="WX1259"/>
      <c r="WY1259"/>
      <c r="WZ1259"/>
      <c r="XA1259"/>
      <c r="XB1259"/>
      <c r="XC1259"/>
      <c r="XD1259"/>
      <c r="XE1259"/>
      <c r="XF1259"/>
      <c r="XG1259"/>
      <c r="XH1259"/>
      <c r="XI1259"/>
      <c r="XJ1259"/>
      <c r="XK1259"/>
      <c r="XL1259"/>
      <c r="XM1259"/>
      <c r="XN1259"/>
      <c r="XO1259"/>
      <c r="XP1259"/>
      <c r="XQ1259"/>
      <c r="XR1259"/>
      <c r="XS1259"/>
      <c r="XT1259"/>
      <c r="XU1259"/>
      <c r="XV1259"/>
      <c r="XW1259"/>
      <c r="XX1259"/>
      <c r="XY1259"/>
      <c r="XZ1259"/>
      <c r="YA1259"/>
      <c r="YB1259"/>
      <c r="YC1259"/>
      <c r="YD1259"/>
      <c r="YE1259"/>
      <c r="YF1259"/>
      <c r="YG1259"/>
      <c r="YH1259"/>
      <c r="YI1259"/>
      <c r="YJ1259"/>
      <c r="YK1259"/>
      <c r="YL1259"/>
      <c r="YM1259"/>
      <c r="YN1259"/>
      <c r="YO1259"/>
      <c r="YP1259"/>
      <c r="YQ1259"/>
      <c r="YR1259"/>
      <c r="YS1259"/>
      <c r="YT1259"/>
      <c r="YU1259"/>
      <c r="YV1259"/>
      <c r="YW1259"/>
      <c r="YX1259"/>
      <c r="YY1259"/>
      <c r="YZ1259"/>
      <c r="ZA1259"/>
      <c r="ZB1259"/>
      <c r="ZC1259"/>
      <c r="ZD1259"/>
      <c r="ZE1259"/>
      <c r="ZF1259"/>
      <c r="ZG1259"/>
      <c r="ZH1259"/>
      <c r="ZI1259"/>
      <c r="ZJ1259"/>
      <c r="ZK1259"/>
      <c r="ZL1259"/>
      <c r="ZM1259"/>
      <c r="ZN1259"/>
      <c r="ZO1259"/>
      <c r="ZP1259"/>
      <c r="ZQ1259"/>
      <c r="ZR1259"/>
      <c r="ZS1259"/>
      <c r="ZT1259"/>
      <c r="ZU1259"/>
      <c r="ZV1259"/>
      <c r="ZW1259"/>
      <c r="ZX1259"/>
      <c r="ZY1259"/>
      <c r="ZZ1259"/>
      <c r="AAA1259"/>
      <c r="AAB1259"/>
      <c r="AAC1259"/>
      <c r="AAD1259"/>
      <c r="AAE1259"/>
      <c r="AAF1259"/>
      <c r="AAG1259"/>
      <c r="AAH1259"/>
      <c r="AAI1259"/>
      <c r="AAJ1259"/>
      <c r="AAK1259"/>
      <c r="AAL1259"/>
      <c r="AAM1259"/>
      <c r="AAN1259"/>
      <c r="AAO1259"/>
      <c r="AAP1259"/>
      <c r="AAQ1259"/>
      <c r="AAR1259"/>
      <c r="AAS1259"/>
      <c r="AAT1259"/>
      <c r="AAU1259"/>
      <c r="AAV1259"/>
      <c r="AAW1259"/>
      <c r="AAX1259"/>
      <c r="AAY1259"/>
      <c r="AAZ1259"/>
      <c r="ABA1259"/>
      <c r="ABB1259"/>
      <c r="ABC1259"/>
      <c r="ABD1259"/>
      <c r="ABE1259"/>
      <c r="ABF1259"/>
      <c r="ABG1259"/>
      <c r="ABH1259"/>
      <c r="ABI1259"/>
      <c r="ABJ1259"/>
      <c r="ABK1259"/>
      <c r="ABL1259"/>
      <c r="ABM1259"/>
      <c r="ABN1259"/>
      <c r="ABO1259"/>
      <c r="ABP1259"/>
      <c r="ABQ1259"/>
      <c r="ABR1259"/>
      <c r="ABS1259"/>
      <c r="ABT1259"/>
      <c r="ABU1259"/>
      <c r="ABV1259"/>
      <c r="ABW1259"/>
      <c r="ABX1259"/>
      <c r="ABY1259"/>
      <c r="ABZ1259"/>
      <c r="ACA1259"/>
      <c r="ACB1259"/>
      <c r="ACC1259"/>
      <c r="ACD1259"/>
      <c r="ACE1259"/>
      <c r="ACF1259"/>
      <c r="ACG1259"/>
      <c r="ACH1259"/>
      <c r="ACI1259"/>
      <c r="ACJ1259"/>
      <c r="ACK1259"/>
      <c r="ACL1259"/>
      <c r="ACM1259"/>
      <c r="ACN1259"/>
      <c r="ACO1259"/>
      <c r="ACP1259"/>
      <c r="ACQ1259"/>
      <c r="ACR1259"/>
      <c r="ACS1259"/>
      <c r="ACT1259"/>
      <c r="ACU1259"/>
      <c r="ACV1259"/>
      <c r="ACW1259"/>
      <c r="ACX1259"/>
      <c r="ACY1259"/>
      <c r="ACZ1259"/>
      <c r="ADA1259"/>
      <c r="ADB1259"/>
      <c r="ADC1259"/>
      <c r="ADD1259"/>
      <c r="ADE1259"/>
      <c r="ADF1259"/>
      <c r="ADG1259"/>
      <c r="ADH1259"/>
      <c r="ADI1259"/>
      <c r="ADJ1259"/>
      <c r="ADK1259"/>
      <c r="ADL1259"/>
      <c r="ADM1259"/>
      <c r="ADN1259"/>
      <c r="ADO1259"/>
      <c r="ADP1259"/>
      <c r="ADQ1259"/>
      <c r="ADR1259"/>
      <c r="ADS1259"/>
      <c r="ADT1259"/>
      <c r="ADU1259"/>
      <c r="ADV1259"/>
      <c r="ADW1259"/>
      <c r="ADX1259"/>
      <c r="ADY1259"/>
      <c r="ADZ1259"/>
      <c r="AEA1259"/>
      <c r="AEB1259"/>
      <c r="AEC1259"/>
      <c r="AED1259"/>
      <c r="AEE1259"/>
      <c r="AEF1259"/>
      <c r="AEG1259"/>
      <c r="AEH1259"/>
      <c r="AEI1259"/>
      <c r="AEJ1259"/>
      <c r="AEK1259"/>
      <c r="AEL1259"/>
      <c r="AEM1259"/>
      <c r="AEN1259"/>
      <c r="AEO1259"/>
      <c r="AEP1259"/>
      <c r="AEQ1259"/>
      <c r="AER1259"/>
      <c r="AES1259"/>
      <c r="AET1259"/>
      <c r="AEU1259"/>
      <c r="AEV1259"/>
      <c r="AEW1259"/>
      <c r="AEX1259"/>
      <c r="AEY1259"/>
      <c r="AEZ1259"/>
      <c r="AFA1259"/>
      <c r="AFB1259"/>
      <c r="AFC1259"/>
      <c r="AFD1259"/>
      <c r="AFE1259"/>
      <c r="AFF1259"/>
      <c r="AFG1259"/>
      <c r="AFH1259"/>
      <c r="AFI1259"/>
      <c r="AFJ1259"/>
      <c r="AFK1259"/>
      <c r="AFL1259"/>
      <c r="AFM1259"/>
      <c r="AFN1259"/>
      <c r="AFO1259"/>
      <c r="AFP1259"/>
      <c r="AFQ1259"/>
      <c r="AFR1259"/>
      <c r="AFS1259"/>
      <c r="AFT1259"/>
      <c r="AFU1259"/>
      <c r="AFV1259"/>
      <c r="AFW1259"/>
      <c r="AFX1259"/>
      <c r="AFY1259"/>
      <c r="AFZ1259"/>
      <c r="AGA1259"/>
      <c r="AGB1259"/>
      <c r="AGC1259"/>
      <c r="AGD1259"/>
      <c r="AGE1259"/>
      <c r="AGF1259"/>
      <c r="AGG1259"/>
      <c r="AGH1259"/>
      <c r="AGI1259"/>
      <c r="AGJ1259"/>
      <c r="AGK1259"/>
      <c r="AGL1259"/>
      <c r="AGM1259"/>
      <c r="AGN1259"/>
      <c r="AGO1259"/>
      <c r="AGP1259"/>
      <c r="AGQ1259"/>
      <c r="AGR1259"/>
      <c r="AGS1259"/>
      <c r="AGT1259"/>
      <c r="AGU1259"/>
      <c r="AGV1259"/>
      <c r="AGW1259"/>
      <c r="AGX1259"/>
      <c r="AGY1259"/>
      <c r="AGZ1259"/>
      <c r="AHA1259"/>
      <c r="AHB1259"/>
      <c r="AHC1259"/>
      <c r="AHD1259"/>
      <c r="AHE1259"/>
      <c r="AHF1259"/>
      <c r="AHG1259"/>
      <c r="AHH1259"/>
      <c r="AHI1259"/>
      <c r="AHJ1259"/>
      <c r="AHK1259"/>
      <c r="AHL1259"/>
      <c r="AHM1259"/>
      <c r="AHN1259"/>
      <c r="AHO1259"/>
      <c r="AHP1259"/>
      <c r="AHQ1259"/>
      <c r="AHR1259"/>
      <c r="AHS1259"/>
      <c r="AHT1259"/>
      <c r="AHU1259"/>
      <c r="AHV1259"/>
      <c r="AHW1259"/>
      <c r="AHX1259"/>
      <c r="AHY1259"/>
      <c r="AHZ1259"/>
      <c r="AIA1259"/>
      <c r="AIB1259"/>
      <c r="AIC1259"/>
      <c r="AID1259"/>
      <c r="AIE1259"/>
      <c r="AIF1259"/>
      <c r="AIG1259"/>
      <c r="AIH1259"/>
      <c r="AII1259"/>
      <c r="AIJ1259"/>
      <c r="AIK1259"/>
      <c r="AIL1259"/>
      <c r="AIM1259"/>
      <c r="AIN1259"/>
      <c r="AIO1259"/>
      <c r="AIP1259"/>
      <c r="AIQ1259"/>
      <c r="AIR1259"/>
      <c r="AIS1259"/>
      <c r="AIT1259"/>
      <c r="AIU1259"/>
      <c r="AIV1259"/>
      <c r="AIW1259"/>
      <c r="AIX1259"/>
      <c r="AIY1259"/>
      <c r="AIZ1259"/>
      <c r="AJA1259"/>
      <c r="AJB1259"/>
      <c r="AJC1259"/>
      <c r="AJD1259"/>
      <c r="AJE1259"/>
      <c r="AJF1259"/>
      <c r="AJG1259"/>
      <c r="AJH1259"/>
      <c r="AJI1259"/>
      <c r="AJJ1259"/>
      <c r="AJK1259"/>
      <c r="AJL1259"/>
      <c r="AJM1259"/>
      <c r="AJN1259"/>
      <c r="AJO1259"/>
      <c r="AJP1259"/>
      <c r="AJQ1259"/>
      <c r="AJR1259"/>
      <c r="AJS1259"/>
      <c r="AJT1259"/>
      <c r="AJU1259"/>
      <c r="AJV1259"/>
      <c r="AJW1259"/>
      <c r="AJX1259"/>
      <c r="AJY1259"/>
      <c r="AJZ1259"/>
      <c r="AKA1259"/>
      <c r="AKB1259"/>
      <c r="AKC1259"/>
      <c r="AKD1259"/>
      <c r="AKE1259"/>
      <c r="AKF1259"/>
      <c r="AKG1259"/>
      <c r="AKH1259"/>
      <c r="AKI1259"/>
      <c r="AKJ1259"/>
      <c r="AKK1259"/>
      <c r="AKL1259"/>
      <c r="AKM1259"/>
      <c r="AKN1259"/>
      <c r="AKO1259"/>
      <c r="AKP1259"/>
      <c r="AKQ1259"/>
      <c r="AKR1259"/>
      <c r="AKS1259"/>
      <c r="AKT1259"/>
      <c r="AKU1259"/>
      <c r="AKV1259"/>
      <c r="AKW1259"/>
      <c r="AKX1259"/>
      <c r="AKY1259"/>
      <c r="AKZ1259"/>
      <c r="ALA1259"/>
      <c r="ALB1259"/>
      <c r="ALC1259"/>
      <c r="ALD1259"/>
      <c r="ALE1259"/>
      <c r="ALF1259"/>
      <c r="ALG1259"/>
      <c r="ALH1259"/>
      <c r="ALI1259"/>
      <c r="ALJ1259"/>
      <c r="ALK1259"/>
      <c r="ALL1259"/>
      <c r="ALM1259"/>
      <c r="ALN1259"/>
      <c r="ALO1259"/>
      <c r="ALP1259"/>
      <c r="ALQ1259"/>
      <c r="ALR1259"/>
      <c r="ALS1259"/>
      <c r="ALT1259"/>
    </row>
    <row r="1260" spans="1:1008" ht="14">
      <c r="A1260" s="27" t="s">
        <v>3934</v>
      </c>
      <c r="B1260" s="25" t="s">
        <v>3988</v>
      </c>
      <c r="C1260" s="27" t="s">
        <v>4043</v>
      </c>
      <c r="D1260" s="24" t="s">
        <v>12</v>
      </c>
      <c r="E1260" s="27" t="s">
        <v>4043</v>
      </c>
      <c r="F1260" s="27" t="s">
        <v>3935</v>
      </c>
      <c r="G1260" s="27">
        <v>500</v>
      </c>
      <c r="H1260" s="27"/>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c r="AT1260"/>
      <c r="AU1260"/>
      <c r="AV1260"/>
      <c r="AW1260"/>
      <c r="AX1260"/>
      <c r="AY1260"/>
      <c r="AZ1260"/>
      <c r="BA1260"/>
      <c r="BB1260"/>
      <c r="BC1260"/>
      <c r="BD1260"/>
      <c r="BE1260"/>
      <c r="BF1260"/>
      <c r="BG1260"/>
      <c r="BH1260"/>
      <c r="BI1260"/>
      <c r="BJ1260"/>
      <c r="BK1260"/>
      <c r="BL1260"/>
      <c r="BM1260"/>
      <c r="BN1260"/>
      <c r="BO1260"/>
      <c r="BP1260"/>
      <c r="BQ1260"/>
      <c r="BR1260"/>
      <c r="BS1260"/>
      <c r="BT1260"/>
      <c r="BU1260"/>
      <c r="BV1260"/>
      <c r="BW1260"/>
      <c r="BX1260"/>
      <c r="BY1260"/>
      <c r="BZ1260"/>
      <c r="CA1260"/>
      <c r="CB1260"/>
      <c r="CC1260"/>
      <c r="CD1260"/>
      <c r="CE1260"/>
      <c r="CF1260"/>
      <c r="CG1260"/>
      <c r="CH1260"/>
      <c r="CI1260"/>
      <c r="CJ1260"/>
      <c r="CK1260"/>
      <c r="CL1260"/>
      <c r="CM1260"/>
      <c r="CN1260"/>
      <c r="CO1260"/>
      <c r="CP1260"/>
      <c r="CQ1260"/>
      <c r="CR1260"/>
      <c r="CS1260"/>
      <c r="CT1260"/>
      <c r="CU1260"/>
      <c r="CV1260"/>
      <c r="CW1260"/>
      <c r="CX1260"/>
      <c r="CY1260"/>
      <c r="CZ1260"/>
      <c r="DA1260"/>
      <c r="DB1260"/>
      <c r="DC1260"/>
      <c r="DD1260"/>
      <c r="DE1260"/>
      <c r="DF1260"/>
      <c r="DG1260"/>
      <c r="DH1260"/>
      <c r="DI1260"/>
      <c r="DJ1260"/>
      <c r="DK1260"/>
      <c r="DL1260"/>
      <c r="DM1260"/>
      <c r="DN1260"/>
      <c r="DO1260"/>
      <c r="DP1260"/>
      <c r="DQ1260"/>
      <c r="DR1260"/>
      <c r="DS1260"/>
      <c r="DT1260"/>
      <c r="DU1260"/>
      <c r="DV1260"/>
      <c r="DW1260"/>
      <c r="DX1260"/>
      <c r="DY1260"/>
      <c r="DZ1260"/>
      <c r="EA1260"/>
      <c r="EB1260"/>
      <c r="EC1260"/>
      <c r="ED1260"/>
      <c r="EE1260"/>
      <c r="EF1260"/>
      <c r="EG1260"/>
      <c r="EH1260"/>
      <c r="EI1260"/>
      <c r="EJ1260"/>
      <c r="EK1260"/>
      <c r="EL1260"/>
      <c r="EM1260"/>
      <c r="EN1260"/>
      <c r="EO1260"/>
      <c r="EP1260"/>
      <c r="EQ1260"/>
      <c r="ER1260"/>
      <c r="ES1260"/>
      <c r="ET1260"/>
      <c r="EU1260"/>
      <c r="EV1260"/>
      <c r="EW1260"/>
      <c r="EX1260"/>
      <c r="EY1260"/>
      <c r="EZ1260"/>
      <c r="FA1260"/>
      <c r="FB1260"/>
      <c r="FC1260"/>
      <c r="FD1260"/>
      <c r="FE1260"/>
      <c r="FF1260"/>
      <c r="FG1260"/>
      <c r="FH1260"/>
      <c r="FI1260"/>
      <c r="FJ1260"/>
      <c r="FK1260"/>
      <c r="FL1260"/>
      <c r="FM1260"/>
      <c r="FN1260"/>
      <c r="FO1260"/>
      <c r="FP1260"/>
      <c r="FQ1260"/>
      <c r="FR1260"/>
      <c r="FS1260"/>
      <c r="FT1260"/>
      <c r="FU1260"/>
      <c r="FV1260"/>
      <c r="FW1260"/>
      <c r="FX1260"/>
      <c r="FY1260"/>
      <c r="FZ1260"/>
      <c r="GA1260"/>
      <c r="GB1260"/>
      <c r="GC1260"/>
      <c r="GD1260"/>
      <c r="GE1260"/>
      <c r="GF1260"/>
      <c r="GG1260"/>
      <c r="GH1260"/>
      <c r="GI1260"/>
      <c r="GJ1260"/>
      <c r="GK1260"/>
      <c r="GL1260"/>
      <c r="GM1260"/>
      <c r="GN1260"/>
      <c r="GO1260"/>
      <c r="GP1260"/>
      <c r="GQ1260"/>
      <c r="GR1260"/>
      <c r="GS1260"/>
      <c r="GT1260"/>
      <c r="GU1260"/>
      <c r="GV1260"/>
      <c r="GW1260"/>
      <c r="GX1260"/>
      <c r="GY1260"/>
      <c r="GZ1260"/>
      <c r="HA1260"/>
      <c r="HB1260"/>
      <c r="HC1260"/>
      <c r="HD1260"/>
      <c r="HE1260"/>
      <c r="HF1260"/>
      <c r="HG1260"/>
      <c r="HH1260"/>
      <c r="HI1260"/>
      <c r="HJ1260"/>
      <c r="HK1260"/>
      <c r="HL1260"/>
      <c r="HM1260"/>
      <c r="HN1260"/>
      <c r="HO1260"/>
      <c r="HP1260"/>
      <c r="HQ1260"/>
      <c r="HR1260"/>
      <c r="HS1260"/>
      <c r="HT1260"/>
      <c r="HU1260"/>
      <c r="HV1260"/>
      <c r="HW1260"/>
      <c r="HX1260"/>
      <c r="HY1260"/>
      <c r="HZ1260"/>
      <c r="IA1260"/>
      <c r="IB1260"/>
      <c r="IC1260"/>
      <c r="ID1260"/>
      <c r="IE1260"/>
      <c r="IF1260"/>
      <c r="IG1260"/>
      <c r="IH1260"/>
      <c r="II1260"/>
      <c r="IJ1260"/>
      <c r="IK1260"/>
      <c r="IL1260"/>
      <c r="IM1260"/>
      <c r="IN1260"/>
      <c r="IO1260"/>
      <c r="IP1260"/>
      <c r="IQ1260"/>
      <c r="IR1260"/>
      <c r="IS1260"/>
      <c r="IT1260"/>
      <c r="IU1260"/>
      <c r="IV1260"/>
      <c r="IW1260"/>
      <c r="IX1260"/>
      <c r="IY1260"/>
      <c r="IZ1260"/>
      <c r="JA1260"/>
      <c r="JB1260"/>
      <c r="JC1260"/>
      <c r="JD1260"/>
      <c r="JE1260"/>
      <c r="JF1260"/>
      <c r="JG1260"/>
      <c r="JH1260"/>
      <c r="JI1260"/>
      <c r="JJ1260"/>
      <c r="JK1260"/>
      <c r="JL1260"/>
      <c r="JM1260"/>
      <c r="JN1260"/>
      <c r="JO1260"/>
      <c r="JP1260"/>
      <c r="JQ1260"/>
      <c r="JR1260"/>
      <c r="JS1260"/>
      <c r="JT1260"/>
      <c r="JU1260"/>
      <c r="JV1260"/>
      <c r="JW1260"/>
      <c r="JX1260"/>
      <c r="JY1260"/>
      <c r="JZ1260"/>
      <c r="KA1260"/>
      <c r="KB1260"/>
      <c r="KC1260"/>
      <c r="KD1260"/>
      <c r="KE1260"/>
      <c r="KF1260"/>
      <c r="KG1260"/>
      <c r="KH1260"/>
      <c r="KI1260"/>
      <c r="KJ1260"/>
      <c r="KK1260"/>
      <c r="KL1260"/>
      <c r="KM1260"/>
      <c r="KN1260"/>
      <c r="KO1260"/>
      <c r="KP1260"/>
      <c r="KQ1260"/>
      <c r="KR1260"/>
      <c r="KS1260"/>
      <c r="KT1260"/>
      <c r="KU1260"/>
      <c r="KV1260"/>
      <c r="KW1260"/>
      <c r="KX1260"/>
      <c r="KY1260"/>
      <c r="KZ1260"/>
      <c r="LA1260"/>
      <c r="LB1260"/>
      <c r="LC1260"/>
      <c r="LD1260"/>
      <c r="LE1260"/>
      <c r="LF1260"/>
      <c r="LG1260"/>
      <c r="LH1260"/>
      <c r="LI1260"/>
      <c r="LJ1260"/>
      <c r="LK1260"/>
      <c r="LL1260"/>
      <c r="LM1260"/>
      <c r="LN1260"/>
      <c r="LO1260"/>
      <c r="LP1260"/>
      <c r="LQ1260"/>
      <c r="LR1260"/>
      <c r="LS1260"/>
      <c r="LT1260"/>
      <c r="LU1260"/>
      <c r="LV1260"/>
      <c r="LW1260"/>
      <c r="LX1260"/>
      <c r="LY1260"/>
      <c r="LZ1260"/>
      <c r="MA1260"/>
      <c r="MB1260"/>
      <c r="MC1260"/>
      <c r="MD1260"/>
      <c r="ME1260"/>
      <c r="MF1260"/>
      <c r="MG1260"/>
      <c r="MH1260"/>
      <c r="MI1260"/>
      <c r="MJ1260"/>
      <c r="MK1260"/>
      <c r="ML1260"/>
      <c r="MM1260"/>
      <c r="MN1260"/>
      <c r="MO1260"/>
      <c r="MP1260"/>
      <c r="MQ1260"/>
      <c r="MR1260"/>
      <c r="MS1260"/>
      <c r="MT1260"/>
      <c r="MU1260"/>
      <c r="MV1260"/>
      <c r="MW1260"/>
      <c r="MX1260"/>
      <c r="MY1260"/>
      <c r="MZ1260"/>
      <c r="NA1260"/>
      <c r="NB1260"/>
      <c r="NC1260"/>
      <c r="ND1260"/>
      <c r="NE1260"/>
      <c r="NF1260"/>
      <c r="NG1260"/>
      <c r="NH1260"/>
      <c r="NI1260"/>
      <c r="NJ1260"/>
      <c r="NK1260"/>
      <c r="NL1260"/>
      <c r="NM1260"/>
      <c r="NN1260"/>
      <c r="NO1260"/>
      <c r="NP1260"/>
      <c r="NQ1260"/>
      <c r="NR1260"/>
      <c r="NS1260"/>
      <c r="NT1260"/>
      <c r="NU1260"/>
      <c r="NV1260"/>
      <c r="NW1260"/>
      <c r="NX1260"/>
      <c r="NY1260"/>
      <c r="NZ1260"/>
      <c r="OA1260"/>
      <c r="OB1260"/>
      <c r="OC1260"/>
      <c r="OD1260"/>
      <c r="OE1260"/>
      <c r="OF1260"/>
      <c r="OG1260"/>
      <c r="OH1260"/>
      <c r="OI1260"/>
      <c r="OJ1260"/>
      <c r="OK1260"/>
      <c r="OL1260"/>
      <c r="OM1260"/>
      <c r="ON1260"/>
      <c r="OO1260"/>
      <c r="OP1260"/>
      <c r="OQ1260"/>
      <c r="OR1260"/>
      <c r="OS1260"/>
      <c r="OT1260"/>
      <c r="OU1260"/>
      <c r="OV1260"/>
      <c r="OW1260"/>
      <c r="OX1260"/>
      <c r="OY1260"/>
      <c r="OZ1260"/>
      <c r="PA1260"/>
      <c r="PB1260"/>
      <c r="PC1260"/>
      <c r="PD1260"/>
      <c r="PE1260"/>
      <c r="PF1260"/>
      <c r="PG1260"/>
      <c r="PH1260"/>
      <c r="PI1260"/>
      <c r="PJ1260"/>
      <c r="PK1260"/>
      <c r="PL1260"/>
      <c r="PM1260"/>
      <c r="PN1260"/>
      <c r="PO1260"/>
      <c r="PP1260"/>
      <c r="PQ1260"/>
      <c r="PR1260"/>
      <c r="PS1260"/>
      <c r="PT1260"/>
      <c r="PU1260"/>
      <c r="PV1260"/>
      <c r="PW1260"/>
      <c r="PX1260"/>
      <c r="PY1260"/>
      <c r="PZ1260"/>
      <c r="QA1260"/>
      <c r="QB1260"/>
      <c r="QC1260"/>
      <c r="QD1260"/>
      <c r="QE1260"/>
      <c r="QF1260"/>
      <c r="QG1260"/>
      <c r="QH1260"/>
      <c r="QI1260"/>
      <c r="QJ1260"/>
      <c r="QK1260"/>
      <c r="QL1260"/>
      <c r="QM1260"/>
      <c r="QN1260"/>
      <c r="QO1260"/>
      <c r="QP1260"/>
      <c r="QQ1260"/>
      <c r="QR1260"/>
      <c r="QS1260"/>
      <c r="QT1260"/>
      <c r="QU1260"/>
      <c r="QV1260"/>
      <c r="QW1260"/>
      <c r="QX1260"/>
      <c r="QY1260"/>
      <c r="QZ1260"/>
      <c r="RA1260"/>
      <c r="RB1260"/>
      <c r="RC1260"/>
      <c r="RD1260"/>
      <c r="RE1260"/>
      <c r="RF1260"/>
      <c r="RG1260"/>
      <c r="RH1260"/>
      <c r="RI1260"/>
      <c r="RJ1260"/>
      <c r="RK1260"/>
      <c r="RL1260"/>
      <c r="RM1260"/>
      <c r="RN1260"/>
      <c r="RO1260"/>
      <c r="RP1260"/>
      <c r="RQ1260"/>
      <c r="RR1260"/>
      <c r="RS1260"/>
      <c r="RT1260"/>
      <c r="RU1260"/>
      <c r="RV1260"/>
      <c r="RW1260"/>
      <c r="RX1260"/>
      <c r="RY1260"/>
      <c r="RZ1260"/>
      <c r="SA1260"/>
      <c r="SB1260"/>
      <c r="SC1260"/>
      <c r="SD1260"/>
      <c r="SE1260"/>
      <c r="SF1260"/>
      <c r="SG1260"/>
      <c r="SH1260"/>
      <c r="SI1260"/>
      <c r="SJ1260"/>
      <c r="SK1260"/>
      <c r="SL1260"/>
      <c r="SM1260"/>
      <c r="SN1260"/>
      <c r="SO1260"/>
      <c r="SP1260"/>
      <c r="SQ1260"/>
      <c r="SR1260"/>
      <c r="SS1260"/>
      <c r="ST1260"/>
      <c r="SU1260"/>
      <c r="SV1260"/>
      <c r="SW1260"/>
      <c r="SX1260"/>
      <c r="SY1260"/>
      <c r="SZ1260"/>
      <c r="TA1260"/>
      <c r="TB1260"/>
      <c r="TC1260"/>
      <c r="TD1260"/>
      <c r="TE1260"/>
      <c r="TF1260"/>
      <c r="TG1260"/>
      <c r="TH1260"/>
      <c r="TI1260"/>
      <c r="TJ1260"/>
      <c r="TK1260"/>
      <c r="TL1260"/>
      <c r="TM1260"/>
      <c r="TN1260"/>
      <c r="TO1260"/>
      <c r="TP1260"/>
      <c r="TQ1260"/>
      <c r="TR1260"/>
      <c r="TS1260"/>
      <c r="TT1260"/>
      <c r="TU1260"/>
      <c r="TV1260"/>
      <c r="TW1260"/>
      <c r="TX1260"/>
      <c r="TY1260"/>
      <c r="TZ1260"/>
      <c r="UA1260"/>
      <c r="UB1260"/>
      <c r="UC1260"/>
      <c r="UD1260"/>
      <c r="UE1260"/>
      <c r="UF1260"/>
      <c r="UG1260"/>
      <c r="UH1260"/>
      <c r="UI1260"/>
      <c r="UJ1260"/>
      <c r="UK1260"/>
      <c r="UL1260"/>
      <c r="UM1260"/>
      <c r="UN1260"/>
      <c r="UO1260"/>
      <c r="UP1260"/>
      <c r="UQ1260"/>
      <c r="UR1260"/>
      <c r="US1260"/>
      <c r="UT1260"/>
      <c r="UU1260"/>
      <c r="UV1260"/>
      <c r="UW1260"/>
      <c r="UX1260"/>
      <c r="UY1260"/>
      <c r="UZ1260"/>
      <c r="VA1260"/>
      <c r="VB1260"/>
      <c r="VC1260"/>
      <c r="VD1260"/>
      <c r="VE1260"/>
      <c r="VF1260"/>
      <c r="VG1260"/>
      <c r="VH1260"/>
      <c r="VI1260"/>
      <c r="VJ1260"/>
      <c r="VK1260"/>
      <c r="VL1260"/>
      <c r="VM1260"/>
      <c r="VN1260"/>
      <c r="VO1260"/>
      <c r="VP1260"/>
      <c r="VQ1260"/>
      <c r="VR1260"/>
      <c r="VS1260"/>
      <c r="VT1260"/>
      <c r="VU1260"/>
      <c r="VV1260"/>
      <c r="VW1260"/>
      <c r="VX1260"/>
      <c r="VY1260"/>
      <c r="VZ1260"/>
      <c r="WA1260"/>
      <c r="WB1260"/>
      <c r="WC1260"/>
      <c r="WD1260"/>
      <c r="WE1260"/>
      <c r="WF1260"/>
      <c r="WG1260"/>
      <c r="WH1260"/>
      <c r="WI1260"/>
      <c r="WJ1260"/>
      <c r="WK1260"/>
      <c r="WL1260"/>
      <c r="WM1260"/>
      <c r="WN1260"/>
      <c r="WO1260"/>
      <c r="WP1260"/>
      <c r="WQ1260"/>
      <c r="WR1260"/>
      <c r="WS1260"/>
      <c r="WT1260"/>
      <c r="WU1260"/>
      <c r="WV1260"/>
      <c r="WW1260"/>
      <c r="WX1260"/>
      <c r="WY1260"/>
      <c r="WZ1260"/>
      <c r="XA1260"/>
      <c r="XB1260"/>
      <c r="XC1260"/>
      <c r="XD1260"/>
      <c r="XE1260"/>
      <c r="XF1260"/>
      <c r="XG1260"/>
      <c r="XH1260"/>
      <c r="XI1260"/>
      <c r="XJ1260"/>
      <c r="XK1260"/>
      <c r="XL1260"/>
      <c r="XM1260"/>
      <c r="XN1260"/>
      <c r="XO1260"/>
      <c r="XP1260"/>
      <c r="XQ1260"/>
      <c r="XR1260"/>
      <c r="XS1260"/>
      <c r="XT1260"/>
      <c r="XU1260"/>
      <c r="XV1260"/>
      <c r="XW1260"/>
      <c r="XX1260"/>
      <c r="XY1260"/>
      <c r="XZ1260"/>
      <c r="YA1260"/>
      <c r="YB1260"/>
      <c r="YC1260"/>
      <c r="YD1260"/>
      <c r="YE1260"/>
      <c r="YF1260"/>
      <c r="YG1260"/>
      <c r="YH1260"/>
      <c r="YI1260"/>
      <c r="YJ1260"/>
      <c r="YK1260"/>
      <c r="YL1260"/>
      <c r="YM1260"/>
      <c r="YN1260"/>
      <c r="YO1260"/>
      <c r="YP1260"/>
      <c r="YQ1260"/>
      <c r="YR1260"/>
      <c r="YS1260"/>
      <c r="YT1260"/>
      <c r="YU1260"/>
      <c r="YV1260"/>
      <c r="YW1260"/>
      <c r="YX1260"/>
      <c r="YY1260"/>
      <c r="YZ1260"/>
      <c r="ZA1260"/>
      <c r="ZB1260"/>
      <c r="ZC1260"/>
      <c r="ZD1260"/>
      <c r="ZE1260"/>
      <c r="ZF1260"/>
      <c r="ZG1260"/>
      <c r="ZH1260"/>
      <c r="ZI1260"/>
      <c r="ZJ1260"/>
      <c r="ZK1260"/>
      <c r="ZL1260"/>
      <c r="ZM1260"/>
      <c r="ZN1260"/>
      <c r="ZO1260"/>
      <c r="ZP1260"/>
      <c r="ZQ1260"/>
      <c r="ZR1260"/>
      <c r="ZS1260"/>
      <c r="ZT1260"/>
      <c r="ZU1260"/>
      <c r="ZV1260"/>
      <c r="ZW1260"/>
      <c r="ZX1260"/>
      <c r="ZY1260"/>
      <c r="ZZ1260"/>
      <c r="AAA1260"/>
      <c r="AAB1260"/>
      <c r="AAC1260"/>
      <c r="AAD1260"/>
      <c r="AAE1260"/>
      <c r="AAF1260"/>
      <c r="AAG1260"/>
      <c r="AAH1260"/>
      <c r="AAI1260"/>
      <c r="AAJ1260"/>
      <c r="AAK1260"/>
      <c r="AAL1260"/>
      <c r="AAM1260"/>
      <c r="AAN1260"/>
      <c r="AAO1260"/>
      <c r="AAP1260"/>
      <c r="AAQ1260"/>
      <c r="AAR1260"/>
      <c r="AAS1260"/>
      <c r="AAT1260"/>
      <c r="AAU1260"/>
      <c r="AAV1260"/>
      <c r="AAW1260"/>
      <c r="AAX1260"/>
      <c r="AAY1260"/>
      <c r="AAZ1260"/>
      <c r="ABA1260"/>
      <c r="ABB1260"/>
      <c r="ABC1260"/>
      <c r="ABD1260"/>
      <c r="ABE1260"/>
      <c r="ABF1260"/>
      <c r="ABG1260"/>
      <c r="ABH1260"/>
      <c r="ABI1260"/>
      <c r="ABJ1260"/>
      <c r="ABK1260"/>
      <c r="ABL1260"/>
      <c r="ABM1260"/>
      <c r="ABN1260"/>
      <c r="ABO1260"/>
      <c r="ABP1260"/>
      <c r="ABQ1260"/>
      <c r="ABR1260"/>
      <c r="ABS1260"/>
      <c r="ABT1260"/>
      <c r="ABU1260"/>
      <c r="ABV1260"/>
      <c r="ABW1260"/>
      <c r="ABX1260"/>
      <c r="ABY1260"/>
      <c r="ABZ1260"/>
      <c r="ACA1260"/>
      <c r="ACB1260"/>
      <c r="ACC1260"/>
      <c r="ACD1260"/>
      <c r="ACE1260"/>
      <c r="ACF1260"/>
      <c r="ACG1260"/>
      <c r="ACH1260"/>
      <c r="ACI1260"/>
      <c r="ACJ1260"/>
      <c r="ACK1260"/>
      <c r="ACL1260"/>
      <c r="ACM1260"/>
      <c r="ACN1260"/>
      <c r="ACO1260"/>
      <c r="ACP1260"/>
      <c r="ACQ1260"/>
      <c r="ACR1260"/>
      <c r="ACS1260"/>
      <c r="ACT1260"/>
      <c r="ACU1260"/>
      <c r="ACV1260"/>
      <c r="ACW1260"/>
      <c r="ACX1260"/>
      <c r="ACY1260"/>
      <c r="ACZ1260"/>
      <c r="ADA1260"/>
      <c r="ADB1260"/>
      <c r="ADC1260"/>
      <c r="ADD1260"/>
      <c r="ADE1260"/>
      <c r="ADF1260"/>
      <c r="ADG1260"/>
      <c r="ADH1260"/>
      <c r="ADI1260"/>
      <c r="ADJ1260"/>
      <c r="ADK1260"/>
      <c r="ADL1260"/>
      <c r="ADM1260"/>
      <c r="ADN1260"/>
      <c r="ADO1260"/>
      <c r="ADP1260"/>
      <c r="ADQ1260"/>
      <c r="ADR1260"/>
      <c r="ADS1260"/>
      <c r="ADT1260"/>
      <c r="ADU1260"/>
      <c r="ADV1260"/>
      <c r="ADW1260"/>
      <c r="ADX1260"/>
      <c r="ADY1260"/>
      <c r="ADZ1260"/>
      <c r="AEA1260"/>
      <c r="AEB1260"/>
      <c r="AEC1260"/>
      <c r="AED1260"/>
      <c r="AEE1260"/>
      <c r="AEF1260"/>
      <c r="AEG1260"/>
      <c r="AEH1260"/>
      <c r="AEI1260"/>
      <c r="AEJ1260"/>
      <c r="AEK1260"/>
      <c r="AEL1260"/>
      <c r="AEM1260"/>
      <c r="AEN1260"/>
      <c r="AEO1260"/>
      <c r="AEP1260"/>
      <c r="AEQ1260"/>
      <c r="AER1260"/>
      <c r="AES1260"/>
      <c r="AET1260"/>
      <c r="AEU1260"/>
      <c r="AEV1260"/>
      <c r="AEW1260"/>
      <c r="AEX1260"/>
      <c r="AEY1260"/>
      <c r="AEZ1260"/>
      <c r="AFA1260"/>
      <c r="AFB1260"/>
      <c r="AFC1260"/>
      <c r="AFD1260"/>
      <c r="AFE1260"/>
      <c r="AFF1260"/>
      <c r="AFG1260"/>
      <c r="AFH1260"/>
      <c r="AFI1260"/>
      <c r="AFJ1260"/>
      <c r="AFK1260"/>
      <c r="AFL1260"/>
      <c r="AFM1260"/>
      <c r="AFN1260"/>
      <c r="AFO1260"/>
      <c r="AFP1260"/>
      <c r="AFQ1260"/>
      <c r="AFR1260"/>
      <c r="AFS1260"/>
      <c r="AFT1260"/>
      <c r="AFU1260"/>
      <c r="AFV1260"/>
      <c r="AFW1260"/>
      <c r="AFX1260"/>
      <c r="AFY1260"/>
      <c r="AFZ1260"/>
      <c r="AGA1260"/>
      <c r="AGB1260"/>
      <c r="AGC1260"/>
      <c r="AGD1260"/>
      <c r="AGE1260"/>
      <c r="AGF1260"/>
      <c r="AGG1260"/>
      <c r="AGH1260"/>
      <c r="AGI1260"/>
      <c r="AGJ1260"/>
      <c r="AGK1260"/>
      <c r="AGL1260"/>
      <c r="AGM1260"/>
      <c r="AGN1260"/>
      <c r="AGO1260"/>
      <c r="AGP1260"/>
      <c r="AGQ1260"/>
      <c r="AGR1260"/>
      <c r="AGS1260"/>
      <c r="AGT1260"/>
      <c r="AGU1260"/>
      <c r="AGV1260"/>
      <c r="AGW1260"/>
      <c r="AGX1260"/>
      <c r="AGY1260"/>
      <c r="AGZ1260"/>
      <c r="AHA1260"/>
      <c r="AHB1260"/>
      <c r="AHC1260"/>
      <c r="AHD1260"/>
      <c r="AHE1260"/>
      <c r="AHF1260"/>
      <c r="AHG1260"/>
      <c r="AHH1260"/>
      <c r="AHI1260"/>
      <c r="AHJ1260"/>
      <c r="AHK1260"/>
      <c r="AHL1260"/>
      <c r="AHM1260"/>
      <c r="AHN1260"/>
      <c r="AHO1260"/>
      <c r="AHP1260"/>
      <c r="AHQ1260"/>
      <c r="AHR1260"/>
      <c r="AHS1260"/>
      <c r="AHT1260"/>
      <c r="AHU1260"/>
      <c r="AHV1260"/>
      <c r="AHW1260"/>
      <c r="AHX1260"/>
      <c r="AHY1260"/>
      <c r="AHZ1260"/>
      <c r="AIA1260"/>
      <c r="AIB1260"/>
      <c r="AIC1260"/>
      <c r="AID1260"/>
      <c r="AIE1260"/>
      <c r="AIF1260"/>
      <c r="AIG1260"/>
      <c r="AIH1260"/>
      <c r="AII1260"/>
      <c r="AIJ1260"/>
      <c r="AIK1260"/>
      <c r="AIL1260"/>
      <c r="AIM1260"/>
      <c r="AIN1260"/>
      <c r="AIO1260"/>
      <c r="AIP1260"/>
      <c r="AIQ1260"/>
      <c r="AIR1260"/>
      <c r="AIS1260"/>
      <c r="AIT1260"/>
      <c r="AIU1260"/>
      <c r="AIV1260"/>
      <c r="AIW1260"/>
      <c r="AIX1260"/>
      <c r="AIY1260"/>
      <c r="AIZ1260"/>
      <c r="AJA1260"/>
      <c r="AJB1260"/>
      <c r="AJC1260"/>
      <c r="AJD1260"/>
      <c r="AJE1260"/>
      <c r="AJF1260"/>
      <c r="AJG1260"/>
      <c r="AJH1260"/>
      <c r="AJI1260"/>
      <c r="AJJ1260"/>
      <c r="AJK1260"/>
      <c r="AJL1260"/>
      <c r="AJM1260"/>
      <c r="AJN1260"/>
      <c r="AJO1260"/>
      <c r="AJP1260"/>
      <c r="AJQ1260"/>
      <c r="AJR1260"/>
      <c r="AJS1260"/>
      <c r="AJT1260"/>
      <c r="AJU1260"/>
      <c r="AJV1260"/>
      <c r="AJW1260"/>
      <c r="AJX1260"/>
      <c r="AJY1260"/>
      <c r="AJZ1260"/>
      <c r="AKA1260"/>
      <c r="AKB1260"/>
      <c r="AKC1260"/>
      <c r="AKD1260"/>
      <c r="AKE1260"/>
      <c r="AKF1260"/>
      <c r="AKG1260"/>
      <c r="AKH1260"/>
      <c r="AKI1260"/>
      <c r="AKJ1260"/>
      <c r="AKK1260"/>
      <c r="AKL1260"/>
      <c r="AKM1260"/>
      <c r="AKN1260"/>
      <c r="AKO1260"/>
      <c r="AKP1260"/>
      <c r="AKQ1260"/>
      <c r="AKR1260"/>
      <c r="AKS1260"/>
      <c r="AKT1260"/>
      <c r="AKU1260"/>
      <c r="AKV1260"/>
      <c r="AKW1260"/>
      <c r="AKX1260"/>
      <c r="AKY1260"/>
      <c r="AKZ1260"/>
      <c r="ALA1260"/>
      <c r="ALB1260"/>
      <c r="ALC1260"/>
      <c r="ALD1260"/>
      <c r="ALE1260"/>
      <c r="ALF1260"/>
      <c r="ALG1260"/>
      <c r="ALH1260"/>
      <c r="ALI1260"/>
      <c r="ALJ1260"/>
      <c r="ALK1260"/>
      <c r="ALL1260"/>
      <c r="ALM1260"/>
      <c r="ALN1260"/>
      <c r="ALO1260"/>
      <c r="ALP1260"/>
      <c r="ALQ1260"/>
      <c r="ALR1260"/>
      <c r="ALS1260"/>
      <c r="ALT1260"/>
    </row>
    <row r="1261" spans="1:1008" ht="14">
      <c r="A1261" s="27" t="s">
        <v>3995</v>
      </c>
      <c r="B1261" s="25" t="s">
        <v>3988</v>
      </c>
      <c r="C1261" s="27" t="s">
        <v>3995</v>
      </c>
      <c r="D1261" s="24" t="s">
        <v>12</v>
      </c>
      <c r="E1261" s="27" t="s">
        <v>3996</v>
      </c>
      <c r="F1261" s="24" t="s">
        <v>3997</v>
      </c>
      <c r="G1261" s="27">
        <v>500</v>
      </c>
      <c r="H1261" s="27"/>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c r="AT1261"/>
      <c r="AU1261"/>
      <c r="AV1261"/>
      <c r="AW1261"/>
      <c r="AX1261"/>
      <c r="AY1261"/>
      <c r="AZ1261"/>
      <c r="BA1261"/>
      <c r="BB1261"/>
      <c r="BC1261"/>
      <c r="BD1261"/>
      <c r="BE1261"/>
      <c r="BF1261"/>
      <c r="BG1261"/>
      <c r="BH1261"/>
      <c r="BI1261"/>
      <c r="BJ1261"/>
      <c r="BK1261"/>
      <c r="BL1261"/>
      <c r="BM1261"/>
      <c r="BN1261"/>
      <c r="BO1261"/>
      <c r="BP1261"/>
      <c r="BQ1261"/>
      <c r="BR1261"/>
      <c r="BS1261"/>
      <c r="BT1261"/>
      <c r="BU1261"/>
      <c r="BV1261"/>
      <c r="BW1261"/>
      <c r="BX1261"/>
      <c r="BY1261"/>
      <c r="BZ1261"/>
      <c r="CA1261"/>
      <c r="CB1261"/>
      <c r="CC1261"/>
      <c r="CD1261"/>
      <c r="CE1261"/>
      <c r="CF1261"/>
      <c r="CG1261"/>
      <c r="CH1261"/>
      <c r="CI1261"/>
      <c r="CJ1261"/>
      <c r="CK1261"/>
      <c r="CL1261"/>
      <c r="CM1261"/>
      <c r="CN1261"/>
      <c r="CO1261"/>
      <c r="CP1261"/>
      <c r="CQ1261"/>
      <c r="CR1261"/>
      <c r="CS1261"/>
      <c r="CT1261"/>
      <c r="CU1261"/>
      <c r="CV1261"/>
      <c r="CW1261"/>
      <c r="CX1261"/>
      <c r="CY1261"/>
      <c r="CZ1261"/>
      <c r="DA1261"/>
      <c r="DB1261"/>
      <c r="DC1261"/>
      <c r="DD1261"/>
      <c r="DE1261"/>
      <c r="DF1261"/>
      <c r="DG1261"/>
      <c r="DH1261"/>
      <c r="DI1261"/>
      <c r="DJ1261"/>
      <c r="DK1261"/>
      <c r="DL1261"/>
      <c r="DM1261"/>
      <c r="DN1261"/>
      <c r="DO1261"/>
      <c r="DP1261"/>
      <c r="DQ1261"/>
      <c r="DR1261"/>
      <c r="DS1261"/>
      <c r="DT1261"/>
      <c r="DU1261"/>
      <c r="DV1261"/>
      <c r="DW1261"/>
      <c r="DX1261"/>
      <c r="DY1261"/>
      <c r="DZ1261"/>
      <c r="EA1261"/>
      <c r="EB1261"/>
      <c r="EC1261"/>
      <c r="ED1261"/>
      <c r="EE1261"/>
      <c r="EF1261"/>
      <c r="EG1261"/>
      <c r="EH1261"/>
      <c r="EI1261"/>
      <c r="EJ1261"/>
      <c r="EK1261"/>
      <c r="EL1261"/>
      <c r="EM1261"/>
      <c r="EN1261"/>
      <c r="EO1261"/>
      <c r="EP1261"/>
      <c r="EQ1261"/>
      <c r="ER1261"/>
      <c r="ES1261"/>
      <c r="ET1261"/>
      <c r="EU1261"/>
      <c r="EV1261"/>
      <c r="EW1261"/>
      <c r="EX1261"/>
      <c r="EY1261"/>
      <c r="EZ1261"/>
      <c r="FA1261"/>
      <c r="FB1261"/>
      <c r="FC1261"/>
      <c r="FD1261"/>
      <c r="FE1261"/>
      <c r="FF1261"/>
      <c r="FG1261"/>
      <c r="FH1261"/>
      <c r="FI1261"/>
      <c r="FJ1261"/>
      <c r="FK1261"/>
      <c r="FL1261"/>
      <c r="FM1261"/>
      <c r="FN1261"/>
      <c r="FO1261"/>
      <c r="FP1261"/>
      <c r="FQ1261"/>
      <c r="FR1261"/>
      <c r="FS1261"/>
      <c r="FT1261"/>
      <c r="FU1261"/>
      <c r="FV1261"/>
      <c r="FW1261"/>
      <c r="FX1261"/>
      <c r="FY1261"/>
      <c r="FZ1261"/>
      <c r="GA1261"/>
      <c r="GB1261"/>
      <c r="GC1261"/>
      <c r="GD1261"/>
      <c r="GE1261"/>
      <c r="GF1261"/>
      <c r="GG1261"/>
      <c r="GH1261"/>
      <c r="GI1261"/>
      <c r="GJ1261"/>
      <c r="GK1261"/>
      <c r="GL1261"/>
      <c r="GM1261"/>
      <c r="GN1261"/>
      <c r="GO1261"/>
      <c r="GP1261"/>
      <c r="GQ1261"/>
      <c r="GR1261"/>
      <c r="GS1261"/>
      <c r="GT1261"/>
      <c r="GU1261"/>
      <c r="GV1261"/>
      <c r="GW1261"/>
      <c r="GX1261"/>
      <c r="GY1261"/>
      <c r="GZ1261"/>
      <c r="HA1261"/>
      <c r="HB1261"/>
      <c r="HC1261"/>
      <c r="HD1261"/>
      <c r="HE1261"/>
      <c r="HF1261"/>
      <c r="HG1261"/>
      <c r="HH1261"/>
      <c r="HI1261"/>
      <c r="HJ1261"/>
      <c r="HK1261"/>
      <c r="HL1261"/>
      <c r="HM1261"/>
      <c r="HN1261"/>
      <c r="HO1261"/>
      <c r="HP1261"/>
      <c r="HQ1261"/>
      <c r="HR1261"/>
      <c r="HS1261"/>
      <c r="HT1261"/>
      <c r="HU1261"/>
      <c r="HV1261"/>
      <c r="HW1261"/>
      <c r="HX1261"/>
      <c r="HY1261"/>
      <c r="HZ1261"/>
      <c r="IA1261"/>
      <c r="IB1261"/>
      <c r="IC1261"/>
      <c r="ID1261"/>
      <c r="IE1261"/>
      <c r="IF1261"/>
      <c r="IG1261"/>
      <c r="IH1261"/>
      <c r="II1261"/>
      <c r="IJ1261"/>
      <c r="IK1261"/>
      <c r="IL1261"/>
      <c r="IM1261"/>
      <c r="IN1261"/>
      <c r="IO1261"/>
      <c r="IP1261"/>
      <c r="IQ1261"/>
      <c r="IR1261"/>
      <c r="IS1261"/>
      <c r="IT1261"/>
      <c r="IU1261"/>
      <c r="IV1261"/>
      <c r="IW1261"/>
      <c r="IX1261"/>
      <c r="IY1261"/>
      <c r="IZ1261"/>
      <c r="JA1261"/>
      <c r="JB1261"/>
      <c r="JC1261"/>
      <c r="JD1261"/>
      <c r="JE1261"/>
      <c r="JF1261"/>
      <c r="JG1261"/>
      <c r="JH1261"/>
      <c r="JI1261"/>
      <c r="JJ1261"/>
      <c r="JK1261"/>
      <c r="JL1261"/>
      <c r="JM1261"/>
      <c r="JN1261"/>
      <c r="JO1261"/>
      <c r="JP1261"/>
      <c r="JQ1261"/>
      <c r="JR1261"/>
      <c r="JS1261"/>
      <c r="JT1261"/>
      <c r="JU1261"/>
      <c r="JV1261"/>
      <c r="JW1261"/>
      <c r="JX1261"/>
      <c r="JY1261"/>
      <c r="JZ1261"/>
      <c r="KA1261"/>
      <c r="KB1261"/>
      <c r="KC1261"/>
      <c r="KD1261"/>
      <c r="KE1261"/>
      <c r="KF1261"/>
      <c r="KG1261"/>
      <c r="KH1261"/>
      <c r="KI1261"/>
      <c r="KJ1261"/>
      <c r="KK1261"/>
      <c r="KL1261"/>
      <c r="KM1261"/>
      <c r="KN1261"/>
      <c r="KO1261"/>
      <c r="KP1261"/>
      <c r="KQ1261"/>
      <c r="KR1261"/>
      <c r="KS1261"/>
      <c r="KT1261"/>
      <c r="KU1261"/>
      <c r="KV1261"/>
      <c r="KW1261"/>
      <c r="KX1261"/>
      <c r="KY1261"/>
      <c r="KZ1261"/>
      <c r="LA1261"/>
      <c r="LB1261"/>
      <c r="LC1261"/>
      <c r="LD1261"/>
      <c r="LE1261"/>
      <c r="LF1261"/>
      <c r="LG1261"/>
      <c r="LH1261"/>
      <c r="LI1261"/>
      <c r="LJ1261"/>
      <c r="LK1261"/>
      <c r="LL1261"/>
      <c r="LM1261"/>
      <c r="LN1261"/>
      <c r="LO1261"/>
      <c r="LP1261"/>
      <c r="LQ1261"/>
      <c r="LR1261"/>
      <c r="LS1261"/>
      <c r="LT1261"/>
      <c r="LU1261"/>
      <c r="LV1261"/>
      <c r="LW1261"/>
      <c r="LX1261"/>
      <c r="LY1261"/>
      <c r="LZ1261"/>
      <c r="MA1261"/>
      <c r="MB1261"/>
      <c r="MC1261"/>
      <c r="MD1261"/>
      <c r="ME1261"/>
      <c r="MF1261"/>
      <c r="MG1261"/>
      <c r="MH1261"/>
      <c r="MI1261"/>
      <c r="MJ1261"/>
      <c r="MK1261"/>
      <c r="ML1261"/>
      <c r="MM1261"/>
      <c r="MN1261"/>
      <c r="MO1261"/>
      <c r="MP1261"/>
      <c r="MQ1261"/>
      <c r="MR1261"/>
      <c r="MS1261"/>
      <c r="MT1261"/>
      <c r="MU1261"/>
      <c r="MV1261"/>
      <c r="MW1261"/>
      <c r="MX1261"/>
      <c r="MY1261"/>
      <c r="MZ1261"/>
      <c r="NA1261"/>
      <c r="NB1261"/>
      <c r="NC1261"/>
      <c r="ND1261"/>
      <c r="NE1261"/>
      <c r="NF1261"/>
      <c r="NG1261"/>
      <c r="NH1261"/>
      <c r="NI1261"/>
      <c r="NJ1261"/>
      <c r="NK1261"/>
      <c r="NL1261"/>
      <c r="NM1261"/>
      <c r="NN1261"/>
      <c r="NO1261"/>
      <c r="NP1261"/>
      <c r="NQ1261"/>
      <c r="NR1261"/>
      <c r="NS1261"/>
      <c r="NT1261"/>
      <c r="NU1261"/>
      <c r="NV1261"/>
      <c r="NW1261"/>
      <c r="NX1261"/>
      <c r="NY1261"/>
      <c r="NZ1261"/>
      <c r="OA1261"/>
      <c r="OB1261"/>
      <c r="OC1261"/>
      <c r="OD1261"/>
      <c r="OE1261"/>
      <c r="OF1261"/>
      <c r="OG1261"/>
      <c r="OH1261"/>
      <c r="OI1261"/>
      <c r="OJ1261"/>
      <c r="OK1261"/>
      <c r="OL1261"/>
      <c r="OM1261"/>
      <c r="ON1261"/>
      <c r="OO1261"/>
      <c r="OP1261"/>
      <c r="OQ1261"/>
      <c r="OR1261"/>
      <c r="OS1261"/>
      <c r="OT1261"/>
      <c r="OU1261"/>
      <c r="OV1261"/>
      <c r="OW1261"/>
      <c r="OX1261"/>
      <c r="OY1261"/>
      <c r="OZ1261"/>
      <c r="PA1261"/>
      <c r="PB1261"/>
      <c r="PC1261"/>
      <c r="PD1261"/>
      <c r="PE1261"/>
      <c r="PF1261"/>
      <c r="PG1261"/>
      <c r="PH1261"/>
      <c r="PI1261"/>
      <c r="PJ1261"/>
      <c r="PK1261"/>
      <c r="PL1261"/>
      <c r="PM1261"/>
      <c r="PN1261"/>
      <c r="PO1261"/>
      <c r="PP1261"/>
      <c r="PQ1261"/>
      <c r="PR1261"/>
      <c r="PS1261"/>
      <c r="PT1261"/>
      <c r="PU1261"/>
      <c r="PV1261"/>
      <c r="PW1261"/>
      <c r="PX1261"/>
      <c r="PY1261"/>
      <c r="PZ1261"/>
      <c r="QA1261"/>
      <c r="QB1261"/>
      <c r="QC1261"/>
      <c r="QD1261"/>
      <c r="QE1261"/>
      <c r="QF1261"/>
      <c r="QG1261"/>
      <c r="QH1261"/>
      <c r="QI1261"/>
      <c r="QJ1261"/>
      <c r="QK1261"/>
      <c r="QL1261"/>
      <c r="QM1261"/>
      <c r="QN1261"/>
      <c r="QO1261"/>
      <c r="QP1261"/>
      <c r="QQ1261"/>
      <c r="QR1261"/>
      <c r="QS1261"/>
      <c r="QT1261"/>
      <c r="QU1261"/>
      <c r="QV1261"/>
      <c r="QW1261"/>
      <c r="QX1261"/>
      <c r="QY1261"/>
      <c r="QZ1261"/>
      <c r="RA1261"/>
      <c r="RB1261"/>
      <c r="RC1261"/>
      <c r="RD1261"/>
      <c r="RE1261"/>
      <c r="RF1261"/>
      <c r="RG1261"/>
      <c r="RH1261"/>
      <c r="RI1261"/>
      <c r="RJ1261"/>
      <c r="RK1261"/>
      <c r="RL1261"/>
      <c r="RM1261"/>
      <c r="RN1261"/>
      <c r="RO1261"/>
      <c r="RP1261"/>
      <c r="RQ1261"/>
      <c r="RR1261"/>
      <c r="RS1261"/>
      <c r="RT1261"/>
      <c r="RU1261"/>
      <c r="RV1261"/>
      <c r="RW1261"/>
      <c r="RX1261"/>
      <c r="RY1261"/>
      <c r="RZ1261"/>
      <c r="SA1261"/>
      <c r="SB1261"/>
      <c r="SC1261"/>
      <c r="SD1261"/>
      <c r="SE1261"/>
      <c r="SF1261"/>
      <c r="SG1261"/>
      <c r="SH1261"/>
      <c r="SI1261"/>
      <c r="SJ1261"/>
      <c r="SK1261"/>
      <c r="SL1261"/>
      <c r="SM1261"/>
      <c r="SN1261"/>
      <c r="SO1261"/>
      <c r="SP1261"/>
      <c r="SQ1261"/>
      <c r="SR1261"/>
      <c r="SS1261"/>
      <c r="ST1261"/>
      <c r="SU1261"/>
      <c r="SV1261"/>
      <c r="SW1261"/>
      <c r="SX1261"/>
      <c r="SY1261"/>
      <c r="SZ1261"/>
      <c r="TA1261"/>
      <c r="TB1261"/>
      <c r="TC1261"/>
      <c r="TD1261"/>
      <c r="TE1261"/>
      <c r="TF1261"/>
      <c r="TG1261"/>
      <c r="TH1261"/>
      <c r="TI1261"/>
      <c r="TJ1261"/>
      <c r="TK1261"/>
      <c r="TL1261"/>
      <c r="TM1261"/>
      <c r="TN1261"/>
      <c r="TO1261"/>
      <c r="TP1261"/>
      <c r="TQ1261"/>
      <c r="TR1261"/>
      <c r="TS1261"/>
      <c r="TT1261"/>
      <c r="TU1261"/>
      <c r="TV1261"/>
      <c r="TW1261"/>
      <c r="TX1261"/>
      <c r="TY1261"/>
      <c r="TZ1261"/>
      <c r="UA1261"/>
      <c r="UB1261"/>
      <c r="UC1261"/>
      <c r="UD1261"/>
      <c r="UE1261"/>
      <c r="UF1261"/>
      <c r="UG1261"/>
      <c r="UH1261"/>
      <c r="UI1261"/>
      <c r="UJ1261"/>
      <c r="UK1261"/>
      <c r="UL1261"/>
      <c r="UM1261"/>
      <c r="UN1261"/>
      <c r="UO1261"/>
      <c r="UP1261"/>
      <c r="UQ1261"/>
      <c r="UR1261"/>
      <c r="US1261"/>
      <c r="UT1261"/>
      <c r="UU1261"/>
      <c r="UV1261"/>
      <c r="UW1261"/>
      <c r="UX1261"/>
      <c r="UY1261"/>
      <c r="UZ1261"/>
      <c r="VA1261"/>
      <c r="VB1261"/>
      <c r="VC1261"/>
      <c r="VD1261"/>
      <c r="VE1261"/>
      <c r="VF1261"/>
      <c r="VG1261"/>
      <c r="VH1261"/>
      <c r="VI1261"/>
      <c r="VJ1261"/>
      <c r="VK1261"/>
      <c r="VL1261"/>
      <c r="VM1261"/>
      <c r="VN1261"/>
      <c r="VO1261"/>
      <c r="VP1261"/>
      <c r="VQ1261"/>
      <c r="VR1261"/>
      <c r="VS1261"/>
      <c r="VT1261"/>
      <c r="VU1261"/>
      <c r="VV1261"/>
      <c r="VW1261"/>
      <c r="VX1261"/>
      <c r="VY1261"/>
      <c r="VZ1261"/>
      <c r="WA1261"/>
      <c r="WB1261"/>
      <c r="WC1261"/>
      <c r="WD1261"/>
      <c r="WE1261"/>
      <c r="WF1261"/>
      <c r="WG1261"/>
      <c r="WH1261"/>
      <c r="WI1261"/>
      <c r="WJ1261"/>
      <c r="WK1261"/>
      <c r="WL1261"/>
      <c r="WM1261"/>
      <c r="WN1261"/>
      <c r="WO1261"/>
      <c r="WP1261"/>
      <c r="WQ1261"/>
      <c r="WR1261"/>
      <c r="WS1261"/>
      <c r="WT1261"/>
      <c r="WU1261"/>
      <c r="WV1261"/>
      <c r="WW1261"/>
      <c r="WX1261"/>
      <c r="WY1261"/>
      <c r="WZ1261"/>
      <c r="XA1261"/>
      <c r="XB1261"/>
      <c r="XC1261"/>
      <c r="XD1261"/>
      <c r="XE1261"/>
      <c r="XF1261"/>
      <c r="XG1261"/>
      <c r="XH1261"/>
      <c r="XI1261"/>
      <c r="XJ1261"/>
      <c r="XK1261"/>
      <c r="XL1261"/>
      <c r="XM1261"/>
      <c r="XN1261"/>
      <c r="XO1261"/>
      <c r="XP1261"/>
      <c r="XQ1261"/>
      <c r="XR1261"/>
      <c r="XS1261"/>
      <c r="XT1261"/>
      <c r="XU1261"/>
      <c r="XV1261"/>
      <c r="XW1261"/>
      <c r="XX1261"/>
      <c r="XY1261"/>
      <c r="XZ1261"/>
      <c r="YA1261"/>
      <c r="YB1261"/>
      <c r="YC1261"/>
      <c r="YD1261"/>
      <c r="YE1261"/>
      <c r="YF1261"/>
      <c r="YG1261"/>
      <c r="YH1261"/>
      <c r="YI1261"/>
      <c r="YJ1261"/>
      <c r="YK1261"/>
      <c r="YL1261"/>
      <c r="YM1261"/>
      <c r="YN1261"/>
      <c r="YO1261"/>
      <c r="YP1261"/>
      <c r="YQ1261"/>
      <c r="YR1261"/>
      <c r="YS1261"/>
      <c r="YT1261"/>
      <c r="YU1261"/>
      <c r="YV1261"/>
      <c r="YW1261"/>
      <c r="YX1261"/>
      <c r="YY1261"/>
      <c r="YZ1261"/>
      <c r="ZA1261"/>
      <c r="ZB1261"/>
      <c r="ZC1261"/>
      <c r="ZD1261"/>
      <c r="ZE1261"/>
      <c r="ZF1261"/>
      <c r="ZG1261"/>
      <c r="ZH1261"/>
      <c r="ZI1261"/>
      <c r="ZJ1261"/>
      <c r="ZK1261"/>
      <c r="ZL1261"/>
      <c r="ZM1261"/>
      <c r="ZN1261"/>
      <c r="ZO1261"/>
      <c r="ZP1261"/>
      <c r="ZQ1261"/>
      <c r="ZR1261"/>
      <c r="ZS1261"/>
      <c r="ZT1261"/>
      <c r="ZU1261"/>
      <c r="ZV1261"/>
      <c r="ZW1261"/>
      <c r="ZX1261"/>
      <c r="ZY1261"/>
      <c r="ZZ1261"/>
      <c r="AAA1261"/>
      <c r="AAB1261"/>
      <c r="AAC1261"/>
      <c r="AAD1261"/>
      <c r="AAE1261"/>
      <c r="AAF1261"/>
      <c r="AAG1261"/>
      <c r="AAH1261"/>
      <c r="AAI1261"/>
      <c r="AAJ1261"/>
      <c r="AAK1261"/>
      <c r="AAL1261"/>
      <c r="AAM1261"/>
      <c r="AAN1261"/>
      <c r="AAO1261"/>
      <c r="AAP1261"/>
      <c r="AAQ1261"/>
      <c r="AAR1261"/>
      <c r="AAS1261"/>
      <c r="AAT1261"/>
      <c r="AAU1261"/>
      <c r="AAV1261"/>
      <c r="AAW1261"/>
      <c r="AAX1261"/>
      <c r="AAY1261"/>
      <c r="AAZ1261"/>
      <c r="ABA1261"/>
      <c r="ABB1261"/>
      <c r="ABC1261"/>
      <c r="ABD1261"/>
      <c r="ABE1261"/>
      <c r="ABF1261"/>
      <c r="ABG1261"/>
      <c r="ABH1261"/>
      <c r="ABI1261"/>
      <c r="ABJ1261"/>
      <c r="ABK1261"/>
      <c r="ABL1261"/>
      <c r="ABM1261"/>
      <c r="ABN1261"/>
      <c r="ABO1261"/>
      <c r="ABP1261"/>
      <c r="ABQ1261"/>
      <c r="ABR1261"/>
      <c r="ABS1261"/>
      <c r="ABT1261"/>
      <c r="ABU1261"/>
      <c r="ABV1261"/>
      <c r="ABW1261"/>
      <c r="ABX1261"/>
      <c r="ABY1261"/>
      <c r="ABZ1261"/>
      <c r="ACA1261"/>
      <c r="ACB1261"/>
      <c r="ACC1261"/>
      <c r="ACD1261"/>
      <c r="ACE1261"/>
      <c r="ACF1261"/>
      <c r="ACG1261"/>
      <c r="ACH1261"/>
      <c r="ACI1261"/>
      <c r="ACJ1261"/>
      <c r="ACK1261"/>
      <c r="ACL1261"/>
      <c r="ACM1261"/>
      <c r="ACN1261"/>
      <c r="ACO1261"/>
      <c r="ACP1261"/>
      <c r="ACQ1261"/>
      <c r="ACR1261"/>
      <c r="ACS1261"/>
      <c r="ACT1261"/>
      <c r="ACU1261"/>
      <c r="ACV1261"/>
      <c r="ACW1261"/>
      <c r="ACX1261"/>
      <c r="ACY1261"/>
      <c r="ACZ1261"/>
      <c r="ADA1261"/>
      <c r="ADB1261"/>
      <c r="ADC1261"/>
      <c r="ADD1261"/>
      <c r="ADE1261"/>
      <c r="ADF1261"/>
      <c r="ADG1261"/>
      <c r="ADH1261"/>
      <c r="ADI1261"/>
      <c r="ADJ1261"/>
      <c r="ADK1261"/>
      <c r="ADL1261"/>
      <c r="ADM1261"/>
      <c r="ADN1261"/>
      <c r="ADO1261"/>
      <c r="ADP1261"/>
      <c r="ADQ1261"/>
      <c r="ADR1261"/>
      <c r="ADS1261"/>
      <c r="ADT1261"/>
      <c r="ADU1261"/>
      <c r="ADV1261"/>
      <c r="ADW1261"/>
      <c r="ADX1261"/>
      <c r="ADY1261"/>
      <c r="ADZ1261"/>
      <c r="AEA1261"/>
      <c r="AEB1261"/>
      <c r="AEC1261"/>
      <c r="AED1261"/>
      <c r="AEE1261"/>
      <c r="AEF1261"/>
      <c r="AEG1261"/>
      <c r="AEH1261"/>
      <c r="AEI1261"/>
      <c r="AEJ1261"/>
      <c r="AEK1261"/>
      <c r="AEL1261"/>
      <c r="AEM1261"/>
      <c r="AEN1261"/>
      <c r="AEO1261"/>
      <c r="AEP1261"/>
      <c r="AEQ1261"/>
      <c r="AER1261"/>
      <c r="AES1261"/>
      <c r="AET1261"/>
      <c r="AEU1261"/>
      <c r="AEV1261"/>
      <c r="AEW1261"/>
      <c r="AEX1261"/>
      <c r="AEY1261"/>
      <c r="AEZ1261"/>
      <c r="AFA1261"/>
      <c r="AFB1261"/>
      <c r="AFC1261"/>
      <c r="AFD1261"/>
      <c r="AFE1261"/>
      <c r="AFF1261"/>
      <c r="AFG1261"/>
      <c r="AFH1261"/>
      <c r="AFI1261"/>
      <c r="AFJ1261"/>
      <c r="AFK1261"/>
      <c r="AFL1261"/>
      <c r="AFM1261"/>
      <c r="AFN1261"/>
      <c r="AFO1261"/>
      <c r="AFP1261"/>
      <c r="AFQ1261"/>
      <c r="AFR1261"/>
      <c r="AFS1261"/>
      <c r="AFT1261"/>
      <c r="AFU1261"/>
      <c r="AFV1261"/>
      <c r="AFW1261"/>
      <c r="AFX1261"/>
      <c r="AFY1261"/>
      <c r="AFZ1261"/>
      <c r="AGA1261"/>
      <c r="AGB1261"/>
      <c r="AGC1261"/>
      <c r="AGD1261"/>
      <c r="AGE1261"/>
      <c r="AGF1261"/>
      <c r="AGG1261"/>
      <c r="AGH1261"/>
      <c r="AGI1261"/>
      <c r="AGJ1261"/>
      <c r="AGK1261"/>
      <c r="AGL1261"/>
      <c r="AGM1261"/>
      <c r="AGN1261"/>
      <c r="AGO1261"/>
      <c r="AGP1261"/>
      <c r="AGQ1261"/>
      <c r="AGR1261"/>
      <c r="AGS1261"/>
      <c r="AGT1261"/>
      <c r="AGU1261"/>
      <c r="AGV1261"/>
      <c r="AGW1261"/>
      <c r="AGX1261"/>
      <c r="AGY1261"/>
      <c r="AGZ1261"/>
      <c r="AHA1261"/>
      <c r="AHB1261"/>
      <c r="AHC1261"/>
      <c r="AHD1261"/>
      <c r="AHE1261"/>
      <c r="AHF1261"/>
      <c r="AHG1261"/>
      <c r="AHH1261"/>
      <c r="AHI1261"/>
      <c r="AHJ1261"/>
      <c r="AHK1261"/>
      <c r="AHL1261"/>
      <c r="AHM1261"/>
      <c r="AHN1261"/>
      <c r="AHO1261"/>
      <c r="AHP1261"/>
      <c r="AHQ1261"/>
      <c r="AHR1261"/>
      <c r="AHS1261"/>
      <c r="AHT1261"/>
      <c r="AHU1261"/>
      <c r="AHV1261"/>
      <c r="AHW1261"/>
      <c r="AHX1261"/>
      <c r="AHY1261"/>
      <c r="AHZ1261"/>
      <c r="AIA1261"/>
      <c r="AIB1261"/>
      <c r="AIC1261"/>
      <c r="AID1261"/>
      <c r="AIE1261"/>
      <c r="AIF1261"/>
      <c r="AIG1261"/>
      <c r="AIH1261"/>
      <c r="AII1261"/>
      <c r="AIJ1261"/>
      <c r="AIK1261"/>
      <c r="AIL1261"/>
      <c r="AIM1261"/>
      <c r="AIN1261"/>
      <c r="AIO1261"/>
      <c r="AIP1261"/>
      <c r="AIQ1261"/>
      <c r="AIR1261"/>
      <c r="AIS1261"/>
      <c r="AIT1261"/>
      <c r="AIU1261"/>
      <c r="AIV1261"/>
      <c r="AIW1261"/>
      <c r="AIX1261"/>
      <c r="AIY1261"/>
      <c r="AIZ1261"/>
      <c r="AJA1261"/>
      <c r="AJB1261"/>
      <c r="AJC1261"/>
      <c r="AJD1261"/>
      <c r="AJE1261"/>
      <c r="AJF1261"/>
      <c r="AJG1261"/>
      <c r="AJH1261"/>
      <c r="AJI1261"/>
      <c r="AJJ1261"/>
      <c r="AJK1261"/>
      <c r="AJL1261"/>
      <c r="AJM1261"/>
      <c r="AJN1261"/>
      <c r="AJO1261"/>
      <c r="AJP1261"/>
      <c r="AJQ1261"/>
      <c r="AJR1261"/>
      <c r="AJS1261"/>
      <c r="AJT1261"/>
      <c r="AJU1261"/>
      <c r="AJV1261"/>
      <c r="AJW1261"/>
      <c r="AJX1261"/>
      <c r="AJY1261"/>
      <c r="AJZ1261"/>
      <c r="AKA1261"/>
      <c r="AKB1261"/>
      <c r="AKC1261"/>
      <c r="AKD1261"/>
      <c r="AKE1261"/>
      <c r="AKF1261"/>
      <c r="AKG1261"/>
      <c r="AKH1261"/>
      <c r="AKI1261"/>
      <c r="AKJ1261"/>
      <c r="AKK1261"/>
      <c r="AKL1261"/>
      <c r="AKM1261"/>
      <c r="AKN1261"/>
      <c r="AKO1261"/>
      <c r="AKP1261"/>
      <c r="AKQ1261"/>
      <c r="AKR1261"/>
      <c r="AKS1261"/>
      <c r="AKT1261"/>
      <c r="AKU1261"/>
      <c r="AKV1261"/>
      <c r="AKW1261"/>
      <c r="AKX1261"/>
      <c r="AKY1261"/>
      <c r="AKZ1261"/>
      <c r="ALA1261"/>
      <c r="ALB1261"/>
      <c r="ALC1261"/>
      <c r="ALD1261"/>
      <c r="ALE1261"/>
      <c r="ALF1261"/>
      <c r="ALG1261"/>
      <c r="ALH1261"/>
      <c r="ALI1261"/>
      <c r="ALJ1261"/>
      <c r="ALK1261"/>
      <c r="ALL1261"/>
      <c r="ALM1261"/>
      <c r="ALN1261"/>
      <c r="ALO1261"/>
      <c r="ALP1261"/>
      <c r="ALQ1261"/>
      <c r="ALR1261"/>
      <c r="ALS1261"/>
      <c r="ALT1261"/>
    </row>
    <row r="1262" spans="1:1008" ht="14">
      <c r="A1262" s="27" t="s">
        <v>3936</v>
      </c>
      <c r="B1262" s="25" t="s">
        <v>3890</v>
      </c>
      <c r="C1262" s="27" t="s">
        <v>3936</v>
      </c>
      <c r="D1262" s="24" t="s">
        <v>12</v>
      </c>
      <c r="E1262" s="27" t="s">
        <v>3936</v>
      </c>
      <c r="F1262" s="27" t="s">
        <v>3937</v>
      </c>
      <c r="G1262" s="27">
        <v>500</v>
      </c>
      <c r="H1262" s="27"/>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c r="AT1262"/>
      <c r="AU1262"/>
      <c r="AV1262"/>
      <c r="AW1262"/>
      <c r="AX1262"/>
      <c r="AY1262"/>
      <c r="AZ1262"/>
      <c r="BA1262"/>
      <c r="BB1262"/>
      <c r="BC1262"/>
      <c r="BD1262"/>
      <c r="BE1262"/>
      <c r="BF1262"/>
      <c r="BG1262"/>
      <c r="BH1262"/>
      <c r="BI1262"/>
      <c r="BJ1262"/>
      <c r="BK1262"/>
      <c r="BL1262"/>
      <c r="BM1262"/>
      <c r="BN1262"/>
      <c r="BO1262"/>
      <c r="BP1262"/>
      <c r="BQ1262"/>
      <c r="BR1262"/>
      <c r="BS1262"/>
      <c r="BT1262"/>
      <c r="BU1262"/>
      <c r="BV1262"/>
      <c r="BW1262"/>
      <c r="BX1262"/>
      <c r="BY1262"/>
      <c r="BZ1262"/>
      <c r="CA1262"/>
      <c r="CB1262"/>
      <c r="CC1262"/>
      <c r="CD1262"/>
      <c r="CE1262"/>
      <c r="CF1262"/>
      <c r="CG1262"/>
      <c r="CH1262"/>
      <c r="CI1262"/>
      <c r="CJ1262"/>
      <c r="CK1262"/>
      <c r="CL1262"/>
      <c r="CM1262"/>
      <c r="CN1262"/>
      <c r="CO1262"/>
      <c r="CP1262"/>
      <c r="CQ1262"/>
      <c r="CR1262"/>
      <c r="CS1262"/>
      <c r="CT1262"/>
      <c r="CU1262"/>
      <c r="CV1262"/>
      <c r="CW1262"/>
      <c r="CX1262"/>
      <c r="CY1262"/>
      <c r="CZ1262"/>
      <c r="DA1262"/>
      <c r="DB1262"/>
      <c r="DC1262"/>
      <c r="DD1262"/>
      <c r="DE1262"/>
      <c r="DF1262"/>
      <c r="DG1262"/>
      <c r="DH1262"/>
      <c r="DI1262"/>
      <c r="DJ1262"/>
      <c r="DK1262"/>
      <c r="DL1262"/>
      <c r="DM1262"/>
      <c r="DN1262"/>
      <c r="DO1262"/>
      <c r="DP1262"/>
      <c r="DQ1262"/>
      <c r="DR1262"/>
      <c r="DS1262"/>
      <c r="DT1262"/>
      <c r="DU1262"/>
      <c r="DV1262"/>
      <c r="DW1262"/>
      <c r="DX1262"/>
      <c r="DY1262"/>
      <c r="DZ1262"/>
      <c r="EA1262"/>
      <c r="EB1262"/>
      <c r="EC1262"/>
      <c r="ED1262"/>
      <c r="EE1262"/>
      <c r="EF1262"/>
      <c r="EG1262"/>
      <c r="EH1262"/>
      <c r="EI1262"/>
      <c r="EJ1262"/>
      <c r="EK1262"/>
      <c r="EL1262"/>
      <c r="EM1262"/>
      <c r="EN1262"/>
      <c r="EO1262"/>
      <c r="EP1262"/>
      <c r="EQ1262"/>
      <c r="ER1262"/>
      <c r="ES1262"/>
      <c r="ET1262"/>
      <c r="EU1262"/>
      <c r="EV1262"/>
      <c r="EW1262"/>
      <c r="EX1262"/>
      <c r="EY1262"/>
      <c r="EZ1262"/>
      <c r="FA1262"/>
      <c r="FB1262"/>
      <c r="FC1262"/>
      <c r="FD1262"/>
      <c r="FE1262"/>
      <c r="FF1262"/>
      <c r="FG1262"/>
      <c r="FH1262"/>
      <c r="FI1262"/>
      <c r="FJ1262"/>
      <c r="FK1262"/>
      <c r="FL1262"/>
      <c r="FM1262"/>
      <c r="FN1262"/>
      <c r="FO1262"/>
      <c r="FP1262"/>
      <c r="FQ1262"/>
      <c r="FR1262"/>
      <c r="FS1262"/>
      <c r="FT1262"/>
      <c r="FU1262"/>
      <c r="FV1262"/>
      <c r="FW1262"/>
      <c r="FX1262"/>
      <c r="FY1262"/>
      <c r="FZ1262"/>
      <c r="GA1262"/>
      <c r="GB1262"/>
      <c r="GC1262"/>
      <c r="GD1262"/>
      <c r="GE1262"/>
      <c r="GF1262"/>
      <c r="GG1262"/>
      <c r="GH1262"/>
      <c r="GI1262"/>
      <c r="GJ1262"/>
      <c r="GK1262"/>
      <c r="GL1262"/>
      <c r="GM1262"/>
      <c r="GN1262"/>
      <c r="GO1262"/>
      <c r="GP1262"/>
      <c r="GQ1262"/>
      <c r="GR1262"/>
      <c r="GS1262"/>
      <c r="GT1262"/>
      <c r="GU1262"/>
      <c r="GV1262"/>
      <c r="GW1262"/>
      <c r="GX1262"/>
      <c r="GY1262"/>
      <c r="GZ1262"/>
      <c r="HA1262"/>
      <c r="HB1262"/>
      <c r="HC1262"/>
      <c r="HD1262"/>
      <c r="HE1262"/>
      <c r="HF1262"/>
      <c r="HG1262"/>
      <c r="HH1262"/>
      <c r="HI1262"/>
      <c r="HJ1262"/>
      <c r="HK1262"/>
      <c r="HL1262"/>
      <c r="HM1262"/>
      <c r="HN1262"/>
      <c r="HO1262"/>
      <c r="HP1262"/>
      <c r="HQ1262"/>
      <c r="HR1262"/>
      <c r="HS1262"/>
      <c r="HT1262"/>
      <c r="HU1262"/>
      <c r="HV1262"/>
      <c r="HW1262"/>
      <c r="HX1262"/>
      <c r="HY1262"/>
      <c r="HZ1262"/>
      <c r="IA1262"/>
      <c r="IB1262"/>
      <c r="IC1262"/>
      <c r="ID1262"/>
      <c r="IE1262"/>
      <c r="IF1262"/>
      <c r="IG1262"/>
      <c r="IH1262"/>
      <c r="II1262"/>
      <c r="IJ1262"/>
      <c r="IK1262"/>
      <c r="IL1262"/>
      <c r="IM1262"/>
      <c r="IN1262"/>
      <c r="IO1262"/>
      <c r="IP1262"/>
      <c r="IQ1262"/>
      <c r="IR1262"/>
      <c r="IS1262"/>
      <c r="IT1262"/>
      <c r="IU1262"/>
      <c r="IV1262"/>
      <c r="IW1262"/>
      <c r="IX1262"/>
      <c r="IY1262"/>
      <c r="IZ1262"/>
      <c r="JA1262"/>
      <c r="JB1262"/>
      <c r="JC1262"/>
      <c r="JD1262"/>
      <c r="JE1262"/>
      <c r="JF1262"/>
      <c r="JG1262"/>
      <c r="JH1262"/>
      <c r="JI1262"/>
      <c r="JJ1262"/>
      <c r="JK1262"/>
      <c r="JL1262"/>
      <c r="JM1262"/>
      <c r="JN1262"/>
      <c r="JO1262"/>
      <c r="JP1262"/>
      <c r="JQ1262"/>
      <c r="JR1262"/>
      <c r="JS1262"/>
      <c r="JT1262"/>
      <c r="JU1262"/>
      <c r="JV1262"/>
      <c r="JW1262"/>
      <c r="JX1262"/>
      <c r="JY1262"/>
      <c r="JZ1262"/>
      <c r="KA1262"/>
      <c r="KB1262"/>
      <c r="KC1262"/>
      <c r="KD1262"/>
      <c r="KE1262"/>
      <c r="KF1262"/>
      <c r="KG1262"/>
      <c r="KH1262"/>
      <c r="KI1262"/>
      <c r="KJ1262"/>
      <c r="KK1262"/>
      <c r="KL1262"/>
      <c r="KM1262"/>
      <c r="KN1262"/>
      <c r="KO1262"/>
      <c r="KP1262"/>
      <c r="KQ1262"/>
      <c r="KR1262"/>
      <c r="KS1262"/>
      <c r="KT1262"/>
      <c r="KU1262"/>
      <c r="KV1262"/>
      <c r="KW1262"/>
      <c r="KX1262"/>
      <c r="KY1262"/>
      <c r="KZ1262"/>
      <c r="LA1262"/>
      <c r="LB1262"/>
      <c r="LC1262"/>
      <c r="LD1262"/>
      <c r="LE1262"/>
      <c r="LF1262"/>
      <c r="LG1262"/>
      <c r="LH1262"/>
      <c r="LI1262"/>
      <c r="LJ1262"/>
      <c r="LK1262"/>
      <c r="LL1262"/>
      <c r="LM1262"/>
      <c r="LN1262"/>
      <c r="LO1262"/>
      <c r="LP1262"/>
      <c r="LQ1262"/>
      <c r="LR1262"/>
      <c r="LS1262"/>
      <c r="LT1262"/>
      <c r="LU1262"/>
      <c r="LV1262"/>
      <c r="LW1262"/>
      <c r="LX1262"/>
      <c r="LY1262"/>
      <c r="LZ1262"/>
      <c r="MA1262"/>
      <c r="MB1262"/>
      <c r="MC1262"/>
      <c r="MD1262"/>
      <c r="ME1262"/>
      <c r="MF1262"/>
      <c r="MG1262"/>
      <c r="MH1262"/>
      <c r="MI1262"/>
      <c r="MJ1262"/>
      <c r="MK1262"/>
      <c r="ML1262"/>
      <c r="MM1262"/>
      <c r="MN1262"/>
      <c r="MO1262"/>
      <c r="MP1262"/>
      <c r="MQ1262"/>
      <c r="MR1262"/>
      <c r="MS1262"/>
      <c r="MT1262"/>
      <c r="MU1262"/>
      <c r="MV1262"/>
      <c r="MW1262"/>
      <c r="MX1262"/>
      <c r="MY1262"/>
      <c r="MZ1262"/>
      <c r="NA1262"/>
      <c r="NB1262"/>
      <c r="NC1262"/>
      <c r="ND1262"/>
      <c r="NE1262"/>
      <c r="NF1262"/>
      <c r="NG1262"/>
      <c r="NH1262"/>
      <c r="NI1262"/>
      <c r="NJ1262"/>
      <c r="NK1262"/>
      <c r="NL1262"/>
      <c r="NM1262"/>
      <c r="NN1262"/>
      <c r="NO1262"/>
      <c r="NP1262"/>
      <c r="NQ1262"/>
      <c r="NR1262"/>
      <c r="NS1262"/>
      <c r="NT1262"/>
      <c r="NU1262"/>
      <c r="NV1262"/>
      <c r="NW1262"/>
      <c r="NX1262"/>
      <c r="NY1262"/>
      <c r="NZ1262"/>
      <c r="OA1262"/>
      <c r="OB1262"/>
      <c r="OC1262"/>
      <c r="OD1262"/>
      <c r="OE1262"/>
      <c r="OF1262"/>
      <c r="OG1262"/>
      <c r="OH1262"/>
      <c r="OI1262"/>
      <c r="OJ1262"/>
      <c r="OK1262"/>
      <c r="OL1262"/>
      <c r="OM1262"/>
      <c r="ON1262"/>
      <c r="OO1262"/>
      <c r="OP1262"/>
      <c r="OQ1262"/>
      <c r="OR1262"/>
      <c r="OS1262"/>
      <c r="OT1262"/>
      <c r="OU1262"/>
      <c r="OV1262"/>
      <c r="OW1262"/>
      <c r="OX1262"/>
      <c r="OY1262"/>
      <c r="OZ1262"/>
      <c r="PA1262"/>
      <c r="PB1262"/>
      <c r="PC1262"/>
      <c r="PD1262"/>
      <c r="PE1262"/>
      <c r="PF1262"/>
      <c r="PG1262"/>
      <c r="PH1262"/>
      <c r="PI1262"/>
      <c r="PJ1262"/>
      <c r="PK1262"/>
      <c r="PL1262"/>
      <c r="PM1262"/>
      <c r="PN1262"/>
      <c r="PO1262"/>
      <c r="PP1262"/>
      <c r="PQ1262"/>
      <c r="PR1262"/>
      <c r="PS1262"/>
      <c r="PT1262"/>
      <c r="PU1262"/>
      <c r="PV1262"/>
      <c r="PW1262"/>
      <c r="PX1262"/>
      <c r="PY1262"/>
      <c r="PZ1262"/>
      <c r="QA1262"/>
      <c r="QB1262"/>
      <c r="QC1262"/>
      <c r="QD1262"/>
      <c r="QE1262"/>
      <c r="QF1262"/>
      <c r="QG1262"/>
      <c r="QH1262"/>
      <c r="QI1262"/>
      <c r="QJ1262"/>
      <c r="QK1262"/>
      <c r="QL1262"/>
      <c r="QM1262"/>
      <c r="QN1262"/>
      <c r="QO1262"/>
      <c r="QP1262"/>
      <c r="QQ1262"/>
      <c r="QR1262"/>
      <c r="QS1262"/>
      <c r="QT1262"/>
      <c r="QU1262"/>
      <c r="QV1262"/>
      <c r="QW1262"/>
      <c r="QX1262"/>
      <c r="QY1262"/>
      <c r="QZ1262"/>
      <c r="RA1262"/>
      <c r="RB1262"/>
      <c r="RC1262"/>
      <c r="RD1262"/>
      <c r="RE1262"/>
      <c r="RF1262"/>
      <c r="RG1262"/>
      <c r="RH1262"/>
      <c r="RI1262"/>
      <c r="RJ1262"/>
      <c r="RK1262"/>
      <c r="RL1262"/>
      <c r="RM1262"/>
      <c r="RN1262"/>
      <c r="RO1262"/>
      <c r="RP1262"/>
      <c r="RQ1262"/>
      <c r="RR1262"/>
      <c r="RS1262"/>
      <c r="RT1262"/>
      <c r="RU1262"/>
      <c r="RV1262"/>
      <c r="RW1262"/>
      <c r="RX1262"/>
      <c r="RY1262"/>
      <c r="RZ1262"/>
      <c r="SA1262"/>
      <c r="SB1262"/>
      <c r="SC1262"/>
      <c r="SD1262"/>
      <c r="SE1262"/>
      <c r="SF1262"/>
      <c r="SG1262"/>
      <c r="SH1262"/>
      <c r="SI1262"/>
      <c r="SJ1262"/>
      <c r="SK1262"/>
      <c r="SL1262"/>
      <c r="SM1262"/>
      <c r="SN1262"/>
      <c r="SO1262"/>
      <c r="SP1262"/>
      <c r="SQ1262"/>
      <c r="SR1262"/>
      <c r="SS1262"/>
      <c r="ST1262"/>
      <c r="SU1262"/>
      <c r="SV1262"/>
      <c r="SW1262"/>
      <c r="SX1262"/>
      <c r="SY1262"/>
      <c r="SZ1262"/>
      <c r="TA1262"/>
      <c r="TB1262"/>
      <c r="TC1262"/>
      <c r="TD1262"/>
      <c r="TE1262"/>
      <c r="TF1262"/>
      <c r="TG1262"/>
      <c r="TH1262"/>
      <c r="TI1262"/>
      <c r="TJ1262"/>
      <c r="TK1262"/>
      <c r="TL1262"/>
      <c r="TM1262"/>
      <c r="TN1262"/>
      <c r="TO1262"/>
      <c r="TP1262"/>
      <c r="TQ1262"/>
      <c r="TR1262"/>
      <c r="TS1262"/>
      <c r="TT1262"/>
      <c r="TU1262"/>
      <c r="TV1262"/>
      <c r="TW1262"/>
      <c r="TX1262"/>
      <c r="TY1262"/>
      <c r="TZ1262"/>
      <c r="UA1262"/>
      <c r="UB1262"/>
      <c r="UC1262"/>
      <c r="UD1262"/>
      <c r="UE1262"/>
      <c r="UF1262"/>
      <c r="UG1262"/>
      <c r="UH1262"/>
      <c r="UI1262"/>
      <c r="UJ1262"/>
      <c r="UK1262"/>
      <c r="UL1262"/>
      <c r="UM1262"/>
      <c r="UN1262"/>
      <c r="UO1262"/>
      <c r="UP1262"/>
      <c r="UQ1262"/>
      <c r="UR1262"/>
      <c r="US1262"/>
      <c r="UT1262"/>
      <c r="UU1262"/>
      <c r="UV1262"/>
      <c r="UW1262"/>
      <c r="UX1262"/>
      <c r="UY1262"/>
      <c r="UZ1262"/>
      <c r="VA1262"/>
      <c r="VB1262"/>
      <c r="VC1262"/>
      <c r="VD1262"/>
      <c r="VE1262"/>
      <c r="VF1262"/>
      <c r="VG1262"/>
      <c r="VH1262"/>
      <c r="VI1262"/>
      <c r="VJ1262"/>
      <c r="VK1262"/>
      <c r="VL1262"/>
      <c r="VM1262"/>
      <c r="VN1262"/>
      <c r="VO1262"/>
      <c r="VP1262"/>
      <c r="VQ1262"/>
      <c r="VR1262"/>
      <c r="VS1262"/>
      <c r="VT1262"/>
      <c r="VU1262"/>
      <c r="VV1262"/>
      <c r="VW1262"/>
      <c r="VX1262"/>
      <c r="VY1262"/>
      <c r="VZ1262"/>
      <c r="WA1262"/>
      <c r="WB1262"/>
      <c r="WC1262"/>
      <c r="WD1262"/>
      <c r="WE1262"/>
      <c r="WF1262"/>
      <c r="WG1262"/>
      <c r="WH1262"/>
      <c r="WI1262"/>
      <c r="WJ1262"/>
      <c r="WK1262"/>
      <c r="WL1262"/>
      <c r="WM1262"/>
      <c r="WN1262"/>
      <c r="WO1262"/>
      <c r="WP1262"/>
      <c r="WQ1262"/>
      <c r="WR1262"/>
      <c r="WS1262"/>
      <c r="WT1262"/>
      <c r="WU1262"/>
      <c r="WV1262"/>
      <c r="WW1262"/>
      <c r="WX1262"/>
      <c r="WY1262"/>
      <c r="WZ1262"/>
      <c r="XA1262"/>
      <c r="XB1262"/>
      <c r="XC1262"/>
      <c r="XD1262"/>
      <c r="XE1262"/>
      <c r="XF1262"/>
      <c r="XG1262"/>
      <c r="XH1262"/>
      <c r="XI1262"/>
      <c r="XJ1262"/>
      <c r="XK1262"/>
      <c r="XL1262"/>
      <c r="XM1262"/>
      <c r="XN1262"/>
      <c r="XO1262"/>
      <c r="XP1262"/>
      <c r="XQ1262"/>
      <c r="XR1262"/>
      <c r="XS1262"/>
      <c r="XT1262"/>
      <c r="XU1262"/>
      <c r="XV1262"/>
      <c r="XW1262"/>
      <c r="XX1262"/>
      <c r="XY1262"/>
      <c r="XZ1262"/>
      <c r="YA1262"/>
      <c r="YB1262"/>
      <c r="YC1262"/>
      <c r="YD1262"/>
      <c r="YE1262"/>
      <c r="YF1262"/>
      <c r="YG1262"/>
      <c r="YH1262"/>
      <c r="YI1262"/>
      <c r="YJ1262"/>
      <c r="YK1262"/>
      <c r="YL1262"/>
      <c r="YM1262"/>
      <c r="YN1262"/>
      <c r="YO1262"/>
      <c r="YP1262"/>
      <c r="YQ1262"/>
      <c r="YR1262"/>
      <c r="YS1262"/>
      <c r="YT1262"/>
      <c r="YU1262"/>
      <c r="YV1262"/>
      <c r="YW1262"/>
      <c r="YX1262"/>
      <c r="YY1262"/>
      <c r="YZ1262"/>
      <c r="ZA1262"/>
      <c r="ZB1262"/>
      <c r="ZC1262"/>
      <c r="ZD1262"/>
      <c r="ZE1262"/>
      <c r="ZF1262"/>
      <c r="ZG1262"/>
      <c r="ZH1262"/>
      <c r="ZI1262"/>
      <c r="ZJ1262"/>
      <c r="ZK1262"/>
      <c r="ZL1262"/>
      <c r="ZM1262"/>
      <c r="ZN1262"/>
      <c r="ZO1262"/>
      <c r="ZP1262"/>
      <c r="ZQ1262"/>
      <c r="ZR1262"/>
      <c r="ZS1262"/>
      <c r="ZT1262"/>
      <c r="ZU1262"/>
      <c r="ZV1262"/>
      <c r="ZW1262"/>
      <c r="ZX1262"/>
      <c r="ZY1262"/>
      <c r="ZZ1262"/>
      <c r="AAA1262"/>
      <c r="AAB1262"/>
      <c r="AAC1262"/>
      <c r="AAD1262"/>
      <c r="AAE1262"/>
      <c r="AAF1262"/>
      <c r="AAG1262"/>
      <c r="AAH1262"/>
      <c r="AAI1262"/>
      <c r="AAJ1262"/>
      <c r="AAK1262"/>
      <c r="AAL1262"/>
      <c r="AAM1262"/>
      <c r="AAN1262"/>
      <c r="AAO1262"/>
      <c r="AAP1262"/>
      <c r="AAQ1262"/>
      <c r="AAR1262"/>
      <c r="AAS1262"/>
      <c r="AAT1262"/>
      <c r="AAU1262"/>
      <c r="AAV1262"/>
      <c r="AAW1262"/>
      <c r="AAX1262"/>
      <c r="AAY1262"/>
      <c r="AAZ1262"/>
      <c r="ABA1262"/>
      <c r="ABB1262"/>
      <c r="ABC1262"/>
      <c r="ABD1262"/>
      <c r="ABE1262"/>
      <c r="ABF1262"/>
      <c r="ABG1262"/>
      <c r="ABH1262"/>
      <c r="ABI1262"/>
      <c r="ABJ1262"/>
      <c r="ABK1262"/>
      <c r="ABL1262"/>
      <c r="ABM1262"/>
      <c r="ABN1262"/>
      <c r="ABO1262"/>
      <c r="ABP1262"/>
      <c r="ABQ1262"/>
      <c r="ABR1262"/>
      <c r="ABS1262"/>
      <c r="ABT1262"/>
      <c r="ABU1262"/>
      <c r="ABV1262"/>
      <c r="ABW1262"/>
      <c r="ABX1262"/>
      <c r="ABY1262"/>
      <c r="ABZ1262"/>
      <c r="ACA1262"/>
      <c r="ACB1262"/>
      <c r="ACC1262"/>
      <c r="ACD1262"/>
      <c r="ACE1262"/>
      <c r="ACF1262"/>
      <c r="ACG1262"/>
      <c r="ACH1262"/>
      <c r="ACI1262"/>
      <c r="ACJ1262"/>
      <c r="ACK1262"/>
      <c r="ACL1262"/>
      <c r="ACM1262"/>
      <c r="ACN1262"/>
      <c r="ACO1262"/>
      <c r="ACP1262"/>
      <c r="ACQ1262"/>
      <c r="ACR1262"/>
      <c r="ACS1262"/>
      <c r="ACT1262"/>
      <c r="ACU1262"/>
      <c r="ACV1262"/>
      <c r="ACW1262"/>
      <c r="ACX1262"/>
      <c r="ACY1262"/>
      <c r="ACZ1262"/>
      <c r="ADA1262"/>
      <c r="ADB1262"/>
      <c r="ADC1262"/>
      <c r="ADD1262"/>
      <c r="ADE1262"/>
      <c r="ADF1262"/>
      <c r="ADG1262"/>
      <c r="ADH1262"/>
      <c r="ADI1262"/>
      <c r="ADJ1262"/>
      <c r="ADK1262"/>
      <c r="ADL1262"/>
      <c r="ADM1262"/>
      <c r="ADN1262"/>
      <c r="ADO1262"/>
      <c r="ADP1262"/>
      <c r="ADQ1262"/>
      <c r="ADR1262"/>
      <c r="ADS1262"/>
      <c r="ADT1262"/>
      <c r="ADU1262"/>
      <c r="ADV1262"/>
      <c r="ADW1262"/>
      <c r="ADX1262"/>
      <c r="ADY1262"/>
      <c r="ADZ1262"/>
      <c r="AEA1262"/>
      <c r="AEB1262"/>
      <c r="AEC1262"/>
      <c r="AED1262"/>
      <c r="AEE1262"/>
      <c r="AEF1262"/>
      <c r="AEG1262"/>
      <c r="AEH1262"/>
      <c r="AEI1262"/>
      <c r="AEJ1262"/>
      <c r="AEK1262"/>
      <c r="AEL1262"/>
      <c r="AEM1262"/>
      <c r="AEN1262"/>
      <c r="AEO1262"/>
      <c r="AEP1262"/>
      <c r="AEQ1262"/>
      <c r="AER1262"/>
      <c r="AES1262"/>
      <c r="AET1262"/>
      <c r="AEU1262"/>
      <c r="AEV1262"/>
      <c r="AEW1262"/>
      <c r="AEX1262"/>
      <c r="AEY1262"/>
      <c r="AEZ1262"/>
      <c r="AFA1262"/>
      <c r="AFB1262"/>
      <c r="AFC1262"/>
      <c r="AFD1262"/>
      <c r="AFE1262"/>
      <c r="AFF1262"/>
      <c r="AFG1262"/>
      <c r="AFH1262"/>
      <c r="AFI1262"/>
      <c r="AFJ1262"/>
      <c r="AFK1262"/>
      <c r="AFL1262"/>
      <c r="AFM1262"/>
      <c r="AFN1262"/>
      <c r="AFO1262"/>
      <c r="AFP1262"/>
      <c r="AFQ1262"/>
      <c r="AFR1262"/>
      <c r="AFS1262"/>
      <c r="AFT1262"/>
      <c r="AFU1262"/>
      <c r="AFV1262"/>
      <c r="AFW1262"/>
      <c r="AFX1262"/>
      <c r="AFY1262"/>
      <c r="AFZ1262"/>
      <c r="AGA1262"/>
      <c r="AGB1262"/>
      <c r="AGC1262"/>
      <c r="AGD1262"/>
      <c r="AGE1262"/>
      <c r="AGF1262"/>
      <c r="AGG1262"/>
      <c r="AGH1262"/>
      <c r="AGI1262"/>
      <c r="AGJ1262"/>
      <c r="AGK1262"/>
      <c r="AGL1262"/>
      <c r="AGM1262"/>
      <c r="AGN1262"/>
      <c r="AGO1262"/>
      <c r="AGP1262"/>
      <c r="AGQ1262"/>
      <c r="AGR1262"/>
      <c r="AGS1262"/>
      <c r="AGT1262"/>
      <c r="AGU1262"/>
      <c r="AGV1262"/>
      <c r="AGW1262"/>
      <c r="AGX1262"/>
      <c r="AGY1262"/>
      <c r="AGZ1262"/>
      <c r="AHA1262"/>
      <c r="AHB1262"/>
      <c r="AHC1262"/>
      <c r="AHD1262"/>
      <c r="AHE1262"/>
      <c r="AHF1262"/>
      <c r="AHG1262"/>
      <c r="AHH1262"/>
      <c r="AHI1262"/>
      <c r="AHJ1262"/>
      <c r="AHK1262"/>
      <c r="AHL1262"/>
      <c r="AHM1262"/>
      <c r="AHN1262"/>
      <c r="AHO1262"/>
      <c r="AHP1262"/>
      <c r="AHQ1262"/>
      <c r="AHR1262"/>
      <c r="AHS1262"/>
      <c r="AHT1262"/>
      <c r="AHU1262"/>
      <c r="AHV1262"/>
      <c r="AHW1262"/>
      <c r="AHX1262"/>
      <c r="AHY1262"/>
      <c r="AHZ1262"/>
      <c r="AIA1262"/>
      <c r="AIB1262"/>
      <c r="AIC1262"/>
      <c r="AID1262"/>
      <c r="AIE1262"/>
      <c r="AIF1262"/>
      <c r="AIG1262"/>
      <c r="AIH1262"/>
      <c r="AII1262"/>
      <c r="AIJ1262"/>
      <c r="AIK1262"/>
      <c r="AIL1262"/>
      <c r="AIM1262"/>
      <c r="AIN1262"/>
      <c r="AIO1262"/>
      <c r="AIP1262"/>
      <c r="AIQ1262"/>
      <c r="AIR1262"/>
      <c r="AIS1262"/>
      <c r="AIT1262"/>
      <c r="AIU1262"/>
      <c r="AIV1262"/>
      <c r="AIW1262"/>
      <c r="AIX1262"/>
      <c r="AIY1262"/>
      <c r="AIZ1262"/>
      <c r="AJA1262"/>
      <c r="AJB1262"/>
      <c r="AJC1262"/>
      <c r="AJD1262"/>
      <c r="AJE1262"/>
      <c r="AJF1262"/>
      <c r="AJG1262"/>
      <c r="AJH1262"/>
      <c r="AJI1262"/>
      <c r="AJJ1262"/>
      <c r="AJK1262"/>
      <c r="AJL1262"/>
      <c r="AJM1262"/>
      <c r="AJN1262"/>
      <c r="AJO1262"/>
      <c r="AJP1262"/>
      <c r="AJQ1262"/>
      <c r="AJR1262"/>
      <c r="AJS1262"/>
      <c r="AJT1262"/>
      <c r="AJU1262"/>
      <c r="AJV1262"/>
      <c r="AJW1262"/>
      <c r="AJX1262"/>
      <c r="AJY1262"/>
      <c r="AJZ1262"/>
      <c r="AKA1262"/>
      <c r="AKB1262"/>
      <c r="AKC1262"/>
      <c r="AKD1262"/>
      <c r="AKE1262"/>
      <c r="AKF1262"/>
      <c r="AKG1262"/>
      <c r="AKH1262"/>
      <c r="AKI1262"/>
      <c r="AKJ1262"/>
      <c r="AKK1262"/>
      <c r="AKL1262"/>
      <c r="AKM1262"/>
      <c r="AKN1262"/>
      <c r="AKO1262"/>
      <c r="AKP1262"/>
      <c r="AKQ1262"/>
      <c r="AKR1262"/>
      <c r="AKS1262"/>
      <c r="AKT1262"/>
      <c r="AKU1262"/>
      <c r="AKV1262"/>
      <c r="AKW1262"/>
      <c r="AKX1262"/>
      <c r="AKY1262"/>
      <c r="AKZ1262"/>
      <c r="ALA1262"/>
      <c r="ALB1262"/>
      <c r="ALC1262"/>
      <c r="ALD1262"/>
      <c r="ALE1262"/>
      <c r="ALF1262"/>
      <c r="ALG1262"/>
      <c r="ALH1262"/>
      <c r="ALI1262"/>
      <c r="ALJ1262"/>
      <c r="ALK1262"/>
      <c r="ALL1262"/>
      <c r="ALM1262"/>
      <c r="ALN1262"/>
      <c r="ALO1262"/>
      <c r="ALP1262"/>
      <c r="ALQ1262"/>
      <c r="ALR1262"/>
      <c r="ALS1262"/>
      <c r="ALT1262"/>
    </row>
    <row r="1263" spans="1:1008" ht="14">
      <c r="A1263" s="27" t="s">
        <v>4025</v>
      </c>
      <c r="B1263" s="25" t="s">
        <v>3890</v>
      </c>
      <c r="C1263" s="27" t="s">
        <v>3938</v>
      </c>
      <c r="D1263" s="24" t="s">
        <v>12</v>
      </c>
      <c r="E1263" s="27" t="s">
        <v>3938</v>
      </c>
      <c r="F1263" s="27" t="s">
        <v>3939</v>
      </c>
      <c r="G1263" s="27">
        <v>700</v>
      </c>
      <c r="H1263" s="27"/>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c r="AT1263"/>
      <c r="AU1263"/>
      <c r="AV1263"/>
      <c r="AW1263"/>
      <c r="AX1263"/>
      <c r="AY1263"/>
      <c r="AZ1263"/>
      <c r="BA1263"/>
      <c r="BB1263"/>
      <c r="BC1263"/>
      <c r="BD1263"/>
      <c r="BE1263"/>
      <c r="BF1263"/>
      <c r="BG1263"/>
      <c r="BH1263"/>
      <c r="BI1263"/>
      <c r="BJ1263"/>
      <c r="BK1263"/>
      <c r="BL1263"/>
      <c r="BM1263"/>
      <c r="BN1263"/>
      <c r="BO1263"/>
      <c r="BP1263"/>
      <c r="BQ1263"/>
      <c r="BR1263"/>
      <c r="BS1263"/>
      <c r="BT1263"/>
      <c r="BU1263"/>
      <c r="BV1263"/>
      <c r="BW1263"/>
      <c r="BX1263"/>
      <c r="BY1263"/>
      <c r="BZ1263"/>
      <c r="CA1263"/>
      <c r="CB1263"/>
      <c r="CC1263"/>
      <c r="CD1263"/>
      <c r="CE1263"/>
      <c r="CF1263"/>
      <c r="CG1263"/>
      <c r="CH1263"/>
      <c r="CI1263"/>
      <c r="CJ1263"/>
      <c r="CK1263"/>
      <c r="CL1263"/>
      <c r="CM1263"/>
      <c r="CN1263"/>
      <c r="CO1263"/>
      <c r="CP1263"/>
      <c r="CQ1263"/>
      <c r="CR1263"/>
      <c r="CS1263"/>
      <c r="CT1263"/>
      <c r="CU1263"/>
      <c r="CV1263"/>
      <c r="CW1263"/>
      <c r="CX1263"/>
      <c r="CY1263"/>
      <c r="CZ1263"/>
      <c r="DA1263"/>
      <c r="DB1263"/>
      <c r="DC1263"/>
      <c r="DD1263"/>
      <c r="DE1263"/>
      <c r="DF1263"/>
      <c r="DG1263"/>
      <c r="DH1263"/>
      <c r="DI1263"/>
      <c r="DJ1263"/>
      <c r="DK1263"/>
      <c r="DL1263"/>
      <c r="DM1263"/>
      <c r="DN1263"/>
      <c r="DO1263"/>
      <c r="DP1263"/>
      <c r="DQ1263"/>
      <c r="DR1263"/>
      <c r="DS1263"/>
      <c r="DT1263"/>
      <c r="DU1263"/>
      <c r="DV1263"/>
      <c r="DW1263"/>
      <c r="DX1263"/>
      <c r="DY1263"/>
      <c r="DZ1263"/>
      <c r="EA1263"/>
      <c r="EB1263"/>
      <c r="EC1263"/>
      <c r="ED1263"/>
      <c r="EE1263"/>
      <c r="EF1263"/>
      <c r="EG1263"/>
      <c r="EH1263"/>
      <c r="EI1263"/>
      <c r="EJ1263"/>
      <c r="EK1263"/>
      <c r="EL1263"/>
      <c r="EM1263"/>
      <c r="EN1263"/>
      <c r="EO1263"/>
      <c r="EP1263"/>
      <c r="EQ1263"/>
      <c r="ER1263"/>
      <c r="ES1263"/>
      <c r="ET1263"/>
      <c r="EU1263"/>
      <c r="EV1263"/>
      <c r="EW1263"/>
      <c r="EX1263"/>
      <c r="EY1263"/>
      <c r="EZ1263"/>
      <c r="FA1263"/>
      <c r="FB1263"/>
      <c r="FC1263"/>
      <c r="FD1263"/>
      <c r="FE1263"/>
      <c r="FF1263"/>
      <c r="FG1263"/>
      <c r="FH1263"/>
      <c r="FI1263"/>
      <c r="FJ1263"/>
      <c r="FK1263"/>
      <c r="FL1263"/>
      <c r="FM1263"/>
      <c r="FN1263"/>
      <c r="FO1263"/>
      <c r="FP1263"/>
      <c r="FQ1263"/>
      <c r="FR1263"/>
      <c r="FS1263"/>
      <c r="FT1263"/>
      <c r="FU1263"/>
      <c r="FV1263"/>
      <c r="FW1263"/>
      <c r="FX1263"/>
      <c r="FY1263"/>
      <c r="FZ1263"/>
      <c r="GA1263"/>
      <c r="GB1263"/>
      <c r="GC1263"/>
      <c r="GD1263"/>
      <c r="GE1263"/>
      <c r="GF1263"/>
      <c r="GG1263"/>
      <c r="GH1263"/>
      <c r="GI1263"/>
      <c r="GJ1263"/>
      <c r="GK1263"/>
      <c r="GL1263"/>
      <c r="GM1263"/>
      <c r="GN1263"/>
      <c r="GO1263"/>
      <c r="GP1263"/>
      <c r="GQ1263"/>
      <c r="GR1263"/>
      <c r="GS1263"/>
      <c r="GT1263"/>
      <c r="GU1263"/>
      <c r="GV1263"/>
      <c r="GW1263"/>
      <c r="GX1263"/>
      <c r="GY1263"/>
      <c r="GZ1263"/>
      <c r="HA1263"/>
      <c r="HB1263"/>
      <c r="HC1263"/>
      <c r="HD1263"/>
      <c r="HE1263"/>
      <c r="HF1263"/>
      <c r="HG1263"/>
      <c r="HH1263"/>
      <c r="HI1263"/>
      <c r="HJ1263"/>
      <c r="HK1263"/>
      <c r="HL1263"/>
      <c r="HM1263"/>
      <c r="HN1263"/>
      <c r="HO1263"/>
      <c r="HP1263"/>
      <c r="HQ1263"/>
      <c r="HR1263"/>
      <c r="HS1263"/>
      <c r="HT1263"/>
      <c r="HU1263"/>
      <c r="HV1263"/>
      <c r="HW1263"/>
      <c r="HX1263"/>
      <c r="HY1263"/>
      <c r="HZ1263"/>
      <c r="IA1263"/>
      <c r="IB1263"/>
      <c r="IC1263"/>
      <c r="ID1263"/>
      <c r="IE1263"/>
      <c r="IF1263"/>
      <c r="IG1263"/>
      <c r="IH1263"/>
      <c r="II1263"/>
      <c r="IJ1263"/>
      <c r="IK1263"/>
      <c r="IL1263"/>
      <c r="IM1263"/>
      <c r="IN1263"/>
      <c r="IO1263"/>
      <c r="IP1263"/>
      <c r="IQ1263"/>
      <c r="IR1263"/>
      <c r="IS1263"/>
      <c r="IT1263"/>
      <c r="IU1263"/>
      <c r="IV1263"/>
      <c r="IW1263"/>
      <c r="IX1263"/>
      <c r="IY1263"/>
      <c r="IZ1263"/>
      <c r="JA1263"/>
      <c r="JB1263"/>
      <c r="JC1263"/>
      <c r="JD1263"/>
      <c r="JE1263"/>
      <c r="JF1263"/>
      <c r="JG1263"/>
      <c r="JH1263"/>
      <c r="JI1263"/>
      <c r="JJ1263"/>
      <c r="JK1263"/>
      <c r="JL1263"/>
      <c r="JM1263"/>
      <c r="JN1263"/>
      <c r="JO1263"/>
      <c r="JP1263"/>
      <c r="JQ1263"/>
      <c r="JR1263"/>
      <c r="JS1263"/>
      <c r="JT1263"/>
      <c r="JU1263"/>
      <c r="JV1263"/>
      <c r="JW1263"/>
      <c r="JX1263"/>
      <c r="JY1263"/>
      <c r="JZ1263"/>
      <c r="KA1263"/>
      <c r="KB1263"/>
      <c r="KC1263"/>
      <c r="KD1263"/>
      <c r="KE1263"/>
      <c r="KF1263"/>
      <c r="KG1263"/>
      <c r="KH1263"/>
      <c r="KI1263"/>
      <c r="KJ1263"/>
      <c r="KK1263"/>
      <c r="KL1263"/>
      <c r="KM1263"/>
      <c r="KN1263"/>
      <c r="KO1263"/>
      <c r="KP1263"/>
      <c r="KQ1263"/>
      <c r="KR1263"/>
      <c r="KS1263"/>
      <c r="KT1263"/>
      <c r="KU1263"/>
      <c r="KV1263"/>
      <c r="KW1263"/>
      <c r="KX1263"/>
      <c r="KY1263"/>
      <c r="KZ1263"/>
      <c r="LA1263"/>
      <c r="LB1263"/>
      <c r="LC1263"/>
      <c r="LD1263"/>
      <c r="LE1263"/>
      <c r="LF1263"/>
      <c r="LG1263"/>
      <c r="LH1263"/>
      <c r="LI1263"/>
      <c r="LJ1263"/>
      <c r="LK1263"/>
      <c r="LL1263"/>
      <c r="LM1263"/>
      <c r="LN1263"/>
      <c r="LO1263"/>
      <c r="LP1263"/>
      <c r="LQ1263"/>
      <c r="LR1263"/>
      <c r="LS1263"/>
      <c r="LT1263"/>
      <c r="LU1263"/>
      <c r="LV1263"/>
      <c r="LW1263"/>
      <c r="LX1263"/>
      <c r="LY1263"/>
      <c r="LZ1263"/>
      <c r="MA1263"/>
      <c r="MB1263"/>
      <c r="MC1263"/>
      <c r="MD1263"/>
      <c r="ME1263"/>
      <c r="MF1263"/>
      <c r="MG1263"/>
      <c r="MH1263"/>
      <c r="MI1263"/>
      <c r="MJ1263"/>
      <c r="MK1263"/>
      <c r="ML1263"/>
      <c r="MM1263"/>
      <c r="MN1263"/>
      <c r="MO1263"/>
      <c r="MP1263"/>
      <c r="MQ1263"/>
      <c r="MR1263"/>
      <c r="MS1263"/>
      <c r="MT1263"/>
      <c r="MU1263"/>
      <c r="MV1263"/>
      <c r="MW1263"/>
      <c r="MX1263"/>
      <c r="MY1263"/>
      <c r="MZ1263"/>
      <c r="NA1263"/>
      <c r="NB1263"/>
      <c r="NC1263"/>
      <c r="ND1263"/>
      <c r="NE1263"/>
      <c r="NF1263"/>
      <c r="NG1263"/>
      <c r="NH1263"/>
      <c r="NI1263"/>
      <c r="NJ1263"/>
      <c r="NK1263"/>
      <c r="NL1263"/>
      <c r="NM1263"/>
      <c r="NN1263"/>
      <c r="NO1263"/>
      <c r="NP1263"/>
      <c r="NQ1263"/>
      <c r="NR1263"/>
      <c r="NS1263"/>
      <c r="NT1263"/>
      <c r="NU1263"/>
      <c r="NV1263"/>
      <c r="NW1263"/>
      <c r="NX1263"/>
      <c r="NY1263"/>
      <c r="NZ1263"/>
      <c r="OA1263"/>
      <c r="OB1263"/>
      <c r="OC1263"/>
      <c r="OD1263"/>
      <c r="OE1263"/>
      <c r="OF1263"/>
      <c r="OG1263"/>
      <c r="OH1263"/>
      <c r="OI1263"/>
      <c r="OJ1263"/>
      <c r="OK1263"/>
      <c r="OL1263"/>
      <c r="OM1263"/>
      <c r="ON1263"/>
      <c r="OO1263"/>
      <c r="OP1263"/>
      <c r="OQ1263"/>
      <c r="OR1263"/>
      <c r="OS1263"/>
      <c r="OT1263"/>
      <c r="OU1263"/>
      <c r="OV1263"/>
      <c r="OW1263"/>
      <c r="OX1263"/>
      <c r="OY1263"/>
      <c r="OZ1263"/>
      <c r="PA1263"/>
      <c r="PB1263"/>
      <c r="PC1263"/>
      <c r="PD1263"/>
      <c r="PE1263"/>
      <c r="PF1263"/>
      <c r="PG1263"/>
      <c r="PH1263"/>
      <c r="PI1263"/>
      <c r="PJ1263"/>
      <c r="PK1263"/>
      <c r="PL1263"/>
      <c r="PM1263"/>
      <c r="PN1263"/>
      <c r="PO1263"/>
      <c r="PP1263"/>
      <c r="PQ1263"/>
      <c r="PR1263"/>
      <c r="PS1263"/>
      <c r="PT1263"/>
      <c r="PU1263"/>
      <c r="PV1263"/>
      <c r="PW1263"/>
      <c r="PX1263"/>
      <c r="PY1263"/>
      <c r="PZ1263"/>
      <c r="QA1263"/>
      <c r="QB1263"/>
      <c r="QC1263"/>
      <c r="QD1263"/>
      <c r="QE1263"/>
      <c r="QF1263"/>
      <c r="QG1263"/>
      <c r="QH1263"/>
      <c r="QI1263"/>
      <c r="QJ1263"/>
      <c r="QK1263"/>
      <c r="QL1263"/>
      <c r="QM1263"/>
      <c r="QN1263"/>
      <c r="QO1263"/>
      <c r="QP1263"/>
      <c r="QQ1263"/>
      <c r="QR1263"/>
      <c r="QS1263"/>
      <c r="QT1263"/>
      <c r="QU1263"/>
      <c r="QV1263"/>
      <c r="QW1263"/>
      <c r="QX1263"/>
      <c r="QY1263"/>
      <c r="QZ1263"/>
      <c r="RA1263"/>
      <c r="RB1263"/>
      <c r="RC1263"/>
      <c r="RD1263"/>
      <c r="RE1263"/>
      <c r="RF1263"/>
      <c r="RG1263"/>
      <c r="RH1263"/>
      <c r="RI1263"/>
      <c r="RJ1263"/>
      <c r="RK1263"/>
      <c r="RL1263"/>
      <c r="RM1263"/>
      <c r="RN1263"/>
      <c r="RO1263"/>
      <c r="RP1263"/>
      <c r="RQ1263"/>
      <c r="RR1263"/>
      <c r="RS1263"/>
      <c r="RT1263"/>
      <c r="RU1263"/>
      <c r="RV1263"/>
      <c r="RW1263"/>
      <c r="RX1263"/>
      <c r="RY1263"/>
      <c r="RZ1263"/>
      <c r="SA1263"/>
      <c r="SB1263"/>
      <c r="SC1263"/>
      <c r="SD1263"/>
      <c r="SE1263"/>
      <c r="SF1263"/>
      <c r="SG1263"/>
      <c r="SH1263"/>
      <c r="SI1263"/>
      <c r="SJ1263"/>
      <c r="SK1263"/>
      <c r="SL1263"/>
      <c r="SM1263"/>
      <c r="SN1263"/>
      <c r="SO1263"/>
      <c r="SP1263"/>
      <c r="SQ1263"/>
      <c r="SR1263"/>
      <c r="SS1263"/>
      <c r="ST1263"/>
      <c r="SU1263"/>
      <c r="SV1263"/>
      <c r="SW1263"/>
      <c r="SX1263"/>
      <c r="SY1263"/>
      <c r="SZ1263"/>
      <c r="TA1263"/>
      <c r="TB1263"/>
      <c r="TC1263"/>
      <c r="TD1263"/>
      <c r="TE1263"/>
      <c r="TF1263"/>
      <c r="TG1263"/>
      <c r="TH1263"/>
      <c r="TI1263"/>
      <c r="TJ1263"/>
      <c r="TK1263"/>
      <c r="TL1263"/>
      <c r="TM1263"/>
      <c r="TN1263"/>
      <c r="TO1263"/>
      <c r="TP1263"/>
      <c r="TQ1263"/>
      <c r="TR1263"/>
      <c r="TS1263"/>
      <c r="TT1263"/>
      <c r="TU1263"/>
      <c r="TV1263"/>
      <c r="TW1263"/>
      <c r="TX1263"/>
      <c r="TY1263"/>
      <c r="TZ1263"/>
      <c r="UA1263"/>
      <c r="UB1263"/>
      <c r="UC1263"/>
      <c r="UD1263"/>
      <c r="UE1263"/>
      <c r="UF1263"/>
      <c r="UG1263"/>
      <c r="UH1263"/>
      <c r="UI1263"/>
      <c r="UJ1263"/>
      <c r="UK1263"/>
      <c r="UL1263"/>
      <c r="UM1263"/>
      <c r="UN1263"/>
      <c r="UO1263"/>
      <c r="UP1263"/>
      <c r="UQ1263"/>
      <c r="UR1263"/>
      <c r="US1263"/>
      <c r="UT1263"/>
      <c r="UU1263"/>
      <c r="UV1263"/>
      <c r="UW1263"/>
      <c r="UX1263"/>
      <c r="UY1263"/>
      <c r="UZ1263"/>
      <c r="VA1263"/>
      <c r="VB1263"/>
      <c r="VC1263"/>
      <c r="VD1263"/>
      <c r="VE1263"/>
      <c r="VF1263"/>
      <c r="VG1263"/>
      <c r="VH1263"/>
      <c r="VI1263"/>
      <c r="VJ1263"/>
      <c r="VK1263"/>
      <c r="VL1263"/>
      <c r="VM1263"/>
      <c r="VN1263"/>
      <c r="VO1263"/>
      <c r="VP1263"/>
      <c r="VQ1263"/>
      <c r="VR1263"/>
      <c r="VS1263"/>
      <c r="VT1263"/>
      <c r="VU1263"/>
      <c r="VV1263"/>
      <c r="VW1263"/>
      <c r="VX1263"/>
      <c r="VY1263"/>
      <c r="VZ1263"/>
      <c r="WA1263"/>
      <c r="WB1263"/>
      <c r="WC1263"/>
      <c r="WD1263"/>
      <c r="WE1263"/>
      <c r="WF1263"/>
      <c r="WG1263"/>
      <c r="WH1263"/>
      <c r="WI1263"/>
      <c r="WJ1263"/>
      <c r="WK1263"/>
      <c r="WL1263"/>
      <c r="WM1263"/>
      <c r="WN1263"/>
      <c r="WO1263"/>
      <c r="WP1263"/>
      <c r="WQ1263"/>
      <c r="WR1263"/>
      <c r="WS1263"/>
      <c r="WT1263"/>
      <c r="WU1263"/>
      <c r="WV1263"/>
      <c r="WW1263"/>
      <c r="WX1263"/>
      <c r="WY1263"/>
      <c r="WZ1263"/>
      <c r="XA1263"/>
      <c r="XB1263"/>
      <c r="XC1263"/>
      <c r="XD1263"/>
      <c r="XE1263"/>
      <c r="XF1263"/>
      <c r="XG1263"/>
      <c r="XH1263"/>
      <c r="XI1263"/>
      <c r="XJ1263"/>
      <c r="XK1263"/>
      <c r="XL1263"/>
      <c r="XM1263"/>
      <c r="XN1263"/>
      <c r="XO1263"/>
      <c r="XP1263"/>
      <c r="XQ1263"/>
      <c r="XR1263"/>
      <c r="XS1263"/>
      <c r="XT1263"/>
      <c r="XU1263"/>
      <c r="XV1263"/>
      <c r="XW1263"/>
      <c r="XX1263"/>
      <c r="XY1263"/>
      <c r="XZ1263"/>
      <c r="YA1263"/>
      <c r="YB1263"/>
      <c r="YC1263"/>
      <c r="YD1263"/>
      <c r="YE1263"/>
      <c r="YF1263"/>
      <c r="YG1263"/>
      <c r="YH1263"/>
      <c r="YI1263"/>
      <c r="YJ1263"/>
      <c r="YK1263"/>
      <c r="YL1263"/>
      <c r="YM1263"/>
      <c r="YN1263"/>
      <c r="YO1263"/>
      <c r="YP1263"/>
      <c r="YQ1263"/>
      <c r="YR1263"/>
      <c r="YS1263"/>
      <c r="YT1263"/>
      <c r="YU1263"/>
      <c r="YV1263"/>
      <c r="YW1263"/>
      <c r="YX1263"/>
      <c r="YY1263"/>
      <c r="YZ1263"/>
      <c r="ZA1263"/>
      <c r="ZB1263"/>
      <c r="ZC1263"/>
      <c r="ZD1263"/>
      <c r="ZE1263"/>
      <c r="ZF1263"/>
      <c r="ZG1263"/>
      <c r="ZH1263"/>
      <c r="ZI1263"/>
      <c r="ZJ1263"/>
      <c r="ZK1263"/>
      <c r="ZL1263"/>
      <c r="ZM1263"/>
      <c r="ZN1263"/>
      <c r="ZO1263"/>
      <c r="ZP1263"/>
      <c r="ZQ1263"/>
      <c r="ZR1263"/>
      <c r="ZS1263"/>
      <c r="ZT1263"/>
      <c r="ZU1263"/>
      <c r="ZV1263"/>
      <c r="ZW1263"/>
      <c r="ZX1263"/>
      <c r="ZY1263"/>
      <c r="ZZ1263"/>
      <c r="AAA1263"/>
      <c r="AAB1263"/>
      <c r="AAC1263"/>
      <c r="AAD1263"/>
      <c r="AAE1263"/>
      <c r="AAF1263"/>
      <c r="AAG1263"/>
      <c r="AAH1263"/>
      <c r="AAI1263"/>
      <c r="AAJ1263"/>
      <c r="AAK1263"/>
      <c r="AAL1263"/>
      <c r="AAM1263"/>
      <c r="AAN1263"/>
      <c r="AAO1263"/>
      <c r="AAP1263"/>
      <c r="AAQ1263"/>
      <c r="AAR1263"/>
      <c r="AAS1263"/>
      <c r="AAT1263"/>
      <c r="AAU1263"/>
      <c r="AAV1263"/>
      <c r="AAW1263"/>
      <c r="AAX1263"/>
      <c r="AAY1263"/>
      <c r="AAZ1263"/>
      <c r="ABA1263"/>
      <c r="ABB1263"/>
      <c r="ABC1263"/>
      <c r="ABD1263"/>
      <c r="ABE1263"/>
      <c r="ABF1263"/>
      <c r="ABG1263"/>
      <c r="ABH1263"/>
      <c r="ABI1263"/>
      <c r="ABJ1263"/>
      <c r="ABK1263"/>
      <c r="ABL1263"/>
      <c r="ABM1263"/>
      <c r="ABN1263"/>
      <c r="ABO1263"/>
      <c r="ABP1263"/>
      <c r="ABQ1263"/>
      <c r="ABR1263"/>
      <c r="ABS1263"/>
      <c r="ABT1263"/>
      <c r="ABU1263"/>
      <c r="ABV1263"/>
      <c r="ABW1263"/>
      <c r="ABX1263"/>
      <c r="ABY1263"/>
      <c r="ABZ1263"/>
      <c r="ACA1263"/>
      <c r="ACB1263"/>
      <c r="ACC1263"/>
      <c r="ACD1263"/>
      <c r="ACE1263"/>
      <c r="ACF1263"/>
      <c r="ACG1263"/>
      <c r="ACH1263"/>
      <c r="ACI1263"/>
      <c r="ACJ1263"/>
      <c r="ACK1263"/>
      <c r="ACL1263"/>
      <c r="ACM1263"/>
      <c r="ACN1263"/>
      <c r="ACO1263"/>
      <c r="ACP1263"/>
      <c r="ACQ1263"/>
      <c r="ACR1263"/>
      <c r="ACS1263"/>
      <c r="ACT1263"/>
      <c r="ACU1263"/>
      <c r="ACV1263"/>
      <c r="ACW1263"/>
      <c r="ACX1263"/>
      <c r="ACY1263"/>
      <c r="ACZ1263"/>
      <c r="ADA1263"/>
      <c r="ADB1263"/>
      <c r="ADC1263"/>
      <c r="ADD1263"/>
      <c r="ADE1263"/>
      <c r="ADF1263"/>
      <c r="ADG1263"/>
      <c r="ADH1263"/>
      <c r="ADI1263"/>
      <c r="ADJ1263"/>
      <c r="ADK1263"/>
      <c r="ADL1263"/>
      <c r="ADM1263"/>
      <c r="ADN1263"/>
      <c r="ADO1263"/>
      <c r="ADP1263"/>
      <c r="ADQ1263"/>
      <c r="ADR1263"/>
      <c r="ADS1263"/>
      <c r="ADT1263"/>
      <c r="ADU1263"/>
      <c r="ADV1263"/>
      <c r="ADW1263"/>
      <c r="ADX1263"/>
      <c r="ADY1263"/>
      <c r="ADZ1263"/>
      <c r="AEA1263"/>
      <c r="AEB1263"/>
      <c r="AEC1263"/>
      <c r="AED1263"/>
      <c r="AEE1263"/>
      <c r="AEF1263"/>
      <c r="AEG1263"/>
      <c r="AEH1263"/>
      <c r="AEI1263"/>
      <c r="AEJ1263"/>
      <c r="AEK1263"/>
      <c r="AEL1263"/>
      <c r="AEM1263"/>
      <c r="AEN1263"/>
      <c r="AEO1263"/>
      <c r="AEP1263"/>
      <c r="AEQ1263"/>
      <c r="AER1263"/>
      <c r="AES1263"/>
      <c r="AET1263"/>
      <c r="AEU1263"/>
      <c r="AEV1263"/>
      <c r="AEW1263"/>
      <c r="AEX1263"/>
      <c r="AEY1263"/>
      <c r="AEZ1263"/>
      <c r="AFA1263"/>
      <c r="AFB1263"/>
      <c r="AFC1263"/>
      <c r="AFD1263"/>
      <c r="AFE1263"/>
      <c r="AFF1263"/>
      <c r="AFG1263"/>
      <c r="AFH1263"/>
      <c r="AFI1263"/>
      <c r="AFJ1263"/>
      <c r="AFK1263"/>
      <c r="AFL1263"/>
      <c r="AFM1263"/>
      <c r="AFN1263"/>
      <c r="AFO1263"/>
      <c r="AFP1263"/>
      <c r="AFQ1263"/>
      <c r="AFR1263"/>
      <c r="AFS1263"/>
      <c r="AFT1263"/>
      <c r="AFU1263"/>
      <c r="AFV1263"/>
      <c r="AFW1263"/>
      <c r="AFX1263"/>
      <c r="AFY1263"/>
      <c r="AFZ1263"/>
      <c r="AGA1263"/>
      <c r="AGB1263"/>
      <c r="AGC1263"/>
      <c r="AGD1263"/>
      <c r="AGE1263"/>
      <c r="AGF1263"/>
      <c r="AGG1263"/>
      <c r="AGH1263"/>
      <c r="AGI1263"/>
      <c r="AGJ1263"/>
      <c r="AGK1263"/>
      <c r="AGL1263"/>
      <c r="AGM1263"/>
      <c r="AGN1263"/>
      <c r="AGO1263"/>
      <c r="AGP1263"/>
      <c r="AGQ1263"/>
      <c r="AGR1263"/>
      <c r="AGS1263"/>
      <c r="AGT1263"/>
      <c r="AGU1263"/>
      <c r="AGV1263"/>
      <c r="AGW1263"/>
      <c r="AGX1263"/>
      <c r="AGY1263"/>
      <c r="AGZ1263"/>
      <c r="AHA1263"/>
      <c r="AHB1263"/>
      <c r="AHC1263"/>
      <c r="AHD1263"/>
      <c r="AHE1263"/>
      <c r="AHF1263"/>
      <c r="AHG1263"/>
      <c r="AHH1263"/>
      <c r="AHI1263"/>
      <c r="AHJ1263"/>
      <c r="AHK1263"/>
      <c r="AHL1263"/>
      <c r="AHM1263"/>
      <c r="AHN1263"/>
      <c r="AHO1263"/>
      <c r="AHP1263"/>
      <c r="AHQ1263"/>
      <c r="AHR1263"/>
      <c r="AHS1263"/>
      <c r="AHT1263"/>
      <c r="AHU1263"/>
      <c r="AHV1263"/>
      <c r="AHW1263"/>
      <c r="AHX1263"/>
      <c r="AHY1263"/>
      <c r="AHZ1263"/>
      <c r="AIA1263"/>
      <c r="AIB1263"/>
      <c r="AIC1263"/>
      <c r="AID1263"/>
      <c r="AIE1263"/>
      <c r="AIF1263"/>
      <c r="AIG1263"/>
      <c r="AIH1263"/>
      <c r="AII1263"/>
      <c r="AIJ1263"/>
      <c r="AIK1263"/>
      <c r="AIL1263"/>
      <c r="AIM1263"/>
      <c r="AIN1263"/>
      <c r="AIO1263"/>
      <c r="AIP1263"/>
      <c r="AIQ1263"/>
      <c r="AIR1263"/>
      <c r="AIS1263"/>
      <c r="AIT1263"/>
      <c r="AIU1263"/>
      <c r="AIV1263"/>
      <c r="AIW1263"/>
      <c r="AIX1263"/>
      <c r="AIY1263"/>
      <c r="AIZ1263"/>
      <c r="AJA1263"/>
      <c r="AJB1263"/>
      <c r="AJC1263"/>
      <c r="AJD1263"/>
      <c r="AJE1263"/>
      <c r="AJF1263"/>
      <c r="AJG1263"/>
      <c r="AJH1263"/>
      <c r="AJI1263"/>
      <c r="AJJ1263"/>
      <c r="AJK1263"/>
      <c r="AJL1263"/>
      <c r="AJM1263"/>
      <c r="AJN1263"/>
      <c r="AJO1263"/>
      <c r="AJP1263"/>
      <c r="AJQ1263"/>
      <c r="AJR1263"/>
      <c r="AJS1263"/>
      <c r="AJT1263"/>
      <c r="AJU1263"/>
      <c r="AJV1263"/>
      <c r="AJW1263"/>
      <c r="AJX1263"/>
      <c r="AJY1263"/>
      <c r="AJZ1263"/>
      <c r="AKA1263"/>
      <c r="AKB1263"/>
      <c r="AKC1263"/>
      <c r="AKD1263"/>
      <c r="AKE1263"/>
      <c r="AKF1263"/>
      <c r="AKG1263"/>
      <c r="AKH1263"/>
      <c r="AKI1263"/>
      <c r="AKJ1263"/>
      <c r="AKK1263"/>
      <c r="AKL1263"/>
      <c r="AKM1263"/>
      <c r="AKN1263"/>
      <c r="AKO1263"/>
      <c r="AKP1263"/>
      <c r="AKQ1263"/>
      <c r="AKR1263"/>
      <c r="AKS1263"/>
      <c r="AKT1263"/>
      <c r="AKU1263"/>
      <c r="AKV1263"/>
      <c r="AKW1263"/>
      <c r="AKX1263"/>
      <c r="AKY1263"/>
      <c r="AKZ1263"/>
      <c r="ALA1263"/>
      <c r="ALB1263"/>
      <c r="ALC1263"/>
      <c r="ALD1263"/>
      <c r="ALE1263"/>
      <c r="ALF1263"/>
      <c r="ALG1263"/>
      <c r="ALH1263"/>
      <c r="ALI1263"/>
      <c r="ALJ1263"/>
      <c r="ALK1263"/>
      <c r="ALL1263"/>
      <c r="ALM1263"/>
      <c r="ALN1263"/>
      <c r="ALO1263"/>
      <c r="ALP1263"/>
      <c r="ALQ1263"/>
      <c r="ALR1263"/>
      <c r="ALS1263"/>
      <c r="ALT1263"/>
    </row>
    <row r="1264" spans="1:1008" ht="14">
      <c r="A1264" s="27" t="s">
        <v>4410</v>
      </c>
      <c r="B1264" s="25" t="s">
        <v>3888</v>
      </c>
      <c r="C1264" s="27" t="s">
        <v>3941</v>
      </c>
      <c r="D1264" s="24" t="s">
        <v>12</v>
      </c>
      <c r="E1264" s="27" t="s">
        <v>3941</v>
      </c>
      <c r="F1264" s="27" t="s">
        <v>3942</v>
      </c>
      <c r="G1264" s="27">
        <v>500</v>
      </c>
      <c r="H1264" s="27"/>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c r="AT1264"/>
      <c r="AU1264"/>
      <c r="AV1264"/>
      <c r="AW1264"/>
      <c r="AX1264"/>
      <c r="AY1264"/>
      <c r="AZ1264"/>
      <c r="BA1264"/>
      <c r="BB1264"/>
      <c r="BC1264"/>
      <c r="BD1264"/>
      <c r="BE1264"/>
      <c r="BF1264"/>
      <c r="BG1264"/>
      <c r="BH1264"/>
      <c r="BI1264"/>
      <c r="BJ1264"/>
      <c r="BK1264"/>
      <c r="BL1264"/>
      <c r="BM1264"/>
      <c r="BN1264"/>
      <c r="BO1264"/>
      <c r="BP1264"/>
      <c r="BQ1264"/>
      <c r="BR1264"/>
      <c r="BS1264"/>
      <c r="BT1264"/>
      <c r="BU1264"/>
      <c r="BV1264"/>
      <c r="BW1264"/>
      <c r="BX1264"/>
      <c r="BY1264"/>
      <c r="BZ1264"/>
      <c r="CA1264"/>
      <c r="CB1264"/>
      <c r="CC1264"/>
      <c r="CD1264"/>
      <c r="CE1264"/>
      <c r="CF1264"/>
      <c r="CG1264"/>
      <c r="CH1264"/>
      <c r="CI1264"/>
      <c r="CJ1264"/>
      <c r="CK1264"/>
      <c r="CL1264"/>
      <c r="CM1264"/>
      <c r="CN1264"/>
      <c r="CO1264"/>
      <c r="CP1264"/>
      <c r="CQ1264"/>
      <c r="CR1264"/>
      <c r="CS1264"/>
      <c r="CT1264"/>
      <c r="CU1264"/>
      <c r="CV1264"/>
      <c r="CW1264"/>
      <c r="CX1264"/>
      <c r="CY1264"/>
      <c r="CZ1264"/>
      <c r="DA1264"/>
      <c r="DB1264"/>
      <c r="DC1264"/>
      <c r="DD1264"/>
      <c r="DE1264"/>
      <c r="DF1264"/>
      <c r="DG1264"/>
      <c r="DH1264"/>
      <c r="DI1264"/>
      <c r="DJ1264"/>
      <c r="DK1264"/>
      <c r="DL1264"/>
      <c r="DM1264"/>
      <c r="DN1264"/>
      <c r="DO1264"/>
      <c r="DP1264"/>
      <c r="DQ1264"/>
      <c r="DR1264"/>
      <c r="DS1264"/>
      <c r="DT1264"/>
      <c r="DU1264"/>
      <c r="DV1264"/>
      <c r="DW1264"/>
      <c r="DX1264"/>
      <c r="DY1264"/>
      <c r="DZ1264"/>
      <c r="EA1264"/>
      <c r="EB1264"/>
      <c r="EC1264"/>
      <c r="ED1264"/>
      <c r="EE1264"/>
      <c r="EF1264"/>
      <c r="EG1264"/>
      <c r="EH1264"/>
      <c r="EI1264"/>
      <c r="EJ1264"/>
      <c r="EK1264"/>
      <c r="EL1264"/>
      <c r="EM1264"/>
      <c r="EN1264"/>
      <c r="EO1264"/>
      <c r="EP1264"/>
      <c r="EQ1264"/>
      <c r="ER1264"/>
      <c r="ES1264"/>
      <c r="ET1264"/>
      <c r="EU1264"/>
      <c r="EV1264"/>
      <c r="EW1264"/>
      <c r="EX1264"/>
      <c r="EY1264"/>
      <c r="EZ1264"/>
      <c r="FA1264"/>
      <c r="FB1264"/>
      <c r="FC1264"/>
      <c r="FD1264"/>
      <c r="FE1264"/>
      <c r="FF1264"/>
      <c r="FG1264"/>
      <c r="FH1264"/>
      <c r="FI1264"/>
      <c r="FJ1264"/>
      <c r="FK1264"/>
      <c r="FL1264"/>
      <c r="FM1264"/>
      <c r="FN1264"/>
      <c r="FO1264"/>
      <c r="FP1264"/>
      <c r="FQ1264"/>
      <c r="FR1264"/>
      <c r="FS1264"/>
      <c r="FT1264"/>
      <c r="FU1264"/>
      <c r="FV1264"/>
      <c r="FW1264"/>
      <c r="FX1264"/>
      <c r="FY1264"/>
      <c r="FZ1264"/>
      <c r="GA1264"/>
      <c r="GB1264"/>
      <c r="GC1264"/>
      <c r="GD1264"/>
      <c r="GE1264"/>
      <c r="GF1264"/>
      <c r="GG1264"/>
      <c r="GH1264"/>
      <c r="GI1264"/>
      <c r="GJ1264"/>
      <c r="GK1264"/>
      <c r="GL1264"/>
      <c r="GM1264"/>
      <c r="GN1264"/>
      <c r="GO1264"/>
      <c r="GP1264"/>
      <c r="GQ1264"/>
      <c r="GR1264"/>
      <c r="GS1264"/>
      <c r="GT1264"/>
      <c r="GU1264"/>
      <c r="GV1264"/>
      <c r="GW1264"/>
      <c r="GX1264"/>
      <c r="GY1264"/>
      <c r="GZ1264"/>
      <c r="HA1264"/>
      <c r="HB1264"/>
      <c r="HC1264"/>
      <c r="HD1264"/>
      <c r="HE1264"/>
      <c r="HF1264"/>
      <c r="HG1264"/>
      <c r="HH1264"/>
      <c r="HI1264"/>
      <c r="HJ1264"/>
      <c r="HK1264"/>
      <c r="HL1264"/>
      <c r="HM1264"/>
      <c r="HN1264"/>
      <c r="HO1264"/>
      <c r="HP1264"/>
      <c r="HQ1264"/>
      <c r="HR1264"/>
      <c r="HS1264"/>
      <c r="HT1264"/>
      <c r="HU1264"/>
      <c r="HV1264"/>
      <c r="HW1264"/>
      <c r="HX1264"/>
      <c r="HY1264"/>
      <c r="HZ1264"/>
      <c r="IA1264"/>
      <c r="IB1264"/>
      <c r="IC1264"/>
      <c r="ID1264"/>
      <c r="IE1264"/>
      <c r="IF1264"/>
      <c r="IG1264"/>
      <c r="IH1264"/>
      <c r="II1264"/>
      <c r="IJ1264"/>
      <c r="IK1264"/>
      <c r="IL1264"/>
      <c r="IM1264"/>
      <c r="IN1264"/>
      <c r="IO1264"/>
      <c r="IP1264"/>
      <c r="IQ1264"/>
      <c r="IR1264"/>
      <c r="IS1264"/>
      <c r="IT1264"/>
      <c r="IU1264"/>
      <c r="IV1264"/>
      <c r="IW1264"/>
      <c r="IX1264"/>
      <c r="IY1264"/>
      <c r="IZ1264"/>
      <c r="JA1264"/>
      <c r="JB1264"/>
      <c r="JC1264"/>
      <c r="JD1264"/>
      <c r="JE1264"/>
      <c r="JF1264"/>
      <c r="JG1264"/>
      <c r="JH1264"/>
      <c r="JI1264"/>
      <c r="JJ1264"/>
      <c r="JK1264"/>
      <c r="JL1264"/>
      <c r="JM1264"/>
      <c r="JN1264"/>
      <c r="JO1264"/>
      <c r="JP1264"/>
      <c r="JQ1264"/>
      <c r="JR1264"/>
      <c r="JS1264"/>
      <c r="JT1264"/>
      <c r="JU1264"/>
      <c r="JV1264"/>
      <c r="JW1264"/>
      <c r="JX1264"/>
      <c r="JY1264"/>
      <c r="JZ1264"/>
      <c r="KA1264"/>
      <c r="KB1264"/>
      <c r="KC1264"/>
      <c r="KD1264"/>
      <c r="KE1264"/>
      <c r="KF1264"/>
      <c r="KG1264"/>
      <c r="KH1264"/>
      <c r="KI1264"/>
      <c r="KJ1264"/>
      <c r="KK1264"/>
      <c r="KL1264"/>
      <c r="KM1264"/>
      <c r="KN1264"/>
      <c r="KO1264"/>
      <c r="KP1264"/>
      <c r="KQ1264"/>
      <c r="KR1264"/>
      <c r="KS1264"/>
      <c r="KT1264"/>
      <c r="KU1264"/>
      <c r="KV1264"/>
      <c r="KW1264"/>
      <c r="KX1264"/>
      <c r="KY1264"/>
      <c r="KZ1264"/>
      <c r="LA1264"/>
      <c r="LB1264"/>
      <c r="LC1264"/>
      <c r="LD1264"/>
      <c r="LE1264"/>
      <c r="LF1264"/>
      <c r="LG1264"/>
      <c r="LH1264"/>
      <c r="LI1264"/>
      <c r="LJ1264"/>
      <c r="LK1264"/>
      <c r="LL1264"/>
      <c r="LM1264"/>
      <c r="LN1264"/>
      <c r="LO1264"/>
      <c r="LP1264"/>
      <c r="LQ1264"/>
      <c r="LR1264"/>
      <c r="LS1264"/>
      <c r="LT1264"/>
      <c r="LU1264"/>
      <c r="LV1264"/>
      <c r="LW1264"/>
      <c r="LX1264"/>
      <c r="LY1264"/>
      <c r="LZ1264"/>
      <c r="MA1264"/>
      <c r="MB1264"/>
      <c r="MC1264"/>
      <c r="MD1264"/>
      <c r="ME1264"/>
      <c r="MF1264"/>
      <c r="MG1264"/>
      <c r="MH1264"/>
      <c r="MI1264"/>
      <c r="MJ1264"/>
      <c r="MK1264"/>
      <c r="ML1264"/>
      <c r="MM1264"/>
      <c r="MN1264"/>
      <c r="MO1264"/>
      <c r="MP1264"/>
      <c r="MQ1264"/>
      <c r="MR1264"/>
      <c r="MS1264"/>
      <c r="MT1264"/>
      <c r="MU1264"/>
      <c r="MV1264"/>
      <c r="MW1264"/>
      <c r="MX1264"/>
      <c r="MY1264"/>
      <c r="MZ1264"/>
      <c r="NA1264"/>
      <c r="NB1264"/>
      <c r="NC1264"/>
      <c r="ND1264"/>
      <c r="NE1264"/>
      <c r="NF1264"/>
      <c r="NG1264"/>
      <c r="NH1264"/>
      <c r="NI1264"/>
      <c r="NJ1264"/>
      <c r="NK1264"/>
      <c r="NL1264"/>
      <c r="NM1264"/>
      <c r="NN1264"/>
      <c r="NO1264"/>
      <c r="NP1264"/>
      <c r="NQ1264"/>
      <c r="NR1264"/>
      <c r="NS1264"/>
      <c r="NT1264"/>
      <c r="NU1264"/>
      <c r="NV1264"/>
      <c r="NW1264"/>
      <c r="NX1264"/>
      <c r="NY1264"/>
      <c r="NZ1264"/>
      <c r="OA1264"/>
      <c r="OB1264"/>
      <c r="OC1264"/>
      <c r="OD1264"/>
      <c r="OE1264"/>
      <c r="OF1264"/>
      <c r="OG1264"/>
      <c r="OH1264"/>
      <c r="OI1264"/>
      <c r="OJ1264"/>
      <c r="OK1264"/>
      <c r="OL1264"/>
      <c r="OM1264"/>
      <c r="ON1264"/>
      <c r="OO1264"/>
      <c r="OP1264"/>
      <c r="OQ1264"/>
      <c r="OR1264"/>
      <c r="OS1264"/>
      <c r="OT1264"/>
      <c r="OU1264"/>
      <c r="OV1264"/>
      <c r="OW1264"/>
      <c r="OX1264"/>
      <c r="OY1264"/>
      <c r="OZ1264"/>
      <c r="PA1264"/>
      <c r="PB1264"/>
      <c r="PC1264"/>
      <c r="PD1264"/>
      <c r="PE1264"/>
      <c r="PF1264"/>
      <c r="PG1264"/>
      <c r="PH1264"/>
      <c r="PI1264"/>
      <c r="PJ1264"/>
      <c r="PK1264"/>
      <c r="PL1264"/>
      <c r="PM1264"/>
      <c r="PN1264"/>
      <c r="PO1264"/>
      <c r="PP1264"/>
      <c r="PQ1264"/>
      <c r="PR1264"/>
      <c r="PS1264"/>
      <c r="PT1264"/>
      <c r="PU1264"/>
      <c r="PV1264"/>
      <c r="PW1264"/>
      <c r="PX1264"/>
      <c r="PY1264"/>
      <c r="PZ1264"/>
      <c r="QA1264"/>
      <c r="QB1264"/>
      <c r="QC1264"/>
      <c r="QD1264"/>
      <c r="QE1264"/>
      <c r="QF1264"/>
      <c r="QG1264"/>
      <c r="QH1264"/>
      <c r="QI1264"/>
      <c r="QJ1264"/>
      <c r="QK1264"/>
      <c r="QL1264"/>
      <c r="QM1264"/>
      <c r="QN1264"/>
      <c r="QO1264"/>
      <c r="QP1264"/>
      <c r="QQ1264"/>
      <c r="QR1264"/>
      <c r="QS1264"/>
      <c r="QT1264"/>
      <c r="QU1264"/>
      <c r="QV1264"/>
      <c r="QW1264"/>
      <c r="QX1264"/>
      <c r="QY1264"/>
      <c r="QZ1264"/>
      <c r="RA1264"/>
      <c r="RB1264"/>
      <c r="RC1264"/>
      <c r="RD1264"/>
      <c r="RE1264"/>
      <c r="RF1264"/>
      <c r="RG1264"/>
      <c r="RH1264"/>
      <c r="RI1264"/>
      <c r="RJ1264"/>
      <c r="RK1264"/>
      <c r="RL1264"/>
      <c r="RM1264"/>
      <c r="RN1264"/>
      <c r="RO1264"/>
      <c r="RP1264"/>
      <c r="RQ1264"/>
      <c r="RR1264"/>
      <c r="RS1264"/>
      <c r="RT1264"/>
      <c r="RU1264"/>
      <c r="RV1264"/>
      <c r="RW1264"/>
      <c r="RX1264"/>
      <c r="RY1264"/>
      <c r="RZ1264"/>
      <c r="SA1264"/>
      <c r="SB1264"/>
      <c r="SC1264"/>
      <c r="SD1264"/>
      <c r="SE1264"/>
      <c r="SF1264"/>
      <c r="SG1264"/>
      <c r="SH1264"/>
      <c r="SI1264"/>
      <c r="SJ1264"/>
      <c r="SK1264"/>
      <c r="SL1264"/>
      <c r="SM1264"/>
      <c r="SN1264"/>
      <c r="SO1264"/>
      <c r="SP1264"/>
      <c r="SQ1264"/>
      <c r="SR1264"/>
      <c r="SS1264"/>
      <c r="ST1264"/>
      <c r="SU1264"/>
      <c r="SV1264"/>
      <c r="SW1264"/>
      <c r="SX1264"/>
      <c r="SY1264"/>
      <c r="SZ1264"/>
      <c r="TA1264"/>
      <c r="TB1264"/>
      <c r="TC1264"/>
      <c r="TD1264"/>
      <c r="TE1264"/>
      <c r="TF1264"/>
      <c r="TG1264"/>
      <c r="TH1264"/>
      <c r="TI1264"/>
      <c r="TJ1264"/>
      <c r="TK1264"/>
      <c r="TL1264"/>
      <c r="TM1264"/>
      <c r="TN1264"/>
      <c r="TO1264"/>
      <c r="TP1264"/>
      <c r="TQ1264"/>
      <c r="TR1264"/>
      <c r="TS1264"/>
      <c r="TT1264"/>
      <c r="TU1264"/>
      <c r="TV1264"/>
      <c r="TW1264"/>
      <c r="TX1264"/>
      <c r="TY1264"/>
      <c r="TZ1264"/>
      <c r="UA1264"/>
      <c r="UB1264"/>
      <c r="UC1264"/>
      <c r="UD1264"/>
      <c r="UE1264"/>
      <c r="UF1264"/>
      <c r="UG1264"/>
      <c r="UH1264"/>
      <c r="UI1264"/>
      <c r="UJ1264"/>
      <c r="UK1264"/>
      <c r="UL1264"/>
      <c r="UM1264"/>
      <c r="UN1264"/>
      <c r="UO1264"/>
      <c r="UP1264"/>
      <c r="UQ1264"/>
      <c r="UR1264"/>
      <c r="US1264"/>
      <c r="UT1264"/>
      <c r="UU1264"/>
      <c r="UV1264"/>
      <c r="UW1264"/>
      <c r="UX1264"/>
      <c r="UY1264"/>
      <c r="UZ1264"/>
      <c r="VA1264"/>
      <c r="VB1264"/>
      <c r="VC1264"/>
      <c r="VD1264"/>
      <c r="VE1264"/>
      <c r="VF1264"/>
      <c r="VG1264"/>
      <c r="VH1264"/>
      <c r="VI1264"/>
      <c r="VJ1264"/>
      <c r="VK1264"/>
      <c r="VL1264"/>
      <c r="VM1264"/>
      <c r="VN1264"/>
      <c r="VO1264"/>
      <c r="VP1264"/>
      <c r="VQ1264"/>
      <c r="VR1264"/>
      <c r="VS1264"/>
      <c r="VT1264"/>
      <c r="VU1264"/>
      <c r="VV1264"/>
      <c r="VW1264"/>
      <c r="VX1264"/>
      <c r="VY1264"/>
      <c r="VZ1264"/>
      <c r="WA1264"/>
      <c r="WB1264"/>
      <c r="WC1264"/>
      <c r="WD1264"/>
      <c r="WE1264"/>
      <c r="WF1264"/>
      <c r="WG1264"/>
      <c r="WH1264"/>
      <c r="WI1264"/>
      <c r="WJ1264"/>
      <c r="WK1264"/>
      <c r="WL1264"/>
      <c r="WM1264"/>
      <c r="WN1264"/>
      <c r="WO1264"/>
      <c r="WP1264"/>
      <c r="WQ1264"/>
      <c r="WR1264"/>
      <c r="WS1264"/>
      <c r="WT1264"/>
      <c r="WU1264"/>
      <c r="WV1264"/>
      <c r="WW1264"/>
      <c r="WX1264"/>
      <c r="WY1264"/>
      <c r="WZ1264"/>
      <c r="XA1264"/>
      <c r="XB1264"/>
      <c r="XC1264"/>
      <c r="XD1264"/>
      <c r="XE1264"/>
      <c r="XF1264"/>
      <c r="XG1264"/>
      <c r="XH1264"/>
      <c r="XI1264"/>
      <c r="XJ1264"/>
      <c r="XK1264"/>
      <c r="XL1264"/>
      <c r="XM1264"/>
      <c r="XN1264"/>
      <c r="XO1264"/>
      <c r="XP1264"/>
      <c r="XQ1264"/>
      <c r="XR1264"/>
      <c r="XS1264"/>
      <c r="XT1264"/>
      <c r="XU1264"/>
      <c r="XV1264"/>
      <c r="XW1264"/>
      <c r="XX1264"/>
      <c r="XY1264"/>
      <c r="XZ1264"/>
      <c r="YA1264"/>
      <c r="YB1264"/>
      <c r="YC1264"/>
      <c r="YD1264"/>
      <c r="YE1264"/>
      <c r="YF1264"/>
      <c r="YG1264"/>
      <c r="YH1264"/>
      <c r="YI1264"/>
      <c r="YJ1264"/>
      <c r="YK1264"/>
      <c r="YL1264"/>
      <c r="YM1264"/>
      <c r="YN1264"/>
      <c r="YO1264"/>
      <c r="YP1264"/>
      <c r="YQ1264"/>
      <c r="YR1264"/>
      <c r="YS1264"/>
      <c r="YT1264"/>
      <c r="YU1264"/>
      <c r="YV1264"/>
      <c r="YW1264"/>
      <c r="YX1264"/>
      <c r="YY1264"/>
      <c r="YZ1264"/>
      <c r="ZA1264"/>
      <c r="ZB1264"/>
      <c r="ZC1264"/>
      <c r="ZD1264"/>
      <c r="ZE1264"/>
      <c r="ZF1264"/>
      <c r="ZG1264"/>
      <c r="ZH1264"/>
      <c r="ZI1264"/>
      <c r="ZJ1264"/>
      <c r="ZK1264"/>
      <c r="ZL1264"/>
      <c r="ZM1264"/>
      <c r="ZN1264"/>
      <c r="ZO1264"/>
      <c r="ZP1264"/>
      <c r="ZQ1264"/>
      <c r="ZR1264"/>
      <c r="ZS1264"/>
      <c r="ZT1264"/>
      <c r="ZU1264"/>
      <c r="ZV1264"/>
      <c r="ZW1264"/>
      <c r="ZX1264"/>
      <c r="ZY1264"/>
      <c r="ZZ1264"/>
      <c r="AAA1264"/>
      <c r="AAB1264"/>
      <c r="AAC1264"/>
      <c r="AAD1264"/>
      <c r="AAE1264"/>
      <c r="AAF1264"/>
      <c r="AAG1264"/>
      <c r="AAH1264"/>
      <c r="AAI1264"/>
      <c r="AAJ1264"/>
      <c r="AAK1264"/>
      <c r="AAL1264"/>
      <c r="AAM1264"/>
      <c r="AAN1264"/>
      <c r="AAO1264"/>
      <c r="AAP1264"/>
      <c r="AAQ1264"/>
      <c r="AAR1264"/>
      <c r="AAS1264"/>
      <c r="AAT1264"/>
      <c r="AAU1264"/>
      <c r="AAV1264"/>
      <c r="AAW1264"/>
      <c r="AAX1264"/>
      <c r="AAY1264"/>
      <c r="AAZ1264"/>
      <c r="ABA1264"/>
      <c r="ABB1264"/>
      <c r="ABC1264"/>
      <c r="ABD1264"/>
      <c r="ABE1264"/>
      <c r="ABF1264"/>
      <c r="ABG1264"/>
      <c r="ABH1264"/>
      <c r="ABI1264"/>
      <c r="ABJ1264"/>
      <c r="ABK1264"/>
      <c r="ABL1264"/>
      <c r="ABM1264"/>
      <c r="ABN1264"/>
      <c r="ABO1264"/>
      <c r="ABP1264"/>
      <c r="ABQ1264"/>
      <c r="ABR1264"/>
      <c r="ABS1264"/>
      <c r="ABT1264"/>
      <c r="ABU1264"/>
      <c r="ABV1264"/>
      <c r="ABW1264"/>
      <c r="ABX1264"/>
      <c r="ABY1264"/>
      <c r="ABZ1264"/>
      <c r="ACA1264"/>
      <c r="ACB1264"/>
      <c r="ACC1264"/>
      <c r="ACD1264"/>
      <c r="ACE1264"/>
      <c r="ACF1264"/>
      <c r="ACG1264"/>
      <c r="ACH1264"/>
      <c r="ACI1264"/>
      <c r="ACJ1264"/>
      <c r="ACK1264"/>
      <c r="ACL1264"/>
      <c r="ACM1264"/>
      <c r="ACN1264"/>
      <c r="ACO1264"/>
      <c r="ACP1264"/>
      <c r="ACQ1264"/>
      <c r="ACR1264"/>
      <c r="ACS1264"/>
      <c r="ACT1264"/>
      <c r="ACU1264"/>
      <c r="ACV1264"/>
      <c r="ACW1264"/>
      <c r="ACX1264"/>
      <c r="ACY1264"/>
      <c r="ACZ1264"/>
      <c r="ADA1264"/>
      <c r="ADB1264"/>
      <c r="ADC1264"/>
      <c r="ADD1264"/>
      <c r="ADE1264"/>
      <c r="ADF1264"/>
      <c r="ADG1264"/>
      <c r="ADH1264"/>
      <c r="ADI1264"/>
      <c r="ADJ1264"/>
      <c r="ADK1264"/>
      <c r="ADL1264"/>
      <c r="ADM1264"/>
      <c r="ADN1264"/>
      <c r="ADO1264"/>
      <c r="ADP1264"/>
      <c r="ADQ1264"/>
      <c r="ADR1264"/>
      <c r="ADS1264"/>
      <c r="ADT1264"/>
      <c r="ADU1264"/>
      <c r="ADV1264"/>
      <c r="ADW1264"/>
      <c r="ADX1264"/>
      <c r="ADY1264"/>
      <c r="ADZ1264"/>
      <c r="AEA1264"/>
      <c r="AEB1264"/>
      <c r="AEC1264"/>
      <c r="AED1264"/>
      <c r="AEE1264"/>
      <c r="AEF1264"/>
      <c r="AEG1264"/>
      <c r="AEH1264"/>
      <c r="AEI1264"/>
      <c r="AEJ1264"/>
      <c r="AEK1264"/>
      <c r="AEL1264"/>
      <c r="AEM1264"/>
      <c r="AEN1264"/>
      <c r="AEO1264"/>
      <c r="AEP1264"/>
      <c r="AEQ1264"/>
      <c r="AER1264"/>
      <c r="AES1264"/>
      <c r="AET1264"/>
      <c r="AEU1264"/>
      <c r="AEV1264"/>
      <c r="AEW1264"/>
      <c r="AEX1264"/>
      <c r="AEY1264"/>
      <c r="AEZ1264"/>
      <c r="AFA1264"/>
      <c r="AFB1264"/>
      <c r="AFC1264"/>
      <c r="AFD1264"/>
      <c r="AFE1264"/>
      <c r="AFF1264"/>
      <c r="AFG1264"/>
      <c r="AFH1264"/>
      <c r="AFI1264"/>
      <c r="AFJ1264"/>
      <c r="AFK1264"/>
      <c r="AFL1264"/>
      <c r="AFM1264"/>
      <c r="AFN1264"/>
      <c r="AFO1264"/>
      <c r="AFP1264"/>
      <c r="AFQ1264"/>
      <c r="AFR1264"/>
      <c r="AFS1264"/>
      <c r="AFT1264"/>
      <c r="AFU1264"/>
      <c r="AFV1264"/>
      <c r="AFW1264"/>
      <c r="AFX1264"/>
      <c r="AFY1264"/>
      <c r="AFZ1264"/>
      <c r="AGA1264"/>
      <c r="AGB1264"/>
      <c r="AGC1264"/>
      <c r="AGD1264"/>
      <c r="AGE1264"/>
      <c r="AGF1264"/>
      <c r="AGG1264"/>
      <c r="AGH1264"/>
      <c r="AGI1264"/>
      <c r="AGJ1264"/>
      <c r="AGK1264"/>
      <c r="AGL1264"/>
      <c r="AGM1264"/>
      <c r="AGN1264"/>
      <c r="AGO1264"/>
      <c r="AGP1264"/>
      <c r="AGQ1264"/>
      <c r="AGR1264"/>
      <c r="AGS1264"/>
      <c r="AGT1264"/>
      <c r="AGU1264"/>
      <c r="AGV1264"/>
      <c r="AGW1264"/>
      <c r="AGX1264"/>
      <c r="AGY1264"/>
      <c r="AGZ1264"/>
      <c r="AHA1264"/>
      <c r="AHB1264"/>
      <c r="AHC1264"/>
      <c r="AHD1264"/>
      <c r="AHE1264"/>
      <c r="AHF1264"/>
      <c r="AHG1264"/>
      <c r="AHH1264"/>
      <c r="AHI1264"/>
      <c r="AHJ1264"/>
      <c r="AHK1264"/>
      <c r="AHL1264"/>
      <c r="AHM1264"/>
      <c r="AHN1264"/>
      <c r="AHO1264"/>
      <c r="AHP1264"/>
      <c r="AHQ1264"/>
      <c r="AHR1264"/>
      <c r="AHS1264"/>
      <c r="AHT1264"/>
      <c r="AHU1264"/>
      <c r="AHV1264"/>
      <c r="AHW1264"/>
      <c r="AHX1264"/>
      <c r="AHY1264"/>
      <c r="AHZ1264"/>
      <c r="AIA1264"/>
      <c r="AIB1264"/>
      <c r="AIC1264"/>
      <c r="AID1264"/>
      <c r="AIE1264"/>
      <c r="AIF1264"/>
      <c r="AIG1264"/>
      <c r="AIH1264"/>
      <c r="AII1264"/>
      <c r="AIJ1264"/>
      <c r="AIK1264"/>
      <c r="AIL1264"/>
      <c r="AIM1264"/>
      <c r="AIN1264"/>
      <c r="AIO1264"/>
      <c r="AIP1264"/>
      <c r="AIQ1264"/>
      <c r="AIR1264"/>
      <c r="AIS1264"/>
      <c r="AIT1264"/>
      <c r="AIU1264"/>
      <c r="AIV1264"/>
      <c r="AIW1264"/>
      <c r="AIX1264"/>
      <c r="AIY1264"/>
      <c r="AIZ1264"/>
      <c r="AJA1264"/>
      <c r="AJB1264"/>
      <c r="AJC1264"/>
      <c r="AJD1264"/>
      <c r="AJE1264"/>
      <c r="AJF1264"/>
      <c r="AJG1264"/>
      <c r="AJH1264"/>
      <c r="AJI1264"/>
      <c r="AJJ1264"/>
      <c r="AJK1264"/>
      <c r="AJL1264"/>
      <c r="AJM1264"/>
      <c r="AJN1264"/>
      <c r="AJO1264"/>
      <c r="AJP1264"/>
      <c r="AJQ1264"/>
      <c r="AJR1264"/>
      <c r="AJS1264"/>
      <c r="AJT1264"/>
      <c r="AJU1264"/>
      <c r="AJV1264"/>
      <c r="AJW1264"/>
      <c r="AJX1264"/>
      <c r="AJY1264"/>
      <c r="AJZ1264"/>
      <c r="AKA1264"/>
      <c r="AKB1264"/>
      <c r="AKC1264"/>
      <c r="AKD1264"/>
      <c r="AKE1264"/>
      <c r="AKF1264"/>
      <c r="AKG1264"/>
      <c r="AKH1264"/>
      <c r="AKI1264"/>
      <c r="AKJ1264"/>
      <c r="AKK1264"/>
      <c r="AKL1264"/>
      <c r="AKM1264"/>
      <c r="AKN1264"/>
      <c r="AKO1264"/>
      <c r="AKP1264"/>
      <c r="AKQ1264"/>
      <c r="AKR1264"/>
      <c r="AKS1264"/>
      <c r="AKT1264"/>
      <c r="AKU1264"/>
      <c r="AKV1264"/>
      <c r="AKW1264"/>
      <c r="AKX1264"/>
      <c r="AKY1264"/>
      <c r="AKZ1264"/>
      <c r="ALA1264"/>
      <c r="ALB1264"/>
      <c r="ALC1264"/>
      <c r="ALD1264"/>
      <c r="ALE1264"/>
      <c r="ALF1264"/>
      <c r="ALG1264"/>
      <c r="ALH1264"/>
      <c r="ALI1264"/>
      <c r="ALJ1264"/>
      <c r="ALK1264"/>
      <c r="ALL1264"/>
      <c r="ALM1264"/>
      <c r="ALN1264"/>
      <c r="ALO1264"/>
      <c r="ALP1264"/>
      <c r="ALQ1264"/>
      <c r="ALR1264"/>
      <c r="ALS1264"/>
      <c r="ALT1264"/>
    </row>
    <row r="1265" spans="1:1008" ht="14">
      <c r="A1265" s="27" t="s">
        <v>4409</v>
      </c>
      <c r="B1265" s="25" t="s">
        <v>3888</v>
      </c>
      <c r="C1265" s="27" t="s">
        <v>3943</v>
      </c>
      <c r="D1265" s="24" t="s">
        <v>12</v>
      </c>
      <c r="E1265" s="27" t="s">
        <v>3943</v>
      </c>
      <c r="F1265" s="27" t="s">
        <v>3944</v>
      </c>
      <c r="G1265" s="27">
        <v>550</v>
      </c>
      <c r="H1265" s="27"/>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c r="AT1265"/>
      <c r="AU1265"/>
      <c r="AV1265"/>
      <c r="AW1265"/>
      <c r="AX1265"/>
      <c r="AY1265"/>
      <c r="AZ1265"/>
      <c r="BA1265"/>
      <c r="BB1265"/>
      <c r="BC1265"/>
      <c r="BD1265"/>
      <c r="BE1265"/>
      <c r="BF1265"/>
      <c r="BG1265"/>
      <c r="BH1265"/>
      <c r="BI1265"/>
      <c r="BJ1265"/>
      <c r="BK1265"/>
      <c r="BL1265"/>
      <c r="BM1265"/>
      <c r="BN1265"/>
      <c r="BO1265"/>
      <c r="BP1265"/>
      <c r="BQ1265"/>
      <c r="BR1265"/>
      <c r="BS1265"/>
      <c r="BT1265"/>
      <c r="BU1265"/>
      <c r="BV1265"/>
      <c r="BW1265"/>
      <c r="BX1265"/>
      <c r="BY1265"/>
      <c r="BZ1265"/>
      <c r="CA1265"/>
      <c r="CB1265"/>
      <c r="CC1265"/>
      <c r="CD1265"/>
      <c r="CE1265"/>
      <c r="CF1265"/>
      <c r="CG1265"/>
      <c r="CH1265"/>
      <c r="CI1265"/>
      <c r="CJ1265"/>
      <c r="CK1265"/>
      <c r="CL1265"/>
      <c r="CM1265"/>
      <c r="CN1265"/>
      <c r="CO1265"/>
      <c r="CP1265"/>
      <c r="CQ1265"/>
      <c r="CR1265"/>
      <c r="CS1265"/>
      <c r="CT1265"/>
      <c r="CU1265"/>
      <c r="CV1265"/>
      <c r="CW1265"/>
      <c r="CX1265"/>
      <c r="CY1265"/>
      <c r="CZ1265"/>
      <c r="DA1265"/>
      <c r="DB1265"/>
      <c r="DC1265"/>
      <c r="DD1265"/>
      <c r="DE1265"/>
      <c r="DF1265"/>
      <c r="DG1265"/>
      <c r="DH1265"/>
      <c r="DI1265"/>
      <c r="DJ1265"/>
      <c r="DK1265"/>
      <c r="DL1265"/>
      <c r="DM1265"/>
      <c r="DN1265"/>
      <c r="DO1265"/>
      <c r="DP1265"/>
      <c r="DQ1265"/>
      <c r="DR1265"/>
      <c r="DS1265"/>
      <c r="DT1265"/>
      <c r="DU1265"/>
      <c r="DV1265"/>
      <c r="DW1265"/>
      <c r="DX1265"/>
      <c r="DY1265"/>
      <c r="DZ1265"/>
      <c r="EA1265"/>
      <c r="EB1265"/>
      <c r="EC1265"/>
      <c r="ED1265"/>
      <c r="EE1265"/>
      <c r="EF1265"/>
      <c r="EG1265"/>
      <c r="EH1265"/>
      <c r="EI1265"/>
      <c r="EJ1265"/>
      <c r="EK1265"/>
      <c r="EL1265"/>
      <c r="EM1265"/>
      <c r="EN1265"/>
      <c r="EO1265"/>
      <c r="EP1265"/>
      <c r="EQ1265"/>
      <c r="ER1265"/>
      <c r="ES1265"/>
      <c r="ET1265"/>
      <c r="EU1265"/>
      <c r="EV1265"/>
      <c r="EW1265"/>
      <c r="EX1265"/>
      <c r="EY1265"/>
      <c r="EZ1265"/>
      <c r="FA1265"/>
      <c r="FB1265"/>
      <c r="FC1265"/>
      <c r="FD1265"/>
      <c r="FE1265"/>
      <c r="FF1265"/>
      <c r="FG1265"/>
      <c r="FH1265"/>
      <c r="FI1265"/>
      <c r="FJ1265"/>
      <c r="FK1265"/>
      <c r="FL1265"/>
      <c r="FM1265"/>
      <c r="FN1265"/>
      <c r="FO1265"/>
      <c r="FP1265"/>
      <c r="FQ1265"/>
      <c r="FR1265"/>
      <c r="FS1265"/>
      <c r="FT1265"/>
      <c r="FU1265"/>
      <c r="FV1265"/>
      <c r="FW1265"/>
      <c r="FX1265"/>
      <c r="FY1265"/>
      <c r="FZ1265"/>
      <c r="GA1265"/>
      <c r="GB1265"/>
      <c r="GC1265"/>
      <c r="GD1265"/>
      <c r="GE1265"/>
      <c r="GF1265"/>
      <c r="GG1265"/>
      <c r="GH1265"/>
      <c r="GI1265"/>
      <c r="GJ1265"/>
      <c r="GK1265"/>
      <c r="GL1265"/>
      <c r="GM1265"/>
      <c r="GN1265"/>
      <c r="GO1265"/>
      <c r="GP1265"/>
      <c r="GQ1265"/>
      <c r="GR1265"/>
      <c r="GS1265"/>
      <c r="GT1265"/>
      <c r="GU1265"/>
      <c r="GV1265"/>
      <c r="GW1265"/>
      <c r="GX1265"/>
      <c r="GY1265"/>
      <c r="GZ1265"/>
      <c r="HA1265"/>
      <c r="HB1265"/>
      <c r="HC1265"/>
      <c r="HD1265"/>
      <c r="HE1265"/>
      <c r="HF1265"/>
      <c r="HG1265"/>
      <c r="HH1265"/>
      <c r="HI1265"/>
      <c r="HJ1265"/>
      <c r="HK1265"/>
      <c r="HL1265"/>
      <c r="HM1265"/>
      <c r="HN1265"/>
      <c r="HO1265"/>
      <c r="HP1265"/>
      <c r="HQ1265"/>
      <c r="HR1265"/>
      <c r="HS1265"/>
      <c r="HT1265"/>
      <c r="HU1265"/>
      <c r="HV1265"/>
      <c r="HW1265"/>
      <c r="HX1265"/>
      <c r="HY1265"/>
      <c r="HZ1265"/>
      <c r="IA1265"/>
      <c r="IB1265"/>
      <c r="IC1265"/>
      <c r="ID1265"/>
      <c r="IE1265"/>
      <c r="IF1265"/>
      <c r="IG1265"/>
      <c r="IH1265"/>
      <c r="II1265"/>
      <c r="IJ1265"/>
      <c r="IK1265"/>
      <c r="IL1265"/>
      <c r="IM1265"/>
      <c r="IN1265"/>
      <c r="IO1265"/>
      <c r="IP1265"/>
      <c r="IQ1265"/>
      <c r="IR1265"/>
      <c r="IS1265"/>
      <c r="IT1265"/>
      <c r="IU1265"/>
      <c r="IV1265"/>
      <c r="IW1265"/>
      <c r="IX1265"/>
      <c r="IY1265"/>
      <c r="IZ1265"/>
      <c r="JA1265"/>
      <c r="JB1265"/>
      <c r="JC1265"/>
      <c r="JD1265"/>
      <c r="JE1265"/>
      <c r="JF1265"/>
      <c r="JG1265"/>
      <c r="JH1265"/>
      <c r="JI1265"/>
      <c r="JJ1265"/>
      <c r="JK1265"/>
      <c r="JL1265"/>
      <c r="JM1265"/>
      <c r="JN1265"/>
      <c r="JO1265"/>
      <c r="JP1265"/>
      <c r="JQ1265"/>
      <c r="JR1265"/>
      <c r="JS1265"/>
      <c r="JT1265"/>
      <c r="JU1265"/>
      <c r="JV1265"/>
      <c r="JW1265"/>
      <c r="JX1265"/>
      <c r="JY1265"/>
      <c r="JZ1265"/>
      <c r="KA1265"/>
      <c r="KB1265"/>
      <c r="KC1265"/>
      <c r="KD1265"/>
      <c r="KE1265"/>
      <c r="KF1265"/>
      <c r="KG1265"/>
      <c r="KH1265"/>
      <c r="KI1265"/>
      <c r="KJ1265"/>
      <c r="KK1265"/>
      <c r="KL1265"/>
      <c r="KM1265"/>
      <c r="KN1265"/>
      <c r="KO1265"/>
      <c r="KP1265"/>
      <c r="KQ1265"/>
      <c r="KR1265"/>
      <c r="KS1265"/>
      <c r="KT1265"/>
      <c r="KU1265"/>
      <c r="KV1265"/>
      <c r="KW1265"/>
      <c r="KX1265"/>
      <c r="KY1265"/>
      <c r="KZ1265"/>
      <c r="LA1265"/>
      <c r="LB1265"/>
      <c r="LC1265"/>
      <c r="LD1265"/>
      <c r="LE1265"/>
      <c r="LF1265"/>
      <c r="LG1265"/>
      <c r="LH1265"/>
      <c r="LI1265"/>
      <c r="LJ1265"/>
      <c r="LK1265"/>
      <c r="LL1265"/>
      <c r="LM1265"/>
      <c r="LN1265"/>
      <c r="LO1265"/>
      <c r="LP1265"/>
      <c r="LQ1265"/>
      <c r="LR1265"/>
      <c r="LS1265"/>
      <c r="LT1265"/>
      <c r="LU1265"/>
      <c r="LV1265"/>
      <c r="LW1265"/>
      <c r="LX1265"/>
      <c r="LY1265"/>
      <c r="LZ1265"/>
      <c r="MA1265"/>
      <c r="MB1265"/>
      <c r="MC1265"/>
      <c r="MD1265"/>
      <c r="ME1265"/>
      <c r="MF1265"/>
      <c r="MG1265"/>
      <c r="MH1265"/>
      <c r="MI1265"/>
      <c r="MJ1265"/>
      <c r="MK1265"/>
      <c r="ML1265"/>
      <c r="MM1265"/>
      <c r="MN1265"/>
      <c r="MO1265"/>
      <c r="MP1265"/>
      <c r="MQ1265"/>
      <c r="MR1265"/>
      <c r="MS1265"/>
      <c r="MT1265"/>
      <c r="MU1265"/>
      <c r="MV1265"/>
      <c r="MW1265"/>
      <c r="MX1265"/>
      <c r="MY1265"/>
      <c r="MZ1265"/>
      <c r="NA1265"/>
      <c r="NB1265"/>
      <c r="NC1265"/>
      <c r="ND1265"/>
      <c r="NE1265"/>
      <c r="NF1265"/>
      <c r="NG1265"/>
      <c r="NH1265"/>
      <c r="NI1265"/>
      <c r="NJ1265"/>
      <c r="NK1265"/>
      <c r="NL1265"/>
      <c r="NM1265"/>
      <c r="NN1265"/>
      <c r="NO1265"/>
      <c r="NP1265"/>
      <c r="NQ1265"/>
      <c r="NR1265"/>
      <c r="NS1265"/>
      <c r="NT1265"/>
      <c r="NU1265"/>
      <c r="NV1265"/>
      <c r="NW1265"/>
      <c r="NX1265"/>
      <c r="NY1265"/>
      <c r="NZ1265"/>
      <c r="OA1265"/>
      <c r="OB1265"/>
      <c r="OC1265"/>
      <c r="OD1265"/>
      <c r="OE1265"/>
      <c r="OF1265"/>
      <c r="OG1265"/>
      <c r="OH1265"/>
      <c r="OI1265"/>
      <c r="OJ1265"/>
      <c r="OK1265"/>
      <c r="OL1265"/>
      <c r="OM1265"/>
      <c r="ON1265"/>
      <c r="OO1265"/>
      <c r="OP1265"/>
      <c r="OQ1265"/>
      <c r="OR1265"/>
      <c r="OS1265"/>
      <c r="OT1265"/>
      <c r="OU1265"/>
      <c r="OV1265"/>
      <c r="OW1265"/>
      <c r="OX1265"/>
      <c r="OY1265"/>
      <c r="OZ1265"/>
      <c r="PA1265"/>
      <c r="PB1265"/>
      <c r="PC1265"/>
      <c r="PD1265"/>
      <c r="PE1265"/>
      <c r="PF1265"/>
      <c r="PG1265"/>
      <c r="PH1265"/>
      <c r="PI1265"/>
      <c r="PJ1265"/>
      <c r="PK1265"/>
      <c r="PL1265"/>
      <c r="PM1265"/>
      <c r="PN1265"/>
      <c r="PO1265"/>
      <c r="PP1265"/>
      <c r="PQ1265"/>
      <c r="PR1265"/>
      <c r="PS1265"/>
      <c r="PT1265"/>
      <c r="PU1265"/>
      <c r="PV1265"/>
      <c r="PW1265"/>
      <c r="PX1265"/>
      <c r="PY1265"/>
      <c r="PZ1265"/>
      <c r="QA1265"/>
      <c r="QB1265"/>
      <c r="QC1265"/>
      <c r="QD1265"/>
      <c r="QE1265"/>
      <c r="QF1265"/>
      <c r="QG1265"/>
      <c r="QH1265"/>
      <c r="QI1265"/>
      <c r="QJ1265"/>
      <c r="QK1265"/>
      <c r="QL1265"/>
      <c r="QM1265"/>
      <c r="QN1265"/>
      <c r="QO1265"/>
      <c r="QP1265"/>
      <c r="QQ1265"/>
      <c r="QR1265"/>
      <c r="QS1265"/>
      <c r="QT1265"/>
      <c r="QU1265"/>
      <c r="QV1265"/>
      <c r="QW1265"/>
      <c r="QX1265"/>
      <c r="QY1265"/>
      <c r="QZ1265"/>
      <c r="RA1265"/>
      <c r="RB1265"/>
      <c r="RC1265"/>
      <c r="RD1265"/>
      <c r="RE1265"/>
      <c r="RF1265"/>
      <c r="RG1265"/>
      <c r="RH1265"/>
      <c r="RI1265"/>
      <c r="RJ1265"/>
      <c r="RK1265"/>
      <c r="RL1265"/>
      <c r="RM1265"/>
      <c r="RN1265"/>
      <c r="RO1265"/>
      <c r="RP1265"/>
      <c r="RQ1265"/>
      <c r="RR1265"/>
      <c r="RS1265"/>
      <c r="RT1265"/>
      <c r="RU1265"/>
      <c r="RV1265"/>
      <c r="RW1265"/>
      <c r="RX1265"/>
      <c r="RY1265"/>
      <c r="RZ1265"/>
      <c r="SA1265"/>
      <c r="SB1265"/>
      <c r="SC1265"/>
      <c r="SD1265"/>
      <c r="SE1265"/>
      <c r="SF1265"/>
      <c r="SG1265"/>
      <c r="SH1265"/>
      <c r="SI1265"/>
      <c r="SJ1265"/>
      <c r="SK1265"/>
      <c r="SL1265"/>
      <c r="SM1265"/>
      <c r="SN1265"/>
      <c r="SO1265"/>
      <c r="SP1265"/>
      <c r="SQ1265"/>
      <c r="SR1265"/>
      <c r="SS1265"/>
      <c r="ST1265"/>
      <c r="SU1265"/>
      <c r="SV1265"/>
      <c r="SW1265"/>
      <c r="SX1265"/>
      <c r="SY1265"/>
      <c r="SZ1265"/>
      <c r="TA1265"/>
      <c r="TB1265"/>
      <c r="TC1265"/>
      <c r="TD1265"/>
      <c r="TE1265"/>
      <c r="TF1265"/>
      <c r="TG1265"/>
      <c r="TH1265"/>
      <c r="TI1265"/>
      <c r="TJ1265"/>
      <c r="TK1265"/>
      <c r="TL1265"/>
      <c r="TM1265"/>
      <c r="TN1265"/>
      <c r="TO1265"/>
      <c r="TP1265"/>
      <c r="TQ1265"/>
      <c r="TR1265"/>
      <c r="TS1265"/>
      <c r="TT1265"/>
      <c r="TU1265"/>
      <c r="TV1265"/>
      <c r="TW1265"/>
      <c r="TX1265"/>
      <c r="TY1265"/>
      <c r="TZ1265"/>
      <c r="UA1265"/>
      <c r="UB1265"/>
      <c r="UC1265"/>
      <c r="UD1265"/>
      <c r="UE1265"/>
      <c r="UF1265"/>
      <c r="UG1265"/>
      <c r="UH1265"/>
      <c r="UI1265"/>
      <c r="UJ1265"/>
      <c r="UK1265"/>
      <c r="UL1265"/>
      <c r="UM1265"/>
      <c r="UN1265"/>
      <c r="UO1265"/>
      <c r="UP1265"/>
      <c r="UQ1265"/>
      <c r="UR1265"/>
      <c r="US1265"/>
      <c r="UT1265"/>
      <c r="UU1265"/>
      <c r="UV1265"/>
      <c r="UW1265"/>
      <c r="UX1265"/>
      <c r="UY1265"/>
      <c r="UZ1265"/>
      <c r="VA1265"/>
      <c r="VB1265"/>
      <c r="VC1265"/>
      <c r="VD1265"/>
      <c r="VE1265"/>
      <c r="VF1265"/>
      <c r="VG1265"/>
      <c r="VH1265"/>
      <c r="VI1265"/>
      <c r="VJ1265"/>
      <c r="VK1265"/>
      <c r="VL1265"/>
      <c r="VM1265"/>
      <c r="VN1265"/>
      <c r="VO1265"/>
      <c r="VP1265"/>
      <c r="VQ1265"/>
      <c r="VR1265"/>
      <c r="VS1265"/>
      <c r="VT1265"/>
      <c r="VU1265"/>
      <c r="VV1265"/>
      <c r="VW1265"/>
      <c r="VX1265"/>
      <c r="VY1265"/>
      <c r="VZ1265"/>
      <c r="WA1265"/>
      <c r="WB1265"/>
      <c r="WC1265"/>
      <c r="WD1265"/>
      <c r="WE1265"/>
      <c r="WF1265"/>
      <c r="WG1265"/>
      <c r="WH1265"/>
      <c r="WI1265"/>
      <c r="WJ1265"/>
      <c r="WK1265"/>
      <c r="WL1265"/>
      <c r="WM1265"/>
      <c r="WN1265"/>
      <c r="WO1265"/>
      <c r="WP1265"/>
      <c r="WQ1265"/>
      <c r="WR1265"/>
      <c r="WS1265"/>
      <c r="WT1265"/>
      <c r="WU1265"/>
      <c r="WV1265"/>
      <c r="WW1265"/>
      <c r="WX1265"/>
      <c r="WY1265"/>
      <c r="WZ1265"/>
      <c r="XA1265"/>
      <c r="XB1265"/>
      <c r="XC1265"/>
      <c r="XD1265"/>
      <c r="XE1265"/>
      <c r="XF1265"/>
      <c r="XG1265"/>
      <c r="XH1265"/>
      <c r="XI1265"/>
      <c r="XJ1265"/>
      <c r="XK1265"/>
      <c r="XL1265"/>
      <c r="XM1265"/>
      <c r="XN1265"/>
      <c r="XO1265"/>
      <c r="XP1265"/>
      <c r="XQ1265"/>
      <c r="XR1265"/>
      <c r="XS1265"/>
      <c r="XT1265"/>
      <c r="XU1265"/>
      <c r="XV1265"/>
      <c r="XW1265"/>
      <c r="XX1265"/>
      <c r="XY1265"/>
      <c r="XZ1265"/>
      <c r="YA1265"/>
      <c r="YB1265"/>
      <c r="YC1265"/>
      <c r="YD1265"/>
      <c r="YE1265"/>
      <c r="YF1265"/>
      <c r="YG1265"/>
      <c r="YH1265"/>
      <c r="YI1265"/>
      <c r="YJ1265"/>
      <c r="YK1265"/>
      <c r="YL1265"/>
      <c r="YM1265"/>
      <c r="YN1265"/>
      <c r="YO1265"/>
      <c r="YP1265"/>
      <c r="YQ1265"/>
      <c r="YR1265"/>
      <c r="YS1265"/>
      <c r="YT1265"/>
      <c r="YU1265"/>
      <c r="YV1265"/>
      <c r="YW1265"/>
      <c r="YX1265"/>
      <c r="YY1265"/>
      <c r="YZ1265"/>
      <c r="ZA1265"/>
      <c r="ZB1265"/>
      <c r="ZC1265"/>
      <c r="ZD1265"/>
      <c r="ZE1265"/>
      <c r="ZF1265"/>
      <c r="ZG1265"/>
      <c r="ZH1265"/>
      <c r="ZI1265"/>
      <c r="ZJ1265"/>
      <c r="ZK1265"/>
      <c r="ZL1265"/>
      <c r="ZM1265"/>
      <c r="ZN1265"/>
      <c r="ZO1265"/>
      <c r="ZP1265"/>
      <c r="ZQ1265"/>
      <c r="ZR1265"/>
      <c r="ZS1265"/>
      <c r="ZT1265"/>
      <c r="ZU1265"/>
      <c r="ZV1265"/>
      <c r="ZW1265"/>
      <c r="ZX1265"/>
      <c r="ZY1265"/>
      <c r="ZZ1265"/>
      <c r="AAA1265"/>
      <c r="AAB1265"/>
      <c r="AAC1265"/>
      <c r="AAD1265"/>
      <c r="AAE1265"/>
      <c r="AAF1265"/>
      <c r="AAG1265"/>
      <c r="AAH1265"/>
      <c r="AAI1265"/>
      <c r="AAJ1265"/>
      <c r="AAK1265"/>
      <c r="AAL1265"/>
      <c r="AAM1265"/>
      <c r="AAN1265"/>
      <c r="AAO1265"/>
      <c r="AAP1265"/>
      <c r="AAQ1265"/>
      <c r="AAR1265"/>
      <c r="AAS1265"/>
      <c r="AAT1265"/>
      <c r="AAU1265"/>
      <c r="AAV1265"/>
      <c r="AAW1265"/>
      <c r="AAX1265"/>
      <c r="AAY1265"/>
      <c r="AAZ1265"/>
      <c r="ABA1265"/>
      <c r="ABB1265"/>
      <c r="ABC1265"/>
      <c r="ABD1265"/>
      <c r="ABE1265"/>
      <c r="ABF1265"/>
      <c r="ABG1265"/>
      <c r="ABH1265"/>
      <c r="ABI1265"/>
      <c r="ABJ1265"/>
      <c r="ABK1265"/>
      <c r="ABL1265"/>
      <c r="ABM1265"/>
      <c r="ABN1265"/>
      <c r="ABO1265"/>
      <c r="ABP1265"/>
      <c r="ABQ1265"/>
      <c r="ABR1265"/>
      <c r="ABS1265"/>
      <c r="ABT1265"/>
      <c r="ABU1265"/>
      <c r="ABV1265"/>
      <c r="ABW1265"/>
      <c r="ABX1265"/>
      <c r="ABY1265"/>
      <c r="ABZ1265"/>
      <c r="ACA1265"/>
      <c r="ACB1265"/>
      <c r="ACC1265"/>
      <c r="ACD1265"/>
      <c r="ACE1265"/>
      <c r="ACF1265"/>
      <c r="ACG1265"/>
      <c r="ACH1265"/>
      <c r="ACI1265"/>
      <c r="ACJ1265"/>
      <c r="ACK1265"/>
      <c r="ACL1265"/>
      <c r="ACM1265"/>
      <c r="ACN1265"/>
      <c r="ACO1265"/>
      <c r="ACP1265"/>
      <c r="ACQ1265"/>
      <c r="ACR1265"/>
      <c r="ACS1265"/>
      <c r="ACT1265"/>
      <c r="ACU1265"/>
      <c r="ACV1265"/>
      <c r="ACW1265"/>
      <c r="ACX1265"/>
      <c r="ACY1265"/>
      <c r="ACZ1265"/>
      <c r="ADA1265"/>
      <c r="ADB1265"/>
      <c r="ADC1265"/>
      <c r="ADD1265"/>
      <c r="ADE1265"/>
      <c r="ADF1265"/>
      <c r="ADG1265"/>
      <c r="ADH1265"/>
      <c r="ADI1265"/>
      <c r="ADJ1265"/>
      <c r="ADK1265"/>
      <c r="ADL1265"/>
      <c r="ADM1265"/>
      <c r="ADN1265"/>
      <c r="ADO1265"/>
      <c r="ADP1265"/>
      <c r="ADQ1265"/>
      <c r="ADR1265"/>
      <c r="ADS1265"/>
      <c r="ADT1265"/>
      <c r="ADU1265"/>
      <c r="ADV1265"/>
      <c r="ADW1265"/>
      <c r="ADX1265"/>
      <c r="ADY1265"/>
      <c r="ADZ1265"/>
      <c r="AEA1265"/>
      <c r="AEB1265"/>
      <c r="AEC1265"/>
      <c r="AED1265"/>
      <c r="AEE1265"/>
      <c r="AEF1265"/>
      <c r="AEG1265"/>
      <c r="AEH1265"/>
      <c r="AEI1265"/>
      <c r="AEJ1265"/>
      <c r="AEK1265"/>
      <c r="AEL1265"/>
      <c r="AEM1265"/>
      <c r="AEN1265"/>
      <c r="AEO1265"/>
      <c r="AEP1265"/>
      <c r="AEQ1265"/>
      <c r="AER1265"/>
      <c r="AES1265"/>
      <c r="AET1265"/>
      <c r="AEU1265"/>
      <c r="AEV1265"/>
      <c r="AEW1265"/>
      <c r="AEX1265"/>
      <c r="AEY1265"/>
      <c r="AEZ1265"/>
      <c r="AFA1265"/>
      <c r="AFB1265"/>
      <c r="AFC1265"/>
      <c r="AFD1265"/>
      <c r="AFE1265"/>
      <c r="AFF1265"/>
      <c r="AFG1265"/>
      <c r="AFH1265"/>
      <c r="AFI1265"/>
      <c r="AFJ1265"/>
      <c r="AFK1265"/>
      <c r="AFL1265"/>
      <c r="AFM1265"/>
      <c r="AFN1265"/>
      <c r="AFO1265"/>
      <c r="AFP1265"/>
      <c r="AFQ1265"/>
      <c r="AFR1265"/>
      <c r="AFS1265"/>
      <c r="AFT1265"/>
      <c r="AFU1265"/>
      <c r="AFV1265"/>
      <c r="AFW1265"/>
      <c r="AFX1265"/>
      <c r="AFY1265"/>
      <c r="AFZ1265"/>
      <c r="AGA1265"/>
      <c r="AGB1265"/>
      <c r="AGC1265"/>
      <c r="AGD1265"/>
      <c r="AGE1265"/>
      <c r="AGF1265"/>
      <c r="AGG1265"/>
      <c r="AGH1265"/>
      <c r="AGI1265"/>
      <c r="AGJ1265"/>
      <c r="AGK1265"/>
      <c r="AGL1265"/>
      <c r="AGM1265"/>
      <c r="AGN1265"/>
      <c r="AGO1265"/>
      <c r="AGP1265"/>
      <c r="AGQ1265"/>
      <c r="AGR1265"/>
      <c r="AGS1265"/>
      <c r="AGT1265"/>
      <c r="AGU1265"/>
      <c r="AGV1265"/>
      <c r="AGW1265"/>
      <c r="AGX1265"/>
      <c r="AGY1265"/>
      <c r="AGZ1265"/>
      <c r="AHA1265"/>
      <c r="AHB1265"/>
      <c r="AHC1265"/>
      <c r="AHD1265"/>
      <c r="AHE1265"/>
      <c r="AHF1265"/>
      <c r="AHG1265"/>
      <c r="AHH1265"/>
      <c r="AHI1265"/>
      <c r="AHJ1265"/>
      <c r="AHK1265"/>
      <c r="AHL1265"/>
      <c r="AHM1265"/>
      <c r="AHN1265"/>
      <c r="AHO1265"/>
      <c r="AHP1265"/>
      <c r="AHQ1265"/>
      <c r="AHR1265"/>
      <c r="AHS1265"/>
      <c r="AHT1265"/>
      <c r="AHU1265"/>
      <c r="AHV1265"/>
      <c r="AHW1265"/>
      <c r="AHX1265"/>
      <c r="AHY1265"/>
      <c r="AHZ1265"/>
      <c r="AIA1265"/>
      <c r="AIB1265"/>
      <c r="AIC1265"/>
      <c r="AID1265"/>
      <c r="AIE1265"/>
      <c r="AIF1265"/>
      <c r="AIG1265"/>
      <c r="AIH1265"/>
      <c r="AII1265"/>
      <c r="AIJ1265"/>
      <c r="AIK1265"/>
      <c r="AIL1265"/>
      <c r="AIM1265"/>
      <c r="AIN1265"/>
      <c r="AIO1265"/>
      <c r="AIP1265"/>
      <c r="AIQ1265"/>
      <c r="AIR1265"/>
      <c r="AIS1265"/>
      <c r="AIT1265"/>
      <c r="AIU1265"/>
      <c r="AIV1265"/>
      <c r="AIW1265"/>
      <c r="AIX1265"/>
      <c r="AIY1265"/>
      <c r="AIZ1265"/>
      <c r="AJA1265"/>
      <c r="AJB1265"/>
      <c r="AJC1265"/>
      <c r="AJD1265"/>
      <c r="AJE1265"/>
      <c r="AJF1265"/>
      <c r="AJG1265"/>
      <c r="AJH1265"/>
      <c r="AJI1265"/>
      <c r="AJJ1265"/>
      <c r="AJK1265"/>
      <c r="AJL1265"/>
      <c r="AJM1265"/>
      <c r="AJN1265"/>
      <c r="AJO1265"/>
      <c r="AJP1265"/>
      <c r="AJQ1265"/>
      <c r="AJR1265"/>
      <c r="AJS1265"/>
      <c r="AJT1265"/>
      <c r="AJU1265"/>
      <c r="AJV1265"/>
      <c r="AJW1265"/>
      <c r="AJX1265"/>
      <c r="AJY1265"/>
      <c r="AJZ1265"/>
      <c r="AKA1265"/>
      <c r="AKB1265"/>
      <c r="AKC1265"/>
      <c r="AKD1265"/>
      <c r="AKE1265"/>
      <c r="AKF1265"/>
      <c r="AKG1265"/>
      <c r="AKH1265"/>
      <c r="AKI1265"/>
      <c r="AKJ1265"/>
      <c r="AKK1265"/>
      <c r="AKL1265"/>
      <c r="AKM1265"/>
      <c r="AKN1265"/>
      <c r="AKO1265"/>
      <c r="AKP1265"/>
      <c r="AKQ1265"/>
      <c r="AKR1265"/>
      <c r="AKS1265"/>
      <c r="AKT1265"/>
      <c r="AKU1265"/>
      <c r="AKV1265"/>
      <c r="AKW1265"/>
      <c r="AKX1265"/>
      <c r="AKY1265"/>
      <c r="AKZ1265"/>
      <c r="ALA1265"/>
      <c r="ALB1265"/>
      <c r="ALC1265"/>
      <c r="ALD1265"/>
      <c r="ALE1265"/>
      <c r="ALF1265"/>
      <c r="ALG1265"/>
      <c r="ALH1265"/>
      <c r="ALI1265"/>
      <c r="ALJ1265"/>
      <c r="ALK1265"/>
      <c r="ALL1265"/>
      <c r="ALM1265"/>
      <c r="ALN1265"/>
      <c r="ALO1265"/>
      <c r="ALP1265"/>
      <c r="ALQ1265"/>
      <c r="ALR1265"/>
      <c r="ALS1265"/>
      <c r="ALT1265"/>
    </row>
    <row r="1266" spans="1:1008" ht="14">
      <c r="A1266" s="27" t="s">
        <v>3945</v>
      </c>
      <c r="B1266" s="25" t="s">
        <v>3893</v>
      </c>
      <c r="C1266" s="27" t="s">
        <v>3945</v>
      </c>
      <c r="D1266" s="24" t="s">
        <v>12</v>
      </c>
      <c r="E1266" s="27" t="s">
        <v>3945</v>
      </c>
      <c r="F1266" s="27" t="s">
        <v>3946</v>
      </c>
      <c r="G1266" s="27">
        <v>500</v>
      </c>
      <c r="H1266" s="27"/>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c r="AT1266"/>
      <c r="AU1266"/>
      <c r="AV1266"/>
      <c r="AW1266"/>
      <c r="AX1266"/>
      <c r="AY1266"/>
      <c r="AZ1266"/>
      <c r="BA1266"/>
      <c r="BB1266"/>
      <c r="BC1266"/>
      <c r="BD1266"/>
      <c r="BE1266"/>
      <c r="BF1266"/>
      <c r="BG1266"/>
      <c r="BH1266"/>
      <c r="BI1266"/>
      <c r="BJ1266"/>
      <c r="BK1266"/>
      <c r="BL1266"/>
      <c r="BM1266"/>
      <c r="BN1266"/>
      <c r="BO1266"/>
      <c r="BP1266"/>
      <c r="BQ1266"/>
      <c r="BR1266"/>
      <c r="BS1266"/>
      <c r="BT1266"/>
      <c r="BU1266"/>
      <c r="BV1266"/>
      <c r="BW1266"/>
      <c r="BX1266"/>
      <c r="BY1266"/>
      <c r="BZ1266"/>
      <c r="CA1266"/>
      <c r="CB1266"/>
      <c r="CC1266"/>
      <c r="CD1266"/>
      <c r="CE1266"/>
      <c r="CF1266"/>
      <c r="CG1266"/>
      <c r="CH1266"/>
      <c r="CI1266"/>
      <c r="CJ1266"/>
      <c r="CK1266"/>
      <c r="CL1266"/>
      <c r="CM1266"/>
      <c r="CN1266"/>
      <c r="CO1266"/>
      <c r="CP1266"/>
      <c r="CQ1266"/>
      <c r="CR1266"/>
      <c r="CS1266"/>
      <c r="CT1266"/>
      <c r="CU1266"/>
      <c r="CV1266"/>
      <c r="CW1266"/>
      <c r="CX1266"/>
      <c r="CY1266"/>
      <c r="CZ1266"/>
      <c r="DA1266"/>
      <c r="DB1266"/>
      <c r="DC1266"/>
      <c r="DD1266"/>
      <c r="DE1266"/>
      <c r="DF1266"/>
      <c r="DG1266"/>
      <c r="DH1266"/>
      <c r="DI1266"/>
      <c r="DJ1266"/>
      <c r="DK1266"/>
      <c r="DL1266"/>
      <c r="DM1266"/>
      <c r="DN1266"/>
      <c r="DO1266"/>
      <c r="DP1266"/>
      <c r="DQ1266"/>
      <c r="DR1266"/>
      <c r="DS1266"/>
      <c r="DT1266"/>
      <c r="DU1266"/>
      <c r="DV1266"/>
      <c r="DW1266"/>
      <c r="DX1266"/>
      <c r="DY1266"/>
      <c r="DZ1266"/>
      <c r="EA1266"/>
      <c r="EB1266"/>
      <c r="EC1266"/>
      <c r="ED1266"/>
      <c r="EE1266"/>
      <c r="EF1266"/>
      <c r="EG1266"/>
      <c r="EH1266"/>
      <c r="EI1266"/>
      <c r="EJ1266"/>
      <c r="EK1266"/>
      <c r="EL1266"/>
      <c r="EM1266"/>
      <c r="EN1266"/>
      <c r="EO1266"/>
      <c r="EP1266"/>
      <c r="EQ1266"/>
      <c r="ER1266"/>
      <c r="ES1266"/>
      <c r="ET1266"/>
      <c r="EU1266"/>
      <c r="EV1266"/>
      <c r="EW1266"/>
      <c r="EX1266"/>
      <c r="EY1266"/>
      <c r="EZ1266"/>
      <c r="FA1266"/>
      <c r="FB1266"/>
      <c r="FC1266"/>
      <c r="FD1266"/>
      <c r="FE1266"/>
      <c r="FF1266"/>
      <c r="FG1266"/>
      <c r="FH1266"/>
      <c r="FI1266"/>
      <c r="FJ1266"/>
      <c r="FK1266"/>
      <c r="FL1266"/>
      <c r="FM1266"/>
      <c r="FN1266"/>
      <c r="FO1266"/>
      <c r="FP1266"/>
      <c r="FQ1266"/>
      <c r="FR1266"/>
      <c r="FS1266"/>
      <c r="FT1266"/>
      <c r="FU1266"/>
      <c r="FV1266"/>
      <c r="FW1266"/>
      <c r="FX1266"/>
      <c r="FY1266"/>
      <c r="FZ1266"/>
      <c r="GA1266"/>
      <c r="GB1266"/>
      <c r="GC1266"/>
      <c r="GD1266"/>
      <c r="GE1266"/>
      <c r="GF1266"/>
      <c r="GG1266"/>
      <c r="GH1266"/>
      <c r="GI1266"/>
      <c r="GJ1266"/>
      <c r="GK1266"/>
      <c r="GL1266"/>
      <c r="GM1266"/>
      <c r="GN1266"/>
      <c r="GO1266"/>
      <c r="GP1266"/>
      <c r="GQ1266"/>
      <c r="GR1266"/>
      <c r="GS1266"/>
      <c r="GT1266"/>
      <c r="GU1266"/>
      <c r="GV1266"/>
      <c r="GW1266"/>
      <c r="GX1266"/>
      <c r="GY1266"/>
      <c r="GZ1266"/>
      <c r="HA1266"/>
      <c r="HB1266"/>
      <c r="HC1266"/>
      <c r="HD1266"/>
      <c r="HE1266"/>
      <c r="HF1266"/>
      <c r="HG1266"/>
      <c r="HH1266"/>
      <c r="HI1266"/>
      <c r="HJ1266"/>
      <c r="HK1266"/>
      <c r="HL1266"/>
      <c r="HM1266"/>
      <c r="HN1266"/>
      <c r="HO1266"/>
      <c r="HP1266"/>
      <c r="HQ1266"/>
      <c r="HR1266"/>
      <c r="HS1266"/>
      <c r="HT1266"/>
      <c r="HU1266"/>
      <c r="HV1266"/>
      <c r="HW1266"/>
      <c r="HX1266"/>
      <c r="HY1266"/>
      <c r="HZ1266"/>
      <c r="IA1266"/>
      <c r="IB1266"/>
      <c r="IC1266"/>
      <c r="ID1266"/>
      <c r="IE1266"/>
      <c r="IF1266"/>
      <c r="IG1266"/>
      <c r="IH1266"/>
      <c r="II1266"/>
      <c r="IJ1266"/>
      <c r="IK1266"/>
      <c r="IL1266"/>
      <c r="IM1266"/>
      <c r="IN1266"/>
      <c r="IO1266"/>
      <c r="IP1266"/>
      <c r="IQ1266"/>
      <c r="IR1266"/>
      <c r="IS1266"/>
      <c r="IT1266"/>
      <c r="IU1266"/>
      <c r="IV1266"/>
      <c r="IW1266"/>
      <c r="IX1266"/>
      <c r="IY1266"/>
      <c r="IZ1266"/>
      <c r="JA1266"/>
      <c r="JB1266"/>
      <c r="JC1266"/>
      <c r="JD1266"/>
      <c r="JE1266"/>
      <c r="JF1266"/>
      <c r="JG1266"/>
      <c r="JH1266"/>
      <c r="JI1266"/>
      <c r="JJ1266"/>
      <c r="JK1266"/>
      <c r="JL1266"/>
      <c r="JM1266"/>
      <c r="JN1266"/>
      <c r="JO1266"/>
      <c r="JP1266"/>
      <c r="JQ1266"/>
      <c r="JR1266"/>
      <c r="JS1266"/>
      <c r="JT1266"/>
      <c r="JU1266"/>
      <c r="JV1266"/>
      <c r="JW1266"/>
      <c r="JX1266"/>
      <c r="JY1266"/>
      <c r="JZ1266"/>
      <c r="KA1266"/>
      <c r="KB1266"/>
      <c r="KC1266"/>
      <c r="KD1266"/>
      <c r="KE1266"/>
      <c r="KF1266"/>
      <c r="KG1266"/>
      <c r="KH1266"/>
      <c r="KI1266"/>
      <c r="KJ1266"/>
      <c r="KK1266"/>
      <c r="KL1266"/>
      <c r="KM1266"/>
      <c r="KN1266"/>
      <c r="KO1266"/>
      <c r="KP1266"/>
      <c r="KQ1266"/>
      <c r="KR1266"/>
      <c r="KS1266"/>
      <c r="KT1266"/>
      <c r="KU1266"/>
      <c r="KV1266"/>
      <c r="KW1266"/>
      <c r="KX1266"/>
      <c r="KY1266"/>
      <c r="KZ1266"/>
      <c r="LA1266"/>
      <c r="LB1266"/>
      <c r="LC1266"/>
      <c r="LD1266"/>
      <c r="LE1266"/>
      <c r="LF1266"/>
      <c r="LG1266"/>
      <c r="LH1266"/>
      <c r="LI1266"/>
      <c r="LJ1266"/>
      <c r="LK1266"/>
      <c r="LL1266"/>
      <c r="LM1266"/>
      <c r="LN1266"/>
      <c r="LO1266"/>
      <c r="LP1266"/>
      <c r="LQ1266"/>
      <c r="LR1266"/>
      <c r="LS1266"/>
      <c r="LT1266"/>
      <c r="LU1266"/>
      <c r="LV1266"/>
      <c r="LW1266"/>
      <c r="LX1266"/>
      <c r="LY1266"/>
      <c r="LZ1266"/>
      <c r="MA1266"/>
      <c r="MB1266"/>
      <c r="MC1266"/>
      <c r="MD1266"/>
      <c r="ME1266"/>
      <c r="MF1266"/>
      <c r="MG1266"/>
      <c r="MH1266"/>
      <c r="MI1266"/>
      <c r="MJ1266"/>
      <c r="MK1266"/>
      <c r="ML1266"/>
      <c r="MM1266"/>
      <c r="MN1266"/>
      <c r="MO1266"/>
      <c r="MP1266"/>
      <c r="MQ1266"/>
      <c r="MR1266"/>
      <c r="MS1266"/>
      <c r="MT1266"/>
      <c r="MU1266"/>
      <c r="MV1266"/>
      <c r="MW1266"/>
      <c r="MX1266"/>
      <c r="MY1266"/>
      <c r="MZ1266"/>
      <c r="NA1266"/>
      <c r="NB1266"/>
      <c r="NC1266"/>
      <c r="ND1266"/>
      <c r="NE1266"/>
      <c r="NF1266"/>
      <c r="NG1266"/>
      <c r="NH1266"/>
      <c r="NI1266"/>
      <c r="NJ1266"/>
      <c r="NK1266"/>
      <c r="NL1266"/>
      <c r="NM1266"/>
      <c r="NN1266"/>
      <c r="NO1266"/>
      <c r="NP1266"/>
      <c r="NQ1266"/>
      <c r="NR1266"/>
      <c r="NS1266"/>
      <c r="NT1266"/>
      <c r="NU1266"/>
      <c r="NV1266"/>
      <c r="NW1266"/>
      <c r="NX1266"/>
      <c r="NY1266"/>
      <c r="NZ1266"/>
      <c r="OA1266"/>
      <c r="OB1266"/>
      <c r="OC1266"/>
      <c r="OD1266"/>
      <c r="OE1266"/>
      <c r="OF1266"/>
      <c r="OG1266"/>
      <c r="OH1266"/>
      <c r="OI1266"/>
      <c r="OJ1266"/>
      <c r="OK1266"/>
      <c r="OL1266"/>
      <c r="OM1266"/>
      <c r="ON1266"/>
      <c r="OO1266"/>
      <c r="OP1266"/>
      <c r="OQ1266"/>
      <c r="OR1266"/>
      <c r="OS1266"/>
      <c r="OT1266"/>
      <c r="OU1266"/>
      <c r="OV1266"/>
      <c r="OW1266"/>
      <c r="OX1266"/>
      <c r="OY1266"/>
      <c r="OZ1266"/>
      <c r="PA1266"/>
      <c r="PB1266"/>
      <c r="PC1266"/>
      <c r="PD1266"/>
      <c r="PE1266"/>
      <c r="PF1266"/>
      <c r="PG1266"/>
      <c r="PH1266"/>
      <c r="PI1266"/>
      <c r="PJ1266"/>
      <c r="PK1266"/>
      <c r="PL1266"/>
      <c r="PM1266"/>
      <c r="PN1266"/>
      <c r="PO1266"/>
      <c r="PP1266"/>
      <c r="PQ1266"/>
      <c r="PR1266"/>
      <c r="PS1266"/>
      <c r="PT1266"/>
      <c r="PU1266"/>
      <c r="PV1266"/>
      <c r="PW1266"/>
      <c r="PX1266"/>
      <c r="PY1266"/>
      <c r="PZ1266"/>
      <c r="QA1266"/>
      <c r="QB1266"/>
      <c r="QC1266"/>
      <c r="QD1266"/>
      <c r="QE1266"/>
      <c r="QF1266"/>
      <c r="QG1266"/>
      <c r="QH1266"/>
      <c r="QI1266"/>
      <c r="QJ1266"/>
      <c r="QK1266"/>
      <c r="QL1266"/>
      <c r="QM1266"/>
      <c r="QN1266"/>
      <c r="QO1266"/>
      <c r="QP1266"/>
      <c r="QQ1266"/>
      <c r="QR1266"/>
      <c r="QS1266"/>
      <c r="QT1266"/>
      <c r="QU1266"/>
      <c r="QV1266"/>
      <c r="QW1266"/>
      <c r="QX1266"/>
      <c r="QY1266"/>
      <c r="QZ1266"/>
      <c r="RA1266"/>
      <c r="RB1266"/>
      <c r="RC1266"/>
      <c r="RD1266"/>
      <c r="RE1266"/>
      <c r="RF1266"/>
      <c r="RG1266"/>
      <c r="RH1266"/>
      <c r="RI1266"/>
      <c r="RJ1266"/>
      <c r="RK1266"/>
      <c r="RL1266"/>
      <c r="RM1266"/>
      <c r="RN1266"/>
      <c r="RO1266"/>
      <c r="RP1266"/>
      <c r="RQ1266"/>
      <c r="RR1266"/>
      <c r="RS1266"/>
      <c r="RT1266"/>
      <c r="RU1266"/>
      <c r="RV1266"/>
      <c r="RW1266"/>
      <c r="RX1266"/>
      <c r="RY1266"/>
      <c r="RZ1266"/>
      <c r="SA1266"/>
      <c r="SB1266"/>
      <c r="SC1266"/>
      <c r="SD1266"/>
      <c r="SE1266"/>
      <c r="SF1266"/>
      <c r="SG1266"/>
      <c r="SH1266"/>
      <c r="SI1266"/>
      <c r="SJ1266"/>
      <c r="SK1266"/>
      <c r="SL1266"/>
      <c r="SM1266"/>
      <c r="SN1266"/>
      <c r="SO1266"/>
      <c r="SP1266"/>
      <c r="SQ1266"/>
      <c r="SR1266"/>
      <c r="SS1266"/>
      <c r="ST1266"/>
      <c r="SU1266"/>
      <c r="SV1266"/>
      <c r="SW1266"/>
      <c r="SX1266"/>
      <c r="SY1266"/>
      <c r="SZ1266"/>
      <c r="TA1266"/>
      <c r="TB1266"/>
      <c r="TC1266"/>
      <c r="TD1266"/>
      <c r="TE1266"/>
      <c r="TF1266"/>
      <c r="TG1266"/>
      <c r="TH1266"/>
      <c r="TI1266"/>
      <c r="TJ1266"/>
      <c r="TK1266"/>
      <c r="TL1266"/>
      <c r="TM1266"/>
      <c r="TN1266"/>
      <c r="TO1266"/>
      <c r="TP1266"/>
      <c r="TQ1266"/>
      <c r="TR1266"/>
      <c r="TS1266"/>
      <c r="TT1266"/>
      <c r="TU1266"/>
      <c r="TV1266"/>
      <c r="TW1266"/>
      <c r="TX1266"/>
      <c r="TY1266"/>
      <c r="TZ1266"/>
      <c r="UA1266"/>
      <c r="UB1266"/>
      <c r="UC1266"/>
      <c r="UD1266"/>
      <c r="UE1266"/>
      <c r="UF1266"/>
      <c r="UG1266"/>
      <c r="UH1266"/>
      <c r="UI1266"/>
      <c r="UJ1266"/>
      <c r="UK1266"/>
      <c r="UL1266"/>
      <c r="UM1266"/>
      <c r="UN1266"/>
      <c r="UO1266"/>
      <c r="UP1266"/>
      <c r="UQ1266"/>
      <c r="UR1266"/>
      <c r="US1266"/>
      <c r="UT1266"/>
      <c r="UU1266"/>
      <c r="UV1266"/>
      <c r="UW1266"/>
      <c r="UX1266"/>
      <c r="UY1266"/>
      <c r="UZ1266"/>
      <c r="VA1266"/>
      <c r="VB1266"/>
      <c r="VC1266"/>
      <c r="VD1266"/>
      <c r="VE1266"/>
      <c r="VF1266"/>
      <c r="VG1266"/>
      <c r="VH1266"/>
      <c r="VI1266"/>
      <c r="VJ1266"/>
      <c r="VK1266"/>
      <c r="VL1266"/>
      <c r="VM1266"/>
      <c r="VN1266"/>
      <c r="VO1266"/>
      <c r="VP1266"/>
      <c r="VQ1266"/>
      <c r="VR1266"/>
      <c r="VS1266"/>
      <c r="VT1266"/>
      <c r="VU1266"/>
      <c r="VV1266"/>
      <c r="VW1266"/>
      <c r="VX1266"/>
      <c r="VY1266"/>
      <c r="VZ1266"/>
      <c r="WA1266"/>
      <c r="WB1266"/>
      <c r="WC1266"/>
      <c r="WD1266"/>
      <c r="WE1266"/>
      <c r="WF1266"/>
      <c r="WG1266"/>
      <c r="WH1266"/>
      <c r="WI1266"/>
      <c r="WJ1266"/>
      <c r="WK1266"/>
      <c r="WL1266"/>
      <c r="WM1266"/>
      <c r="WN1266"/>
      <c r="WO1266"/>
      <c r="WP1266"/>
      <c r="WQ1266"/>
      <c r="WR1266"/>
      <c r="WS1266"/>
      <c r="WT1266"/>
      <c r="WU1266"/>
      <c r="WV1266"/>
      <c r="WW1266"/>
      <c r="WX1266"/>
      <c r="WY1266"/>
      <c r="WZ1266"/>
      <c r="XA1266"/>
      <c r="XB1266"/>
      <c r="XC1266"/>
      <c r="XD1266"/>
      <c r="XE1266"/>
      <c r="XF1266"/>
      <c r="XG1266"/>
      <c r="XH1266"/>
      <c r="XI1266"/>
      <c r="XJ1266"/>
      <c r="XK1266"/>
      <c r="XL1266"/>
      <c r="XM1266"/>
      <c r="XN1266"/>
      <c r="XO1266"/>
      <c r="XP1266"/>
      <c r="XQ1266"/>
      <c r="XR1266"/>
      <c r="XS1266"/>
      <c r="XT1266"/>
      <c r="XU1266"/>
      <c r="XV1266"/>
      <c r="XW1266"/>
      <c r="XX1266"/>
      <c r="XY1266"/>
      <c r="XZ1266"/>
      <c r="YA1266"/>
      <c r="YB1266"/>
      <c r="YC1266"/>
      <c r="YD1266"/>
      <c r="YE1266"/>
      <c r="YF1266"/>
      <c r="YG1266"/>
      <c r="YH1266"/>
      <c r="YI1266"/>
      <c r="YJ1266"/>
      <c r="YK1266"/>
      <c r="YL1266"/>
      <c r="YM1266"/>
      <c r="YN1266"/>
      <c r="YO1266"/>
      <c r="YP1266"/>
      <c r="YQ1266"/>
      <c r="YR1266"/>
      <c r="YS1266"/>
      <c r="YT1266"/>
      <c r="YU1266"/>
      <c r="YV1266"/>
      <c r="YW1266"/>
      <c r="YX1266"/>
      <c r="YY1266"/>
      <c r="YZ1266"/>
      <c r="ZA1266"/>
      <c r="ZB1266"/>
      <c r="ZC1266"/>
      <c r="ZD1266"/>
      <c r="ZE1266"/>
      <c r="ZF1266"/>
      <c r="ZG1266"/>
      <c r="ZH1266"/>
      <c r="ZI1266"/>
      <c r="ZJ1266"/>
      <c r="ZK1266"/>
      <c r="ZL1266"/>
      <c r="ZM1266"/>
      <c r="ZN1266"/>
      <c r="ZO1266"/>
      <c r="ZP1266"/>
      <c r="ZQ1266"/>
      <c r="ZR1266"/>
      <c r="ZS1266"/>
      <c r="ZT1266"/>
      <c r="ZU1266"/>
      <c r="ZV1266"/>
      <c r="ZW1266"/>
      <c r="ZX1266"/>
      <c r="ZY1266"/>
      <c r="ZZ1266"/>
      <c r="AAA1266"/>
      <c r="AAB1266"/>
      <c r="AAC1266"/>
      <c r="AAD1266"/>
      <c r="AAE1266"/>
      <c r="AAF1266"/>
      <c r="AAG1266"/>
      <c r="AAH1266"/>
      <c r="AAI1266"/>
      <c r="AAJ1266"/>
      <c r="AAK1266"/>
      <c r="AAL1266"/>
      <c r="AAM1266"/>
      <c r="AAN1266"/>
      <c r="AAO1266"/>
      <c r="AAP1266"/>
      <c r="AAQ1266"/>
      <c r="AAR1266"/>
      <c r="AAS1266"/>
      <c r="AAT1266"/>
      <c r="AAU1266"/>
      <c r="AAV1266"/>
      <c r="AAW1266"/>
      <c r="AAX1266"/>
      <c r="AAY1266"/>
      <c r="AAZ1266"/>
      <c r="ABA1266"/>
      <c r="ABB1266"/>
      <c r="ABC1266"/>
      <c r="ABD1266"/>
      <c r="ABE1266"/>
      <c r="ABF1266"/>
      <c r="ABG1266"/>
      <c r="ABH1266"/>
      <c r="ABI1266"/>
      <c r="ABJ1266"/>
      <c r="ABK1266"/>
      <c r="ABL1266"/>
      <c r="ABM1266"/>
      <c r="ABN1266"/>
      <c r="ABO1266"/>
      <c r="ABP1266"/>
      <c r="ABQ1266"/>
      <c r="ABR1266"/>
      <c r="ABS1266"/>
      <c r="ABT1266"/>
      <c r="ABU1266"/>
      <c r="ABV1266"/>
      <c r="ABW1266"/>
      <c r="ABX1266"/>
      <c r="ABY1266"/>
      <c r="ABZ1266"/>
      <c r="ACA1266"/>
      <c r="ACB1266"/>
      <c r="ACC1266"/>
      <c r="ACD1266"/>
      <c r="ACE1266"/>
      <c r="ACF1266"/>
      <c r="ACG1266"/>
      <c r="ACH1266"/>
      <c r="ACI1266"/>
      <c r="ACJ1266"/>
      <c r="ACK1266"/>
      <c r="ACL1266"/>
      <c r="ACM1266"/>
      <c r="ACN1266"/>
      <c r="ACO1266"/>
      <c r="ACP1266"/>
      <c r="ACQ1266"/>
      <c r="ACR1266"/>
      <c r="ACS1266"/>
      <c r="ACT1266"/>
      <c r="ACU1266"/>
      <c r="ACV1266"/>
      <c r="ACW1266"/>
      <c r="ACX1266"/>
      <c r="ACY1266"/>
      <c r="ACZ1266"/>
      <c r="ADA1266"/>
      <c r="ADB1266"/>
      <c r="ADC1266"/>
      <c r="ADD1266"/>
      <c r="ADE1266"/>
      <c r="ADF1266"/>
      <c r="ADG1266"/>
      <c r="ADH1266"/>
      <c r="ADI1266"/>
      <c r="ADJ1266"/>
      <c r="ADK1266"/>
      <c r="ADL1266"/>
      <c r="ADM1266"/>
      <c r="ADN1266"/>
      <c r="ADO1266"/>
      <c r="ADP1266"/>
      <c r="ADQ1266"/>
      <c r="ADR1266"/>
      <c r="ADS1266"/>
      <c r="ADT1266"/>
      <c r="ADU1266"/>
      <c r="ADV1266"/>
      <c r="ADW1266"/>
      <c r="ADX1266"/>
      <c r="ADY1266"/>
      <c r="ADZ1266"/>
      <c r="AEA1266"/>
      <c r="AEB1266"/>
      <c r="AEC1266"/>
      <c r="AED1266"/>
      <c r="AEE1266"/>
      <c r="AEF1266"/>
      <c r="AEG1266"/>
      <c r="AEH1266"/>
      <c r="AEI1266"/>
      <c r="AEJ1266"/>
      <c r="AEK1266"/>
      <c r="AEL1266"/>
      <c r="AEM1266"/>
      <c r="AEN1266"/>
      <c r="AEO1266"/>
      <c r="AEP1266"/>
      <c r="AEQ1266"/>
      <c r="AER1266"/>
      <c r="AES1266"/>
      <c r="AET1266"/>
      <c r="AEU1266"/>
      <c r="AEV1266"/>
      <c r="AEW1266"/>
      <c r="AEX1266"/>
      <c r="AEY1266"/>
      <c r="AEZ1266"/>
      <c r="AFA1266"/>
      <c r="AFB1266"/>
      <c r="AFC1266"/>
      <c r="AFD1266"/>
      <c r="AFE1266"/>
      <c r="AFF1266"/>
      <c r="AFG1266"/>
      <c r="AFH1266"/>
      <c r="AFI1266"/>
      <c r="AFJ1266"/>
      <c r="AFK1266"/>
      <c r="AFL1266"/>
      <c r="AFM1266"/>
      <c r="AFN1266"/>
      <c r="AFO1266"/>
      <c r="AFP1266"/>
      <c r="AFQ1266"/>
      <c r="AFR1266"/>
      <c r="AFS1266"/>
      <c r="AFT1266"/>
      <c r="AFU1266"/>
      <c r="AFV1266"/>
      <c r="AFW1266"/>
      <c r="AFX1266"/>
      <c r="AFY1266"/>
      <c r="AFZ1266"/>
      <c r="AGA1266"/>
      <c r="AGB1266"/>
      <c r="AGC1266"/>
      <c r="AGD1266"/>
      <c r="AGE1266"/>
      <c r="AGF1266"/>
      <c r="AGG1266"/>
      <c r="AGH1266"/>
      <c r="AGI1266"/>
      <c r="AGJ1266"/>
      <c r="AGK1266"/>
      <c r="AGL1266"/>
      <c r="AGM1266"/>
      <c r="AGN1266"/>
      <c r="AGO1266"/>
      <c r="AGP1266"/>
      <c r="AGQ1266"/>
      <c r="AGR1266"/>
      <c r="AGS1266"/>
      <c r="AGT1266"/>
      <c r="AGU1266"/>
      <c r="AGV1266"/>
      <c r="AGW1266"/>
      <c r="AGX1266"/>
      <c r="AGY1266"/>
      <c r="AGZ1266"/>
      <c r="AHA1266"/>
      <c r="AHB1266"/>
      <c r="AHC1266"/>
      <c r="AHD1266"/>
      <c r="AHE1266"/>
      <c r="AHF1266"/>
      <c r="AHG1266"/>
      <c r="AHH1266"/>
      <c r="AHI1266"/>
      <c r="AHJ1266"/>
      <c r="AHK1266"/>
      <c r="AHL1266"/>
      <c r="AHM1266"/>
      <c r="AHN1266"/>
      <c r="AHO1266"/>
      <c r="AHP1266"/>
      <c r="AHQ1266"/>
      <c r="AHR1266"/>
      <c r="AHS1266"/>
      <c r="AHT1266"/>
      <c r="AHU1266"/>
      <c r="AHV1266"/>
      <c r="AHW1266"/>
      <c r="AHX1266"/>
      <c r="AHY1266"/>
      <c r="AHZ1266"/>
      <c r="AIA1266"/>
      <c r="AIB1266"/>
      <c r="AIC1266"/>
      <c r="AID1266"/>
      <c r="AIE1266"/>
      <c r="AIF1266"/>
      <c r="AIG1266"/>
      <c r="AIH1266"/>
      <c r="AII1266"/>
      <c r="AIJ1266"/>
      <c r="AIK1266"/>
      <c r="AIL1266"/>
      <c r="AIM1266"/>
      <c r="AIN1266"/>
      <c r="AIO1266"/>
      <c r="AIP1266"/>
      <c r="AIQ1266"/>
      <c r="AIR1266"/>
      <c r="AIS1266"/>
      <c r="AIT1266"/>
      <c r="AIU1266"/>
      <c r="AIV1266"/>
      <c r="AIW1266"/>
      <c r="AIX1266"/>
      <c r="AIY1266"/>
      <c r="AIZ1266"/>
      <c r="AJA1266"/>
      <c r="AJB1266"/>
      <c r="AJC1266"/>
      <c r="AJD1266"/>
      <c r="AJE1266"/>
      <c r="AJF1266"/>
      <c r="AJG1266"/>
      <c r="AJH1266"/>
      <c r="AJI1266"/>
      <c r="AJJ1266"/>
      <c r="AJK1266"/>
      <c r="AJL1266"/>
      <c r="AJM1266"/>
      <c r="AJN1266"/>
      <c r="AJO1266"/>
      <c r="AJP1266"/>
      <c r="AJQ1266"/>
      <c r="AJR1266"/>
      <c r="AJS1266"/>
      <c r="AJT1266"/>
      <c r="AJU1266"/>
      <c r="AJV1266"/>
      <c r="AJW1266"/>
      <c r="AJX1266"/>
      <c r="AJY1266"/>
      <c r="AJZ1266"/>
      <c r="AKA1266"/>
      <c r="AKB1266"/>
      <c r="AKC1266"/>
      <c r="AKD1266"/>
      <c r="AKE1266"/>
      <c r="AKF1266"/>
      <c r="AKG1266"/>
      <c r="AKH1266"/>
      <c r="AKI1266"/>
      <c r="AKJ1266"/>
      <c r="AKK1266"/>
      <c r="AKL1266"/>
      <c r="AKM1266"/>
      <c r="AKN1266"/>
      <c r="AKO1266"/>
      <c r="AKP1266"/>
      <c r="AKQ1266"/>
      <c r="AKR1266"/>
      <c r="AKS1266"/>
      <c r="AKT1266"/>
      <c r="AKU1266"/>
      <c r="AKV1266"/>
      <c r="AKW1266"/>
      <c r="AKX1266"/>
      <c r="AKY1266"/>
      <c r="AKZ1266"/>
      <c r="ALA1266"/>
      <c r="ALB1266"/>
      <c r="ALC1266"/>
      <c r="ALD1266"/>
      <c r="ALE1266"/>
      <c r="ALF1266"/>
      <c r="ALG1266"/>
      <c r="ALH1266"/>
      <c r="ALI1266"/>
      <c r="ALJ1266"/>
      <c r="ALK1266"/>
      <c r="ALL1266"/>
      <c r="ALM1266"/>
      <c r="ALN1266"/>
      <c r="ALO1266"/>
      <c r="ALP1266"/>
      <c r="ALQ1266"/>
      <c r="ALR1266"/>
      <c r="ALS1266"/>
      <c r="ALT1266"/>
    </row>
    <row r="1267" spans="1:1008" ht="14">
      <c r="A1267" s="27" t="s">
        <v>3947</v>
      </c>
      <c r="B1267" s="25" t="s">
        <v>3893</v>
      </c>
      <c r="C1267" s="27" t="s">
        <v>3947</v>
      </c>
      <c r="D1267" s="24" t="s">
        <v>12</v>
      </c>
      <c r="E1267" s="27" t="s">
        <v>3947</v>
      </c>
      <c r="F1267" s="27" t="s">
        <v>3948</v>
      </c>
      <c r="G1267" s="27">
        <v>700</v>
      </c>
      <c r="H1267" s="27"/>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c r="AT1267"/>
      <c r="AU1267"/>
      <c r="AV1267"/>
      <c r="AW1267"/>
      <c r="AX1267"/>
      <c r="AY1267"/>
      <c r="AZ1267"/>
      <c r="BA1267"/>
      <c r="BB1267"/>
      <c r="BC1267"/>
      <c r="BD1267"/>
      <c r="BE1267"/>
      <c r="BF1267"/>
      <c r="BG1267"/>
      <c r="BH1267"/>
      <c r="BI1267"/>
      <c r="BJ1267"/>
      <c r="BK1267"/>
      <c r="BL1267"/>
      <c r="BM1267"/>
      <c r="BN1267"/>
      <c r="BO1267"/>
      <c r="BP1267"/>
      <c r="BQ1267"/>
      <c r="BR1267"/>
      <c r="BS1267"/>
      <c r="BT1267"/>
      <c r="BU1267"/>
      <c r="BV1267"/>
      <c r="BW1267"/>
      <c r="BX1267"/>
      <c r="BY1267"/>
      <c r="BZ1267"/>
      <c r="CA1267"/>
      <c r="CB1267"/>
      <c r="CC1267"/>
      <c r="CD1267"/>
      <c r="CE1267"/>
      <c r="CF1267"/>
      <c r="CG1267"/>
      <c r="CH1267"/>
      <c r="CI1267"/>
      <c r="CJ1267"/>
      <c r="CK1267"/>
      <c r="CL1267"/>
      <c r="CM1267"/>
      <c r="CN1267"/>
      <c r="CO1267"/>
      <c r="CP1267"/>
      <c r="CQ1267"/>
      <c r="CR1267"/>
      <c r="CS1267"/>
      <c r="CT1267"/>
      <c r="CU1267"/>
      <c r="CV1267"/>
      <c r="CW1267"/>
      <c r="CX1267"/>
      <c r="CY1267"/>
      <c r="CZ1267"/>
      <c r="DA1267"/>
      <c r="DB1267"/>
      <c r="DC1267"/>
      <c r="DD1267"/>
      <c r="DE1267"/>
      <c r="DF1267"/>
      <c r="DG1267"/>
      <c r="DH1267"/>
      <c r="DI1267"/>
      <c r="DJ1267"/>
      <c r="DK1267"/>
      <c r="DL1267"/>
      <c r="DM1267"/>
      <c r="DN1267"/>
      <c r="DO1267"/>
      <c r="DP1267"/>
      <c r="DQ1267"/>
      <c r="DR1267"/>
      <c r="DS1267"/>
      <c r="DT1267"/>
      <c r="DU1267"/>
      <c r="DV1267"/>
      <c r="DW1267"/>
      <c r="DX1267"/>
      <c r="DY1267"/>
      <c r="DZ1267"/>
      <c r="EA1267"/>
      <c r="EB1267"/>
      <c r="EC1267"/>
      <c r="ED1267"/>
      <c r="EE1267"/>
      <c r="EF1267"/>
      <c r="EG1267"/>
      <c r="EH1267"/>
      <c r="EI1267"/>
      <c r="EJ1267"/>
      <c r="EK1267"/>
      <c r="EL1267"/>
      <c r="EM1267"/>
      <c r="EN1267"/>
      <c r="EO1267"/>
      <c r="EP1267"/>
      <c r="EQ1267"/>
      <c r="ER1267"/>
      <c r="ES1267"/>
      <c r="ET1267"/>
      <c r="EU1267"/>
      <c r="EV1267"/>
      <c r="EW1267"/>
      <c r="EX1267"/>
      <c r="EY1267"/>
      <c r="EZ1267"/>
      <c r="FA1267"/>
      <c r="FB1267"/>
      <c r="FC1267"/>
      <c r="FD1267"/>
      <c r="FE1267"/>
      <c r="FF1267"/>
      <c r="FG1267"/>
      <c r="FH1267"/>
      <c r="FI1267"/>
      <c r="FJ1267"/>
      <c r="FK1267"/>
      <c r="FL1267"/>
      <c r="FM1267"/>
      <c r="FN1267"/>
      <c r="FO1267"/>
      <c r="FP1267"/>
      <c r="FQ1267"/>
      <c r="FR1267"/>
      <c r="FS1267"/>
      <c r="FT1267"/>
      <c r="FU1267"/>
      <c r="FV1267"/>
      <c r="FW1267"/>
      <c r="FX1267"/>
      <c r="FY1267"/>
      <c r="FZ1267"/>
      <c r="GA1267"/>
      <c r="GB1267"/>
      <c r="GC1267"/>
      <c r="GD1267"/>
      <c r="GE1267"/>
      <c r="GF1267"/>
      <c r="GG1267"/>
      <c r="GH1267"/>
      <c r="GI1267"/>
      <c r="GJ1267"/>
      <c r="GK1267"/>
      <c r="GL1267"/>
      <c r="GM1267"/>
      <c r="GN1267"/>
      <c r="GO1267"/>
      <c r="GP1267"/>
      <c r="GQ1267"/>
      <c r="GR1267"/>
      <c r="GS1267"/>
      <c r="GT1267"/>
      <c r="GU1267"/>
      <c r="GV1267"/>
      <c r="GW1267"/>
      <c r="GX1267"/>
      <c r="GY1267"/>
      <c r="GZ1267"/>
      <c r="HA1267"/>
      <c r="HB1267"/>
      <c r="HC1267"/>
      <c r="HD1267"/>
      <c r="HE1267"/>
      <c r="HF1267"/>
      <c r="HG1267"/>
      <c r="HH1267"/>
      <c r="HI1267"/>
      <c r="HJ1267"/>
      <c r="HK1267"/>
      <c r="HL1267"/>
      <c r="HM1267"/>
      <c r="HN1267"/>
      <c r="HO1267"/>
      <c r="HP1267"/>
      <c r="HQ1267"/>
      <c r="HR1267"/>
      <c r="HS1267"/>
      <c r="HT1267"/>
      <c r="HU1267"/>
      <c r="HV1267"/>
      <c r="HW1267"/>
      <c r="HX1267"/>
      <c r="HY1267"/>
      <c r="HZ1267"/>
      <c r="IA1267"/>
      <c r="IB1267"/>
      <c r="IC1267"/>
      <c r="ID1267"/>
      <c r="IE1267"/>
      <c r="IF1267"/>
      <c r="IG1267"/>
      <c r="IH1267"/>
      <c r="II1267"/>
      <c r="IJ1267"/>
      <c r="IK1267"/>
      <c r="IL1267"/>
      <c r="IM1267"/>
      <c r="IN1267"/>
      <c r="IO1267"/>
      <c r="IP1267"/>
      <c r="IQ1267"/>
      <c r="IR1267"/>
      <c r="IS1267"/>
      <c r="IT1267"/>
      <c r="IU1267"/>
      <c r="IV1267"/>
      <c r="IW1267"/>
      <c r="IX1267"/>
      <c r="IY1267"/>
      <c r="IZ1267"/>
      <c r="JA1267"/>
      <c r="JB1267"/>
      <c r="JC1267"/>
      <c r="JD1267"/>
      <c r="JE1267"/>
      <c r="JF1267"/>
      <c r="JG1267"/>
      <c r="JH1267"/>
      <c r="JI1267"/>
      <c r="JJ1267"/>
      <c r="JK1267"/>
      <c r="JL1267"/>
      <c r="JM1267"/>
      <c r="JN1267"/>
      <c r="JO1267"/>
      <c r="JP1267"/>
      <c r="JQ1267"/>
      <c r="JR1267"/>
      <c r="JS1267"/>
      <c r="JT1267"/>
      <c r="JU1267"/>
      <c r="JV1267"/>
      <c r="JW1267"/>
      <c r="JX1267"/>
      <c r="JY1267"/>
      <c r="JZ1267"/>
      <c r="KA1267"/>
      <c r="KB1267"/>
      <c r="KC1267"/>
      <c r="KD1267"/>
      <c r="KE1267"/>
      <c r="KF1267"/>
      <c r="KG1267"/>
      <c r="KH1267"/>
      <c r="KI1267"/>
      <c r="KJ1267"/>
      <c r="KK1267"/>
      <c r="KL1267"/>
      <c r="KM1267"/>
      <c r="KN1267"/>
      <c r="KO1267"/>
      <c r="KP1267"/>
      <c r="KQ1267"/>
      <c r="KR1267"/>
      <c r="KS1267"/>
      <c r="KT1267"/>
      <c r="KU1267"/>
      <c r="KV1267"/>
      <c r="KW1267"/>
      <c r="KX1267"/>
      <c r="KY1267"/>
      <c r="KZ1267"/>
      <c r="LA1267"/>
      <c r="LB1267"/>
      <c r="LC1267"/>
      <c r="LD1267"/>
      <c r="LE1267"/>
      <c r="LF1267"/>
      <c r="LG1267"/>
      <c r="LH1267"/>
      <c r="LI1267"/>
      <c r="LJ1267"/>
      <c r="LK1267"/>
      <c r="LL1267"/>
      <c r="LM1267"/>
      <c r="LN1267"/>
      <c r="LO1267"/>
      <c r="LP1267"/>
      <c r="LQ1267"/>
      <c r="LR1267"/>
      <c r="LS1267"/>
      <c r="LT1267"/>
      <c r="LU1267"/>
      <c r="LV1267"/>
      <c r="LW1267"/>
      <c r="LX1267"/>
      <c r="LY1267"/>
      <c r="LZ1267"/>
      <c r="MA1267"/>
      <c r="MB1267"/>
      <c r="MC1267"/>
      <c r="MD1267"/>
      <c r="ME1267"/>
      <c r="MF1267"/>
      <c r="MG1267"/>
      <c r="MH1267"/>
      <c r="MI1267"/>
      <c r="MJ1267"/>
      <c r="MK1267"/>
      <c r="ML1267"/>
      <c r="MM1267"/>
      <c r="MN1267"/>
      <c r="MO1267"/>
      <c r="MP1267"/>
      <c r="MQ1267"/>
      <c r="MR1267"/>
      <c r="MS1267"/>
      <c r="MT1267"/>
      <c r="MU1267"/>
      <c r="MV1267"/>
      <c r="MW1267"/>
      <c r="MX1267"/>
      <c r="MY1267"/>
      <c r="MZ1267"/>
      <c r="NA1267"/>
      <c r="NB1267"/>
      <c r="NC1267"/>
      <c r="ND1267"/>
      <c r="NE1267"/>
      <c r="NF1267"/>
      <c r="NG1267"/>
      <c r="NH1267"/>
      <c r="NI1267"/>
      <c r="NJ1267"/>
      <c r="NK1267"/>
      <c r="NL1267"/>
      <c r="NM1267"/>
      <c r="NN1267"/>
      <c r="NO1267"/>
      <c r="NP1267"/>
      <c r="NQ1267"/>
      <c r="NR1267"/>
      <c r="NS1267"/>
      <c r="NT1267"/>
      <c r="NU1267"/>
      <c r="NV1267"/>
      <c r="NW1267"/>
      <c r="NX1267"/>
      <c r="NY1267"/>
      <c r="NZ1267"/>
      <c r="OA1267"/>
      <c r="OB1267"/>
      <c r="OC1267"/>
      <c r="OD1267"/>
      <c r="OE1267"/>
      <c r="OF1267"/>
      <c r="OG1267"/>
      <c r="OH1267"/>
      <c r="OI1267"/>
      <c r="OJ1267"/>
      <c r="OK1267"/>
      <c r="OL1267"/>
      <c r="OM1267"/>
      <c r="ON1267"/>
      <c r="OO1267"/>
      <c r="OP1267"/>
      <c r="OQ1267"/>
      <c r="OR1267"/>
      <c r="OS1267"/>
      <c r="OT1267"/>
      <c r="OU1267"/>
      <c r="OV1267"/>
      <c r="OW1267"/>
      <c r="OX1267"/>
      <c r="OY1267"/>
      <c r="OZ1267"/>
      <c r="PA1267"/>
      <c r="PB1267"/>
      <c r="PC1267"/>
      <c r="PD1267"/>
      <c r="PE1267"/>
      <c r="PF1267"/>
      <c r="PG1267"/>
      <c r="PH1267"/>
      <c r="PI1267"/>
      <c r="PJ1267"/>
      <c r="PK1267"/>
      <c r="PL1267"/>
      <c r="PM1267"/>
      <c r="PN1267"/>
      <c r="PO1267"/>
      <c r="PP1267"/>
      <c r="PQ1267"/>
      <c r="PR1267"/>
      <c r="PS1267"/>
      <c r="PT1267"/>
      <c r="PU1267"/>
      <c r="PV1267"/>
      <c r="PW1267"/>
      <c r="PX1267"/>
      <c r="PY1267"/>
      <c r="PZ1267"/>
      <c r="QA1267"/>
      <c r="QB1267"/>
      <c r="QC1267"/>
      <c r="QD1267"/>
      <c r="QE1267"/>
      <c r="QF1267"/>
      <c r="QG1267"/>
      <c r="QH1267"/>
      <c r="QI1267"/>
      <c r="QJ1267"/>
      <c r="QK1267"/>
      <c r="QL1267"/>
      <c r="QM1267"/>
      <c r="QN1267"/>
      <c r="QO1267"/>
      <c r="QP1267"/>
      <c r="QQ1267"/>
      <c r="QR1267"/>
      <c r="QS1267"/>
      <c r="QT1267"/>
      <c r="QU1267"/>
      <c r="QV1267"/>
      <c r="QW1267"/>
      <c r="QX1267"/>
      <c r="QY1267"/>
      <c r="QZ1267"/>
      <c r="RA1267"/>
      <c r="RB1267"/>
      <c r="RC1267"/>
      <c r="RD1267"/>
      <c r="RE1267"/>
      <c r="RF1267"/>
      <c r="RG1267"/>
      <c r="RH1267"/>
      <c r="RI1267"/>
      <c r="RJ1267"/>
      <c r="RK1267"/>
      <c r="RL1267"/>
      <c r="RM1267"/>
      <c r="RN1267"/>
      <c r="RO1267"/>
      <c r="RP1267"/>
      <c r="RQ1267"/>
      <c r="RR1267"/>
      <c r="RS1267"/>
      <c r="RT1267"/>
      <c r="RU1267"/>
      <c r="RV1267"/>
      <c r="RW1267"/>
      <c r="RX1267"/>
      <c r="RY1267"/>
      <c r="RZ1267"/>
      <c r="SA1267"/>
      <c r="SB1267"/>
      <c r="SC1267"/>
      <c r="SD1267"/>
      <c r="SE1267"/>
      <c r="SF1267"/>
      <c r="SG1267"/>
      <c r="SH1267"/>
      <c r="SI1267"/>
      <c r="SJ1267"/>
      <c r="SK1267"/>
      <c r="SL1267"/>
      <c r="SM1267"/>
      <c r="SN1267"/>
      <c r="SO1267"/>
      <c r="SP1267"/>
      <c r="SQ1267"/>
      <c r="SR1267"/>
      <c r="SS1267"/>
      <c r="ST1267"/>
      <c r="SU1267"/>
      <c r="SV1267"/>
      <c r="SW1267"/>
      <c r="SX1267"/>
      <c r="SY1267"/>
      <c r="SZ1267"/>
      <c r="TA1267"/>
      <c r="TB1267"/>
      <c r="TC1267"/>
      <c r="TD1267"/>
      <c r="TE1267"/>
      <c r="TF1267"/>
      <c r="TG1267"/>
      <c r="TH1267"/>
      <c r="TI1267"/>
      <c r="TJ1267"/>
      <c r="TK1267"/>
      <c r="TL1267"/>
      <c r="TM1267"/>
      <c r="TN1267"/>
      <c r="TO1267"/>
      <c r="TP1267"/>
      <c r="TQ1267"/>
      <c r="TR1267"/>
      <c r="TS1267"/>
      <c r="TT1267"/>
      <c r="TU1267"/>
      <c r="TV1267"/>
      <c r="TW1267"/>
      <c r="TX1267"/>
      <c r="TY1267"/>
      <c r="TZ1267"/>
      <c r="UA1267"/>
      <c r="UB1267"/>
      <c r="UC1267"/>
      <c r="UD1267"/>
      <c r="UE1267"/>
      <c r="UF1267"/>
      <c r="UG1267"/>
      <c r="UH1267"/>
      <c r="UI1267"/>
      <c r="UJ1267"/>
      <c r="UK1267"/>
      <c r="UL1267"/>
      <c r="UM1267"/>
      <c r="UN1267"/>
      <c r="UO1267"/>
      <c r="UP1267"/>
      <c r="UQ1267"/>
      <c r="UR1267"/>
      <c r="US1267"/>
      <c r="UT1267"/>
      <c r="UU1267"/>
      <c r="UV1267"/>
      <c r="UW1267"/>
      <c r="UX1267"/>
      <c r="UY1267"/>
      <c r="UZ1267"/>
      <c r="VA1267"/>
      <c r="VB1267"/>
      <c r="VC1267"/>
      <c r="VD1267"/>
      <c r="VE1267"/>
      <c r="VF1267"/>
      <c r="VG1267"/>
      <c r="VH1267"/>
      <c r="VI1267"/>
      <c r="VJ1267"/>
      <c r="VK1267"/>
      <c r="VL1267"/>
      <c r="VM1267"/>
      <c r="VN1267"/>
      <c r="VO1267"/>
      <c r="VP1267"/>
      <c r="VQ1267"/>
      <c r="VR1267"/>
      <c r="VS1267"/>
      <c r="VT1267"/>
      <c r="VU1267"/>
      <c r="VV1267"/>
      <c r="VW1267"/>
      <c r="VX1267"/>
      <c r="VY1267"/>
      <c r="VZ1267"/>
      <c r="WA1267"/>
      <c r="WB1267"/>
      <c r="WC1267"/>
      <c r="WD1267"/>
      <c r="WE1267"/>
      <c r="WF1267"/>
      <c r="WG1267"/>
      <c r="WH1267"/>
      <c r="WI1267"/>
      <c r="WJ1267"/>
      <c r="WK1267"/>
      <c r="WL1267"/>
      <c r="WM1267"/>
      <c r="WN1267"/>
      <c r="WO1267"/>
      <c r="WP1267"/>
      <c r="WQ1267"/>
      <c r="WR1267"/>
      <c r="WS1267"/>
      <c r="WT1267"/>
      <c r="WU1267"/>
      <c r="WV1267"/>
      <c r="WW1267"/>
      <c r="WX1267"/>
      <c r="WY1267"/>
      <c r="WZ1267"/>
      <c r="XA1267"/>
      <c r="XB1267"/>
      <c r="XC1267"/>
      <c r="XD1267"/>
      <c r="XE1267"/>
      <c r="XF1267"/>
      <c r="XG1267"/>
      <c r="XH1267"/>
      <c r="XI1267"/>
      <c r="XJ1267"/>
      <c r="XK1267"/>
      <c r="XL1267"/>
      <c r="XM1267"/>
      <c r="XN1267"/>
      <c r="XO1267"/>
      <c r="XP1267"/>
      <c r="XQ1267"/>
      <c r="XR1267"/>
      <c r="XS1267"/>
      <c r="XT1267"/>
      <c r="XU1267"/>
      <c r="XV1267"/>
      <c r="XW1267"/>
      <c r="XX1267"/>
      <c r="XY1267"/>
      <c r="XZ1267"/>
      <c r="YA1267"/>
      <c r="YB1267"/>
      <c r="YC1267"/>
      <c r="YD1267"/>
      <c r="YE1267"/>
      <c r="YF1267"/>
      <c r="YG1267"/>
      <c r="YH1267"/>
      <c r="YI1267"/>
      <c r="YJ1267"/>
      <c r="YK1267"/>
      <c r="YL1267"/>
      <c r="YM1267"/>
      <c r="YN1267"/>
      <c r="YO1267"/>
      <c r="YP1267"/>
      <c r="YQ1267"/>
      <c r="YR1267"/>
      <c r="YS1267"/>
      <c r="YT1267"/>
      <c r="YU1267"/>
      <c r="YV1267"/>
      <c r="YW1267"/>
      <c r="YX1267"/>
      <c r="YY1267"/>
      <c r="YZ1267"/>
      <c r="ZA1267"/>
      <c r="ZB1267"/>
      <c r="ZC1267"/>
      <c r="ZD1267"/>
      <c r="ZE1267"/>
      <c r="ZF1267"/>
      <c r="ZG1267"/>
      <c r="ZH1267"/>
      <c r="ZI1267"/>
      <c r="ZJ1267"/>
      <c r="ZK1267"/>
      <c r="ZL1267"/>
      <c r="ZM1267"/>
      <c r="ZN1267"/>
      <c r="ZO1267"/>
      <c r="ZP1267"/>
      <c r="ZQ1267"/>
      <c r="ZR1267"/>
      <c r="ZS1267"/>
      <c r="ZT1267"/>
      <c r="ZU1267"/>
      <c r="ZV1267"/>
      <c r="ZW1267"/>
      <c r="ZX1267"/>
      <c r="ZY1267"/>
      <c r="ZZ1267"/>
      <c r="AAA1267"/>
      <c r="AAB1267"/>
      <c r="AAC1267"/>
      <c r="AAD1267"/>
      <c r="AAE1267"/>
      <c r="AAF1267"/>
      <c r="AAG1267"/>
      <c r="AAH1267"/>
      <c r="AAI1267"/>
      <c r="AAJ1267"/>
      <c r="AAK1267"/>
      <c r="AAL1267"/>
      <c r="AAM1267"/>
      <c r="AAN1267"/>
      <c r="AAO1267"/>
      <c r="AAP1267"/>
      <c r="AAQ1267"/>
      <c r="AAR1267"/>
      <c r="AAS1267"/>
      <c r="AAT1267"/>
      <c r="AAU1267"/>
      <c r="AAV1267"/>
      <c r="AAW1267"/>
      <c r="AAX1267"/>
      <c r="AAY1267"/>
      <c r="AAZ1267"/>
      <c r="ABA1267"/>
      <c r="ABB1267"/>
      <c r="ABC1267"/>
      <c r="ABD1267"/>
      <c r="ABE1267"/>
      <c r="ABF1267"/>
      <c r="ABG1267"/>
      <c r="ABH1267"/>
      <c r="ABI1267"/>
      <c r="ABJ1267"/>
      <c r="ABK1267"/>
      <c r="ABL1267"/>
      <c r="ABM1267"/>
      <c r="ABN1267"/>
      <c r="ABO1267"/>
      <c r="ABP1267"/>
      <c r="ABQ1267"/>
      <c r="ABR1267"/>
      <c r="ABS1267"/>
      <c r="ABT1267"/>
      <c r="ABU1267"/>
      <c r="ABV1267"/>
      <c r="ABW1267"/>
      <c r="ABX1267"/>
      <c r="ABY1267"/>
      <c r="ABZ1267"/>
      <c r="ACA1267"/>
      <c r="ACB1267"/>
      <c r="ACC1267"/>
      <c r="ACD1267"/>
      <c r="ACE1267"/>
      <c r="ACF1267"/>
      <c r="ACG1267"/>
      <c r="ACH1267"/>
      <c r="ACI1267"/>
      <c r="ACJ1267"/>
      <c r="ACK1267"/>
      <c r="ACL1267"/>
      <c r="ACM1267"/>
      <c r="ACN1267"/>
      <c r="ACO1267"/>
      <c r="ACP1267"/>
      <c r="ACQ1267"/>
      <c r="ACR1267"/>
      <c r="ACS1267"/>
      <c r="ACT1267"/>
      <c r="ACU1267"/>
      <c r="ACV1267"/>
      <c r="ACW1267"/>
      <c r="ACX1267"/>
      <c r="ACY1267"/>
      <c r="ACZ1267"/>
      <c r="ADA1267"/>
      <c r="ADB1267"/>
      <c r="ADC1267"/>
      <c r="ADD1267"/>
      <c r="ADE1267"/>
      <c r="ADF1267"/>
      <c r="ADG1267"/>
      <c r="ADH1267"/>
      <c r="ADI1267"/>
      <c r="ADJ1267"/>
      <c r="ADK1267"/>
      <c r="ADL1267"/>
      <c r="ADM1267"/>
      <c r="ADN1267"/>
      <c r="ADO1267"/>
      <c r="ADP1267"/>
      <c r="ADQ1267"/>
      <c r="ADR1267"/>
      <c r="ADS1267"/>
      <c r="ADT1267"/>
      <c r="ADU1267"/>
      <c r="ADV1267"/>
      <c r="ADW1267"/>
      <c r="ADX1267"/>
      <c r="ADY1267"/>
      <c r="ADZ1267"/>
      <c r="AEA1267"/>
      <c r="AEB1267"/>
      <c r="AEC1267"/>
      <c r="AED1267"/>
      <c r="AEE1267"/>
      <c r="AEF1267"/>
      <c r="AEG1267"/>
      <c r="AEH1267"/>
      <c r="AEI1267"/>
      <c r="AEJ1267"/>
      <c r="AEK1267"/>
      <c r="AEL1267"/>
      <c r="AEM1267"/>
      <c r="AEN1267"/>
      <c r="AEO1267"/>
      <c r="AEP1267"/>
      <c r="AEQ1267"/>
      <c r="AER1267"/>
      <c r="AES1267"/>
      <c r="AET1267"/>
      <c r="AEU1267"/>
      <c r="AEV1267"/>
      <c r="AEW1267"/>
      <c r="AEX1267"/>
      <c r="AEY1267"/>
      <c r="AEZ1267"/>
      <c r="AFA1267"/>
      <c r="AFB1267"/>
      <c r="AFC1267"/>
      <c r="AFD1267"/>
      <c r="AFE1267"/>
      <c r="AFF1267"/>
      <c r="AFG1267"/>
      <c r="AFH1267"/>
      <c r="AFI1267"/>
      <c r="AFJ1267"/>
      <c r="AFK1267"/>
      <c r="AFL1267"/>
      <c r="AFM1267"/>
      <c r="AFN1267"/>
      <c r="AFO1267"/>
      <c r="AFP1267"/>
      <c r="AFQ1267"/>
      <c r="AFR1267"/>
      <c r="AFS1267"/>
      <c r="AFT1267"/>
      <c r="AFU1267"/>
      <c r="AFV1267"/>
      <c r="AFW1267"/>
      <c r="AFX1267"/>
      <c r="AFY1267"/>
      <c r="AFZ1267"/>
      <c r="AGA1267"/>
      <c r="AGB1267"/>
      <c r="AGC1267"/>
      <c r="AGD1267"/>
      <c r="AGE1267"/>
      <c r="AGF1267"/>
      <c r="AGG1267"/>
      <c r="AGH1267"/>
      <c r="AGI1267"/>
      <c r="AGJ1267"/>
      <c r="AGK1267"/>
      <c r="AGL1267"/>
      <c r="AGM1267"/>
      <c r="AGN1267"/>
      <c r="AGO1267"/>
      <c r="AGP1267"/>
      <c r="AGQ1267"/>
      <c r="AGR1267"/>
      <c r="AGS1267"/>
      <c r="AGT1267"/>
      <c r="AGU1267"/>
      <c r="AGV1267"/>
      <c r="AGW1267"/>
      <c r="AGX1267"/>
      <c r="AGY1267"/>
      <c r="AGZ1267"/>
      <c r="AHA1267"/>
      <c r="AHB1267"/>
      <c r="AHC1267"/>
      <c r="AHD1267"/>
      <c r="AHE1267"/>
      <c r="AHF1267"/>
      <c r="AHG1267"/>
      <c r="AHH1267"/>
      <c r="AHI1267"/>
      <c r="AHJ1267"/>
      <c r="AHK1267"/>
      <c r="AHL1267"/>
      <c r="AHM1267"/>
      <c r="AHN1267"/>
      <c r="AHO1267"/>
      <c r="AHP1267"/>
      <c r="AHQ1267"/>
      <c r="AHR1267"/>
      <c r="AHS1267"/>
      <c r="AHT1267"/>
      <c r="AHU1267"/>
      <c r="AHV1267"/>
      <c r="AHW1267"/>
      <c r="AHX1267"/>
      <c r="AHY1267"/>
      <c r="AHZ1267"/>
      <c r="AIA1267"/>
      <c r="AIB1267"/>
      <c r="AIC1267"/>
      <c r="AID1267"/>
      <c r="AIE1267"/>
      <c r="AIF1267"/>
      <c r="AIG1267"/>
      <c r="AIH1267"/>
      <c r="AII1267"/>
      <c r="AIJ1267"/>
      <c r="AIK1267"/>
      <c r="AIL1267"/>
      <c r="AIM1267"/>
      <c r="AIN1267"/>
      <c r="AIO1267"/>
      <c r="AIP1267"/>
      <c r="AIQ1267"/>
      <c r="AIR1267"/>
      <c r="AIS1267"/>
      <c r="AIT1267"/>
      <c r="AIU1267"/>
      <c r="AIV1267"/>
      <c r="AIW1267"/>
      <c r="AIX1267"/>
      <c r="AIY1267"/>
      <c r="AIZ1267"/>
      <c r="AJA1267"/>
      <c r="AJB1267"/>
      <c r="AJC1267"/>
      <c r="AJD1267"/>
      <c r="AJE1267"/>
      <c r="AJF1267"/>
      <c r="AJG1267"/>
      <c r="AJH1267"/>
      <c r="AJI1267"/>
      <c r="AJJ1267"/>
      <c r="AJK1267"/>
      <c r="AJL1267"/>
      <c r="AJM1267"/>
      <c r="AJN1267"/>
      <c r="AJO1267"/>
      <c r="AJP1267"/>
      <c r="AJQ1267"/>
      <c r="AJR1267"/>
      <c r="AJS1267"/>
      <c r="AJT1267"/>
      <c r="AJU1267"/>
      <c r="AJV1267"/>
      <c r="AJW1267"/>
      <c r="AJX1267"/>
      <c r="AJY1267"/>
      <c r="AJZ1267"/>
      <c r="AKA1267"/>
      <c r="AKB1267"/>
      <c r="AKC1267"/>
      <c r="AKD1267"/>
      <c r="AKE1267"/>
      <c r="AKF1267"/>
      <c r="AKG1267"/>
      <c r="AKH1267"/>
      <c r="AKI1267"/>
      <c r="AKJ1267"/>
      <c r="AKK1267"/>
      <c r="AKL1267"/>
      <c r="AKM1267"/>
      <c r="AKN1267"/>
      <c r="AKO1267"/>
      <c r="AKP1267"/>
      <c r="AKQ1267"/>
      <c r="AKR1267"/>
      <c r="AKS1267"/>
      <c r="AKT1267"/>
      <c r="AKU1267"/>
      <c r="AKV1267"/>
      <c r="AKW1267"/>
      <c r="AKX1267"/>
      <c r="AKY1267"/>
      <c r="AKZ1267"/>
      <c r="ALA1267"/>
      <c r="ALB1267"/>
      <c r="ALC1267"/>
      <c r="ALD1267"/>
      <c r="ALE1267"/>
      <c r="ALF1267"/>
      <c r="ALG1267"/>
      <c r="ALH1267"/>
      <c r="ALI1267"/>
      <c r="ALJ1267"/>
      <c r="ALK1267"/>
      <c r="ALL1267"/>
      <c r="ALM1267"/>
      <c r="ALN1267"/>
      <c r="ALO1267"/>
      <c r="ALP1267"/>
      <c r="ALQ1267"/>
      <c r="ALR1267"/>
      <c r="ALS1267"/>
      <c r="ALT1267"/>
    </row>
    <row r="1268" spans="1:1008" ht="14">
      <c r="A1268" s="27" t="s">
        <v>3949</v>
      </c>
      <c r="B1268" s="25" t="s">
        <v>3893</v>
      </c>
      <c r="C1268" s="27" t="s">
        <v>3949</v>
      </c>
      <c r="D1268" s="24" t="s">
        <v>12</v>
      </c>
      <c r="E1268" s="27" t="s">
        <v>3949</v>
      </c>
      <c r="F1268" s="27" t="s">
        <v>3950</v>
      </c>
      <c r="G1268" s="27">
        <v>800</v>
      </c>
      <c r="H1268" s="27"/>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c r="AT1268"/>
      <c r="AU1268"/>
      <c r="AV1268"/>
      <c r="AW1268"/>
      <c r="AX1268"/>
      <c r="AY1268"/>
      <c r="AZ1268"/>
      <c r="BA1268"/>
      <c r="BB1268"/>
      <c r="BC1268"/>
      <c r="BD1268"/>
      <c r="BE1268"/>
      <c r="BF1268"/>
      <c r="BG1268"/>
      <c r="BH1268"/>
      <c r="BI1268"/>
      <c r="BJ1268"/>
      <c r="BK1268"/>
      <c r="BL1268"/>
      <c r="BM1268"/>
      <c r="BN1268"/>
      <c r="BO1268"/>
      <c r="BP1268"/>
      <c r="BQ1268"/>
      <c r="BR1268"/>
      <c r="BS1268"/>
      <c r="BT1268"/>
      <c r="BU1268"/>
      <c r="BV1268"/>
      <c r="BW1268"/>
      <c r="BX1268"/>
      <c r="BY1268"/>
      <c r="BZ1268"/>
      <c r="CA1268"/>
      <c r="CB1268"/>
      <c r="CC1268"/>
      <c r="CD1268"/>
      <c r="CE1268"/>
      <c r="CF1268"/>
      <c r="CG1268"/>
      <c r="CH1268"/>
      <c r="CI1268"/>
      <c r="CJ1268"/>
      <c r="CK1268"/>
      <c r="CL1268"/>
      <c r="CM1268"/>
      <c r="CN1268"/>
      <c r="CO1268"/>
      <c r="CP1268"/>
      <c r="CQ1268"/>
      <c r="CR1268"/>
      <c r="CS1268"/>
      <c r="CT1268"/>
      <c r="CU1268"/>
      <c r="CV1268"/>
      <c r="CW1268"/>
      <c r="CX1268"/>
      <c r="CY1268"/>
      <c r="CZ1268"/>
      <c r="DA1268"/>
      <c r="DB1268"/>
      <c r="DC1268"/>
      <c r="DD1268"/>
      <c r="DE1268"/>
      <c r="DF1268"/>
      <c r="DG1268"/>
      <c r="DH1268"/>
      <c r="DI1268"/>
      <c r="DJ1268"/>
      <c r="DK1268"/>
      <c r="DL1268"/>
      <c r="DM1268"/>
      <c r="DN1268"/>
      <c r="DO1268"/>
      <c r="DP1268"/>
      <c r="DQ1268"/>
      <c r="DR1268"/>
      <c r="DS1268"/>
      <c r="DT1268"/>
      <c r="DU1268"/>
      <c r="DV1268"/>
      <c r="DW1268"/>
      <c r="DX1268"/>
      <c r="DY1268"/>
      <c r="DZ1268"/>
      <c r="EA1268"/>
      <c r="EB1268"/>
      <c r="EC1268"/>
      <c r="ED1268"/>
      <c r="EE1268"/>
      <c r="EF1268"/>
      <c r="EG1268"/>
      <c r="EH1268"/>
      <c r="EI1268"/>
      <c r="EJ1268"/>
      <c r="EK1268"/>
      <c r="EL1268"/>
      <c r="EM1268"/>
      <c r="EN1268"/>
      <c r="EO1268"/>
      <c r="EP1268"/>
      <c r="EQ1268"/>
      <c r="ER1268"/>
      <c r="ES1268"/>
      <c r="ET1268"/>
      <c r="EU1268"/>
      <c r="EV1268"/>
      <c r="EW1268"/>
      <c r="EX1268"/>
      <c r="EY1268"/>
      <c r="EZ1268"/>
      <c r="FA1268"/>
      <c r="FB1268"/>
      <c r="FC1268"/>
      <c r="FD1268"/>
      <c r="FE1268"/>
      <c r="FF1268"/>
      <c r="FG1268"/>
      <c r="FH1268"/>
      <c r="FI1268"/>
      <c r="FJ1268"/>
      <c r="FK1268"/>
      <c r="FL1268"/>
      <c r="FM1268"/>
      <c r="FN1268"/>
      <c r="FO1268"/>
      <c r="FP1268"/>
      <c r="FQ1268"/>
      <c r="FR1268"/>
      <c r="FS1268"/>
      <c r="FT1268"/>
      <c r="FU1268"/>
      <c r="FV1268"/>
      <c r="FW1268"/>
      <c r="FX1268"/>
      <c r="FY1268"/>
      <c r="FZ1268"/>
      <c r="GA1268"/>
      <c r="GB1268"/>
      <c r="GC1268"/>
      <c r="GD1268"/>
      <c r="GE1268"/>
      <c r="GF1268"/>
      <c r="GG1268"/>
      <c r="GH1268"/>
      <c r="GI1268"/>
      <c r="GJ1268"/>
      <c r="GK1268"/>
      <c r="GL1268"/>
      <c r="GM1268"/>
      <c r="GN1268"/>
      <c r="GO1268"/>
      <c r="GP1268"/>
      <c r="GQ1268"/>
      <c r="GR1268"/>
      <c r="GS1268"/>
      <c r="GT1268"/>
      <c r="GU1268"/>
      <c r="GV1268"/>
      <c r="GW1268"/>
      <c r="GX1268"/>
      <c r="GY1268"/>
      <c r="GZ1268"/>
      <c r="HA1268"/>
      <c r="HB1268"/>
      <c r="HC1268"/>
      <c r="HD1268"/>
      <c r="HE1268"/>
      <c r="HF1268"/>
      <c r="HG1268"/>
      <c r="HH1268"/>
      <c r="HI1268"/>
      <c r="HJ1268"/>
      <c r="HK1268"/>
      <c r="HL1268"/>
      <c r="HM1268"/>
      <c r="HN1268"/>
      <c r="HO1268"/>
      <c r="HP1268"/>
      <c r="HQ1268"/>
      <c r="HR1268"/>
      <c r="HS1268"/>
      <c r="HT1268"/>
      <c r="HU1268"/>
      <c r="HV1268"/>
      <c r="HW1268"/>
      <c r="HX1268"/>
      <c r="HY1268"/>
      <c r="HZ1268"/>
      <c r="IA1268"/>
      <c r="IB1268"/>
      <c r="IC1268"/>
      <c r="ID1268"/>
      <c r="IE1268"/>
      <c r="IF1268"/>
      <c r="IG1268"/>
      <c r="IH1268"/>
      <c r="II1268"/>
      <c r="IJ1268"/>
      <c r="IK1268"/>
      <c r="IL1268"/>
      <c r="IM1268"/>
      <c r="IN1268"/>
      <c r="IO1268"/>
      <c r="IP1268"/>
      <c r="IQ1268"/>
      <c r="IR1268"/>
      <c r="IS1268"/>
      <c r="IT1268"/>
      <c r="IU1268"/>
      <c r="IV1268"/>
      <c r="IW1268"/>
      <c r="IX1268"/>
      <c r="IY1268"/>
      <c r="IZ1268"/>
      <c r="JA1268"/>
      <c r="JB1268"/>
      <c r="JC1268"/>
      <c r="JD1268"/>
      <c r="JE1268"/>
      <c r="JF1268"/>
      <c r="JG1268"/>
      <c r="JH1268"/>
      <c r="JI1268"/>
      <c r="JJ1268"/>
      <c r="JK1268"/>
      <c r="JL1268"/>
      <c r="JM1268"/>
      <c r="JN1268"/>
      <c r="JO1268"/>
      <c r="JP1268"/>
      <c r="JQ1268"/>
      <c r="JR1268"/>
      <c r="JS1268"/>
      <c r="JT1268"/>
      <c r="JU1268"/>
      <c r="JV1268"/>
      <c r="JW1268"/>
      <c r="JX1268"/>
      <c r="JY1268"/>
      <c r="JZ1268"/>
      <c r="KA1268"/>
      <c r="KB1268"/>
      <c r="KC1268"/>
      <c r="KD1268"/>
      <c r="KE1268"/>
      <c r="KF1268"/>
      <c r="KG1268"/>
      <c r="KH1268"/>
      <c r="KI1268"/>
      <c r="KJ1268"/>
      <c r="KK1268"/>
      <c r="KL1268"/>
      <c r="KM1268"/>
      <c r="KN1268"/>
      <c r="KO1268"/>
      <c r="KP1268"/>
      <c r="KQ1268"/>
      <c r="KR1268"/>
      <c r="KS1268"/>
      <c r="KT1268"/>
      <c r="KU1268"/>
      <c r="KV1268"/>
      <c r="KW1268"/>
      <c r="KX1268"/>
      <c r="KY1268"/>
      <c r="KZ1268"/>
      <c r="LA1268"/>
      <c r="LB1268"/>
      <c r="LC1268"/>
      <c r="LD1268"/>
      <c r="LE1268"/>
      <c r="LF1268"/>
      <c r="LG1268"/>
      <c r="LH1268"/>
      <c r="LI1268"/>
      <c r="LJ1268"/>
      <c r="LK1268"/>
      <c r="LL1268"/>
      <c r="LM1268"/>
      <c r="LN1268"/>
      <c r="LO1268"/>
      <c r="LP1268"/>
      <c r="LQ1268"/>
      <c r="LR1268"/>
      <c r="LS1268"/>
      <c r="LT1268"/>
      <c r="LU1268"/>
      <c r="LV1268"/>
      <c r="LW1268"/>
      <c r="LX1268"/>
      <c r="LY1268"/>
      <c r="LZ1268"/>
      <c r="MA1268"/>
      <c r="MB1268"/>
      <c r="MC1268"/>
      <c r="MD1268"/>
      <c r="ME1268"/>
      <c r="MF1268"/>
      <c r="MG1268"/>
      <c r="MH1268"/>
      <c r="MI1268"/>
      <c r="MJ1268"/>
      <c r="MK1268"/>
      <c r="ML1268"/>
      <c r="MM1268"/>
      <c r="MN1268"/>
      <c r="MO1268"/>
      <c r="MP1268"/>
      <c r="MQ1268"/>
      <c r="MR1268"/>
      <c r="MS1268"/>
      <c r="MT1268"/>
      <c r="MU1268"/>
      <c r="MV1268"/>
      <c r="MW1268"/>
      <c r="MX1268"/>
      <c r="MY1268"/>
      <c r="MZ1268"/>
      <c r="NA1268"/>
      <c r="NB1268"/>
      <c r="NC1268"/>
      <c r="ND1268"/>
      <c r="NE1268"/>
      <c r="NF1268"/>
      <c r="NG1268"/>
      <c r="NH1268"/>
      <c r="NI1268"/>
      <c r="NJ1268"/>
      <c r="NK1268"/>
      <c r="NL1268"/>
      <c r="NM1268"/>
      <c r="NN1268"/>
      <c r="NO1268"/>
      <c r="NP1268"/>
      <c r="NQ1268"/>
      <c r="NR1268"/>
      <c r="NS1268"/>
      <c r="NT1268"/>
      <c r="NU1268"/>
      <c r="NV1268"/>
      <c r="NW1268"/>
      <c r="NX1268"/>
      <c r="NY1268"/>
      <c r="NZ1268"/>
      <c r="OA1268"/>
      <c r="OB1268"/>
      <c r="OC1268"/>
      <c r="OD1268"/>
      <c r="OE1268"/>
      <c r="OF1268"/>
      <c r="OG1268"/>
      <c r="OH1268"/>
      <c r="OI1268"/>
      <c r="OJ1268"/>
      <c r="OK1268"/>
      <c r="OL1268"/>
      <c r="OM1268"/>
      <c r="ON1268"/>
      <c r="OO1268"/>
      <c r="OP1268"/>
      <c r="OQ1268"/>
      <c r="OR1268"/>
      <c r="OS1268"/>
      <c r="OT1268"/>
      <c r="OU1268"/>
      <c r="OV1268"/>
      <c r="OW1268"/>
      <c r="OX1268"/>
      <c r="OY1268"/>
      <c r="OZ1268"/>
      <c r="PA1268"/>
      <c r="PB1268"/>
      <c r="PC1268"/>
      <c r="PD1268"/>
      <c r="PE1268"/>
      <c r="PF1268"/>
      <c r="PG1268"/>
      <c r="PH1268"/>
      <c r="PI1268"/>
      <c r="PJ1268"/>
      <c r="PK1268"/>
      <c r="PL1268"/>
      <c r="PM1268"/>
      <c r="PN1268"/>
      <c r="PO1268"/>
      <c r="PP1268"/>
      <c r="PQ1268"/>
      <c r="PR1268"/>
      <c r="PS1268"/>
      <c r="PT1268"/>
      <c r="PU1268"/>
      <c r="PV1268"/>
      <c r="PW1268"/>
      <c r="PX1268"/>
      <c r="PY1268"/>
      <c r="PZ1268"/>
      <c r="QA1268"/>
      <c r="QB1268"/>
      <c r="QC1268"/>
      <c r="QD1268"/>
      <c r="QE1268"/>
      <c r="QF1268"/>
      <c r="QG1268"/>
      <c r="QH1268"/>
      <c r="QI1268"/>
      <c r="QJ1268"/>
      <c r="QK1268"/>
      <c r="QL1268"/>
      <c r="QM1268"/>
      <c r="QN1268"/>
      <c r="QO1268"/>
      <c r="QP1268"/>
      <c r="QQ1268"/>
      <c r="QR1268"/>
      <c r="QS1268"/>
      <c r="QT1268"/>
      <c r="QU1268"/>
      <c r="QV1268"/>
      <c r="QW1268"/>
      <c r="QX1268"/>
      <c r="QY1268"/>
      <c r="QZ1268"/>
      <c r="RA1268"/>
      <c r="RB1268"/>
      <c r="RC1268"/>
      <c r="RD1268"/>
      <c r="RE1268"/>
      <c r="RF1268"/>
      <c r="RG1268"/>
      <c r="RH1268"/>
      <c r="RI1268"/>
      <c r="RJ1268"/>
      <c r="RK1268"/>
      <c r="RL1268"/>
      <c r="RM1268"/>
      <c r="RN1268"/>
      <c r="RO1268"/>
      <c r="RP1268"/>
      <c r="RQ1268"/>
      <c r="RR1268"/>
      <c r="RS1268"/>
      <c r="RT1268"/>
      <c r="RU1268"/>
      <c r="RV1268"/>
      <c r="RW1268"/>
      <c r="RX1268"/>
      <c r="RY1268"/>
      <c r="RZ1268"/>
      <c r="SA1268"/>
      <c r="SB1268"/>
      <c r="SC1268"/>
      <c r="SD1268"/>
      <c r="SE1268"/>
      <c r="SF1268"/>
      <c r="SG1268"/>
      <c r="SH1268"/>
      <c r="SI1268"/>
      <c r="SJ1268"/>
      <c r="SK1268"/>
      <c r="SL1268"/>
      <c r="SM1268"/>
      <c r="SN1268"/>
      <c r="SO1268"/>
      <c r="SP1268"/>
      <c r="SQ1268"/>
      <c r="SR1268"/>
      <c r="SS1268"/>
      <c r="ST1268"/>
      <c r="SU1268"/>
      <c r="SV1268"/>
      <c r="SW1268"/>
      <c r="SX1268"/>
      <c r="SY1268"/>
      <c r="SZ1268"/>
      <c r="TA1268"/>
      <c r="TB1268"/>
      <c r="TC1268"/>
      <c r="TD1268"/>
      <c r="TE1268"/>
      <c r="TF1268"/>
      <c r="TG1268"/>
      <c r="TH1268"/>
      <c r="TI1268"/>
      <c r="TJ1268"/>
      <c r="TK1268"/>
      <c r="TL1268"/>
      <c r="TM1268"/>
      <c r="TN1268"/>
      <c r="TO1268"/>
      <c r="TP1268"/>
      <c r="TQ1268"/>
      <c r="TR1268"/>
      <c r="TS1268"/>
      <c r="TT1268"/>
      <c r="TU1268"/>
      <c r="TV1268"/>
      <c r="TW1268"/>
      <c r="TX1268"/>
      <c r="TY1268"/>
      <c r="TZ1268"/>
      <c r="UA1268"/>
      <c r="UB1268"/>
      <c r="UC1268"/>
      <c r="UD1268"/>
      <c r="UE1268"/>
      <c r="UF1268"/>
      <c r="UG1268"/>
      <c r="UH1268"/>
      <c r="UI1268"/>
      <c r="UJ1268"/>
      <c r="UK1268"/>
      <c r="UL1268"/>
      <c r="UM1268"/>
      <c r="UN1268"/>
      <c r="UO1268"/>
      <c r="UP1268"/>
      <c r="UQ1268"/>
      <c r="UR1268"/>
      <c r="US1268"/>
      <c r="UT1268"/>
      <c r="UU1268"/>
      <c r="UV1268"/>
      <c r="UW1268"/>
      <c r="UX1268"/>
      <c r="UY1268"/>
      <c r="UZ1268"/>
      <c r="VA1268"/>
      <c r="VB1268"/>
      <c r="VC1268"/>
      <c r="VD1268"/>
      <c r="VE1268"/>
      <c r="VF1268"/>
      <c r="VG1268"/>
      <c r="VH1268"/>
      <c r="VI1268"/>
      <c r="VJ1268"/>
      <c r="VK1268"/>
      <c r="VL1268"/>
      <c r="VM1268"/>
      <c r="VN1268"/>
      <c r="VO1268"/>
      <c r="VP1268"/>
      <c r="VQ1268"/>
      <c r="VR1268"/>
      <c r="VS1268"/>
      <c r="VT1268"/>
      <c r="VU1268"/>
      <c r="VV1268"/>
      <c r="VW1268"/>
      <c r="VX1268"/>
      <c r="VY1268"/>
      <c r="VZ1268"/>
      <c r="WA1268"/>
      <c r="WB1268"/>
      <c r="WC1268"/>
      <c r="WD1268"/>
      <c r="WE1268"/>
      <c r="WF1268"/>
      <c r="WG1268"/>
      <c r="WH1268"/>
      <c r="WI1268"/>
      <c r="WJ1268"/>
      <c r="WK1268"/>
      <c r="WL1268"/>
      <c r="WM1268"/>
      <c r="WN1268"/>
      <c r="WO1268"/>
      <c r="WP1268"/>
      <c r="WQ1268"/>
      <c r="WR1268"/>
      <c r="WS1268"/>
      <c r="WT1268"/>
      <c r="WU1268"/>
      <c r="WV1268"/>
      <c r="WW1268"/>
      <c r="WX1268"/>
      <c r="WY1268"/>
      <c r="WZ1268"/>
      <c r="XA1268"/>
      <c r="XB1268"/>
      <c r="XC1268"/>
      <c r="XD1268"/>
      <c r="XE1268"/>
      <c r="XF1268"/>
      <c r="XG1268"/>
      <c r="XH1268"/>
      <c r="XI1268"/>
      <c r="XJ1268"/>
      <c r="XK1268"/>
      <c r="XL1268"/>
      <c r="XM1268"/>
      <c r="XN1268"/>
      <c r="XO1268"/>
      <c r="XP1268"/>
      <c r="XQ1268"/>
      <c r="XR1268"/>
      <c r="XS1268"/>
      <c r="XT1268"/>
      <c r="XU1268"/>
      <c r="XV1268"/>
      <c r="XW1268"/>
      <c r="XX1268"/>
      <c r="XY1268"/>
      <c r="XZ1268"/>
      <c r="YA1268"/>
      <c r="YB1268"/>
      <c r="YC1268"/>
      <c r="YD1268"/>
      <c r="YE1268"/>
      <c r="YF1268"/>
      <c r="YG1268"/>
      <c r="YH1268"/>
      <c r="YI1268"/>
      <c r="YJ1268"/>
      <c r="YK1268"/>
      <c r="YL1268"/>
      <c r="YM1268"/>
      <c r="YN1268"/>
      <c r="YO1268"/>
      <c r="YP1268"/>
      <c r="YQ1268"/>
      <c r="YR1268"/>
      <c r="YS1268"/>
      <c r="YT1268"/>
      <c r="YU1268"/>
      <c r="YV1268"/>
      <c r="YW1268"/>
      <c r="YX1268"/>
      <c r="YY1268"/>
      <c r="YZ1268"/>
      <c r="ZA1268"/>
      <c r="ZB1268"/>
      <c r="ZC1268"/>
      <c r="ZD1268"/>
      <c r="ZE1268"/>
      <c r="ZF1268"/>
      <c r="ZG1268"/>
      <c r="ZH1268"/>
      <c r="ZI1268"/>
      <c r="ZJ1268"/>
      <c r="ZK1268"/>
      <c r="ZL1268"/>
      <c r="ZM1268"/>
      <c r="ZN1268"/>
      <c r="ZO1268"/>
      <c r="ZP1268"/>
      <c r="ZQ1268"/>
      <c r="ZR1268"/>
      <c r="ZS1268"/>
      <c r="ZT1268"/>
      <c r="ZU1268"/>
      <c r="ZV1268"/>
      <c r="ZW1268"/>
      <c r="ZX1268"/>
      <c r="ZY1268"/>
      <c r="ZZ1268"/>
      <c r="AAA1268"/>
      <c r="AAB1268"/>
      <c r="AAC1268"/>
      <c r="AAD1268"/>
      <c r="AAE1268"/>
      <c r="AAF1268"/>
      <c r="AAG1268"/>
      <c r="AAH1268"/>
      <c r="AAI1268"/>
      <c r="AAJ1268"/>
      <c r="AAK1268"/>
      <c r="AAL1268"/>
      <c r="AAM1268"/>
      <c r="AAN1268"/>
      <c r="AAO1268"/>
      <c r="AAP1268"/>
      <c r="AAQ1268"/>
      <c r="AAR1268"/>
      <c r="AAS1268"/>
      <c r="AAT1268"/>
      <c r="AAU1268"/>
      <c r="AAV1268"/>
      <c r="AAW1268"/>
      <c r="AAX1268"/>
      <c r="AAY1268"/>
      <c r="AAZ1268"/>
      <c r="ABA1268"/>
      <c r="ABB1268"/>
      <c r="ABC1268"/>
      <c r="ABD1268"/>
      <c r="ABE1268"/>
      <c r="ABF1268"/>
      <c r="ABG1268"/>
      <c r="ABH1268"/>
      <c r="ABI1268"/>
      <c r="ABJ1268"/>
      <c r="ABK1268"/>
      <c r="ABL1268"/>
      <c r="ABM1268"/>
      <c r="ABN1268"/>
      <c r="ABO1268"/>
      <c r="ABP1268"/>
      <c r="ABQ1268"/>
      <c r="ABR1268"/>
      <c r="ABS1268"/>
      <c r="ABT1268"/>
      <c r="ABU1268"/>
      <c r="ABV1268"/>
      <c r="ABW1268"/>
      <c r="ABX1268"/>
      <c r="ABY1268"/>
      <c r="ABZ1268"/>
      <c r="ACA1268"/>
      <c r="ACB1268"/>
      <c r="ACC1268"/>
      <c r="ACD1268"/>
      <c r="ACE1268"/>
      <c r="ACF1268"/>
      <c r="ACG1268"/>
      <c r="ACH1268"/>
      <c r="ACI1268"/>
      <c r="ACJ1268"/>
      <c r="ACK1268"/>
      <c r="ACL1268"/>
      <c r="ACM1268"/>
      <c r="ACN1268"/>
      <c r="ACO1268"/>
      <c r="ACP1268"/>
      <c r="ACQ1268"/>
      <c r="ACR1268"/>
      <c r="ACS1268"/>
      <c r="ACT1268"/>
      <c r="ACU1268"/>
      <c r="ACV1268"/>
      <c r="ACW1268"/>
      <c r="ACX1268"/>
      <c r="ACY1268"/>
      <c r="ACZ1268"/>
      <c r="ADA1268"/>
      <c r="ADB1268"/>
      <c r="ADC1268"/>
      <c r="ADD1268"/>
      <c r="ADE1268"/>
      <c r="ADF1268"/>
      <c r="ADG1268"/>
      <c r="ADH1268"/>
      <c r="ADI1268"/>
      <c r="ADJ1268"/>
      <c r="ADK1268"/>
      <c r="ADL1268"/>
      <c r="ADM1268"/>
      <c r="ADN1268"/>
      <c r="ADO1268"/>
      <c r="ADP1268"/>
      <c r="ADQ1268"/>
      <c r="ADR1268"/>
      <c r="ADS1268"/>
      <c r="ADT1268"/>
      <c r="ADU1268"/>
      <c r="ADV1268"/>
      <c r="ADW1268"/>
      <c r="ADX1268"/>
      <c r="ADY1268"/>
      <c r="ADZ1268"/>
      <c r="AEA1268"/>
      <c r="AEB1268"/>
      <c r="AEC1268"/>
      <c r="AED1268"/>
      <c r="AEE1268"/>
      <c r="AEF1268"/>
      <c r="AEG1268"/>
      <c r="AEH1268"/>
      <c r="AEI1268"/>
      <c r="AEJ1268"/>
      <c r="AEK1268"/>
      <c r="AEL1268"/>
      <c r="AEM1268"/>
      <c r="AEN1268"/>
      <c r="AEO1268"/>
      <c r="AEP1268"/>
      <c r="AEQ1268"/>
      <c r="AER1268"/>
      <c r="AES1268"/>
      <c r="AET1268"/>
      <c r="AEU1268"/>
      <c r="AEV1268"/>
      <c r="AEW1268"/>
      <c r="AEX1268"/>
      <c r="AEY1268"/>
      <c r="AEZ1268"/>
      <c r="AFA1268"/>
      <c r="AFB1268"/>
      <c r="AFC1268"/>
      <c r="AFD1268"/>
      <c r="AFE1268"/>
      <c r="AFF1268"/>
      <c r="AFG1268"/>
      <c r="AFH1268"/>
      <c r="AFI1268"/>
      <c r="AFJ1268"/>
      <c r="AFK1268"/>
      <c r="AFL1268"/>
      <c r="AFM1268"/>
      <c r="AFN1268"/>
      <c r="AFO1268"/>
      <c r="AFP1268"/>
      <c r="AFQ1268"/>
      <c r="AFR1268"/>
      <c r="AFS1268"/>
      <c r="AFT1268"/>
      <c r="AFU1268"/>
      <c r="AFV1268"/>
      <c r="AFW1268"/>
      <c r="AFX1268"/>
      <c r="AFY1268"/>
      <c r="AFZ1268"/>
      <c r="AGA1268"/>
      <c r="AGB1268"/>
      <c r="AGC1268"/>
      <c r="AGD1268"/>
      <c r="AGE1268"/>
      <c r="AGF1268"/>
      <c r="AGG1268"/>
      <c r="AGH1268"/>
      <c r="AGI1268"/>
      <c r="AGJ1268"/>
      <c r="AGK1268"/>
      <c r="AGL1268"/>
      <c r="AGM1268"/>
      <c r="AGN1268"/>
      <c r="AGO1268"/>
      <c r="AGP1268"/>
      <c r="AGQ1268"/>
      <c r="AGR1268"/>
      <c r="AGS1268"/>
      <c r="AGT1268"/>
      <c r="AGU1268"/>
      <c r="AGV1268"/>
      <c r="AGW1268"/>
      <c r="AGX1268"/>
      <c r="AGY1268"/>
      <c r="AGZ1268"/>
      <c r="AHA1268"/>
      <c r="AHB1268"/>
      <c r="AHC1268"/>
      <c r="AHD1268"/>
      <c r="AHE1268"/>
      <c r="AHF1268"/>
      <c r="AHG1268"/>
      <c r="AHH1268"/>
      <c r="AHI1268"/>
      <c r="AHJ1268"/>
      <c r="AHK1268"/>
      <c r="AHL1268"/>
      <c r="AHM1268"/>
      <c r="AHN1268"/>
      <c r="AHO1268"/>
      <c r="AHP1268"/>
      <c r="AHQ1268"/>
      <c r="AHR1268"/>
      <c r="AHS1268"/>
      <c r="AHT1268"/>
      <c r="AHU1268"/>
      <c r="AHV1268"/>
      <c r="AHW1268"/>
      <c r="AHX1268"/>
      <c r="AHY1268"/>
      <c r="AHZ1268"/>
      <c r="AIA1268"/>
      <c r="AIB1268"/>
      <c r="AIC1268"/>
      <c r="AID1268"/>
      <c r="AIE1268"/>
      <c r="AIF1268"/>
      <c r="AIG1268"/>
      <c r="AIH1268"/>
      <c r="AII1268"/>
      <c r="AIJ1268"/>
      <c r="AIK1268"/>
      <c r="AIL1268"/>
      <c r="AIM1268"/>
      <c r="AIN1268"/>
      <c r="AIO1268"/>
      <c r="AIP1268"/>
      <c r="AIQ1268"/>
      <c r="AIR1268"/>
      <c r="AIS1268"/>
      <c r="AIT1268"/>
      <c r="AIU1268"/>
      <c r="AIV1268"/>
      <c r="AIW1268"/>
      <c r="AIX1268"/>
      <c r="AIY1268"/>
      <c r="AIZ1268"/>
      <c r="AJA1268"/>
      <c r="AJB1268"/>
      <c r="AJC1268"/>
      <c r="AJD1268"/>
      <c r="AJE1268"/>
      <c r="AJF1268"/>
      <c r="AJG1268"/>
      <c r="AJH1268"/>
      <c r="AJI1268"/>
      <c r="AJJ1268"/>
      <c r="AJK1268"/>
      <c r="AJL1268"/>
      <c r="AJM1268"/>
      <c r="AJN1268"/>
      <c r="AJO1268"/>
      <c r="AJP1268"/>
      <c r="AJQ1268"/>
      <c r="AJR1268"/>
      <c r="AJS1268"/>
      <c r="AJT1268"/>
      <c r="AJU1268"/>
      <c r="AJV1268"/>
      <c r="AJW1268"/>
      <c r="AJX1268"/>
      <c r="AJY1268"/>
      <c r="AJZ1268"/>
      <c r="AKA1268"/>
      <c r="AKB1268"/>
      <c r="AKC1268"/>
      <c r="AKD1268"/>
      <c r="AKE1268"/>
      <c r="AKF1268"/>
      <c r="AKG1268"/>
      <c r="AKH1268"/>
      <c r="AKI1268"/>
      <c r="AKJ1268"/>
      <c r="AKK1268"/>
      <c r="AKL1268"/>
      <c r="AKM1268"/>
      <c r="AKN1268"/>
      <c r="AKO1268"/>
      <c r="AKP1268"/>
      <c r="AKQ1268"/>
      <c r="AKR1268"/>
      <c r="AKS1268"/>
      <c r="AKT1268"/>
      <c r="AKU1268"/>
      <c r="AKV1268"/>
      <c r="AKW1268"/>
      <c r="AKX1268"/>
      <c r="AKY1268"/>
      <c r="AKZ1268"/>
      <c r="ALA1268"/>
      <c r="ALB1268"/>
      <c r="ALC1268"/>
      <c r="ALD1268"/>
      <c r="ALE1268"/>
      <c r="ALF1268"/>
      <c r="ALG1268"/>
      <c r="ALH1268"/>
      <c r="ALI1268"/>
      <c r="ALJ1268"/>
      <c r="ALK1268"/>
      <c r="ALL1268"/>
      <c r="ALM1268"/>
      <c r="ALN1268"/>
      <c r="ALO1268"/>
      <c r="ALP1268"/>
      <c r="ALQ1268"/>
      <c r="ALR1268"/>
      <c r="ALS1268"/>
      <c r="ALT1268"/>
    </row>
    <row r="1269" spans="1:1008" ht="14">
      <c r="A1269" s="27" t="s">
        <v>3951</v>
      </c>
      <c r="B1269" s="25" t="s">
        <v>3893</v>
      </c>
      <c r="C1269" s="27" t="s">
        <v>3951</v>
      </c>
      <c r="D1269" s="24" t="s">
        <v>12</v>
      </c>
      <c r="E1269" s="27" t="s">
        <v>3951</v>
      </c>
      <c r="F1269" s="27" t="s">
        <v>3952</v>
      </c>
      <c r="G1269" s="27">
        <v>500</v>
      </c>
      <c r="H1269" s="27"/>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ht="14">
      <c r="A1270" s="27" t="s">
        <v>2185</v>
      </c>
      <c r="B1270" s="25" t="s">
        <v>3893</v>
      </c>
      <c r="C1270" s="27" t="s">
        <v>2185</v>
      </c>
      <c r="D1270" s="24" t="s">
        <v>12</v>
      </c>
      <c r="E1270" s="27" t="s">
        <v>2185</v>
      </c>
      <c r="F1270" s="27" t="s">
        <v>3953</v>
      </c>
      <c r="G1270" s="27">
        <v>500</v>
      </c>
      <c r="H1270" s="27"/>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ht="14">
      <c r="A1271" s="27" t="s">
        <v>3981</v>
      </c>
      <c r="B1271" s="25" t="s">
        <v>3893</v>
      </c>
      <c r="C1271" s="27" t="s">
        <v>3981</v>
      </c>
      <c r="D1271" s="24" t="s">
        <v>12</v>
      </c>
      <c r="E1271" s="27" t="s">
        <v>3981</v>
      </c>
      <c r="F1271" s="27" t="s">
        <v>3982</v>
      </c>
      <c r="G1271" s="27">
        <v>500</v>
      </c>
      <c r="H1271" s="27"/>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ht="14">
      <c r="A1272" s="27" t="s">
        <v>3955</v>
      </c>
      <c r="B1272" s="25" t="s">
        <v>3989</v>
      </c>
      <c r="C1272" s="27" t="s">
        <v>3955</v>
      </c>
      <c r="D1272" s="24" t="s">
        <v>12</v>
      </c>
      <c r="E1272" s="27" t="s">
        <v>3955</v>
      </c>
      <c r="F1272" s="27" t="s">
        <v>3956</v>
      </c>
      <c r="G1272" s="27">
        <v>500</v>
      </c>
      <c r="H1272" s="27"/>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ht="14">
      <c r="A1273" s="27" t="s">
        <v>4439</v>
      </c>
      <c r="B1273" s="25" t="s">
        <v>3989</v>
      </c>
      <c r="C1273" s="27" t="s">
        <v>4439</v>
      </c>
      <c r="D1273" s="24" t="s">
        <v>12</v>
      </c>
      <c r="E1273" s="27" t="s">
        <v>3957</v>
      </c>
      <c r="F1273" s="27" t="s">
        <v>3958</v>
      </c>
      <c r="G1273" s="27">
        <v>600</v>
      </c>
      <c r="H1273" s="27"/>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ht="14">
      <c r="A1274" s="27" t="s">
        <v>4576</v>
      </c>
      <c r="B1274" s="25" t="s">
        <v>3989</v>
      </c>
      <c r="C1274" s="27" t="s">
        <v>4576</v>
      </c>
      <c r="D1274" s="24" t="s">
        <v>12</v>
      </c>
      <c r="E1274" s="27" t="s">
        <v>3959</v>
      </c>
      <c r="F1274" s="27" t="s">
        <v>3960</v>
      </c>
      <c r="G1274" s="27">
        <v>550</v>
      </c>
      <c r="H1274" s="27"/>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ht="14">
      <c r="A1275" s="27" t="s">
        <v>4577</v>
      </c>
      <c r="B1275" s="25" t="s">
        <v>3989</v>
      </c>
      <c r="C1275" s="27" t="s">
        <v>4577</v>
      </c>
      <c r="D1275" s="24" t="s">
        <v>12</v>
      </c>
      <c r="E1275" s="27" t="s">
        <v>3959</v>
      </c>
      <c r="F1275" s="27" t="s">
        <v>4578</v>
      </c>
      <c r="G1275" s="27">
        <v>550</v>
      </c>
      <c r="H1275" s="27"/>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ht="14">
      <c r="A1276" s="27" t="s">
        <v>3961</v>
      </c>
      <c r="B1276" s="25" t="s">
        <v>3990</v>
      </c>
      <c r="C1276" s="27" t="s">
        <v>3961</v>
      </c>
      <c r="D1276" s="24" t="s">
        <v>12</v>
      </c>
      <c r="E1276" s="27" t="s">
        <v>3961</v>
      </c>
      <c r="F1276" s="27" t="s">
        <v>3962</v>
      </c>
      <c r="G1276" s="27">
        <v>550</v>
      </c>
      <c r="H1276" s="27"/>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ht="14">
      <c r="A1277" s="27" t="s">
        <v>3963</v>
      </c>
      <c r="B1277" s="25" t="s">
        <v>3990</v>
      </c>
      <c r="C1277" s="27" t="s">
        <v>3963</v>
      </c>
      <c r="D1277" s="24" t="s">
        <v>12</v>
      </c>
      <c r="E1277" s="27" t="s">
        <v>3963</v>
      </c>
      <c r="F1277" s="27" t="s">
        <v>3964</v>
      </c>
      <c r="G1277" s="27">
        <v>500</v>
      </c>
      <c r="H1277" s="2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ht="14">
      <c r="A1278" s="27" t="s">
        <v>4033</v>
      </c>
      <c r="B1278" s="25" t="s">
        <v>3990</v>
      </c>
      <c r="C1278" s="27" t="s">
        <v>4033</v>
      </c>
      <c r="D1278" s="24" t="s">
        <v>12</v>
      </c>
      <c r="E1278" s="27" t="s">
        <v>3965</v>
      </c>
      <c r="F1278" s="27" t="s">
        <v>3966</v>
      </c>
      <c r="G1278" s="27">
        <v>520</v>
      </c>
      <c r="H1278" s="27"/>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ht="14">
      <c r="A1279" s="27" t="s">
        <v>4034</v>
      </c>
      <c r="B1279" s="25" t="s">
        <v>3990</v>
      </c>
      <c r="C1279" s="27" t="s">
        <v>4034</v>
      </c>
      <c r="D1279" s="24" t="s">
        <v>12</v>
      </c>
      <c r="E1279" s="27" t="s">
        <v>3967</v>
      </c>
      <c r="F1279" s="27" t="s">
        <v>3968</v>
      </c>
      <c r="G1279" s="27">
        <v>500</v>
      </c>
      <c r="H1279" s="27"/>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ht="14">
      <c r="A1280" s="27" t="s">
        <v>4020</v>
      </c>
      <c r="B1280" s="25" t="s">
        <v>1115</v>
      </c>
      <c r="C1280" s="27" t="s">
        <v>4020</v>
      </c>
      <c r="D1280" s="24" t="s">
        <v>12</v>
      </c>
      <c r="E1280" s="27" t="s">
        <v>3904</v>
      </c>
      <c r="F1280" s="27" t="s">
        <v>3905</v>
      </c>
      <c r="G1280" s="27">
        <v>600</v>
      </c>
      <c r="H1280" s="27"/>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ht="14">
      <c r="A1281" s="27" t="s">
        <v>4026</v>
      </c>
      <c r="B1281" s="25" t="s">
        <v>1115</v>
      </c>
      <c r="C1281" s="27" t="s">
        <v>4026</v>
      </c>
      <c r="D1281" s="24" t="s">
        <v>12</v>
      </c>
      <c r="E1281" s="27" t="s">
        <v>3970</v>
      </c>
      <c r="F1281" s="27" t="s">
        <v>3971</v>
      </c>
      <c r="G1281" s="27">
        <v>500</v>
      </c>
      <c r="H1281" s="27"/>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ht="14">
      <c r="A1282" s="27" t="s">
        <v>4027</v>
      </c>
      <c r="B1282" s="25" t="s">
        <v>1115</v>
      </c>
      <c r="C1282" s="27" t="s">
        <v>4027</v>
      </c>
      <c r="D1282" s="24" t="s">
        <v>12</v>
      </c>
      <c r="E1282" s="27" t="s">
        <v>4028</v>
      </c>
      <c r="F1282" s="27" t="s">
        <v>3972</v>
      </c>
      <c r="G1282" s="27">
        <v>550</v>
      </c>
      <c r="H1282" s="27"/>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ht="14">
      <c r="A1283" s="27" t="s">
        <v>3974</v>
      </c>
      <c r="B1283" s="25" t="s">
        <v>3991</v>
      </c>
      <c r="C1283" s="27" t="s">
        <v>3974</v>
      </c>
      <c r="D1283" s="24" t="s">
        <v>12</v>
      </c>
      <c r="E1283" s="27" t="s">
        <v>3974</v>
      </c>
      <c r="F1283" s="27" t="s">
        <v>3975</v>
      </c>
      <c r="G1283" s="27">
        <v>500</v>
      </c>
      <c r="H1283" s="27"/>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ht="14">
      <c r="A1284" s="27" t="s">
        <v>3916</v>
      </c>
      <c r="B1284" s="25" t="s">
        <v>3992</v>
      </c>
      <c r="C1284" s="27" t="s">
        <v>3916</v>
      </c>
      <c r="D1284" s="24" t="s">
        <v>12</v>
      </c>
      <c r="E1284" s="27" t="s">
        <v>3916</v>
      </c>
      <c r="F1284" s="27" t="s">
        <v>3917</v>
      </c>
      <c r="G1284" s="27">
        <v>500</v>
      </c>
      <c r="H1284" s="27"/>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ht="14">
      <c r="A1285" s="27" t="s">
        <v>3918</v>
      </c>
      <c r="B1285" s="25" t="s">
        <v>3992</v>
      </c>
      <c r="C1285" s="27" t="s">
        <v>3918</v>
      </c>
      <c r="D1285" s="24" t="s">
        <v>12</v>
      </c>
      <c r="E1285" s="27" t="s">
        <v>3918</v>
      </c>
      <c r="F1285" s="27" t="s">
        <v>3919</v>
      </c>
      <c r="G1285" s="27">
        <v>200</v>
      </c>
      <c r="H1285" s="27"/>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ht="14">
      <c r="A1286" s="27" t="s">
        <v>3922</v>
      </c>
      <c r="B1286" s="25" t="s">
        <v>3992</v>
      </c>
      <c r="C1286" s="27" t="s">
        <v>3922</v>
      </c>
      <c r="D1286" s="24" t="s">
        <v>12</v>
      </c>
      <c r="E1286" s="27" t="s">
        <v>3922</v>
      </c>
      <c r="F1286" s="27" t="s">
        <v>3923</v>
      </c>
      <c r="G1286" s="27">
        <v>750</v>
      </c>
      <c r="H1286" s="27"/>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ht="14">
      <c r="A1287" s="27" t="s">
        <v>3924</v>
      </c>
      <c r="B1287" s="25" t="s">
        <v>3992</v>
      </c>
      <c r="C1287" s="27" t="s">
        <v>3924</v>
      </c>
      <c r="D1287" s="24" t="s">
        <v>12</v>
      </c>
      <c r="E1287" s="27" t="s">
        <v>3924</v>
      </c>
      <c r="F1287" s="27" t="s">
        <v>3925</v>
      </c>
      <c r="G1287" s="27">
        <v>600</v>
      </c>
      <c r="H1287" s="2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ht="14">
      <c r="A1288" s="27" t="s">
        <v>2185</v>
      </c>
      <c r="B1288" s="25" t="s">
        <v>3993</v>
      </c>
      <c r="C1288" s="27" t="s">
        <v>2185</v>
      </c>
      <c r="D1288" s="24" t="s">
        <v>12</v>
      </c>
      <c r="E1288" s="27" t="s">
        <v>2185</v>
      </c>
      <c r="F1288" s="27" t="s">
        <v>3978</v>
      </c>
      <c r="G1288" s="27">
        <v>600</v>
      </c>
      <c r="H1288" s="27"/>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ht="14">
      <c r="A1289" s="27" t="s">
        <v>3979</v>
      </c>
      <c r="B1289" s="25" t="s">
        <v>3993</v>
      </c>
      <c r="C1289" s="27" t="s">
        <v>3979</v>
      </c>
      <c r="D1289" s="24" t="s">
        <v>12</v>
      </c>
      <c r="E1289" s="27" t="s">
        <v>3979</v>
      </c>
      <c r="F1289" s="27" t="s">
        <v>3980</v>
      </c>
      <c r="G1289" s="27">
        <v>550</v>
      </c>
      <c r="H1289" s="27"/>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ht="14">
      <c r="A1290" s="27" t="s">
        <v>2188</v>
      </c>
      <c r="B1290" s="25" t="s">
        <v>3993</v>
      </c>
      <c r="C1290" s="27" t="s">
        <v>2188</v>
      </c>
      <c r="D1290" s="24" t="s">
        <v>12</v>
      </c>
      <c r="E1290" s="27" t="s">
        <v>2188</v>
      </c>
      <c r="F1290" s="27" t="s">
        <v>2189</v>
      </c>
      <c r="G1290" s="27">
        <v>650</v>
      </c>
      <c r="H1290" s="27"/>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ht="14">
      <c r="A1291" s="27" t="s">
        <v>2191</v>
      </c>
      <c r="B1291" s="25" t="s">
        <v>3993</v>
      </c>
      <c r="C1291" s="27" t="s">
        <v>2191</v>
      </c>
      <c r="D1291" s="24" t="s">
        <v>12</v>
      </c>
      <c r="E1291" s="27" t="s">
        <v>2191</v>
      </c>
      <c r="F1291" s="27" t="s">
        <v>2192</v>
      </c>
      <c r="G1291" s="27">
        <v>700</v>
      </c>
      <c r="H1291" s="27"/>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ht="14">
      <c r="A1292" s="24" t="s">
        <v>4000</v>
      </c>
      <c r="B1292" s="33" t="s">
        <v>3999</v>
      </c>
      <c r="C1292" s="24" t="s">
        <v>4000</v>
      </c>
      <c r="D1292" s="24" t="s">
        <v>12</v>
      </c>
      <c r="E1292" s="24" t="s">
        <v>4002</v>
      </c>
      <c r="F1292" s="24" t="s">
        <v>4003</v>
      </c>
      <c r="G1292" s="24">
        <v>750</v>
      </c>
      <c r="H1292" s="27"/>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ht="14">
      <c r="A1293" s="24" t="s">
        <v>4001</v>
      </c>
      <c r="B1293" s="33" t="s">
        <v>3999</v>
      </c>
      <c r="C1293" s="24" t="s">
        <v>4001</v>
      </c>
      <c r="D1293" s="24"/>
      <c r="E1293" s="24" t="s">
        <v>162</v>
      </c>
      <c r="F1293" s="24" t="s">
        <v>4004</v>
      </c>
      <c r="G1293" s="24">
        <v>500</v>
      </c>
      <c r="H1293" s="27"/>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ht="14">
      <c r="A1294" s="27" t="s">
        <v>3947</v>
      </c>
      <c r="B1294" s="25" t="s">
        <v>4061</v>
      </c>
      <c r="C1294" s="27" t="s">
        <v>3947</v>
      </c>
      <c r="D1294" s="24" t="s">
        <v>12</v>
      </c>
      <c r="E1294" s="27" t="s">
        <v>3947</v>
      </c>
      <c r="F1294" s="27" t="s">
        <v>3948</v>
      </c>
      <c r="G1294" s="27">
        <v>700</v>
      </c>
      <c r="H1294" s="27"/>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ht="14">
      <c r="A1295" s="27" t="s">
        <v>3949</v>
      </c>
      <c r="B1295" s="25" t="s">
        <v>4061</v>
      </c>
      <c r="C1295" s="27" t="s">
        <v>3949</v>
      </c>
      <c r="D1295" s="24" t="s">
        <v>12</v>
      </c>
      <c r="E1295" s="27" t="s">
        <v>3949</v>
      </c>
      <c r="F1295" s="27" t="s">
        <v>3950</v>
      </c>
      <c r="G1295" s="27">
        <v>800</v>
      </c>
      <c r="H1295" s="27"/>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ht="14">
      <c r="A1296" s="27" t="s">
        <v>3951</v>
      </c>
      <c r="B1296" s="25" t="s">
        <v>4061</v>
      </c>
      <c r="C1296" s="27" t="s">
        <v>3951</v>
      </c>
      <c r="D1296" s="24" t="s">
        <v>12</v>
      </c>
      <c r="E1296" s="27" t="s">
        <v>3951</v>
      </c>
      <c r="F1296" s="27" t="s">
        <v>3952</v>
      </c>
      <c r="G1296" s="27">
        <v>500</v>
      </c>
      <c r="H1296" s="27"/>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ht="14">
      <c r="A1297" s="27" t="s">
        <v>3947</v>
      </c>
      <c r="B1297" s="25" t="s">
        <v>4063</v>
      </c>
      <c r="C1297" s="27" t="s">
        <v>3947</v>
      </c>
      <c r="D1297" s="24" t="s">
        <v>12</v>
      </c>
      <c r="E1297" s="27" t="s">
        <v>3947</v>
      </c>
      <c r="F1297" s="27" t="s">
        <v>3948</v>
      </c>
      <c r="G1297" s="27">
        <v>700</v>
      </c>
      <c r="H1297" s="2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ht="14">
      <c r="A1298" s="27" t="s">
        <v>3949</v>
      </c>
      <c r="B1298" s="25" t="s">
        <v>4063</v>
      </c>
      <c r="C1298" s="27" t="s">
        <v>3949</v>
      </c>
      <c r="D1298" s="24" t="s">
        <v>12</v>
      </c>
      <c r="E1298" s="27" t="s">
        <v>3949</v>
      </c>
      <c r="F1298" s="27" t="s">
        <v>3950</v>
      </c>
      <c r="G1298" s="27">
        <v>800</v>
      </c>
      <c r="H1298" s="27"/>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ht="14">
      <c r="A1299" s="27" t="s">
        <v>3951</v>
      </c>
      <c r="B1299" s="25" t="s">
        <v>4063</v>
      </c>
      <c r="C1299" s="27" t="s">
        <v>3951</v>
      </c>
      <c r="D1299" s="24" t="s">
        <v>12</v>
      </c>
      <c r="E1299" s="27" t="s">
        <v>3951</v>
      </c>
      <c r="F1299" s="27" t="s">
        <v>3952</v>
      </c>
      <c r="G1299" s="27">
        <v>500</v>
      </c>
      <c r="H1299" s="27"/>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ht="14">
      <c r="A1300" s="24" t="s">
        <v>4072</v>
      </c>
      <c r="B1300" s="25" t="s">
        <v>4069</v>
      </c>
      <c r="C1300" s="24" t="s">
        <v>4072</v>
      </c>
      <c r="D1300" s="24" t="s">
        <v>12</v>
      </c>
      <c r="E1300" s="24" t="s">
        <v>4074</v>
      </c>
      <c r="F1300" s="24" t="s">
        <v>4073</v>
      </c>
      <c r="G1300" s="24">
        <v>600</v>
      </c>
      <c r="H1300" s="24"/>
    </row>
    <row r="1301" spans="1:1008" ht="14">
      <c r="A1301" s="27" t="s">
        <v>3947</v>
      </c>
      <c r="B1301" s="25" t="s">
        <v>4068</v>
      </c>
      <c r="C1301" s="27" t="s">
        <v>3947</v>
      </c>
      <c r="D1301" s="24" t="s">
        <v>12</v>
      </c>
      <c r="E1301" s="27" t="s">
        <v>3947</v>
      </c>
      <c r="F1301" s="27" t="s">
        <v>3948</v>
      </c>
      <c r="G1301" s="27">
        <v>700</v>
      </c>
      <c r="H1301" s="27"/>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ht="14">
      <c r="A1302" s="24" t="s">
        <v>4080</v>
      </c>
      <c r="B1302" s="25" t="s">
        <v>4076</v>
      </c>
      <c r="C1302" s="24" t="s">
        <v>4080</v>
      </c>
      <c r="D1302" s="24" t="s">
        <v>12</v>
      </c>
      <c r="E1302" s="24" t="s">
        <v>4079</v>
      </c>
      <c r="F1302" s="24" t="s">
        <v>4078</v>
      </c>
      <c r="G1302" s="24">
        <v>500</v>
      </c>
      <c r="H1302" s="24"/>
    </row>
    <row r="1303" spans="1:1008" ht="14">
      <c r="A1303" s="24" t="s">
        <v>4091</v>
      </c>
      <c r="B1303" s="25" t="s">
        <v>4082</v>
      </c>
      <c r="C1303" s="24" t="s">
        <v>4083</v>
      </c>
      <c r="D1303" s="24" t="s">
        <v>12</v>
      </c>
      <c r="E1303" s="24" t="s">
        <v>4083</v>
      </c>
      <c r="F1303" s="24" t="s">
        <v>4084</v>
      </c>
      <c r="G1303" s="24">
        <v>600</v>
      </c>
      <c r="H1303" s="24"/>
    </row>
    <row r="1304" spans="1:1008" ht="14">
      <c r="A1304" s="24" t="s">
        <v>4092</v>
      </c>
      <c r="B1304" s="25" t="s">
        <v>4082</v>
      </c>
      <c r="C1304" s="24" t="s">
        <v>4085</v>
      </c>
      <c r="D1304" s="24" t="s">
        <v>12</v>
      </c>
      <c r="E1304" s="24" t="s">
        <v>4085</v>
      </c>
      <c r="F1304" s="24" t="s">
        <v>4086</v>
      </c>
      <c r="G1304" s="24">
        <v>600</v>
      </c>
      <c r="H1304" s="24"/>
    </row>
    <row r="1305" spans="1:1008" ht="14">
      <c r="A1305" s="24" t="s">
        <v>4093</v>
      </c>
      <c r="B1305" s="25" t="s">
        <v>4082</v>
      </c>
      <c r="C1305" s="24" t="s">
        <v>4087</v>
      </c>
      <c r="D1305" s="24" t="s">
        <v>12</v>
      </c>
      <c r="E1305" s="24" t="s">
        <v>4087</v>
      </c>
      <c r="F1305" s="24" t="s">
        <v>4088</v>
      </c>
      <c r="G1305" s="24">
        <v>500</v>
      </c>
      <c r="H1305" s="24"/>
    </row>
    <row r="1306" spans="1:1008" ht="14">
      <c r="A1306" s="24" t="s">
        <v>4094</v>
      </c>
      <c r="B1306" s="25" t="s">
        <v>4082</v>
      </c>
      <c r="C1306" s="24" t="s">
        <v>4089</v>
      </c>
      <c r="D1306" s="24" t="s">
        <v>12</v>
      </c>
      <c r="E1306" s="24" t="s">
        <v>4089</v>
      </c>
      <c r="F1306" s="24" t="s">
        <v>4090</v>
      </c>
      <c r="G1306" s="24">
        <v>500</v>
      </c>
      <c r="H1306" s="24"/>
    </row>
    <row r="1307" spans="1:1008" ht="14">
      <c r="A1307" s="24" t="s">
        <v>4100</v>
      </c>
      <c r="B1307" s="25" t="s">
        <v>4096</v>
      </c>
      <c r="C1307" s="24" t="s">
        <v>4102</v>
      </c>
      <c r="D1307" s="24" t="s">
        <v>12</v>
      </c>
      <c r="E1307" s="24" t="s">
        <v>4102</v>
      </c>
      <c r="F1307" s="24" t="s">
        <v>4104</v>
      </c>
      <c r="G1307" s="24">
        <v>500</v>
      </c>
      <c r="H1307" s="24"/>
    </row>
    <row r="1308" spans="1:1008" ht="14">
      <c r="A1308" s="24" t="s">
        <v>4101</v>
      </c>
      <c r="B1308" s="25" t="s">
        <v>4096</v>
      </c>
      <c r="C1308" s="24" t="s">
        <v>4103</v>
      </c>
      <c r="D1308" s="24" t="s">
        <v>12</v>
      </c>
      <c r="E1308" s="24" t="s">
        <v>4103</v>
      </c>
      <c r="F1308" s="24" t="s">
        <v>4105</v>
      </c>
      <c r="G1308" s="24">
        <v>500</v>
      </c>
      <c r="H1308" s="24"/>
    </row>
    <row r="1309" spans="1:1008" ht="14">
      <c r="A1309" s="24" t="s">
        <v>2185</v>
      </c>
      <c r="B1309" s="33" t="s">
        <v>4108</v>
      </c>
      <c r="C1309" s="24" t="s">
        <v>2185</v>
      </c>
      <c r="D1309" s="24" t="s">
        <v>12</v>
      </c>
      <c r="E1309" s="24" t="s">
        <v>4340</v>
      </c>
      <c r="F1309" s="24" t="s">
        <v>4120</v>
      </c>
      <c r="G1309" s="24">
        <v>500</v>
      </c>
      <c r="H1309" s="24"/>
    </row>
    <row r="1310" spans="1:1008" ht="14">
      <c r="A1310" s="24" t="s">
        <v>2185</v>
      </c>
      <c r="B1310" s="33" t="s">
        <v>4109</v>
      </c>
      <c r="C1310" s="24" t="s">
        <v>2185</v>
      </c>
      <c r="D1310" s="24" t="s">
        <v>12</v>
      </c>
      <c r="E1310" s="24" t="s">
        <v>4340</v>
      </c>
      <c r="F1310" s="24" t="s">
        <v>4120</v>
      </c>
      <c r="G1310" s="24">
        <v>500</v>
      </c>
      <c r="H1310" s="24"/>
    </row>
    <row r="1311" spans="1:1008" ht="14">
      <c r="A1311" s="24" t="s">
        <v>2185</v>
      </c>
      <c r="B1311" s="33" t="s">
        <v>4112</v>
      </c>
      <c r="C1311" s="24" t="s">
        <v>2185</v>
      </c>
      <c r="D1311" s="24" t="s">
        <v>12</v>
      </c>
      <c r="E1311" s="24" t="s">
        <v>4119</v>
      </c>
      <c r="F1311" s="24" t="s">
        <v>4121</v>
      </c>
      <c r="G1311" s="24">
        <v>500</v>
      </c>
      <c r="H1311" s="24"/>
    </row>
    <row r="1312" spans="1:1008" ht="14">
      <c r="A1312" s="24" t="s">
        <v>2185</v>
      </c>
      <c r="B1312" s="33" t="s">
        <v>4107</v>
      </c>
      <c r="C1312" s="24" t="s">
        <v>2185</v>
      </c>
      <c r="D1312" s="24" t="s">
        <v>12</v>
      </c>
      <c r="E1312" s="24" t="s">
        <v>4340</v>
      </c>
      <c r="F1312" s="24" t="s">
        <v>4120</v>
      </c>
      <c r="G1312" s="24">
        <v>500</v>
      </c>
      <c r="H1312" s="24"/>
    </row>
    <row r="1313" spans="1:8" ht="14">
      <c r="A1313" s="24" t="s">
        <v>4125</v>
      </c>
      <c r="B1313" s="33" t="s">
        <v>4122</v>
      </c>
      <c r="C1313" s="24" t="s">
        <v>4125</v>
      </c>
      <c r="D1313" s="24" t="s">
        <v>12</v>
      </c>
      <c r="E1313" s="24" t="s">
        <v>4131</v>
      </c>
      <c r="F1313" s="24" t="s">
        <v>4135</v>
      </c>
      <c r="G1313" s="24">
        <v>500</v>
      </c>
      <c r="H1313" s="24"/>
    </row>
    <row r="1314" spans="1:8" ht="14">
      <c r="A1314" s="24" t="s">
        <v>4126</v>
      </c>
      <c r="B1314" s="33" t="s">
        <v>4122</v>
      </c>
      <c r="C1314" s="24" t="s">
        <v>4126</v>
      </c>
      <c r="D1314" s="24" t="s">
        <v>12</v>
      </c>
      <c r="E1314" s="24" t="s">
        <v>4132</v>
      </c>
      <c r="F1314" s="24" t="s">
        <v>4136</v>
      </c>
      <c r="G1314" s="24">
        <v>500</v>
      </c>
      <c r="H1314" s="24"/>
    </row>
    <row r="1315" spans="1:8" ht="14">
      <c r="A1315" s="24" t="s">
        <v>4128</v>
      </c>
      <c r="B1315" s="33" t="s">
        <v>4122</v>
      </c>
      <c r="C1315" s="24" t="s">
        <v>4128</v>
      </c>
      <c r="D1315" s="24" t="s">
        <v>12</v>
      </c>
      <c r="E1315" s="24" t="s">
        <v>4127</v>
      </c>
      <c r="F1315" s="24" t="s">
        <v>4137</v>
      </c>
      <c r="G1315" s="24">
        <v>650</v>
      </c>
      <c r="H1315" s="24"/>
    </row>
    <row r="1316" spans="1:8" ht="14">
      <c r="A1316" s="24" t="s">
        <v>4129</v>
      </c>
      <c r="B1316" s="33" t="s">
        <v>4122</v>
      </c>
      <c r="C1316" s="24" t="s">
        <v>4129</v>
      </c>
      <c r="D1316" s="24" t="s">
        <v>12</v>
      </c>
      <c r="E1316" s="24" t="s">
        <v>4133</v>
      </c>
      <c r="F1316" s="24" t="s">
        <v>4138</v>
      </c>
      <c r="G1316" s="24">
        <v>500</v>
      </c>
      <c r="H1316" s="24"/>
    </row>
    <row r="1317" spans="1:8" ht="14">
      <c r="A1317" s="24" t="s">
        <v>4130</v>
      </c>
      <c r="B1317" s="33" t="s">
        <v>4122</v>
      </c>
      <c r="C1317" s="24" t="s">
        <v>4130</v>
      </c>
      <c r="D1317" s="24" t="s">
        <v>12</v>
      </c>
      <c r="E1317" s="24" t="s">
        <v>4134</v>
      </c>
      <c r="F1317" s="24" t="s">
        <v>4139</v>
      </c>
      <c r="G1317" s="24">
        <v>500</v>
      </c>
      <c r="H1317" s="24"/>
    </row>
    <row r="1318" spans="1:8" ht="14">
      <c r="A1318" s="24" t="s">
        <v>4140</v>
      </c>
      <c r="B1318" s="33" t="s">
        <v>4122</v>
      </c>
      <c r="C1318" s="24" t="s">
        <v>4140</v>
      </c>
      <c r="D1318" s="24" t="s">
        <v>12</v>
      </c>
      <c r="E1318" s="24" t="s">
        <v>4142</v>
      </c>
      <c r="F1318" s="24" t="s">
        <v>4144</v>
      </c>
      <c r="G1318" s="24">
        <v>500</v>
      </c>
      <c r="H1318" s="24"/>
    </row>
    <row r="1319" spans="1:8" ht="14">
      <c r="A1319" s="24" t="s">
        <v>4141</v>
      </c>
      <c r="B1319" s="33" t="s">
        <v>4122</v>
      </c>
      <c r="C1319" s="24" t="s">
        <v>4141</v>
      </c>
      <c r="D1319" s="24" t="s">
        <v>12</v>
      </c>
      <c r="E1319" s="24" t="s">
        <v>4143</v>
      </c>
      <c r="F1319" s="24" t="s">
        <v>4145</v>
      </c>
      <c r="G1319" s="24">
        <v>500</v>
      </c>
      <c r="H1319" s="24"/>
    </row>
    <row r="1320" spans="1:8" ht="14">
      <c r="A1320" s="24" t="s">
        <v>4153</v>
      </c>
      <c r="B1320" s="33" t="s">
        <v>4150</v>
      </c>
      <c r="C1320" s="24" t="s">
        <v>4153</v>
      </c>
      <c r="D1320" s="24" t="s">
        <v>12</v>
      </c>
      <c r="E1320" s="24" t="s">
        <v>4153</v>
      </c>
      <c r="F1320" s="24" t="s">
        <v>4168</v>
      </c>
      <c r="G1320" s="24">
        <v>500</v>
      </c>
      <c r="H1320" s="24"/>
    </row>
    <row r="1321" spans="1:8" ht="14">
      <c r="A1321" s="24" t="s">
        <v>4154</v>
      </c>
      <c r="B1321" s="33" t="s">
        <v>4150</v>
      </c>
      <c r="C1321" s="24" t="s">
        <v>4154</v>
      </c>
      <c r="D1321" s="24" t="s">
        <v>12</v>
      </c>
      <c r="E1321" s="24" t="s">
        <v>4154</v>
      </c>
      <c r="F1321" s="24" t="s">
        <v>4169</v>
      </c>
      <c r="G1321" s="24">
        <v>500</v>
      </c>
      <c r="H1321" s="24"/>
    </row>
    <row r="1322" spans="1:8" ht="14">
      <c r="A1322" s="24" t="s">
        <v>4155</v>
      </c>
      <c r="B1322" s="33" t="s">
        <v>4150</v>
      </c>
      <c r="C1322" s="24" t="s">
        <v>4155</v>
      </c>
      <c r="D1322" s="24" t="s">
        <v>12</v>
      </c>
      <c r="E1322" s="24" t="s">
        <v>4155</v>
      </c>
      <c r="F1322" s="24" t="s">
        <v>4170</v>
      </c>
      <c r="G1322" s="24">
        <v>500</v>
      </c>
      <c r="H1322" s="24"/>
    </row>
    <row r="1323" spans="1:8" ht="14">
      <c r="A1323" s="24" t="s">
        <v>4156</v>
      </c>
      <c r="B1323" s="33" t="s">
        <v>4150</v>
      </c>
      <c r="C1323" s="24" t="s">
        <v>4156</v>
      </c>
      <c r="D1323" s="24" t="s">
        <v>12</v>
      </c>
      <c r="E1323" s="24" t="s">
        <v>4156</v>
      </c>
      <c r="F1323" s="24" t="s">
        <v>4171</v>
      </c>
      <c r="G1323" s="24">
        <v>500</v>
      </c>
      <c r="H1323" s="24"/>
    </row>
    <row r="1324" spans="1:8" ht="14">
      <c r="A1324" s="24" t="s">
        <v>641</v>
      </c>
      <c r="B1324" s="33" t="s">
        <v>4150</v>
      </c>
      <c r="C1324" s="24" t="s">
        <v>641</v>
      </c>
      <c r="D1324" s="24" t="s">
        <v>12</v>
      </c>
      <c r="E1324" s="24" t="s">
        <v>641</v>
      </c>
      <c r="F1324" s="24" t="s">
        <v>4172</v>
      </c>
      <c r="G1324" s="24">
        <v>500</v>
      </c>
      <c r="H1324" s="24"/>
    </row>
    <row r="1325" spans="1:8" ht="14">
      <c r="A1325" s="24" t="s">
        <v>4157</v>
      </c>
      <c r="B1325" s="33" t="s">
        <v>4150</v>
      </c>
      <c r="C1325" s="24" t="s">
        <v>4157</v>
      </c>
      <c r="D1325" s="24" t="s">
        <v>12</v>
      </c>
      <c r="E1325" s="24" t="s">
        <v>4157</v>
      </c>
      <c r="F1325" s="24" t="s">
        <v>4173</v>
      </c>
      <c r="G1325" s="24">
        <v>500</v>
      </c>
      <c r="H1325" s="24"/>
    </row>
    <row r="1326" spans="1:8" ht="14">
      <c r="A1326" s="24" t="s">
        <v>4158</v>
      </c>
      <c r="B1326" s="33" t="s">
        <v>4150</v>
      </c>
      <c r="C1326" s="24" t="s">
        <v>4158</v>
      </c>
      <c r="D1326" s="24" t="s">
        <v>12</v>
      </c>
      <c r="E1326" s="24" t="s">
        <v>4158</v>
      </c>
      <c r="F1326" s="24" t="s">
        <v>4174</v>
      </c>
      <c r="G1326" s="24">
        <v>500</v>
      </c>
      <c r="H1326" s="24"/>
    </row>
    <row r="1327" spans="1:8" ht="14">
      <c r="A1327" s="24" t="s">
        <v>4159</v>
      </c>
      <c r="B1327" s="33" t="s">
        <v>4150</v>
      </c>
      <c r="C1327" s="24" t="s">
        <v>4159</v>
      </c>
      <c r="D1327" s="24" t="s">
        <v>12</v>
      </c>
      <c r="E1327" s="24" t="s">
        <v>4159</v>
      </c>
      <c r="F1327" s="24" t="s">
        <v>4175</v>
      </c>
      <c r="G1327" s="24">
        <v>500</v>
      </c>
      <c r="H1327" s="24"/>
    </row>
    <row r="1328" spans="1:8" ht="14">
      <c r="A1328" s="24" t="s">
        <v>4160</v>
      </c>
      <c r="B1328" s="33" t="s">
        <v>4150</v>
      </c>
      <c r="C1328" s="24" t="s">
        <v>4160</v>
      </c>
      <c r="D1328" s="24" t="s">
        <v>12</v>
      </c>
      <c r="E1328" s="24" t="s">
        <v>4160</v>
      </c>
      <c r="F1328" s="24" t="s">
        <v>4176</v>
      </c>
      <c r="G1328" s="24">
        <v>500</v>
      </c>
      <c r="H1328" s="24"/>
    </row>
    <row r="1329" spans="1:8" ht="14">
      <c r="A1329" s="24" t="s">
        <v>4161</v>
      </c>
      <c r="B1329" s="33" t="s">
        <v>4150</v>
      </c>
      <c r="C1329" s="24" t="s">
        <v>4161</v>
      </c>
      <c r="D1329" s="24" t="s">
        <v>12</v>
      </c>
      <c r="E1329" s="24" t="s">
        <v>4161</v>
      </c>
      <c r="F1329" s="24" t="s">
        <v>4177</v>
      </c>
      <c r="G1329" s="24">
        <v>500</v>
      </c>
      <c r="H1329" s="24"/>
    </row>
    <row r="1330" spans="1:8" ht="14">
      <c r="A1330" s="24" t="s">
        <v>4162</v>
      </c>
      <c r="B1330" s="33" t="s">
        <v>4150</v>
      </c>
      <c r="C1330" s="24" t="s">
        <v>4162</v>
      </c>
      <c r="D1330" s="24" t="s">
        <v>12</v>
      </c>
      <c r="E1330" s="24" t="s">
        <v>4162</v>
      </c>
      <c r="F1330" s="24" t="s">
        <v>4178</v>
      </c>
      <c r="G1330" s="24">
        <v>500</v>
      </c>
      <c r="H1330" s="24"/>
    </row>
    <row r="1331" spans="1:8" ht="14">
      <c r="A1331" s="24" t="s">
        <v>4163</v>
      </c>
      <c r="B1331" s="33" t="s">
        <v>4150</v>
      </c>
      <c r="C1331" s="24" t="s">
        <v>4163</v>
      </c>
      <c r="D1331" s="24" t="s">
        <v>12</v>
      </c>
      <c r="E1331" s="24" t="s">
        <v>4163</v>
      </c>
      <c r="F1331" s="24" t="s">
        <v>4179</v>
      </c>
      <c r="G1331" s="24">
        <v>500</v>
      </c>
      <c r="H1331" s="24"/>
    </row>
    <row r="1332" spans="1:8" ht="14">
      <c r="A1332" s="24" t="s">
        <v>4164</v>
      </c>
      <c r="B1332" s="33" t="s">
        <v>4150</v>
      </c>
      <c r="C1332" s="24" t="s">
        <v>4164</v>
      </c>
      <c r="D1332" s="24" t="s">
        <v>12</v>
      </c>
      <c r="E1332" s="24" t="s">
        <v>4164</v>
      </c>
      <c r="F1332" s="24" t="s">
        <v>4180</v>
      </c>
      <c r="G1332" s="24">
        <v>500</v>
      </c>
      <c r="H1332" s="24"/>
    </row>
    <row r="1333" spans="1:8" ht="14">
      <c r="A1333" s="24" t="s">
        <v>4165</v>
      </c>
      <c r="B1333" s="33" t="s">
        <v>4150</v>
      </c>
      <c r="C1333" s="24" t="s">
        <v>4165</v>
      </c>
      <c r="D1333" s="24" t="s">
        <v>12</v>
      </c>
      <c r="E1333" s="24" t="s">
        <v>4165</v>
      </c>
      <c r="F1333" s="24" t="s">
        <v>4181</v>
      </c>
      <c r="G1333" s="24">
        <v>500</v>
      </c>
      <c r="H1333" s="24"/>
    </row>
    <row r="1334" spans="1:8" ht="14">
      <c r="A1334" s="24" t="s">
        <v>4166</v>
      </c>
      <c r="B1334" s="33" t="s">
        <v>4150</v>
      </c>
      <c r="C1334" s="24" t="s">
        <v>4166</v>
      </c>
      <c r="D1334" s="24" t="s">
        <v>12</v>
      </c>
      <c r="E1334" s="24" t="s">
        <v>4166</v>
      </c>
      <c r="F1334" s="24" t="s">
        <v>4182</v>
      </c>
      <c r="G1334" s="24">
        <v>500</v>
      </c>
      <c r="H1334" s="24"/>
    </row>
    <row r="1335" spans="1:8" ht="14">
      <c r="A1335" s="24" t="s">
        <v>4167</v>
      </c>
      <c r="B1335" s="33" t="s">
        <v>4150</v>
      </c>
      <c r="C1335" s="24" t="s">
        <v>4167</v>
      </c>
      <c r="D1335" s="24" t="s">
        <v>12</v>
      </c>
      <c r="E1335" s="24" t="s">
        <v>4167</v>
      </c>
      <c r="F1335" s="24" t="s">
        <v>4183</v>
      </c>
      <c r="G1335" s="24">
        <v>600</v>
      </c>
      <c r="H1335" s="24"/>
    </row>
    <row r="1336" spans="1:8" ht="14">
      <c r="A1336" s="24" t="s">
        <v>1776</v>
      </c>
      <c r="B1336" s="33" t="s">
        <v>4210</v>
      </c>
      <c r="C1336" s="24" t="s">
        <v>1776</v>
      </c>
      <c r="D1336" s="24" t="s">
        <v>12</v>
      </c>
      <c r="E1336" s="24" t="s">
        <v>2826</v>
      </c>
      <c r="F1336" s="24" t="s">
        <v>4213</v>
      </c>
      <c r="G1336" s="24">
        <v>600</v>
      </c>
      <c r="H1336" s="24"/>
    </row>
    <row r="1337" spans="1:8" ht="14">
      <c r="A1337" s="24" t="s">
        <v>4212</v>
      </c>
      <c r="B1337" s="33" t="s">
        <v>4210</v>
      </c>
      <c r="C1337" s="24" t="s">
        <v>0</v>
      </c>
      <c r="D1337" s="24" t="s">
        <v>12</v>
      </c>
      <c r="E1337" s="24" t="s">
        <v>4214</v>
      </c>
      <c r="F1337" s="24" t="s">
        <v>4215</v>
      </c>
      <c r="G1337" s="24">
        <v>550</v>
      </c>
      <c r="H1337" s="24"/>
    </row>
    <row r="1338" spans="1:8" ht="14">
      <c r="A1338" s="24" t="s">
        <v>4206</v>
      </c>
      <c r="B1338" s="33" t="s">
        <v>29</v>
      </c>
      <c r="C1338" s="24" t="s">
        <v>4206</v>
      </c>
      <c r="D1338" s="24" t="s">
        <v>12</v>
      </c>
      <c r="E1338" s="24" t="s">
        <v>3153</v>
      </c>
      <c r="F1338" s="24" t="s">
        <v>4398</v>
      </c>
      <c r="G1338" s="24">
        <v>500</v>
      </c>
      <c r="H1338" s="24"/>
    </row>
    <row r="1339" spans="1:8" ht="14">
      <c r="A1339" s="24" t="s">
        <v>4207</v>
      </c>
      <c r="B1339" s="33" t="s">
        <v>29</v>
      </c>
      <c r="C1339" s="24" t="s">
        <v>4207</v>
      </c>
      <c r="D1339" s="24" t="s">
        <v>12</v>
      </c>
      <c r="E1339" s="24" t="s">
        <v>4208</v>
      </c>
      <c r="F1339" s="24" t="s">
        <v>4209</v>
      </c>
      <c r="G1339" s="24">
        <v>450</v>
      </c>
      <c r="H1339" s="24"/>
    </row>
    <row r="1340" spans="1:8" ht="14">
      <c r="A1340" s="24" t="s">
        <v>4207</v>
      </c>
      <c r="B1340" s="33" t="s">
        <v>2822</v>
      </c>
      <c r="C1340" s="24" t="s">
        <v>4207</v>
      </c>
      <c r="D1340" s="24" t="s">
        <v>12</v>
      </c>
      <c r="E1340" s="24" t="s">
        <v>4208</v>
      </c>
      <c r="F1340" s="24" t="s">
        <v>4320</v>
      </c>
      <c r="G1340" s="24">
        <v>500</v>
      </c>
      <c r="H1340" s="24"/>
    </row>
    <row r="1341" spans="1:8" ht="14">
      <c r="A1341" s="24" t="str">
        <f>LOWER(C1341)</f>
        <v>hematoxylin</v>
      </c>
      <c r="B1341" s="33" t="s">
        <v>4216</v>
      </c>
      <c r="C1341" s="24" t="s">
        <v>4276</v>
      </c>
      <c r="D1341" s="24" t="s">
        <v>12</v>
      </c>
      <c r="E1341" s="24" t="s">
        <v>4218</v>
      </c>
      <c r="F1341" s="24" t="s">
        <v>4219</v>
      </c>
      <c r="G1341" s="24">
        <v>500</v>
      </c>
      <c r="H1341" s="24"/>
    </row>
    <row r="1342" spans="1:8" ht="14">
      <c r="A1342" s="24" t="str">
        <f t="shared" ref="A1342:A1369" si="20">LOWER(C1342)</f>
        <v>eosin</v>
      </c>
      <c r="B1342" s="33" t="s">
        <v>4216</v>
      </c>
      <c r="C1342" s="24" t="s">
        <v>4277</v>
      </c>
      <c r="D1342" s="24" t="s">
        <v>12</v>
      </c>
      <c r="E1342" s="24" t="s">
        <v>4220</v>
      </c>
      <c r="F1342" s="24" t="s">
        <v>4221</v>
      </c>
      <c r="G1342" s="24">
        <v>500</v>
      </c>
      <c r="H1342" s="24"/>
    </row>
    <row r="1343" spans="1:8" ht="14">
      <c r="A1343" s="24" t="str">
        <f t="shared" si="20"/>
        <v>dapi</v>
      </c>
      <c r="B1343" s="33" t="s">
        <v>4216</v>
      </c>
      <c r="C1343" s="24" t="s">
        <v>4278</v>
      </c>
      <c r="D1343" s="24" t="s">
        <v>12</v>
      </c>
      <c r="E1343" s="24" t="s">
        <v>4222</v>
      </c>
      <c r="F1343" s="24" t="s">
        <v>4223</v>
      </c>
      <c r="G1343" s="24">
        <v>500</v>
      </c>
      <c r="H1343" s="24"/>
    </row>
    <row r="1344" spans="1:8" ht="14">
      <c r="A1344" s="24" t="str">
        <f t="shared" si="20"/>
        <v>hoechst33342</v>
      </c>
      <c r="B1344" s="33" t="s">
        <v>4216</v>
      </c>
      <c r="C1344" s="24" t="s">
        <v>4283</v>
      </c>
      <c r="D1344" s="24" t="s">
        <v>12</v>
      </c>
      <c r="E1344" s="24" t="s">
        <v>4224</v>
      </c>
      <c r="F1344" s="24" t="s">
        <v>4225</v>
      </c>
      <c r="G1344" s="24">
        <v>500</v>
      </c>
      <c r="H1344" s="24"/>
    </row>
    <row r="1345" spans="1:8" ht="14">
      <c r="A1345" s="24" t="str">
        <f t="shared" si="20"/>
        <v>propidium_iodide</v>
      </c>
      <c r="B1345" s="33" t="s">
        <v>4216</v>
      </c>
      <c r="C1345" s="24" t="s">
        <v>4284</v>
      </c>
      <c r="D1345" s="24" t="s">
        <v>12</v>
      </c>
      <c r="E1345" s="24" t="s">
        <v>4226</v>
      </c>
      <c r="F1345" s="24" t="s">
        <v>4227</v>
      </c>
      <c r="G1345" s="24">
        <v>500</v>
      </c>
      <c r="H1345" s="24"/>
    </row>
    <row r="1346" spans="1:8" ht="14">
      <c r="A1346" s="24" t="str">
        <f t="shared" si="20"/>
        <v>acridine_orange</v>
      </c>
      <c r="B1346" s="33" t="s">
        <v>4216</v>
      </c>
      <c r="C1346" s="24" t="s">
        <v>4285</v>
      </c>
      <c r="D1346" s="24" t="s">
        <v>12</v>
      </c>
      <c r="E1346" s="24" t="s">
        <v>4228</v>
      </c>
      <c r="F1346" s="24" t="s">
        <v>4229</v>
      </c>
      <c r="G1346" s="24">
        <v>500</v>
      </c>
      <c r="H1346" s="24"/>
    </row>
    <row r="1347" spans="1:8" ht="14">
      <c r="A1347" s="24" t="str">
        <f t="shared" si="20"/>
        <v>crystal_violet</v>
      </c>
      <c r="B1347" s="33" t="s">
        <v>4216</v>
      </c>
      <c r="C1347" s="24" t="s">
        <v>4286</v>
      </c>
      <c r="D1347" s="24" t="s">
        <v>12</v>
      </c>
      <c r="E1347" s="24" t="s">
        <v>4230</v>
      </c>
      <c r="F1347" s="24" t="s">
        <v>4231</v>
      </c>
      <c r="G1347" s="24">
        <v>500</v>
      </c>
      <c r="H1347" s="24"/>
    </row>
    <row r="1348" spans="1:8" ht="14">
      <c r="A1348" s="24" t="str">
        <f t="shared" si="20"/>
        <v>safranin</v>
      </c>
      <c r="B1348" s="33" t="s">
        <v>4216</v>
      </c>
      <c r="C1348" s="24" t="s">
        <v>4279</v>
      </c>
      <c r="D1348" s="24" t="s">
        <v>12</v>
      </c>
      <c r="E1348" s="24" t="s">
        <v>4232</v>
      </c>
      <c r="F1348" s="24" t="s">
        <v>4233</v>
      </c>
      <c r="G1348" s="24">
        <v>500</v>
      </c>
      <c r="H1348" s="24"/>
    </row>
    <row r="1349" spans="1:8" ht="14">
      <c r="A1349" s="24" t="str">
        <f t="shared" si="20"/>
        <v>methylene_blue</v>
      </c>
      <c r="B1349" s="33" t="s">
        <v>4216</v>
      </c>
      <c r="C1349" s="24" t="s">
        <v>4287</v>
      </c>
      <c r="D1349" s="24" t="s">
        <v>12</v>
      </c>
      <c r="E1349" s="24" t="s">
        <v>4234</v>
      </c>
      <c r="F1349" s="24" t="s">
        <v>4235</v>
      </c>
      <c r="G1349" s="24">
        <v>500</v>
      </c>
      <c r="H1349" s="24"/>
    </row>
    <row r="1350" spans="1:8" ht="14">
      <c r="A1350" s="24" t="str">
        <f t="shared" si="20"/>
        <v>malachite_green</v>
      </c>
      <c r="B1350" s="33" t="s">
        <v>4216</v>
      </c>
      <c r="C1350" s="24" t="s">
        <v>4288</v>
      </c>
      <c r="D1350" s="24" t="s">
        <v>12</v>
      </c>
      <c r="E1350" s="24" t="s">
        <v>4236</v>
      </c>
      <c r="F1350" s="24" t="s">
        <v>4237</v>
      </c>
      <c r="G1350" s="24">
        <v>500</v>
      </c>
      <c r="H1350" s="24"/>
    </row>
    <row r="1351" spans="1:8" ht="14">
      <c r="A1351" s="24" t="str">
        <f t="shared" si="20"/>
        <v>nigrosin</v>
      </c>
      <c r="B1351" s="33" t="s">
        <v>4216</v>
      </c>
      <c r="C1351" s="24" t="s">
        <v>4280</v>
      </c>
      <c r="D1351" s="24" t="s">
        <v>12</v>
      </c>
      <c r="E1351" s="24" t="s">
        <v>4238</v>
      </c>
      <c r="F1351" s="24" t="s">
        <v>4239</v>
      </c>
      <c r="G1351" s="24">
        <v>500</v>
      </c>
      <c r="H1351" s="24"/>
    </row>
    <row r="1352" spans="1:8" ht="14">
      <c r="A1352" s="24" t="str">
        <f t="shared" si="20"/>
        <v>india_ink</v>
      </c>
      <c r="B1352" s="33" t="s">
        <v>4216</v>
      </c>
      <c r="C1352" s="24" t="s">
        <v>4289</v>
      </c>
      <c r="D1352" s="24" t="s">
        <v>12</v>
      </c>
      <c r="E1352" s="24" t="s">
        <v>4240</v>
      </c>
      <c r="F1352" s="24" t="s">
        <v>4241</v>
      </c>
      <c r="G1352" s="24">
        <v>500</v>
      </c>
      <c r="H1352" s="24"/>
    </row>
    <row r="1353" spans="1:8" ht="14">
      <c r="A1353" s="24" t="str">
        <f t="shared" si="20"/>
        <v>calcofluor_white</v>
      </c>
      <c r="B1353" s="33" t="s">
        <v>4216</v>
      </c>
      <c r="C1353" s="24" t="s">
        <v>4290</v>
      </c>
      <c r="D1353" s="24" t="s">
        <v>12</v>
      </c>
      <c r="E1353" s="24" t="s">
        <v>4242</v>
      </c>
      <c r="F1353" s="24" t="s">
        <v>4243</v>
      </c>
      <c r="G1353" s="24">
        <v>500</v>
      </c>
      <c r="H1353" s="24"/>
    </row>
    <row r="1354" spans="1:8" ht="14">
      <c r="A1354" s="24" t="str">
        <f t="shared" si="20"/>
        <v>rhodamine</v>
      </c>
      <c r="B1354" s="33" t="s">
        <v>4216</v>
      </c>
      <c r="C1354" s="24" t="s">
        <v>4281</v>
      </c>
      <c r="D1354" s="24" t="s">
        <v>12</v>
      </c>
      <c r="E1354" s="24" t="s">
        <v>4244</v>
      </c>
      <c r="F1354" s="24" t="s">
        <v>4245</v>
      </c>
      <c r="G1354" s="24">
        <v>500</v>
      </c>
      <c r="H1354" s="24"/>
    </row>
    <row r="1355" spans="1:8" ht="14">
      <c r="A1355" s="24" t="str">
        <f t="shared" si="20"/>
        <v>fluorescein</v>
      </c>
      <c r="B1355" s="33" t="s">
        <v>4216</v>
      </c>
      <c r="C1355" s="24" t="s">
        <v>4282</v>
      </c>
      <c r="D1355" s="24" t="s">
        <v>12</v>
      </c>
      <c r="E1355" s="24" t="s">
        <v>4246</v>
      </c>
      <c r="F1355" s="24" t="s">
        <v>4247</v>
      </c>
      <c r="G1355" s="24">
        <v>500</v>
      </c>
      <c r="H1355" s="24"/>
    </row>
    <row r="1356" spans="1:8" ht="14">
      <c r="A1356" s="24" t="str">
        <f t="shared" si="20"/>
        <v>congo_red</v>
      </c>
      <c r="B1356" s="33" t="s">
        <v>4216</v>
      </c>
      <c r="C1356" s="24" t="s">
        <v>4291</v>
      </c>
      <c r="D1356" s="24" t="s">
        <v>12</v>
      </c>
      <c r="E1356" s="24" t="s">
        <v>4248</v>
      </c>
      <c r="F1356" s="24" t="s">
        <v>4249</v>
      </c>
      <c r="G1356" s="24">
        <v>500</v>
      </c>
      <c r="H1356" s="24"/>
    </row>
    <row r="1357" spans="1:8" ht="14">
      <c r="A1357" s="24" t="str">
        <f t="shared" si="20"/>
        <v>oil_red_o</v>
      </c>
      <c r="B1357" s="33" t="s">
        <v>4216</v>
      </c>
      <c r="C1357" s="24" t="s">
        <v>4292</v>
      </c>
      <c r="D1357" s="24" t="s">
        <v>12</v>
      </c>
      <c r="E1357" s="24" t="s">
        <v>4250</v>
      </c>
      <c r="F1357" s="24" t="s">
        <v>4251</v>
      </c>
      <c r="G1357" s="24">
        <v>500</v>
      </c>
      <c r="H1357" s="24"/>
    </row>
    <row r="1358" spans="1:8" ht="14">
      <c r="A1358" s="24" t="str">
        <f t="shared" si="20"/>
        <v>sudan_black_b</v>
      </c>
      <c r="B1358" s="33" t="s">
        <v>4216</v>
      </c>
      <c r="C1358" s="24" t="s">
        <v>4293</v>
      </c>
      <c r="D1358" s="24" t="s">
        <v>12</v>
      </c>
      <c r="E1358" s="24" t="s">
        <v>4252</v>
      </c>
      <c r="F1358" s="24" t="s">
        <v>4253</v>
      </c>
      <c r="G1358" s="24">
        <v>500</v>
      </c>
      <c r="H1358" s="24"/>
    </row>
    <row r="1359" spans="1:8" ht="14">
      <c r="A1359" s="24" t="str">
        <f t="shared" si="20"/>
        <v>janus_green_b</v>
      </c>
      <c r="B1359" s="33" t="s">
        <v>4216</v>
      </c>
      <c r="C1359" s="24" t="s">
        <v>4294</v>
      </c>
      <c r="D1359" s="24" t="s">
        <v>12</v>
      </c>
      <c r="E1359" s="24" t="s">
        <v>4254</v>
      </c>
      <c r="F1359" s="24" t="s">
        <v>4255</v>
      </c>
      <c r="G1359" s="24">
        <v>500</v>
      </c>
      <c r="H1359" s="24"/>
    </row>
    <row r="1360" spans="1:8" ht="14">
      <c r="A1360" s="24" t="str">
        <f t="shared" si="20"/>
        <v>neutral_red</v>
      </c>
      <c r="B1360" s="33" t="s">
        <v>4216</v>
      </c>
      <c r="C1360" s="24" t="s">
        <v>4295</v>
      </c>
      <c r="D1360" s="24" t="s">
        <v>12</v>
      </c>
      <c r="E1360" s="24" t="s">
        <v>4256</v>
      </c>
      <c r="F1360" s="24" t="s">
        <v>4257</v>
      </c>
      <c r="G1360" s="24">
        <v>500</v>
      </c>
      <c r="H1360" s="24"/>
    </row>
    <row r="1361" spans="1:8" ht="14">
      <c r="A1361" s="24" t="str">
        <f t="shared" si="20"/>
        <v>trypan_blue</v>
      </c>
      <c r="B1361" s="33" t="s">
        <v>4216</v>
      </c>
      <c r="C1361" s="24" t="s">
        <v>4296</v>
      </c>
      <c r="D1361" s="24" t="s">
        <v>12</v>
      </c>
      <c r="E1361" s="24" t="s">
        <v>4258</v>
      </c>
      <c r="F1361" s="24" t="s">
        <v>4259</v>
      </c>
      <c r="G1361" s="24">
        <v>500</v>
      </c>
      <c r="H1361" s="24"/>
    </row>
    <row r="1362" spans="1:8" ht="14">
      <c r="A1362" s="24" t="str">
        <f t="shared" si="20"/>
        <v>toluidine_blue</v>
      </c>
      <c r="B1362" s="33" t="s">
        <v>4216</v>
      </c>
      <c r="C1362" s="24" t="s">
        <v>4297</v>
      </c>
      <c r="D1362" s="24" t="s">
        <v>12</v>
      </c>
      <c r="E1362" s="24" t="s">
        <v>4260</v>
      </c>
      <c r="F1362" s="24" t="s">
        <v>4261</v>
      </c>
      <c r="G1362" s="24">
        <v>500</v>
      </c>
      <c r="H1362" s="24"/>
    </row>
    <row r="1363" spans="1:8" ht="14">
      <c r="A1363" s="24" t="str">
        <f t="shared" si="20"/>
        <v>silver_stain</v>
      </c>
      <c r="B1363" s="33" t="s">
        <v>4216</v>
      </c>
      <c r="C1363" s="24" t="s">
        <v>4298</v>
      </c>
      <c r="D1363" s="24" t="s">
        <v>12</v>
      </c>
      <c r="E1363" s="24" t="s">
        <v>4262</v>
      </c>
      <c r="F1363" s="24" t="s">
        <v>4263</v>
      </c>
      <c r="G1363" s="24">
        <v>500</v>
      </c>
      <c r="H1363" s="24"/>
    </row>
    <row r="1364" spans="1:8" ht="14">
      <c r="A1364" s="24" t="str">
        <f t="shared" si="20"/>
        <v>auramine_o</v>
      </c>
      <c r="B1364" s="33" t="s">
        <v>4216</v>
      </c>
      <c r="C1364" s="24" t="s">
        <v>4299</v>
      </c>
      <c r="D1364" s="24" t="s">
        <v>12</v>
      </c>
      <c r="E1364" s="24" t="s">
        <v>4264</v>
      </c>
      <c r="F1364" s="24" t="s">
        <v>4265</v>
      </c>
      <c r="G1364" s="24">
        <v>500</v>
      </c>
      <c r="H1364" s="24"/>
    </row>
    <row r="1365" spans="1:8" ht="14">
      <c r="A1365" s="24" t="str">
        <f t="shared" si="20"/>
        <v>giemsa_stain</v>
      </c>
      <c r="B1365" s="33" t="s">
        <v>4216</v>
      </c>
      <c r="C1365" s="24" t="s">
        <v>4300</v>
      </c>
      <c r="D1365" s="24" t="s">
        <v>12</v>
      </c>
      <c r="E1365" s="24" t="s">
        <v>4266</v>
      </c>
      <c r="F1365" s="24" t="s">
        <v>4267</v>
      </c>
      <c r="G1365" s="24">
        <v>500</v>
      </c>
      <c r="H1365" s="24"/>
    </row>
    <row r="1366" spans="1:8" ht="14">
      <c r="A1366" s="24" t="str">
        <f t="shared" si="20"/>
        <v>wright_stain</v>
      </c>
      <c r="B1366" s="33" t="s">
        <v>4216</v>
      </c>
      <c r="C1366" s="24" t="s">
        <v>4301</v>
      </c>
      <c r="D1366" s="24" t="s">
        <v>12</v>
      </c>
      <c r="E1366" s="24" t="s">
        <v>4268</v>
      </c>
      <c r="F1366" s="24" t="s">
        <v>4269</v>
      </c>
      <c r="G1366" s="24">
        <v>500</v>
      </c>
      <c r="H1366" s="24"/>
    </row>
    <row r="1367" spans="1:8" ht="14">
      <c r="A1367" s="24" t="str">
        <f t="shared" si="20"/>
        <v>periodic_acid-schiff</v>
      </c>
      <c r="B1367" s="33" t="s">
        <v>4216</v>
      </c>
      <c r="C1367" s="24" t="s">
        <v>4302</v>
      </c>
      <c r="D1367" s="24" t="s">
        <v>12</v>
      </c>
      <c r="E1367" s="24" t="s">
        <v>4270</v>
      </c>
      <c r="F1367" s="24" t="s">
        <v>4271</v>
      </c>
      <c r="G1367" s="24">
        <v>500</v>
      </c>
      <c r="H1367" s="24"/>
    </row>
    <row r="1368" spans="1:8" ht="14">
      <c r="A1368" s="24" t="str">
        <f t="shared" si="20"/>
        <v>alcian_blue</v>
      </c>
      <c r="B1368" s="33" t="s">
        <v>4216</v>
      </c>
      <c r="C1368" s="24" t="s">
        <v>4303</v>
      </c>
      <c r="D1368" s="24" t="s">
        <v>12</v>
      </c>
      <c r="E1368" s="24" t="s">
        <v>4272</v>
      </c>
      <c r="F1368" s="24" t="s">
        <v>4273</v>
      </c>
      <c r="G1368" s="24">
        <v>500</v>
      </c>
      <c r="H1368" s="24"/>
    </row>
    <row r="1369" spans="1:8" ht="14">
      <c r="A1369" s="24" t="str">
        <f t="shared" si="20"/>
        <v>massons_trichrome</v>
      </c>
      <c r="B1369" s="33" t="s">
        <v>4216</v>
      </c>
      <c r="C1369" s="24" t="s">
        <v>4304</v>
      </c>
      <c r="D1369" s="24" t="s">
        <v>12</v>
      </c>
      <c r="E1369" s="24" t="s">
        <v>4274</v>
      </c>
      <c r="F1369" s="24" t="s">
        <v>4275</v>
      </c>
      <c r="G1369" s="24">
        <v>500</v>
      </c>
      <c r="H1369" s="24"/>
    </row>
    <row r="1370" spans="1:8" ht="14">
      <c r="A1370" s="24" t="s">
        <v>4311</v>
      </c>
      <c r="B1370" s="33" t="s">
        <v>4309</v>
      </c>
      <c r="C1370" s="24" t="s">
        <v>4311</v>
      </c>
      <c r="D1370" s="24" t="s">
        <v>12</v>
      </c>
      <c r="E1370" s="24" t="s">
        <v>4312</v>
      </c>
      <c r="F1370" s="24" t="s">
        <v>4313</v>
      </c>
      <c r="G1370" s="24">
        <v>450</v>
      </c>
      <c r="H1370" s="24"/>
    </row>
    <row r="1371" spans="1:8" ht="14">
      <c r="A1371" s="24" t="s">
        <v>4020</v>
      </c>
      <c r="B1371" s="33" t="s">
        <v>4309</v>
      </c>
      <c r="C1371" s="24" t="s">
        <v>4020</v>
      </c>
      <c r="D1371" s="24" t="s">
        <v>12</v>
      </c>
      <c r="E1371" s="24" t="s">
        <v>3904</v>
      </c>
      <c r="F1371" s="24" t="s">
        <v>4314</v>
      </c>
      <c r="G1371" s="24">
        <v>500</v>
      </c>
      <c r="H1371" s="24"/>
    </row>
    <row r="1372" spans="1:8" ht="14">
      <c r="A1372" s="24" t="s">
        <v>4020</v>
      </c>
      <c r="B1372" s="33" t="s">
        <v>4305</v>
      </c>
      <c r="C1372" s="24" t="s">
        <v>4020</v>
      </c>
      <c r="D1372" s="24" t="s">
        <v>12</v>
      </c>
      <c r="E1372" s="24" t="s">
        <v>3904</v>
      </c>
      <c r="F1372" s="24" t="s">
        <v>4315</v>
      </c>
      <c r="G1372" s="24">
        <v>500</v>
      </c>
      <c r="H1372" s="24"/>
    </row>
    <row r="1373" spans="1:8" ht="14">
      <c r="A1373" s="24" t="s">
        <v>20</v>
      </c>
      <c r="B1373" s="25" t="s">
        <v>4307</v>
      </c>
      <c r="C1373" s="24" t="s">
        <v>20</v>
      </c>
      <c r="D1373" s="24" t="s">
        <v>12</v>
      </c>
      <c r="E1373" s="24" t="s">
        <v>20</v>
      </c>
      <c r="F1373" s="24" t="s">
        <v>4316</v>
      </c>
      <c r="G1373" s="24">
        <v>700</v>
      </c>
      <c r="H1373" s="24"/>
    </row>
    <row r="1374" spans="1:8" ht="14">
      <c r="A1374" s="24" t="s">
        <v>3914</v>
      </c>
      <c r="B1374" s="25" t="s">
        <v>4307</v>
      </c>
      <c r="C1374" s="24" t="s">
        <v>3914</v>
      </c>
      <c r="D1374" s="24" t="s">
        <v>12</v>
      </c>
      <c r="E1374" s="24" t="s">
        <v>3914</v>
      </c>
      <c r="F1374" s="24" t="s">
        <v>4317</v>
      </c>
      <c r="G1374" s="24">
        <v>540</v>
      </c>
      <c r="H1374" s="24"/>
    </row>
    <row r="1375" spans="1:8" ht="14">
      <c r="A1375" s="24" t="s">
        <v>4318</v>
      </c>
      <c r="B1375" s="25" t="s">
        <v>4307</v>
      </c>
      <c r="C1375" s="24" t="s">
        <v>4318</v>
      </c>
      <c r="D1375" s="24" t="s">
        <v>12</v>
      </c>
      <c r="E1375" s="24" t="s">
        <v>4318</v>
      </c>
      <c r="F1375" s="24" t="s">
        <v>4319</v>
      </c>
      <c r="G1375" s="24">
        <v>500</v>
      </c>
      <c r="H1375" s="24"/>
    </row>
    <row r="1376" spans="1:8" ht="14">
      <c r="A1376" s="24" t="s">
        <v>2860</v>
      </c>
      <c r="B1376" s="34" t="s">
        <v>4321</v>
      </c>
      <c r="C1376" s="24" t="s">
        <v>2860</v>
      </c>
      <c r="D1376" s="24" t="s">
        <v>12</v>
      </c>
      <c r="E1376" s="24" t="s">
        <v>2861</v>
      </c>
      <c r="F1376" s="24" t="s">
        <v>4323</v>
      </c>
      <c r="G1376" s="24">
        <v>500</v>
      </c>
      <c r="H1376" s="24"/>
    </row>
    <row r="1377" spans="1:8" ht="14">
      <c r="A1377" s="24" t="s">
        <v>3015</v>
      </c>
      <c r="B1377" s="34" t="s">
        <v>4321</v>
      </c>
      <c r="C1377" s="24" t="s">
        <v>3015</v>
      </c>
      <c r="D1377" s="24" t="s">
        <v>12</v>
      </c>
      <c r="E1377" s="24" t="s">
        <v>3016</v>
      </c>
      <c r="F1377" s="24" t="s">
        <v>4324</v>
      </c>
      <c r="G1377" s="24">
        <v>500</v>
      </c>
      <c r="H1377" s="24"/>
    </row>
    <row r="1378" spans="1:8" ht="14">
      <c r="A1378" s="24" t="s">
        <v>3928</v>
      </c>
      <c r="B1378" s="33" t="s">
        <v>4326</v>
      </c>
      <c r="C1378" s="24" t="s">
        <v>3928</v>
      </c>
      <c r="D1378" s="24" t="s">
        <v>12</v>
      </c>
      <c r="E1378" s="24" t="s">
        <v>3928</v>
      </c>
      <c r="F1378" s="24" t="s">
        <v>4333</v>
      </c>
      <c r="G1378" s="24">
        <v>700</v>
      </c>
      <c r="H1378" s="24"/>
    </row>
    <row r="1379" spans="1:8" ht="14">
      <c r="A1379" s="24" t="s">
        <v>4332</v>
      </c>
      <c r="B1379" s="33" t="s">
        <v>4326</v>
      </c>
      <c r="C1379" s="24" t="s">
        <v>4332</v>
      </c>
      <c r="D1379" s="24" t="s">
        <v>12</v>
      </c>
      <c r="E1379" s="24" t="s">
        <v>4329</v>
      </c>
      <c r="F1379" s="24" t="s">
        <v>4330</v>
      </c>
      <c r="G1379" s="24">
        <v>400</v>
      </c>
      <c r="H1379" s="24"/>
    </row>
    <row r="1380" spans="1:8" ht="14">
      <c r="A1380" s="24" t="s">
        <v>4328</v>
      </c>
      <c r="B1380" s="33" t="s">
        <v>4326</v>
      </c>
      <c r="C1380" s="24" t="s">
        <v>4328</v>
      </c>
      <c r="D1380" s="24" t="s">
        <v>12</v>
      </c>
      <c r="E1380" s="24" t="s">
        <v>4328</v>
      </c>
      <c r="F1380" s="24" t="s">
        <v>4331</v>
      </c>
      <c r="G1380" s="24">
        <v>300</v>
      </c>
      <c r="H1380" s="24"/>
    </row>
    <row r="1381" spans="1:8" ht="14">
      <c r="A1381" s="24" t="s">
        <v>261</v>
      </c>
      <c r="B1381" s="33" t="s">
        <v>4334</v>
      </c>
      <c r="C1381" s="24" t="s">
        <v>261</v>
      </c>
      <c r="D1381" s="24" t="s">
        <v>12</v>
      </c>
      <c r="E1381" s="24" t="s">
        <v>1741</v>
      </c>
      <c r="F1381" s="24" t="s">
        <v>4336</v>
      </c>
      <c r="G1381" s="24">
        <v>400</v>
      </c>
      <c r="H1381" s="24"/>
    </row>
    <row r="1382" spans="1:8" ht="14">
      <c r="A1382" s="24" t="s">
        <v>4339</v>
      </c>
      <c r="B1382" s="33" t="s">
        <v>4334</v>
      </c>
      <c r="C1382" s="24" t="s">
        <v>4339</v>
      </c>
      <c r="D1382" s="24" t="s">
        <v>12</v>
      </c>
      <c r="E1382" s="24" t="s">
        <v>4337</v>
      </c>
      <c r="F1382" s="24" t="s">
        <v>4338</v>
      </c>
      <c r="G1382" s="24">
        <v>500</v>
      </c>
      <c r="H1382" s="24"/>
    </row>
    <row r="1383" spans="1:8" ht="14">
      <c r="A1383" s="24" t="s">
        <v>4343</v>
      </c>
      <c r="B1383" s="33" t="s">
        <v>4341</v>
      </c>
      <c r="C1383" s="24" t="s">
        <v>4343</v>
      </c>
      <c r="D1383" s="24" t="s">
        <v>12</v>
      </c>
      <c r="E1383" s="24" t="s">
        <v>4353</v>
      </c>
      <c r="F1383" s="24" t="s">
        <v>4344</v>
      </c>
      <c r="G1383" s="24">
        <v>500</v>
      </c>
      <c r="H1383" s="24"/>
    </row>
    <row r="1384" spans="1:8" ht="14">
      <c r="A1384" s="24" t="s">
        <v>4345</v>
      </c>
      <c r="B1384" s="33" t="s">
        <v>4341</v>
      </c>
      <c r="C1384" s="24" t="s">
        <v>4345</v>
      </c>
      <c r="D1384" s="24" t="s">
        <v>12</v>
      </c>
      <c r="E1384" s="24" t="s">
        <v>4346</v>
      </c>
      <c r="F1384" s="24" t="s">
        <v>4347</v>
      </c>
      <c r="G1384" s="24">
        <v>450</v>
      </c>
      <c r="H1384" s="24"/>
    </row>
    <row r="1385" spans="1:8" ht="14">
      <c r="A1385" s="24" t="s">
        <v>4348</v>
      </c>
      <c r="B1385" s="33" t="s">
        <v>4341</v>
      </c>
      <c r="C1385" s="24" t="s">
        <v>4348</v>
      </c>
      <c r="D1385" s="24" t="s">
        <v>12</v>
      </c>
      <c r="E1385" s="24" t="s">
        <v>4349</v>
      </c>
      <c r="F1385" s="24" t="s">
        <v>4350</v>
      </c>
      <c r="G1385" s="24">
        <v>500</v>
      </c>
      <c r="H1385" s="24"/>
    </row>
    <row r="1386" spans="1:8" ht="14">
      <c r="A1386" s="24" t="s">
        <v>4351</v>
      </c>
      <c r="B1386" s="34" t="s">
        <v>4341</v>
      </c>
      <c r="C1386" s="24" t="s">
        <v>4351</v>
      </c>
      <c r="D1386" s="24" t="s">
        <v>12</v>
      </c>
      <c r="E1386" s="24" t="s">
        <v>4352</v>
      </c>
      <c r="F1386" s="24" t="s">
        <v>4354</v>
      </c>
      <c r="G1386" s="24">
        <v>550</v>
      </c>
      <c r="H1386" s="24"/>
    </row>
    <row r="1387" spans="1:8" ht="14">
      <c r="A1387" s="24" t="s">
        <v>4399</v>
      </c>
      <c r="B1387" s="34" t="s">
        <v>4341</v>
      </c>
      <c r="C1387" s="24" t="s">
        <v>4399</v>
      </c>
      <c r="D1387" s="24" t="s">
        <v>12</v>
      </c>
      <c r="E1387" s="24" t="s">
        <v>4400</v>
      </c>
      <c r="F1387" s="24" t="s">
        <v>4401</v>
      </c>
      <c r="G1387" s="24">
        <v>600</v>
      </c>
      <c r="H1387" s="24"/>
    </row>
    <row r="1388" spans="1:8">
      <c r="A1388" s="39" t="s">
        <v>4360</v>
      </c>
      <c r="B1388" s="21" t="s">
        <v>4383</v>
      </c>
      <c r="C1388" s="40" t="s">
        <v>4360</v>
      </c>
      <c r="D1388" s="4" t="s">
        <v>12</v>
      </c>
      <c r="E1388" s="4" t="s">
        <v>404</v>
      </c>
      <c r="F1388" s="39" t="s">
        <v>4361</v>
      </c>
      <c r="G1388" s="38">
        <v>1000</v>
      </c>
    </row>
    <row r="1389" spans="1:8">
      <c r="A1389" s="39" t="s">
        <v>4362</v>
      </c>
      <c r="B1389" s="21" t="s">
        <v>4383</v>
      </c>
      <c r="C1389" s="40" t="s">
        <v>4362</v>
      </c>
      <c r="D1389" s="4" t="s">
        <v>12</v>
      </c>
      <c r="E1389" s="41" t="s">
        <v>4376</v>
      </c>
      <c r="F1389" s="39" t="s">
        <v>4363</v>
      </c>
      <c r="G1389" s="39">
        <v>900</v>
      </c>
    </row>
    <row r="1390" spans="1:8">
      <c r="A1390" s="39" t="s">
        <v>4364</v>
      </c>
      <c r="B1390" s="21" t="s">
        <v>4383</v>
      </c>
      <c r="C1390" s="40" t="s">
        <v>4364</v>
      </c>
      <c r="D1390" s="4" t="s">
        <v>12</v>
      </c>
      <c r="E1390" s="4" t="s">
        <v>4377</v>
      </c>
      <c r="F1390" s="39" t="s">
        <v>4365</v>
      </c>
      <c r="G1390" s="39">
        <v>850</v>
      </c>
    </row>
    <row r="1391" spans="1:8">
      <c r="A1391" s="39" t="s">
        <v>4366</v>
      </c>
      <c r="B1391" s="21" t="s">
        <v>4383</v>
      </c>
      <c r="C1391" s="40" t="s">
        <v>4366</v>
      </c>
      <c r="D1391" s="4" t="s">
        <v>12</v>
      </c>
      <c r="E1391" s="4" t="s">
        <v>4378</v>
      </c>
      <c r="F1391" s="39" t="s">
        <v>4367</v>
      </c>
      <c r="G1391" s="39">
        <v>820</v>
      </c>
    </row>
    <row r="1392" spans="1:8">
      <c r="A1392" s="39" t="s">
        <v>4368</v>
      </c>
      <c r="B1392" s="21" t="s">
        <v>4383</v>
      </c>
      <c r="C1392" s="40" t="s">
        <v>4368</v>
      </c>
      <c r="D1392" s="4" t="s">
        <v>12</v>
      </c>
      <c r="E1392" s="4" t="s">
        <v>4379</v>
      </c>
      <c r="F1392" s="39" t="s">
        <v>4369</v>
      </c>
      <c r="G1392" s="39">
        <v>780</v>
      </c>
    </row>
    <row r="1393" spans="1:7">
      <c r="A1393" s="39" t="s">
        <v>4370</v>
      </c>
      <c r="B1393" s="21" t="s">
        <v>4383</v>
      </c>
      <c r="C1393" s="40" t="s">
        <v>4370</v>
      </c>
      <c r="D1393" s="4" t="s">
        <v>12</v>
      </c>
      <c r="E1393" s="4" t="s">
        <v>4380</v>
      </c>
      <c r="F1393" s="39" t="s">
        <v>4371</v>
      </c>
      <c r="G1393" s="39">
        <v>760</v>
      </c>
    </row>
    <row r="1394" spans="1:7">
      <c r="A1394" s="39" t="s">
        <v>4372</v>
      </c>
      <c r="B1394" s="21" t="s">
        <v>4383</v>
      </c>
      <c r="C1394" s="40" t="s">
        <v>4372</v>
      </c>
      <c r="D1394" s="4" t="s">
        <v>12</v>
      </c>
      <c r="E1394" s="4" t="s">
        <v>4381</v>
      </c>
      <c r="F1394" s="39" t="s">
        <v>4373</v>
      </c>
      <c r="G1394" s="39">
        <v>740</v>
      </c>
    </row>
    <row r="1395" spans="1:7">
      <c r="A1395" s="39" t="s">
        <v>4374</v>
      </c>
      <c r="B1395" s="21" t="s">
        <v>4383</v>
      </c>
      <c r="C1395" s="40" t="s">
        <v>4374</v>
      </c>
      <c r="D1395" s="4" t="s">
        <v>12</v>
      </c>
      <c r="E1395" s="4" t="s">
        <v>4382</v>
      </c>
      <c r="F1395" s="39" t="s">
        <v>4375</v>
      </c>
      <c r="G1395" s="39">
        <v>700</v>
      </c>
    </row>
    <row r="1396" spans="1:7">
      <c r="A1396" s="4" t="s">
        <v>4393</v>
      </c>
      <c r="B1396" s="21" t="s">
        <v>2773</v>
      </c>
      <c r="C1396" s="4" t="s">
        <v>4393</v>
      </c>
      <c r="D1396" s="39" t="s">
        <v>12</v>
      </c>
      <c r="E1396" s="4" t="s">
        <v>4394</v>
      </c>
      <c r="F1396" s="4" t="s">
        <v>4395</v>
      </c>
      <c r="G1396" s="4">
        <v>400</v>
      </c>
    </row>
    <row r="1397" spans="1:7">
      <c r="A1397" s="4" t="s">
        <v>1715</v>
      </c>
      <c r="B1397" s="21" t="s">
        <v>2773</v>
      </c>
      <c r="C1397" s="4" t="s">
        <v>1715</v>
      </c>
      <c r="D1397" s="39" t="s">
        <v>12</v>
      </c>
      <c r="E1397" s="4" t="s">
        <v>4396</v>
      </c>
      <c r="F1397" s="4" t="s">
        <v>4397</v>
      </c>
      <c r="G1397" s="4">
        <v>400</v>
      </c>
    </row>
    <row r="1398" spans="1:7" ht="14">
      <c r="A1398" s="4" t="s">
        <v>4405</v>
      </c>
      <c r="B1398" s="34" t="s">
        <v>3889</v>
      </c>
      <c r="C1398" s="4" t="s">
        <v>4405</v>
      </c>
      <c r="D1398" s="4" t="s">
        <v>12</v>
      </c>
      <c r="E1398" s="4" t="s">
        <v>4406</v>
      </c>
      <c r="F1398" s="4" t="s">
        <v>4407</v>
      </c>
      <c r="G1398" s="4">
        <v>600</v>
      </c>
    </row>
    <row r="1399" spans="1:7" ht="14">
      <c r="A1399" s="4" t="s">
        <v>261</v>
      </c>
      <c r="B1399" s="34" t="s">
        <v>3889</v>
      </c>
      <c r="C1399" s="4" t="s">
        <v>261</v>
      </c>
      <c r="D1399" s="4" t="s">
        <v>12</v>
      </c>
      <c r="E1399" s="4" t="s">
        <v>1741</v>
      </c>
      <c r="F1399" s="4" t="s">
        <v>4404</v>
      </c>
      <c r="G1399" s="4">
        <v>500</v>
      </c>
    </row>
    <row r="1400" spans="1:7" ht="14">
      <c r="A1400" s="4" t="s">
        <v>4020</v>
      </c>
      <c r="B1400" s="25" t="s">
        <v>153</v>
      </c>
      <c r="C1400" s="4" t="s">
        <v>4020</v>
      </c>
      <c r="D1400" s="4" t="s">
        <v>12</v>
      </c>
      <c r="E1400" s="4" t="s">
        <v>3904</v>
      </c>
      <c r="F1400" s="4" t="s">
        <v>4419</v>
      </c>
      <c r="G1400" s="4">
        <v>600</v>
      </c>
    </row>
    <row r="1401" spans="1:7" ht="18">
      <c r="A1401" s="4" t="s">
        <v>4416</v>
      </c>
      <c r="B1401" s="25" t="s">
        <v>153</v>
      </c>
      <c r="C1401" s="4" t="s">
        <v>4416</v>
      </c>
      <c r="D1401" s="4" t="s">
        <v>12</v>
      </c>
      <c r="E1401" s="4" t="s">
        <v>4417</v>
      </c>
      <c r="F1401" s="44" t="s">
        <v>4418</v>
      </c>
      <c r="G1401" s="4">
        <v>500</v>
      </c>
    </row>
    <row r="1402" spans="1:7">
      <c r="A1402" s="4" t="s">
        <v>4410</v>
      </c>
      <c r="B1402" s="21" t="s">
        <v>79</v>
      </c>
      <c r="C1402" s="4" t="s">
        <v>4410</v>
      </c>
      <c r="D1402" s="4" t="s">
        <v>12</v>
      </c>
      <c r="E1402" s="4" t="s">
        <v>4420</v>
      </c>
      <c r="F1402" s="4" t="s">
        <v>4421</v>
      </c>
      <c r="G1402" s="4">
        <v>500</v>
      </c>
    </row>
    <row r="1403" spans="1:7" ht="14">
      <c r="A1403" s="4" t="s">
        <v>4426</v>
      </c>
      <c r="B1403" s="33" t="s">
        <v>81</v>
      </c>
      <c r="C1403" s="4" t="s">
        <v>4426</v>
      </c>
      <c r="D1403" s="4" t="s">
        <v>12</v>
      </c>
      <c r="E1403" s="4" t="s">
        <v>3911</v>
      </c>
      <c r="F1403" s="4" t="s">
        <v>4425</v>
      </c>
      <c r="G1403" s="4">
        <v>500</v>
      </c>
    </row>
    <row r="1404" spans="1:7" ht="14">
      <c r="A1404" s="4" t="s">
        <v>4039</v>
      </c>
      <c r="B1404" s="33" t="s">
        <v>82</v>
      </c>
      <c r="C1404" s="4" t="s">
        <v>4039</v>
      </c>
      <c r="D1404" s="4" t="s">
        <v>12</v>
      </c>
      <c r="E1404" s="4" t="s">
        <v>4166</v>
      </c>
      <c r="F1404" s="4" t="s">
        <v>4423</v>
      </c>
      <c r="G1404" s="4">
        <v>500</v>
      </c>
    </row>
    <row r="1405" spans="1:7" ht="14">
      <c r="A1405" s="4" t="s">
        <v>4039</v>
      </c>
      <c r="B1405" s="33" t="s">
        <v>84</v>
      </c>
      <c r="C1405" s="4" t="s">
        <v>4039</v>
      </c>
      <c r="D1405" s="4" t="s">
        <v>12</v>
      </c>
      <c r="E1405" s="4" t="s">
        <v>4166</v>
      </c>
      <c r="F1405" s="4" t="s">
        <v>4424</v>
      </c>
      <c r="G1405" s="4">
        <v>500</v>
      </c>
    </row>
    <row r="1406" spans="1:7">
      <c r="A1406" s="4">
        <v>200</v>
      </c>
      <c r="B1406" t="s">
        <v>120</v>
      </c>
      <c r="C1406" s="4">
        <v>200</v>
      </c>
      <c r="D1406" s="4" t="s">
        <v>12</v>
      </c>
      <c r="E1406" s="4" t="s">
        <v>4429</v>
      </c>
      <c r="F1406" s="4" t="s">
        <v>3966</v>
      </c>
      <c r="G1406" s="4">
        <v>600</v>
      </c>
    </row>
    <row r="1407" spans="1:7">
      <c r="A1407" s="4">
        <v>200</v>
      </c>
      <c r="B1407" t="s">
        <v>123</v>
      </c>
      <c r="C1407" s="4">
        <v>200</v>
      </c>
      <c r="D1407" s="4" t="s">
        <v>12</v>
      </c>
      <c r="E1407" s="4" t="s">
        <v>4429</v>
      </c>
      <c r="F1407" s="4" t="s">
        <v>3966</v>
      </c>
      <c r="G1407" s="4">
        <v>600</v>
      </c>
    </row>
    <row r="1408" spans="1:7">
      <c r="A1408" s="4">
        <v>400</v>
      </c>
      <c r="B1408" t="s">
        <v>120</v>
      </c>
      <c r="C1408" s="4">
        <v>400</v>
      </c>
      <c r="D1408" s="4" t="s">
        <v>12</v>
      </c>
      <c r="E1408" s="4" t="s">
        <v>4430</v>
      </c>
      <c r="F1408" s="4" t="s">
        <v>3968</v>
      </c>
      <c r="G1408" s="4">
        <v>500</v>
      </c>
    </row>
    <row r="1409" spans="1:7">
      <c r="A1409" s="4">
        <v>400</v>
      </c>
      <c r="B1409" t="s">
        <v>123</v>
      </c>
      <c r="C1409" s="4">
        <v>400</v>
      </c>
      <c r="D1409" s="4" t="s">
        <v>12</v>
      </c>
      <c r="E1409" s="4" t="s">
        <v>4430</v>
      </c>
      <c r="F1409" s="4" t="s">
        <v>3968</v>
      </c>
      <c r="G1409" s="4">
        <v>500</v>
      </c>
    </row>
    <row r="1410" spans="1:7" ht="14">
      <c r="A1410" s="4" t="s">
        <v>4431</v>
      </c>
      <c r="B1410" s="34" t="s">
        <v>42</v>
      </c>
      <c r="C1410" s="4" t="s">
        <v>4431</v>
      </c>
      <c r="D1410" s="4" t="s">
        <v>12</v>
      </c>
      <c r="E1410" s="4" t="s">
        <v>4432</v>
      </c>
      <c r="F1410" s="4" t="s">
        <v>4433</v>
      </c>
      <c r="G1410" s="4">
        <v>550</v>
      </c>
    </row>
    <row r="1411" spans="1:7" ht="14">
      <c r="A1411" s="4" t="s">
        <v>4410</v>
      </c>
      <c r="B1411" s="34" t="s">
        <v>42</v>
      </c>
      <c r="C1411" s="4" t="s">
        <v>4410</v>
      </c>
      <c r="D1411" s="4" t="s">
        <v>12</v>
      </c>
      <c r="E1411" s="4" t="s">
        <v>3941</v>
      </c>
      <c r="F1411" s="4" t="s">
        <v>4434</v>
      </c>
      <c r="G1411" s="4">
        <v>500</v>
      </c>
    </row>
    <row r="1412" spans="1:7">
      <c r="A1412" s="4" t="s">
        <v>4468</v>
      </c>
      <c r="B1412" t="s">
        <v>4455</v>
      </c>
      <c r="C1412" s="4" t="s">
        <v>4468</v>
      </c>
      <c r="D1412" s="4" t="s">
        <v>12</v>
      </c>
      <c r="E1412" s="4" t="s">
        <v>4452</v>
      </c>
      <c r="F1412" s="4" t="s">
        <v>4453</v>
      </c>
      <c r="G1412" s="4">
        <v>600</v>
      </c>
    </row>
    <row r="1413" spans="1:7">
      <c r="A1413" s="4" t="s">
        <v>4454</v>
      </c>
      <c r="B1413" t="s">
        <v>4455</v>
      </c>
      <c r="C1413" s="4" t="s">
        <v>4454</v>
      </c>
      <c r="D1413" s="4" t="s">
        <v>12</v>
      </c>
      <c r="E1413" s="4" t="s">
        <v>4450</v>
      </c>
      <c r="F1413" s="4" t="s">
        <v>4466</v>
      </c>
      <c r="G1413" s="4">
        <v>550</v>
      </c>
    </row>
    <row r="1414" spans="1:7">
      <c r="A1414" s="4" t="s">
        <v>4167</v>
      </c>
      <c r="B1414" t="s">
        <v>4455</v>
      </c>
      <c r="C1414" s="4" t="s">
        <v>4167</v>
      </c>
      <c r="D1414" s="4" t="s">
        <v>12</v>
      </c>
      <c r="E1414" s="4" t="s">
        <v>4585</v>
      </c>
      <c r="F1414" s="4" t="s">
        <v>4584</v>
      </c>
      <c r="G1414" s="4">
        <v>500</v>
      </c>
    </row>
    <row r="1415" spans="1:7">
      <c r="A1415" s="4" t="s">
        <v>4456</v>
      </c>
      <c r="B1415" t="s">
        <v>4451</v>
      </c>
      <c r="C1415" s="4" t="s">
        <v>4456</v>
      </c>
      <c r="D1415" s="4" t="s">
        <v>12</v>
      </c>
      <c r="E1415" s="4" t="s">
        <v>4457</v>
      </c>
      <c r="F1415" s="4" t="s">
        <v>4458</v>
      </c>
      <c r="G1415" s="4">
        <v>500</v>
      </c>
    </row>
    <row r="1416" spans="1:7">
      <c r="A1416" s="4" t="s">
        <v>4459</v>
      </c>
      <c r="B1416" t="s">
        <v>4451</v>
      </c>
      <c r="C1416" s="4" t="s">
        <v>4459</v>
      </c>
      <c r="D1416" s="4" t="s">
        <v>12</v>
      </c>
      <c r="E1416" s="4" t="s">
        <v>4460</v>
      </c>
      <c r="F1416" s="4" t="s">
        <v>4461</v>
      </c>
      <c r="G1416" s="4">
        <v>500</v>
      </c>
    </row>
    <row r="1417" spans="1:7">
      <c r="A1417" s="4" t="s">
        <v>4462</v>
      </c>
      <c r="B1417" t="s">
        <v>4451</v>
      </c>
      <c r="C1417" s="4" t="s">
        <v>4462</v>
      </c>
      <c r="D1417" s="4" t="s">
        <v>12</v>
      </c>
      <c r="E1417" s="4" t="s">
        <v>4462</v>
      </c>
      <c r="F1417" s="4" t="s">
        <v>4463</v>
      </c>
      <c r="G1417" s="4">
        <v>300</v>
      </c>
    </row>
    <row r="1418" spans="1:7">
      <c r="A1418" s="4" t="s">
        <v>4464</v>
      </c>
      <c r="B1418" t="s">
        <v>4451</v>
      </c>
      <c r="C1418" s="4" t="s">
        <v>4464</v>
      </c>
      <c r="D1418" s="4" t="s">
        <v>12</v>
      </c>
      <c r="E1418" s="4" t="s">
        <v>4464</v>
      </c>
      <c r="F1418" s="4" t="s">
        <v>4465</v>
      </c>
      <c r="G1418" s="4">
        <v>250</v>
      </c>
    </row>
    <row r="1419" spans="1:7">
      <c r="A1419" s="4" t="s">
        <v>1996</v>
      </c>
      <c r="B1419" s="21" t="s">
        <v>4549</v>
      </c>
      <c r="C1419" s="4" t="s">
        <v>1996</v>
      </c>
      <c r="D1419" s="4" t="s">
        <v>12</v>
      </c>
      <c r="E1419" s="4" t="s">
        <v>1997</v>
      </c>
      <c r="F1419" s="4" t="s">
        <v>4505</v>
      </c>
      <c r="G1419" s="4">
        <v>500</v>
      </c>
    </row>
    <row r="1420" spans="1:7">
      <c r="A1420" s="4" t="s">
        <v>4553</v>
      </c>
      <c r="B1420" s="21" t="s">
        <v>4549</v>
      </c>
      <c r="C1420" s="4" t="s">
        <v>4553</v>
      </c>
      <c r="D1420" s="4" t="s">
        <v>12</v>
      </c>
      <c r="E1420" s="4" t="s">
        <v>4506</v>
      </c>
      <c r="F1420" s="4" t="s">
        <v>4507</v>
      </c>
      <c r="G1420" s="4">
        <v>500</v>
      </c>
    </row>
    <row r="1421" spans="1:7">
      <c r="A1421" s="4" t="s">
        <v>4554</v>
      </c>
      <c r="B1421" s="21" t="s">
        <v>4549</v>
      </c>
      <c r="C1421" s="4" t="s">
        <v>4554</v>
      </c>
      <c r="D1421" s="4" t="s">
        <v>12</v>
      </c>
      <c r="E1421" s="4" t="s">
        <v>4508</v>
      </c>
      <c r="F1421" s="4" t="s">
        <v>4509</v>
      </c>
      <c r="G1421" s="4">
        <v>500</v>
      </c>
    </row>
    <row r="1422" spans="1:7">
      <c r="A1422" s="4" t="s">
        <v>4555</v>
      </c>
      <c r="B1422" s="21" t="s">
        <v>4549</v>
      </c>
      <c r="C1422" s="4" t="s">
        <v>4555</v>
      </c>
      <c r="D1422" s="4" t="s">
        <v>12</v>
      </c>
      <c r="E1422" s="4" t="s">
        <v>4510</v>
      </c>
      <c r="F1422" s="4" t="s">
        <v>4511</v>
      </c>
      <c r="G1422" s="4">
        <v>500</v>
      </c>
    </row>
    <row r="1423" spans="1:7">
      <c r="A1423" s="4" t="s">
        <v>4556</v>
      </c>
      <c r="B1423" s="21" t="s">
        <v>4549</v>
      </c>
      <c r="C1423" s="4" t="s">
        <v>4556</v>
      </c>
      <c r="D1423" s="4" t="s">
        <v>12</v>
      </c>
      <c r="E1423" s="4" t="s">
        <v>4512</v>
      </c>
      <c r="F1423" s="4" t="s">
        <v>4513</v>
      </c>
      <c r="G1423" s="4">
        <v>500</v>
      </c>
    </row>
    <row r="1424" spans="1:7">
      <c r="A1424" s="4" t="s">
        <v>4557</v>
      </c>
      <c r="B1424" s="21" t="s">
        <v>4549</v>
      </c>
      <c r="C1424" s="4" t="s">
        <v>4557</v>
      </c>
      <c r="D1424" s="4" t="s">
        <v>12</v>
      </c>
      <c r="E1424" s="4" t="s">
        <v>4514</v>
      </c>
      <c r="F1424" s="4" t="s">
        <v>4515</v>
      </c>
      <c r="G1424" s="4">
        <v>500</v>
      </c>
    </row>
    <row r="1425" spans="1:7">
      <c r="A1425" s="4" t="s">
        <v>4558</v>
      </c>
      <c r="B1425" s="21" t="s">
        <v>4549</v>
      </c>
      <c r="C1425" s="4" t="s">
        <v>4558</v>
      </c>
      <c r="D1425" s="4" t="s">
        <v>12</v>
      </c>
      <c r="E1425" s="4" t="s">
        <v>4516</v>
      </c>
      <c r="F1425" s="4" t="s">
        <v>4517</v>
      </c>
      <c r="G1425" s="4">
        <v>500</v>
      </c>
    </row>
    <row r="1426" spans="1:7">
      <c r="A1426" s="4" t="s">
        <v>4559</v>
      </c>
      <c r="B1426" s="21" t="s">
        <v>4549</v>
      </c>
      <c r="C1426" s="4" t="s">
        <v>4559</v>
      </c>
      <c r="D1426" s="4" t="s">
        <v>12</v>
      </c>
      <c r="E1426" s="4" t="s">
        <v>4518</v>
      </c>
      <c r="F1426" s="4" t="s">
        <v>4519</v>
      </c>
      <c r="G1426" s="4">
        <v>500</v>
      </c>
    </row>
    <row r="1427" spans="1:7">
      <c r="A1427" s="4" t="s">
        <v>4560</v>
      </c>
      <c r="B1427" s="21" t="s">
        <v>4549</v>
      </c>
      <c r="C1427" s="4" t="s">
        <v>4560</v>
      </c>
      <c r="D1427" s="4" t="s">
        <v>12</v>
      </c>
      <c r="E1427" s="4" t="s">
        <v>4520</v>
      </c>
      <c r="F1427" s="4" t="s">
        <v>4521</v>
      </c>
      <c r="G1427" s="4">
        <v>500</v>
      </c>
    </row>
    <row r="1428" spans="1:7">
      <c r="A1428" s="4" t="s">
        <v>4550</v>
      </c>
      <c r="B1428" s="21" t="s">
        <v>4549</v>
      </c>
      <c r="C1428" s="4" t="s">
        <v>4550</v>
      </c>
      <c r="D1428" s="4" t="s">
        <v>12</v>
      </c>
      <c r="E1428" s="4" t="s">
        <v>4522</v>
      </c>
      <c r="F1428" s="4" t="s">
        <v>4523</v>
      </c>
      <c r="G1428" s="4">
        <v>500</v>
      </c>
    </row>
    <row r="1429" spans="1:7">
      <c r="A1429" s="4" t="s">
        <v>4551</v>
      </c>
      <c r="B1429" s="21" t="s">
        <v>4549</v>
      </c>
      <c r="C1429" s="4" t="s">
        <v>4551</v>
      </c>
      <c r="D1429" s="4" t="s">
        <v>12</v>
      </c>
      <c r="E1429" s="4" t="s">
        <v>4524</v>
      </c>
      <c r="F1429" s="4" t="s">
        <v>4525</v>
      </c>
      <c r="G1429" s="4">
        <v>500</v>
      </c>
    </row>
    <row r="1430" spans="1:7">
      <c r="A1430" s="4" t="s">
        <v>4561</v>
      </c>
      <c r="B1430" s="21" t="s">
        <v>4549</v>
      </c>
      <c r="C1430" s="4" t="s">
        <v>4561</v>
      </c>
      <c r="D1430" s="4" t="s">
        <v>12</v>
      </c>
      <c r="E1430" s="4" t="s">
        <v>4526</v>
      </c>
      <c r="F1430" s="4" t="s">
        <v>4527</v>
      </c>
      <c r="G1430" s="4">
        <v>500</v>
      </c>
    </row>
    <row r="1431" spans="1:7">
      <c r="A1431" s="4" t="s">
        <v>4562</v>
      </c>
      <c r="B1431" s="21" t="s">
        <v>4549</v>
      </c>
      <c r="C1431" s="4" t="s">
        <v>4562</v>
      </c>
      <c r="D1431" s="4" t="s">
        <v>12</v>
      </c>
      <c r="E1431" s="4" t="s">
        <v>4528</v>
      </c>
      <c r="F1431" s="4" t="s">
        <v>4529</v>
      </c>
      <c r="G1431" s="4">
        <v>500</v>
      </c>
    </row>
    <row r="1432" spans="1:7">
      <c r="A1432" s="4" t="s">
        <v>1994</v>
      </c>
      <c r="B1432" s="21" t="s">
        <v>4549</v>
      </c>
      <c r="C1432" s="4" t="s">
        <v>1994</v>
      </c>
      <c r="D1432" s="4" t="s">
        <v>12</v>
      </c>
      <c r="E1432" s="4" t="s">
        <v>1995</v>
      </c>
      <c r="F1432" s="4" t="s">
        <v>4530</v>
      </c>
      <c r="G1432" s="4">
        <v>600</v>
      </c>
    </row>
    <row r="1433" spans="1:7">
      <c r="A1433" s="4" t="s">
        <v>4563</v>
      </c>
      <c r="B1433" s="21" t="s">
        <v>4549</v>
      </c>
      <c r="C1433" s="4" t="s">
        <v>4563</v>
      </c>
      <c r="D1433" s="4" t="s">
        <v>12</v>
      </c>
      <c r="E1433" s="4" t="s">
        <v>4531</v>
      </c>
      <c r="F1433" s="4" t="s">
        <v>4532</v>
      </c>
      <c r="G1433" s="4">
        <v>500</v>
      </c>
    </row>
    <row r="1434" spans="1:7">
      <c r="A1434" s="4" t="s">
        <v>4564</v>
      </c>
      <c r="B1434" s="21" t="s">
        <v>4549</v>
      </c>
      <c r="C1434" s="4" t="s">
        <v>4564</v>
      </c>
      <c r="D1434" s="4" t="s">
        <v>12</v>
      </c>
      <c r="E1434" s="4" t="s">
        <v>4533</v>
      </c>
      <c r="F1434" s="4" t="s">
        <v>4534</v>
      </c>
      <c r="G1434" s="4">
        <v>500</v>
      </c>
    </row>
    <row r="1435" spans="1:7">
      <c r="A1435" s="4" t="s">
        <v>2034</v>
      </c>
      <c r="B1435" s="21" t="s">
        <v>4549</v>
      </c>
      <c r="C1435" s="4" t="s">
        <v>2034</v>
      </c>
      <c r="D1435" s="4" t="s">
        <v>12</v>
      </c>
      <c r="E1435" s="4" t="s">
        <v>2035</v>
      </c>
      <c r="F1435" s="4" t="s">
        <v>4535</v>
      </c>
      <c r="G1435" s="4">
        <v>500</v>
      </c>
    </row>
    <row r="1436" spans="1:7">
      <c r="A1436" s="4" t="s">
        <v>2028</v>
      </c>
      <c r="B1436" s="21" t="s">
        <v>4549</v>
      </c>
      <c r="C1436" s="4" t="s">
        <v>2028</v>
      </c>
      <c r="D1436" s="4" t="s">
        <v>12</v>
      </c>
      <c r="E1436" s="4" t="s">
        <v>2029</v>
      </c>
      <c r="F1436" s="4" t="s">
        <v>4536</v>
      </c>
      <c r="G1436" s="4">
        <v>500</v>
      </c>
    </row>
    <row r="1437" spans="1:7">
      <c r="A1437" s="4" t="s">
        <v>2053</v>
      </c>
      <c r="B1437" s="21" t="s">
        <v>4549</v>
      </c>
      <c r="C1437" s="4" t="s">
        <v>2053</v>
      </c>
      <c r="D1437" s="4" t="s">
        <v>12</v>
      </c>
      <c r="E1437" s="4" t="s">
        <v>2054</v>
      </c>
      <c r="F1437" s="4" t="s">
        <v>4537</v>
      </c>
      <c r="G1437" s="4">
        <v>500</v>
      </c>
    </row>
    <row r="1438" spans="1:7">
      <c r="A1438" s="4" t="s">
        <v>2010</v>
      </c>
      <c r="B1438" s="21" t="s">
        <v>4549</v>
      </c>
      <c r="C1438" s="4" t="s">
        <v>2010</v>
      </c>
      <c r="D1438" s="4" t="s">
        <v>12</v>
      </c>
      <c r="E1438" s="4" t="s">
        <v>2011</v>
      </c>
      <c r="F1438" s="4" t="s">
        <v>4538</v>
      </c>
      <c r="G1438" s="4">
        <v>500</v>
      </c>
    </row>
    <row r="1439" spans="1:7">
      <c r="A1439" s="4" t="s">
        <v>4565</v>
      </c>
      <c r="B1439" s="21" t="s">
        <v>4549</v>
      </c>
      <c r="C1439" s="4" t="s">
        <v>4565</v>
      </c>
      <c r="D1439" s="4" t="s">
        <v>12</v>
      </c>
      <c r="E1439" s="4" t="s">
        <v>4539</v>
      </c>
      <c r="F1439" s="4" t="s">
        <v>4540</v>
      </c>
      <c r="G1439" s="4">
        <v>500</v>
      </c>
    </row>
    <row r="1440" spans="1:7">
      <c r="A1440" s="4" t="s">
        <v>4566</v>
      </c>
      <c r="B1440" s="21" t="s">
        <v>4549</v>
      </c>
      <c r="C1440" s="4" t="s">
        <v>4566</v>
      </c>
      <c r="D1440" s="4" t="s">
        <v>12</v>
      </c>
      <c r="E1440" s="4" t="s">
        <v>4541</v>
      </c>
      <c r="F1440" s="4" t="s">
        <v>4542</v>
      </c>
      <c r="G1440" s="4">
        <v>600</v>
      </c>
    </row>
    <row r="1441" spans="1:7">
      <c r="A1441" s="4" t="s">
        <v>4552</v>
      </c>
      <c r="B1441" s="21" t="s">
        <v>4549</v>
      </c>
      <c r="C1441" s="4" t="s">
        <v>4552</v>
      </c>
      <c r="D1441" s="4" t="s">
        <v>12</v>
      </c>
      <c r="E1441" s="4" t="s">
        <v>4543</v>
      </c>
      <c r="F1441" s="4" t="s">
        <v>4544</v>
      </c>
      <c r="G1441" s="4">
        <v>500</v>
      </c>
    </row>
    <row r="1442" spans="1:7">
      <c r="A1442" s="4" t="s">
        <v>4567</v>
      </c>
      <c r="B1442" s="21" t="s">
        <v>4549</v>
      </c>
      <c r="C1442" s="4" t="s">
        <v>4567</v>
      </c>
      <c r="D1442" s="4" t="s">
        <v>12</v>
      </c>
      <c r="E1442" s="4" t="s">
        <v>4545</v>
      </c>
      <c r="F1442" s="4" t="s">
        <v>4546</v>
      </c>
      <c r="G1442" s="4">
        <v>500</v>
      </c>
    </row>
    <row r="1443" spans="1:7">
      <c r="A1443" s="4" t="s">
        <v>4568</v>
      </c>
      <c r="B1443" s="21" t="s">
        <v>4549</v>
      </c>
      <c r="C1443" s="4" t="s">
        <v>4568</v>
      </c>
      <c r="D1443" s="4" t="s">
        <v>12</v>
      </c>
      <c r="E1443" s="4" t="s">
        <v>4547</v>
      </c>
      <c r="F1443" s="4" t="s">
        <v>4548</v>
      </c>
      <c r="G1443" s="4">
        <v>500</v>
      </c>
    </row>
    <row r="1444" spans="1:7">
      <c r="A1444" s="4" t="s">
        <v>261</v>
      </c>
      <c r="B1444" s="4" t="s">
        <v>4597</v>
      </c>
      <c r="C1444" s="4" t="s">
        <v>261</v>
      </c>
      <c r="D1444" s="4" t="s">
        <v>12</v>
      </c>
      <c r="E1444" s="40" t="s">
        <v>4599</v>
      </c>
      <c r="F1444" s="39" t="s">
        <v>4600</v>
      </c>
      <c r="G1444" s="4">
        <v>500</v>
      </c>
    </row>
    <row r="1445" spans="1:7">
      <c r="A1445" s="4" t="s">
        <v>4643</v>
      </c>
      <c r="B1445" s="4" t="s">
        <v>4597</v>
      </c>
      <c r="C1445" s="4" t="s">
        <v>4643</v>
      </c>
      <c r="D1445" s="4" t="s">
        <v>12</v>
      </c>
      <c r="E1445" s="40" t="s">
        <v>4601</v>
      </c>
      <c r="F1445" s="39" t="s">
        <v>4602</v>
      </c>
      <c r="G1445" s="4">
        <v>500</v>
      </c>
    </row>
    <row r="1446" spans="1:7">
      <c r="A1446" s="4" t="s">
        <v>4644</v>
      </c>
      <c r="B1446" s="4" t="s">
        <v>4597</v>
      </c>
      <c r="C1446" s="4" t="s">
        <v>4644</v>
      </c>
      <c r="D1446" s="4" t="s">
        <v>12</v>
      </c>
      <c r="E1446" s="40" t="s">
        <v>4603</v>
      </c>
      <c r="F1446" s="39" t="s">
        <v>4604</v>
      </c>
      <c r="G1446" s="4">
        <v>500</v>
      </c>
    </row>
    <row r="1447" spans="1:7">
      <c r="A1447" s="4" t="s">
        <v>4645</v>
      </c>
      <c r="B1447" s="4" t="s">
        <v>4597</v>
      </c>
      <c r="C1447" s="4" t="s">
        <v>4645</v>
      </c>
      <c r="D1447" s="4" t="s">
        <v>12</v>
      </c>
      <c r="E1447" s="40" t="s">
        <v>4605</v>
      </c>
      <c r="F1447" s="39" t="s">
        <v>4606</v>
      </c>
      <c r="G1447" s="4">
        <v>500</v>
      </c>
    </row>
    <row r="1448" spans="1:7">
      <c r="A1448" s="4" t="s">
        <v>4646</v>
      </c>
      <c r="B1448" s="4" t="s">
        <v>4597</v>
      </c>
      <c r="C1448" s="4" t="s">
        <v>4646</v>
      </c>
      <c r="D1448" s="4" t="s">
        <v>12</v>
      </c>
      <c r="E1448" s="40" t="s">
        <v>4607</v>
      </c>
      <c r="F1448" s="39" t="s">
        <v>4608</v>
      </c>
      <c r="G1448" s="4">
        <v>500</v>
      </c>
    </row>
    <row r="1449" spans="1:7">
      <c r="A1449" s="4" t="s">
        <v>4647</v>
      </c>
      <c r="B1449" s="4" t="s">
        <v>4597</v>
      </c>
      <c r="C1449" s="4" t="s">
        <v>4647</v>
      </c>
      <c r="D1449" s="4" t="s">
        <v>12</v>
      </c>
      <c r="E1449" s="40" t="s">
        <v>4609</v>
      </c>
      <c r="F1449" s="39" t="s">
        <v>4610</v>
      </c>
      <c r="G1449" s="4">
        <v>500</v>
      </c>
    </row>
    <row r="1450" spans="1:7">
      <c r="A1450" s="4" t="s">
        <v>4648</v>
      </c>
      <c r="B1450" s="4" t="s">
        <v>4597</v>
      </c>
      <c r="C1450" s="4" t="s">
        <v>4648</v>
      </c>
      <c r="D1450" s="4" t="s">
        <v>12</v>
      </c>
      <c r="E1450" s="40" t="s">
        <v>4611</v>
      </c>
      <c r="F1450" s="39" t="s">
        <v>4612</v>
      </c>
      <c r="G1450" s="4">
        <v>500</v>
      </c>
    </row>
    <row r="1451" spans="1:7">
      <c r="A1451" s="4" t="s">
        <v>4649</v>
      </c>
      <c r="B1451" s="4" t="s">
        <v>4597</v>
      </c>
      <c r="C1451" s="4" t="s">
        <v>4649</v>
      </c>
      <c r="D1451" s="4" t="s">
        <v>12</v>
      </c>
      <c r="E1451" s="40" t="s">
        <v>4613</v>
      </c>
      <c r="F1451" s="39" t="s">
        <v>4614</v>
      </c>
      <c r="G1451" s="4">
        <v>500</v>
      </c>
    </row>
    <row r="1452" spans="1:7">
      <c r="A1452" s="4" t="s">
        <v>4650</v>
      </c>
      <c r="B1452" s="4" t="s">
        <v>4597</v>
      </c>
      <c r="C1452" s="4" t="s">
        <v>4650</v>
      </c>
      <c r="D1452" s="4" t="s">
        <v>12</v>
      </c>
      <c r="E1452" s="40" t="s">
        <v>4615</v>
      </c>
      <c r="F1452" s="39" t="s">
        <v>4616</v>
      </c>
      <c r="G1452" s="4">
        <v>500</v>
      </c>
    </row>
    <row r="1453" spans="1:7">
      <c r="A1453" s="4" t="s">
        <v>4651</v>
      </c>
      <c r="B1453" s="4" t="s">
        <v>4597</v>
      </c>
      <c r="C1453" s="4" t="s">
        <v>4651</v>
      </c>
      <c r="D1453" s="4" t="s">
        <v>12</v>
      </c>
      <c r="E1453" s="40" t="s">
        <v>4617</v>
      </c>
      <c r="F1453" s="39" t="s">
        <v>4618</v>
      </c>
      <c r="G1453" s="4">
        <v>500</v>
      </c>
    </row>
    <row r="1454" spans="1:7">
      <c r="A1454" s="4" t="s">
        <v>4652</v>
      </c>
      <c r="B1454" s="4" t="s">
        <v>4597</v>
      </c>
      <c r="C1454" s="4" t="s">
        <v>4652</v>
      </c>
      <c r="D1454" s="4" t="s">
        <v>12</v>
      </c>
      <c r="E1454" s="40" t="s">
        <v>4619</v>
      </c>
      <c r="F1454" s="39" t="s">
        <v>4620</v>
      </c>
      <c r="G1454" s="4">
        <v>500</v>
      </c>
    </row>
    <row r="1455" spans="1:7">
      <c r="A1455" s="4" t="s">
        <v>4666</v>
      </c>
      <c r="B1455" s="4" t="s">
        <v>4597</v>
      </c>
      <c r="C1455" s="4" t="s">
        <v>4666</v>
      </c>
      <c r="D1455" s="4" t="s">
        <v>12</v>
      </c>
      <c r="E1455" s="40" t="s">
        <v>4667</v>
      </c>
      <c r="F1455" s="39" t="s">
        <v>4668</v>
      </c>
      <c r="G1455" s="4">
        <v>500</v>
      </c>
    </row>
    <row r="1456" spans="1:7">
      <c r="A1456" s="4" t="s">
        <v>3038</v>
      </c>
      <c r="B1456" s="4" t="s">
        <v>4597</v>
      </c>
      <c r="C1456" s="4" t="s">
        <v>3038</v>
      </c>
      <c r="D1456" s="4" t="s">
        <v>12</v>
      </c>
      <c r="E1456" s="40" t="s">
        <v>4621</v>
      </c>
      <c r="F1456" s="39" t="s">
        <v>4622</v>
      </c>
      <c r="G1456" s="4">
        <v>500</v>
      </c>
    </row>
    <row r="1457" spans="1:7">
      <c r="A1457" s="4" t="s">
        <v>4653</v>
      </c>
      <c r="B1457" s="4" t="s">
        <v>4597</v>
      </c>
      <c r="C1457" s="4" t="s">
        <v>4653</v>
      </c>
      <c r="D1457" s="4" t="s">
        <v>12</v>
      </c>
      <c r="E1457" s="40" t="s">
        <v>4623</v>
      </c>
      <c r="F1457" s="39" t="s">
        <v>4624</v>
      </c>
      <c r="G1457" s="4">
        <v>500</v>
      </c>
    </row>
    <row r="1458" spans="1:7">
      <c r="A1458" s="4" t="s">
        <v>4654</v>
      </c>
      <c r="B1458" s="4" t="s">
        <v>4597</v>
      </c>
      <c r="C1458" s="4" t="s">
        <v>4654</v>
      </c>
      <c r="D1458" s="4" t="s">
        <v>12</v>
      </c>
      <c r="E1458" s="40" t="s">
        <v>4625</v>
      </c>
      <c r="F1458" s="39" t="s">
        <v>4626</v>
      </c>
      <c r="G1458" s="4">
        <v>500</v>
      </c>
    </row>
    <row r="1459" spans="1:7">
      <c r="A1459" s="4" t="s">
        <v>4655</v>
      </c>
      <c r="B1459" s="4" t="s">
        <v>4597</v>
      </c>
      <c r="C1459" s="4" t="s">
        <v>4655</v>
      </c>
      <c r="D1459" s="4" t="s">
        <v>12</v>
      </c>
      <c r="E1459" s="40" t="s">
        <v>4627</v>
      </c>
      <c r="F1459" s="39" t="s">
        <v>4628</v>
      </c>
      <c r="G1459" s="4">
        <v>500</v>
      </c>
    </row>
    <row r="1460" spans="1:7">
      <c r="A1460" s="4" t="s">
        <v>4656</v>
      </c>
      <c r="B1460" s="4" t="s">
        <v>4597</v>
      </c>
      <c r="C1460" s="4" t="s">
        <v>4656</v>
      </c>
      <c r="D1460" s="4" t="s">
        <v>12</v>
      </c>
      <c r="E1460" s="40" t="s">
        <v>4629</v>
      </c>
      <c r="F1460" s="39" t="s">
        <v>4630</v>
      </c>
      <c r="G1460" s="4">
        <v>500</v>
      </c>
    </row>
    <row r="1461" spans="1:7">
      <c r="A1461" s="4" t="s">
        <v>4657</v>
      </c>
      <c r="B1461" s="4" t="s">
        <v>4597</v>
      </c>
      <c r="C1461" s="4" t="s">
        <v>4657</v>
      </c>
      <c r="D1461" s="4" t="s">
        <v>12</v>
      </c>
      <c r="E1461" s="40" t="s">
        <v>4631</v>
      </c>
      <c r="F1461" s="39" t="s">
        <v>4632</v>
      </c>
      <c r="G1461" s="4">
        <v>500</v>
      </c>
    </row>
    <row r="1462" spans="1:7">
      <c r="A1462" s="4" t="s">
        <v>4661</v>
      </c>
      <c r="B1462" s="4" t="s">
        <v>4597</v>
      </c>
      <c r="C1462" s="4" t="s">
        <v>4661</v>
      </c>
      <c r="D1462" s="4" t="s">
        <v>12</v>
      </c>
      <c r="E1462" s="40" t="s">
        <v>4633</v>
      </c>
      <c r="F1462" s="39" t="s">
        <v>4634</v>
      </c>
      <c r="G1462" s="4">
        <v>500</v>
      </c>
    </row>
    <row r="1463" spans="1:7">
      <c r="A1463" s="4" t="s">
        <v>4660</v>
      </c>
      <c r="B1463" s="4" t="s">
        <v>4597</v>
      </c>
      <c r="C1463" s="4" t="s">
        <v>4660</v>
      </c>
      <c r="D1463" s="4" t="s">
        <v>12</v>
      </c>
      <c r="E1463" s="40" t="s">
        <v>4635</v>
      </c>
      <c r="F1463" s="39" t="s">
        <v>4636</v>
      </c>
      <c r="G1463" s="4">
        <v>500</v>
      </c>
    </row>
    <row r="1464" spans="1:7">
      <c r="A1464" s="4" t="s">
        <v>4659</v>
      </c>
      <c r="B1464" s="4" t="s">
        <v>4597</v>
      </c>
      <c r="C1464" s="4" t="s">
        <v>4659</v>
      </c>
      <c r="D1464" s="4" t="s">
        <v>12</v>
      </c>
      <c r="E1464" s="40" t="s">
        <v>4637</v>
      </c>
      <c r="F1464" s="39" t="s">
        <v>4638</v>
      </c>
      <c r="G1464" s="4">
        <v>500</v>
      </c>
    </row>
    <row r="1465" spans="1:7">
      <c r="A1465" s="4" t="s">
        <v>4658</v>
      </c>
      <c r="B1465" s="4" t="s">
        <v>4597</v>
      </c>
      <c r="C1465" s="4" t="s">
        <v>4658</v>
      </c>
      <c r="D1465" s="4" t="s">
        <v>12</v>
      </c>
      <c r="E1465" s="40" t="s">
        <v>4639</v>
      </c>
      <c r="F1465" s="39" t="s">
        <v>4640</v>
      </c>
      <c r="G1465" s="4">
        <v>500</v>
      </c>
    </row>
    <row r="1466" spans="1:7">
      <c r="A1466" s="4" t="s">
        <v>2675</v>
      </c>
      <c r="B1466" s="4" t="s">
        <v>4597</v>
      </c>
      <c r="C1466" s="4" t="s">
        <v>2675</v>
      </c>
      <c r="D1466" s="4" t="s">
        <v>12</v>
      </c>
      <c r="E1466" s="40" t="s">
        <v>4641</v>
      </c>
      <c r="F1466" s="39" t="s">
        <v>4642</v>
      </c>
      <c r="G1466" s="4">
        <v>500</v>
      </c>
    </row>
    <row r="1467" spans="1:7">
      <c r="A1467" s="4" t="s">
        <v>4020</v>
      </c>
      <c r="B1467" t="s">
        <v>4669</v>
      </c>
      <c r="C1467" s="4" t="s">
        <v>4020</v>
      </c>
      <c r="D1467" s="4" t="s">
        <v>12</v>
      </c>
      <c r="E1467" s="4" t="s">
        <v>3904</v>
      </c>
      <c r="F1467" s="4" t="s">
        <v>3905</v>
      </c>
      <c r="G1467" s="4">
        <v>500</v>
      </c>
    </row>
    <row r="1468" spans="1:7">
      <c r="A1468" s="4" t="s">
        <v>4673</v>
      </c>
      <c r="B1468" t="s">
        <v>4669</v>
      </c>
      <c r="C1468" s="4" t="s">
        <v>4673</v>
      </c>
      <c r="D1468" s="4" t="s">
        <v>12</v>
      </c>
      <c r="E1468" s="4" t="s">
        <v>4671</v>
      </c>
      <c r="F1468" s="4" t="s">
        <v>4672</v>
      </c>
      <c r="G1468" s="4">
        <v>450</v>
      </c>
    </row>
    <row r="1469" spans="1:7">
      <c r="A1469" s="4" t="s">
        <v>4166</v>
      </c>
      <c r="B1469" t="s">
        <v>4491</v>
      </c>
      <c r="C1469" s="4" t="s">
        <v>4166</v>
      </c>
      <c r="D1469" s="4" t="s">
        <v>12</v>
      </c>
      <c r="E1469" s="4" t="s">
        <v>3938</v>
      </c>
      <c r="F1469" s="4" t="s">
        <v>3939</v>
      </c>
      <c r="G1469" s="4">
        <v>600</v>
      </c>
    </row>
    <row r="1470" spans="1:7">
      <c r="A1470" s="4" t="s">
        <v>4166</v>
      </c>
      <c r="B1470" t="s">
        <v>4492</v>
      </c>
      <c r="C1470" s="4" t="s">
        <v>4166</v>
      </c>
      <c r="D1470" s="4" t="s">
        <v>12</v>
      </c>
      <c r="E1470" s="4" t="s">
        <v>3938</v>
      </c>
      <c r="F1470" s="4" t="s">
        <v>3939</v>
      </c>
      <c r="G1470" s="4">
        <v>600</v>
      </c>
    </row>
    <row r="1471" spans="1:7">
      <c r="A1471" s="4" t="s">
        <v>3936</v>
      </c>
      <c r="B1471" t="s">
        <v>4491</v>
      </c>
      <c r="C1471" s="4" t="s">
        <v>3936</v>
      </c>
      <c r="D1471" s="4" t="s">
        <v>12</v>
      </c>
      <c r="E1471" s="4" t="s">
        <v>3936</v>
      </c>
      <c r="F1471" s="4" t="s">
        <v>3937</v>
      </c>
      <c r="G1471" s="4">
        <v>500</v>
      </c>
    </row>
    <row r="1472" spans="1:7">
      <c r="A1472" s="4" t="s">
        <v>3936</v>
      </c>
      <c r="B1472" t="s">
        <v>4492</v>
      </c>
      <c r="C1472" s="4" t="s">
        <v>3936</v>
      </c>
      <c r="D1472" s="4" t="s">
        <v>12</v>
      </c>
      <c r="E1472" s="4" t="s">
        <v>3936</v>
      </c>
      <c r="F1472" s="4" t="s">
        <v>3937</v>
      </c>
      <c r="G1472" s="4">
        <v>500</v>
      </c>
    </row>
    <row r="1473" spans="1:7" ht="14">
      <c r="A1473" t="s">
        <v>4681</v>
      </c>
      <c r="B1473" s="25" t="s">
        <v>3067</v>
      </c>
      <c r="C1473" t="s">
        <v>4681</v>
      </c>
      <c r="D1473" s="24" t="s">
        <v>12</v>
      </c>
      <c r="E1473" t="s">
        <v>4682</v>
      </c>
      <c r="F1473" s="4" t="s">
        <v>4683</v>
      </c>
      <c r="G1473" s="4">
        <v>550</v>
      </c>
    </row>
    <row r="1474" spans="1:7" ht="14">
      <c r="A1474" t="s">
        <v>4684</v>
      </c>
      <c r="B1474" s="25" t="s">
        <v>3067</v>
      </c>
      <c r="C1474" t="s">
        <v>4684</v>
      </c>
      <c r="D1474" s="24" t="s">
        <v>12</v>
      </c>
      <c r="E1474" t="s">
        <v>4685</v>
      </c>
      <c r="F1474" s="4" t="s">
        <v>4686</v>
      </c>
      <c r="G1474" s="4">
        <v>500</v>
      </c>
    </row>
    <row r="1475" spans="1:7" ht="14">
      <c r="A1475" t="s">
        <v>4687</v>
      </c>
      <c r="B1475" s="25" t="s">
        <v>3067</v>
      </c>
      <c r="C1475" t="s">
        <v>4687</v>
      </c>
      <c r="D1475" s="24" t="s">
        <v>12</v>
      </c>
      <c r="E1475" t="s">
        <v>4688</v>
      </c>
      <c r="F1475" s="4" t="s">
        <v>4689</v>
      </c>
      <c r="G1475" s="4">
        <v>500</v>
      </c>
    </row>
    <row r="1476" spans="1:7" ht="14">
      <c r="A1476" t="s">
        <v>4690</v>
      </c>
      <c r="B1476" s="25" t="s">
        <v>3067</v>
      </c>
      <c r="C1476" t="s">
        <v>4690</v>
      </c>
      <c r="D1476" s="24" t="s">
        <v>12</v>
      </c>
      <c r="E1476" t="s">
        <v>4691</v>
      </c>
      <c r="F1476" s="4" t="s">
        <v>4692</v>
      </c>
      <c r="G1476" s="4">
        <v>500</v>
      </c>
    </row>
    <row r="1477" spans="1:7" ht="14">
      <c r="A1477" t="s">
        <v>4693</v>
      </c>
      <c r="B1477" s="25" t="s">
        <v>3067</v>
      </c>
      <c r="C1477" t="s">
        <v>4693</v>
      </c>
      <c r="D1477" s="24" t="s">
        <v>12</v>
      </c>
      <c r="E1477" t="s">
        <v>4694</v>
      </c>
      <c r="F1477" s="4" t="s">
        <v>4695</v>
      </c>
      <c r="G1477" s="4">
        <v>500</v>
      </c>
    </row>
    <row r="1478" spans="1:7" ht="14">
      <c r="A1478" t="s">
        <v>4696</v>
      </c>
      <c r="B1478" s="25" t="s">
        <v>3067</v>
      </c>
      <c r="C1478" t="s">
        <v>4696</v>
      </c>
      <c r="D1478" s="24" t="s">
        <v>12</v>
      </c>
      <c r="E1478" t="s">
        <v>4697</v>
      </c>
      <c r="F1478" s="4" t="s">
        <v>4698</v>
      </c>
      <c r="G1478" s="4">
        <v>500</v>
      </c>
    </row>
    <row r="1479" spans="1:7" ht="14">
      <c r="A1479" t="s">
        <v>4699</v>
      </c>
      <c r="B1479" s="25" t="s">
        <v>3067</v>
      </c>
      <c r="C1479" t="s">
        <v>4699</v>
      </c>
      <c r="D1479" s="24" t="s">
        <v>12</v>
      </c>
      <c r="E1479" t="s">
        <v>4700</v>
      </c>
      <c r="F1479" s="4" t="s">
        <v>4701</v>
      </c>
      <c r="G1479" s="4">
        <v>500</v>
      </c>
    </row>
    <row r="1480" spans="1:7" ht="14">
      <c r="A1480" t="s">
        <v>4702</v>
      </c>
      <c r="B1480" s="25" t="s">
        <v>3067</v>
      </c>
      <c r="C1480" t="s">
        <v>4702</v>
      </c>
      <c r="D1480" s="24" t="s">
        <v>12</v>
      </c>
      <c r="E1480" t="s">
        <v>4703</v>
      </c>
      <c r="F1480" s="4" t="s">
        <v>4704</v>
      </c>
      <c r="G1480" s="4">
        <v>500</v>
      </c>
    </row>
    <row r="1481" spans="1:7" ht="14">
      <c r="A1481" t="s">
        <v>4705</v>
      </c>
      <c r="B1481" s="25" t="s">
        <v>3067</v>
      </c>
      <c r="C1481" t="s">
        <v>4705</v>
      </c>
      <c r="D1481" s="24" t="s">
        <v>12</v>
      </c>
      <c r="E1481" t="s">
        <v>4706</v>
      </c>
      <c r="F1481" s="4" t="s">
        <v>4707</v>
      </c>
      <c r="G1481" s="4">
        <v>500</v>
      </c>
    </row>
    <row r="1482" spans="1:7" ht="14">
      <c r="A1482" t="s">
        <v>4708</v>
      </c>
      <c r="B1482" s="25" t="s">
        <v>3067</v>
      </c>
      <c r="C1482" t="s">
        <v>4708</v>
      </c>
      <c r="D1482" s="24" t="s">
        <v>12</v>
      </c>
      <c r="E1482" t="s">
        <v>4709</v>
      </c>
      <c r="F1482" s="4" t="s">
        <v>4710</v>
      </c>
      <c r="G1482" s="4">
        <v>500</v>
      </c>
    </row>
    <row r="1483" spans="1:7" ht="14">
      <c r="A1483" t="s">
        <v>4711</v>
      </c>
      <c r="B1483" s="25" t="s">
        <v>3067</v>
      </c>
      <c r="C1483" t="s">
        <v>4711</v>
      </c>
      <c r="D1483" s="24" t="s">
        <v>12</v>
      </c>
      <c r="E1483" t="s">
        <v>4712</v>
      </c>
      <c r="F1483" s="4" t="s">
        <v>4713</v>
      </c>
      <c r="G1483" s="4">
        <v>500</v>
      </c>
    </row>
    <row r="1484" spans="1:7" ht="14">
      <c r="A1484" t="s">
        <v>4714</v>
      </c>
      <c r="B1484" s="25" t="s">
        <v>3067</v>
      </c>
      <c r="C1484" t="s">
        <v>4714</v>
      </c>
      <c r="D1484" s="24" t="s">
        <v>12</v>
      </c>
      <c r="E1484" t="s">
        <v>4715</v>
      </c>
      <c r="F1484" s="4" t="s">
        <v>4713</v>
      </c>
      <c r="G1484" s="4">
        <v>500</v>
      </c>
    </row>
    <row r="1485" spans="1:7" ht="14">
      <c r="A1485" t="s">
        <v>4716</v>
      </c>
      <c r="B1485" s="25" t="s">
        <v>3067</v>
      </c>
      <c r="C1485" t="s">
        <v>4716</v>
      </c>
      <c r="D1485" s="24" t="s">
        <v>12</v>
      </c>
      <c r="E1485" t="s">
        <v>4717</v>
      </c>
      <c r="F1485" s="4" t="s">
        <v>4718</v>
      </c>
      <c r="G1485" s="4">
        <v>500</v>
      </c>
    </row>
    <row r="1486" spans="1:7" ht="14">
      <c r="A1486" t="s">
        <v>4719</v>
      </c>
      <c r="B1486" s="25" t="s">
        <v>3067</v>
      </c>
      <c r="C1486" t="s">
        <v>4719</v>
      </c>
      <c r="D1486" s="24" t="s">
        <v>12</v>
      </c>
      <c r="E1486" t="s">
        <v>4720</v>
      </c>
      <c r="F1486" s="4" t="s">
        <v>4718</v>
      </c>
      <c r="G1486" s="4">
        <v>500</v>
      </c>
    </row>
    <row r="1487" spans="1:7" ht="14">
      <c r="A1487" t="s">
        <v>4721</v>
      </c>
      <c r="B1487" s="25" t="s">
        <v>3067</v>
      </c>
      <c r="C1487" t="s">
        <v>4721</v>
      </c>
      <c r="D1487" s="24" t="s">
        <v>12</v>
      </c>
      <c r="E1487" t="s">
        <v>4722</v>
      </c>
      <c r="F1487" s="4" t="s">
        <v>4723</v>
      </c>
      <c r="G1487" s="4">
        <v>500</v>
      </c>
    </row>
    <row r="1488" spans="1:7" ht="14">
      <c r="A1488" t="s">
        <v>4724</v>
      </c>
      <c r="B1488" s="25" t="s">
        <v>3067</v>
      </c>
      <c r="C1488" t="s">
        <v>4724</v>
      </c>
      <c r="D1488" s="24" t="s">
        <v>12</v>
      </c>
      <c r="E1488" t="s">
        <v>4725</v>
      </c>
      <c r="F1488" s="4" t="s">
        <v>4723</v>
      </c>
      <c r="G1488" s="4">
        <v>500</v>
      </c>
    </row>
    <row r="1489" spans="1:7" ht="14">
      <c r="A1489" t="s">
        <v>261</v>
      </c>
      <c r="B1489" s="25" t="s">
        <v>4788</v>
      </c>
      <c r="C1489" t="s">
        <v>261</v>
      </c>
      <c r="D1489" s="24"/>
      <c r="E1489" t="s">
        <v>1741</v>
      </c>
      <c r="F1489" s="4" t="s">
        <v>4789</v>
      </c>
      <c r="G1489" s="4">
        <v>550</v>
      </c>
    </row>
    <row r="1490" spans="1:7" ht="14">
      <c r="A1490" t="s">
        <v>3066</v>
      </c>
      <c r="B1490" s="25" t="s">
        <v>4788</v>
      </c>
      <c r="C1490" t="s">
        <v>3066</v>
      </c>
      <c r="E1490" t="s">
        <v>4726</v>
      </c>
      <c r="F1490" s="4" t="s">
        <v>4727</v>
      </c>
      <c r="G1490" s="4">
        <v>550</v>
      </c>
    </row>
    <row r="1491" spans="1:7" ht="14">
      <c r="A1491" t="s">
        <v>4728</v>
      </c>
      <c r="B1491" s="25" t="s">
        <v>4788</v>
      </c>
      <c r="C1491" t="s">
        <v>4728</v>
      </c>
      <c r="E1491" t="s">
        <v>4729</v>
      </c>
      <c r="F1491" s="4" t="s">
        <v>4730</v>
      </c>
      <c r="G1491" s="4">
        <v>500</v>
      </c>
    </row>
    <row r="1492" spans="1:7" ht="14">
      <c r="A1492" t="s">
        <v>4731</v>
      </c>
      <c r="B1492" s="25" t="s">
        <v>4788</v>
      </c>
      <c r="C1492" t="s">
        <v>4731</v>
      </c>
      <c r="E1492" t="s">
        <v>4732</v>
      </c>
      <c r="F1492" s="4" t="s">
        <v>4733</v>
      </c>
      <c r="G1492" s="4">
        <v>500</v>
      </c>
    </row>
    <row r="1493" spans="1:7" ht="14">
      <c r="A1493" t="s">
        <v>4734</v>
      </c>
      <c r="B1493" s="25" t="s">
        <v>4788</v>
      </c>
      <c r="C1493" t="s">
        <v>4734</v>
      </c>
      <c r="E1493" t="s">
        <v>4735</v>
      </c>
      <c r="F1493" s="4" t="s">
        <v>4736</v>
      </c>
      <c r="G1493" s="4">
        <v>500</v>
      </c>
    </row>
    <row r="1494" spans="1:7" ht="14">
      <c r="A1494" t="s">
        <v>4737</v>
      </c>
      <c r="B1494" s="25" t="s">
        <v>4788</v>
      </c>
      <c r="C1494" t="s">
        <v>4737</v>
      </c>
      <c r="E1494" t="s">
        <v>4738</v>
      </c>
      <c r="F1494" s="4" t="s">
        <v>4739</v>
      </c>
      <c r="G1494" s="4">
        <v>500</v>
      </c>
    </row>
    <row r="1495" spans="1:7" ht="14">
      <c r="A1495" t="s">
        <v>4740</v>
      </c>
      <c r="B1495" s="25" t="s">
        <v>4788</v>
      </c>
      <c r="C1495" t="s">
        <v>4740</v>
      </c>
      <c r="E1495" t="s">
        <v>4741</v>
      </c>
      <c r="F1495" s="4" t="s">
        <v>4742</v>
      </c>
      <c r="G1495" s="4">
        <v>500</v>
      </c>
    </row>
    <row r="1496" spans="1:7" ht="14">
      <c r="A1496" t="s">
        <v>4743</v>
      </c>
      <c r="B1496" s="25" t="s">
        <v>4788</v>
      </c>
      <c r="C1496" t="s">
        <v>4743</v>
      </c>
      <c r="E1496" t="s">
        <v>4744</v>
      </c>
      <c r="F1496" s="4" t="s">
        <v>4745</v>
      </c>
      <c r="G1496" s="4">
        <v>500</v>
      </c>
    </row>
    <row r="1497" spans="1:7" ht="14">
      <c r="A1497" t="s">
        <v>4579</v>
      </c>
      <c r="B1497" s="25" t="s">
        <v>4788</v>
      </c>
      <c r="C1497" t="s">
        <v>4579</v>
      </c>
      <c r="E1497" t="s">
        <v>4746</v>
      </c>
      <c r="F1497" s="4" t="s">
        <v>4747</v>
      </c>
      <c r="G1497" s="4">
        <v>550</v>
      </c>
    </row>
    <row r="1498" spans="1:7" ht="14">
      <c r="A1498" t="s">
        <v>4748</v>
      </c>
      <c r="B1498" s="25" t="s">
        <v>4788</v>
      </c>
      <c r="C1498" t="s">
        <v>4748</v>
      </c>
      <c r="E1498" t="s">
        <v>4749</v>
      </c>
      <c r="F1498" s="4" t="s">
        <v>4750</v>
      </c>
      <c r="G1498" s="4">
        <v>500</v>
      </c>
    </row>
    <row r="1499" spans="1:7" ht="14">
      <c r="A1499" t="s">
        <v>4751</v>
      </c>
      <c r="B1499" s="25" t="s">
        <v>4788</v>
      </c>
      <c r="C1499" t="s">
        <v>4751</v>
      </c>
      <c r="E1499" t="s">
        <v>4752</v>
      </c>
      <c r="F1499" s="4" t="s">
        <v>4753</v>
      </c>
      <c r="G1499" s="4">
        <v>500</v>
      </c>
    </row>
    <row r="1500" spans="1:7" ht="14">
      <c r="A1500" t="s">
        <v>2233</v>
      </c>
      <c r="B1500" s="25" t="s">
        <v>4788</v>
      </c>
      <c r="C1500" t="s">
        <v>2233</v>
      </c>
      <c r="E1500" t="s">
        <v>2234</v>
      </c>
      <c r="F1500" s="4" t="s">
        <v>4754</v>
      </c>
      <c r="G1500" s="4">
        <v>500</v>
      </c>
    </row>
    <row r="1501" spans="1:7" ht="14">
      <c r="A1501" t="s">
        <v>4755</v>
      </c>
      <c r="B1501" s="25" t="s">
        <v>4788</v>
      </c>
      <c r="C1501" t="s">
        <v>4755</v>
      </c>
      <c r="E1501" t="s">
        <v>4756</v>
      </c>
      <c r="F1501" s="4" t="s">
        <v>4757</v>
      </c>
      <c r="G1501" s="4">
        <v>500</v>
      </c>
    </row>
    <row r="1502" spans="1:7" ht="14">
      <c r="A1502" t="s">
        <v>4758</v>
      </c>
      <c r="B1502" s="25" t="s">
        <v>4788</v>
      </c>
      <c r="C1502" t="s">
        <v>4758</v>
      </c>
      <c r="E1502" t="s">
        <v>4759</v>
      </c>
      <c r="F1502" s="4" t="s">
        <v>4760</v>
      </c>
      <c r="G1502" s="4">
        <v>500</v>
      </c>
    </row>
    <row r="1503" spans="1:7" ht="14">
      <c r="A1503" t="s">
        <v>4761</v>
      </c>
      <c r="B1503" s="25" t="s">
        <v>4788</v>
      </c>
      <c r="C1503" t="s">
        <v>4761</v>
      </c>
      <c r="E1503" t="s">
        <v>4762</v>
      </c>
      <c r="F1503" s="4" t="s">
        <v>4763</v>
      </c>
      <c r="G1503" s="4">
        <v>500</v>
      </c>
    </row>
    <row r="1504" spans="1:7" ht="14">
      <c r="A1504" t="s">
        <v>4764</v>
      </c>
      <c r="B1504" s="25" t="s">
        <v>4788</v>
      </c>
      <c r="C1504" t="s">
        <v>4764</v>
      </c>
      <c r="E1504" t="s">
        <v>4765</v>
      </c>
      <c r="F1504" s="4" t="s">
        <v>4766</v>
      </c>
      <c r="G1504" s="4">
        <v>500</v>
      </c>
    </row>
    <row r="1505" spans="1:7" ht="14">
      <c r="A1505" t="s">
        <v>4767</v>
      </c>
      <c r="B1505" s="25" t="s">
        <v>4788</v>
      </c>
      <c r="C1505" t="s">
        <v>4767</v>
      </c>
      <c r="E1505" t="s">
        <v>4768</v>
      </c>
      <c r="F1505" s="4" t="s">
        <v>4769</v>
      </c>
      <c r="G1505" s="4">
        <v>500</v>
      </c>
    </row>
    <row r="1506" spans="1:7" ht="14">
      <c r="A1506" t="s">
        <v>4770</v>
      </c>
      <c r="B1506" s="25" t="s">
        <v>4788</v>
      </c>
      <c r="C1506" t="s">
        <v>4770</v>
      </c>
      <c r="E1506" t="s">
        <v>4771</v>
      </c>
      <c r="F1506" s="4" t="s">
        <v>4772</v>
      </c>
      <c r="G1506" s="4">
        <v>500</v>
      </c>
    </row>
    <row r="1507" spans="1:7" ht="14">
      <c r="A1507" t="s">
        <v>4773</v>
      </c>
      <c r="B1507" s="25" t="s">
        <v>4788</v>
      </c>
      <c r="C1507" t="s">
        <v>4773</v>
      </c>
      <c r="E1507" t="s">
        <v>4774</v>
      </c>
      <c r="F1507" s="4" t="s">
        <v>4775</v>
      </c>
      <c r="G1507" s="4">
        <v>500</v>
      </c>
    </row>
    <row r="1508" spans="1:7" ht="14">
      <c r="A1508" t="s">
        <v>4776</v>
      </c>
      <c r="B1508" s="25" t="s">
        <v>4788</v>
      </c>
      <c r="C1508" t="s">
        <v>4776</v>
      </c>
      <c r="E1508" t="s">
        <v>4777</v>
      </c>
      <c r="F1508" s="4" t="s">
        <v>4778</v>
      </c>
      <c r="G1508" s="4">
        <v>500</v>
      </c>
    </row>
    <row r="1509" spans="1:7" ht="14">
      <c r="A1509" t="s">
        <v>4779</v>
      </c>
      <c r="B1509" s="25" t="s">
        <v>4788</v>
      </c>
      <c r="C1509" t="s">
        <v>4779</v>
      </c>
      <c r="E1509" t="s">
        <v>4780</v>
      </c>
      <c r="F1509" s="4" t="s">
        <v>4781</v>
      </c>
      <c r="G1509" s="4">
        <v>500</v>
      </c>
    </row>
    <row r="1510" spans="1:7" ht="14">
      <c r="A1510" t="s">
        <v>4782</v>
      </c>
      <c r="B1510" s="25" t="s">
        <v>4788</v>
      </c>
      <c r="C1510" t="s">
        <v>4782</v>
      </c>
      <c r="E1510" t="s">
        <v>4783</v>
      </c>
      <c r="F1510" s="4" t="s">
        <v>4784</v>
      </c>
      <c r="G1510" s="4">
        <v>500</v>
      </c>
    </row>
    <row r="1511" spans="1:7" ht="14">
      <c r="A1511" t="s">
        <v>4785</v>
      </c>
      <c r="B1511" s="25" t="s">
        <v>4788</v>
      </c>
      <c r="C1511" t="s">
        <v>4785</v>
      </c>
      <c r="E1511" t="s">
        <v>4786</v>
      </c>
      <c r="F1511" s="4" t="s">
        <v>4787</v>
      </c>
      <c r="G1511" s="4">
        <v>500</v>
      </c>
    </row>
    <row r="1512" spans="1:7">
      <c r="A1512" s="4" t="s">
        <v>4794</v>
      </c>
      <c r="B1512" t="s">
        <v>4791</v>
      </c>
      <c r="C1512" t="s">
        <v>4791</v>
      </c>
      <c r="E1512" s="4" t="s">
        <v>3904</v>
      </c>
      <c r="F1512" s="4" t="s">
        <v>4795</v>
      </c>
      <c r="G1512" s="4">
        <v>500</v>
      </c>
    </row>
  </sheetData>
  <phoneticPr fontId="23" type="noConversion"/>
  <conditionalFormatting sqref="F9:F189 F191:F204 F206:F311 E243 F313:F329 F331:F339">
    <cfRule type="cellIs" dxfId="3" priority="2" operator="equal">
      <formula>INDIRECT(ADDRESS(ROW()-1,COLUMN()))</formula>
    </cfRule>
  </conditionalFormatting>
  <conditionalFormatting sqref="F37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sheetData>
    <row r="1" spans="1:1">
      <c r="A1" s="18" t="s">
        <v>3983</v>
      </c>
    </row>
    <row r="2" spans="1:1">
      <c r="A2" s="4" t="s">
        <v>3984</v>
      </c>
    </row>
    <row r="3" spans="1:1">
      <c r="A3" s="4" t="s">
        <v>3985</v>
      </c>
    </row>
    <row r="4" spans="1:1">
      <c r="A4" s="4" t="s">
        <v>3986</v>
      </c>
    </row>
    <row r="5" spans="1:1">
      <c r="A5" s="4" t="s">
        <v>3987</v>
      </c>
    </row>
    <row r="6" spans="1:1">
      <c r="A6" s="4" t="s">
        <v>3988</v>
      </c>
    </row>
    <row r="7" spans="1:1">
      <c r="A7" s="4" t="s">
        <v>3890</v>
      </c>
    </row>
    <row r="8" spans="1:1">
      <c r="A8" s="4" t="s">
        <v>3888</v>
      </c>
    </row>
    <row r="9" spans="1:1">
      <c r="A9" s="4" t="s">
        <v>3893</v>
      </c>
    </row>
    <row r="10" spans="1:1">
      <c r="A10" s="4" t="s">
        <v>3989</v>
      </c>
    </row>
    <row r="11" spans="1:1">
      <c r="A11" s="4" t="s">
        <v>3990</v>
      </c>
    </row>
    <row r="12" spans="1:1">
      <c r="A12" s="4" t="s">
        <v>1115</v>
      </c>
    </row>
    <row r="13" spans="1:1">
      <c r="A13" s="4" t="s">
        <v>3991</v>
      </c>
    </row>
    <row r="14" spans="1:1">
      <c r="A14" s="4" t="s">
        <v>3992</v>
      </c>
    </row>
    <row r="15" spans="1:1">
      <c r="A15" s="4" t="s">
        <v>3993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sheetData>
    <row r="2" spans="1:1022">
      <c r="A2" s="4" t="s">
        <v>2065</v>
      </c>
      <c r="B2" s="4" t="s">
        <v>138</v>
      </c>
      <c r="C2" s="4" t="str">
        <f>B2&amp;":"&amp;A2</f>
        <v>att_organism:UP000000589</v>
      </c>
      <c r="D2" s="4" t="s">
        <v>2066</v>
      </c>
      <c r="E2" s="4" t="s">
        <v>2067</v>
      </c>
      <c r="F2" s="4" t="s">
        <v>2068</v>
      </c>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c r="IW2" s="4"/>
      <c r="IX2" s="4"/>
      <c r="IY2" s="4"/>
      <c r="IZ2" s="4"/>
      <c r="JA2" s="4"/>
      <c r="JB2" s="4"/>
      <c r="JC2" s="4"/>
      <c r="JD2" s="4"/>
      <c r="JE2" s="4"/>
      <c r="JF2" s="4"/>
      <c r="JG2" s="4"/>
      <c r="JH2" s="4"/>
      <c r="JI2" s="4"/>
      <c r="JJ2" s="4"/>
      <c r="JK2" s="4"/>
      <c r="JL2" s="4"/>
      <c r="JM2" s="4"/>
      <c r="JN2" s="4"/>
      <c r="JO2" s="4"/>
      <c r="JP2" s="4"/>
      <c r="JQ2" s="4"/>
      <c r="JR2" s="4"/>
      <c r="JS2" s="4"/>
      <c r="JT2" s="4"/>
      <c r="JU2" s="4"/>
      <c r="JV2" s="4"/>
      <c r="JW2" s="4"/>
      <c r="JX2" s="4"/>
      <c r="JY2" s="4"/>
      <c r="JZ2" s="4"/>
      <c r="KA2" s="4"/>
      <c r="KB2" s="4"/>
      <c r="KC2" s="4"/>
      <c r="KD2" s="4"/>
      <c r="KE2" s="4"/>
      <c r="KF2" s="4"/>
      <c r="KG2" s="4"/>
      <c r="KH2" s="4"/>
      <c r="KI2" s="4"/>
      <c r="KJ2" s="4"/>
      <c r="KK2" s="4"/>
      <c r="KL2" s="4"/>
      <c r="KM2" s="4"/>
      <c r="KN2" s="4"/>
      <c r="KO2" s="4"/>
      <c r="KP2" s="4"/>
      <c r="KQ2" s="4"/>
      <c r="KR2" s="4"/>
      <c r="KS2" s="4"/>
      <c r="KT2" s="4"/>
      <c r="KU2" s="4"/>
      <c r="KV2" s="4"/>
      <c r="KW2" s="4"/>
      <c r="KX2" s="4"/>
      <c r="KY2" s="4"/>
      <c r="KZ2" s="4"/>
      <c r="LA2" s="4"/>
      <c r="LB2" s="4"/>
      <c r="LC2" s="4"/>
      <c r="LD2" s="4"/>
      <c r="LE2" s="4"/>
      <c r="LF2" s="4"/>
      <c r="LG2" s="4"/>
      <c r="LH2" s="4"/>
      <c r="LI2" s="4"/>
      <c r="LJ2" s="4"/>
      <c r="LK2" s="4"/>
      <c r="LL2" s="4"/>
      <c r="LM2" s="4"/>
      <c r="LN2" s="4"/>
      <c r="LO2" s="4"/>
      <c r="LP2" s="4"/>
      <c r="LQ2" s="4"/>
      <c r="LR2" s="4"/>
      <c r="LS2" s="4"/>
      <c r="LT2" s="4"/>
      <c r="LU2" s="4"/>
      <c r="LV2" s="4"/>
      <c r="LW2" s="4"/>
      <c r="LX2" s="4"/>
      <c r="LY2" s="4"/>
      <c r="LZ2" s="4"/>
      <c r="MA2" s="4"/>
      <c r="MB2" s="4"/>
      <c r="MC2" s="4"/>
      <c r="MD2" s="4"/>
      <c r="ME2" s="4"/>
      <c r="MF2" s="4"/>
      <c r="MG2" s="4"/>
      <c r="MH2" s="4"/>
      <c r="MI2" s="4"/>
      <c r="MJ2" s="4"/>
      <c r="MK2" s="4"/>
      <c r="ML2" s="4"/>
      <c r="MM2" s="4"/>
      <c r="MN2" s="4"/>
      <c r="MO2" s="4"/>
      <c r="MP2" s="4"/>
      <c r="MQ2" s="4"/>
      <c r="MR2" s="4"/>
      <c r="MS2" s="4"/>
      <c r="MT2" s="4"/>
      <c r="MU2" s="4"/>
      <c r="MV2" s="4"/>
      <c r="MW2" s="4"/>
      <c r="MX2" s="4"/>
      <c r="MY2" s="4"/>
      <c r="MZ2" s="4"/>
      <c r="NA2" s="4"/>
      <c r="NB2" s="4"/>
      <c r="NC2" s="4"/>
      <c r="ND2" s="4"/>
      <c r="NE2" s="4"/>
      <c r="NF2" s="4"/>
      <c r="NG2" s="4"/>
      <c r="NH2" s="4"/>
      <c r="NI2" s="4"/>
      <c r="NJ2" s="4"/>
      <c r="NK2" s="4"/>
      <c r="NL2" s="4"/>
      <c r="NM2" s="4"/>
      <c r="NN2" s="4"/>
      <c r="NO2" s="4"/>
      <c r="NP2" s="4"/>
      <c r="NQ2" s="4"/>
      <c r="NR2" s="4"/>
      <c r="NS2" s="4"/>
      <c r="NT2" s="4"/>
      <c r="NU2" s="4"/>
      <c r="NV2" s="4"/>
      <c r="NW2" s="4"/>
      <c r="NX2" s="4"/>
      <c r="NY2" s="4"/>
      <c r="NZ2" s="4"/>
      <c r="OA2" s="4"/>
      <c r="OB2" s="4"/>
      <c r="OC2" s="4"/>
      <c r="OD2" s="4"/>
      <c r="OE2" s="4"/>
      <c r="OF2" s="4"/>
      <c r="OG2" s="4"/>
      <c r="OH2" s="4"/>
      <c r="OI2" s="4"/>
      <c r="OJ2" s="4"/>
      <c r="OK2" s="4"/>
      <c r="OL2" s="4"/>
      <c r="OM2" s="4"/>
      <c r="ON2" s="4"/>
      <c r="OO2" s="4"/>
      <c r="OP2" s="4"/>
      <c r="OQ2" s="4"/>
      <c r="OR2" s="4"/>
      <c r="OS2" s="4"/>
      <c r="OT2" s="4"/>
      <c r="OU2" s="4"/>
      <c r="OV2" s="4"/>
      <c r="OW2" s="4"/>
      <c r="OX2" s="4"/>
      <c r="OY2" s="4"/>
      <c r="OZ2" s="4"/>
      <c r="PA2" s="4"/>
      <c r="PB2" s="4"/>
      <c r="PC2" s="4"/>
      <c r="PD2" s="4"/>
      <c r="PE2" s="4"/>
      <c r="PF2" s="4"/>
      <c r="PG2" s="4"/>
      <c r="PH2" s="4"/>
      <c r="PI2" s="4"/>
      <c r="PJ2" s="4"/>
      <c r="PK2" s="4"/>
      <c r="PL2" s="4"/>
      <c r="PM2" s="4"/>
      <c r="PN2" s="4"/>
      <c r="PO2" s="4"/>
      <c r="PP2" s="4"/>
      <c r="PQ2" s="4"/>
      <c r="PR2" s="4"/>
      <c r="PS2" s="4"/>
      <c r="PT2" s="4"/>
      <c r="PU2" s="4"/>
      <c r="PV2" s="4"/>
      <c r="PW2" s="4"/>
      <c r="PX2" s="4"/>
      <c r="PY2" s="4"/>
      <c r="PZ2" s="4"/>
      <c r="QA2" s="4"/>
      <c r="QB2" s="4"/>
      <c r="QC2" s="4"/>
      <c r="QD2" s="4"/>
      <c r="QE2" s="4"/>
      <c r="QF2" s="4"/>
      <c r="QG2" s="4"/>
      <c r="QH2" s="4"/>
      <c r="QI2" s="4"/>
      <c r="QJ2" s="4"/>
      <c r="QK2" s="4"/>
      <c r="QL2" s="4"/>
      <c r="QM2" s="4"/>
      <c r="QN2" s="4"/>
      <c r="QO2" s="4"/>
      <c r="QP2" s="4"/>
      <c r="QQ2" s="4"/>
      <c r="QR2" s="4"/>
      <c r="QS2" s="4"/>
      <c r="QT2" s="4"/>
      <c r="QU2" s="4"/>
      <c r="QV2" s="4"/>
      <c r="QW2" s="4"/>
      <c r="QX2" s="4"/>
      <c r="QY2" s="4"/>
      <c r="QZ2" s="4"/>
      <c r="RA2" s="4"/>
      <c r="RB2" s="4"/>
      <c r="RC2" s="4"/>
      <c r="RD2" s="4"/>
      <c r="RE2" s="4"/>
      <c r="RF2" s="4"/>
      <c r="RG2" s="4"/>
      <c r="RH2" s="4"/>
      <c r="RI2" s="4"/>
      <c r="RJ2" s="4"/>
      <c r="RK2" s="4"/>
      <c r="RL2" s="4"/>
      <c r="RM2" s="4"/>
      <c r="RN2" s="4"/>
      <c r="RO2" s="4"/>
      <c r="RP2" s="4"/>
      <c r="RQ2" s="4"/>
      <c r="RR2" s="4"/>
      <c r="RS2" s="4"/>
      <c r="RT2" s="4"/>
      <c r="RU2" s="4"/>
      <c r="RV2" s="4"/>
      <c r="RW2" s="4"/>
      <c r="RX2" s="4"/>
      <c r="RY2" s="4"/>
      <c r="RZ2" s="4"/>
      <c r="SA2" s="4"/>
      <c r="SB2" s="4"/>
      <c r="SC2" s="4"/>
      <c r="SD2" s="4"/>
      <c r="SE2" s="4"/>
      <c r="SF2" s="4"/>
      <c r="SG2" s="4"/>
      <c r="SH2" s="4"/>
      <c r="SI2" s="4"/>
      <c r="SJ2" s="4"/>
      <c r="SK2" s="4"/>
      <c r="SL2" s="4"/>
      <c r="SM2" s="4"/>
      <c r="SN2" s="4"/>
      <c r="SO2" s="4"/>
      <c r="SP2" s="4"/>
      <c r="SQ2" s="4"/>
      <c r="SR2" s="4"/>
      <c r="SS2" s="4"/>
      <c r="ST2" s="4"/>
      <c r="SU2" s="4"/>
      <c r="SV2" s="4"/>
      <c r="SW2" s="4"/>
      <c r="SX2" s="4"/>
      <c r="SY2" s="4"/>
      <c r="SZ2" s="4"/>
      <c r="TA2" s="4"/>
      <c r="TB2" s="4"/>
      <c r="TC2" s="4"/>
      <c r="TD2" s="4"/>
      <c r="TE2" s="4"/>
      <c r="TF2" s="4"/>
      <c r="TG2" s="4"/>
      <c r="TH2" s="4"/>
      <c r="TI2" s="4"/>
      <c r="TJ2" s="4"/>
      <c r="TK2" s="4"/>
      <c r="TL2" s="4"/>
      <c r="TM2" s="4"/>
      <c r="TN2" s="4"/>
      <c r="TO2" s="4"/>
      <c r="TP2" s="4"/>
      <c r="TQ2" s="4"/>
      <c r="TR2" s="4"/>
      <c r="TS2" s="4"/>
      <c r="TT2" s="4"/>
      <c r="TU2" s="4"/>
      <c r="TV2" s="4"/>
      <c r="TW2" s="4"/>
      <c r="TX2" s="4"/>
      <c r="TY2" s="4"/>
      <c r="TZ2" s="4"/>
      <c r="UA2" s="4"/>
      <c r="UB2" s="4"/>
      <c r="UC2" s="4"/>
      <c r="UD2" s="4"/>
      <c r="UE2" s="4"/>
      <c r="UF2" s="4"/>
      <c r="UG2" s="4"/>
      <c r="UH2" s="4"/>
      <c r="UI2" s="4"/>
      <c r="UJ2" s="4"/>
      <c r="UK2" s="4"/>
      <c r="UL2" s="4"/>
      <c r="UM2" s="4"/>
      <c r="UN2" s="4"/>
      <c r="UO2" s="4"/>
      <c r="UP2" s="4"/>
      <c r="UQ2" s="4"/>
      <c r="UR2" s="4"/>
      <c r="US2" s="4"/>
      <c r="UT2" s="4"/>
      <c r="UU2" s="4"/>
      <c r="UV2" s="4"/>
      <c r="UW2" s="4"/>
      <c r="UX2" s="4"/>
      <c r="UY2" s="4"/>
      <c r="UZ2" s="4"/>
      <c r="VA2" s="4"/>
      <c r="VB2" s="4"/>
      <c r="VC2" s="4"/>
      <c r="VD2" s="4"/>
      <c r="VE2" s="4"/>
      <c r="VF2" s="4"/>
      <c r="VG2" s="4"/>
      <c r="VH2" s="4"/>
      <c r="VI2" s="4"/>
      <c r="VJ2" s="4"/>
      <c r="VK2" s="4"/>
      <c r="VL2" s="4"/>
      <c r="VM2" s="4"/>
      <c r="VN2" s="4"/>
      <c r="VO2" s="4"/>
      <c r="VP2" s="4"/>
      <c r="VQ2" s="4"/>
      <c r="VR2" s="4"/>
      <c r="VS2" s="4"/>
      <c r="VT2" s="4"/>
      <c r="VU2" s="4"/>
      <c r="VV2" s="4"/>
      <c r="VW2" s="4"/>
      <c r="VX2" s="4"/>
      <c r="VY2" s="4"/>
      <c r="VZ2" s="4"/>
      <c r="WA2" s="4"/>
      <c r="WB2" s="4"/>
      <c r="WC2" s="4"/>
      <c r="WD2" s="4"/>
      <c r="WE2" s="4"/>
      <c r="WF2" s="4"/>
      <c r="WG2" s="4"/>
      <c r="WH2" s="4"/>
      <c r="WI2" s="4"/>
      <c r="WJ2" s="4"/>
      <c r="WK2" s="4"/>
      <c r="WL2" s="4"/>
      <c r="WM2" s="4"/>
      <c r="WN2" s="4"/>
      <c r="WO2" s="4"/>
      <c r="WP2" s="4"/>
      <c r="WQ2" s="4"/>
      <c r="WR2" s="4"/>
      <c r="WS2" s="4"/>
      <c r="WT2" s="4"/>
      <c r="WU2" s="4"/>
      <c r="WV2" s="4"/>
      <c r="WW2" s="4"/>
      <c r="WX2" s="4"/>
      <c r="WY2" s="4"/>
      <c r="WZ2" s="4"/>
      <c r="XA2" s="4"/>
      <c r="XB2" s="4"/>
      <c r="XC2" s="4"/>
      <c r="XD2" s="4"/>
      <c r="XE2" s="4"/>
      <c r="XF2" s="4"/>
      <c r="XG2" s="4"/>
      <c r="XH2" s="4"/>
      <c r="XI2" s="4"/>
      <c r="XJ2" s="4"/>
      <c r="XK2" s="4"/>
      <c r="XL2" s="4"/>
      <c r="XM2" s="4"/>
      <c r="XN2" s="4"/>
      <c r="XO2" s="4"/>
      <c r="XP2" s="4"/>
      <c r="XQ2" s="4"/>
      <c r="XR2" s="4"/>
      <c r="XS2" s="4"/>
      <c r="XT2" s="4"/>
      <c r="XU2" s="4"/>
      <c r="XV2" s="4"/>
      <c r="XW2" s="4"/>
      <c r="XX2" s="4"/>
      <c r="XY2" s="4"/>
      <c r="XZ2" s="4"/>
      <c r="YA2" s="4"/>
      <c r="YB2" s="4"/>
      <c r="YC2" s="4"/>
      <c r="YD2" s="4"/>
      <c r="YE2" s="4"/>
      <c r="YF2" s="4"/>
      <c r="YG2" s="4"/>
      <c r="YH2" s="4"/>
      <c r="YI2" s="4"/>
      <c r="YJ2" s="4"/>
      <c r="YK2" s="4"/>
      <c r="YL2" s="4"/>
      <c r="YM2" s="4"/>
      <c r="YN2" s="4"/>
      <c r="YO2" s="4"/>
      <c r="YP2" s="4"/>
      <c r="YQ2" s="4"/>
      <c r="YR2" s="4"/>
      <c r="YS2" s="4"/>
      <c r="YT2" s="4"/>
      <c r="YU2" s="4"/>
      <c r="YV2" s="4"/>
      <c r="YW2" s="4"/>
      <c r="YX2" s="4"/>
      <c r="YY2" s="4"/>
      <c r="YZ2" s="4"/>
      <c r="ZA2" s="4"/>
      <c r="ZB2" s="4"/>
      <c r="ZC2" s="4"/>
      <c r="ZD2" s="4"/>
      <c r="ZE2" s="4"/>
      <c r="ZF2" s="4"/>
      <c r="ZG2" s="4"/>
      <c r="ZH2" s="4"/>
      <c r="ZI2" s="4"/>
      <c r="ZJ2" s="4"/>
      <c r="ZK2" s="4"/>
      <c r="ZL2" s="4"/>
      <c r="ZM2" s="4"/>
      <c r="ZN2" s="4"/>
      <c r="ZO2" s="4"/>
      <c r="ZP2" s="4"/>
      <c r="ZQ2" s="4"/>
      <c r="ZR2" s="4"/>
      <c r="ZS2" s="4"/>
      <c r="ZT2" s="4"/>
      <c r="ZU2" s="4"/>
      <c r="ZV2" s="4"/>
      <c r="ZW2" s="4"/>
      <c r="ZX2" s="4"/>
      <c r="ZY2" s="4"/>
      <c r="ZZ2" s="4"/>
      <c r="AAA2" s="4"/>
      <c r="AAB2" s="4"/>
      <c r="AAC2" s="4"/>
      <c r="AAD2" s="4"/>
      <c r="AAE2" s="4"/>
      <c r="AAF2" s="4"/>
      <c r="AAG2" s="4"/>
      <c r="AAH2" s="4"/>
      <c r="AAI2" s="4"/>
      <c r="AAJ2" s="4"/>
      <c r="AAK2" s="4"/>
      <c r="AAL2" s="4"/>
      <c r="AAM2" s="4"/>
      <c r="AAN2" s="4"/>
      <c r="AAO2" s="4"/>
      <c r="AAP2" s="4"/>
      <c r="AAQ2" s="4"/>
      <c r="AAR2" s="4"/>
      <c r="AAS2" s="4"/>
      <c r="AAT2" s="4"/>
      <c r="AAU2" s="4"/>
      <c r="AAV2" s="4"/>
      <c r="AAW2" s="4"/>
      <c r="AAX2" s="4"/>
      <c r="AAY2" s="4"/>
      <c r="AAZ2" s="4"/>
      <c r="ABA2" s="4"/>
      <c r="ABB2" s="4"/>
      <c r="ABC2" s="4"/>
      <c r="ABD2" s="4"/>
      <c r="ABE2" s="4"/>
      <c r="ABF2" s="4"/>
      <c r="ABG2" s="4"/>
      <c r="ABH2" s="4"/>
      <c r="ABI2" s="4"/>
      <c r="ABJ2" s="4"/>
      <c r="ABK2" s="4"/>
      <c r="ABL2" s="4"/>
      <c r="ABM2" s="4"/>
      <c r="ABN2" s="4"/>
      <c r="ABO2" s="4"/>
      <c r="ABP2" s="4"/>
      <c r="ABQ2" s="4"/>
      <c r="ABR2" s="4"/>
      <c r="ABS2" s="4"/>
      <c r="ABT2" s="4"/>
      <c r="ABU2" s="4"/>
      <c r="ABV2" s="4"/>
      <c r="ABW2" s="4"/>
      <c r="ABX2" s="4"/>
      <c r="ABY2" s="4"/>
      <c r="ABZ2" s="4"/>
      <c r="ACA2" s="4"/>
      <c r="ACB2" s="4"/>
      <c r="ACC2" s="4"/>
      <c r="ACD2" s="4"/>
      <c r="ACE2" s="4"/>
      <c r="ACF2" s="4"/>
      <c r="ACG2" s="4"/>
      <c r="ACH2" s="4"/>
      <c r="ACI2" s="4"/>
      <c r="ACJ2" s="4"/>
      <c r="ACK2" s="4"/>
      <c r="ACL2" s="4"/>
      <c r="ACM2" s="4"/>
      <c r="ACN2" s="4"/>
      <c r="ACO2" s="4"/>
      <c r="ACP2" s="4"/>
      <c r="ACQ2" s="4"/>
      <c r="ACR2" s="4"/>
      <c r="ACS2" s="4"/>
      <c r="ACT2" s="4"/>
      <c r="ACU2" s="4"/>
      <c r="ACV2" s="4"/>
      <c r="ACW2" s="4"/>
      <c r="ACX2" s="4"/>
      <c r="ACY2" s="4"/>
      <c r="ACZ2" s="4"/>
      <c r="ADA2" s="4"/>
      <c r="ADB2" s="4"/>
      <c r="ADC2" s="4"/>
      <c r="ADD2" s="4"/>
      <c r="ADE2" s="4"/>
      <c r="ADF2" s="4"/>
      <c r="ADG2" s="4"/>
      <c r="ADH2" s="4"/>
      <c r="ADI2" s="4"/>
      <c r="ADJ2" s="4"/>
      <c r="ADK2" s="4"/>
      <c r="ADL2" s="4"/>
      <c r="ADM2" s="4"/>
      <c r="ADN2" s="4"/>
      <c r="ADO2" s="4"/>
      <c r="ADP2" s="4"/>
      <c r="ADQ2" s="4"/>
      <c r="ADR2" s="4"/>
      <c r="ADS2" s="4"/>
      <c r="ADT2" s="4"/>
      <c r="ADU2" s="4"/>
      <c r="ADV2" s="4"/>
      <c r="ADW2" s="4"/>
      <c r="ADX2" s="4"/>
      <c r="ADY2" s="4"/>
      <c r="ADZ2" s="4"/>
      <c r="AEA2" s="4"/>
      <c r="AEB2" s="4"/>
      <c r="AEC2" s="4"/>
      <c r="AED2" s="4"/>
      <c r="AEE2" s="4"/>
      <c r="AEF2" s="4"/>
      <c r="AEG2" s="4"/>
      <c r="AEH2" s="4"/>
      <c r="AEI2" s="4"/>
      <c r="AEJ2" s="4"/>
      <c r="AEK2" s="4"/>
      <c r="AEL2" s="4"/>
      <c r="AEM2" s="4"/>
      <c r="AEN2" s="4"/>
      <c r="AEO2" s="4"/>
      <c r="AEP2" s="4"/>
      <c r="AEQ2" s="4"/>
      <c r="AER2" s="4"/>
      <c r="AES2" s="4"/>
      <c r="AET2" s="4"/>
      <c r="AEU2" s="4"/>
      <c r="AEV2" s="4"/>
      <c r="AEW2" s="4"/>
      <c r="AEX2" s="4"/>
      <c r="AEY2" s="4"/>
      <c r="AEZ2" s="4"/>
      <c r="AFA2" s="4"/>
      <c r="AFB2" s="4"/>
      <c r="AFC2" s="4"/>
      <c r="AFD2" s="4"/>
      <c r="AFE2" s="4"/>
      <c r="AFF2" s="4"/>
      <c r="AFG2" s="4"/>
      <c r="AFH2" s="4"/>
      <c r="AFI2" s="4"/>
      <c r="AFJ2" s="4"/>
      <c r="AFK2" s="4"/>
      <c r="AFL2" s="4"/>
      <c r="AFM2" s="4"/>
      <c r="AFN2" s="4"/>
      <c r="AFO2" s="4"/>
      <c r="AFP2" s="4"/>
      <c r="AFQ2" s="4"/>
      <c r="AFR2" s="4"/>
      <c r="AFS2" s="4"/>
      <c r="AFT2" s="4"/>
      <c r="AFU2" s="4"/>
      <c r="AFV2" s="4"/>
      <c r="AFW2" s="4"/>
      <c r="AFX2" s="4"/>
      <c r="AFY2" s="4"/>
      <c r="AFZ2" s="4"/>
      <c r="AGA2" s="4"/>
      <c r="AGB2" s="4"/>
      <c r="AGC2" s="4"/>
      <c r="AGD2" s="4"/>
      <c r="AGE2" s="4"/>
      <c r="AGF2" s="4"/>
      <c r="AGG2" s="4"/>
      <c r="AGH2" s="4"/>
      <c r="AGI2" s="4"/>
      <c r="AGJ2" s="4"/>
      <c r="AGK2" s="4"/>
      <c r="AGL2" s="4"/>
      <c r="AGM2" s="4"/>
      <c r="AGN2" s="4"/>
      <c r="AGO2" s="4"/>
      <c r="AGP2" s="4"/>
      <c r="AGQ2" s="4"/>
      <c r="AGR2" s="4"/>
      <c r="AGS2" s="4"/>
      <c r="AGT2" s="4"/>
      <c r="AGU2" s="4"/>
      <c r="AGV2" s="4"/>
      <c r="AGW2" s="4"/>
      <c r="AGX2" s="4"/>
      <c r="AGY2" s="4"/>
      <c r="AGZ2" s="4"/>
      <c r="AHA2" s="4"/>
      <c r="AHB2" s="4"/>
      <c r="AHC2" s="4"/>
      <c r="AHD2" s="4"/>
      <c r="AHE2" s="4"/>
      <c r="AHF2" s="4"/>
      <c r="AHG2" s="4"/>
      <c r="AHH2" s="4"/>
      <c r="AHI2" s="4"/>
      <c r="AHJ2" s="4"/>
      <c r="AHK2" s="4"/>
      <c r="AHL2" s="4"/>
      <c r="AHM2" s="4"/>
      <c r="AHN2" s="4"/>
      <c r="AHO2" s="4"/>
      <c r="AHP2" s="4"/>
      <c r="AHQ2" s="4"/>
      <c r="AHR2" s="4"/>
      <c r="AHS2" s="4"/>
      <c r="AHT2" s="4"/>
      <c r="AHU2" s="4"/>
      <c r="AHV2" s="4"/>
      <c r="AHW2" s="4"/>
      <c r="AHX2" s="4"/>
      <c r="AHY2" s="4"/>
      <c r="AHZ2" s="4"/>
      <c r="AIA2" s="4"/>
      <c r="AIB2" s="4"/>
      <c r="AIC2" s="4"/>
      <c r="AID2" s="4"/>
      <c r="AIE2" s="4"/>
      <c r="AIF2" s="4"/>
      <c r="AIG2" s="4"/>
      <c r="AIH2" s="4"/>
      <c r="AII2" s="4"/>
      <c r="AIJ2" s="4"/>
      <c r="AIK2" s="4"/>
      <c r="AIL2" s="4"/>
      <c r="AIM2" s="4"/>
      <c r="AIN2" s="4"/>
      <c r="AIO2" s="4"/>
      <c r="AIP2" s="4"/>
      <c r="AIQ2" s="4"/>
      <c r="AIR2" s="4"/>
      <c r="AIS2" s="4"/>
      <c r="AIT2" s="4"/>
      <c r="AIU2" s="4"/>
      <c r="AIV2" s="4"/>
      <c r="AIW2" s="4"/>
      <c r="AIX2" s="4"/>
      <c r="AIY2" s="4"/>
      <c r="AIZ2" s="4"/>
      <c r="AJA2" s="4"/>
      <c r="AJB2" s="4"/>
      <c r="AJC2" s="4"/>
      <c r="AJD2" s="4"/>
      <c r="AJE2" s="4"/>
      <c r="AJF2" s="4"/>
      <c r="AJG2" s="4"/>
      <c r="AJH2" s="4"/>
      <c r="AJI2" s="4"/>
      <c r="AJJ2" s="4"/>
      <c r="AJK2" s="4"/>
      <c r="AJL2" s="4"/>
      <c r="AJM2" s="4"/>
      <c r="AJN2" s="4"/>
      <c r="AJO2" s="4"/>
      <c r="AJP2" s="4"/>
      <c r="AJQ2" s="4"/>
      <c r="AJR2" s="4"/>
      <c r="AJS2" s="4"/>
      <c r="AJT2" s="4"/>
      <c r="AJU2" s="4"/>
      <c r="AJV2" s="4"/>
      <c r="AJW2" s="4"/>
      <c r="AJX2" s="4"/>
      <c r="AJY2" s="4"/>
      <c r="AJZ2" s="4"/>
      <c r="AKA2" s="4"/>
      <c r="AKB2" s="4"/>
      <c r="AKC2" s="4"/>
      <c r="AKD2" s="4"/>
      <c r="AKE2" s="4"/>
      <c r="AKF2" s="4"/>
      <c r="AKG2" s="4"/>
      <c r="AKH2" s="4"/>
      <c r="AKI2" s="4"/>
      <c r="AKJ2" s="4"/>
      <c r="AKK2" s="4"/>
      <c r="AKL2" s="4"/>
      <c r="AKM2" s="4"/>
      <c r="AKN2" s="4"/>
      <c r="AKO2" s="4"/>
      <c r="AKP2" s="4"/>
      <c r="AKQ2" s="4"/>
      <c r="AKR2" s="4"/>
      <c r="AKS2" s="4"/>
      <c r="AKT2" s="4"/>
      <c r="AKU2" s="4"/>
      <c r="AKV2" s="4"/>
      <c r="AKW2" s="4"/>
      <c r="AKX2" s="4"/>
      <c r="AKY2" s="4"/>
      <c r="AKZ2" s="4"/>
      <c r="ALA2" s="4"/>
      <c r="ALB2" s="4"/>
      <c r="ALC2" s="4"/>
      <c r="ALD2" s="4"/>
      <c r="ALE2" s="4"/>
      <c r="ALF2" s="4"/>
      <c r="ALG2" s="4"/>
      <c r="ALH2" s="4"/>
      <c r="ALI2" s="4"/>
      <c r="ALJ2" s="4"/>
      <c r="ALK2" s="4"/>
      <c r="ALL2" s="4"/>
      <c r="ALM2" s="4"/>
      <c r="ALN2" s="4"/>
      <c r="ALO2" s="4"/>
      <c r="ALP2" s="4"/>
      <c r="ALQ2" s="4"/>
      <c r="ALR2" s="4"/>
      <c r="ALS2" s="4"/>
      <c r="ALT2" s="4"/>
      <c r="ALU2" s="4"/>
      <c r="ALV2" s="4"/>
      <c r="ALW2" s="4"/>
      <c r="ALX2" s="4"/>
      <c r="ALY2" s="4"/>
      <c r="ALZ2" s="4"/>
      <c r="AMA2" s="4"/>
      <c r="AMB2" s="4"/>
      <c r="AMC2" s="4"/>
      <c r="AMD2" s="4"/>
      <c r="AME2" s="4"/>
      <c r="AMF2" s="4"/>
      <c r="AMG2" s="4"/>
      <c r="AMH2" s="4"/>
    </row>
    <row r="3" spans="1:1022">
      <c r="A3" s="4" t="s">
        <v>2069</v>
      </c>
      <c r="B3" s="4" t="s">
        <v>138</v>
      </c>
      <c r="C3" s="4" t="str">
        <f>B3&amp;":"&amp;A3</f>
        <v>att_organism:UP000001940</v>
      </c>
      <c r="D3" s="4" t="s">
        <v>2070</v>
      </c>
      <c r="E3" s="4" t="s">
        <v>2071</v>
      </c>
      <c r="F3" s="4" t="s">
        <v>2072</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c r="IW3" s="4"/>
      <c r="IX3" s="4"/>
      <c r="IY3" s="4"/>
      <c r="IZ3" s="4"/>
      <c r="JA3" s="4"/>
      <c r="JB3" s="4"/>
      <c r="JC3" s="4"/>
      <c r="JD3" s="4"/>
      <c r="JE3" s="4"/>
      <c r="JF3" s="4"/>
      <c r="JG3" s="4"/>
      <c r="JH3" s="4"/>
      <c r="JI3" s="4"/>
      <c r="JJ3" s="4"/>
      <c r="JK3" s="4"/>
      <c r="JL3" s="4"/>
      <c r="JM3" s="4"/>
      <c r="JN3" s="4"/>
      <c r="JO3" s="4"/>
      <c r="JP3" s="4"/>
      <c r="JQ3" s="4"/>
      <c r="JR3" s="4"/>
      <c r="JS3" s="4"/>
      <c r="JT3" s="4"/>
      <c r="JU3" s="4"/>
      <c r="JV3" s="4"/>
      <c r="JW3" s="4"/>
      <c r="JX3" s="4"/>
      <c r="JY3" s="4"/>
      <c r="JZ3" s="4"/>
      <c r="KA3" s="4"/>
      <c r="KB3" s="4"/>
      <c r="KC3" s="4"/>
      <c r="KD3" s="4"/>
      <c r="KE3" s="4"/>
      <c r="KF3" s="4"/>
      <c r="KG3" s="4"/>
      <c r="KH3" s="4"/>
      <c r="KI3" s="4"/>
      <c r="KJ3" s="4"/>
      <c r="KK3" s="4"/>
      <c r="KL3" s="4"/>
      <c r="KM3" s="4"/>
      <c r="KN3" s="4"/>
      <c r="KO3" s="4"/>
      <c r="KP3" s="4"/>
      <c r="KQ3" s="4"/>
      <c r="KR3" s="4"/>
      <c r="KS3" s="4"/>
      <c r="KT3" s="4"/>
      <c r="KU3" s="4"/>
      <c r="KV3" s="4"/>
      <c r="KW3" s="4"/>
      <c r="KX3" s="4"/>
      <c r="KY3" s="4"/>
      <c r="KZ3" s="4"/>
      <c r="LA3" s="4"/>
      <c r="LB3" s="4"/>
      <c r="LC3" s="4"/>
      <c r="LD3" s="4"/>
      <c r="LE3" s="4"/>
      <c r="LF3" s="4"/>
      <c r="LG3" s="4"/>
      <c r="LH3" s="4"/>
      <c r="LI3" s="4"/>
      <c r="LJ3" s="4"/>
      <c r="LK3" s="4"/>
      <c r="LL3" s="4"/>
      <c r="LM3" s="4"/>
      <c r="LN3" s="4"/>
      <c r="LO3" s="4"/>
      <c r="LP3" s="4"/>
      <c r="LQ3" s="4"/>
      <c r="LR3" s="4"/>
      <c r="LS3" s="4"/>
      <c r="LT3" s="4"/>
      <c r="LU3" s="4"/>
      <c r="LV3" s="4"/>
      <c r="LW3" s="4"/>
      <c r="LX3" s="4"/>
      <c r="LY3" s="4"/>
      <c r="LZ3" s="4"/>
      <c r="MA3" s="4"/>
      <c r="MB3" s="4"/>
      <c r="MC3" s="4"/>
      <c r="MD3" s="4"/>
      <c r="ME3" s="4"/>
      <c r="MF3" s="4"/>
      <c r="MG3" s="4"/>
      <c r="MH3" s="4"/>
      <c r="MI3" s="4"/>
      <c r="MJ3" s="4"/>
      <c r="MK3" s="4"/>
      <c r="ML3" s="4"/>
      <c r="MM3" s="4"/>
      <c r="MN3" s="4"/>
      <c r="MO3" s="4"/>
      <c r="MP3" s="4"/>
      <c r="MQ3" s="4"/>
      <c r="MR3" s="4"/>
      <c r="MS3" s="4"/>
      <c r="MT3" s="4"/>
      <c r="MU3" s="4"/>
      <c r="MV3" s="4"/>
      <c r="MW3" s="4"/>
      <c r="MX3" s="4"/>
      <c r="MY3" s="4"/>
      <c r="MZ3" s="4"/>
      <c r="NA3" s="4"/>
      <c r="NB3" s="4"/>
      <c r="NC3" s="4"/>
      <c r="ND3" s="4"/>
      <c r="NE3" s="4"/>
      <c r="NF3" s="4"/>
      <c r="NG3" s="4"/>
      <c r="NH3" s="4"/>
      <c r="NI3" s="4"/>
      <c r="NJ3" s="4"/>
      <c r="NK3" s="4"/>
      <c r="NL3" s="4"/>
      <c r="NM3" s="4"/>
      <c r="NN3" s="4"/>
      <c r="NO3" s="4"/>
      <c r="NP3" s="4"/>
      <c r="NQ3" s="4"/>
      <c r="NR3" s="4"/>
      <c r="NS3" s="4"/>
      <c r="NT3" s="4"/>
      <c r="NU3" s="4"/>
      <c r="NV3" s="4"/>
      <c r="NW3" s="4"/>
      <c r="NX3" s="4"/>
      <c r="NY3" s="4"/>
      <c r="NZ3" s="4"/>
      <c r="OA3" s="4"/>
      <c r="OB3" s="4"/>
      <c r="OC3" s="4"/>
      <c r="OD3" s="4"/>
      <c r="OE3" s="4"/>
      <c r="OF3" s="4"/>
      <c r="OG3" s="4"/>
      <c r="OH3" s="4"/>
      <c r="OI3" s="4"/>
      <c r="OJ3" s="4"/>
      <c r="OK3" s="4"/>
      <c r="OL3" s="4"/>
      <c r="OM3" s="4"/>
      <c r="ON3" s="4"/>
      <c r="OO3" s="4"/>
      <c r="OP3" s="4"/>
      <c r="OQ3" s="4"/>
      <c r="OR3" s="4"/>
      <c r="OS3" s="4"/>
      <c r="OT3" s="4"/>
      <c r="OU3" s="4"/>
      <c r="OV3" s="4"/>
      <c r="OW3" s="4"/>
      <c r="OX3" s="4"/>
      <c r="OY3" s="4"/>
      <c r="OZ3" s="4"/>
      <c r="PA3" s="4"/>
      <c r="PB3" s="4"/>
      <c r="PC3" s="4"/>
      <c r="PD3" s="4"/>
      <c r="PE3" s="4"/>
      <c r="PF3" s="4"/>
      <c r="PG3" s="4"/>
      <c r="PH3" s="4"/>
      <c r="PI3" s="4"/>
      <c r="PJ3" s="4"/>
      <c r="PK3" s="4"/>
      <c r="PL3" s="4"/>
      <c r="PM3" s="4"/>
      <c r="PN3" s="4"/>
      <c r="PO3" s="4"/>
      <c r="PP3" s="4"/>
      <c r="PQ3" s="4"/>
      <c r="PR3" s="4"/>
      <c r="PS3" s="4"/>
      <c r="PT3" s="4"/>
      <c r="PU3" s="4"/>
      <c r="PV3" s="4"/>
      <c r="PW3" s="4"/>
      <c r="PX3" s="4"/>
      <c r="PY3" s="4"/>
      <c r="PZ3" s="4"/>
      <c r="QA3" s="4"/>
      <c r="QB3" s="4"/>
      <c r="QC3" s="4"/>
      <c r="QD3" s="4"/>
      <c r="QE3" s="4"/>
      <c r="QF3" s="4"/>
      <c r="QG3" s="4"/>
      <c r="QH3" s="4"/>
      <c r="QI3" s="4"/>
      <c r="QJ3" s="4"/>
      <c r="QK3" s="4"/>
      <c r="QL3" s="4"/>
      <c r="QM3" s="4"/>
      <c r="QN3" s="4"/>
      <c r="QO3" s="4"/>
      <c r="QP3" s="4"/>
      <c r="QQ3" s="4"/>
      <c r="QR3" s="4"/>
      <c r="QS3" s="4"/>
      <c r="QT3" s="4"/>
      <c r="QU3" s="4"/>
      <c r="QV3" s="4"/>
      <c r="QW3" s="4"/>
      <c r="QX3" s="4"/>
      <c r="QY3" s="4"/>
      <c r="QZ3" s="4"/>
      <c r="RA3" s="4"/>
      <c r="RB3" s="4"/>
      <c r="RC3" s="4"/>
      <c r="RD3" s="4"/>
      <c r="RE3" s="4"/>
      <c r="RF3" s="4"/>
      <c r="RG3" s="4"/>
      <c r="RH3" s="4"/>
      <c r="RI3" s="4"/>
      <c r="RJ3" s="4"/>
      <c r="RK3" s="4"/>
      <c r="RL3" s="4"/>
      <c r="RM3" s="4"/>
      <c r="RN3" s="4"/>
      <c r="RO3" s="4"/>
      <c r="RP3" s="4"/>
      <c r="RQ3" s="4"/>
      <c r="RR3" s="4"/>
      <c r="RS3" s="4"/>
      <c r="RT3" s="4"/>
      <c r="RU3" s="4"/>
      <c r="RV3" s="4"/>
      <c r="RW3" s="4"/>
      <c r="RX3" s="4"/>
      <c r="RY3" s="4"/>
      <c r="RZ3" s="4"/>
      <c r="SA3" s="4"/>
      <c r="SB3" s="4"/>
      <c r="SC3" s="4"/>
      <c r="SD3" s="4"/>
      <c r="SE3" s="4"/>
      <c r="SF3" s="4"/>
      <c r="SG3" s="4"/>
      <c r="SH3" s="4"/>
      <c r="SI3" s="4"/>
      <c r="SJ3" s="4"/>
      <c r="SK3" s="4"/>
      <c r="SL3" s="4"/>
      <c r="SM3" s="4"/>
      <c r="SN3" s="4"/>
      <c r="SO3" s="4"/>
      <c r="SP3" s="4"/>
      <c r="SQ3" s="4"/>
      <c r="SR3" s="4"/>
      <c r="SS3" s="4"/>
      <c r="ST3" s="4"/>
      <c r="SU3" s="4"/>
      <c r="SV3" s="4"/>
      <c r="SW3" s="4"/>
      <c r="SX3" s="4"/>
      <c r="SY3" s="4"/>
      <c r="SZ3" s="4"/>
      <c r="TA3" s="4"/>
      <c r="TB3" s="4"/>
      <c r="TC3" s="4"/>
      <c r="TD3" s="4"/>
      <c r="TE3" s="4"/>
      <c r="TF3" s="4"/>
      <c r="TG3" s="4"/>
      <c r="TH3" s="4"/>
      <c r="TI3" s="4"/>
      <c r="TJ3" s="4"/>
      <c r="TK3" s="4"/>
      <c r="TL3" s="4"/>
      <c r="TM3" s="4"/>
      <c r="TN3" s="4"/>
      <c r="TO3" s="4"/>
      <c r="TP3" s="4"/>
      <c r="TQ3" s="4"/>
      <c r="TR3" s="4"/>
      <c r="TS3" s="4"/>
      <c r="TT3" s="4"/>
      <c r="TU3" s="4"/>
      <c r="TV3" s="4"/>
      <c r="TW3" s="4"/>
      <c r="TX3" s="4"/>
      <c r="TY3" s="4"/>
      <c r="TZ3" s="4"/>
      <c r="UA3" s="4"/>
      <c r="UB3" s="4"/>
      <c r="UC3" s="4"/>
      <c r="UD3" s="4"/>
      <c r="UE3" s="4"/>
      <c r="UF3" s="4"/>
      <c r="UG3" s="4"/>
      <c r="UH3" s="4"/>
      <c r="UI3" s="4"/>
      <c r="UJ3" s="4"/>
      <c r="UK3" s="4"/>
      <c r="UL3" s="4"/>
      <c r="UM3" s="4"/>
      <c r="UN3" s="4"/>
      <c r="UO3" s="4"/>
      <c r="UP3" s="4"/>
      <c r="UQ3" s="4"/>
      <c r="UR3" s="4"/>
      <c r="US3" s="4"/>
      <c r="UT3" s="4"/>
      <c r="UU3" s="4"/>
      <c r="UV3" s="4"/>
      <c r="UW3" s="4"/>
      <c r="UX3" s="4"/>
      <c r="UY3" s="4"/>
      <c r="UZ3" s="4"/>
      <c r="VA3" s="4"/>
      <c r="VB3" s="4"/>
      <c r="VC3" s="4"/>
      <c r="VD3" s="4"/>
      <c r="VE3" s="4"/>
      <c r="VF3" s="4"/>
      <c r="VG3" s="4"/>
      <c r="VH3" s="4"/>
      <c r="VI3" s="4"/>
      <c r="VJ3" s="4"/>
      <c r="VK3" s="4"/>
      <c r="VL3" s="4"/>
      <c r="VM3" s="4"/>
      <c r="VN3" s="4"/>
      <c r="VO3" s="4"/>
      <c r="VP3" s="4"/>
      <c r="VQ3" s="4"/>
      <c r="VR3" s="4"/>
      <c r="VS3" s="4"/>
      <c r="VT3" s="4"/>
      <c r="VU3" s="4"/>
      <c r="VV3" s="4"/>
      <c r="VW3" s="4"/>
      <c r="VX3" s="4"/>
      <c r="VY3" s="4"/>
      <c r="VZ3" s="4"/>
      <c r="WA3" s="4"/>
      <c r="WB3" s="4"/>
      <c r="WC3" s="4"/>
      <c r="WD3" s="4"/>
      <c r="WE3" s="4"/>
      <c r="WF3" s="4"/>
      <c r="WG3" s="4"/>
      <c r="WH3" s="4"/>
      <c r="WI3" s="4"/>
      <c r="WJ3" s="4"/>
      <c r="WK3" s="4"/>
      <c r="WL3" s="4"/>
      <c r="WM3" s="4"/>
      <c r="WN3" s="4"/>
      <c r="WO3" s="4"/>
      <c r="WP3" s="4"/>
      <c r="WQ3" s="4"/>
      <c r="WR3" s="4"/>
      <c r="WS3" s="4"/>
      <c r="WT3" s="4"/>
      <c r="WU3" s="4"/>
      <c r="WV3" s="4"/>
      <c r="WW3" s="4"/>
      <c r="WX3" s="4"/>
      <c r="WY3" s="4"/>
      <c r="WZ3" s="4"/>
      <c r="XA3" s="4"/>
      <c r="XB3" s="4"/>
      <c r="XC3" s="4"/>
      <c r="XD3" s="4"/>
      <c r="XE3" s="4"/>
      <c r="XF3" s="4"/>
      <c r="XG3" s="4"/>
      <c r="XH3" s="4"/>
      <c r="XI3" s="4"/>
      <c r="XJ3" s="4"/>
      <c r="XK3" s="4"/>
      <c r="XL3" s="4"/>
      <c r="XM3" s="4"/>
      <c r="XN3" s="4"/>
      <c r="XO3" s="4"/>
      <c r="XP3" s="4"/>
      <c r="XQ3" s="4"/>
      <c r="XR3" s="4"/>
      <c r="XS3" s="4"/>
      <c r="XT3" s="4"/>
      <c r="XU3" s="4"/>
      <c r="XV3" s="4"/>
      <c r="XW3" s="4"/>
      <c r="XX3" s="4"/>
      <c r="XY3" s="4"/>
      <c r="XZ3" s="4"/>
      <c r="YA3" s="4"/>
      <c r="YB3" s="4"/>
      <c r="YC3" s="4"/>
      <c r="YD3" s="4"/>
      <c r="YE3" s="4"/>
      <c r="YF3" s="4"/>
      <c r="YG3" s="4"/>
      <c r="YH3" s="4"/>
      <c r="YI3" s="4"/>
      <c r="YJ3" s="4"/>
      <c r="YK3" s="4"/>
      <c r="YL3" s="4"/>
      <c r="YM3" s="4"/>
      <c r="YN3" s="4"/>
      <c r="YO3" s="4"/>
      <c r="YP3" s="4"/>
      <c r="YQ3" s="4"/>
      <c r="YR3" s="4"/>
      <c r="YS3" s="4"/>
      <c r="YT3" s="4"/>
      <c r="YU3" s="4"/>
      <c r="YV3" s="4"/>
      <c r="YW3" s="4"/>
      <c r="YX3" s="4"/>
      <c r="YY3" s="4"/>
      <c r="YZ3" s="4"/>
      <c r="ZA3" s="4"/>
      <c r="ZB3" s="4"/>
      <c r="ZC3" s="4"/>
      <c r="ZD3" s="4"/>
      <c r="ZE3" s="4"/>
      <c r="ZF3" s="4"/>
      <c r="ZG3" s="4"/>
      <c r="ZH3" s="4"/>
      <c r="ZI3" s="4"/>
      <c r="ZJ3" s="4"/>
      <c r="ZK3" s="4"/>
      <c r="ZL3" s="4"/>
      <c r="ZM3" s="4"/>
      <c r="ZN3" s="4"/>
      <c r="ZO3" s="4"/>
      <c r="ZP3" s="4"/>
      <c r="ZQ3" s="4"/>
      <c r="ZR3" s="4"/>
      <c r="ZS3" s="4"/>
      <c r="ZT3" s="4"/>
      <c r="ZU3" s="4"/>
      <c r="ZV3" s="4"/>
      <c r="ZW3" s="4"/>
      <c r="ZX3" s="4"/>
      <c r="ZY3" s="4"/>
      <c r="ZZ3" s="4"/>
      <c r="AAA3" s="4"/>
      <c r="AAB3" s="4"/>
      <c r="AAC3" s="4"/>
      <c r="AAD3" s="4"/>
      <c r="AAE3" s="4"/>
      <c r="AAF3" s="4"/>
      <c r="AAG3" s="4"/>
      <c r="AAH3" s="4"/>
      <c r="AAI3" s="4"/>
      <c r="AAJ3" s="4"/>
      <c r="AAK3" s="4"/>
      <c r="AAL3" s="4"/>
      <c r="AAM3" s="4"/>
      <c r="AAN3" s="4"/>
      <c r="AAO3" s="4"/>
      <c r="AAP3" s="4"/>
      <c r="AAQ3" s="4"/>
      <c r="AAR3" s="4"/>
      <c r="AAS3" s="4"/>
      <c r="AAT3" s="4"/>
      <c r="AAU3" s="4"/>
      <c r="AAV3" s="4"/>
      <c r="AAW3" s="4"/>
      <c r="AAX3" s="4"/>
      <c r="AAY3" s="4"/>
      <c r="AAZ3" s="4"/>
      <c r="ABA3" s="4"/>
      <c r="ABB3" s="4"/>
      <c r="ABC3" s="4"/>
      <c r="ABD3" s="4"/>
      <c r="ABE3" s="4"/>
      <c r="ABF3" s="4"/>
      <c r="ABG3" s="4"/>
      <c r="ABH3" s="4"/>
      <c r="ABI3" s="4"/>
      <c r="ABJ3" s="4"/>
      <c r="ABK3" s="4"/>
      <c r="ABL3" s="4"/>
      <c r="ABM3" s="4"/>
      <c r="ABN3" s="4"/>
      <c r="ABO3" s="4"/>
      <c r="ABP3" s="4"/>
      <c r="ABQ3" s="4"/>
      <c r="ABR3" s="4"/>
      <c r="ABS3" s="4"/>
      <c r="ABT3" s="4"/>
      <c r="ABU3" s="4"/>
      <c r="ABV3" s="4"/>
      <c r="ABW3" s="4"/>
      <c r="ABX3" s="4"/>
      <c r="ABY3" s="4"/>
      <c r="ABZ3" s="4"/>
      <c r="ACA3" s="4"/>
      <c r="ACB3" s="4"/>
      <c r="ACC3" s="4"/>
      <c r="ACD3" s="4"/>
      <c r="ACE3" s="4"/>
      <c r="ACF3" s="4"/>
      <c r="ACG3" s="4"/>
      <c r="ACH3" s="4"/>
      <c r="ACI3" s="4"/>
      <c r="ACJ3" s="4"/>
      <c r="ACK3" s="4"/>
      <c r="ACL3" s="4"/>
      <c r="ACM3" s="4"/>
      <c r="ACN3" s="4"/>
      <c r="ACO3" s="4"/>
      <c r="ACP3" s="4"/>
      <c r="ACQ3" s="4"/>
      <c r="ACR3" s="4"/>
      <c r="ACS3" s="4"/>
      <c r="ACT3" s="4"/>
      <c r="ACU3" s="4"/>
      <c r="ACV3" s="4"/>
      <c r="ACW3" s="4"/>
      <c r="ACX3" s="4"/>
      <c r="ACY3" s="4"/>
      <c r="ACZ3" s="4"/>
      <c r="ADA3" s="4"/>
      <c r="ADB3" s="4"/>
      <c r="ADC3" s="4"/>
      <c r="ADD3" s="4"/>
      <c r="ADE3" s="4"/>
      <c r="ADF3" s="4"/>
      <c r="ADG3" s="4"/>
      <c r="ADH3" s="4"/>
      <c r="ADI3" s="4"/>
      <c r="ADJ3" s="4"/>
      <c r="ADK3" s="4"/>
      <c r="ADL3" s="4"/>
      <c r="ADM3" s="4"/>
      <c r="ADN3" s="4"/>
      <c r="ADO3" s="4"/>
      <c r="ADP3" s="4"/>
      <c r="ADQ3" s="4"/>
      <c r="ADR3" s="4"/>
      <c r="ADS3" s="4"/>
      <c r="ADT3" s="4"/>
      <c r="ADU3" s="4"/>
      <c r="ADV3" s="4"/>
      <c r="ADW3" s="4"/>
      <c r="ADX3" s="4"/>
      <c r="ADY3" s="4"/>
      <c r="ADZ3" s="4"/>
      <c r="AEA3" s="4"/>
      <c r="AEB3" s="4"/>
      <c r="AEC3" s="4"/>
      <c r="AED3" s="4"/>
      <c r="AEE3" s="4"/>
      <c r="AEF3" s="4"/>
      <c r="AEG3" s="4"/>
      <c r="AEH3" s="4"/>
      <c r="AEI3" s="4"/>
      <c r="AEJ3" s="4"/>
      <c r="AEK3" s="4"/>
      <c r="AEL3" s="4"/>
      <c r="AEM3" s="4"/>
      <c r="AEN3" s="4"/>
      <c r="AEO3" s="4"/>
      <c r="AEP3" s="4"/>
      <c r="AEQ3" s="4"/>
      <c r="AER3" s="4"/>
      <c r="AES3" s="4"/>
      <c r="AET3" s="4"/>
      <c r="AEU3" s="4"/>
      <c r="AEV3" s="4"/>
      <c r="AEW3" s="4"/>
      <c r="AEX3" s="4"/>
      <c r="AEY3" s="4"/>
      <c r="AEZ3" s="4"/>
      <c r="AFA3" s="4"/>
      <c r="AFB3" s="4"/>
      <c r="AFC3" s="4"/>
      <c r="AFD3" s="4"/>
      <c r="AFE3" s="4"/>
      <c r="AFF3" s="4"/>
      <c r="AFG3" s="4"/>
      <c r="AFH3" s="4"/>
      <c r="AFI3" s="4"/>
      <c r="AFJ3" s="4"/>
      <c r="AFK3" s="4"/>
      <c r="AFL3" s="4"/>
      <c r="AFM3" s="4"/>
      <c r="AFN3" s="4"/>
      <c r="AFO3" s="4"/>
      <c r="AFP3" s="4"/>
      <c r="AFQ3" s="4"/>
      <c r="AFR3" s="4"/>
      <c r="AFS3" s="4"/>
      <c r="AFT3" s="4"/>
      <c r="AFU3" s="4"/>
      <c r="AFV3" s="4"/>
      <c r="AFW3" s="4"/>
      <c r="AFX3" s="4"/>
      <c r="AFY3" s="4"/>
      <c r="AFZ3" s="4"/>
      <c r="AGA3" s="4"/>
      <c r="AGB3" s="4"/>
      <c r="AGC3" s="4"/>
      <c r="AGD3" s="4"/>
      <c r="AGE3" s="4"/>
      <c r="AGF3" s="4"/>
      <c r="AGG3" s="4"/>
      <c r="AGH3" s="4"/>
      <c r="AGI3" s="4"/>
      <c r="AGJ3" s="4"/>
      <c r="AGK3" s="4"/>
      <c r="AGL3" s="4"/>
      <c r="AGM3" s="4"/>
      <c r="AGN3" s="4"/>
      <c r="AGO3" s="4"/>
      <c r="AGP3" s="4"/>
      <c r="AGQ3" s="4"/>
      <c r="AGR3" s="4"/>
      <c r="AGS3" s="4"/>
      <c r="AGT3" s="4"/>
      <c r="AGU3" s="4"/>
      <c r="AGV3" s="4"/>
      <c r="AGW3" s="4"/>
      <c r="AGX3" s="4"/>
      <c r="AGY3" s="4"/>
      <c r="AGZ3" s="4"/>
      <c r="AHA3" s="4"/>
      <c r="AHB3" s="4"/>
      <c r="AHC3" s="4"/>
      <c r="AHD3" s="4"/>
      <c r="AHE3" s="4"/>
      <c r="AHF3" s="4"/>
      <c r="AHG3" s="4"/>
      <c r="AHH3" s="4"/>
      <c r="AHI3" s="4"/>
      <c r="AHJ3" s="4"/>
      <c r="AHK3" s="4"/>
      <c r="AHL3" s="4"/>
      <c r="AHM3" s="4"/>
      <c r="AHN3" s="4"/>
      <c r="AHO3" s="4"/>
      <c r="AHP3" s="4"/>
      <c r="AHQ3" s="4"/>
      <c r="AHR3" s="4"/>
      <c r="AHS3" s="4"/>
      <c r="AHT3" s="4"/>
      <c r="AHU3" s="4"/>
      <c r="AHV3" s="4"/>
      <c r="AHW3" s="4"/>
      <c r="AHX3" s="4"/>
      <c r="AHY3" s="4"/>
      <c r="AHZ3" s="4"/>
      <c r="AIA3" s="4"/>
      <c r="AIB3" s="4"/>
      <c r="AIC3" s="4"/>
      <c r="AID3" s="4"/>
      <c r="AIE3" s="4"/>
      <c r="AIF3" s="4"/>
      <c r="AIG3" s="4"/>
      <c r="AIH3" s="4"/>
      <c r="AII3" s="4"/>
      <c r="AIJ3" s="4"/>
      <c r="AIK3" s="4"/>
      <c r="AIL3" s="4"/>
      <c r="AIM3" s="4"/>
      <c r="AIN3" s="4"/>
      <c r="AIO3" s="4"/>
      <c r="AIP3" s="4"/>
      <c r="AIQ3" s="4"/>
      <c r="AIR3" s="4"/>
      <c r="AIS3" s="4"/>
      <c r="AIT3" s="4"/>
      <c r="AIU3" s="4"/>
      <c r="AIV3" s="4"/>
      <c r="AIW3" s="4"/>
      <c r="AIX3" s="4"/>
      <c r="AIY3" s="4"/>
      <c r="AIZ3" s="4"/>
      <c r="AJA3" s="4"/>
      <c r="AJB3" s="4"/>
      <c r="AJC3" s="4"/>
      <c r="AJD3" s="4"/>
      <c r="AJE3" s="4"/>
      <c r="AJF3" s="4"/>
      <c r="AJG3" s="4"/>
      <c r="AJH3" s="4"/>
      <c r="AJI3" s="4"/>
      <c r="AJJ3" s="4"/>
      <c r="AJK3" s="4"/>
      <c r="AJL3" s="4"/>
      <c r="AJM3" s="4"/>
      <c r="AJN3" s="4"/>
      <c r="AJO3" s="4"/>
      <c r="AJP3" s="4"/>
      <c r="AJQ3" s="4"/>
      <c r="AJR3" s="4"/>
      <c r="AJS3" s="4"/>
      <c r="AJT3" s="4"/>
      <c r="AJU3" s="4"/>
      <c r="AJV3" s="4"/>
      <c r="AJW3" s="4"/>
      <c r="AJX3" s="4"/>
      <c r="AJY3" s="4"/>
      <c r="AJZ3" s="4"/>
      <c r="AKA3" s="4"/>
      <c r="AKB3" s="4"/>
      <c r="AKC3" s="4"/>
      <c r="AKD3" s="4"/>
      <c r="AKE3" s="4"/>
      <c r="AKF3" s="4"/>
      <c r="AKG3" s="4"/>
      <c r="AKH3" s="4"/>
      <c r="AKI3" s="4"/>
      <c r="AKJ3" s="4"/>
      <c r="AKK3" s="4"/>
      <c r="AKL3" s="4"/>
      <c r="AKM3" s="4"/>
      <c r="AKN3" s="4"/>
      <c r="AKO3" s="4"/>
      <c r="AKP3" s="4"/>
      <c r="AKQ3" s="4"/>
      <c r="AKR3" s="4"/>
      <c r="AKS3" s="4"/>
      <c r="AKT3" s="4"/>
      <c r="AKU3" s="4"/>
      <c r="AKV3" s="4"/>
      <c r="AKW3" s="4"/>
      <c r="AKX3" s="4"/>
      <c r="AKY3" s="4"/>
      <c r="AKZ3" s="4"/>
      <c r="ALA3" s="4"/>
      <c r="ALB3" s="4"/>
      <c r="ALC3" s="4"/>
      <c r="ALD3" s="4"/>
      <c r="ALE3" s="4"/>
      <c r="ALF3" s="4"/>
      <c r="ALG3" s="4"/>
      <c r="ALH3" s="4"/>
      <c r="ALI3" s="4"/>
      <c r="ALJ3" s="4"/>
      <c r="ALK3" s="4"/>
      <c r="ALL3" s="4"/>
      <c r="ALM3" s="4"/>
      <c r="ALN3" s="4"/>
      <c r="ALO3" s="4"/>
      <c r="ALP3" s="4"/>
      <c r="ALQ3" s="4"/>
      <c r="ALR3" s="4"/>
      <c r="ALS3" s="4"/>
      <c r="ALT3" s="4"/>
      <c r="ALU3" s="4"/>
      <c r="ALV3" s="4"/>
      <c r="ALW3" s="4"/>
      <c r="ALX3" s="4"/>
      <c r="ALY3" s="4"/>
      <c r="ALZ3" s="4"/>
      <c r="AMA3" s="4"/>
      <c r="AMB3" s="4"/>
      <c r="AMC3" s="4"/>
      <c r="AMD3" s="4"/>
      <c r="AME3" s="4"/>
      <c r="AMF3" s="4"/>
      <c r="AMG3" s="4"/>
      <c r="AMH3" s="4"/>
    </row>
    <row r="4" spans="1:1022">
      <c r="A4" s="4" t="s">
        <v>2073</v>
      </c>
      <c r="B4" s="4" t="s">
        <v>138</v>
      </c>
      <c r="C4" s="4" t="str">
        <f>B4&amp;":"&amp;A4</f>
        <v>att_organism:UP000002311</v>
      </c>
      <c r="D4" s="4" t="s">
        <v>2074</v>
      </c>
      <c r="E4" s="4" t="s">
        <v>2075</v>
      </c>
      <c r="F4" s="4" t="s">
        <v>2076</v>
      </c>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c r="CC4" s="4"/>
      <c r="CD4" s="4"/>
      <c r="CE4" s="4"/>
      <c r="CF4" s="4"/>
      <c r="CG4" s="4"/>
      <c r="CH4" s="4"/>
      <c r="CI4" s="4"/>
      <c r="CJ4" s="4"/>
      <c r="CK4" s="4"/>
      <c r="CL4" s="4"/>
      <c r="CM4" s="4"/>
      <c r="CN4" s="4"/>
      <c r="CO4" s="4"/>
      <c r="CP4" s="4"/>
      <c r="CQ4" s="4"/>
      <c r="CR4" s="4"/>
      <c r="CS4" s="4"/>
      <c r="CT4" s="4"/>
      <c r="CU4" s="4"/>
      <c r="CV4" s="4"/>
      <c r="CW4" s="4"/>
      <c r="CX4" s="4"/>
      <c r="CY4" s="4"/>
      <c r="CZ4" s="4"/>
      <c r="DA4" s="4"/>
      <c r="DB4" s="4"/>
      <c r="DC4" s="4"/>
      <c r="DD4" s="4"/>
      <c r="DE4" s="4"/>
      <c r="DF4" s="4"/>
      <c r="DG4" s="4"/>
      <c r="DH4" s="4"/>
      <c r="DI4" s="4"/>
      <c r="DJ4" s="4"/>
      <c r="DK4" s="4"/>
      <c r="DL4" s="4"/>
      <c r="DM4" s="4"/>
      <c r="DN4" s="4"/>
      <c r="DO4" s="4"/>
      <c r="DP4" s="4"/>
      <c r="DQ4" s="4"/>
      <c r="DR4" s="4"/>
      <c r="DS4" s="4"/>
      <c r="DT4" s="4"/>
      <c r="DU4" s="4"/>
      <c r="DV4" s="4"/>
      <c r="DW4" s="4"/>
      <c r="DX4" s="4"/>
      <c r="DY4" s="4"/>
      <c r="DZ4" s="4"/>
      <c r="EA4" s="4"/>
      <c r="EB4" s="4"/>
      <c r="EC4" s="4"/>
      <c r="ED4" s="4"/>
      <c r="EE4" s="4"/>
      <c r="EF4" s="4"/>
      <c r="EG4" s="4"/>
      <c r="EH4" s="4"/>
      <c r="EI4" s="4"/>
      <c r="EJ4" s="4"/>
      <c r="EK4" s="4"/>
      <c r="EL4" s="4"/>
      <c r="EM4" s="4"/>
      <c r="EN4" s="4"/>
      <c r="EO4" s="4"/>
      <c r="EP4" s="4"/>
      <c r="EQ4" s="4"/>
      <c r="ER4" s="4"/>
      <c r="ES4" s="4"/>
      <c r="ET4" s="4"/>
      <c r="EU4" s="4"/>
      <c r="EV4" s="4"/>
      <c r="EW4" s="4"/>
      <c r="EX4" s="4"/>
      <c r="EY4" s="4"/>
      <c r="EZ4" s="4"/>
      <c r="FA4" s="4"/>
      <c r="FB4" s="4"/>
      <c r="FC4" s="4"/>
      <c r="FD4" s="4"/>
      <c r="FE4" s="4"/>
      <c r="FF4" s="4"/>
      <c r="FG4" s="4"/>
      <c r="FH4" s="4"/>
      <c r="FI4" s="4"/>
      <c r="FJ4" s="4"/>
      <c r="FK4" s="4"/>
      <c r="FL4" s="4"/>
      <c r="FM4" s="4"/>
      <c r="FN4" s="4"/>
      <c r="FO4" s="4"/>
      <c r="FP4" s="4"/>
      <c r="FQ4" s="4"/>
      <c r="FR4" s="4"/>
      <c r="FS4" s="4"/>
      <c r="FT4" s="4"/>
      <c r="FU4" s="4"/>
      <c r="FV4" s="4"/>
      <c r="FW4" s="4"/>
      <c r="FX4" s="4"/>
      <c r="FY4" s="4"/>
      <c r="FZ4" s="4"/>
      <c r="GA4" s="4"/>
      <c r="GB4" s="4"/>
      <c r="GC4" s="4"/>
      <c r="GD4" s="4"/>
      <c r="GE4" s="4"/>
      <c r="GF4" s="4"/>
      <c r="GG4" s="4"/>
      <c r="GH4" s="4"/>
      <c r="GI4" s="4"/>
      <c r="GJ4" s="4"/>
      <c r="GK4" s="4"/>
      <c r="GL4" s="4"/>
      <c r="GM4" s="4"/>
      <c r="GN4" s="4"/>
      <c r="GO4" s="4"/>
      <c r="GP4" s="4"/>
      <c r="GQ4" s="4"/>
      <c r="GR4" s="4"/>
      <c r="GS4" s="4"/>
      <c r="GT4" s="4"/>
      <c r="GU4" s="4"/>
      <c r="GV4" s="4"/>
      <c r="GW4" s="4"/>
      <c r="GX4" s="4"/>
      <c r="GY4" s="4"/>
      <c r="GZ4" s="4"/>
      <c r="HA4" s="4"/>
      <c r="HB4" s="4"/>
      <c r="HC4" s="4"/>
      <c r="HD4" s="4"/>
      <c r="HE4" s="4"/>
      <c r="HF4" s="4"/>
      <c r="HG4" s="4"/>
      <c r="HH4" s="4"/>
      <c r="HI4" s="4"/>
      <c r="HJ4" s="4"/>
      <c r="HK4" s="4"/>
      <c r="HL4" s="4"/>
      <c r="HM4" s="4"/>
      <c r="HN4" s="4"/>
      <c r="HO4" s="4"/>
      <c r="HP4" s="4"/>
      <c r="HQ4" s="4"/>
      <c r="HR4" s="4"/>
      <c r="HS4" s="4"/>
      <c r="HT4" s="4"/>
      <c r="HU4" s="4"/>
      <c r="HV4" s="4"/>
      <c r="HW4" s="4"/>
      <c r="HX4" s="4"/>
      <c r="HY4" s="4"/>
      <c r="HZ4" s="4"/>
      <c r="IA4" s="4"/>
      <c r="IB4" s="4"/>
      <c r="IC4" s="4"/>
      <c r="ID4" s="4"/>
      <c r="IE4" s="4"/>
      <c r="IF4" s="4"/>
      <c r="IG4" s="4"/>
      <c r="IH4" s="4"/>
      <c r="II4" s="4"/>
      <c r="IJ4" s="4"/>
      <c r="IK4" s="4"/>
      <c r="IL4" s="4"/>
      <c r="IM4" s="4"/>
      <c r="IN4" s="4"/>
      <c r="IO4" s="4"/>
      <c r="IP4" s="4"/>
      <c r="IQ4" s="4"/>
      <c r="IR4" s="4"/>
      <c r="IS4" s="4"/>
      <c r="IT4" s="4"/>
      <c r="IU4" s="4"/>
      <c r="IV4" s="4"/>
      <c r="IW4" s="4"/>
      <c r="IX4" s="4"/>
      <c r="IY4" s="4"/>
      <c r="IZ4" s="4"/>
      <c r="JA4" s="4"/>
      <c r="JB4" s="4"/>
      <c r="JC4" s="4"/>
      <c r="JD4" s="4"/>
      <c r="JE4" s="4"/>
      <c r="JF4" s="4"/>
      <c r="JG4" s="4"/>
      <c r="JH4" s="4"/>
      <c r="JI4" s="4"/>
      <c r="JJ4" s="4"/>
      <c r="JK4" s="4"/>
      <c r="JL4" s="4"/>
      <c r="JM4" s="4"/>
      <c r="JN4" s="4"/>
      <c r="JO4" s="4"/>
      <c r="JP4" s="4"/>
      <c r="JQ4" s="4"/>
      <c r="JR4" s="4"/>
      <c r="JS4" s="4"/>
      <c r="JT4" s="4"/>
      <c r="JU4" s="4"/>
      <c r="JV4" s="4"/>
      <c r="JW4" s="4"/>
      <c r="JX4" s="4"/>
      <c r="JY4" s="4"/>
      <c r="JZ4" s="4"/>
      <c r="KA4" s="4"/>
      <c r="KB4" s="4"/>
      <c r="KC4" s="4"/>
      <c r="KD4" s="4"/>
      <c r="KE4" s="4"/>
      <c r="KF4" s="4"/>
      <c r="KG4" s="4"/>
      <c r="KH4" s="4"/>
      <c r="KI4" s="4"/>
      <c r="KJ4" s="4"/>
      <c r="KK4" s="4"/>
      <c r="KL4" s="4"/>
      <c r="KM4" s="4"/>
      <c r="KN4" s="4"/>
      <c r="KO4" s="4"/>
      <c r="KP4" s="4"/>
      <c r="KQ4" s="4"/>
      <c r="KR4" s="4"/>
      <c r="KS4" s="4"/>
      <c r="KT4" s="4"/>
      <c r="KU4" s="4"/>
      <c r="KV4" s="4"/>
      <c r="KW4" s="4"/>
      <c r="KX4" s="4"/>
      <c r="KY4" s="4"/>
      <c r="KZ4" s="4"/>
      <c r="LA4" s="4"/>
      <c r="LB4" s="4"/>
      <c r="LC4" s="4"/>
      <c r="LD4" s="4"/>
      <c r="LE4" s="4"/>
      <c r="LF4" s="4"/>
      <c r="LG4" s="4"/>
      <c r="LH4" s="4"/>
      <c r="LI4" s="4"/>
      <c r="LJ4" s="4"/>
      <c r="LK4" s="4"/>
      <c r="LL4" s="4"/>
      <c r="LM4" s="4"/>
      <c r="LN4" s="4"/>
      <c r="LO4" s="4"/>
      <c r="LP4" s="4"/>
      <c r="LQ4" s="4"/>
      <c r="LR4" s="4"/>
      <c r="LS4" s="4"/>
      <c r="LT4" s="4"/>
      <c r="LU4" s="4"/>
      <c r="LV4" s="4"/>
      <c r="LW4" s="4"/>
      <c r="LX4" s="4"/>
      <c r="LY4" s="4"/>
      <c r="LZ4" s="4"/>
      <c r="MA4" s="4"/>
      <c r="MB4" s="4"/>
      <c r="MC4" s="4"/>
      <c r="MD4" s="4"/>
      <c r="ME4" s="4"/>
      <c r="MF4" s="4"/>
      <c r="MG4" s="4"/>
      <c r="MH4" s="4"/>
      <c r="MI4" s="4"/>
      <c r="MJ4" s="4"/>
      <c r="MK4" s="4"/>
      <c r="ML4" s="4"/>
      <c r="MM4" s="4"/>
      <c r="MN4" s="4"/>
      <c r="MO4" s="4"/>
      <c r="MP4" s="4"/>
      <c r="MQ4" s="4"/>
      <c r="MR4" s="4"/>
      <c r="MS4" s="4"/>
      <c r="MT4" s="4"/>
      <c r="MU4" s="4"/>
      <c r="MV4" s="4"/>
      <c r="MW4" s="4"/>
      <c r="MX4" s="4"/>
      <c r="MY4" s="4"/>
      <c r="MZ4" s="4"/>
      <c r="NA4" s="4"/>
      <c r="NB4" s="4"/>
      <c r="NC4" s="4"/>
      <c r="ND4" s="4"/>
      <c r="NE4" s="4"/>
      <c r="NF4" s="4"/>
      <c r="NG4" s="4"/>
      <c r="NH4" s="4"/>
      <c r="NI4" s="4"/>
      <c r="NJ4" s="4"/>
      <c r="NK4" s="4"/>
      <c r="NL4" s="4"/>
      <c r="NM4" s="4"/>
      <c r="NN4" s="4"/>
      <c r="NO4" s="4"/>
      <c r="NP4" s="4"/>
      <c r="NQ4" s="4"/>
      <c r="NR4" s="4"/>
      <c r="NS4" s="4"/>
      <c r="NT4" s="4"/>
      <c r="NU4" s="4"/>
      <c r="NV4" s="4"/>
      <c r="NW4" s="4"/>
      <c r="NX4" s="4"/>
      <c r="NY4" s="4"/>
      <c r="NZ4" s="4"/>
      <c r="OA4" s="4"/>
      <c r="OB4" s="4"/>
      <c r="OC4" s="4"/>
      <c r="OD4" s="4"/>
      <c r="OE4" s="4"/>
      <c r="OF4" s="4"/>
      <c r="OG4" s="4"/>
      <c r="OH4" s="4"/>
      <c r="OI4" s="4"/>
      <c r="OJ4" s="4"/>
      <c r="OK4" s="4"/>
      <c r="OL4" s="4"/>
      <c r="OM4" s="4"/>
      <c r="ON4" s="4"/>
      <c r="OO4" s="4"/>
      <c r="OP4" s="4"/>
      <c r="OQ4" s="4"/>
      <c r="OR4" s="4"/>
      <c r="OS4" s="4"/>
      <c r="OT4" s="4"/>
      <c r="OU4" s="4"/>
      <c r="OV4" s="4"/>
      <c r="OW4" s="4"/>
      <c r="OX4" s="4"/>
      <c r="OY4" s="4"/>
      <c r="OZ4" s="4"/>
      <c r="PA4" s="4"/>
      <c r="PB4" s="4"/>
      <c r="PC4" s="4"/>
      <c r="PD4" s="4"/>
      <c r="PE4" s="4"/>
      <c r="PF4" s="4"/>
      <c r="PG4" s="4"/>
      <c r="PH4" s="4"/>
      <c r="PI4" s="4"/>
      <c r="PJ4" s="4"/>
      <c r="PK4" s="4"/>
      <c r="PL4" s="4"/>
      <c r="PM4" s="4"/>
      <c r="PN4" s="4"/>
      <c r="PO4" s="4"/>
      <c r="PP4" s="4"/>
      <c r="PQ4" s="4"/>
      <c r="PR4" s="4"/>
      <c r="PS4" s="4"/>
      <c r="PT4" s="4"/>
      <c r="PU4" s="4"/>
      <c r="PV4" s="4"/>
      <c r="PW4" s="4"/>
      <c r="PX4" s="4"/>
      <c r="PY4" s="4"/>
      <c r="PZ4" s="4"/>
      <c r="QA4" s="4"/>
      <c r="QB4" s="4"/>
      <c r="QC4" s="4"/>
      <c r="QD4" s="4"/>
      <c r="QE4" s="4"/>
      <c r="QF4" s="4"/>
      <c r="QG4" s="4"/>
      <c r="QH4" s="4"/>
      <c r="QI4" s="4"/>
      <c r="QJ4" s="4"/>
      <c r="QK4" s="4"/>
      <c r="QL4" s="4"/>
      <c r="QM4" s="4"/>
      <c r="QN4" s="4"/>
      <c r="QO4" s="4"/>
      <c r="QP4" s="4"/>
      <c r="QQ4" s="4"/>
      <c r="QR4" s="4"/>
      <c r="QS4" s="4"/>
      <c r="QT4" s="4"/>
      <c r="QU4" s="4"/>
      <c r="QV4" s="4"/>
      <c r="QW4" s="4"/>
      <c r="QX4" s="4"/>
      <c r="QY4" s="4"/>
      <c r="QZ4" s="4"/>
      <c r="RA4" s="4"/>
      <c r="RB4" s="4"/>
      <c r="RC4" s="4"/>
      <c r="RD4" s="4"/>
      <c r="RE4" s="4"/>
      <c r="RF4" s="4"/>
      <c r="RG4" s="4"/>
      <c r="RH4" s="4"/>
      <c r="RI4" s="4"/>
      <c r="RJ4" s="4"/>
      <c r="RK4" s="4"/>
      <c r="RL4" s="4"/>
      <c r="RM4" s="4"/>
      <c r="RN4" s="4"/>
      <c r="RO4" s="4"/>
      <c r="RP4" s="4"/>
      <c r="RQ4" s="4"/>
      <c r="RR4" s="4"/>
      <c r="RS4" s="4"/>
      <c r="RT4" s="4"/>
      <c r="RU4" s="4"/>
      <c r="RV4" s="4"/>
      <c r="RW4" s="4"/>
      <c r="RX4" s="4"/>
      <c r="RY4" s="4"/>
      <c r="RZ4" s="4"/>
      <c r="SA4" s="4"/>
      <c r="SB4" s="4"/>
      <c r="SC4" s="4"/>
      <c r="SD4" s="4"/>
      <c r="SE4" s="4"/>
      <c r="SF4" s="4"/>
      <c r="SG4" s="4"/>
      <c r="SH4" s="4"/>
      <c r="SI4" s="4"/>
      <c r="SJ4" s="4"/>
      <c r="SK4" s="4"/>
      <c r="SL4" s="4"/>
      <c r="SM4" s="4"/>
      <c r="SN4" s="4"/>
      <c r="SO4" s="4"/>
      <c r="SP4" s="4"/>
      <c r="SQ4" s="4"/>
      <c r="SR4" s="4"/>
      <c r="SS4" s="4"/>
      <c r="ST4" s="4"/>
      <c r="SU4" s="4"/>
      <c r="SV4" s="4"/>
      <c r="SW4" s="4"/>
      <c r="SX4" s="4"/>
      <c r="SY4" s="4"/>
      <c r="SZ4" s="4"/>
      <c r="TA4" s="4"/>
      <c r="TB4" s="4"/>
      <c r="TC4" s="4"/>
      <c r="TD4" s="4"/>
      <c r="TE4" s="4"/>
      <c r="TF4" s="4"/>
      <c r="TG4" s="4"/>
      <c r="TH4" s="4"/>
      <c r="TI4" s="4"/>
      <c r="TJ4" s="4"/>
      <c r="TK4" s="4"/>
      <c r="TL4" s="4"/>
      <c r="TM4" s="4"/>
      <c r="TN4" s="4"/>
      <c r="TO4" s="4"/>
      <c r="TP4" s="4"/>
      <c r="TQ4" s="4"/>
      <c r="TR4" s="4"/>
      <c r="TS4" s="4"/>
      <c r="TT4" s="4"/>
      <c r="TU4" s="4"/>
      <c r="TV4" s="4"/>
      <c r="TW4" s="4"/>
      <c r="TX4" s="4"/>
      <c r="TY4" s="4"/>
      <c r="TZ4" s="4"/>
      <c r="UA4" s="4"/>
      <c r="UB4" s="4"/>
      <c r="UC4" s="4"/>
      <c r="UD4" s="4"/>
      <c r="UE4" s="4"/>
      <c r="UF4" s="4"/>
      <c r="UG4" s="4"/>
      <c r="UH4" s="4"/>
      <c r="UI4" s="4"/>
      <c r="UJ4" s="4"/>
      <c r="UK4" s="4"/>
      <c r="UL4" s="4"/>
      <c r="UM4" s="4"/>
      <c r="UN4" s="4"/>
      <c r="UO4" s="4"/>
      <c r="UP4" s="4"/>
      <c r="UQ4" s="4"/>
      <c r="UR4" s="4"/>
      <c r="US4" s="4"/>
      <c r="UT4" s="4"/>
      <c r="UU4" s="4"/>
      <c r="UV4" s="4"/>
      <c r="UW4" s="4"/>
      <c r="UX4" s="4"/>
      <c r="UY4" s="4"/>
      <c r="UZ4" s="4"/>
      <c r="VA4" s="4"/>
      <c r="VB4" s="4"/>
      <c r="VC4" s="4"/>
      <c r="VD4" s="4"/>
      <c r="VE4" s="4"/>
      <c r="VF4" s="4"/>
      <c r="VG4" s="4"/>
      <c r="VH4" s="4"/>
      <c r="VI4" s="4"/>
      <c r="VJ4" s="4"/>
      <c r="VK4" s="4"/>
      <c r="VL4" s="4"/>
      <c r="VM4" s="4"/>
      <c r="VN4" s="4"/>
      <c r="VO4" s="4"/>
      <c r="VP4" s="4"/>
      <c r="VQ4" s="4"/>
      <c r="VR4" s="4"/>
      <c r="VS4" s="4"/>
      <c r="VT4" s="4"/>
      <c r="VU4" s="4"/>
      <c r="VV4" s="4"/>
      <c r="VW4" s="4"/>
      <c r="VX4" s="4"/>
      <c r="VY4" s="4"/>
      <c r="VZ4" s="4"/>
      <c r="WA4" s="4"/>
      <c r="WB4" s="4"/>
      <c r="WC4" s="4"/>
      <c r="WD4" s="4"/>
      <c r="WE4" s="4"/>
      <c r="WF4" s="4"/>
      <c r="WG4" s="4"/>
      <c r="WH4" s="4"/>
      <c r="WI4" s="4"/>
      <c r="WJ4" s="4"/>
      <c r="WK4" s="4"/>
      <c r="WL4" s="4"/>
      <c r="WM4" s="4"/>
      <c r="WN4" s="4"/>
      <c r="WO4" s="4"/>
      <c r="WP4" s="4"/>
      <c r="WQ4" s="4"/>
      <c r="WR4" s="4"/>
      <c r="WS4" s="4"/>
      <c r="WT4" s="4"/>
      <c r="WU4" s="4"/>
      <c r="WV4" s="4"/>
      <c r="WW4" s="4"/>
      <c r="WX4" s="4"/>
      <c r="WY4" s="4"/>
      <c r="WZ4" s="4"/>
      <c r="XA4" s="4"/>
      <c r="XB4" s="4"/>
      <c r="XC4" s="4"/>
      <c r="XD4" s="4"/>
      <c r="XE4" s="4"/>
      <c r="XF4" s="4"/>
      <c r="XG4" s="4"/>
      <c r="XH4" s="4"/>
      <c r="XI4" s="4"/>
      <c r="XJ4" s="4"/>
      <c r="XK4" s="4"/>
      <c r="XL4" s="4"/>
      <c r="XM4" s="4"/>
      <c r="XN4" s="4"/>
      <c r="XO4" s="4"/>
      <c r="XP4" s="4"/>
      <c r="XQ4" s="4"/>
      <c r="XR4" s="4"/>
      <c r="XS4" s="4"/>
      <c r="XT4" s="4"/>
      <c r="XU4" s="4"/>
      <c r="XV4" s="4"/>
      <c r="XW4" s="4"/>
      <c r="XX4" s="4"/>
      <c r="XY4" s="4"/>
      <c r="XZ4" s="4"/>
      <c r="YA4" s="4"/>
      <c r="YB4" s="4"/>
      <c r="YC4" s="4"/>
      <c r="YD4" s="4"/>
      <c r="YE4" s="4"/>
      <c r="YF4" s="4"/>
      <c r="YG4" s="4"/>
      <c r="YH4" s="4"/>
      <c r="YI4" s="4"/>
      <c r="YJ4" s="4"/>
      <c r="YK4" s="4"/>
      <c r="YL4" s="4"/>
      <c r="YM4" s="4"/>
      <c r="YN4" s="4"/>
      <c r="YO4" s="4"/>
      <c r="YP4" s="4"/>
      <c r="YQ4" s="4"/>
      <c r="YR4" s="4"/>
      <c r="YS4" s="4"/>
      <c r="YT4" s="4"/>
      <c r="YU4" s="4"/>
      <c r="YV4" s="4"/>
      <c r="YW4" s="4"/>
      <c r="YX4" s="4"/>
      <c r="YY4" s="4"/>
      <c r="YZ4" s="4"/>
      <c r="ZA4" s="4"/>
      <c r="ZB4" s="4"/>
      <c r="ZC4" s="4"/>
      <c r="ZD4" s="4"/>
      <c r="ZE4" s="4"/>
      <c r="ZF4" s="4"/>
      <c r="ZG4" s="4"/>
      <c r="ZH4" s="4"/>
      <c r="ZI4" s="4"/>
      <c r="ZJ4" s="4"/>
      <c r="ZK4" s="4"/>
      <c r="ZL4" s="4"/>
      <c r="ZM4" s="4"/>
      <c r="ZN4" s="4"/>
      <c r="ZO4" s="4"/>
      <c r="ZP4" s="4"/>
      <c r="ZQ4" s="4"/>
      <c r="ZR4" s="4"/>
      <c r="ZS4" s="4"/>
      <c r="ZT4" s="4"/>
      <c r="ZU4" s="4"/>
      <c r="ZV4" s="4"/>
      <c r="ZW4" s="4"/>
      <c r="ZX4" s="4"/>
      <c r="ZY4" s="4"/>
      <c r="ZZ4" s="4"/>
      <c r="AAA4" s="4"/>
      <c r="AAB4" s="4"/>
      <c r="AAC4" s="4"/>
      <c r="AAD4" s="4"/>
      <c r="AAE4" s="4"/>
      <c r="AAF4" s="4"/>
      <c r="AAG4" s="4"/>
      <c r="AAH4" s="4"/>
      <c r="AAI4" s="4"/>
      <c r="AAJ4" s="4"/>
      <c r="AAK4" s="4"/>
      <c r="AAL4" s="4"/>
      <c r="AAM4" s="4"/>
      <c r="AAN4" s="4"/>
      <c r="AAO4" s="4"/>
      <c r="AAP4" s="4"/>
      <c r="AAQ4" s="4"/>
      <c r="AAR4" s="4"/>
      <c r="AAS4" s="4"/>
      <c r="AAT4" s="4"/>
      <c r="AAU4" s="4"/>
      <c r="AAV4" s="4"/>
      <c r="AAW4" s="4"/>
      <c r="AAX4" s="4"/>
      <c r="AAY4" s="4"/>
      <c r="AAZ4" s="4"/>
      <c r="ABA4" s="4"/>
      <c r="ABB4" s="4"/>
      <c r="ABC4" s="4"/>
      <c r="ABD4" s="4"/>
      <c r="ABE4" s="4"/>
      <c r="ABF4" s="4"/>
      <c r="ABG4" s="4"/>
      <c r="ABH4" s="4"/>
      <c r="ABI4" s="4"/>
      <c r="ABJ4" s="4"/>
      <c r="ABK4" s="4"/>
      <c r="ABL4" s="4"/>
      <c r="ABM4" s="4"/>
      <c r="ABN4" s="4"/>
      <c r="ABO4" s="4"/>
      <c r="ABP4" s="4"/>
      <c r="ABQ4" s="4"/>
      <c r="ABR4" s="4"/>
      <c r="ABS4" s="4"/>
      <c r="ABT4" s="4"/>
      <c r="ABU4" s="4"/>
      <c r="ABV4" s="4"/>
      <c r="ABW4" s="4"/>
      <c r="ABX4" s="4"/>
      <c r="ABY4" s="4"/>
      <c r="ABZ4" s="4"/>
      <c r="ACA4" s="4"/>
      <c r="ACB4" s="4"/>
      <c r="ACC4" s="4"/>
      <c r="ACD4" s="4"/>
      <c r="ACE4" s="4"/>
      <c r="ACF4" s="4"/>
      <c r="ACG4" s="4"/>
      <c r="ACH4" s="4"/>
      <c r="ACI4" s="4"/>
      <c r="ACJ4" s="4"/>
      <c r="ACK4" s="4"/>
      <c r="ACL4" s="4"/>
      <c r="ACM4" s="4"/>
      <c r="ACN4" s="4"/>
      <c r="ACO4" s="4"/>
      <c r="ACP4" s="4"/>
      <c r="ACQ4" s="4"/>
      <c r="ACR4" s="4"/>
      <c r="ACS4" s="4"/>
      <c r="ACT4" s="4"/>
      <c r="ACU4" s="4"/>
      <c r="ACV4" s="4"/>
      <c r="ACW4" s="4"/>
      <c r="ACX4" s="4"/>
      <c r="ACY4" s="4"/>
      <c r="ACZ4" s="4"/>
      <c r="ADA4" s="4"/>
      <c r="ADB4" s="4"/>
      <c r="ADC4" s="4"/>
      <c r="ADD4" s="4"/>
      <c r="ADE4" s="4"/>
      <c r="ADF4" s="4"/>
      <c r="ADG4" s="4"/>
      <c r="ADH4" s="4"/>
      <c r="ADI4" s="4"/>
      <c r="ADJ4" s="4"/>
      <c r="ADK4" s="4"/>
      <c r="ADL4" s="4"/>
      <c r="ADM4" s="4"/>
      <c r="ADN4" s="4"/>
      <c r="ADO4" s="4"/>
      <c r="ADP4" s="4"/>
      <c r="ADQ4" s="4"/>
      <c r="ADR4" s="4"/>
      <c r="ADS4" s="4"/>
      <c r="ADT4" s="4"/>
      <c r="ADU4" s="4"/>
      <c r="ADV4" s="4"/>
      <c r="ADW4" s="4"/>
      <c r="ADX4" s="4"/>
      <c r="ADY4" s="4"/>
      <c r="ADZ4" s="4"/>
      <c r="AEA4" s="4"/>
      <c r="AEB4" s="4"/>
      <c r="AEC4" s="4"/>
      <c r="AED4" s="4"/>
      <c r="AEE4" s="4"/>
      <c r="AEF4" s="4"/>
      <c r="AEG4" s="4"/>
      <c r="AEH4" s="4"/>
      <c r="AEI4" s="4"/>
      <c r="AEJ4" s="4"/>
      <c r="AEK4" s="4"/>
      <c r="AEL4" s="4"/>
      <c r="AEM4" s="4"/>
      <c r="AEN4" s="4"/>
      <c r="AEO4" s="4"/>
      <c r="AEP4" s="4"/>
      <c r="AEQ4" s="4"/>
      <c r="AER4" s="4"/>
      <c r="AES4" s="4"/>
      <c r="AET4" s="4"/>
      <c r="AEU4" s="4"/>
      <c r="AEV4" s="4"/>
      <c r="AEW4" s="4"/>
      <c r="AEX4" s="4"/>
      <c r="AEY4" s="4"/>
      <c r="AEZ4" s="4"/>
      <c r="AFA4" s="4"/>
      <c r="AFB4" s="4"/>
      <c r="AFC4" s="4"/>
      <c r="AFD4" s="4"/>
      <c r="AFE4" s="4"/>
      <c r="AFF4" s="4"/>
      <c r="AFG4" s="4"/>
      <c r="AFH4" s="4"/>
      <c r="AFI4" s="4"/>
      <c r="AFJ4" s="4"/>
      <c r="AFK4" s="4"/>
      <c r="AFL4" s="4"/>
      <c r="AFM4" s="4"/>
      <c r="AFN4" s="4"/>
      <c r="AFO4" s="4"/>
      <c r="AFP4" s="4"/>
      <c r="AFQ4" s="4"/>
      <c r="AFR4" s="4"/>
      <c r="AFS4" s="4"/>
      <c r="AFT4" s="4"/>
      <c r="AFU4" s="4"/>
      <c r="AFV4" s="4"/>
      <c r="AFW4" s="4"/>
      <c r="AFX4" s="4"/>
      <c r="AFY4" s="4"/>
      <c r="AFZ4" s="4"/>
      <c r="AGA4" s="4"/>
      <c r="AGB4" s="4"/>
      <c r="AGC4" s="4"/>
      <c r="AGD4" s="4"/>
      <c r="AGE4" s="4"/>
      <c r="AGF4" s="4"/>
      <c r="AGG4" s="4"/>
      <c r="AGH4" s="4"/>
      <c r="AGI4" s="4"/>
      <c r="AGJ4" s="4"/>
      <c r="AGK4" s="4"/>
      <c r="AGL4" s="4"/>
      <c r="AGM4" s="4"/>
      <c r="AGN4" s="4"/>
      <c r="AGO4" s="4"/>
      <c r="AGP4" s="4"/>
      <c r="AGQ4" s="4"/>
      <c r="AGR4" s="4"/>
      <c r="AGS4" s="4"/>
      <c r="AGT4" s="4"/>
      <c r="AGU4" s="4"/>
      <c r="AGV4" s="4"/>
      <c r="AGW4" s="4"/>
      <c r="AGX4" s="4"/>
      <c r="AGY4" s="4"/>
      <c r="AGZ4" s="4"/>
      <c r="AHA4" s="4"/>
      <c r="AHB4" s="4"/>
      <c r="AHC4" s="4"/>
      <c r="AHD4" s="4"/>
      <c r="AHE4" s="4"/>
      <c r="AHF4" s="4"/>
      <c r="AHG4" s="4"/>
      <c r="AHH4" s="4"/>
      <c r="AHI4" s="4"/>
      <c r="AHJ4" s="4"/>
      <c r="AHK4" s="4"/>
      <c r="AHL4" s="4"/>
      <c r="AHM4" s="4"/>
      <c r="AHN4" s="4"/>
      <c r="AHO4" s="4"/>
      <c r="AHP4" s="4"/>
      <c r="AHQ4" s="4"/>
      <c r="AHR4" s="4"/>
      <c r="AHS4" s="4"/>
      <c r="AHT4" s="4"/>
      <c r="AHU4" s="4"/>
      <c r="AHV4" s="4"/>
      <c r="AHW4" s="4"/>
      <c r="AHX4" s="4"/>
      <c r="AHY4" s="4"/>
      <c r="AHZ4" s="4"/>
      <c r="AIA4" s="4"/>
      <c r="AIB4" s="4"/>
      <c r="AIC4" s="4"/>
      <c r="AID4" s="4"/>
      <c r="AIE4" s="4"/>
      <c r="AIF4" s="4"/>
      <c r="AIG4" s="4"/>
      <c r="AIH4" s="4"/>
      <c r="AII4" s="4"/>
      <c r="AIJ4" s="4"/>
      <c r="AIK4" s="4"/>
      <c r="AIL4" s="4"/>
      <c r="AIM4" s="4"/>
      <c r="AIN4" s="4"/>
      <c r="AIO4" s="4"/>
      <c r="AIP4" s="4"/>
      <c r="AIQ4" s="4"/>
      <c r="AIR4" s="4"/>
      <c r="AIS4" s="4"/>
      <c r="AIT4" s="4"/>
      <c r="AIU4" s="4"/>
      <c r="AIV4" s="4"/>
      <c r="AIW4" s="4"/>
      <c r="AIX4" s="4"/>
      <c r="AIY4" s="4"/>
      <c r="AIZ4" s="4"/>
      <c r="AJA4" s="4"/>
      <c r="AJB4" s="4"/>
      <c r="AJC4" s="4"/>
      <c r="AJD4" s="4"/>
      <c r="AJE4" s="4"/>
      <c r="AJF4" s="4"/>
      <c r="AJG4" s="4"/>
      <c r="AJH4" s="4"/>
      <c r="AJI4" s="4"/>
      <c r="AJJ4" s="4"/>
      <c r="AJK4" s="4"/>
      <c r="AJL4" s="4"/>
      <c r="AJM4" s="4"/>
      <c r="AJN4" s="4"/>
      <c r="AJO4" s="4"/>
      <c r="AJP4" s="4"/>
      <c r="AJQ4" s="4"/>
      <c r="AJR4" s="4"/>
      <c r="AJS4" s="4"/>
      <c r="AJT4" s="4"/>
      <c r="AJU4" s="4"/>
      <c r="AJV4" s="4"/>
      <c r="AJW4" s="4"/>
      <c r="AJX4" s="4"/>
      <c r="AJY4" s="4"/>
      <c r="AJZ4" s="4"/>
      <c r="AKA4" s="4"/>
      <c r="AKB4" s="4"/>
      <c r="AKC4" s="4"/>
      <c r="AKD4" s="4"/>
      <c r="AKE4" s="4"/>
      <c r="AKF4" s="4"/>
      <c r="AKG4" s="4"/>
      <c r="AKH4" s="4"/>
      <c r="AKI4" s="4"/>
      <c r="AKJ4" s="4"/>
      <c r="AKK4" s="4"/>
      <c r="AKL4" s="4"/>
      <c r="AKM4" s="4"/>
      <c r="AKN4" s="4"/>
      <c r="AKO4" s="4"/>
      <c r="AKP4" s="4"/>
      <c r="AKQ4" s="4"/>
      <c r="AKR4" s="4"/>
      <c r="AKS4" s="4"/>
      <c r="AKT4" s="4"/>
      <c r="AKU4" s="4"/>
      <c r="AKV4" s="4"/>
      <c r="AKW4" s="4"/>
      <c r="AKX4" s="4"/>
      <c r="AKY4" s="4"/>
      <c r="AKZ4" s="4"/>
      <c r="ALA4" s="4"/>
      <c r="ALB4" s="4"/>
      <c r="ALC4" s="4"/>
      <c r="ALD4" s="4"/>
      <c r="ALE4" s="4"/>
      <c r="ALF4" s="4"/>
      <c r="ALG4" s="4"/>
      <c r="ALH4" s="4"/>
      <c r="ALI4" s="4"/>
      <c r="ALJ4" s="4"/>
      <c r="ALK4" s="4"/>
      <c r="ALL4" s="4"/>
      <c r="ALM4" s="4"/>
      <c r="ALN4" s="4"/>
      <c r="ALO4" s="4"/>
      <c r="ALP4" s="4"/>
      <c r="ALQ4" s="4"/>
      <c r="ALR4" s="4"/>
      <c r="ALS4" s="4"/>
      <c r="ALT4" s="4"/>
      <c r="ALU4" s="4"/>
      <c r="ALV4" s="4"/>
      <c r="ALW4" s="4"/>
      <c r="ALX4" s="4"/>
      <c r="ALY4" s="4"/>
      <c r="ALZ4" s="4"/>
      <c r="AMA4" s="4"/>
      <c r="AMB4" s="4"/>
      <c r="AMC4" s="4"/>
      <c r="AMD4" s="4"/>
      <c r="AME4" s="4"/>
      <c r="AMF4" s="4"/>
      <c r="AMG4" s="4"/>
      <c r="AMH4" s="4"/>
    </row>
    <row r="5" spans="1:1022">
      <c r="A5" s="4" t="s">
        <v>2077</v>
      </c>
      <c r="B5" s="4" t="s">
        <v>138</v>
      </c>
      <c r="C5" s="4" t="str">
        <f>B5&amp;":"&amp;A5</f>
        <v>att_organism:UP000002494</v>
      </c>
      <c r="D5" s="4" t="s">
        <v>2078</v>
      </c>
      <c r="E5" s="4" t="s">
        <v>2079</v>
      </c>
      <c r="F5" s="4" t="s">
        <v>2080</v>
      </c>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c r="BL5" s="4"/>
      <c r="BM5" s="4"/>
      <c r="BN5" s="4"/>
      <c r="BO5" s="4"/>
      <c r="BP5" s="4"/>
      <c r="BQ5" s="4"/>
      <c r="BR5" s="4"/>
      <c r="BS5" s="4"/>
      <c r="BT5" s="4"/>
      <c r="BU5" s="4"/>
      <c r="BV5" s="4"/>
      <c r="BW5" s="4"/>
      <c r="BX5" s="4"/>
      <c r="BY5" s="4"/>
      <c r="BZ5" s="4"/>
      <c r="CA5" s="4"/>
      <c r="CB5" s="4"/>
      <c r="CC5" s="4"/>
      <c r="CD5" s="4"/>
      <c r="CE5" s="4"/>
      <c r="CF5" s="4"/>
      <c r="CG5" s="4"/>
      <c r="CH5" s="4"/>
      <c r="CI5" s="4"/>
      <c r="CJ5" s="4"/>
      <c r="CK5" s="4"/>
      <c r="CL5" s="4"/>
      <c r="CM5" s="4"/>
      <c r="CN5" s="4"/>
      <c r="CO5" s="4"/>
      <c r="CP5" s="4"/>
      <c r="CQ5" s="4"/>
      <c r="CR5" s="4"/>
      <c r="CS5" s="4"/>
      <c r="CT5" s="4"/>
      <c r="CU5" s="4"/>
      <c r="CV5" s="4"/>
      <c r="CW5" s="4"/>
      <c r="CX5" s="4"/>
      <c r="CY5" s="4"/>
      <c r="CZ5" s="4"/>
      <c r="DA5" s="4"/>
      <c r="DB5" s="4"/>
      <c r="DC5" s="4"/>
      <c r="DD5" s="4"/>
      <c r="DE5" s="4"/>
      <c r="DF5" s="4"/>
      <c r="DG5" s="4"/>
      <c r="DH5" s="4"/>
      <c r="DI5" s="4"/>
      <c r="DJ5" s="4"/>
      <c r="DK5" s="4"/>
      <c r="DL5" s="4"/>
      <c r="DM5" s="4"/>
      <c r="DN5" s="4"/>
      <c r="DO5" s="4"/>
      <c r="DP5" s="4"/>
      <c r="DQ5" s="4"/>
      <c r="DR5" s="4"/>
      <c r="DS5" s="4"/>
      <c r="DT5" s="4"/>
      <c r="DU5" s="4"/>
      <c r="DV5" s="4"/>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c r="EY5" s="4"/>
      <c r="EZ5" s="4"/>
      <c r="FA5" s="4"/>
      <c r="FB5" s="4"/>
      <c r="FC5" s="4"/>
      <c r="FD5" s="4"/>
      <c r="FE5" s="4"/>
      <c r="FF5" s="4"/>
      <c r="FG5" s="4"/>
      <c r="FH5" s="4"/>
      <c r="FI5" s="4"/>
      <c r="FJ5" s="4"/>
      <c r="FK5" s="4"/>
      <c r="FL5" s="4"/>
      <c r="FM5" s="4"/>
      <c r="FN5" s="4"/>
      <c r="FO5" s="4"/>
      <c r="FP5" s="4"/>
      <c r="FQ5" s="4"/>
      <c r="FR5" s="4"/>
      <c r="FS5" s="4"/>
      <c r="FT5" s="4"/>
      <c r="FU5" s="4"/>
      <c r="FV5" s="4"/>
      <c r="FW5" s="4"/>
      <c r="FX5" s="4"/>
      <c r="FY5" s="4"/>
      <c r="FZ5" s="4"/>
      <c r="GA5" s="4"/>
      <c r="GB5" s="4"/>
      <c r="GC5" s="4"/>
      <c r="GD5" s="4"/>
      <c r="GE5" s="4"/>
      <c r="GF5" s="4"/>
      <c r="GG5" s="4"/>
      <c r="GH5" s="4"/>
      <c r="GI5" s="4"/>
      <c r="GJ5" s="4"/>
      <c r="GK5" s="4"/>
      <c r="GL5" s="4"/>
      <c r="GM5" s="4"/>
      <c r="GN5" s="4"/>
      <c r="GO5" s="4"/>
      <c r="GP5" s="4"/>
      <c r="GQ5" s="4"/>
      <c r="GR5" s="4"/>
      <c r="GS5" s="4"/>
      <c r="GT5" s="4"/>
      <c r="GU5" s="4"/>
      <c r="GV5" s="4"/>
      <c r="GW5" s="4"/>
      <c r="GX5" s="4"/>
      <c r="GY5" s="4"/>
      <c r="GZ5" s="4"/>
      <c r="HA5" s="4"/>
      <c r="HB5" s="4"/>
      <c r="HC5" s="4"/>
      <c r="HD5" s="4"/>
      <c r="HE5" s="4"/>
      <c r="HF5" s="4"/>
      <c r="HG5" s="4"/>
      <c r="HH5" s="4"/>
      <c r="HI5" s="4"/>
      <c r="HJ5" s="4"/>
      <c r="HK5" s="4"/>
      <c r="HL5" s="4"/>
      <c r="HM5" s="4"/>
      <c r="HN5" s="4"/>
      <c r="HO5" s="4"/>
      <c r="HP5" s="4"/>
      <c r="HQ5" s="4"/>
      <c r="HR5" s="4"/>
      <c r="HS5" s="4"/>
      <c r="HT5" s="4"/>
      <c r="HU5" s="4"/>
      <c r="HV5" s="4"/>
      <c r="HW5" s="4"/>
      <c r="HX5" s="4"/>
      <c r="HY5" s="4"/>
      <c r="HZ5" s="4"/>
      <c r="IA5" s="4"/>
      <c r="IB5" s="4"/>
      <c r="IC5" s="4"/>
      <c r="ID5" s="4"/>
      <c r="IE5" s="4"/>
      <c r="IF5" s="4"/>
      <c r="IG5" s="4"/>
      <c r="IH5" s="4"/>
      <c r="II5" s="4"/>
      <c r="IJ5" s="4"/>
      <c r="IK5" s="4"/>
      <c r="IL5" s="4"/>
      <c r="IM5" s="4"/>
      <c r="IN5" s="4"/>
      <c r="IO5" s="4"/>
      <c r="IP5" s="4"/>
      <c r="IQ5" s="4"/>
      <c r="IR5" s="4"/>
      <c r="IS5" s="4"/>
      <c r="IT5" s="4"/>
      <c r="IU5" s="4"/>
      <c r="IV5" s="4"/>
      <c r="IW5" s="4"/>
      <c r="IX5" s="4"/>
      <c r="IY5" s="4"/>
      <c r="IZ5" s="4"/>
      <c r="JA5" s="4"/>
      <c r="JB5" s="4"/>
      <c r="JC5" s="4"/>
      <c r="JD5" s="4"/>
      <c r="JE5" s="4"/>
      <c r="JF5" s="4"/>
      <c r="JG5" s="4"/>
      <c r="JH5" s="4"/>
      <c r="JI5" s="4"/>
      <c r="JJ5" s="4"/>
      <c r="JK5" s="4"/>
      <c r="JL5" s="4"/>
      <c r="JM5" s="4"/>
      <c r="JN5" s="4"/>
      <c r="JO5" s="4"/>
      <c r="JP5" s="4"/>
      <c r="JQ5" s="4"/>
      <c r="JR5" s="4"/>
      <c r="JS5" s="4"/>
      <c r="JT5" s="4"/>
      <c r="JU5" s="4"/>
      <c r="JV5" s="4"/>
      <c r="JW5" s="4"/>
      <c r="JX5" s="4"/>
      <c r="JY5" s="4"/>
      <c r="JZ5" s="4"/>
      <c r="KA5" s="4"/>
      <c r="KB5" s="4"/>
      <c r="KC5" s="4"/>
      <c r="KD5" s="4"/>
      <c r="KE5" s="4"/>
      <c r="KF5" s="4"/>
      <c r="KG5" s="4"/>
      <c r="KH5" s="4"/>
      <c r="KI5" s="4"/>
      <c r="KJ5" s="4"/>
      <c r="KK5" s="4"/>
      <c r="KL5" s="4"/>
      <c r="KM5" s="4"/>
      <c r="KN5" s="4"/>
      <c r="KO5" s="4"/>
      <c r="KP5" s="4"/>
      <c r="KQ5" s="4"/>
      <c r="KR5" s="4"/>
      <c r="KS5" s="4"/>
      <c r="KT5" s="4"/>
      <c r="KU5" s="4"/>
      <c r="KV5" s="4"/>
      <c r="KW5" s="4"/>
      <c r="KX5" s="4"/>
      <c r="KY5" s="4"/>
      <c r="KZ5" s="4"/>
      <c r="LA5" s="4"/>
      <c r="LB5" s="4"/>
      <c r="LC5" s="4"/>
      <c r="LD5" s="4"/>
      <c r="LE5" s="4"/>
      <c r="LF5" s="4"/>
      <c r="LG5" s="4"/>
      <c r="LH5" s="4"/>
      <c r="LI5" s="4"/>
      <c r="LJ5" s="4"/>
      <c r="LK5" s="4"/>
      <c r="LL5" s="4"/>
      <c r="LM5" s="4"/>
      <c r="LN5" s="4"/>
      <c r="LO5" s="4"/>
      <c r="LP5" s="4"/>
      <c r="LQ5" s="4"/>
      <c r="LR5" s="4"/>
      <c r="LS5" s="4"/>
      <c r="LT5" s="4"/>
      <c r="LU5" s="4"/>
      <c r="LV5" s="4"/>
      <c r="LW5" s="4"/>
      <c r="LX5" s="4"/>
      <c r="LY5" s="4"/>
      <c r="LZ5" s="4"/>
      <c r="MA5" s="4"/>
      <c r="MB5" s="4"/>
      <c r="MC5" s="4"/>
      <c r="MD5" s="4"/>
      <c r="ME5" s="4"/>
      <c r="MF5" s="4"/>
      <c r="MG5" s="4"/>
      <c r="MH5" s="4"/>
      <c r="MI5" s="4"/>
      <c r="MJ5" s="4"/>
      <c r="MK5" s="4"/>
      <c r="ML5" s="4"/>
      <c r="MM5" s="4"/>
      <c r="MN5" s="4"/>
      <c r="MO5" s="4"/>
      <c r="MP5" s="4"/>
      <c r="MQ5" s="4"/>
      <c r="MR5" s="4"/>
      <c r="MS5" s="4"/>
      <c r="MT5" s="4"/>
      <c r="MU5" s="4"/>
      <c r="MV5" s="4"/>
      <c r="MW5" s="4"/>
      <c r="MX5" s="4"/>
      <c r="MY5" s="4"/>
      <c r="MZ5" s="4"/>
      <c r="NA5" s="4"/>
      <c r="NB5" s="4"/>
      <c r="NC5" s="4"/>
      <c r="ND5" s="4"/>
      <c r="NE5" s="4"/>
      <c r="NF5" s="4"/>
      <c r="NG5" s="4"/>
      <c r="NH5" s="4"/>
      <c r="NI5" s="4"/>
      <c r="NJ5" s="4"/>
      <c r="NK5" s="4"/>
      <c r="NL5" s="4"/>
      <c r="NM5" s="4"/>
      <c r="NN5" s="4"/>
      <c r="NO5" s="4"/>
      <c r="NP5" s="4"/>
      <c r="NQ5" s="4"/>
      <c r="NR5" s="4"/>
      <c r="NS5" s="4"/>
      <c r="NT5" s="4"/>
      <c r="NU5" s="4"/>
      <c r="NV5" s="4"/>
      <c r="NW5" s="4"/>
      <c r="NX5" s="4"/>
      <c r="NY5" s="4"/>
      <c r="NZ5" s="4"/>
      <c r="OA5" s="4"/>
      <c r="OB5" s="4"/>
      <c r="OC5" s="4"/>
      <c r="OD5" s="4"/>
      <c r="OE5" s="4"/>
      <c r="OF5" s="4"/>
      <c r="OG5" s="4"/>
      <c r="OH5" s="4"/>
      <c r="OI5" s="4"/>
      <c r="OJ5" s="4"/>
      <c r="OK5" s="4"/>
      <c r="OL5" s="4"/>
      <c r="OM5" s="4"/>
      <c r="ON5" s="4"/>
      <c r="OO5" s="4"/>
      <c r="OP5" s="4"/>
      <c r="OQ5" s="4"/>
      <c r="OR5" s="4"/>
      <c r="OS5" s="4"/>
      <c r="OT5" s="4"/>
      <c r="OU5" s="4"/>
      <c r="OV5" s="4"/>
      <c r="OW5" s="4"/>
      <c r="OX5" s="4"/>
      <c r="OY5" s="4"/>
      <c r="OZ5" s="4"/>
      <c r="PA5" s="4"/>
      <c r="PB5" s="4"/>
      <c r="PC5" s="4"/>
      <c r="PD5" s="4"/>
      <c r="PE5" s="4"/>
      <c r="PF5" s="4"/>
      <c r="PG5" s="4"/>
      <c r="PH5" s="4"/>
      <c r="PI5" s="4"/>
      <c r="PJ5" s="4"/>
      <c r="PK5" s="4"/>
      <c r="PL5" s="4"/>
      <c r="PM5" s="4"/>
      <c r="PN5" s="4"/>
      <c r="PO5" s="4"/>
      <c r="PP5" s="4"/>
      <c r="PQ5" s="4"/>
      <c r="PR5" s="4"/>
      <c r="PS5" s="4"/>
      <c r="PT5" s="4"/>
      <c r="PU5" s="4"/>
      <c r="PV5" s="4"/>
      <c r="PW5" s="4"/>
      <c r="PX5" s="4"/>
      <c r="PY5" s="4"/>
      <c r="PZ5" s="4"/>
      <c r="QA5" s="4"/>
      <c r="QB5" s="4"/>
      <c r="QC5" s="4"/>
      <c r="QD5" s="4"/>
      <c r="QE5" s="4"/>
      <c r="QF5" s="4"/>
      <c r="QG5" s="4"/>
      <c r="QH5" s="4"/>
      <c r="QI5" s="4"/>
      <c r="QJ5" s="4"/>
      <c r="QK5" s="4"/>
      <c r="QL5" s="4"/>
      <c r="QM5" s="4"/>
      <c r="QN5" s="4"/>
      <c r="QO5" s="4"/>
      <c r="QP5" s="4"/>
      <c r="QQ5" s="4"/>
      <c r="QR5" s="4"/>
      <c r="QS5" s="4"/>
      <c r="QT5" s="4"/>
      <c r="QU5" s="4"/>
      <c r="QV5" s="4"/>
      <c r="QW5" s="4"/>
      <c r="QX5" s="4"/>
      <c r="QY5" s="4"/>
      <c r="QZ5" s="4"/>
      <c r="RA5" s="4"/>
      <c r="RB5" s="4"/>
      <c r="RC5" s="4"/>
      <c r="RD5" s="4"/>
      <c r="RE5" s="4"/>
      <c r="RF5" s="4"/>
      <c r="RG5" s="4"/>
      <c r="RH5" s="4"/>
      <c r="RI5" s="4"/>
      <c r="RJ5" s="4"/>
      <c r="RK5" s="4"/>
      <c r="RL5" s="4"/>
      <c r="RM5" s="4"/>
      <c r="RN5" s="4"/>
      <c r="RO5" s="4"/>
      <c r="RP5" s="4"/>
      <c r="RQ5" s="4"/>
      <c r="RR5" s="4"/>
      <c r="RS5" s="4"/>
      <c r="RT5" s="4"/>
      <c r="RU5" s="4"/>
      <c r="RV5" s="4"/>
      <c r="RW5" s="4"/>
      <c r="RX5" s="4"/>
      <c r="RY5" s="4"/>
      <c r="RZ5" s="4"/>
      <c r="SA5" s="4"/>
      <c r="SB5" s="4"/>
      <c r="SC5" s="4"/>
      <c r="SD5" s="4"/>
      <c r="SE5" s="4"/>
      <c r="SF5" s="4"/>
      <c r="SG5" s="4"/>
      <c r="SH5" s="4"/>
      <c r="SI5" s="4"/>
      <c r="SJ5" s="4"/>
      <c r="SK5" s="4"/>
      <c r="SL5" s="4"/>
      <c r="SM5" s="4"/>
      <c r="SN5" s="4"/>
      <c r="SO5" s="4"/>
      <c r="SP5" s="4"/>
      <c r="SQ5" s="4"/>
      <c r="SR5" s="4"/>
      <c r="SS5" s="4"/>
      <c r="ST5" s="4"/>
      <c r="SU5" s="4"/>
      <c r="SV5" s="4"/>
      <c r="SW5" s="4"/>
      <c r="SX5" s="4"/>
      <c r="SY5" s="4"/>
      <c r="SZ5" s="4"/>
      <c r="TA5" s="4"/>
      <c r="TB5" s="4"/>
      <c r="TC5" s="4"/>
      <c r="TD5" s="4"/>
      <c r="TE5" s="4"/>
      <c r="TF5" s="4"/>
      <c r="TG5" s="4"/>
      <c r="TH5" s="4"/>
      <c r="TI5" s="4"/>
      <c r="TJ5" s="4"/>
      <c r="TK5" s="4"/>
      <c r="TL5" s="4"/>
      <c r="TM5" s="4"/>
      <c r="TN5" s="4"/>
      <c r="TO5" s="4"/>
      <c r="TP5" s="4"/>
      <c r="TQ5" s="4"/>
      <c r="TR5" s="4"/>
      <c r="TS5" s="4"/>
      <c r="TT5" s="4"/>
      <c r="TU5" s="4"/>
      <c r="TV5" s="4"/>
      <c r="TW5" s="4"/>
      <c r="TX5" s="4"/>
      <c r="TY5" s="4"/>
      <c r="TZ5" s="4"/>
      <c r="UA5" s="4"/>
      <c r="UB5" s="4"/>
      <c r="UC5" s="4"/>
      <c r="UD5" s="4"/>
      <c r="UE5" s="4"/>
      <c r="UF5" s="4"/>
      <c r="UG5" s="4"/>
      <c r="UH5" s="4"/>
      <c r="UI5" s="4"/>
      <c r="UJ5" s="4"/>
      <c r="UK5" s="4"/>
      <c r="UL5" s="4"/>
      <c r="UM5" s="4"/>
      <c r="UN5" s="4"/>
      <c r="UO5" s="4"/>
      <c r="UP5" s="4"/>
      <c r="UQ5" s="4"/>
      <c r="UR5" s="4"/>
      <c r="US5" s="4"/>
      <c r="UT5" s="4"/>
      <c r="UU5" s="4"/>
      <c r="UV5" s="4"/>
      <c r="UW5" s="4"/>
      <c r="UX5" s="4"/>
      <c r="UY5" s="4"/>
      <c r="UZ5" s="4"/>
      <c r="VA5" s="4"/>
      <c r="VB5" s="4"/>
      <c r="VC5" s="4"/>
      <c r="VD5" s="4"/>
      <c r="VE5" s="4"/>
      <c r="VF5" s="4"/>
      <c r="VG5" s="4"/>
      <c r="VH5" s="4"/>
      <c r="VI5" s="4"/>
      <c r="VJ5" s="4"/>
      <c r="VK5" s="4"/>
      <c r="VL5" s="4"/>
      <c r="VM5" s="4"/>
      <c r="VN5" s="4"/>
      <c r="VO5" s="4"/>
      <c r="VP5" s="4"/>
      <c r="VQ5" s="4"/>
      <c r="VR5" s="4"/>
      <c r="VS5" s="4"/>
      <c r="VT5" s="4"/>
      <c r="VU5" s="4"/>
      <c r="VV5" s="4"/>
      <c r="VW5" s="4"/>
      <c r="VX5" s="4"/>
      <c r="VY5" s="4"/>
      <c r="VZ5" s="4"/>
      <c r="WA5" s="4"/>
      <c r="WB5" s="4"/>
      <c r="WC5" s="4"/>
      <c r="WD5" s="4"/>
      <c r="WE5" s="4"/>
      <c r="WF5" s="4"/>
      <c r="WG5" s="4"/>
      <c r="WH5" s="4"/>
      <c r="WI5" s="4"/>
      <c r="WJ5" s="4"/>
      <c r="WK5" s="4"/>
      <c r="WL5" s="4"/>
      <c r="WM5" s="4"/>
      <c r="WN5" s="4"/>
      <c r="WO5" s="4"/>
      <c r="WP5" s="4"/>
      <c r="WQ5" s="4"/>
      <c r="WR5" s="4"/>
      <c r="WS5" s="4"/>
      <c r="WT5" s="4"/>
      <c r="WU5" s="4"/>
      <c r="WV5" s="4"/>
      <c r="WW5" s="4"/>
      <c r="WX5" s="4"/>
      <c r="WY5" s="4"/>
      <c r="WZ5" s="4"/>
      <c r="XA5" s="4"/>
      <c r="XB5" s="4"/>
      <c r="XC5" s="4"/>
      <c r="XD5" s="4"/>
      <c r="XE5" s="4"/>
      <c r="XF5" s="4"/>
      <c r="XG5" s="4"/>
      <c r="XH5" s="4"/>
      <c r="XI5" s="4"/>
      <c r="XJ5" s="4"/>
      <c r="XK5" s="4"/>
      <c r="XL5" s="4"/>
      <c r="XM5" s="4"/>
      <c r="XN5" s="4"/>
      <c r="XO5" s="4"/>
      <c r="XP5" s="4"/>
      <c r="XQ5" s="4"/>
      <c r="XR5" s="4"/>
      <c r="XS5" s="4"/>
      <c r="XT5" s="4"/>
      <c r="XU5" s="4"/>
      <c r="XV5" s="4"/>
      <c r="XW5" s="4"/>
      <c r="XX5" s="4"/>
      <c r="XY5" s="4"/>
      <c r="XZ5" s="4"/>
      <c r="YA5" s="4"/>
      <c r="YB5" s="4"/>
      <c r="YC5" s="4"/>
      <c r="YD5" s="4"/>
      <c r="YE5" s="4"/>
      <c r="YF5" s="4"/>
      <c r="YG5" s="4"/>
      <c r="YH5" s="4"/>
      <c r="YI5" s="4"/>
      <c r="YJ5" s="4"/>
      <c r="YK5" s="4"/>
      <c r="YL5" s="4"/>
      <c r="YM5" s="4"/>
      <c r="YN5" s="4"/>
      <c r="YO5" s="4"/>
      <c r="YP5" s="4"/>
      <c r="YQ5" s="4"/>
      <c r="YR5" s="4"/>
      <c r="YS5" s="4"/>
      <c r="YT5" s="4"/>
      <c r="YU5" s="4"/>
      <c r="YV5" s="4"/>
      <c r="YW5" s="4"/>
      <c r="YX5" s="4"/>
      <c r="YY5" s="4"/>
      <c r="YZ5" s="4"/>
      <c r="ZA5" s="4"/>
      <c r="ZB5" s="4"/>
      <c r="ZC5" s="4"/>
      <c r="ZD5" s="4"/>
      <c r="ZE5" s="4"/>
      <c r="ZF5" s="4"/>
      <c r="ZG5" s="4"/>
      <c r="ZH5" s="4"/>
      <c r="ZI5" s="4"/>
      <c r="ZJ5" s="4"/>
      <c r="ZK5" s="4"/>
      <c r="ZL5" s="4"/>
      <c r="ZM5" s="4"/>
      <c r="ZN5" s="4"/>
      <c r="ZO5" s="4"/>
      <c r="ZP5" s="4"/>
      <c r="ZQ5" s="4"/>
      <c r="ZR5" s="4"/>
      <c r="ZS5" s="4"/>
      <c r="ZT5" s="4"/>
      <c r="ZU5" s="4"/>
      <c r="ZV5" s="4"/>
      <c r="ZW5" s="4"/>
      <c r="ZX5" s="4"/>
      <c r="ZY5" s="4"/>
      <c r="ZZ5" s="4"/>
      <c r="AAA5" s="4"/>
      <c r="AAB5" s="4"/>
      <c r="AAC5" s="4"/>
      <c r="AAD5" s="4"/>
      <c r="AAE5" s="4"/>
      <c r="AAF5" s="4"/>
      <c r="AAG5" s="4"/>
      <c r="AAH5" s="4"/>
      <c r="AAI5" s="4"/>
      <c r="AAJ5" s="4"/>
      <c r="AAK5" s="4"/>
      <c r="AAL5" s="4"/>
      <c r="AAM5" s="4"/>
      <c r="AAN5" s="4"/>
      <c r="AAO5" s="4"/>
      <c r="AAP5" s="4"/>
      <c r="AAQ5" s="4"/>
      <c r="AAR5" s="4"/>
      <c r="AAS5" s="4"/>
      <c r="AAT5" s="4"/>
      <c r="AAU5" s="4"/>
      <c r="AAV5" s="4"/>
      <c r="AAW5" s="4"/>
      <c r="AAX5" s="4"/>
      <c r="AAY5" s="4"/>
      <c r="AAZ5" s="4"/>
      <c r="ABA5" s="4"/>
      <c r="ABB5" s="4"/>
      <c r="ABC5" s="4"/>
      <c r="ABD5" s="4"/>
      <c r="ABE5" s="4"/>
      <c r="ABF5" s="4"/>
      <c r="ABG5" s="4"/>
      <c r="ABH5" s="4"/>
      <c r="ABI5" s="4"/>
      <c r="ABJ5" s="4"/>
      <c r="ABK5" s="4"/>
      <c r="ABL5" s="4"/>
      <c r="ABM5" s="4"/>
      <c r="ABN5" s="4"/>
      <c r="ABO5" s="4"/>
      <c r="ABP5" s="4"/>
      <c r="ABQ5" s="4"/>
      <c r="ABR5" s="4"/>
      <c r="ABS5" s="4"/>
      <c r="ABT5" s="4"/>
      <c r="ABU5" s="4"/>
      <c r="ABV5" s="4"/>
      <c r="ABW5" s="4"/>
      <c r="ABX5" s="4"/>
      <c r="ABY5" s="4"/>
      <c r="ABZ5" s="4"/>
      <c r="ACA5" s="4"/>
      <c r="ACB5" s="4"/>
      <c r="ACC5" s="4"/>
      <c r="ACD5" s="4"/>
      <c r="ACE5" s="4"/>
      <c r="ACF5" s="4"/>
      <c r="ACG5" s="4"/>
      <c r="ACH5" s="4"/>
      <c r="ACI5" s="4"/>
      <c r="ACJ5" s="4"/>
      <c r="ACK5" s="4"/>
      <c r="ACL5" s="4"/>
      <c r="ACM5" s="4"/>
      <c r="ACN5" s="4"/>
      <c r="ACO5" s="4"/>
      <c r="ACP5" s="4"/>
      <c r="ACQ5" s="4"/>
      <c r="ACR5" s="4"/>
      <c r="ACS5" s="4"/>
      <c r="ACT5" s="4"/>
      <c r="ACU5" s="4"/>
      <c r="ACV5" s="4"/>
      <c r="ACW5" s="4"/>
      <c r="ACX5" s="4"/>
      <c r="ACY5" s="4"/>
      <c r="ACZ5" s="4"/>
      <c r="ADA5" s="4"/>
      <c r="ADB5" s="4"/>
      <c r="ADC5" s="4"/>
      <c r="ADD5" s="4"/>
      <c r="ADE5" s="4"/>
      <c r="ADF5" s="4"/>
      <c r="ADG5" s="4"/>
      <c r="ADH5" s="4"/>
      <c r="ADI5" s="4"/>
      <c r="ADJ5" s="4"/>
      <c r="ADK5" s="4"/>
      <c r="ADL5" s="4"/>
      <c r="ADM5" s="4"/>
      <c r="ADN5" s="4"/>
      <c r="ADO5" s="4"/>
      <c r="ADP5" s="4"/>
      <c r="ADQ5" s="4"/>
      <c r="ADR5" s="4"/>
      <c r="ADS5" s="4"/>
      <c r="ADT5" s="4"/>
      <c r="ADU5" s="4"/>
      <c r="ADV5" s="4"/>
      <c r="ADW5" s="4"/>
      <c r="ADX5" s="4"/>
      <c r="ADY5" s="4"/>
      <c r="ADZ5" s="4"/>
      <c r="AEA5" s="4"/>
      <c r="AEB5" s="4"/>
      <c r="AEC5" s="4"/>
      <c r="AED5" s="4"/>
      <c r="AEE5" s="4"/>
      <c r="AEF5" s="4"/>
      <c r="AEG5" s="4"/>
      <c r="AEH5" s="4"/>
      <c r="AEI5" s="4"/>
      <c r="AEJ5" s="4"/>
      <c r="AEK5" s="4"/>
      <c r="AEL5" s="4"/>
      <c r="AEM5" s="4"/>
      <c r="AEN5" s="4"/>
      <c r="AEO5" s="4"/>
      <c r="AEP5" s="4"/>
      <c r="AEQ5" s="4"/>
      <c r="AER5" s="4"/>
      <c r="AES5" s="4"/>
      <c r="AET5" s="4"/>
      <c r="AEU5" s="4"/>
      <c r="AEV5" s="4"/>
      <c r="AEW5" s="4"/>
      <c r="AEX5" s="4"/>
      <c r="AEY5" s="4"/>
      <c r="AEZ5" s="4"/>
      <c r="AFA5" s="4"/>
      <c r="AFB5" s="4"/>
      <c r="AFC5" s="4"/>
      <c r="AFD5" s="4"/>
      <c r="AFE5" s="4"/>
      <c r="AFF5" s="4"/>
      <c r="AFG5" s="4"/>
      <c r="AFH5" s="4"/>
      <c r="AFI5" s="4"/>
      <c r="AFJ5" s="4"/>
      <c r="AFK5" s="4"/>
      <c r="AFL5" s="4"/>
      <c r="AFM5" s="4"/>
      <c r="AFN5" s="4"/>
      <c r="AFO5" s="4"/>
      <c r="AFP5" s="4"/>
      <c r="AFQ5" s="4"/>
      <c r="AFR5" s="4"/>
      <c r="AFS5" s="4"/>
      <c r="AFT5" s="4"/>
      <c r="AFU5" s="4"/>
      <c r="AFV5" s="4"/>
      <c r="AFW5" s="4"/>
      <c r="AFX5" s="4"/>
      <c r="AFY5" s="4"/>
      <c r="AFZ5" s="4"/>
      <c r="AGA5" s="4"/>
      <c r="AGB5" s="4"/>
      <c r="AGC5" s="4"/>
      <c r="AGD5" s="4"/>
      <c r="AGE5" s="4"/>
      <c r="AGF5" s="4"/>
      <c r="AGG5" s="4"/>
      <c r="AGH5" s="4"/>
      <c r="AGI5" s="4"/>
      <c r="AGJ5" s="4"/>
      <c r="AGK5" s="4"/>
      <c r="AGL5" s="4"/>
      <c r="AGM5" s="4"/>
      <c r="AGN5" s="4"/>
      <c r="AGO5" s="4"/>
      <c r="AGP5" s="4"/>
      <c r="AGQ5" s="4"/>
      <c r="AGR5" s="4"/>
      <c r="AGS5" s="4"/>
      <c r="AGT5" s="4"/>
      <c r="AGU5" s="4"/>
      <c r="AGV5" s="4"/>
      <c r="AGW5" s="4"/>
      <c r="AGX5" s="4"/>
      <c r="AGY5" s="4"/>
      <c r="AGZ5" s="4"/>
      <c r="AHA5" s="4"/>
      <c r="AHB5" s="4"/>
      <c r="AHC5" s="4"/>
      <c r="AHD5" s="4"/>
      <c r="AHE5" s="4"/>
      <c r="AHF5" s="4"/>
      <c r="AHG5" s="4"/>
      <c r="AHH5" s="4"/>
      <c r="AHI5" s="4"/>
      <c r="AHJ5" s="4"/>
      <c r="AHK5" s="4"/>
      <c r="AHL5" s="4"/>
      <c r="AHM5" s="4"/>
      <c r="AHN5" s="4"/>
      <c r="AHO5" s="4"/>
      <c r="AHP5" s="4"/>
      <c r="AHQ5" s="4"/>
      <c r="AHR5" s="4"/>
      <c r="AHS5" s="4"/>
      <c r="AHT5" s="4"/>
      <c r="AHU5" s="4"/>
      <c r="AHV5" s="4"/>
      <c r="AHW5" s="4"/>
      <c r="AHX5" s="4"/>
      <c r="AHY5" s="4"/>
      <c r="AHZ5" s="4"/>
      <c r="AIA5" s="4"/>
      <c r="AIB5" s="4"/>
      <c r="AIC5" s="4"/>
      <c r="AID5" s="4"/>
      <c r="AIE5" s="4"/>
      <c r="AIF5" s="4"/>
      <c r="AIG5" s="4"/>
      <c r="AIH5" s="4"/>
      <c r="AII5" s="4"/>
      <c r="AIJ5" s="4"/>
      <c r="AIK5" s="4"/>
      <c r="AIL5" s="4"/>
      <c r="AIM5" s="4"/>
      <c r="AIN5" s="4"/>
      <c r="AIO5" s="4"/>
      <c r="AIP5" s="4"/>
      <c r="AIQ5" s="4"/>
      <c r="AIR5" s="4"/>
      <c r="AIS5" s="4"/>
      <c r="AIT5" s="4"/>
      <c r="AIU5" s="4"/>
      <c r="AIV5" s="4"/>
      <c r="AIW5" s="4"/>
      <c r="AIX5" s="4"/>
      <c r="AIY5" s="4"/>
      <c r="AIZ5" s="4"/>
      <c r="AJA5" s="4"/>
      <c r="AJB5" s="4"/>
      <c r="AJC5" s="4"/>
      <c r="AJD5" s="4"/>
      <c r="AJE5" s="4"/>
      <c r="AJF5" s="4"/>
      <c r="AJG5" s="4"/>
      <c r="AJH5" s="4"/>
      <c r="AJI5" s="4"/>
      <c r="AJJ5" s="4"/>
      <c r="AJK5" s="4"/>
      <c r="AJL5" s="4"/>
      <c r="AJM5" s="4"/>
      <c r="AJN5" s="4"/>
      <c r="AJO5" s="4"/>
      <c r="AJP5" s="4"/>
      <c r="AJQ5" s="4"/>
      <c r="AJR5" s="4"/>
      <c r="AJS5" s="4"/>
      <c r="AJT5" s="4"/>
      <c r="AJU5" s="4"/>
      <c r="AJV5" s="4"/>
      <c r="AJW5" s="4"/>
      <c r="AJX5" s="4"/>
      <c r="AJY5" s="4"/>
      <c r="AJZ5" s="4"/>
      <c r="AKA5" s="4"/>
      <c r="AKB5" s="4"/>
      <c r="AKC5" s="4"/>
      <c r="AKD5" s="4"/>
      <c r="AKE5" s="4"/>
      <c r="AKF5" s="4"/>
      <c r="AKG5" s="4"/>
      <c r="AKH5" s="4"/>
      <c r="AKI5" s="4"/>
      <c r="AKJ5" s="4"/>
      <c r="AKK5" s="4"/>
      <c r="AKL5" s="4"/>
      <c r="AKM5" s="4"/>
      <c r="AKN5" s="4"/>
      <c r="AKO5" s="4"/>
      <c r="AKP5" s="4"/>
      <c r="AKQ5" s="4"/>
      <c r="AKR5" s="4"/>
      <c r="AKS5" s="4"/>
      <c r="AKT5" s="4"/>
      <c r="AKU5" s="4"/>
      <c r="AKV5" s="4"/>
      <c r="AKW5" s="4"/>
      <c r="AKX5" s="4"/>
      <c r="AKY5" s="4"/>
      <c r="AKZ5" s="4"/>
      <c r="ALA5" s="4"/>
      <c r="ALB5" s="4"/>
      <c r="ALC5" s="4"/>
      <c r="ALD5" s="4"/>
      <c r="ALE5" s="4"/>
      <c r="ALF5" s="4"/>
      <c r="ALG5" s="4"/>
      <c r="ALH5" s="4"/>
      <c r="ALI5" s="4"/>
      <c r="ALJ5" s="4"/>
      <c r="ALK5" s="4"/>
      <c r="ALL5" s="4"/>
      <c r="ALM5" s="4"/>
      <c r="ALN5" s="4"/>
      <c r="ALO5" s="4"/>
      <c r="ALP5" s="4"/>
      <c r="ALQ5" s="4"/>
      <c r="ALR5" s="4"/>
      <c r="ALS5" s="4"/>
      <c r="ALT5" s="4"/>
      <c r="ALU5" s="4"/>
      <c r="ALV5" s="4"/>
      <c r="ALW5" s="4"/>
      <c r="ALX5" s="4"/>
      <c r="ALY5" s="4"/>
      <c r="ALZ5" s="4"/>
      <c r="AMA5" s="4"/>
      <c r="AMB5" s="4"/>
      <c r="AMC5" s="4"/>
      <c r="AMD5" s="4"/>
      <c r="AME5" s="4"/>
      <c r="AMF5" s="4"/>
      <c r="AMG5" s="4"/>
      <c r="AMH5" s="4"/>
    </row>
    <row r="6" spans="1:1022">
      <c r="A6" s="4" t="s">
        <v>2081</v>
      </c>
      <c r="B6" s="4" t="s">
        <v>138</v>
      </c>
      <c r="C6" s="4" t="str">
        <f>B6&amp;":"&amp;A6</f>
        <v>att_organism:UP000005640</v>
      </c>
      <c r="D6" s="4" t="s">
        <v>2082</v>
      </c>
      <c r="E6" s="4" t="s">
        <v>2083</v>
      </c>
      <c r="F6" s="4" t="s">
        <v>2084</v>
      </c>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c r="BL6" s="4"/>
      <c r="BM6" s="4"/>
      <c r="BN6" s="4"/>
      <c r="BO6" s="4"/>
      <c r="BP6" s="4"/>
      <c r="BQ6" s="4"/>
      <c r="BR6" s="4"/>
      <c r="BS6" s="4"/>
      <c r="BT6" s="4"/>
      <c r="BU6" s="4"/>
      <c r="BV6" s="4"/>
      <c r="BW6" s="4"/>
      <c r="BX6" s="4"/>
      <c r="BY6" s="4"/>
      <c r="BZ6" s="4"/>
      <c r="CA6" s="4"/>
      <c r="CB6" s="4"/>
      <c r="CC6" s="4"/>
      <c r="CD6" s="4"/>
      <c r="CE6" s="4"/>
      <c r="CF6" s="4"/>
      <c r="CG6" s="4"/>
      <c r="CH6" s="4"/>
      <c r="CI6" s="4"/>
      <c r="CJ6" s="4"/>
      <c r="CK6" s="4"/>
      <c r="CL6" s="4"/>
      <c r="CM6" s="4"/>
      <c r="CN6" s="4"/>
      <c r="CO6" s="4"/>
      <c r="CP6" s="4"/>
      <c r="CQ6" s="4"/>
      <c r="CR6" s="4"/>
      <c r="CS6" s="4"/>
      <c r="CT6" s="4"/>
      <c r="CU6" s="4"/>
      <c r="CV6" s="4"/>
      <c r="CW6" s="4"/>
      <c r="CX6" s="4"/>
      <c r="CY6" s="4"/>
      <c r="CZ6" s="4"/>
      <c r="DA6" s="4"/>
      <c r="DB6" s="4"/>
      <c r="DC6" s="4"/>
      <c r="DD6" s="4"/>
      <c r="DE6" s="4"/>
      <c r="DF6" s="4"/>
      <c r="DG6" s="4"/>
      <c r="DH6" s="4"/>
      <c r="DI6" s="4"/>
      <c r="DJ6" s="4"/>
      <c r="DK6" s="4"/>
      <c r="DL6" s="4"/>
      <c r="DM6" s="4"/>
      <c r="DN6" s="4"/>
      <c r="DO6" s="4"/>
      <c r="DP6" s="4"/>
      <c r="DQ6" s="4"/>
      <c r="DR6" s="4"/>
      <c r="DS6" s="4"/>
      <c r="DT6" s="4"/>
      <c r="DU6" s="4"/>
      <c r="DV6" s="4"/>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c r="EY6" s="4"/>
      <c r="EZ6" s="4"/>
      <c r="FA6" s="4"/>
      <c r="FB6" s="4"/>
      <c r="FC6" s="4"/>
      <c r="FD6" s="4"/>
      <c r="FE6" s="4"/>
      <c r="FF6" s="4"/>
      <c r="FG6" s="4"/>
      <c r="FH6" s="4"/>
      <c r="FI6" s="4"/>
      <c r="FJ6" s="4"/>
      <c r="FK6" s="4"/>
      <c r="FL6" s="4"/>
      <c r="FM6" s="4"/>
      <c r="FN6" s="4"/>
      <c r="FO6" s="4"/>
      <c r="FP6" s="4"/>
      <c r="FQ6" s="4"/>
      <c r="FR6" s="4"/>
      <c r="FS6" s="4"/>
      <c r="FT6" s="4"/>
      <c r="FU6" s="4"/>
      <c r="FV6" s="4"/>
      <c r="FW6" s="4"/>
      <c r="FX6" s="4"/>
      <c r="FY6" s="4"/>
      <c r="FZ6" s="4"/>
      <c r="GA6" s="4"/>
      <c r="GB6" s="4"/>
      <c r="GC6" s="4"/>
      <c r="GD6" s="4"/>
      <c r="GE6" s="4"/>
      <c r="GF6" s="4"/>
      <c r="GG6" s="4"/>
      <c r="GH6" s="4"/>
      <c r="GI6" s="4"/>
      <c r="GJ6" s="4"/>
      <c r="GK6" s="4"/>
      <c r="GL6" s="4"/>
      <c r="GM6" s="4"/>
      <c r="GN6" s="4"/>
      <c r="GO6" s="4"/>
      <c r="GP6" s="4"/>
      <c r="GQ6" s="4"/>
      <c r="GR6" s="4"/>
      <c r="GS6" s="4"/>
      <c r="GT6" s="4"/>
      <c r="GU6" s="4"/>
      <c r="GV6" s="4"/>
      <c r="GW6" s="4"/>
      <c r="GX6" s="4"/>
      <c r="GY6" s="4"/>
      <c r="GZ6" s="4"/>
      <c r="HA6" s="4"/>
      <c r="HB6" s="4"/>
      <c r="HC6" s="4"/>
      <c r="HD6" s="4"/>
      <c r="HE6" s="4"/>
      <c r="HF6" s="4"/>
      <c r="HG6" s="4"/>
      <c r="HH6" s="4"/>
      <c r="HI6" s="4"/>
      <c r="HJ6" s="4"/>
      <c r="HK6" s="4"/>
      <c r="HL6" s="4"/>
      <c r="HM6" s="4"/>
      <c r="HN6" s="4"/>
      <c r="HO6" s="4"/>
      <c r="HP6" s="4"/>
      <c r="HQ6" s="4"/>
      <c r="HR6" s="4"/>
      <c r="HS6" s="4"/>
      <c r="HT6" s="4"/>
      <c r="HU6" s="4"/>
      <c r="HV6" s="4"/>
      <c r="HW6" s="4"/>
      <c r="HX6" s="4"/>
      <c r="HY6" s="4"/>
      <c r="HZ6" s="4"/>
      <c r="IA6" s="4"/>
      <c r="IB6" s="4"/>
      <c r="IC6" s="4"/>
      <c r="ID6" s="4"/>
      <c r="IE6" s="4"/>
      <c r="IF6" s="4"/>
      <c r="IG6" s="4"/>
      <c r="IH6" s="4"/>
      <c r="II6" s="4"/>
      <c r="IJ6" s="4"/>
      <c r="IK6" s="4"/>
      <c r="IL6" s="4"/>
      <c r="IM6" s="4"/>
      <c r="IN6" s="4"/>
      <c r="IO6" s="4"/>
      <c r="IP6" s="4"/>
      <c r="IQ6" s="4"/>
      <c r="IR6" s="4"/>
      <c r="IS6" s="4"/>
      <c r="IT6" s="4"/>
      <c r="IU6" s="4"/>
      <c r="IV6" s="4"/>
      <c r="IW6" s="4"/>
      <c r="IX6" s="4"/>
      <c r="IY6" s="4"/>
      <c r="IZ6" s="4"/>
      <c r="JA6" s="4"/>
      <c r="JB6" s="4"/>
      <c r="JC6" s="4"/>
      <c r="JD6" s="4"/>
      <c r="JE6" s="4"/>
      <c r="JF6" s="4"/>
      <c r="JG6" s="4"/>
      <c r="JH6" s="4"/>
      <c r="JI6" s="4"/>
      <c r="JJ6" s="4"/>
      <c r="JK6" s="4"/>
      <c r="JL6" s="4"/>
      <c r="JM6" s="4"/>
      <c r="JN6" s="4"/>
      <c r="JO6" s="4"/>
      <c r="JP6" s="4"/>
      <c r="JQ6" s="4"/>
      <c r="JR6" s="4"/>
      <c r="JS6" s="4"/>
      <c r="JT6" s="4"/>
      <c r="JU6" s="4"/>
      <c r="JV6" s="4"/>
      <c r="JW6" s="4"/>
      <c r="JX6" s="4"/>
      <c r="JY6" s="4"/>
      <c r="JZ6" s="4"/>
      <c r="KA6" s="4"/>
      <c r="KB6" s="4"/>
      <c r="KC6" s="4"/>
      <c r="KD6" s="4"/>
      <c r="KE6" s="4"/>
      <c r="KF6" s="4"/>
      <c r="KG6" s="4"/>
      <c r="KH6" s="4"/>
      <c r="KI6" s="4"/>
      <c r="KJ6" s="4"/>
      <c r="KK6" s="4"/>
      <c r="KL6" s="4"/>
      <c r="KM6" s="4"/>
      <c r="KN6" s="4"/>
      <c r="KO6" s="4"/>
      <c r="KP6" s="4"/>
      <c r="KQ6" s="4"/>
      <c r="KR6" s="4"/>
      <c r="KS6" s="4"/>
      <c r="KT6" s="4"/>
      <c r="KU6" s="4"/>
      <c r="KV6" s="4"/>
      <c r="KW6" s="4"/>
      <c r="KX6" s="4"/>
      <c r="KY6" s="4"/>
      <c r="KZ6" s="4"/>
      <c r="LA6" s="4"/>
      <c r="LB6" s="4"/>
      <c r="LC6" s="4"/>
      <c r="LD6" s="4"/>
      <c r="LE6" s="4"/>
      <c r="LF6" s="4"/>
      <c r="LG6" s="4"/>
      <c r="LH6" s="4"/>
      <c r="LI6" s="4"/>
      <c r="LJ6" s="4"/>
      <c r="LK6" s="4"/>
      <c r="LL6" s="4"/>
      <c r="LM6" s="4"/>
      <c r="LN6" s="4"/>
      <c r="LO6" s="4"/>
      <c r="LP6" s="4"/>
      <c r="LQ6" s="4"/>
      <c r="LR6" s="4"/>
      <c r="LS6" s="4"/>
      <c r="LT6" s="4"/>
      <c r="LU6" s="4"/>
      <c r="LV6" s="4"/>
      <c r="LW6" s="4"/>
      <c r="LX6" s="4"/>
      <c r="LY6" s="4"/>
      <c r="LZ6" s="4"/>
      <c r="MA6" s="4"/>
      <c r="MB6" s="4"/>
      <c r="MC6" s="4"/>
      <c r="MD6" s="4"/>
      <c r="ME6" s="4"/>
      <c r="MF6" s="4"/>
      <c r="MG6" s="4"/>
      <c r="MH6" s="4"/>
      <c r="MI6" s="4"/>
      <c r="MJ6" s="4"/>
      <c r="MK6" s="4"/>
      <c r="ML6" s="4"/>
      <c r="MM6" s="4"/>
      <c r="MN6" s="4"/>
      <c r="MO6" s="4"/>
      <c r="MP6" s="4"/>
      <c r="MQ6" s="4"/>
      <c r="MR6" s="4"/>
      <c r="MS6" s="4"/>
      <c r="MT6" s="4"/>
      <c r="MU6" s="4"/>
      <c r="MV6" s="4"/>
      <c r="MW6" s="4"/>
      <c r="MX6" s="4"/>
      <c r="MY6" s="4"/>
      <c r="MZ6" s="4"/>
      <c r="NA6" s="4"/>
      <c r="NB6" s="4"/>
      <c r="NC6" s="4"/>
      <c r="ND6" s="4"/>
      <c r="NE6" s="4"/>
      <c r="NF6" s="4"/>
      <c r="NG6" s="4"/>
      <c r="NH6" s="4"/>
      <c r="NI6" s="4"/>
      <c r="NJ6" s="4"/>
      <c r="NK6" s="4"/>
      <c r="NL6" s="4"/>
      <c r="NM6" s="4"/>
      <c r="NN6" s="4"/>
      <c r="NO6" s="4"/>
      <c r="NP6" s="4"/>
      <c r="NQ6" s="4"/>
      <c r="NR6" s="4"/>
      <c r="NS6" s="4"/>
      <c r="NT6" s="4"/>
      <c r="NU6" s="4"/>
      <c r="NV6" s="4"/>
      <c r="NW6" s="4"/>
      <c r="NX6" s="4"/>
      <c r="NY6" s="4"/>
      <c r="NZ6" s="4"/>
      <c r="OA6" s="4"/>
      <c r="OB6" s="4"/>
      <c r="OC6" s="4"/>
      <c r="OD6" s="4"/>
      <c r="OE6" s="4"/>
      <c r="OF6" s="4"/>
      <c r="OG6" s="4"/>
      <c r="OH6" s="4"/>
      <c r="OI6" s="4"/>
      <c r="OJ6" s="4"/>
      <c r="OK6" s="4"/>
      <c r="OL6" s="4"/>
      <c r="OM6" s="4"/>
      <c r="ON6" s="4"/>
      <c r="OO6" s="4"/>
      <c r="OP6" s="4"/>
      <c r="OQ6" s="4"/>
      <c r="OR6" s="4"/>
      <c r="OS6" s="4"/>
      <c r="OT6" s="4"/>
      <c r="OU6" s="4"/>
      <c r="OV6" s="4"/>
      <c r="OW6" s="4"/>
      <c r="OX6" s="4"/>
      <c r="OY6" s="4"/>
      <c r="OZ6" s="4"/>
      <c r="PA6" s="4"/>
      <c r="PB6" s="4"/>
      <c r="PC6" s="4"/>
      <c r="PD6" s="4"/>
      <c r="PE6" s="4"/>
      <c r="PF6" s="4"/>
      <c r="PG6" s="4"/>
      <c r="PH6" s="4"/>
      <c r="PI6" s="4"/>
      <c r="PJ6" s="4"/>
      <c r="PK6" s="4"/>
      <c r="PL6" s="4"/>
      <c r="PM6" s="4"/>
      <c r="PN6" s="4"/>
      <c r="PO6" s="4"/>
      <c r="PP6" s="4"/>
      <c r="PQ6" s="4"/>
      <c r="PR6" s="4"/>
      <c r="PS6" s="4"/>
      <c r="PT6" s="4"/>
      <c r="PU6" s="4"/>
      <c r="PV6" s="4"/>
      <c r="PW6" s="4"/>
      <c r="PX6" s="4"/>
      <c r="PY6" s="4"/>
      <c r="PZ6" s="4"/>
      <c r="QA6" s="4"/>
      <c r="QB6" s="4"/>
      <c r="QC6" s="4"/>
      <c r="QD6" s="4"/>
      <c r="QE6" s="4"/>
      <c r="QF6" s="4"/>
      <c r="QG6" s="4"/>
      <c r="QH6" s="4"/>
      <c r="QI6" s="4"/>
      <c r="QJ6" s="4"/>
      <c r="QK6" s="4"/>
      <c r="QL6" s="4"/>
      <c r="QM6" s="4"/>
      <c r="QN6" s="4"/>
      <c r="QO6" s="4"/>
      <c r="QP6" s="4"/>
      <c r="QQ6" s="4"/>
      <c r="QR6" s="4"/>
      <c r="QS6" s="4"/>
      <c r="QT6" s="4"/>
      <c r="QU6" s="4"/>
      <c r="QV6" s="4"/>
      <c r="QW6" s="4"/>
      <c r="QX6" s="4"/>
      <c r="QY6" s="4"/>
      <c r="QZ6" s="4"/>
      <c r="RA6" s="4"/>
      <c r="RB6" s="4"/>
      <c r="RC6" s="4"/>
      <c r="RD6" s="4"/>
      <c r="RE6" s="4"/>
      <c r="RF6" s="4"/>
      <c r="RG6" s="4"/>
      <c r="RH6" s="4"/>
      <c r="RI6" s="4"/>
      <c r="RJ6" s="4"/>
      <c r="RK6" s="4"/>
      <c r="RL6" s="4"/>
      <c r="RM6" s="4"/>
      <c r="RN6" s="4"/>
      <c r="RO6" s="4"/>
      <c r="RP6" s="4"/>
      <c r="RQ6" s="4"/>
      <c r="RR6" s="4"/>
      <c r="RS6" s="4"/>
      <c r="RT6" s="4"/>
      <c r="RU6" s="4"/>
      <c r="RV6" s="4"/>
      <c r="RW6" s="4"/>
      <c r="RX6" s="4"/>
      <c r="RY6" s="4"/>
      <c r="RZ6" s="4"/>
      <c r="SA6" s="4"/>
      <c r="SB6" s="4"/>
      <c r="SC6" s="4"/>
      <c r="SD6" s="4"/>
      <c r="SE6" s="4"/>
      <c r="SF6" s="4"/>
      <c r="SG6" s="4"/>
      <c r="SH6" s="4"/>
      <c r="SI6" s="4"/>
      <c r="SJ6" s="4"/>
      <c r="SK6" s="4"/>
      <c r="SL6" s="4"/>
      <c r="SM6" s="4"/>
      <c r="SN6" s="4"/>
      <c r="SO6" s="4"/>
      <c r="SP6" s="4"/>
      <c r="SQ6" s="4"/>
      <c r="SR6" s="4"/>
      <c r="SS6" s="4"/>
      <c r="ST6" s="4"/>
      <c r="SU6" s="4"/>
      <c r="SV6" s="4"/>
      <c r="SW6" s="4"/>
      <c r="SX6" s="4"/>
      <c r="SY6" s="4"/>
      <c r="SZ6" s="4"/>
      <c r="TA6" s="4"/>
      <c r="TB6" s="4"/>
      <c r="TC6" s="4"/>
      <c r="TD6" s="4"/>
      <c r="TE6" s="4"/>
      <c r="TF6" s="4"/>
      <c r="TG6" s="4"/>
      <c r="TH6" s="4"/>
      <c r="TI6" s="4"/>
      <c r="TJ6" s="4"/>
      <c r="TK6" s="4"/>
      <c r="TL6" s="4"/>
      <c r="TM6" s="4"/>
      <c r="TN6" s="4"/>
      <c r="TO6" s="4"/>
      <c r="TP6" s="4"/>
      <c r="TQ6" s="4"/>
      <c r="TR6" s="4"/>
      <c r="TS6" s="4"/>
      <c r="TT6" s="4"/>
      <c r="TU6" s="4"/>
      <c r="TV6" s="4"/>
      <c r="TW6" s="4"/>
      <c r="TX6" s="4"/>
      <c r="TY6" s="4"/>
      <c r="TZ6" s="4"/>
      <c r="UA6" s="4"/>
      <c r="UB6" s="4"/>
      <c r="UC6" s="4"/>
      <c r="UD6" s="4"/>
      <c r="UE6" s="4"/>
      <c r="UF6" s="4"/>
      <c r="UG6" s="4"/>
      <c r="UH6" s="4"/>
      <c r="UI6" s="4"/>
      <c r="UJ6" s="4"/>
      <c r="UK6" s="4"/>
      <c r="UL6" s="4"/>
      <c r="UM6" s="4"/>
      <c r="UN6" s="4"/>
      <c r="UO6" s="4"/>
      <c r="UP6" s="4"/>
      <c r="UQ6" s="4"/>
      <c r="UR6" s="4"/>
      <c r="US6" s="4"/>
      <c r="UT6" s="4"/>
      <c r="UU6" s="4"/>
      <c r="UV6" s="4"/>
      <c r="UW6" s="4"/>
      <c r="UX6" s="4"/>
      <c r="UY6" s="4"/>
      <c r="UZ6" s="4"/>
      <c r="VA6" s="4"/>
      <c r="VB6" s="4"/>
      <c r="VC6" s="4"/>
      <c r="VD6" s="4"/>
      <c r="VE6" s="4"/>
      <c r="VF6" s="4"/>
      <c r="VG6" s="4"/>
      <c r="VH6" s="4"/>
      <c r="VI6" s="4"/>
      <c r="VJ6" s="4"/>
      <c r="VK6" s="4"/>
      <c r="VL6" s="4"/>
      <c r="VM6" s="4"/>
      <c r="VN6" s="4"/>
      <c r="VO6" s="4"/>
      <c r="VP6" s="4"/>
      <c r="VQ6" s="4"/>
      <c r="VR6" s="4"/>
      <c r="VS6" s="4"/>
      <c r="VT6" s="4"/>
      <c r="VU6" s="4"/>
      <c r="VV6" s="4"/>
      <c r="VW6" s="4"/>
      <c r="VX6" s="4"/>
      <c r="VY6" s="4"/>
      <c r="VZ6" s="4"/>
      <c r="WA6" s="4"/>
      <c r="WB6" s="4"/>
      <c r="WC6" s="4"/>
      <c r="WD6" s="4"/>
      <c r="WE6" s="4"/>
      <c r="WF6" s="4"/>
      <c r="WG6" s="4"/>
      <c r="WH6" s="4"/>
      <c r="WI6" s="4"/>
      <c r="WJ6" s="4"/>
      <c r="WK6" s="4"/>
      <c r="WL6" s="4"/>
      <c r="WM6" s="4"/>
      <c r="WN6" s="4"/>
      <c r="WO6" s="4"/>
      <c r="WP6" s="4"/>
      <c r="WQ6" s="4"/>
      <c r="WR6" s="4"/>
      <c r="WS6" s="4"/>
      <c r="WT6" s="4"/>
      <c r="WU6" s="4"/>
      <c r="WV6" s="4"/>
      <c r="WW6" s="4"/>
      <c r="WX6" s="4"/>
      <c r="WY6" s="4"/>
      <c r="WZ6" s="4"/>
      <c r="XA6" s="4"/>
      <c r="XB6" s="4"/>
      <c r="XC6" s="4"/>
      <c r="XD6" s="4"/>
      <c r="XE6" s="4"/>
      <c r="XF6" s="4"/>
      <c r="XG6" s="4"/>
      <c r="XH6" s="4"/>
      <c r="XI6" s="4"/>
      <c r="XJ6" s="4"/>
      <c r="XK6" s="4"/>
      <c r="XL6" s="4"/>
      <c r="XM6" s="4"/>
      <c r="XN6" s="4"/>
      <c r="XO6" s="4"/>
      <c r="XP6" s="4"/>
      <c r="XQ6" s="4"/>
      <c r="XR6" s="4"/>
      <c r="XS6" s="4"/>
      <c r="XT6" s="4"/>
      <c r="XU6" s="4"/>
      <c r="XV6" s="4"/>
      <c r="XW6" s="4"/>
      <c r="XX6" s="4"/>
      <c r="XY6" s="4"/>
      <c r="XZ6" s="4"/>
      <c r="YA6" s="4"/>
      <c r="YB6" s="4"/>
      <c r="YC6" s="4"/>
      <c r="YD6" s="4"/>
      <c r="YE6" s="4"/>
      <c r="YF6" s="4"/>
      <c r="YG6" s="4"/>
      <c r="YH6" s="4"/>
      <c r="YI6" s="4"/>
      <c r="YJ6" s="4"/>
      <c r="YK6" s="4"/>
      <c r="YL6" s="4"/>
      <c r="YM6" s="4"/>
      <c r="YN6" s="4"/>
      <c r="YO6" s="4"/>
      <c r="YP6" s="4"/>
      <c r="YQ6" s="4"/>
      <c r="YR6" s="4"/>
      <c r="YS6" s="4"/>
      <c r="YT6" s="4"/>
      <c r="YU6" s="4"/>
      <c r="YV6" s="4"/>
      <c r="YW6" s="4"/>
      <c r="YX6" s="4"/>
      <c r="YY6" s="4"/>
      <c r="YZ6" s="4"/>
      <c r="ZA6" s="4"/>
      <c r="ZB6" s="4"/>
      <c r="ZC6" s="4"/>
      <c r="ZD6" s="4"/>
      <c r="ZE6" s="4"/>
      <c r="ZF6" s="4"/>
      <c r="ZG6" s="4"/>
      <c r="ZH6" s="4"/>
      <c r="ZI6" s="4"/>
      <c r="ZJ6" s="4"/>
      <c r="ZK6" s="4"/>
      <c r="ZL6" s="4"/>
      <c r="ZM6" s="4"/>
      <c r="ZN6" s="4"/>
      <c r="ZO6" s="4"/>
      <c r="ZP6" s="4"/>
      <c r="ZQ6" s="4"/>
      <c r="ZR6" s="4"/>
      <c r="ZS6" s="4"/>
      <c r="ZT6" s="4"/>
      <c r="ZU6" s="4"/>
      <c r="ZV6" s="4"/>
      <c r="ZW6" s="4"/>
      <c r="ZX6" s="4"/>
      <c r="ZY6" s="4"/>
      <c r="ZZ6" s="4"/>
      <c r="AAA6" s="4"/>
      <c r="AAB6" s="4"/>
      <c r="AAC6" s="4"/>
      <c r="AAD6" s="4"/>
      <c r="AAE6" s="4"/>
      <c r="AAF6" s="4"/>
      <c r="AAG6" s="4"/>
      <c r="AAH6" s="4"/>
      <c r="AAI6" s="4"/>
      <c r="AAJ6" s="4"/>
      <c r="AAK6" s="4"/>
      <c r="AAL6" s="4"/>
      <c r="AAM6" s="4"/>
      <c r="AAN6" s="4"/>
      <c r="AAO6" s="4"/>
      <c r="AAP6" s="4"/>
      <c r="AAQ6" s="4"/>
      <c r="AAR6" s="4"/>
      <c r="AAS6" s="4"/>
      <c r="AAT6" s="4"/>
      <c r="AAU6" s="4"/>
      <c r="AAV6" s="4"/>
      <c r="AAW6" s="4"/>
      <c r="AAX6" s="4"/>
      <c r="AAY6" s="4"/>
      <c r="AAZ6" s="4"/>
      <c r="ABA6" s="4"/>
      <c r="ABB6" s="4"/>
      <c r="ABC6" s="4"/>
      <c r="ABD6" s="4"/>
      <c r="ABE6" s="4"/>
      <c r="ABF6" s="4"/>
      <c r="ABG6" s="4"/>
      <c r="ABH6" s="4"/>
      <c r="ABI6" s="4"/>
      <c r="ABJ6" s="4"/>
      <c r="ABK6" s="4"/>
      <c r="ABL6" s="4"/>
      <c r="ABM6" s="4"/>
      <c r="ABN6" s="4"/>
      <c r="ABO6" s="4"/>
      <c r="ABP6" s="4"/>
      <c r="ABQ6" s="4"/>
      <c r="ABR6" s="4"/>
      <c r="ABS6" s="4"/>
      <c r="ABT6" s="4"/>
      <c r="ABU6" s="4"/>
      <c r="ABV6" s="4"/>
      <c r="ABW6" s="4"/>
      <c r="ABX6" s="4"/>
      <c r="ABY6" s="4"/>
      <c r="ABZ6" s="4"/>
      <c r="ACA6" s="4"/>
      <c r="ACB6" s="4"/>
      <c r="ACC6" s="4"/>
      <c r="ACD6" s="4"/>
      <c r="ACE6" s="4"/>
      <c r="ACF6" s="4"/>
      <c r="ACG6" s="4"/>
      <c r="ACH6" s="4"/>
      <c r="ACI6" s="4"/>
      <c r="ACJ6" s="4"/>
      <c r="ACK6" s="4"/>
      <c r="ACL6" s="4"/>
      <c r="ACM6" s="4"/>
      <c r="ACN6" s="4"/>
      <c r="ACO6" s="4"/>
      <c r="ACP6" s="4"/>
      <c r="ACQ6" s="4"/>
      <c r="ACR6" s="4"/>
      <c r="ACS6" s="4"/>
      <c r="ACT6" s="4"/>
      <c r="ACU6" s="4"/>
      <c r="ACV6" s="4"/>
      <c r="ACW6" s="4"/>
      <c r="ACX6" s="4"/>
      <c r="ACY6" s="4"/>
      <c r="ACZ6" s="4"/>
      <c r="ADA6" s="4"/>
      <c r="ADB6" s="4"/>
      <c r="ADC6" s="4"/>
      <c r="ADD6" s="4"/>
      <c r="ADE6" s="4"/>
      <c r="ADF6" s="4"/>
      <c r="ADG6" s="4"/>
      <c r="ADH6" s="4"/>
      <c r="ADI6" s="4"/>
      <c r="ADJ6" s="4"/>
      <c r="ADK6" s="4"/>
      <c r="ADL6" s="4"/>
      <c r="ADM6" s="4"/>
      <c r="ADN6" s="4"/>
      <c r="ADO6" s="4"/>
      <c r="ADP6" s="4"/>
      <c r="ADQ6" s="4"/>
      <c r="ADR6" s="4"/>
      <c r="ADS6" s="4"/>
      <c r="ADT6" s="4"/>
      <c r="ADU6" s="4"/>
      <c r="ADV6" s="4"/>
      <c r="ADW6" s="4"/>
      <c r="ADX6" s="4"/>
      <c r="ADY6" s="4"/>
      <c r="ADZ6" s="4"/>
      <c r="AEA6" s="4"/>
      <c r="AEB6" s="4"/>
      <c r="AEC6" s="4"/>
      <c r="AED6" s="4"/>
      <c r="AEE6" s="4"/>
      <c r="AEF6" s="4"/>
      <c r="AEG6" s="4"/>
      <c r="AEH6" s="4"/>
      <c r="AEI6" s="4"/>
      <c r="AEJ6" s="4"/>
      <c r="AEK6" s="4"/>
      <c r="AEL6" s="4"/>
      <c r="AEM6" s="4"/>
      <c r="AEN6" s="4"/>
      <c r="AEO6" s="4"/>
      <c r="AEP6" s="4"/>
      <c r="AEQ6" s="4"/>
      <c r="AER6" s="4"/>
      <c r="AES6" s="4"/>
      <c r="AET6" s="4"/>
      <c r="AEU6" s="4"/>
      <c r="AEV6" s="4"/>
      <c r="AEW6" s="4"/>
      <c r="AEX6" s="4"/>
      <c r="AEY6" s="4"/>
      <c r="AEZ6" s="4"/>
      <c r="AFA6" s="4"/>
      <c r="AFB6" s="4"/>
      <c r="AFC6" s="4"/>
      <c r="AFD6" s="4"/>
      <c r="AFE6" s="4"/>
      <c r="AFF6" s="4"/>
      <c r="AFG6" s="4"/>
      <c r="AFH6" s="4"/>
      <c r="AFI6" s="4"/>
      <c r="AFJ6" s="4"/>
      <c r="AFK6" s="4"/>
      <c r="AFL6" s="4"/>
      <c r="AFM6" s="4"/>
      <c r="AFN6" s="4"/>
      <c r="AFO6" s="4"/>
      <c r="AFP6" s="4"/>
      <c r="AFQ6" s="4"/>
      <c r="AFR6" s="4"/>
      <c r="AFS6" s="4"/>
      <c r="AFT6" s="4"/>
      <c r="AFU6" s="4"/>
      <c r="AFV6" s="4"/>
      <c r="AFW6" s="4"/>
      <c r="AFX6" s="4"/>
      <c r="AFY6" s="4"/>
      <c r="AFZ6" s="4"/>
      <c r="AGA6" s="4"/>
      <c r="AGB6" s="4"/>
      <c r="AGC6" s="4"/>
      <c r="AGD6" s="4"/>
      <c r="AGE6" s="4"/>
      <c r="AGF6" s="4"/>
      <c r="AGG6" s="4"/>
      <c r="AGH6" s="4"/>
      <c r="AGI6" s="4"/>
      <c r="AGJ6" s="4"/>
      <c r="AGK6" s="4"/>
      <c r="AGL6" s="4"/>
      <c r="AGM6" s="4"/>
      <c r="AGN6" s="4"/>
      <c r="AGO6" s="4"/>
      <c r="AGP6" s="4"/>
      <c r="AGQ6" s="4"/>
      <c r="AGR6" s="4"/>
      <c r="AGS6" s="4"/>
      <c r="AGT6" s="4"/>
      <c r="AGU6" s="4"/>
      <c r="AGV6" s="4"/>
      <c r="AGW6" s="4"/>
      <c r="AGX6" s="4"/>
      <c r="AGY6" s="4"/>
      <c r="AGZ6" s="4"/>
      <c r="AHA6" s="4"/>
      <c r="AHB6" s="4"/>
      <c r="AHC6" s="4"/>
      <c r="AHD6" s="4"/>
      <c r="AHE6" s="4"/>
      <c r="AHF6" s="4"/>
      <c r="AHG6" s="4"/>
      <c r="AHH6" s="4"/>
      <c r="AHI6" s="4"/>
      <c r="AHJ6" s="4"/>
      <c r="AHK6" s="4"/>
      <c r="AHL6" s="4"/>
      <c r="AHM6" s="4"/>
      <c r="AHN6" s="4"/>
      <c r="AHO6" s="4"/>
      <c r="AHP6" s="4"/>
      <c r="AHQ6" s="4"/>
      <c r="AHR6" s="4"/>
      <c r="AHS6" s="4"/>
      <c r="AHT6" s="4"/>
      <c r="AHU6" s="4"/>
      <c r="AHV6" s="4"/>
      <c r="AHW6" s="4"/>
      <c r="AHX6" s="4"/>
      <c r="AHY6" s="4"/>
      <c r="AHZ6" s="4"/>
      <c r="AIA6" s="4"/>
      <c r="AIB6" s="4"/>
      <c r="AIC6" s="4"/>
      <c r="AID6" s="4"/>
      <c r="AIE6" s="4"/>
      <c r="AIF6" s="4"/>
      <c r="AIG6" s="4"/>
      <c r="AIH6" s="4"/>
      <c r="AII6" s="4"/>
      <c r="AIJ6" s="4"/>
      <c r="AIK6" s="4"/>
      <c r="AIL6" s="4"/>
      <c r="AIM6" s="4"/>
      <c r="AIN6" s="4"/>
      <c r="AIO6" s="4"/>
      <c r="AIP6" s="4"/>
      <c r="AIQ6" s="4"/>
      <c r="AIR6" s="4"/>
      <c r="AIS6" s="4"/>
      <c r="AIT6" s="4"/>
      <c r="AIU6" s="4"/>
      <c r="AIV6" s="4"/>
      <c r="AIW6" s="4"/>
      <c r="AIX6" s="4"/>
      <c r="AIY6" s="4"/>
      <c r="AIZ6" s="4"/>
      <c r="AJA6" s="4"/>
      <c r="AJB6" s="4"/>
      <c r="AJC6" s="4"/>
      <c r="AJD6" s="4"/>
      <c r="AJE6" s="4"/>
      <c r="AJF6" s="4"/>
      <c r="AJG6" s="4"/>
      <c r="AJH6" s="4"/>
      <c r="AJI6" s="4"/>
      <c r="AJJ6" s="4"/>
      <c r="AJK6" s="4"/>
      <c r="AJL6" s="4"/>
      <c r="AJM6" s="4"/>
      <c r="AJN6" s="4"/>
      <c r="AJO6" s="4"/>
      <c r="AJP6" s="4"/>
      <c r="AJQ6" s="4"/>
      <c r="AJR6" s="4"/>
      <c r="AJS6" s="4"/>
      <c r="AJT6" s="4"/>
      <c r="AJU6" s="4"/>
      <c r="AJV6" s="4"/>
      <c r="AJW6" s="4"/>
      <c r="AJX6" s="4"/>
      <c r="AJY6" s="4"/>
      <c r="AJZ6" s="4"/>
      <c r="AKA6" s="4"/>
      <c r="AKB6" s="4"/>
      <c r="AKC6" s="4"/>
      <c r="AKD6" s="4"/>
      <c r="AKE6" s="4"/>
      <c r="AKF6" s="4"/>
      <c r="AKG6" s="4"/>
      <c r="AKH6" s="4"/>
      <c r="AKI6" s="4"/>
      <c r="AKJ6" s="4"/>
      <c r="AKK6" s="4"/>
      <c r="AKL6" s="4"/>
      <c r="AKM6" s="4"/>
      <c r="AKN6" s="4"/>
      <c r="AKO6" s="4"/>
      <c r="AKP6" s="4"/>
      <c r="AKQ6" s="4"/>
      <c r="AKR6" s="4"/>
      <c r="AKS6" s="4"/>
      <c r="AKT6" s="4"/>
      <c r="AKU6" s="4"/>
      <c r="AKV6" s="4"/>
      <c r="AKW6" s="4"/>
      <c r="AKX6" s="4"/>
      <c r="AKY6" s="4"/>
      <c r="AKZ6" s="4"/>
      <c r="ALA6" s="4"/>
      <c r="ALB6" s="4"/>
      <c r="ALC6" s="4"/>
      <c r="ALD6" s="4"/>
      <c r="ALE6" s="4"/>
      <c r="ALF6" s="4"/>
      <c r="ALG6" s="4"/>
      <c r="ALH6" s="4"/>
      <c r="ALI6" s="4"/>
      <c r="ALJ6" s="4"/>
      <c r="ALK6" s="4"/>
      <c r="ALL6" s="4"/>
      <c r="ALM6" s="4"/>
      <c r="ALN6" s="4"/>
      <c r="ALO6" s="4"/>
      <c r="ALP6" s="4"/>
      <c r="ALQ6" s="4"/>
      <c r="ALR6" s="4"/>
      <c r="ALS6" s="4"/>
      <c r="ALT6" s="4"/>
      <c r="ALU6" s="4"/>
      <c r="ALV6" s="4"/>
      <c r="ALW6" s="4"/>
      <c r="ALX6" s="4"/>
      <c r="ALY6" s="4"/>
      <c r="ALZ6" s="4"/>
      <c r="AMA6" s="4"/>
      <c r="AMB6" s="4"/>
      <c r="AMC6" s="4"/>
      <c r="AMD6" s="4"/>
      <c r="AME6" s="4"/>
      <c r="AMF6" s="4"/>
      <c r="AMG6" s="4"/>
      <c r="AMH6" s="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sheetData>
    <row r="1" spans="1:1022">
      <c r="A1" s="4" t="s">
        <v>2742</v>
      </c>
      <c r="B1" s="4" t="s">
        <v>171</v>
      </c>
      <c r="C1" s="4" t="str">
        <f t="shared" ref="C1:C8" si="0">B1&amp;":"&amp;A1</f>
        <v>att_user_research_group:niessen</v>
      </c>
      <c r="D1" s="4" t="s">
        <v>12</v>
      </c>
      <c r="E1" s="4" t="s">
        <v>2743</v>
      </c>
      <c r="F1" s="4" t="s">
        <v>2363</v>
      </c>
      <c r="G1" s="4"/>
      <c r="H1" s="4"/>
      <c r="I1" s="4"/>
      <c r="J1" s="4"/>
      <c r="K1" s="4"/>
      <c r="L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c r="FA1" s="4"/>
      <c r="FB1" s="4"/>
      <c r="FC1" s="4"/>
      <c r="FD1" s="4"/>
      <c r="FE1" s="4"/>
      <c r="FF1" s="4"/>
      <c r="FG1" s="4"/>
      <c r="FH1" s="4"/>
      <c r="FI1" s="4"/>
      <c r="FJ1" s="4"/>
      <c r="FK1" s="4"/>
      <c r="FL1" s="4"/>
      <c r="FM1" s="4"/>
      <c r="FN1" s="4"/>
      <c r="FO1" s="4"/>
      <c r="FP1" s="4"/>
      <c r="FQ1" s="4"/>
      <c r="FR1" s="4"/>
      <c r="FS1" s="4"/>
      <c r="FT1" s="4"/>
      <c r="FU1" s="4"/>
      <c r="FV1" s="4"/>
      <c r="FW1" s="4"/>
      <c r="FX1" s="4"/>
      <c r="FY1" s="4"/>
      <c r="FZ1" s="4"/>
      <c r="GA1" s="4"/>
      <c r="GB1" s="4"/>
      <c r="GC1" s="4"/>
      <c r="GD1" s="4"/>
      <c r="GE1" s="4"/>
      <c r="GF1" s="4"/>
      <c r="GG1" s="4"/>
      <c r="GH1" s="4"/>
      <c r="GI1" s="4"/>
      <c r="GJ1" s="4"/>
      <c r="GK1" s="4"/>
      <c r="GL1" s="4"/>
      <c r="GM1" s="4"/>
      <c r="GN1" s="4"/>
      <c r="GO1" s="4"/>
      <c r="GP1" s="4"/>
      <c r="GQ1" s="4"/>
      <c r="GR1" s="4"/>
      <c r="GS1" s="4"/>
      <c r="GT1" s="4"/>
      <c r="GU1" s="4"/>
      <c r="GV1" s="4"/>
      <c r="GW1" s="4"/>
      <c r="GX1" s="4"/>
      <c r="GY1" s="4"/>
      <c r="GZ1" s="4"/>
      <c r="HA1" s="4"/>
      <c r="HB1" s="4"/>
      <c r="HC1" s="4"/>
      <c r="HD1" s="4"/>
      <c r="HE1" s="4"/>
      <c r="HF1" s="4"/>
      <c r="HG1" s="4"/>
      <c r="HH1" s="4"/>
      <c r="HI1" s="4"/>
      <c r="HJ1" s="4"/>
      <c r="HK1" s="4"/>
      <c r="HL1" s="4"/>
      <c r="HM1" s="4"/>
      <c r="HN1" s="4"/>
      <c r="HO1" s="4"/>
      <c r="HP1" s="4"/>
      <c r="HQ1" s="4"/>
      <c r="HR1" s="4"/>
      <c r="HS1" s="4"/>
      <c r="HT1" s="4"/>
      <c r="HU1" s="4"/>
      <c r="HV1" s="4"/>
      <c r="HW1" s="4"/>
      <c r="HX1" s="4"/>
      <c r="HY1" s="4"/>
      <c r="HZ1" s="4"/>
      <c r="IA1" s="4"/>
      <c r="IB1" s="4"/>
      <c r="IC1" s="4"/>
      <c r="ID1" s="4"/>
      <c r="IE1" s="4"/>
      <c r="IF1" s="4"/>
      <c r="IG1" s="4"/>
      <c r="IH1" s="4"/>
      <c r="II1" s="4"/>
      <c r="IJ1" s="4"/>
      <c r="IK1" s="4"/>
      <c r="IL1" s="4"/>
      <c r="IM1" s="4"/>
      <c r="IN1" s="4"/>
      <c r="IO1" s="4"/>
      <c r="IP1" s="4"/>
      <c r="IQ1" s="4"/>
      <c r="IR1" s="4"/>
      <c r="IS1" s="4"/>
      <c r="IT1" s="4"/>
      <c r="IU1" s="4"/>
      <c r="IV1" s="4"/>
      <c r="IW1" s="4"/>
      <c r="IX1" s="4"/>
      <c r="IY1" s="4"/>
      <c r="IZ1" s="4"/>
      <c r="JA1" s="4"/>
      <c r="JB1" s="4"/>
      <c r="JC1" s="4"/>
      <c r="JD1" s="4"/>
      <c r="JE1" s="4"/>
      <c r="JF1" s="4"/>
      <c r="JG1" s="4"/>
      <c r="JH1" s="4"/>
      <c r="JI1" s="4"/>
      <c r="JJ1" s="4"/>
      <c r="JK1" s="4"/>
      <c r="JL1" s="4"/>
      <c r="JM1" s="4"/>
      <c r="JN1" s="4"/>
      <c r="JO1" s="4"/>
      <c r="JP1" s="4"/>
      <c r="JQ1" s="4"/>
      <c r="JR1" s="4"/>
      <c r="JS1" s="4"/>
      <c r="JT1" s="4"/>
      <c r="JU1" s="4"/>
      <c r="JV1" s="4"/>
      <c r="JW1" s="4"/>
      <c r="JX1" s="4"/>
      <c r="JY1" s="4"/>
      <c r="JZ1" s="4"/>
      <c r="KA1" s="4"/>
      <c r="KB1" s="4"/>
      <c r="KC1" s="4"/>
      <c r="KD1" s="4"/>
      <c r="KE1" s="4"/>
      <c r="KF1" s="4"/>
      <c r="KG1" s="4"/>
      <c r="KH1" s="4"/>
      <c r="KI1" s="4"/>
      <c r="KJ1" s="4"/>
      <c r="KK1" s="4"/>
      <c r="KL1" s="4"/>
      <c r="KM1" s="4"/>
      <c r="KN1" s="4"/>
      <c r="KO1" s="4"/>
      <c r="KP1" s="4"/>
      <c r="KQ1" s="4"/>
      <c r="KR1" s="4"/>
      <c r="KS1" s="4"/>
      <c r="KT1" s="4"/>
      <c r="KU1" s="4"/>
      <c r="KV1" s="4"/>
      <c r="KW1" s="4"/>
      <c r="KX1" s="4"/>
      <c r="KY1" s="4"/>
      <c r="KZ1" s="4"/>
      <c r="LA1" s="4"/>
      <c r="LB1" s="4"/>
      <c r="LC1" s="4"/>
      <c r="LD1" s="4"/>
      <c r="LE1" s="4"/>
      <c r="LF1" s="4"/>
      <c r="LG1" s="4"/>
      <c r="LH1" s="4"/>
      <c r="LI1" s="4"/>
      <c r="LJ1" s="4"/>
      <c r="LK1" s="4"/>
      <c r="LL1" s="4"/>
      <c r="LM1" s="4"/>
      <c r="LN1" s="4"/>
      <c r="LO1" s="4"/>
      <c r="LP1" s="4"/>
      <c r="LQ1" s="4"/>
      <c r="LR1" s="4"/>
      <c r="LS1" s="4"/>
      <c r="LT1" s="4"/>
      <c r="LU1" s="4"/>
      <c r="LV1" s="4"/>
      <c r="LW1" s="4"/>
      <c r="LX1" s="4"/>
      <c r="LY1" s="4"/>
      <c r="LZ1" s="4"/>
      <c r="MA1" s="4"/>
      <c r="MB1" s="4"/>
      <c r="MC1" s="4"/>
      <c r="MD1" s="4"/>
      <c r="ME1" s="4"/>
      <c r="MF1" s="4"/>
      <c r="MG1" s="4"/>
      <c r="MH1" s="4"/>
      <c r="MI1" s="4"/>
      <c r="MJ1" s="4"/>
      <c r="MK1" s="4"/>
      <c r="ML1" s="4"/>
      <c r="MM1" s="4"/>
      <c r="MN1" s="4"/>
      <c r="MO1" s="4"/>
      <c r="MP1" s="4"/>
      <c r="MQ1" s="4"/>
      <c r="MR1" s="4"/>
      <c r="MS1" s="4"/>
      <c r="MT1" s="4"/>
      <c r="MU1" s="4"/>
      <c r="MV1" s="4"/>
      <c r="MW1" s="4"/>
      <c r="MX1" s="4"/>
      <c r="MY1" s="4"/>
      <c r="MZ1" s="4"/>
      <c r="NA1" s="4"/>
      <c r="NB1" s="4"/>
      <c r="NC1" s="4"/>
      <c r="ND1" s="4"/>
      <c r="NE1" s="4"/>
      <c r="NF1" s="4"/>
      <c r="NG1" s="4"/>
      <c r="NH1" s="4"/>
      <c r="NI1" s="4"/>
      <c r="NJ1" s="4"/>
      <c r="NK1" s="4"/>
      <c r="NL1" s="4"/>
      <c r="NM1" s="4"/>
      <c r="NN1" s="4"/>
      <c r="NO1" s="4"/>
      <c r="NP1" s="4"/>
      <c r="NQ1" s="4"/>
      <c r="NR1" s="4"/>
      <c r="NS1" s="4"/>
      <c r="NT1" s="4"/>
      <c r="NU1" s="4"/>
      <c r="NV1" s="4"/>
      <c r="NW1" s="4"/>
      <c r="NX1" s="4"/>
      <c r="NY1" s="4"/>
      <c r="NZ1" s="4"/>
      <c r="OA1" s="4"/>
      <c r="OB1" s="4"/>
      <c r="OC1" s="4"/>
      <c r="OD1" s="4"/>
      <c r="OE1" s="4"/>
      <c r="OF1" s="4"/>
      <c r="OG1" s="4"/>
      <c r="OH1" s="4"/>
      <c r="OI1" s="4"/>
      <c r="OJ1" s="4"/>
      <c r="OK1" s="4"/>
      <c r="OL1" s="4"/>
      <c r="OM1" s="4"/>
      <c r="ON1" s="4"/>
      <c r="OO1" s="4"/>
      <c r="OP1" s="4"/>
      <c r="OQ1" s="4"/>
      <c r="OR1" s="4"/>
      <c r="OS1" s="4"/>
      <c r="OT1" s="4"/>
      <c r="OU1" s="4"/>
      <c r="OV1" s="4"/>
      <c r="OW1" s="4"/>
      <c r="OX1" s="4"/>
      <c r="OY1" s="4"/>
      <c r="OZ1" s="4"/>
      <c r="PA1" s="4"/>
      <c r="PB1" s="4"/>
      <c r="PC1" s="4"/>
      <c r="PD1" s="4"/>
      <c r="PE1" s="4"/>
      <c r="PF1" s="4"/>
      <c r="PG1" s="4"/>
      <c r="PH1" s="4"/>
      <c r="PI1" s="4"/>
      <c r="PJ1" s="4"/>
      <c r="PK1" s="4"/>
      <c r="PL1" s="4"/>
      <c r="PM1" s="4"/>
      <c r="PN1" s="4"/>
      <c r="PO1" s="4"/>
      <c r="PP1" s="4"/>
      <c r="PQ1" s="4"/>
      <c r="PR1" s="4"/>
      <c r="PS1" s="4"/>
      <c r="PT1" s="4"/>
      <c r="PU1" s="4"/>
      <c r="PV1" s="4"/>
      <c r="PW1" s="4"/>
      <c r="PX1" s="4"/>
      <c r="PY1" s="4"/>
      <c r="PZ1" s="4"/>
      <c r="QA1" s="4"/>
      <c r="QB1" s="4"/>
      <c r="QC1" s="4"/>
      <c r="QD1" s="4"/>
      <c r="QE1" s="4"/>
      <c r="QF1" s="4"/>
      <c r="QG1" s="4"/>
      <c r="QH1" s="4"/>
      <c r="QI1" s="4"/>
      <c r="QJ1" s="4"/>
      <c r="QK1" s="4"/>
      <c r="QL1" s="4"/>
      <c r="QM1" s="4"/>
      <c r="QN1" s="4"/>
      <c r="QO1" s="4"/>
      <c r="QP1" s="4"/>
      <c r="QQ1" s="4"/>
      <c r="QR1" s="4"/>
      <c r="QS1" s="4"/>
      <c r="QT1" s="4"/>
      <c r="QU1" s="4"/>
      <c r="QV1" s="4"/>
      <c r="QW1" s="4"/>
      <c r="QX1" s="4"/>
      <c r="QY1" s="4"/>
      <c r="QZ1" s="4"/>
      <c r="RA1" s="4"/>
      <c r="RB1" s="4"/>
      <c r="RC1" s="4"/>
      <c r="RD1" s="4"/>
      <c r="RE1" s="4"/>
      <c r="RF1" s="4"/>
      <c r="RG1" s="4"/>
      <c r="RH1" s="4"/>
      <c r="RI1" s="4"/>
      <c r="RJ1" s="4"/>
      <c r="RK1" s="4"/>
      <c r="RL1" s="4"/>
      <c r="RM1" s="4"/>
      <c r="RN1" s="4"/>
      <c r="RO1" s="4"/>
      <c r="RP1" s="4"/>
      <c r="RQ1" s="4"/>
      <c r="RR1" s="4"/>
      <c r="RS1" s="4"/>
      <c r="RT1" s="4"/>
      <c r="RU1" s="4"/>
      <c r="RV1" s="4"/>
      <c r="RW1" s="4"/>
      <c r="RX1" s="4"/>
      <c r="RY1" s="4"/>
      <c r="RZ1" s="4"/>
      <c r="SA1" s="4"/>
      <c r="SB1" s="4"/>
      <c r="SC1" s="4"/>
      <c r="SD1" s="4"/>
      <c r="SE1" s="4"/>
      <c r="SF1" s="4"/>
      <c r="SG1" s="4"/>
      <c r="SH1" s="4"/>
      <c r="SI1" s="4"/>
      <c r="SJ1" s="4"/>
      <c r="SK1" s="4"/>
      <c r="SL1" s="4"/>
      <c r="SM1" s="4"/>
      <c r="SN1" s="4"/>
      <c r="SO1" s="4"/>
      <c r="SP1" s="4"/>
      <c r="SQ1" s="4"/>
      <c r="SR1" s="4"/>
      <c r="SS1" s="4"/>
      <c r="ST1" s="4"/>
      <c r="SU1" s="4"/>
      <c r="SV1" s="4"/>
      <c r="SW1" s="4"/>
      <c r="SX1" s="4"/>
      <c r="SY1" s="4"/>
      <c r="SZ1" s="4"/>
      <c r="TA1" s="4"/>
      <c r="TB1" s="4"/>
      <c r="TC1" s="4"/>
      <c r="TD1" s="4"/>
      <c r="TE1" s="4"/>
      <c r="TF1" s="4"/>
      <c r="TG1" s="4"/>
      <c r="TH1" s="4"/>
      <c r="TI1" s="4"/>
      <c r="TJ1" s="4"/>
      <c r="TK1" s="4"/>
      <c r="TL1" s="4"/>
      <c r="TM1" s="4"/>
      <c r="TN1" s="4"/>
      <c r="TO1" s="4"/>
      <c r="TP1" s="4"/>
      <c r="TQ1" s="4"/>
      <c r="TR1" s="4"/>
      <c r="TS1" s="4"/>
      <c r="TT1" s="4"/>
      <c r="TU1" s="4"/>
      <c r="TV1" s="4"/>
      <c r="TW1" s="4"/>
      <c r="TX1" s="4"/>
      <c r="TY1" s="4"/>
      <c r="TZ1" s="4"/>
      <c r="UA1" s="4"/>
      <c r="UB1" s="4"/>
      <c r="UC1" s="4"/>
      <c r="UD1" s="4"/>
      <c r="UE1" s="4"/>
      <c r="UF1" s="4"/>
      <c r="UG1" s="4"/>
      <c r="UH1" s="4"/>
      <c r="UI1" s="4"/>
      <c r="UJ1" s="4"/>
      <c r="UK1" s="4"/>
      <c r="UL1" s="4"/>
      <c r="UM1" s="4"/>
      <c r="UN1" s="4"/>
      <c r="UO1" s="4"/>
      <c r="UP1" s="4"/>
      <c r="UQ1" s="4"/>
      <c r="UR1" s="4"/>
      <c r="US1" s="4"/>
      <c r="UT1" s="4"/>
      <c r="UU1" s="4"/>
      <c r="UV1" s="4"/>
      <c r="UW1" s="4"/>
      <c r="UX1" s="4"/>
      <c r="UY1" s="4"/>
      <c r="UZ1" s="4"/>
      <c r="VA1" s="4"/>
      <c r="VB1" s="4"/>
      <c r="VC1" s="4"/>
      <c r="VD1" s="4"/>
      <c r="VE1" s="4"/>
      <c r="VF1" s="4"/>
      <c r="VG1" s="4"/>
      <c r="VH1" s="4"/>
      <c r="VI1" s="4"/>
      <c r="VJ1" s="4"/>
      <c r="VK1" s="4"/>
      <c r="VL1" s="4"/>
      <c r="VM1" s="4"/>
      <c r="VN1" s="4"/>
      <c r="VO1" s="4"/>
      <c r="VP1" s="4"/>
      <c r="VQ1" s="4"/>
      <c r="VR1" s="4"/>
      <c r="VS1" s="4"/>
      <c r="VT1" s="4"/>
      <c r="VU1" s="4"/>
      <c r="VV1" s="4"/>
      <c r="VW1" s="4"/>
      <c r="VX1" s="4"/>
      <c r="VY1" s="4"/>
      <c r="VZ1" s="4"/>
      <c r="WA1" s="4"/>
      <c r="WB1" s="4"/>
      <c r="WC1" s="4"/>
      <c r="WD1" s="4"/>
      <c r="WE1" s="4"/>
      <c r="WF1" s="4"/>
      <c r="WG1" s="4"/>
      <c r="WH1" s="4"/>
      <c r="WI1" s="4"/>
      <c r="WJ1" s="4"/>
      <c r="WK1" s="4"/>
      <c r="WL1" s="4"/>
      <c r="WM1" s="4"/>
      <c r="WN1" s="4"/>
      <c r="WO1" s="4"/>
      <c r="WP1" s="4"/>
      <c r="WQ1" s="4"/>
      <c r="WR1" s="4"/>
      <c r="WS1" s="4"/>
      <c r="WT1" s="4"/>
      <c r="WU1" s="4"/>
      <c r="WV1" s="4"/>
      <c r="WW1" s="4"/>
      <c r="WX1" s="4"/>
      <c r="WY1" s="4"/>
      <c r="WZ1" s="4"/>
      <c r="XA1" s="4"/>
      <c r="XB1" s="4"/>
      <c r="XC1" s="4"/>
      <c r="XD1" s="4"/>
      <c r="XE1" s="4"/>
      <c r="XF1" s="4"/>
      <c r="XG1" s="4"/>
      <c r="XH1" s="4"/>
      <c r="XI1" s="4"/>
      <c r="XJ1" s="4"/>
      <c r="XK1" s="4"/>
      <c r="XL1" s="4"/>
      <c r="XM1" s="4"/>
      <c r="XN1" s="4"/>
      <c r="XO1" s="4"/>
      <c r="XP1" s="4"/>
      <c r="XQ1" s="4"/>
      <c r="XR1" s="4"/>
      <c r="XS1" s="4"/>
      <c r="XT1" s="4"/>
      <c r="XU1" s="4"/>
      <c r="XV1" s="4"/>
      <c r="XW1" s="4"/>
      <c r="XX1" s="4"/>
      <c r="XY1" s="4"/>
      <c r="XZ1" s="4"/>
      <c r="YA1" s="4"/>
      <c r="YB1" s="4"/>
      <c r="YC1" s="4"/>
      <c r="YD1" s="4"/>
      <c r="YE1" s="4"/>
      <c r="YF1" s="4"/>
      <c r="YG1" s="4"/>
      <c r="YH1" s="4"/>
      <c r="YI1" s="4"/>
      <c r="YJ1" s="4"/>
      <c r="YK1" s="4"/>
      <c r="YL1" s="4"/>
      <c r="YM1" s="4"/>
      <c r="YN1" s="4"/>
      <c r="YO1" s="4"/>
      <c r="YP1" s="4"/>
      <c r="YQ1" s="4"/>
      <c r="YR1" s="4"/>
      <c r="YS1" s="4"/>
      <c r="YT1" s="4"/>
      <c r="YU1" s="4"/>
      <c r="YV1" s="4"/>
      <c r="YW1" s="4"/>
      <c r="YX1" s="4"/>
      <c r="YY1" s="4"/>
      <c r="YZ1" s="4"/>
      <c r="ZA1" s="4"/>
      <c r="ZB1" s="4"/>
      <c r="ZC1" s="4"/>
      <c r="ZD1" s="4"/>
      <c r="ZE1" s="4"/>
      <c r="ZF1" s="4"/>
      <c r="ZG1" s="4"/>
      <c r="ZH1" s="4"/>
      <c r="ZI1" s="4"/>
      <c r="ZJ1" s="4"/>
      <c r="ZK1" s="4"/>
      <c r="ZL1" s="4"/>
      <c r="ZM1" s="4"/>
      <c r="ZN1" s="4"/>
      <c r="ZO1" s="4"/>
      <c r="ZP1" s="4"/>
      <c r="ZQ1" s="4"/>
      <c r="ZR1" s="4"/>
      <c r="ZS1" s="4"/>
      <c r="ZT1" s="4"/>
      <c r="ZU1" s="4"/>
      <c r="ZV1" s="4"/>
      <c r="ZW1" s="4"/>
      <c r="ZX1" s="4"/>
      <c r="ZY1" s="4"/>
      <c r="ZZ1" s="4"/>
      <c r="AAA1" s="4"/>
      <c r="AAB1" s="4"/>
      <c r="AAC1" s="4"/>
      <c r="AAD1" s="4"/>
      <c r="AAE1" s="4"/>
      <c r="AAF1" s="4"/>
      <c r="AAG1" s="4"/>
      <c r="AAH1" s="4"/>
      <c r="AAI1" s="4"/>
      <c r="AAJ1" s="4"/>
      <c r="AAK1" s="4"/>
      <c r="AAL1" s="4"/>
      <c r="AAM1" s="4"/>
      <c r="AAN1" s="4"/>
      <c r="AAO1" s="4"/>
      <c r="AAP1" s="4"/>
      <c r="AAQ1" s="4"/>
      <c r="AAR1" s="4"/>
      <c r="AAS1" s="4"/>
      <c r="AAT1" s="4"/>
      <c r="AAU1" s="4"/>
      <c r="AAV1" s="4"/>
      <c r="AAW1" s="4"/>
      <c r="AAX1" s="4"/>
      <c r="AAY1" s="4"/>
      <c r="AAZ1" s="4"/>
      <c r="ABA1" s="4"/>
      <c r="ABB1" s="4"/>
      <c r="ABC1" s="4"/>
      <c r="ABD1" s="4"/>
      <c r="ABE1" s="4"/>
      <c r="ABF1" s="4"/>
      <c r="ABG1" s="4"/>
      <c r="ABH1" s="4"/>
      <c r="ABI1" s="4"/>
      <c r="ABJ1" s="4"/>
      <c r="ABK1" s="4"/>
      <c r="ABL1" s="4"/>
      <c r="ABM1" s="4"/>
      <c r="ABN1" s="4"/>
      <c r="ABO1" s="4"/>
      <c r="ABP1" s="4"/>
      <c r="ABQ1" s="4"/>
      <c r="ABR1" s="4"/>
      <c r="ABS1" s="4"/>
      <c r="ABT1" s="4"/>
      <c r="ABU1" s="4"/>
      <c r="ABV1" s="4"/>
      <c r="ABW1" s="4"/>
      <c r="ABX1" s="4"/>
      <c r="ABY1" s="4"/>
      <c r="ABZ1" s="4"/>
      <c r="ACA1" s="4"/>
      <c r="ACB1" s="4"/>
      <c r="ACC1" s="4"/>
      <c r="ACD1" s="4"/>
      <c r="ACE1" s="4"/>
      <c r="ACF1" s="4"/>
      <c r="ACG1" s="4"/>
      <c r="ACH1" s="4"/>
      <c r="ACI1" s="4"/>
      <c r="ACJ1" s="4"/>
      <c r="ACK1" s="4"/>
      <c r="ACL1" s="4"/>
      <c r="ACM1" s="4"/>
      <c r="ACN1" s="4"/>
      <c r="ACO1" s="4"/>
      <c r="ACP1" s="4"/>
      <c r="ACQ1" s="4"/>
      <c r="ACR1" s="4"/>
      <c r="ACS1" s="4"/>
      <c r="ACT1" s="4"/>
      <c r="ACU1" s="4"/>
      <c r="ACV1" s="4"/>
      <c r="ACW1" s="4"/>
      <c r="ACX1" s="4"/>
      <c r="ACY1" s="4"/>
      <c r="ACZ1" s="4"/>
      <c r="ADA1" s="4"/>
      <c r="ADB1" s="4"/>
      <c r="ADC1" s="4"/>
      <c r="ADD1" s="4"/>
      <c r="ADE1" s="4"/>
      <c r="ADF1" s="4"/>
      <c r="ADG1" s="4"/>
      <c r="ADH1" s="4"/>
      <c r="ADI1" s="4"/>
      <c r="ADJ1" s="4"/>
      <c r="ADK1" s="4"/>
      <c r="ADL1" s="4"/>
      <c r="ADM1" s="4"/>
      <c r="ADN1" s="4"/>
      <c r="ADO1" s="4"/>
      <c r="ADP1" s="4"/>
      <c r="ADQ1" s="4"/>
      <c r="ADR1" s="4"/>
      <c r="ADS1" s="4"/>
      <c r="ADT1" s="4"/>
      <c r="ADU1" s="4"/>
      <c r="ADV1" s="4"/>
      <c r="ADW1" s="4"/>
      <c r="ADX1" s="4"/>
      <c r="ADY1" s="4"/>
      <c r="ADZ1" s="4"/>
      <c r="AEA1" s="4"/>
      <c r="AEB1" s="4"/>
      <c r="AEC1" s="4"/>
      <c r="AED1" s="4"/>
      <c r="AEE1" s="4"/>
      <c r="AEF1" s="4"/>
      <c r="AEG1" s="4"/>
      <c r="AEH1" s="4"/>
      <c r="AEI1" s="4"/>
      <c r="AEJ1" s="4"/>
      <c r="AEK1" s="4"/>
      <c r="AEL1" s="4"/>
      <c r="AEM1" s="4"/>
      <c r="AEN1" s="4"/>
      <c r="AEO1" s="4"/>
      <c r="AEP1" s="4"/>
      <c r="AEQ1" s="4"/>
      <c r="AER1" s="4"/>
      <c r="AES1" s="4"/>
      <c r="AET1" s="4"/>
      <c r="AEU1" s="4"/>
      <c r="AEV1" s="4"/>
      <c r="AEW1" s="4"/>
      <c r="AEX1" s="4"/>
      <c r="AEY1" s="4"/>
      <c r="AEZ1" s="4"/>
      <c r="AFA1" s="4"/>
      <c r="AFB1" s="4"/>
      <c r="AFC1" s="4"/>
      <c r="AFD1" s="4"/>
      <c r="AFE1" s="4"/>
      <c r="AFF1" s="4"/>
      <c r="AFG1" s="4"/>
      <c r="AFH1" s="4"/>
      <c r="AFI1" s="4"/>
      <c r="AFJ1" s="4"/>
      <c r="AFK1" s="4"/>
      <c r="AFL1" s="4"/>
      <c r="AFM1" s="4"/>
      <c r="AFN1" s="4"/>
      <c r="AFO1" s="4"/>
      <c r="AFP1" s="4"/>
      <c r="AFQ1" s="4"/>
      <c r="AFR1" s="4"/>
      <c r="AFS1" s="4"/>
      <c r="AFT1" s="4"/>
      <c r="AFU1" s="4"/>
      <c r="AFV1" s="4"/>
      <c r="AFW1" s="4"/>
      <c r="AFX1" s="4"/>
      <c r="AFY1" s="4"/>
      <c r="AFZ1" s="4"/>
      <c r="AGA1" s="4"/>
      <c r="AGB1" s="4"/>
      <c r="AGC1" s="4"/>
      <c r="AGD1" s="4"/>
      <c r="AGE1" s="4"/>
      <c r="AGF1" s="4"/>
      <c r="AGG1" s="4"/>
      <c r="AGH1" s="4"/>
      <c r="AGI1" s="4"/>
      <c r="AGJ1" s="4"/>
      <c r="AGK1" s="4"/>
      <c r="AGL1" s="4"/>
      <c r="AGM1" s="4"/>
      <c r="AGN1" s="4"/>
      <c r="AGO1" s="4"/>
      <c r="AGP1" s="4"/>
      <c r="AGQ1" s="4"/>
      <c r="AGR1" s="4"/>
      <c r="AGS1" s="4"/>
      <c r="AGT1" s="4"/>
      <c r="AGU1" s="4"/>
      <c r="AGV1" s="4"/>
      <c r="AGW1" s="4"/>
      <c r="AGX1" s="4"/>
      <c r="AGY1" s="4"/>
      <c r="AGZ1" s="4"/>
      <c r="AHA1" s="4"/>
      <c r="AHB1" s="4"/>
      <c r="AHC1" s="4"/>
      <c r="AHD1" s="4"/>
      <c r="AHE1" s="4"/>
      <c r="AHF1" s="4"/>
      <c r="AHG1" s="4"/>
      <c r="AHH1" s="4"/>
      <c r="AHI1" s="4"/>
      <c r="AHJ1" s="4"/>
      <c r="AHK1" s="4"/>
      <c r="AHL1" s="4"/>
      <c r="AHM1" s="4"/>
      <c r="AHN1" s="4"/>
      <c r="AHO1" s="4"/>
      <c r="AHP1" s="4"/>
      <c r="AHQ1" s="4"/>
      <c r="AHR1" s="4"/>
      <c r="AHS1" s="4"/>
      <c r="AHT1" s="4"/>
      <c r="AHU1" s="4"/>
      <c r="AHV1" s="4"/>
      <c r="AHW1" s="4"/>
      <c r="AHX1" s="4"/>
      <c r="AHY1" s="4"/>
      <c r="AHZ1" s="4"/>
      <c r="AIA1" s="4"/>
      <c r="AIB1" s="4"/>
      <c r="AIC1" s="4"/>
      <c r="AID1" s="4"/>
      <c r="AIE1" s="4"/>
      <c r="AIF1" s="4"/>
      <c r="AIG1" s="4"/>
      <c r="AIH1" s="4"/>
      <c r="AII1" s="4"/>
      <c r="AIJ1" s="4"/>
      <c r="AIK1" s="4"/>
      <c r="AIL1" s="4"/>
      <c r="AIM1" s="4"/>
      <c r="AIN1" s="4"/>
      <c r="AIO1" s="4"/>
      <c r="AIP1" s="4"/>
      <c r="AIQ1" s="4"/>
      <c r="AIR1" s="4"/>
      <c r="AIS1" s="4"/>
      <c r="AIT1" s="4"/>
      <c r="AIU1" s="4"/>
      <c r="AIV1" s="4"/>
      <c r="AIW1" s="4"/>
      <c r="AIX1" s="4"/>
      <c r="AIY1" s="4"/>
      <c r="AIZ1" s="4"/>
      <c r="AJA1" s="4"/>
      <c r="AJB1" s="4"/>
      <c r="AJC1" s="4"/>
      <c r="AJD1" s="4"/>
      <c r="AJE1" s="4"/>
      <c r="AJF1" s="4"/>
      <c r="AJG1" s="4"/>
      <c r="AJH1" s="4"/>
      <c r="AJI1" s="4"/>
      <c r="AJJ1" s="4"/>
      <c r="AJK1" s="4"/>
      <c r="AJL1" s="4"/>
      <c r="AJM1" s="4"/>
      <c r="AJN1" s="4"/>
      <c r="AJO1" s="4"/>
      <c r="AJP1" s="4"/>
      <c r="AJQ1" s="4"/>
      <c r="AJR1" s="4"/>
      <c r="AJS1" s="4"/>
      <c r="AJT1" s="4"/>
      <c r="AJU1" s="4"/>
      <c r="AJV1" s="4"/>
      <c r="AJW1" s="4"/>
      <c r="AJX1" s="4"/>
      <c r="AJY1" s="4"/>
      <c r="AJZ1" s="4"/>
      <c r="AKA1" s="4"/>
      <c r="AKB1" s="4"/>
      <c r="AKC1" s="4"/>
      <c r="AKD1" s="4"/>
      <c r="AKE1" s="4"/>
      <c r="AKF1" s="4"/>
      <c r="AKG1" s="4"/>
      <c r="AKH1" s="4"/>
      <c r="AKI1" s="4"/>
      <c r="AKJ1" s="4"/>
      <c r="AKK1" s="4"/>
      <c r="AKL1" s="4"/>
      <c r="AKM1" s="4"/>
      <c r="AKN1" s="4"/>
      <c r="AKO1" s="4"/>
      <c r="AKP1" s="4"/>
      <c r="AKQ1" s="4"/>
      <c r="AKR1" s="4"/>
      <c r="AKS1" s="4"/>
      <c r="AKT1" s="4"/>
      <c r="AKU1" s="4"/>
      <c r="AKV1" s="4"/>
      <c r="AKW1" s="4"/>
      <c r="AKX1" s="4"/>
      <c r="AKY1" s="4"/>
      <c r="AKZ1" s="4"/>
      <c r="ALA1" s="4"/>
      <c r="ALB1" s="4"/>
      <c r="ALC1" s="4"/>
      <c r="ALD1" s="4"/>
      <c r="ALE1" s="4"/>
      <c r="ALF1" s="4"/>
      <c r="ALG1" s="4"/>
      <c r="ALH1" s="4"/>
      <c r="ALI1" s="4"/>
      <c r="ALJ1" s="4"/>
      <c r="ALK1" s="4"/>
      <c r="ALL1" s="4"/>
      <c r="ALM1" s="4"/>
      <c r="ALN1" s="4"/>
      <c r="ALO1" s="4"/>
      <c r="ALP1" s="4"/>
      <c r="ALQ1" s="4"/>
      <c r="ALR1" s="4"/>
      <c r="ALS1" s="4"/>
      <c r="ALT1" s="4"/>
      <c r="ALU1" s="4"/>
      <c r="ALV1" s="4"/>
      <c r="ALW1" s="4"/>
      <c r="ALX1" s="4"/>
      <c r="ALY1" s="4"/>
      <c r="ALZ1" s="4"/>
      <c r="AMA1" s="4"/>
      <c r="AMB1" s="4"/>
      <c r="AMC1" s="4"/>
      <c r="AMD1" s="4"/>
      <c r="AME1" s="4"/>
      <c r="AMF1" s="4"/>
      <c r="AMG1" s="4"/>
      <c r="AMH1" s="4"/>
    </row>
    <row r="2" spans="1:1022">
      <c r="A2" s="4" t="s">
        <v>2744</v>
      </c>
      <c r="B2" s="4" t="s">
        <v>171</v>
      </c>
      <c r="C2" s="4" t="str">
        <f t="shared" si="0"/>
        <v>att_user_research_group:gloeckner</v>
      </c>
      <c r="D2" s="4" t="s">
        <v>12</v>
      </c>
      <c r="E2" s="4" t="s">
        <v>2745</v>
      </c>
      <c r="F2" s="4" t="s">
        <v>2746</v>
      </c>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c r="BO2" s="4"/>
      <c r="BP2" s="4"/>
      <c r="BQ2" s="4"/>
      <c r="BR2" s="4"/>
      <c r="BS2" s="4"/>
      <c r="BT2" s="4"/>
      <c r="BU2" s="4"/>
      <c r="BV2" s="4"/>
      <c r="BW2" s="4"/>
      <c r="BX2" s="4"/>
      <c r="BY2" s="4"/>
      <c r="BZ2" s="4"/>
      <c r="CA2" s="4"/>
      <c r="CB2" s="4"/>
      <c r="CC2" s="4"/>
      <c r="CD2" s="4"/>
      <c r="CE2" s="4"/>
      <c r="CF2" s="4"/>
      <c r="CG2" s="4"/>
      <c r="CH2" s="4"/>
      <c r="CI2" s="4"/>
      <c r="CJ2" s="4"/>
      <c r="CK2" s="4"/>
      <c r="CL2" s="4"/>
      <c r="CM2" s="4"/>
      <c r="CN2" s="4"/>
      <c r="CO2" s="4"/>
      <c r="CP2" s="4"/>
      <c r="CQ2" s="4"/>
      <c r="CR2" s="4"/>
      <c r="CS2" s="4"/>
      <c r="CT2" s="4"/>
      <c r="CU2" s="4"/>
      <c r="CV2" s="4"/>
      <c r="CW2" s="4"/>
      <c r="CX2" s="4"/>
      <c r="CY2" s="4"/>
      <c r="CZ2" s="4"/>
      <c r="DA2" s="4"/>
      <c r="DB2" s="4"/>
      <c r="DC2" s="4"/>
      <c r="DD2" s="4"/>
      <c r="DE2" s="4"/>
      <c r="DF2" s="4"/>
      <c r="DG2" s="4"/>
      <c r="DH2" s="4"/>
      <c r="DI2" s="4"/>
      <c r="DJ2" s="4"/>
      <c r="DK2" s="4"/>
      <c r="DL2" s="4"/>
      <c r="DM2" s="4"/>
      <c r="DN2" s="4"/>
      <c r="DO2" s="4"/>
      <c r="DP2" s="4"/>
      <c r="DQ2" s="4"/>
      <c r="DR2" s="4"/>
      <c r="DS2" s="4"/>
      <c r="DT2" s="4"/>
      <c r="DU2" s="4"/>
      <c r="DV2" s="4"/>
      <c r="DW2" s="4"/>
      <c r="DX2" s="4"/>
      <c r="DY2" s="4"/>
      <c r="DZ2" s="4"/>
      <c r="EA2" s="4"/>
      <c r="EB2" s="4"/>
      <c r="EC2" s="4"/>
      <c r="ED2" s="4"/>
      <c r="EE2" s="4"/>
      <c r="EF2" s="4"/>
      <c r="EG2" s="4"/>
      <c r="EH2" s="4"/>
      <c r="EI2" s="4"/>
      <c r="EJ2" s="4"/>
      <c r="EK2" s="4"/>
      <c r="EL2" s="4"/>
      <c r="EM2" s="4"/>
      <c r="EN2" s="4"/>
      <c r="EO2" s="4"/>
      <c r="EP2" s="4"/>
      <c r="EQ2" s="4"/>
      <c r="ER2" s="4"/>
      <c r="ES2" s="4"/>
      <c r="ET2" s="4"/>
      <c r="EU2" s="4"/>
      <c r="EV2" s="4"/>
      <c r="EW2" s="4"/>
      <c r="EX2" s="4"/>
      <c r="EY2" s="4"/>
      <c r="EZ2" s="4"/>
      <c r="FA2" s="4"/>
      <c r="FB2" s="4"/>
      <c r="FC2" s="4"/>
      <c r="FD2" s="4"/>
      <c r="FE2" s="4"/>
      <c r="FF2" s="4"/>
      <c r="FG2" s="4"/>
      <c r="FH2" s="4"/>
      <c r="FI2" s="4"/>
      <c r="FJ2" s="4"/>
      <c r="FK2" s="4"/>
      <c r="FL2" s="4"/>
      <c r="FM2" s="4"/>
      <c r="FN2" s="4"/>
      <c r="FO2" s="4"/>
      <c r="FP2" s="4"/>
      <c r="FQ2" s="4"/>
      <c r="FR2" s="4"/>
      <c r="FS2" s="4"/>
      <c r="FT2" s="4"/>
      <c r="FU2" s="4"/>
      <c r="FV2" s="4"/>
      <c r="FW2" s="4"/>
      <c r="FX2" s="4"/>
      <c r="FY2" s="4"/>
      <c r="FZ2" s="4"/>
      <c r="GA2" s="4"/>
      <c r="GB2" s="4"/>
      <c r="GC2" s="4"/>
      <c r="GD2" s="4"/>
      <c r="GE2" s="4"/>
      <c r="GF2" s="4"/>
      <c r="GG2" s="4"/>
      <c r="GH2" s="4"/>
      <c r="GI2" s="4"/>
      <c r="GJ2" s="4"/>
      <c r="GK2" s="4"/>
      <c r="GL2" s="4"/>
      <c r="GM2" s="4"/>
      <c r="GN2" s="4"/>
      <c r="GO2" s="4"/>
      <c r="GP2" s="4"/>
      <c r="GQ2" s="4"/>
      <c r="GR2" s="4"/>
      <c r="GS2" s="4"/>
      <c r="GT2" s="4"/>
      <c r="GU2" s="4"/>
      <c r="GV2" s="4"/>
      <c r="GW2" s="4"/>
      <c r="GX2" s="4"/>
      <c r="GY2" s="4"/>
      <c r="GZ2" s="4"/>
      <c r="HA2" s="4"/>
      <c r="HB2" s="4"/>
      <c r="HC2" s="4"/>
      <c r="HD2" s="4"/>
      <c r="HE2" s="4"/>
      <c r="HF2" s="4"/>
      <c r="HG2" s="4"/>
      <c r="HH2" s="4"/>
      <c r="HI2" s="4"/>
      <c r="HJ2" s="4"/>
      <c r="HK2" s="4"/>
      <c r="HL2" s="4"/>
      <c r="HM2" s="4"/>
      <c r="HN2" s="4"/>
      <c r="HO2" s="4"/>
      <c r="HP2" s="4"/>
      <c r="HQ2" s="4"/>
      <c r="HR2" s="4"/>
      <c r="HS2" s="4"/>
      <c r="HT2" s="4"/>
      <c r="HU2" s="4"/>
      <c r="HV2" s="4"/>
      <c r="HW2" s="4"/>
      <c r="HX2" s="4"/>
      <c r="HY2" s="4"/>
      <c r="HZ2" s="4"/>
      <c r="IA2" s="4"/>
      <c r="IB2" s="4"/>
      <c r="IC2" s="4"/>
      <c r="ID2" s="4"/>
      <c r="IE2" s="4"/>
      <c r="IF2" s="4"/>
      <c r="IG2" s="4"/>
      <c r="IH2" s="4"/>
      <c r="II2" s="4"/>
      <c r="IJ2" s="4"/>
      <c r="IK2" s="4"/>
      <c r="IL2" s="4"/>
      <c r="IM2" s="4"/>
      <c r="IN2" s="4"/>
      <c r="IO2" s="4"/>
      <c r="IP2" s="4"/>
      <c r="IQ2" s="4"/>
      <c r="IR2" s="4"/>
      <c r="IS2" s="4"/>
      <c r="IT2" s="4"/>
      <c r="IU2" s="4"/>
      <c r="IV2" s="4"/>
      <c r="IW2" s="4"/>
      <c r="IX2" s="4"/>
      <c r="IY2" s="4"/>
      <c r="IZ2" s="4"/>
      <c r="JA2" s="4"/>
      <c r="JB2" s="4"/>
      <c r="JC2" s="4"/>
      <c r="JD2" s="4"/>
      <c r="JE2" s="4"/>
      <c r="JF2" s="4"/>
      <c r="JG2" s="4"/>
      <c r="JH2" s="4"/>
      <c r="JI2" s="4"/>
      <c r="JJ2" s="4"/>
      <c r="JK2" s="4"/>
      <c r="JL2" s="4"/>
      <c r="JM2" s="4"/>
      <c r="JN2" s="4"/>
      <c r="JO2" s="4"/>
      <c r="JP2" s="4"/>
      <c r="JQ2" s="4"/>
      <c r="JR2" s="4"/>
      <c r="JS2" s="4"/>
      <c r="JT2" s="4"/>
      <c r="JU2" s="4"/>
      <c r="JV2" s="4"/>
      <c r="JW2" s="4"/>
      <c r="JX2" s="4"/>
      <c r="JY2" s="4"/>
      <c r="JZ2" s="4"/>
      <c r="KA2" s="4"/>
      <c r="KB2" s="4"/>
      <c r="KC2" s="4"/>
      <c r="KD2" s="4"/>
      <c r="KE2" s="4"/>
      <c r="KF2" s="4"/>
      <c r="KG2" s="4"/>
      <c r="KH2" s="4"/>
      <c r="KI2" s="4"/>
      <c r="KJ2" s="4"/>
      <c r="KK2" s="4"/>
      <c r="KL2" s="4"/>
      <c r="KM2" s="4"/>
      <c r="KN2" s="4"/>
      <c r="KO2" s="4"/>
      <c r="KP2" s="4"/>
      <c r="KQ2" s="4"/>
      <c r="KR2" s="4"/>
      <c r="KS2" s="4"/>
      <c r="KT2" s="4"/>
      <c r="KU2" s="4"/>
      <c r="KV2" s="4"/>
      <c r="KW2" s="4"/>
      <c r="KX2" s="4"/>
      <c r="KY2" s="4"/>
      <c r="KZ2" s="4"/>
      <c r="LA2" s="4"/>
      <c r="LB2" s="4"/>
      <c r="LC2" s="4"/>
      <c r="LD2" s="4"/>
      <c r="LE2" s="4"/>
      <c r="LF2" s="4"/>
      <c r="LG2" s="4"/>
      <c r="LH2" s="4"/>
      <c r="LI2" s="4"/>
      <c r="LJ2" s="4"/>
      <c r="LK2" s="4"/>
      <c r="LL2" s="4"/>
      <c r="LM2" s="4"/>
      <c r="LN2" s="4"/>
      <c r="LO2" s="4"/>
      <c r="LP2" s="4"/>
      <c r="LQ2" s="4"/>
      <c r="LR2" s="4"/>
      <c r="LS2" s="4"/>
      <c r="LT2" s="4"/>
      <c r="LU2" s="4"/>
      <c r="LV2" s="4"/>
      <c r="LW2" s="4"/>
      <c r="LX2" s="4"/>
      <c r="LY2" s="4"/>
      <c r="LZ2" s="4"/>
      <c r="MA2" s="4"/>
      <c r="MB2" s="4"/>
      <c r="MC2" s="4"/>
      <c r="MD2" s="4"/>
      <c r="ME2" s="4"/>
      <c r="MF2" s="4"/>
      <c r="MG2" s="4"/>
      <c r="MH2" s="4"/>
      <c r="MI2" s="4"/>
      <c r="MJ2" s="4"/>
      <c r="MK2" s="4"/>
      <c r="ML2" s="4"/>
      <c r="MM2" s="4"/>
      <c r="MN2" s="4"/>
      <c r="MO2" s="4"/>
      <c r="MP2" s="4"/>
      <c r="MQ2" s="4"/>
      <c r="MR2" s="4"/>
      <c r="MS2" s="4"/>
      <c r="MT2" s="4"/>
      <c r="MU2" s="4"/>
      <c r="MV2" s="4"/>
      <c r="MW2" s="4"/>
      <c r="MX2" s="4"/>
      <c r="MY2" s="4"/>
      <c r="MZ2" s="4"/>
      <c r="NA2" s="4"/>
      <c r="NB2" s="4"/>
      <c r="NC2" s="4"/>
      <c r="ND2" s="4"/>
      <c r="NE2" s="4"/>
      <c r="NF2" s="4"/>
      <c r="NG2" s="4"/>
      <c r="NH2" s="4"/>
      <c r="NI2" s="4"/>
      <c r="NJ2" s="4"/>
      <c r="NK2" s="4"/>
      <c r="NL2" s="4"/>
      <c r="NM2" s="4"/>
      <c r="NN2" s="4"/>
      <c r="NO2" s="4"/>
      <c r="NP2" s="4"/>
      <c r="NQ2" s="4"/>
      <c r="NR2" s="4"/>
      <c r="NS2" s="4"/>
      <c r="NT2" s="4"/>
      <c r="NU2" s="4"/>
      <c r="NV2" s="4"/>
      <c r="NW2" s="4"/>
      <c r="NX2" s="4"/>
      <c r="NY2" s="4"/>
      <c r="NZ2" s="4"/>
      <c r="OA2" s="4"/>
      <c r="OB2" s="4"/>
      <c r="OC2" s="4"/>
      <c r="OD2" s="4"/>
      <c r="OE2" s="4"/>
      <c r="OF2" s="4"/>
      <c r="OG2" s="4"/>
      <c r="OH2" s="4"/>
      <c r="OI2" s="4"/>
      <c r="OJ2" s="4"/>
      <c r="OK2" s="4"/>
      <c r="OL2" s="4"/>
      <c r="OM2" s="4"/>
      <c r="ON2" s="4"/>
      <c r="OO2" s="4"/>
      <c r="OP2" s="4"/>
      <c r="OQ2" s="4"/>
      <c r="OR2" s="4"/>
      <c r="OS2" s="4"/>
      <c r="OT2" s="4"/>
      <c r="OU2" s="4"/>
      <c r="OV2" s="4"/>
      <c r="OW2" s="4"/>
      <c r="OX2" s="4"/>
      <c r="OY2" s="4"/>
      <c r="OZ2" s="4"/>
      <c r="PA2" s="4"/>
      <c r="PB2" s="4"/>
      <c r="PC2" s="4"/>
      <c r="PD2" s="4"/>
      <c r="PE2" s="4"/>
      <c r="PF2" s="4"/>
      <c r="PG2" s="4"/>
      <c r="PH2" s="4"/>
      <c r="PI2" s="4"/>
      <c r="PJ2" s="4"/>
      <c r="PK2" s="4"/>
      <c r="PL2" s="4"/>
      <c r="PM2" s="4"/>
      <c r="PN2" s="4"/>
      <c r="PO2" s="4"/>
      <c r="PP2" s="4"/>
      <c r="PQ2" s="4"/>
      <c r="PR2" s="4"/>
      <c r="PS2" s="4"/>
      <c r="PT2" s="4"/>
      <c r="PU2" s="4"/>
      <c r="PV2" s="4"/>
      <c r="PW2" s="4"/>
      <c r="PX2" s="4"/>
      <c r="PY2" s="4"/>
      <c r="PZ2" s="4"/>
      <c r="QA2" s="4"/>
      <c r="QB2" s="4"/>
      <c r="QC2" s="4"/>
      <c r="QD2" s="4"/>
      <c r="QE2" s="4"/>
      <c r="QF2" s="4"/>
      <c r="QG2" s="4"/>
      <c r="QH2" s="4"/>
      <c r="QI2" s="4"/>
      <c r="QJ2" s="4"/>
      <c r="QK2" s="4"/>
      <c r="QL2" s="4"/>
      <c r="QM2" s="4"/>
      <c r="QN2" s="4"/>
      <c r="QO2" s="4"/>
      <c r="QP2" s="4"/>
      <c r="QQ2" s="4"/>
      <c r="QR2" s="4"/>
      <c r="QS2" s="4"/>
      <c r="QT2" s="4"/>
      <c r="QU2" s="4"/>
      <c r="QV2" s="4"/>
      <c r="QW2" s="4"/>
      <c r="QX2" s="4"/>
      <c r="QY2" s="4"/>
      <c r="QZ2" s="4"/>
      <c r="RA2" s="4"/>
      <c r="RB2" s="4"/>
      <c r="RC2" s="4"/>
      <c r="RD2" s="4"/>
      <c r="RE2" s="4"/>
      <c r="RF2" s="4"/>
      <c r="RG2" s="4"/>
      <c r="RH2" s="4"/>
      <c r="RI2" s="4"/>
      <c r="RJ2" s="4"/>
      <c r="RK2" s="4"/>
      <c r="RL2" s="4"/>
      <c r="RM2" s="4"/>
      <c r="RN2" s="4"/>
      <c r="RO2" s="4"/>
      <c r="RP2" s="4"/>
      <c r="RQ2" s="4"/>
      <c r="RR2" s="4"/>
      <c r="RS2" s="4"/>
      <c r="RT2" s="4"/>
      <c r="RU2" s="4"/>
      <c r="RV2" s="4"/>
      <c r="RW2" s="4"/>
      <c r="RX2" s="4"/>
      <c r="RY2" s="4"/>
      <c r="RZ2" s="4"/>
      <c r="SA2" s="4"/>
      <c r="SB2" s="4"/>
      <c r="SC2" s="4"/>
      <c r="SD2" s="4"/>
      <c r="SE2" s="4"/>
      <c r="SF2" s="4"/>
      <c r="SG2" s="4"/>
      <c r="SH2" s="4"/>
      <c r="SI2" s="4"/>
      <c r="SJ2" s="4"/>
      <c r="SK2" s="4"/>
      <c r="SL2" s="4"/>
      <c r="SM2" s="4"/>
      <c r="SN2" s="4"/>
      <c r="SO2" s="4"/>
      <c r="SP2" s="4"/>
      <c r="SQ2" s="4"/>
      <c r="SR2" s="4"/>
      <c r="SS2" s="4"/>
      <c r="ST2" s="4"/>
      <c r="SU2" s="4"/>
      <c r="SV2" s="4"/>
      <c r="SW2" s="4"/>
      <c r="SX2" s="4"/>
      <c r="SY2" s="4"/>
      <c r="SZ2" s="4"/>
      <c r="TA2" s="4"/>
      <c r="TB2" s="4"/>
      <c r="TC2" s="4"/>
      <c r="TD2" s="4"/>
      <c r="TE2" s="4"/>
      <c r="TF2" s="4"/>
      <c r="TG2" s="4"/>
      <c r="TH2" s="4"/>
      <c r="TI2" s="4"/>
      <c r="TJ2" s="4"/>
      <c r="TK2" s="4"/>
      <c r="TL2" s="4"/>
      <c r="TM2" s="4"/>
      <c r="TN2" s="4"/>
      <c r="TO2" s="4"/>
      <c r="TP2" s="4"/>
      <c r="TQ2" s="4"/>
      <c r="TR2" s="4"/>
      <c r="TS2" s="4"/>
      <c r="TT2" s="4"/>
      <c r="TU2" s="4"/>
      <c r="TV2" s="4"/>
      <c r="TW2" s="4"/>
      <c r="TX2" s="4"/>
      <c r="TY2" s="4"/>
      <c r="TZ2" s="4"/>
      <c r="UA2" s="4"/>
      <c r="UB2" s="4"/>
      <c r="UC2" s="4"/>
      <c r="UD2" s="4"/>
      <c r="UE2" s="4"/>
      <c r="UF2" s="4"/>
      <c r="UG2" s="4"/>
      <c r="UH2" s="4"/>
      <c r="UI2" s="4"/>
      <c r="UJ2" s="4"/>
      <c r="UK2" s="4"/>
      <c r="UL2" s="4"/>
      <c r="UM2" s="4"/>
      <c r="UN2" s="4"/>
      <c r="UO2" s="4"/>
      <c r="UP2" s="4"/>
      <c r="UQ2" s="4"/>
      <c r="UR2" s="4"/>
      <c r="US2" s="4"/>
      <c r="UT2" s="4"/>
      <c r="UU2" s="4"/>
      <c r="UV2" s="4"/>
      <c r="UW2" s="4"/>
      <c r="UX2" s="4"/>
      <c r="UY2" s="4"/>
      <c r="UZ2" s="4"/>
      <c r="VA2" s="4"/>
      <c r="VB2" s="4"/>
      <c r="VC2" s="4"/>
      <c r="VD2" s="4"/>
      <c r="VE2" s="4"/>
      <c r="VF2" s="4"/>
      <c r="VG2" s="4"/>
      <c r="VH2" s="4"/>
      <c r="VI2" s="4"/>
      <c r="VJ2" s="4"/>
      <c r="VK2" s="4"/>
      <c r="VL2" s="4"/>
      <c r="VM2" s="4"/>
      <c r="VN2" s="4"/>
      <c r="VO2" s="4"/>
      <c r="VP2" s="4"/>
      <c r="VQ2" s="4"/>
      <c r="VR2" s="4"/>
      <c r="VS2" s="4"/>
      <c r="VT2" s="4"/>
      <c r="VU2" s="4"/>
      <c r="VV2" s="4"/>
      <c r="VW2" s="4"/>
      <c r="VX2" s="4"/>
      <c r="VY2" s="4"/>
      <c r="VZ2" s="4"/>
      <c r="WA2" s="4"/>
      <c r="WB2" s="4"/>
      <c r="WC2" s="4"/>
      <c r="WD2" s="4"/>
      <c r="WE2" s="4"/>
      <c r="WF2" s="4"/>
      <c r="WG2" s="4"/>
      <c r="WH2" s="4"/>
      <c r="WI2" s="4"/>
      <c r="WJ2" s="4"/>
      <c r="WK2" s="4"/>
      <c r="WL2" s="4"/>
      <c r="WM2" s="4"/>
      <c r="WN2" s="4"/>
      <c r="WO2" s="4"/>
      <c r="WP2" s="4"/>
      <c r="WQ2" s="4"/>
      <c r="WR2" s="4"/>
      <c r="WS2" s="4"/>
      <c r="WT2" s="4"/>
      <c r="WU2" s="4"/>
      <c r="WV2" s="4"/>
      <c r="WW2" s="4"/>
      <c r="WX2" s="4"/>
      <c r="WY2" s="4"/>
      <c r="WZ2" s="4"/>
      <c r="XA2" s="4"/>
      <c r="XB2" s="4"/>
      <c r="XC2" s="4"/>
      <c r="XD2" s="4"/>
      <c r="XE2" s="4"/>
      <c r="XF2" s="4"/>
      <c r="XG2" s="4"/>
      <c r="XH2" s="4"/>
      <c r="XI2" s="4"/>
      <c r="XJ2" s="4"/>
      <c r="XK2" s="4"/>
      <c r="XL2" s="4"/>
      <c r="XM2" s="4"/>
      <c r="XN2" s="4"/>
      <c r="XO2" s="4"/>
      <c r="XP2" s="4"/>
      <c r="XQ2" s="4"/>
      <c r="XR2" s="4"/>
      <c r="XS2" s="4"/>
      <c r="XT2" s="4"/>
      <c r="XU2" s="4"/>
      <c r="XV2" s="4"/>
      <c r="XW2" s="4"/>
      <c r="XX2" s="4"/>
      <c r="XY2" s="4"/>
      <c r="XZ2" s="4"/>
      <c r="YA2" s="4"/>
      <c r="YB2" s="4"/>
      <c r="YC2" s="4"/>
      <c r="YD2" s="4"/>
      <c r="YE2" s="4"/>
      <c r="YF2" s="4"/>
      <c r="YG2" s="4"/>
      <c r="YH2" s="4"/>
      <c r="YI2" s="4"/>
      <c r="YJ2" s="4"/>
      <c r="YK2" s="4"/>
      <c r="YL2" s="4"/>
      <c r="YM2" s="4"/>
      <c r="YN2" s="4"/>
      <c r="YO2" s="4"/>
      <c r="YP2" s="4"/>
      <c r="YQ2" s="4"/>
      <c r="YR2" s="4"/>
      <c r="YS2" s="4"/>
      <c r="YT2" s="4"/>
      <c r="YU2" s="4"/>
      <c r="YV2" s="4"/>
      <c r="YW2" s="4"/>
      <c r="YX2" s="4"/>
      <c r="YY2" s="4"/>
      <c r="YZ2" s="4"/>
      <c r="ZA2" s="4"/>
      <c r="ZB2" s="4"/>
      <c r="ZC2" s="4"/>
      <c r="ZD2" s="4"/>
      <c r="ZE2" s="4"/>
      <c r="ZF2" s="4"/>
      <c r="ZG2" s="4"/>
      <c r="ZH2" s="4"/>
      <c r="ZI2" s="4"/>
      <c r="ZJ2" s="4"/>
      <c r="ZK2" s="4"/>
      <c r="ZL2" s="4"/>
      <c r="ZM2" s="4"/>
      <c r="ZN2" s="4"/>
      <c r="ZO2" s="4"/>
      <c r="ZP2" s="4"/>
      <c r="ZQ2" s="4"/>
      <c r="ZR2" s="4"/>
      <c r="ZS2" s="4"/>
      <c r="ZT2" s="4"/>
      <c r="ZU2" s="4"/>
      <c r="ZV2" s="4"/>
      <c r="ZW2" s="4"/>
      <c r="ZX2" s="4"/>
      <c r="ZY2" s="4"/>
      <c r="ZZ2" s="4"/>
      <c r="AAA2" s="4"/>
      <c r="AAB2" s="4"/>
      <c r="AAC2" s="4"/>
      <c r="AAD2" s="4"/>
      <c r="AAE2" s="4"/>
      <c r="AAF2" s="4"/>
      <c r="AAG2" s="4"/>
      <c r="AAH2" s="4"/>
      <c r="AAI2" s="4"/>
      <c r="AAJ2" s="4"/>
      <c r="AAK2" s="4"/>
      <c r="AAL2" s="4"/>
      <c r="AAM2" s="4"/>
      <c r="AAN2" s="4"/>
      <c r="AAO2" s="4"/>
      <c r="AAP2" s="4"/>
      <c r="AAQ2" s="4"/>
      <c r="AAR2" s="4"/>
      <c r="AAS2" s="4"/>
      <c r="AAT2" s="4"/>
      <c r="AAU2" s="4"/>
      <c r="AAV2" s="4"/>
      <c r="AAW2" s="4"/>
      <c r="AAX2" s="4"/>
      <c r="AAY2" s="4"/>
      <c r="AAZ2" s="4"/>
      <c r="ABA2" s="4"/>
      <c r="ABB2" s="4"/>
      <c r="ABC2" s="4"/>
      <c r="ABD2" s="4"/>
      <c r="ABE2" s="4"/>
      <c r="ABF2" s="4"/>
      <c r="ABG2" s="4"/>
      <c r="ABH2" s="4"/>
      <c r="ABI2" s="4"/>
      <c r="ABJ2" s="4"/>
      <c r="ABK2" s="4"/>
      <c r="ABL2" s="4"/>
      <c r="ABM2" s="4"/>
      <c r="ABN2" s="4"/>
      <c r="ABO2" s="4"/>
      <c r="ABP2" s="4"/>
      <c r="ABQ2" s="4"/>
      <c r="ABR2" s="4"/>
      <c r="ABS2" s="4"/>
      <c r="ABT2" s="4"/>
      <c r="ABU2" s="4"/>
      <c r="ABV2" s="4"/>
      <c r="ABW2" s="4"/>
      <c r="ABX2" s="4"/>
      <c r="ABY2" s="4"/>
      <c r="ABZ2" s="4"/>
      <c r="ACA2" s="4"/>
      <c r="ACB2" s="4"/>
      <c r="ACC2" s="4"/>
      <c r="ACD2" s="4"/>
      <c r="ACE2" s="4"/>
      <c r="ACF2" s="4"/>
      <c r="ACG2" s="4"/>
      <c r="ACH2" s="4"/>
      <c r="ACI2" s="4"/>
      <c r="ACJ2" s="4"/>
      <c r="ACK2" s="4"/>
      <c r="ACL2" s="4"/>
      <c r="ACM2" s="4"/>
      <c r="ACN2" s="4"/>
      <c r="ACO2" s="4"/>
      <c r="ACP2" s="4"/>
      <c r="ACQ2" s="4"/>
      <c r="ACR2" s="4"/>
      <c r="ACS2" s="4"/>
      <c r="ACT2" s="4"/>
      <c r="ACU2" s="4"/>
      <c r="ACV2" s="4"/>
      <c r="ACW2" s="4"/>
      <c r="ACX2" s="4"/>
      <c r="ACY2" s="4"/>
      <c r="ACZ2" s="4"/>
      <c r="ADA2" s="4"/>
      <c r="ADB2" s="4"/>
      <c r="ADC2" s="4"/>
      <c r="ADD2" s="4"/>
      <c r="ADE2" s="4"/>
      <c r="ADF2" s="4"/>
      <c r="ADG2" s="4"/>
      <c r="ADH2" s="4"/>
      <c r="ADI2" s="4"/>
      <c r="ADJ2" s="4"/>
      <c r="ADK2" s="4"/>
      <c r="ADL2" s="4"/>
      <c r="ADM2" s="4"/>
      <c r="ADN2" s="4"/>
      <c r="ADO2" s="4"/>
      <c r="ADP2" s="4"/>
      <c r="ADQ2" s="4"/>
      <c r="ADR2" s="4"/>
      <c r="ADS2" s="4"/>
      <c r="ADT2" s="4"/>
      <c r="ADU2" s="4"/>
      <c r="ADV2" s="4"/>
      <c r="ADW2" s="4"/>
      <c r="ADX2" s="4"/>
      <c r="ADY2" s="4"/>
      <c r="ADZ2" s="4"/>
      <c r="AEA2" s="4"/>
      <c r="AEB2" s="4"/>
      <c r="AEC2" s="4"/>
      <c r="AED2" s="4"/>
      <c r="AEE2" s="4"/>
      <c r="AEF2" s="4"/>
      <c r="AEG2" s="4"/>
      <c r="AEH2" s="4"/>
      <c r="AEI2" s="4"/>
      <c r="AEJ2" s="4"/>
      <c r="AEK2" s="4"/>
      <c r="AEL2" s="4"/>
      <c r="AEM2" s="4"/>
      <c r="AEN2" s="4"/>
      <c r="AEO2" s="4"/>
      <c r="AEP2" s="4"/>
      <c r="AEQ2" s="4"/>
      <c r="AER2" s="4"/>
      <c r="AES2" s="4"/>
      <c r="AET2" s="4"/>
      <c r="AEU2" s="4"/>
      <c r="AEV2" s="4"/>
      <c r="AEW2" s="4"/>
      <c r="AEX2" s="4"/>
      <c r="AEY2" s="4"/>
      <c r="AEZ2" s="4"/>
      <c r="AFA2" s="4"/>
      <c r="AFB2" s="4"/>
      <c r="AFC2" s="4"/>
      <c r="AFD2" s="4"/>
      <c r="AFE2" s="4"/>
      <c r="AFF2" s="4"/>
      <c r="AFG2" s="4"/>
      <c r="AFH2" s="4"/>
      <c r="AFI2" s="4"/>
      <c r="AFJ2" s="4"/>
      <c r="AFK2" s="4"/>
      <c r="AFL2" s="4"/>
      <c r="AFM2" s="4"/>
      <c r="AFN2" s="4"/>
      <c r="AFO2" s="4"/>
      <c r="AFP2" s="4"/>
      <c r="AFQ2" s="4"/>
      <c r="AFR2" s="4"/>
      <c r="AFS2" s="4"/>
      <c r="AFT2" s="4"/>
      <c r="AFU2" s="4"/>
      <c r="AFV2" s="4"/>
      <c r="AFW2" s="4"/>
      <c r="AFX2" s="4"/>
      <c r="AFY2" s="4"/>
      <c r="AFZ2" s="4"/>
      <c r="AGA2" s="4"/>
      <c r="AGB2" s="4"/>
      <c r="AGC2" s="4"/>
      <c r="AGD2" s="4"/>
      <c r="AGE2" s="4"/>
      <c r="AGF2" s="4"/>
      <c r="AGG2" s="4"/>
      <c r="AGH2" s="4"/>
      <c r="AGI2" s="4"/>
      <c r="AGJ2" s="4"/>
      <c r="AGK2" s="4"/>
      <c r="AGL2" s="4"/>
      <c r="AGM2" s="4"/>
      <c r="AGN2" s="4"/>
      <c r="AGO2" s="4"/>
      <c r="AGP2" s="4"/>
      <c r="AGQ2" s="4"/>
      <c r="AGR2" s="4"/>
      <c r="AGS2" s="4"/>
      <c r="AGT2" s="4"/>
      <c r="AGU2" s="4"/>
      <c r="AGV2" s="4"/>
      <c r="AGW2" s="4"/>
      <c r="AGX2" s="4"/>
      <c r="AGY2" s="4"/>
      <c r="AGZ2" s="4"/>
      <c r="AHA2" s="4"/>
      <c r="AHB2" s="4"/>
      <c r="AHC2" s="4"/>
      <c r="AHD2" s="4"/>
      <c r="AHE2" s="4"/>
      <c r="AHF2" s="4"/>
      <c r="AHG2" s="4"/>
      <c r="AHH2" s="4"/>
      <c r="AHI2" s="4"/>
      <c r="AHJ2" s="4"/>
      <c r="AHK2" s="4"/>
      <c r="AHL2" s="4"/>
      <c r="AHM2" s="4"/>
      <c r="AHN2" s="4"/>
      <c r="AHO2" s="4"/>
      <c r="AHP2" s="4"/>
      <c r="AHQ2" s="4"/>
      <c r="AHR2" s="4"/>
      <c r="AHS2" s="4"/>
      <c r="AHT2" s="4"/>
      <c r="AHU2" s="4"/>
      <c r="AHV2" s="4"/>
      <c r="AHW2" s="4"/>
      <c r="AHX2" s="4"/>
      <c r="AHY2" s="4"/>
      <c r="AHZ2" s="4"/>
      <c r="AIA2" s="4"/>
      <c r="AIB2" s="4"/>
      <c r="AIC2" s="4"/>
      <c r="AID2" s="4"/>
      <c r="AIE2" s="4"/>
      <c r="AIF2" s="4"/>
      <c r="AIG2" s="4"/>
      <c r="AIH2" s="4"/>
      <c r="AII2" s="4"/>
      <c r="AIJ2" s="4"/>
      <c r="AIK2" s="4"/>
      <c r="AIL2" s="4"/>
      <c r="AIM2" s="4"/>
      <c r="AIN2" s="4"/>
      <c r="AIO2" s="4"/>
      <c r="AIP2" s="4"/>
      <c r="AIQ2" s="4"/>
      <c r="AIR2" s="4"/>
      <c r="AIS2" s="4"/>
      <c r="AIT2" s="4"/>
      <c r="AIU2" s="4"/>
      <c r="AIV2" s="4"/>
      <c r="AIW2" s="4"/>
      <c r="AIX2" s="4"/>
      <c r="AIY2" s="4"/>
      <c r="AIZ2" s="4"/>
      <c r="AJA2" s="4"/>
      <c r="AJB2" s="4"/>
      <c r="AJC2" s="4"/>
      <c r="AJD2" s="4"/>
      <c r="AJE2" s="4"/>
      <c r="AJF2" s="4"/>
      <c r="AJG2" s="4"/>
      <c r="AJH2" s="4"/>
      <c r="AJI2" s="4"/>
      <c r="AJJ2" s="4"/>
      <c r="AJK2" s="4"/>
      <c r="AJL2" s="4"/>
      <c r="AJM2" s="4"/>
      <c r="AJN2" s="4"/>
      <c r="AJO2" s="4"/>
      <c r="AJP2" s="4"/>
      <c r="AJQ2" s="4"/>
      <c r="AJR2" s="4"/>
      <c r="AJS2" s="4"/>
      <c r="AJT2" s="4"/>
      <c r="AJU2" s="4"/>
      <c r="AJV2" s="4"/>
      <c r="AJW2" s="4"/>
      <c r="AJX2" s="4"/>
      <c r="AJY2" s="4"/>
      <c r="AJZ2" s="4"/>
      <c r="AKA2" s="4"/>
      <c r="AKB2" s="4"/>
      <c r="AKC2" s="4"/>
      <c r="AKD2" s="4"/>
      <c r="AKE2" s="4"/>
      <c r="AKF2" s="4"/>
      <c r="AKG2" s="4"/>
      <c r="AKH2" s="4"/>
      <c r="AKI2" s="4"/>
      <c r="AKJ2" s="4"/>
      <c r="AKK2" s="4"/>
      <c r="AKL2" s="4"/>
      <c r="AKM2" s="4"/>
      <c r="AKN2" s="4"/>
      <c r="AKO2" s="4"/>
      <c r="AKP2" s="4"/>
      <c r="AKQ2" s="4"/>
      <c r="AKR2" s="4"/>
      <c r="AKS2" s="4"/>
      <c r="AKT2" s="4"/>
      <c r="AKU2" s="4"/>
      <c r="AKV2" s="4"/>
      <c r="AKW2" s="4"/>
      <c r="AKX2" s="4"/>
      <c r="AKY2" s="4"/>
      <c r="AKZ2" s="4"/>
      <c r="ALA2" s="4"/>
      <c r="ALB2" s="4"/>
      <c r="ALC2" s="4"/>
      <c r="ALD2" s="4"/>
      <c r="ALE2" s="4"/>
      <c r="ALF2" s="4"/>
      <c r="ALG2" s="4"/>
      <c r="ALH2" s="4"/>
      <c r="ALI2" s="4"/>
      <c r="ALJ2" s="4"/>
      <c r="ALK2" s="4"/>
      <c r="ALL2" s="4"/>
      <c r="ALM2" s="4"/>
      <c r="ALN2" s="4"/>
      <c r="ALO2" s="4"/>
      <c r="ALP2" s="4"/>
      <c r="ALQ2" s="4"/>
      <c r="ALR2" s="4"/>
      <c r="ALS2" s="4"/>
      <c r="ALT2" s="4"/>
      <c r="ALU2" s="4"/>
      <c r="ALV2" s="4"/>
      <c r="ALW2" s="4"/>
      <c r="ALX2" s="4"/>
      <c r="ALY2" s="4"/>
      <c r="ALZ2" s="4"/>
      <c r="AMA2" s="4"/>
      <c r="AMB2" s="4"/>
      <c r="AMC2" s="4"/>
      <c r="AMD2" s="4"/>
      <c r="AME2" s="4"/>
      <c r="AMF2" s="4"/>
      <c r="AMG2" s="4"/>
      <c r="AMH2" s="4"/>
    </row>
    <row r="3" spans="1:1022">
      <c r="A3" s="4" t="s">
        <v>2747</v>
      </c>
      <c r="B3" s="4" t="s">
        <v>171</v>
      </c>
      <c r="C3" s="4" t="str">
        <f t="shared" si="0"/>
        <v>att_user_research_group:bazzi</v>
      </c>
      <c r="D3" s="4" t="s">
        <v>12</v>
      </c>
      <c r="E3" s="4" t="s">
        <v>2748</v>
      </c>
      <c r="F3" s="4" t="s">
        <v>2749</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c r="IW3" s="4"/>
      <c r="IX3" s="4"/>
      <c r="IY3" s="4"/>
      <c r="IZ3" s="4"/>
      <c r="JA3" s="4"/>
      <c r="JB3" s="4"/>
      <c r="JC3" s="4"/>
      <c r="JD3" s="4"/>
      <c r="JE3" s="4"/>
      <c r="JF3" s="4"/>
      <c r="JG3" s="4"/>
      <c r="JH3" s="4"/>
      <c r="JI3" s="4"/>
      <c r="JJ3" s="4"/>
      <c r="JK3" s="4"/>
      <c r="JL3" s="4"/>
      <c r="JM3" s="4"/>
      <c r="JN3" s="4"/>
      <c r="JO3" s="4"/>
      <c r="JP3" s="4"/>
      <c r="JQ3" s="4"/>
      <c r="JR3" s="4"/>
      <c r="JS3" s="4"/>
      <c r="JT3" s="4"/>
      <c r="JU3" s="4"/>
      <c r="JV3" s="4"/>
      <c r="JW3" s="4"/>
      <c r="JX3" s="4"/>
      <c r="JY3" s="4"/>
      <c r="JZ3" s="4"/>
      <c r="KA3" s="4"/>
      <c r="KB3" s="4"/>
      <c r="KC3" s="4"/>
      <c r="KD3" s="4"/>
      <c r="KE3" s="4"/>
      <c r="KF3" s="4"/>
      <c r="KG3" s="4"/>
      <c r="KH3" s="4"/>
      <c r="KI3" s="4"/>
      <c r="KJ3" s="4"/>
      <c r="KK3" s="4"/>
      <c r="KL3" s="4"/>
      <c r="KM3" s="4"/>
      <c r="KN3" s="4"/>
      <c r="KO3" s="4"/>
      <c r="KP3" s="4"/>
      <c r="KQ3" s="4"/>
      <c r="KR3" s="4"/>
      <c r="KS3" s="4"/>
      <c r="KT3" s="4"/>
      <c r="KU3" s="4"/>
      <c r="KV3" s="4"/>
      <c r="KW3" s="4"/>
      <c r="KX3" s="4"/>
      <c r="KY3" s="4"/>
      <c r="KZ3" s="4"/>
      <c r="LA3" s="4"/>
      <c r="LB3" s="4"/>
      <c r="LC3" s="4"/>
      <c r="LD3" s="4"/>
      <c r="LE3" s="4"/>
      <c r="LF3" s="4"/>
      <c r="LG3" s="4"/>
      <c r="LH3" s="4"/>
      <c r="LI3" s="4"/>
      <c r="LJ3" s="4"/>
      <c r="LK3" s="4"/>
      <c r="LL3" s="4"/>
      <c r="LM3" s="4"/>
      <c r="LN3" s="4"/>
      <c r="LO3" s="4"/>
      <c r="LP3" s="4"/>
      <c r="LQ3" s="4"/>
      <c r="LR3" s="4"/>
      <c r="LS3" s="4"/>
      <c r="LT3" s="4"/>
      <c r="LU3" s="4"/>
      <c r="LV3" s="4"/>
      <c r="LW3" s="4"/>
      <c r="LX3" s="4"/>
      <c r="LY3" s="4"/>
      <c r="LZ3" s="4"/>
      <c r="MA3" s="4"/>
      <c r="MB3" s="4"/>
      <c r="MC3" s="4"/>
      <c r="MD3" s="4"/>
      <c r="ME3" s="4"/>
      <c r="MF3" s="4"/>
      <c r="MG3" s="4"/>
      <c r="MH3" s="4"/>
      <c r="MI3" s="4"/>
      <c r="MJ3" s="4"/>
      <c r="MK3" s="4"/>
      <c r="ML3" s="4"/>
      <c r="MM3" s="4"/>
      <c r="MN3" s="4"/>
      <c r="MO3" s="4"/>
      <c r="MP3" s="4"/>
      <c r="MQ3" s="4"/>
      <c r="MR3" s="4"/>
      <c r="MS3" s="4"/>
      <c r="MT3" s="4"/>
      <c r="MU3" s="4"/>
      <c r="MV3" s="4"/>
      <c r="MW3" s="4"/>
      <c r="MX3" s="4"/>
      <c r="MY3" s="4"/>
      <c r="MZ3" s="4"/>
      <c r="NA3" s="4"/>
      <c r="NB3" s="4"/>
      <c r="NC3" s="4"/>
      <c r="ND3" s="4"/>
      <c r="NE3" s="4"/>
      <c r="NF3" s="4"/>
      <c r="NG3" s="4"/>
      <c r="NH3" s="4"/>
      <c r="NI3" s="4"/>
      <c r="NJ3" s="4"/>
      <c r="NK3" s="4"/>
      <c r="NL3" s="4"/>
      <c r="NM3" s="4"/>
      <c r="NN3" s="4"/>
      <c r="NO3" s="4"/>
      <c r="NP3" s="4"/>
      <c r="NQ3" s="4"/>
      <c r="NR3" s="4"/>
      <c r="NS3" s="4"/>
      <c r="NT3" s="4"/>
      <c r="NU3" s="4"/>
      <c r="NV3" s="4"/>
      <c r="NW3" s="4"/>
      <c r="NX3" s="4"/>
      <c r="NY3" s="4"/>
      <c r="NZ3" s="4"/>
      <c r="OA3" s="4"/>
      <c r="OB3" s="4"/>
      <c r="OC3" s="4"/>
      <c r="OD3" s="4"/>
      <c r="OE3" s="4"/>
      <c r="OF3" s="4"/>
      <c r="OG3" s="4"/>
      <c r="OH3" s="4"/>
      <c r="OI3" s="4"/>
      <c r="OJ3" s="4"/>
      <c r="OK3" s="4"/>
      <c r="OL3" s="4"/>
      <c r="OM3" s="4"/>
      <c r="ON3" s="4"/>
      <c r="OO3" s="4"/>
      <c r="OP3" s="4"/>
      <c r="OQ3" s="4"/>
      <c r="OR3" s="4"/>
      <c r="OS3" s="4"/>
      <c r="OT3" s="4"/>
      <c r="OU3" s="4"/>
      <c r="OV3" s="4"/>
      <c r="OW3" s="4"/>
      <c r="OX3" s="4"/>
      <c r="OY3" s="4"/>
      <c r="OZ3" s="4"/>
      <c r="PA3" s="4"/>
      <c r="PB3" s="4"/>
      <c r="PC3" s="4"/>
      <c r="PD3" s="4"/>
      <c r="PE3" s="4"/>
      <c r="PF3" s="4"/>
      <c r="PG3" s="4"/>
      <c r="PH3" s="4"/>
      <c r="PI3" s="4"/>
      <c r="PJ3" s="4"/>
      <c r="PK3" s="4"/>
      <c r="PL3" s="4"/>
      <c r="PM3" s="4"/>
      <c r="PN3" s="4"/>
      <c r="PO3" s="4"/>
      <c r="PP3" s="4"/>
      <c r="PQ3" s="4"/>
      <c r="PR3" s="4"/>
      <c r="PS3" s="4"/>
      <c r="PT3" s="4"/>
      <c r="PU3" s="4"/>
      <c r="PV3" s="4"/>
      <c r="PW3" s="4"/>
      <c r="PX3" s="4"/>
      <c r="PY3" s="4"/>
      <c r="PZ3" s="4"/>
      <c r="QA3" s="4"/>
      <c r="QB3" s="4"/>
      <c r="QC3" s="4"/>
      <c r="QD3" s="4"/>
      <c r="QE3" s="4"/>
      <c r="QF3" s="4"/>
      <c r="QG3" s="4"/>
      <c r="QH3" s="4"/>
      <c r="QI3" s="4"/>
      <c r="QJ3" s="4"/>
      <c r="QK3" s="4"/>
      <c r="QL3" s="4"/>
      <c r="QM3" s="4"/>
      <c r="QN3" s="4"/>
      <c r="QO3" s="4"/>
      <c r="QP3" s="4"/>
      <c r="QQ3" s="4"/>
      <c r="QR3" s="4"/>
      <c r="QS3" s="4"/>
      <c r="QT3" s="4"/>
      <c r="QU3" s="4"/>
      <c r="QV3" s="4"/>
      <c r="QW3" s="4"/>
      <c r="QX3" s="4"/>
      <c r="QY3" s="4"/>
      <c r="QZ3" s="4"/>
      <c r="RA3" s="4"/>
      <c r="RB3" s="4"/>
      <c r="RC3" s="4"/>
      <c r="RD3" s="4"/>
      <c r="RE3" s="4"/>
      <c r="RF3" s="4"/>
      <c r="RG3" s="4"/>
      <c r="RH3" s="4"/>
      <c r="RI3" s="4"/>
      <c r="RJ3" s="4"/>
      <c r="RK3" s="4"/>
      <c r="RL3" s="4"/>
      <c r="RM3" s="4"/>
      <c r="RN3" s="4"/>
      <c r="RO3" s="4"/>
      <c r="RP3" s="4"/>
      <c r="RQ3" s="4"/>
      <c r="RR3" s="4"/>
      <c r="RS3" s="4"/>
      <c r="RT3" s="4"/>
      <c r="RU3" s="4"/>
      <c r="RV3" s="4"/>
      <c r="RW3" s="4"/>
      <c r="RX3" s="4"/>
      <c r="RY3" s="4"/>
      <c r="RZ3" s="4"/>
      <c r="SA3" s="4"/>
      <c r="SB3" s="4"/>
      <c r="SC3" s="4"/>
      <c r="SD3" s="4"/>
      <c r="SE3" s="4"/>
      <c r="SF3" s="4"/>
      <c r="SG3" s="4"/>
      <c r="SH3" s="4"/>
      <c r="SI3" s="4"/>
      <c r="SJ3" s="4"/>
      <c r="SK3" s="4"/>
      <c r="SL3" s="4"/>
      <c r="SM3" s="4"/>
      <c r="SN3" s="4"/>
      <c r="SO3" s="4"/>
      <c r="SP3" s="4"/>
      <c r="SQ3" s="4"/>
      <c r="SR3" s="4"/>
      <c r="SS3" s="4"/>
      <c r="ST3" s="4"/>
      <c r="SU3" s="4"/>
      <c r="SV3" s="4"/>
      <c r="SW3" s="4"/>
      <c r="SX3" s="4"/>
      <c r="SY3" s="4"/>
      <c r="SZ3" s="4"/>
      <c r="TA3" s="4"/>
      <c r="TB3" s="4"/>
      <c r="TC3" s="4"/>
      <c r="TD3" s="4"/>
      <c r="TE3" s="4"/>
      <c r="TF3" s="4"/>
      <c r="TG3" s="4"/>
      <c r="TH3" s="4"/>
      <c r="TI3" s="4"/>
      <c r="TJ3" s="4"/>
      <c r="TK3" s="4"/>
      <c r="TL3" s="4"/>
      <c r="TM3" s="4"/>
      <c r="TN3" s="4"/>
      <c r="TO3" s="4"/>
      <c r="TP3" s="4"/>
      <c r="TQ3" s="4"/>
      <c r="TR3" s="4"/>
      <c r="TS3" s="4"/>
      <c r="TT3" s="4"/>
      <c r="TU3" s="4"/>
      <c r="TV3" s="4"/>
      <c r="TW3" s="4"/>
      <c r="TX3" s="4"/>
      <c r="TY3" s="4"/>
      <c r="TZ3" s="4"/>
      <c r="UA3" s="4"/>
      <c r="UB3" s="4"/>
      <c r="UC3" s="4"/>
      <c r="UD3" s="4"/>
      <c r="UE3" s="4"/>
      <c r="UF3" s="4"/>
      <c r="UG3" s="4"/>
      <c r="UH3" s="4"/>
      <c r="UI3" s="4"/>
      <c r="UJ3" s="4"/>
      <c r="UK3" s="4"/>
      <c r="UL3" s="4"/>
      <c r="UM3" s="4"/>
      <c r="UN3" s="4"/>
      <c r="UO3" s="4"/>
      <c r="UP3" s="4"/>
      <c r="UQ3" s="4"/>
      <c r="UR3" s="4"/>
      <c r="US3" s="4"/>
      <c r="UT3" s="4"/>
      <c r="UU3" s="4"/>
      <c r="UV3" s="4"/>
      <c r="UW3" s="4"/>
      <c r="UX3" s="4"/>
      <c r="UY3" s="4"/>
      <c r="UZ3" s="4"/>
      <c r="VA3" s="4"/>
      <c r="VB3" s="4"/>
      <c r="VC3" s="4"/>
      <c r="VD3" s="4"/>
      <c r="VE3" s="4"/>
      <c r="VF3" s="4"/>
      <c r="VG3" s="4"/>
      <c r="VH3" s="4"/>
      <c r="VI3" s="4"/>
      <c r="VJ3" s="4"/>
      <c r="VK3" s="4"/>
      <c r="VL3" s="4"/>
      <c r="VM3" s="4"/>
      <c r="VN3" s="4"/>
      <c r="VO3" s="4"/>
      <c r="VP3" s="4"/>
      <c r="VQ3" s="4"/>
      <c r="VR3" s="4"/>
      <c r="VS3" s="4"/>
      <c r="VT3" s="4"/>
      <c r="VU3" s="4"/>
      <c r="VV3" s="4"/>
      <c r="VW3" s="4"/>
      <c r="VX3" s="4"/>
      <c r="VY3" s="4"/>
      <c r="VZ3" s="4"/>
      <c r="WA3" s="4"/>
      <c r="WB3" s="4"/>
      <c r="WC3" s="4"/>
      <c r="WD3" s="4"/>
      <c r="WE3" s="4"/>
      <c r="WF3" s="4"/>
      <c r="WG3" s="4"/>
      <c r="WH3" s="4"/>
      <c r="WI3" s="4"/>
      <c r="WJ3" s="4"/>
      <c r="WK3" s="4"/>
      <c r="WL3" s="4"/>
      <c r="WM3" s="4"/>
      <c r="WN3" s="4"/>
      <c r="WO3" s="4"/>
      <c r="WP3" s="4"/>
      <c r="WQ3" s="4"/>
      <c r="WR3" s="4"/>
      <c r="WS3" s="4"/>
      <c r="WT3" s="4"/>
      <c r="WU3" s="4"/>
      <c r="WV3" s="4"/>
      <c r="WW3" s="4"/>
      <c r="WX3" s="4"/>
      <c r="WY3" s="4"/>
      <c r="WZ3" s="4"/>
      <c r="XA3" s="4"/>
      <c r="XB3" s="4"/>
      <c r="XC3" s="4"/>
      <c r="XD3" s="4"/>
      <c r="XE3" s="4"/>
      <c r="XF3" s="4"/>
      <c r="XG3" s="4"/>
      <c r="XH3" s="4"/>
      <c r="XI3" s="4"/>
      <c r="XJ3" s="4"/>
      <c r="XK3" s="4"/>
      <c r="XL3" s="4"/>
      <c r="XM3" s="4"/>
      <c r="XN3" s="4"/>
      <c r="XO3" s="4"/>
      <c r="XP3" s="4"/>
      <c r="XQ3" s="4"/>
      <c r="XR3" s="4"/>
      <c r="XS3" s="4"/>
      <c r="XT3" s="4"/>
      <c r="XU3" s="4"/>
      <c r="XV3" s="4"/>
      <c r="XW3" s="4"/>
      <c r="XX3" s="4"/>
      <c r="XY3" s="4"/>
      <c r="XZ3" s="4"/>
      <c r="YA3" s="4"/>
      <c r="YB3" s="4"/>
      <c r="YC3" s="4"/>
      <c r="YD3" s="4"/>
      <c r="YE3" s="4"/>
      <c r="YF3" s="4"/>
      <c r="YG3" s="4"/>
      <c r="YH3" s="4"/>
      <c r="YI3" s="4"/>
      <c r="YJ3" s="4"/>
      <c r="YK3" s="4"/>
      <c r="YL3" s="4"/>
      <c r="YM3" s="4"/>
      <c r="YN3" s="4"/>
      <c r="YO3" s="4"/>
      <c r="YP3" s="4"/>
      <c r="YQ3" s="4"/>
      <c r="YR3" s="4"/>
      <c r="YS3" s="4"/>
      <c r="YT3" s="4"/>
      <c r="YU3" s="4"/>
      <c r="YV3" s="4"/>
      <c r="YW3" s="4"/>
      <c r="YX3" s="4"/>
      <c r="YY3" s="4"/>
      <c r="YZ3" s="4"/>
      <c r="ZA3" s="4"/>
      <c r="ZB3" s="4"/>
      <c r="ZC3" s="4"/>
      <c r="ZD3" s="4"/>
      <c r="ZE3" s="4"/>
      <c r="ZF3" s="4"/>
      <c r="ZG3" s="4"/>
      <c r="ZH3" s="4"/>
      <c r="ZI3" s="4"/>
      <c r="ZJ3" s="4"/>
      <c r="ZK3" s="4"/>
      <c r="ZL3" s="4"/>
      <c r="ZM3" s="4"/>
      <c r="ZN3" s="4"/>
      <c r="ZO3" s="4"/>
      <c r="ZP3" s="4"/>
      <c r="ZQ3" s="4"/>
      <c r="ZR3" s="4"/>
      <c r="ZS3" s="4"/>
      <c r="ZT3" s="4"/>
      <c r="ZU3" s="4"/>
      <c r="ZV3" s="4"/>
      <c r="ZW3" s="4"/>
      <c r="ZX3" s="4"/>
      <c r="ZY3" s="4"/>
      <c r="ZZ3" s="4"/>
      <c r="AAA3" s="4"/>
      <c r="AAB3" s="4"/>
      <c r="AAC3" s="4"/>
      <c r="AAD3" s="4"/>
      <c r="AAE3" s="4"/>
      <c r="AAF3" s="4"/>
      <c r="AAG3" s="4"/>
      <c r="AAH3" s="4"/>
      <c r="AAI3" s="4"/>
      <c r="AAJ3" s="4"/>
      <c r="AAK3" s="4"/>
      <c r="AAL3" s="4"/>
      <c r="AAM3" s="4"/>
      <c r="AAN3" s="4"/>
      <c r="AAO3" s="4"/>
      <c r="AAP3" s="4"/>
      <c r="AAQ3" s="4"/>
      <c r="AAR3" s="4"/>
      <c r="AAS3" s="4"/>
      <c r="AAT3" s="4"/>
      <c r="AAU3" s="4"/>
      <c r="AAV3" s="4"/>
      <c r="AAW3" s="4"/>
      <c r="AAX3" s="4"/>
      <c r="AAY3" s="4"/>
      <c r="AAZ3" s="4"/>
      <c r="ABA3" s="4"/>
      <c r="ABB3" s="4"/>
      <c r="ABC3" s="4"/>
      <c r="ABD3" s="4"/>
      <c r="ABE3" s="4"/>
      <c r="ABF3" s="4"/>
      <c r="ABG3" s="4"/>
      <c r="ABH3" s="4"/>
      <c r="ABI3" s="4"/>
      <c r="ABJ3" s="4"/>
      <c r="ABK3" s="4"/>
      <c r="ABL3" s="4"/>
      <c r="ABM3" s="4"/>
      <c r="ABN3" s="4"/>
      <c r="ABO3" s="4"/>
      <c r="ABP3" s="4"/>
      <c r="ABQ3" s="4"/>
      <c r="ABR3" s="4"/>
      <c r="ABS3" s="4"/>
      <c r="ABT3" s="4"/>
      <c r="ABU3" s="4"/>
      <c r="ABV3" s="4"/>
      <c r="ABW3" s="4"/>
      <c r="ABX3" s="4"/>
      <c r="ABY3" s="4"/>
      <c r="ABZ3" s="4"/>
      <c r="ACA3" s="4"/>
      <c r="ACB3" s="4"/>
      <c r="ACC3" s="4"/>
      <c r="ACD3" s="4"/>
      <c r="ACE3" s="4"/>
      <c r="ACF3" s="4"/>
      <c r="ACG3" s="4"/>
      <c r="ACH3" s="4"/>
      <c r="ACI3" s="4"/>
      <c r="ACJ3" s="4"/>
      <c r="ACK3" s="4"/>
      <c r="ACL3" s="4"/>
      <c r="ACM3" s="4"/>
      <c r="ACN3" s="4"/>
      <c r="ACO3" s="4"/>
      <c r="ACP3" s="4"/>
      <c r="ACQ3" s="4"/>
      <c r="ACR3" s="4"/>
      <c r="ACS3" s="4"/>
      <c r="ACT3" s="4"/>
      <c r="ACU3" s="4"/>
      <c r="ACV3" s="4"/>
      <c r="ACW3" s="4"/>
      <c r="ACX3" s="4"/>
      <c r="ACY3" s="4"/>
      <c r="ACZ3" s="4"/>
      <c r="ADA3" s="4"/>
      <c r="ADB3" s="4"/>
      <c r="ADC3" s="4"/>
      <c r="ADD3" s="4"/>
      <c r="ADE3" s="4"/>
      <c r="ADF3" s="4"/>
      <c r="ADG3" s="4"/>
      <c r="ADH3" s="4"/>
      <c r="ADI3" s="4"/>
      <c r="ADJ3" s="4"/>
      <c r="ADK3" s="4"/>
      <c r="ADL3" s="4"/>
      <c r="ADM3" s="4"/>
      <c r="ADN3" s="4"/>
      <c r="ADO3" s="4"/>
      <c r="ADP3" s="4"/>
      <c r="ADQ3" s="4"/>
      <c r="ADR3" s="4"/>
      <c r="ADS3" s="4"/>
      <c r="ADT3" s="4"/>
      <c r="ADU3" s="4"/>
      <c r="ADV3" s="4"/>
      <c r="ADW3" s="4"/>
      <c r="ADX3" s="4"/>
      <c r="ADY3" s="4"/>
      <c r="ADZ3" s="4"/>
      <c r="AEA3" s="4"/>
      <c r="AEB3" s="4"/>
      <c r="AEC3" s="4"/>
      <c r="AED3" s="4"/>
      <c r="AEE3" s="4"/>
      <c r="AEF3" s="4"/>
      <c r="AEG3" s="4"/>
      <c r="AEH3" s="4"/>
      <c r="AEI3" s="4"/>
      <c r="AEJ3" s="4"/>
      <c r="AEK3" s="4"/>
      <c r="AEL3" s="4"/>
      <c r="AEM3" s="4"/>
      <c r="AEN3" s="4"/>
      <c r="AEO3" s="4"/>
      <c r="AEP3" s="4"/>
      <c r="AEQ3" s="4"/>
      <c r="AER3" s="4"/>
      <c r="AES3" s="4"/>
      <c r="AET3" s="4"/>
      <c r="AEU3" s="4"/>
      <c r="AEV3" s="4"/>
      <c r="AEW3" s="4"/>
      <c r="AEX3" s="4"/>
      <c r="AEY3" s="4"/>
      <c r="AEZ3" s="4"/>
      <c r="AFA3" s="4"/>
      <c r="AFB3" s="4"/>
      <c r="AFC3" s="4"/>
      <c r="AFD3" s="4"/>
      <c r="AFE3" s="4"/>
      <c r="AFF3" s="4"/>
      <c r="AFG3" s="4"/>
      <c r="AFH3" s="4"/>
      <c r="AFI3" s="4"/>
      <c r="AFJ3" s="4"/>
      <c r="AFK3" s="4"/>
      <c r="AFL3" s="4"/>
      <c r="AFM3" s="4"/>
      <c r="AFN3" s="4"/>
      <c r="AFO3" s="4"/>
      <c r="AFP3" s="4"/>
      <c r="AFQ3" s="4"/>
      <c r="AFR3" s="4"/>
      <c r="AFS3" s="4"/>
      <c r="AFT3" s="4"/>
      <c r="AFU3" s="4"/>
      <c r="AFV3" s="4"/>
      <c r="AFW3" s="4"/>
      <c r="AFX3" s="4"/>
      <c r="AFY3" s="4"/>
      <c r="AFZ3" s="4"/>
      <c r="AGA3" s="4"/>
      <c r="AGB3" s="4"/>
      <c r="AGC3" s="4"/>
      <c r="AGD3" s="4"/>
      <c r="AGE3" s="4"/>
      <c r="AGF3" s="4"/>
      <c r="AGG3" s="4"/>
      <c r="AGH3" s="4"/>
      <c r="AGI3" s="4"/>
      <c r="AGJ3" s="4"/>
      <c r="AGK3" s="4"/>
      <c r="AGL3" s="4"/>
      <c r="AGM3" s="4"/>
      <c r="AGN3" s="4"/>
      <c r="AGO3" s="4"/>
      <c r="AGP3" s="4"/>
      <c r="AGQ3" s="4"/>
      <c r="AGR3" s="4"/>
      <c r="AGS3" s="4"/>
      <c r="AGT3" s="4"/>
      <c r="AGU3" s="4"/>
      <c r="AGV3" s="4"/>
      <c r="AGW3" s="4"/>
      <c r="AGX3" s="4"/>
      <c r="AGY3" s="4"/>
      <c r="AGZ3" s="4"/>
      <c r="AHA3" s="4"/>
      <c r="AHB3" s="4"/>
      <c r="AHC3" s="4"/>
      <c r="AHD3" s="4"/>
      <c r="AHE3" s="4"/>
      <c r="AHF3" s="4"/>
      <c r="AHG3" s="4"/>
      <c r="AHH3" s="4"/>
      <c r="AHI3" s="4"/>
      <c r="AHJ3" s="4"/>
      <c r="AHK3" s="4"/>
      <c r="AHL3" s="4"/>
      <c r="AHM3" s="4"/>
      <c r="AHN3" s="4"/>
      <c r="AHO3" s="4"/>
      <c r="AHP3" s="4"/>
      <c r="AHQ3" s="4"/>
      <c r="AHR3" s="4"/>
      <c r="AHS3" s="4"/>
      <c r="AHT3" s="4"/>
      <c r="AHU3" s="4"/>
      <c r="AHV3" s="4"/>
      <c r="AHW3" s="4"/>
      <c r="AHX3" s="4"/>
      <c r="AHY3" s="4"/>
      <c r="AHZ3" s="4"/>
      <c r="AIA3" s="4"/>
      <c r="AIB3" s="4"/>
      <c r="AIC3" s="4"/>
      <c r="AID3" s="4"/>
      <c r="AIE3" s="4"/>
      <c r="AIF3" s="4"/>
      <c r="AIG3" s="4"/>
      <c r="AIH3" s="4"/>
      <c r="AII3" s="4"/>
      <c r="AIJ3" s="4"/>
      <c r="AIK3" s="4"/>
      <c r="AIL3" s="4"/>
      <c r="AIM3" s="4"/>
      <c r="AIN3" s="4"/>
      <c r="AIO3" s="4"/>
      <c r="AIP3" s="4"/>
      <c r="AIQ3" s="4"/>
      <c r="AIR3" s="4"/>
      <c r="AIS3" s="4"/>
      <c r="AIT3" s="4"/>
      <c r="AIU3" s="4"/>
      <c r="AIV3" s="4"/>
      <c r="AIW3" s="4"/>
      <c r="AIX3" s="4"/>
      <c r="AIY3" s="4"/>
      <c r="AIZ3" s="4"/>
      <c r="AJA3" s="4"/>
      <c r="AJB3" s="4"/>
      <c r="AJC3" s="4"/>
      <c r="AJD3" s="4"/>
      <c r="AJE3" s="4"/>
      <c r="AJF3" s="4"/>
      <c r="AJG3" s="4"/>
      <c r="AJH3" s="4"/>
      <c r="AJI3" s="4"/>
      <c r="AJJ3" s="4"/>
      <c r="AJK3" s="4"/>
      <c r="AJL3" s="4"/>
      <c r="AJM3" s="4"/>
      <c r="AJN3" s="4"/>
      <c r="AJO3" s="4"/>
      <c r="AJP3" s="4"/>
      <c r="AJQ3" s="4"/>
      <c r="AJR3" s="4"/>
      <c r="AJS3" s="4"/>
      <c r="AJT3" s="4"/>
      <c r="AJU3" s="4"/>
      <c r="AJV3" s="4"/>
      <c r="AJW3" s="4"/>
      <c r="AJX3" s="4"/>
      <c r="AJY3" s="4"/>
      <c r="AJZ3" s="4"/>
      <c r="AKA3" s="4"/>
      <c r="AKB3" s="4"/>
      <c r="AKC3" s="4"/>
      <c r="AKD3" s="4"/>
      <c r="AKE3" s="4"/>
      <c r="AKF3" s="4"/>
      <c r="AKG3" s="4"/>
      <c r="AKH3" s="4"/>
      <c r="AKI3" s="4"/>
      <c r="AKJ3" s="4"/>
      <c r="AKK3" s="4"/>
      <c r="AKL3" s="4"/>
      <c r="AKM3" s="4"/>
      <c r="AKN3" s="4"/>
      <c r="AKO3" s="4"/>
      <c r="AKP3" s="4"/>
      <c r="AKQ3" s="4"/>
      <c r="AKR3" s="4"/>
      <c r="AKS3" s="4"/>
      <c r="AKT3" s="4"/>
      <c r="AKU3" s="4"/>
      <c r="AKV3" s="4"/>
      <c r="AKW3" s="4"/>
      <c r="AKX3" s="4"/>
      <c r="AKY3" s="4"/>
      <c r="AKZ3" s="4"/>
      <c r="ALA3" s="4"/>
      <c r="ALB3" s="4"/>
      <c r="ALC3" s="4"/>
      <c r="ALD3" s="4"/>
      <c r="ALE3" s="4"/>
      <c r="ALF3" s="4"/>
      <c r="ALG3" s="4"/>
      <c r="ALH3" s="4"/>
      <c r="ALI3" s="4"/>
      <c r="ALJ3" s="4"/>
      <c r="ALK3" s="4"/>
      <c r="ALL3" s="4"/>
      <c r="ALM3" s="4"/>
      <c r="ALN3" s="4"/>
      <c r="ALO3" s="4"/>
      <c r="ALP3" s="4"/>
      <c r="ALQ3" s="4"/>
      <c r="ALR3" s="4"/>
      <c r="ALS3" s="4"/>
      <c r="ALT3" s="4"/>
      <c r="ALU3" s="4"/>
      <c r="ALV3" s="4"/>
      <c r="ALW3" s="4"/>
      <c r="ALX3" s="4"/>
      <c r="ALY3" s="4"/>
      <c r="ALZ3" s="4"/>
      <c r="AMA3" s="4"/>
      <c r="AMB3" s="4"/>
      <c r="AMC3" s="4"/>
      <c r="AMD3" s="4"/>
      <c r="AME3" s="4"/>
      <c r="AMF3" s="4"/>
      <c r="AMG3" s="4"/>
      <c r="AMH3" s="4"/>
    </row>
    <row r="4" spans="1:1022">
      <c r="A4" s="4" t="s">
        <v>2750</v>
      </c>
      <c r="B4" s="4" t="s">
        <v>171</v>
      </c>
      <c r="C4" s="4" t="str">
        <f t="shared" si="0"/>
        <v>att_user_research_group:hallek</v>
      </c>
      <c r="D4" s="4" t="s">
        <v>12</v>
      </c>
      <c r="E4" s="4" t="s">
        <v>2751</v>
      </c>
      <c r="F4" s="4" t="s">
        <v>2752</v>
      </c>
      <c r="G4" s="4"/>
      <c r="H4" s="4"/>
      <c r="I4" s="4"/>
      <c r="J4" s="4"/>
      <c r="K4" s="4"/>
      <c r="L4" s="4"/>
      <c r="M4" s="4"/>
      <c r="N4" s="4"/>
      <c r="O4" s="4"/>
      <c r="P4" s="4"/>
      <c r="Q4" s="4"/>
      <c r="R4" s="4"/>
      <c r="S4" s="4"/>
      <c r="T4" s="4"/>
      <c r="U4" s="4"/>
      <c r="V4" s="4"/>
      <c r="W4" s="4"/>
      <c r="X4" s="4"/>
      <c r="Y4" s="4"/>
      <c r="Z4" s="4"/>
      <c r="AA4" s="4"/>
      <c r="AB4" s="4"/>
      <c r="AC4" s="4"/>
      <c r="AD4" s="4"/>
      <c r="AE4" s="4"/>
      <c r="AF4" s="4"/>
      <c r="AG4" s="4"/>
      <c r="AH4" s="4"/>
      <c r="AI4" s="4"/>
      <c r="AJ4" s="4"/>
      <c r="AK4" s="4"/>
      <c r="AL4" s="4"/>
      <c r="AM4" s="4"/>
      <c r="AN4" s="4"/>
      <c r="AO4" s="4"/>
      <c r="AP4" s="4"/>
      <c r="AQ4" s="4"/>
      <c r="AR4" s="4"/>
      <c r="AS4" s="4"/>
      <c r="AT4" s="4"/>
      <c r="AU4" s="4"/>
      <c r="AV4" s="4"/>
      <c r="AW4" s="4"/>
      <c r="AX4" s="4"/>
      <c r="AY4" s="4"/>
      <c r="AZ4" s="4"/>
      <c r="BA4" s="4"/>
      <c r="BB4" s="4"/>
      <c r="BC4" s="4"/>
      <c r="BD4" s="4"/>
      <c r="BE4" s="4"/>
      <c r="BF4" s="4"/>
      <c r="BG4" s="4"/>
      <c r="BH4" s="4"/>
      <c r="BI4" s="4"/>
      <c r="BJ4" s="4"/>
      <c r="BK4" s="4"/>
      <c r="BL4" s="4"/>
      <c r="BM4" s="4"/>
      <c r="BN4" s="4"/>
      <c r="BO4" s="4"/>
      <c r="BP4" s="4"/>
      <c r="BQ4" s="4"/>
      <c r="BR4" s="4"/>
      <c r="BS4" s="4"/>
      <c r="BT4" s="4"/>
      <c r="BU4" s="4"/>
      <c r="BV4" s="4"/>
      <c r="BW4" s="4"/>
      <c r="BX4" s="4"/>
      <c r="BY4" s="4"/>
      <c r="BZ4" s="4"/>
      <c r="CA4" s="4"/>
      <c r="CB4" s="4"/>
      <c r="CC4" s="4"/>
      <c r="CD4" s="4"/>
      <c r="CE4" s="4"/>
      <c r="CF4" s="4"/>
      <c r="CG4" s="4"/>
      <c r="CH4" s="4"/>
      <c r="CI4" s="4"/>
      <c r="CJ4" s="4"/>
      <c r="CK4" s="4"/>
      <c r="CL4" s="4"/>
      <c r="CM4" s="4"/>
      <c r="CN4" s="4"/>
      <c r="CO4" s="4"/>
      <c r="CP4" s="4"/>
      <c r="CQ4" s="4"/>
      <c r="CR4" s="4"/>
      <c r="CS4" s="4"/>
      <c r="CT4" s="4"/>
      <c r="CU4" s="4"/>
      <c r="CV4" s="4"/>
      <c r="CW4" s="4"/>
      <c r="CX4" s="4"/>
      <c r="CY4" s="4"/>
      <c r="CZ4" s="4"/>
      <c r="DA4" s="4"/>
      <c r="DB4" s="4"/>
      <c r="DC4" s="4"/>
      <c r="DD4" s="4"/>
      <c r="DE4" s="4"/>
      <c r="DF4" s="4"/>
      <c r="DG4" s="4"/>
      <c r="DH4" s="4"/>
      <c r="DI4" s="4"/>
      <c r="DJ4" s="4"/>
      <c r="DK4" s="4"/>
      <c r="DL4" s="4"/>
      <c r="DM4" s="4"/>
      <c r="DN4" s="4"/>
      <c r="DO4" s="4"/>
      <c r="DP4" s="4"/>
      <c r="DQ4" s="4"/>
      <c r="DR4" s="4"/>
      <c r="DS4" s="4"/>
      <c r="DT4" s="4"/>
      <c r="DU4" s="4"/>
      <c r="DV4" s="4"/>
      <c r="DW4" s="4"/>
      <c r="DX4" s="4"/>
      <c r="DY4" s="4"/>
      <c r="DZ4" s="4"/>
      <c r="EA4" s="4"/>
      <c r="EB4" s="4"/>
      <c r="EC4" s="4"/>
      <c r="ED4" s="4"/>
      <c r="EE4" s="4"/>
      <c r="EF4" s="4"/>
      <c r="EG4" s="4"/>
      <c r="EH4" s="4"/>
      <c r="EI4" s="4"/>
      <c r="EJ4" s="4"/>
      <c r="EK4" s="4"/>
      <c r="EL4" s="4"/>
      <c r="EM4" s="4"/>
      <c r="EN4" s="4"/>
      <c r="EO4" s="4"/>
      <c r="EP4" s="4"/>
      <c r="EQ4" s="4"/>
      <c r="ER4" s="4"/>
      <c r="ES4" s="4"/>
      <c r="ET4" s="4"/>
      <c r="EU4" s="4"/>
      <c r="EV4" s="4"/>
      <c r="EW4" s="4"/>
      <c r="EX4" s="4"/>
      <c r="EY4" s="4"/>
      <c r="EZ4" s="4"/>
      <c r="FA4" s="4"/>
      <c r="FB4" s="4"/>
      <c r="FC4" s="4"/>
      <c r="FD4" s="4"/>
      <c r="FE4" s="4"/>
      <c r="FF4" s="4"/>
      <c r="FG4" s="4"/>
      <c r="FH4" s="4"/>
      <c r="FI4" s="4"/>
      <c r="FJ4" s="4"/>
      <c r="FK4" s="4"/>
      <c r="FL4" s="4"/>
      <c r="FM4" s="4"/>
      <c r="FN4" s="4"/>
      <c r="FO4" s="4"/>
      <c r="FP4" s="4"/>
      <c r="FQ4" s="4"/>
      <c r="FR4" s="4"/>
      <c r="FS4" s="4"/>
      <c r="FT4" s="4"/>
      <c r="FU4" s="4"/>
      <c r="FV4" s="4"/>
      <c r="FW4" s="4"/>
      <c r="FX4" s="4"/>
      <c r="FY4" s="4"/>
      <c r="FZ4" s="4"/>
      <c r="GA4" s="4"/>
      <c r="GB4" s="4"/>
      <c r="GC4" s="4"/>
      <c r="GD4" s="4"/>
      <c r="GE4" s="4"/>
      <c r="GF4" s="4"/>
      <c r="GG4" s="4"/>
      <c r="GH4" s="4"/>
      <c r="GI4" s="4"/>
      <c r="GJ4" s="4"/>
      <c r="GK4" s="4"/>
      <c r="GL4" s="4"/>
      <c r="GM4" s="4"/>
      <c r="GN4" s="4"/>
      <c r="GO4" s="4"/>
      <c r="GP4" s="4"/>
      <c r="GQ4" s="4"/>
      <c r="GR4" s="4"/>
      <c r="GS4" s="4"/>
      <c r="GT4" s="4"/>
      <c r="GU4" s="4"/>
      <c r="GV4" s="4"/>
      <c r="GW4" s="4"/>
      <c r="GX4" s="4"/>
      <c r="GY4" s="4"/>
      <c r="GZ4" s="4"/>
      <c r="HA4" s="4"/>
      <c r="HB4" s="4"/>
      <c r="HC4" s="4"/>
      <c r="HD4" s="4"/>
      <c r="HE4" s="4"/>
      <c r="HF4" s="4"/>
      <c r="HG4" s="4"/>
      <c r="HH4" s="4"/>
      <c r="HI4" s="4"/>
      <c r="HJ4" s="4"/>
      <c r="HK4" s="4"/>
      <c r="HL4" s="4"/>
      <c r="HM4" s="4"/>
      <c r="HN4" s="4"/>
      <c r="HO4" s="4"/>
      <c r="HP4" s="4"/>
      <c r="HQ4" s="4"/>
      <c r="HR4" s="4"/>
      <c r="HS4" s="4"/>
      <c r="HT4" s="4"/>
      <c r="HU4" s="4"/>
      <c r="HV4" s="4"/>
      <c r="HW4" s="4"/>
      <c r="HX4" s="4"/>
      <c r="HY4" s="4"/>
      <c r="HZ4" s="4"/>
      <c r="IA4" s="4"/>
      <c r="IB4" s="4"/>
      <c r="IC4" s="4"/>
      <c r="ID4" s="4"/>
      <c r="IE4" s="4"/>
      <c r="IF4" s="4"/>
      <c r="IG4" s="4"/>
      <c r="IH4" s="4"/>
      <c r="II4" s="4"/>
      <c r="IJ4" s="4"/>
      <c r="IK4" s="4"/>
      <c r="IL4" s="4"/>
      <c r="IM4" s="4"/>
      <c r="IN4" s="4"/>
      <c r="IO4" s="4"/>
      <c r="IP4" s="4"/>
      <c r="IQ4" s="4"/>
      <c r="IR4" s="4"/>
      <c r="IS4" s="4"/>
      <c r="IT4" s="4"/>
      <c r="IU4" s="4"/>
      <c r="IV4" s="4"/>
      <c r="IW4" s="4"/>
      <c r="IX4" s="4"/>
      <c r="IY4" s="4"/>
      <c r="IZ4" s="4"/>
      <c r="JA4" s="4"/>
      <c r="JB4" s="4"/>
      <c r="JC4" s="4"/>
      <c r="JD4" s="4"/>
      <c r="JE4" s="4"/>
      <c r="JF4" s="4"/>
      <c r="JG4" s="4"/>
      <c r="JH4" s="4"/>
      <c r="JI4" s="4"/>
      <c r="JJ4" s="4"/>
      <c r="JK4" s="4"/>
      <c r="JL4" s="4"/>
      <c r="JM4" s="4"/>
      <c r="JN4" s="4"/>
      <c r="JO4" s="4"/>
      <c r="JP4" s="4"/>
      <c r="JQ4" s="4"/>
      <c r="JR4" s="4"/>
      <c r="JS4" s="4"/>
      <c r="JT4" s="4"/>
      <c r="JU4" s="4"/>
      <c r="JV4" s="4"/>
      <c r="JW4" s="4"/>
      <c r="JX4" s="4"/>
      <c r="JY4" s="4"/>
      <c r="JZ4" s="4"/>
      <c r="KA4" s="4"/>
      <c r="KB4" s="4"/>
      <c r="KC4" s="4"/>
      <c r="KD4" s="4"/>
      <c r="KE4" s="4"/>
      <c r="KF4" s="4"/>
      <c r="KG4" s="4"/>
      <c r="KH4" s="4"/>
      <c r="KI4" s="4"/>
      <c r="KJ4" s="4"/>
      <c r="KK4" s="4"/>
      <c r="KL4" s="4"/>
      <c r="KM4" s="4"/>
      <c r="KN4" s="4"/>
      <c r="KO4" s="4"/>
      <c r="KP4" s="4"/>
      <c r="KQ4" s="4"/>
      <c r="KR4" s="4"/>
      <c r="KS4" s="4"/>
      <c r="KT4" s="4"/>
      <c r="KU4" s="4"/>
      <c r="KV4" s="4"/>
      <c r="KW4" s="4"/>
      <c r="KX4" s="4"/>
      <c r="KY4" s="4"/>
      <c r="KZ4" s="4"/>
      <c r="LA4" s="4"/>
      <c r="LB4" s="4"/>
      <c r="LC4" s="4"/>
      <c r="LD4" s="4"/>
      <c r="LE4" s="4"/>
      <c r="LF4" s="4"/>
      <c r="LG4" s="4"/>
      <c r="LH4" s="4"/>
      <c r="LI4" s="4"/>
      <c r="LJ4" s="4"/>
      <c r="LK4" s="4"/>
      <c r="LL4" s="4"/>
      <c r="LM4" s="4"/>
      <c r="LN4" s="4"/>
      <c r="LO4" s="4"/>
      <c r="LP4" s="4"/>
      <c r="LQ4" s="4"/>
      <c r="LR4" s="4"/>
      <c r="LS4" s="4"/>
      <c r="LT4" s="4"/>
      <c r="LU4" s="4"/>
      <c r="LV4" s="4"/>
      <c r="LW4" s="4"/>
      <c r="LX4" s="4"/>
      <c r="LY4" s="4"/>
      <c r="LZ4" s="4"/>
      <c r="MA4" s="4"/>
      <c r="MB4" s="4"/>
      <c r="MC4" s="4"/>
      <c r="MD4" s="4"/>
      <c r="ME4" s="4"/>
      <c r="MF4" s="4"/>
      <c r="MG4" s="4"/>
      <c r="MH4" s="4"/>
      <c r="MI4" s="4"/>
      <c r="MJ4" s="4"/>
      <c r="MK4" s="4"/>
      <c r="ML4" s="4"/>
      <c r="MM4" s="4"/>
      <c r="MN4" s="4"/>
      <c r="MO4" s="4"/>
      <c r="MP4" s="4"/>
      <c r="MQ4" s="4"/>
      <c r="MR4" s="4"/>
      <c r="MS4" s="4"/>
      <c r="MT4" s="4"/>
      <c r="MU4" s="4"/>
      <c r="MV4" s="4"/>
      <c r="MW4" s="4"/>
      <c r="MX4" s="4"/>
      <c r="MY4" s="4"/>
      <c r="MZ4" s="4"/>
      <c r="NA4" s="4"/>
      <c r="NB4" s="4"/>
      <c r="NC4" s="4"/>
      <c r="ND4" s="4"/>
      <c r="NE4" s="4"/>
      <c r="NF4" s="4"/>
      <c r="NG4" s="4"/>
      <c r="NH4" s="4"/>
      <c r="NI4" s="4"/>
      <c r="NJ4" s="4"/>
      <c r="NK4" s="4"/>
      <c r="NL4" s="4"/>
      <c r="NM4" s="4"/>
      <c r="NN4" s="4"/>
      <c r="NO4" s="4"/>
      <c r="NP4" s="4"/>
      <c r="NQ4" s="4"/>
      <c r="NR4" s="4"/>
      <c r="NS4" s="4"/>
      <c r="NT4" s="4"/>
      <c r="NU4" s="4"/>
      <c r="NV4" s="4"/>
      <c r="NW4" s="4"/>
      <c r="NX4" s="4"/>
      <c r="NY4" s="4"/>
      <c r="NZ4" s="4"/>
      <c r="OA4" s="4"/>
      <c r="OB4" s="4"/>
      <c r="OC4" s="4"/>
      <c r="OD4" s="4"/>
      <c r="OE4" s="4"/>
      <c r="OF4" s="4"/>
      <c r="OG4" s="4"/>
      <c r="OH4" s="4"/>
      <c r="OI4" s="4"/>
      <c r="OJ4" s="4"/>
      <c r="OK4" s="4"/>
      <c r="OL4" s="4"/>
      <c r="OM4" s="4"/>
      <c r="ON4" s="4"/>
      <c r="OO4" s="4"/>
      <c r="OP4" s="4"/>
      <c r="OQ4" s="4"/>
      <c r="OR4" s="4"/>
      <c r="OS4" s="4"/>
      <c r="OT4" s="4"/>
      <c r="OU4" s="4"/>
      <c r="OV4" s="4"/>
      <c r="OW4" s="4"/>
      <c r="OX4" s="4"/>
      <c r="OY4" s="4"/>
      <c r="OZ4" s="4"/>
      <c r="PA4" s="4"/>
      <c r="PB4" s="4"/>
      <c r="PC4" s="4"/>
      <c r="PD4" s="4"/>
      <c r="PE4" s="4"/>
      <c r="PF4" s="4"/>
      <c r="PG4" s="4"/>
      <c r="PH4" s="4"/>
      <c r="PI4" s="4"/>
      <c r="PJ4" s="4"/>
      <c r="PK4" s="4"/>
      <c r="PL4" s="4"/>
      <c r="PM4" s="4"/>
      <c r="PN4" s="4"/>
      <c r="PO4" s="4"/>
      <c r="PP4" s="4"/>
      <c r="PQ4" s="4"/>
      <c r="PR4" s="4"/>
      <c r="PS4" s="4"/>
      <c r="PT4" s="4"/>
      <c r="PU4" s="4"/>
      <c r="PV4" s="4"/>
      <c r="PW4" s="4"/>
      <c r="PX4" s="4"/>
      <c r="PY4" s="4"/>
      <c r="PZ4" s="4"/>
      <c r="QA4" s="4"/>
      <c r="QB4" s="4"/>
      <c r="QC4" s="4"/>
      <c r="QD4" s="4"/>
      <c r="QE4" s="4"/>
      <c r="QF4" s="4"/>
      <c r="QG4" s="4"/>
      <c r="QH4" s="4"/>
      <c r="QI4" s="4"/>
      <c r="QJ4" s="4"/>
      <c r="QK4" s="4"/>
      <c r="QL4" s="4"/>
      <c r="QM4" s="4"/>
      <c r="QN4" s="4"/>
      <c r="QO4" s="4"/>
      <c r="QP4" s="4"/>
      <c r="QQ4" s="4"/>
      <c r="QR4" s="4"/>
      <c r="QS4" s="4"/>
      <c r="QT4" s="4"/>
      <c r="QU4" s="4"/>
      <c r="QV4" s="4"/>
      <c r="QW4" s="4"/>
      <c r="QX4" s="4"/>
      <c r="QY4" s="4"/>
      <c r="QZ4" s="4"/>
      <c r="RA4" s="4"/>
      <c r="RB4" s="4"/>
      <c r="RC4" s="4"/>
      <c r="RD4" s="4"/>
      <c r="RE4" s="4"/>
      <c r="RF4" s="4"/>
      <c r="RG4" s="4"/>
      <c r="RH4" s="4"/>
      <c r="RI4" s="4"/>
      <c r="RJ4" s="4"/>
      <c r="RK4" s="4"/>
      <c r="RL4" s="4"/>
      <c r="RM4" s="4"/>
      <c r="RN4" s="4"/>
      <c r="RO4" s="4"/>
      <c r="RP4" s="4"/>
      <c r="RQ4" s="4"/>
      <c r="RR4" s="4"/>
      <c r="RS4" s="4"/>
      <c r="RT4" s="4"/>
      <c r="RU4" s="4"/>
      <c r="RV4" s="4"/>
      <c r="RW4" s="4"/>
      <c r="RX4" s="4"/>
      <c r="RY4" s="4"/>
      <c r="RZ4" s="4"/>
      <c r="SA4" s="4"/>
      <c r="SB4" s="4"/>
      <c r="SC4" s="4"/>
      <c r="SD4" s="4"/>
      <c r="SE4" s="4"/>
      <c r="SF4" s="4"/>
      <c r="SG4" s="4"/>
      <c r="SH4" s="4"/>
      <c r="SI4" s="4"/>
      <c r="SJ4" s="4"/>
      <c r="SK4" s="4"/>
      <c r="SL4" s="4"/>
      <c r="SM4" s="4"/>
      <c r="SN4" s="4"/>
      <c r="SO4" s="4"/>
      <c r="SP4" s="4"/>
      <c r="SQ4" s="4"/>
      <c r="SR4" s="4"/>
      <c r="SS4" s="4"/>
      <c r="ST4" s="4"/>
      <c r="SU4" s="4"/>
      <c r="SV4" s="4"/>
      <c r="SW4" s="4"/>
      <c r="SX4" s="4"/>
      <c r="SY4" s="4"/>
      <c r="SZ4" s="4"/>
      <c r="TA4" s="4"/>
      <c r="TB4" s="4"/>
      <c r="TC4" s="4"/>
      <c r="TD4" s="4"/>
      <c r="TE4" s="4"/>
      <c r="TF4" s="4"/>
      <c r="TG4" s="4"/>
      <c r="TH4" s="4"/>
      <c r="TI4" s="4"/>
      <c r="TJ4" s="4"/>
      <c r="TK4" s="4"/>
      <c r="TL4" s="4"/>
      <c r="TM4" s="4"/>
      <c r="TN4" s="4"/>
      <c r="TO4" s="4"/>
      <c r="TP4" s="4"/>
      <c r="TQ4" s="4"/>
      <c r="TR4" s="4"/>
      <c r="TS4" s="4"/>
      <c r="TT4" s="4"/>
      <c r="TU4" s="4"/>
      <c r="TV4" s="4"/>
      <c r="TW4" s="4"/>
      <c r="TX4" s="4"/>
      <c r="TY4" s="4"/>
      <c r="TZ4" s="4"/>
      <c r="UA4" s="4"/>
      <c r="UB4" s="4"/>
      <c r="UC4" s="4"/>
      <c r="UD4" s="4"/>
      <c r="UE4" s="4"/>
      <c r="UF4" s="4"/>
      <c r="UG4" s="4"/>
      <c r="UH4" s="4"/>
      <c r="UI4" s="4"/>
      <c r="UJ4" s="4"/>
      <c r="UK4" s="4"/>
      <c r="UL4" s="4"/>
      <c r="UM4" s="4"/>
      <c r="UN4" s="4"/>
      <c r="UO4" s="4"/>
      <c r="UP4" s="4"/>
      <c r="UQ4" s="4"/>
      <c r="UR4" s="4"/>
      <c r="US4" s="4"/>
      <c r="UT4" s="4"/>
      <c r="UU4" s="4"/>
      <c r="UV4" s="4"/>
      <c r="UW4" s="4"/>
      <c r="UX4" s="4"/>
      <c r="UY4" s="4"/>
      <c r="UZ4" s="4"/>
      <c r="VA4" s="4"/>
      <c r="VB4" s="4"/>
      <c r="VC4" s="4"/>
      <c r="VD4" s="4"/>
      <c r="VE4" s="4"/>
      <c r="VF4" s="4"/>
      <c r="VG4" s="4"/>
      <c r="VH4" s="4"/>
      <c r="VI4" s="4"/>
      <c r="VJ4" s="4"/>
      <c r="VK4" s="4"/>
      <c r="VL4" s="4"/>
      <c r="VM4" s="4"/>
      <c r="VN4" s="4"/>
      <c r="VO4" s="4"/>
      <c r="VP4" s="4"/>
      <c r="VQ4" s="4"/>
      <c r="VR4" s="4"/>
      <c r="VS4" s="4"/>
      <c r="VT4" s="4"/>
      <c r="VU4" s="4"/>
      <c r="VV4" s="4"/>
      <c r="VW4" s="4"/>
      <c r="VX4" s="4"/>
      <c r="VY4" s="4"/>
      <c r="VZ4" s="4"/>
      <c r="WA4" s="4"/>
      <c r="WB4" s="4"/>
      <c r="WC4" s="4"/>
      <c r="WD4" s="4"/>
      <c r="WE4" s="4"/>
      <c r="WF4" s="4"/>
      <c r="WG4" s="4"/>
      <c r="WH4" s="4"/>
      <c r="WI4" s="4"/>
      <c r="WJ4" s="4"/>
      <c r="WK4" s="4"/>
      <c r="WL4" s="4"/>
      <c r="WM4" s="4"/>
      <c r="WN4" s="4"/>
      <c r="WO4" s="4"/>
      <c r="WP4" s="4"/>
      <c r="WQ4" s="4"/>
      <c r="WR4" s="4"/>
      <c r="WS4" s="4"/>
      <c r="WT4" s="4"/>
      <c r="WU4" s="4"/>
      <c r="WV4" s="4"/>
      <c r="WW4" s="4"/>
      <c r="WX4" s="4"/>
      <c r="WY4" s="4"/>
      <c r="WZ4" s="4"/>
      <c r="XA4" s="4"/>
      <c r="XB4" s="4"/>
      <c r="XC4" s="4"/>
      <c r="XD4" s="4"/>
      <c r="XE4" s="4"/>
      <c r="XF4" s="4"/>
      <c r="XG4" s="4"/>
      <c r="XH4" s="4"/>
      <c r="XI4" s="4"/>
      <c r="XJ4" s="4"/>
      <c r="XK4" s="4"/>
      <c r="XL4" s="4"/>
      <c r="XM4" s="4"/>
      <c r="XN4" s="4"/>
      <c r="XO4" s="4"/>
      <c r="XP4" s="4"/>
      <c r="XQ4" s="4"/>
      <c r="XR4" s="4"/>
      <c r="XS4" s="4"/>
      <c r="XT4" s="4"/>
      <c r="XU4" s="4"/>
      <c r="XV4" s="4"/>
      <c r="XW4" s="4"/>
      <c r="XX4" s="4"/>
      <c r="XY4" s="4"/>
      <c r="XZ4" s="4"/>
      <c r="YA4" s="4"/>
      <c r="YB4" s="4"/>
      <c r="YC4" s="4"/>
      <c r="YD4" s="4"/>
      <c r="YE4" s="4"/>
      <c r="YF4" s="4"/>
      <c r="YG4" s="4"/>
      <c r="YH4" s="4"/>
      <c r="YI4" s="4"/>
      <c r="YJ4" s="4"/>
      <c r="YK4" s="4"/>
      <c r="YL4" s="4"/>
      <c r="YM4" s="4"/>
      <c r="YN4" s="4"/>
      <c r="YO4" s="4"/>
      <c r="YP4" s="4"/>
      <c r="YQ4" s="4"/>
      <c r="YR4" s="4"/>
      <c r="YS4" s="4"/>
      <c r="YT4" s="4"/>
      <c r="YU4" s="4"/>
      <c r="YV4" s="4"/>
      <c r="YW4" s="4"/>
      <c r="YX4" s="4"/>
      <c r="YY4" s="4"/>
      <c r="YZ4" s="4"/>
      <c r="ZA4" s="4"/>
      <c r="ZB4" s="4"/>
      <c r="ZC4" s="4"/>
      <c r="ZD4" s="4"/>
      <c r="ZE4" s="4"/>
      <c r="ZF4" s="4"/>
      <c r="ZG4" s="4"/>
      <c r="ZH4" s="4"/>
      <c r="ZI4" s="4"/>
      <c r="ZJ4" s="4"/>
      <c r="ZK4" s="4"/>
      <c r="ZL4" s="4"/>
      <c r="ZM4" s="4"/>
      <c r="ZN4" s="4"/>
      <c r="ZO4" s="4"/>
      <c r="ZP4" s="4"/>
      <c r="ZQ4" s="4"/>
      <c r="ZR4" s="4"/>
      <c r="ZS4" s="4"/>
      <c r="ZT4" s="4"/>
      <c r="ZU4" s="4"/>
      <c r="ZV4" s="4"/>
      <c r="ZW4" s="4"/>
      <c r="ZX4" s="4"/>
      <c r="ZY4" s="4"/>
      <c r="ZZ4" s="4"/>
      <c r="AAA4" s="4"/>
      <c r="AAB4" s="4"/>
      <c r="AAC4" s="4"/>
      <c r="AAD4" s="4"/>
      <c r="AAE4" s="4"/>
      <c r="AAF4" s="4"/>
      <c r="AAG4" s="4"/>
      <c r="AAH4" s="4"/>
      <c r="AAI4" s="4"/>
      <c r="AAJ4" s="4"/>
      <c r="AAK4" s="4"/>
      <c r="AAL4" s="4"/>
      <c r="AAM4" s="4"/>
      <c r="AAN4" s="4"/>
      <c r="AAO4" s="4"/>
      <c r="AAP4" s="4"/>
      <c r="AAQ4" s="4"/>
      <c r="AAR4" s="4"/>
      <c r="AAS4" s="4"/>
      <c r="AAT4" s="4"/>
      <c r="AAU4" s="4"/>
      <c r="AAV4" s="4"/>
      <c r="AAW4" s="4"/>
      <c r="AAX4" s="4"/>
      <c r="AAY4" s="4"/>
      <c r="AAZ4" s="4"/>
      <c r="ABA4" s="4"/>
      <c r="ABB4" s="4"/>
      <c r="ABC4" s="4"/>
      <c r="ABD4" s="4"/>
      <c r="ABE4" s="4"/>
      <c r="ABF4" s="4"/>
      <c r="ABG4" s="4"/>
      <c r="ABH4" s="4"/>
      <c r="ABI4" s="4"/>
      <c r="ABJ4" s="4"/>
      <c r="ABK4" s="4"/>
      <c r="ABL4" s="4"/>
      <c r="ABM4" s="4"/>
      <c r="ABN4" s="4"/>
      <c r="ABO4" s="4"/>
      <c r="ABP4" s="4"/>
      <c r="ABQ4" s="4"/>
      <c r="ABR4" s="4"/>
      <c r="ABS4" s="4"/>
      <c r="ABT4" s="4"/>
      <c r="ABU4" s="4"/>
      <c r="ABV4" s="4"/>
      <c r="ABW4" s="4"/>
      <c r="ABX4" s="4"/>
      <c r="ABY4" s="4"/>
      <c r="ABZ4" s="4"/>
      <c r="ACA4" s="4"/>
      <c r="ACB4" s="4"/>
      <c r="ACC4" s="4"/>
      <c r="ACD4" s="4"/>
      <c r="ACE4" s="4"/>
      <c r="ACF4" s="4"/>
      <c r="ACG4" s="4"/>
      <c r="ACH4" s="4"/>
      <c r="ACI4" s="4"/>
      <c r="ACJ4" s="4"/>
      <c r="ACK4" s="4"/>
      <c r="ACL4" s="4"/>
      <c r="ACM4" s="4"/>
      <c r="ACN4" s="4"/>
      <c r="ACO4" s="4"/>
      <c r="ACP4" s="4"/>
      <c r="ACQ4" s="4"/>
      <c r="ACR4" s="4"/>
      <c r="ACS4" s="4"/>
      <c r="ACT4" s="4"/>
      <c r="ACU4" s="4"/>
      <c r="ACV4" s="4"/>
      <c r="ACW4" s="4"/>
      <c r="ACX4" s="4"/>
      <c r="ACY4" s="4"/>
      <c r="ACZ4" s="4"/>
      <c r="ADA4" s="4"/>
      <c r="ADB4" s="4"/>
      <c r="ADC4" s="4"/>
      <c r="ADD4" s="4"/>
      <c r="ADE4" s="4"/>
      <c r="ADF4" s="4"/>
      <c r="ADG4" s="4"/>
      <c r="ADH4" s="4"/>
      <c r="ADI4" s="4"/>
      <c r="ADJ4" s="4"/>
      <c r="ADK4" s="4"/>
      <c r="ADL4" s="4"/>
      <c r="ADM4" s="4"/>
      <c r="ADN4" s="4"/>
      <c r="ADO4" s="4"/>
      <c r="ADP4" s="4"/>
      <c r="ADQ4" s="4"/>
      <c r="ADR4" s="4"/>
      <c r="ADS4" s="4"/>
      <c r="ADT4" s="4"/>
      <c r="ADU4" s="4"/>
      <c r="ADV4" s="4"/>
      <c r="ADW4" s="4"/>
      <c r="ADX4" s="4"/>
      <c r="ADY4" s="4"/>
      <c r="ADZ4" s="4"/>
      <c r="AEA4" s="4"/>
      <c r="AEB4" s="4"/>
      <c r="AEC4" s="4"/>
      <c r="AED4" s="4"/>
      <c r="AEE4" s="4"/>
      <c r="AEF4" s="4"/>
      <c r="AEG4" s="4"/>
      <c r="AEH4" s="4"/>
      <c r="AEI4" s="4"/>
      <c r="AEJ4" s="4"/>
      <c r="AEK4" s="4"/>
      <c r="AEL4" s="4"/>
      <c r="AEM4" s="4"/>
      <c r="AEN4" s="4"/>
      <c r="AEO4" s="4"/>
      <c r="AEP4" s="4"/>
      <c r="AEQ4" s="4"/>
      <c r="AER4" s="4"/>
      <c r="AES4" s="4"/>
      <c r="AET4" s="4"/>
      <c r="AEU4" s="4"/>
      <c r="AEV4" s="4"/>
      <c r="AEW4" s="4"/>
      <c r="AEX4" s="4"/>
      <c r="AEY4" s="4"/>
      <c r="AEZ4" s="4"/>
      <c r="AFA4" s="4"/>
      <c r="AFB4" s="4"/>
      <c r="AFC4" s="4"/>
      <c r="AFD4" s="4"/>
      <c r="AFE4" s="4"/>
      <c r="AFF4" s="4"/>
      <c r="AFG4" s="4"/>
      <c r="AFH4" s="4"/>
      <c r="AFI4" s="4"/>
      <c r="AFJ4" s="4"/>
      <c r="AFK4" s="4"/>
      <c r="AFL4" s="4"/>
      <c r="AFM4" s="4"/>
      <c r="AFN4" s="4"/>
      <c r="AFO4" s="4"/>
      <c r="AFP4" s="4"/>
      <c r="AFQ4" s="4"/>
      <c r="AFR4" s="4"/>
      <c r="AFS4" s="4"/>
      <c r="AFT4" s="4"/>
      <c r="AFU4" s="4"/>
      <c r="AFV4" s="4"/>
      <c r="AFW4" s="4"/>
      <c r="AFX4" s="4"/>
      <c r="AFY4" s="4"/>
      <c r="AFZ4" s="4"/>
      <c r="AGA4" s="4"/>
      <c r="AGB4" s="4"/>
      <c r="AGC4" s="4"/>
      <c r="AGD4" s="4"/>
      <c r="AGE4" s="4"/>
      <c r="AGF4" s="4"/>
      <c r="AGG4" s="4"/>
      <c r="AGH4" s="4"/>
      <c r="AGI4" s="4"/>
      <c r="AGJ4" s="4"/>
      <c r="AGK4" s="4"/>
      <c r="AGL4" s="4"/>
      <c r="AGM4" s="4"/>
      <c r="AGN4" s="4"/>
      <c r="AGO4" s="4"/>
      <c r="AGP4" s="4"/>
      <c r="AGQ4" s="4"/>
      <c r="AGR4" s="4"/>
      <c r="AGS4" s="4"/>
      <c r="AGT4" s="4"/>
      <c r="AGU4" s="4"/>
      <c r="AGV4" s="4"/>
      <c r="AGW4" s="4"/>
      <c r="AGX4" s="4"/>
      <c r="AGY4" s="4"/>
      <c r="AGZ4" s="4"/>
      <c r="AHA4" s="4"/>
      <c r="AHB4" s="4"/>
      <c r="AHC4" s="4"/>
      <c r="AHD4" s="4"/>
      <c r="AHE4" s="4"/>
      <c r="AHF4" s="4"/>
      <c r="AHG4" s="4"/>
      <c r="AHH4" s="4"/>
      <c r="AHI4" s="4"/>
      <c r="AHJ4" s="4"/>
      <c r="AHK4" s="4"/>
      <c r="AHL4" s="4"/>
      <c r="AHM4" s="4"/>
      <c r="AHN4" s="4"/>
      <c r="AHO4" s="4"/>
      <c r="AHP4" s="4"/>
      <c r="AHQ4" s="4"/>
      <c r="AHR4" s="4"/>
      <c r="AHS4" s="4"/>
      <c r="AHT4" s="4"/>
      <c r="AHU4" s="4"/>
      <c r="AHV4" s="4"/>
      <c r="AHW4" s="4"/>
      <c r="AHX4" s="4"/>
      <c r="AHY4" s="4"/>
      <c r="AHZ4" s="4"/>
      <c r="AIA4" s="4"/>
      <c r="AIB4" s="4"/>
      <c r="AIC4" s="4"/>
      <c r="AID4" s="4"/>
      <c r="AIE4" s="4"/>
      <c r="AIF4" s="4"/>
      <c r="AIG4" s="4"/>
      <c r="AIH4" s="4"/>
      <c r="AII4" s="4"/>
      <c r="AIJ4" s="4"/>
      <c r="AIK4" s="4"/>
      <c r="AIL4" s="4"/>
      <c r="AIM4" s="4"/>
      <c r="AIN4" s="4"/>
      <c r="AIO4" s="4"/>
      <c r="AIP4" s="4"/>
      <c r="AIQ4" s="4"/>
      <c r="AIR4" s="4"/>
      <c r="AIS4" s="4"/>
      <c r="AIT4" s="4"/>
      <c r="AIU4" s="4"/>
      <c r="AIV4" s="4"/>
      <c r="AIW4" s="4"/>
      <c r="AIX4" s="4"/>
      <c r="AIY4" s="4"/>
      <c r="AIZ4" s="4"/>
      <c r="AJA4" s="4"/>
      <c r="AJB4" s="4"/>
      <c r="AJC4" s="4"/>
      <c r="AJD4" s="4"/>
      <c r="AJE4" s="4"/>
      <c r="AJF4" s="4"/>
      <c r="AJG4" s="4"/>
      <c r="AJH4" s="4"/>
      <c r="AJI4" s="4"/>
      <c r="AJJ4" s="4"/>
      <c r="AJK4" s="4"/>
      <c r="AJL4" s="4"/>
      <c r="AJM4" s="4"/>
      <c r="AJN4" s="4"/>
      <c r="AJO4" s="4"/>
      <c r="AJP4" s="4"/>
      <c r="AJQ4" s="4"/>
      <c r="AJR4" s="4"/>
      <c r="AJS4" s="4"/>
      <c r="AJT4" s="4"/>
      <c r="AJU4" s="4"/>
      <c r="AJV4" s="4"/>
      <c r="AJW4" s="4"/>
      <c r="AJX4" s="4"/>
      <c r="AJY4" s="4"/>
      <c r="AJZ4" s="4"/>
      <c r="AKA4" s="4"/>
      <c r="AKB4" s="4"/>
      <c r="AKC4" s="4"/>
      <c r="AKD4" s="4"/>
      <c r="AKE4" s="4"/>
      <c r="AKF4" s="4"/>
      <c r="AKG4" s="4"/>
      <c r="AKH4" s="4"/>
      <c r="AKI4" s="4"/>
      <c r="AKJ4" s="4"/>
      <c r="AKK4" s="4"/>
      <c r="AKL4" s="4"/>
      <c r="AKM4" s="4"/>
      <c r="AKN4" s="4"/>
      <c r="AKO4" s="4"/>
      <c r="AKP4" s="4"/>
      <c r="AKQ4" s="4"/>
      <c r="AKR4" s="4"/>
      <c r="AKS4" s="4"/>
      <c r="AKT4" s="4"/>
      <c r="AKU4" s="4"/>
      <c r="AKV4" s="4"/>
      <c r="AKW4" s="4"/>
      <c r="AKX4" s="4"/>
      <c r="AKY4" s="4"/>
      <c r="AKZ4" s="4"/>
      <c r="ALA4" s="4"/>
      <c r="ALB4" s="4"/>
      <c r="ALC4" s="4"/>
      <c r="ALD4" s="4"/>
      <c r="ALE4" s="4"/>
      <c r="ALF4" s="4"/>
      <c r="ALG4" s="4"/>
      <c r="ALH4" s="4"/>
      <c r="ALI4" s="4"/>
      <c r="ALJ4" s="4"/>
      <c r="ALK4" s="4"/>
      <c r="ALL4" s="4"/>
      <c r="ALM4" s="4"/>
      <c r="ALN4" s="4"/>
      <c r="ALO4" s="4"/>
      <c r="ALP4" s="4"/>
      <c r="ALQ4" s="4"/>
      <c r="ALR4" s="4"/>
      <c r="ALS4" s="4"/>
      <c r="ALT4" s="4"/>
      <c r="ALU4" s="4"/>
      <c r="ALV4" s="4"/>
      <c r="ALW4" s="4"/>
      <c r="ALX4" s="4"/>
      <c r="ALY4" s="4"/>
      <c r="ALZ4" s="4"/>
      <c r="AMA4" s="4"/>
      <c r="AMB4" s="4"/>
      <c r="AMC4" s="4"/>
      <c r="AMD4" s="4"/>
      <c r="AME4" s="4"/>
      <c r="AMF4" s="4"/>
      <c r="AMG4" s="4"/>
      <c r="AMH4" s="4"/>
    </row>
    <row r="5" spans="1:1022">
      <c r="A5" s="4" t="s">
        <v>2753</v>
      </c>
      <c r="B5" s="4" t="s">
        <v>171</v>
      </c>
      <c r="C5" s="4" t="str">
        <f t="shared" si="0"/>
        <v>att_user_research_group:benzing</v>
      </c>
      <c r="D5" s="4" t="s">
        <v>12</v>
      </c>
      <c r="E5" s="4" t="s">
        <v>2754</v>
      </c>
      <c r="F5" s="4" t="s">
        <v>2755</v>
      </c>
      <c r="G5" s="4"/>
      <c r="H5" s="4"/>
      <c r="I5" s="4"/>
      <c r="J5" s="4"/>
      <c r="K5" s="4"/>
      <c r="L5" s="4"/>
      <c r="M5" s="4"/>
      <c r="N5" s="4"/>
      <c r="O5" s="4"/>
      <c r="P5" s="4"/>
      <c r="Q5" s="4"/>
      <c r="R5" s="4"/>
      <c r="S5" s="4"/>
      <c r="T5" s="4"/>
      <c r="U5" s="4"/>
      <c r="V5" s="4"/>
      <c r="W5" s="4"/>
      <c r="X5" s="4"/>
      <c r="Y5" s="4"/>
      <c r="Z5" s="4"/>
      <c r="AA5" s="4"/>
      <c r="AB5" s="4"/>
      <c r="AC5" s="4"/>
      <c r="AD5" s="4"/>
      <c r="AE5" s="4"/>
      <c r="AF5" s="4"/>
      <c r="AG5" s="4"/>
      <c r="AH5" s="4"/>
      <c r="AI5" s="4"/>
      <c r="AJ5" s="4"/>
      <c r="AK5" s="4"/>
      <c r="AL5" s="4"/>
      <c r="AM5" s="4"/>
      <c r="AN5" s="4"/>
      <c r="AO5" s="4"/>
      <c r="AP5" s="4"/>
      <c r="AQ5" s="4"/>
      <c r="AR5" s="4"/>
      <c r="AS5" s="4"/>
      <c r="AT5" s="4"/>
      <c r="AU5" s="4"/>
      <c r="AV5" s="4"/>
      <c r="AW5" s="4"/>
      <c r="AX5" s="4"/>
      <c r="AY5" s="4"/>
      <c r="AZ5" s="4"/>
      <c r="BA5" s="4"/>
      <c r="BB5" s="4"/>
      <c r="BC5" s="4"/>
      <c r="BD5" s="4"/>
      <c r="BE5" s="4"/>
      <c r="BF5" s="4"/>
      <c r="BG5" s="4"/>
      <c r="BH5" s="4"/>
      <c r="BI5" s="4"/>
      <c r="BJ5" s="4"/>
      <c r="BK5" s="4"/>
      <c r="BL5" s="4"/>
      <c r="BM5" s="4"/>
      <c r="BN5" s="4"/>
      <c r="BO5" s="4"/>
      <c r="BP5" s="4"/>
      <c r="BQ5" s="4"/>
      <c r="BR5" s="4"/>
      <c r="BS5" s="4"/>
      <c r="BT5" s="4"/>
      <c r="BU5" s="4"/>
      <c r="BV5" s="4"/>
      <c r="BW5" s="4"/>
      <c r="BX5" s="4"/>
      <c r="BY5" s="4"/>
      <c r="BZ5" s="4"/>
      <c r="CA5" s="4"/>
      <c r="CB5" s="4"/>
      <c r="CC5" s="4"/>
      <c r="CD5" s="4"/>
      <c r="CE5" s="4"/>
      <c r="CF5" s="4"/>
      <c r="CG5" s="4"/>
      <c r="CH5" s="4"/>
      <c r="CI5" s="4"/>
      <c r="CJ5" s="4"/>
      <c r="CK5" s="4"/>
      <c r="CL5" s="4"/>
      <c r="CM5" s="4"/>
      <c r="CN5" s="4"/>
      <c r="CO5" s="4"/>
      <c r="CP5" s="4"/>
      <c r="CQ5" s="4"/>
      <c r="CR5" s="4"/>
      <c r="CS5" s="4"/>
      <c r="CT5" s="4"/>
      <c r="CU5" s="4"/>
      <c r="CV5" s="4"/>
      <c r="CW5" s="4"/>
      <c r="CX5" s="4"/>
      <c r="CY5" s="4"/>
      <c r="CZ5" s="4"/>
      <c r="DA5" s="4"/>
      <c r="DB5" s="4"/>
      <c r="DC5" s="4"/>
      <c r="DD5" s="4"/>
      <c r="DE5" s="4"/>
      <c r="DF5" s="4"/>
      <c r="DG5" s="4"/>
      <c r="DH5" s="4"/>
      <c r="DI5" s="4"/>
      <c r="DJ5" s="4"/>
      <c r="DK5" s="4"/>
      <c r="DL5" s="4"/>
      <c r="DM5" s="4"/>
      <c r="DN5" s="4"/>
      <c r="DO5" s="4"/>
      <c r="DP5" s="4"/>
      <c r="DQ5" s="4"/>
      <c r="DR5" s="4"/>
      <c r="DS5" s="4"/>
      <c r="DT5" s="4"/>
      <c r="DU5" s="4"/>
      <c r="DV5" s="4"/>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c r="EY5" s="4"/>
      <c r="EZ5" s="4"/>
      <c r="FA5" s="4"/>
      <c r="FB5" s="4"/>
      <c r="FC5" s="4"/>
      <c r="FD5" s="4"/>
      <c r="FE5" s="4"/>
      <c r="FF5" s="4"/>
      <c r="FG5" s="4"/>
      <c r="FH5" s="4"/>
      <c r="FI5" s="4"/>
      <c r="FJ5" s="4"/>
      <c r="FK5" s="4"/>
      <c r="FL5" s="4"/>
      <c r="FM5" s="4"/>
      <c r="FN5" s="4"/>
      <c r="FO5" s="4"/>
      <c r="FP5" s="4"/>
      <c r="FQ5" s="4"/>
      <c r="FR5" s="4"/>
      <c r="FS5" s="4"/>
      <c r="FT5" s="4"/>
      <c r="FU5" s="4"/>
      <c r="FV5" s="4"/>
      <c r="FW5" s="4"/>
      <c r="FX5" s="4"/>
      <c r="FY5" s="4"/>
      <c r="FZ5" s="4"/>
      <c r="GA5" s="4"/>
      <c r="GB5" s="4"/>
      <c r="GC5" s="4"/>
      <c r="GD5" s="4"/>
      <c r="GE5" s="4"/>
      <c r="GF5" s="4"/>
      <c r="GG5" s="4"/>
      <c r="GH5" s="4"/>
      <c r="GI5" s="4"/>
      <c r="GJ5" s="4"/>
      <c r="GK5" s="4"/>
      <c r="GL5" s="4"/>
      <c r="GM5" s="4"/>
      <c r="GN5" s="4"/>
      <c r="GO5" s="4"/>
      <c r="GP5" s="4"/>
      <c r="GQ5" s="4"/>
      <c r="GR5" s="4"/>
      <c r="GS5" s="4"/>
      <c r="GT5" s="4"/>
      <c r="GU5" s="4"/>
      <c r="GV5" s="4"/>
      <c r="GW5" s="4"/>
      <c r="GX5" s="4"/>
      <c r="GY5" s="4"/>
      <c r="GZ5" s="4"/>
      <c r="HA5" s="4"/>
      <c r="HB5" s="4"/>
      <c r="HC5" s="4"/>
      <c r="HD5" s="4"/>
      <c r="HE5" s="4"/>
      <c r="HF5" s="4"/>
      <c r="HG5" s="4"/>
      <c r="HH5" s="4"/>
      <c r="HI5" s="4"/>
      <c r="HJ5" s="4"/>
      <c r="HK5" s="4"/>
      <c r="HL5" s="4"/>
      <c r="HM5" s="4"/>
      <c r="HN5" s="4"/>
      <c r="HO5" s="4"/>
      <c r="HP5" s="4"/>
      <c r="HQ5" s="4"/>
      <c r="HR5" s="4"/>
      <c r="HS5" s="4"/>
      <c r="HT5" s="4"/>
      <c r="HU5" s="4"/>
      <c r="HV5" s="4"/>
      <c r="HW5" s="4"/>
      <c r="HX5" s="4"/>
      <c r="HY5" s="4"/>
      <c r="HZ5" s="4"/>
      <c r="IA5" s="4"/>
      <c r="IB5" s="4"/>
      <c r="IC5" s="4"/>
      <c r="ID5" s="4"/>
      <c r="IE5" s="4"/>
      <c r="IF5" s="4"/>
      <c r="IG5" s="4"/>
      <c r="IH5" s="4"/>
      <c r="II5" s="4"/>
      <c r="IJ5" s="4"/>
      <c r="IK5" s="4"/>
      <c r="IL5" s="4"/>
      <c r="IM5" s="4"/>
      <c r="IN5" s="4"/>
      <c r="IO5" s="4"/>
      <c r="IP5" s="4"/>
      <c r="IQ5" s="4"/>
      <c r="IR5" s="4"/>
      <c r="IS5" s="4"/>
      <c r="IT5" s="4"/>
      <c r="IU5" s="4"/>
      <c r="IV5" s="4"/>
      <c r="IW5" s="4"/>
      <c r="IX5" s="4"/>
      <c r="IY5" s="4"/>
      <c r="IZ5" s="4"/>
      <c r="JA5" s="4"/>
      <c r="JB5" s="4"/>
      <c r="JC5" s="4"/>
      <c r="JD5" s="4"/>
      <c r="JE5" s="4"/>
      <c r="JF5" s="4"/>
      <c r="JG5" s="4"/>
      <c r="JH5" s="4"/>
      <c r="JI5" s="4"/>
      <c r="JJ5" s="4"/>
      <c r="JK5" s="4"/>
      <c r="JL5" s="4"/>
      <c r="JM5" s="4"/>
      <c r="JN5" s="4"/>
      <c r="JO5" s="4"/>
      <c r="JP5" s="4"/>
      <c r="JQ5" s="4"/>
      <c r="JR5" s="4"/>
      <c r="JS5" s="4"/>
      <c r="JT5" s="4"/>
      <c r="JU5" s="4"/>
      <c r="JV5" s="4"/>
      <c r="JW5" s="4"/>
      <c r="JX5" s="4"/>
      <c r="JY5" s="4"/>
      <c r="JZ5" s="4"/>
      <c r="KA5" s="4"/>
      <c r="KB5" s="4"/>
      <c r="KC5" s="4"/>
      <c r="KD5" s="4"/>
      <c r="KE5" s="4"/>
      <c r="KF5" s="4"/>
      <c r="KG5" s="4"/>
      <c r="KH5" s="4"/>
      <c r="KI5" s="4"/>
      <c r="KJ5" s="4"/>
      <c r="KK5" s="4"/>
      <c r="KL5" s="4"/>
      <c r="KM5" s="4"/>
      <c r="KN5" s="4"/>
      <c r="KO5" s="4"/>
      <c r="KP5" s="4"/>
      <c r="KQ5" s="4"/>
      <c r="KR5" s="4"/>
      <c r="KS5" s="4"/>
      <c r="KT5" s="4"/>
      <c r="KU5" s="4"/>
      <c r="KV5" s="4"/>
      <c r="KW5" s="4"/>
      <c r="KX5" s="4"/>
      <c r="KY5" s="4"/>
      <c r="KZ5" s="4"/>
      <c r="LA5" s="4"/>
      <c r="LB5" s="4"/>
      <c r="LC5" s="4"/>
      <c r="LD5" s="4"/>
      <c r="LE5" s="4"/>
      <c r="LF5" s="4"/>
      <c r="LG5" s="4"/>
      <c r="LH5" s="4"/>
      <c r="LI5" s="4"/>
      <c r="LJ5" s="4"/>
      <c r="LK5" s="4"/>
      <c r="LL5" s="4"/>
      <c r="LM5" s="4"/>
      <c r="LN5" s="4"/>
      <c r="LO5" s="4"/>
      <c r="LP5" s="4"/>
      <c r="LQ5" s="4"/>
      <c r="LR5" s="4"/>
      <c r="LS5" s="4"/>
      <c r="LT5" s="4"/>
      <c r="LU5" s="4"/>
      <c r="LV5" s="4"/>
      <c r="LW5" s="4"/>
      <c r="LX5" s="4"/>
      <c r="LY5" s="4"/>
      <c r="LZ5" s="4"/>
      <c r="MA5" s="4"/>
      <c r="MB5" s="4"/>
      <c r="MC5" s="4"/>
      <c r="MD5" s="4"/>
      <c r="ME5" s="4"/>
      <c r="MF5" s="4"/>
      <c r="MG5" s="4"/>
      <c r="MH5" s="4"/>
      <c r="MI5" s="4"/>
      <c r="MJ5" s="4"/>
      <c r="MK5" s="4"/>
      <c r="ML5" s="4"/>
      <c r="MM5" s="4"/>
      <c r="MN5" s="4"/>
      <c r="MO5" s="4"/>
      <c r="MP5" s="4"/>
      <c r="MQ5" s="4"/>
      <c r="MR5" s="4"/>
      <c r="MS5" s="4"/>
      <c r="MT5" s="4"/>
      <c r="MU5" s="4"/>
      <c r="MV5" s="4"/>
      <c r="MW5" s="4"/>
      <c r="MX5" s="4"/>
      <c r="MY5" s="4"/>
      <c r="MZ5" s="4"/>
      <c r="NA5" s="4"/>
      <c r="NB5" s="4"/>
      <c r="NC5" s="4"/>
      <c r="ND5" s="4"/>
      <c r="NE5" s="4"/>
      <c r="NF5" s="4"/>
      <c r="NG5" s="4"/>
      <c r="NH5" s="4"/>
      <c r="NI5" s="4"/>
      <c r="NJ5" s="4"/>
      <c r="NK5" s="4"/>
      <c r="NL5" s="4"/>
      <c r="NM5" s="4"/>
      <c r="NN5" s="4"/>
      <c r="NO5" s="4"/>
      <c r="NP5" s="4"/>
      <c r="NQ5" s="4"/>
      <c r="NR5" s="4"/>
      <c r="NS5" s="4"/>
      <c r="NT5" s="4"/>
      <c r="NU5" s="4"/>
      <c r="NV5" s="4"/>
      <c r="NW5" s="4"/>
      <c r="NX5" s="4"/>
      <c r="NY5" s="4"/>
      <c r="NZ5" s="4"/>
      <c r="OA5" s="4"/>
      <c r="OB5" s="4"/>
      <c r="OC5" s="4"/>
      <c r="OD5" s="4"/>
      <c r="OE5" s="4"/>
      <c r="OF5" s="4"/>
      <c r="OG5" s="4"/>
      <c r="OH5" s="4"/>
      <c r="OI5" s="4"/>
      <c r="OJ5" s="4"/>
      <c r="OK5" s="4"/>
      <c r="OL5" s="4"/>
      <c r="OM5" s="4"/>
      <c r="ON5" s="4"/>
      <c r="OO5" s="4"/>
      <c r="OP5" s="4"/>
      <c r="OQ5" s="4"/>
      <c r="OR5" s="4"/>
      <c r="OS5" s="4"/>
      <c r="OT5" s="4"/>
      <c r="OU5" s="4"/>
      <c r="OV5" s="4"/>
      <c r="OW5" s="4"/>
      <c r="OX5" s="4"/>
      <c r="OY5" s="4"/>
      <c r="OZ5" s="4"/>
      <c r="PA5" s="4"/>
      <c r="PB5" s="4"/>
      <c r="PC5" s="4"/>
      <c r="PD5" s="4"/>
      <c r="PE5" s="4"/>
      <c r="PF5" s="4"/>
      <c r="PG5" s="4"/>
      <c r="PH5" s="4"/>
      <c r="PI5" s="4"/>
      <c r="PJ5" s="4"/>
      <c r="PK5" s="4"/>
      <c r="PL5" s="4"/>
      <c r="PM5" s="4"/>
      <c r="PN5" s="4"/>
      <c r="PO5" s="4"/>
      <c r="PP5" s="4"/>
      <c r="PQ5" s="4"/>
      <c r="PR5" s="4"/>
      <c r="PS5" s="4"/>
      <c r="PT5" s="4"/>
      <c r="PU5" s="4"/>
      <c r="PV5" s="4"/>
      <c r="PW5" s="4"/>
      <c r="PX5" s="4"/>
      <c r="PY5" s="4"/>
      <c r="PZ5" s="4"/>
      <c r="QA5" s="4"/>
      <c r="QB5" s="4"/>
      <c r="QC5" s="4"/>
      <c r="QD5" s="4"/>
      <c r="QE5" s="4"/>
      <c r="QF5" s="4"/>
      <c r="QG5" s="4"/>
      <c r="QH5" s="4"/>
      <c r="QI5" s="4"/>
      <c r="QJ5" s="4"/>
      <c r="QK5" s="4"/>
      <c r="QL5" s="4"/>
      <c r="QM5" s="4"/>
      <c r="QN5" s="4"/>
      <c r="QO5" s="4"/>
      <c r="QP5" s="4"/>
      <c r="QQ5" s="4"/>
      <c r="QR5" s="4"/>
      <c r="QS5" s="4"/>
      <c r="QT5" s="4"/>
      <c r="QU5" s="4"/>
      <c r="QV5" s="4"/>
      <c r="QW5" s="4"/>
      <c r="QX5" s="4"/>
      <c r="QY5" s="4"/>
      <c r="QZ5" s="4"/>
      <c r="RA5" s="4"/>
      <c r="RB5" s="4"/>
      <c r="RC5" s="4"/>
      <c r="RD5" s="4"/>
      <c r="RE5" s="4"/>
      <c r="RF5" s="4"/>
      <c r="RG5" s="4"/>
      <c r="RH5" s="4"/>
      <c r="RI5" s="4"/>
      <c r="RJ5" s="4"/>
      <c r="RK5" s="4"/>
      <c r="RL5" s="4"/>
      <c r="RM5" s="4"/>
      <c r="RN5" s="4"/>
      <c r="RO5" s="4"/>
      <c r="RP5" s="4"/>
      <c r="RQ5" s="4"/>
      <c r="RR5" s="4"/>
      <c r="RS5" s="4"/>
      <c r="RT5" s="4"/>
      <c r="RU5" s="4"/>
      <c r="RV5" s="4"/>
      <c r="RW5" s="4"/>
      <c r="RX5" s="4"/>
      <c r="RY5" s="4"/>
      <c r="RZ5" s="4"/>
      <c r="SA5" s="4"/>
      <c r="SB5" s="4"/>
      <c r="SC5" s="4"/>
      <c r="SD5" s="4"/>
      <c r="SE5" s="4"/>
      <c r="SF5" s="4"/>
      <c r="SG5" s="4"/>
      <c r="SH5" s="4"/>
      <c r="SI5" s="4"/>
      <c r="SJ5" s="4"/>
      <c r="SK5" s="4"/>
      <c r="SL5" s="4"/>
      <c r="SM5" s="4"/>
      <c r="SN5" s="4"/>
      <c r="SO5" s="4"/>
      <c r="SP5" s="4"/>
      <c r="SQ5" s="4"/>
      <c r="SR5" s="4"/>
      <c r="SS5" s="4"/>
      <c r="ST5" s="4"/>
      <c r="SU5" s="4"/>
      <c r="SV5" s="4"/>
      <c r="SW5" s="4"/>
      <c r="SX5" s="4"/>
      <c r="SY5" s="4"/>
      <c r="SZ5" s="4"/>
      <c r="TA5" s="4"/>
      <c r="TB5" s="4"/>
      <c r="TC5" s="4"/>
      <c r="TD5" s="4"/>
      <c r="TE5" s="4"/>
      <c r="TF5" s="4"/>
      <c r="TG5" s="4"/>
      <c r="TH5" s="4"/>
      <c r="TI5" s="4"/>
      <c r="TJ5" s="4"/>
      <c r="TK5" s="4"/>
      <c r="TL5" s="4"/>
      <c r="TM5" s="4"/>
      <c r="TN5" s="4"/>
      <c r="TO5" s="4"/>
      <c r="TP5" s="4"/>
      <c r="TQ5" s="4"/>
      <c r="TR5" s="4"/>
      <c r="TS5" s="4"/>
      <c r="TT5" s="4"/>
      <c r="TU5" s="4"/>
      <c r="TV5" s="4"/>
      <c r="TW5" s="4"/>
      <c r="TX5" s="4"/>
      <c r="TY5" s="4"/>
      <c r="TZ5" s="4"/>
      <c r="UA5" s="4"/>
      <c r="UB5" s="4"/>
      <c r="UC5" s="4"/>
      <c r="UD5" s="4"/>
      <c r="UE5" s="4"/>
      <c r="UF5" s="4"/>
      <c r="UG5" s="4"/>
      <c r="UH5" s="4"/>
      <c r="UI5" s="4"/>
      <c r="UJ5" s="4"/>
      <c r="UK5" s="4"/>
      <c r="UL5" s="4"/>
      <c r="UM5" s="4"/>
      <c r="UN5" s="4"/>
      <c r="UO5" s="4"/>
      <c r="UP5" s="4"/>
      <c r="UQ5" s="4"/>
      <c r="UR5" s="4"/>
      <c r="US5" s="4"/>
      <c r="UT5" s="4"/>
      <c r="UU5" s="4"/>
      <c r="UV5" s="4"/>
      <c r="UW5" s="4"/>
      <c r="UX5" s="4"/>
      <c r="UY5" s="4"/>
      <c r="UZ5" s="4"/>
      <c r="VA5" s="4"/>
      <c r="VB5" s="4"/>
      <c r="VC5" s="4"/>
      <c r="VD5" s="4"/>
      <c r="VE5" s="4"/>
      <c r="VF5" s="4"/>
      <c r="VG5" s="4"/>
      <c r="VH5" s="4"/>
      <c r="VI5" s="4"/>
      <c r="VJ5" s="4"/>
      <c r="VK5" s="4"/>
      <c r="VL5" s="4"/>
      <c r="VM5" s="4"/>
      <c r="VN5" s="4"/>
      <c r="VO5" s="4"/>
      <c r="VP5" s="4"/>
      <c r="VQ5" s="4"/>
      <c r="VR5" s="4"/>
      <c r="VS5" s="4"/>
      <c r="VT5" s="4"/>
      <c r="VU5" s="4"/>
      <c r="VV5" s="4"/>
      <c r="VW5" s="4"/>
      <c r="VX5" s="4"/>
      <c r="VY5" s="4"/>
      <c r="VZ5" s="4"/>
      <c r="WA5" s="4"/>
      <c r="WB5" s="4"/>
      <c r="WC5" s="4"/>
      <c r="WD5" s="4"/>
      <c r="WE5" s="4"/>
      <c r="WF5" s="4"/>
      <c r="WG5" s="4"/>
      <c r="WH5" s="4"/>
      <c r="WI5" s="4"/>
      <c r="WJ5" s="4"/>
      <c r="WK5" s="4"/>
      <c r="WL5" s="4"/>
      <c r="WM5" s="4"/>
      <c r="WN5" s="4"/>
      <c r="WO5" s="4"/>
      <c r="WP5" s="4"/>
      <c r="WQ5" s="4"/>
      <c r="WR5" s="4"/>
      <c r="WS5" s="4"/>
      <c r="WT5" s="4"/>
      <c r="WU5" s="4"/>
      <c r="WV5" s="4"/>
      <c r="WW5" s="4"/>
      <c r="WX5" s="4"/>
      <c r="WY5" s="4"/>
      <c r="WZ5" s="4"/>
      <c r="XA5" s="4"/>
      <c r="XB5" s="4"/>
      <c r="XC5" s="4"/>
      <c r="XD5" s="4"/>
      <c r="XE5" s="4"/>
      <c r="XF5" s="4"/>
      <c r="XG5" s="4"/>
      <c r="XH5" s="4"/>
      <c r="XI5" s="4"/>
      <c r="XJ5" s="4"/>
      <c r="XK5" s="4"/>
      <c r="XL5" s="4"/>
      <c r="XM5" s="4"/>
      <c r="XN5" s="4"/>
      <c r="XO5" s="4"/>
      <c r="XP5" s="4"/>
      <c r="XQ5" s="4"/>
      <c r="XR5" s="4"/>
      <c r="XS5" s="4"/>
      <c r="XT5" s="4"/>
      <c r="XU5" s="4"/>
      <c r="XV5" s="4"/>
      <c r="XW5" s="4"/>
      <c r="XX5" s="4"/>
      <c r="XY5" s="4"/>
      <c r="XZ5" s="4"/>
      <c r="YA5" s="4"/>
      <c r="YB5" s="4"/>
      <c r="YC5" s="4"/>
      <c r="YD5" s="4"/>
      <c r="YE5" s="4"/>
      <c r="YF5" s="4"/>
      <c r="YG5" s="4"/>
      <c r="YH5" s="4"/>
      <c r="YI5" s="4"/>
      <c r="YJ5" s="4"/>
      <c r="YK5" s="4"/>
      <c r="YL5" s="4"/>
      <c r="YM5" s="4"/>
      <c r="YN5" s="4"/>
      <c r="YO5" s="4"/>
      <c r="YP5" s="4"/>
      <c r="YQ5" s="4"/>
      <c r="YR5" s="4"/>
      <c r="YS5" s="4"/>
      <c r="YT5" s="4"/>
      <c r="YU5" s="4"/>
      <c r="YV5" s="4"/>
      <c r="YW5" s="4"/>
      <c r="YX5" s="4"/>
      <c r="YY5" s="4"/>
      <c r="YZ5" s="4"/>
      <c r="ZA5" s="4"/>
      <c r="ZB5" s="4"/>
      <c r="ZC5" s="4"/>
      <c r="ZD5" s="4"/>
      <c r="ZE5" s="4"/>
      <c r="ZF5" s="4"/>
      <c r="ZG5" s="4"/>
      <c r="ZH5" s="4"/>
      <c r="ZI5" s="4"/>
      <c r="ZJ5" s="4"/>
      <c r="ZK5" s="4"/>
      <c r="ZL5" s="4"/>
      <c r="ZM5" s="4"/>
      <c r="ZN5" s="4"/>
      <c r="ZO5" s="4"/>
      <c r="ZP5" s="4"/>
      <c r="ZQ5" s="4"/>
      <c r="ZR5" s="4"/>
      <c r="ZS5" s="4"/>
      <c r="ZT5" s="4"/>
      <c r="ZU5" s="4"/>
      <c r="ZV5" s="4"/>
      <c r="ZW5" s="4"/>
      <c r="ZX5" s="4"/>
      <c r="ZY5" s="4"/>
      <c r="ZZ5" s="4"/>
      <c r="AAA5" s="4"/>
      <c r="AAB5" s="4"/>
      <c r="AAC5" s="4"/>
      <c r="AAD5" s="4"/>
      <c r="AAE5" s="4"/>
      <c r="AAF5" s="4"/>
      <c r="AAG5" s="4"/>
      <c r="AAH5" s="4"/>
      <c r="AAI5" s="4"/>
      <c r="AAJ5" s="4"/>
      <c r="AAK5" s="4"/>
      <c r="AAL5" s="4"/>
      <c r="AAM5" s="4"/>
      <c r="AAN5" s="4"/>
      <c r="AAO5" s="4"/>
      <c r="AAP5" s="4"/>
      <c r="AAQ5" s="4"/>
      <c r="AAR5" s="4"/>
      <c r="AAS5" s="4"/>
      <c r="AAT5" s="4"/>
      <c r="AAU5" s="4"/>
      <c r="AAV5" s="4"/>
      <c r="AAW5" s="4"/>
      <c r="AAX5" s="4"/>
      <c r="AAY5" s="4"/>
      <c r="AAZ5" s="4"/>
      <c r="ABA5" s="4"/>
      <c r="ABB5" s="4"/>
      <c r="ABC5" s="4"/>
      <c r="ABD5" s="4"/>
      <c r="ABE5" s="4"/>
      <c r="ABF5" s="4"/>
      <c r="ABG5" s="4"/>
      <c r="ABH5" s="4"/>
      <c r="ABI5" s="4"/>
      <c r="ABJ5" s="4"/>
      <c r="ABK5" s="4"/>
      <c r="ABL5" s="4"/>
      <c r="ABM5" s="4"/>
      <c r="ABN5" s="4"/>
      <c r="ABO5" s="4"/>
      <c r="ABP5" s="4"/>
      <c r="ABQ5" s="4"/>
      <c r="ABR5" s="4"/>
      <c r="ABS5" s="4"/>
      <c r="ABT5" s="4"/>
      <c r="ABU5" s="4"/>
      <c r="ABV5" s="4"/>
      <c r="ABW5" s="4"/>
      <c r="ABX5" s="4"/>
      <c r="ABY5" s="4"/>
      <c r="ABZ5" s="4"/>
      <c r="ACA5" s="4"/>
      <c r="ACB5" s="4"/>
      <c r="ACC5" s="4"/>
      <c r="ACD5" s="4"/>
      <c r="ACE5" s="4"/>
      <c r="ACF5" s="4"/>
      <c r="ACG5" s="4"/>
      <c r="ACH5" s="4"/>
      <c r="ACI5" s="4"/>
      <c r="ACJ5" s="4"/>
      <c r="ACK5" s="4"/>
      <c r="ACL5" s="4"/>
      <c r="ACM5" s="4"/>
      <c r="ACN5" s="4"/>
      <c r="ACO5" s="4"/>
      <c r="ACP5" s="4"/>
      <c r="ACQ5" s="4"/>
      <c r="ACR5" s="4"/>
      <c r="ACS5" s="4"/>
      <c r="ACT5" s="4"/>
      <c r="ACU5" s="4"/>
      <c r="ACV5" s="4"/>
      <c r="ACW5" s="4"/>
      <c r="ACX5" s="4"/>
      <c r="ACY5" s="4"/>
      <c r="ACZ5" s="4"/>
      <c r="ADA5" s="4"/>
      <c r="ADB5" s="4"/>
      <c r="ADC5" s="4"/>
      <c r="ADD5" s="4"/>
      <c r="ADE5" s="4"/>
      <c r="ADF5" s="4"/>
      <c r="ADG5" s="4"/>
      <c r="ADH5" s="4"/>
      <c r="ADI5" s="4"/>
      <c r="ADJ5" s="4"/>
      <c r="ADK5" s="4"/>
      <c r="ADL5" s="4"/>
      <c r="ADM5" s="4"/>
      <c r="ADN5" s="4"/>
      <c r="ADO5" s="4"/>
      <c r="ADP5" s="4"/>
      <c r="ADQ5" s="4"/>
      <c r="ADR5" s="4"/>
      <c r="ADS5" s="4"/>
      <c r="ADT5" s="4"/>
      <c r="ADU5" s="4"/>
      <c r="ADV5" s="4"/>
      <c r="ADW5" s="4"/>
      <c r="ADX5" s="4"/>
      <c r="ADY5" s="4"/>
      <c r="ADZ5" s="4"/>
      <c r="AEA5" s="4"/>
      <c r="AEB5" s="4"/>
      <c r="AEC5" s="4"/>
      <c r="AED5" s="4"/>
      <c r="AEE5" s="4"/>
      <c r="AEF5" s="4"/>
      <c r="AEG5" s="4"/>
      <c r="AEH5" s="4"/>
      <c r="AEI5" s="4"/>
      <c r="AEJ5" s="4"/>
      <c r="AEK5" s="4"/>
      <c r="AEL5" s="4"/>
      <c r="AEM5" s="4"/>
      <c r="AEN5" s="4"/>
      <c r="AEO5" s="4"/>
      <c r="AEP5" s="4"/>
      <c r="AEQ5" s="4"/>
      <c r="AER5" s="4"/>
      <c r="AES5" s="4"/>
      <c r="AET5" s="4"/>
      <c r="AEU5" s="4"/>
      <c r="AEV5" s="4"/>
      <c r="AEW5" s="4"/>
      <c r="AEX5" s="4"/>
      <c r="AEY5" s="4"/>
      <c r="AEZ5" s="4"/>
      <c r="AFA5" s="4"/>
      <c r="AFB5" s="4"/>
      <c r="AFC5" s="4"/>
      <c r="AFD5" s="4"/>
      <c r="AFE5" s="4"/>
      <c r="AFF5" s="4"/>
      <c r="AFG5" s="4"/>
      <c r="AFH5" s="4"/>
      <c r="AFI5" s="4"/>
      <c r="AFJ5" s="4"/>
      <c r="AFK5" s="4"/>
      <c r="AFL5" s="4"/>
      <c r="AFM5" s="4"/>
      <c r="AFN5" s="4"/>
      <c r="AFO5" s="4"/>
      <c r="AFP5" s="4"/>
      <c r="AFQ5" s="4"/>
      <c r="AFR5" s="4"/>
      <c r="AFS5" s="4"/>
      <c r="AFT5" s="4"/>
      <c r="AFU5" s="4"/>
      <c r="AFV5" s="4"/>
      <c r="AFW5" s="4"/>
      <c r="AFX5" s="4"/>
      <c r="AFY5" s="4"/>
      <c r="AFZ5" s="4"/>
      <c r="AGA5" s="4"/>
      <c r="AGB5" s="4"/>
      <c r="AGC5" s="4"/>
      <c r="AGD5" s="4"/>
      <c r="AGE5" s="4"/>
      <c r="AGF5" s="4"/>
      <c r="AGG5" s="4"/>
      <c r="AGH5" s="4"/>
      <c r="AGI5" s="4"/>
      <c r="AGJ5" s="4"/>
      <c r="AGK5" s="4"/>
      <c r="AGL5" s="4"/>
      <c r="AGM5" s="4"/>
      <c r="AGN5" s="4"/>
      <c r="AGO5" s="4"/>
      <c r="AGP5" s="4"/>
      <c r="AGQ5" s="4"/>
      <c r="AGR5" s="4"/>
      <c r="AGS5" s="4"/>
      <c r="AGT5" s="4"/>
      <c r="AGU5" s="4"/>
      <c r="AGV5" s="4"/>
      <c r="AGW5" s="4"/>
      <c r="AGX5" s="4"/>
      <c r="AGY5" s="4"/>
      <c r="AGZ5" s="4"/>
      <c r="AHA5" s="4"/>
      <c r="AHB5" s="4"/>
      <c r="AHC5" s="4"/>
      <c r="AHD5" s="4"/>
      <c r="AHE5" s="4"/>
      <c r="AHF5" s="4"/>
      <c r="AHG5" s="4"/>
      <c r="AHH5" s="4"/>
      <c r="AHI5" s="4"/>
      <c r="AHJ5" s="4"/>
      <c r="AHK5" s="4"/>
      <c r="AHL5" s="4"/>
      <c r="AHM5" s="4"/>
      <c r="AHN5" s="4"/>
      <c r="AHO5" s="4"/>
      <c r="AHP5" s="4"/>
      <c r="AHQ5" s="4"/>
      <c r="AHR5" s="4"/>
      <c r="AHS5" s="4"/>
      <c r="AHT5" s="4"/>
      <c r="AHU5" s="4"/>
      <c r="AHV5" s="4"/>
      <c r="AHW5" s="4"/>
      <c r="AHX5" s="4"/>
      <c r="AHY5" s="4"/>
      <c r="AHZ5" s="4"/>
      <c r="AIA5" s="4"/>
      <c r="AIB5" s="4"/>
      <c r="AIC5" s="4"/>
      <c r="AID5" s="4"/>
      <c r="AIE5" s="4"/>
      <c r="AIF5" s="4"/>
      <c r="AIG5" s="4"/>
      <c r="AIH5" s="4"/>
      <c r="AII5" s="4"/>
      <c r="AIJ5" s="4"/>
      <c r="AIK5" s="4"/>
      <c r="AIL5" s="4"/>
      <c r="AIM5" s="4"/>
      <c r="AIN5" s="4"/>
      <c r="AIO5" s="4"/>
      <c r="AIP5" s="4"/>
      <c r="AIQ5" s="4"/>
      <c r="AIR5" s="4"/>
      <c r="AIS5" s="4"/>
      <c r="AIT5" s="4"/>
      <c r="AIU5" s="4"/>
      <c r="AIV5" s="4"/>
      <c r="AIW5" s="4"/>
      <c r="AIX5" s="4"/>
      <c r="AIY5" s="4"/>
      <c r="AIZ5" s="4"/>
      <c r="AJA5" s="4"/>
      <c r="AJB5" s="4"/>
      <c r="AJC5" s="4"/>
      <c r="AJD5" s="4"/>
      <c r="AJE5" s="4"/>
      <c r="AJF5" s="4"/>
      <c r="AJG5" s="4"/>
      <c r="AJH5" s="4"/>
      <c r="AJI5" s="4"/>
      <c r="AJJ5" s="4"/>
      <c r="AJK5" s="4"/>
      <c r="AJL5" s="4"/>
      <c r="AJM5" s="4"/>
      <c r="AJN5" s="4"/>
      <c r="AJO5" s="4"/>
      <c r="AJP5" s="4"/>
      <c r="AJQ5" s="4"/>
      <c r="AJR5" s="4"/>
      <c r="AJS5" s="4"/>
      <c r="AJT5" s="4"/>
      <c r="AJU5" s="4"/>
      <c r="AJV5" s="4"/>
      <c r="AJW5" s="4"/>
      <c r="AJX5" s="4"/>
      <c r="AJY5" s="4"/>
      <c r="AJZ5" s="4"/>
      <c r="AKA5" s="4"/>
      <c r="AKB5" s="4"/>
      <c r="AKC5" s="4"/>
      <c r="AKD5" s="4"/>
      <c r="AKE5" s="4"/>
      <c r="AKF5" s="4"/>
      <c r="AKG5" s="4"/>
      <c r="AKH5" s="4"/>
      <c r="AKI5" s="4"/>
      <c r="AKJ5" s="4"/>
      <c r="AKK5" s="4"/>
      <c r="AKL5" s="4"/>
      <c r="AKM5" s="4"/>
      <c r="AKN5" s="4"/>
      <c r="AKO5" s="4"/>
      <c r="AKP5" s="4"/>
      <c r="AKQ5" s="4"/>
      <c r="AKR5" s="4"/>
      <c r="AKS5" s="4"/>
      <c r="AKT5" s="4"/>
      <c r="AKU5" s="4"/>
      <c r="AKV5" s="4"/>
      <c r="AKW5" s="4"/>
      <c r="AKX5" s="4"/>
      <c r="AKY5" s="4"/>
      <c r="AKZ5" s="4"/>
      <c r="ALA5" s="4"/>
      <c r="ALB5" s="4"/>
      <c r="ALC5" s="4"/>
      <c r="ALD5" s="4"/>
      <c r="ALE5" s="4"/>
      <c r="ALF5" s="4"/>
      <c r="ALG5" s="4"/>
      <c r="ALH5" s="4"/>
      <c r="ALI5" s="4"/>
      <c r="ALJ5" s="4"/>
      <c r="ALK5" s="4"/>
      <c r="ALL5" s="4"/>
      <c r="ALM5" s="4"/>
      <c r="ALN5" s="4"/>
      <c r="ALO5" s="4"/>
      <c r="ALP5" s="4"/>
      <c r="ALQ5" s="4"/>
      <c r="ALR5" s="4"/>
      <c r="ALS5" s="4"/>
      <c r="ALT5" s="4"/>
      <c r="ALU5" s="4"/>
      <c r="ALV5" s="4"/>
      <c r="ALW5" s="4"/>
      <c r="ALX5" s="4"/>
      <c r="ALY5" s="4"/>
      <c r="ALZ5" s="4"/>
      <c r="AMA5" s="4"/>
      <c r="AMB5" s="4"/>
      <c r="AMC5" s="4"/>
      <c r="AMD5" s="4"/>
      <c r="AME5" s="4"/>
      <c r="AMF5" s="4"/>
      <c r="AMG5" s="4"/>
      <c r="AMH5" s="4"/>
    </row>
    <row r="6" spans="1:1022">
      <c r="A6" s="4" t="s">
        <v>2756</v>
      </c>
      <c r="B6" s="4" t="s">
        <v>171</v>
      </c>
      <c r="C6" s="4" t="str">
        <f t="shared" si="0"/>
        <v>att_user_research_group:hennies</v>
      </c>
      <c r="D6" s="4" t="s">
        <v>12</v>
      </c>
      <c r="E6" s="4" t="s">
        <v>2757</v>
      </c>
      <c r="F6" s="4" t="s">
        <v>2758</v>
      </c>
      <c r="G6" s="4"/>
      <c r="H6" s="4"/>
      <c r="I6" s="4"/>
      <c r="J6" s="4"/>
      <c r="K6" s="4"/>
      <c r="L6" s="4"/>
      <c r="M6" s="4"/>
      <c r="N6" s="4"/>
      <c r="O6" s="4"/>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4"/>
      <c r="BA6" s="4"/>
      <c r="BB6" s="4"/>
      <c r="BC6" s="4"/>
      <c r="BD6" s="4"/>
      <c r="BE6" s="4"/>
      <c r="BF6" s="4"/>
      <c r="BG6" s="4"/>
      <c r="BH6" s="4"/>
      <c r="BI6" s="4"/>
      <c r="BJ6" s="4"/>
      <c r="BK6" s="4"/>
      <c r="BL6" s="4"/>
      <c r="BM6" s="4"/>
      <c r="BN6" s="4"/>
      <c r="BO6" s="4"/>
      <c r="BP6" s="4"/>
      <c r="BQ6" s="4"/>
      <c r="BR6" s="4"/>
      <c r="BS6" s="4"/>
      <c r="BT6" s="4"/>
      <c r="BU6" s="4"/>
      <c r="BV6" s="4"/>
      <c r="BW6" s="4"/>
      <c r="BX6" s="4"/>
      <c r="BY6" s="4"/>
      <c r="BZ6" s="4"/>
      <c r="CA6" s="4"/>
      <c r="CB6" s="4"/>
      <c r="CC6" s="4"/>
      <c r="CD6" s="4"/>
      <c r="CE6" s="4"/>
      <c r="CF6" s="4"/>
      <c r="CG6" s="4"/>
      <c r="CH6" s="4"/>
      <c r="CI6" s="4"/>
      <c r="CJ6" s="4"/>
      <c r="CK6" s="4"/>
      <c r="CL6" s="4"/>
      <c r="CM6" s="4"/>
      <c r="CN6" s="4"/>
      <c r="CO6" s="4"/>
      <c r="CP6" s="4"/>
      <c r="CQ6" s="4"/>
      <c r="CR6" s="4"/>
      <c r="CS6" s="4"/>
      <c r="CT6" s="4"/>
      <c r="CU6" s="4"/>
      <c r="CV6" s="4"/>
      <c r="CW6" s="4"/>
      <c r="CX6" s="4"/>
      <c r="CY6" s="4"/>
      <c r="CZ6" s="4"/>
      <c r="DA6" s="4"/>
      <c r="DB6" s="4"/>
      <c r="DC6" s="4"/>
      <c r="DD6" s="4"/>
      <c r="DE6" s="4"/>
      <c r="DF6" s="4"/>
      <c r="DG6" s="4"/>
      <c r="DH6" s="4"/>
      <c r="DI6" s="4"/>
      <c r="DJ6" s="4"/>
      <c r="DK6" s="4"/>
      <c r="DL6" s="4"/>
      <c r="DM6" s="4"/>
      <c r="DN6" s="4"/>
      <c r="DO6" s="4"/>
      <c r="DP6" s="4"/>
      <c r="DQ6" s="4"/>
      <c r="DR6" s="4"/>
      <c r="DS6" s="4"/>
      <c r="DT6" s="4"/>
      <c r="DU6" s="4"/>
      <c r="DV6" s="4"/>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c r="EY6" s="4"/>
      <c r="EZ6" s="4"/>
      <c r="FA6" s="4"/>
      <c r="FB6" s="4"/>
      <c r="FC6" s="4"/>
      <c r="FD6" s="4"/>
      <c r="FE6" s="4"/>
      <c r="FF6" s="4"/>
      <c r="FG6" s="4"/>
      <c r="FH6" s="4"/>
      <c r="FI6" s="4"/>
      <c r="FJ6" s="4"/>
      <c r="FK6" s="4"/>
      <c r="FL6" s="4"/>
      <c r="FM6" s="4"/>
      <c r="FN6" s="4"/>
      <c r="FO6" s="4"/>
      <c r="FP6" s="4"/>
      <c r="FQ6" s="4"/>
      <c r="FR6" s="4"/>
      <c r="FS6" s="4"/>
      <c r="FT6" s="4"/>
      <c r="FU6" s="4"/>
      <c r="FV6" s="4"/>
      <c r="FW6" s="4"/>
      <c r="FX6" s="4"/>
      <c r="FY6" s="4"/>
      <c r="FZ6" s="4"/>
      <c r="GA6" s="4"/>
      <c r="GB6" s="4"/>
      <c r="GC6" s="4"/>
      <c r="GD6" s="4"/>
      <c r="GE6" s="4"/>
      <c r="GF6" s="4"/>
      <c r="GG6" s="4"/>
      <c r="GH6" s="4"/>
      <c r="GI6" s="4"/>
      <c r="GJ6" s="4"/>
      <c r="GK6" s="4"/>
      <c r="GL6" s="4"/>
      <c r="GM6" s="4"/>
      <c r="GN6" s="4"/>
      <c r="GO6" s="4"/>
      <c r="GP6" s="4"/>
      <c r="GQ6" s="4"/>
      <c r="GR6" s="4"/>
      <c r="GS6" s="4"/>
      <c r="GT6" s="4"/>
      <c r="GU6" s="4"/>
      <c r="GV6" s="4"/>
      <c r="GW6" s="4"/>
      <c r="GX6" s="4"/>
      <c r="GY6" s="4"/>
      <c r="GZ6" s="4"/>
      <c r="HA6" s="4"/>
      <c r="HB6" s="4"/>
      <c r="HC6" s="4"/>
      <c r="HD6" s="4"/>
      <c r="HE6" s="4"/>
      <c r="HF6" s="4"/>
      <c r="HG6" s="4"/>
      <c r="HH6" s="4"/>
      <c r="HI6" s="4"/>
      <c r="HJ6" s="4"/>
      <c r="HK6" s="4"/>
      <c r="HL6" s="4"/>
      <c r="HM6" s="4"/>
      <c r="HN6" s="4"/>
      <c r="HO6" s="4"/>
      <c r="HP6" s="4"/>
      <c r="HQ6" s="4"/>
      <c r="HR6" s="4"/>
      <c r="HS6" s="4"/>
      <c r="HT6" s="4"/>
      <c r="HU6" s="4"/>
      <c r="HV6" s="4"/>
      <c r="HW6" s="4"/>
      <c r="HX6" s="4"/>
      <c r="HY6" s="4"/>
      <c r="HZ6" s="4"/>
      <c r="IA6" s="4"/>
      <c r="IB6" s="4"/>
      <c r="IC6" s="4"/>
      <c r="ID6" s="4"/>
      <c r="IE6" s="4"/>
      <c r="IF6" s="4"/>
      <c r="IG6" s="4"/>
      <c r="IH6" s="4"/>
      <c r="II6" s="4"/>
      <c r="IJ6" s="4"/>
      <c r="IK6" s="4"/>
      <c r="IL6" s="4"/>
      <c r="IM6" s="4"/>
      <c r="IN6" s="4"/>
      <c r="IO6" s="4"/>
      <c r="IP6" s="4"/>
      <c r="IQ6" s="4"/>
      <c r="IR6" s="4"/>
      <c r="IS6" s="4"/>
      <c r="IT6" s="4"/>
      <c r="IU6" s="4"/>
      <c r="IV6" s="4"/>
      <c r="IW6" s="4"/>
      <c r="IX6" s="4"/>
      <c r="IY6" s="4"/>
      <c r="IZ6" s="4"/>
      <c r="JA6" s="4"/>
      <c r="JB6" s="4"/>
      <c r="JC6" s="4"/>
      <c r="JD6" s="4"/>
      <c r="JE6" s="4"/>
      <c r="JF6" s="4"/>
      <c r="JG6" s="4"/>
      <c r="JH6" s="4"/>
      <c r="JI6" s="4"/>
      <c r="JJ6" s="4"/>
      <c r="JK6" s="4"/>
      <c r="JL6" s="4"/>
      <c r="JM6" s="4"/>
      <c r="JN6" s="4"/>
      <c r="JO6" s="4"/>
      <c r="JP6" s="4"/>
      <c r="JQ6" s="4"/>
      <c r="JR6" s="4"/>
      <c r="JS6" s="4"/>
      <c r="JT6" s="4"/>
      <c r="JU6" s="4"/>
      <c r="JV6" s="4"/>
      <c r="JW6" s="4"/>
      <c r="JX6" s="4"/>
      <c r="JY6" s="4"/>
      <c r="JZ6" s="4"/>
      <c r="KA6" s="4"/>
      <c r="KB6" s="4"/>
      <c r="KC6" s="4"/>
      <c r="KD6" s="4"/>
      <c r="KE6" s="4"/>
      <c r="KF6" s="4"/>
      <c r="KG6" s="4"/>
      <c r="KH6" s="4"/>
      <c r="KI6" s="4"/>
      <c r="KJ6" s="4"/>
      <c r="KK6" s="4"/>
      <c r="KL6" s="4"/>
      <c r="KM6" s="4"/>
      <c r="KN6" s="4"/>
      <c r="KO6" s="4"/>
      <c r="KP6" s="4"/>
      <c r="KQ6" s="4"/>
      <c r="KR6" s="4"/>
      <c r="KS6" s="4"/>
      <c r="KT6" s="4"/>
      <c r="KU6" s="4"/>
      <c r="KV6" s="4"/>
      <c r="KW6" s="4"/>
      <c r="KX6" s="4"/>
      <c r="KY6" s="4"/>
      <c r="KZ6" s="4"/>
      <c r="LA6" s="4"/>
      <c r="LB6" s="4"/>
      <c r="LC6" s="4"/>
      <c r="LD6" s="4"/>
      <c r="LE6" s="4"/>
      <c r="LF6" s="4"/>
      <c r="LG6" s="4"/>
      <c r="LH6" s="4"/>
      <c r="LI6" s="4"/>
      <c r="LJ6" s="4"/>
      <c r="LK6" s="4"/>
      <c r="LL6" s="4"/>
      <c r="LM6" s="4"/>
      <c r="LN6" s="4"/>
      <c r="LO6" s="4"/>
      <c r="LP6" s="4"/>
      <c r="LQ6" s="4"/>
      <c r="LR6" s="4"/>
      <c r="LS6" s="4"/>
      <c r="LT6" s="4"/>
      <c r="LU6" s="4"/>
      <c r="LV6" s="4"/>
      <c r="LW6" s="4"/>
      <c r="LX6" s="4"/>
      <c r="LY6" s="4"/>
      <c r="LZ6" s="4"/>
      <c r="MA6" s="4"/>
      <c r="MB6" s="4"/>
      <c r="MC6" s="4"/>
      <c r="MD6" s="4"/>
      <c r="ME6" s="4"/>
      <c r="MF6" s="4"/>
      <c r="MG6" s="4"/>
      <c r="MH6" s="4"/>
      <c r="MI6" s="4"/>
      <c r="MJ6" s="4"/>
      <c r="MK6" s="4"/>
      <c r="ML6" s="4"/>
      <c r="MM6" s="4"/>
      <c r="MN6" s="4"/>
      <c r="MO6" s="4"/>
      <c r="MP6" s="4"/>
      <c r="MQ6" s="4"/>
      <c r="MR6" s="4"/>
      <c r="MS6" s="4"/>
      <c r="MT6" s="4"/>
      <c r="MU6" s="4"/>
      <c r="MV6" s="4"/>
      <c r="MW6" s="4"/>
      <c r="MX6" s="4"/>
      <c r="MY6" s="4"/>
      <c r="MZ6" s="4"/>
      <c r="NA6" s="4"/>
      <c r="NB6" s="4"/>
      <c r="NC6" s="4"/>
      <c r="ND6" s="4"/>
      <c r="NE6" s="4"/>
      <c r="NF6" s="4"/>
      <c r="NG6" s="4"/>
      <c r="NH6" s="4"/>
      <c r="NI6" s="4"/>
      <c r="NJ6" s="4"/>
      <c r="NK6" s="4"/>
      <c r="NL6" s="4"/>
      <c r="NM6" s="4"/>
      <c r="NN6" s="4"/>
      <c r="NO6" s="4"/>
      <c r="NP6" s="4"/>
      <c r="NQ6" s="4"/>
      <c r="NR6" s="4"/>
      <c r="NS6" s="4"/>
      <c r="NT6" s="4"/>
      <c r="NU6" s="4"/>
      <c r="NV6" s="4"/>
      <c r="NW6" s="4"/>
      <c r="NX6" s="4"/>
      <c r="NY6" s="4"/>
      <c r="NZ6" s="4"/>
      <c r="OA6" s="4"/>
      <c r="OB6" s="4"/>
      <c r="OC6" s="4"/>
      <c r="OD6" s="4"/>
      <c r="OE6" s="4"/>
      <c r="OF6" s="4"/>
      <c r="OG6" s="4"/>
      <c r="OH6" s="4"/>
      <c r="OI6" s="4"/>
      <c r="OJ6" s="4"/>
      <c r="OK6" s="4"/>
      <c r="OL6" s="4"/>
      <c r="OM6" s="4"/>
      <c r="ON6" s="4"/>
      <c r="OO6" s="4"/>
      <c r="OP6" s="4"/>
      <c r="OQ6" s="4"/>
      <c r="OR6" s="4"/>
      <c r="OS6" s="4"/>
      <c r="OT6" s="4"/>
      <c r="OU6" s="4"/>
      <c r="OV6" s="4"/>
      <c r="OW6" s="4"/>
      <c r="OX6" s="4"/>
      <c r="OY6" s="4"/>
      <c r="OZ6" s="4"/>
      <c r="PA6" s="4"/>
      <c r="PB6" s="4"/>
      <c r="PC6" s="4"/>
      <c r="PD6" s="4"/>
      <c r="PE6" s="4"/>
      <c r="PF6" s="4"/>
      <c r="PG6" s="4"/>
      <c r="PH6" s="4"/>
      <c r="PI6" s="4"/>
      <c r="PJ6" s="4"/>
      <c r="PK6" s="4"/>
      <c r="PL6" s="4"/>
      <c r="PM6" s="4"/>
      <c r="PN6" s="4"/>
      <c r="PO6" s="4"/>
      <c r="PP6" s="4"/>
      <c r="PQ6" s="4"/>
      <c r="PR6" s="4"/>
      <c r="PS6" s="4"/>
      <c r="PT6" s="4"/>
      <c r="PU6" s="4"/>
      <c r="PV6" s="4"/>
      <c r="PW6" s="4"/>
      <c r="PX6" s="4"/>
      <c r="PY6" s="4"/>
      <c r="PZ6" s="4"/>
      <c r="QA6" s="4"/>
      <c r="QB6" s="4"/>
      <c r="QC6" s="4"/>
      <c r="QD6" s="4"/>
      <c r="QE6" s="4"/>
      <c r="QF6" s="4"/>
      <c r="QG6" s="4"/>
      <c r="QH6" s="4"/>
      <c r="QI6" s="4"/>
      <c r="QJ6" s="4"/>
      <c r="QK6" s="4"/>
      <c r="QL6" s="4"/>
      <c r="QM6" s="4"/>
      <c r="QN6" s="4"/>
      <c r="QO6" s="4"/>
      <c r="QP6" s="4"/>
      <c r="QQ6" s="4"/>
      <c r="QR6" s="4"/>
      <c r="QS6" s="4"/>
      <c r="QT6" s="4"/>
      <c r="QU6" s="4"/>
      <c r="QV6" s="4"/>
      <c r="QW6" s="4"/>
      <c r="QX6" s="4"/>
      <c r="QY6" s="4"/>
      <c r="QZ6" s="4"/>
      <c r="RA6" s="4"/>
      <c r="RB6" s="4"/>
      <c r="RC6" s="4"/>
      <c r="RD6" s="4"/>
      <c r="RE6" s="4"/>
      <c r="RF6" s="4"/>
      <c r="RG6" s="4"/>
      <c r="RH6" s="4"/>
      <c r="RI6" s="4"/>
      <c r="RJ6" s="4"/>
      <c r="RK6" s="4"/>
      <c r="RL6" s="4"/>
      <c r="RM6" s="4"/>
      <c r="RN6" s="4"/>
      <c r="RO6" s="4"/>
      <c r="RP6" s="4"/>
      <c r="RQ6" s="4"/>
      <c r="RR6" s="4"/>
      <c r="RS6" s="4"/>
      <c r="RT6" s="4"/>
      <c r="RU6" s="4"/>
      <c r="RV6" s="4"/>
      <c r="RW6" s="4"/>
      <c r="RX6" s="4"/>
      <c r="RY6" s="4"/>
      <c r="RZ6" s="4"/>
      <c r="SA6" s="4"/>
      <c r="SB6" s="4"/>
      <c r="SC6" s="4"/>
      <c r="SD6" s="4"/>
      <c r="SE6" s="4"/>
      <c r="SF6" s="4"/>
      <c r="SG6" s="4"/>
      <c r="SH6" s="4"/>
      <c r="SI6" s="4"/>
      <c r="SJ6" s="4"/>
      <c r="SK6" s="4"/>
      <c r="SL6" s="4"/>
      <c r="SM6" s="4"/>
      <c r="SN6" s="4"/>
      <c r="SO6" s="4"/>
      <c r="SP6" s="4"/>
      <c r="SQ6" s="4"/>
      <c r="SR6" s="4"/>
      <c r="SS6" s="4"/>
      <c r="ST6" s="4"/>
      <c r="SU6" s="4"/>
      <c r="SV6" s="4"/>
      <c r="SW6" s="4"/>
      <c r="SX6" s="4"/>
      <c r="SY6" s="4"/>
      <c r="SZ6" s="4"/>
      <c r="TA6" s="4"/>
      <c r="TB6" s="4"/>
      <c r="TC6" s="4"/>
      <c r="TD6" s="4"/>
      <c r="TE6" s="4"/>
      <c r="TF6" s="4"/>
      <c r="TG6" s="4"/>
      <c r="TH6" s="4"/>
      <c r="TI6" s="4"/>
      <c r="TJ6" s="4"/>
      <c r="TK6" s="4"/>
      <c r="TL6" s="4"/>
      <c r="TM6" s="4"/>
      <c r="TN6" s="4"/>
      <c r="TO6" s="4"/>
      <c r="TP6" s="4"/>
      <c r="TQ6" s="4"/>
      <c r="TR6" s="4"/>
      <c r="TS6" s="4"/>
      <c r="TT6" s="4"/>
      <c r="TU6" s="4"/>
      <c r="TV6" s="4"/>
      <c r="TW6" s="4"/>
      <c r="TX6" s="4"/>
      <c r="TY6" s="4"/>
      <c r="TZ6" s="4"/>
      <c r="UA6" s="4"/>
      <c r="UB6" s="4"/>
      <c r="UC6" s="4"/>
      <c r="UD6" s="4"/>
      <c r="UE6" s="4"/>
      <c r="UF6" s="4"/>
      <c r="UG6" s="4"/>
      <c r="UH6" s="4"/>
      <c r="UI6" s="4"/>
      <c r="UJ6" s="4"/>
      <c r="UK6" s="4"/>
      <c r="UL6" s="4"/>
      <c r="UM6" s="4"/>
      <c r="UN6" s="4"/>
      <c r="UO6" s="4"/>
      <c r="UP6" s="4"/>
      <c r="UQ6" s="4"/>
      <c r="UR6" s="4"/>
      <c r="US6" s="4"/>
      <c r="UT6" s="4"/>
      <c r="UU6" s="4"/>
      <c r="UV6" s="4"/>
      <c r="UW6" s="4"/>
      <c r="UX6" s="4"/>
      <c r="UY6" s="4"/>
      <c r="UZ6" s="4"/>
      <c r="VA6" s="4"/>
      <c r="VB6" s="4"/>
      <c r="VC6" s="4"/>
      <c r="VD6" s="4"/>
      <c r="VE6" s="4"/>
      <c r="VF6" s="4"/>
      <c r="VG6" s="4"/>
      <c r="VH6" s="4"/>
      <c r="VI6" s="4"/>
      <c r="VJ6" s="4"/>
      <c r="VK6" s="4"/>
      <c r="VL6" s="4"/>
      <c r="VM6" s="4"/>
      <c r="VN6" s="4"/>
      <c r="VO6" s="4"/>
      <c r="VP6" s="4"/>
      <c r="VQ6" s="4"/>
      <c r="VR6" s="4"/>
      <c r="VS6" s="4"/>
      <c r="VT6" s="4"/>
      <c r="VU6" s="4"/>
      <c r="VV6" s="4"/>
      <c r="VW6" s="4"/>
      <c r="VX6" s="4"/>
      <c r="VY6" s="4"/>
      <c r="VZ6" s="4"/>
      <c r="WA6" s="4"/>
      <c r="WB6" s="4"/>
      <c r="WC6" s="4"/>
      <c r="WD6" s="4"/>
      <c r="WE6" s="4"/>
      <c r="WF6" s="4"/>
      <c r="WG6" s="4"/>
      <c r="WH6" s="4"/>
      <c r="WI6" s="4"/>
      <c r="WJ6" s="4"/>
      <c r="WK6" s="4"/>
      <c r="WL6" s="4"/>
      <c r="WM6" s="4"/>
      <c r="WN6" s="4"/>
      <c r="WO6" s="4"/>
      <c r="WP6" s="4"/>
      <c r="WQ6" s="4"/>
      <c r="WR6" s="4"/>
      <c r="WS6" s="4"/>
      <c r="WT6" s="4"/>
      <c r="WU6" s="4"/>
      <c r="WV6" s="4"/>
      <c r="WW6" s="4"/>
      <c r="WX6" s="4"/>
      <c r="WY6" s="4"/>
      <c r="WZ6" s="4"/>
      <c r="XA6" s="4"/>
      <c r="XB6" s="4"/>
      <c r="XC6" s="4"/>
      <c r="XD6" s="4"/>
      <c r="XE6" s="4"/>
      <c r="XF6" s="4"/>
      <c r="XG6" s="4"/>
      <c r="XH6" s="4"/>
      <c r="XI6" s="4"/>
      <c r="XJ6" s="4"/>
      <c r="XK6" s="4"/>
      <c r="XL6" s="4"/>
      <c r="XM6" s="4"/>
      <c r="XN6" s="4"/>
      <c r="XO6" s="4"/>
      <c r="XP6" s="4"/>
      <c r="XQ6" s="4"/>
      <c r="XR6" s="4"/>
      <c r="XS6" s="4"/>
      <c r="XT6" s="4"/>
      <c r="XU6" s="4"/>
      <c r="XV6" s="4"/>
      <c r="XW6" s="4"/>
      <c r="XX6" s="4"/>
      <c r="XY6" s="4"/>
      <c r="XZ6" s="4"/>
      <c r="YA6" s="4"/>
      <c r="YB6" s="4"/>
      <c r="YC6" s="4"/>
      <c r="YD6" s="4"/>
      <c r="YE6" s="4"/>
      <c r="YF6" s="4"/>
      <c r="YG6" s="4"/>
      <c r="YH6" s="4"/>
      <c r="YI6" s="4"/>
      <c r="YJ6" s="4"/>
      <c r="YK6" s="4"/>
      <c r="YL6" s="4"/>
      <c r="YM6" s="4"/>
      <c r="YN6" s="4"/>
      <c r="YO6" s="4"/>
      <c r="YP6" s="4"/>
      <c r="YQ6" s="4"/>
      <c r="YR6" s="4"/>
      <c r="YS6" s="4"/>
      <c r="YT6" s="4"/>
      <c r="YU6" s="4"/>
      <c r="YV6" s="4"/>
      <c r="YW6" s="4"/>
      <c r="YX6" s="4"/>
      <c r="YY6" s="4"/>
      <c r="YZ6" s="4"/>
      <c r="ZA6" s="4"/>
      <c r="ZB6" s="4"/>
      <c r="ZC6" s="4"/>
      <c r="ZD6" s="4"/>
      <c r="ZE6" s="4"/>
      <c r="ZF6" s="4"/>
      <c r="ZG6" s="4"/>
      <c r="ZH6" s="4"/>
      <c r="ZI6" s="4"/>
      <c r="ZJ6" s="4"/>
      <c r="ZK6" s="4"/>
      <c r="ZL6" s="4"/>
      <c r="ZM6" s="4"/>
      <c r="ZN6" s="4"/>
      <c r="ZO6" s="4"/>
      <c r="ZP6" s="4"/>
      <c r="ZQ6" s="4"/>
      <c r="ZR6" s="4"/>
      <c r="ZS6" s="4"/>
      <c r="ZT6" s="4"/>
      <c r="ZU6" s="4"/>
      <c r="ZV6" s="4"/>
      <c r="ZW6" s="4"/>
      <c r="ZX6" s="4"/>
      <c r="ZY6" s="4"/>
      <c r="ZZ6" s="4"/>
      <c r="AAA6" s="4"/>
      <c r="AAB6" s="4"/>
      <c r="AAC6" s="4"/>
      <c r="AAD6" s="4"/>
      <c r="AAE6" s="4"/>
      <c r="AAF6" s="4"/>
      <c r="AAG6" s="4"/>
      <c r="AAH6" s="4"/>
      <c r="AAI6" s="4"/>
      <c r="AAJ6" s="4"/>
      <c r="AAK6" s="4"/>
      <c r="AAL6" s="4"/>
      <c r="AAM6" s="4"/>
      <c r="AAN6" s="4"/>
      <c r="AAO6" s="4"/>
      <c r="AAP6" s="4"/>
      <c r="AAQ6" s="4"/>
      <c r="AAR6" s="4"/>
      <c r="AAS6" s="4"/>
      <c r="AAT6" s="4"/>
      <c r="AAU6" s="4"/>
      <c r="AAV6" s="4"/>
      <c r="AAW6" s="4"/>
      <c r="AAX6" s="4"/>
      <c r="AAY6" s="4"/>
      <c r="AAZ6" s="4"/>
      <c r="ABA6" s="4"/>
      <c r="ABB6" s="4"/>
      <c r="ABC6" s="4"/>
      <c r="ABD6" s="4"/>
      <c r="ABE6" s="4"/>
      <c r="ABF6" s="4"/>
      <c r="ABG6" s="4"/>
      <c r="ABH6" s="4"/>
      <c r="ABI6" s="4"/>
      <c r="ABJ6" s="4"/>
      <c r="ABK6" s="4"/>
      <c r="ABL6" s="4"/>
      <c r="ABM6" s="4"/>
      <c r="ABN6" s="4"/>
      <c r="ABO6" s="4"/>
      <c r="ABP6" s="4"/>
      <c r="ABQ6" s="4"/>
      <c r="ABR6" s="4"/>
      <c r="ABS6" s="4"/>
      <c r="ABT6" s="4"/>
      <c r="ABU6" s="4"/>
      <c r="ABV6" s="4"/>
      <c r="ABW6" s="4"/>
      <c r="ABX6" s="4"/>
      <c r="ABY6" s="4"/>
      <c r="ABZ6" s="4"/>
      <c r="ACA6" s="4"/>
      <c r="ACB6" s="4"/>
      <c r="ACC6" s="4"/>
      <c r="ACD6" s="4"/>
      <c r="ACE6" s="4"/>
      <c r="ACF6" s="4"/>
      <c r="ACG6" s="4"/>
      <c r="ACH6" s="4"/>
      <c r="ACI6" s="4"/>
      <c r="ACJ6" s="4"/>
      <c r="ACK6" s="4"/>
      <c r="ACL6" s="4"/>
      <c r="ACM6" s="4"/>
      <c r="ACN6" s="4"/>
      <c r="ACO6" s="4"/>
      <c r="ACP6" s="4"/>
      <c r="ACQ6" s="4"/>
      <c r="ACR6" s="4"/>
      <c r="ACS6" s="4"/>
      <c r="ACT6" s="4"/>
      <c r="ACU6" s="4"/>
      <c r="ACV6" s="4"/>
      <c r="ACW6" s="4"/>
      <c r="ACX6" s="4"/>
      <c r="ACY6" s="4"/>
      <c r="ACZ6" s="4"/>
      <c r="ADA6" s="4"/>
      <c r="ADB6" s="4"/>
      <c r="ADC6" s="4"/>
      <c r="ADD6" s="4"/>
      <c r="ADE6" s="4"/>
      <c r="ADF6" s="4"/>
      <c r="ADG6" s="4"/>
      <c r="ADH6" s="4"/>
      <c r="ADI6" s="4"/>
      <c r="ADJ6" s="4"/>
      <c r="ADK6" s="4"/>
      <c r="ADL6" s="4"/>
      <c r="ADM6" s="4"/>
      <c r="ADN6" s="4"/>
      <c r="ADO6" s="4"/>
      <c r="ADP6" s="4"/>
      <c r="ADQ6" s="4"/>
      <c r="ADR6" s="4"/>
      <c r="ADS6" s="4"/>
      <c r="ADT6" s="4"/>
      <c r="ADU6" s="4"/>
      <c r="ADV6" s="4"/>
      <c r="ADW6" s="4"/>
      <c r="ADX6" s="4"/>
      <c r="ADY6" s="4"/>
      <c r="ADZ6" s="4"/>
      <c r="AEA6" s="4"/>
      <c r="AEB6" s="4"/>
      <c r="AEC6" s="4"/>
      <c r="AED6" s="4"/>
      <c r="AEE6" s="4"/>
      <c r="AEF6" s="4"/>
      <c r="AEG6" s="4"/>
      <c r="AEH6" s="4"/>
      <c r="AEI6" s="4"/>
      <c r="AEJ6" s="4"/>
      <c r="AEK6" s="4"/>
      <c r="AEL6" s="4"/>
      <c r="AEM6" s="4"/>
      <c r="AEN6" s="4"/>
      <c r="AEO6" s="4"/>
      <c r="AEP6" s="4"/>
      <c r="AEQ6" s="4"/>
      <c r="AER6" s="4"/>
      <c r="AES6" s="4"/>
      <c r="AET6" s="4"/>
      <c r="AEU6" s="4"/>
      <c r="AEV6" s="4"/>
      <c r="AEW6" s="4"/>
      <c r="AEX6" s="4"/>
      <c r="AEY6" s="4"/>
      <c r="AEZ6" s="4"/>
      <c r="AFA6" s="4"/>
      <c r="AFB6" s="4"/>
      <c r="AFC6" s="4"/>
      <c r="AFD6" s="4"/>
      <c r="AFE6" s="4"/>
      <c r="AFF6" s="4"/>
      <c r="AFG6" s="4"/>
      <c r="AFH6" s="4"/>
      <c r="AFI6" s="4"/>
      <c r="AFJ6" s="4"/>
      <c r="AFK6" s="4"/>
      <c r="AFL6" s="4"/>
      <c r="AFM6" s="4"/>
      <c r="AFN6" s="4"/>
      <c r="AFO6" s="4"/>
      <c r="AFP6" s="4"/>
      <c r="AFQ6" s="4"/>
      <c r="AFR6" s="4"/>
      <c r="AFS6" s="4"/>
      <c r="AFT6" s="4"/>
      <c r="AFU6" s="4"/>
      <c r="AFV6" s="4"/>
      <c r="AFW6" s="4"/>
      <c r="AFX6" s="4"/>
      <c r="AFY6" s="4"/>
      <c r="AFZ6" s="4"/>
      <c r="AGA6" s="4"/>
      <c r="AGB6" s="4"/>
      <c r="AGC6" s="4"/>
      <c r="AGD6" s="4"/>
      <c r="AGE6" s="4"/>
      <c r="AGF6" s="4"/>
      <c r="AGG6" s="4"/>
      <c r="AGH6" s="4"/>
      <c r="AGI6" s="4"/>
      <c r="AGJ6" s="4"/>
      <c r="AGK6" s="4"/>
      <c r="AGL6" s="4"/>
      <c r="AGM6" s="4"/>
      <c r="AGN6" s="4"/>
      <c r="AGO6" s="4"/>
      <c r="AGP6" s="4"/>
      <c r="AGQ6" s="4"/>
      <c r="AGR6" s="4"/>
      <c r="AGS6" s="4"/>
      <c r="AGT6" s="4"/>
      <c r="AGU6" s="4"/>
      <c r="AGV6" s="4"/>
      <c r="AGW6" s="4"/>
      <c r="AGX6" s="4"/>
      <c r="AGY6" s="4"/>
      <c r="AGZ6" s="4"/>
      <c r="AHA6" s="4"/>
      <c r="AHB6" s="4"/>
      <c r="AHC6" s="4"/>
      <c r="AHD6" s="4"/>
      <c r="AHE6" s="4"/>
      <c r="AHF6" s="4"/>
      <c r="AHG6" s="4"/>
      <c r="AHH6" s="4"/>
      <c r="AHI6" s="4"/>
      <c r="AHJ6" s="4"/>
      <c r="AHK6" s="4"/>
      <c r="AHL6" s="4"/>
      <c r="AHM6" s="4"/>
      <c r="AHN6" s="4"/>
      <c r="AHO6" s="4"/>
      <c r="AHP6" s="4"/>
      <c r="AHQ6" s="4"/>
      <c r="AHR6" s="4"/>
      <c r="AHS6" s="4"/>
      <c r="AHT6" s="4"/>
      <c r="AHU6" s="4"/>
      <c r="AHV6" s="4"/>
      <c r="AHW6" s="4"/>
      <c r="AHX6" s="4"/>
      <c r="AHY6" s="4"/>
      <c r="AHZ6" s="4"/>
      <c r="AIA6" s="4"/>
      <c r="AIB6" s="4"/>
      <c r="AIC6" s="4"/>
      <c r="AID6" s="4"/>
      <c r="AIE6" s="4"/>
      <c r="AIF6" s="4"/>
      <c r="AIG6" s="4"/>
      <c r="AIH6" s="4"/>
      <c r="AII6" s="4"/>
      <c r="AIJ6" s="4"/>
      <c r="AIK6" s="4"/>
      <c r="AIL6" s="4"/>
      <c r="AIM6" s="4"/>
      <c r="AIN6" s="4"/>
      <c r="AIO6" s="4"/>
      <c r="AIP6" s="4"/>
      <c r="AIQ6" s="4"/>
      <c r="AIR6" s="4"/>
      <c r="AIS6" s="4"/>
      <c r="AIT6" s="4"/>
      <c r="AIU6" s="4"/>
      <c r="AIV6" s="4"/>
      <c r="AIW6" s="4"/>
      <c r="AIX6" s="4"/>
      <c r="AIY6" s="4"/>
      <c r="AIZ6" s="4"/>
      <c r="AJA6" s="4"/>
      <c r="AJB6" s="4"/>
      <c r="AJC6" s="4"/>
      <c r="AJD6" s="4"/>
      <c r="AJE6" s="4"/>
      <c r="AJF6" s="4"/>
      <c r="AJG6" s="4"/>
      <c r="AJH6" s="4"/>
      <c r="AJI6" s="4"/>
      <c r="AJJ6" s="4"/>
      <c r="AJK6" s="4"/>
      <c r="AJL6" s="4"/>
      <c r="AJM6" s="4"/>
      <c r="AJN6" s="4"/>
      <c r="AJO6" s="4"/>
      <c r="AJP6" s="4"/>
      <c r="AJQ6" s="4"/>
      <c r="AJR6" s="4"/>
      <c r="AJS6" s="4"/>
      <c r="AJT6" s="4"/>
      <c r="AJU6" s="4"/>
      <c r="AJV6" s="4"/>
      <c r="AJW6" s="4"/>
      <c r="AJX6" s="4"/>
      <c r="AJY6" s="4"/>
      <c r="AJZ6" s="4"/>
      <c r="AKA6" s="4"/>
      <c r="AKB6" s="4"/>
      <c r="AKC6" s="4"/>
      <c r="AKD6" s="4"/>
      <c r="AKE6" s="4"/>
      <c r="AKF6" s="4"/>
      <c r="AKG6" s="4"/>
      <c r="AKH6" s="4"/>
      <c r="AKI6" s="4"/>
      <c r="AKJ6" s="4"/>
      <c r="AKK6" s="4"/>
      <c r="AKL6" s="4"/>
      <c r="AKM6" s="4"/>
      <c r="AKN6" s="4"/>
      <c r="AKO6" s="4"/>
      <c r="AKP6" s="4"/>
      <c r="AKQ6" s="4"/>
      <c r="AKR6" s="4"/>
      <c r="AKS6" s="4"/>
      <c r="AKT6" s="4"/>
      <c r="AKU6" s="4"/>
      <c r="AKV6" s="4"/>
      <c r="AKW6" s="4"/>
      <c r="AKX6" s="4"/>
      <c r="AKY6" s="4"/>
      <c r="AKZ6" s="4"/>
      <c r="ALA6" s="4"/>
      <c r="ALB6" s="4"/>
      <c r="ALC6" s="4"/>
      <c r="ALD6" s="4"/>
      <c r="ALE6" s="4"/>
      <c r="ALF6" s="4"/>
      <c r="ALG6" s="4"/>
      <c r="ALH6" s="4"/>
      <c r="ALI6" s="4"/>
      <c r="ALJ6" s="4"/>
      <c r="ALK6" s="4"/>
      <c r="ALL6" s="4"/>
      <c r="ALM6" s="4"/>
      <c r="ALN6" s="4"/>
      <c r="ALO6" s="4"/>
      <c r="ALP6" s="4"/>
      <c r="ALQ6" s="4"/>
      <c r="ALR6" s="4"/>
      <c r="ALS6" s="4"/>
      <c r="ALT6" s="4"/>
      <c r="ALU6" s="4"/>
      <c r="ALV6" s="4"/>
      <c r="ALW6" s="4"/>
      <c r="ALX6" s="4"/>
      <c r="ALY6" s="4"/>
      <c r="ALZ6" s="4"/>
      <c r="AMA6" s="4"/>
      <c r="AMB6" s="4"/>
      <c r="AMC6" s="4"/>
      <c r="AMD6" s="4"/>
      <c r="AME6" s="4"/>
      <c r="AMF6" s="4"/>
      <c r="AMG6" s="4"/>
      <c r="AMH6" s="4"/>
    </row>
    <row r="7" spans="1:1022">
      <c r="A7" s="4" t="s">
        <v>2759</v>
      </c>
      <c r="B7" s="4" t="s">
        <v>171</v>
      </c>
      <c r="C7" s="4" t="str">
        <f t="shared" si="0"/>
        <v>att_user_research_group:vonkarstedt</v>
      </c>
      <c r="D7" s="4" t="s">
        <v>12</v>
      </c>
      <c r="E7" s="4" t="s">
        <v>2760</v>
      </c>
      <c r="F7" s="4" t="s">
        <v>2761</v>
      </c>
      <c r="G7" s="4"/>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4"/>
      <c r="DO7" s="4"/>
      <c r="DP7" s="4"/>
      <c r="DQ7" s="4"/>
      <c r="DR7" s="4"/>
      <c r="DS7" s="4"/>
      <c r="DT7" s="4"/>
      <c r="DU7" s="4"/>
      <c r="DV7" s="4"/>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c r="EY7" s="4"/>
      <c r="EZ7" s="4"/>
      <c r="FA7" s="4"/>
      <c r="FB7" s="4"/>
      <c r="FC7" s="4"/>
      <c r="FD7" s="4"/>
      <c r="FE7" s="4"/>
      <c r="FF7" s="4"/>
      <c r="FG7" s="4"/>
      <c r="FH7" s="4"/>
      <c r="FI7" s="4"/>
      <c r="FJ7" s="4"/>
      <c r="FK7" s="4"/>
      <c r="FL7" s="4"/>
      <c r="FM7" s="4"/>
      <c r="FN7" s="4"/>
      <c r="FO7" s="4"/>
      <c r="FP7" s="4"/>
      <c r="FQ7" s="4"/>
      <c r="FR7" s="4"/>
      <c r="FS7" s="4"/>
      <c r="FT7" s="4"/>
      <c r="FU7" s="4"/>
      <c r="FV7" s="4"/>
      <c r="FW7" s="4"/>
      <c r="FX7" s="4"/>
      <c r="FY7" s="4"/>
      <c r="FZ7" s="4"/>
      <c r="GA7" s="4"/>
      <c r="GB7" s="4"/>
      <c r="GC7" s="4"/>
      <c r="GD7" s="4"/>
      <c r="GE7" s="4"/>
      <c r="GF7" s="4"/>
      <c r="GG7" s="4"/>
      <c r="GH7" s="4"/>
      <c r="GI7" s="4"/>
      <c r="GJ7" s="4"/>
      <c r="GK7" s="4"/>
      <c r="GL7" s="4"/>
      <c r="GM7" s="4"/>
      <c r="GN7" s="4"/>
      <c r="GO7" s="4"/>
      <c r="GP7" s="4"/>
      <c r="GQ7" s="4"/>
      <c r="GR7" s="4"/>
      <c r="GS7" s="4"/>
      <c r="GT7" s="4"/>
      <c r="GU7" s="4"/>
      <c r="GV7" s="4"/>
      <c r="GW7" s="4"/>
      <c r="GX7" s="4"/>
      <c r="GY7" s="4"/>
      <c r="GZ7" s="4"/>
      <c r="HA7" s="4"/>
      <c r="HB7" s="4"/>
      <c r="HC7" s="4"/>
      <c r="HD7" s="4"/>
      <c r="HE7" s="4"/>
      <c r="HF7" s="4"/>
      <c r="HG7" s="4"/>
      <c r="HH7" s="4"/>
      <c r="HI7" s="4"/>
      <c r="HJ7" s="4"/>
      <c r="HK7" s="4"/>
      <c r="HL7" s="4"/>
      <c r="HM7" s="4"/>
      <c r="HN7" s="4"/>
      <c r="HO7" s="4"/>
      <c r="HP7" s="4"/>
      <c r="HQ7" s="4"/>
      <c r="HR7" s="4"/>
      <c r="HS7" s="4"/>
      <c r="HT7" s="4"/>
      <c r="HU7" s="4"/>
      <c r="HV7" s="4"/>
      <c r="HW7" s="4"/>
      <c r="HX7" s="4"/>
      <c r="HY7" s="4"/>
      <c r="HZ7" s="4"/>
      <c r="IA7" s="4"/>
      <c r="IB7" s="4"/>
      <c r="IC7" s="4"/>
      <c r="ID7" s="4"/>
      <c r="IE7" s="4"/>
      <c r="IF7" s="4"/>
      <c r="IG7" s="4"/>
      <c r="IH7" s="4"/>
      <c r="II7" s="4"/>
      <c r="IJ7" s="4"/>
      <c r="IK7" s="4"/>
      <c r="IL7" s="4"/>
      <c r="IM7" s="4"/>
      <c r="IN7" s="4"/>
      <c r="IO7" s="4"/>
      <c r="IP7" s="4"/>
      <c r="IQ7" s="4"/>
      <c r="IR7" s="4"/>
      <c r="IS7" s="4"/>
      <c r="IT7" s="4"/>
      <c r="IU7" s="4"/>
      <c r="IV7" s="4"/>
      <c r="IW7" s="4"/>
      <c r="IX7" s="4"/>
      <c r="IY7" s="4"/>
      <c r="IZ7" s="4"/>
      <c r="JA7" s="4"/>
      <c r="JB7" s="4"/>
      <c r="JC7" s="4"/>
      <c r="JD7" s="4"/>
      <c r="JE7" s="4"/>
      <c r="JF7" s="4"/>
      <c r="JG7" s="4"/>
      <c r="JH7" s="4"/>
      <c r="JI7" s="4"/>
      <c r="JJ7" s="4"/>
      <c r="JK7" s="4"/>
      <c r="JL7" s="4"/>
      <c r="JM7" s="4"/>
      <c r="JN7" s="4"/>
      <c r="JO7" s="4"/>
      <c r="JP7" s="4"/>
      <c r="JQ7" s="4"/>
      <c r="JR7" s="4"/>
      <c r="JS7" s="4"/>
      <c r="JT7" s="4"/>
      <c r="JU7" s="4"/>
      <c r="JV7" s="4"/>
      <c r="JW7" s="4"/>
      <c r="JX7" s="4"/>
      <c r="JY7" s="4"/>
      <c r="JZ7" s="4"/>
      <c r="KA7" s="4"/>
      <c r="KB7" s="4"/>
      <c r="KC7" s="4"/>
      <c r="KD7" s="4"/>
      <c r="KE7" s="4"/>
      <c r="KF7" s="4"/>
      <c r="KG7" s="4"/>
      <c r="KH7" s="4"/>
      <c r="KI7" s="4"/>
      <c r="KJ7" s="4"/>
      <c r="KK7" s="4"/>
      <c r="KL7" s="4"/>
      <c r="KM7" s="4"/>
      <c r="KN7" s="4"/>
      <c r="KO7" s="4"/>
      <c r="KP7" s="4"/>
      <c r="KQ7" s="4"/>
      <c r="KR7" s="4"/>
      <c r="KS7" s="4"/>
      <c r="KT7" s="4"/>
      <c r="KU7" s="4"/>
      <c r="KV7" s="4"/>
      <c r="KW7" s="4"/>
      <c r="KX7" s="4"/>
      <c r="KY7" s="4"/>
      <c r="KZ7" s="4"/>
      <c r="LA7" s="4"/>
      <c r="LB7" s="4"/>
      <c r="LC7" s="4"/>
      <c r="LD7" s="4"/>
      <c r="LE7" s="4"/>
      <c r="LF7" s="4"/>
      <c r="LG7" s="4"/>
      <c r="LH7" s="4"/>
      <c r="LI7" s="4"/>
      <c r="LJ7" s="4"/>
      <c r="LK7" s="4"/>
      <c r="LL7" s="4"/>
      <c r="LM7" s="4"/>
      <c r="LN7" s="4"/>
      <c r="LO7" s="4"/>
      <c r="LP7" s="4"/>
      <c r="LQ7" s="4"/>
      <c r="LR7" s="4"/>
      <c r="LS7" s="4"/>
      <c r="LT7" s="4"/>
      <c r="LU7" s="4"/>
      <c r="LV7" s="4"/>
      <c r="LW7" s="4"/>
      <c r="LX7" s="4"/>
      <c r="LY7" s="4"/>
      <c r="LZ7" s="4"/>
      <c r="MA7" s="4"/>
      <c r="MB7" s="4"/>
      <c r="MC7" s="4"/>
      <c r="MD7" s="4"/>
      <c r="ME7" s="4"/>
      <c r="MF7" s="4"/>
      <c r="MG7" s="4"/>
      <c r="MH7" s="4"/>
      <c r="MI7" s="4"/>
      <c r="MJ7" s="4"/>
      <c r="MK7" s="4"/>
      <c r="ML7" s="4"/>
      <c r="MM7" s="4"/>
      <c r="MN7" s="4"/>
      <c r="MO7" s="4"/>
      <c r="MP7" s="4"/>
      <c r="MQ7" s="4"/>
      <c r="MR7" s="4"/>
      <c r="MS7" s="4"/>
      <c r="MT7" s="4"/>
      <c r="MU7" s="4"/>
      <c r="MV7" s="4"/>
      <c r="MW7" s="4"/>
      <c r="MX7" s="4"/>
      <c r="MY7" s="4"/>
      <c r="MZ7" s="4"/>
      <c r="NA7" s="4"/>
      <c r="NB7" s="4"/>
      <c r="NC7" s="4"/>
      <c r="ND7" s="4"/>
      <c r="NE7" s="4"/>
      <c r="NF7" s="4"/>
      <c r="NG7" s="4"/>
      <c r="NH7" s="4"/>
      <c r="NI7" s="4"/>
      <c r="NJ7" s="4"/>
      <c r="NK7" s="4"/>
      <c r="NL7" s="4"/>
      <c r="NM7" s="4"/>
      <c r="NN7" s="4"/>
      <c r="NO7" s="4"/>
      <c r="NP7" s="4"/>
      <c r="NQ7" s="4"/>
      <c r="NR7" s="4"/>
      <c r="NS7" s="4"/>
      <c r="NT7" s="4"/>
      <c r="NU7" s="4"/>
      <c r="NV7" s="4"/>
      <c r="NW7" s="4"/>
      <c r="NX7" s="4"/>
      <c r="NY7" s="4"/>
      <c r="NZ7" s="4"/>
      <c r="OA7" s="4"/>
      <c r="OB7" s="4"/>
      <c r="OC7" s="4"/>
      <c r="OD7" s="4"/>
      <c r="OE7" s="4"/>
      <c r="OF7" s="4"/>
      <c r="OG7" s="4"/>
      <c r="OH7" s="4"/>
      <c r="OI7" s="4"/>
      <c r="OJ7" s="4"/>
      <c r="OK7" s="4"/>
      <c r="OL7" s="4"/>
      <c r="OM7" s="4"/>
      <c r="ON7" s="4"/>
      <c r="OO7" s="4"/>
      <c r="OP7" s="4"/>
      <c r="OQ7" s="4"/>
      <c r="OR7" s="4"/>
      <c r="OS7" s="4"/>
      <c r="OT7" s="4"/>
      <c r="OU7" s="4"/>
      <c r="OV7" s="4"/>
      <c r="OW7" s="4"/>
      <c r="OX7" s="4"/>
      <c r="OY7" s="4"/>
      <c r="OZ7" s="4"/>
      <c r="PA7" s="4"/>
      <c r="PB7" s="4"/>
      <c r="PC7" s="4"/>
      <c r="PD7" s="4"/>
      <c r="PE7" s="4"/>
      <c r="PF7" s="4"/>
      <c r="PG7" s="4"/>
      <c r="PH7" s="4"/>
      <c r="PI7" s="4"/>
      <c r="PJ7" s="4"/>
      <c r="PK7" s="4"/>
      <c r="PL7" s="4"/>
      <c r="PM7" s="4"/>
      <c r="PN7" s="4"/>
      <c r="PO7" s="4"/>
      <c r="PP7" s="4"/>
      <c r="PQ7" s="4"/>
      <c r="PR7" s="4"/>
      <c r="PS7" s="4"/>
      <c r="PT7" s="4"/>
      <c r="PU7" s="4"/>
      <c r="PV7" s="4"/>
      <c r="PW7" s="4"/>
      <c r="PX7" s="4"/>
      <c r="PY7" s="4"/>
      <c r="PZ7" s="4"/>
      <c r="QA7" s="4"/>
      <c r="QB7" s="4"/>
      <c r="QC7" s="4"/>
      <c r="QD7" s="4"/>
      <c r="QE7" s="4"/>
      <c r="QF7" s="4"/>
      <c r="QG7" s="4"/>
      <c r="QH7" s="4"/>
      <c r="QI7" s="4"/>
      <c r="QJ7" s="4"/>
      <c r="QK7" s="4"/>
      <c r="QL7" s="4"/>
      <c r="QM7" s="4"/>
      <c r="QN7" s="4"/>
      <c r="QO7" s="4"/>
      <c r="QP7" s="4"/>
      <c r="QQ7" s="4"/>
      <c r="QR7" s="4"/>
      <c r="QS7" s="4"/>
      <c r="QT7" s="4"/>
      <c r="QU7" s="4"/>
      <c r="QV7" s="4"/>
      <c r="QW7" s="4"/>
      <c r="QX7" s="4"/>
      <c r="QY7" s="4"/>
      <c r="QZ7" s="4"/>
      <c r="RA7" s="4"/>
      <c r="RB7" s="4"/>
      <c r="RC7" s="4"/>
      <c r="RD7" s="4"/>
      <c r="RE7" s="4"/>
      <c r="RF7" s="4"/>
      <c r="RG7" s="4"/>
      <c r="RH7" s="4"/>
      <c r="RI7" s="4"/>
      <c r="RJ7" s="4"/>
      <c r="RK7" s="4"/>
      <c r="RL7" s="4"/>
      <c r="RM7" s="4"/>
      <c r="RN7" s="4"/>
      <c r="RO7" s="4"/>
      <c r="RP7" s="4"/>
      <c r="RQ7" s="4"/>
      <c r="RR7" s="4"/>
      <c r="RS7" s="4"/>
      <c r="RT7" s="4"/>
      <c r="RU7" s="4"/>
      <c r="RV7" s="4"/>
      <c r="RW7" s="4"/>
      <c r="RX7" s="4"/>
      <c r="RY7" s="4"/>
      <c r="RZ7" s="4"/>
      <c r="SA7" s="4"/>
      <c r="SB7" s="4"/>
      <c r="SC7" s="4"/>
      <c r="SD7" s="4"/>
      <c r="SE7" s="4"/>
      <c r="SF7" s="4"/>
      <c r="SG7" s="4"/>
      <c r="SH7" s="4"/>
      <c r="SI7" s="4"/>
      <c r="SJ7" s="4"/>
      <c r="SK7" s="4"/>
      <c r="SL7" s="4"/>
      <c r="SM7" s="4"/>
      <c r="SN7" s="4"/>
      <c r="SO7" s="4"/>
      <c r="SP7" s="4"/>
      <c r="SQ7" s="4"/>
      <c r="SR7" s="4"/>
      <c r="SS7" s="4"/>
      <c r="ST7" s="4"/>
      <c r="SU7" s="4"/>
      <c r="SV7" s="4"/>
      <c r="SW7" s="4"/>
      <c r="SX7" s="4"/>
      <c r="SY7" s="4"/>
      <c r="SZ7" s="4"/>
      <c r="TA7" s="4"/>
      <c r="TB7" s="4"/>
      <c r="TC7" s="4"/>
      <c r="TD7" s="4"/>
      <c r="TE7" s="4"/>
      <c r="TF7" s="4"/>
      <c r="TG7" s="4"/>
      <c r="TH7" s="4"/>
      <c r="TI7" s="4"/>
      <c r="TJ7" s="4"/>
      <c r="TK7" s="4"/>
      <c r="TL7" s="4"/>
      <c r="TM7" s="4"/>
      <c r="TN7" s="4"/>
      <c r="TO7" s="4"/>
      <c r="TP7" s="4"/>
      <c r="TQ7" s="4"/>
      <c r="TR7" s="4"/>
      <c r="TS7" s="4"/>
      <c r="TT7" s="4"/>
      <c r="TU7" s="4"/>
      <c r="TV7" s="4"/>
      <c r="TW7" s="4"/>
      <c r="TX7" s="4"/>
      <c r="TY7" s="4"/>
      <c r="TZ7" s="4"/>
      <c r="UA7" s="4"/>
      <c r="UB7" s="4"/>
      <c r="UC7" s="4"/>
      <c r="UD7" s="4"/>
      <c r="UE7" s="4"/>
      <c r="UF7" s="4"/>
      <c r="UG7" s="4"/>
      <c r="UH7" s="4"/>
      <c r="UI7" s="4"/>
      <c r="UJ7" s="4"/>
      <c r="UK7" s="4"/>
      <c r="UL7" s="4"/>
      <c r="UM7" s="4"/>
      <c r="UN7" s="4"/>
      <c r="UO7" s="4"/>
      <c r="UP7" s="4"/>
      <c r="UQ7" s="4"/>
      <c r="UR7" s="4"/>
      <c r="US7" s="4"/>
      <c r="UT7" s="4"/>
      <c r="UU7" s="4"/>
      <c r="UV7" s="4"/>
      <c r="UW7" s="4"/>
      <c r="UX7" s="4"/>
      <c r="UY7" s="4"/>
      <c r="UZ7" s="4"/>
      <c r="VA7" s="4"/>
      <c r="VB7" s="4"/>
      <c r="VC7" s="4"/>
      <c r="VD7" s="4"/>
      <c r="VE7" s="4"/>
      <c r="VF7" s="4"/>
      <c r="VG7" s="4"/>
      <c r="VH7" s="4"/>
      <c r="VI7" s="4"/>
      <c r="VJ7" s="4"/>
      <c r="VK7" s="4"/>
      <c r="VL7" s="4"/>
      <c r="VM7" s="4"/>
      <c r="VN7" s="4"/>
      <c r="VO7" s="4"/>
      <c r="VP7" s="4"/>
      <c r="VQ7" s="4"/>
      <c r="VR7" s="4"/>
      <c r="VS7" s="4"/>
      <c r="VT7" s="4"/>
      <c r="VU7" s="4"/>
      <c r="VV7" s="4"/>
      <c r="VW7" s="4"/>
      <c r="VX7" s="4"/>
      <c r="VY7" s="4"/>
      <c r="VZ7" s="4"/>
      <c r="WA7" s="4"/>
      <c r="WB7" s="4"/>
      <c r="WC7" s="4"/>
      <c r="WD7" s="4"/>
      <c r="WE7" s="4"/>
      <c r="WF7" s="4"/>
      <c r="WG7" s="4"/>
      <c r="WH7" s="4"/>
      <c r="WI7" s="4"/>
      <c r="WJ7" s="4"/>
      <c r="WK7" s="4"/>
      <c r="WL7" s="4"/>
      <c r="WM7" s="4"/>
      <c r="WN7" s="4"/>
      <c r="WO7" s="4"/>
      <c r="WP7" s="4"/>
      <c r="WQ7" s="4"/>
      <c r="WR7" s="4"/>
      <c r="WS7" s="4"/>
      <c r="WT7" s="4"/>
      <c r="WU7" s="4"/>
      <c r="WV7" s="4"/>
      <c r="WW7" s="4"/>
      <c r="WX7" s="4"/>
      <c r="WY7" s="4"/>
      <c r="WZ7" s="4"/>
      <c r="XA7" s="4"/>
      <c r="XB7" s="4"/>
      <c r="XC7" s="4"/>
      <c r="XD7" s="4"/>
      <c r="XE7" s="4"/>
      <c r="XF7" s="4"/>
      <c r="XG7" s="4"/>
      <c r="XH7" s="4"/>
      <c r="XI7" s="4"/>
      <c r="XJ7" s="4"/>
      <c r="XK7" s="4"/>
      <c r="XL7" s="4"/>
      <c r="XM7" s="4"/>
      <c r="XN7" s="4"/>
      <c r="XO7" s="4"/>
      <c r="XP7" s="4"/>
      <c r="XQ7" s="4"/>
      <c r="XR7" s="4"/>
      <c r="XS7" s="4"/>
      <c r="XT7" s="4"/>
      <c r="XU7" s="4"/>
      <c r="XV7" s="4"/>
      <c r="XW7" s="4"/>
      <c r="XX7" s="4"/>
      <c r="XY7" s="4"/>
      <c r="XZ7" s="4"/>
      <c r="YA7" s="4"/>
      <c r="YB7" s="4"/>
      <c r="YC7" s="4"/>
      <c r="YD7" s="4"/>
      <c r="YE7" s="4"/>
      <c r="YF7" s="4"/>
      <c r="YG7" s="4"/>
      <c r="YH7" s="4"/>
      <c r="YI7" s="4"/>
      <c r="YJ7" s="4"/>
      <c r="YK7" s="4"/>
      <c r="YL7" s="4"/>
      <c r="YM7" s="4"/>
      <c r="YN7" s="4"/>
      <c r="YO7" s="4"/>
      <c r="YP7" s="4"/>
      <c r="YQ7" s="4"/>
      <c r="YR7" s="4"/>
      <c r="YS7" s="4"/>
      <c r="YT7" s="4"/>
      <c r="YU7" s="4"/>
      <c r="YV7" s="4"/>
      <c r="YW7" s="4"/>
      <c r="YX7" s="4"/>
      <c r="YY7" s="4"/>
      <c r="YZ7" s="4"/>
      <c r="ZA7" s="4"/>
      <c r="ZB7" s="4"/>
      <c r="ZC7" s="4"/>
      <c r="ZD7" s="4"/>
      <c r="ZE7" s="4"/>
      <c r="ZF7" s="4"/>
      <c r="ZG7" s="4"/>
      <c r="ZH7" s="4"/>
      <c r="ZI7" s="4"/>
      <c r="ZJ7" s="4"/>
      <c r="ZK7" s="4"/>
      <c r="ZL7" s="4"/>
      <c r="ZM7" s="4"/>
      <c r="ZN7" s="4"/>
      <c r="ZO7" s="4"/>
      <c r="ZP7" s="4"/>
      <c r="ZQ7" s="4"/>
      <c r="ZR7" s="4"/>
      <c r="ZS7" s="4"/>
      <c r="ZT7" s="4"/>
      <c r="ZU7" s="4"/>
      <c r="ZV7" s="4"/>
      <c r="ZW7" s="4"/>
      <c r="ZX7" s="4"/>
      <c r="ZY7" s="4"/>
      <c r="ZZ7" s="4"/>
      <c r="AAA7" s="4"/>
      <c r="AAB7" s="4"/>
      <c r="AAC7" s="4"/>
      <c r="AAD7" s="4"/>
      <c r="AAE7" s="4"/>
      <c r="AAF7" s="4"/>
      <c r="AAG7" s="4"/>
      <c r="AAH7" s="4"/>
      <c r="AAI7" s="4"/>
      <c r="AAJ7" s="4"/>
      <c r="AAK7" s="4"/>
      <c r="AAL7" s="4"/>
      <c r="AAM7" s="4"/>
      <c r="AAN7" s="4"/>
      <c r="AAO7" s="4"/>
      <c r="AAP7" s="4"/>
      <c r="AAQ7" s="4"/>
      <c r="AAR7" s="4"/>
      <c r="AAS7" s="4"/>
      <c r="AAT7" s="4"/>
      <c r="AAU7" s="4"/>
      <c r="AAV7" s="4"/>
      <c r="AAW7" s="4"/>
      <c r="AAX7" s="4"/>
      <c r="AAY7" s="4"/>
      <c r="AAZ7" s="4"/>
      <c r="ABA7" s="4"/>
      <c r="ABB7" s="4"/>
      <c r="ABC7" s="4"/>
      <c r="ABD7" s="4"/>
      <c r="ABE7" s="4"/>
      <c r="ABF7" s="4"/>
      <c r="ABG7" s="4"/>
      <c r="ABH7" s="4"/>
      <c r="ABI7" s="4"/>
      <c r="ABJ7" s="4"/>
      <c r="ABK7" s="4"/>
      <c r="ABL7" s="4"/>
      <c r="ABM7" s="4"/>
      <c r="ABN7" s="4"/>
      <c r="ABO7" s="4"/>
      <c r="ABP7" s="4"/>
      <c r="ABQ7" s="4"/>
      <c r="ABR7" s="4"/>
      <c r="ABS7" s="4"/>
      <c r="ABT7" s="4"/>
      <c r="ABU7" s="4"/>
      <c r="ABV7" s="4"/>
      <c r="ABW7" s="4"/>
      <c r="ABX7" s="4"/>
      <c r="ABY7" s="4"/>
      <c r="ABZ7" s="4"/>
      <c r="ACA7" s="4"/>
      <c r="ACB7" s="4"/>
      <c r="ACC7" s="4"/>
      <c r="ACD7" s="4"/>
      <c r="ACE7" s="4"/>
      <c r="ACF7" s="4"/>
      <c r="ACG7" s="4"/>
      <c r="ACH7" s="4"/>
      <c r="ACI7" s="4"/>
      <c r="ACJ7" s="4"/>
      <c r="ACK7" s="4"/>
      <c r="ACL7" s="4"/>
      <c r="ACM7" s="4"/>
      <c r="ACN7" s="4"/>
      <c r="ACO7" s="4"/>
      <c r="ACP7" s="4"/>
      <c r="ACQ7" s="4"/>
      <c r="ACR7" s="4"/>
      <c r="ACS7" s="4"/>
      <c r="ACT7" s="4"/>
      <c r="ACU7" s="4"/>
      <c r="ACV7" s="4"/>
      <c r="ACW7" s="4"/>
      <c r="ACX7" s="4"/>
      <c r="ACY7" s="4"/>
      <c r="ACZ7" s="4"/>
      <c r="ADA7" s="4"/>
      <c r="ADB7" s="4"/>
      <c r="ADC7" s="4"/>
      <c r="ADD7" s="4"/>
      <c r="ADE7" s="4"/>
      <c r="ADF7" s="4"/>
      <c r="ADG7" s="4"/>
      <c r="ADH7" s="4"/>
      <c r="ADI7" s="4"/>
      <c r="ADJ7" s="4"/>
      <c r="ADK7" s="4"/>
      <c r="ADL7" s="4"/>
      <c r="ADM7" s="4"/>
      <c r="ADN7" s="4"/>
      <c r="ADO7" s="4"/>
      <c r="ADP7" s="4"/>
      <c r="ADQ7" s="4"/>
      <c r="ADR7" s="4"/>
      <c r="ADS7" s="4"/>
      <c r="ADT7" s="4"/>
      <c r="ADU7" s="4"/>
      <c r="ADV7" s="4"/>
      <c r="ADW7" s="4"/>
      <c r="ADX7" s="4"/>
      <c r="ADY7" s="4"/>
      <c r="ADZ7" s="4"/>
      <c r="AEA7" s="4"/>
      <c r="AEB7" s="4"/>
      <c r="AEC7" s="4"/>
      <c r="AED7" s="4"/>
      <c r="AEE7" s="4"/>
      <c r="AEF7" s="4"/>
      <c r="AEG7" s="4"/>
      <c r="AEH7" s="4"/>
      <c r="AEI7" s="4"/>
      <c r="AEJ7" s="4"/>
      <c r="AEK7" s="4"/>
      <c r="AEL7" s="4"/>
      <c r="AEM7" s="4"/>
      <c r="AEN7" s="4"/>
      <c r="AEO7" s="4"/>
      <c r="AEP7" s="4"/>
      <c r="AEQ7" s="4"/>
      <c r="AER7" s="4"/>
      <c r="AES7" s="4"/>
      <c r="AET7" s="4"/>
      <c r="AEU7" s="4"/>
      <c r="AEV7" s="4"/>
      <c r="AEW7" s="4"/>
      <c r="AEX7" s="4"/>
      <c r="AEY7" s="4"/>
      <c r="AEZ7" s="4"/>
      <c r="AFA7" s="4"/>
      <c r="AFB7" s="4"/>
      <c r="AFC7" s="4"/>
      <c r="AFD7" s="4"/>
      <c r="AFE7" s="4"/>
      <c r="AFF7" s="4"/>
      <c r="AFG7" s="4"/>
      <c r="AFH7" s="4"/>
      <c r="AFI7" s="4"/>
      <c r="AFJ7" s="4"/>
      <c r="AFK7" s="4"/>
      <c r="AFL7" s="4"/>
      <c r="AFM7" s="4"/>
      <c r="AFN7" s="4"/>
      <c r="AFO7" s="4"/>
      <c r="AFP7" s="4"/>
      <c r="AFQ7" s="4"/>
      <c r="AFR7" s="4"/>
      <c r="AFS7" s="4"/>
      <c r="AFT7" s="4"/>
      <c r="AFU7" s="4"/>
      <c r="AFV7" s="4"/>
      <c r="AFW7" s="4"/>
      <c r="AFX7" s="4"/>
      <c r="AFY7" s="4"/>
      <c r="AFZ7" s="4"/>
      <c r="AGA7" s="4"/>
      <c r="AGB7" s="4"/>
      <c r="AGC7" s="4"/>
      <c r="AGD7" s="4"/>
      <c r="AGE7" s="4"/>
      <c r="AGF7" s="4"/>
      <c r="AGG7" s="4"/>
      <c r="AGH7" s="4"/>
      <c r="AGI7" s="4"/>
      <c r="AGJ7" s="4"/>
      <c r="AGK7" s="4"/>
      <c r="AGL7" s="4"/>
      <c r="AGM7" s="4"/>
      <c r="AGN7" s="4"/>
      <c r="AGO7" s="4"/>
      <c r="AGP7" s="4"/>
      <c r="AGQ7" s="4"/>
      <c r="AGR7" s="4"/>
      <c r="AGS7" s="4"/>
      <c r="AGT7" s="4"/>
      <c r="AGU7" s="4"/>
      <c r="AGV7" s="4"/>
      <c r="AGW7" s="4"/>
      <c r="AGX7" s="4"/>
      <c r="AGY7" s="4"/>
      <c r="AGZ7" s="4"/>
      <c r="AHA7" s="4"/>
      <c r="AHB7" s="4"/>
      <c r="AHC7" s="4"/>
      <c r="AHD7" s="4"/>
      <c r="AHE7" s="4"/>
      <c r="AHF7" s="4"/>
      <c r="AHG7" s="4"/>
      <c r="AHH7" s="4"/>
      <c r="AHI7" s="4"/>
      <c r="AHJ7" s="4"/>
      <c r="AHK7" s="4"/>
      <c r="AHL7" s="4"/>
      <c r="AHM7" s="4"/>
      <c r="AHN7" s="4"/>
      <c r="AHO7" s="4"/>
      <c r="AHP7" s="4"/>
      <c r="AHQ7" s="4"/>
      <c r="AHR7" s="4"/>
      <c r="AHS7" s="4"/>
      <c r="AHT7" s="4"/>
      <c r="AHU7" s="4"/>
      <c r="AHV7" s="4"/>
      <c r="AHW7" s="4"/>
      <c r="AHX7" s="4"/>
      <c r="AHY7" s="4"/>
      <c r="AHZ7" s="4"/>
      <c r="AIA7" s="4"/>
      <c r="AIB7" s="4"/>
      <c r="AIC7" s="4"/>
      <c r="AID7" s="4"/>
      <c r="AIE7" s="4"/>
      <c r="AIF7" s="4"/>
      <c r="AIG7" s="4"/>
      <c r="AIH7" s="4"/>
      <c r="AII7" s="4"/>
      <c r="AIJ7" s="4"/>
      <c r="AIK7" s="4"/>
      <c r="AIL7" s="4"/>
      <c r="AIM7" s="4"/>
      <c r="AIN7" s="4"/>
      <c r="AIO7" s="4"/>
      <c r="AIP7" s="4"/>
      <c r="AIQ7" s="4"/>
      <c r="AIR7" s="4"/>
      <c r="AIS7" s="4"/>
      <c r="AIT7" s="4"/>
      <c r="AIU7" s="4"/>
      <c r="AIV7" s="4"/>
      <c r="AIW7" s="4"/>
      <c r="AIX7" s="4"/>
      <c r="AIY7" s="4"/>
      <c r="AIZ7" s="4"/>
      <c r="AJA7" s="4"/>
      <c r="AJB7" s="4"/>
      <c r="AJC7" s="4"/>
      <c r="AJD7" s="4"/>
      <c r="AJE7" s="4"/>
      <c r="AJF7" s="4"/>
      <c r="AJG7" s="4"/>
      <c r="AJH7" s="4"/>
      <c r="AJI7" s="4"/>
      <c r="AJJ7" s="4"/>
      <c r="AJK7" s="4"/>
      <c r="AJL7" s="4"/>
      <c r="AJM7" s="4"/>
      <c r="AJN7" s="4"/>
      <c r="AJO7" s="4"/>
      <c r="AJP7" s="4"/>
      <c r="AJQ7" s="4"/>
      <c r="AJR7" s="4"/>
      <c r="AJS7" s="4"/>
      <c r="AJT7" s="4"/>
      <c r="AJU7" s="4"/>
      <c r="AJV7" s="4"/>
      <c r="AJW7" s="4"/>
      <c r="AJX7" s="4"/>
      <c r="AJY7" s="4"/>
      <c r="AJZ7" s="4"/>
      <c r="AKA7" s="4"/>
      <c r="AKB7" s="4"/>
      <c r="AKC7" s="4"/>
      <c r="AKD7" s="4"/>
      <c r="AKE7" s="4"/>
      <c r="AKF7" s="4"/>
      <c r="AKG7" s="4"/>
      <c r="AKH7" s="4"/>
      <c r="AKI7" s="4"/>
      <c r="AKJ7" s="4"/>
      <c r="AKK7" s="4"/>
      <c r="AKL7" s="4"/>
      <c r="AKM7" s="4"/>
      <c r="AKN7" s="4"/>
      <c r="AKO7" s="4"/>
      <c r="AKP7" s="4"/>
      <c r="AKQ7" s="4"/>
      <c r="AKR7" s="4"/>
      <c r="AKS7" s="4"/>
      <c r="AKT7" s="4"/>
      <c r="AKU7" s="4"/>
      <c r="AKV7" s="4"/>
      <c r="AKW7" s="4"/>
      <c r="AKX7" s="4"/>
      <c r="AKY7" s="4"/>
      <c r="AKZ7" s="4"/>
      <c r="ALA7" s="4"/>
      <c r="ALB7" s="4"/>
      <c r="ALC7" s="4"/>
      <c r="ALD7" s="4"/>
      <c r="ALE7" s="4"/>
      <c r="ALF7" s="4"/>
      <c r="ALG7" s="4"/>
      <c r="ALH7" s="4"/>
      <c r="ALI7" s="4"/>
      <c r="ALJ7" s="4"/>
      <c r="ALK7" s="4"/>
      <c r="ALL7" s="4"/>
      <c r="ALM7" s="4"/>
      <c r="ALN7" s="4"/>
      <c r="ALO7" s="4"/>
      <c r="ALP7" s="4"/>
      <c r="ALQ7" s="4"/>
      <c r="ALR7" s="4"/>
      <c r="ALS7" s="4"/>
      <c r="ALT7" s="4"/>
      <c r="ALU7" s="4"/>
      <c r="ALV7" s="4"/>
      <c r="ALW7" s="4"/>
      <c r="ALX7" s="4"/>
      <c r="ALY7" s="4"/>
      <c r="ALZ7" s="4"/>
      <c r="AMA7" s="4"/>
      <c r="AMB7" s="4"/>
      <c r="AMC7" s="4"/>
      <c r="AMD7" s="4"/>
      <c r="AME7" s="4"/>
      <c r="AMF7" s="4"/>
      <c r="AMG7" s="4"/>
      <c r="AMH7" s="4"/>
    </row>
    <row r="8" spans="1:1022">
      <c r="A8" s="4" t="s">
        <v>2762</v>
      </c>
      <c r="B8" s="4" t="s">
        <v>171</v>
      </c>
      <c r="C8" s="4" t="str">
        <f t="shared" si="0"/>
        <v>att_user_research_group:laessig</v>
      </c>
      <c r="D8" s="4" t="s">
        <v>12</v>
      </c>
      <c r="E8" s="4" t="s">
        <v>2763</v>
      </c>
      <c r="F8" s="4" t="s">
        <v>2764</v>
      </c>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4"/>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4"/>
      <c r="DO8" s="4"/>
      <c r="DP8" s="4"/>
      <c r="DQ8" s="4"/>
      <c r="DR8" s="4"/>
      <c r="DS8" s="4"/>
      <c r="DT8" s="4"/>
      <c r="DU8" s="4"/>
      <c r="DV8" s="4"/>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c r="EY8" s="4"/>
      <c r="EZ8" s="4"/>
      <c r="FA8" s="4"/>
      <c r="FB8" s="4"/>
      <c r="FC8" s="4"/>
      <c r="FD8" s="4"/>
      <c r="FE8" s="4"/>
      <c r="FF8" s="4"/>
      <c r="FG8" s="4"/>
      <c r="FH8" s="4"/>
      <c r="FI8" s="4"/>
      <c r="FJ8" s="4"/>
      <c r="FK8" s="4"/>
      <c r="FL8" s="4"/>
      <c r="FM8" s="4"/>
      <c r="FN8" s="4"/>
      <c r="FO8" s="4"/>
      <c r="FP8" s="4"/>
      <c r="FQ8" s="4"/>
      <c r="FR8" s="4"/>
      <c r="FS8" s="4"/>
      <c r="FT8" s="4"/>
      <c r="FU8" s="4"/>
      <c r="FV8" s="4"/>
      <c r="FW8" s="4"/>
      <c r="FX8" s="4"/>
      <c r="FY8" s="4"/>
      <c r="FZ8" s="4"/>
      <c r="GA8" s="4"/>
      <c r="GB8" s="4"/>
      <c r="GC8" s="4"/>
      <c r="GD8" s="4"/>
      <c r="GE8" s="4"/>
      <c r="GF8" s="4"/>
      <c r="GG8" s="4"/>
      <c r="GH8" s="4"/>
      <c r="GI8" s="4"/>
      <c r="GJ8" s="4"/>
      <c r="GK8" s="4"/>
      <c r="GL8" s="4"/>
      <c r="GM8" s="4"/>
      <c r="GN8" s="4"/>
      <c r="GO8" s="4"/>
      <c r="GP8" s="4"/>
      <c r="GQ8" s="4"/>
      <c r="GR8" s="4"/>
      <c r="GS8" s="4"/>
      <c r="GT8" s="4"/>
      <c r="GU8" s="4"/>
      <c r="GV8" s="4"/>
      <c r="GW8" s="4"/>
      <c r="GX8" s="4"/>
      <c r="GY8" s="4"/>
      <c r="GZ8" s="4"/>
      <c r="HA8" s="4"/>
      <c r="HB8" s="4"/>
      <c r="HC8" s="4"/>
      <c r="HD8" s="4"/>
      <c r="HE8" s="4"/>
      <c r="HF8" s="4"/>
      <c r="HG8" s="4"/>
      <c r="HH8" s="4"/>
      <c r="HI8" s="4"/>
      <c r="HJ8" s="4"/>
      <c r="HK8" s="4"/>
      <c r="HL8" s="4"/>
      <c r="HM8" s="4"/>
      <c r="HN8" s="4"/>
      <c r="HO8" s="4"/>
      <c r="HP8" s="4"/>
      <c r="HQ8" s="4"/>
      <c r="HR8" s="4"/>
      <c r="HS8" s="4"/>
      <c r="HT8" s="4"/>
      <c r="HU8" s="4"/>
      <c r="HV8" s="4"/>
      <c r="HW8" s="4"/>
      <c r="HX8" s="4"/>
      <c r="HY8" s="4"/>
      <c r="HZ8" s="4"/>
      <c r="IA8" s="4"/>
      <c r="IB8" s="4"/>
      <c r="IC8" s="4"/>
      <c r="ID8" s="4"/>
      <c r="IE8" s="4"/>
      <c r="IF8" s="4"/>
      <c r="IG8" s="4"/>
      <c r="IH8" s="4"/>
      <c r="II8" s="4"/>
      <c r="IJ8" s="4"/>
      <c r="IK8" s="4"/>
      <c r="IL8" s="4"/>
      <c r="IM8" s="4"/>
      <c r="IN8" s="4"/>
      <c r="IO8" s="4"/>
      <c r="IP8" s="4"/>
      <c r="IQ8" s="4"/>
      <c r="IR8" s="4"/>
      <c r="IS8" s="4"/>
      <c r="IT8" s="4"/>
      <c r="IU8" s="4"/>
      <c r="IV8" s="4"/>
      <c r="IW8" s="4"/>
      <c r="IX8" s="4"/>
      <c r="IY8" s="4"/>
      <c r="IZ8" s="4"/>
      <c r="JA8" s="4"/>
      <c r="JB8" s="4"/>
      <c r="JC8" s="4"/>
      <c r="JD8" s="4"/>
      <c r="JE8" s="4"/>
      <c r="JF8" s="4"/>
      <c r="JG8" s="4"/>
      <c r="JH8" s="4"/>
      <c r="JI8" s="4"/>
      <c r="JJ8" s="4"/>
      <c r="JK8" s="4"/>
      <c r="JL8" s="4"/>
      <c r="JM8" s="4"/>
      <c r="JN8" s="4"/>
      <c r="JO8" s="4"/>
      <c r="JP8" s="4"/>
      <c r="JQ8" s="4"/>
      <c r="JR8" s="4"/>
      <c r="JS8" s="4"/>
      <c r="JT8" s="4"/>
      <c r="JU8" s="4"/>
      <c r="JV8" s="4"/>
      <c r="JW8" s="4"/>
      <c r="JX8" s="4"/>
      <c r="JY8" s="4"/>
      <c r="JZ8" s="4"/>
      <c r="KA8" s="4"/>
      <c r="KB8" s="4"/>
      <c r="KC8" s="4"/>
      <c r="KD8" s="4"/>
      <c r="KE8" s="4"/>
      <c r="KF8" s="4"/>
      <c r="KG8" s="4"/>
      <c r="KH8" s="4"/>
      <c r="KI8" s="4"/>
      <c r="KJ8" s="4"/>
      <c r="KK8" s="4"/>
      <c r="KL8" s="4"/>
      <c r="KM8" s="4"/>
      <c r="KN8" s="4"/>
      <c r="KO8" s="4"/>
      <c r="KP8" s="4"/>
      <c r="KQ8" s="4"/>
      <c r="KR8" s="4"/>
      <c r="KS8" s="4"/>
      <c r="KT8" s="4"/>
      <c r="KU8" s="4"/>
      <c r="KV8" s="4"/>
      <c r="KW8" s="4"/>
      <c r="KX8" s="4"/>
      <c r="KY8" s="4"/>
      <c r="KZ8" s="4"/>
      <c r="LA8" s="4"/>
      <c r="LB8" s="4"/>
      <c r="LC8" s="4"/>
      <c r="LD8" s="4"/>
      <c r="LE8" s="4"/>
      <c r="LF8" s="4"/>
      <c r="LG8" s="4"/>
      <c r="LH8" s="4"/>
      <c r="LI8" s="4"/>
      <c r="LJ8" s="4"/>
      <c r="LK8" s="4"/>
      <c r="LL8" s="4"/>
      <c r="LM8" s="4"/>
      <c r="LN8" s="4"/>
      <c r="LO8" s="4"/>
      <c r="LP8" s="4"/>
      <c r="LQ8" s="4"/>
      <c r="LR8" s="4"/>
      <c r="LS8" s="4"/>
      <c r="LT8" s="4"/>
      <c r="LU8" s="4"/>
      <c r="LV8" s="4"/>
      <c r="LW8" s="4"/>
      <c r="LX8" s="4"/>
      <c r="LY8" s="4"/>
      <c r="LZ8" s="4"/>
      <c r="MA8" s="4"/>
      <c r="MB8" s="4"/>
      <c r="MC8" s="4"/>
      <c r="MD8" s="4"/>
      <c r="ME8" s="4"/>
      <c r="MF8" s="4"/>
      <c r="MG8" s="4"/>
      <c r="MH8" s="4"/>
      <c r="MI8" s="4"/>
      <c r="MJ8" s="4"/>
      <c r="MK8" s="4"/>
      <c r="ML8" s="4"/>
      <c r="MM8" s="4"/>
      <c r="MN8" s="4"/>
      <c r="MO8" s="4"/>
      <c r="MP8" s="4"/>
      <c r="MQ8" s="4"/>
      <c r="MR8" s="4"/>
      <c r="MS8" s="4"/>
      <c r="MT8" s="4"/>
      <c r="MU8" s="4"/>
      <c r="MV8" s="4"/>
      <c r="MW8" s="4"/>
      <c r="MX8" s="4"/>
      <c r="MY8" s="4"/>
      <c r="MZ8" s="4"/>
      <c r="NA8" s="4"/>
      <c r="NB8" s="4"/>
      <c r="NC8" s="4"/>
      <c r="ND8" s="4"/>
      <c r="NE8" s="4"/>
      <c r="NF8" s="4"/>
      <c r="NG8" s="4"/>
      <c r="NH8" s="4"/>
      <c r="NI8" s="4"/>
      <c r="NJ8" s="4"/>
      <c r="NK8" s="4"/>
      <c r="NL8" s="4"/>
      <c r="NM8" s="4"/>
      <c r="NN8" s="4"/>
      <c r="NO8" s="4"/>
      <c r="NP8" s="4"/>
      <c r="NQ8" s="4"/>
      <c r="NR8" s="4"/>
      <c r="NS8" s="4"/>
      <c r="NT8" s="4"/>
      <c r="NU8" s="4"/>
      <c r="NV8" s="4"/>
      <c r="NW8" s="4"/>
      <c r="NX8" s="4"/>
      <c r="NY8" s="4"/>
      <c r="NZ8" s="4"/>
      <c r="OA8" s="4"/>
      <c r="OB8" s="4"/>
      <c r="OC8" s="4"/>
      <c r="OD8" s="4"/>
      <c r="OE8" s="4"/>
      <c r="OF8" s="4"/>
      <c r="OG8" s="4"/>
      <c r="OH8" s="4"/>
      <c r="OI8" s="4"/>
      <c r="OJ8" s="4"/>
      <c r="OK8" s="4"/>
      <c r="OL8" s="4"/>
      <c r="OM8" s="4"/>
      <c r="ON8" s="4"/>
      <c r="OO8" s="4"/>
      <c r="OP8" s="4"/>
      <c r="OQ8" s="4"/>
      <c r="OR8" s="4"/>
      <c r="OS8" s="4"/>
      <c r="OT8" s="4"/>
      <c r="OU8" s="4"/>
      <c r="OV8" s="4"/>
      <c r="OW8" s="4"/>
      <c r="OX8" s="4"/>
      <c r="OY8" s="4"/>
      <c r="OZ8" s="4"/>
      <c r="PA8" s="4"/>
      <c r="PB8" s="4"/>
      <c r="PC8" s="4"/>
      <c r="PD8" s="4"/>
      <c r="PE8" s="4"/>
      <c r="PF8" s="4"/>
      <c r="PG8" s="4"/>
      <c r="PH8" s="4"/>
      <c r="PI8" s="4"/>
      <c r="PJ8" s="4"/>
      <c r="PK8" s="4"/>
      <c r="PL8" s="4"/>
      <c r="PM8" s="4"/>
      <c r="PN8" s="4"/>
      <c r="PO8" s="4"/>
      <c r="PP8" s="4"/>
      <c r="PQ8" s="4"/>
      <c r="PR8" s="4"/>
      <c r="PS8" s="4"/>
      <c r="PT8" s="4"/>
      <c r="PU8" s="4"/>
      <c r="PV8" s="4"/>
      <c r="PW8" s="4"/>
      <c r="PX8" s="4"/>
      <c r="PY8" s="4"/>
      <c r="PZ8" s="4"/>
      <c r="QA8" s="4"/>
      <c r="QB8" s="4"/>
      <c r="QC8" s="4"/>
      <c r="QD8" s="4"/>
      <c r="QE8" s="4"/>
      <c r="QF8" s="4"/>
      <c r="QG8" s="4"/>
      <c r="QH8" s="4"/>
      <c r="QI8" s="4"/>
      <c r="QJ8" s="4"/>
      <c r="QK8" s="4"/>
      <c r="QL8" s="4"/>
      <c r="QM8" s="4"/>
      <c r="QN8" s="4"/>
      <c r="QO8" s="4"/>
      <c r="QP8" s="4"/>
      <c r="QQ8" s="4"/>
      <c r="QR8" s="4"/>
      <c r="QS8" s="4"/>
      <c r="QT8" s="4"/>
      <c r="QU8" s="4"/>
      <c r="QV8" s="4"/>
      <c r="QW8" s="4"/>
      <c r="QX8" s="4"/>
      <c r="QY8" s="4"/>
      <c r="QZ8" s="4"/>
      <c r="RA8" s="4"/>
      <c r="RB8" s="4"/>
      <c r="RC8" s="4"/>
      <c r="RD8" s="4"/>
      <c r="RE8" s="4"/>
      <c r="RF8" s="4"/>
      <c r="RG8" s="4"/>
      <c r="RH8" s="4"/>
      <c r="RI8" s="4"/>
      <c r="RJ8" s="4"/>
      <c r="RK8" s="4"/>
      <c r="RL8" s="4"/>
      <c r="RM8" s="4"/>
      <c r="RN8" s="4"/>
      <c r="RO8" s="4"/>
      <c r="RP8" s="4"/>
      <c r="RQ8" s="4"/>
      <c r="RR8" s="4"/>
      <c r="RS8" s="4"/>
      <c r="RT8" s="4"/>
      <c r="RU8" s="4"/>
      <c r="RV8" s="4"/>
      <c r="RW8" s="4"/>
      <c r="RX8" s="4"/>
      <c r="RY8" s="4"/>
      <c r="RZ8" s="4"/>
      <c r="SA8" s="4"/>
      <c r="SB8" s="4"/>
      <c r="SC8" s="4"/>
      <c r="SD8" s="4"/>
      <c r="SE8" s="4"/>
      <c r="SF8" s="4"/>
      <c r="SG8" s="4"/>
      <c r="SH8" s="4"/>
      <c r="SI8" s="4"/>
      <c r="SJ8" s="4"/>
      <c r="SK8" s="4"/>
      <c r="SL8" s="4"/>
      <c r="SM8" s="4"/>
      <c r="SN8" s="4"/>
      <c r="SO8" s="4"/>
      <c r="SP8" s="4"/>
      <c r="SQ8" s="4"/>
      <c r="SR8" s="4"/>
      <c r="SS8" s="4"/>
      <c r="ST8" s="4"/>
      <c r="SU8" s="4"/>
      <c r="SV8" s="4"/>
      <c r="SW8" s="4"/>
      <c r="SX8" s="4"/>
      <c r="SY8" s="4"/>
      <c r="SZ8" s="4"/>
      <c r="TA8" s="4"/>
      <c r="TB8" s="4"/>
      <c r="TC8" s="4"/>
      <c r="TD8" s="4"/>
      <c r="TE8" s="4"/>
      <c r="TF8" s="4"/>
      <c r="TG8" s="4"/>
      <c r="TH8" s="4"/>
      <c r="TI8" s="4"/>
      <c r="TJ8" s="4"/>
      <c r="TK8" s="4"/>
      <c r="TL8" s="4"/>
      <c r="TM8" s="4"/>
      <c r="TN8" s="4"/>
      <c r="TO8" s="4"/>
      <c r="TP8" s="4"/>
      <c r="TQ8" s="4"/>
      <c r="TR8" s="4"/>
      <c r="TS8" s="4"/>
      <c r="TT8" s="4"/>
      <c r="TU8" s="4"/>
      <c r="TV8" s="4"/>
      <c r="TW8" s="4"/>
      <c r="TX8" s="4"/>
      <c r="TY8" s="4"/>
      <c r="TZ8" s="4"/>
      <c r="UA8" s="4"/>
      <c r="UB8" s="4"/>
      <c r="UC8" s="4"/>
      <c r="UD8" s="4"/>
      <c r="UE8" s="4"/>
      <c r="UF8" s="4"/>
      <c r="UG8" s="4"/>
      <c r="UH8" s="4"/>
      <c r="UI8" s="4"/>
      <c r="UJ8" s="4"/>
      <c r="UK8" s="4"/>
      <c r="UL8" s="4"/>
      <c r="UM8" s="4"/>
      <c r="UN8" s="4"/>
      <c r="UO8" s="4"/>
      <c r="UP8" s="4"/>
      <c r="UQ8" s="4"/>
      <c r="UR8" s="4"/>
      <c r="US8" s="4"/>
      <c r="UT8" s="4"/>
      <c r="UU8" s="4"/>
      <c r="UV8" s="4"/>
      <c r="UW8" s="4"/>
      <c r="UX8" s="4"/>
      <c r="UY8" s="4"/>
      <c r="UZ8" s="4"/>
      <c r="VA8" s="4"/>
      <c r="VB8" s="4"/>
      <c r="VC8" s="4"/>
      <c r="VD8" s="4"/>
      <c r="VE8" s="4"/>
      <c r="VF8" s="4"/>
      <c r="VG8" s="4"/>
      <c r="VH8" s="4"/>
      <c r="VI8" s="4"/>
      <c r="VJ8" s="4"/>
      <c r="VK8" s="4"/>
      <c r="VL8" s="4"/>
      <c r="VM8" s="4"/>
      <c r="VN8" s="4"/>
      <c r="VO8" s="4"/>
      <c r="VP8" s="4"/>
      <c r="VQ8" s="4"/>
      <c r="VR8" s="4"/>
      <c r="VS8" s="4"/>
      <c r="VT8" s="4"/>
      <c r="VU8" s="4"/>
      <c r="VV8" s="4"/>
      <c r="VW8" s="4"/>
      <c r="VX8" s="4"/>
      <c r="VY8" s="4"/>
      <c r="VZ8" s="4"/>
      <c r="WA8" s="4"/>
      <c r="WB8" s="4"/>
      <c r="WC8" s="4"/>
      <c r="WD8" s="4"/>
      <c r="WE8" s="4"/>
      <c r="WF8" s="4"/>
      <c r="WG8" s="4"/>
      <c r="WH8" s="4"/>
      <c r="WI8" s="4"/>
      <c r="WJ8" s="4"/>
      <c r="WK8" s="4"/>
      <c r="WL8" s="4"/>
      <c r="WM8" s="4"/>
      <c r="WN8" s="4"/>
      <c r="WO8" s="4"/>
      <c r="WP8" s="4"/>
      <c r="WQ8" s="4"/>
      <c r="WR8" s="4"/>
      <c r="WS8" s="4"/>
      <c r="WT8" s="4"/>
      <c r="WU8" s="4"/>
      <c r="WV8" s="4"/>
      <c r="WW8" s="4"/>
      <c r="WX8" s="4"/>
      <c r="WY8" s="4"/>
      <c r="WZ8" s="4"/>
      <c r="XA8" s="4"/>
      <c r="XB8" s="4"/>
      <c r="XC8" s="4"/>
      <c r="XD8" s="4"/>
      <c r="XE8" s="4"/>
      <c r="XF8" s="4"/>
      <c r="XG8" s="4"/>
      <c r="XH8" s="4"/>
      <c r="XI8" s="4"/>
      <c r="XJ8" s="4"/>
      <c r="XK8" s="4"/>
      <c r="XL8" s="4"/>
      <c r="XM8" s="4"/>
      <c r="XN8" s="4"/>
      <c r="XO8" s="4"/>
      <c r="XP8" s="4"/>
      <c r="XQ8" s="4"/>
      <c r="XR8" s="4"/>
      <c r="XS8" s="4"/>
      <c r="XT8" s="4"/>
      <c r="XU8" s="4"/>
      <c r="XV8" s="4"/>
      <c r="XW8" s="4"/>
      <c r="XX8" s="4"/>
      <c r="XY8" s="4"/>
      <c r="XZ8" s="4"/>
      <c r="YA8" s="4"/>
      <c r="YB8" s="4"/>
      <c r="YC8" s="4"/>
      <c r="YD8" s="4"/>
      <c r="YE8" s="4"/>
      <c r="YF8" s="4"/>
      <c r="YG8" s="4"/>
      <c r="YH8" s="4"/>
      <c r="YI8" s="4"/>
      <c r="YJ8" s="4"/>
      <c r="YK8" s="4"/>
      <c r="YL8" s="4"/>
      <c r="YM8" s="4"/>
      <c r="YN8" s="4"/>
      <c r="YO8" s="4"/>
      <c r="YP8" s="4"/>
      <c r="YQ8" s="4"/>
      <c r="YR8" s="4"/>
      <c r="YS8" s="4"/>
      <c r="YT8" s="4"/>
      <c r="YU8" s="4"/>
      <c r="YV8" s="4"/>
      <c r="YW8" s="4"/>
      <c r="YX8" s="4"/>
      <c r="YY8" s="4"/>
      <c r="YZ8" s="4"/>
      <c r="ZA8" s="4"/>
      <c r="ZB8" s="4"/>
      <c r="ZC8" s="4"/>
      <c r="ZD8" s="4"/>
      <c r="ZE8" s="4"/>
      <c r="ZF8" s="4"/>
      <c r="ZG8" s="4"/>
      <c r="ZH8" s="4"/>
      <c r="ZI8" s="4"/>
      <c r="ZJ8" s="4"/>
      <c r="ZK8" s="4"/>
      <c r="ZL8" s="4"/>
      <c r="ZM8" s="4"/>
      <c r="ZN8" s="4"/>
      <c r="ZO8" s="4"/>
      <c r="ZP8" s="4"/>
      <c r="ZQ8" s="4"/>
      <c r="ZR8" s="4"/>
      <c r="ZS8" s="4"/>
      <c r="ZT8" s="4"/>
      <c r="ZU8" s="4"/>
      <c r="ZV8" s="4"/>
      <c r="ZW8" s="4"/>
      <c r="ZX8" s="4"/>
      <c r="ZY8" s="4"/>
      <c r="ZZ8" s="4"/>
      <c r="AAA8" s="4"/>
      <c r="AAB8" s="4"/>
      <c r="AAC8" s="4"/>
      <c r="AAD8" s="4"/>
      <c r="AAE8" s="4"/>
      <c r="AAF8" s="4"/>
      <c r="AAG8" s="4"/>
      <c r="AAH8" s="4"/>
      <c r="AAI8" s="4"/>
      <c r="AAJ8" s="4"/>
      <c r="AAK8" s="4"/>
      <c r="AAL8" s="4"/>
      <c r="AAM8" s="4"/>
      <c r="AAN8" s="4"/>
      <c r="AAO8" s="4"/>
      <c r="AAP8" s="4"/>
      <c r="AAQ8" s="4"/>
      <c r="AAR8" s="4"/>
      <c r="AAS8" s="4"/>
      <c r="AAT8" s="4"/>
      <c r="AAU8" s="4"/>
      <c r="AAV8" s="4"/>
      <c r="AAW8" s="4"/>
      <c r="AAX8" s="4"/>
      <c r="AAY8" s="4"/>
      <c r="AAZ8" s="4"/>
      <c r="ABA8" s="4"/>
      <c r="ABB8" s="4"/>
      <c r="ABC8" s="4"/>
      <c r="ABD8" s="4"/>
      <c r="ABE8" s="4"/>
      <c r="ABF8" s="4"/>
      <c r="ABG8" s="4"/>
      <c r="ABH8" s="4"/>
      <c r="ABI8" s="4"/>
      <c r="ABJ8" s="4"/>
      <c r="ABK8" s="4"/>
      <c r="ABL8" s="4"/>
      <c r="ABM8" s="4"/>
      <c r="ABN8" s="4"/>
      <c r="ABO8" s="4"/>
      <c r="ABP8" s="4"/>
      <c r="ABQ8" s="4"/>
      <c r="ABR8" s="4"/>
      <c r="ABS8" s="4"/>
      <c r="ABT8" s="4"/>
      <c r="ABU8" s="4"/>
      <c r="ABV8" s="4"/>
      <c r="ABW8" s="4"/>
      <c r="ABX8" s="4"/>
      <c r="ABY8" s="4"/>
      <c r="ABZ8" s="4"/>
      <c r="ACA8" s="4"/>
      <c r="ACB8" s="4"/>
      <c r="ACC8" s="4"/>
      <c r="ACD8" s="4"/>
      <c r="ACE8" s="4"/>
      <c r="ACF8" s="4"/>
      <c r="ACG8" s="4"/>
      <c r="ACH8" s="4"/>
      <c r="ACI8" s="4"/>
      <c r="ACJ8" s="4"/>
      <c r="ACK8" s="4"/>
      <c r="ACL8" s="4"/>
      <c r="ACM8" s="4"/>
      <c r="ACN8" s="4"/>
      <c r="ACO8" s="4"/>
      <c r="ACP8" s="4"/>
      <c r="ACQ8" s="4"/>
      <c r="ACR8" s="4"/>
      <c r="ACS8" s="4"/>
      <c r="ACT8" s="4"/>
      <c r="ACU8" s="4"/>
      <c r="ACV8" s="4"/>
      <c r="ACW8" s="4"/>
      <c r="ACX8" s="4"/>
      <c r="ACY8" s="4"/>
      <c r="ACZ8" s="4"/>
      <c r="ADA8" s="4"/>
      <c r="ADB8" s="4"/>
      <c r="ADC8" s="4"/>
      <c r="ADD8" s="4"/>
      <c r="ADE8" s="4"/>
      <c r="ADF8" s="4"/>
      <c r="ADG8" s="4"/>
      <c r="ADH8" s="4"/>
      <c r="ADI8" s="4"/>
      <c r="ADJ8" s="4"/>
      <c r="ADK8" s="4"/>
      <c r="ADL8" s="4"/>
      <c r="ADM8" s="4"/>
      <c r="ADN8" s="4"/>
      <c r="ADO8" s="4"/>
      <c r="ADP8" s="4"/>
      <c r="ADQ8" s="4"/>
      <c r="ADR8" s="4"/>
      <c r="ADS8" s="4"/>
      <c r="ADT8" s="4"/>
      <c r="ADU8" s="4"/>
      <c r="ADV8" s="4"/>
      <c r="ADW8" s="4"/>
      <c r="ADX8" s="4"/>
      <c r="ADY8" s="4"/>
      <c r="ADZ8" s="4"/>
      <c r="AEA8" s="4"/>
      <c r="AEB8" s="4"/>
      <c r="AEC8" s="4"/>
      <c r="AED8" s="4"/>
      <c r="AEE8" s="4"/>
      <c r="AEF8" s="4"/>
      <c r="AEG8" s="4"/>
      <c r="AEH8" s="4"/>
      <c r="AEI8" s="4"/>
      <c r="AEJ8" s="4"/>
      <c r="AEK8" s="4"/>
      <c r="AEL8" s="4"/>
      <c r="AEM8" s="4"/>
      <c r="AEN8" s="4"/>
      <c r="AEO8" s="4"/>
      <c r="AEP8" s="4"/>
      <c r="AEQ8" s="4"/>
      <c r="AER8" s="4"/>
      <c r="AES8" s="4"/>
      <c r="AET8" s="4"/>
      <c r="AEU8" s="4"/>
      <c r="AEV8" s="4"/>
      <c r="AEW8" s="4"/>
      <c r="AEX8" s="4"/>
      <c r="AEY8" s="4"/>
      <c r="AEZ8" s="4"/>
      <c r="AFA8" s="4"/>
      <c r="AFB8" s="4"/>
      <c r="AFC8" s="4"/>
      <c r="AFD8" s="4"/>
      <c r="AFE8" s="4"/>
      <c r="AFF8" s="4"/>
      <c r="AFG8" s="4"/>
      <c r="AFH8" s="4"/>
      <c r="AFI8" s="4"/>
      <c r="AFJ8" s="4"/>
      <c r="AFK8" s="4"/>
      <c r="AFL8" s="4"/>
      <c r="AFM8" s="4"/>
      <c r="AFN8" s="4"/>
      <c r="AFO8" s="4"/>
      <c r="AFP8" s="4"/>
      <c r="AFQ8" s="4"/>
      <c r="AFR8" s="4"/>
      <c r="AFS8" s="4"/>
      <c r="AFT8" s="4"/>
      <c r="AFU8" s="4"/>
      <c r="AFV8" s="4"/>
      <c r="AFW8" s="4"/>
      <c r="AFX8" s="4"/>
      <c r="AFY8" s="4"/>
      <c r="AFZ8" s="4"/>
      <c r="AGA8" s="4"/>
      <c r="AGB8" s="4"/>
      <c r="AGC8" s="4"/>
      <c r="AGD8" s="4"/>
      <c r="AGE8" s="4"/>
      <c r="AGF8" s="4"/>
      <c r="AGG8" s="4"/>
      <c r="AGH8" s="4"/>
      <c r="AGI8" s="4"/>
      <c r="AGJ8" s="4"/>
      <c r="AGK8" s="4"/>
      <c r="AGL8" s="4"/>
      <c r="AGM8" s="4"/>
      <c r="AGN8" s="4"/>
      <c r="AGO8" s="4"/>
      <c r="AGP8" s="4"/>
      <c r="AGQ8" s="4"/>
      <c r="AGR8" s="4"/>
      <c r="AGS8" s="4"/>
      <c r="AGT8" s="4"/>
      <c r="AGU8" s="4"/>
      <c r="AGV8" s="4"/>
      <c r="AGW8" s="4"/>
      <c r="AGX8" s="4"/>
      <c r="AGY8" s="4"/>
      <c r="AGZ8" s="4"/>
      <c r="AHA8" s="4"/>
      <c r="AHB8" s="4"/>
      <c r="AHC8" s="4"/>
      <c r="AHD8" s="4"/>
      <c r="AHE8" s="4"/>
      <c r="AHF8" s="4"/>
      <c r="AHG8" s="4"/>
      <c r="AHH8" s="4"/>
      <c r="AHI8" s="4"/>
      <c r="AHJ8" s="4"/>
      <c r="AHK8" s="4"/>
      <c r="AHL8" s="4"/>
      <c r="AHM8" s="4"/>
      <c r="AHN8" s="4"/>
      <c r="AHO8" s="4"/>
      <c r="AHP8" s="4"/>
      <c r="AHQ8" s="4"/>
      <c r="AHR8" s="4"/>
      <c r="AHS8" s="4"/>
      <c r="AHT8" s="4"/>
      <c r="AHU8" s="4"/>
      <c r="AHV8" s="4"/>
      <c r="AHW8" s="4"/>
      <c r="AHX8" s="4"/>
      <c r="AHY8" s="4"/>
      <c r="AHZ8" s="4"/>
      <c r="AIA8" s="4"/>
      <c r="AIB8" s="4"/>
      <c r="AIC8" s="4"/>
      <c r="AID8" s="4"/>
      <c r="AIE8" s="4"/>
      <c r="AIF8" s="4"/>
      <c r="AIG8" s="4"/>
      <c r="AIH8" s="4"/>
      <c r="AII8" s="4"/>
      <c r="AIJ8" s="4"/>
      <c r="AIK8" s="4"/>
      <c r="AIL8" s="4"/>
      <c r="AIM8" s="4"/>
      <c r="AIN8" s="4"/>
      <c r="AIO8" s="4"/>
      <c r="AIP8" s="4"/>
      <c r="AIQ8" s="4"/>
      <c r="AIR8" s="4"/>
      <c r="AIS8" s="4"/>
      <c r="AIT8" s="4"/>
      <c r="AIU8" s="4"/>
      <c r="AIV8" s="4"/>
      <c r="AIW8" s="4"/>
      <c r="AIX8" s="4"/>
      <c r="AIY8" s="4"/>
      <c r="AIZ8" s="4"/>
      <c r="AJA8" s="4"/>
      <c r="AJB8" s="4"/>
      <c r="AJC8" s="4"/>
      <c r="AJD8" s="4"/>
      <c r="AJE8" s="4"/>
      <c r="AJF8" s="4"/>
      <c r="AJG8" s="4"/>
      <c r="AJH8" s="4"/>
      <c r="AJI8" s="4"/>
      <c r="AJJ8" s="4"/>
      <c r="AJK8" s="4"/>
      <c r="AJL8" s="4"/>
      <c r="AJM8" s="4"/>
      <c r="AJN8" s="4"/>
      <c r="AJO8" s="4"/>
      <c r="AJP8" s="4"/>
      <c r="AJQ8" s="4"/>
      <c r="AJR8" s="4"/>
      <c r="AJS8" s="4"/>
      <c r="AJT8" s="4"/>
      <c r="AJU8" s="4"/>
      <c r="AJV8" s="4"/>
      <c r="AJW8" s="4"/>
      <c r="AJX8" s="4"/>
      <c r="AJY8" s="4"/>
      <c r="AJZ8" s="4"/>
      <c r="AKA8" s="4"/>
      <c r="AKB8" s="4"/>
      <c r="AKC8" s="4"/>
      <c r="AKD8" s="4"/>
      <c r="AKE8" s="4"/>
      <c r="AKF8" s="4"/>
      <c r="AKG8" s="4"/>
      <c r="AKH8" s="4"/>
      <c r="AKI8" s="4"/>
      <c r="AKJ8" s="4"/>
      <c r="AKK8" s="4"/>
      <c r="AKL8" s="4"/>
      <c r="AKM8" s="4"/>
      <c r="AKN8" s="4"/>
      <c r="AKO8" s="4"/>
      <c r="AKP8" s="4"/>
      <c r="AKQ8" s="4"/>
      <c r="AKR8" s="4"/>
      <c r="AKS8" s="4"/>
      <c r="AKT8" s="4"/>
      <c r="AKU8" s="4"/>
      <c r="AKV8" s="4"/>
      <c r="AKW8" s="4"/>
      <c r="AKX8" s="4"/>
      <c r="AKY8" s="4"/>
      <c r="AKZ8" s="4"/>
      <c r="ALA8" s="4"/>
      <c r="ALB8" s="4"/>
      <c r="ALC8" s="4"/>
      <c r="ALD8" s="4"/>
      <c r="ALE8" s="4"/>
      <c r="ALF8" s="4"/>
      <c r="ALG8" s="4"/>
      <c r="ALH8" s="4"/>
      <c r="ALI8" s="4"/>
      <c r="ALJ8" s="4"/>
      <c r="ALK8" s="4"/>
      <c r="ALL8" s="4"/>
      <c r="ALM8" s="4"/>
      <c r="ALN8" s="4"/>
      <c r="ALO8" s="4"/>
      <c r="ALP8" s="4"/>
      <c r="ALQ8" s="4"/>
      <c r="ALR8" s="4"/>
      <c r="ALS8" s="4"/>
      <c r="ALT8" s="4"/>
      <c r="ALU8" s="4"/>
      <c r="ALV8" s="4"/>
      <c r="ALW8" s="4"/>
      <c r="ALX8" s="4"/>
      <c r="ALY8" s="4"/>
      <c r="ALZ8" s="4"/>
      <c r="AMA8" s="4"/>
      <c r="AMB8" s="4"/>
      <c r="AMC8" s="4"/>
      <c r="AMD8" s="4"/>
      <c r="AME8" s="4"/>
      <c r="AMF8" s="4"/>
      <c r="AMG8" s="4"/>
      <c r="AMH8" s="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cols>
    <col min="1" max="1" width="20.33203125" style="3" customWidth="1"/>
    <col min="2" max="2" width="12" style="3" customWidth="1"/>
    <col min="3" max="4" width="20.33203125" style="3" customWidth="1"/>
    <col min="5" max="5" width="5.1640625" style="3" customWidth="1"/>
    <col min="6" max="6" width="23.83203125" style="3" customWidth="1"/>
    <col min="7" max="7" width="15.6640625" style="3" customWidth="1"/>
    <col min="8" max="8" width="18.83203125" style="3" customWidth="1"/>
    <col min="9" max="9" width="21.5" style="3" customWidth="1"/>
    <col min="10" max="10" width="33" style="3" customWidth="1"/>
    <col min="11" max="11" width="8.5" style="3" customWidth="1"/>
    <col min="12" max="12" width="79" style="3" customWidth="1"/>
    <col min="13" max="13" width="15.1640625" style="3" customWidth="1"/>
    <col min="14" max="15" width="35.1640625" style="3" customWidth="1"/>
    <col min="16" max="1024" width="11.5" style="3"/>
  </cols>
  <sheetData>
    <row r="1" spans="1:15" s="5" customFormat="1">
      <c r="A1" s="5" t="s">
        <v>2377</v>
      </c>
      <c r="B1" s="5" t="s">
        <v>2378</v>
      </c>
      <c r="C1" s="5" t="s">
        <v>2379</v>
      </c>
      <c r="D1" s="5" t="s">
        <v>2380</v>
      </c>
      <c r="E1" s="5" t="s">
        <v>2381</v>
      </c>
      <c r="F1" s="5" t="s">
        <v>2382</v>
      </c>
      <c r="G1" s="5" t="s">
        <v>2383</v>
      </c>
      <c r="H1" s="5" t="s">
        <v>2384</v>
      </c>
      <c r="I1" s="5" t="s">
        <v>2385</v>
      </c>
      <c r="J1" s="5" t="s">
        <v>2386</v>
      </c>
      <c r="K1" s="5" t="s">
        <v>2387</v>
      </c>
      <c r="L1" s="5" t="s">
        <v>2388</v>
      </c>
      <c r="M1" s="5" t="s">
        <v>2389</v>
      </c>
      <c r="N1" s="5" t="s">
        <v>2390</v>
      </c>
      <c r="O1" s="5" t="s">
        <v>2391</v>
      </c>
    </row>
    <row r="2" spans="1:15">
      <c r="A2" s="6" t="s">
        <v>16</v>
      </c>
      <c r="B2" s="6"/>
      <c r="C2" s="3" t="s">
        <v>246</v>
      </c>
      <c r="D2" s="3" t="s">
        <v>247</v>
      </c>
      <c r="E2" s="3" t="s">
        <v>12</v>
      </c>
      <c r="F2" s="3" t="s">
        <v>19</v>
      </c>
      <c r="G2" s="3" t="s">
        <v>2392</v>
      </c>
      <c r="H2" s="3" t="str">
        <f t="shared" ref="H2:H65" si="0">"att_"&amp;G2</f>
        <v>att_acquisition</v>
      </c>
      <c r="I2" s="3" t="s">
        <v>246</v>
      </c>
      <c r="J2" s="3" t="str">
        <f t="shared" ref="J2:J65" si="1">H2&amp;":"&amp;I2</f>
        <v>att_acquisition:dda</v>
      </c>
      <c r="K2" s="6" t="s">
        <v>16</v>
      </c>
      <c r="L2" s="3" t="s">
        <v>248</v>
      </c>
      <c r="M2" s="3" t="s">
        <v>12</v>
      </c>
      <c r="N2" s="3"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3"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c r="A3" s="6" t="s">
        <v>16</v>
      </c>
      <c r="B3" s="6"/>
      <c r="C3" s="3" t="s">
        <v>249</v>
      </c>
      <c r="D3" s="3" t="s">
        <v>250</v>
      </c>
      <c r="E3" s="3" t="s">
        <v>12</v>
      </c>
      <c r="F3" s="3" t="s">
        <v>19</v>
      </c>
      <c r="G3" s="3" t="s">
        <v>2392</v>
      </c>
      <c r="H3" s="3" t="str">
        <f t="shared" si="0"/>
        <v>att_acquisition</v>
      </c>
      <c r="I3" s="3" t="s">
        <v>249</v>
      </c>
      <c r="J3" s="3" t="str">
        <f t="shared" si="1"/>
        <v>att_acquisition:dia</v>
      </c>
      <c r="K3" s="6" t="s">
        <v>16</v>
      </c>
      <c r="L3" s="3" t="s">
        <v>251</v>
      </c>
      <c r="M3" s="3" t="s">
        <v>12</v>
      </c>
      <c r="N3" s="3" t="str">
        <f t="shared" si="2"/>
        <v>INSERT INTO attributes (parent_id, tag, name, priority, allow_as_filter, allow_for_dataset, allow_for_measurement, allow_for_users, allow_for_qc) VALUES (NULL, 'att_acquisition',  'Acquisition',  500,  TRUE, TRUE, TRUE, FALSE, FALSE);</v>
      </c>
      <c r="O3" s="3" t="str">
        <f t="shared" si="3"/>
        <v xml:space="preserve">INSERT INTO attribute_values (attribute_id, tag, name, details) VALUES ((SELECT id FROM attributes WHERE tag = 'att_acquisition' LIMIT 1),  'att_acquisition:dia',  'DIA',  'Data-independent acquisition'); </v>
      </c>
    </row>
    <row r="4" spans="1:15">
      <c r="A4" s="6" t="s">
        <v>16</v>
      </c>
      <c r="B4" s="6"/>
      <c r="C4" s="3" t="s">
        <v>252</v>
      </c>
      <c r="D4" s="3" t="s">
        <v>253</v>
      </c>
      <c r="E4" s="3" t="s">
        <v>12</v>
      </c>
      <c r="F4" s="3" t="s">
        <v>19</v>
      </c>
      <c r="G4" s="3" t="s">
        <v>2392</v>
      </c>
      <c r="H4" s="3" t="str">
        <f t="shared" si="0"/>
        <v>att_acquisition</v>
      </c>
      <c r="I4" s="3" t="s">
        <v>252</v>
      </c>
      <c r="J4" s="3" t="str">
        <f t="shared" si="1"/>
        <v>att_acquisition:srm</v>
      </c>
      <c r="K4" s="6" t="s">
        <v>16</v>
      </c>
      <c r="L4" s="3" t="s">
        <v>254</v>
      </c>
      <c r="M4" s="3" t="s">
        <v>12</v>
      </c>
      <c r="N4" s="3" t="str">
        <f t="shared" si="2"/>
        <v>INSERT INTO attributes (parent_id, tag, name, priority, allow_as_filter, allow_for_dataset, allow_for_measurement, allow_for_users, allow_for_qc) VALUES (NULL, 'att_acquisition',  'Acquisition',  500,  TRUE, TRUE, TRUE, FALSE, FALSE);</v>
      </c>
      <c r="O4" s="3" t="str">
        <f t="shared" si="3"/>
        <v xml:space="preserve">INSERT INTO attribute_values (attribute_id, tag, name, details) VALUES ((SELECT id FROM attributes WHERE tag = 'att_acquisition' LIMIT 1),  'att_acquisition:srm',  'SRM / MRM',  'Selected reaction monitoring / Multiple reaction monitoring'); </v>
      </c>
    </row>
    <row r="5" spans="1:15">
      <c r="A5" s="7" t="b">
        <f>FALSE()</f>
        <v>0</v>
      </c>
      <c r="B5" s="7"/>
      <c r="C5" s="3" t="s">
        <v>2393</v>
      </c>
      <c r="D5" s="3" t="s">
        <v>272</v>
      </c>
      <c r="E5" s="3" t="s">
        <v>12</v>
      </c>
      <c r="F5" s="3" t="s">
        <v>2394</v>
      </c>
      <c r="G5" s="3" t="s">
        <v>2395</v>
      </c>
      <c r="H5" s="3" t="str">
        <f t="shared" si="0"/>
        <v>att_animal_model</v>
      </c>
      <c r="I5" s="3" t="s">
        <v>270</v>
      </c>
      <c r="J5" s="3" t="str">
        <f t="shared" si="1"/>
        <v>att_animal_model:adipoq_cre</v>
      </c>
      <c r="K5" s="6" t="s">
        <v>16</v>
      </c>
      <c r="L5" s="3" t="s">
        <v>273</v>
      </c>
      <c r="M5" s="3" t="s">
        <v>12</v>
      </c>
      <c r="N5" s="3" t="str">
        <f t="shared" si="2"/>
        <v>INSERT INTO attributes (parent_id, tag, name, priority, allow_as_filter, allow_for_dataset, allow_for_measurement, allow_for_users, allow_for_qc) VALUES (NULL, 'att_animal_model',  'Animal Model',  500,  TRUE, TRUE, TRUE, FALSE, FALSE);</v>
      </c>
      <c r="O5" s="3" t="str">
        <f t="shared" si="3"/>
        <v xml:space="preserve">INSERT INTO attribute_values (attribute_id, tag, name, details) VALUES ((SELECT id FROM attributes WHERE tag = 'att_animal_model' LIMIT 1),  'att_animal_model:adipoq_cre',  'Adipoq-Cre',  'white adipose tissue'); </v>
      </c>
    </row>
    <row r="6" spans="1:15">
      <c r="A6" s="7" t="b">
        <f>FALSE()</f>
        <v>0</v>
      </c>
      <c r="B6" s="7"/>
      <c r="C6" s="3" t="s">
        <v>2396</v>
      </c>
      <c r="D6" s="3" t="s">
        <v>275</v>
      </c>
      <c r="E6" s="3" t="s">
        <v>12</v>
      </c>
      <c r="F6" s="3" t="s">
        <v>2394</v>
      </c>
      <c r="G6" s="3" t="s">
        <v>2395</v>
      </c>
      <c r="H6" s="3" t="str">
        <f t="shared" si="0"/>
        <v>att_animal_model</v>
      </c>
      <c r="I6" s="3" t="s">
        <v>274</v>
      </c>
      <c r="J6" s="3" t="str">
        <f t="shared" si="1"/>
        <v>att_animal_model:alb_cre</v>
      </c>
      <c r="K6" s="6" t="s">
        <v>16</v>
      </c>
      <c r="L6" s="3" t="s">
        <v>276</v>
      </c>
      <c r="M6" s="3" t="s">
        <v>12</v>
      </c>
      <c r="N6" s="3" t="str">
        <f t="shared" si="2"/>
        <v>INSERT INTO attributes (parent_id, tag, name, priority, allow_as_filter, allow_for_dataset, allow_for_measurement, allow_for_users, allow_for_qc) VALUES (NULL, 'att_animal_model',  'Animal Model',  500,  TRUE, TRUE, TRUE, FALSE, FALSE);</v>
      </c>
      <c r="O6" s="3" t="str">
        <f t="shared" si="3"/>
        <v xml:space="preserve">INSERT INTO attribute_values (attribute_id, tag, name, details) VALUES ((SELECT id FROM attributes WHERE tag = 'att_animal_model' LIMIT 1),  'att_animal_model:alb_cre',  'Alb-Cre',  'Hepatocytes'); </v>
      </c>
    </row>
    <row r="7" spans="1:15">
      <c r="A7" s="7" t="b">
        <f>FALSE()</f>
        <v>0</v>
      </c>
      <c r="B7" s="7"/>
      <c r="C7" s="3" t="s">
        <v>2397</v>
      </c>
      <c r="D7" s="3" t="s">
        <v>278</v>
      </c>
      <c r="E7" s="3" t="s">
        <v>12</v>
      </c>
      <c r="F7" s="3" t="s">
        <v>2394</v>
      </c>
      <c r="G7" s="3" t="s">
        <v>2395</v>
      </c>
      <c r="H7" s="3" t="str">
        <f t="shared" si="0"/>
        <v>att_animal_model</v>
      </c>
      <c r="I7" s="3" t="s">
        <v>277</v>
      </c>
      <c r="J7" s="3" t="str">
        <f t="shared" si="1"/>
        <v>att_animal_model:asc_ko</v>
      </c>
      <c r="K7" s="6" t="s">
        <v>16</v>
      </c>
      <c r="L7" s="3" t="s">
        <v>278</v>
      </c>
      <c r="M7" s="3" t="s">
        <v>12</v>
      </c>
      <c r="N7" s="3" t="str">
        <f t="shared" si="2"/>
        <v>INSERT INTO attributes (parent_id, tag, name, priority, allow_as_filter, allow_for_dataset, allow_for_measurement, allow_for_users, allow_for_qc) VALUES (NULL, 'att_animal_model',  'Animal Model',  500,  TRUE, TRUE, TRUE, FALSE, FALSE);</v>
      </c>
      <c r="O7" s="3" t="str">
        <f t="shared" si="3"/>
        <v xml:space="preserve">INSERT INTO attribute_values (attribute_id, tag, name, details) VALUES ((SELECT id FROM attributes WHERE tag = 'att_animal_model' LIMIT 1),  'att_animal_model:asc_ko',  'ASC ko',  'ASC ko'); </v>
      </c>
    </row>
    <row r="8" spans="1:15">
      <c r="A8" s="7" t="b">
        <f>FALSE()</f>
        <v>0</v>
      </c>
      <c r="B8" s="7"/>
      <c r="C8" s="3" t="s">
        <v>2398</v>
      </c>
      <c r="D8" s="3" t="s">
        <v>280</v>
      </c>
      <c r="E8" s="3" t="s">
        <v>12</v>
      </c>
      <c r="F8" s="3" t="s">
        <v>2394</v>
      </c>
      <c r="G8" s="3" t="s">
        <v>2395</v>
      </c>
      <c r="H8" s="3" t="str">
        <f t="shared" si="0"/>
        <v>att_animal_model</v>
      </c>
      <c r="I8" s="3" t="s">
        <v>279</v>
      </c>
      <c r="J8" s="3" t="str">
        <f t="shared" si="1"/>
        <v>att_animal_model:baf53b_cre</v>
      </c>
      <c r="K8" s="6" t="s">
        <v>16</v>
      </c>
      <c r="L8" s="3" t="s">
        <v>281</v>
      </c>
      <c r="M8" s="3" t="s">
        <v>12</v>
      </c>
      <c r="N8" s="3" t="str">
        <f t="shared" si="2"/>
        <v>INSERT INTO attributes (parent_id, tag, name, priority, allow_as_filter, allow_for_dataset, allow_for_measurement, allow_for_users, allow_for_qc) VALUES (NULL, 'att_animal_model',  'Animal Model',  500,  TRUE, TRUE, TRUE, FALSE, FALSE);</v>
      </c>
      <c r="O8" s="3" t="str">
        <f t="shared" si="3"/>
        <v xml:space="preserve">INSERT INTO attribute_values (attribute_id, tag, name, details) VALUES ((SELECT id FROM attributes WHERE tag = 'att_animal_model' LIMIT 1),  'att_animal_model:baf53b_cre',  'Baf53b-Cre',  'Neurons'); </v>
      </c>
    </row>
    <row r="9" spans="1:15">
      <c r="A9" s="7" t="b">
        <f>FALSE()</f>
        <v>0</v>
      </c>
      <c r="B9" s="7"/>
      <c r="C9" s="3" t="s">
        <v>2399</v>
      </c>
      <c r="D9" s="3" t="s">
        <v>283</v>
      </c>
      <c r="E9" s="3" t="s">
        <v>12</v>
      </c>
      <c r="F9" s="3" t="s">
        <v>2394</v>
      </c>
      <c r="G9" s="3" t="s">
        <v>2395</v>
      </c>
      <c r="H9" s="3" t="str">
        <f t="shared" si="0"/>
        <v>att_animal_model</v>
      </c>
      <c r="I9" s="3" t="s">
        <v>282</v>
      </c>
      <c r="J9" s="3" t="str">
        <f t="shared" si="1"/>
        <v>att_animal_model:c57_bl6j</v>
      </c>
      <c r="K9" s="6" t="s">
        <v>16</v>
      </c>
      <c r="L9" s="3" t="s">
        <v>283</v>
      </c>
      <c r="M9" s="3" t="s">
        <v>12</v>
      </c>
      <c r="N9" s="3" t="str">
        <f t="shared" si="2"/>
        <v>INSERT INTO attributes (parent_id, tag, name, priority, allow_as_filter, allow_for_dataset, allow_for_measurement, allow_for_users, allow_for_qc) VALUES (NULL, 'att_animal_model',  'Animal Model',  500,  TRUE, TRUE, TRUE, FALSE, FALSE);</v>
      </c>
      <c r="O9" s="3" t="str">
        <f t="shared" si="3"/>
        <v xml:space="preserve">INSERT INTO attribute_values (attribute_id, tag, name, details) VALUES ((SELECT id FROM attributes WHERE tag = 'att_animal_model' LIMIT 1),  'att_animal_model:c57_bl6j',  'C57/Bl6J',  'C57/Bl6J'); </v>
      </c>
    </row>
    <row r="10" spans="1:15">
      <c r="A10" s="7" t="b">
        <f>FALSE()</f>
        <v>0</v>
      </c>
      <c r="B10" s="7"/>
      <c r="C10" s="3" t="s">
        <v>2400</v>
      </c>
      <c r="D10" s="3" t="s">
        <v>285</v>
      </c>
      <c r="E10" s="3" t="s">
        <v>12</v>
      </c>
      <c r="F10" s="3" t="s">
        <v>2394</v>
      </c>
      <c r="G10" s="3" t="s">
        <v>2395</v>
      </c>
      <c r="H10" s="3" t="str">
        <f t="shared" si="0"/>
        <v>att_animal_model</v>
      </c>
      <c r="I10" s="3" t="s">
        <v>284</v>
      </c>
      <c r="J10" s="3" t="str">
        <f t="shared" si="1"/>
        <v>att_animal_model:clec4f_cre</v>
      </c>
      <c r="K10" s="6" t="s">
        <v>16</v>
      </c>
      <c r="L10" s="3" t="s">
        <v>286</v>
      </c>
      <c r="M10" s="3" t="s">
        <v>12</v>
      </c>
      <c r="N10" s="3" t="str">
        <f t="shared" si="2"/>
        <v>INSERT INTO attributes (parent_id, tag, name, priority, allow_as_filter, allow_for_dataset, allow_for_measurement, allow_for_users, allow_for_qc) VALUES (NULL, 'att_animal_model',  'Animal Model',  500,  TRUE, TRUE, TRUE, FALSE, FALSE);</v>
      </c>
      <c r="O10" s="3" t="str">
        <f t="shared" si="3"/>
        <v xml:space="preserve">INSERT INTO attribute_values (attribute_id, tag, name, details) VALUES ((SELECT id FROM attributes WHERE tag = 'att_animal_model' LIMIT 1),  'att_animal_model:clec4f_cre',  'Clec4f-Cre',  'Kupffer cells'); </v>
      </c>
    </row>
    <row r="11" spans="1:15">
      <c r="A11" s="7" t="b">
        <f>FALSE()</f>
        <v>0</v>
      </c>
      <c r="B11" s="7"/>
      <c r="C11" s="3" t="s">
        <v>2401</v>
      </c>
      <c r="D11" s="3" t="s">
        <v>288</v>
      </c>
      <c r="E11" s="3" t="s">
        <v>12</v>
      </c>
      <c r="F11" s="3" t="s">
        <v>2394</v>
      </c>
      <c r="G11" s="3" t="s">
        <v>2395</v>
      </c>
      <c r="H11" s="3" t="str">
        <f t="shared" si="0"/>
        <v>att_animal_model</v>
      </c>
      <c r="I11" s="3" t="s">
        <v>287</v>
      </c>
      <c r="J11" s="3" t="str">
        <f t="shared" si="1"/>
        <v>att_animal_model:cx3cr1_cre</v>
      </c>
      <c r="K11" s="6" t="s">
        <v>16</v>
      </c>
      <c r="L11" s="3" t="s">
        <v>289</v>
      </c>
      <c r="M11" s="3" t="s">
        <v>12</v>
      </c>
      <c r="N11" s="3" t="str">
        <f t="shared" si="2"/>
        <v>INSERT INTO attributes (parent_id, tag, name, priority, allow_as_filter, allow_for_dataset, allow_for_measurement, allow_for_users, allow_for_qc) VALUES (NULL, 'att_animal_model',  'Animal Model',  500,  TRUE, TRUE, TRUE, FALSE, FALSE);</v>
      </c>
      <c r="O11" s="3" t="str">
        <f t="shared" si="3"/>
        <v xml:space="preserve">INSERT INTO attribute_values (attribute_id, tag, name, details) VALUES ((SELECT id FROM attributes WHERE tag = 'att_animal_model' LIMIT 1),  'att_animal_model:cx3cr1_cre',  'Cx3cr1-Cre',  '(Yalk sac) Macrophages'); </v>
      </c>
    </row>
    <row r="12" spans="1:15">
      <c r="A12" s="7" t="b">
        <f>FALSE()</f>
        <v>0</v>
      </c>
      <c r="B12" s="7"/>
      <c r="C12" s="3" t="s">
        <v>290</v>
      </c>
      <c r="D12" s="3" t="s">
        <v>291</v>
      </c>
      <c r="E12" s="3" t="s">
        <v>12</v>
      </c>
      <c r="F12" s="3" t="s">
        <v>2394</v>
      </c>
      <c r="G12" s="3" t="s">
        <v>2395</v>
      </c>
      <c r="H12" s="3" t="str">
        <f t="shared" si="0"/>
        <v>att_animal_model</v>
      </c>
      <c r="I12" s="3" t="s">
        <v>290</v>
      </c>
      <c r="J12" s="3" t="str">
        <f t="shared" si="1"/>
        <v>att_animal_model:cxcr4creert2</v>
      </c>
      <c r="K12" s="6" t="s">
        <v>16</v>
      </c>
      <c r="L12" s="3" t="s">
        <v>291</v>
      </c>
      <c r="M12" s="3" t="s">
        <v>12</v>
      </c>
      <c r="N12" s="3" t="str">
        <f t="shared" si="2"/>
        <v>INSERT INTO attributes (parent_id, tag, name, priority, allow_as_filter, allow_for_dataset, allow_for_measurement, allow_for_users, allow_for_qc) VALUES (NULL, 'att_animal_model',  'Animal Model',  500,  TRUE, TRUE, TRUE, FALSE, FALSE);</v>
      </c>
      <c r="O12" s="3" t="str">
        <f t="shared" si="3"/>
        <v xml:space="preserve">INSERT INTO attribute_values (attribute_id, tag, name, details) VALUES ((SELECT id FROM attributes WHERE tag = 'att_animal_model' LIMIT 1),  'att_animal_model:cxcr4creert2',  'Cxcr4CreERT2',  'Cxcr4CreERT2'); </v>
      </c>
    </row>
    <row r="13" spans="1:15">
      <c r="A13" s="7" t="b">
        <f>FALSE()</f>
        <v>0</v>
      </c>
      <c r="B13" s="7"/>
      <c r="C13" s="3" t="s">
        <v>2402</v>
      </c>
      <c r="D13" s="3" t="s">
        <v>293</v>
      </c>
      <c r="E13" s="3" t="s">
        <v>12</v>
      </c>
      <c r="F13" s="3" t="s">
        <v>2394</v>
      </c>
      <c r="G13" s="3" t="s">
        <v>2395</v>
      </c>
      <c r="H13" s="3" t="str">
        <f t="shared" si="0"/>
        <v>att_animal_model</v>
      </c>
      <c r="I13" s="3" t="s">
        <v>292</v>
      </c>
      <c r="J13" s="3" t="str">
        <f t="shared" si="1"/>
        <v>att_animal_model:glast_cre</v>
      </c>
      <c r="K13" s="6" t="s">
        <v>16</v>
      </c>
      <c r="L13" s="3" t="s">
        <v>294</v>
      </c>
      <c r="M13" s="3" t="s">
        <v>12</v>
      </c>
      <c r="N13" s="3" t="str">
        <f t="shared" si="2"/>
        <v>INSERT INTO attributes (parent_id, tag, name, priority, allow_as_filter, allow_for_dataset, allow_for_measurement, allow_for_users, allow_for_qc) VALUES (NULL, 'att_animal_model',  'Animal Model',  500,  TRUE, TRUE, TRUE, FALSE, FALSE);</v>
      </c>
      <c r="O13" s="3" t="str">
        <f t="shared" si="3"/>
        <v xml:space="preserve">INSERT INTO attribute_values (attribute_id, tag, name, details) VALUES ((SELECT id FROM attributes WHERE tag = 'att_animal_model' LIMIT 1),  'att_animal_model:glast_cre',  'Glast-Cre',  'Astrocytes'); </v>
      </c>
    </row>
    <row r="14" spans="1:15">
      <c r="A14" s="7" t="b">
        <f>FALSE()</f>
        <v>0</v>
      </c>
      <c r="B14" s="7"/>
      <c r="C14" s="3" t="s">
        <v>2403</v>
      </c>
      <c r="D14" s="3" t="s">
        <v>296</v>
      </c>
      <c r="E14" s="3" t="s">
        <v>12</v>
      </c>
      <c r="F14" s="3" t="s">
        <v>2394</v>
      </c>
      <c r="G14" s="3" t="s">
        <v>2395</v>
      </c>
      <c r="H14" s="3" t="str">
        <f t="shared" si="0"/>
        <v>att_animal_model</v>
      </c>
      <c r="I14" s="3" t="s">
        <v>295</v>
      </c>
      <c r="J14" s="3" t="str">
        <f t="shared" si="1"/>
        <v>att_animal_model:lrat_cre</v>
      </c>
      <c r="K14" s="6" t="s">
        <v>16</v>
      </c>
      <c r="L14" s="3" t="s">
        <v>297</v>
      </c>
      <c r="M14" s="3" t="s">
        <v>12</v>
      </c>
      <c r="N14" s="3" t="str">
        <f t="shared" si="2"/>
        <v>INSERT INTO attributes (parent_id, tag, name, priority, allow_as_filter, allow_for_dataset, allow_for_measurement, allow_for_users, allow_for_qc) VALUES (NULL, 'att_animal_model',  'Animal Model',  500,  TRUE, TRUE, TRUE, FALSE, FALSE);</v>
      </c>
      <c r="O14" s="3" t="str">
        <f t="shared" si="3"/>
        <v xml:space="preserve">INSERT INTO attribute_values (attribute_id, tag, name, details) VALUES ((SELECT id FROM attributes WHERE tag = 'att_animal_model' LIMIT 1),  'att_animal_model:lrat_cre',  'Lrat-Cre',  'Hepatic stellate cells'); </v>
      </c>
    </row>
    <row r="15" spans="1:15">
      <c r="A15" s="7" t="b">
        <f>FALSE()</f>
        <v>0</v>
      </c>
      <c r="B15" s="7"/>
      <c r="C15" s="3" t="s">
        <v>2404</v>
      </c>
      <c r="D15" s="3" t="s">
        <v>299</v>
      </c>
      <c r="E15" s="3" t="s">
        <v>12</v>
      </c>
      <c r="F15" s="3" t="s">
        <v>2394</v>
      </c>
      <c r="G15" s="3" t="s">
        <v>2395</v>
      </c>
      <c r="H15" s="3" t="str">
        <f t="shared" si="0"/>
        <v>att_animal_model</v>
      </c>
      <c r="I15" s="3" t="s">
        <v>298</v>
      </c>
      <c r="J15" s="3" t="str">
        <f t="shared" si="1"/>
        <v>att_animal_model:lysm_cre</v>
      </c>
      <c r="K15" s="6" t="s">
        <v>16</v>
      </c>
      <c r="L15" s="3" t="s">
        <v>300</v>
      </c>
      <c r="M15" s="3" t="s">
        <v>12</v>
      </c>
      <c r="N15" s="3" t="str">
        <f t="shared" si="2"/>
        <v>INSERT INTO attributes (parent_id, tag, name, priority, allow_as_filter, allow_for_dataset, allow_for_measurement, allow_for_users, allow_for_qc) VALUES (NULL, 'att_animal_model',  'Animal Model',  500,  TRUE, TRUE, TRUE, FALSE, FALSE);</v>
      </c>
      <c r="O15" s="3" t="str">
        <f t="shared" si="3"/>
        <v xml:space="preserve">INSERT INTO attribute_values (attribute_id, tag, name, details) VALUES ((SELECT id FROM attributes WHERE tag = 'att_animal_model' LIMIT 1),  'att_animal_model:lysm_cre',  'LysM-Cre',  'Macrophages/Neutrophils'); </v>
      </c>
    </row>
    <row r="16" spans="1:15">
      <c r="A16" s="7" t="b">
        <f>FALSE()</f>
        <v>0</v>
      </c>
      <c r="B16" s="7"/>
      <c r="C16" s="3" t="s">
        <v>2405</v>
      </c>
      <c r="D16" s="3" t="s">
        <v>302</v>
      </c>
      <c r="E16" s="3" t="s">
        <v>12</v>
      </c>
      <c r="F16" s="3" t="s">
        <v>2394</v>
      </c>
      <c r="G16" s="3" t="s">
        <v>2395</v>
      </c>
      <c r="H16" s="3" t="str">
        <f t="shared" si="0"/>
        <v>att_animal_model</v>
      </c>
      <c r="I16" s="3" t="s">
        <v>301</v>
      </c>
      <c r="J16" s="3" t="str">
        <f t="shared" si="1"/>
        <v>att_animal_model:ms4a3_cre</v>
      </c>
      <c r="K16" s="6" t="s">
        <v>16</v>
      </c>
      <c r="L16" s="3" t="s">
        <v>303</v>
      </c>
      <c r="M16" s="3" t="s">
        <v>12</v>
      </c>
      <c r="N16" s="3" t="str">
        <f t="shared" si="2"/>
        <v>INSERT INTO attributes (parent_id, tag, name, priority, allow_as_filter, allow_for_dataset, allow_for_measurement, allow_for_users, allow_for_qc) VALUES (NULL, 'att_animal_model',  'Animal Model',  500,  TRUE, TRUE, TRUE, FALSE, FALSE);</v>
      </c>
      <c r="O16" s="3" t="str">
        <f t="shared" si="3"/>
        <v xml:space="preserve">INSERT INTO attribute_values (attribute_id, tag, name, details) VALUES ((SELECT id FROM attributes WHERE tag = 'att_animal_model' LIMIT 1),  'att_animal_model:ms4a3_cre',  'Ms4a3-Cre',  'Monocytes'); </v>
      </c>
    </row>
    <row r="17" spans="1:15">
      <c r="A17" s="7" t="b">
        <f>FALSE()</f>
        <v>0</v>
      </c>
      <c r="B17" s="7"/>
      <c r="C17" s="3" t="s">
        <v>2406</v>
      </c>
      <c r="D17" s="3" t="s">
        <v>305</v>
      </c>
      <c r="E17" s="3" t="s">
        <v>12</v>
      </c>
      <c r="F17" s="3" t="s">
        <v>2394</v>
      </c>
      <c r="G17" s="3" t="s">
        <v>2395</v>
      </c>
      <c r="H17" s="3" t="str">
        <f t="shared" si="0"/>
        <v>att_animal_model</v>
      </c>
      <c r="I17" s="3" t="s">
        <v>304</v>
      </c>
      <c r="J17" s="3" t="str">
        <f t="shared" si="1"/>
        <v>att_animal_model:mt_nlrp3_cre</v>
      </c>
      <c r="K17" s="6" t="s">
        <v>16</v>
      </c>
      <c r="L17" s="3" t="s">
        <v>306</v>
      </c>
      <c r="M17" s="3" t="s">
        <v>12</v>
      </c>
      <c r="N17" s="3" t="str">
        <f t="shared" si="2"/>
        <v>INSERT INTO attributes (parent_id, tag, name, priority, allow_as_filter, allow_for_dataset, allow_for_measurement, allow_for_users, allow_for_qc) VALUES (NULL, 'att_animal_model',  'Animal Model',  500,  TRUE, TRUE, TRUE, FALSE, FALSE);</v>
      </c>
      <c r="O17" s="3" t="str">
        <f t="shared" si="3"/>
        <v xml:space="preserve">INSERT INTO attribute_values (attribute_id, tag, name, details) VALUES ((SELECT id FROM attributes WHERE tag = 'att_animal_model' LIMIT 1),  'att_animal_model:mt_nlrp3_cre',  'MT-Nlrp3-Cre',  'CAPS R26ERtCreNlrp3A350V '); </v>
      </c>
    </row>
    <row r="18" spans="1:15">
      <c r="A18" s="7" t="b">
        <f>FALSE()</f>
        <v>0</v>
      </c>
      <c r="B18" s="7"/>
      <c r="C18" s="3" t="s">
        <v>2407</v>
      </c>
      <c r="D18" s="3" t="s">
        <v>308</v>
      </c>
      <c r="E18" s="3" t="s">
        <v>12</v>
      </c>
      <c r="F18" s="3" t="s">
        <v>2394</v>
      </c>
      <c r="G18" s="3" t="s">
        <v>2395</v>
      </c>
      <c r="H18" s="3" t="str">
        <f t="shared" si="0"/>
        <v>att_animal_model</v>
      </c>
      <c r="I18" s="3" t="s">
        <v>307</v>
      </c>
      <c r="J18" s="3" t="str">
        <f t="shared" si="1"/>
        <v>att_animal_model:nlrp3_flox</v>
      </c>
      <c r="K18" s="6" t="s">
        <v>16</v>
      </c>
      <c r="L18" s="3" t="s">
        <v>308</v>
      </c>
      <c r="M18" s="3" t="s">
        <v>12</v>
      </c>
      <c r="N18" s="3" t="str">
        <f t="shared" si="2"/>
        <v>INSERT INTO attributes (parent_id, tag, name, priority, allow_as_filter, allow_for_dataset, allow_for_measurement, allow_for_users, allow_for_qc) VALUES (NULL, 'att_animal_model',  'Animal Model',  500,  TRUE, TRUE, TRUE, FALSE, FALSE);</v>
      </c>
      <c r="O18" s="3" t="str">
        <f t="shared" si="3"/>
        <v xml:space="preserve">INSERT INTO attribute_values (attribute_id, tag, name, details) VALUES ((SELECT id FROM attributes WHERE tag = 'att_animal_model' LIMIT 1),  'att_animal_model:nlrp3_flox',  'Nlrp3-flox',  'Nlrp3-flox'); </v>
      </c>
    </row>
    <row r="19" spans="1:15">
      <c r="A19" s="7" t="b">
        <f>FALSE()</f>
        <v>0</v>
      </c>
      <c r="B19" s="7"/>
      <c r="C19" s="3" t="s">
        <v>2408</v>
      </c>
      <c r="D19" s="3" t="s">
        <v>310</v>
      </c>
      <c r="E19" s="3" t="s">
        <v>12</v>
      </c>
      <c r="F19" s="3" t="s">
        <v>2394</v>
      </c>
      <c r="G19" s="3" t="s">
        <v>2395</v>
      </c>
      <c r="H19" s="3" t="str">
        <f t="shared" si="0"/>
        <v>att_animal_model</v>
      </c>
      <c r="I19" s="3" t="s">
        <v>309</v>
      </c>
      <c r="J19" s="3" t="str">
        <f t="shared" si="1"/>
        <v>att_animal_model:nlrp3_ko</v>
      </c>
      <c r="K19" s="6" t="s">
        <v>16</v>
      </c>
      <c r="L19" s="3" t="s">
        <v>310</v>
      </c>
      <c r="M19" s="3" t="s">
        <v>12</v>
      </c>
      <c r="N19" s="3" t="str">
        <f t="shared" si="2"/>
        <v>INSERT INTO attributes (parent_id, tag, name, priority, allow_as_filter, allow_for_dataset, allow_for_measurement, allow_for_users, allow_for_qc) VALUES (NULL, 'att_animal_model',  'Animal Model',  500,  TRUE, TRUE, TRUE, FALSE, FALSE);</v>
      </c>
      <c r="O19" s="3" t="str">
        <f t="shared" si="3"/>
        <v xml:space="preserve">INSERT INTO attribute_values (attribute_id, tag, name, details) VALUES ((SELECT id FROM attributes WHERE tag = 'att_animal_model' LIMIT 1),  'att_animal_model:nlrp3_ko',  'Nlrp3 ko',  'Nlrp3 ko'); </v>
      </c>
    </row>
    <row r="20" spans="1:15">
      <c r="A20" s="7" t="b">
        <f>FALSE()</f>
        <v>0</v>
      </c>
      <c r="B20" s="7"/>
      <c r="C20" s="3" t="s">
        <v>311</v>
      </c>
      <c r="D20" s="3" t="s">
        <v>312</v>
      </c>
      <c r="E20" s="3" t="s">
        <v>12</v>
      </c>
      <c r="F20" s="3" t="s">
        <v>2394</v>
      </c>
      <c r="G20" s="3" t="s">
        <v>2395</v>
      </c>
      <c r="H20" s="3" t="str">
        <f t="shared" si="0"/>
        <v>att_animal_model</v>
      </c>
      <c r="I20" s="3" t="s">
        <v>311</v>
      </c>
      <c r="J20" s="3" t="str">
        <f t="shared" si="1"/>
        <v>att_animal_model:oaf</v>
      </c>
      <c r="K20" s="6" t="s">
        <v>16</v>
      </c>
      <c r="L20" s="3" t="s">
        <v>312</v>
      </c>
      <c r="M20" s="3" t="s">
        <v>12</v>
      </c>
      <c r="N20" s="3" t="str">
        <f t="shared" si="2"/>
        <v>INSERT INTO attributes (parent_id, tag, name, priority, allow_as_filter, allow_for_dataset, allow_for_measurement, allow_for_users, allow_for_qc) VALUES (NULL, 'att_animal_model',  'Animal Model',  500,  TRUE, TRUE, TRUE, FALSE, FALSE);</v>
      </c>
      <c r="O20" s="3" t="str">
        <f t="shared" si="3"/>
        <v xml:space="preserve">INSERT INTO attribute_values (attribute_id, tag, name, details) VALUES ((SELECT id FROM attributes WHERE tag = 'att_animal_model' LIMIT 1),  'att_animal_model:oaf',  'OAF',  'OAF'); </v>
      </c>
    </row>
    <row r="21" spans="1:15">
      <c r="A21" s="7" t="b">
        <f>FALSE()</f>
        <v>0</v>
      </c>
      <c r="B21" s="7"/>
      <c r="C21" s="3" t="s">
        <v>2409</v>
      </c>
      <c r="D21" s="3" t="s">
        <v>314</v>
      </c>
      <c r="E21" s="3" t="s">
        <v>12</v>
      </c>
      <c r="F21" s="3" t="s">
        <v>2394</v>
      </c>
      <c r="G21" s="3" t="s">
        <v>2395</v>
      </c>
      <c r="H21" s="3" t="str">
        <f t="shared" si="0"/>
        <v>att_animal_model</v>
      </c>
      <c r="I21" s="3" t="s">
        <v>313</v>
      </c>
      <c r="J21" s="3" t="str">
        <f t="shared" si="1"/>
        <v>att_animal_model:r26_ert2cre</v>
      </c>
      <c r="K21" s="6" t="s">
        <v>16</v>
      </c>
      <c r="L21" s="3" t="s">
        <v>315</v>
      </c>
      <c r="M21" s="3" t="s">
        <v>12</v>
      </c>
      <c r="N21" s="3" t="str">
        <f t="shared" si="2"/>
        <v>INSERT INTO attributes (parent_id, tag, name, priority, allow_as_filter, allow_for_dataset, allow_for_measurement, allow_for_users, allow_for_qc) VALUES (NULL, 'att_animal_model',  'Animal Model',  500,  TRUE, TRUE, TRUE, FALSE, FALSE);</v>
      </c>
      <c r="O21" s="3" t="str">
        <f t="shared" si="3"/>
        <v xml:space="preserve">INSERT INTO attribute_values (attribute_id, tag, name, details) VALUES ((SELECT id FROM attributes WHERE tag = 'att_animal_model' LIMIT 1),  'att_animal_model:r26_ert2cre',  'R26 ERt2Cre',  'R26 Ert2Cre'); </v>
      </c>
    </row>
    <row r="22" spans="1:15">
      <c r="A22" s="7" t="b">
        <f>FALSE()</f>
        <v>0</v>
      </c>
      <c r="B22" s="7"/>
      <c r="C22" s="3" t="s">
        <v>2410</v>
      </c>
      <c r="D22" s="7" t="s">
        <v>317</v>
      </c>
      <c r="E22" s="3" t="s">
        <v>12</v>
      </c>
      <c r="F22" s="3" t="s">
        <v>2394</v>
      </c>
      <c r="G22" s="3" t="s">
        <v>2395</v>
      </c>
      <c r="H22" s="3" t="str">
        <f t="shared" si="0"/>
        <v>att_animal_model</v>
      </c>
      <c r="I22" s="3" t="s">
        <v>316</v>
      </c>
      <c r="J22" s="3" t="str">
        <f t="shared" si="1"/>
        <v>att_animal_model:r26_metrs_flox</v>
      </c>
      <c r="K22" s="6" t="s">
        <v>16</v>
      </c>
      <c r="L22" s="3" t="s">
        <v>318</v>
      </c>
      <c r="M22" s="3" t="s">
        <v>12</v>
      </c>
      <c r="N22" s="3" t="str">
        <f t="shared" si="2"/>
        <v>INSERT INTO attributes (parent_id, tag, name, priority, allow_as_filter, allow_for_dataset, allow_for_measurement, allow_for_users, allow_for_qc) VALUES (NULL, 'att_animal_model',  'Animal Model',  500,  TRUE, TRUE, TRUE, FALSE, FALSE);</v>
      </c>
      <c r="O22" s="3" t="str">
        <f t="shared" si="3"/>
        <v xml:space="preserve">INSERT INTO attribute_values (attribute_id, tag, name, details) VALUES ((SELECT id FROM attributes WHERE tag = 'att_animal_model' LIMIT 1),  'att_animal_model:r26_metrs_flox',  'R26 MetRS*-flox',  'Cell-type specific labelling'); </v>
      </c>
    </row>
    <row r="23" spans="1:15">
      <c r="A23" s="7" t="b">
        <f>FALSE()</f>
        <v>0</v>
      </c>
      <c r="B23" s="7"/>
      <c r="C23" s="3" t="s">
        <v>2411</v>
      </c>
      <c r="D23" s="3" t="s">
        <v>320</v>
      </c>
      <c r="E23" s="3" t="s">
        <v>12</v>
      </c>
      <c r="F23" s="3" t="s">
        <v>2394</v>
      </c>
      <c r="G23" s="3" t="s">
        <v>2395</v>
      </c>
      <c r="H23" s="3" t="str">
        <f t="shared" si="0"/>
        <v>att_animal_model</v>
      </c>
      <c r="I23" s="3" t="s">
        <v>319</v>
      </c>
      <c r="J23" s="3" t="str">
        <f t="shared" si="1"/>
        <v>att_animal_model:r26_nlrp3_flox</v>
      </c>
      <c r="K23" s="6" t="s">
        <v>16</v>
      </c>
      <c r="L23" s="3" t="s">
        <v>320</v>
      </c>
      <c r="M23" s="3" t="s">
        <v>12</v>
      </c>
      <c r="N23" s="3" t="str">
        <f t="shared" si="2"/>
        <v>INSERT INTO attributes (parent_id, tag, name, priority, allow_as_filter, allow_for_dataset, allow_for_measurement, allow_for_users, allow_for_qc) VALUES (NULL, 'att_animal_model',  'Animal Model',  500,  TRUE, TRUE, TRUE, FALSE, FALSE);</v>
      </c>
      <c r="O23" s="3" t="str">
        <f t="shared" si="3"/>
        <v xml:space="preserve">INSERT INTO attribute_values (attribute_id, tag, name, details) VALUES ((SELECT id FROM attributes WHERE tag = 'att_animal_model' LIMIT 1),  'att_animal_model:r26_nlrp3_flox',  'R26 Nlrp3-flox',  'R26 Nlrp3-flox'); </v>
      </c>
    </row>
    <row r="24" spans="1:15">
      <c r="A24" s="7" t="b">
        <f>FALSE()</f>
        <v>0</v>
      </c>
      <c r="B24" s="7"/>
      <c r="C24" s="3" t="s">
        <v>2412</v>
      </c>
      <c r="D24" s="3" t="s">
        <v>322</v>
      </c>
      <c r="E24" s="3" t="s">
        <v>12</v>
      </c>
      <c r="F24" s="3" t="s">
        <v>2394</v>
      </c>
      <c r="G24" s="3" t="s">
        <v>2395</v>
      </c>
      <c r="H24" s="3" t="str">
        <f t="shared" si="0"/>
        <v>att_animal_model</v>
      </c>
      <c r="I24" s="3" t="s">
        <v>321</v>
      </c>
      <c r="J24" s="3" t="str">
        <f t="shared" si="1"/>
        <v>att_animal_model:ribotag_lox</v>
      </c>
      <c r="K24" s="6" t="s">
        <v>16</v>
      </c>
      <c r="L24" s="3" t="s">
        <v>315</v>
      </c>
      <c r="M24" s="3" t="s">
        <v>12</v>
      </c>
      <c r="N24" s="3" t="str">
        <f t="shared" si="2"/>
        <v>INSERT INTO attributes (parent_id, tag, name, priority, allow_as_filter, allow_for_dataset, allow_for_measurement, allow_for_users, allow_for_qc) VALUES (NULL, 'att_animal_model',  'Animal Model',  500,  TRUE, TRUE, TRUE, FALSE, FALSE);</v>
      </c>
      <c r="O24" s="3" t="str">
        <f t="shared" si="3"/>
        <v xml:space="preserve">INSERT INTO attribute_values (attribute_id, tag, name, details) VALUES ((SELECT id FROM attributes WHERE tag = 'att_animal_model' LIMIT 1),  'att_animal_model:ribotag_lox',  'Ribotag-lox',  'R26 Ert2Cre'); </v>
      </c>
    </row>
    <row r="25" spans="1:15">
      <c r="A25" s="7" t="b">
        <f>FALSE()</f>
        <v>0</v>
      </c>
      <c r="B25" s="7"/>
      <c r="C25" s="3" t="s">
        <v>2413</v>
      </c>
      <c r="D25" s="3" t="s">
        <v>324</v>
      </c>
      <c r="E25" s="3" t="s">
        <v>12</v>
      </c>
      <c r="F25" s="3" t="s">
        <v>2394</v>
      </c>
      <c r="G25" s="3" t="s">
        <v>2395</v>
      </c>
      <c r="H25" s="3" t="str">
        <f t="shared" si="0"/>
        <v>att_animal_model</v>
      </c>
      <c r="I25" s="3" t="s">
        <v>323</v>
      </c>
      <c r="J25" s="3" t="str">
        <f t="shared" si="1"/>
        <v>att_animal_model:sox10_cre</v>
      </c>
      <c r="K25" s="6" t="s">
        <v>16</v>
      </c>
      <c r="L25" s="3" t="s">
        <v>325</v>
      </c>
      <c r="M25" s="3" t="s">
        <v>12</v>
      </c>
      <c r="N25" s="3" t="str">
        <f t="shared" si="2"/>
        <v>INSERT INTO attributes (parent_id, tag, name, priority, allow_as_filter, allow_for_dataset, allow_for_measurement, allow_for_users, allow_for_qc) VALUES (NULL, 'att_animal_model',  'Animal Model',  500,  TRUE, TRUE, TRUE, FALSE, FALSE);</v>
      </c>
      <c r="O25" s="3" t="str">
        <f t="shared" si="3"/>
        <v xml:space="preserve">INSERT INTO attribute_values (attribute_id, tag, name, details) VALUES ((SELECT id FROM attributes WHERE tag = 'att_animal_model' LIMIT 1),  'att_animal_model:sox10_cre',  'Sox10-Cre',  'Neural crest ?'); </v>
      </c>
    </row>
    <row r="26" spans="1:15">
      <c r="A26" s="7" t="b">
        <f>FALSE()</f>
        <v>0</v>
      </c>
      <c r="B26" s="7"/>
      <c r="C26" s="3" t="s">
        <v>2414</v>
      </c>
      <c r="D26" s="3" t="s">
        <v>327</v>
      </c>
      <c r="E26" s="3" t="s">
        <v>12</v>
      </c>
      <c r="F26" s="3" t="s">
        <v>2394</v>
      </c>
      <c r="G26" s="3" t="s">
        <v>2395</v>
      </c>
      <c r="H26" s="3" t="str">
        <f t="shared" si="0"/>
        <v>att_animal_model</v>
      </c>
      <c r="I26" s="3" t="s">
        <v>326</v>
      </c>
      <c r="J26" s="3" t="str">
        <f t="shared" si="1"/>
        <v>att_animal_model:ucp1_cre</v>
      </c>
      <c r="K26" s="6" t="s">
        <v>16</v>
      </c>
      <c r="L26" s="3" t="s">
        <v>328</v>
      </c>
      <c r="M26" s="3" t="s">
        <v>12</v>
      </c>
      <c r="N26" s="3" t="str">
        <f t="shared" si="2"/>
        <v>INSERT INTO attributes (parent_id, tag, name, priority, allow_as_filter, allow_for_dataset, allow_for_measurement, allow_for_users, allow_for_qc) VALUES (NULL, 'att_animal_model',  'Animal Model',  500,  TRUE, TRUE, TRUE, FALSE, FALSE);</v>
      </c>
      <c r="O26" s="3" t="str">
        <f t="shared" si="3"/>
        <v xml:space="preserve">INSERT INTO attribute_values (attribute_id, tag, name, details) VALUES ((SELECT id FROM attributes WHERE tag = 'att_animal_model' LIMIT 1),  'att_animal_model:ucp1_cre',  'UCP1-Cre',  'brown adipose tissue'); </v>
      </c>
    </row>
    <row r="27" spans="1:15">
      <c r="A27" s="7" t="b">
        <f>FALSE()</f>
        <v>0</v>
      </c>
      <c r="B27" s="7"/>
      <c r="C27" s="3" t="s">
        <v>2415</v>
      </c>
      <c r="D27" s="3" t="s">
        <v>330</v>
      </c>
      <c r="E27" s="3" t="s">
        <v>12</v>
      </c>
      <c r="F27" s="3" t="s">
        <v>2394</v>
      </c>
      <c r="G27" s="3" t="s">
        <v>2395</v>
      </c>
      <c r="H27" s="3" t="str">
        <f t="shared" si="0"/>
        <v>att_animal_model</v>
      </c>
      <c r="I27" s="3" t="s">
        <v>329</v>
      </c>
      <c r="J27" s="3" t="str">
        <f t="shared" si="1"/>
        <v>att_animal_model:vil_cre</v>
      </c>
      <c r="K27" s="6" t="s">
        <v>16</v>
      </c>
      <c r="L27" s="3" t="s">
        <v>331</v>
      </c>
      <c r="M27" s="3" t="s">
        <v>12</v>
      </c>
      <c r="N27" s="3" t="str">
        <f t="shared" si="2"/>
        <v>INSERT INTO attributes (parent_id, tag, name, priority, allow_as_filter, allow_for_dataset, allow_for_measurement, allow_for_users, allow_for_qc) VALUES (NULL, 'att_animal_model',  'Animal Model',  500,  TRUE, TRUE, TRUE, FALSE, FALSE);</v>
      </c>
      <c r="O27" s="3" t="str">
        <f t="shared" si="3"/>
        <v xml:space="preserve">INSERT INTO attribute_values (attribute_id, tag, name, details) VALUES ((SELECT id FROM attributes WHERE tag = 'att_animal_model' LIMIT 1),  'att_animal_model:vil_cre',  'Vil-Cre',  'Intestinal epithelium'); </v>
      </c>
    </row>
    <row r="28" spans="1:15">
      <c r="A28" s="7" t="b">
        <f>FALSE()</f>
        <v>0</v>
      </c>
      <c r="B28" s="7"/>
      <c r="C28" s="3">
        <v>7860</v>
      </c>
      <c r="D28" s="3" t="s">
        <v>420</v>
      </c>
      <c r="E28" s="3" t="s">
        <v>12</v>
      </c>
      <c r="F28" s="3" t="s">
        <v>2416</v>
      </c>
      <c r="G28" s="3" t="s">
        <v>2417</v>
      </c>
      <c r="H28" s="3" t="str">
        <f t="shared" si="0"/>
        <v>att_celllines</v>
      </c>
      <c r="I28" s="3" t="s">
        <v>419</v>
      </c>
      <c r="J28" s="3" t="str">
        <f t="shared" si="1"/>
        <v>att_celllines:786_0</v>
      </c>
      <c r="K28" s="6" t="s">
        <v>16</v>
      </c>
      <c r="L28" s="3" t="s">
        <v>421</v>
      </c>
      <c r="M28" s="3" t="s">
        <v>2418</v>
      </c>
      <c r="N28" s="3" t="str">
        <f t="shared" si="2"/>
        <v>INSERT INTO attributes (parent_id, tag, name, priority, allow_as_filter, allow_for_dataset, allow_for_measurement, allow_for_users, allow_for_qc) VALUES (NULL, 'att_celllines',  'Celllines',  500,  TRUE, TRUE, TRUE, FALSE, FALSE);</v>
      </c>
      <c r="O28" s="3" t="str">
        <f t="shared" si="3"/>
        <v xml:space="preserve">INSERT INTO attribute_values (attribute_id, tag, name, details) VALUES ((SELECT id FROM attributes WHERE tag = 'att_celllines' LIMIT 1),  'att_celllines:786_0',  '786-0',  'Human NCI-60 cell line; Renal Cancer'); </v>
      </c>
    </row>
    <row r="29" spans="1:15">
      <c r="A29" s="7" t="b">
        <f>FALSE()</f>
        <v>0</v>
      </c>
      <c r="B29" s="7"/>
      <c r="C29" s="3" t="s">
        <v>422</v>
      </c>
      <c r="D29" s="3" t="s">
        <v>423</v>
      </c>
      <c r="E29" s="3" t="s">
        <v>12</v>
      </c>
      <c r="F29" s="3" t="s">
        <v>2416</v>
      </c>
      <c r="G29" s="3" t="s">
        <v>2417</v>
      </c>
      <c r="H29" s="3" t="str">
        <f t="shared" si="0"/>
        <v>att_celllines</v>
      </c>
      <c r="I29" s="3" t="s">
        <v>422</v>
      </c>
      <c r="J29" s="3" t="str">
        <f t="shared" si="1"/>
        <v>att_celllines:a498</v>
      </c>
      <c r="K29" s="6" t="s">
        <v>16</v>
      </c>
      <c r="L29" s="3" t="s">
        <v>421</v>
      </c>
      <c r="M29" s="3" t="s">
        <v>2418</v>
      </c>
      <c r="N29" s="3" t="str">
        <f t="shared" si="2"/>
        <v>INSERT INTO attributes (parent_id, tag, name, priority, allow_as_filter, allow_for_dataset, allow_for_measurement, allow_for_users, allow_for_qc) VALUES (NULL, 'att_celllines',  'Celllines',  500,  TRUE, TRUE, TRUE, FALSE, FALSE);</v>
      </c>
      <c r="O29" s="3" t="str">
        <f t="shared" si="3"/>
        <v xml:space="preserve">INSERT INTO attribute_values (attribute_id, tag, name, details) VALUES ((SELECT id FROM attributes WHERE tag = 'att_celllines' LIMIT 1),  'att_celllines:a498',  'A498',  'Human NCI-60 cell line; Renal Cancer'); </v>
      </c>
    </row>
    <row r="30" spans="1:15">
      <c r="A30" s="7" t="b">
        <f>FALSE()</f>
        <v>0</v>
      </c>
      <c r="B30" s="7"/>
      <c r="C30" s="3" t="s">
        <v>424</v>
      </c>
      <c r="D30" s="3" t="s">
        <v>425</v>
      </c>
      <c r="E30" s="3" t="s">
        <v>12</v>
      </c>
      <c r="F30" s="3" t="s">
        <v>2416</v>
      </c>
      <c r="G30" s="3" t="s">
        <v>2417</v>
      </c>
      <c r="H30" s="3" t="str">
        <f t="shared" si="0"/>
        <v>att_celllines</v>
      </c>
      <c r="I30" s="3" t="s">
        <v>424</v>
      </c>
      <c r="J30" s="3" t="str">
        <f t="shared" si="1"/>
        <v>att_celllines:a549</v>
      </c>
      <c r="K30" s="6" t="s">
        <v>16</v>
      </c>
      <c r="L30" s="3" t="s">
        <v>426</v>
      </c>
      <c r="M30" s="3" t="s">
        <v>2418</v>
      </c>
      <c r="N30" s="3" t="str">
        <f t="shared" si="2"/>
        <v>INSERT INTO attributes (parent_id, tag, name, priority, allow_as_filter, allow_for_dataset, allow_for_measurement, allow_for_users, allow_for_qc) VALUES (NULL, 'att_celllines',  'Celllines',  500,  TRUE, TRUE, TRUE, FALSE, FALSE);</v>
      </c>
      <c r="O30" s="3" t="str">
        <f t="shared" si="3"/>
        <v xml:space="preserve">INSERT INTO attribute_values (attribute_id, tag, name, details) VALUES ((SELECT id FROM attributes WHERE tag = 'att_celllines' LIMIT 1),  'att_celllines:a549',  'A549',  'Human NCI-60 cell line; Non-Small Cell Lung cancer'); </v>
      </c>
    </row>
    <row r="31" spans="1:15">
      <c r="A31" s="7" t="b">
        <f>FALSE()</f>
        <v>0</v>
      </c>
      <c r="B31" s="7"/>
      <c r="C31" s="3" t="s">
        <v>427</v>
      </c>
      <c r="D31" s="3" t="s">
        <v>428</v>
      </c>
      <c r="E31" s="3" t="s">
        <v>12</v>
      </c>
      <c r="F31" s="3" t="s">
        <v>2416</v>
      </c>
      <c r="G31" s="3" t="s">
        <v>2417</v>
      </c>
      <c r="H31" s="3" t="str">
        <f t="shared" si="0"/>
        <v>att_celllines</v>
      </c>
      <c r="I31" s="3" t="s">
        <v>427</v>
      </c>
      <c r="J31" s="3" t="str">
        <f t="shared" si="1"/>
        <v>att_celllines:achn</v>
      </c>
      <c r="K31" s="6" t="s">
        <v>16</v>
      </c>
      <c r="L31" s="3" t="s">
        <v>421</v>
      </c>
      <c r="M31" s="3" t="s">
        <v>2418</v>
      </c>
      <c r="N31" s="3" t="str">
        <f t="shared" si="2"/>
        <v>INSERT INTO attributes (parent_id, tag, name, priority, allow_as_filter, allow_for_dataset, allow_for_measurement, allow_for_users, allow_for_qc) VALUES (NULL, 'att_celllines',  'Celllines',  500,  TRUE, TRUE, TRUE, FALSE, FALSE);</v>
      </c>
      <c r="O31" s="3" t="str">
        <f t="shared" si="3"/>
        <v xml:space="preserve">INSERT INTO attribute_values (attribute_id, tag, name, details) VALUES ((SELECT id FROM attributes WHERE tag = 'att_celllines' LIMIT 1),  'att_celllines:achn',  'ACHN',  'Human NCI-60 cell line; Renal Cancer'); </v>
      </c>
    </row>
    <row r="32" spans="1:15">
      <c r="A32" s="7" t="b">
        <f>FALSE()</f>
        <v>0</v>
      </c>
      <c r="B32" s="7"/>
      <c r="C32" s="3" t="s">
        <v>429</v>
      </c>
      <c r="D32" s="3" t="s">
        <v>430</v>
      </c>
      <c r="E32" s="3" t="s">
        <v>12</v>
      </c>
      <c r="F32" s="3" t="s">
        <v>2416</v>
      </c>
      <c r="G32" s="3" t="s">
        <v>2417</v>
      </c>
      <c r="H32" s="3" t="str">
        <f t="shared" si="0"/>
        <v>att_celllines</v>
      </c>
      <c r="I32" s="3" t="s">
        <v>429</v>
      </c>
      <c r="J32" s="3" t="str">
        <f t="shared" si="1"/>
        <v>att_celllines:bmdc</v>
      </c>
      <c r="K32" s="6" t="s">
        <v>16</v>
      </c>
      <c r="L32" s="3" t="s">
        <v>430</v>
      </c>
      <c r="M32" s="3" t="s">
        <v>12</v>
      </c>
      <c r="N32" s="3" t="str">
        <f t="shared" si="2"/>
        <v>INSERT INTO attributes (parent_id, tag, name, priority, allow_as_filter, allow_for_dataset, allow_for_measurement, allow_for_users, allow_for_qc) VALUES (NULL, 'att_celllines',  'Celllines',  500,  TRUE, TRUE, TRUE, FALSE, FALSE);</v>
      </c>
      <c r="O32" s="3" t="str">
        <f t="shared" si="3"/>
        <v xml:space="preserve">INSERT INTO attribute_values (attribute_id, tag, name, details) VALUES ((SELECT id FROM attributes WHERE tag = 'att_celllines' LIMIT 1),  'att_celllines:bmdc',  'BMDC',  'BMDC'); </v>
      </c>
    </row>
    <row r="33" spans="1:15">
      <c r="A33" s="7" t="b">
        <f>FALSE()</f>
        <v>0</v>
      </c>
      <c r="B33" s="7"/>
      <c r="C33" s="3" t="s">
        <v>431</v>
      </c>
      <c r="D33" s="3" t="s">
        <v>432</v>
      </c>
      <c r="E33" s="3" t="s">
        <v>12</v>
      </c>
      <c r="F33" s="3" t="s">
        <v>2416</v>
      </c>
      <c r="G33" s="3" t="s">
        <v>2417</v>
      </c>
      <c r="H33" s="3" t="str">
        <f t="shared" si="0"/>
        <v>att_celllines</v>
      </c>
      <c r="I33" s="3" t="s">
        <v>431</v>
      </c>
      <c r="J33" s="3" t="str">
        <f t="shared" si="1"/>
        <v>att_celllines:bmm</v>
      </c>
      <c r="K33" s="6" t="s">
        <v>16</v>
      </c>
      <c r="L33" s="3" t="s">
        <v>433</v>
      </c>
      <c r="M33" s="3" t="s">
        <v>12</v>
      </c>
      <c r="N33" s="3" t="str">
        <f t="shared" si="2"/>
        <v>INSERT INTO attributes (parent_id, tag, name, priority, allow_as_filter, allow_for_dataset, allow_for_measurement, allow_for_users, allow_for_qc) VALUES (NULL, 'att_celllines',  'Celllines',  500,  TRUE, TRUE, TRUE, FALSE, FALSE);</v>
      </c>
      <c r="O33" s="3" t="str">
        <f t="shared" si="3"/>
        <v xml:space="preserve">INSERT INTO attribute_values (attribute_id, tag, name, details) VALUES ((SELECT id FROM attributes WHERE tag = 'att_celllines' LIMIT 1),  'att_celllines:bmm',  'BMM',  'Bone-marrow-derived macrophages'); </v>
      </c>
    </row>
    <row r="34" spans="1:15">
      <c r="A34" s="7" t="b">
        <f>FALSE()</f>
        <v>0</v>
      </c>
      <c r="B34" s="7"/>
      <c r="C34" s="3" t="s">
        <v>434</v>
      </c>
      <c r="D34" s="3" t="s">
        <v>435</v>
      </c>
      <c r="E34" s="3" t="s">
        <v>12</v>
      </c>
      <c r="F34" s="3" t="s">
        <v>2416</v>
      </c>
      <c r="G34" s="3" t="s">
        <v>2417</v>
      </c>
      <c r="H34" s="3" t="str">
        <f t="shared" si="0"/>
        <v>att_celllines</v>
      </c>
      <c r="I34" s="3" t="s">
        <v>434</v>
      </c>
      <c r="J34" s="3" t="str">
        <f t="shared" si="1"/>
        <v>att_celllines:bt549</v>
      </c>
      <c r="K34" s="6" t="s">
        <v>16</v>
      </c>
      <c r="L34" s="3" t="s">
        <v>436</v>
      </c>
      <c r="M34" s="3" t="s">
        <v>2418</v>
      </c>
      <c r="N34" s="3" t="str">
        <f t="shared" si="2"/>
        <v>INSERT INTO attributes (parent_id, tag, name, priority, allow_as_filter, allow_for_dataset, allow_for_measurement, allow_for_users, allow_for_qc) VALUES (NULL, 'att_celllines',  'Celllines',  500,  TRUE, TRUE, TRUE, FALSE, FALSE);</v>
      </c>
      <c r="O34" s="3" t="str">
        <f t="shared" si="3"/>
        <v xml:space="preserve">INSERT INTO attribute_values (attribute_id, tag, name, details) VALUES ((SELECT id FROM attributes WHERE tag = 'att_celllines' LIMIT 1),  'att_celllines:bt549',  'BT-549',  'Human NCI-60 cell line; Breast Cancer'); </v>
      </c>
    </row>
    <row r="35" spans="1:15">
      <c r="A35" s="7" t="b">
        <f>FALSE()</f>
        <v>0</v>
      </c>
      <c r="B35" s="7"/>
      <c r="C35" s="3" t="s">
        <v>437</v>
      </c>
      <c r="D35" s="3" t="s">
        <v>438</v>
      </c>
      <c r="E35" s="3" t="s">
        <v>12</v>
      </c>
      <c r="F35" s="3" t="s">
        <v>2416</v>
      </c>
      <c r="G35" s="3" t="s">
        <v>2417</v>
      </c>
      <c r="H35" s="3" t="str">
        <f t="shared" si="0"/>
        <v>att_celllines</v>
      </c>
      <c r="I35" s="3" t="s">
        <v>437</v>
      </c>
      <c r="J35" s="3" t="str">
        <f t="shared" si="1"/>
        <v>att_celllines:caki1</v>
      </c>
      <c r="K35" s="6" t="s">
        <v>16</v>
      </c>
      <c r="L35" s="3" t="s">
        <v>421</v>
      </c>
      <c r="M35" s="3" t="s">
        <v>2418</v>
      </c>
      <c r="N35" s="3" t="str">
        <f t="shared" si="2"/>
        <v>INSERT INTO attributes (parent_id, tag, name, priority, allow_as_filter, allow_for_dataset, allow_for_measurement, allow_for_users, allow_for_qc) VALUES (NULL, 'att_celllines',  'Celllines',  500,  TRUE, TRUE, TRUE, FALSE, FALSE);</v>
      </c>
      <c r="O35" s="3" t="str">
        <f t="shared" si="3"/>
        <v xml:space="preserve">INSERT INTO attribute_values (attribute_id, tag, name, details) VALUES ((SELECT id FROM attributes WHERE tag = 'att_celllines' LIMIT 1),  'att_celllines:caki1',  'CAKI-1',  'Human NCI-60 cell line; Renal Cancer'); </v>
      </c>
    </row>
    <row r="36" spans="1:15">
      <c r="A36" s="7" t="b">
        <f>FALSE()</f>
        <v>0</v>
      </c>
      <c r="B36" s="7"/>
      <c r="C36" s="3" t="s">
        <v>439</v>
      </c>
      <c r="D36" s="3" t="s">
        <v>440</v>
      </c>
      <c r="E36" s="3" t="s">
        <v>12</v>
      </c>
      <c r="F36" s="3" t="s">
        <v>2416</v>
      </c>
      <c r="G36" s="3" t="s">
        <v>2417</v>
      </c>
      <c r="H36" s="3" t="str">
        <f t="shared" si="0"/>
        <v>att_celllines</v>
      </c>
      <c r="I36" s="3" t="s">
        <v>439</v>
      </c>
      <c r="J36" s="3" t="str">
        <f t="shared" si="1"/>
        <v>att_celllines:cho</v>
      </c>
      <c r="K36" s="6" t="s">
        <v>16</v>
      </c>
      <c r="L36" s="3" t="s">
        <v>441</v>
      </c>
      <c r="M36" s="3" t="s">
        <v>2419</v>
      </c>
      <c r="N36" s="3" t="str">
        <f t="shared" si="2"/>
        <v>INSERT INTO attributes (parent_id, tag, name, priority, allow_as_filter, allow_for_dataset, allow_for_measurement, allow_for_users, allow_for_qc) VALUES (NULL, 'att_celllines',  'Celllines',  500,  TRUE, TRUE, TRUE, FALSE, FALSE);</v>
      </c>
      <c r="O36" s="3" t="str">
        <f t="shared" si="3"/>
        <v xml:space="preserve">INSERT INTO attribute_values (attribute_id, tag, name, details) VALUES ((SELECT id FROM attributes WHERE tag = 'att_celllines' LIMIT 1),  'att_celllines:cho',  'CHO',  'Chinese hamster ovary'); </v>
      </c>
    </row>
    <row r="37" spans="1:15">
      <c r="A37" s="7" t="b">
        <f>FALSE()</f>
        <v>0</v>
      </c>
      <c r="B37" s="7"/>
      <c r="C37" s="3" t="s">
        <v>442</v>
      </c>
      <c r="D37" s="3" t="s">
        <v>443</v>
      </c>
      <c r="E37" s="3" t="s">
        <v>12</v>
      </c>
      <c r="F37" s="3" t="s">
        <v>2416</v>
      </c>
      <c r="G37" s="3" t="s">
        <v>2417</v>
      </c>
      <c r="H37" s="3" t="str">
        <f t="shared" si="0"/>
        <v>att_celllines</v>
      </c>
      <c r="I37" s="3" t="s">
        <v>442</v>
      </c>
      <c r="J37" s="3" t="str">
        <f t="shared" si="1"/>
        <v>att_celllines:colo205</v>
      </c>
      <c r="K37" s="6" t="s">
        <v>16</v>
      </c>
      <c r="L37" s="3" t="s">
        <v>444</v>
      </c>
      <c r="M37" s="3" t="s">
        <v>2418</v>
      </c>
      <c r="N37" s="3" t="str">
        <f t="shared" si="2"/>
        <v>INSERT INTO attributes (parent_id, tag, name, priority, allow_as_filter, allow_for_dataset, allow_for_measurement, allow_for_users, allow_for_qc) VALUES (NULL, 'att_celllines',  'Celllines',  500,  TRUE, TRUE, TRUE, FALSE, FALSE);</v>
      </c>
      <c r="O37" s="3" t="str">
        <f t="shared" si="3"/>
        <v xml:space="preserve">INSERT INTO attribute_values (attribute_id, tag, name, details) VALUES ((SELECT id FROM attributes WHERE tag = 'att_celllines' LIMIT 1),  'att_celllines:colo205',  'COLO205',  'Human NCI-60 cell line; Colon cancer'); </v>
      </c>
    </row>
    <row r="38" spans="1:15">
      <c r="A38" s="7" t="b">
        <f>FALSE()</f>
        <v>0</v>
      </c>
      <c r="B38" s="7"/>
      <c r="C38" s="3" t="s">
        <v>445</v>
      </c>
      <c r="D38" s="3" t="s">
        <v>446</v>
      </c>
      <c r="E38" s="3" t="s">
        <v>12</v>
      </c>
      <c r="F38" s="3" t="s">
        <v>2416</v>
      </c>
      <c r="G38" s="3" t="s">
        <v>2417</v>
      </c>
      <c r="H38" s="3" t="str">
        <f t="shared" si="0"/>
        <v>att_celllines</v>
      </c>
      <c r="I38" s="3" t="s">
        <v>445</v>
      </c>
      <c r="J38" s="3" t="str">
        <f t="shared" si="1"/>
        <v>att_celllines:crfcem</v>
      </c>
      <c r="K38" s="6" t="s">
        <v>16</v>
      </c>
      <c r="L38" s="3" t="s">
        <v>447</v>
      </c>
      <c r="M38" s="3" t="s">
        <v>2418</v>
      </c>
      <c r="N38" s="3" t="str">
        <f t="shared" si="2"/>
        <v>INSERT INTO attributes (parent_id, tag, name, priority, allow_as_filter, allow_for_dataset, allow_for_measurement, allow_for_users, allow_for_qc) VALUES (NULL, 'att_celllines',  'Celllines',  500,  TRUE, TRUE, TRUE, FALSE, FALSE);</v>
      </c>
      <c r="O38" s="3" t="str">
        <f t="shared" si="3"/>
        <v xml:space="preserve">INSERT INTO attribute_values (attribute_id, tag, name, details) VALUES ((SELECT id FROM attributes WHERE tag = 'att_celllines' LIMIT 1),  'att_celllines:crfcem',  'CRF-CEM',  'Human NCI-60 cell line; Leukemia'); </v>
      </c>
    </row>
    <row r="39" spans="1:15">
      <c r="A39" s="7" t="b">
        <f>FALSE()</f>
        <v>0</v>
      </c>
      <c r="B39" s="7"/>
      <c r="C39" s="3" t="s">
        <v>448</v>
      </c>
      <c r="D39" s="3" t="s">
        <v>449</v>
      </c>
      <c r="E39" s="3" t="s">
        <v>12</v>
      </c>
      <c r="F39" s="3" t="s">
        <v>2416</v>
      </c>
      <c r="G39" s="3" t="s">
        <v>2417</v>
      </c>
      <c r="H39" s="3" t="str">
        <f t="shared" si="0"/>
        <v>att_celllines</v>
      </c>
      <c r="I39" s="3" t="s">
        <v>448</v>
      </c>
      <c r="J39" s="3" t="str">
        <f t="shared" si="1"/>
        <v>att_celllines:du145</v>
      </c>
      <c r="K39" s="6" t="s">
        <v>16</v>
      </c>
      <c r="L39" s="3" t="s">
        <v>450</v>
      </c>
      <c r="M39" s="3" t="s">
        <v>2418</v>
      </c>
      <c r="N39" s="3" t="str">
        <f t="shared" si="2"/>
        <v>INSERT INTO attributes (parent_id, tag, name, priority, allow_as_filter, allow_for_dataset, allow_for_measurement, allow_for_users, allow_for_qc) VALUES (NULL, 'att_celllines',  'Celllines',  500,  TRUE, TRUE, TRUE, FALSE, FALSE);</v>
      </c>
      <c r="O39" s="3" t="str">
        <f t="shared" si="3"/>
        <v xml:space="preserve">INSERT INTO attribute_values (attribute_id, tag, name, details) VALUES ((SELECT id FROM attributes WHERE tag = 'att_celllines' LIMIT 1),  'att_celllines:du145',  'DU-145',  'Human NCI-60 cell line; Prostate Cancer'); </v>
      </c>
    </row>
    <row r="40" spans="1:15">
      <c r="A40" s="7" t="b">
        <f>FALSE()</f>
        <v>0</v>
      </c>
      <c r="B40" s="7"/>
      <c r="C40" s="3" t="s">
        <v>451</v>
      </c>
      <c r="D40" s="3" t="s">
        <v>452</v>
      </c>
      <c r="E40" s="3" t="s">
        <v>12</v>
      </c>
      <c r="F40" s="3" t="s">
        <v>2416</v>
      </c>
      <c r="G40" s="3" t="s">
        <v>2417</v>
      </c>
      <c r="H40" s="3" t="str">
        <f t="shared" si="0"/>
        <v>att_celllines</v>
      </c>
      <c r="I40" s="3" t="s">
        <v>451</v>
      </c>
      <c r="J40" s="3" t="str">
        <f t="shared" si="1"/>
        <v>att_celllines:ekvx</v>
      </c>
      <c r="K40" s="6" t="s">
        <v>16</v>
      </c>
      <c r="L40" s="3" t="s">
        <v>426</v>
      </c>
      <c r="M40" s="3" t="s">
        <v>2418</v>
      </c>
      <c r="N40" s="3" t="str">
        <f t="shared" si="2"/>
        <v>INSERT INTO attributes (parent_id, tag, name, priority, allow_as_filter, allow_for_dataset, allow_for_measurement, allow_for_users, allow_for_qc) VALUES (NULL, 'att_celllines',  'Celllines',  500,  TRUE, TRUE, TRUE, FALSE, FALSE);</v>
      </c>
      <c r="O40" s="3" t="str">
        <f t="shared" si="3"/>
        <v xml:space="preserve">INSERT INTO attribute_values (attribute_id, tag, name, details) VALUES ((SELECT id FROM attributes WHERE tag = 'att_celllines' LIMIT 1),  'att_celllines:ekvx',  'EKVX',  'Human NCI-60 cell line; Non-Small Cell Lung cancer'); </v>
      </c>
    </row>
    <row r="41" spans="1:15">
      <c r="A41" s="7" t="b">
        <f>FALSE()</f>
        <v>0</v>
      </c>
      <c r="B41" s="7"/>
      <c r="C41" s="3" t="s">
        <v>453</v>
      </c>
      <c r="D41" s="3" t="s">
        <v>454</v>
      </c>
      <c r="E41" s="3" t="s">
        <v>12</v>
      </c>
      <c r="F41" s="3" t="s">
        <v>2416</v>
      </c>
      <c r="G41" s="3" t="s">
        <v>2417</v>
      </c>
      <c r="H41" s="3" t="str">
        <f t="shared" si="0"/>
        <v>att_celllines</v>
      </c>
      <c r="I41" s="3" t="s">
        <v>453</v>
      </c>
      <c r="J41" s="3" t="str">
        <f t="shared" si="1"/>
        <v>att_celllines:hcc2998</v>
      </c>
      <c r="K41" s="6" t="s">
        <v>16</v>
      </c>
      <c r="L41" s="3" t="s">
        <v>444</v>
      </c>
      <c r="M41" s="3" t="s">
        <v>2418</v>
      </c>
      <c r="N41" s="3" t="str">
        <f t="shared" si="2"/>
        <v>INSERT INTO attributes (parent_id, tag, name, priority, allow_as_filter, allow_for_dataset, allow_for_measurement, allow_for_users, allow_for_qc) VALUES (NULL, 'att_celllines',  'Celllines',  500,  TRUE, TRUE, TRUE, FALSE, FALSE);</v>
      </c>
      <c r="O41" s="3" t="str">
        <f t="shared" si="3"/>
        <v xml:space="preserve">INSERT INTO attribute_values (attribute_id, tag, name, details) VALUES ((SELECT id FROM attributes WHERE tag = 'att_celllines' LIMIT 1),  'att_celllines:hcc2998',  'HCC-2998',  'Human NCI-60 cell line; Colon cancer'); </v>
      </c>
    </row>
    <row r="42" spans="1:15">
      <c r="A42" s="7" t="b">
        <f>FALSE()</f>
        <v>0</v>
      </c>
      <c r="B42" s="7"/>
      <c r="C42" s="3" t="s">
        <v>455</v>
      </c>
      <c r="D42" s="3" t="s">
        <v>456</v>
      </c>
      <c r="E42" s="3" t="s">
        <v>12</v>
      </c>
      <c r="F42" s="3" t="s">
        <v>2416</v>
      </c>
      <c r="G42" s="3" t="s">
        <v>2417</v>
      </c>
      <c r="H42" s="3" t="str">
        <f t="shared" si="0"/>
        <v>att_celllines</v>
      </c>
      <c r="I42" s="3" t="s">
        <v>455</v>
      </c>
      <c r="J42" s="3" t="str">
        <f t="shared" si="1"/>
        <v>att_celllines:hct116</v>
      </c>
      <c r="K42" s="6" t="s">
        <v>16</v>
      </c>
      <c r="L42" s="3" t="s">
        <v>444</v>
      </c>
      <c r="M42" s="3" t="s">
        <v>2418</v>
      </c>
      <c r="N42" s="3" t="str">
        <f t="shared" si="2"/>
        <v>INSERT INTO attributes (parent_id, tag, name, priority, allow_as_filter, allow_for_dataset, allow_for_measurement, allow_for_users, allow_for_qc) VALUES (NULL, 'att_celllines',  'Celllines',  500,  TRUE, TRUE, TRUE, FALSE, FALSE);</v>
      </c>
      <c r="O42" s="3" t="str">
        <f t="shared" si="3"/>
        <v xml:space="preserve">INSERT INTO attribute_values (attribute_id, tag, name, details) VALUES ((SELECT id FROM attributes WHERE tag = 'att_celllines' LIMIT 1),  'att_celllines:hct116',  'HCT-116',  'Human NCI-60 cell line; Colon cancer'); </v>
      </c>
    </row>
    <row r="43" spans="1:15">
      <c r="A43" s="7" t="b">
        <f>FALSE()</f>
        <v>0</v>
      </c>
      <c r="B43" s="7"/>
      <c r="C43" s="3" t="s">
        <v>457</v>
      </c>
      <c r="D43" s="3" t="s">
        <v>458</v>
      </c>
      <c r="E43" s="3" t="s">
        <v>12</v>
      </c>
      <c r="F43" s="3" t="s">
        <v>2416</v>
      </c>
      <c r="G43" s="3" t="s">
        <v>2417</v>
      </c>
      <c r="H43" s="3" t="str">
        <f t="shared" si="0"/>
        <v>att_celllines</v>
      </c>
      <c r="I43" s="3" t="s">
        <v>457</v>
      </c>
      <c r="J43" s="3" t="str">
        <f t="shared" si="1"/>
        <v>att_celllines:hct15</v>
      </c>
      <c r="K43" s="6" t="s">
        <v>16</v>
      </c>
      <c r="L43" s="3" t="s">
        <v>444</v>
      </c>
      <c r="M43" s="3" t="s">
        <v>2418</v>
      </c>
      <c r="N43" s="3" t="str">
        <f t="shared" si="2"/>
        <v>INSERT INTO attributes (parent_id, tag, name, priority, allow_as_filter, allow_for_dataset, allow_for_measurement, allow_for_users, allow_for_qc) VALUES (NULL, 'att_celllines',  'Celllines',  500,  TRUE, TRUE, TRUE, FALSE, FALSE);</v>
      </c>
      <c r="O43" s="3" t="str">
        <f t="shared" si="3"/>
        <v xml:space="preserve">INSERT INTO attribute_values (attribute_id, tag, name, details) VALUES ((SELECT id FROM attributes WHERE tag = 'att_celllines' LIMIT 1),  'att_celllines:hct15',  'HCT-15',  'Human NCI-60 cell line; Colon cancer'); </v>
      </c>
    </row>
    <row r="44" spans="1:15">
      <c r="A44" s="7" t="b">
        <f>FALSE()</f>
        <v>0</v>
      </c>
      <c r="B44" s="7"/>
      <c r="C44" s="3" t="s">
        <v>459</v>
      </c>
      <c r="D44" s="3" t="s">
        <v>460</v>
      </c>
      <c r="E44" s="3" t="s">
        <v>12</v>
      </c>
      <c r="F44" s="3" t="s">
        <v>2416</v>
      </c>
      <c r="G44" s="3" t="s">
        <v>2417</v>
      </c>
      <c r="H44" s="3" t="str">
        <f t="shared" si="0"/>
        <v>att_celllines</v>
      </c>
      <c r="I44" s="3" t="s">
        <v>459</v>
      </c>
      <c r="J44" s="3" t="str">
        <f t="shared" si="1"/>
        <v>att_celllines:hek293</v>
      </c>
      <c r="K44" s="6" t="s">
        <v>16</v>
      </c>
      <c r="L44" s="3" t="s">
        <v>461</v>
      </c>
      <c r="M44" s="3" t="s">
        <v>2419</v>
      </c>
      <c r="N44" s="3" t="str">
        <f t="shared" si="2"/>
        <v>INSERT INTO attributes (parent_id, tag, name, priority, allow_as_filter, allow_for_dataset, allow_for_measurement, allow_for_users, allow_for_qc) VALUES (NULL, 'att_celllines',  'Celllines',  500,  TRUE, TRUE, TRUE, FALSE, FALSE);</v>
      </c>
      <c r="O44" s="3" t="str">
        <f t="shared" si="3"/>
        <v xml:space="preserve">INSERT INTO attribute_values (attribute_id, tag, name, details) VALUES ((SELECT id FROM attributes WHERE tag = 'att_celllines' LIMIT 1),  'att_celllines:hek293',  'HEK293',  'Human Embryonic Kidney cancer cells; epithelial'); </v>
      </c>
    </row>
    <row r="45" spans="1:15">
      <c r="A45" s="7" t="b">
        <f>FALSE()</f>
        <v>0</v>
      </c>
      <c r="B45" s="7"/>
      <c r="C45" s="3" t="s">
        <v>462</v>
      </c>
      <c r="D45" s="3" t="s">
        <v>463</v>
      </c>
      <c r="E45" s="3" t="s">
        <v>12</v>
      </c>
      <c r="F45" s="3" t="s">
        <v>2416</v>
      </c>
      <c r="G45" s="3" t="s">
        <v>2417</v>
      </c>
      <c r="H45" s="3" t="str">
        <f t="shared" si="0"/>
        <v>att_celllines</v>
      </c>
      <c r="I45" s="3" t="s">
        <v>462</v>
      </c>
      <c r="J45" s="3" t="str">
        <f t="shared" si="1"/>
        <v>att_celllines:hek293t</v>
      </c>
      <c r="K45" s="6" t="s">
        <v>16</v>
      </c>
      <c r="L45" s="3" t="s">
        <v>464</v>
      </c>
      <c r="M45" s="3" t="s">
        <v>2419</v>
      </c>
      <c r="N45" s="3" t="str">
        <f t="shared" si="2"/>
        <v>INSERT INTO attributes (parent_id, tag, name, priority, allow_as_filter, allow_for_dataset, allow_for_measurement, allow_for_users, allow_for_qc) VALUES (NULL, 'att_celllines',  'Celllines',  500,  TRUE, TRUE, TRUE, FALSE, FALSE);</v>
      </c>
      <c r="O45" s="3"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c r="A46" s="7" t="b">
        <f>FALSE()</f>
        <v>0</v>
      </c>
      <c r="B46" s="7"/>
      <c r="C46" s="3" t="s">
        <v>465</v>
      </c>
      <c r="D46" s="3" t="s">
        <v>466</v>
      </c>
      <c r="E46" s="3" t="s">
        <v>12</v>
      </c>
      <c r="F46" s="3" t="s">
        <v>2416</v>
      </c>
      <c r="G46" s="3" t="s">
        <v>2417</v>
      </c>
      <c r="H46" s="3" t="str">
        <f t="shared" si="0"/>
        <v>att_celllines</v>
      </c>
      <c r="I46" s="3" t="s">
        <v>465</v>
      </c>
      <c r="J46" s="3" t="str">
        <f t="shared" si="1"/>
        <v>att_celllines:hela</v>
      </c>
      <c r="K46" s="6" t="s">
        <v>16</v>
      </c>
      <c r="L46" s="3" t="s">
        <v>467</v>
      </c>
      <c r="M46" s="3" t="s">
        <v>2419</v>
      </c>
      <c r="N46" s="3" t="str">
        <f t="shared" si="2"/>
        <v>INSERT INTO attributes (parent_id, tag, name, priority, allow_as_filter, allow_for_dataset, allow_for_measurement, allow_for_users, allow_for_qc) VALUES (NULL, 'att_celllines',  'Celllines',  500,  TRUE, TRUE, TRUE, FALSE, FALSE);</v>
      </c>
      <c r="O46" s="3" t="str">
        <f t="shared" si="3"/>
        <v xml:space="preserve">INSERT INTO attribute_values (attribute_id, tag, name, details) VALUES ((SELECT id FROM attributes WHERE tag = 'att_celllines' LIMIT 1),  'att_celllines:hela',  'HeLa',  'Human epithelial cell; cervical cancer; Henrietta Lacks'); </v>
      </c>
    </row>
    <row r="47" spans="1:15">
      <c r="A47" s="7" t="b">
        <f>FALSE()</f>
        <v>0</v>
      </c>
      <c r="B47" s="7"/>
      <c r="C47" s="3" t="s">
        <v>468</v>
      </c>
      <c r="D47" s="3" t="s">
        <v>469</v>
      </c>
      <c r="E47" s="3" t="s">
        <v>12</v>
      </c>
      <c r="F47" s="3" t="s">
        <v>2416</v>
      </c>
      <c r="G47" s="3" t="s">
        <v>2417</v>
      </c>
      <c r="H47" s="3" t="str">
        <f t="shared" si="0"/>
        <v>att_celllines</v>
      </c>
      <c r="I47" s="3" t="s">
        <v>468</v>
      </c>
      <c r="J47" s="3" t="str">
        <f t="shared" si="1"/>
        <v>att_celllines:hl60</v>
      </c>
      <c r="K47" s="6" t="s">
        <v>16</v>
      </c>
      <c r="L47" s="3" t="s">
        <v>447</v>
      </c>
      <c r="M47" s="3" t="s">
        <v>2418</v>
      </c>
      <c r="N47" s="3" t="str">
        <f t="shared" si="2"/>
        <v>INSERT INTO attributes (parent_id, tag, name, priority, allow_as_filter, allow_for_dataset, allow_for_measurement, allow_for_users, allow_for_qc) VALUES (NULL, 'att_celllines',  'Celllines',  500,  TRUE, TRUE, TRUE, FALSE, FALSE);</v>
      </c>
      <c r="O47" s="3" t="str">
        <f t="shared" si="3"/>
        <v xml:space="preserve">INSERT INTO attribute_values (attribute_id, tag, name, details) VALUES ((SELECT id FROM attributes WHERE tag = 'att_celllines' LIMIT 1),  'att_celllines:hl60',  'HL-60',  'Human NCI-60 cell line; Leukemia'); </v>
      </c>
    </row>
    <row r="48" spans="1:15">
      <c r="A48" s="7" t="b">
        <f>FALSE()</f>
        <v>0</v>
      </c>
      <c r="B48" s="7"/>
      <c r="C48" s="3" t="s">
        <v>470</v>
      </c>
      <c r="D48" s="3" t="s">
        <v>471</v>
      </c>
      <c r="E48" s="3" t="s">
        <v>12</v>
      </c>
      <c r="F48" s="3" t="s">
        <v>2416</v>
      </c>
      <c r="G48" s="3" t="s">
        <v>2417</v>
      </c>
      <c r="H48" s="3" t="str">
        <f t="shared" si="0"/>
        <v>att_celllines</v>
      </c>
      <c r="I48" s="3" t="s">
        <v>470</v>
      </c>
      <c r="J48" s="3" t="str">
        <f t="shared" si="1"/>
        <v>att_celllines:hop62</v>
      </c>
      <c r="K48" s="6" t="s">
        <v>16</v>
      </c>
      <c r="L48" s="3" t="s">
        <v>426</v>
      </c>
      <c r="M48" s="3" t="s">
        <v>2418</v>
      </c>
      <c r="N48" s="3" t="str">
        <f t="shared" si="2"/>
        <v>INSERT INTO attributes (parent_id, tag, name, priority, allow_as_filter, allow_for_dataset, allow_for_measurement, allow_for_users, allow_for_qc) VALUES (NULL, 'att_celllines',  'Celllines',  500,  TRUE, TRUE, TRUE, FALSE, FALSE);</v>
      </c>
      <c r="O48" s="3" t="str">
        <f t="shared" si="3"/>
        <v xml:space="preserve">INSERT INTO attribute_values (attribute_id, tag, name, details) VALUES ((SELECT id FROM attributes WHERE tag = 'att_celllines' LIMIT 1),  'att_celllines:hop62',  'HOP-62',  'Human NCI-60 cell line; Non-Small Cell Lung cancer'); </v>
      </c>
    </row>
    <row r="49" spans="1:15">
      <c r="A49" s="7" t="b">
        <f>FALSE()</f>
        <v>0</v>
      </c>
      <c r="B49" s="7"/>
      <c r="C49" s="3" t="s">
        <v>472</v>
      </c>
      <c r="D49" s="3" t="s">
        <v>473</v>
      </c>
      <c r="E49" s="3" t="s">
        <v>12</v>
      </c>
      <c r="F49" s="3" t="s">
        <v>2416</v>
      </c>
      <c r="G49" s="3" t="s">
        <v>2417</v>
      </c>
      <c r="H49" s="3" t="str">
        <f t="shared" si="0"/>
        <v>att_celllines</v>
      </c>
      <c r="I49" s="3" t="s">
        <v>472</v>
      </c>
      <c r="J49" s="3" t="str">
        <f t="shared" si="1"/>
        <v>att_celllines:hop92</v>
      </c>
      <c r="K49" s="6" t="s">
        <v>16</v>
      </c>
      <c r="L49" s="3" t="s">
        <v>426</v>
      </c>
      <c r="M49" s="3" t="s">
        <v>2418</v>
      </c>
      <c r="N49" s="3" t="str">
        <f t="shared" si="2"/>
        <v>INSERT INTO attributes (parent_id, tag, name, priority, allow_as_filter, allow_for_dataset, allow_for_measurement, allow_for_users, allow_for_qc) VALUES (NULL, 'att_celllines',  'Celllines',  500,  TRUE, TRUE, TRUE, FALSE, FALSE);</v>
      </c>
      <c r="O49" s="3" t="str">
        <f t="shared" si="3"/>
        <v xml:space="preserve">INSERT INTO attribute_values (attribute_id, tag, name, details) VALUES ((SELECT id FROM attributes WHERE tag = 'att_celllines' LIMIT 1),  'att_celllines:hop92',  'HOP-92',  'Human NCI-60 cell line; Non-Small Cell Lung cancer'); </v>
      </c>
    </row>
    <row r="50" spans="1:15">
      <c r="A50" s="7" t="b">
        <f>FALSE()</f>
        <v>0</v>
      </c>
      <c r="B50" s="7"/>
      <c r="C50" s="3" t="s">
        <v>474</v>
      </c>
      <c r="D50" s="3" t="s">
        <v>475</v>
      </c>
      <c r="E50" s="3" t="s">
        <v>12</v>
      </c>
      <c r="F50" s="3" t="s">
        <v>2416</v>
      </c>
      <c r="G50" s="3" t="s">
        <v>2417</v>
      </c>
      <c r="H50" s="3" t="str">
        <f t="shared" si="0"/>
        <v>att_celllines</v>
      </c>
      <c r="I50" s="3" t="s">
        <v>474</v>
      </c>
      <c r="J50" s="3" t="str">
        <f t="shared" si="1"/>
        <v>att_celllines:hs578t</v>
      </c>
      <c r="K50" s="6" t="s">
        <v>16</v>
      </c>
      <c r="L50" s="3" t="s">
        <v>436</v>
      </c>
      <c r="M50" s="3" t="s">
        <v>2418</v>
      </c>
      <c r="N50" s="3" t="str">
        <f t="shared" si="2"/>
        <v>INSERT INTO attributes (parent_id, tag, name, priority, allow_as_filter, allow_for_dataset, allow_for_measurement, allow_for_users, allow_for_qc) VALUES (NULL, 'att_celllines',  'Celllines',  500,  TRUE, TRUE, TRUE, FALSE, FALSE);</v>
      </c>
      <c r="O50" s="3" t="str">
        <f t="shared" si="3"/>
        <v xml:space="preserve">INSERT INTO attribute_values (attribute_id, tag, name, details) VALUES ((SELECT id FROM attributes WHERE tag = 'att_celllines' LIMIT 1),  'att_celllines:hs578t',  'HS 578T',  'Human NCI-60 cell line; Breast Cancer'); </v>
      </c>
    </row>
    <row r="51" spans="1:15">
      <c r="A51" s="7" t="b">
        <f>FALSE()</f>
        <v>0</v>
      </c>
      <c r="B51" s="7"/>
      <c r="C51" s="3" t="s">
        <v>476</v>
      </c>
      <c r="D51" s="3" t="s">
        <v>477</v>
      </c>
      <c r="E51" s="3" t="s">
        <v>12</v>
      </c>
      <c r="F51" s="3" t="s">
        <v>2416</v>
      </c>
      <c r="G51" s="3" t="s">
        <v>2417</v>
      </c>
      <c r="H51" s="3" t="str">
        <f t="shared" si="0"/>
        <v>att_celllines</v>
      </c>
      <c r="I51" s="3" t="s">
        <v>476</v>
      </c>
      <c r="J51" s="3" t="str">
        <f t="shared" si="1"/>
        <v>att_celllines:ht29</v>
      </c>
      <c r="K51" s="6" t="s">
        <v>16</v>
      </c>
      <c r="L51" s="3" t="s">
        <v>444</v>
      </c>
      <c r="M51" s="3" t="s">
        <v>2418</v>
      </c>
      <c r="N51" s="3" t="str">
        <f t="shared" si="2"/>
        <v>INSERT INTO attributes (parent_id, tag, name, priority, allow_as_filter, allow_for_dataset, allow_for_measurement, allow_for_users, allow_for_qc) VALUES (NULL, 'att_celllines',  'Celllines',  500,  TRUE, TRUE, TRUE, FALSE, FALSE);</v>
      </c>
      <c r="O51" s="3" t="str">
        <f t="shared" si="3"/>
        <v xml:space="preserve">INSERT INTO attribute_values (attribute_id, tag, name, details) VALUES ((SELECT id FROM attributes WHERE tag = 'att_celllines' LIMIT 1),  'att_celllines:ht29',  'HT29',  'Human NCI-60 cell line; Colon cancer'); </v>
      </c>
    </row>
    <row r="52" spans="1:15">
      <c r="A52" s="7" t="b">
        <f>FALSE()</f>
        <v>0</v>
      </c>
      <c r="B52" s="7"/>
      <c r="C52" s="3" t="s">
        <v>478</v>
      </c>
      <c r="D52" s="3" t="s">
        <v>479</v>
      </c>
      <c r="E52" s="3" t="s">
        <v>12</v>
      </c>
      <c r="F52" s="3" t="s">
        <v>2416</v>
      </c>
      <c r="G52" s="3" t="s">
        <v>2417</v>
      </c>
      <c r="H52" s="3" t="str">
        <f t="shared" si="0"/>
        <v>att_celllines</v>
      </c>
      <c r="I52" s="3" t="s">
        <v>478</v>
      </c>
      <c r="J52" s="3" t="str">
        <f t="shared" si="1"/>
        <v>att_celllines:igrov1</v>
      </c>
      <c r="K52" s="6" t="s">
        <v>16</v>
      </c>
      <c r="L52" s="3" t="s">
        <v>480</v>
      </c>
      <c r="M52" s="3" t="s">
        <v>2418</v>
      </c>
      <c r="N52" s="3" t="str">
        <f t="shared" si="2"/>
        <v>INSERT INTO attributes (parent_id, tag, name, priority, allow_as_filter, allow_for_dataset, allow_for_measurement, allow_for_users, allow_for_qc) VALUES (NULL, 'att_celllines',  'Celllines',  500,  TRUE, TRUE, TRUE, FALSE, FALSE);</v>
      </c>
      <c r="O52" s="3" t="str">
        <f t="shared" si="3"/>
        <v xml:space="preserve">INSERT INTO attribute_values (attribute_id, tag, name, details) VALUES ((SELECT id FROM attributes WHERE tag = 'att_celllines' LIMIT 1),  'att_celllines:igrov1',  'IGR-OV1',  'Human NCI-60 cell line; Ovarian Cancer'); </v>
      </c>
    </row>
    <row r="53" spans="1:15">
      <c r="A53" s="7" t="b">
        <f>FALSE()</f>
        <v>0</v>
      </c>
      <c r="B53" s="7"/>
      <c r="C53" s="3" t="s">
        <v>484</v>
      </c>
      <c r="D53" s="3" t="s">
        <v>485</v>
      </c>
      <c r="E53" s="3" t="s">
        <v>12</v>
      </c>
      <c r="F53" s="3" t="s">
        <v>2416</v>
      </c>
      <c r="G53" s="3" t="s">
        <v>2417</v>
      </c>
      <c r="H53" s="3" t="str">
        <f t="shared" si="0"/>
        <v>att_celllines</v>
      </c>
      <c r="I53" s="3" t="s">
        <v>484</v>
      </c>
      <c r="J53" s="3" t="str">
        <f t="shared" si="1"/>
        <v>att_celllines:jeko1</v>
      </c>
      <c r="K53" s="6" t="s">
        <v>16</v>
      </c>
      <c r="L53" s="3" t="s">
        <v>486</v>
      </c>
      <c r="M53" s="3" t="s">
        <v>12</v>
      </c>
      <c r="N53" s="3" t="str">
        <f t="shared" si="2"/>
        <v>INSERT INTO attributes (parent_id, tag, name, priority, allow_as_filter, allow_for_dataset, allow_for_measurement, allow_for_users, allow_for_qc) VALUES (NULL, 'att_celllines',  'Celllines',  500,  TRUE, TRUE, TRUE, FALSE, FALSE);</v>
      </c>
      <c r="O53" s="3" t="str">
        <f t="shared" si="3"/>
        <v xml:space="preserve">INSERT INTO attribute_values (attribute_id, tag, name, details) VALUES ((SELECT id FROM attributes WHERE tag = 'att_celllines' LIMIT 1),  'att_celllines:jeko1',  'JeKo-1',  'Human Mantle cell lymphoma'); </v>
      </c>
    </row>
    <row r="54" spans="1:15">
      <c r="A54" s="7" t="b">
        <f>FALSE()</f>
        <v>0</v>
      </c>
      <c r="B54" s="7"/>
      <c r="C54" s="3" t="s">
        <v>487</v>
      </c>
      <c r="D54" s="3" t="s">
        <v>488</v>
      </c>
      <c r="E54" s="3" t="s">
        <v>12</v>
      </c>
      <c r="F54" s="3" t="s">
        <v>2416</v>
      </c>
      <c r="G54" s="3" t="s">
        <v>2417</v>
      </c>
      <c r="H54" s="3" t="str">
        <f t="shared" si="0"/>
        <v>att_celllines</v>
      </c>
      <c r="I54" s="3" t="s">
        <v>487</v>
      </c>
      <c r="J54" s="3" t="str">
        <f t="shared" si="1"/>
        <v>att_celllines:jurkat</v>
      </c>
      <c r="K54" s="6" t="s">
        <v>16</v>
      </c>
      <c r="L54" s="3" t="s">
        <v>489</v>
      </c>
      <c r="M54" s="3" t="s">
        <v>12</v>
      </c>
      <c r="N54" s="3" t="str">
        <f t="shared" si="2"/>
        <v>INSERT INTO attributes (parent_id, tag, name, priority, allow_as_filter, allow_for_dataset, allow_for_measurement, allow_for_users, allow_for_qc) VALUES (NULL, 'att_celllines',  'Celllines',  500,  TRUE, TRUE, TRUE, FALSE, FALSE);</v>
      </c>
      <c r="O54" s="3" t="str">
        <f t="shared" si="3"/>
        <v xml:space="preserve">INSERT INTO attribute_values (attribute_id, tag, name, details) VALUES ((SELECT id FROM attributes WHERE tag = 'att_celllines' LIMIT 1),  'att_celllines:jurkat',  'JURKAT',  'Acute T cell leukemia; human T lymphocytes'); </v>
      </c>
    </row>
    <row r="55" spans="1:15">
      <c r="A55" s="7" t="b">
        <f>FALSE()</f>
        <v>0</v>
      </c>
      <c r="B55" s="7"/>
      <c r="C55" s="3" t="s">
        <v>490</v>
      </c>
      <c r="D55" s="3" t="s">
        <v>491</v>
      </c>
      <c r="E55" s="3" t="s">
        <v>12</v>
      </c>
      <c r="F55" s="3" t="s">
        <v>2416</v>
      </c>
      <c r="G55" s="3" t="s">
        <v>2417</v>
      </c>
      <c r="H55" s="3" t="str">
        <f t="shared" si="0"/>
        <v>att_celllines</v>
      </c>
      <c r="I55" s="3" t="s">
        <v>490</v>
      </c>
      <c r="J55" s="3" t="str">
        <f t="shared" si="1"/>
        <v>att_celllines:jvm13</v>
      </c>
      <c r="K55" s="6" t="s">
        <v>16</v>
      </c>
      <c r="L55" s="3" t="s">
        <v>486</v>
      </c>
      <c r="M55" s="3" t="s">
        <v>12</v>
      </c>
      <c r="N55" s="3" t="str">
        <f t="shared" si="2"/>
        <v>INSERT INTO attributes (parent_id, tag, name, priority, allow_as_filter, allow_for_dataset, allow_for_measurement, allow_for_users, allow_for_qc) VALUES (NULL, 'att_celllines',  'Celllines',  500,  TRUE, TRUE, TRUE, FALSE, FALSE);</v>
      </c>
      <c r="O55" s="3" t="str">
        <f t="shared" si="3"/>
        <v xml:space="preserve">INSERT INTO attribute_values (attribute_id, tag, name, details) VALUES ((SELECT id FROM attributes WHERE tag = 'att_celllines' LIMIT 1),  'att_celllines:jvm13',  'JVM-13',  'Human Mantle cell lymphoma'); </v>
      </c>
    </row>
    <row r="56" spans="1:15">
      <c r="A56" s="7" t="b">
        <f>FALSE()</f>
        <v>0</v>
      </c>
      <c r="B56" s="7"/>
      <c r="C56" s="3" t="s">
        <v>492</v>
      </c>
      <c r="D56" s="3" t="s">
        <v>493</v>
      </c>
      <c r="E56" s="3" t="s">
        <v>12</v>
      </c>
      <c r="F56" s="3" t="s">
        <v>2416</v>
      </c>
      <c r="G56" s="3" t="s">
        <v>2417</v>
      </c>
      <c r="H56" s="3" t="str">
        <f t="shared" si="0"/>
        <v>att_celllines</v>
      </c>
      <c r="I56" s="3" t="s">
        <v>492</v>
      </c>
      <c r="J56" s="3" t="str">
        <f t="shared" si="1"/>
        <v>att_celllines:jvm2</v>
      </c>
      <c r="K56" s="6" t="s">
        <v>16</v>
      </c>
      <c r="L56" s="3" t="s">
        <v>486</v>
      </c>
      <c r="M56" s="3" t="s">
        <v>12</v>
      </c>
      <c r="N56" s="3" t="str">
        <f t="shared" si="2"/>
        <v>INSERT INTO attributes (parent_id, tag, name, priority, allow_as_filter, allow_for_dataset, allow_for_measurement, allow_for_users, allow_for_qc) VALUES (NULL, 'att_celllines',  'Celllines',  500,  TRUE, TRUE, TRUE, FALSE, FALSE);</v>
      </c>
      <c r="O56" s="3" t="str">
        <f t="shared" si="3"/>
        <v xml:space="preserve">INSERT INTO attribute_values (attribute_id, tag, name, details) VALUES ((SELECT id FROM attributes WHERE tag = 'att_celllines' LIMIT 1),  'att_celllines:jvm2',  'JVM-2',  'Human Mantle cell lymphoma'); </v>
      </c>
    </row>
    <row r="57" spans="1:15">
      <c r="A57" s="7" t="b">
        <f>FALSE()</f>
        <v>0</v>
      </c>
      <c r="B57" s="7"/>
      <c r="C57" s="3" t="s">
        <v>494</v>
      </c>
      <c r="D57" s="3" t="s">
        <v>495</v>
      </c>
      <c r="E57" s="3" t="s">
        <v>12</v>
      </c>
      <c r="F57" s="3" t="s">
        <v>2416</v>
      </c>
      <c r="G57" s="3" t="s">
        <v>2417</v>
      </c>
      <c r="H57" s="3" t="str">
        <f t="shared" si="0"/>
        <v>att_celllines</v>
      </c>
      <c r="I57" s="3" t="s">
        <v>494</v>
      </c>
      <c r="J57" s="3" t="str">
        <f t="shared" si="1"/>
        <v>att_celllines:k562</v>
      </c>
      <c r="K57" s="6" t="s">
        <v>16</v>
      </c>
      <c r="L57" s="3" t="s">
        <v>447</v>
      </c>
      <c r="M57" s="3" t="s">
        <v>2418</v>
      </c>
      <c r="N57" s="3" t="str">
        <f t="shared" si="2"/>
        <v>INSERT INTO attributes (parent_id, tag, name, priority, allow_as_filter, allow_for_dataset, allow_for_measurement, allow_for_users, allow_for_qc) VALUES (NULL, 'att_celllines',  'Celllines',  500,  TRUE, TRUE, TRUE, FALSE, FALSE);</v>
      </c>
      <c r="O57" s="3" t="str">
        <f t="shared" si="3"/>
        <v xml:space="preserve">INSERT INTO attribute_values (attribute_id, tag, name, details) VALUES ((SELECT id FROM attributes WHERE tag = 'att_celllines' LIMIT 1),  'att_celllines:k562',  'K-562',  'Human NCI-60 cell line; Leukemia'); </v>
      </c>
    </row>
    <row r="58" spans="1:15">
      <c r="A58" s="7" t="b">
        <f>FALSE()</f>
        <v>0</v>
      </c>
      <c r="B58" s="7"/>
      <c r="C58" s="3" t="s">
        <v>496</v>
      </c>
      <c r="D58" s="3" t="s">
        <v>497</v>
      </c>
      <c r="E58" s="3" t="s">
        <v>12</v>
      </c>
      <c r="F58" s="3" t="s">
        <v>2416</v>
      </c>
      <c r="G58" s="3" t="s">
        <v>2417</v>
      </c>
      <c r="H58" s="3" t="str">
        <f t="shared" si="0"/>
        <v>att_celllines</v>
      </c>
      <c r="I58" s="3" t="s">
        <v>496</v>
      </c>
      <c r="J58" s="3" t="str">
        <f t="shared" si="1"/>
        <v>att_celllines:km12</v>
      </c>
      <c r="K58" s="6" t="s">
        <v>16</v>
      </c>
      <c r="L58" s="3" t="s">
        <v>444</v>
      </c>
      <c r="M58" s="3" t="s">
        <v>2418</v>
      </c>
      <c r="N58" s="3" t="str">
        <f t="shared" si="2"/>
        <v>INSERT INTO attributes (parent_id, tag, name, priority, allow_as_filter, allow_for_dataset, allow_for_measurement, allow_for_users, allow_for_qc) VALUES (NULL, 'att_celllines',  'Celllines',  500,  TRUE, TRUE, TRUE, FALSE, FALSE);</v>
      </c>
      <c r="O58" s="3" t="str">
        <f t="shared" si="3"/>
        <v xml:space="preserve">INSERT INTO attribute_values (attribute_id, tag, name, details) VALUES ((SELECT id FROM attributes WHERE tag = 'att_celllines' LIMIT 1),  'att_celllines:km12',  'KM12',  'Human NCI-60 cell line; Colon cancer'); </v>
      </c>
    </row>
    <row r="59" spans="1:15">
      <c r="A59" s="7" t="b">
        <f>FALSE()</f>
        <v>0</v>
      </c>
      <c r="B59" s="7"/>
      <c r="C59" s="3" t="s">
        <v>498</v>
      </c>
      <c r="D59" s="3" t="s">
        <v>499</v>
      </c>
      <c r="E59" s="3" t="s">
        <v>12</v>
      </c>
      <c r="F59" s="3" t="s">
        <v>2416</v>
      </c>
      <c r="G59" s="3" t="s">
        <v>2417</v>
      </c>
      <c r="H59" s="3" t="str">
        <f t="shared" si="0"/>
        <v>att_celllines</v>
      </c>
      <c r="I59" s="3" t="s">
        <v>498</v>
      </c>
      <c r="J59" s="3" t="str">
        <f t="shared" si="1"/>
        <v>att_celllines:lox_imvi</v>
      </c>
      <c r="K59" s="6" t="s">
        <v>16</v>
      </c>
      <c r="L59" s="3" t="s">
        <v>500</v>
      </c>
      <c r="M59" s="3" t="s">
        <v>2418</v>
      </c>
      <c r="N59" s="3" t="str">
        <f t="shared" si="2"/>
        <v>INSERT INTO attributes (parent_id, tag, name, priority, allow_as_filter, allow_for_dataset, allow_for_measurement, allow_for_users, allow_for_qc) VALUES (NULL, 'att_celllines',  'Celllines',  500,  TRUE, TRUE, TRUE, FALSE, FALSE);</v>
      </c>
      <c r="O59" s="3" t="str">
        <f t="shared" si="3"/>
        <v xml:space="preserve">INSERT INTO attribute_values (attribute_id, tag, name, details) VALUES ((SELECT id FROM attributes WHERE tag = 'att_celllines' LIMIT 1),  'att_celllines:lox_imvi',  'LOX IMVI',  'Human NCI-60 cell line; Melanoma'); </v>
      </c>
    </row>
    <row r="60" spans="1:15">
      <c r="A60" s="7" t="b">
        <f>FALSE()</f>
        <v>0</v>
      </c>
      <c r="B60" s="7"/>
      <c r="C60" s="3" t="s">
        <v>501</v>
      </c>
      <c r="D60" s="3" t="s">
        <v>502</v>
      </c>
      <c r="E60" s="3" t="s">
        <v>12</v>
      </c>
      <c r="F60" s="3" t="s">
        <v>2416</v>
      </c>
      <c r="G60" s="3" t="s">
        <v>2417</v>
      </c>
      <c r="H60" s="3" t="str">
        <f t="shared" si="0"/>
        <v>att_celllines</v>
      </c>
      <c r="I60" s="3" t="s">
        <v>501</v>
      </c>
      <c r="J60" s="3" t="str">
        <f t="shared" si="1"/>
        <v>att_celllines:m14</v>
      </c>
      <c r="K60" s="6" t="s">
        <v>16</v>
      </c>
      <c r="L60" s="3" t="s">
        <v>500</v>
      </c>
      <c r="M60" s="3" t="s">
        <v>2418</v>
      </c>
      <c r="N60" s="3" t="str">
        <f t="shared" si="2"/>
        <v>INSERT INTO attributes (parent_id, tag, name, priority, allow_as_filter, allow_for_dataset, allow_for_measurement, allow_for_users, allow_for_qc) VALUES (NULL, 'att_celllines',  'Celllines',  500,  TRUE, TRUE, TRUE, FALSE, FALSE);</v>
      </c>
      <c r="O60" s="3" t="str">
        <f t="shared" si="3"/>
        <v xml:space="preserve">INSERT INTO attribute_values (attribute_id, tag, name, details) VALUES ((SELECT id FROM attributes WHERE tag = 'att_celllines' LIMIT 1),  'att_celllines:m14',  'M14',  'Human NCI-60 cell line; Melanoma'); </v>
      </c>
    </row>
    <row r="61" spans="1:15">
      <c r="A61" s="7" t="b">
        <f>FALSE()</f>
        <v>0</v>
      </c>
      <c r="B61" s="7"/>
      <c r="C61" s="3" t="s">
        <v>503</v>
      </c>
      <c r="D61" s="3" t="s">
        <v>504</v>
      </c>
      <c r="E61" s="3" t="s">
        <v>12</v>
      </c>
      <c r="F61" s="3" t="s">
        <v>2416</v>
      </c>
      <c r="G61" s="3" t="s">
        <v>2417</v>
      </c>
      <c r="H61" s="3" t="str">
        <f t="shared" si="0"/>
        <v>att_celllines</v>
      </c>
      <c r="I61" s="3" t="s">
        <v>503</v>
      </c>
      <c r="J61" s="3" t="str">
        <f t="shared" si="1"/>
        <v>att_celllines:malme3m</v>
      </c>
      <c r="K61" s="6" t="s">
        <v>16</v>
      </c>
      <c r="L61" s="3" t="s">
        <v>500</v>
      </c>
      <c r="M61" s="3" t="s">
        <v>2418</v>
      </c>
      <c r="N61" s="3" t="str">
        <f t="shared" si="2"/>
        <v>INSERT INTO attributes (parent_id, tag, name, priority, allow_as_filter, allow_for_dataset, allow_for_measurement, allow_for_users, allow_for_qc) VALUES (NULL, 'att_celllines',  'Celllines',  500,  TRUE, TRUE, TRUE, FALSE, FALSE);</v>
      </c>
      <c r="O61" s="3" t="str">
        <f t="shared" si="3"/>
        <v xml:space="preserve">INSERT INTO attribute_values (attribute_id, tag, name, details) VALUES ((SELECT id FROM attributes WHERE tag = 'att_celllines' LIMIT 1),  'att_celllines:malme3m',  'MALME-3M',  'Human NCI-60 cell line; Melanoma'); </v>
      </c>
    </row>
    <row r="62" spans="1:15">
      <c r="A62" s="7" t="b">
        <f>FALSE()</f>
        <v>0</v>
      </c>
      <c r="B62" s="7"/>
      <c r="C62" s="3" t="s">
        <v>505</v>
      </c>
      <c r="D62" s="3" t="s">
        <v>506</v>
      </c>
      <c r="E62" s="3" t="s">
        <v>12</v>
      </c>
      <c r="F62" s="3" t="s">
        <v>2416</v>
      </c>
      <c r="G62" s="3" t="s">
        <v>2417</v>
      </c>
      <c r="H62" s="3" t="str">
        <f t="shared" si="0"/>
        <v>att_celllines</v>
      </c>
      <c r="I62" s="3" t="s">
        <v>505</v>
      </c>
      <c r="J62" s="3" t="str">
        <f t="shared" si="1"/>
        <v>att_celllines:maver1</v>
      </c>
      <c r="K62" s="6" t="s">
        <v>16</v>
      </c>
      <c r="L62" s="3" t="s">
        <v>486</v>
      </c>
      <c r="M62" s="3" t="s">
        <v>12</v>
      </c>
      <c r="N62" s="3" t="str">
        <f t="shared" si="2"/>
        <v>INSERT INTO attributes (parent_id, tag, name, priority, allow_as_filter, allow_for_dataset, allow_for_measurement, allow_for_users, allow_for_qc) VALUES (NULL, 'att_celllines',  'Celllines',  500,  TRUE, TRUE, TRUE, FALSE, FALSE);</v>
      </c>
      <c r="O62" s="3" t="str">
        <f t="shared" si="3"/>
        <v xml:space="preserve">INSERT INTO attribute_values (attribute_id, tag, name, details) VALUES ((SELECT id FROM attributes WHERE tag = 'att_celllines' LIMIT 1),  'att_celllines:maver1',  'MAVER-1',  'Human Mantle cell lymphoma'); </v>
      </c>
    </row>
    <row r="63" spans="1:15">
      <c r="A63" s="7" t="b">
        <f>FALSE()</f>
        <v>0</v>
      </c>
      <c r="B63" s="7"/>
      <c r="C63" s="3" t="s">
        <v>507</v>
      </c>
      <c r="D63" s="3" t="s">
        <v>508</v>
      </c>
      <c r="E63" s="3" t="s">
        <v>12</v>
      </c>
      <c r="F63" s="3" t="s">
        <v>2416</v>
      </c>
      <c r="G63" s="3" t="s">
        <v>2417</v>
      </c>
      <c r="H63" s="3" t="str">
        <f t="shared" si="0"/>
        <v>att_celllines</v>
      </c>
      <c r="I63" s="3" t="s">
        <v>507</v>
      </c>
      <c r="J63" s="3" t="str">
        <f t="shared" si="1"/>
        <v>att_celllines:mcf7</v>
      </c>
      <c r="K63" s="6" t="s">
        <v>16</v>
      </c>
      <c r="L63" s="3" t="s">
        <v>436</v>
      </c>
      <c r="M63" s="3" t="s">
        <v>2418</v>
      </c>
      <c r="N63" s="3" t="str">
        <f t="shared" si="2"/>
        <v>INSERT INTO attributes (parent_id, tag, name, priority, allow_as_filter, allow_for_dataset, allow_for_measurement, allow_for_users, allow_for_qc) VALUES (NULL, 'att_celllines',  'Celllines',  500,  TRUE, TRUE, TRUE, FALSE, FALSE);</v>
      </c>
      <c r="O63" s="3" t="str">
        <f t="shared" si="3"/>
        <v xml:space="preserve">INSERT INTO attribute_values (attribute_id, tag, name, details) VALUES ((SELECT id FROM attributes WHERE tag = 'att_celllines' LIMIT 1),  'att_celllines:mcf7',  'MCF7',  'Human NCI-60 cell line; Breast Cancer'); </v>
      </c>
    </row>
    <row r="64" spans="1:15">
      <c r="A64" s="7" t="b">
        <f>FALSE()</f>
        <v>0</v>
      </c>
      <c r="B64" s="7"/>
      <c r="C64" s="3" t="s">
        <v>509</v>
      </c>
      <c r="D64" s="3" t="s">
        <v>510</v>
      </c>
      <c r="E64" s="3" t="s">
        <v>12</v>
      </c>
      <c r="F64" s="3" t="s">
        <v>2416</v>
      </c>
      <c r="G64" s="3" t="s">
        <v>2417</v>
      </c>
      <c r="H64" s="3" t="str">
        <f t="shared" si="0"/>
        <v>att_celllines</v>
      </c>
      <c r="I64" s="3" t="s">
        <v>509</v>
      </c>
      <c r="J64" s="3" t="str">
        <f t="shared" si="1"/>
        <v>att_celllines:mdamb231</v>
      </c>
      <c r="K64" s="6" t="s">
        <v>16</v>
      </c>
      <c r="L64" s="3" t="s">
        <v>436</v>
      </c>
      <c r="M64" s="3" t="s">
        <v>2418</v>
      </c>
      <c r="N64" s="3" t="str">
        <f t="shared" si="2"/>
        <v>INSERT INTO attributes (parent_id, tag, name, priority, allow_as_filter, allow_for_dataset, allow_for_measurement, allow_for_users, allow_for_qc) VALUES (NULL, 'att_celllines',  'Celllines',  500,  TRUE, TRUE, TRUE, FALSE, FALSE);</v>
      </c>
      <c r="O64" s="3" t="str">
        <f t="shared" si="3"/>
        <v xml:space="preserve">INSERT INTO attribute_values (attribute_id, tag, name, details) VALUES ((SELECT id FROM attributes WHERE tag = 'att_celllines' LIMIT 1),  'att_celllines:mdamb231',  'MDA-MB-231',  'Human NCI-60 cell line; Breast Cancer'); </v>
      </c>
    </row>
    <row r="65" spans="1:15">
      <c r="A65" s="7" t="b">
        <f>FALSE()</f>
        <v>0</v>
      </c>
      <c r="B65" s="7"/>
      <c r="C65" s="3" t="s">
        <v>511</v>
      </c>
      <c r="D65" s="3" t="s">
        <v>512</v>
      </c>
      <c r="E65" s="3" t="s">
        <v>12</v>
      </c>
      <c r="F65" s="3" t="s">
        <v>2416</v>
      </c>
      <c r="G65" s="3" t="s">
        <v>2417</v>
      </c>
      <c r="H65" s="3" t="str">
        <f t="shared" si="0"/>
        <v>att_celllines</v>
      </c>
      <c r="I65" s="3" t="s">
        <v>511</v>
      </c>
      <c r="J65" s="3" t="str">
        <f t="shared" si="1"/>
        <v>att_celllines:mdamb435</v>
      </c>
      <c r="K65" s="6" t="s">
        <v>16</v>
      </c>
      <c r="L65" s="3" t="s">
        <v>500</v>
      </c>
      <c r="M65" s="3" t="s">
        <v>2418</v>
      </c>
      <c r="N65" s="3" t="str">
        <f t="shared" si="2"/>
        <v>INSERT INTO attributes (parent_id, tag, name, priority, allow_as_filter, allow_for_dataset, allow_for_measurement, allow_for_users, allow_for_qc) VALUES (NULL, 'att_celllines',  'Celllines',  500,  TRUE, TRUE, TRUE, FALSE, FALSE);</v>
      </c>
      <c r="O65" s="3" t="str">
        <f t="shared" si="3"/>
        <v xml:space="preserve">INSERT INTO attribute_values (attribute_id, tag, name, details) VALUES ((SELECT id FROM attributes WHERE tag = 'att_celllines' LIMIT 1),  'att_celllines:mdamb435',  'MDA-MB-435',  'Human NCI-60 cell line; Melanoma'); </v>
      </c>
    </row>
    <row r="66" spans="1:15">
      <c r="A66" s="7" t="b">
        <f>FALSE()</f>
        <v>0</v>
      </c>
      <c r="B66" s="7"/>
      <c r="C66" s="3" t="s">
        <v>513</v>
      </c>
      <c r="D66" s="3" t="s">
        <v>514</v>
      </c>
      <c r="E66" s="3" t="s">
        <v>12</v>
      </c>
      <c r="F66" s="3" t="s">
        <v>2416</v>
      </c>
      <c r="G66" s="3" t="s">
        <v>2417</v>
      </c>
      <c r="H66" s="3" t="str">
        <f t="shared" ref="H66:H129" si="4">"att_"&amp;G66</f>
        <v>att_celllines</v>
      </c>
      <c r="I66" s="3" t="s">
        <v>513</v>
      </c>
      <c r="J66" s="3" t="str">
        <f t="shared" ref="J66:J129" si="5">H66&amp;":"&amp;I66</f>
        <v>att_celllines:mdamb468</v>
      </c>
      <c r="K66" s="6" t="s">
        <v>16</v>
      </c>
      <c r="L66" s="3" t="s">
        <v>436</v>
      </c>
      <c r="M66" s="3" t="s">
        <v>2418</v>
      </c>
      <c r="N66" s="3"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3"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c r="A67" s="7" t="b">
        <f>FALSE()</f>
        <v>0</v>
      </c>
      <c r="B67" s="7"/>
      <c r="C67" s="3" t="s">
        <v>518</v>
      </c>
      <c r="D67" s="3" t="s">
        <v>519</v>
      </c>
      <c r="E67" s="3" t="s">
        <v>12</v>
      </c>
      <c r="F67" s="3" t="s">
        <v>2416</v>
      </c>
      <c r="G67" s="3" t="s">
        <v>2417</v>
      </c>
      <c r="H67" s="3" t="str">
        <f t="shared" si="4"/>
        <v>att_celllines</v>
      </c>
      <c r="I67" s="3" t="s">
        <v>518</v>
      </c>
      <c r="J67" s="3" t="str">
        <f t="shared" si="5"/>
        <v>att_celllines:mino</v>
      </c>
      <c r="K67" s="6" t="s">
        <v>16</v>
      </c>
      <c r="L67" s="3" t="s">
        <v>486</v>
      </c>
      <c r="M67" s="3" t="s">
        <v>12</v>
      </c>
      <c r="N67" s="3" t="str">
        <f t="shared" si="6"/>
        <v>INSERT INTO attributes (parent_id, tag, name, priority, allow_as_filter, allow_for_dataset, allow_for_measurement, allow_for_users, allow_for_qc) VALUES (NULL, 'att_celllines',  'Celllines',  500,  TRUE, TRUE, TRUE, FALSE, FALSE);</v>
      </c>
      <c r="O67" s="3" t="str">
        <f t="shared" si="7"/>
        <v xml:space="preserve">INSERT INTO attribute_values (attribute_id, tag, name, details) VALUES ((SELECT id FROM attributes WHERE tag = 'att_celllines' LIMIT 1),  'att_celllines:mino',  'Mino',  'Human Mantle cell lymphoma'); </v>
      </c>
    </row>
    <row r="68" spans="1:15">
      <c r="A68" s="7" t="b">
        <f>FALSE()</f>
        <v>0</v>
      </c>
      <c r="B68" s="7"/>
      <c r="C68" s="3" t="s">
        <v>520</v>
      </c>
      <c r="D68" s="3" t="s">
        <v>521</v>
      </c>
      <c r="E68" s="3" t="s">
        <v>12</v>
      </c>
      <c r="F68" s="3" t="s">
        <v>2416</v>
      </c>
      <c r="G68" s="3" t="s">
        <v>2417</v>
      </c>
      <c r="H68" s="3" t="str">
        <f t="shared" si="4"/>
        <v>att_celllines</v>
      </c>
      <c r="I68" s="3" t="s">
        <v>520</v>
      </c>
      <c r="J68" s="3" t="str">
        <f t="shared" si="5"/>
        <v>att_celllines:molt4</v>
      </c>
      <c r="K68" s="6" t="s">
        <v>16</v>
      </c>
      <c r="L68" s="3" t="s">
        <v>447</v>
      </c>
      <c r="M68" s="3" t="s">
        <v>2418</v>
      </c>
      <c r="N68" s="3" t="str">
        <f t="shared" si="6"/>
        <v>INSERT INTO attributes (parent_id, tag, name, priority, allow_as_filter, allow_for_dataset, allow_for_measurement, allow_for_users, allow_for_qc) VALUES (NULL, 'att_celllines',  'Celllines',  500,  TRUE, TRUE, TRUE, FALSE, FALSE);</v>
      </c>
      <c r="O68" s="3" t="str">
        <f t="shared" si="7"/>
        <v xml:space="preserve">INSERT INTO attribute_values (attribute_id, tag, name, details) VALUES ((SELECT id FROM attributes WHERE tag = 'att_celllines' LIMIT 1),  'att_celllines:molt4',  'MOLT-4',  'Human NCI-60 cell line; Leukemia'); </v>
      </c>
    </row>
    <row r="69" spans="1:15">
      <c r="A69" s="7" t="b">
        <f>FALSE()</f>
        <v>0</v>
      </c>
      <c r="B69" s="7"/>
      <c r="C69" s="3" t="s">
        <v>522</v>
      </c>
      <c r="D69" s="3" t="s">
        <v>523</v>
      </c>
      <c r="E69" s="3" t="s">
        <v>12</v>
      </c>
      <c r="F69" s="3" t="s">
        <v>2416</v>
      </c>
      <c r="G69" s="3" t="s">
        <v>2417</v>
      </c>
      <c r="H69" s="3" t="str">
        <f t="shared" si="4"/>
        <v>att_celllines</v>
      </c>
      <c r="I69" s="3" t="s">
        <v>522</v>
      </c>
      <c r="J69" s="3" t="str">
        <f t="shared" si="5"/>
        <v>att_celllines:nceb1</v>
      </c>
      <c r="K69" s="6" t="s">
        <v>16</v>
      </c>
      <c r="L69" s="3" t="s">
        <v>486</v>
      </c>
      <c r="M69" s="3" t="s">
        <v>12</v>
      </c>
      <c r="N69" s="3" t="str">
        <f t="shared" si="6"/>
        <v>INSERT INTO attributes (parent_id, tag, name, priority, allow_as_filter, allow_for_dataset, allow_for_measurement, allow_for_users, allow_for_qc) VALUES (NULL, 'att_celllines',  'Celllines',  500,  TRUE, TRUE, TRUE, FALSE, FALSE);</v>
      </c>
      <c r="O69" s="3" t="str">
        <f t="shared" si="7"/>
        <v xml:space="preserve">INSERT INTO attribute_values (attribute_id, tag, name, details) VALUES ((SELECT id FROM attributes WHERE tag = 'att_celllines' LIMIT 1),  'att_celllines:nceb1',  'NCEB-1',  'Human Mantle cell lymphoma'); </v>
      </c>
    </row>
    <row r="70" spans="1:15">
      <c r="A70" s="7" t="b">
        <f>FALSE()</f>
        <v>0</v>
      </c>
      <c r="B70" s="7"/>
      <c r="C70" s="3" t="s">
        <v>525</v>
      </c>
      <c r="D70" s="3" t="s">
        <v>526</v>
      </c>
      <c r="E70" s="3" t="s">
        <v>12</v>
      </c>
      <c r="F70" s="3" t="s">
        <v>2416</v>
      </c>
      <c r="G70" s="3" t="s">
        <v>2417</v>
      </c>
      <c r="H70" s="3" t="str">
        <f t="shared" si="4"/>
        <v>att_celllines</v>
      </c>
      <c r="I70" s="3" t="s">
        <v>524</v>
      </c>
      <c r="J70" s="3" t="str">
        <f t="shared" si="5"/>
        <v>att_celllines:nci_adrres</v>
      </c>
      <c r="K70" s="6" t="s">
        <v>16</v>
      </c>
      <c r="L70" s="3" t="s">
        <v>480</v>
      </c>
      <c r="M70" s="3" t="s">
        <v>2418</v>
      </c>
      <c r="N70" s="3" t="str">
        <f t="shared" si="6"/>
        <v>INSERT INTO attributes (parent_id, tag, name, priority, allow_as_filter, allow_for_dataset, allow_for_measurement, allow_for_users, allow_for_qc) VALUES (NULL, 'att_celllines',  'Celllines',  500,  TRUE, TRUE, TRUE, FALSE, FALSE);</v>
      </c>
      <c r="O70" s="3" t="str">
        <f t="shared" si="7"/>
        <v xml:space="preserve">INSERT INTO attribute_values (attribute_id, tag, name, details) VALUES ((SELECT id FROM attributes WHERE tag = 'att_celllines' LIMIT 1),  'att_celllines:nci_adrres',  'NCI ADR-RES',  'Human NCI-60 cell line; Ovarian Cancer'); </v>
      </c>
    </row>
    <row r="71" spans="1:15">
      <c r="A71" s="7" t="b">
        <f>FALSE()</f>
        <v>0</v>
      </c>
      <c r="B71" s="7"/>
      <c r="C71" s="3" t="s">
        <v>528</v>
      </c>
      <c r="D71" s="3" t="s">
        <v>529</v>
      </c>
      <c r="E71" s="3" t="s">
        <v>12</v>
      </c>
      <c r="F71" s="3" t="s">
        <v>2416</v>
      </c>
      <c r="G71" s="3" t="s">
        <v>2417</v>
      </c>
      <c r="H71" s="3" t="str">
        <f t="shared" si="4"/>
        <v>att_celllines</v>
      </c>
      <c r="I71" s="3" t="s">
        <v>527</v>
      </c>
      <c r="J71" s="3" t="str">
        <f t="shared" si="5"/>
        <v>att_celllines:nci_h226</v>
      </c>
      <c r="K71" s="6" t="s">
        <v>16</v>
      </c>
      <c r="L71" s="3" t="s">
        <v>426</v>
      </c>
      <c r="M71" s="3" t="s">
        <v>2418</v>
      </c>
      <c r="N71" s="3" t="str">
        <f t="shared" si="6"/>
        <v>INSERT INTO attributes (parent_id, tag, name, priority, allow_as_filter, allow_for_dataset, allow_for_measurement, allow_for_users, allow_for_qc) VALUES (NULL, 'att_celllines',  'Celllines',  500,  TRUE, TRUE, TRUE, FALSE, FALSE);</v>
      </c>
      <c r="O71" s="3" t="str">
        <f t="shared" si="7"/>
        <v xml:space="preserve">INSERT INTO attribute_values (attribute_id, tag, name, details) VALUES ((SELECT id FROM attributes WHERE tag = 'att_celllines' LIMIT 1),  'att_celllines:nci_h226',  'NCI-H226',  'Human NCI-60 cell line; Non-Small Cell Lung cancer'); </v>
      </c>
    </row>
    <row r="72" spans="1:15">
      <c r="A72" s="7" t="b">
        <f>FALSE()</f>
        <v>0</v>
      </c>
      <c r="B72" s="7"/>
      <c r="C72" s="3" t="s">
        <v>531</v>
      </c>
      <c r="D72" s="3" t="s">
        <v>532</v>
      </c>
      <c r="E72" s="3" t="s">
        <v>12</v>
      </c>
      <c r="F72" s="3" t="s">
        <v>2416</v>
      </c>
      <c r="G72" s="3" t="s">
        <v>2417</v>
      </c>
      <c r="H72" s="3" t="str">
        <f t="shared" si="4"/>
        <v>att_celllines</v>
      </c>
      <c r="I72" s="3" t="s">
        <v>530</v>
      </c>
      <c r="J72" s="3" t="str">
        <f t="shared" si="5"/>
        <v>att_celllines:nci_h23</v>
      </c>
      <c r="K72" s="6" t="s">
        <v>16</v>
      </c>
      <c r="L72" s="3" t="s">
        <v>426</v>
      </c>
      <c r="M72" s="3" t="s">
        <v>2418</v>
      </c>
      <c r="N72" s="3" t="str">
        <f t="shared" si="6"/>
        <v>INSERT INTO attributes (parent_id, tag, name, priority, allow_as_filter, allow_for_dataset, allow_for_measurement, allow_for_users, allow_for_qc) VALUES (NULL, 'att_celllines',  'Celllines',  500,  TRUE, TRUE, TRUE, FALSE, FALSE);</v>
      </c>
      <c r="O72" s="3" t="str">
        <f t="shared" si="7"/>
        <v xml:space="preserve">INSERT INTO attribute_values (attribute_id, tag, name, details) VALUES ((SELECT id FROM attributes WHERE tag = 'att_celllines' LIMIT 1),  'att_celllines:nci_h23',  'NCI-H23',  'Human NCI-60 cell line; Non-Small Cell Lung cancer'); </v>
      </c>
    </row>
    <row r="73" spans="1:15">
      <c r="A73" s="7" t="b">
        <f>FALSE()</f>
        <v>0</v>
      </c>
      <c r="B73" s="7"/>
      <c r="C73" s="3" t="s">
        <v>534</v>
      </c>
      <c r="D73" s="3" t="s">
        <v>535</v>
      </c>
      <c r="E73" s="3" t="s">
        <v>12</v>
      </c>
      <c r="F73" s="3" t="s">
        <v>2416</v>
      </c>
      <c r="G73" s="3" t="s">
        <v>2417</v>
      </c>
      <c r="H73" s="3" t="str">
        <f t="shared" si="4"/>
        <v>att_celllines</v>
      </c>
      <c r="I73" s="3" t="s">
        <v>533</v>
      </c>
      <c r="J73" s="3" t="str">
        <f t="shared" si="5"/>
        <v>att_celllines:nci_h322m</v>
      </c>
      <c r="K73" s="6" t="s">
        <v>16</v>
      </c>
      <c r="L73" s="3" t="s">
        <v>426</v>
      </c>
      <c r="M73" s="3" t="s">
        <v>2418</v>
      </c>
      <c r="N73" s="3" t="str">
        <f t="shared" si="6"/>
        <v>INSERT INTO attributes (parent_id, tag, name, priority, allow_as_filter, allow_for_dataset, allow_for_measurement, allow_for_users, allow_for_qc) VALUES (NULL, 'att_celllines',  'Celllines',  500,  TRUE, TRUE, TRUE, FALSE, FALSE);</v>
      </c>
      <c r="O73" s="3" t="str">
        <f t="shared" si="7"/>
        <v xml:space="preserve">INSERT INTO attribute_values (attribute_id, tag, name, details) VALUES ((SELECT id FROM attributes WHERE tag = 'att_celllines' LIMIT 1),  'att_celllines:nci_h322m',  'NCI-H322M',  'Human NCI-60 cell line; Non-Small Cell Lung cancer'); </v>
      </c>
    </row>
    <row r="74" spans="1:15">
      <c r="A74" s="7" t="b">
        <f>FALSE()</f>
        <v>0</v>
      </c>
      <c r="B74" s="7"/>
      <c r="C74" s="3" t="s">
        <v>537</v>
      </c>
      <c r="D74" s="3" t="s">
        <v>538</v>
      </c>
      <c r="E74" s="3" t="s">
        <v>12</v>
      </c>
      <c r="F74" s="3" t="s">
        <v>2416</v>
      </c>
      <c r="G74" s="3" t="s">
        <v>2417</v>
      </c>
      <c r="H74" s="3" t="str">
        <f t="shared" si="4"/>
        <v>att_celllines</v>
      </c>
      <c r="I74" s="3" t="s">
        <v>536</v>
      </c>
      <c r="J74" s="3" t="str">
        <f t="shared" si="5"/>
        <v>att_celllines:nci_h460</v>
      </c>
      <c r="K74" s="6" t="s">
        <v>16</v>
      </c>
      <c r="L74" s="3" t="s">
        <v>426</v>
      </c>
      <c r="M74" s="3" t="s">
        <v>2418</v>
      </c>
      <c r="N74" s="3" t="str">
        <f t="shared" si="6"/>
        <v>INSERT INTO attributes (parent_id, tag, name, priority, allow_as_filter, allow_for_dataset, allow_for_measurement, allow_for_users, allow_for_qc) VALUES (NULL, 'att_celllines',  'Celllines',  500,  TRUE, TRUE, TRUE, FALSE, FALSE);</v>
      </c>
      <c r="O74" s="3" t="str">
        <f t="shared" si="7"/>
        <v xml:space="preserve">INSERT INTO attribute_values (attribute_id, tag, name, details) VALUES ((SELECT id FROM attributes WHERE tag = 'att_celllines' LIMIT 1),  'att_celllines:nci_h460',  'NCI-H460',  'Human NCI-60 cell line; Non-Small Cell Lung cancer'); </v>
      </c>
    </row>
    <row r="75" spans="1:15">
      <c r="A75" s="7" t="b">
        <f>FALSE()</f>
        <v>0</v>
      </c>
      <c r="B75" s="7"/>
      <c r="C75" s="3" t="s">
        <v>540</v>
      </c>
      <c r="D75" s="3" t="s">
        <v>541</v>
      </c>
      <c r="E75" s="3" t="s">
        <v>12</v>
      </c>
      <c r="F75" s="3" t="s">
        <v>2416</v>
      </c>
      <c r="G75" s="3" t="s">
        <v>2417</v>
      </c>
      <c r="H75" s="3" t="str">
        <f t="shared" si="4"/>
        <v>att_celllines</v>
      </c>
      <c r="I75" s="3" t="s">
        <v>539</v>
      </c>
      <c r="J75" s="3" t="str">
        <f t="shared" si="5"/>
        <v>att_celllines:nci_h522</v>
      </c>
      <c r="K75" s="6" t="s">
        <v>16</v>
      </c>
      <c r="L75" s="3" t="s">
        <v>426</v>
      </c>
      <c r="M75" s="3" t="s">
        <v>2418</v>
      </c>
      <c r="N75" s="3" t="str">
        <f t="shared" si="6"/>
        <v>INSERT INTO attributes (parent_id, tag, name, priority, allow_as_filter, allow_for_dataset, allow_for_measurement, allow_for_users, allow_for_qc) VALUES (NULL, 'att_celllines',  'Celllines',  500,  TRUE, TRUE, TRUE, FALSE, FALSE);</v>
      </c>
      <c r="O75" s="3" t="str">
        <f t="shared" si="7"/>
        <v xml:space="preserve">INSERT INTO attribute_values (attribute_id, tag, name, details) VALUES ((SELECT id FROM attributes WHERE tag = 'att_celllines' LIMIT 1),  'att_celllines:nci_h522',  'NCI-H522',  'Human NCI-60 cell line; Non-Small Cell Lung cancer'); </v>
      </c>
    </row>
    <row r="76" spans="1:15">
      <c r="A76" s="7" t="b">
        <f>FALSE()</f>
        <v>0</v>
      </c>
      <c r="B76" s="7"/>
      <c r="C76" s="3" t="s">
        <v>542</v>
      </c>
      <c r="D76" s="3" t="s">
        <v>543</v>
      </c>
      <c r="E76" s="3" t="s">
        <v>12</v>
      </c>
      <c r="F76" s="3" t="s">
        <v>2416</v>
      </c>
      <c r="G76" s="3" t="s">
        <v>2417</v>
      </c>
      <c r="H76" s="3" t="str">
        <f t="shared" si="4"/>
        <v>att_celllines</v>
      </c>
      <c r="I76" s="3" t="s">
        <v>542</v>
      </c>
      <c r="J76" s="3" t="str">
        <f t="shared" si="5"/>
        <v>att_celllines:ovcar3</v>
      </c>
      <c r="K76" s="6" t="s">
        <v>16</v>
      </c>
      <c r="L76" s="3" t="s">
        <v>480</v>
      </c>
      <c r="M76" s="3" t="s">
        <v>2418</v>
      </c>
      <c r="N76" s="3" t="str">
        <f t="shared" si="6"/>
        <v>INSERT INTO attributes (parent_id, tag, name, priority, allow_as_filter, allow_for_dataset, allow_for_measurement, allow_for_users, allow_for_qc) VALUES (NULL, 'att_celllines',  'Celllines',  500,  TRUE, TRUE, TRUE, FALSE, FALSE);</v>
      </c>
      <c r="O76" s="3" t="str">
        <f t="shared" si="7"/>
        <v xml:space="preserve">INSERT INTO attribute_values (attribute_id, tag, name, details) VALUES ((SELECT id FROM attributes WHERE tag = 'att_celllines' LIMIT 1),  'att_celllines:ovcar3',  'OVCAR-3',  'Human NCI-60 cell line; Ovarian Cancer'); </v>
      </c>
    </row>
    <row r="77" spans="1:15">
      <c r="A77" s="7" t="b">
        <f>FALSE()</f>
        <v>0</v>
      </c>
      <c r="B77" s="7"/>
      <c r="C77" s="3" t="s">
        <v>544</v>
      </c>
      <c r="D77" s="3" t="s">
        <v>545</v>
      </c>
      <c r="E77" s="3" t="s">
        <v>12</v>
      </c>
      <c r="F77" s="3" t="s">
        <v>2416</v>
      </c>
      <c r="G77" s="3" t="s">
        <v>2417</v>
      </c>
      <c r="H77" s="3" t="str">
        <f t="shared" si="4"/>
        <v>att_celllines</v>
      </c>
      <c r="I77" s="3" t="s">
        <v>544</v>
      </c>
      <c r="J77" s="3" t="str">
        <f t="shared" si="5"/>
        <v>att_celllines:ovcar4</v>
      </c>
      <c r="K77" s="6" t="s">
        <v>16</v>
      </c>
      <c r="L77" s="3" t="s">
        <v>480</v>
      </c>
      <c r="M77" s="3" t="s">
        <v>2418</v>
      </c>
      <c r="N77" s="3" t="str">
        <f t="shared" si="6"/>
        <v>INSERT INTO attributes (parent_id, tag, name, priority, allow_as_filter, allow_for_dataset, allow_for_measurement, allow_for_users, allow_for_qc) VALUES (NULL, 'att_celllines',  'Celllines',  500,  TRUE, TRUE, TRUE, FALSE, FALSE);</v>
      </c>
      <c r="O77" s="3" t="str">
        <f t="shared" si="7"/>
        <v xml:space="preserve">INSERT INTO attribute_values (attribute_id, tag, name, details) VALUES ((SELECT id FROM attributes WHERE tag = 'att_celllines' LIMIT 1),  'att_celllines:ovcar4',  'OVCAR-4',  'Human NCI-60 cell line; Ovarian Cancer'); </v>
      </c>
    </row>
    <row r="78" spans="1:15">
      <c r="A78" s="7" t="b">
        <f>FALSE()</f>
        <v>0</v>
      </c>
      <c r="B78" s="7"/>
      <c r="C78" s="3" t="s">
        <v>546</v>
      </c>
      <c r="D78" s="3" t="s">
        <v>547</v>
      </c>
      <c r="E78" s="3" t="s">
        <v>12</v>
      </c>
      <c r="F78" s="3" t="s">
        <v>2416</v>
      </c>
      <c r="G78" s="3" t="s">
        <v>2417</v>
      </c>
      <c r="H78" s="3" t="str">
        <f t="shared" si="4"/>
        <v>att_celllines</v>
      </c>
      <c r="I78" s="3" t="s">
        <v>546</v>
      </c>
      <c r="J78" s="3" t="str">
        <f t="shared" si="5"/>
        <v>att_celllines:ovcar5</v>
      </c>
      <c r="K78" s="6" t="s">
        <v>16</v>
      </c>
      <c r="L78" s="3" t="s">
        <v>480</v>
      </c>
      <c r="M78" s="3" t="s">
        <v>2418</v>
      </c>
      <c r="N78" s="3" t="str">
        <f t="shared" si="6"/>
        <v>INSERT INTO attributes (parent_id, tag, name, priority, allow_as_filter, allow_for_dataset, allow_for_measurement, allow_for_users, allow_for_qc) VALUES (NULL, 'att_celllines',  'Celllines',  500,  TRUE, TRUE, TRUE, FALSE, FALSE);</v>
      </c>
      <c r="O78" s="3" t="str">
        <f t="shared" si="7"/>
        <v xml:space="preserve">INSERT INTO attribute_values (attribute_id, tag, name, details) VALUES ((SELECT id FROM attributes WHERE tag = 'att_celllines' LIMIT 1),  'att_celllines:ovcar5',  'OVCAR-5',  'Human NCI-60 cell line; Ovarian Cancer'); </v>
      </c>
    </row>
    <row r="79" spans="1:15">
      <c r="A79" s="7" t="b">
        <f>FALSE()</f>
        <v>0</v>
      </c>
      <c r="B79" s="7"/>
      <c r="C79" s="3" t="s">
        <v>548</v>
      </c>
      <c r="D79" s="3" t="s">
        <v>549</v>
      </c>
      <c r="E79" s="3" t="s">
        <v>12</v>
      </c>
      <c r="F79" s="3" t="s">
        <v>2416</v>
      </c>
      <c r="G79" s="3" t="s">
        <v>2417</v>
      </c>
      <c r="H79" s="3" t="str">
        <f t="shared" si="4"/>
        <v>att_celllines</v>
      </c>
      <c r="I79" s="3" t="s">
        <v>548</v>
      </c>
      <c r="J79" s="3" t="str">
        <f t="shared" si="5"/>
        <v>att_celllines:ovcar8</v>
      </c>
      <c r="K79" s="6" t="s">
        <v>16</v>
      </c>
      <c r="L79" s="3" t="s">
        <v>480</v>
      </c>
      <c r="M79" s="3" t="s">
        <v>2418</v>
      </c>
      <c r="N79" s="3" t="str">
        <f t="shared" si="6"/>
        <v>INSERT INTO attributes (parent_id, tag, name, priority, allow_as_filter, allow_for_dataset, allow_for_measurement, allow_for_users, allow_for_qc) VALUES (NULL, 'att_celllines',  'Celllines',  500,  TRUE, TRUE, TRUE, FALSE, FALSE);</v>
      </c>
      <c r="O79" s="3" t="str">
        <f t="shared" si="7"/>
        <v xml:space="preserve">INSERT INTO attribute_values (attribute_id, tag, name, details) VALUES ((SELECT id FROM attributes WHERE tag = 'att_celllines' LIMIT 1),  'att_celllines:ovcar8',  'OVCAR-8',  'Human NCI-60 cell line; Ovarian Cancer'); </v>
      </c>
    </row>
    <row r="80" spans="1:15">
      <c r="A80" s="7" t="b">
        <f>FALSE()</f>
        <v>0</v>
      </c>
      <c r="B80" s="7"/>
      <c r="C80" s="3" t="s">
        <v>550</v>
      </c>
      <c r="D80" s="3" t="s">
        <v>551</v>
      </c>
      <c r="E80" s="3" t="s">
        <v>12</v>
      </c>
      <c r="F80" s="3" t="s">
        <v>2416</v>
      </c>
      <c r="G80" s="3" t="s">
        <v>2417</v>
      </c>
      <c r="H80" s="3" t="str">
        <f t="shared" si="4"/>
        <v>att_celllines</v>
      </c>
      <c r="I80" s="3" t="s">
        <v>550</v>
      </c>
      <c r="J80" s="3" t="str">
        <f t="shared" si="5"/>
        <v>att_celllines:p388</v>
      </c>
      <c r="K80" s="6" t="s">
        <v>16</v>
      </c>
      <c r="L80" s="3" t="s">
        <v>552</v>
      </c>
      <c r="M80" s="3" t="s">
        <v>12</v>
      </c>
      <c r="N80" s="3" t="str">
        <f t="shared" si="6"/>
        <v>INSERT INTO attributes (parent_id, tag, name, priority, allow_as_filter, allow_for_dataset, allow_for_measurement, allow_for_users, allow_for_qc) VALUES (NULL, 'att_celllines',  'Celllines',  500,  TRUE, TRUE, TRUE, FALSE, FALSE);</v>
      </c>
      <c r="O80" s="3" t="str">
        <f t="shared" si="7"/>
        <v xml:space="preserve">INSERT INTO attribute_values (attribute_id, tag, name, details) VALUES ((SELECT id FROM attributes WHERE tag = 'att_celllines' LIMIT 1),  'att_celllines:p388',  'P388',  'Leukemia'); </v>
      </c>
    </row>
    <row r="81" spans="1:15">
      <c r="A81" s="7" t="b">
        <f>FALSE()</f>
        <v>0</v>
      </c>
      <c r="B81" s="7"/>
      <c r="C81" s="3" t="s">
        <v>553</v>
      </c>
      <c r="D81" s="3" t="s">
        <v>554</v>
      </c>
      <c r="E81" s="3" t="s">
        <v>12</v>
      </c>
      <c r="F81" s="3" t="s">
        <v>2416</v>
      </c>
      <c r="G81" s="3" t="s">
        <v>2417</v>
      </c>
      <c r="H81" s="3" t="str">
        <f t="shared" si="4"/>
        <v>att_celllines</v>
      </c>
      <c r="I81" s="3" t="s">
        <v>553</v>
      </c>
      <c r="J81" s="3" t="str">
        <f t="shared" si="5"/>
        <v>att_celllines:pc3</v>
      </c>
      <c r="K81" s="6" t="s">
        <v>16</v>
      </c>
      <c r="L81" s="3" t="s">
        <v>450</v>
      </c>
      <c r="M81" s="3" t="s">
        <v>2418</v>
      </c>
      <c r="N81" s="3" t="str">
        <f t="shared" si="6"/>
        <v>INSERT INTO attributes (parent_id, tag, name, priority, allow_as_filter, allow_for_dataset, allow_for_measurement, allow_for_users, allow_for_qc) VALUES (NULL, 'att_celllines',  'Celllines',  500,  TRUE, TRUE, TRUE, FALSE, FALSE);</v>
      </c>
      <c r="O81" s="3" t="str">
        <f t="shared" si="7"/>
        <v xml:space="preserve">INSERT INTO attribute_values (attribute_id, tag, name, details) VALUES ((SELECT id FROM attributes WHERE tag = 'att_celllines' LIMIT 1),  'att_celllines:pc3',  'PC-3',  'Human NCI-60 cell line; Prostate Cancer'); </v>
      </c>
    </row>
    <row r="82" spans="1:15">
      <c r="A82" s="7" t="b">
        <f>FALSE()</f>
        <v>0</v>
      </c>
      <c r="B82" s="7"/>
      <c r="C82" s="3" t="s">
        <v>555</v>
      </c>
      <c r="D82" s="3" t="s">
        <v>556</v>
      </c>
      <c r="E82" s="3" t="s">
        <v>12</v>
      </c>
      <c r="F82" s="3" t="s">
        <v>2416</v>
      </c>
      <c r="G82" s="3" t="s">
        <v>2417</v>
      </c>
      <c r="H82" s="3" t="str">
        <f t="shared" si="4"/>
        <v>att_celllines</v>
      </c>
      <c r="I82" s="3" t="s">
        <v>555</v>
      </c>
      <c r="J82" s="3" t="str">
        <f t="shared" si="5"/>
        <v>att_celllines:rec1</v>
      </c>
      <c r="K82" s="6" t="s">
        <v>16</v>
      </c>
      <c r="L82" s="3" t="s">
        <v>486</v>
      </c>
      <c r="M82" s="3" t="s">
        <v>12</v>
      </c>
      <c r="N82" s="3" t="str">
        <f t="shared" si="6"/>
        <v>INSERT INTO attributes (parent_id, tag, name, priority, allow_as_filter, allow_for_dataset, allow_for_measurement, allow_for_users, allow_for_qc) VALUES (NULL, 'att_celllines',  'Celllines',  500,  TRUE, TRUE, TRUE, FALSE, FALSE);</v>
      </c>
      <c r="O82" s="3" t="str">
        <f t="shared" si="7"/>
        <v xml:space="preserve">INSERT INTO attribute_values (attribute_id, tag, name, details) VALUES ((SELECT id FROM attributes WHERE tag = 'att_celllines' LIMIT 1),  'att_celllines:rec1',  'REC-1',  'Human Mantle cell lymphoma'); </v>
      </c>
    </row>
    <row r="83" spans="1:15">
      <c r="A83" s="7" t="b">
        <f>FALSE()</f>
        <v>0</v>
      </c>
      <c r="B83" s="7"/>
      <c r="C83" s="3" t="s">
        <v>557</v>
      </c>
      <c r="D83" s="3" t="s">
        <v>558</v>
      </c>
      <c r="E83" s="3" t="s">
        <v>12</v>
      </c>
      <c r="F83" s="3" t="s">
        <v>2416</v>
      </c>
      <c r="G83" s="3" t="s">
        <v>2417</v>
      </c>
      <c r="H83" s="3" t="str">
        <f t="shared" si="4"/>
        <v>att_celllines</v>
      </c>
      <c r="I83" s="3" t="s">
        <v>557</v>
      </c>
      <c r="J83" s="3" t="str">
        <f t="shared" si="5"/>
        <v>att_celllines:rpmi8226</v>
      </c>
      <c r="K83" s="6" t="s">
        <v>16</v>
      </c>
      <c r="L83" s="3" t="s">
        <v>447</v>
      </c>
      <c r="M83" s="3" t="s">
        <v>2418</v>
      </c>
      <c r="N83" s="3" t="str">
        <f t="shared" si="6"/>
        <v>INSERT INTO attributes (parent_id, tag, name, priority, allow_as_filter, allow_for_dataset, allow_for_measurement, allow_for_users, allow_for_qc) VALUES (NULL, 'att_celllines',  'Celllines',  500,  TRUE, TRUE, TRUE, FALSE, FALSE);</v>
      </c>
      <c r="O83" s="3" t="str">
        <f t="shared" si="7"/>
        <v xml:space="preserve">INSERT INTO attribute_values (attribute_id, tag, name, details) VALUES ((SELECT id FROM attributes WHERE tag = 'att_celllines' LIMIT 1),  'att_celllines:rpmi8226',  'RPMI-8226',  'Human NCI-60 cell line; Leukemia'); </v>
      </c>
    </row>
    <row r="84" spans="1:15">
      <c r="A84" s="7" t="b">
        <f>FALSE()</f>
        <v>0</v>
      </c>
      <c r="B84" s="7"/>
      <c r="C84" s="3" t="s">
        <v>559</v>
      </c>
      <c r="D84" s="3" t="s">
        <v>560</v>
      </c>
      <c r="E84" s="3" t="s">
        <v>12</v>
      </c>
      <c r="F84" s="3" t="s">
        <v>2416</v>
      </c>
      <c r="G84" s="3" t="s">
        <v>2417</v>
      </c>
      <c r="H84" s="3" t="str">
        <f t="shared" si="4"/>
        <v>att_celllines</v>
      </c>
      <c r="I84" s="3" t="s">
        <v>559</v>
      </c>
      <c r="J84" s="3" t="str">
        <f t="shared" si="5"/>
        <v>att_celllines:rxf393</v>
      </c>
      <c r="K84" s="6" t="s">
        <v>16</v>
      </c>
      <c r="L84" s="3" t="s">
        <v>421</v>
      </c>
      <c r="M84" s="3" t="s">
        <v>2418</v>
      </c>
      <c r="N84" s="3" t="str">
        <f t="shared" si="6"/>
        <v>INSERT INTO attributes (parent_id, tag, name, priority, allow_as_filter, allow_for_dataset, allow_for_measurement, allow_for_users, allow_for_qc) VALUES (NULL, 'att_celllines',  'Celllines',  500,  TRUE, TRUE, TRUE, FALSE, FALSE);</v>
      </c>
      <c r="O84" s="3" t="str">
        <f t="shared" si="7"/>
        <v xml:space="preserve">INSERT INTO attribute_values (attribute_id, tag, name, details) VALUES ((SELECT id FROM attributes WHERE tag = 'att_celllines' LIMIT 1),  'att_celllines:rxf393',  'RXF 393',  'Human NCI-60 cell line; Renal Cancer'); </v>
      </c>
    </row>
    <row r="85" spans="1:15">
      <c r="A85" s="7" t="b">
        <f>FALSE()</f>
        <v>0</v>
      </c>
      <c r="B85" s="7"/>
      <c r="C85" s="3" t="s">
        <v>561</v>
      </c>
      <c r="D85" s="3" t="s">
        <v>562</v>
      </c>
      <c r="E85" s="3" t="s">
        <v>12</v>
      </c>
      <c r="F85" s="3" t="s">
        <v>2416</v>
      </c>
      <c r="G85" s="3" t="s">
        <v>2417</v>
      </c>
      <c r="H85" s="3" t="str">
        <f t="shared" si="4"/>
        <v>att_celllines</v>
      </c>
      <c r="I85" s="3" t="s">
        <v>561</v>
      </c>
      <c r="J85" s="3" t="str">
        <f t="shared" si="5"/>
        <v>att_celllines:sf268</v>
      </c>
      <c r="K85" s="6" t="s">
        <v>16</v>
      </c>
      <c r="L85" s="3" t="s">
        <v>563</v>
      </c>
      <c r="M85" s="3" t="s">
        <v>2418</v>
      </c>
      <c r="N85" s="3" t="str">
        <f t="shared" si="6"/>
        <v>INSERT INTO attributes (parent_id, tag, name, priority, allow_as_filter, allow_for_dataset, allow_for_measurement, allow_for_users, allow_for_qc) VALUES (NULL, 'att_celllines',  'Celllines',  500,  TRUE, TRUE, TRUE, FALSE, FALSE);</v>
      </c>
      <c r="O85" s="3" t="str">
        <f t="shared" si="7"/>
        <v xml:space="preserve">INSERT INTO attribute_values (attribute_id, tag, name, details) VALUES ((SELECT id FROM attributes WHERE tag = 'att_celllines' LIMIT 1),  'att_celllines:sf268',  'SF-268',  'Human NCI-60 cell line; central nervous system (CNS) tumor '); </v>
      </c>
    </row>
    <row r="86" spans="1:15">
      <c r="A86" s="7" t="b">
        <f>FALSE()</f>
        <v>0</v>
      </c>
      <c r="B86" s="7"/>
      <c r="C86" s="3" t="s">
        <v>564</v>
      </c>
      <c r="D86" s="3" t="s">
        <v>565</v>
      </c>
      <c r="E86" s="3" t="s">
        <v>12</v>
      </c>
      <c r="F86" s="3" t="s">
        <v>2416</v>
      </c>
      <c r="G86" s="3" t="s">
        <v>2417</v>
      </c>
      <c r="H86" s="3" t="str">
        <f t="shared" si="4"/>
        <v>att_celllines</v>
      </c>
      <c r="I86" s="3" t="s">
        <v>564</v>
      </c>
      <c r="J86" s="3" t="str">
        <f t="shared" si="5"/>
        <v>att_celllines:sf295</v>
      </c>
      <c r="K86" s="6" t="s">
        <v>16</v>
      </c>
      <c r="L86" s="3" t="s">
        <v>563</v>
      </c>
      <c r="M86" s="3" t="s">
        <v>2418</v>
      </c>
      <c r="N86" s="3" t="str">
        <f t="shared" si="6"/>
        <v>INSERT INTO attributes (parent_id, tag, name, priority, allow_as_filter, allow_for_dataset, allow_for_measurement, allow_for_users, allow_for_qc) VALUES (NULL, 'att_celllines',  'Celllines',  500,  TRUE, TRUE, TRUE, FALSE, FALSE);</v>
      </c>
      <c r="O86" s="3" t="str">
        <f t="shared" si="7"/>
        <v xml:space="preserve">INSERT INTO attribute_values (attribute_id, tag, name, details) VALUES ((SELECT id FROM attributes WHERE tag = 'att_celllines' LIMIT 1),  'att_celllines:sf295',  'SF-295',  'Human NCI-60 cell line; central nervous system (CNS) tumor '); </v>
      </c>
    </row>
    <row r="87" spans="1:15">
      <c r="A87" s="7" t="b">
        <f>FALSE()</f>
        <v>0</v>
      </c>
      <c r="B87" s="7"/>
      <c r="C87" s="3" t="s">
        <v>566</v>
      </c>
      <c r="D87" s="3" t="s">
        <v>567</v>
      </c>
      <c r="E87" s="3" t="s">
        <v>12</v>
      </c>
      <c r="F87" s="3" t="s">
        <v>2416</v>
      </c>
      <c r="G87" s="3" t="s">
        <v>2417</v>
      </c>
      <c r="H87" s="3" t="str">
        <f t="shared" si="4"/>
        <v>att_celllines</v>
      </c>
      <c r="I87" s="3" t="s">
        <v>566</v>
      </c>
      <c r="J87" s="3" t="str">
        <f t="shared" si="5"/>
        <v>att_celllines:sf539</v>
      </c>
      <c r="K87" s="6" t="s">
        <v>16</v>
      </c>
      <c r="L87" s="3" t="s">
        <v>563</v>
      </c>
      <c r="M87" s="3" t="s">
        <v>2418</v>
      </c>
      <c r="N87" s="3" t="str">
        <f t="shared" si="6"/>
        <v>INSERT INTO attributes (parent_id, tag, name, priority, allow_as_filter, allow_for_dataset, allow_for_measurement, allow_for_users, allow_for_qc) VALUES (NULL, 'att_celllines',  'Celllines',  500,  TRUE, TRUE, TRUE, FALSE, FALSE);</v>
      </c>
      <c r="O87" s="3" t="str">
        <f t="shared" si="7"/>
        <v xml:space="preserve">INSERT INTO attribute_values (attribute_id, tag, name, details) VALUES ((SELECT id FROM attributes WHERE tag = 'att_celllines' LIMIT 1),  'att_celllines:sf539',  'SF-539',  'Human NCI-60 cell line; central nervous system (CNS) tumor '); </v>
      </c>
    </row>
    <row r="88" spans="1:15">
      <c r="A88" s="7" t="b">
        <f>FALSE()</f>
        <v>0</v>
      </c>
      <c r="B88" s="7"/>
      <c r="C88" s="3" t="s">
        <v>568</v>
      </c>
      <c r="D88" s="3" t="s">
        <v>569</v>
      </c>
      <c r="E88" s="3" t="s">
        <v>12</v>
      </c>
      <c r="F88" s="3" t="s">
        <v>2416</v>
      </c>
      <c r="G88" s="3" t="s">
        <v>2417</v>
      </c>
      <c r="H88" s="3" t="str">
        <f t="shared" si="4"/>
        <v>att_celllines</v>
      </c>
      <c r="I88" s="3" t="s">
        <v>568</v>
      </c>
      <c r="J88" s="3" t="str">
        <f t="shared" si="5"/>
        <v>att_celllines:skmel2</v>
      </c>
      <c r="K88" s="6" t="s">
        <v>16</v>
      </c>
      <c r="L88" s="3" t="s">
        <v>500</v>
      </c>
      <c r="M88" s="3" t="s">
        <v>2418</v>
      </c>
      <c r="N88" s="3" t="str">
        <f t="shared" si="6"/>
        <v>INSERT INTO attributes (parent_id, tag, name, priority, allow_as_filter, allow_for_dataset, allow_for_measurement, allow_for_users, allow_for_qc) VALUES (NULL, 'att_celllines',  'Celllines',  500,  TRUE, TRUE, TRUE, FALSE, FALSE);</v>
      </c>
      <c r="O88" s="3" t="str">
        <f t="shared" si="7"/>
        <v xml:space="preserve">INSERT INTO attribute_values (attribute_id, tag, name, details) VALUES ((SELECT id FROM attributes WHERE tag = 'att_celllines' LIMIT 1),  'att_celllines:skmel2',  'SK-MEL-2',  'Human NCI-60 cell line; Melanoma'); </v>
      </c>
    </row>
    <row r="89" spans="1:15">
      <c r="A89" s="7" t="b">
        <f>FALSE()</f>
        <v>0</v>
      </c>
      <c r="B89" s="7"/>
      <c r="C89" s="3" t="s">
        <v>570</v>
      </c>
      <c r="D89" s="3" t="s">
        <v>571</v>
      </c>
      <c r="E89" s="3" t="s">
        <v>12</v>
      </c>
      <c r="F89" s="3" t="s">
        <v>2416</v>
      </c>
      <c r="G89" s="3" t="s">
        <v>2417</v>
      </c>
      <c r="H89" s="3" t="str">
        <f t="shared" si="4"/>
        <v>att_celllines</v>
      </c>
      <c r="I89" s="3" t="s">
        <v>570</v>
      </c>
      <c r="J89" s="3" t="str">
        <f t="shared" si="5"/>
        <v>att_celllines:skmel28</v>
      </c>
      <c r="K89" s="6" t="s">
        <v>16</v>
      </c>
      <c r="L89" s="3" t="s">
        <v>500</v>
      </c>
      <c r="M89" s="3" t="s">
        <v>2418</v>
      </c>
      <c r="N89" s="3" t="str">
        <f t="shared" si="6"/>
        <v>INSERT INTO attributes (parent_id, tag, name, priority, allow_as_filter, allow_for_dataset, allow_for_measurement, allow_for_users, allow_for_qc) VALUES (NULL, 'att_celllines',  'Celllines',  500,  TRUE, TRUE, TRUE, FALSE, FALSE);</v>
      </c>
      <c r="O89" s="3" t="str">
        <f t="shared" si="7"/>
        <v xml:space="preserve">INSERT INTO attribute_values (attribute_id, tag, name, details) VALUES ((SELECT id FROM attributes WHERE tag = 'att_celllines' LIMIT 1),  'att_celllines:skmel28',  'SK-MEL-28',  'Human NCI-60 cell line; Melanoma'); </v>
      </c>
    </row>
    <row r="90" spans="1:15">
      <c r="A90" s="7" t="b">
        <f>FALSE()</f>
        <v>0</v>
      </c>
      <c r="B90" s="7"/>
      <c r="C90" s="3" t="s">
        <v>572</v>
      </c>
      <c r="D90" s="3" t="s">
        <v>573</v>
      </c>
      <c r="E90" s="3" t="s">
        <v>12</v>
      </c>
      <c r="F90" s="3" t="s">
        <v>2416</v>
      </c>
      <c r="G90" s="3" t="s">
        <v>2417</v>
      </c>
      <c r="H90" s="3" t="str">
        <f t="shared" si="4"/>
        <v>att_celllines</v>
      </c>
      <c r="I90" s="3" t="s">
        <v>572</v>
      </c>
      <c r="J90" s="3" t="str">
        <f t="shared" si="5"/>
        <v>att_celllines:skmel5</v>
      </c>
      <c r="K90" s="6" t="s">
        <v>16</v>
      </c>
      <c r="L90" s="3" t="s">
        <v>500</v>
      </c>
      <c r="M90" s="3" t="s">
        <v>2418</v>
      </c>
      <c r="N90" s="3" t="str">
        <f t="shared" si="6"/>
        <v>INSERT INTO attributes (parent_id, tag, name, priority, allow_as_filter, allow_for_dataset, allow_for_measurement, allow_for_users, allow_for_qc) VALUES (NULL, 'att_celllines',  'Celllines',  500,  TRUE, TRUE, TRUE, FALSE, FALSE);</v>
      </c>
      <c r="O90" s="3" t="str">
        <f t="shared" si="7"/>
        <v xml:space="preserve">INSERT INTO attribute_values (attribute_id, tag, name, details) VALUES ((SELECT id FROM attributes WHERE tag = 'att_celllines' LIMIT 1),  'att_celllines:skmel5',  'SK-MEL-5',  'Human NCI-60 cell line; Melanoma'); </v>
      </c>
    </row>
    <row r="91" spans="1:15">
      <c r="A91" s="7" t="b">
        <f>FALSE()</f>
        <v>0</v>
      </c>
      <c r="B91" s="7"/>
      <c r="C91" s="3" t="s">
        <v>574</v>
      </c>
      <c r="D91" s="3" t="s">
        <v>575</v>
      </c>
      <c r="E91" s="3" t="s">
        <v>12</v>
      </c>
      <c r="F91" s="3" t="s">
        <v>2416</v>
      </c>
      <c r="G91" s="3" t="s">
        <v>2417</v>
      </c>
      <c r="H91" s="3" t="str">
        <f t="shared" si="4"/>
        <v>att_celllines</v>
      </c>
      <c r="I91" s="3" t="s">
        <v>574</v>
      </c>
      <c r="J91" s="3" t="str">
        <f t="shared" si="5"/>
        <v>att_celllines:skov3</v>
      </c>
      <c r="K91" s="6" t="s">
        <v>16</v>
      </c>
      <c r="L91" s="3" t="s">
        <v>480</v>
      </c>
      <c r="M91" s="3" t="s">
        <v>2418</v>
      </c>
      <c r="N91" s="3" t="str">
        <f t="shared" si="6"/>
        <v>INSERT INTO attributes (parent_id, tag, name, priority, allow_as_filter, allow_for_dataset, allow_for_measurement, allow_for_users, allow_for_qc) VALUES (NULL, 'att_celllines',  'Celllines',  500,  TRUE, TRUE, TRUE, FALSE, FALSE);</v>
      </c>
      <c r="O91" s="3" t="str">
        <f t="shared" si="7"/>
        <v xml:space="preserve">INSERT INTO attribute_values (attribute_id, tag, name, details) VALUES ((SELECT id FROM attributes WHERE tag = 'att_celllines' LIMIT 1),  'att_celllines:skov3',  'SK-OV-3',  'Human NCI-60 cell line; Ovarian Cancer'); </v>
      </c>
    </row>
    <row r="92" spans="1:15">
      <c r="A92" s="7" t="b">
        <f>FALSE()</f>
        <v>0</v>
      </c>
      <c r="B92" s="7"/>
      <c r="C92" s="3" t="s">
        <v>576</v>
      </c>
      <c r="D92" s="3" t="s">
        <v>577</v>
      </c>
      <c r="E92" s="3" t="s">
        <v>12</v>
      </c>
      <c r="F92" s="3" t="s">
        <v>2416</v>
      </c>
      <c r="G92" s="3" t="s">
        <v>2417</v>
      </c>
      <c r="H92" s="3" t="str">
        <f t="shared" si="4"/>
        <v>att_celllines</v>
      </c>
      <c r="I92" s="3" t="s">
        <v>576</v>
      </c>
      <c r="J92" s="3" t="str">
        <f t="shared" si="5"/>
        <v>att_celllines:sn12c</v>
      </c>
      <c r="K92" s="6" t="s">
        <v>16</v>
      </c>
      <c r="L92" s="3" t="s">
        <v>421</v>
      </c>
      <c r="M92" s="3" t="s">
        <v>2418</v>
      </c>
      <c r="N92" s="3" t="str">
        <f t="shared" si="6"/>
        <v>INSERT INTO attributes (parent_id, tag, name, priority, allow_as_filter, allow_for_dataset, allow_for_measurement, allow_for_users, allow_for_qc) VALUES (NULL, 'att_celllines',  'Celllines',  500,  TRUE, TRUE, TRUE, FALSE, FALSE);</v>
      </c>
      <c r="O92" s="3" t="str">
        <f t="shared" si="7"/>
        <v xml:space="preserve">INSERT INTO attribute_values (attribute_id, tag, name, details) VALUES ((SELECT id FROM attributes WHERE tag = 'att_celllines' LIMIT 1),  'att_celllines:sn12c',  'SN12C',  'Human NCI-60 cell line; Renal Cancer'); </v>
      </c>
    </row>
    <row r="93" spans="1:15">
      <c r="A93" s="7" t="b">
        <f>FALSE()</f>
        <v>0</v>
      </c>
      <c r="B93" s="7"/>
      <c r="C93" s="3" t="s">
        <v>578</v>
      </c>
      <c r="D93" s="3" t="s">
        <v>579</v>
      </c>
      <c r="E93" s="3" t="s">
        <v>12</v>
      </c>
      <c r="F93" s="3" t="s">
        <v>2416</v>
      </c>
      <c r="G93" s="3" t="s">
        <v>2417</v>
      </c>
      <c r="H93" s="3" t="str">
        <f t="shared" si="4"/>
        <v>att_celllines</v>
      </c>
      <c r="I93" s="3" t="s">
        <v>578</v>
      </c>
      <c r="J93" s="3" t="str">
        <f t="shared" si="5"/>
        <v>att_celllines:snb19</v>
      </c>
      <c r="K93" s="6" t="s">
        <v>16</v>
      </c>
      <c r="L93" s="3" t="s">
        <v>563</v>
      </c>
      <c r="M93" s="3" t="s">
        <v>2418</v>
      </c>
      <c r="N93" s="3" t="str">
        <f t="shared" si="6"/>
        <v>INSERT INTO attributes (parent_id, tag, name, priority, allow_as_filter, allow_for_dataset, allow_for_measurement, allow_for_users, allow_for_qc) VALUES (NULL, 'att_celllines',  'Celllines',  500,  TRUE, TRUE, TRUE, FALSE, FALSE);</v>
      </c>
      <c r="O93" s="3" t="str">
        <f t="shared" si="7"/>
        <v xml:space="preserve">INSERT INTO attribute_values (attribute_id, tag, name, details) VALUES ((SELECT id FROM attributes WHERE tag = 'att_celllines' LIMIT 1),  'att_celllines:snb19',  'SNB-19',  'Human NCI-60 cell line; central nervous system (CNS) tumor '); </v>
      </c>
    </row>
    <row r="94" spans="1:15">
      <c r="A94" s="7" t="b">
        <f>FALSE()</f>
        <v>0</v>
      </c>
      <c r="B94" s="7"/>
      <c r="C94" s="3" t="s">
        <v>580</v>
      </c>
      <c r="D94" s="3" t="s">
        <v>581</v>
      </c>
      <c r="E94" s="3" t="s">
        <v>12</v>
      </c>
      <c r="F94" s="3" t="s">
        <v>2416</v>
      </c>
      <c r="G94" s="3" t="s">
        <v>2417</v>
      </c>
      <c r="H94" s="3" t="str">
        <f t="shared" si="4"/>
        <v>att_celllines</v>
      </c>
      <c r="I94" s="3" t="s">
        <v>580</v>
      </c>
      <c r="J94" s="3" t="str">
        <f t="shared" si="5"/>
        <v>att_celllines:snb75</v>
      </c>
      <c r="K94" s="6" t="s">
        <v>16</v>
      </c>
      <c r="L94" s="3" t="s">
        <v>563</v>
      </c>
      <c r="M94" s="3" t="s">
        <v>2418</v>
      </c>
      <c r="N94" s="3" t="str">
        <f t="shared" si="6"/>
        <v>INSERT INTO attributes (parent_id, tag, name, priority, allow_as_filter, allow_for_dataset, allow_for_measurement, allow_for_users, allow_for_qc) VALUES (NULL, 'att_celllines',  'Celllines',  500,  TRUE, TRUE, TRUE, FALSE, FALSE);</v>
      </c>
      <c r="O94" s="3" t="str">
        <f t="shared" si="7"/>
        <v xml:space="preserve">INSERT INTO attribute_values (attribute_id, tag, name, details) VALUES ((SELECT id FROM attributes WHERE tag = 'att_celllines' LIMIT 1),  'att_celllines:snb75',  'SNB-75',  'Human NCI-60 cell line; central nervous system (CNS) tumor '); </v>
      </c>
    </row>
    <row r="95" spans="1:15">
      <c r="A95" s="7" t="b">
        <f>FALSE()</f>
        <v>0</v>
      </c>
      <c r="B95" s="7"/>
      <c r="C95" s="3" t="s">
        <v>582</v>
      </c>
      <c r="D95" s="3" t="s">
        <v>583</v>
      </c>
      <c r="E95" s="3" t="s">
        <v>12</v>
      </c>
      <c r="F95" s="3" t="s">
        <v>2416</v>
      </c>
      <c r="G95" s="3" t="s">
        <v>2417</v>
      </c>
      <c r="H95" s="3" t="str">
        <f t="shared" si="4"/>
        <v>att_celllines</v>
      </c>
      <c r="I95" s="3" t="s">
        <v>582</v>
      </c>
      <c r="J95" s="3" t="str">
        <f t="shared" si="5"/>
        <v>att_celllines:sr</v>
      </c>
      <c r="K95" s="6" t="s">
        <v>16</v>
      </c>
      <c r="L95" s="3" t="s">
        <v>447</v>
      </c>
      <c r="M95" s="3" t="s">
        <v>2418</v>
      </c>
      <c r="N95" s="3" t="str">
        <f t="shared" si="6"/>
        <v>INSERT INTO attributes (parent_id, tag, name, priority, allow_as_filter, allow_for_dataset, allow_for_measurement, allow_for_users, allow_for_qc) VALUES (NULL, 'att_celllines',  'Celllines',  500,  TRUE, TRUE, TRUE, FALSE, FALSE);</v>
      </c>
      <c r="O95" s="3" t="str">
        <f t="shared" si="7"/>
        <v xml:space="preserve">INSERT INTO attribute_values (attribute_id, tag, name, details) VALUES ((SELECT id FROM attributes WHERE tag = 'att_celllines' LIMIT 1),  'att_celllines:sr',  'SR',  'Human NCI-60 cell line; Leukemia'); </v>
      </c>
    </row>
    <row r="96" spans="1:15">
      <c r="A96" s="7" t="b">
        <f>FALSE()</f>
        <v>0</v>
      </c>
      <c r="B96" s="7"/>
      <c r="C96" s="3" t="s">
        <v>584</v>
      </c>
      <c r="D96" s="3" t="s">
        <v>585</v>
      </c>
      <c r="E96" s="3" t="s">
        <v>12</v>
      </c>
      <c r="F96" s="3" t="s">
        <v>2416</v>
      </c>
      <c r="G96" s="3" t="s">
        <v>2417</v>
      </c>
      <c r="H96" s="3" t="str">
        <f t="shared" si="4"/>
        <v>att_celllines</v>
      </c>
      <c r="I96" s="3" t="s">
        <v>584</v>
      </c>
      <c r="J96" s="3" t="str">
        <f t="shared" si="5"/>
        <v>att_celllines:sw620</v>
      </c>
      <c r="K96" s="6" t="s">
        <v>16</v>
      </c>
      <c r="L96" s="3" t="s">
        <v>444</v>
      </c>
      <c r="M96" s="3" t="s">
        <v>2418</v>
      </c>
      <c r="N96" s="3" t="str">
        <f t="shared" si="6"/>
        <v>INSERT INTO attributes (parent_id, tag, name, priority, allow_as_filter, allow_for_dataset, allow_for_measurement, allow_for_users, allow_for_qc) VALUES (NULL, 'att_celllines',  'Celllines',  500,  TRUE, TRUE, TRUE, FALSE, FALSE);</v>
      </c>
      <c r="O96" s="3" t="str">
        <f t="shared" si="7"/>
        <v xml:space="preserve">INSERT INTO attribute_values (attribute_id, tag, name, details) VALUES ((SELECT id FROM attributes WHERE tag = 'att_celllines' LIMIT 1),  'att_celllines:sw620',  'SW-620',  'Human NCI-60 cell line; Colon cancer'); </v>
      </c>
    </row>
    <row r="97" spans="1:15">
      <c r="A97" s="7" t="b">
        <f>FALSE()</f>
        <v>0</v>
      </c>
      <c r="B97" s="7"/>
      <c r="C97" s="3" t="s">
        <v>586</v>
      </c>
      <c r="D97" s="3" t="s">
        <v>587</v>
      </c>
      <c r="E97" s="3" t="s">
        <v>12</v>
      </c>
      <c r="F97" s="3" t="s">
        <v>2416</v>
      </c>
      <c r="G97" s="3" t="s">
        <v>2417</v>
      </c>
      <c r="H97" s="3" t="str">
        <f t="shared" si="4"/>
        <v>att_celllines</v>
      </c>
      <c r="I97" s="3" t="s">
        <v>586</v>
      </c>
      <c r="J97" s="3" t="str">
        <f t="shared" si="5"/>
        <v>att_celllines:t47d</v>
      </c>
      <c r="K97" s="6" t="s">
        <v>16</v>
      </c>
      <c r="L97" s="3" t="s">
        <v>436</v>
      </c>
      <c r="M97" s="3" t="s">
        <v>2418</v>
      </c>
      <c r="N97" s="3" t="str">
        <f t="shared" si="6"/>
        <v>INSERT INTO attributes (parent_id, tag, name, priority, allow_as_filter, allow_for_dataset, allow_for_measurement, allow_for_users, allow_for_qc) VALUES (NULL, 'att_celllines',  'Celllines',  500,  TRUE, TRUE, TRUE, FALSE, FALSE);</v>
      </c>
      <c r="O97" s="3" t="str">
        <f t="shared" si="7"/>
        <v xml:space="preserve">INSERT INTO attribute_values (attribute_id, tag, name, details) VALUES ((SELECT id FROM attributes WHERE tag = 'att_celllines' LIMIT 1),  'att_celllines:t47d',  'T-47D',  'Human NCI-60 cell line; Breast Cancer'); </v>
      </c>
    </row>
    <row r="98" spans="1:15">
      <c r="A98" s="7" t="b">
        <f>FALSE()</f>
        <v>0</v>
      </c>
      <c r="B98" s="7"/>
      <c r="C98" s="3" t="s">
        <v>588</v>
      </c>
      <c r="D98" s="3" t="s">
        <v>589</v>
      </c>
      <c r="E98" s="3" t="s">
        <v>12</v>
      </c>
      <c r="F98" s="3" t="s">
        <v>2416</v>
      </c>
      <c r="G98" s="3" t="s">
        <v>2417</v>
      </c>
      <c r="H98" s="3" t="str">
        <f t="shared" si="4"/>
        <v>att_celllines</v>
      </c>
      <c r="I98" s="3" t="s">
        <v>588</v>
      </c>
      <c r="J98" s="3" t="str">
        <f t="shared" si="5"/>
        <v>att_celllines:thp1</v>
      </c>
      <c r="K98" s="6" t="s">
        <v>16</v>
      </c>
      <c r="L98" s="3" t="s">
        <v>590</v>
      </c>
      <c r="M98" s="3" t="s">
        <v>12</v>
      </c>
      <c r="N98" s="3" t="str">
        <f t="shared" si="6"/>
        <v>INSERT INTO attributes (parent_id, tag, name, priority, allow_as_filter, allow_for_dataset, allow_for_measurement, allow_for_users, allow_for_qc) VALUES (NULL, 'att_celllines',  'Celllines',  500,  TRUE, TRUE, TRUE, FALSE, FALSE);</v>
      </c>
      <c r="O98" s="3" t="str">
        <f t="shared" si="7"/>
        <v xml:space="preserve">INSERT INTO attribute_values (attribute_id, tag, name, details) VALUES ((SELECT id FROM attributes WHERE tag = 'att_celllines' LIMIT 1),  'att_celllines:thp1',  'THP1',  'Human acute monocytic leukemia cell line'); </v>
      </c>
    </row>
    <row r="99" spans="1:15">
      <c r="A99" s="7" t="b">
        <f>FALSE()</f>
        <v>0</v>
      </c>
      <c r="B99" s="7"/>
      <c r="C99" s="3" t="s">
        <v>591</v>
      </c>
      <c r="D99" s="3" t="s">
        <v>592</v>
      </c>
      <c r="E99" s="3" t="s">
        <v>12</v>
      </c>
      <c r="F99" s="3" t="s">
        <v>2416</v>
      </c>
      <c r="G99" s="3" t="s">
        <v>2417</v>
      </c>
      <c r="H99" s="3" t="str">
        <f t="shared" si="4"/>
        <v>att_celllines</v>
      </c>
      <c r="I99" s="3" t="s">
        <v>591</v>
      </c>
      <c r="J99" s="3" t="str">
        <f t="shared" si="5"/>
        <v>att_celllines:tk10</v>
      </c>
      <c r="K99" s="6" t="s">
        <v>16</v>
      </c>
      <c r="L99" s="3" t="s">
        <v>421</v>
      </c>
      <c r="M99" s="3" t="s">
        <v>2418</v>
      </c>
      <c r="N99" s="3" t="str">
        <f t="shared" si="6"/>
        <v>INSERT INTO attributes (parent_id, tag, name, priority, allow_as_filter, allow_for_dataset, allow_for_measurement, allow_for_users, allow_for_qc) VALUES (NULL, 'att_celllines',  'Celllines',  500,  TRUE, TRUE, TRUE, FALSE, FALSE);</v>
      </c>
      <c r="O99" s="3" t="str">
        <f t="shared" si="7"/>
        <v xml:space="preserve">INSERT INTO attribute_values (attribute_id, tag, name, details) VALUES ((SELECT id FROM attributes WHERE tag = 'att_celllines' LIMIT 1),  'att_celllines:tk10',  'TK-10',  'Human NCI-60 cell line; Renal Cancer'); </v>
      </c>
    </row>
    <row r="100" spans="1:15">
      <c r="A100" s="7" t="b">
        <f>FALSE()</f>
        <v>0</v>
      </c>
      <c r="B100" s="7"/>
      <c r="C100" s="3" t="s">
        <v>593</v>
      </c>
      <c r="D100" s="3" t="s">
        <v>594</v>
      </c>
      <c r="E100" s="3" t="s">
        <v>12</v>
      </c>
      <c r="F100" s="3" t="s">
        <v>2416</v>
      </c>
      <c r="G100" s="3" t="s">
        <v>2417</v>
      </c>
      <c r="H100" s="3" t="str">
        <f t="shared" si="4"/>
        <v>att_celllines</v>
      </c>
      <c r="I100" s="3" t="s">
        <v>593</v>
      </c>
      <c r="J100" s="3" t="str">
        <f t="shared" si="5"/>
        <v>att_celllines:u251</v>
      </c>
      <c r="K100" s="6" t="s">
        <v>16</v>
      </c>
      <c r="L100" s="3" t="s">
        <v>563</v>
      </c>
      <c r="M100" s="3" t="s">
        <v>2418</v>
      </c>
      <c r="N100" s="3" t="str">
        <f t="shared" si="6"/>
        <v>INSERT INTO attributes (parent_id, tag, name, priority, allow_as_filter, allow_for_dataset, allow_for_measurement, allow_for_users, allow_for_qc) VALUES (NULL, 'att_celllines',  'Celllines',  500,  TRUE, TRUE, TRUE, FALSE, FALSE);</v>
      </c>
      <c r="O100" s="3" t="str">
        <f t="shared" si="7"/>
        <v xml:space="preserve">INSERT INTO attribute_values (attribute_id, tag, name, details) VALUES ((SELECT id FROM attributes WHERE tag = 'att_celllines' LIMIT 1),  'att_celllines:u251',  'U251',  'Human NCI-60 cell line; central nervous system (CNS) tumor '); </v>
      </c>
    </row>
    <row r="101" spans="1:15">
      <c r="A101" s="7" t="b">
        <f>FALSE()</f>
        <v>0</v>
      </c>
      <c r="B101" s="7"/>
      <c r="C101" s="3" t="s">
        <v>595</v>
      </c>
      <c r="D101" s="3" t="s">
        <v>596</v>
      </c>
      <c r="E101" s="3" t="s">
        <v>12</v>
      </c>
      <c r="F101" s="3" t="s">
        <v>2416</v>
      </c>
      <c r="G101" s="3" t="s">
        <v>2417</v>
      </c>
      <c r="H101" s="3" t="str">
        <f t="shared" si="4"/>
        <v>att_celllines</v>
      </c>
      <c r="I101" s="3" t="s">
        <v>595</v>
      </c>
      <c r="J101" s="3" t="str">
        <f t="shared" si="5"/>
        <v>att_celllines:u937</v>
      </c>
      <c r="K101" s="6" t="s">
        <v>16</v>
      </c>
      <c r="L101" s="3" t="s">
        <v>597</v>
      </c>
      <c r="M101" s="3" t="s">
        <v>12</v>
      </c>
      <c r="N101" s="3" t="str">
        <f t="shared" si="6"/>
        <v>INSERT INTO attributes (parent_id, tag, name, priority, allow_as_filter, allow_for_dataset, allow_for_measurement, allow_for_users, allow_for_qc) VALUES (NULL, 'att_celllines',  'Celllines',  500,  TRUE, TRUE, TRUE, FALSE, FALSE);</v>
      </c>
      <c r="O101" s="3" t="str">
        <f t="shared" si="7"/>
        <v xml:space="preserve">INSERT INTO attribute_values (attribute_id, tag, name, details) VALUES ((SELECT id FROM attributes WHERE tag = 'att_celllines' LIMIT 1),  'att_celllines:u937',  'U937',  'Pro-monocytic model cell line isolated from histiocytic lymphoma'); </v>
      </c>
    </row>
    <row r="102" spans="1:15">
      <c r="A102" s="7" t="b">
        <f>FALSE()</f>
        <v>0</v>
      </c>
      <c r="B102" s="7"/>
      <c r="C102" s="3" t="s">
        <v>598</v>
      </c>
      <c r="D102" s="3" t="s">
        <v>599</v>
      </c>
      <c r="E102" s="3" t="s">
        <v>12</v>
      </c>
      <c r="F102" s="3" t="s">
        <v>2416</v>
      </c>
      <c r="G102" s="3" t="s">
        <v>2417</v>
      </c>
      <c r="H102" s="3" t="str">
        <f t="shared" si="4"/>
        <v>att_celllines</v>
      </c>
      <c r="I102" s="3" t="s">
        <v>598</v>
      </c>
      <c r="J102" s="3" t="str">
        <f t="shared" si="5"/>
        <v>att_celllines:uacc257</v>
      </c>
      <c r="K102" s="6" t="s">
        <v>16</v>
      </c>
      <c r="L102" s="3" t="s">
        <v>500</v>
      </c>
      <c r="M102" s="3" t="s">
        <v>2418</v>
      </c>
      <c r="N102" s="3" t="str">
        <f t="shared" si="6"/>
        <v>INSERT INTO attributes (parent_id, tag, name, priority, allow_as_filter, allow_for_dataset, allow_for_measurement, allow_for_users, allow_for_qc) VALUES (NULL, 'att_celllines',  'Celllines',  500,  TRUE, TRUE, TRUE, FALSE, FALSE);</v>
      </c>
      <c r="O102" s="3" t="str">
        <f t="shared" si="7"/>
        <v xml:space="preserve">INSERT INTO attribute_values (attribute_id, tag, name, details) VALUES ((SELECT id FROM attributes WHERE tag = 'att_celllines' LIMIT 1),  'att_celllines:uacc257',  'UACC-257',  'Human NCI-60 cell line; Melanoma'); </v>
      </c>
    </row>
    <row r="103" spans="1:15">
      <c r="A103" s="7" t="b">
        <f>FALSE()</f>
        <v>0</v>
      </c>
      <c r="B103" s="7"/>
      <c r="C103" s="3" t="s">
        <v>600</v>
      </c>
      <c r="D103" s="3" t="s">
        <v>601</v>
      </c>
      <c r="E103" s="3" t="s">
        <v>12</v>
      </c>
      <c r="F103" s="3" t="s">
        <v>2416</v>
      </c>
      <c r="G103" s="3" t="s">
        <v>2417</v>
      </c>
      <c r="H103" s="3" t="str">
        <f t="shared" si="4"/>
        <v>att_celllines</v>
      </c>
      <c r="I103" s="3" t="s">
        <v>600</v>
      </c>
      <c r="J103" s="3" t="str">
        <f t="shared" si="5"/>
        <v>att_celllines:uacc62</v>
      </c>
      <c r="K103" s="6" t="s">
        <v>16</v>
      </c>
      <c r="L103" s="3" t="s">
        <v>500</v>
      </c>
      <c r="M103" s="3" t="s">
        <v>2418</v>
      </c>
      <c r="N103" s="3" t="str">
        <f t="shared" si="6"/>
        <v>INSERT INTO attributes (parent_id, tag, name, priority, allow_as_filter, allow_for_dataset, allow_for_measurement, allow_for_users, allow_for_qc) VALUES (NULL, 'att_celllines',  'Celllines',  500,  TRUE, TRUE, TRUE, FALSE, FALSE);</v>
      </c>
      <c r="O103" s="3" t="str">
        <f t="shared" si="7"/>
        <v xml:space="preserve">INSERT INTO attribute_values (attribute_id, tag, name, details) VALUES ((SELECT id FROM attributes WHERE tag = 'att_celllines' LIMIT 1),  'att_celllines:uacc62',  'UACC-62',  'Human NCI-60 cell line; Melanoma'); </v>
      </c>
    </row>
    <row r="104" spans="1:15">
      <c r="A104" s="7" t="b">
        <f>FALSE()</f>
        <v>0</v>
      </c>
      <c r="B104" s="7"/>
      <c r="C104" s="3" t="s">
        <v>602</v>
      </c>
      <c r="D104" s="3" t="s">
        <v>603</v>
      </c>
      <c r="E104" s="3" t="s">
        <v>12</v>
      </c>
      <c r="F104" s="3" t="s">
        <v>2416</v>
      </c>
      <c r="G104" s="3" t="s">
        <v>2417</v>
      </c>
      <c r="H104" s="3" t="str">
        <f t="shared" si="4"/>
        <v>att_celllines</v>
      </c>
      <c r="I104" s="3" t="s">
        <v>602</v>
      </c>
      <c r="J104" s="3" t="str">
        <f t="shared" si="5"/>
        <v>att_celllines:uo31</v>
      </c>
      <c r="K104" s="6" t="s">
        <v>16</v>
      </c>
      <c r="L104" s="3" t="s">
        <v>421</v>
      </c>
      <c r="M104" s="3" t="s">
        <v>2418</v>
      </c>
      <c r="N104" s="3" t="str">
        <f t="shared" si="6"/>
        <v>INSERT INTO attributes (parent_id, tag, name, priority, allow_as_filter, allow_for_dataset, allow_for_measurement, allow_for_users, allow_for_qc) VALUES (NULL, 'att_celllines',  'Celllines',  500,  TRUE, TRUE, TRUE, FALSE, FALSE);</v>
      </c>
      <c r="O104" s="3" t="str">
        <f t="shared" si="7"/>
        <v xml:space="preserve">INSERT INTO attribute_values (attribute_id, tag, name, details) VALUES ((SELECT id FROM attributes WHERE tag = 'att_celllines' LIMIT 1),  'att_celllines:uo31',  'UO-31',  'Human NCI-60 cell line; Renal Cancer'); </v>
      </c>
    </row>
    <row r="105" spans="1:15">
      <c r="A105" s="7" t="b">
        <f>FALSE()</f>
        <v>0</v>
      </c>
      <c r="B105" s="7"/>
      <c r="C105" s="3" t="s">
        <v>604</v>
      </c>
      <c r="D105" s="3" t="s">
        <v>605</v>
      </c>
      <c r="E105" s="3" t="s">
        <v>12</v>
      </c>
      <c r="F105" s="3" t="s">
        <v>2416</v>
      </c>
      <c r="G105" s="3" t="s">
        <v>2417</v>
      </c>
      <c r="H105" s="3" t="str">
        <f t="shared" si="4"/>
        <v>att_celllines</v>
      </c>
      <c r="I105" s="3" t="s">
        <v>604</v>
      </c>
      <c r="J105" s="3" t="str">
        <f t="shared" si="5"/>
        <v>att_celllines:z138</v>
      </c>
      <c r="K105" s="6" t="s">
        <v>16</v>
      </c>
      <c r="L105" s="3" t="s">
        <v>486</v>
      </c>
      <c r="M105" s="3" t="s">
        <v>12</v>
      </c>
      <c r="N105" s="3" t="str">
        <f t="shared" si="6"/>
        <v>INSERT INTO attributes (parent_id, tag, name, priority, allow_as_filter, allow_for_dataset, allow_for_measurement, allow_for_users, allow_for_qc) VALUES (NULL, 'att_celllines',  'Celllines',  500,  TRUE, TRUE, TRUE, FALSE, FALSE);</v>
      </c>
      <c r="O105" s="3" t="str">
        <f t="shared" si="7"/>
        <v xml:space="preserve">INSERT INTO attribute_values (attribute_id, tag, name, details) VALUES ((SELECT id FROM attributes WHERE tag = 'att_celllines' LIMIT 1),  'att_celllines:z138',  'Z-138',  'Human Mantle cell lymphoma'); </v>
      </c>
    </row>
    <row r="106" spans="1:15">
      <c r="A106" s="7" t="b">
        <f>FALSE()</f>
        <v>0</v>
      </c>
      <c r="B106" s="7"/>
      <c r="C106" s="3" t="s">
        <v>333</v>
      </c>
      <c r="D106" s="3" t="s">
        <v>334</v>
      </c>
      <c r="E106" s="3" t="s">
        <v>12</v>
      </c>
      <c r="F106" s="3" t="s">
        <v>2420</v>
      </c>
      <c r="G106" s="3" t="s">
        <v>2421</v>
      </c>
      <c r="H106" s="3" t="str">
        <f t="shared" si="4"/>
        <v>att_cells</v>
      </c>
      <c r="I106" s="3" t="s">
        <v>332</v>
      </c>
      <c r="J106" s="3" t="str">
        <f t="shared" si="5"/>
        <v>att_cells:adipose_macrophages</v>
      </c>
      <c r="K106" s="6" t="s">
        <v>16</v>
      </c>
      <c r="L106" s="3" t="s">
        <v>335</v>
      </c>
      <c r="M106" s="3" t="s">
        <v>12</v>
      </c>
      <c r="N106" s="3" t="str">
        <f t="shared" si="6"/>
        <v>INSERT INTO attributes (parent_id, tag, name, priority, allow_as_filter, allow_for_dataset, allow_for_measurement, allow_for_users, allow_for_qc) VALUES (NULL, 'att_cells',  'Cells',  500,  TRUE, TRUE, TRUE, FALSE, FALSE);</v>
      </c>
      <c r="O106" s="3" t="str">
        <f t="shared" si="7"/>
        <v xml:space="preserve">INSERT INTO attribute_values (attribute_id, tag, name, details) VALUES ((SELECT id FROM attributes WHERE tag = 'att_cells' LIMIT 1),  'att_cells:adipose_macrophages',  'Adipose Macrophages',  'Adipose tissue macrophages'); </v>
      </c>
    </row>
    <row r="107" spans="1:15">
      <c r="A107" s="7" t="b">
        <f>FALSE()</f>
        <v>0</v>
      </c>
      <c r="B107" s="7"/>
      <c r="C107" s="3" t="s">
        <v>336</v>
      </c>
      <c r="D107" s="3" t="s">
        <v>294</v>
      </c>
      <c r="E107" s="3" t="s">
        <v>12</v>
      </c>
      <c r="F107" s="3" t="s">
        <v>2420</v>
      </c>
      <c r="G107" s="3" t="s">
        <v>2421</v>
      </c>
      <c r="H107" s="3" t="str">
        <f t="shared" si="4"/>
        <v>att_cells</v>
      </c>
      <c r="I107" s="3" t="s">
        <v>336</v>
      </c>
      <c r="J107" s="3" t="str">
        <f t="shared" si="5"/>
        <v>att_cells:astrocytes</v>
      </c>
      <c r="K107" s="6" t="s">
        <v>16</v>
      </c>
      <c r="L107" s="3" t="s">
        <v>294</v>
      </c>
      <c r="M107" s="3" t="s">
        <v>12</v>
      </c>
      <c r="N107" s="3" t="str">
        <f t="shared" si="6"/>
        <v>INSERT INTO attributes (parent_id, tag, name, priority, allow_as_filter, allow_for_dataset, allow_for_measurement, allow_for_users, allow_for_qc) VALUES (NULL, 'att_cells',  'Cells',  500,  TRUE, TRUE, TRUE, FALSE, FALSE);</v>
      </c>
      <c r="O107" s="3" t="str">
        <f t="shared" si="7"/>
        <v xml:space="preserve">INSERT INTO attribute_values (attribute_id, tag, name, details) VALUES ((SELECT id FROM attributes WHERE tag = 'att_cells' LIMIT 1),  'att_cells:astrocytes',  'Astrocytes',  'Astrocytes'); </v>
      </c>
    </row>
    <row r="108" spans="1:15">
      <c r="A108" s="7" t="b">
        <f>FALSE()</f>
        <v>0</v>
      </c>
      <c r="B108" s="7"/>
      <c r="C108" s="3" t="s">
        <v>337</v>
      </c>
      <c r="D108" s="3" t="s">
        <v>338</v>
      </c>
      <c r="E108" s="3" t="s">
        <v>12</v>
      </c>
      <c r="F108" s="3" t="s">
        <v>2420</v>
      </c>
      <c r="G108" s="3" t="s">
        <v>2421</v>
      </c>
      <c r="H108" s="3" t="str">
        <f t="shared" si="4"/>
        <v>att_cells</v>
      </c>
      <c r="I108" s="3" t="s">
        <v>337</v>
      </c>
      <c r="J108" s="3" t="str">
        <f t="shared" si="5"/>
        <v>att_cells:basophils</v>
      </c>
      <c r="K108" s="6" t="s">
        <v>16</v>
      </c>
      <c r="L108" s="3" t="s">
        <v>339</v>
      </c>
      <c r="M108" s="3" t="s">
        <v>12</v>
      </c>
      <c r="N108" s="3" t="str">
        <f t="shared" si="6"/>
        <v>INSERT INTO attributes (parent_id, tag, name, priority, allow_as_filter, allow_for_dataset, allow_for_measurement, allow_for_users, allow_for_qc) VALUES (NULL, 'att_cells',  'Cells',  500,  TRUE, TRUE, TRUE, FALSE, FALSE);</v>
      </c>
      <c r="O108" s="3" t="str">
        <f t="shared" si="7"/>
        <v xml:space="preserve">INSERT INTO attribute_values (attribute_id, tag, name, details) VALUES ((SELECT id FROM attributes WHERE tag = 'att_cells' LIMIT 1),  'att_cells:basophils',  'Basophils',  '&lt; 1% of leukocytes'); </v>
      </c>
    </row>
    <row r="109" spans="1:15">
      <c r="A109" s="7" t="b">
        <f>FALSE()</f>
        <v>0</v>
      </c>
      <c r="B109" s="7"/>
      <c r="C109" s="3" t="s">
        <v>340</v>
      </c>
      <c r="D109" s="3" t="s">
        <v>341</v>
      </c>
      <c r="E109" s="3" t="s">
        <v>12</v>
      </c>
      <c r="F109" s="3" t="s">
        <v>2420</v>
      </c>
      <c r="G109" s="3" t="s">
        <v>2421</v>
      </c>
      <c r="H109" s="3" t="str">
        <f t="shared" si="4"/>
        <v>att_cells</v>
      </c>
      <c r="I109" s="3" t="s">
        <v>340</v>
      </c>
      <c r="J109" s="3" t="str">
        <f t="shared" si="5"/>
        <v>att_cells:bcells</v>
      </c>
      <c r="K109" s="6" t="s">
        <v>16</v>
      </c>
      <c r="L109" s="3" t="s">
        <v>341</v>
      </c>
      <c r="M109" s="3" t="s">
        <v>12</v>
      </c>
      <c r="N109" s="3" t="str">
        <f t="shared" si="6"/>
        <v>INSERT INTO attributes (parent_id, tag, name, priority, allow_as_filter, allow_for_dataset, allow_for_measurement, allow_for_users, allow_for_qc) VALUES (NULL, 'att_cells',  'Cells',  500,  TRUE, TRUE, TRUE, FALSE, FALSE);</v>
      </c>
      <c r="O109" s="3" t="str">
        <f t="shared" si="7"/>
        <v xml:space="preserve">INSERT INTO attribute_values (attribute_id, tag, name, details) VALUES ((SELECT id FROM attributes WHERE tag = 'att_cells' LIMIT 1),  'att_cells:bcells',  'B cells',  'B cells'); </v>
      </c>
    </row>
    <row r="110" spans="1:15">
      <c r="A110" s="7" t="b">
        <f>FALSE()</f>
        <v>0</v>
      </c>
      <c r="B110" s="7"/>
      <c r="C110" s="3" t="s">
        <v>342</v>
      </c>
      <c r="D110" s="3" t="s">
        <v>343</v>
      </c>
      <c r="E110" s="3" t="s">
        <v>12</v>
      </c>
      <c r="F110" s="3" t="s">
        <v>2420</v>
      </c>
      <c r="G110" s="3" t="s">
        <v>2421</v>
      </c>
      <c r="H110" s="3" t="str">
        <f t="shared" si="4"/>
        <v>att_cells</v>
      </c>
      <c r="I110" s="3" t="s">
        <v>342</v>
      </c>
      <c r="J110" s="3" t="str">
        <f t="shared" si="5"/>
        <v>att_cells:cytotoxict</v>
      </c>
      <c r="K110" s="6" t="s">
        <v>16</v>
      </c>
      <c r="L110" s="3" t="s">
        <v>344</v>
      </c>
      <c r="M110" s="3" t="s">
        <v>12</v>
      </c>
      <c r="N110" s="3" t="str">
        <f t="shared" si="6"/>
        <v>INSERT INTO attributes (parent_id, tag, name, priority, allow_as_filter, allow_for_dataset, allow_for_measurement, allow_for_users, allow_for_qc) VALUES (NULL, 'att_cells',  'Cells',  500,  TRUE, TRUE, TRUE, FALSE, FALSE);</v>
      </c>
      <c r="O110" s="3" t="str">
        <f t="shared" si="7"/>
        <v xml:space="preserve">INSERT INTO attribute_values (attribute_id, tag, name, details) VALUES ((SELECT id FROM attributes WHERE tag = 'att_cells' LIMIT 1),  'att_cells:cytotoxict',  'Cytotoxic T cells',  'CD8+ cytotoxic T cells'); </v>
      </c>
    </row>
    <row r="111" spans="1:15">
      <c r="A111" s="7" t="b">
        <f>FALSE()</f>
        <v>0</v>
      </c>
      <c r="B111" s="7"/>
      <c r="C111" s="3" t="s">
        <v>345</v>
      </c>
      <c r="D111" s="3" t="s">
        <v>346</v>
      </c>
      <c r="E111" s="3" t="s">
        <v>12</v>
      </c>
      <c r="F111" s="3" t="s">
        <v>2420</v>
      </c>
      <c r="G111" s="3" t="s">
        <v>2421</v>
      </c>
      <c r="H111" s="3" t="str">
        <f t="shared" si="4"/>
        <v>att_cells</v>
      </c>
      <c r="I111" s="3" t="s">
        <v>345</v>
      </c>
      <c r="J111" s="3" t="str">
        <f t="shared" si="5"/>
        <v>att_cells:endothelial</v>
      </c>
      <c r="K111" s="6" t="s">
        <v>16</v>
      </c>
      <c r="L111" s="3" t="s">
        <v>347</v>
      </c>
      <c r="M111" s="3" t="s">
        <v>12</v>
      </c>
      <c r="N111" s="3" t="str">
        <f t="shared" si="6"/>
        <v>INSERT INTO attributes (parent_id, tag, name, priority, allow_as_filter, allow_for_dataset, allow_for_measurement, allow_for_users, allow_for_qc) VALUES (NULL, 'att_cells',  'Cells',  500,  TRUE, TRUE, TRUE, FALSE, FALSE);</v>
      </c>
      <c r="O111" s="3"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c r="A112" s="7" t="b">
        <f>FALSE()</f>
        <v>0</v>
      </c>
      <c r="B112" s="7"/>
      <c r="C112" s="3" t="s">
        <v>348</v>
      </c>
      <c r="D112" s="3" t="s">
        <v>349</v>
      </c>
      <c r="E112" s="3" t="s">
        <v>12</v>
      </c>
      <c r="F112" s="3" t="s">
        <v>2420</v>
      </c>
      <c r="G112" s="3" t="s">
        <v>2421</v>
      </c>
      <c r="H112" s="3" t="str">
        <f t="shared" si="4"/>
        <v>att_cells</v>
      </c>
      <c r="I112" s="3" t="s">
        <v>348</v>
      </c>
      <c r="J112" s="3" t="str">
        <f t="shared" si="5"/>
        <v>att_cells:eosinophils</v>
      </c>
      <c r="K112" s="6" t="s">
        <v>16</v>
      </c>
      <c r="L112" s="3" t="s">
        <v>350</v>
      </c>
      <c r="M112" s="3" t="s">
        <v>12</v>
      </c>
      <c r="N112" s="3" t="str">
        <f t="shared" si="6"/>
        <v>INSERT INTO attributes (parent_id, tag, name, priority, allow_as_filter, allow_for_dataset, allow_for_measurement, allow_for_users, allow_for_qc) VALUES (NULL, 'att_cells',  'Cells',  500,  TRUE, TRUE, TRUE, FALSE, FALSE);</v>
      </c>
      <c r="O112" s="3" t="str">
        <f t="shared" si="7"/>
        <v xml:space="preserve">INSERT INTO attribute_values (attribute_id, tag, name, details) VALUES ((SELECT id FROM attributes WHERE tag = 'att_cells' LIMIT 1),  'att_cells:eosinophils',  'Eosinophils',  '2% of leukocytes'); </v>
      </c>
    </row>
    <row r="113" spans="1:15">
      <c r="A113" s="7" t="b">
        <f>FALSE()</f>
        <v>0</v>
      </c>
      <c r="B113" s="7"/>
      <c r="C113" s="3" t="s">
        <v>351</v>
      </c>
      <c r="D113" s="3" t="s">
        <v>352</v>
      </c>
      <c r="E113" s="3" t="s">
        <v>12</v>
      </c>
      <c r="F113" s="3" t="s">
        <v>2420</v>
      </c>
      <c r="G113" s="3" t="s">
        <v>2421</v>
      </c>
      <c r="H113" s="3" t="str">
        <f t="shared" si="4"/>
        <v>att_cells</v>
      </c>
      <c r="I113" s="3" t="s">
        <v>351</v>
      </c>
      <c r="J113" s="3" t="str">
        <f t="shared" si="5"/>
        <v>att_cells:epithelioid</v>
      </c>
      <c r="K113" s="6" t="s">
        <v>16</v>
      </c>
      <c r="L113" s="3" t="s">
        <v>353</v>
      </c>
      <c r="M113" s="3" t="s">
        <v>12</v>
      </c>
      <c r="N113" s="3" t="str">
        <f t="shared" si="6"/>
        <v>INSERT INTO attributes (parent_id, tag, name, priority, allow_as_filter, allow_for_dataset, allow_for_measurement, allow_for_users, allow_for_qc) VALUES (NULL, 'att_cells',  'Cells',  500,  TRUE, TRUE, TRUE, FALSE, FALSE);</v>
      </c>
      <c r="O113" s="3" t="str">
        <f t="shared" si="7"/>
        <v xml:space="preserve">INSERT INTO attribute_values (attribute_id, tag, name, details) VALUES ((SELECT id FROM attributes WHERE tag = 'att_cells' LIMIT 1),  'att_cells:epithelioid',  'Epithelioid',  'Granulomas'); </v>
      </c>
    </row>
    <row r="114" spans="1:15">
      <c r="A114" s="7" t="b">
        <f>FALSE()</f>
        <v>0</v>
      </c>
      <c r="B114" s="7"/>
      <c r="C114" s="3" t="s">
        <v>354</v>
      </c>
      <c r="D114" s="3" t="s">
        <v>355</v>
      </c>
      <c r="E114" s="3" t="s">
        <v>12</v>
      </c>
      <c r="F114" s="3" t="s">
        <v>2420</v>
      </c>
      <c r="G114" s="3" t="s">
        <v>2421</v>
      </c>
      <c r="H114" s="3" t="str">
        <f t="shared" si="4"/>
        <v>att_cells</v>
      </c>
      <c r="I114" s="3" t="s">
        <v>354</v>
      </c>
      <c r="J114" s="3" t="str">
        <f t="shared" si="5"/>
        <v>att_cells:erythrocytes</v>
      </c>
      <c r="K114" s="6" t="s">
        <v>16</v>
      </c>
      <c r="L114" s="3" t="s">
        <v>356</v>
      </c>
      <c r="M114" s="3" t="s">
        <v>12</v>
      </c>
      <c r="N114" s="3" t="str">
        <f t="shared" si="6"/>
        <v>INSERT INTO attributes (parent_id, tag, name, priority, allow_as_filter, allow_for_dataset, allow_for_measurement, allow_for_users, allow_for_qc) VALUES (NULL, 'att_cells',  'Cells',  500,  TRUE, TRUE, TRUE, FALSE, FALSE);</v>
      </c>
      <c r="O114" s="3" t="str">
        <f t="shared" si="7"/>
        <v xml:space="preserve">INSERT INTO attribute_values (attribute_id, tag, name, details) VALUES ((SELECT id FROM attributes WHERE tag = 'att_cells' LIMIT 1),  'att_cells:erythrocytes',  'Erythrocytes',  'Red blood cells'); </v>
      </c>
    </row>
    <row r="115" spans="1:15">
      <c r="A115" s="7" t="b">
        <f>FALSE()</f>
        <v>0</v>
      </c>
      <c r="B115" s="7"/>
      <c r="C115" s="3" t="s">
        <v>357</v>
      </c>
      <c r="D115" s="3" t="s">
        <v>358</v>
      </c>
      <c r="E115" s="3" t="s">
        <v>12</v>
      </c>
      <c r="F115" s="3" t="s">
        <v>2420</v>
      </c>
      <c r="G115" s="3" t="s">
        <v>2421</v>
      </c>
      <c r="H115" s="3" t="str">
        <f t="shared" si="4"/>
        <v>att_cells</v>
      </c>
      <c r="I115" s="3" t="s">
        <v>357</v>
      </c>
      <c r="J115" s="3" t="str">
        <f t="shared" si="5"/>
        <v>att_cells:gammadeltat</v>
      </c>
      <c r="K115" s="6" t="s">
        <v>16</v>
      </c>
      <c r="L115" s="3" t="s">
        <v>359</v>
      </c>
      <c r="M115" s="3" t="s">
        <v>12</v>
      </c>
      <c r="N115" s="3" t="str">
        <f t="shared" si="6"/>
        <v>INSERT INTO attributes (parent_id, tag, name, priority, allow_as_filter, allow_for_dataset, allow_for_measurement, allow_for_users, allow_for_qc) VALUES (NULL, 'att_cells',  'Cells',  500,  TRUE, TRUE, TRUE, FALSE, FALSE);</v>
      </c>
      <c r="O115" s="3" t="str">
        <f t="shared" si="7"/>
        <v xml:space="preserve">INSERT INTO attribute_values (attribute_id, tag, name, details) VALUES ((SELECT id FROM attributes WHERE tag = 'att_cells' LIMIT 1),  'att_cells:gammadeltat',  'Gamma Delta T cells',  'Gamma delta T cells'); </v>
      </c>
    </row>
    <row r="116" spans="1:15">
      <c r="A116" s="7" t="b">
        <f>FALSE()</f>
        <v>0</v>
      </c>
      <c r="B116" s="7"/>
      <c r="C116" s="3" t="s">
        <v>360</v>
      </c>
      <c r="D116" s="3" t="s">
        <v>361</v>
      </c>
      <c r="E116" s="3" t="s">
        <v>12</v>
      </c>
      <c r="F116" s="3" t="s">
        <v>2420</v>
      </c>
      <c r="G116" s="3" t="s">
        <v>2421</v>
      </c>
      <c r="H116" s="3" t="str">
        <f t="shared" si="4"/>
        <v>att_cells</v>
      </c>
      <c r="I116" s="3" t="s">
        <v>360</v>
      </c>
      <c r="J116" s="3" t="str">
        <f t="shared" si="5"/>
        <v>att_cells:hofbauer</v>
      </c>
      <c r="K116" s="6" t="s">
        <v>16</v>
      </c>
      <c r="L116" s="3" t="s">
        <v>362</v>
      </c>
      <c r="M116" s="3" t="s">
        <v>12</v>
      </c>
      <c r="N116" s="3" t="str">
        <f t="shared" si="6"/>
        <v>INSERT INTO attributes (parent_id, tag, name, priority, allow_as_filter, allow_for_dataset, allow_for_measurement, allow_for_users, allow_for_qc) VALUES (NULL, 'att_cells',  'Cells',  500,  TRUE, TRUE, TRUE, FALSE, FALSE);</v>
      </c>
      <c r="O116" s="3" t="str">
        <f t="shared" si="7"/>
        <v xml:space="preserve">INSERT INTO attribute_values (attribute_id, tag, name, details) VALUES ((SELECT id FROM attributes WHERE tag = 'att_cells' LIMIT 1),  'att_cells:hofbauer',  'Hofbauer',  'Hofbauer cells; Placenta'); </v>
      </c>
    </row>
    <row r="117" spans="1:15">
      <c r="A117" s="7" t="b">
        <f>FALSE()</f>
        <v>0</v>
      </c>
      <c r="B117" s="7"/>
      <c r="C117" s="3" t="s">
        <v>363</v>
      </c>
      <c r="D117" s="3" t="s">
        <v>364</v>
      </c>
      <c r="E117" s="3" t="s">
        <v>12</v>
      </c>
      <c r="F117" s="3" t="s">
        <v>2420</v>
      </c>
      <c r="G117" s="3" t="s">
        <v>2421</v>
      </c>
      <c r="H117" s="3" t="str">
        <f t="shared" si="4"/>
        <v>att_cells</v>
      </c>
      <c r="I117" s="3" t="s">
        <v>363</v>
      </c>
      <c r="J117" s="3" t="str">
        <f t="shared" si="5"/>
        <v>att_cells:keratinocytes</v>
      </c>
      <c r="K117" s="6" t="s">
        <v>16</v>
      </c>
      <c r="L117" s="3" t="s">
        <v>365</v>
      </c>
      <c r="M117" s="3" t="s">
        <v>12</v>
      </c>
      <c r="N117" s="3" t="str">
        <f t="shared" si="6"/>
        <v>INSERT INTO attributes (parent_id, tag, name, priority, allow_as_filter, allow_for_dataset, allow_for_measurement, allow_for_users, allow_for_qc) VALUES (NULL, 'att_cells',  'Cells',  500,  TRUE, TRUE, TRUE, FALSE, FALSE);</v>
      </c>
      <c r="O117" s="3" t="str">
        <f t="shared" si="7"/>
        <v xml:space="preserve">INSERT INTO attribute_values (attribute_id, tag, name, details) VALUES ((SELECT id FROM attributes WHERE tag = 'att_cells' LIMIT 1),  'att_cells:keratinocytes',  'Keratinocytes',  'Most prominent cell within the epidermis.'); </v>
      </c>
    </row>
    <row r="118" spans="1:15">
      <c r="A118" s="7" t="b">
        <f>FALSE()</f>
        <v>0</v>
      </c>
      <c r="B118" s="7"/>
      <c r="C118" s="3" t="s">
        <v>366</v>
      </c>
      <c r="D118" s="3" t="s">
        <v>367</v>
      </c>
      <c r="E118" s="3" t="s">
        <v>12</v>
      </c>
      <c r="F118" s="3" t="s">
        <v>2420</v>
      </c>
      <c r="G118" s="3" t="s">
        <v>2421</v>
      </c>
      <c r="H118" s="3" t="str">
        <f t="shared" si="4"/>
        <v>att_cells</v>
      </c>
      <c r="I118" s="3" t="s">
        <v>366</v>
      </c>
      <c r="J118" s="3" t="str">
        <f t="shared" si="5"/>
        <v>att_cells:kupffer</v>
      </c>
      <c r="K118" s="6" t="s">
        <v>16</v>
      </c>
      <c r="L118" s="3" t="s">
        <v>368</v>
      </c>
      <c r="M118" s="3" t="s">
        <v>12</v>
      </c>
      <c r="N118" s="3" t="str">
        <f t="shared" si="6"/>
        <v>INSERT INTO attributes (parent_id, tag, name, priority, allow_as_filter, allow_for_dataset, allow_for_measurement, allow_for_users, allow_for_qc) VALUES (NULL, 'att_cells',  'Cells',  500,  TRUE, TRUE, TRUE, FALSE, FALSE);</v>
      </c>
      <c r="O118" s="3" t="str">
        <f t="shared" si="7"/>
        <v xml:space="preserve">INSERT INTO attribute_values (attribute_id, tag, name, details) VALUES ((SELECT id FROM attributes WHERE tag = 'att_cells' LIMIT 1),  'att_cells:kupffer',  'Kupffer',  'Kupffer cells; Liver'); </v>
      </c>
    </row>
    <row r="119" spans="1:15">
      <c r="A119" s="7" t="b">
        <f>FALSE()</f>
        <v>0</v>
      </c>
      <c r="B119" s="7"/>
      <c r="C119" s="3" t="s">
        <v>369</v>
      </c>
      <c r="D119" s="3" t="s">
        <v>370</v>
      </c>
      <c r="E119" s="3" t="s">
        <v>12</v>
      </c>
      <c r="F119" s="3" t="s">
        <v>2420</v>
      </c>
      <c r="G119" s="3" t="s">
        <v>2421</v>
      </c>
      <c r="H119" s="3" t="str">
        <f t="shared" si="4"/>
        <v>att_cells</v>
      </c>
      <c r="I119" s="3" t="s">
        <v>369</v>
      </c>
      <c r="J119" s="3" t="str">
        <f t="shared" si="5"/>
        <v>att_cells:langerhans</v>
      </c>
      <c r="K119" s="6" t="s">
        <v>16</v>
      </c>
      <c r="L119" s="3" t="s">
        <v>371</v>
      </c>
      <c r="M119" s="3" t="s">
        <v>12</v>
      </c>
      <c r="N119" s="3" t="str">
        <f t="shared" si="6"/>
        <v>INSERT INTO attributes (parent_id, tag, name, priority, allow_as_filter, allow_for_dataset, allow_for_measurement, allow_for_users, allow_for_qc) VALUES (NULL, 'att_cells',  'Cells',  500,  TRUE, TRUE, TRUE, FALSE, FALSE);</v>
      </c>
      <c r="O119" s="3" t="str">
        <f t="shared" si="7"/>
        <v xml:space="preserve">INSERT INTO attribute_values (attribute_id, tag, name, details) VALUES ((SELECT id FROM attributes WHERE tag = 'att_cells' LIMIT 1),  'att_cells:langerhans',  'Langerhans',  'Langerhans cells; Skin'); </v>
      </c>
    </row>
    <row r="120" spans="1:15">
      <c r="A120" s="7" t="b">
        <f>FALSE()</f>
        <v>0</v>
      </c>
      <c r="B120" s="7"/>
      <c r="C120" s="3" t="s">
        <v>372</v>
      </c>
      <c r="D120" s="3" t="s">
        <v>373</v>
      </c>
      <c r="E120" s="3" t="s">
        <v>12</v>
      </c>
      <c r="F120" s="3" t="s">
        <v>2420</v>
      </c>
      <c r="G120" s="3" t="s">
        <v>2421</v>
      </c>
      <c r="H120" s="3" t="str">
        <f t="shared" si="4"/>
        <v>att_cells</v>
      </c>
      <c r="I120" s="3" t="s">
        <v>372</v>
      </c>
      <c r="J120" s="3" t="str">
        <f t="shared" si="5"/>
        <v>att_cells:leukocytes</v>
      </c>
      <c r="K120" s="6" t="s">
        <v>16</v>
      </c>
      <c r="L120" s="3" t="s">
        <v>374</v>
      </c>
      <c r="M120" s="3" t="s">
        <v>12</v>
      </c>
      <c r="N120" s="3" t="str">
        <f t="shared" si="6"/>
        <v>INSERT INTO attributes (parent_id, tag, name, priority, allow_as_filter, allow_for_dataset, allow_for_measurement, allow_for_users, allow_for_qc) VALUES (NULL, 'att_cells',  'Cells',  500,  TRUE, TRUE, TRUE, FALSE, FALSE);</v>
      </c>
      <c r="O120" s="3" t="str">
        <f t="shared" si="7"/>
        <v xml:space="preserve">INSERT INTO attribute_values (attribute_id, tag, name, details) VALUES ((SELECT id FROM attributes WHERE tag = 'att_cells' LIMIT 1),  'att_cells:leukocytes',  'Leukocytes',  'White blood cells'); </v>
      </c>
    </row>
    <row r="121" spans="1:15">
      <c r="A121" s="7" t="b">
        <f>FALSE()</f>
        <v>0</v>
      </c>
      <c r="B121" s="7"/>
      <c r="C121" s="3" t="s">
        <v>375</v>
      </c>
      <c r="D121" s="3" t="s">
        <v>376</v>
      </c>
      <c r="E121" s="3" t="s">
        <v>12</v>
      </c>
      <c r="F121" s="3" t="s">
        <v>2420</v>
      </c>
      <c r="G121" s="3" t="s">
        <v>2421</v>
      </c>
      <c r="H121" s="3" t="str">
        <f t="shared" si="4"/>
        <v>att_cells</v>
      </c>
      <c r="I121" s="3" t="s">
        <v>375</v>
      </c>
      <c r="J121" s="3" t="str">
        <f t="shared" si="5"/>
        <v>att_cells:lymphocytes</v>
      </c>
      <c r="K121" s="6" t="s">
        <v>16</v>
      </c>
      <c r="L121" s="3" t="s">
        <v>377</v>
      </c>
      <c r="M121" s="3" t="s">
        <v>12</v>
      </c>
      <c r="N121" s="3" t="str">
        <f t="shared" si="6"/>
        <v>INSERT INTO attributes (parent_id, tag, name, priority, allow_as_filter, allow_for_dataset, allow_for_measurement, allow_for_users, allow_for_qc) VALUES (NULL, 'att_cells',  'Cells',  500,  TRUE, TRUE, TRUE, FALSE, FALSE);</v>
      </c>
      <c r="O121" s="3" t="str">
        <f t="shared" si="7"/>
        <v xml:space="preserve">INSERT INTO attribute_values (attribute_id, tag, name, details) VALUES ((SELECT id FROM attributes WHERE tag = 'att_cells' LIMIT 1),  'att_cells:lymphocytes',  'Lymphocytes',  '30% of leukocytes; includes B cells and T cells'); </v>
      </c>
    </row>
    <row r="122" spans="1:15">
      <c r="A122" s="7" t="b">
        <f>FALSE()</f>
        <v>0</v>
      </c>
      <c r="B122" s="7"/>
      <c r="C122" s="3" t="s">
        <v>378</v>
      </c>
      <c r="D122" s="3" t="s">
        <v>379</v>
      </c>
      <c r="E122" s="3" t="s">
        <v>12</v>
      </c>
      <c r="F122" s="3" t="s">
        <v>2420</v>
      </c>
      <c r="G122" s="3" t="s">
        <v>2421</v>
      </c>
      <c r="H122" s="3" t="str">
        <f t="shared" si="4"/>
        <v>att_cells</v>
      </c>
      <c r="I122" s="3" t="s">
        <v>378</v>
      </c>
      <c r="J122" s="3" t="str">
        <f t="shared" si="5"/>
        <v>att_cells:macrophage</v>
      </c>
      <c r="K122" s="6" t="s">
        <v>16</v>
      </c>
      <c r="L122" s="3" t="s">
        <v>379</v>
      </c>
      <c r="M122" s="3" t="s">
        <v>12</v>
      </c>
      <c r="N122" s="3" t="str">
        <f t="shared" si="6"/>
        <v>INSERT INTO attributes (parent_id, tag, name, priority, allow_as_filter, allow_for_dataset, allow_for_measurement, allow_for_users, allow_for_qc) VALUES (NULL, 'att_cells',  'Cells',  500,  TRUE, TRUE, TRUE, FALSE, FALSE);</v>
      </c>
      <c r="O122" s="3" t="str">
        <f t="shared" si="7"/>
        <v xml:space="preserve">INSERT INTO attribute_values (attribute_id, tag, name, details) VALUES ((SELECT id FROM attributes WHERE tag = 'att_cells' LIMIT 1),  'att_cells:macrophage',  'Macrophage',  'Macrophage'); </v>
      </c>
    </row>
    <row r="123" spans="1:15">
      <c r="A123" s="7" t="b">
        <f>FALSE()</f>
        <v>0</v>
      </c>
      <c r="B123" s="7"/>
      <c r="C123" s="3" t="s">
        <v>380</v>
      </c>
      <c r="D123" s="3" t="s">
        <v>381</v>
      </c>
      <c r="E123" s="3" t="s">
        <v>12</v>
      </c>
      <c r="F123" s="3" t="s">
        <v>2420</v>
      </c>
      <c r="G123" s="3" t="s">
        <v>2421</v>
      </c>
      <c r="H123" s="3" t="str">
        <f t="shared" si="4"/>
        <v>att_cells</v>
      </c>
      <c r="I123" s="3" t="s">
        <v>380</v>
      </c>
      <c r="J123" s="3" t="str">
        <f t="shared" si="5"/>
        <v>att_cells:microglia</v>
      </c>
      <c r="K123" s="6" t="s">
        <v>16</v>
      </c>
      <c r="L123" s="3" t="s">
        <v>382</v>
      </c>
      <c r="M123" s="3" t="s">
        <v>12</v>
      </c>
      <c r="N123" s="3" t="str">
        <f t="shared" si="6"/>
        <v>INSERT INTO attributes (parent_id, tag, name, priority, allow_as_filter, allow_for_dataset, allow_for_measurement, allow_for_users, allow_for_qc) VALUES (NULL, 'att_cells',  'Cells',  500,  TRUE, TRUE, TRUE, FALSE, FALSE);</v>
      </c>
      <c r="O123" s="3" t="str">
        <f t="shared" si="7"/>
        <v xml:space="preserve">INSERT INTO attribute_values (attribute_id, tag, name, details) VALUES ((SELECT id FROM attributes WHERE tag = 'att_cells' LIMIT 1),  'att_cells:microglia',  'Microglia',  'Microglia; Central nervous system'); </v>
      </c>
    </row>
    <row r="124" spans="1:15">
      <c r="A124" s="7" t="b">
        <f>FALSE()</f>
        <v>0</v>
      </c>
      <c r="B124" s="7"/>
      <c r="C124" s="3" t="s">
        <v>383</v>
      </c>
      <c r="D124" s="3" t="s">
        <v>384</v>
      </c>
      <c r="E124" s="3" t="s">
        <v>12</v>
      </c>
      <c r="F124" s="3" t="s">
        <v>2420</v>
      </c>
      <c r="G124" s="3" t="s">
        <v>2421</v>
      </c>
      <c r="H124" s="3" t="str">
        <f t="shared" si="4"/>
        <v>att_cells</v>
      </c>
      <c r="I124" s="3" t="s">
        <v>383</v>
      </c>
      <c r="J124" s="3" t="str">
        <f t="shared" si="5"/>
        <v>att_cells:monoblast</v>
      </c>
      <c r="K124" s="6" t="s">
        <v>16</v>
      </c>
      <c r="L124" s="3" t="s">
        <v>384</v>
      </c>
      <c r="M124" s="3" t="s">
        <v>12</v>
      </c>
      <c r="N124" s="3" t="str">
        <f t="shared" si="6"/>
        <v>INSERT INTO attributes (parent_id, tag, name, priority, allow_as_filter, allow_for_dataset, allow_for_measurement, allow_for_users, allow_for_qc) VALUES (NULL, 'att_cells',  'Cells',  500,  TRUE, TRUE, TRUE, FALSE, FALSE);</v>
      </c>
      <c r="O124" s="3" t="str">
        <f t="shared" si="7"/>
        <v xml:space="preserve">INSERT INTO attribute_values (attribute_id, tag, name, details) VALUES ((SELECT id FROM attributes WHERE tag = 'att_cells' LIMIT 1),  'att_cells:monoblast',  'Monoblast',  'Monoblast'); </v>
      </c>
    </row>
    <row r="125" spans="1:15">
      <c r="A125" s="7" t="b">
        <f>FALSE()</f>
        <v>0</v>
      </c>
      <c r="B125" s="7"/>
      <c r="C125" s="3" t="s">
        <v>385</v>
      </c>
      <c r="D125" s="3" t="s">
        <v>303</v>
      </c>
      <c r="E125" s="3" t="s">
        <v>12</v>
      </c>
      <c r="F125" s="3" t="s">
        <v>2420</v>
      </c>
      <c r="G125" s="3" t="s">
        <v>2421</v>
      </c>
      <c r="H125" s="3" t="str">
        <f t="shared" si="4"/>
        <v>att_cells</v>
      </c>
      <c r="I125" s="3" t="s">
        <v>385</v>
      </c>
      <c r="J125" s="3" t="str">
        <f t="shared" si="5"/>
        <v>att_cells:monocytes</v>
      </c>
      <c r="K125" s="6" t="s">
        <v>16</v>
      </c>
      <c r="L125" s="3" t="s">
        <v>386</v>
      </c>
      <c r="M125" s="3" t="s">
        <v>12</v>
      </c>
      <c r="N125" s="3" t="str">
        <f t="shared" si="6"/>
        <v>INSERT INTO attributes (parent_id, tag, name, priority, allow_as_filter, allow_for_dataset, allow_for_measurement, allow_for_users, allow_for_qc) VALUES (NULL, 'att_cells',  'Cells',  500,  TRUE, TRUE, TRUE, FALSE, FALSE);</v>
      </c>
      <c r="O125" s="3" t="str">
        <f t="shared" si="7"/>
        <v xml:space="preserve">INSERT INTO attribute_values (attribute_id, tag, name, details) VALUES ((SELECT id FROM attributes WHERE tag = 'att_cells' LIMIT 1),  'att_cells:monocytes',  'Monocytes',  '5% of leukocytes'); </v>
      </c>
    </row>
    <row r="126" spans="1:15">
      <c r="A126" s="7" t="b">
        <f>FALSE()</f>
        <v>0</v>
      </c>
      <c r="B126" s="7"/>
      <c r="C126" s="3" t="s">
        <v>387</v>
      </c>
      <c r="D126" s="3" t="s">
        <v>388</v>
      </c>
      <c r="E126" s="3" t="s">
        <v>12</v>
      </c>
      <c r="F126" s="3" t="s">
        <v>2420</v>
      </c>
      <c r="G126" s="3" t="s">
        <v>2421</v>
      </c>
      <c r="H126" s="3" t="str">
        <f t="shared" si="4"/>
        <v>att_cells</v>
      </c>
      <c r="I126" s="3" t="s">
        <v>387</v>
      </c>
      <c r="J126" s="3" t="str">
        <f t="shared" si="5"/>
        <v>att_cells:neutrophils</v>
      </c>
      <c r="K126" s="6" t="s">
        <v>16</v>
      </c>
      <c r="L126" s="3" t="s">
        <v>389</v>
      </c>
      <c r="M126" s="3" t="s">
        <v>12</v>
      </c>
      <c r="N126" s="3" t="str">
        <f t="shared" si="6"/>
        <v>INSERT INTO attributes (parent_id, tag, name, priority, allow_as_filter, allow_for_dataset, allow_for_measurement, allow_for_users, allow_for_qc) VALUES (NULL, 'att_cells',  'Cells',  500,  TRUE, TRUE, TRUE, FALSE, FALSE);</v>
      </c>
      <c r="O126" s="3" t="str">
        <f t="shared" si="7"/>
        <v xml:space="preserve">INSERT INTO attribute_values (attribute_id, tag, name, details) VALUES ((SELECT id FROM attributes WHERE tag = 'att_cells' LIMIT 1),  'att_cells:neutrophils',  'Neutrophils',  '62% of leukocytes'); </v>
      </c>
    </row>
    <row r="127" spans="1:15">
      <c r="A127" s="7" t="b">
        <f>FALSE()</f>
        <v>0</v>
      </c>
      <c r="B127" s="7"/>
      <c r="C127" s="3" t="s">
        <v>390</v>
      </c>
      <c r="D127" s="3" t="s">
        <v>391</v>
      </c>
      <c r="E127" s="3" t="s">
        <v>12</v>
      </c>
      <c r="F127" s="3" t="s">
        <v>2420</v>
      </c>
      <c r="G127" s="3" t="s">
        <v>2421</v>
      </c>
      <c r="H127" s="3" t="str">
        <f t="shared" si="4"/>
        <v>att_cells</v>
      </c>
      <c r="I127" s="3" t="s">
        <v>390</v>
      </c>
      <c r="J127" s="3" t="str">
        <f t="shared" si="5"/>
        <v>att_cells:nk</v>
      </c>
      <c r="K127" s="6" t="s">
        <v>16</v>
      </c>
      <c r="L127" s="3" t="s">
        <v>392</v>
      </c>
      <c r="M127" s="3" t="s">
        <v>12</v>
      </c>
      <c r="N127" s="3" t="str">
        <f t="shared" si="6"/>
        <v>INSERT INTO attributes (parent_id, tag, name, priority, allow_as_filter, allow_for_dataset, allow_for_measurement, allow_for_users, allow_for_qc) VALUES (NULL, 'att_cells',  'Cells',  500,  TRUE, TRUE, TRUE, FALSE, FALSE);</v>
      </c>
      <c r="O127" s="3" t="str">
        <f t="shared" si="7"/>
        <v xml:space="preserve">INSERT INTO attribute_values (attribute_id, tag, name, details) VALUES ((SELECT id FROM attributes WHERE tag = 'att_cells' LIMIT 1),  'att_cells:nk',  'Natural Killer cells (NK)',  'Natural killer cells'); </v>
      </c>
    </row>
    <row r="128" spans="1:15">
      <c r="A128" s="7" t="b">
        <f>FALSE()</f>
        <v>0</v>
      </c>
      <c r="B128" s="7"/>
      <c r="C128" s="3" t="s">
        <v>393</v>
      </c>
      <c r="D128" s="3" t="s">
        <v>394</v>
      </c>
      <c r="E128" s="3" t="s">
        <v>12</v>
      </c>
      <c r="F128" s="3" t="s">
        <v>2420</v>
      </c>
      <c r="G128" s="3" t="s">
        <v>2421</v>
      </c>
      <c r="H128" s="3" t="str">
        <f t="shared" si="4"/>
        <v>att_cells</v>
      </c>
      <c r="I128" s="3" t="s">
        <v>393</v>
      </c>
      <c r="J128" s="3" t="str">
        <f t="shared" si="5"/>
        <v>att_cells:osteoblast</v>
      </c>
      <c r="K128" s="6" t="s">
        <v>16</v>
      </c>
      <c r="L128" s="3" t="s">
        <v>395</v>
      </c>
      <c r="M128" s="3" t="s">
        <v>12</v>
      </c>
      <c r="N128" s="3" t="str">
        <f t="shared" si="6"/>
        <v>INSERT INTO attributes (parent_id, tag, name, priority, allow_as_filter, allow_for_dataset, allow_for_measurement, allow_for_users, allow_for_qc) VALUES (NULL, 'att_cells',  'Cells',  500,  TRUE, TRUE, TRUE, FALSE, FALSE);</v>
      </c>
      <c r="O128" s="3" t="str">
        <f t="shared" si="7"/>
        <v xml:space="preserve">INSERT INTO attribute_values (attribute_id, tag, name, details) VALUES ((SELECT id FROM attributes WHERE tag = 'att_cells' LIMIT 1),  'att_cells:osteoblast',  'Osteoblast',  'forms bone matrix'); </v>
      </c>
    </row>
    <row r="129" spans="1:15">
      <c r="A129" s="7" t="b">
        <f>FALSE()</f>
        <v>0</v>
      </c>
      <c r="B129" s="7"/>
      <c r="C129" s="3" t="s">
        <v>396</v>
      </c>
      <c r="D129" s="3" t="s">
        <v>397</v>
      </c>
      <c r="E129" s="3" t="s">
        <v>12</v>
      </c>
      <c r="F129" s="3" t="s">
        <v>2420</v>
      </c>
      <c r="G129" s="3" t="s">
        <v>2421</v>
      </c>
      <c r="H129" s="3" t="str">
        <f t="shared" si="4"/>
        <v>att_cells</v>
      </c>
      <c r="I129" s="3" t="s">
        <v>396</v>
      </c>
      <c r="J129" s="3" t="str">
        <f t="shared" si="5"/>
        <v>att_cells:osteoclast</v>
      </c>
      <c r="K129" s="6" t="s">
        <v>16</v>
      </c>
      <c r="L129" s="3" t="s">
        <v>398</v>
      </c>
      <c r="M129" s="3" t="s">
        <v>12</v>
      </c>
      <c r="N129" s="3" t="str">
        <f t="shared" si="6"/>
        <v>INSERT INTO attributes (parent_id, tag, name, priority, allow_as_filter, allow_for_dataset, allow_for_measurement, allow_for_users, allow_for_qc) VALUES (NULL, 'att_cells',  'Cells',  500,  TRUE, TRUE, TRUE, FALSE, FALSE);</v>
      </c>
      <c r="O129" s="3" t="str">
        <f t="shared" si="7"/>
        <v xml:space="preserve">INSERT INTO attribute_values (attribute_id, tag, name, details) VALUES ((SELECT id FROM attributes WHERE tag = 'att_cells' LIMIT 1),  'att_cells:osteoclast',  'Osteoclast',  'resorbs bone'); </v>
      </c>
    </row>
    <row r="130" spans="1:15">
      <c r="A130" s="7" t="b">
        <f>FALSE()</f>
        <v>0</v>
      </c>
      <c r="B130" s="7"/>
      <c r="C130" s="3" t="s">
        <v>399</v>
      </c>
      <c r="D130" s="3" t="s">
        <v>400</v>
      </c>
      <c r="E130" s="3" t="s">
        <v>12</v>
      </c>
      <c r="F130" s="3" t="s">
        <v>2420</v>
      </c>
      <c r="G130" s="3" t="s">
        <v>2421</v>
      </c>
      <c r="H130" s="3" t="str">
        <f t="shared" ref="H130:H193" si="8">"att_"&amp;G130</f>
        <v>att_cells</v>
      </c>
      <c r="I130" s="3" t="s">
        <v>399</v>
      </c>
      <c r="J130" s="3" t="str">
        <f t="shared" ref="J130:J193" si="9">H130&amp;":"&amp;I130</f>
        <v>att_cells:osteocytes</v>
      </c>
      <c r="K130" s="6" t="s">
        <v>16</v>
      </c>
      <c r="L130" s="3" t="s">
        <v>401</v>
      </c>
      <c r="M130" s="3" t="s">
        <v>12</v>
      </c>
      <c r="N130" s="3"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3"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c r="A131" s="7" t="b">
        <f>FALSE()</f>
        <v>0</v>
      </c>
      <c r="B131" s="7"/>
      <c r="C131" s="3" t="s">
        <v>402</v>
      </c>
      <c r="D131" s="3" t="s">
        <v>403</v>
      </c>
      <c r="E131" s="3" t="s">
        <v>12</v>
      </c>
      <c r="F131" s="3" t="s">
        <v>2420</v>
      </c>
      <c r="G131" s="3" t="s">
        <v>2421</v>
      </c>
      <c r="H131" s="3" t="str">
        <f t="shared" si="8"/>
        <v>att_cells</v>
      </c>
      <c r="I131" s="3" t="s">
        <v>402</v>
      </c>
      <c r="J131" s="3" t="str">
        <f t="shared" si="9"/>
        <v>att_cells:osteogenic</v>
      </c>
      <c r="K131" s="6" t="s">
        <v>16</v>
      </c>
      <c r="L131" s="3" t="s">
        <v>404</v>
      </c>
      <c r="M131" s="3" t="s">
        <v>12</v>
      </c>
      <c r="N131" s="3" t="str">
        <f t="shared" si="10"/>
        <v>INSERT INTO attributes (parent_id, tag, name, priority, allow_as_filter, allow_for_dataset, allow_for_measurement, allow_for_users, allow_for_qc) VALUES (NULL, 'att_cells',  'Cells',  500,  TRUE, TRUE, TRUE, FALSE, FALSE);</v>
      </c>
      <c r="O131" s="3" t="str">
        <f t="shared" si="11"/>
        <v xml:space="preserve">INSERT INTO attribute_values (attribute_id, tag, name, details) VALUES ((SELECT id FROM attributes WHERE tag = 'att_cells' LIMIT 1),  'att_cells:osteogenic',  'Osteogenic',  'Stem cell'); </v>
      </c>
    </row>
    <row r="132" spans="1:15">
      <c r="A132" s="7" t="b">
        <f>FALSE()</f>
        <v>0</v>
      </c>
      <c r="B132" s="7"/>
      <c r="C132" s="3" t="s">
        <v>405</v>
      </c>
      <c r="D132" s="3" t="s">
        <v>406</v>
      </c>
      <c r="E132" s="3" t="s">
        <v>12</v>
      </c>
      <c r="F132" s="3" t="s">
        <v>2420</v>
      </c>
      <c r="G132" s="3" t="s">
        <v>2421</v>
      </c>
      <c r="H132" s="3" t="str">
        <f t="shared" si="8"/>
        <v>att_cells</v>
      </c>
      <c r="I132" s="3" t="s">
        <v>405</v>
      </c>
      <c r="J132" s="3" t="str">
        <f t="shared" si="9"/>
        <v>att_cells:regt</v>
      </c>
      <c r="K132" s="6" t="s">
        <v>16</v>
      </c>
      <c r="L132" s="3" t="s">
        <v>407</v>
      </c>
      <c r="M132" s="3" t="s">
        <v>12</v>
      </c>
      <c r="N132" s="3" t="str">
        <f t="shared" si="10"/>
        <v>INSERT INTO attributes (parent_id, tag, name, priority, allow_as_filter, allow_for_dataset, allow_for_measurement, allow_for_users, allow_for_qc) VALUES (NULL, 'att_cells',  'Cells',  500,  TRUE, TRUE, TRUE, FALSE, FALSE);</v>
      </c>
      <c r="O132" s="3" t="str">
        <f t="shared" si="11"/>
        <v xml:space="preserve">INSERT INTO attribute_values (attribute_id, tag, name, details) VALUES ((SELECT id FROM attributes WHERE tag = 'att_cells' LIMIT 1),  'att_cells:regt',  'Regulatory T cells (RegT)',  'Regulatory T Cell'); </v>
      </c>
    </row>
    <row r="133" spans="1:15">
      <c r="A133" s="7" t="b">
        <f>FALSE()</f>
        <v>0</v>
      </c>
      <c r="B133" s="7"/>
      <c r="C133" s="3" t="s">
        <v>408</v>
      </c>
      <c r="D133" s="3" t="s">
        <v>409</v>
      </c>
      <c r="E133" s="3" t="s">
        <v>12</v>
      </c>
      <c r="F133" s="3" t="s">
        <v>2420</v>
      </c>
      <c r="G133" s="3" t="s">
        <v>2421</v>
      </c>
      <c r="H133" s="3" t="str">
        <f t="shared" si="8"/>
        <v>att_cells</v>
      </c>
      <c r="I133" s="3" t="s">
        <v>408</v>
      </c>
      <c r="J133" s="3" t="str">
        <f t="shared" si="9"/>
        <v>att_cells:stemcells</v>
      </c>
      <c r="K133" s="6" t="s">
        <v>16</v>
      </c>
      <c r="L133" s="3" t="s">
        <v>410</v>
      </c>
      <c r="M133" s="3" t="s">
        <v>12</v>
      </c>
      <c r="N133" s="3" t="str">
        <f t="shared" si="10"/>
        <v>INSERT INTO attributes (parent_id, tag, name, priority, allow_as_filter, allow_for_dataset, allow_for_measurement, allow_for_users, allow_for_qc) VALUES (NULL, 'att_cells',  'Cells',  500,  TRUE, TRUE, TRUE, FALSE, FALSE);</v>
      </c>
      <c r="O133" s="3" t="str">
        <f t="shared" si="11"/>
        <v xml:space="preserve">INSERT INTO attribute_values (attribute_id, tag, name, details) VALUES ((SELECT id FROM attributes WHERE tag = 'att_cells' LIMIT 1),  'att_cells:stemcells',  'Stem Cells',  'Stem or Blast cells'); </v>
      </c>
    </row>
    <row r="134" spans="1:15">
      <c r="A134" s="7" t="b">
        <f>FALSE()</f>
        <v>0</v>
      </c>
      <c r="B134" s="7"/>
      <c r="C134" s="3" t="s">
        <v>411</v>
      </c>
      <c r="D134" s="3" t="s">
        <v>412</v>
      </c>
      <c r="E134" s="3" t="s">
        <v>12</v>
      </c>
      <c r="F134" s="3" t="s">
        <v>2420</v>
      </c>
      <c r="G134" s="3" t="s">
        <v>2421</v>
      </c>
      <c r="H134" s="3" t="str">
        <f t="shared" si="8"/>
        <v>att_cells</v>
      </c>
      <c r="I134" s="3" t="s">
        <v>411</v>
      </c>
      <c r="J134" s="3" t="str">
        <f t="shared" si="9"/>
        <v>att_cells:tcells</v>
      </c>
      <c r="K134" s="6" t="s">
        <v>16</v>
      </c>
      <c r="L134" s="3" t="s">
        <v>412</v>
      </c>
      <c r="M134" s="3" t="s">
        <v>12</v>
      </c>
      <c r="N134" s="3" t="str">
        <f t="shared" si="10"/>
        <v>INSERT INTO attributes (parent_id, tag, name, priority, allow_as_filter, allow_for_dataset, allow_for_measurement, allow_for_users, allow_for_qc) VALUES (NULL, 'att_cells',  'Cells',  500,  TRUE, TRUE, TRUE, FALSE, FALSE);</v>
      </c>
      <c r="O134" s="3" t="str">
        <f t="shared" si="11"/>
        <v xml:space="preserve">INSERT INTO attribute_values (attribute_id, tag, name, details) VALUES ((SELECT id FROM attributes WHERE tag = 'att_cells' LIMIT 1),  'att_cells:tcells',  'T cells',  'T cells'); </v>
      </c>
    </row>
    <row r="135" spans="1:15">
      <c r="A135" s="7" t="b">
        <f>FALSE()</f>
        <v>0</v>
      </c>
      <c r="B135" s="7"/>
      <c r="C135" s="3" t="s">
        <v>413</v>
      </c>
      <c r="D135" s="3" t="s">
        <v>414</v>
      </c>
      <c r="E135" s="3" t="s">
        <v>12</v>
      </c>
      <c r="F135" s="3" t="s">
        <v>2420</v>
      </c>
      <c r="G135" s="3" t="s">
        <v>2421</v>
      </c>
      <c r="H135" s="3" t="str">
        <f t="shared" si="8"/>
        <v>att_cells</v>
      </c>
      <c r="I135" s="3" t="s">
        <v>413</v>
      </c>
      <c r="J135" s="3" t="str">
        <f t="shared" si="9"/>
        <v>att_cells:thelper</v>
      </c>
      <c r="K135" s="6" t="s">
        <v>16</v>
      </c>
      <c r="L135" s="3" t="s">
        <v>415</v>
      </c>
      <c r="M135" s="3" t="s">
        <v>12</v>
      </c>
      <c r="N135" s="3" t="str">
        <f t="shared" si="10"/>
        <v>INSERT INTO attributes (parent_id, tag, name, priority, allow_as_filter, allow_for_dataset, allow_for_measurement, allow_for_users, allow_for_qc) VALUES (NULL, 'att_cells',  'Cells',  500,  TRUE, TRUE, TRUE, FALSE, FALSE);</v>
      </c>
      <c r="O135" s="3" t="str">
        <f t="shared" si="11"/>
        <v xml:space="preserve">INSERT INTO attribute_values (attribute_id, tag, name, details) VALUES ((SELECT id FROM attributes WHERE tag = 'att_cells' LIMIT 1),  'att_cells:thelper',  'T Helper cells (Th)',  'CD4+ T helper cells'); </v>
      </c>
    </row>
    <row r="136" spans="1:15">
      <c r="A136" s="7" t="b">
        <f>FALSE()</f>
        <v>0</v>
      </c>
      <c r="B136" s="7"/>
      <c r="C136" s="3" t="s">
        <v>416</v>
      </c>
      <c r="D136" s="3" t="s">
        <v>417</v>
      </c>
      <c r="E136" s="3" t="s">
        <v>12</v>
      </c>
      <c r="F136" s="3" t="s">
        <v>2420</v>
      </c>
      <c r="G136" s="3" t="s">
        <v>2421</v>
      </c>
      <c r="H136" s="3" t="str">
        <f t="shared" si="8"/>
        <v>att_cells</v>
      </c>
      <c r="I136" s="3" t="s">
        <v>416</v>
      </c>
      <c r="J136" s="3" t="str">
        <f t="shared" si="9"/>
        <v>att_cells:thrombocytes</v>
      </c>
      <c r="K136" s="6" t="s">
        <v>16</v>
      </c>
      <c r="L136" s="3" t="s">
        <v>418</v>
      </c>
      <c r="M136" s="3" t="s">
        <v>12</v>
      </c>
      <c r="N136" s="3" t="str">
        <f t="shared" si="10"/>
        <v>INSERT INTO attributes (parent_id, tag, name, priority, allow_as_filter, allow_for_dataset, allow_for_measurement, allow_for_users, allow_for_qc) VALUES (NULL, 'att_cells',  'Cells',  500,  TRUE, TRUE, TRUE, FALSE, FALSE);</v>
      </c>
      <c r="O136" s="3" t="str">
        <f t="shared" si="11"/>
        <v xml:space="preserve">INSERT INTO attribute_values (attribute_id, tag, name, details) VALUES ((SELECT id FROM attributes WHERE tag = 'att_cells' LIMIT 1),  'att_cells:thrombocytes',  'Thrombocytes',  'Platelets'); </v>
      </c>
    </row>
    <row r="137" spans="1:15">
      <c r="A137" s="7" t="b">
        <f>FALSE()</f>
        <v>0</v>
      </c>
      <c r="B137" s="7"/>
      <c r="C137" s="3" t="s">
        <v>635</v>
      </c>
      <c r="D137" s="3" t="s">
        <v>636</v>
      </c>
      <c r="E137" s="3" t="s">
        <v>12</v>
      </c>
      <c r="F137" s="3" t="s">
        <v>2422</v>
      </c>
      <c r="G137" s="3" t="s">
        <v>2423</v>
      </c>
      <c r="H137" s="3" t="str">
        <f t="shared" si="8"/>
        <v>att_compound</v>
      </c>
      <c r="I137" s="3" t="s">
        <v>635</v>
      </c>
      <c r="J137" s="3" t="str">
        <f t="shared" si="9"/>
        <v>att_compound:anisomycin</v>
      </c>
      <c r="K137" s="6" t="s">
        <v>16</v>
      </c>
      <c r="L137" s="3" t="s">
        <v>636</v>
      </c>
      <c r="M137" s="3" t="s">
        <v>12</v>
      </c>
      <c r="N137" s="3" t="str">
        <f t="shared" si="10"/>
        <v>INSERT INTO attributes (parent_id, tag, name, priority, allow_as_filter, allow_for_dataset, allow_for_measurement, allow_for_users, allow_for_qc) VALUES (NULL, 'att_compound',  'Compound',  500,  TRUE, TRUE, TRUE, FALSE, FALSE);</v>
      </c>
      <c r="O137" s="3" t="str">
        <f t="shared" si="11"/>
        <v xml:space="preserve">INSERT INTO attribute_values (attribute_id, tag, name, details) VALUES ((SELECT id FROM attributes WHERE tag = 'att_compound' LIMIT 1),  'att_compound:anisomycin',  'Anisomycin',  'Anisomycin'); </v>
      </c>
    </row>
    <row r="138" spans="1:15">
      <c r="A138" s="7" t="b">
        <f>FALSE()</f>
        <v>0</v>
      </c>
      <c r="B138" s="7"/>
      <c r="C138" s="3" t="s">
        <v>640</v>
      </c>
      <c r="D138" s="3" t="s">
        <v>641</v>
      </c>
      <c r="E138" s="3" t="s">
        <v>12</v>
      </c>
      <c r="F138" s="3" t="s">
        <v>2422</v>
      </c>
      <c r="G138" s="3" t="s">
        <v>2423</v>
      </c>
      <c r="H138" s="3" t="str">
        <f t="shared" si="8"/>
        <v>att_compound</v>
      </c>
      <c r="I138" s="3" t="s">
        <v>640</v>
      </c>
      <c r="J138" s="3" t="str">
        <f t="shared" si="9"/>
        <v>att_compound:atp</v>
      </c>
      <c r="K138" s="6" t="s">
        <v>16</v>
      </c>
      <c r="L138" s="3" t="s">
        <v>642</v>
      </c>
      <c r="M138" s="3" t="s">
        <v>12</v>
      </c>
      <c r="N138" s="3" t="str">
        <f t="shared" si="10"/>
        <v>INSERT INTO attributes (parent_id, tag, name, priority, allow_as_filter, allow_for_dataset, allow_for_measurement, allow_for_users, allow_for_qc) VALUES (NULL, 'att_compound',  'Compound',  500,  TRUE, TRUE, TRUE, FALSE, FALSE);</v>
      </c>
      <c r="O138" s="3" t="str">
        <f t="shared" si="11"/>
        <v xml:space="preserve">INSERT INTO attribute_values (attribute_id, tag, name, details) VALUES ((SELECT id FROM attributes WHERE tag = 'att_compound' LIMIT 1),  'att_compound:atp',  'ATP',  'Adenosine triphosphate'); </v>
      </c>
    </row>
    <row r="139" spans="1:15">
      <c r="A139" s="7" t="b">
        <f>FALSE()</f>
        <v>0</v>
      </c>
      <c r="B139" s="7"/>
      <c r="C139" s="3" t="s">
        <v>643</v>
      </c>
      <c r="D139" s="3" t="s">
        <v>643</v>
      </c>
      <c r="E139" s="3" t="s">
        <v>12</v>
      </c>
      <c r="F139" s="3" t="s">
        <v>2422</v>
      </c>
      <c r="G139" s="3" t="s">
        <v>2423</v>
      </c>
      <c r="H139" s="3" t="str">
        <f t="shared" si="8"/>
        <v>att_compound</v>
      </c>
      <c r="I139" s="3" t="s">
        <v>643</v>
      </c>
      <c r="J139" s="3" t="str">
        <f t="shared" si="9"/>
        <v>att_compound:berzosertib</v>
      </c>
      <c r="K139" s="6" t="s">
        <v>16</v>
      </c>
      <c r="L139" s="3" t="s">
        <v>644</v>
      </c>
      <c r="M139" s="3" t="s">
        <v>12</v>
      </c>
      <c r="N139" s="3" t="str">
        <f t="shared" si="10"/>
        <v>INSERT INTO attributes (parent_id, tag, name, priority, allow_as_filter, allow_for_dataset, allow_for_measurement, allow_for_users, allow_for_qc) VALUES (NULL, 'att_compound',  'Compound',  500,  TRUE, TRUE, TRUE, FALSE, FALSE);</v>
      </c>
      <c r="O139" s="3" t="str">
        <f t="shared" si="11"/>
        <v xml:space="preserve">INSERT INTO attribute_values (attribute_id, tag, name, details) VALUES ((SELECT id FROM attributes WHERE tag = 'att_compound' LIMIT 1),  'att_compound:berzosertib',  'berzosertib',  'Berzosertib'); </v>
      </c>
    </row>
    <row r="140" spans="1:15">
      <c r="A140" s="7" t="b">
        <f>FALSE()</f>
        <v>0</v>
      </c>
      <c r="B140" s="7"/>
      <c r="C140" s="3" t="s">
        <v>645</v>
      </c>
      <c r="D140" s="3" t="s">
        <v>645</v>
      </c>
      <c r="E140" s="3" t="s">
        <v>12</v>
      </c>
      <c r="F140" s="3" t="s">
        <v>2422</v>
      </c>
      <c r="G140" s="3" t="s">
        <v>2423</v>
      </c>
      <c r="H140" s="3" t="str">
        <f t="shared" si="8"/>
        <v>att_compound</v>
      </c>
      <c r="I140" s="3" t="s">
        <v>645</v>
      </c>
      <c r="J140" s="3" t="str">
        <f t="shared" si="9"/>
        <v>att_compound:bortezomib</v>
      </c>
      <c r="K140" s="6" t="s">
        <v>16</v>
      </c>
      <c r="L140" s="3" t="s">
        <v>646</v>
      </c>
      <c r="M140" s="3" t="s">
        <v>12</v>
      </c>
      <c r="N140" s="3" t="str">
        <f t="shared" si="10"/>
        <v>INSERT INTO attributes (parent_id, tag, name, priority, allow_as_filter, allow_for_dataset, allow_for_measurement, allow_for_users, allow_for_qc) VALUES (NULL, 'att_compound',  'Compound',  500,  TRUE, TRUE, TRUE, FALSE, FALSE);</v>
      </c>
      <c r="O140" s="3" t="str">
        <f t="shared" si="11"/>
        <v xml:space="preserve">INSERT INTO attribute_values (attribute_id, tag, name, details) VALUES ((SELECT id FROM attributes WHERE tag = 'att_compound' LIMIT 1),  'att_compound:bortezomib',  'bortezomib',  'Bortezomib'); </v>
      </c>
    </row>
    <row r="141" spans="1:15" s="9" customFormat="1">
      <c r="A141" s="8" t="b">
        <f>FALSE()</f>
        <v>0</v>
      </c>
      <c r="B141" s="8"/>
      <c r="C141" s="9" t="s">
        <v>2424</v>
      </c>
      <c r="D141" s="9" t="s">
        <v>2425</v>
      </c>
      <c r="E141" s="9" t="s">
        <v>12</v>
      </c>
      <c r="F141" s="9" t="s">
        <v>2422</v>
      </c>
      <c r="G141" s="9" t="s">
        <v>2423</v>
      </c>
      <c r="H141" s="9" t="str">
        <f t="shared" si="8"/>
        <v>att_compound</v>
      </c>
      <c r="I141" s="9" t="s">
        <v>2424</v>
      </c>
      <c r="J141" s="9" t="str">
        <f t="shared" si="9"/>
        <v>att_compound:cgas</v>
      </c>
      <c r="K141" s="10" t="s">
        <v>16</v>
      </c>
      <c r="L141" s="9" t="s">
        <v>2425</v>
      </c>
      <c r="M141" s="9" t="s">
        <v>12</v>
      </c>
      <c r="N141" s="9" t="str">
        <f t="shared" si="10"/>
        <v>INSERT INTO attributes (parent_id, tag, name, priority, allow_as_filter, allow_for_dataset, allow_for_measurement, allow_for_users, allow_for_qc) VALUES (NULL, 'att_compound',  'Compound',  500,  TRUE, TRUE, TRUE, FALSE, FALSE);</v>
      </c>
      <c r="O141" s="9" t="str">
        <f t="shared" si="11"/>
        <v xml:space="preserve">INSERT INTO attribute_values (attribute_id, tag, name, details) VALUES ((SELECT id FROM attributes WHERE tag = 'att_compound' LIMIT 1),  'att_compound:cgas',  'cGAS',  'cGAS'); </v>
      </c>
    </row>
    <row r="142" spans="1:15">
      <c r="A142" s="7" t="b">
        <f>FALSE()</f>
        <v>0</v>
      </c>
      <c r="B142" s="7"/>
      <c r="C142" s="3" t="s">
        <v>650</v>
      </c>
      <c r="D142" s="3" t="s">
        <v>650</v>
      </c>
      <c r="E142" s="3" t="s">
        <v>12</v>
      </c>
      <c r="F142" s="3" t="s">
        <v>2422</v>
      </c>
      <c r="G142" s="3" t="s">
        <v>2423</v>
      </c>
      <c r="H142" s="3" t="str">
        <f t="shared" si="8"/>
        <v>att_compound</v>
      </c>
      <c r="I142" s="3" t="s">
        <v>650</v>
      </c>
      <c r="J142" s="3" t="str">
        <f t="shared" si="9"/>
        <v>att_compound:cycloheximide</v>
      </c>
      <c r="K142" s="6" t="s">
        <v>16</v>
      </c>
      <c r="L142" s="3" t="s">
        <v>651</v>
      </c>
      <c r="M142" s="3" t="s">
        <v>12</v>
      </c>
      <c r="N142" s="3" t="str">
        <f t="shared" si="10"/>
        <v>INSERT INTO attributes (parent_id, tag, name, priority, allow_as_filter, allow_for_dataset, allow_for_measurement, allow_for_users, allow_for_qc) VALUES (NULL, 'att_compound',  'Compound',  500,  TRUE, TRUE, TRUE, FALSE, FALSE);</v>
      </c>
      <c r="O142" s="3" t="str">
        <f t="shared" si="11"/>
        <v xml:space="preserve">INSERT INTO attribute_values (attribute_id, tag, name, details) VALUES ((SELECT id FROM attributes WHERE tag = 'att_compound' LIMIT 1),  'att_compound:cycloheximide',  'cycloheximide',  'Cycloheximide'); </v>
      </c>
    </row>
    <row r="143" spans="1:15">
      <c r="A143" s="7" t="b">
        <f>FALSE()</f>
        <v>0</v>
      </c>
      <c r="B143" s="7"/>
      <c r="C143" s="3" t="s">
        <v>2426</v>
      </c>
      <c r="D143" s="3" t="s">
        <v>2427</v>
      </c>
      <c r="E143" s="3" t="s">
        <v>12</v>
      </c>
      <c r="F143" s="3" t="s">
        <v>2422</v>
      </c>
      <c r="G143" s="3" t="s">
        <v>2423</v>
      </c>
      <c r="H143" s="3" t="str">
        <f t="shared" si="8"/>
        <v>att_compound</v>
      </c>
      <c r="I143" s="3" t="s">
        <v>2426</v>
      </c>
      <c r="J143" s="3" t="str">
        <f t="shared" si="9"/>
        <v>att_compound:diabzi</v>
      </c>
      <c r="K143" s="6" t="s">
        <v>16</v>
      </c>
      <c r="L143" s="3" t="s">
        <v>2427</v>
      </c>
      <c r="M143" s="3" t="s">
        <v>12</v>
      </c>
      <c r="N143" s="3" t="str">
        <f t="shared" si="10"/>
        <v>INSERT INTO attributes (parent_id, tag, name, priority, allow_as_filter, allow_for_dataset, allow_for_measurement, allow_for_users, allow_for_qc) VALUES (NULL, 'att_compound',  'Compound',  500,  TRUE, TRUE, TRUE, FALSE, FALSE);</v>
      </c>
      <c r="O143" s="3" t="str">
        <f t="shared" si="11"/>
        <v xml:space="preserve">INSERT INTO attribute_values (attribute_id, tag, name, details) VALUES ((SELECT id FROM attributes WHERE tag = 'att_compound' LIMIT 1),  'att_compound:diabzi',  'diABZI',  'diABZI'); </v>
      </c>
    </row>
    <row r="144" spans="1:15">
      <c r="A144" s="7" t="b">
        <f>FALSE()</f>
        <v>0</v>
      </c>
      <c r="B144" s="7"/>
      <c r="C144" s="3" t="s">
        <v>652</v>
      </c>
      <c r="D144" s="3" t="s">
        <v>653</v>
      </c>
      <c r="E144" s="3" t="s">
        <v>12</v>
      </c>
      <c r="F144" s="3" t="s">
        <v>2422</v>
      </c>
      <c r="G144" s="3" t="s">
        <v>2423</v>
      </c>
      <c r="H144" s="3" t="str">
        <f t="shared" si="8"/>
        <v>att_compound</v>
      </c>
      <c r="I144" s="3" t="s">
        <v>652</v>
      </c>
      <c r="J144" s="3" t="str">
        <f t="shared" si="9"/>
        <v>att_compound:dmso</v>
      </c>
      <c r="K144" s="6" t="s">
        <v>16</v>
      </c>
      <c r="L144" s="3" t="s">
        <v>2428</v>
      </c>
      <c r="M144" s="3" t="s">
        <v>12</v>
      </c>
      <c r="N144" s="3" t="str">
        <f t="shared" si="10"/>
        <v>INSERT INTO attributes (parent_id, tag, name, priority, allow_as_filter, allow_for_dataset, allow_for_measurement, allow_for_users, allow_for_qc) VALUES (NULL, 'att_compound',  'Compound',  500,  TRUE, TRUE, TRUE, FALSE, FALSE);</v>
      </c>
      <c r="O144" s="3" t="str">
        <f t="shared" si="11"/>
        <v xml:space="preserve">INSERT INTO attribute_values (attribute_id, tag, name, details) VALUES ((SELECT id FROM attributes WHERE tag = 'att_compound' LIMIT 1),  'att_compound:dmso',  'DMSO',  'Dimethyl Sulfoxide'); </v>
      </c>
    </row>
    <row r="145" spans="1:15">
      <c r="A145" s="7" t="b">
        <f>FALSE()</f>
        <v>0</v>
      </c>
      <c r="B145" s="7"/>
      <c r="C145" s="3" t="s">
        <v>655</v>
      </c>
      <c r="D145" s="3" t="s">
        <v>655</v>
      </c>
      <c r="E145" s="3" t="s">
        <v>12</v>
      </c>
      <c r="F145" s="3" t="s">
        <v>2422</v>
      </c>
      <c r="G145" s="3" t="s">
        <v>2423</v>
      </c>
      <c r="H145" s="3" t="str">
        <f t="shared" si="8"/>
        <v>att_compound</v>
      </c>
      <c r="I145" s="3" t="s">
        <v>655</v>
      </c>
      <c r="J145" s="3" t="str">
        <f t="shared" si="9"/>
        <v>att_compound:doxorubicin</v>
      </c>
      <c r="K145" s="6" t="s">
        <v>16</v>
      </c>
      <c r="L145" s="3" t="s">
        <v>656</v>
      </c>
      <c r="M145" s="3" t="s">
        <v>12</v>
      </c>
      <c r="N145" s="3" t="str">
        <f t="shared" si="10"/>
        <v>INSERT INTO attributes (parent_id, tag, name, priority, allow_as_filter, allow_for_dataset, allow_for_measurement, allow_for_users, allow_for_qc) VALUES (NULL, 'att_compound',  'Compound',  500,  TRUE, TRUE, TRUE, FALSE, FALSE);</v>
      </c>
      <c r="O145" s="3" t="str">
        <f t="shared" si="11"/>
        <v xml:space="preserve">INSERT INTO attribute_values (attribute_id, tag, name, details) VALUES ((SELECT id FROM attributes WHERE tag = 'att_compound' LIMIT 1),  'att_compound:doxorubicin',  'doxorubicin',  'Doxorubicin'); </v>
      </c>
    </row>
    <row r="146" spans="1:15">
      <c r="A146" s="7" t="b">
        <f>FALSE()</f>
        <v>0</v>
      </c>
      <c r="B146" s="7"/>
      <c r="C146" s="3" t="s">
        <v>658</v>
      </c>
      <c r="D146" s="3" t="s">
        <v>658</v>
      </c>
      <c r="E146" s="3" t="s">
        <v>12</v>
      </c>
      <c r="F146" s="3" t="s">
        <v>2422</v>
      </c>
      <c r="G146" s="3" t="s">
        <v>2423</v>
      </c>
      <c r="H146" s="3" t="str">
        <f t="shared" si="8"/>
        <v>att_compound</v>
      </c>
      <c r="I146" s="3" t="s">
        <v>658</v>
      </c>
      <c r="J146" s="3" t="str">
        <f t="shared" si="9"/>
        <v>att_compound:doxycycline</v>
      </c>
      <c r="K146" s="6" t="s">
        <v>16</v>
      </c>
      <c r="L146" s="3" t="s">
        <v>659</v>
      </c>
      <c r="M146" s="3" t="s">
        <v>12</v>
      </c>
      <c r="N146" s="3" t="str">
        <f t="shared" si="10"/>
        <v>INSERT INTO attributes (parent_id, tag, name, priority, allow_as_filter, allow_for_dataset, allow_for_measurement, allow_for_users, allow_for_qc) VALUES (NULL, 'att_compound',  'Compound',  500,  TRUE, TRUE, TRUE, FALSE, FALSE);</v>
      </c>
      <c r="O146" s="3" t="str">
        <f t="shared" si="11"/>
        <v xml:space="preserve">INSERT INTO attribute_values (attribute_id, tag, name, details) VALUES ((SELECT id FROM attributes WHERE tag = 'att_compound' LIMIT 1),  'att_compound:doxycycline',  'doxycycline',  'Doxycycline'); </v>
      </c>
    </row>
    <row r="147" spans="1:15">
      <c r="A147" s="7" t="b">
        <f>FALSE()</f>
        <v>0</v>
      </c>
      <c r="B147" s="7"/>
      <c r="C147" s="3" t="s">
        <v>661</v>
      </c>
      <c r="D147" s="3" t="s">
        <v>661</v>
      </c>
      <c r="E147" s="3" t="s">
        <v>12</v>
      </c>
      <c r="F147" s="3" t="s">
        <v>2422</v>
      </c>
      <c r="G147" s="3" t="s">
        <v>2423</v>
      </c>
      <c r="H147" s="3" t="str">
        <f t="shared" si="8"/>
        <v>att_compound</v>
      </c>
      <c r="I147" s="3" t="s">
        <v>661</v>
      </c>
      <c r="J147" s="3" t="str">
        <f t="shared" si="9"/>
        <v>att_compound:etoposide</v>
      </c>
      <c r="K147" s="6" t="s">
        <v>16</v>
      </c>
      <c r="L147" s="3" t="s">
        <v>661</v>
      </c>
      <c r="M147" s="3" t="s">
        <v>12</v>
      </c>
      <c r="N147" s="3" t="str">
        <f t="shared" si="10"/>
        <v>INSERT INTO attributes (parent_id, tag, name, priority, allow_as_filter, allow_for_dataset, allow_for_measurement, allow_for_users, allow_for_qc) VALUES (NULL, 'att_compound',  'Compound',  500,  TRUE, TRUE, TRUE, FALSE, FALSE);</v>
      </c>
      <c r="O147" s="3" t="str">
        <f t="shared" si="11"/>
        <v xml:space="preserve">INSERT INTO attribute_values (attribute_id, tag, name, details) VALUES ((SELECT id FROM attributes WHERE tag = 'att_compound' LIMIT 1),  'att_compound:etoposide',  'etoposide',  'etoposide'); </v>
      </c>
    </row>
    <row r="148" spans="1:15">
      <c r="A148" s="7" t="b">
        <f>FALSE()</f>
        <v>0</v>
      </c>
      <c r="B148" s="7"/>
      <c r="C148" s="3" t="s">
        <v>2429</v>
      </c>
      <c r="D148" s="3" t="s">
        <v>2429</v>
      </c>
      <c r="E148" s="3" t="s">
        <v>12</v>
      </c>
      <c r="F148" s="3" t="s">
        <v>2422</v>
      </c>
      <c r="G148" s="3" t="s">
        <v>2423</v>
      </c>
      <c r="H148" s="3" t="str">
        <f t="shared" si="8"/>
        <v>att_compound</v>
      </c>
      <c r="I148" s="3" t="s">
        <v>2429</v>
      </c>
      <c r="J148" s="3" t="str">
        <f t="shared" si="9"/>
        <v>att_compound:lactimidomycin</v>
      </c>
      <c r="K148" s="6" t="s">
        <v>16</v>
      </c>
      <c r="L148" s="3" t="s">
        <v>2430</v>
      </c>
      <c r="M148" s="3" t="s">
        <v>12</v>
      </c>
      <c r="N148" s="3" t="str">
        <f t="shared" si="10"/>
        <v>INSERT INTO attributes (parent_id, tag, name, priority, allow_as_filter, allow_for_dataset, allow_for_measurement, allow_for_users, allow_for_qc) VALUES (NULL, 'att_compound',  'Compound',  500,  TRUE, TRUE, TRUE, FALSE, FALSE);</v>
      </c>
      <c r="O148" s="3" t="str">
        <f t="shared" si="11"/>
        <v xml:space="preserve">INSERT INTO attribute_values (attribute_id, tag, name, details) VALUES ((SELECT id FROM attributes WHERE tag = 'att_compound' LIMIT 1),  'att_compound:lactimidomycin',  'lactimidomycin',  'Lactimidomycin'); </v>
      </c>
    </row>
    <row r="149" spans="1:15">
      <c r="A149" s="7" t="b">
        <f>FALSE()</f>
        <v>0</v>
      </c>
      <c r="B149" s="7"/>
      <c r="C149" s="3" t="s">
        <v>2431</v>
      </c>
      <c r="D149" s="3" t="s">
        <v>2432</v>
      </c>
      <c r="E149" s="3" t="s">
        <v>12</v>
      </c>
      <c r="F149" s="3" t="s">
        <v>2422</v>
      </c>
      <c r="G149" s="3" t="s">
        <v>2423</v>
      </c>
      <c r="H149" s="3" t="str">
        <f t="shared" si="8"/>
        <v>att_compound</v>
      </c>
      <c r="I149" s="3" t="s">
        <v>2431</v>
      </c>
      <c r="J149" s="3" t="str">
        <f t="shared" si="9"/>
        <v>att_compound:lps</v>
      </c>
      <c r="K149" s="6" t="s">
        <v>16</v>
      </c>
      <c r="L149" s="3" t="s">
        <v>2433</v>
      </c>
      <c r="M149" s="3" t="s">
        <v>12</v>
      </c>
      <c r="N149" s="3" t="str">
        <f t="shared" si="10"/>
        <v>INSERT INTO attributes (parent_id, tag, name, priority, allow_as_filter, allow_for_dataset, allow_for_measurement, allow_for_users, allow_for_qc) VALUES (NULL, 'att_compound',  'Compound',  500,  TRUE, TRUE, TRUE, FALSE, FALSE);</v>
      </c>
      <c r="O149" s="3" t="str">
        <f t="shared" si="11"/>
        <v xml:space="preserve">INSERT INTO attribute_values (attribute_id, tag, name, details) VALUES ((SELECT id FROM attributes WHERE tag = 'att_compound' LIMIT 1),  'att_compound:lps',  'LPS',  'Lipopolysaccharide'); </v>
      </c>
    </row>
    <row r="150" spans="1:15">
      <c r="A150" s="7" t="b">
        <f>FALSE()</f>
        <v>0</v>
      </c>
      <c r="B150" s="7"/>
      <c r="C150" s="3" t="s">
        <v>2434</v>
      </c>
      <c r="D150" s="3" t="s">
        <v>2435</v>
      </c>
      <c r="E150" s="3" t="s">
        <v>12</v>
      </c>
      <c r="F150" s="3" t="s">
        <v>2422</v>
      </c>
      <c r="G150" s="3" t="s">
        <v>2423</v>
      </c>
      <c r="H150" s="3" t="str">
        <f t="shared" si="8"/>
        <v>att_compound</v>
      </c>
      <c r="I150" s="3" t="s">
        <v>2434</v>
      </c>
      <c r="J150" s="3" t="str">
        <f t="shared" si="9"/>
        <v>att_compound:niap</v>
      </c>
      <c r="K150" s="6" t="s">
        <v>16</v>
      </c>
      <c r="L150" s="3" t="s">
        <v>2435</v>
      </c>
      <c r="M150" s="3" t="s">
        <v>12</v>
      </c>
      <c r="N150" s="3" t="str">
        <f t="shared" si="10"/>
        <v>INSERT INTO attributes (parent_id, tag, name, priority, allow_as_filter, allow_for_dataset, allow_for_measurement, allow_for_users, allow_for_qc) VALUES (NULL, 'att_compound',  'Compound',  500,  TRUE, TRUE, TRUE, FALSE, FALSE);</v>
      </c>
      <c r="O150" s="3" t="str">
        <f t="shared" si="11"/>
        <v xml:space="preserve">INSERT INTO attribute_values (attribute_id, tag, name, details) VALUES ((SELECT id FROM attributes WHERE tag = 'att_compound' LIMIT 1),  'att_compound:niap',  'nIAP',  'nIAP'); </v>
      </c>
    </row>
    <row r="151" spans="1:15">
      <c r="A151" s="7" t="b">
        <f>FALSE()</f>
        <v>0</v>
      </c>
      <c r="B151" s="7"/>
      <c r="C151" s="3" t="s">
        <v>2436</v>
      </c>
      <c r="D151" s="3" t="s">
        <v>2437</v>
      </c>
      <c r="E151" s="3" t="s">
        <v>12</v>
      </c>
      <c r="F151" s="3" t="s">
        <v>2422</v>
      </c>
      <c r="G151" s="3" t="s">
        <v>2423</v>
      </c>
      <c r="H151" s="3" t="str">
        <f t="shared" si="8"/>
        <v>att_compound</v>
      </c>
      <c r="I151" s="3" t="s">
        <v>2436</v>
      </c>
      <c r="J151" s="3" t="str">
        <f t="shared" si="9"/>
        <v>att_compound:pam</v>
      </c>
      <c r="K151" s="6" t="s">
        <v>16</v>
      </c>
      <c r="L151" s="3" t="s">
        <v>2438</v>
      </c>
      <c r="M151" s="3" t="s">
        <v>12</v>
      </c>
      <c r="N151" s="3" t="str">
        <f t="shared" si="10"/>
        <v>INSERT INTO attributes (parent_id, tag, name, priority, allow_as_filter, allow_for_dataset, allow_for_measurement, allow_for_users, allow_for_qc) VALUES (NULL, 'att_compound',  'Compound',  500,  TRUE, TRUE, TRUE, FALSE, FALSE);</v>
      </c>
      <c r="O151" s="3" t="str">
        <f t="shared" si="11"/>
        <v xml:space="preserve">INSERT INTO attribute_values (attribute_id, tag, name, details) VALUES ((SELECT id FROM attributes WHERE tag = 'att_compound' LIMIT 1),  'att_compound:pam',  'PAM',  'Polyacrylamide'); </v>
      </c>
    </row>
    <row r="152" spans="1:15">
      <c r="A152" s="7" t="b">
        <f>FALSE()</f>
        <v>0</v>
      </c>
      <c r="B152" s="7"/>
      <c r="C152" s="3" t="s">
        <v>2439</v>
      </c>
      <c r="D152" s="3" t="s">
        <v>2440</v>
      </c>
      <c r="E152" s="3" t="s">
        <v>12</v>
      </c>
      <c r="F152" s="3" t="s">
        <v>2422</v>
      </c>
      <c r="G152" s="3" t="s">
        <v>2423</v>
      </c>
      <c r="H152" s="3" t="str">
        <f t="shared" si="8"/>
        <v>att_compound</v>
      </c>
      <c r="I152" s="3" t="s">
        <v>2439</v>
      </c>
      <c r="J152" s="3" t="str">
        <f t="shared" si="9"/>
        <v>att_compound:r837</v>
      </c>
      <c r="K152" s="6" t="s">
        <v>16</v>
      </c>
      <c r="L152" s="3" t="s">
        <v>2441</v>
      </c>
      <c r="M152" s="3" t="s">
        <v>12</v>
      </c>
      <c r="N152" s="3" t="str">
        <f t="shared" si="10"/>
        <v>INSERT INTO attributes (parent_id, tag, name, priority, allow_as_filter, allow_for_dataset, allow_for_measurement, allow_for_users, allow_for_qc) VALUES (NULL, 'att_compound',  'Compound',  500,  TRUE, TRUE, TRUE, FALSE, FALSE);</v>
      </c>
      <c r="O152" s="3"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c r="A153" s="7" t="b">
        <f>FALSE()</f>
        <v>0</v>
      </c>
      <c r="B153" s="7"/>
      <c r="C153" s="3" t="s">
        <v>2442</v>
      </c>
      <c r="D153" s="3" t="s">
        <v>2443</v>
      </c>
      <c r="E153" s="3" t="s">
        <v>12</v>
      </c>
      <c r="F153" s="3" t="s">
        <v>2422</v>
      </c>
      <c r="G153" s="3" t="s">
        <v>2423</v>
      </c>
      <c r="H153" s="3" t="str">
        <f t="shared" si="8"/>
        <v>att_compound</v>
      </c>
      <c r="I153" s="3" t="s">
        <v>2442</v>
      </c>
      <c r="J153" s="3" t="str">
        <f t="shared" si="9"/>
        <v>att_compound:r848</v>
      </c>
      <c r="K153" s="6" t="s">
        <v>16</v>
      </c>
      <c r="L153" s="3" t="s">
        <v>2444</v>
      </c>
      <c r="M153" s="3" t="s">
        <v>12</v>
      </c>
      <c r="N153" s="3" t="str">
        <f t="shared" si="10"/>
        <v>INSERT INTO attributes (parent_id, tag, name, priority, allow_as_filter, allow_for_dataset, allow_for_measurement, allow_for_users, allow_for_qc) VALUES (NULL, 'att_compound',  'Compound',  500,  TRUE, TRUE, TRUE, FALSE, FALSE);</v>
      </c>
      <c r="O153" s="3" t="str">
        <f t="shared" si="11"/>
        <v xml:space="preserve">INSERT INTO attribute_values (attribute_id, tag, name, details) VALUES ((SELECT id FROM attributes WHERE tag = 'att_compound' LIMIT 1),  'att_compound:r848',  'R848',  'Resiquimod; Imidazoquinolinamine and Toll-like receptor (TLR) agonist'); </v>
      </c>
    </row>
    <row r="154" spans="1:15">
      <c r="A154" s="7" t="b">
        <f>FALSE()</f>
        <v>0</v>
      </c>
      <c r="B154" s="7"/>
      <c r="C154" s="3" t="s">
        <v>682</v>
      </c>
      <c r="D154" s="3" t="s">
        <v>682</v>
      </c>
      <c r="E154" s="3" t="s">
        <v>12</v>
      </c>
      <c r="F154" s="3" t="s">
        <v>2422</v>
      </c>
      <c r="G154" s="3" t="s">
        <v>2423</v>
      </c>
      <c r="H154" s="3" t="str">
        <f t="shared" si="8"/>
        <v>att_compound</v>
      </c>
      <c r="I154" s="3" t="s">
        <v>682</v>
      </c>
      <c r="J154" s="3" t="str">
        <f t="shared" si="9"/>
        <v>att_compound:tamoxifen</v>
      </c>
      <c r="K154" s="6" t="s">
        <v>16</v>
      </c>
      <c r="L154" s="3" t="s">
        <v>683</v>
      </c>
      <c r="M154" s="3" t="s">
        <v>12</v>
      </c>
      <c r="N154" s="3" t="str">
        <f t="shared" si="10"/>
        <v>INSERT INTO attributes (parent_id, tag, name, priority, allow_as_filter, allow_for_dataset, allow_for_measurement, allow_for_users, allow_for_qc) VALUES (NULL, 'att_compound',  'Compound',  500,  TRUE, TRUE, TRUE, FALSE, FALSE);</v>
      </c>
      <c r="O154" s="3" t="str">
        <f t="shared" si="11"/>
        <v xml:space="preserve">INSERT INTO attribute_values (attribute_id, tag, name, details) VALUES ((SELECT id FROM attributes WHERE tag = 'att_compound' LIMIT 1),  'att_compound:tamoxifen',  'tamoxifen',  'Tamoxifen'); </v>
      </c>
    </row>
    <row r="155" spans="1:15">
      <c r="A155" s="7" t="b">
        <f>FALSE()</f>
        <v>0</v>
      </c>
      <c r="B155" s="7"/>
      <c r="C155" s="3" t="s">
        <v>687</v>
      </c>
      <c r="D155" s="3" t="s">
        <v>687</v>
      </c>
      <c r="E155" s="3" t="s">
        <v>12</v>
      </c>
      <c r="F155" s="3" t="s">
        <v>2422</v>
      </c>
      <c r="G155" s="3" t="s">
        <v>2423</v>
      </c>
      <c r="H155" s="3" t="str">
        <f t="shared" si="8"/>
        <v>att_compound</v>
      </c>
      <c r="I155" s="3" t="s">
        <v>687</v>
      </c>
      <c r="J155" s="3" t="str">
        <f t="shared" si="9"/>
        <v>att_compound:trametinib</v>
      </c>
      <c r="K155" s="6" t="s">
        <v>16</v>
      </c>
      <c r="L155" s="3" t="s">
        <v>688</v>
      </c>
      <c r="M155" s="3" t="s">
        <v>12</v>
      </c>
      <c r="N155" s="3" t="str">
        <f t="shared" si="10"/>
        <v>INSERT INTO attributes (parent_id, tag, name, priority, allow_as_filter, allow_for_dataset, allow_for_measurement, allow_for_users, allow_for_qc) VALUES (NULL, 'att_compound',  'Compound',  500,  TRUE, TRUE, TRUE, FALSE, FALSE);</v>
      </c>
      <c r="O155" s="3" t="str">
        <f t="shared" si="11"/>
        <v xml:space="preserve">INSERT INTO attribute_values (attribute_id, tag, name, details) VALUES ((SELECT id FROM attributes WHERE tag = 'att_compound' LIMIT 1),  'att_compound:trametinib',  'trametinib',  'Trametinib'); </v>
      </c>
    </row>
    <row r="156" spans="1:15">
      <c r="A156" s="7" t="b">
        <f>FALSE()</f>
        <v>0</v>
      </c>
      <c r="B156" s="7"/>
      <c r="C156" s="3" t="s">
        <v>689</v>
      </c>
      <c r="D156" s="3" t="s">
        <v>690</v>
      </c>
      <c r="E156" s="3" t="s">
        <v>12</v>
      </c>
      <c r="F156" s="3" t="s">
        <v>2422</v>
      </c>
      <c r="G156" s="3" t="s">
        <v>2423</v>
      </c>
      <c r="H156" s="3" t="str">
        <f t="shared" si="8"/>
        <v>att_compound</v>
      </c>
      <c r="I156" s="3" t="s">
        <v>689</v>
      </c>
      <c r="J156" s="3" t="str">
        <f t="shared" si="9"/>
        <v>att_compound:unstimulated</v>
      </c>
      <c r="K156" s="6" t="s">
        <v>16</v>
      </c>
      <c r="L156" s="3" t="s">
        <v>691</v>
      </c>
      <c r="M156" s="3" t="s">
        <v>12</v>
      </c>
      <c r="N156" s="3" t="str">
        <f t="shared" si="10"/>
        <v>INSERT INTO attributes (parent_id, tag, name, priority, allow_as_filter, allow_for_dataset, allow_for_measurement, allow_for_users, allow_for_qc) VALUES (NULL, 'att_compound',  'Compound',  500,  TRUE, TRUE, TRUE, FALSE, FALSE);</v>
      </c>
      <c r="O156" s="3" t="str">
        <f t="shared" si="11"/>
        <v xml:space="preserve">INSERT INTO attribute_values (attribute_id, tag, name, details) VALUES ((SELECT id FROM attributes WHERE tag = 'att_compound' LIMIT 1),  'att_compound:unstimulated',  'Unstimulated',  'Unstimulated; nothing added; Control'); </v>
      </c>
    </row>
    <row r="157" spans="1:15">
      <c r="A157" s="7" t="b">
        <f>FALSE()</f>
        <v>0</v>
      </c>
      <c r="B157" s="7"/>
      <c r="C157" s="3" t="s">
        <v>692</v>
      </c>
      <c r="D157" s="3" t="s">
        <v>692</v>
      </c>
      <c r="E157" s="3" t="s">
        <v>12</v>
      </c>
      <c r="F157" s="3" t="s">
        <v>2445</v>
      </c>
      <c r="G157" s="3" t="s">
        <v>2446</v>
      </c>
      <c r="H157" s="3" t="str">
        <f t="shared" si="8"/>
        <v>att_context</v>
      </c>
      <c r="I157" s="3" t="s">
        <v>692</v>
      </c>
      <c r="J157" s="3" t="str">
        <f t="shared" si="9"/>
        <v>att_context:microenvironment</v>
      </c>
      <c r="K157" s="6" t="s">
        <v>16</v>
      </c>
      <c r="L157" s="3" t="s">
        <v>692</v>
      </c>
      <c r="M157" s="3" t="s">
        <v>12</v>
      </c>
      <c r="N157" s="3" t="str">
        <f t="shared" si="10"/>
        <v>INSERT INTO attributes (parent_id, tag, name, priority, allow_as_filter, allow_for_dataset, allow_for_measurement, allow_for_users, allow_for_qc) VALUES (NULL, 'att_context',  'Context',  500,  TRUE, TRUE, TRUE, FALSE, FALSE);</v>
      </c>
      <c r="O157" s="3" t="str">
        <f t="shared" si="11"/>
        <v xml:space="preserve">INSERT INTO attribute_values (attribute_id, tag, name, details) VALUES ((SELECT id FROM attributes WHERE tag = 'att_context' LIMIT 1),  'att_context:microenvironment',  'microenvironment',  'microenvironment'); </v>
      </c>
    </row>
    <row r="158" spans="1:15">
      <c r="A158" s="6" t="s">
        <v>16</v>
      </c>
      <c r="B158" s="6"/>
      <c r="C158" s="3" t="s">
        <v>902</v>
      </c>
      <c r="D158" s="3" t="s">
        <v>901</v>
      </c>
      <c r="E158" s="3" t="s">
        <v>12</v>
      </c>
      <c r="F158" s="3" t="s">
        <v>2447</v>
      </c>
      <c r="G158" s="3" t="s">
        <v>2448</v>
      </c>
      <c r="H158" s="3" t="str">
        <f t="shared" si="8"/>
        <v>att_dataset</v>
      </c>
      <c r="I158" s="3" t="s">
        <v>902</v>
      </c>
      <c r="J158" s="3" t="str">
        <f t="shared" si="9"/>
        <v>att_dataset:database search</v>
      </c>
      <c r="K158" s="6" t="s">
        <v>16</v>
      </c>
      <c r="L158" s="3" t="s">
        <v>902</v>
      </c>
      <c r="M158" s="3" t="s">
        <v>12</v>
      </c>
      <c r="N158" s="3" t="str">
        <f t="shared" si="10"/>
        <v>INSERT INTO attributes (parent_id, tag, name, priority, allow_as_filter, allow_for_dataset, allow_for_measurement, allow_for_users, allow_for_qc) VALUES (NULL, 'att_dataset',  'Spectral Interpretation',  500,  TRUE, TRUE, TRUE, FALSE, FALSE);</v>
      </c>
      <c r="O158" s="3" t="str">
        <f t="shared" si="11"/>
        <v xml:space="preserve">INSERT INTO attribute_values (attribute_id, tag, name, details) VALUES ((SELECT id FROM attributes WHERE tag = 'att_dataset' LIMIT 1),  'att_dataset:database search',  'Database search',  'database search'); </v>
      </c>
    </row>
    <row r="159" spans="1:15">
      <c r="A159" s="6" t="s">
        <v>16</v>
      </c>
      <c r="B159" s="6"/>
      <c r="C159" s="3" t="s">
        <v>904</v>
      </c>
      <c r="D159" s="3" t="s">
        <v>904</v>
      </c>
      <c r="E159" s="3" t="s">
        <v>12</v>
      </c>
      <c r="F159" s="3" t="s">
        <v>2447</v>
      </c>
      <c r="G159" s="3" t="s">
        <v>2448</v>
      </c>
      <c r="H159" s="3" t="str">
        <f t="shared" si="8"/>
        <v>att_dataset</v>
      </c>
      <c r="I159" s="3" t="s">
        <v>904</v>
      </c>
      <c r="J159" s="3" t="str">
        <f t="shared" si="9"/>
        <v>att_dataset:de novo</v>
      </c>
      <c r="K159" s="6" t="s">
        <v>16</v>
      </c>
      <c r="L159" s="3" t="s">
        <v>904</v>
      </c>
      <c r="M159" s="3" t="s">
        <v>12</v>
      </c>
      <c r="N159" s="3" t="str">
        <f t="shared" si="10"/>
        <v>INSERT INTO attributes (parent_id, tag, name, priority, allow_as_filter, allow_for_dataset, allow_for_measurement, allow_for_users, allow_for_qc) VALUES (NULL, 'att_dataset',  'Spectral Interpretation',  500,  TRUE, TRUE, TRUE, FALSE, FALSE);</v>
      </c>
      <c r="O159" s="3" t="str">
        <f t="shared" si="11"/>
        <v xml:space="preserve">INSERT INTO attribute_values (attribute_id, tag, name, details) VALUES ((SELECT id FROM attributes WHERE tag = 'att_dataset' LIMIT 1),  'att_dataset:de novo',  'de novo',  'de novo'); </v>
      </c>
    </row>
    <row r="160" spans="1:15">
      <c r="A160" s="7" t="b">
        <f>FALSE()</f>
        <v>0</v>
      </c>
      <c r="B160" s="7"/>
      <c r="C160" s="3" t="s">
        <v>959</v>
      </c>
      <c r="D160" s="3" t="s">
        <v>960</v>
      </c>
      <c r="E160" s="3" t="s">
        <v>12</v>
      </c>
      <c r="F160" s="3" t="s">
        <v>73</v>
      </c>
      <c r="G160" s="3" t="s">
        <v>2449</v>
      </c>
      <c r="H160" s="3" t="str">
        <f t="shared" si="8"/>
        <v>att_disease</v>
      </c>
      <c r="I160" s="3" t="s">
        <v>959</v>
      </c>
      <c r="J160" s="3" t="str">
        <f t="shared" si="9"/>
        <v>att_disease:als</v>
      </c>
      <c r="K160" s="6" t="s">
        <v>16</v>
      </c>
      <c r="L160" s="3" t="s">
        <v>961</v>
      </c>
      <c r="M160" s="3" t="s">
        <v>12</v>
      </c>
      <c r="N160" s="3" t="str">
        <f t="shared" si="10"/>
        <v>INSERT INTO attributes (parent_id, tag, name, priority, allow_as_filter, allow_for_dataset, allow_for_measurement, allow_for_users, allow_for_qc) VALUES (NULL, 'att_disease',  'Disease',  500,  TRUE, TRUE, TRUE, FALSE, FALSE);</v>
      </c>
      <c r="O160" s="3" t="str">
        <f t="shared" si="11"/>
        <v xml:space="preserve">INSERT INTO attribute_values (attribute_id, tag, name, details) VALUES ((SELECT id FROM attributes WHERE tag = 'att_disease' LIMIT 1),  'att_disease:als',  'ALS',  'Amyotrophic lateral sclerosis'); </v>
      </c>
    </row>
    <row r="161" spans="1:15">
      <c r="A161" s="7" t="b">
        <f>FALSE()</f>
        <v>0</v>
      </c>
      <c r="B161" s="7"/>
      <c r="C161" s="3" t="s">
        <v>962</v>
      </c>
      <c r="D161" s="3" t="s">
        <v>963</v>
      </c>
      <c r="E161" s="3" t="s">
        <v>12</v>
      </c>
      <c r="F161" s="3" t="s">
        <v>73</v>
      </c>
      <c r="G161" s="3" t="s">
        <v>2449</v>
      </c>
      <c r="H161" s="3" t="str">
        <f t="shared" si="8"/>
        <v>att_disease</v>
      </c>
      <c r="I161" s="3" t="s">
        <v>962</v>
      </c>
      <c r="J161" s="3" t="str">
        <f t="shared" si="9"/>
        <v>att_disease:alzheimer</v>
      </c>
      <c r="K161" s="6" t="s">
        <v>16</v>
      </c>
      <c r="L161" s="3" t="s">
        <v>964</v>
      </c>
      <c r="M161" s="3" t="s">
        <v>12</v>
      </c>
      <c r="N161" s="3" t="str">
        <f t="shared" si="10"/>
        <v>INSERT INTO attributes (parent_id, tag, name, priority, allow_as_filter, allow_for_dataset, allow_for_measurement, allow_for_users, allow_for_qc) VALUES (NULL, 'att_disease',  'Disease',  500,  TRUE, TRUE, TRUE, FALSE, FALSE);</v>
      </c>
      <c r="O161" s="3" t="str">
        <f t="shared" si="11"/>
        <v xml:space="preserve">INSERT INTO attribute_values (attribute_id, tag, name, details) VALUES ((SELECT id FROM attributes WHERE tag = 'att_disease' LIMIT 1),  'att_disease:alzheimer',  'Alzheimer',  'Alzheimer's disease'); </v>
      </c>
    </row>
    <row r="162" spans="1:15">
      <c r="A162" s="7" t="b">
        <f>FALSE()</f>
        <v>0</v>
      </c>
      <c r="B162" s="7"/>
      <c r="C162" s="3" t="s">
        <v>965</v>
      </c>
      <c r="D162" s="3" t="s">
        <v>966</v>
      </c>
      <c r="E162" s="3" t="s">
        <v>12</v>
      </c>
      <c r="F162" s="3" t="s">
        <v>73</v>
      </c>
      <c r="G162" s="3" t="s">
        <v>2449</v>
      </c>
      <c r="H162" s="3" t="str">
        <f t="shared" si="8"/>
        <v>att_disease</v>
      </c>
      <c r="I162" s="3" t="s">
        <v>965</v>
      </c>
      <c r="J162" s="3" t="str">
        <f t="shared" si="9"/>
        <v>att_disease:autoimmune</v>
      </c>
      <c r="K162" s="6" t="s">
        <v>16</v>
      </c>
      <c r="L162" s="3" t="s">
        <v>967</v>
      </c>
      <c r="M162" s="3" t="s">
        <v>12</v>
      </c>
      <c r="N162" s="3" t="str">
        <f t="shared" si="10"/>
        <v>INSERT INTO attributes (parent_id, tag, name, priority, allow_as_filter, allow_for_dataset, allow_for_measurement, allow_for_users, allow_for_qc) VALUES (NULL, 'att_disease',  'Disease',  500,  TRUE, TRUE, TRUE, FALSE, FALSE);</v>
      </c>
      <c r="O162" s="3" t="str">
        <f t="shared" si="11"/>
        <v xml:space="preserve">INSERT INTO attribute_values (attribute_id, tag, name, details) VALUES ((SELECT id FROM attributes WHERE tag = 'att_disease' LIMIT 1),  'att_disease:autoimmune',  'Autoimmune',  'Autoimmune disease'); </v>
      </c>
    </row>
    <row r="163" spans="1:15">
      <c r="A163" s="7" t="b">
        <f>FALSE()</f>
        <v>0</v>
      </c>
      <c r="B163" s="7"/>
      <c r="C163" s="3" t="s">
        <v>968</v>
      </c>
      <c r="D163" s="3" t="s">
        <v>969</v>
      </c>
      <c r="E163" s="3" t="s">
        <v>12</v>
      </c>
      <c r="F163" s="3" t="s">
        <v>73</v>
      </c>
      <c r="G163" s="3" t="s">
        <v>2449</v>
      </c>
      <c r="H163" s="3" t="str">
        <f t="shared" si="8"/>
        <v>att_disease</v>
      </c>
      <c r="I163" s="3" t="s">
        <v>968</v>
      </c>
      <c r="J163" s="3" t="str">
        <f t="shared" si="9"/>
        <v>att_disease:cancer</v>
      </c>
      <c r="K163" s="6" t="s">
        <v>16</v>
      </c>
      <c r="L163" s="3" t="s">
        <v>970</v>
      </c>
      <c r="M163" s="3" t="s">
        <v>12</v>
      </c>
      <c r="N163" s="3" t="str">
        <f t="shared" si="10"/>
        <v>INSERT INTO attributes (parent_id, tag, name, priority, allow_as_filter, allow_for_dataset, allow_for_measurement, allow_for_users, allow_for_qc) VALUES (NULL, 'att_disease',  'Disease',  500,  TRUE, TRUE, TRUE, FALSE, FALSE);</v>
      </c>
      <c r="O163" s="3" t="str">
        <f t="shared" si="11"/>
        <v xml:space="preserve">INSERT INTO attribute_values (attribute_id, tag, name, details) VALUES ((SELECT id FROM attributes WHERE tag = 'att_disease' LIMIT 1),  'att_disease:cancer',  'Cancer',  'Diseases of abnormal cells grow'); </v>
      </c>
    </row>
    <row r="164" spans="1:15">
      <c r="A164" s="7" t="b">
        <f>FALSE()</f>
        <v>0</v>
      </c>
      <c r="B164" s="7"/>
      <c r="C164" s="3" t="s">
        <v>972</v>
      </c>
      <c r="D164" s="3" t="s">
        <v>973</v>
      </c>
      <c r="E164" s="3" t="s">
        <v>12</v>
      </c>
      <c r="F164" s="3" t="s">
        <v>73</v>
      </c>
      <c r="G164" s="3" t="s">
        <v>2449</v>
      </c>
      <c r="H164" s="3" t="str">
        <f t="shared" si="8"/>
        <v>att_disease</v>
      </c>
      <c r="I164" s="3" t="s">
        <v>971</v>
      </c>
      <c r="J164" s="3" t="str">
        <f t="shared" si="9"/>
        <v>att_disease:cardiovascular_diseases</v>
      </c>
      <c r="K164" s="6" t="s">
        <v>16</v>
      </c>
      <c r="L164" s="3" t="s">
        <v>974</v>
      </c>
      <c r="M164" s="3" t="s">
        <v>12</v>
      </c>
      <c r="N164" s="3" t="str">
        <f t="shared" si="10"/>
        <v>INSERT INTO attributes (parent_id, tag, name, priority, allow_as_filter, allow_for_dataset, allow_for_measurement, allow_for_users, allow_for_qc) VALUES (NULL, 'att_disease',  'Disease',  500,  TRUE, TRUE, TRUE, FALSE, FALSE);</v>
      </c>
      <c r="O164" s="3"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c r="A165" s="7" t="b">
        <f>FALSE()</f>
        <v>0</v>
      </c>
      <c r="B165" s="7"/>
      <c r="C165" s="3" t="s">
        <v>975</v>
      </c>
      <c r="D165" s="3" t="s">
        <v>977</v>
      </c>
      <c r="E165" s="3" t="s">
        <v>12</v>
      </c>
      <c r="F165" s="3" t="s">
        <v>73</v>
      </c>
      <c r="G165" s="3" t="s">
        <v>2449</v>
      </c>
      <c r="H165" s="3" t="str">
        <f t="shared" si="8"/>
        <v>att_disease</v>
      </c>
      <c r="I165" s="3" t="s">
        <v>975</v>
      </c>
      <c r="J165" s="3" t="str">
        <f t="shared" si="9"/>
        <v>att_disease:chronic_inflammation</v>
      </c>
      <c r="K165" s="6" t="s">
        <v>16</v>
      </c>
      <c r="L165" s="3" t="s">
        <v>978</v>
      </c>
      <c r="M165" s="3" t="s">
        <v>12</v>
      </c>
      <c r="N165" s="3" t="str">
        <f t="shared" si="10"/>
        <v>INSERT INTO attributes (parent_id, tag, name, priority, allow_as_filter, allow_for_dataset, allow_for_measurement, allow_for_users, allow_for_qc) VALUES (NULL, 'att_disease',  'Disease',  500,  TRUE, TRUE, TRUE, FALSE, FALSE);</v>
      </c>
      <c r="O165" s="3"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c r="A166" s="7" t="b">
        <f>FALSE()</f>
        <v>0</v>
      </c>
      <c r="B166" s="7"/>
      <c r="C166" s="3" t="s">
        <v>979</v>
      </c>
      <c r="D166" s="3" t="s">
        <v>980</v>
      </c>
      <c r="E166" s="3" t="s">
        <v>12</v>
      </c>
      <c r="F166" s="3" t="s">
        <v>73</v>
      </c>
      <c r="G166" s="3" t="s">
        <v>2449</v>
      </c>
      <c r="H166" s="3" t="str">
        <f t="shared" si="8"/>
        <v>att_disease</v>
      </c>
      <c r="I166" s="3" t="s">
        <v>979</v>
      </c>
      <c r="J166" s="3" t="str">
        <f t="shared" si="9"/>
        <v>att_disease:coeliac</v>
      </c>
      <c r="K166" s="6" t="s">
        <v>16</v>
      </c>
      <c r="L166" s="3" t="s">
        <v>981</v>
      </c>
      <c r="M166" s="3" t="s">
        <v>12</v>
      </c>
      <c r="N166" s="3" t="str">
        <f t="shared" si="10"/>
        <v>INSERT INTO attributes (parent_id, tag, name, priority, allow_as_filter, allow_for_dataset, allow_for_measurement, allow_for_users, allow_for_qc) VALUES (NULL, 'att_disease',  'Disease',  500,  TRUE, TRUE, TRUE, FALSE, FALSE);</v>
      </c>
      <c r="O166" s="3" t="str">
        <f t="shared" si="11"/>
        <v xml:space="preserve">INSERT INTO attribute_values (attribute_id, tag, name, details) VALUES ((SELECT id FROM attributes WHERE tag = 'att_disease' LIMIT 1),  'att_disease:coeliac',  'Coeliac',  'Coeliac disease'); </v>
      </c>
    </row>
    <row r="167" spans="1:15">
      <c r="A167" s="7" t="b">
        <f>FALSE()</f>
        <v>0</v>
      </c>
      <c r="B167" s="7"/>
      <c r="C167" s="3" t="s">
        <v>982</v>
      </c>
      <c r="D167" s="3" t="s">
        <v>983</v>
      </c>
      <c r="E167" s="3" t="s">
        <v>12</v>
      </c>
      <c r="F167" s="3" t="s">
        <v>73</v>
      </c>
      <c r="G167" s="3" t="s">
        <v>2449</v>
      </c>
      <c r="H167" s="3" t="str">
        <f t="shared" si="8"/>
        <v>att_disease</v>
      </c>
      <c r="I167" s="3" t="s">
        <v>982</v>
      </c>
      <c r="J167" s="3" t="str">
        <f t="shared" si="9"/>
        <v>att_disease:covid19</v>
      </c>
      <c r="K167" s="6" t="s">
        <v>16</v>
      </c>
      <c r="L167" s="3" t="s">
        <v>984</v>
      </c>
      <c r="M167" s="3" t="s">
        <v>12</v>
      </c>
      <c r="N167" s="3" t="str">
        <f t="shared" si="10"/>
        <v>INSERT INTO attributes (parent_id, tag, name, priority, allow_as_filter, allow_for_dataset, allow_for_measurement, allow_for_users, allow_for_qc) VALUES (NULL, 'att_disease',  'Disease',  500,  TRUE, TRUE, TRUE, FALSE, FALSE);</v>
      </c>
      <c r="O167" s="3" t="str">
        <f t="shared" si="11"/>
        <v xml:space="preserve">INSERT INTO attribute_values (attribute_id, tag, name, details) VALUES ((SELECT id FROM attributes WHERE tag = 'att_disease' LIMIT 1),  'att_disease:covid19',  'COVID19',  'coronavirus disease'); </v>
      </c>
    </row>
    <row r="168" spans="1:15">
      <c r="A168" s="7" t="b">
        <f>FALSE()</f>
        <v>0</v>
      </c>
      <c r="B168" s="7"/>
      <c r="C168" s="3" t="s">
        <v>985</v>
      </c>
      <c r="D168" s="3" t="s">
        <v>986</v>
      </c>
      <c r="E168" s="3" t="s">
        <v>12</v>
      </c>
      <c r="F168" s="3" t="s">
        <v>73</v>
      </c>
      <c r="G168" s="3" t="s">
        <v>2449</v>
      </c>
      <c r="H168" s="3" t="str">
        <f t="shared" si="8"/>
        <v>att_disease</v>
      </c>
      <c r="I168" s="3" t="s">
        <v>985</v>
      </c>
      <c r="J168" s="3" t="str">
        <f t="shared" si="9"/>
        <v>att_disease:dementia</v>
      </c>
      <c r="K168" s="6" t="s">
        <v>16</v>
      </c>
      <c r="L168" s="3" t="s">
        <v>986</v>
      </c>
      <c r="M168" s="3" t="s">
        <v>12</v>
      </c>
      <c r="N168" s="3" t="str">
        <f t="shared" si="10"/>
        <v>INSERT INTO attributes (parent_id, tag, name, priority, allow_as_filter, allow_for_dataset, allow_for_measurement, allow_for_users, allow_for_qc) VALUES (NULL, 'att_disease',  'Disease',  500,  TRUE, TRUE, TRUE, FALSE, FALSE);</v>
      </c>
      <c r="O168" s="3" t="str">
        <f t="shared" si="11"/>
        <v xml:space="preserve">INSERT INTO attribute_values (attribute_id, tag, name, details) VALUES ((SELECT id FROM attributes WHERE tag = 'att_disease' LIMIT 1),  'att_disease:dementia',  'Dementia',  'Dementia'); </v>
      </c>
    </row>
    <row r="169" spans="1:15">
      <c r="A169" s="7" t="b">
        <f>FALSE()</f>
        <v>0</v>
      </c>
      <c r="B169" s="7"/>
      <c r="C169" s="3" t="s">
        <v>987</v>
      </c>
      <c r="D169" s="3" t="s">
        <v>988</v>
      </c>
      <c r="E169" s="3" t="s">
        <v>12</v>
      </c>
      <c r="F169" s="3" t="s">
        <v>73</v>
      </c>
      <c r="G169" s="3" t="s">
        <v>2449</v>
      </c>
      <c r="H169" s="3" t="str">
        <f t="shared" si="8"/>
        <v>att_disease</v>
      </c>
      <c r="I169" s="3" t="s">
        <v>987</v>
      </c>
      <c r="J169" s="3" t="str">
        <f t="shared" si="9"/>
        <v>att_disease:demyelinating</v>
      </c>
      <c r="K169" s="6" t="s">
        <v>16</v>
      </c>
      <c r="L169" s="3" t="s">
        <v>989</v>
      </c>
      <c r="M169" s="3" t="s">
        <v>12</v>
      </c>
      <c r="N169" s="3" t="str">
        <f t="shared" si="10"/>
        <v>INSERT INTO attributes (parent_id, tag, name, priority, allow_as_filter, allow_for_dataset, allow_for_measurement, allow_for_users, allow_for_qc) VALUES (NULL, 'att_disease',  'Disease',  500,  TRUE, TRUE, TRUE, FALSE, FALSE);</v>
      </c>
      <c r="O169" s="3" t="str">
        <f t="shared" si="11"/>
        <v xml:space="preserve">INSERT INTO attribute_values (attribute_id, tag, name, details) VALUES ((SELECT id FROM attributes WHERE tag = 'att_disease' LIMIT 1),  'att_disease:demyelinating',  'Demyelinating',  'Demyelinating disease'); </v>
      </c>
    </row>
    <row r="170" spans="1:15">
      <c r="A170" s="7" t="b">
        <f>FALSE()</f>
        <v>0</v>
      </c>
      <c r="B170" s="7"/>
      <c r="C170" s="3" t="s">
        <v>990</v>
      </c>
      <c r="D170" s="3" t="s">
        <v>991</v>
      </c>
      <c r="E170" s="3" t="s">
        <v>12</v>
      </c>
      <c r="F170" s="3" t="s">
        <v>73</v>
      </c>
      <c r="G170" s="3" t="s">
        <v>2449</v>
      </c>
      <c r="H170" s="3" t="str">
        <f t="shared" si="8"/>
        <v>att_disease</v>
      </c>
      <c r="I170" s="3" t="s">
        <v>990</v>
      </c>
      <c r="J170" s="3" t="str">
        <f t="shared" si="9"/>
        <v>att_disease:diabetes</v>
      </c>
      <c r="K170" s="6" t="s">
        <v>16</v>
      </c>
      <c r="L170" s="3" t="s">
        <v>991</v>
      </c>
      <c r="M170" s="3" t="s">
        <v>12</v>
      </c>
      <c r="N170" s="3" t="str">
        <f t="shared" si="10"/>
        <v>INSERT INTO attributes (parent_id, tag, name, priority, allow_as_filter, allow_for_dataset, allow_for_measurement, allow_for_users, allow_for_qc) VALUES (NULL, 'att_disease',  'Disease',  500,  TRUE, TRUE, TRUE, FALSE, FALSE);</v>
      </c>
      <c r="O170" s="3" t="str">
        <f t="shared" si="11"/>
        <v xml:space="preserve">INSERT INTO attribute_values (attribute_id, tag, name, details) VALUES ((SELECT id FROM attributes WHERE tag = 'att_disease' LIMIT 1),  'att_disease:diabetes',  'Diabetes',  'Diabetes'); </v>
      </c>
    </row>
    <row r="171" spans="1:15">
      <c r="A171" s="7" t="b">
        <f>FALSE()</f>
        <v>0</v>
      </c>
      <c r="B171" s="7"/>
      <c r="C171" s="3" t="s">
        <v>992</v>
      </c>
      <c r="D171" s="3" t="s">
        <v>993</v>
      </c>
      <c r="E171" s="3" t="s">
        <v>12</v>
      </c>
      <c r="F171" s="3" t="s">
        <v>73</v>
      </c>
      <c r="G171" s="3" t="s">
        <v>2449</v>
      </c>
      <c r="H171" s="3" t="str">
        <f t="shared" si="8"/>
        <v>att_disease</v>
      </c>
      <c r="I171" s="3" t="s">
        <v>992</v>
      </c>
      <c r="J171" s="3" t="str">
        <f t="shared" si="9"/>
        <v>att_disease:glioblastoma</v>
      </c>
      <c r="K171" s="6" t="s">
        <v>16</v>
      </c>
      <c r="L171" s="3" t="s">
        <v>994</v>
      </c>
      <c r="M171" s="3" t="s">
        <v>12</v>
      </c>
      <c r="N171" s="3" t="str">
        <f t="shared" si="10"/>
        <v>INSERT INTO attributes (parent_id, tag, name, priority, allow_as_filter, allow_for_dataset, allow_for_measurement, allow_for_users, allow_for_qc) VALUES (NULL, 'att_disease',  'Disease',  500,  TRUE, TRUE, TRUE, FALSE, FALSE);</v>
      </c>
      <c r="O171" s="3" t="str">
        <f t="shared" si="11"/>
        <v xml:space="preserve">INSERT INTO attribute_values (attribute_id, tag, name, details) VALUES ((SELECT id FROM attributes WHERE tag = 'att_disease' LIMIT 1),  'att_disease:glioblastoma',  'Glioblastoma',  'Grade IV Astrocytoma'); </v>
      </c>
    </row>
    <row r="172" spans="1:15">
      <c r="A172" s="7" t="b">
        <f>FALSE()</f>
        <v>0</v>
      </c>
      <c r="B172" s="7"/>
      <c r="C172" s="3" t="s">
        <v>995</v>
      </c>
      <c r="D172" s="3" t="s">
        <v>996</v>
      </c>
      <c r="E172" s="3" t="s">
        <v>12</v>
      </c>
      <c r="F172" s="3" t="s">
        <v>73</v>
      </c>
      <c r="G172" s="3" t="s">
        <v>2449</v>
      </c>
      <c r="H172" s="3" t="str">
        <f t="shared" si="8"/>
        <v>att_disease</v>
      </c>
      <c r="I172" s="3" t="s">
        <v>995</v>
      </c>
      <c r="J172" s="3" t="str">
        <f t="shared" si="9"/>
        <v>att_disease:hiv</v>
      </c>
      <c r="K172" s="6" t="s">
        <v>16</v>
      </c>
      <c r="L172" s="3" t="s">
        <v>997</v>
      </c>
      <c r="M172" s="3" t="s">
        <v>12</v>
      </c>
      <c r="N172" s="3" t="str">
        <f t="shared" si="10"/>
        <v>INSERT INTO attributes (parent_id, tag, name, priority, allow_as_filter, allow_for_dataset, allow_for_measurement, allow_for_users, allow_for_qc) VALUES (NULL, 'att_disease',  'Disease',  500,  TRUE, TRUE, TRUE, FALSE, FALSE);</v>
      </c>
      <c r="O172" s="3" t="str">
        <f t="shared" si="11"/>
        <v xml:space="preserve">INSERT INTO attribute_values (attribute_id, tag, name, details) VALUES ((SELECT id FROM attributes WHERE tag = 'att_disease' LIMIT 1),  'att_disease:hiv',  'HIV',  'HIV disease'); </v>
      </c>
    </row>
    <row r="173" spans="1:15">
      <c r="A173" s="7" t="b">
        <f>FALSE()</f>
        <v>0</v>
      </c>
      <c r="B173" s="7"/>
      <c r="C173" s="3" t="s">
        <v>998</v>
      </c>
      <c r="D173" s="3" t="s">
        <v>999</v>
      </c>
      <c r="E173" s="3" t="s">
        <v>12</v>
      </c>
      <c r="F173" s="3" t="s">
        <v>73</v>
      </c>
      <c r="G173" s="3" t="s">
        <v>2449</v>
      </c>
      <c r="H173" s="3" t="str">
        <f t="shared" si="8"/>
        <v>att_disease</v>
      </c>
      <c r="I173" s="3" t="s">
        <v>998</v>
      </c>
      <c r="J173" s="3" t="str">
        <f t="shared" si="9"/>
        <v>att_disease:huntington</v>
      </c>
      <c r="K173" s="6" t="s">
        <v>16</v>
      </c>
      <c r="L173" s="3" t="s">
        <v>1000</v>
      </c>
      <c r="M173" s="3" t="s">
        <v>12</v>
      </c>
      <c r="N173" s="3" t="str">
        <f t="shared" si="10"/>
        <v>INSERT INTO attributes (parent_id, tag, name, priority, allow_as_filter, allow_for_dataset, allow_for_measurement, allow_for_users, allow_for_qc) VALUES (NULL, 'att_disease',  'Disease',  500,  TRUE, TRUE, TRUE, FALSE, FALSE);</v>
      </c>
      <c r="O173" s="3" t="str">
        <f t="shared" si="11"/>
        <v xml:space="preserve">INSERT INTO attribute_values (attribute_id, tag, name, details) VALUES ((SELECT id FROM attributes WHERE tag = 'att_disease' LIMIT 1),  'att_disease:huntington',  'Huntington',  'Huntington's disease'); </v>
      </c>
    </row>
    <row r="174" spans="1:15">
      <c r="A174" s="7" t="b">
        <f>FALSE()</f>
        <v>0</v>
      </c>
      <c r="B174" s="7"/>
      <c r="C174" s="3" t="s">
        <v>1001</v>
      </c>
      <c r="D174" s="3" t="s">
        <v>1002</v>
      </c>
      <c r="E174" s="3" t="s">
        <v>12</v>
      </c>
      <c r="F174" s="3" t="s">
        <v>73</v>
      </c>
      <c r="G174" s="3" t="s">
        <v>2449</v>
      </c>
      <c r="H174" s="3" t="str">
        <f t="shared" si="8"/>
        <v>att_disease</v>
      </c>
      <c r="I174" s="3" t="s">
        <v>1001</v>
      </c>
      <c r="J174" s="3" t="str">
        <f t="shared" si="9"/>
        <v>att_disease:ibd</v>
      </c>
      <c r="K174" s="6" t="s">
        <v>16</v>
      </c>
      <c r="L174" s="3" t="s">
        <v>1003</v>
      </c>
      <c r="M174" s="3" t="s">
        <v>12</v>
      </c>
      <c r="N174" s="3" t="str">
        <f t="shared" si="10"/>
        <v>INSERT INTO attributes (parent_id, tag, name, priority, allow_as_filter, allow_for_dataset, allow_for_measurement, allow_for_users, allow_for_qc) VALUES (NULL, 'att_disease',  'Disease',  500,  TRUE, TRUE, TRUE, FALSE, FALSE);</v>
      </c>
      <c r="O174" s="3" t="str">
        <f t="shared" si="11"/>
        <v xml:space="preserve">INSERT INTO attribute_values (attribute_id, tag, name, details) VALUES ((SELECT id FROM attributes WHERE tag = 'att_disease' LIMIT 1),  'att_disease:ibd',  'IBD',  'Inflammatory bowel disease'); </v>
      </c>
    </row>
    <row r="175" spans="1:15">
      <c r="A175" s="7" t="b">
        <f>FALSE()</f>
        <v>0</v>
      </c>
      <c r="B175" s="7"/>
      <c r="C175" s="3" t="s">
        <v>1004</v>
      </c>
      <c r="D175" s="3" t="s">
        <v>1005</v>
      </c>
      <c r="E175" s="3" t="s">
        <v>12</v>
      </c>
      <c r="F175" s="3" t="s">
        <v>73</v>
      </c>
      <c r="G175" s="3" t="s">
        <v>2449</v>
      </c>
      <c r="H175" s="3" t="str">
        <f t="shared" si="8"/>
        <v>att_disease</v>
      </c>
      <c r="I175" s="3" t="s">
        <v>1004</v>
      </c>
      <c r="J175" s="3" t="str">
        <f t="shared" si="9"/>
        <v>att_disease:infection</v>
      </c>
      <c r="K175" s="6" t="s">
        <v>16</v>
      </c>
      <c r="L175" s="3" t="s">
        <v>1006</v>
      </c>
      <c r="M175" s="3" t="s">
        <v>12</v>
      </c>
      <c r="N175" s="3" t="str">
        <f t="shared" si="10"/>
        <v>INSERT INTO attributes (parent_id, tag, name, priority, allow_as_filter, allow_for_dataset, allow_for_measurement, allow_for_users, allow_for_qc) VALUES (NULL, 'att_disease',  'Disease',  500,  TRUE, TRUE, TRUE, FALSE, FALSE);</v>
      </c>
      <c r="O175" s="3"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c r="A176" s="7" t="b">
        <f>FALSE()</f>
        <v>0</v>
      </c>
      <c r="B176" s="7"/>
      <c r="C176" s="3" t="s">
        <v>1007</v>
      </c>
      <c r="D176" s="3" t="s">
        <v>1008</v>
      </c>
      <c r="E176" s="3" t="s">
        <v>12</v>
      </c>
      <c r="F176" s="3" t="s">
        <v>73</v>
      </c>
      <c r="G176" s="3" t="s">
        <v>2449</v>
      </c>
      <c r="H176" s="3" t="str">
        <f t="shared" si="8"/>
        <v>att_disease</v>
      </c>
      <c r="I176" s="3" t="s">
        <v>1007</v>
      </c>
      <c r="J176" s="3" t="str">
        <f t="shared" si="9"/>
        <v>att_disease:influenza</v>
      </c>
      <c r="K176" s="6" t="s">
        <v>16</v>
      </c>
      <c r="L176" s="3" t="s">
        <v>1009</v>
      </c>
      <c r="M176" s="3" t="s">
        <v>12</v>
      </c>
      <c r="N176" s="3" t="str">
        <f t="shared" si="10"/>
        <v>INSERT INTO attributes (parent_id, tag, name, priority, allow_as_filter, allow_for_dataset, allow_for_measurement, allow_for_users, allow_for_qc) VALUES (NULL, 'att_disease',  'Disease',  500,  TRUE, TRUE, TRUE, FALSE, FALSE);</v>
      </c>
      <c r="O176" s="3"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c r="A177" s="7" t="b">
        <f>FALSE()</f>
        <v>0</v>
      </c>
      <c r="B177" s="7"/>
      <c r="C177" s="3" t="s">
        <v>1010</v>
      </c>
      <c r="D177" s="3" t="s">
        <v>552</v>
      </c>
      <c r="E177" s="3" t="s">
        <v>12</v>
      </c>
      <c r="F177" s="3" t="s">
        <v>73</v>
      </c>
      <c r="G177" s="3" t="s">
        <v>2449</v>
      </c>
      <c r="H177" s="3" t="str">
        <f t="shared" si="8"/>
        <v>att_disease</v>
      </c>
      <c r="I177" s="3" t="s">
        <v>1010</v>
      </c>
      <c r="J177" s="3" t="str">
        <f t="shared" si="9"/>
        <v>att_disease:leukemia</v>
      </c>
      <c r="K177" s="6" t="s">
        <v>16</v>
      </c>
      <c r="L177" s="3" t="s">
        <v>1011</v>
      </c>
      <c r="M177" s="3" t="s">
        <v>12</v>
      </c>
      <c r="N177" s="3" t="str">
        <f t="shared" si="10"/>
        <v>INSERT INTO attributes (parent_id, tag, name, priority, allow_as_filter, allow_for_dataset, allow_for_measurement, allow_for_users, allow_for_qc) VALUES (NULL, 'att_disease',  'Disease',  500,  TRUE, TRUE, TRUE, FALSE, FALSE);</v>
      </c>
      <c r="O177" s="3" t="str">
        <f t="shared" si="11"/>
        <v xml:space="preserve">INSERT INTO attribute_values (attribute_id, tag, name, details) VALUES ((SELECT id FROM attributes WHERE tag = 'att_disease' LIMIT 1),  'att_disease:leukemia',  'Leukemia',  'Cancer of the body's blood-forming tissues'); </v>
      </c>
    </row>
    <row r="178" spans="1:15">
      <c r="A178" s="7" t="b">
        <f>FALSE()</f>
        <v>0</v>
      </c>
      <c r="B178" s="7"/>
      <c r="C178" s="3" t="s">
        <v>1012</v>
      </c>
      <c r="D178" s="3" t="s">
        <v>1013</v>
      </c>
      <c r="E178" s="3" t="s">
        <v>12</v>
      </c>
      <c r="F178" s="3" t="s">
        <v>73</v>
      </c>
      <c r="G178" s="3" t="s">
        <v>2449</v>
      </c>
      <c r="H178" s="3" t="str">
        <f t="shared" si="8"/>
        <v>att_disease</v>
      </c>
      <c r="I178" s="3" t="s">
        <v>1012</v>
      </c>
      <c r="J178" s="3" t="str">
        <f t="shared" si="9"/>
        <v>att_disease:lymphoma</v>
      </c>
      <c r="K178" s="6" t="s">
        <v>16</v>
      </c>
      <c r="L178" s="3" t="s">
        <v>1014</v>
      </c>
      <c r="M178" s="3" t="s">
        <v>12</v>
      </c>
      <c r="N178" s="3" t="str">
        <f t="shared" si="10"/>
        <v>INSERT INTO attributes (parent_id, tag, name, priority, allow_as_filter, allow_for_dataset, allow_for_measurement, allow_for_users, allow_for_qc) VALUES (NULL, 'att_disease',  'Disease',  500,  TRUE, TRUE, TRUE, FALSE, FALSE);</v>
      </c>
      <c r="O178" s="3" t="str">
        <f t="shared" si="11"/>
        <v xml:space="preserve">INSERT INTO attribute_values (attribute_id, tag, name, details) VALUES ((SELECT id FROM attributes WHERE tag = 'att_disease' LIMIT 1),  'att_disease:lymphoma',  'Lymphoma',  'Cancer that begins in cells of the lymph system'); </v>
      </c>
    </row>
    <row r="179" spans="1:15">
      <c r="A179" s="7" t="b">
        <f>FALSE()</f>
        <v>0</v>
      </c>
      <c r="B179" s="7"/>
      <c r="C179" s="3" t="s">
        <v>1015</v>
      </c>
      <c r="D179" s="3" t="s">
        <v>1016</v>
      </c>
      <c r="E179" s="3" t="s">
        <v>12</v>
      </c>
      <c r="F179" s="3" t="s">
        <v>73</v>
      </c>
      <c r="G179" s="3" t="s">
        <v>2449</v>
      </c>
      <c r="H179" s="3" t="str">
        <f t="shared" si="8"/>
        <v>att_disease</v>
      </c>
      <c r="I179" s="3" t="s">
        <v>1015</v>
      </c>
      <c r="J179" s="3" t="str">
        <f t="shared" si="9"/>
        <v>att_disease:malaria</v>
      </c>
      <c r="K179" s="6" t="s">
        <v>16</v>
      </c>
      <c r="L179" s="3" t="s">
        <v>1017</v>
      </c>
      <c r="M179" s="3" t="s">
        <v>12</v>
      </c>
      <c r="N179" s="3" t="str">
        <f t="shared" si="10"/>
        <v>INSERT INTO attributes (parent_id, tag, name, priority, allow_as_filter, allow_for_dataset, allow_for_measurement, allow_for_users, allow_for_qc) VALUES (NULL, 'att_disease',  'Disease',  500,  TRUE, TRUE, TRUE, FALSE, FALSE);</v>
      </c>
      <c r="O179" s="3" t="str">
        <f t="shared" si="11"/>
        <v xml:space="preserve">INSERT INTO attribute_values (attribute_id, tag, name, details) VALUES ((SELECT id FROM attributes WHERE tag = 'att_disease' LIMIT 1),  'att_disease:malaria',  'Malaria',  'Fatal disease caused by a parasite'); </v>
      </c>
    </row>
    <row r="180" spans="1:15">
      <c r="A180" s="7" t="b">
        <f>FALSE()</f>
        <v>0</v>
      </c>
      <c r="B180" s="7"/>
      <c r="C180" s="3" t="s">
        <v>20</v>
      </c>
      <c r="D180" s="3" t="s">
        <v>1018</v>
      </c>
      <c r="E180" s="3" t="s">
        <v>12</v>
      </c>
      <c r="F180" s="3" t="s">
        <v>73</v>
      </c>
      <c r="G180" s="3" t="s">
        <v>2449</v>
      </c>
      <c r="H180" s="3" t="str">
        <f t="shared" si="8"/>
        <v>att_disease</v>
      </c>
      <c r="I180" s="3" t="s">
        <v>20</v>
      </c>
      <c r="J180" s="3" t="str">
        <f t="shared" si="9"/>
        <v>att_disease:ms</v>
      </c>
      <c r="K180" s="6" t="s">
        <v>16</v>
      </c>
      <c r="L180" s="3" t="s">
        <v>1019</v>
      </c>
      <c r="M180" s="3" t="s">
        <v>12</v>
      </c>
      <c r="N180" s="3" t="str">
        <f t="shared" si="10"/>
        <v>INSERT INTO attributes (parent_id, tag, name, priority, allow_as_filter, allow_for_dataset, allow_for_measurement, allow_for_users, allow_for_qc) VALUES (NULL, 'att_disease',  'Disease',  500,  TRUE, TRUE, TRUE, FALSE, FALSE);</v>
      </c>
      <c r="O180" s="3" t="str">
        <f t="shared" si="11"/>
        <v xml:space="preserve">INSERT INTO attribute_values (attribute_id, tag, name, details) VALUES ((SELECT id FROM attributes WHERE tag = 'att_disease' LIMIT 1),  'att_disease:ms',  'MS',  'Multiple sclerosis'); </v>
      </c>
    </row>
    <row r="181" spans="1:15">
      <c r="A181" s="7" t="b">
        <f>FALSE()</f>
        <v>0</v>
      </c>
      <c r="B181" s="7"/>
      <c r="C181" s="3" t="s">
        <v>1020</v>
      </c>
      <c r="D181" s="3" t="s">
        <v>1021</v>
      </c>
      <c r="E181" s="3" t="s">
        <v>12</v>
      </c>
      <c r="F181" s="3" t="s">
        <v>73</v>
      </c>
      <c r="G181" s="3" t="s">
        <v>2449</v>
      </c>
      <c r="H181" s="3" t="str">
        <f t="shared" si="8"/>
        <v>att_disease</v>
      </c>
      <c r="I181" s="3" t="s">
        <v>1020</v>
      </c>
      <c r="J181" s="3" t="str">
        <f t="shared" si="9"/>
        <v>att_disease:msa</v>
      </c>
      <c r="K181" s="6" t="s">
        <v>16</v>
      </c>
      <c r="L181" s="3" t="s">
        <v>1022</v>
      </c>
      <c r="M181" s="3" t="s">
        <v>12</v>
      </c>
      <c r="N181" s="3" t="str">
        <f t="shared" si="10"/>
        <v>INSERT INTO attributes (parent_id, tag, name, priority, allow_as_filter, allow_for_dataset, allow_for_measurement, allow_for_users, allow_for_qc) VALUES (NULL, 'att_disease',  'Disease',  500,  TRUE, TRUE, TRUE, FALSE, FALSE);</v>
      </c>
      <c r="O181" s="3" t="str">
        <f t="shared" si="11"/>
        <v xml:space="preserve">INSERT INTO attribute_values (attribute_id, tag, name, details) VALUES ((SELECT id FROM attributes WHERE tag = 'att_disease' LIMIT 1),  'att_disease:msa',  'MSA',  'Multiple system atrophy'); </v>
      </c>
    </row>
    <row r="182" spans="1:15">
      <c r="A182" s="7" t="b">
        <f>FALSE()</f>
        <v>0</v>
      </c>
      <c r="B182" s="7"/>
      <c r="C182" s="3" t="s">
        <v>1023</v>
      </c>
      <c r="D182" s="3" t="s">
        <v>1024</v>
      </c>
      <c r="E182" s="3" t="s">
        <v>12</v>
      </c>
      <c r="F182" s="3" t="s">
        <v>73</v>
      </c>
      <c r="G182" s="3" t="s">
        <v>2449</v>
      </c>
      <c r="H182" s="3" t="str">
        <f t="shared" si="8"/>
        <v>att_disease</v>
      </c>
      <c r="I182" s="3" t="s">
        <v>1023</v>
      </c>
      <c r="J182" s="3" t="str">
        <f t="shared" si="9"/>
        <v>att_disease:neurodegenerative</v>
      </c>
      <c r="K182" s="6" t="s">
        <v>16</v>
      </c>
      <c r="L182" s="3" t="s">
        <v>1025</v>
      </c>
      <c r="M182" s="3" t="s">
        <v>12</v>
      </c>
      <c r="N182" s="3" t="str">
        <f t="shared" si="10"/>
        <v>INSERT INTO attributes (parent_id, tag, name, priority, allow_as_filter, allow_for_dataset, allow_for_measurement, allow_for_users, allow_for_qc) VALUES (NULL, 'att_disease',  'Disease',  500,  TRUE, TRUE, TRUE, FALSE, FALSE);</v>
      </c>
      <c r="O182" s="3" t="str">
        <f t="shared" si="11"/>
        <v xml:space="preserve">INSERT INTO attribute_values (attribute_id, tag, name, details) VALUES ((SELECT id FROM attributes WHERE tag = 'att_disease' LIMIT 1),  'att_disease:neurodegenerative',  'Neurodegenerative',  'Neurodegenerative disease'); </v>
      </c>
    </row>
    <row r="183" spans="1:15">
      <c r="A183" s="7" t="b">
        <f>FALSE()</f>
        <v>0</v>
      </c>
      <c r="B183" s="7"/>
      <c r="C183" s="3" t="s">
        <v>1026</v>
      </c>
      <c r="D183" s="3" t="s">
        <v>1027</v>
      </c>
      <c r="E183" s="3" t="s">
        <v>12</v>
      </c>
      <c r="F183" s="3" t="s">
        <v>73</v>
      </c>
      <c r="G183" s="3" t="s">
        <v>2449</v>
      </c>
      <c r="H183" s="3" t="str">
        <f t="shared" si="8"/>
        <v>att_disease</v>
      </c>
      <c r="I183" s="3" t="s">
        <v>1026</v>
      </c>
      <c r="J183" s="3" t="str">
        <f t="shared" si="9"/>
        <v>att_disease:parkinson</v>
      </c>
      <c r="K183" s="6" t="s">
        <v>16</v>
      </c>
      <c r="L183" s="3" t="s">
        <v>1028</v>
      </c>
      <c r="M183" s="3" t="s">
        <v>12</v>
      </c>
      <c r="N183" s="3" t="str">
        <f t="shared" si="10"/>
        <v>INSERT INTO attributes (parent_id, tag, name, priority, allow_as_filter, allow_for_dataset, allow_for_measurement, allow_for_users, allow_for_qc) VALUES (NULL, 'att_disease',  'Disease',  500,  TRUE, TRUE, TRUE, FALSE, FALSE);</v>
      </c>
      <c r="O183" s="3" t="str">
        <f t="shared" si="11"/>
        <v xml:space="preserve">INSERT INTO attribute_values (attribute_id, tag, name, details) VALUES ((SELECT id FROM attributes WHERE tag = 'att_disease' LIMIT 1),  'att_disease:parkinson',  'Parkinson',  'Parkinson's disease'); </v>
      </c>
    </row>
    <row r="184" spans="1:15">
      <c r="A184" s="7" t="b">
        <f>FALSE()</f>
        <v>0</v>
      </c>
      <c r="B184" s="7"/>
      <c r="C184" s="3" t="s">
        <v>1029</v>
      </c>
      <c r="D184" s="3" t="s">
        <v>1030</v>
      </c>
      <c r="E184" s="3" t="s">
        <v>12</v>
      </c>
      <c r="F184" s="3" t="s">
        <v>73</v>
      </c>
      <c r="G184" s="3" t="s">
        <v>2449</v>
      </c>
      <c r="H184" s="3" t="str">
        <f t="shared" si="8"/>
        <v>att_disease</v>
      </c>
      <c r="I184" s="3" t="s">
        <v>1029</v>
      </c>
      <c r="J184" s="3" t="str">
        <f t="shared" si="9"/>
        <v>att_disease:prion</v>
      </c>
      <c r="K184" s="6" t="s">
        <v>16</v>
      </c>
      <c r="L184" s="3" t="s">
        <v>1031</v>
      </c>
      <c r="M184" s="3" t="s">
        <v>12</v>
      </c>
      <c r="N184" s="3" t="str">
        <f t="shared" si="10"/>
        <v>INSERT INTO attributes (parent_id, tag, name, priority, allow_as_filter, allow_for_dataset, allow_for_measurement, allow_for_users, allow_for_qc) VALUES (NULL, 'att_disease',  'Disease',  500,  TRUE, TRUE, TRUE, FALSE, FALSE);</v>
      </c>
      <c r="O184" s="3" t="str">
        <f t="shared" si="11"/>
        <v xml:space="preserve">INSERT INTO attribute_values (attribute_id, tag, name, details) VALUES ((SELECT id FROM attributes WHERE tag = 'att_disease' LIMIT 1),  'att_disease:prion',  'Prion',  'Prion disease'); </v>
      </c>
    </row>
    <row r="185" spans="1:15">
      <c r="A185" s="7" t="b">
        <f>FALSE()</f>
        <v>0</v>
      </c>
      <c r="B185" s="7"/>
      <c r="C185" s="3" t="s">
        <v>1032</v>
      </c>
      <c r="D185" s="3" t="s">
        <v>1033</v>
      </c>
      <c r="E185" s="3" t="s">
        <v>12</v>
      </c>
      <c r="F185" s="3" t="s">
        <v>73</v>
      </c>
      <c r="G185" s="3" t="s">
        <v>2449</v>
      </c>
      <c r="H185" s="3" t="str">
        <f t="shared" si="8"/>
        <v>att_disease</v>
      </c>
      <c r="I185" s="3" t="s">
        <v>1032</v>
      </c>
      <c r="J185" s="3" t="str">
        <f t="shared" si="9"/>
        <v>att_disease:rheumatoid</v>
      </c>
      <c r="K185" s="6" t="s">
        <v>16</v>
      </c>
      <c r="L185" s="3" t="s">
        <v>1034</v>
      </c>
      <c r="M185" s="3" t="s">
        <v>12</v>
      </c>
      <c r="N185" s="3" t="str">
        <f t="shared" si="10"/>
        <v>INSERT INTO attributes (parent_id, tag, name, priority, allow_as_filter, allow_for_dataset, allow_for_measurement, allow_for_users, allow_for_qc) VALUES (NULL, 'att_disease',  'Disease',  500,  TRUE, TRUE, TRUE, FALSE, FALSE);</v>
      </c>
      <c r="O185" s="3" t="str">
        <f t="shared" si="11"/>
        <v xml:space="preserve">INSERT INTO attribute_values (attribute_id, tag, name, details) VALUES ((SELECT id FROM attributes WHERE tag = 'att_disease' LIMIT 1),  'att_disease:rheumatoid',  'Rheumatoid',  'Rheumatoid arthritis'); </v>
      </c>
    </row>
    <row r="186" spans="1:15">
      <c r="A186" s="7" t="b">
        <f>FALSE()</f>
        <v>0</v>
      </c>
      <c r="B186" s="7"/>
      <c r="C186" s="3" t="s">
        <v>1035</v>
      </c>
      <c r="D186" s="3" t="s">
        <v>1036</v>
      </c>
      <c r="E186" s="3" t="s">
        <v>12</v>
      </c>
      <c r="F186" s="3" t="s">
        <v>73</v>
      </c>
      <c r="G186" s="3" t="s">
        <v>2449</v>
      </c>
      <c r="H186" s="3" t="str">
        <f t="shared" si="8"/>
        <v>att_disease</v>
      </c>
      <c r="I186" s="3" t="s">
        <v>1035</v>
      </c>
      <c r="J186" s="3" t="str">
        <f t="shared" si="9"/>
        <v>att_disease:stress</v>
      </c>
      <c r="K186" s="6" t="s">
        <v>16</v>
      </c>
      <c r="L186" s="3" t="s">
        <v>1037</v>
      </c>
      <c r="M186" s="3" t="s">
        <v>12</v>
      </c>
      <c r="N186" s="3" t="str">
        <f t="shared" si="10"/>
        <v>INSERT INTO attributes (parent_id, tag, name, priority, allow_as_filter, allow_for_dataset, allow_for_measurement, allow_for_users, allow_for_qc) VALUES (NULL, 'att_disease',  'Disease',  500,  TRUE, TRUE, TRUE, FALSE, FALSE);</v>
      </c>
      <c r="O186" s="3" t="str">
        <f t="shared" si="11"/>
        <v xml:space="preserve">INSERT INTO attribute_values (attribute_id, tag, name, details) VALUES ((SELECT id FROM attributes WHERE tag = 'att_disease' LIMIT 1),  'att_disease:stress',  'Stress',  'How one reacts when feeling under pressure or threatened'); </v>
      </c>
    </row>
    <row r="187" spans="1:15">
      <c r="A187" s="7" t="b">
        <f>FALSE()</f>
        <v>0</v>
      </c>
      <c r="B187" s="7"/>
      <c r="C187" s="3" t="s">
        <v>1038</v>
      </c>
      <c r="D187" s="3" t="s">
        <v>1039</v>
      </c>
      <c r="E187" s="3" t="s">
        <v>12</v>
      </c>
      <c r="F187" s="3" t="s">
        <v>73</v>
      </c>
      <c r="G187" s="3" t="s">
        <v>2449</v>
      </c>
      <c r="H187" s="3" t="str">
        <f t="shared" si="8"/>
        <v>att_disease</v>
      </c>
      <c r="I187" s="3" t="s">
        <v>1038</v>
      </c>
      <c r="J187" s="3" t="str">
        <f t="shared" si="9"/>
        <v>att_disease:stroke</v>
      </c>
      <c r="K187" s="6" t="s">
        <v>16</v>
      </c>
      <c r="L187" s="3" t="s">
        <v>1040</v>
      </c>
      <c r="M187" s="3" t="s">
        <v>12</v>
      </c>
      <c r="N187" s="3" t="str">
        <f t="shared" si="10"/>
        <v>INSERT INTO attributes (parent_id, tag, name, priority, allow_as_filter, allow_for_dataset, allow_for_measurement, allow_for_users, allow_for_qc) VALUES (NULL, 'att_disease',  'Disease',  500,  TRUE, TRUE, TRUE, FALSE, FALSE);</v>
      </c>
      <c r="O187" s="3" t="str">
        <f t="shared" si="11"/>
        <v xml:space="preserve">INSERT INTO attribute_values (attribute_id, tag, name, details) VALUES ((SELECT id FROM attributes WHERE tag = 'att_disease' LIMIT 1),  'att_disease:stroke',  'Stroke',  'Disease that affects the arteries leading to and within the brain'); </v>
      </c>
    </row>
    <row r="188" spans="1:15">
      <c r="A188" s="7" t="b">
        <f>FALSE()</f>
        <v>0</v>
      </c>
      <c r="B188" s="7"/>
      <c r="C188" s="3" t="s">
        <v>1041</v>
      </c>
      <c r="D188" s="3" t="s">
        <v>1042</v>
      </c>
      <c r="E188" s="3" t="s">
        <v>12</v>
      </c>
      <c r="F188" s="3" t="s">
        <v>73</v>
      </c>
      <c r="G188" s="3" t="s">
        <v>2449</v>
      </c>
      <c r="H188" s="3" t="str">
        <f t="shared" si="8"/>
        <v>att_disease</v>
      </c>
      <c r="I188" s="3" t="s">
        <v>1041</v>
      </c>
      <c r="J188" s="3" t="str">
        <f t="shared" si="9"/>
        <v>att_disease:tuberculosis</v>
      </c>
      <c r="K188" s="6" t="s">
        <v>16</v>
      </c>
      <c r="L188" s="3" t="s">
        <v>1043</v>
      </c>
      <c r="M188" s="3" t="s">
        <v>12</v>
      </c>
      <c r="N188" s="3" t="str">
        <f t="shared" si="10"/>
        <v>INSERT INTO attributes (parent_id, tag, name, priority, allow_as_filter, allow_for_dataset, allow_for_measurement, allow_for_users, allow_for_qc) VALUES (NULL, 'att_disease',  'Disease',  500,  TRUE, TRUE, TRUE, FALSE, FALSE);</v>
      </c>
      <c r="O188" s="3"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c r="A189" s="6" t="s">
        <v>16</v>
      </c>
      <c r="B189" s="6"/>
      <c r="C189" s="3" t="s">
        <v>1050</v>
      </c>
      <c r="D189" s="3" t="s">
        <v>1051</v>
      </c>
      <c r="E189" s="3" t="s">
        <v>12</v>
      </c>
      <c r="F189" s="3" t="s">
        <v>77</v>
      </c>
      <c r="G189" s="3" t="s">
        <v>2450</v>
      </c>
      <c r="H189" s="3" t="str">
        <f t="shared" si="8"/>
        <v>att_experiment</v>
      </c>
      <c r="I189" s="3" t="s">
        <v>1050</v>
      </c>
      <c r="J189" s="3" t="str">
        <f t="shared" si="9"/>
        <v>att_experiment:acetylome</v>
      </c>
      <c r="K189" s="6" t="s">
        <v>16</v>
      </c>
      <c r="L189" s="3" t="s">
        <v>1051</v>
      </c>
      <c r="M189" s="3" t="s">
        <v>12</v>
      </c>
      <c r="N189" s="3" t="str">
        <f t="shared" si="10"/>
        <v>INSERT INTO attributes (parent_id, tag, name, priority, allow_as_filter, allow_for_dataset, allow_for_measurement, allow_for_users, allow_for_qc) VALUES (NULL, 'att_experiment',  'Experiment Type',  500,  TRUE, TRUE, TRUE, FALSE, FALSE);</v>
      </c>
      <c r="O189" s="3" t="str">
        <f t="shared" si="11"/>
        <v xml:space="preserve">INSERT INTO attribute_values (attribute_id, tag, name, details) VALUES ((SELECT id FROM attributes WHERE tag = 'att_experiment' LIMIT 1),  'att_experiment:acetylome',  'Acetylome',  'Acetylome'); </v>
      </c>
    </row>
    <row r="190" spans="1:15">
      <c r="A190" s="6" t="s">
        <v>16</v>
      </c>
      <c r="B190" s="6"/>
      <c r="C190" s="3" t="s">
        <v>1052</v>
      </c>
      <c r="D190" s="3" t="s">
        <v>1053</v>
      </c>
      <c r="E190" s="3" t="s">
        <v>12</v>
      </c>
      <c r="F190" s="3" t="s">
        <v>77</v>
      </c>
      <c r="G190" s="3" t="s">
        <v>2450</v>
      </c>
      <c r="H190" s="3" t="str">
        <f t="shared" si="8"/>
        <v>att_experiment</v>
      </c>
      <c r="I190" s="3" t="s">
        <v>1052</v>
      </c>
      <c r="J190" s="3" t="str">
        <f t="shared" si="9"/>
        <v>att_experiment:dvp</v>
      </c>
      <c r="K190" s="6" t="s">
        <v>16</v>
      </c>
      <c r="L190" s="3" t="s">
        <v>1054</v>
      </c>
      <c r="M190" s="3" t="s">
        <v>12</v>
      </c>
      <c r="N190" s="3" t="str">
        <f t="shared" si="10"/>
        <v>INSERT INTO attributes (parent_id, tag, name, priority, allow_as_filter, allow_for_dataset, allow_for_measurement, allow_for_users, allow_for_qc) VALUES (NULL, 'att_experiment',  'Experiment Type',  500,  TRUE, TRUE, TRUE, FALSE, FALSE);</v>
      </c>
      <c r="O190" s="3" t="str">
        <f t="shared" si="11"/>
        <v xml:space="preserve">INSERT INTO attribute_values (attribute_id, tag, name, details) VALUES ((SELECT id FROM attributes WHERE tag = 'att_experiment' LIMIT 1),  'att_experiment:dvp',  'DVP',  'Fractionated Samples (DVP)'); </v>
      </c>
    </row>
    <row r="191" spans="1:15">
      <c r="A191" s="6" t="s">
        <v>16</v>
      </c>
      <c r="B191" s="6"/>
      <c r="C191" s="3" t="s">
        <v>1055</v>
      </c>
      <c r="D191" s="3" t="s">
        <v>1057</v>
      </c>
      <c r="E191" s="3" t="s">
        <v>12</v>
      </c>
      <c r="F191" s="3" t="s">
        <v>77</v>
      </c>
      <c r="G191" s="3" t="s">
        <v>2450</v>
      </c>
      <c r="H191" s="3" t="str">
        <f t="shared" si="8"/>
        <v>att_experiment</v>
      </c>
      <c r="I191" s="3" t="s">
        <v>1055</v>
      </c>
      <c r="J191" s="3" t="str">
        <f t="shared" si="9"/>
        <v>att_experiment:expression_proteome</v>
      </c>
      <c r="K191" s="6" t="s">
        <v>16</v>
      </c>
      <c r="L191" s="3" t="s">
        <v>1057</v>
      </c>
      <c r="M191" s="3" t="s">
        <v>12</v>
      </c>
      <c r="N191" s="3" t="str">
        <f t="shared" si="10"/>
        <v>INSERT INTO attributes (parent_id, tag, name, priority, allow_as_filter, allow_for_dataset, allow_for_measurement, allow_for_users, allow_for_qc) VALUES (NULL, 'att_experiment',  'Experiment Type',  500,  TRUE, TRUE, TRUE, FALSE, FALSE);</v>
      </c>
      <c r="O191" s="3" t="str">
        <f t="shared" si="11"/>
        <v xml:space="preserve">INSERT INTO attribute_values (attribute_id, tag, name, details) VALUES ((SELECT id FROM attributes WHERE tag = 'att_experiment' LIMIT 1),  'att_experiment:expression_proteome',  'Expression Proteome',  'Expression Proteome'); </v>
      </c>
    </row>
    <row r="192" spans="1:15">
      <c r="A192" s="6" t="s">
        <v>16</v>
      </c>
      <c r="B192" s="6"/>
      <c r="C192" s="3" t="s">
        <v>1058</v>
      </c>
      <c r="D192" s="3" t="s">
        <v>1059</v>
      </c>
      <c r="E192" s="3" t="s">
        <v>12</v>
      </c>
      <c r="F192" s="3" t="s">
        <v>77</v>
      </c>
      <c r="G192" s="3" t="s">
        <v>2450</v>
      </c>
      <c r="H192" s="3" t="str">
        <f t="shared" si="8"/>
        <v>att_experiment</v>
      </c>
      <c r="I192" s="3" t="s">
        <v>1058</v>
      </c>
      <c r="J192" s="3" t="str">
        <f t="shared" si="9"/>
        <v>att_experiment:interaction</v>
      </c>
      <c r="K192" s="6" t="s">
        <v>16</v>
      </c>
      <c r="L192" s="3" t="s">
        <v>1059</v>
      </c>
      <c r="M192" s="3" t="s">
        <v>12</v>
      </c>
      <c r="N192" s="3" t="str">
        <f t="shared" si="10"/>
        <v>INSERT INTO attributes (parent_id, tag, name, priority, allow_as_filter, allow_for_dataset, allow_for_measurement, allow_for_users, allow_for_qc) VALUES (NULL, 'att_experiment',  'Experiment Type',  500,  TRUE, TRUE, TRUE, FALSE, FALSE);</v>
      </c>
      <c r="O192" s="3" t="str">
        <f t="shared" si="11"/>
        <v xml:space="preserve">INSERT INTO attribute_values (attribute_id, tag, name, details) VALUES ((SELECT id FROM attributes WHERE tag = 'att_experiment' LIMIT 1),  'att_experiment:interaction',  'Interaction Proteome',  'Interaction Proteome'); </v>
      </c>
    </row>
    <row r="193" spans="1:15">
      <c r="A193" s="6" t="s">
        <v>16</v>
      </c>
      <c r="B193" s="6"/>
      <c r="C193" s="3" t="s">
        <v>1060</v>
      </c>
      <c r="D193" s="3" t="s">
        <v>1061</v>
      </c>
      <c r="E193" s="3" t="s">
        <v>12</v>
      </c>
      <c r="F193" s="3" t="s">
        <v>77</v>
      </c>
      <c r="G193" s="3" t="s">
        <v>2450</v>
      </c>
      <c r="H193" s="3" t="str">
        <f t="shared" si="8"/>
        <v>att_experiment</v>
      </c>
      <c r="I193" s="3" t="s">
        <v>1060</v>
      </c>
      <c r="J193" s="3" t="str">
        <f t="shared" si="9"/>
        <v>att_experiment:metrs</v>
      </c>
      <c r="K193" s="6" t="s">
        <v>16</v>
      </c>
      <c r="L193" s="3" t="s">
        <v>1061</v>
      </c>
      <c r="M193" s="3" t="s">
        <v>12</v>
      </c>
      <c r="N193" s="3" t="str">
        <f t="shared" si="10"/>
        <v>INSERT INTO attributes (parent_id, tag, name, priority, allow_as_filter, allow_for_dataset, allow_for_measurement, allow_for_users, allow_for_qc) VALUES (NULL, 'att_experiment',  'Experiment Type',  500,  TRUE, TRUE, TRUE, FALSE, FALSE);</v>
      </c>
      <c r="O193" s="3" t="str">
        <f t="shared" si="11"/>
        <v xml:space="preserve">INSERT INTO attribute_values (attribute_id, tag, name, details) VALUES ((SELECT id FROM attributes WHERE tag = 'att_experiment' LIMIT 1),  'att_experiment:metrs',  'MetRS',  'MetRS'); </v>
      </c>
    </row>
    <row r="194" spans="1:15">
      <c r="A194" s="6" t="s">
        <v>16</v>
      </c>
      <c r="B194" s="6"/>
      <c r="C194" s="3" t="s">
        <v>2451</v>
      </c>
      <c r="D194" s="3" t="s">
        <v>1064</v>
      </c>
      <c r="E194" s="3" t="s">
        <v>12</v>
      </c>
      <c r="F194" s="3" t="s">
        <v>77</v>
      </c>
      <c r="G194" s="3" t="s">
        <v>2450</v>
      </c>
      <c r="H194" s="3" t="str">
        <f t="shared" ref="H194:H221" si="12">"att_"&amp;G194</f>
        <v>att_experiment</v>
      </c>
      <c r="I194" s="3" t="s">
        <v>1062</v>
      </c>
      <c r="J194" s="3" t="str">
        <f t="shared" ref="J194:J221" si="13">H194&amp;":"&amp;I194</f>
        <v>att_experiment:neo_nterm_enrichment</v>
      </c>
      <c r="K194" s="6" t="s">
        <v>16</v>
      </c>
      <c r="L194" s="3" t="s">
        <v>1064</v>
      </c>
      <c r="M194" s="3" t="s">
        <v>12</v>
      </c>
      <c r="N194" s="3"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3"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c r="A195" s="6" t="s">
        <v>16</v>
      </c>
      <c r="B195" s="6"/>
      <c r="C195" s="3" t="s">
        <v>2452</v>
      </c>
      <c r="D195" s="3" t="s">
        <v>2453</v>
      </c>
      <c r="E195" s="3" t="s">
        <v>12</v>
      </c>
      <c r="F195" s="3" t="s">
        <v>77</v>
      </c>
      <c r="G195" s="3" t="s">
        <v>2450</v>
      </c>
      <c r="H195" s="3" t="str">
        <f t="shared" si="12"/>
        <v>att_experiment</v>
      </c>
      <c r="I195" s="3" t="s">
        <v>2452</v>
      </c>
      <c r="J195" s="3" t="str">
        <f t="shared" si="13"/>
        <v>att_experiment:other_ptm</v>
      </c>
      <c r="K195" s="6" t="s">
        <v>16</v>
      </c>
      <c r="L195" s="3" t="s">
        <v>2453</v>
      </c>
      <c r="M195" s="3" t="s">
        <v>12</v>
      </c>
      <c r="N195" s="3" t="str">
        <f t="shared" si="14"/>
        <v>INSERT INTO attributes (parent_id, tag, name, priority, allow_as_filter, allow_for_dataset, allow_for_measurement, allow_for_users, allow_for_qc) VALUES (NULL, 'att_experiment',  'Experiment Type',  500,  TRUE, TRUE, TRUE, FALSE, FALSE);</v>
      </c>
      <c r="O195" s="3" t="str">
        <f t="shared" si="15"/>
        <v xml:space="preserve">INSERT INTO attribute_values (attribute_id, tag, name, details) VALUES ((SELECT id FROM attributes WHERE tag = 'att_experiment' LIMIT 1),  'att_experiment:other_ptm',  'other PTMs',  'other PTMs'); </v>
      </c>
    </row>
    <row r="196" spans="1:15">
      <c r="A196" s="6" t="s">
        <v>16</v>
      </c>
      <c r="B196" s="6"/>
      <c r="C196" s="3" t="s">
        <v>1065</v>
      </c>
      <c r="D196" s="3" t="s">
        <v>1066</v>
      </c>
      <c r="E196" s="3" t="s">
        <v>12</v>
      </c>
      <c r="F196" s="3" t="s">
        <v>77</v>
      </c>
      <c r="G196" s="3" t="s">
        <v>2450</v>
      </c>
      <c r="H196" s="3" t="str">
        <f t="shared" si="12"/>
        <v>att_experiment</v>
      </c>
      <c r="I196" s="3" t="s">
        <v>1065</v>
      </c>
      <c r="J196" s="3" t="str">
        <f t="shared" si="13"/>
        <v>att_experiment:oxinome</v>
      </c>
      <c r="K196" s="6" t="s">
        <v>16</v>
      </c>
      <c r="L196" s="3" t="s">
        <v>1066</v>
      </c>
      <c r="M196" s="3" t="s">
        <v>12</v>
      </c>
      <c r="N196" s="3" t="str">
        <f t="shared" si="14"/>
        <v>INSERT INTO attributes (parent_id, tag, name, priority, allow_as_filter, allow_for_dataset, allow_for_measurement, allow_for_users, allow_for_qc) VALUES (NULL, 'att_experiment',  'Experiment Type',  500,  TRUE, TRUE, TRUE, FALSE, FALSE);</v>
      </c>
      <c r="O196" s="3" t="str">
        <f t="shared" si="15"/>
        <v xml:space="preserve">INSERT INTO attribute_values (attribute_id, tag, name, details) VALUES ((SELECT id FROM attributes WHERE tag = 'att_experiment' LIMIT 1),  'att_experiment:oxinome',  'Oxinome',  'Oxinome'); </v>
      </c>
    </row>
    <row r="197" spans="1:15">
      <c r="A197" s="6" t="s">
        <v>16</v>
      </c>
      <c r="B197" s="6"/>
      <c r="C197" s="3" t="s">
        <v>1067</v>
      </c>
      <c r="D197" s="3" t="s">
        <v>1068</v>
      </c>
      <c r="E197" s="3" t="s">
        <v>12</v>
      </c>
      <c r="F197" s="3" t="s">
        <v>77</v>
      </c>
      <c r="G197" s="3" t="s">
        <v>2450</v>
      </c>
      <c r="H197" s="3" t="str">
        <f t="shared" si="12"/>
        <v>att_experiment</v>
      </c>
      <c r="I197" s="3" t="s">
        <v>1067</v>
      </c>
      <c r="J197" s="3" t="str">
        <f t="shared" si="13"/>
        <v>att_experiment:phosphoproteome</v>
      </c>
      <c r="K197" s="6" t="s">
        <v>16</v>
      </c>
      <c r="L197" s="3" t="s">
        <v>1068</v>
      </c>
      <c r="M197" s="3" t="s">
        <v>12</v>
      </c>
      <c r="N197" s="3" t="str">
        <f t="shared" si="14"/>
        <v>INSERT INTO attributes (parent_id, tag, name, priority, allow_as_filter, allow_for_dataset, allow_for_measurement, allow_for_users, allow_for_qc) VALUES (NULL, 'att_experiment',  'Experiment Type',  500,  TRUE, TRUE, TRUE, FALSE, FALSE);</v>
      </c>
      <c r="O197" s="3" t="str">
        <f t="shared" si="15"/>
        <v xml:space="preserve">INSERT INTO attribute_values (attribute_id, tag, name, details) VALUES ((SELECT id FROM attributes WHERE tag = 'att_experiment' LIMIT 1),  'att_experiment:phosphoproteome',  'Phosphoproteome',  'Phosphoproteome'); </v>
      </c>
    </row>
    <row r="198" spans="1:15">
      <c r="A198" s="6" t="s">
        <v>16</v>
      </c>
      <c r="B198" s="6"/>
      <c r="C198" s="3" t="s">
        <v>2454</v>
      </c>
      <c r="D198" s="3" t="s">
        <v>1070</v>
      </c>
      <c r="E198" s="3" t="s">
        <v>12</v>
      </c>
      <c r="F198" s="3" t="s">
        <v>77</v>
      </c>
      <c r="G198" s="3" t="s">
        <v>2450</v>
      </c>
      <c r="H198" s="3" t="str">
        <f t="shared" si="12"/>
        <v>att_experiment</v>
      </c>
      <c r="I198" s="3" t="s">
        <v>1069</v>
      </c>
      <c r="J198" s="3" t="str">
        <f t="shared" si="13"/>
        <v>att_experiment:pulse_silac</v>
      </c>
      <c r="K198" s="6" t="s">
        <v>16</v>
      </c>
      <c r="L198" s="3" t="s">
        <v>1070</v>
      </c>
      <c r="M198" s="3" t="s">
        <v>12</v>
      </c>
      <c r="N198" s="3" t="str">
        <f t="shared" si="14"/>
        <v>INSERT INTO attributes (parent_id, tag, name, priority, allow_as_filter, allow_for_dataset, allow_for_measurement, allow_for_users, allow_for_qc) VALUES (NULL, 'att_experiment',  'Experiment Type',  500,  TRUE, TRUE, TRUE, FALSE, FALSE);</v>
      </c>
      <c r="O198" s="3" t="str">
        <f t="shared" si="15"/>
        <v xml:space="preserve">INSERT INTO attribute_values (attribute_id, tag, name, details) VALUES ((SELECT id FROM attributes WHERE tag = 'att_experiment' LIMIT 1),  'att_experiment:pulse_silac',  'Pulse-SILAC',  'Pulse-SILAC'); </v>
      </c>
    </row>
    <row r="199" spans="1:15">
      <c r="A199" s="6" t="s">
        <v>16</v>
      </c>
      <c r="B199" s="6"/>
      <c r="C199" s="3" t="s">
        <v>1071</v>
      </c>
      <c r="D199" s="3" t="s">
        <v>1072</v>
      </c>
      <c r="E199" s="3" t="s">
        <v>12</v>
      </c>
      <c r="F199" s="3" t="s">
        <v>77</v>
      </c>
      <c r="G199" s="3" t="s">
        <v>2450</v>
      </c>
      <c r="H199" s="3" t="str">
        <f t="shared" si="12"/>
        <v>att_experiment</v>
      </c>
      <c r="I199" s="3" t="s">
        <v>1071</v>
      </c>
      <c r="J199" s="3" t="str">
        <f t="shared" si="13"/>
        <v>att_experiment:secretome</v>
      </c>
      <c r="K199" s="6" t="s">
        <v>16</v>
      </c>
      <c r="L199" s="3" t="s">
        <v>1072</v>
      </c>
      <c r="M199" s="3" t="s">
        <v>12</v>
      </c>
      <c r="N199" s="3" t="str">
        <f t="shared" si="14"/>
        <v>INSERT INTO attributes (parent_id, tag, name, priority, allow_as_filter, allow_for_dataset, allow_for_measurement, allow_for_users, allow_for_qc) VALUES (NULL, 'att_experiment',  'Experiment Type',  500,  TRUE, TRUE, TRUE, FALSE, FALSE);</v>
      </c>
      <c r="O199" s="3" t="str">
        <f t="shared" si="15"/>
        <v xml:space="preserve">INSERT INTO attribute_values (attribute_id, tag, name, details) VALUES ((SELECT id FROM attributes WHERE tag = 'att_experiment' LIMIT 1),  'att_experiment:secretome',  'Secretome',  'Secretome'); </v>
      </c>
    </row>
    <row r="200" spans="1:15">
      <c r="A200" s="6" t="s">
        <v>16</v>
      </c>
      <c r="B200" s="6"/>
      <c r="C200" s="3" t="s">
        <v>1073</v>
      </c>
      <c r="D200" s="3" t="s">
        <v>1074</v>
      </c>
      <c r="E200" s="3" t="s">
        <v>12</v>
      </c>
      <c r="F200" s="3" t="s">
        <v>77</v>
      </c>
      <c r="G200" s="3" t="s">
        <v>2450</v>
      </c>
      <c r="H200" s="3" t="str">
        <f t="shared" si="12"/>
        <v>att_experiment</v>
      </c>
      <c r="I200" s="3" t="s">
        <v>1073</v>
      </c>
      <c r="J200" s="3" t="str">
        <f t="shared" si="13"/>
        <v>att_experiment:spatial</v>
      </c>
      <c r="K200" s="6" t="s">
        <v>16</v>
      </c>
      <c r="L200" s="3" t="s">
        <v>1074</v>
      </c>
      <c r="M200" s="3" t="s">
        <v>12</v>
      </c>
      <c r="N200" s="3" t="str">
        <f t="shared" si="14"/>
        <v>INSERT INTO attributes (parent_id, tag, name, priority, allow_as_filter, allow_for_dataset, allow_for_measurement, allow_for_users, allow_for_qc) VALUES (NULL, 'att_experiment',  'Experiment Type',  500,  TRUE, TRUE, TRUE, FALSE, FALSE);</v>
      </c>
      <c r="O200" s="3" t="str">
        <f t="shared" si="15"/>
        <v xml:space="preserve">INSERT INTO attribute_values (attribute_id, tag, name, details) VALUES ((SELECT id FROM attributes WHERE tag = 'att_experiment' LIMIT 1),  'att_experiment:spatial',  'Spatial Proteome',  'Spatial Proteome'); </v>
      </c>
    </row>
    <row r="201" spans="1:15">
      <c r="A201" s="6" t="s">
        <v>16</v>
      </c>
      <c r="B201" s="6"/>
      <c r="C201" s="3" t="s">
        <v>1075</v>
      </c>
      <c r="D201" s="3" t="s">
        <v>1076</v>
      </c>
      <c r="E201" s="3" t="s">
        <v>12</v>
      </c>
      <c r="F201" s="3" t="s">
        <v>77</v>
      </c>
      <c r="G201" s="3" t="s">
        <v>2450</v>
      </c>
      <c r="H201" s="3" t="str">
        <f t="shared" si="12"/>
        <v>att_experiment</v>
      </c>
      <c r="I201" s="3" t="s">
        <v>1075</v>
      </c>
      <c r="J201" s="3" t="str">
        <f t="shared" si="13"/>
        <v>att_experiment:ubiquitinome</v>
      </c>
      <c r="K201" s="6" t="s">
        <v>16</v>
      </c>
      <c r="L201" s="3" t="s">
        <v>1076</v>
      </c>
      <c r="M201" s="3" t="s">
        <v>12</v>
      </c>
      <c r="N201" s="3" t="str">
        <f t="shared" si="14"/>
        <v>INSERT INTO attributes (parent_id, tag, name, priority, allow_as_filter, allow_for_dataset, allow_for_measurement, allow_for_users, allow_for_qc) VALUES (NULL, 'att_experiment',  'Experiment Type',  500,  TRUE, TRUE, TRUE, FALSE, FALSE);</v>
      </c>
      <c r="O201" s="3" t="str">
        <f t="shared" si="15"/>
        <v xml:space="preserve">INSERT INTO attribute_values (attribute_id, tag, name, details) VALUES ((SELECT id FROM attributes WHERE tag = 'att_experiment' LIMIT 1),  'att_experiment:ubiquitinome',  'Ubiquitinome',  'Ubiquitinome'); </v>
      </c>
    </row>
    <row r="202" spans="1:15">
      <c r="A202" s="7" t="b">
        <f>FALSE()</f>
        <v>0</v>
      </c>
      <c r="C202" s="3" t="s">
        <v>1077</v>
      </c>
      <c r="D202" s="3" t="s">
        <v>1079</v>
      </c>
      <c r="E202" s="3" t="s">
        <v>12</v>
      </c>
      <c r="F202" s="3" t="s">
        <v>2455</v>
      </c>
      <c r="G202" s="3" t="s">
        <v>2456</v>
      </c>
      <c r="H202" s="3" t="str">
        <f t="shared" si="12"/>
        <v>att_fluid</v>
      </c>
      <c r="I202" s="3" t="s">
        <v>1077</v>
      </c>
      <c r="J202" s="3" t="str">
        <f t="shared" si="13"/>
        <v>att_fluid:bal</v>
      </c>
      <c r="K202" s="6" t="s">
        <v>16</v>
      </c>
      <c r="L202" s="3" t="s">
        <v>1080</v>
      </c>
      <c r="M202" s="3" t="s">
        <v>12</v>
      </c>
      <c r="N202" s="3" t="str">
        <f t="shared" si="14"/>
        <v>INSERT INTO attributes (parent_id, tag, name, priority, allow_as_filter, allow_for_dataset, allow_for_measurement, allow_for_users, allow_for_qc) VALUES (NULL, 'att_fluid',  'Fluid',  500,  TRUE, TRUE, TRUE, FALSE, FALSE);</v>
      </c>
      <c r="O202" s="3" t="str">
        <f t="shared" si="15"/>
        <v xml:space="preserve">INSERT INTO attribute_values (attribute_id, tag, name, details) VALUES ((SELECT id FROM attributes WHERE tag = 'att_fluid' LIMIT 1),  'att_fluid:bal',  'Bal',  'Bronchoalveolar lavage (BAL)'); </v>
      </c>
    </row>
    <row r="203" spans="1:15">
      <c r="A203" s="7" t="b">
        <f>FALSE()</f>
        <v>0</v>
      </c>
      <c r="B203" s="7"/>
      <c r="C203" s="3" t="s">
        <v>1081</v>
      </c>
      <c r="D203" s="3" t="s">
        <v>1082</v>
      </c>
      <c r="E203" s="3" t="s">
        <v>12</v>
      </c>
      <c r="F203" s="3" t="s">
        <v>2455</v>
      </c>
      <c r="G203" s="3" t="s">
        <v>2456</v>
      </c>
      <c r="H203" s="3" t="str">
        <f t="shared" si="12"/>
        <v>att_fluid</v>
      </c>
      <c r="I203" s="3" t="s">
        <v>1081</v>
      </c>
      <c r="J203" s="3" t="str">
        <f t="shared" si="13"/>
        <v>att_fluid:cerebrospinal</v>
      </c>
      <c r="K203" s="6" t="s">
        <v>16</v>
      </c>
      <c r="L203" s="3" t="s">
        <v>1083</v>
      </c>
      <c r="M203" s="3" t="s">
        <v>12</v>
      </c>
      <c r="N203" s="3" t="str">
        <f t="shared" si="14"/>
        <v>INSERT INTO attributes (parent_id, tag, name, priority, allow_as_filter, allow_for_dataset, allow_for_measurement, allow_for_users, allow_for_qc) VALUES (NULL, 'att_fluid',  'Fluid',  500,  TRUE, TRUE, TRUE, FALSE, FALSE);</v>
      </c>
      <c r="O203" s="3" t="str">
        <f t="shared" si="15"/>
        <v xml:space="preserve">INSERT INTO attribute_values (attribute_id, tag, name, details) VALUES ((SELECT id FROM attributes WHERE tag = 'att_fluid' LIMIT 1),  'att_fluid:cerebrospinal',  'Cerebrospinal',  'Cerebrospinal fluid (CSF)'); </v>
      </c>
    </row>
    <row r="204" spans="1:15">
      <c r="A204" s="7" t="b">
        <f>FALSE()</f>
        <v>0</v>
      </c>
      <c r="B204" s="7"/>
      <c r="C204" s="3" t="s">
        <v>1084</v>
      </c>
      <c r="D204" s="3" t="s">
        <v>1085</v>
      </c>
      <c r="E204" s="3" t="s">
        <v>12</v>
      </c>
      <c r="F204" s="3" t="s">
        <v>2455</v>
      </c>
      <c r="G204" s="3" t="s">
        <v>2456</v>
      </c>
      <c r="H204" s="3" t="str">
        <f t="shared" si="12"/>
        <v>att_fluid</v>
      </c>
      <c r="I204" s="3" t="s">
        <v>1084</v>
      </c>
      <c r="J204" s="3" t="str">
        <f t="shared" si="13"/>
        <v>att_fluid:feces</v>
      </c>
      <c r="K204" s="6" t="s">
        <v>16</v>
      </c>
      <c r="L204" s="3" t="s">
        <v>1086</v>
      </c>
      <c r="M204" s="3" t="s">
        <v>12</v>
      </c>
      <c r="N204" s="3" t="str">
        <f t="shared" si="14"/>
        <v>INSERT INTO attributes (parent_id, tag, name, priority, allow_as_filter, allow_for_dataset, allow_for_measurement, allow_for_users, allow_for_qc) VALUES (NULL, 'att_fluid',  'Fluid',  500,  TRUE, TRUE, TRUE, FALSE, FALSE);</v>
      </c>
      <c r="O204" s="3" t="str">
        <f t="shared" si="15"/>
        <v xml:space="preserve">INSERT INTO attribute_values (attribute_id, tag, name, details) VALUES ((SELECT id FROM attributes WHERE tag = 'att_fluid' LIMIT 1),  'att_fluid:feces',  'Feces',  'Poop'); </v>
      </c>
    </row>
    <row r="205" spans="1:15">
      <c r="A205" s="7" t="b">
        <f>FALSE()</f>
        <v>0</v>
      </c>
      <c r="B205" s="7"/>
      <c r="C205" s="3" t="s">
        <v>1087</v>
      </c>
      <c r="D205" s="3" t="s">
        <v>1088</v>
      </c>
      <c r="E205" s="3" t="s">
        <v>12</v>
      </c>
      <c r="F205" s="3" t="s">
        <v>2455</v>
      </c>
      <c r="G205" s="3" t="s">
        <v>2456</v>
      </c>
      <c r="H205" s="3" t="str">
        <f t="shared" si="12"/>
        <v>att_fluid</v>
      </c>
      <c r="I205" s="3" t="s">
        <v>1087</v>
      </c>
      <c r="J205" s="3" t="str">
        <f t="shared" si="13"/>
        <v>att_fluid:interstitial</v>
      </c>
      <c r="K205" s="6" t="s">
        <v>16</v>
      </c>
      <c r="L205" s="3" t="s">
        <v>1089</v>
      </c>
      <c r="M205" s="3" t="s">
        <v>12</v>
      </c>
      <c r="N205" s="3" t="str">
        <f t="shared" si="14"/>
        <v>INSERT INTO attributes (parent_id, tag, name, priority, allow_as_filter, allow_for_dataset, allow_for_measurement, allow_for_users, allow_for_qc) VALUES (NULL, 'att_fluid',  'Fluid',  500,  TRUE, TRUE, TRUE, FALSE, FALSE);</v>
      </c>
      <c r="O205" s="3" t="str">
        <f t="shared" si="15"/>
        <v xml:space="preserve">INSERT INTO attribute_values (attribute_id, tag, name, details) VALUES ((SELECT id FROM attributes WHERE tag = 'att_fluid' LIMIT 1),  'att_fluid:interstitial',  'Interstitial',  'Interstitial fluid'); </v>
      </c>
    </row>
    <row r="206" spans="1:15">
      <c r="A206" s="7" t="b">
        <f>FALSE()</f>
        <v>0</v>
      </c>
      <c r="B206" s="7"/>
      <c r="C206" s="3" t="s">
        <v>1090</v>
      </c>
      <c r="D206" s="3" t="s">
        <v>1091</v>
      </c>
      <c r="E206" s="3" t="s">
        <v>12</v>
      </c>
      <c r="F206" s="3" t="s">
        <v>2455</v>
      </c>
      <c r="G206" s="3" t="s">
        <v>2456</v>
      </c>
      <c r="H206" s="3" t="str">
        <f t="shared" si="12"/>
        <v>att_fluid</v>
      </c>
      <c r="I206" s="3" t="s">
        <v>1090</v>
      </c>
      <c r="J206" s="3" t="str">
        <f t="shared" si="13"/>
        <v>att_fluid:lymph</v>
      </c>
      <c r="K206" s="6" t="s">
        <v>16</v>
      </c>
      <c r="L206" s="3" t="s">
        <v>1092</v>
      </c>
      <c r="M206" s="3" t="s">
        <v>12</v>
      </c>
      <c r="N206" s="3" t="str">
        <f t="shared" si="14"/>
        <v>INSERT INTO attributes (parent_id, tag, name, priority, allow_as_filter, allow_for_dataset, allow_for_measurement, allow_for_users, allow_for_qc) VALUES (NULL, 'att_fluid',  'Fluid',  500,  TRUE, TRUE, TRUE, FALSE, FALSE);</v>
      </c>
      <c r="O206" s="3" t="str">
        <f t="shared" si="15"/>
        <v xml:space="preserve">INSERT INTO attribute_values (attribute_id, tag, name, details) VALUES ((SELECT id FROM attributes WHERE tag = 'att_fluid' LIMIT 1),  'att_fluid:lymph',  'Lymph',  'Lymph; fluid that flows through the lymphatic system'); </v>
      </c>
    </row>
    <row r="207" spans="1:15">
      <c r="A207" s="7" t="b">
        <f>FALSE()</f>
        <v>0</v>
      </c>
      <c r="B207" s="7"/>
      <c r="C207" s="3" t="s">
        <v>1093</v>
      </c>
      <c r="D207" s="3" t="s">
        <v>1094</v>
      </c>
      <c r="E207" s="3" t="s">
        <v>12</v>
      </c>
      <c r="F207" s="3" t="s">
        <v>2455</v>
      </c>
      <c r="G207" s="3" t="s">
        <v>2456</v>
      </c>
      <c r="H207" s="3" t="str">
        <f t="shared" si="12"/>
        <v>att_fluid</v>
      </c>
      <c r="I207" s="3" t="s">
        <v>1093</v>
      </c>
      <c r="J207" s="3" t="str">
        <f t="shared" si="13"/>
        <v>att_fluid:peritoneal</v>
      </c>
      <c r="K207" s="6" t="s">
        <v>16</v>
      </c>
      <c r="L207" s="3" t="s">
        <v>1095</v>
      </c>
      <c r="M207" s="3" t="s">
        <v>12</v>
      </c>
      <c r="N207" s="3" t="str">
        <f t="shared" si="14"/>
        <v>INSERT INTO attributes (parent_id, tag, name, priority, allow_as_filter, allow_for_dataset, allow_for_measurement, allow_for_users, allow_for_qc) VALUES (NULL, 'att_fluid',  'Fluid',  500,  TRUE, TRUE, TRUE, FALSE, FALSE);</v>
      </c>
      <c r="O207" s="3" t="str">
        <f t="shared" si="15"/>
        <v xml:space="preserve">INSERT INTO attribute_values (attribute_id, tag, name, details) VALUES ((SELECT id FROM attributes WHERE tag = 'att_fluid' LIMIT 1),  'att_fluid:peritoneal',  'Peritoneal',  'Peritoneal fluid'); </v>
      </c>
    </row>
    <row r="208" spans="1:15">
      <c r="A208" s="7" t="b">
        <f>FALSE()</f>
        <v>0</v>
      </c>
      <c r="B208" s="7"/>
      <c r="C208" s="3" t="s">
        <v>1096</v>
      </c>
      <c r="D208" s="3" t="s">
        <v>1097</v>
      </c>
      <c r="E208" s="3" t="s">
        <v>12</v>
      </c>
      <c r="F208" s="3" t="s">
        <v>2455</v>
      </c>
      <c r="G208" s="3" t="s">
        <v>2456</v>
      </c>
      <c r="H208" s="3" t="str">
        <f t="shared" si="12"/>
        <v>att_fluid</v>
      </c>
      <c r="I208" s="3" t="s">
        <v>1096</v>
      </c>
      <c r="J208" s="3" t="str">
        <f t="shared" si="13"/>
        <v>att_fluid:plasma</v>
      </c>
      <c r="K208" s="6" t="s">
        <v>16</v>
      </c>
      <c r="L208" s="3" t="s">
        <v>1098</v>
      </c>
      <c r="M208" s="3" t="s">
        <v>12</v>
      </c>
      <c r="N208" s="3" t="str">
        <f t="shared" si="14"/>
        <v>INSERT INTO attributes (parent_id, tag, name, priority, allow_as_filter, allow_for_dataset, allow_for_measurement, allow_for_users, allow_for_qc) VALUES (NULL, 'att_fluid',  'Fluid',  500,  TRUE, TRUE, TRUE, FALSE, FALSE);</v>
      </c>
      <c r="O208" s="3" t="str">
        <f t="shared" si="15"/>
        <v xml:space="preserve">INSERT INTO attribute_values (attribute_id, tag, name, details) VALUES ((SELECT id FROM attributes WHERE tag = 'att_fluid' LIMIT 1),  'att_fluid:plasma',  'Plasma',  'Blood Plasma'); </v>
      </c>
    </row>
    <row r="209" spans="1:15">
      <c r="A209" s="7" t="b">
        <f>FALSE()</f>
        <v>0</v>
      </c>
      <c r="B209" s="7"/>
      <c r="C209" s="3" t="s">
        <v>1099</v>
      </c>
      <c r="D209" s="3" t="s">
        <v>1100</v>
      </c>
      <c r="E209" s="3" t="s">
        <v>12</v>
      </c>
      <c r="F209" s="3" t="s">
        <v>2455</v>
      </c>
      <c r="G209" s="3" t="s">
        <v>2456</v>
      </c>
      <c r="H209" s="3" t="str">
        <f t="shared" si="12"/>
        <v>att_fluid</v>
      </c>
      <c r="I209" s="3" t="s">
        <v>1099</v>
      </c>
      <c r="J209" s="3" t="str">
        <f t="shared" si="13"/>
        <v>att_fluid:pleural</v>
      </c>
      <c r="K209" s="6" t="s">
        <v>16</v>
      </c>
      <c r="L209" s="3" t="s">
        <v>1101</v>
      </c>
      <c r="M209" s="3" t="s">
        <v>12</v>
      </c>
      <c r="N209" s="3" t="str">
        <f t="shared" si="14"/>
        <v>INSERT INTO attributes (parent_id, tag, name, priority, allow_as_filter, allow_for_dataset, allow_for_measurement, allow_for_users, allow_for_qc) VALUES (NULL, 'att_fluid',  'Fluid',  500,  TRUE, TRUE, TRUE, FALSE, FALSE);</v>
      </c>
      <c r="O209" s="3" t="str">
        <f t="shared" si="15"/>
        <v xml:space="preserve">INSERT INTO attribute_values (attribute_id, tag, name, details) VALUES ((SELECT id FROM attributes WHERE tag = 'att_fluid' LIMIT 1),  'att_fluid:pleural',  'Pleural',  'Pleural fluid'); </v>
      </c>
    </row>
    <row r="210" spans="1:15">
      <c r="A210" s="7" t="b">
        <f>FALSE()</f>
        <v>0</v>
      </c>
      <c r="B210" s="7"/>
      <c r="C210" s="3" t="s">
        <v>1102</v>
      </c>
      <c r="D210" s="3" t="s">
        <v>1103</v>
      </c>
      <c r="E210" s="3" t="s">
        <v>12</v>
      </c>
      <c r="F210" s="3" t="s">
        <v>2455</v>
      </c>
      <c r="G210" s="3" t="s">
        <v>2456</v>
      </c>
      <c r="H210" s="3" t="str">
        <f t="shared" si="12"/>
        <v>att_fluid</v>
      </c>
      <c r="I210" s="3" t="s">
        <v>1102</v>
      </c>
      <c r="J210" s="3" t="str">
        <f t="shared" si="13"/>
        <v>att_fluid:saliva</v>
      </c>
      <c r="K210" s="6" t="s">
        <v>16</v>
      </c>
      <c r="L210" s="3" t="s">
        <v>1104</v>
      </c>
      <c r="M210" s="3" t="s">
        <v>12</v>
      </c>
      <c r="N210" s="3" t="str">
        <f t="shared" si="14"/>
        <v>INSERT INTO attributes (parent_id, tag, name, priority, allow_as_filter, allow_for_dataset, allow_for_measurement, allow_for_users, allow_for_qc) VALUES (NULL, 'att_fluid',  'Fluid',  500,  TRUE, TRUE, TRUE, FALSE, FALSE);</v>
      </c>
      <c r="O210" s="3" t="str">
        <f t="shared" si="15"/>
        <v xml:space="preserve">INSERT INTO attribute_values (attribute_id, tag, name, details) VALUES ((SELECT id FROM attributes WHERE tag = 'att_fluid' LIMIT 1),  'att_fluid:saliva',  'Saliva',  'Spit'); </v>
      </c>
    </row>
    <row r="211" spans="1:15">
      <c r="A211" s="7" t="b">
        <f>FALSE()</f>
        <v>0</v>
      </c>
      <c r="B211" s="7"/>
      <c r="C211" s="3" t="s">
        <v>1105</v>
      </c>
      <c r="D211" s="3" t="s">
        <v>1106</v>
      </c>
      <c r="E211" s="3" t="s">
        <v>12</v>
      </c>
      <c r="F211" s="3" t="s">
        <v>2455</v>
      </c>
      <c r="G211" s="3" t="s">
        <v>2456</v>
      </c>
      <c r="H211" s="3" t="str">
        <f t="shared" si="12"/>
        <v>att_fluid</v>
      </c>
      <c r="I211" s="3" t="s">
        <v>1105</v>
      </c>
      <c r="J211" s="3" t="str">
        <f t="shared" si="13"/>
        <v>att_fluid:seminal</v>
      </c>
      <c r="K211" s="6" t="s">
        <v>16</v>
      </c>
      <c r="L211" s="3" t="s">
        <v>1107</v>
      </c>
      <c r="M211" s="3" t="s">
        <v>12</v>
      </c>
      <c r="N211" s="3" t="str">
        <f t="shared" si="14"/>
        <v>INSERT INTO attributes (parent_id, tag, name, priority, allow_as_filter, allow_for_dataset, allow_for_measurement, allow_for_users, allow_for_qc) VALUES (NULL, 'att_fluid',  'Fluid',  500,  TRUE, TRUE, TRUE, FALSE, FALSE);</v>
      </c>
      <c r="O211" s="3" t="str">
        <f t="shared" si="15"/>
        <v xml:space="preserve">INSERT INTO attribute_values (attribute_id, tag, name, details) VALUES ((SELECT id FROM attributes WHERE tag = 'att_fluid' LIMIT 1),  'att_fluid:seminal',  'Seminal',  'Semen; Seminal fluid'); </v>
      </c>
    </row>
    <row r="212" spans="1:15">
      <c r="A212" s="7" t="b">
        <f>FALSE()</f>
        <v>0</v>
      </c>
      <c r="B212" s="7"/>
      <c r="C212" s="3" t="s">
        <v>1108</v>
      </c>
      <c r="D212" s="3" t="s">
        <v>1109</v>
      </c>
      <c r="E212" s="3" t="s">
        <v>12</v>
      </c>
      <c r="F212" s="3" t="s">
        <v>2455</v>
      </c>
      <c r="G212" s="3" t="s">
        <v>2456</v>
      </c>
      <c r="H212" s="3" t="str">
        <f t="shared" si="12"/>
        <v>att_fluid</v>
      </c>
      <c r="I212" s="3" t="s">
        <v>1108</v>
      </c>
      <c r="J212" s="3" t="str">
        <f t="shared" si="13"/>
        <v>att_fluid:serum</v>
      </c>
      <c r="K212" s="6" t="s">
        <v>16</v>
      </c>
      <c r="L212" s="3" t="s">
        <v>1110</v>
      </c>
      <c r="M212" s="3" t="s">
        <v>12</v>
      </c>
      <c r="N212" s="3" t="str">
        <f t="shared" si="14"/>
        <v>INSERT INTO attributes (parent_id, tag, name, priority, allow_as_filter, allow_for_dataset, allow_for_measurement, allow_for_users, allow_for_qc) VALUES (NULL, 'att_fluid',  'Fluid',  500,  TRUE, TRUE, TRUE, FALSE, FALSE);</v>
      </c>
      <c r="O212" s="3" t="str">
        <f t="shared" si="15"/>
        <v xml:space="preserve">INSERT INTO attribute_values (attribute_id, tag, name, details) VALUES ((SELECT id FROM attributes WHERE tag = 'att_fluid' LIMIT 1),  'att_fluid:serum',  'Serum',  'Blood Serum'); </v>
      </c>
    </row>
    <row r="213" spans="1:15">
      <c r="A213" s="7" t="b">
        <f>FALSE()</f>
        <v>0</v>
      </c>
      <c r="B213" s="7"/>
      <c r="C213" s="3" t="s">
        <v>1111</v>
      </c>
      <c r="D213" s="3" t="s">
        <v>1112</v>
      </c>
      <c r="E213" s="3" t="s">
        <v>12</v>
      </c>
      <c r="F213" s="3" t="s">
        <v>2455</v>
      </c>
      <c r="G213" s="3" t="s">
        <v>2456</v>
      </c>
      <c r="H213" s="3" t="str">
        <f t="shared" si="12"/>
        <v>att_fluid</v>
      </c>
      <c r="I213" s="3" t="s">
        <v>1111</v>
      </c>
      <c r="J213" s="3" t="str">
        <f t="shared" si="13"/>
        <v>att_fluid:urine</v>
      </c>
      <c r="K213" s="6" t="s">
        <v>16</v>
      </c>
      <c r="L213" s="3" t="s">
        <v>1113</v>
      </c>
      <c r="M213" s="3" t="s">
        <v>12</v>
      </c>
      <c r="N213" s="3" t="str">
        <f t="shared" si="14"/>
        <v>INSERT INTO attributes (parent_id, tag, name, priority, allow_as_filter, allow_for_dataset, allow_for_measurement, allow_for_users, allow_for_qc) VALUES (NULL, 'att_fluid',  'Fluid',  500,  TRUE, TRUE, TRUE, FALSE, FALSE);</v>
      </c>
      <c r="O213" s="3" t="str">
        <f t="shared" si="15"/>
        <v xml:space="preserve">INSERT INTO attribute_values (attribute_id, tag, name, details) VALUES ((SELECT id FROM attributes WHERE tag = 'att_fluid' LIMIT 1),  'att_fluid:urine',  'Urine',  'Pee'); </v>
      </c>
    </row>
    <row r="214" spans="1:15">
      <c r="A214" s="7" t="b">
        <f>FALSE()</f>
        <v>0</v>
      </c>
      <c r="B214" s="7"/>
      <c r="C214" s="3" t="s">
        <v>1114</v>
      </c>
      <c r="D214" s="3" t="s">
        <v>1114</v>
      </c>
      <c r="E214" s="3" t="s">
        <v>12</v>
      </c>
      <c r="F214" s="3" t="s">
        <v>157</v>
      </c>
      <c r="G214" s="3" t="s">
        <v>2457</v>
      </c>
      <c r="H214" s="3" t="str">
        <f t="shared" si="12"/>
        <v>att_fraction</v>
      </c>
      <c r="I214" s="3" t="s">
        <v>1114</v>
      </c>
      <c r="J214" s="3" t="str">
        <f t="shared" si="13"/>
        <v>att_fraction:01k</v>
      </c>
      <c r="K214" s="6" t="s">
        <v>16</v>
      </c>
      <c r="L214" s="3" t="s">
        <v>2458</v>
      </c>
      <c r="M214" s="3" t="s">
        <v>1073</v>
      </c>
      <c r="N214" s="3" t="str">
        <f t="shared" si="14"/>
        <v>INSERT INTO attributes (parent_id, tag, name, priority, allow_as_filter, allow_for_dataset, allow_for_measurement, allow_for_users, allow_for_qc) VALUES (NULL, 'att_fraction',  'Spatial Fraction',  500,  TRUE, TRUE, TRUE, FALSE, FALSE);</v>
      </c>
      <c r="O214" s="3" t="str">
        <f t="shared" si="15"/>
        <v xml:space="preserve">INSERT INTO attribute_values (attribute_id, tag, name, details) VALUES ((SELECT id FROM attributes WHERE tag = 'att_fraction' LIMIT 1),  'att_fraction:01k',  '01k',  '01k Spatial Fraction'); </v>
      </c>
    </row>
    <row r="215" spans="1:15">
      <c r="A215" s="7" t="b">
        <f>FALSE()</f>
        <v>0</v>
      </c>
      <c r="B215" s="7"/>
      <c r="C215" s="3" t="s">
        <v>1117</v>
      </c>
      <c r="D215" s="3" t="s">
        <v>1117</v>
      </c>
      <c r="E215" s="3" t="s">
        <v>12</v>
      </c>
      <c r="F215" s="3" t="s">
        <v>157</v>
      </c>
      <c r="G215" s="3" t="s">
        <v>2457</v>
      </c>
      <c r="H215" s="3" t="str">
        <f t="shared" si="12"/>
        <v>att_fraction</v>
      </c>
      <c r="I215" s="3" t="s">
        <v>1117</v>
      </c>
      <c r="J215" s="3" t="str">
        <f t="shared" si="13"/>
        <v>att_fraction:05k</v>
      </c>
      <c r="K215" s="6" t="s">
        <v>16</v>
      </c>
      <c r="L215" s="3" t="s">
        <v>2459</v>
      </c>
      <c r="M215" s="3" t="s">
        <v>1073</v>
      </c>
      <c r="N215" s="3" t="str">
        <f t="shared" si="14"/>
        <v>INSERT INTO attributes (parent_id, tag, name, priority, allow_as_filter, allow_for_dataset, allow_for_measurement, allow_for_users, allow_for_qc) VALUES (NULL, 'att_fraction',  'Spatial Fraction',  500,  TRUE, TRUE, TRUE, FALSE, FALSE);</v>
      </c>
      <c r="O215" s="3" t="str">
        <f t="shared" si="15"/>
        <v xml:space="preserve">INSERT INTO attribute_values (attribute_id, tag, name, details) VALUES ((SELECT id FROM attributes WHERE tag = 'att_fraction' LIMIT 1),  'att_fraction:05k',  '05k',  '05k Spatial Fraction'); </v>
      </c>
    </row>
    <row r="216" spans="1:15">
      <c r="A216" s="7" t="b">
        <f>FALSE()</f>
        <v>0</v>
      </c>
      <c r="B216" s="7"/>
      <c r="C216" s="3" t="s">
        <v>1119</v>
      </c>
      <c r="D216" s="3" t="s">
        <v>1119</v>
      </c>
      <c r="E216" s="3" t="s">
        <v>12</v>
      </c>
      <c r="F216" s="3" t="s">
        <v>157</v>
      </c>
      <c r="G216" s="3" t="s">
        <v>2457</v>
      </c>
      <c r="H216" s="3" t="str">
        <f t="shared" si="12"/>
        <v>att_fraction</v>
      </c>
      <c r="I216" s="3" t="s">
        <v>1119</v>
      </c>
      <c r="J216" s="3" t="str">
        <f t="shared" si="13"/>
        <v>att_fraction:12k</v>
      </c>
      <c r="K216" s="6" t="s">
        <v>16</v>
      </c>
      <c r="L216" s="3" t="s">
        <v>2460</v>
      </c>
      <c r="M216" s="3" t="s">
        <v>1073</v>
      </c>
      <c r="N216" s="3" t="str">
        <f t="shared" si="14"/>
        <v>INSERT INTO attributes (parent_id, tag, name, priority, allow_as_filter, allow_for_dataset, allow_for_measurement, allow_for_users, allow_for_qc) VALUES (NULL, 'att_fraction',  'Spatial Fraction',  500,  TRUE, TRUE, TRUE, FALSE, FALSE);</v>
      </c>
      <c r="O216" s="3" t="str">
        <f t="shared" si="15"/>
        <v xml:space="preserve">INSERT INTO attribute_values (attribute_id, tag, name, details) VALUES ((SELECT id FROM attributes WHERE tag = 'att_fraction' LIMIT 1),  'att_fraction:12k',  '12k',  '12k Spatial Fraction'); </v>
      </c>
    </row>
    <row r="217" spans="1:15">
      <c r="A217" s="7" t="b">
        <f>FALSE()</f>
        <v>0</v>
      </c>
      <c r="B217" s="7"/>
      <c r="C217" s="3" t="s">
        <v>1121</v>
      </c>
      <c r="D217" s="3" t="s">
        <v>1121</v>
      </c>
      <c r="E217" s="3" t="s">
        <v>12</v>
      </c>
      <c r="F217" s="3" t="s">
        <v>157</v>
      </c>
      <c r="G217" s="3" t="s">
        <v>2457</v>
      </c>
      <c r="H217" s="3" t="str">
        <f t="shared" si="12"/>
        <v>att_fraction</v>
      </c>
      <c r="I217" s="3" t="s">
        <v>1121</v>
      </c>
      <c r="J217" s="3" t="str">
        <f t="shared" si="13"/>
        <v>att_fraction:24k</v>
      </c>
      <c r="K217" s="6" t="s">
        <v>16</v>
      </c>
      <c r="L217" s="3" t="s">
        <v>2461</v>
      </c>
      <c r="M217" s="3" t="s">
        <v>1073</v>
      </c>
      <c r="N217" s="3" t="str">
        <f t="shared" si="14"/>
        <v>INSERT INTO attributes (parent_id, tag, name, priority, allow_as_filter, allow_for_dataset, allow_for_measurement, allow_for_users, allow_for_qc) VALUES (NULL, 'att_fraction',  'Spatial Fraction',  500,  TRUE, TRUE, TRUE, FALSE, FALSE);</v>
      </c>
      <c r="O217" s="3" t="str">
        <f t="shared" si="15"/>
        <v xml:space="preserve">INSERT INTO attribute_values (attribute_id, tag, name, details) VALUES ((SELECT id FROM attributes WHERE tag = 'att_fraction' LIMIT 1),  'att_fraction:24k',  '24k',  '24k Spatial Fraction'); </v>
      </c>
    </row>
    <row r="218" spans="1:15">
      <c r="A218" s="7" t="b">
        <f>FALSE()</f>
        <v>0</v>
      </c>
      <c r="B218" s="7"/>
      <c r="C218" s="3" t="s">
        <v>1123</v>
      </c>
      <c r="D218" s="3" t="s">
        <v>1123</v>
      </c>
      <c r="E218" s="3" t="s">
        <v>12</v>
      </c>
      <c r="F218" s="3" t="s">
        <v>157</v>
      </c>
      <c r="G218" s="3" t="s">
        <v>2457</v>
      </c>
      <c r="H218" s="3" t="str">
        <f t="shared" si="12"/>
        <v>att_fraction</v>
      </c>
      <c r="I218" s="3" t="s">
        <v>1123</v>
      </c>
      <c r="J218" s="3" t="str">
        <f t="shared" si="13"/>
        <v>att_fraction:79k</v>
      </c>
      <c r="K218" s="6" t="s">
        <v>16</v>
      </c>
      <c r="L218" s="3" t="s">
        <v>2462</v>
      </c>
      <c r="M218" s="3" t="s">
        <v>1073</v>
      </c>
      <c r="N218" s="3" t="str">
        <f t="shared" si="14"/>
        <v>INSERT INTO attributes (parent_id, tag, name, priority, allow_as_filter, allow_for_dataset, allow_for_measurement, allow_for_users, allow_for_qc) VALUES (NULL, 'att_fraction',  'Spatial Fraction',  500,  TRUE, TRUE, TRUE, FALSE, FALSE);</v>
      </c>
      <c r="O218" s="3" t="str">
        <f t="shared" si="15"/>
        <v xml:space="preserve">INSERT INTO attribute_values (attribute_id, tag, name, details) VALUES ((SELECT id FROM attributes WHERE tag = 'att_fraction' LIMIT 1),  'att_fraction:79k',  '79k',  '79k Spatial Fraction'); </v>
      </c>
    </row>
    <row r="219" spans="1:15">
      <c r="A219" s="7" t="b">
        <f>FALSE()</f>
        <v>0</v>
      </c>
      <c r="B219" s="7"/>
      <c r="C219" s="3" t="s">
        <v>1129</v>
      </c>
      <c r="D219" s="3" t="s">
        <v>1130</v>
      </c>
      <c r="E219" s="3" t="s">
        <v>12</v>
      </c>
      <c r="F219" s="3" t="s">
        <v>157</v>
      </c>
      <c r="G219" s="3" t="s">
        <v>2457</v>
      </c>
      <c r="H219" s="3" t="str">
        <f t="shared" si="12"/>
        <v>att_fraction</v>
      </c>
      <c r="I219" s="3" t="s">
        <v>1129</v>
      </c>
      <c r="J219" s="3" t="str">
        <f t="shared" si="13"/>
        <v>att_fraction:cytosolic</v>
      </c>
      <c r="K219" s="6" t="s">
        <v>16</v>
      </c>
      <c r="L219" s="3" t="s">
        <v>1131</v>
      </c>
      <c r="M219" s="3" t="s">
        <v>1073</v>
      </c>
      <c r="N219" s="3" t="str">
        <f t="shared" si="14"/>
        <v>INSERT INTO attributes (parent_id, tag, name, priority, allow_as_filter, allow_for_dataset, allow_for_measurement, allow_for_users, allow_for_qc) VALUES (NULL, 'att_fraction',  'Spatial Fraction',  500,  TRUE, TRUE, TRUE, FALSE, FALSE);</v>
      </c>
      <c r="O219" s="3" t="str">
        <f t="shared" si="15"/>
        <v xml:space="preserve">INSERT INTO attribute_values (attribute_id, tag, name, details) VALUES ((SELECT id FROM attributes WHERE tag = 'att_fraction' LIMIT 1),  'att_fraction:cytosolic',  'Cytosolic',  'Cytosolic Spatial Fraction'); </v>
      </c>
    </row>
    <row r="220" spans="1:15">
      <c r="A220" s="7" t="b">
        <f>FALSE()</f>
        <v>0</v>
      </c>
      <c r="B220" s="7"/>
      <c r="C220" s="3" t="s">
        <v>1132</v>
      </c>
      <c r="D220" s="3" t="s">
        <v>1133</v>
      </c>
      <c r="E220" s="3" t="s">
        <v>12</v>
      </c>
      <c r="F220" s="3" t="s">
        <v>157</v>
      </c>
      <c r="G220" s="3" t="s">
        <v>2457</v>
      </c>
      <c r="H220" s="3" t="str">
        <f t="shared" si="12"/>
        <v>att_fraction</v>
      </c>
      <c r="I220" s="3" t="s">
        <v>1132</v>
      </c>
      <c r="J220" s="3" t="str">
        <f t="shared" si="13"/>
        <v>att_fraction:total</v>
      </c>
      <c r="K220" s="6" t="s">
        <v>16</v>
      </c>
      <c r="L220" s="3" t="s">
        <v>1134</v>
      </c>
      <c r="M220" s="3" t="s">
        <v>1073</v>
      </c>
      <c r="N220" s="3" t="str">
        <f t="shared" si="14"/>
        <v>INSERT INTO attributes (parent_id, tag, name, priority, allow_as_filter, allow_for_dataset, allow_for_measurement, allow_for_users, allow_for_qc) VALUES (NULL, 'att_fraction',  'Spatial Fraction',  500,  TRUE, TRUE, TRUE, FALSE, FALSE);</v>
      </c>
      <c r="O220" s="3" t="str">
        <f t="shared" si="15"/>
        <v xml:space="preserve">INSERT INTO attribute_values (attribute_id, tag, name, details) VALUES ((SELECT id FROM attributes WHERE tag = 'att_fraction' LIMIT 1),  'att_fraction:total',  'Total',  'Total Spatial Fraction'); </v>
      </c>
    </row>
    <row r="221" spans="1:15">
      <c r="A221" s="7" t="b">
        <f>FALSE()</f>
        <v>0</v>
      </c>
      <c r="B221" s="7"/>
      <c r="C221" s="3" t="s">
        <v>2463</v>
      </c>
      <c r="D221" s="3" t="s">
        <v>1127</v>
      </c>
      <c r="E221" s="3" t="s">
        <v>12</v>
      </c>
      <c r="F221" s="3" t="s">
        <v>157</v>
      </c>
      <c r="G221" s="3" t="s">
        <v>2457</v>
      </c>
      <c r="H221" s="3" t="str">
        <f t="shared" si="12"/>
        <v>att_fraction</v>
      </c>
      <c r="I221" s="3" t="s">
        <v>1125</v>
      </c>
      <c r="J221" s="3" t="str">
        <f t="shared" si="13"/>
        <v>att_fraction:crude_mito</v>
      </c>
      <c r="K221" s="6" t="s">
        <v>16</v>
      </c>
      <c r="L221" s="3" t="s">
        <v>1128</v>
      </c>
      <c r="M221" s="3" t="s">
        <v>1073</v>
      </c>
      <c r="N221" s="3" t="str">
        <f t="shared" si="14"/>
        <v>INSERT INTO attributes (parent_id, tag, name, priority, allow_as_filter, allow_for_dataset, allow_for_measurement, allow_for_users, allow_for_qc) VALUES (NULL, 'att_fraction',  'Spatial Fraction',  500,  TRUE, TRUE, TRUE, FALSE, FALSE);</v>
      </c>
      <c r="O221" s="3" t="str">
        <f t="shared" si="15"/>
        <v xml:space="preserve">INSERT INTO attribute_values (attribute_id, tag, name, details) VALUES ((SELECT id FROM attributes WHERE tag = 'att_fraction' LIMIT 1),  'att_fraction:crude_mito',  'Crude Mito',  'Crude mitochondrial fraction'); </v>
      </c>
    </row>
    <row r="222" spans="1:15">
      <c r="A222" s="7"/>
      <c r="B222" s="7"/>
      <c r="K222" s="6"/>
    </row>
    <row r="223" spans="1:15">
      <c r="A223" s="7"/>
      <c r="B223" s="7"/>
      <c r="C223" s="3" t="s">
        <v>2464</v>
      </c>
      <c r="D223" s="3" t="s">
        <v>1975</v>
      </c>
      <c r="F223" s="3" t="s">
        <v>134</v>
      </c>
      <c r="G223" s="3" t="s">
        <v>2465</v>
      </c>
      <c r="H223" s="3" t="str">
        <f>"att_"&amp;G223</f>
        <v>att_offline_fractionation</v>
      </c>
      <c r="I223" s="3" t="s">
        <v>1974</v>
      </c>
      <c r="J223" s="3" t="str">
        <f>H223&amp;":"&amp;I223</f>
        <v>att_offline_fractionation:sdspage</v>
      </c>
      <c r="K223" s="6"/>
      <c r="L223" s="3" t="s">
        <v>1976</v>
      </c>
    </row>
    <row r="224" spans="1:15">
      <c r="A224" s="7"/>
      <c r="B224" s="7"/>
      <c r="C224" s="3" t="s">
        <v>2464</v>
      </c>
      <c r="D224" s="3" t="s">
        <v>1963</v>
      </c>
      <c r="F224" s="3" t="s">
        <v>134</v>
      </c>
      <c r="G224" s="3" t="s">
        <v>2465</v>
      </c>
      <c r="H224" s="3" t="str">
        <f>"att_"&amp;G224</f>
        <v>att_offline_fractionation</v>
      </c>
      <c r="I224" s="3" t="s">
        <v>1962</v>
      </c>
      <c r="J224" s="3" t="str">
        <f>H224&amp;":"&amp;I224</f>
        <v>att_offline_fractionation:highph_hplc</v>
      </c>
      <c r="K224" s="6"/>
      <c r="L224" s="3" t="s">
        <v>1964</v>
      </c>
    </row>
    <row r="225" spans="1:15">
      <c r="A225" s="7"/>
      <c r="B225" s="7"/>
      <c r="C225" s="3" t="s">
        <v>2464</v>
      </c>
      <c r="D225" s="3" t="s">
        <v>1966</v>
      </c>
      <c r="F225" s="3" t="s">
        <v>134</v>
      </c>
      <c r="G225" s="3" t="s">
        <v>2465</v>
      </c>
      <c r="H225" s="3" t="str">
        <f>"att_"&amp;G225</f>
        <v>att_offline_fractionation</v>
      </c>
      <c r="I225" s="3" t="s">
        <v>1965</v>
      </c>
      <c r="J225" s="3" t="str">
        <f>H225&amp;":"&amp;I225</f>
        <v>att_offline_fractionation:highph_tip</v>
      </c>
      <c r="K225" s="6"/>
      <c r="L225" s="3" t="s">
        <v>1967</v>
      </c>
    </row>
    <row r="226" spans="1:15">
      <c r="A226" s="7"/>
      <c r="B226" s="7"/>
      <c r="C226" s="3" t="s">
        <v>2464</v>
      </c>
      <c r="D226" s="3" t="s">
        <v>1972</v>
      </c>
      <c r="F226" s="3" t="s">
        <v>134</v>
      </c>
      <c r="G226" s="3" t="s">
        <v>2465</v>
      </c>
      <c r="H226" s="3" t="str">
        <f>"att_"&amp;G226</f>
        <v>att_offline_fractionation</v>
      </c>
      <c r="I226" s="3" t="s">
        <v>1971</v>
      </c>
      <c r="J226" s="3" t="str">
        <f>H226&amp;":"&amp;I226</f>
        <v>att_offline_fractionation:scx</v>
      </c>
      <c r="K226" s="6"/>
      <c r="L226" s="3" t="s">
        <v>1973</v>
      </c>
    </row>
    <row r="227" spans="1:15">
      <c r="A227" s="7"/>
      <c r="B227" s="7"/>
      <c r="C227" s="3" t="s">
        <v>2464</v>
      </c>
      <c r="D227" s="3" t="s">
        <v>1969</v>
      </c>
      <c r="F227" s="3" t="s">
        <v>134</v>
      </c>
      <c r="G227" s="3" t="s">
        <v>2465</v>
      </c>
      <c r="H227" s="3" t="str">
        <f>"att_"&amp;G227</f>
        <v>att_offline_fractionation</v>
      </c>
      <c r="I227" s="3" t="s">
        <v>1968</v>
      </c>
      <c r="J227" s="3" t="str">
        <f>H227&amp;":"&amp;I227</f>
        <v>att_offline_fractionation:sax</v>
      </c>
      <c r="K227" s="6"/>
      <c r="L227" s="3" t="s">
        <v>1970</v>
      </c>
    </row>
    <row r="228" spans="1:15">
      <c r="A228" s="7"/>
      <c r="B228" s="7"/>
      <c r="K228" s="6"/>
    </row>
    <row r="229" spans="1:15">
      <c r="A229" s="7"/>
      <c r="B229" s="7"/>
      <c r="K229" s="6"/>
    </row>
    <row r="230" spans="1:15">
      <c r="A230" s="7" t="b">
        <f>TRUE()</f>
        <v>1</v>
      </c>
      <c r="C230" s="3" t="s">
        <v>1752</v>
      </c>
      <c r="D230" s="3" t="s">
        <v>1753</v>
      </c>
      <c r="E230" s="3" t="s">
        <v>12</v>
      </c>
      <c r="F230" s="3" t="s">
        <v>2466</v>
      </c>
      <c r="G230" s="3" t="s">
        <v>2467</v>
      </c>
      <c r="H230" s="3" t="str">
        <f t="shared" ref="H230:H248" si="16">"att_"&amp;G230</f>
        <v>att_instrument</v>
      </c>
      <c r="I230" s="3" t="s">
        <v>1752</v>
      </c>
      <c r="J230" s="3" t="str">
        <f t="shared" ref="J230:J248" si="17">H230&amp;":"&amp;I230</f>
        <v>att_instrument:e1</v>
      </c>
      <c r="K230" s="6" t="s">
        <v>16</v>
      </c>
      <c r="L230" s="3" t="s">
        <v>1754</v>
      </c>
      <c r="M230" s="3" t="s">
        <v>12</v>
      </c>
      <c r="N230" s="3"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3"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c r="A231" s="7" t="b">
        <f>TRUE()</f>
        <v>1</v>
      </c>
      <c r="C231" s="3" t="s">
        <v>1755</v>
      </c>
      <c r="D231" s="3" t="s">
        <v>1756</v>
      </c>
      <c r="E231" s="3" t="s">
        <v>12</v>
      </c>
      <c r="F231" s="3" t="s">
        <v>2466</v>
      </c>
      <c r="G231" s="3" t="s">
        <v>2467</v>
      </c>
      <c r="H231" s="3" t="str">
        <f t="shared" si="16"/>
        <v>att_instrument</v>
      </c>
      <c r="I231" s="3" t="s">
        <v>1755</v>
      </c>
      <c r="J231" s="3" t="str">
        <f t="shared" si="17"/>
        <v>att_instrument:e2</v>
      </c>
      <c r="K231" s="6" t="s">
        <v>16</v>
      </c>
      <c r="L231" s="3" t="s">
        <v>1757</v>
      </c>
      <c r="M231" s="3" t="s">
        <v>12</v>
      </c>
      <c r="N231" s="3" t="str">
        <f t="shared" si="18"/>
        <v>INSERT INTO attributes (parent_id, tag, name, priority, allow_as_filter, allow_for_dataset, allow_for_measurement, allow_for_users, allow_for_qc) VALUES (NULL, 'att_instrument',  'MS Instrument',  500,  TRUE, TRUE, TRUE, FALSE, FALSE);</v>
      </c>
      <c r="O231" s="3" t="str">
        <f t="shared" si="19"/>
        <v xml:space="preserve">INSERT INTO attribute_values (attribute_id, tag, name, details) VALUES ((SELECT id FROM attributes WHERE tag = 'att_instrument' LIMIT 1),  'att_instrument:e2',  'Boris (E2)',  'Boris'); </v>
      </c>
    </row>
    <row r="232" spans="1:15">
      <c r="A232" s="7" t="b">
        <f>TRUE()</f>
        <v>1</v>
      </c>
      <c r="C232" s="3" t="s">
        <v>1760</v>
      </c>
      <c r="D232" s="3" t="s">
        <v>1761</v>
      </c>
      <c r="E232" s="3" t="s">
        <v>12</v>
      </c>
      <c r="F232" s="3" t="s">
        <v>2466</v>
      </c>
      <c r="G232" s="3" t="s">
        <v>2467</v>
      </c>
      <c r="H232" s="3" t="str">
        <f t="shared" si="16"/>
        <v>att_instrument</v>
      </c>
      <c r="I232" s="3" t="s">
        <v>1760</v>
      </c>
      <c r="J232" s="3" t="str">
        <f t="shared" si="17"/>
        <v>att_instrument:ignarius</v>
      </c>
      <c r="K232" s="6" t="s">
        <v>16</v>
      </c>
      <c r="L232" s="3" t="s">
        <v>1762</v>
      </c>
      <c r="M232" s="3" t="s">
        <v>12</v>
      </c>
      <c r="N232" s="3" t="str">
        <f t="shared" si="18"/>
        <v>INSERT INTO attributes (parent_id, tag, name, priority, allow_as_filter, allow_for_dataset, allow_for_measurement, allow_for_users, allow_for_qc) VALUES (NULL, 'att_instrument',  'MS Instrument',  500,  TRUE, TRUE, TRUE, FALSE, FALSE);</v>
      </c>
      <c r="O232" s="3" t="str">
        <f t="shared" si="19"/>
        <v xml:space="preserve">INSERT INTO attribute_values (attribute_id, tag, name, details) VALUES ((SELECT id FROM attributes WHERE tag = 'att_instrument' LIMIT 1),  'att_instrument:ignarius',  'not known (yet)',  'unkown instrument / not known yet'); </v>
      </c>
    </row>
    <row r="233" spans="1:15">
      <c r="A233" s="7" t="b">
        <f>TRUE()</f>
        <v>1</v>
      </c>
      <c r="C233" s="3" t="s">
        <v>2468</v>
      </c>
      <c r="D233" s="3" t="s">
        <v>1764</v>
      </c>
      <c r="E233" s="3" t="s">
        <v>12</v>
      </c>
      <c r="F233" s="3" t="s">
        <v>2466</v>
      </c>
      <c r="G233" s="3" t="s">
        <v>2467</v>
      </c>
      <c r="H233" s="3" t="str">
        <f t="shared" si="16"/>
        <v>att_instrument</v>
      </c>
      <c r="I233" s="3" t="s">
        <v>2469</v>
      </c>
      <c r="J233" s="3" t="str">
        <f t="shared" si="17"/>
        <v>att_instrument:t</v>
      </c>
      <c r="K233" s="6" t="s">
        <v>16</v>
      </c>
      <c r="L233" s="3" t="s">
        <v>1765</v>
      </c>
      <c r="M233" s="3" t="s">
        <v>12</v>
      </c>
      <c r="N233" s="3" t="str">
        <f t="shared" si="18"/>
        <v>INSERT INTO attributes (parent_id, tag, name, priority, allow_as_filter, allow_for_dataset, allow_for_measurement, allow_for_users, allow_for_qc) VALUES (NULL, 'att_instrument',  'MS Instrument',  500,  TRUE, TRUE, TRUE, FALSE, FALSE);</v>
      </c>
      <c r="O233" s="3" t="str">
        <f t="shared" si="19"/>
        <v xml:space="preserve">INSERT INTO attribute_values (attribute_id, tag, name, details) VALUES ((SELECT id FROM attributes WHERE tag = 'att_instrument' LIMIT 1),  'att_instrument:t',  'TimsTOF (KrisTof)',  'TimsTOF'); </v>
      </c>
    </row>
    <row r="234" spans="1:15" s="9" customFormat="1">
      <c r="A234" s="8" t="b">
        <f>FALSE()</f>
        <v>0</v>
      </c>
      <c r="B234" s="8"/>
      <c r="C234" s="9" t="s">
        <v>2470</v>
      </c>
      <c r="D234" s="9" t="s">
        <v>2471</v>
      </c>
      <c r="E234" s="9" t="s">
        <v>12</v>
      </c>
      <c r="F234" s="9" t="s">
        <v>2472</v>
      </c>
      <c r="G234" s="9" t="s">
        <v>2473</v>
      </c>
      <c r="H234" s="9" t="str">
        <f t="shared" si="16"/>
        <v>att_knockout</v>
      </c>
      <c r="I234" s="9" t="s">
        <v>2470</v>
      </c>
      <c r="J234" s="9" t="str">
        <f t="shared" si="17"/>
        <v>att_knockout:casp1_dko</v>
      </c>
      <c r="K234" s="10" t="s">
        <v>16</v>
      </c>
      <c r="L234" s="9" t="s">
        <v>2474</v>
      </c>
      <c r="M234" s="9" t="s">
        <v>12</v>
      </c>
      <c r="N234" s="9" t="str">
        <f t="shared" si="18"/>
        <v>INSERT INTO attributes (parent_id, tag, name, priority, allow_as_filter, allow_for_dataset, allow_for_measurement, allow_for_users, allow_for_qc) VALUES (NULL, 'att_knockout',  'Gene Knockout',  500,  TRUE, TRUE, TRUE, FALSE, FALSE);</v>
      </c>
      <c r="O234" s="9" t="str">
        <f t="shared" si="19"/>
        <v xml:space="preserve">INSERT INTO attribute_values (attribute_id, tag, name, details) VALUES ((SELECT id FROM attributes WHERE tag = 'att_knockout' LIMIT 1),  'att_knockout:casp1_dko',  'Casp1 dKO',  'Casp1 −/−'); </v>
      </c>
    </row>
    <row r="235" spans="1:15" s="9" customFormat="1">
      <c r="A235" s="8" t="b">
        <f>FALSE()</f>
        <v>0</v>
      </c>
      <c r="B235" s="8"/>
      <c r="C235" s="9" t="s">
        <v>2475</v>
      </c>
      <c r="D235" s="9" t="s">
        <v>2476</v>
      </c>
      <c r="E235" s="9" t="s">
        <v>12</v>
      </c>
      <c r="F235" s="9" t="s">
        <v>2472</v>
      </c>
      <c r="G235" s="9" t="s">
        <v>2473</v>
      </c>
      <c r="H235" s="9" t="str">
        <f t="shared" si="16"/>
        <v>att_knockout</v>
      </c>
      <c r="I235" s="9" t="s">
        <v>2475</v>
      </c>
      <c r="J235" s="9" t="str">
        <f t="shared" si="17"/>
        <v>att_knockout:casp11_dko</v>
      </c>
      <c r="K235" s="10" t="s">
        <v>16</v>
      </c>
      <c r="L235" s="9" t="s">
        <v>2477</v>
      </c>
      <c r="M235" s="9" t="s">
        <v>12</v>
      </c>
      <c r="N235" s="9" t="str">
        <f t="shared" si="18"/>
        <v>INSERT INTO attributes (parent_id, tag, name, priority, allow_as_filter, allow_for_dataset, allow_for_measurement, allow_for_users, allow_for_qc) VALUES (NULL, 'att_knockout',  'Gene Knockout',  500,  TRUE, TRUE, TRUE, FALSE, FALSE);</v>
      </c>
      <c r="O235" s="9" t="str">
        <f t="shared" si="19"/>
        <v xml:space="preserve">INSERT INTO attribute_values (attribute_id, tag, name, details) VALUES ((SELECT id FROM attributes WHERE tag = 'att_knockout' LIMIT 1),  'att_knockout:casp11_dko',  'Casp11 dKO',  'Casp11 −/−'); </v>
      </c>
    </row>
    <row r="236" spans="1:15" s="9" customFormat="1">
      <c r="A236" s="8" t="b">
        <f>FALSE()</f>
        <v>0</v>
      </c>
      <c r="B236" s="8"/>
      <c r="C236" s="9" t="s">
        <v>2478</v>
      </c>
      <c r="D236" s="9" t="s">
        <v>2479</v>
      </c>
      <c r="E236" s="9" t="s">
        <v>12</v>
      </c>
      <c r="F236" s="9" t="s">
        <v>2472</v>
      </c>
      <c r="G236" s="9" t="s">
        <v>2473</v>
      </c>
      <c r="H236" s="9" t="str">
        <f t="shared" si="16"/>
        <v>att_knockout</v>
      </c>
      <c r="I236" s="9" t="s">
        <v>2478</v>
      </c>
      <c r="J236" s="9" t="str">
        <f t="shared" si="17"/>
        <v>att_knockout:gsdmd_dko</v>
      </c>
      <c r="K236" s="10" t="s">
        <v>16</v>
      </c>
      <c r="L236" s="9" t="s">
        <v>2480</v>
      </c>
      <c r="M236" s="9" t="s">
        <v>12</v>
      </c>
      <c r="N236" s="9" t="str">
        <f t="shared" si="18"/>
        <v>INSERT INTO attributes (parent_id, tag, name, priority, allow_as_filter, allow_for_dataset, allow_for_measurement, allow_for_users, allow_for_qc) VALUES (NULL, 'att_knockout',  'Gene Knockout',  500,  TRUE, TRUE, TRUE, FALSE, FALSE);</v>
      </c>
      <c r="O236" s="9" t="str">
        <f t="shared" si="19"/>
        <v xml:space="preserve">INSERT INTO attribute_values (attribute_id, tag, name, details) VALUES ((SELECT id FROM attributes WHERE tag = 'att_knockout' LIMIT 1),  'att_knockout:gsdmd_dko',  'Gsdmd dKO',  'Gsdmd −/−'); </v>
      </c>
    </row>
    <row r="237" spans="1:15" s="9" customFormat="1">
      <c r="A237" s="8" t="b">
        <f>FALSE()</f>
        <v>0</v>
      </c>
      <c r="B237" s="8"/>
      <c r="C237" s="9" t="s">
        <v>2481</v>
      </c>
      <c r="D237" s="9" t="s">
        <v>2482</v>
      </c>
      <c r="E237" s="9" t="s">
        <v>12</v>
      </c>
      <c r="F237" s="9" t="s">
        <v>2472</v>
      </c>
      <c r="G237" s="9" t="s">
        <v>2473</v>
      </c>
      <c r="H237" s="9" t="str">
        <f t="shared" si="16"/>
        <v>att_knockout</v>
      </c>
      <c r="I237" s="9" t="s">
        <v>2483</v>
      </c>
      <c r="J237" s="9" t="str">
        <f t="shared" si="17"/>
        <v>att_knockout:il18r_dko</v>
      </c>
      <c r="K237" s="10" t="s">
        <v>16</v>
      </c>
      <c r="L237" s="9" t="s">
        <v>2484</v>
      </c>
      <c r="M237" s="9" t="s">
        <v>12</v>
      </c>
      <c r="N237" s="9" t="str">
        <f t="shared" si="18"/>
        <v>INSERT INTO attributes (parent_id, tag, name, priority, allow_as_filter, allow_for_dataset, allow_for_measurement, allow_for_users, allow_for_qc) VALUES (NULL, 'att_knockout',  'Gene Knockout',  500,  TRUE, TRUE, TRUE, FALSE, FALSE);</v>
      </c>
      <c r="O237" s="9" t="str">
        <f t="shared" si="19"/>
        <v xml:space="preserve">INSERT INTO attribute_values (attribute_id, tag, name, details) VALUES ((SELECT id FROM attributes WHERE tag = 'att_knockout' LIMIT 1),  'att_knockout:il18r_dko',  'Il18r dKO',  'Il18r −/−'); </v>
      </c>
    </row>
    <row r="238" spans="1:15" s="9" customFormat="1">
      <c r="A238" s="8" t="b">
        <f>FALSE()</f>
        <v>0</v>
      </c>
      <c r="B238" s="8"/>
      <c r="C238" s="9" t="s">
        <v>2485</v>
      </c>
      <c r="D238" s="9" t="s">
        <v>2486</v>
      </c>
      <c r="E238" s="9" t="s">
        <v>12</v>
      </c>
      <c r="F238" s="9" t="s">
        <v>2472</v>
      </c>
      <c r="G238" s="9" t="s">
        <v>2473</v>
      </c>
      <c r="H238" s="9" t="str">
        <f t="shared" si="16"/>
        <v>att_knockout</v>
      </c>
      <c r="I238" s="9" t="s">
        <v>2487</v>
      </c>
      <c r="J238" s="9" t="str">
        <f t="shared" si="17"/>
        <v>att_knockout:il1r_dko</v>
      </c>
      <c r="K238" s="10" t="s">
        <v>16</v>
      </c>
      <c r="L238" s="9" t="s">
        <v>2488</v>
      </c>
      <c r="M238" s="9" t="s">
        <v>12</v>
      </c>
      <c r="N238" s="9" t="str">
        <f t="shared" si="18"/>
        <v>INSERT INTO attributes (parent_id, tag, name, priority, allow_as_filter, allow_for_dataset, allow_for_measurement, allow_for_users, allow_for_qc) VALUES (NULL, 'att_knockout',  'Gene Knockout',  500,  TRUE, TRUE, TRUE, FALSE, FALSE);</v>
      </c>
      <c r="O238" s="9" t="str">
        <f t="shared" si="19"/>
        <v xml:space="preserve">INSERT INTO attribute_values (attribute_id, tag, name, details) VALUES ((SELECT id FROM attributes WHERE tag = 'att_knockout' LIMIT 1),  'att_knockout:il1r_dko',  'Il1r dKO',  'Il1r −/−'); </v>
      </c>
    </row>
    <row r="239" spans="1:15" s="9" customFormat="1">
      <c r="A239" s="8" t="b">
        <f>FALSE()</f>
        <v>0</v>
      </c>
      <c r="B239" s="8"/>
      <c r="C239" s="9" t="s">
        <v>2489</v>
      </c>
      <c r="D239" s="9" t="s">
        <v>2490</v>
      </c>
      <c r="E239" s="9" t="s">
        <v>12</v>
      </c>
      <c r="F239" s="9" t="s">
        <v>2472</v>
      </c>
      <c r="G239" s="9" t="s">
        <v>2473</v>
      </c>
      <c r="H239" s="9" t="str">
        <f t="shared" si="16"/>
        <v>att_knockout</v>
      </c>
      <c r="I239" s="9" t="s">
        <v>2489</v>
      </c>
      <c r="J239" s="9" t="str">
        <f t="shared" si="17"/>
        <v>att_knockout:tlr4_dko</v>
      </c>
      <c r="K239" s="10" t="s">
        <v>16</v>
      </c>
      <c r="L239" s="9" t="s">
        <v>2491</v>
      </c>
      <c r="M239" s="9" t="s">
        <v>12</v>
      </c>
      <c r="N239" s="9" t="str">
        <f t="shared" si="18"/>
        <v>INSERT INTO attributes (parent_id, tag, name, priority, allow_as_filter, allow_for_dataset, allow_for_measurement, allow_for_users, allow_for_qc) VALUES (NULL, 'att_knockout',  'Gene Knockout',  500,  TRUE, TRUE, TRUE, FALSE, FALSE);</v>
      </c>
      <c r="O239" s="9" t="str">
        <f t="shared" si="19"/>
        <v xml:space="preserve">INSERT INTO attribute_values (attribute_id, tag, name, details) VALUES ((SELECT id FROM attributes WHERE tag = 'att_knockout' LIMIT 1),  'att_knockout:tlr4_dko',  'Tlr4 dKO',  'Tlr4 −/−'); </v>
      </c>
    </row>
    <row r="240" spans="1:15">
      <c r="A240" s="6" t="s">
        <v>16</v>
      </c>
      <c r="B240" s="6"/>
      <c r="C240" s="3" t="s">
        <v>1204</v>
      </c>
      <c r="D240" s="3" t="s">
        <v>1205</v>
      </c>
      <c r="E240" s="3" t="s">
        <v>12</v>
      </c>
      <c r="F240" s="3" t="s">
        <v>102</v>
      </c>
      <c r="G240" s="3" t="s">
        <v>2492</v>
      </c>
      <c r="H240" s="3" t="str">
        <f t="shared" si="16"/>
        <v>att_lc_system</v>
      </c>
      <c r="I240" s="3" t="s">
        <v>1204</v>
      </c>
      <c r="J240" s="3" t="str">
        <f t="shared" si="17"/>
        <v>att_lc_system:easylc1</v>
      </c>
      <c r="K240" s="6" t="s">
        <v>16</v>
      </c>
      <c r="L240" s="3" t="s">
        <v>1205</v>
      </c>
      <c r="M240" s="3" t="s">
        <v>12</v>
      </c>
      <c r="N240" s="3" t="str">
        <f t="shared" si="18"/>
        <v>INSERT INTO attributes (parent_id, tag, name, priority, allow_as_filter, allow_for_dataset, allow_for_measurement, allow_for_users, allow_for_qc) VALUES (NULL, 'att_lc_system',  'LC System',  500,  TRUE, TRUE, TRUE, FALSE, FALSE);</v>
      </c>
      <c r="O240" s="3" t="str">
        <f t="shared" si="19"/>
        <v xml:space="preserve">INSERT INTO attribute_values (attribute_id, tag, name, details) VALUES ((SELECT id FROM attributes WHERE tag = 'att_lc_system' LIMIT 1),  'att_lc_system:easylc1',  'Easy LC1',  'Easy LC1'); </v>
      </c>
    </row>
    <row r="241" spans="1:15">
      <c r="A241" s="6" t="s">
        <v>16</v>
      </c>
      <c r="B241" s="6"/>
      <c r="C241" s="3" t="s">
        <v>1206</v>
      </c>
      <c r="D241" s="3" t="s">
        <v>1207</v>
      </c>
      <c r="E241" s="3" t="s">
        <v>12</v>
      </c>
      <c r="F241" s="3" t="s">
        <v>102</v>
      </c>
      <c r="G241" s="3" t="s">
        <v>2492</v>
      </c>
      <c r="H241" s="3" t="str">
        <f t="shared" si="16"/>
        <v>att_lc_system</v>
      </c>
      <c r="I241" s="3" t="s">
        <v>1206</v>
      </c>
      <c r="J241" s="3" t="str">
        <f t="shared" si="17"/>
        <v>att_lc_system:easylc2</v>
      </c>
      <c r="K241" s="6" t="s">
        <v>16</v>
      </c>
      <c r="L241" s="3" t="s">
        <v>1207</v>
      </c>
      <c r="M241" s="3" t="s">
        <v>12</v>
      </c>
      <c r="N241" s="3" t="str">
        <f t="shared" si="18"/>
        <v>INSERT INTO attributes (parent_id, tag, name, priority, allow_as_filter, allow_for_dataset, allow_for_measurement, allow_for_users, allow_for_qc) VALUES (NULL, 'att_lc_system',  'LC System',  500,  TRUE, TRUE, TRUE, FALSE, FALSE);</v>
      </c>
      <c r="O241" s="3" t="str">
        <f t="shared" si="19"/>
        <v xml:space="preserve">INSERT INTO attribute_values (attribute_id, tag, name, details) VALUES ((SELECT id FROM attributes WHERE tag = 'att_lc_system' LIMIT 1),  'att_lc_system:easylc2',  'Easy LC2',  'Easy LC2'); </v>
      </c>
    </row>
    <row r="242" spans="1:15">
      <c r="A242" s="6" t="s">
        <v>16</v>
      </c>
      <c r="B242" s="6"/>
      <c r="C242" s="3" t="s">
        <v>1208</v>
      </c>
      <c r="D242" s="3" t="s">
        <v>1209</v>
      </c>
      <c r="E242" s="3" t="s">
        <v>12</v>
      </c>
      <c r="F242" s="3" t="s">
        <v>102</v>
      </c>
      <c r="G242" s="3" t="s">
        <v>2492</v>
      </c>
      <c r="H242" s="3" t="str">
        <f t="shared" si="16"/>
        <v>att_lc_system</v>
      </c>
      <c r="I242" s="3" t="s">
        <v>1208</v>
      </c>
      <c r="J242" s="3" t="str">
        <f t="shared" si="17"/>
        <v>att_lc_system:evosep1</v>
      </c>
      <c r="K242" s="6" t="s">
        <v>16</v>
      </c>
      <c r="L242" s="3" t="s">
        <v>1210</v>
      </c>
      <c r="M242" s="3" t="s">
        <v>12</v>
      </c>
      <c r="N242" s="3" t="str">
        <f t="shared" si="18"/>
        <v>INSERT INTO attributes (parent_id, tag, name, priority, allow_as_filter, allow_for_dataset, allow_for_measurement, allow_for_users, allow_for_qc) VALUES (NULL, 'att_lc_system',  'LC System',  500,  TRUE, TRUE, TRUE, FALSE, FALSE);</v>
      </c>
      <c r="O242" s="3" t="str">
        <f t="shared" si="19"/>
        <v xml:space="preserve">INSERT INTO attribute_values (attribute_id, tag, name, details) VALUES ((SELECT id FROM attributes WHERE tag = 'att_lc_system' LIMIT 1),  'att_lc_system:evosep1',  'Evosep1',  'Evosep 1'); </v>
      </c>
    </row>
    <row r="243" spans="1:15">
      <c r="A243" s="6" t="s">
        <v>16</v>
      </c>
      <c r="B243" s="6"/>
      <c r="C243" s="3" t="s">
        <v>1211</v>
      </c>
      <c r="D243" s="3" t="s">
        <v>1212</v>
      </c>
      <c r="E243" s="3" t="s">
        <v>12</v>
      </c>
      <c r="F243" s="3" t="s">
        <v>102</v>
      </c>
      <c r="G243" s="3" t="s">
        <v>2492</v>
      </c>
      <c r="H243" s="3" t="str">
        <f t="shared" si="16"/>
        <v>att_lc_system</v>
      </c>
      <c r="I243" s="3" t="s">
        <v>1211</v>
      </c>
      <c r="J243" s="3" t="str">
        <f t="shared" si="17"/>
        <v>att_lc_system:vanquishneo1</v>
      </c>
      <c r="K243" s="6" t="s">
        <v>16</v>
      </c>
      <c r="L243" s="3" t="s">
        <v>1212</v>
      </c>
      <c r="M243" s="3" t="s">
        <v>12</v>
      </c>
      <c r="N243" s="3" t="str">
        <f t="shared" si="18"/>
        <v>INSERT INTO attributes (parent_id, tag, name, priority, allow_as_filter, allow_for_dataset, allow_for_measurement, allow_for_users, allow_for_qc) VALUES (NULL, 'att_lc_system',  'LC System',  500,  TRUE, TRUE, TRUE, FALSE, FALSE);</v>
      </c>
      <c r="O243" s="3" t="str">
        <f t="shared" si="19"/>
        <v xml:space="preserve">INSERT INTO attribute_values (attribute_id, tag, name, details) VALUES ((SELECT id FROM attributes WHERE tag = 'att_lc_system' LIMIT 1),  'att_lc_system:vanquishneo1',  'Vanquish Neo1',  'Vanquish Neo1'); </v>
      </c>
    </row>
    <row r="244" spans="1:15">
      <c r="A244" s="7" t="b">
        <f>FALSE()</f>
        <v>0</v>
      </c>
      <c r="B244" s="7"/>
      <c r="C244" s="3" t="s">
        <v>1706</v>
      </c>
      <c r="D244" s="3" t="s">
        <v>1708</v>
      </c>
      <c r="E244" s="3" t="s">
        <v>12</v>
      </c>
      <c r="F244" s="3" t="s">
        <v>2493</v>
      </c>
      <c r="G244" s="3" t="s">
        <v>2494</v>
      </c>
      <c r="H244" s="3" t="str">
        <f t="shared" si="16"/>
        <v>att_mockup</v>
      </c>
      <c r="I244" s="3" t="s">
        <v>1706</v>
      </c>
      <c r="J244" s="3" t="str">
        <f t="shared" si="17"/>
        <v>att_mockup:arbitrary</v>
      </c>
      <c r="K244" s="6" t="s">
        <v>16</v>
      </c>
      <c r="L244" s="3" t="s">
        <v>1709</v>
      </c>
      <c r="M244" s="3" t="s">
        <v>12</v>
      </c>
      <c r="N244" s="3" t="str">
        <f t="shared" si="18"/>
        <v>INSERT INTO attributes (parent_id, tag, name, priority, allow_as_filter, allow_for_dataset, allow_for_measurement, allow_for_users, allow_for_qc) VALUES (NULL, 'att_mockup',  'Mockup',  500,  TRUE, TRUE, TRUE, FALSE, FALSE);</v>
      </c>
      <c r="O244" s="3" t="str">
        <f t="shared" si="19"/>
        <v xml:space="preserve">INSERT INTO attribute_values (attribute_id, tag, name, details) VALUES ((SELECT id FROM attributes WHERE tag = 'att_mockup' LIMIT 1),  'att_mockup:arbitrary',  'Arbitrary',  'Mock categorie that can be used'); </v>
      </c>
    </row>
    <row r="245" spans="1:15">
      <c r="A245" s="7" t="b">
        <f>FALSE()</f>
        <v>0</v>
      </c>
      <c r="B245" s="7"/>
      <c r="C245" s="3" t="s">
        <v>1710</v>
      </c>
      <c r="D245" s="3" t="s">
        <v>1711</v>
      </c>
      <c r="E245" s="3" t="s">
        <v>12</v>
      </c>
      <c r="F245" s="3" t="s">
        <v>2493</v>
      </c>
      <c r="G245" s="3" t="s">
        <v>2494</v>
      </c>
      <c r="H245" s="3" t="str">
        <f t="shared" si="16"/>
        <v>att_mockup</v>
      </c>
      <c r="I245" s="3" t="s">
        <v>1710</v>
      </c>
      <c r="J245" s="3" t="str">
        <f t="shared" si="17"/>
        <v>att_mockup:random</v>
      </c>
      <c r="K245" s="6" t="s">
        <v>16</v>
      </c>
      <c r="L245" s="3" t="s">
        <v>1709</v>
      </c>
      <c r="M245" s="3" t="s">
        <v>12</v>
      </c>
      <c r="N245" s="3" t="str">
        <f t="shared" si="18"/>
        <v>INSERT INTO attributes (parent_id, tag, name, priority, allow_as_filter, allow_for_dataset, allow_for_measurement, allow_for_users, allow_for_qc) VALUES (NULL, 'att_mockup',  'Mockup',  500,  TRUE, TRUE, TRUE, FALSE, FALSE);</v>
      </c>
      <c r="O245" s="3" t="str">
        <f t="shared" si="19"/>
        <v xml:space="preserve">INSERT INTO attribute_values (attribute_id, tag, name, details) VALUES ((SELECT id FROM attributes WHERE tag = 'att_mockup' LIMIT 1),  'att_mockup:random',  'Random',  'Mock categorie that can be used'); </v>
      </c>
    </row>
    <row r="246" spans="1:15">
      <c r="A246" s="7" t="b">
        <f>FALSE()</f>
        <v>0</v>
      </c>
      <c r="B246" s="7"/>
      <c r="C246" s="3" t="s">
        <v>2495</v>
      </c>
      <c r="D246" s="3" t="s">
        <v>1713</v>
      </c>
      <c r="E246" s="3" t="s">
        <v>12</v>
      </c>
      <c r="F246" s="3" t="s">
        <v>114</v>
      </c>
      <c r="G246" s="3" t="s">
        <v>2496</v>
      </c>
      <c r="H246" s="3" t="str">
        <f t="shared" si="16"/>
        <v>att_model</v>
      </c>
      <c r="I246" s="3" t="s">
        <v>1712</v>
      </c>
      <c r="J246" s="3" t="str">
        <f t="shared" si="17"/>
        <v>att_model:in_vitro</v>
      </c>
      <c r="K246" s="6" t="s">
        <v>16</v>
      </c>
      <c r="L246" s="3" t="s">
        <v>1714</v>
      </c>
      <c r="M246" s="3" t="s">
        <v>12</v>
      </c>
      <c r="N246" s="3" t="str">
        <f t="shared" si="18"/>
        <v>INSERT INTO attributes (parent_id, tag, name, priority, allow_as_filter, allow_for_dataset, allow_for_measurement, allow_for_users, allow_for_qc) VALUES (NULL, 'att_model',  'Model',  500,  TRUE, TRUE, TRUE, FALSE, FALSE);</v>
      </c>
      <c r="O246" s="3" t="str">
        <f t="shared" si="19"/>
        <v xml:space="preserve">INSERT INTO attribute_values (attribute_id, tag, name, details) VALUES ((SELECT id FROM attributes WHERE tag = 'att_model' LIMIT 1),  'att_model:in_vitro',  'In vitro',  'in the glass'); </v>
      </c>
    </row>
    <row r="247" spans="1:15">
      <c r="A247" s="7" t="b">
        <f>FALSE()</f>
        <v>0</v>
      </c>
      <c r="B247" s="7"/>
      <c r="C247" s="3" t="s">
        <v>2497</v>
      </c>
      <c r="D247" s="3" t="s">
        <v>1716</v>
      </c>
      <c r="E247" s="3" t="s">
        <v>12</v>
      </c>
      <c r="F247" s="3" t="s">
        <v>114</v>
      </c>
      <c r="G247" s="3" t="s">
        <v>2496</v>
      </c>
      <c r="H247" s="3" t="str">
        <f t="shared" si="16"/>
        <v>att_model</v>
      </c>
      <c r="I247" s="3" t="s">
        <v>1715</v>
      </c>
      <c r="J247" s="3" t="str">
        <f t="shared" si="17"/>
        <v>att_model:in_vivo</v>
      </c>
      <c r="K247" s="6" t="s">
        <v>16</v>
      </c>
      <c r="L247" s="3" t="s">
        <v>1717</v>
      </c>
      <c r="M247" s="3" t="s">
        <v>12</v>
      </c>
      <c r="N247" s="3" t="str">
        <f t="shared" si="18"/>
        <v>INSERT INTO attributes (parent_id, tag, name, priority, allow_as_filter, allow_for_dataset, allow_for_measurement, allow_for_users, allow_for_qc) VALUES (NULL, 'att_model',  'Model',  500,  TRUE, TRUE, TRUE, FALSE, FALSE);</v>
      </c>
      <c r="O247" s="3" t="str">
        <f t="shared" si="19"/>
        <v xml:space="preserve">INSERT INTO attribute_values (attribute_id, tag, name, details) VALUES ((SELECT id FROM attributes WHERE tag = 'att_model' LIMIT 1),  'att_model:in_vivo',  'In vivo',  'within the living'); </v>
      </c>
    </row>
    <row r="248" spans="1:15">
      <c r="A248" s="7" t="b">
        <f>FALSE()</f>
        <v>0</v>
      </c>
      <c r="B248" s="7"/>
      <c r="C248" s="3" t="s">
        <v>1718</v>
      </c>
      <c r="D248" s="3" t="s">
        <v>1718</v>
      </c>
      <c r="E248" s="3" t="s">
        <v>12</v>
      </c>
      <c r="F248" s="3" t="s">
        <v>114</v>
      </c>
      <c r="G248" s="3" t="s">
        <v>2496</v>
      </c>
      <c r="H248" s="3" t="str">
        <f t="shared" si="16"/>
        <v>att_model</v>
      </c>
      <c r="I248" s="3" t="s">
        <v>1718</v>
      </c>
      <c r="J248" s="3" t="str">
        <f t="shared" si="17"/>
        <v>att_model:xenografts</v>
      </c>
      <c r="K248" s="6" t="s">
        <v>16</v>
      </c>
      <c r="L248" s="3" t="s">
        <v>1719</v>
      </c>
      <c r="M248" s="3" t="s">
        <v>12</v>
      </c>
      <c r="N248" s="3" t="str">
        <f t="shared" si="18"/>
        <v>INSERT INTO attributes (parent_id, tag, name, priority, allow_as_filter, allow_for_dataset, allow_for_measurement, allow_for_users, allow_for_qc) VALUES (NULL, 'att_model',  'Model',  500,  TRUE, TRUE, TRUE, FALSE, FALSE);</v>
      </c>
      <c r="O248" s="3" t="str">
        <f t="shared" si="19"/>
        <v xml:space="preserve">INSERT INTO attribute_values (attribute_id, tag, name, details) VALUES ((SELECT id FROM attributes WHERE tag = 'att_model' LIMIT 1),  'att_model:xenografts',  'xenografts',  'Tissue or cells implanted into a model animal'); </v>
      </c>
    </row>
    <row r="249" spans="1:15">
      <c r="A249" s="7"/>
      <c r="B249" s="7"/>
      <c r="K249" s="6"/>
    </row>
    <row r="250" spans="1:15">
      <c r="A250" s="7"/>
      <c r="B250" s="7"/>
      <c r="C250" s="3" t="s">
        <v>2498</v>
      </c>
      <c r="D250" s="3" t="s">
        <v>614</v>
      </c>
      <c r="F250" s="3" t="s">
        <v>49</v>
      </c>
      <c r="G250" s="3" t="s">
        <v>2499</v>
      </c>
      <c r="H250" s="3" t="str">
        <f t="shared" ref="H250:H255" si="20">"att_"&amp;G250</f>
        <v>att_column_type</v>
      </c>
      <c r="I250" s="3" t="s">
        <v>613</v>
      </c>
      <c r="J250" s="3" t="str">
        <f t="shared" ref="J250:J255" si="21">H250&amp;":"&amp;I250</f>
        <v>att_column_type:aurora</v>
      </c>
      <c r="K250" s="6"/>
      <c r="L250" s="3" t="s">
        <v>615</v>
      </c>
      <c r="N250" s="3"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c r="A251" s="7"/>
      <c r="B251" s="7"/>
      <c r="C251" s="3" t="s">
        <v>2500</v>
      </c>
      <c r="D251" s="3" t="s">
        <v>620</v>
      </c>
      <c r="F251" s="3" t="s">
        <v>49</v>
      </c>
      <c r="G251" s="3" t="s">
        <v>2499</v>
      </c>
      <c r="H251" s="3" t="str">
        <f t="shared" si="20"/>
        <v>att_column_type</v>
      </c>
      <c r="I251" s="3" t="s">
        <v>619</v>
      </c>
      <c r="J251" s="3" t="str">
        <f t="shared" si="21"/>
        <v>att_column_type:inhouse</v>
      </c>
      <c r="K251" s="6"/>
      <c r="L251" s="3" t="s">
        <v>621</v>
      </c>
      <c r="N251" s="3"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c r="B252" s="7"/>
      <c r="C252" s="3" t="s">
        <v>2501</v>
      </c>
      <c r="D252" s="3" t="s">
        <v>617</v>
      </c>
      <c r="F252" s="3" t="s">
        <v>49</v>
      </c>
      <c r="G252" s="3" t="s">
        <v>2499</v>
      </c>
      <c r="H252" s="3" t="str">
        <f t="shared" si="20"/>
        <v>att_column_type</v>
      </c>
      <c r="I252" s="3" t="s">
        <v>616</v>
      </c>
      <c r="J252" s="3" t="str">
        <f t="shared" si="21"/>
        <v>att_column_type:easyspray</v>
      </c>
      <c r="K252" s="6"/>
      <c r="L252" s="3" t="s">
        <v>618</v>
      </c>
    </row>
    <row r="253" spans="1:15">
      <c r="A253" s="7"/>
      <c r="B253" s="7"/>
      <c r="C253" s="3" t="s">
        <v>2502</v>
      </c>
      <c r="D253" s="3" t="s">
        <v>629</v>
      </c>
      <c r="F253" s="3" t="s">
        <v>49</v>
      </c>
      <c r="G253" s="3" t="s">
        <v>2499</v>
      </c>
      <c r="H253" s="3" t="str">
        <f t="shared" si="20"/>
        <v>att_column_type</v>
      </c>
      <c r="I253" s="3" t="s">
        <v>628</v>
      </c>
      <c r="J253" s="3" t="str">
        <f t="shared" si="21"/>
        <v>att_column_type:upac_neo</v>
      </c>
      <c r="K253" s="6"/>
      <c r="L253" s="3" t="s">
        <v>630</v>
      </c>
    </row>
    <row r="254" spans="1:15">
      <c r="A254" s="7"/>
      <c r="B254" s="7"/>
      <c r="C254" s="3" t="s">
        <v>2503</v>
      </c>
      <c r="D254" s="11" t="s">
        <v>623</v>
      </c>
      <c r="F254" s="3" t="s">
        <v>49</v>
      </c>
      <c r="G254" s="3" t="s">
        <v>2499</v>
      </c>
      <c r="H254" s="3" t="str">
        <f t="shared" si="20"/>
        <v>att_column_type</v>
      </c>
      <c r="I254" s="3" t="s">
        <v>622</v>
      </c>
      <c r="J254" s="3" t="str">
        <f t="shared" si="21"/>
        <v>att_column_type:upac_doubleviper</v>
      </c>
      <c r="K254" s="6"/>
      <c r="L254" s="3" t="s">
        <v>624</v>
      </c>
    </row>
    <row r="255" spans="1:15">
      <c r="A255" s="7"/>
      <c r="B255" s="7"/>
      <c r="C255" s="3" t="s">
        <v>2502</v>
      </c>
      <c r="D255" s="11" t="s">
        <v>626</v>
      </c>
      <c r="F255" s="3" t="s">
        <v>49</v>
      </c>
      <c r="G255" s="3" t="s">
        <v>2499</v>
      </c>
      <c r="H255" s="3" t="str">
        <f t="shared" si="20"/>
        <v>att_column_type</v>
      </c>
      <c r="I255" s="3" t="s">
        <v>625</v>
      </c>
      <c r="J255" s="3" t="str">
        <f t="shared" si="21"/>
        <v>att_column_type:upac_low_loadneo</v>
      </c>
      <c r="K255" s="6"/>
      <c r="L255" s="3" t="s">
        <v>627</v>
      </c>
    </row>
    <row r="256" spans="1:15">
      <c r="A256" s="7"/>
      <c r="B256" s="7"/>
      <c r="D256" s="11"/>
      <c r="K256" s="6"/>
    </row>
    <row r="257" spans="1:15">
      <c r="A257" s="6" t="s">
        <v>16</v>
      </c>
      <c r="B257" s="6"/>
      <c r="C257" s="3" t="s">
        <v>2504</v>
      </c>
      <c r="D257" s="3" t="s">
        <v>2505</v>
      </c>
      <c r="E257" s="3" t="s">
        <v>12</v>
      </c>
      <c r="F257" s="3" t="s">
        <v>2506</v>
      </c>
      <c r="G257" s="3" t="s">
        <v>2507</v>
      </c>
      <c r="H257" s="3" t="str">
        <f t="shared" ref="H257:H262" si="22">"att_"&amp;G257</f>
        <v>att_mslc_column_configuration</v>
      </c>
      <c r="I257" s="3" t="s">
        <v>606</v>
      </c>
      <c r="J257" s="3" t="str">
        <f t="shared" ref="J257:J262" si="23">H257&amp;":"&amp;I257</f>
        <v>att_mslc_column_configuration:15cm</v>
      </c>
      <c r="K257" s="6" t="s">
        <v>16</v>
      </c>
      <c r="L257" s="3" t="s">
        <v>2508</v>
      </c>
      <c r="M257" s="3" t="s">
        <v>12</v>
      </c>
      <c r="N257" s="3"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3"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c r="A258" s="6" t="s">
        <v>16</v>
      </c>
      <c r="B258" s="6"/>
      <c r="C258" s="3" t="s">
        <v>2509</v>
      </c>
      <c r="D258" s="3" t="s">
        <v>2510</v>
      </c>
      <c r="E258" s="3" t="s">
        <v>12</v>
      </c>
      <c r="F258" s="3" t="s">
        <v>2506</v>
      </c>
      <c r="G258" s="3" t="s">
        <v>2507</v>
      </c>
      <c r="H258" s="3" t="str">
        <f t="shared" si="22"/>
        <v>att_mslc_column_configuration</v>
      </c>
      <c r="I258" s="3" t="s">
        <v>2511</v>
      </c>
      <c r="J258" s="3" t="str">
        <f t="shared" si="23"/>
        <v>att_mslc_column_configuration:25cm</v>
      </c>
      <c r="K258" s="6" t="s">
        <v>16</v>
      </c>
      <c r="L258" s="3" t="s">
        <v>2512</v>
      </c>
      <c r="M258" s="3" t="s">
        <v>12</v>
      </c>
      <c r="N258" s="3" t="str">
        <f t="shared" si="24"/>
        <v>INSERT INTO attributes (parent_id, tag, name, priority, allow_as_filter, allow_for_dataset, allow_for_measurement, allow_for_users, allow_for_qc) VALUES (NULL, 'att_mslc_column_configuration',  'LC Column Configuration',  500,  TRUE, TRUE, TRUE, FALSE, FALSE);</v>
      </c>
      <c r="O258" s="3" t="str">
        <f t="shared" si="25"/>
        <v xml:space="preserve">INSERT INTO attribute_values (attribute_id, tag, name, details) VALUES ((SELECT id FROM attributes WHERE tag = 'att_mslc_column_configuration' LIMIT 1),  'att_mslc_column_configuration:25cm',  'Auroa 25 cm',  'Auroa 25 cm MS Column'); </v>
      </c>
    </row>
    <row r="259" spans="1:15">
      <c r="A259" s="6" t="s">
        <v>16</v>
      </c>
      <c r="B259" s="6"/>
      <c r="C259" s="3" t="s">
        <v>2513</v>
      </c>
      <c r="D259" s="3" t="s">
        <v>2514</v>
      </c>
      <c r="E259" s="3" t="s">
        <v>12</v>
      </c>
      <c r="F259" s="3" t="s">
        <v>2506</v>
      </c>
      <c r="G259" s="3" t="s">
        <v>2507</v>
      </c>
      <c r="H259" s="3" t="str">
        <f t="shared" si="22"/>
        <v>att_mslc_column_configuration</v>
      </c>
      <c r="I259" s="3" t="s">
        <v>607</v>
      </c>
      <c r="J259" s="3" t="str">
        <f t="shared" si="23"/>
        <v>att_mslc_column_configuration:30cm</v>
      </c>
      <c r="K259" s="6" t="s">
        <v>16</v>
      </c>
      <c r="L259" s="3" t="s">
        <v>2515</v>
      </c>
      <c r="M259" s="3" t="s">
        <v>12</v>
      </c>
      <c r="N259" s="3" t="str">
        <f t="shared" si="24"/>
        <v>INSERT INTO attributes (parent_id, tag, name, priority, allow_as_filter, allow_for_dataset, allow_for_measurement, allow_for_users, allow_for_qc) VALUES (NULL, 'att_mslc_column_configuration',  'LC Column Configuration',  500,  TRUE, TRUE, TRUE, FALSE, FALSE);</v>
      </c>
      <c r="O259" s="3" t="str">
        <f t="shared" si="25"/>
        <v xml:space="preserve">INSERT INTO attribute_values (attribute_id, tag, name, details) VALUES ((SELECT id FROM attributes WHERE tag = 'att_mslc_column_configuration' LIMIT 1),  'att_mslc_column_configuration:30cm',  'Auroa 30 cm',  'Auroa 30 cm MS Column'); </v>
      </c>
    </row>
    <row r="260" spans="1:15">
      <c r="A260" s="6" t="s">
        <v>16</v>
      </c>
      <c r="B260" s="6"/>
      <c r="C260" s="3" t="s">
        <v>2516</v>
      </c>
      <c r="D260" s="3" t="s">
        <v>2517</v>
      </c>
      <c r="E260" s="3" t="s">
        <v>12</v>
      </c>
      <c r="F260" s="3" t="s">
        <v>2506</v>
      </c>
      <c r="G260" s="3" t="s">
        <v>2507</v>
      </c>
      <c r="H260" s="3" t="str">
        <f t="shared" si="22"/>
        <v>att_mslc_column_configuration</v>
      </c>
      <c r="I260" s="3" t="s">
        <v>608</v>
      </c>
      <c r="J260" s="3" t="str">
        <f t="shared" si="23"/>
        <v>att_mslc_column_configuration:50cm</v>
      </c>
      <c r="K260" s="6" t="s">
        <v>16</v>
      </c>
      <c r="L260" s="3" t="s">
        <v>2518</v>
      </c>
      <c r="M260" s="3" t="s">
        <v>12</v>
      </c>
      <c r="N260" s="3" t="str">
        <f t="shared" si="24"/>
        <v>INSERT INTO attributes (parent_id, tag, name, priority, allow_as_filter, allow_for_dataset, allow_for_measurement, allow_for_users, allow_for_qc) VALUES (NULL, 'att_mslc_column_configuration',  'LC Column Configuration',  500,  TRUE, TRUE, TRUE, FALSE, FALSE);</v>
      </c>
      <c r="O260" s="3" t="str">
        <f t="shared" si="25"/>
        <v xml:space="preserve">INSERT INTO attribute_values (attribute_id, tag, name, details) VALUES ((SELECT id FROM attributes WHERE tag = 'att_mslc_column_configuration' LIMIT 1),  'att_mslc_column_configuration:50cm',  'Auroa 50 cm',  'Auroa 50 cm MS Column'); </v>
      </c>
    </row>
    <row r="261" spans="1:15">
      <c r="A261" s="6" t="s">
        <v>16</v>
      </c>
      <c r="B261" s="7"/>
      <c r="C261" s="3" t="s">
        <v>2519</v>
      </c>
      <c r="D261" s="3" t="s">
        <v>2520</v>
      </c>
      <c r="E261" s="3" t="s">
        <v>12</v>
      </c>
      <c r="F261" s="3" t="s">
        <v>2506</v>
      </c>
      <c r="G261" s="3" t="s">
        <v>2507</v>
      </c>
      <c r="H261" s="3" t="str">
        <f t="shared" si="22"/>
        <v>att_mslc_column_configuration</v>
      </c>
      <c r="I261" s="3" t="s">
        <v>2519</v>
      </c>
      <c r="J261" s="3" t="str">
        <f t="shared" si="23"/>
        <v>att_mslc_column_configuration:column_inhouse</v>
      </c>
      <c r="K261" s="6" t="s">
        <v>16</v>
      </c>
      <c r="L261" s="3" t="s">
        <v>2521</v>
      </c>
      <c r="M261" s="3" t="s">
        <v>12</v>
      </c>
      <c r="N261" s="3" t="str">
        <f t="shared" si="24"/>
        <v>INSERT INTO attributes (parent_id, tag, name, priority, allow_as_filter, allow_for_dataset, allow_for_measurement, allow_for_users, allow_for_qc) VALUES (NULL, 'att_mslc_column_configuration',  'LC Column Configuration',  500,  TRUE, TRUE, TRUE, FALSE, FALSE);</v>
      </c>
      <c r="O261" s="3" t="str">
        <f t="shared" si="25"/>
        <v xml:space="preserve">INSERT INTO attribute_values (attribute_id, tag, name, details) VALUES ((SELECT id FROM attributes WHERE tag = 'att_mslc_column_configuration' LIMIT 1),  'att_mslc_column_configuration:column_inhouse',  'In-house',  'In-House Column'); </v>
      </c>
    </row>
    <row r="262" spans="1:15">
      <c r="A262" s="6" t="s">
        <v>16</v>
      </c>
      <c r="B262" s="7"/>
      <c r="C262" s="3" t="s">
        <v>2522</v>
      </c>
      <c r="D262" s="3" t="s">
        <v>2523</v>
      </c>
      <c r="E262" s="3" t="s">
        <v>12</v>
      </c>
      <c r="F262" s="3" t="s">
        <v>2506</v>
      </c>
      <c r="G262" s="3" t="s">
        <v>2507</v>
      </c>
      <c r="H262" s="3" t="str">
        <f t="shared" si="22"/>
        <v>att_mslc_column_configuration</v>
      </c>
      <c r="I262" s="3" t="s">
        <v>2522</v>
      </c>
      <c r="J262" s="3" t="str">
        <f t="shared" si="23"/>
        <v>att_mslc_column_configuration:trap</v>
      </c>
      <c r="K262" s="6" t="s">
        <v>16</v>
      </c>
      <c r="L262" s="3" t="s">
        <v>2524</v>
      </c>
      <c r="M262" s="3" t="s">
        <v>12</v>
      </c>
      <c r="N262" s="3" t="str">
        <f t="shared" si="24"/>
        <v>INSERT INTO attributes (parent_id, tag, name, priority, allow_as_filter, allow_for_dataset, allow_for_measurement, allow_for_users, allow_for_qc) VALUES (NULL, 'att_mslc_column_configuration',  'LC Column Configuration',  500,  TRUE, TRUE, TRUE, FALSE, FALSE);</v>
      </c>
      <c r="O262" s="3" t="str">
        <f t="shared" si="25"/>
        <v xml:space="preserve">INSERT INTO attribute_values (attribute_id, tag, name, details) VALUES ((SELECT id FROM attributes WHERE tag = 'att_mslc_column_configuration' LIMIT 1),  'att_mslc_column_configuration:trap',  'Trap',  'MS-Setting: Trap'); </v>
      </c>
    </row>
    <row r="263" spans="1:15">
      <c r="A263" s="6"/>
      <c r="B263" s="7"/>
      <c r="K263" s="6"/>
    </row>
    <row r="264" spans="1:15" s="9" customFormat="1">
      <c r="A264" s="10" t="s">
        <v>14</v>
      </c>
      <c r="B264" s="8"/>
      <c r="C264" s="9" t="s">
        <v>1738</v>
      </c>
      <c r="D264" s="9" t="s">
        <v>1739</v>
      </c>
      <c r="E264" s="9" t="s">
        <v>12</v>
      </c>
      <c r="G264" s="9" t="s">
        <v>2525</v>
      </c>
      <c r="H264" s="9" t="str">
        <f>"att_"&amp;G264</f>
        <v>att_ms_interface</v>
      </c>
      <c r="I264" s="9" t="s">
        <v>1738</v>
      </c>
      <c r="J264" s="9" t="str">
        <f>H264&amp;":"&amp;I264</f>
        <v>att_ms_interface:faims</v>
      </c>
      <c r="K264" s="10" t="s">
        <v>16</v>
      </c>
      <c r="L264" s="9" t="s">
        <v>1740</v>
      </c>
      <c r="M264" s="9" t="s">
        <v>12</v>
      </c>
      <c r="N264" s="9"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9"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9" customFormat="1">
      <c r="A265" s="10"/>
      <c r="B265" s="8"/>
      <c r="C265" s="9" t="s">
        <v>2526</v>
      </c>
      <c r="D265" s="9" t="s">
        <v>1750</v>
      </c>
      <c r="F265" s="9" t="s">
        <v>117</v>
      </c>
      <c r="G265" s="9" t="s">
        <v>2527</v>
      </c>
      <c r="H265" s="9" t="str">
        <f>"att_"&amp;G265</f>
        <v>att_ms_ionsource</v>
      </c>
      <c r="I265" s="9" t="s">
        <v>1749</v>
      </c>
      <c r="J265" s="9" t="str">
        <f>H265&amp;":"&amp;I265</f>
        <v>att_ms_ionsource:ion_max</v>
      </c>
      <c r="K265" s="10"/>
      <c r="L265" s="9" t="s">
        <v>1751</v>
      </c>
    </row>
    <row r="266" spans="1:15">
      <c r="A266" s="6"/>
      <c r="B266" s="7"/>
      <c r="C266" s="9" t="s">
        <v>2526</v>
      </c>
      <c r="D266" s="3" t="s">
        <v>1744</v>
      </c>
      <c r="F266" s="3" t="s">
        <v>117</v>
      </c>
      <c r="G266" s="9" t="s">
        <v>2527</v>
      </c>
      <c r="H266" s="9" t="str">
        <f>"att_"&amp;G266</f>
        <v>att_ms_ionsource</v>
      </c>
      <c r="I266" s="9" t="s">
        <v>1743</v>
      </c>
      <c r="J266" s="9" t="str">
        <f>H266&amp;":"&amp;I266</f>
        <v>att_ms_ionsource:easy_spray</v>
      </c>
      <c r="K266" s="6"/>
      <c r="L266" s="3" t="s">
        <v>1745</v>
      </c>
    </row>
    <row r="267" spans="1:15">
      <c r="A267" s="6"/>
      <c r="B267" s="7"/>
      <c r="C267" s="9" t="s">
        <v>2526</v>
      </c>
      <c r="D267" s="3" t="s">
        <v>1747</v>
      </c>
      <c r="F267" s="3" t="s">
        <v>117</v>
      </c>
      <c r="G267" s="9" t="s">
        <v>2527</v>
      </c>
      <c r="H267" s="9" t="str">
        <f>"att_"&amp;G267</f>
        <v>att_ms_ionsource</v>
      </c>
      <c r="I267" s="9" t="s">
        <v>1746</v>
      </c>
      <c r="J267" s="9" t="str">
        <f>H267&amp;":"&amp;I267</f>
        <v>att_ms_ionsource:flex</v>
      </c>
      <c r="K267" s="6"/>
      <c r="L267" s="3" t="s">
        <v>1748</v>
      </c>
    </row>
    <row r="268" spans="1:15">
      <c r="A268" s="6"/>
      <c r="B268" s="7"/>
      <c r="I268" s="9"/>
      <c r="J268" s="9"/>
      <c r="K268" s="6"/>
    </row>
    <row r="269" spans="1:15">
      <c r="A269" s="7" t="b">
        <f>FALSE()</f>
        <v>0</v>
      </c>
      <c r="B269" s="7"/>
      <c r="C269" s="3" t="s">
        <v>1980</v>
      </c>
      <c r="D269" s="3" t="s">
        <v>1981</v>
      </c>
      <c r="E269" s="3" t="s">
        <v>12</v>
      </c>
      <c r="F269" s="3" t="s">
        <v>137</v>
      </c>
      <c r="G269" s="3" t="s">
        <v>2528</v>
      </c>
      <c r="H269" s="3" t="str">
        <f t="shared" ref="H269:H300" si="26">"att_"&amp;G269</f>
        <v>att_organ</v>
      </c>
      <c r="I269" s="3" t="s">
        <v>1980</v>
      </c>
      <c r="J269" s="3" t="str">
        <f t="shared" ref="J269:J300" si="27">H269&amp;":"&amp;I269</f>
        <v>att_organ:appendix</v>
      </c>
      <c r="K269" s="6" t="s">
        <v>16</v>
      </c>
      <c r="L269" s="3" t="s">
        <v>1981</v>
      </c>
      <c r="M269" s="3" t="s">
        <v>12</v>
      </c>
      <c r="N269" s="3"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3"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c r="A270" s="7" t="b">
        <f>FALSE()</f>
        <v>0</v>
      </c>
      <c r="B270" s="7"/>
      <c r="C270" s="3" t="s">
        <v>1982</v>
      </c>
      <c r="D270" s="3" t="s">
        <v>1983</v>
      </c>
      <c r="E270" s="3" t="s">
        <v>12</v>
      </c>
      <c r="F270" s="3" t="s">
        <v>137</v>
      </c>
      <c r="G270" s="3" t="s">
        <v>2528</v>
      </c>
      <c r="H270" s="3" t="str">
        <f t="shared" si="26"/>
        <v>att_organ</v>
      </c>
      <c r="I270" s="3" t="s">
        <v>1982</v>
      </c>
      <c r="J270" s="3" t="str">
        <f t="shared" si="27"/>
        <v>att_organ:arteries</v>
      </c>
      <c r="K270" s="6" t="s">
        <v>16</v>
      </c>
      <c r="L270" s="3" t="s">
        <v>1983</v>
      </c>
      <c r="M270" s="3" t="s">
        <v>12</v>
      </c>
      <c r="N270" s="3" t="str">
        <f t="shared" si="28"/>
        <v>INSERT INTO attributes (parent_id, tag, name, priority, allow_as_filter, allow_for_dataset, allow_for_measurement, allow_for_users, allow_for_qc) VALUES (NULL, 'att_organ',  'Organ',  500,  TRUE, TRUE, TRUE, FALSE, FALSE);</v>
      </c>
      <c r="O270" s="3" t="str">
        <f t="shared" si="29"/>
        <v xml:space="preserve">INSERT INTO attribute_values (attribute_id, tag, name, details) VALUES ((SELECT id FROM attributes WHERE tag = 'att_organ' LIMIT 1),  'att_organ:arteries',  'Arteries',  'Arteries'); </v>
      </c>
    </row>
    <row r="271" spans="1:15">
      <c r="A271" s="7" t="b">
        <f>FALSE()</f>
        <v>0</v>
      </c>
      <c r="B271" s="7"/>
      <c r="C271" s="3" t="s">
        <v>1984</v>
      </c>
      <c r="D271" s="3" t="s">
        <v>1985</v>
      </c>
      <c r="E271" s="3" t="s">
        <v>12</v>
      </c>
      <c r="F271" s="3" t="s">
        <v>137</v>
      </c>
      <c r="G271" s="3" t="s">
        <v>2528</v>
      </c>
      <c r="H271" s="3" t="str">
        <f t="shared" si="26"/>
        <v>att_organ</v>
      </c>
      <c r="I271" s="3" t="s">
        <v>1984</v>
      </c>
      <c r="J271" s="3" t="str">
        <f t="shared" si="27"/>
        <v>att_organ:bladder</v>
      </c>
      <c r="K271" s="6" t="s">
        <v>16</v>
      </c>
      <c r="L271" s="3" t="s">
        <v>1985</v>
      </c>
      <c r="M271" s="3" t="s">
        <v>12</v>
      </c>
      <c r="N271" s="3" t="str">
        <f t="shared" si="28"/>
        <v>INSERT INTO attributes (parent_id, tag, name, priority, allow_as_filter, allow_for_dataset, allow_for_measurement, allow_for_users, allow_for_qc) VALUES (NULL, 'att_organ',  'Organ',  500,  TRUE, TRUE, TRUE, FALSE, FALSE);</v>
      </c>
      <c r="O271" s="3" t="str">
        <f t="shared" si="29"/>
        <v xml:space="preserve">INSERT INTO attribute_values (attribute_id, tag, name, details) VALUES ((SELECT id FROM attributes WHERE tag = 'att_organ' LIMIT 1),  'att_organ:bladder',  'Bladder',  'Bladder'); </v>
      </c>
    </row>
    <row r="272" spans="1:15">
      <c r="A272" s="7" t="b">
        <f>FALSE()</f>
        <v>0</v>
      </c>
      <c r="B272" s="7"/>
      <c r="C272" s="3" t="s">
        <v>1986</v>
      </c>
      <c r="D272" s="3" t="s">
        <v>1987</v>
      </c>
      <c r="E272" s="3" t="s">
        <v>12</v>
      </c>
      <c r="F272" s="3" t="s">
        <v>137</v>
      </c>
      <c r="G272" s="3" t="s">
        <v>2528</v>
      </c>
      <c r="H272" s="3" t="str">
        <f t="shared" si="26"/>
        <v>att_organ</v>
      </c>
      <c r="I272" s="3" t="s">
        <v>1986</v>
      </c>
      <c r="J272" s="3" t="str">
        <f t="shared" si="27"/>
        <v>att_organ:bone_marrow</v>
      </c>
      <c r="K272" s="6" t="s">
        <v>16</v>
      </c>
      <c r="L272" s="3" t="s">
        <v>1987</v>
      </c>
      <c r="M272" s="3" t="s">
        <v>12</v>
      </c>
      <c r="N272" s="3" t="str">
        <f t="shared" si="28"/>
        <v>INSERT INTO attributes (parent_id, tag, name, priority, allow_as_filter, allow_for_dataset, allow_for_measurement, allow_for_users, allow_for_qc) VALUES (NULL, 'att_organ',  'Organ',  500,  TRUE, TRUE, TRUE, FALSE, FALSE);</v>
      </c>
      <c r="O272" s="3" t="str">
        <f t="shared" si="29"/>
        <v xml:space="preserve">INSERT INTO attribute_values (attribute_id, tag, name, details) VALUES ((SELECT id FROM attributes WHERE tag = 'att_organ' LIMIT 1),  'att_organ:bone_marrow',  'Bone_Marrow',  'Bone_Marrow'); </v>
      </c>
    </row>
    <row r="273" spans="1:15">
      <c r="A273" s="7" t="b">
        <f>FALSE()</f>
        <v>0</v>
      </c>
      <c r="B273" s="7"/>
      <c r="C273" s="3" t="s">
        <v>1988</v>
      </c>
      <c r="D273" s="3" t="s">
        <v>1989</v>
      </c>
      <c r="E273" s="3" t="s">
        <v>12</v>
      </c>
      <c r="F273" s="3" t="s">
        <v>137</v>
      </c>
      <c r="G273" s="3" t="s">
        <v>2528</v>
      </c>
      <c r="H273" s="3" t="str">
        <f t="shared" si="26"/>
        <v>att_organ</v>
      </c>
      <c r="I273" s="3" t="s">
        <v>1988</v>
      </c>
      <c r="J273" s="3" t="str">
        <f t="shared" si="27"/>
        <v>att_organ:brain</v>
      </c>
      <c r="K273" s="6" t="s">
        <v>16</v>
      </c>
      <c r="L273" s="3" t="s">
        <v>1989</v>
      </c>
      <c r="M273" s="3" t="s">
        <v>12</v>
      </c>
      <c r="N273" s="3" t="str">
        <f t="shared" si="28"/>
        <v>INSERT INTO attributes (parent_id, tag, name, priority, allow_as_filter, allow_for_dataset, allow_for_measurement, allow_for_users, allow_for_qc) VALUES (NULL, 'att_organ',  'Organ',  500,  TRUE, TRUE, TRUE, FALSE, FALSE);</v>
      </c>
      <c r="O273" s="3" t="str">
        <f t="shared" si="29"/>
        <v xml:space="preserve">INSERT INTO attribute_values (attribute_id, tag, name, details) VALUES ((SELECT id FROM attributes WHERE tag = 'att_organ' LIMIT 1),  'att_organ:brain',  'Brain',  'Brain'); </v>
      </c>
    </row>
    <row r="274" spans="1:15">
      <c r="A274" s="7" t="b">
        <f>FALSE()</f>
        <v>0</v>
      </c>
      <c r="B274" s="7"/>
      <c r="C274" s="3" t="s">
        <v>1990</v>
      </c>
      <c r="D274" s="3" t="s">
        <v>1991</v>
      </c>
      <c r="E274" s="3" t="s">
        <v>12</v>
      </c>
      <c r="F274" s="3" t="s">
        <v>137</v>
      </c>
      <c r="G274" s="3" t="s">
        <v>2528</v>
      </c>
      <c r="H274" s="3" t="str">
        <f t="shared" si="26"/>
        <v>att_organ</v>
      </c>
      <c r="I274" s="3" t="s">
        <v>1990</v>
      </c>
      <c r="J274" s="3" t="str">
        <f t="shared" si="27"/>
        <v>att_organ:bronchi</v>
      </c>
      <c r="K274" s="6" t="s">
        <v>16</v>
      </c>
      <c r="L274" s="3" t="s">
        <v>1991</v>
      </c>
      <c r="M274" s="3" t="s">
        <v>12</v>
      </c>
      <c r="N274" s="3" t="str">
        <f t="shared" si="28"/>
        <v>INSERT INTO attributes (parent_id, tag, name, priority, allow_as_filter, allow_for_dataset, allow_for_measurement, allow_for_users, allow_for_qc) VALUES (NULL, 'att_organ',  'Organ',  500,  TRUE, TRUE, TRUE, FALSE, FALSE);</v>
      </c>
      <c r="O274" s="3" t="str">
        <f t="shared" si="29"/>
        <v xml:space="preserve">INSERT INTO attribute_values (attribute_id, tag, name, details) VALUES ((SELECT id FROM attributes WHERE tag = 'att_organ' LIMIT 1),  'att_organ:bronchi',  'Bronchi',  'Bronchi'); </v>
      </c>
    </row>
    <row r="275" spans="1:15">
      <c r="A275" s="7" t="b">
        <f>FALSE()</f>
        <v>0</v>
      </c>
      <c r="B275" s="7"/>
      <c r="C275" s="3" t="s">
        <v>1992</v>
      </c>
      <c r="D275" s="3" t="s">
        <v>1993</v>
      </c>
      <c r="E275" s="3" t="s">
        <v>12</v>
      </c>
      <c r="F275" s="3" t="s">
        <v>137</v>
      </c>
      <c r="G275" s="3" t="s">
        <v>2528</v>
      </c>
      <c r="H275" s="3" t="str">
        <f t="shared" si="26"/>
        <v>att_organ</v>
      </c>
      <c r="I275" s="3" t="s">
        <v>1992</v>
      </c>
      <c r="J275" s="3" t="str">
        <f t="shared" si="27"/>
        <v>att_organ:cecum</v>
      </c>
      <c r="K275" s="6" t="s">
        <v>16</v>
      </c>
      <c r="L275" s="3" t="s">
        <v>1993</v>
      </c>
      <c r="M275" s="3" t="s">
        <v>12</v>
      </c>
      <c r="N275" s="3" t="str">
        <f t="shared" si="28"/>
        <v>INSERT INTO attributes (parent_id, tag, name, priority, allow_as_filter, allow_for_dataset, allow_for_measurement, allow_for_users, allow_for_qc) VALUES (NULL, 'att_organ',  'Organ',  500,  TRUE, TRUE, TRUE, FALSE, FALSE);</v>
      </c>
      <c r="O275" s="3" t="str">
        <f t="shared" si="29"/>
        <v xml:space="preserve">INSERT INTO attribute_values (attribute_id, tag, name, details) VALUES ((SELECT id FROM attributes WHERE tag = 'att_organ' LIMIT 1),  'att_organ:cecum',  'Cecum',  'Cecum'); </v>
      </c>
    </row>
    <row r="276" spans="1:15">
      <c r="A276" s="7" t="b">
        <f>FALSE()</f>
        <v>0</v>
      </c>
      <c r="B276" s="7"/>
      <c r="C276" s="3" t="s">
        <v>1994</v>
      </c>
      <c r="D276" s="3" t="s">
        <v>1995</v>
      </c>
      <c r="E276" s="3" t="s">
        <v>12</v>
      </c>
      <c r="F276" s="3" t="s">
        <v>137</v>
      </c>
      <c r="G276" s="3" t="s">
        <v>2528</v>
      </c>
      <c r="H276" s="3" t="str">
        <f t="shared" si="26"/>
        <v>att_organ</v>
      </c>
      <c r="I276" s="3" t="s">
        <v>1994</v>
      </c>
      <c r="J276" s="3" t="str">
        <f t="shared" si="27"/>
        <v>att_organ:cerebellum</v>
      </c>
      <c r="K276" s="6" t="s">
        <v>16</v>
      </c>
      <c r="L276" s="3" t="s">
        <v>1995</v>
      </c>
      <c r="M276" s="3" t="s">
        <v>12</v>
      </c>
      <c r="N276" s="3" t="str">
        <f t="shared" si="28"/>
        <v>INSERT INTO attributes (parent_id, tag, name, priority, allow_as_filter, allow_for_dataset, allow_for_measurement, allow_for_users, allow_for_qc) VALUES (NULL, 'att_organ',  'Organ',  500,  TRUE, TRUE, TRUE, FALSE, FALSE);</v>
      </c>
      <c r="O276" s="3" t="str">
        <f t="shared" si="29"/>
        <v xml:space="preserve">INSERT INTO attribute_values (attribute_id, tag, name, details) VALUES ((SELECT id FROM attributes WHERE tag = 'att_organ' LIMIT 1),  'att_organ:cerebellum',  'Cerebellum',  'Cerebellum'); </v>
      </c>
    </row>
    <row r="277" spans="1:15">
      <c r="A277" s="7" t="b">
        <f>FALSE()</f>
        <v>0</v>
      </c>
      <c r="B277" s="7"/>
      <c r="C277" s="3" t="s">
        <v>1996</v>
      </c>
      <c r="D277" s="3" t="s">
        <v>1997</v>
      </c>
      <c r="E277" s="3" t="s">
        <v>12</v>
      </c>
      <c r="F277" s="3" t="s">
        <v>137</v>
      </c>
      <c r="G277" s="3" t="s">
        <v>2528</v>
      </c>
      <c r="H277" s="3" t="str">
        <f t="shared" si="26"/>
        <v>att_organ</v>
      </c>
      <c r="I277" s="3" t="s">
        <v>1996</v>
      </c>
      <c r="J277" s="3" t="str">
        <f t="shared" si="27"/>
        <v>att_organ:cerebrum</v>
      </c>
      <c r="K277" s="6" t="s">
        <v>16</v>
      </c>
      <c r="L277" s="3" t="s">
        <v>1997</v>
      </c>
      <c r="M277" s="3" t="s">
        <v>12</v>
      </c>
      <c r="N277" s="3" t="str">
        <f t="shared" si="28"/>
        <v>INSERT INTO attributes (parent_id, tag, name, priority, allow_as_filter, allow_for_dataset, allow_for_measurement, allow_for_users, allow_for_qc) VALUES (NULL, 'att_organ',  'Organ',  500,  TRUE, TRUE, TRUE, FALSE, FALSE);</v>
      </c>
      <c r="O277" s="3" t="str">
        <f t="shared" si="29"/>
        <v xml:space="preserve">INSERT INTO attribute_values (attribute_id, tag, name, details) VALUES ((SELECT id FROM attributes WHERE tag = 'att_organ' LIMIT 1),  'att_organ:cerebrum',  'Cerebrum',  'Cerebrum'); </v>
      </c>
    </row>
    <row r="278" spans="1:15">
      <c r="A278" s="7" t="b">
        <f>FALSE()</f>
        <v>0</v>
      </c>
      <c r="B278" s="7"/>
      <c r="C278" s="3" t="s">
        <v>1998</v>
      </c>
      <c r="D278" s="3" t="s">
        <v>1999</v>
      </c>
      <c r="E278" s="3" t="s">
        <v>12</v>
      </c>
      <c r="F278" s="3" t="s">
        <v>137</v>
      </c>
      <c r="G278" s="3" t="s">
        <v>2528</v>
      </c>
      <c r="H278" s="3" t="str">
        <f t="shared" si="26"/>
        <v>att_organ</v>
      </c>
      <c r="I278" s="3" t="s">
        <v>1998</v>
      </c>
      <c r="J278" s="3" t="str">
        <f t="shared" si="27"/>
        <v>att_organ:ear</v>
      </c>
      <c r="K278" s="6" t="s">
        <v>16</v>
      </c>
      <c r="L278" s="3" t="s">
        <v>1999</v>
      </c>
      <c r="M278" s="3" t="s">
        <v>12</v>
      </c>
      <c r="N278" s="3" t="str">
        <f t="shared" si="28"/>
        <v>INSERT INTO attributes (parent_id, tag, name, priority, allow_as_filter, allow_for_dataset, allow_for_measurement, allow_for_users, allow_for_qc) VALUES (NULL, 'att_organ',  'Organ',  500,  TRUE, TRUE, TRUE, FALSE, FALSE);</v>
      </c>
      <c r="O278" s="3" t="str">
        <f t="shared" si="29"/>
        <v xml:space="preserve">INSERT INTO attribute_values (attribute_id, tag, name, details) VALUES ((SELECT id FROM attributes WHERE tag = 'att_organ' LIMIT 1),  'att_organ:ear',  'Ear',  'Ear'); </v>
      </c>
    </row>
    <row r="279" spans="1:15">
      <c r="A279" s="7" t="b">
        <f>FALSE()</f>
        <v>0</v>
      </c>
      <c r="B279" s="7"/>
      <c r="C279" s="3" t="s">
        <v>2000</v>
      </c>
      <c r="D279" s="3" t="s">
        <v>2001</v>
      </c>
      <c r="E279" s="3" t="s">
        <v>12</v>
      </c>
      <c r="F279" s="3" t="s">
        <v>137</v>
      </c>
      <c r="G279" s="3" t="s">
        <v>2528</v>
      </c>
      <c r="H279" s="3" t="str">
        <f t="shared" si="26"/>
        <v>att_organ</v>
      </c>
      <c r="I279" s="3" t="s">
        <v>2000</v>
      </c>
      <c r="J279" s="3" t="str">
        <f t="shared" si="27"/>
        <v>att_organ:esophagus</v>
      </c>
      <c r="K279" s="6" t="s">
        <v>16</v>
      </c>
      <c r="L279" s="3" t="s">
        <v>2001</v>
      </c>
      <c r="M279" s="3" t="s">
        <v>12</v>
      </c>
      <c r="N279" s="3" t="str">
        <f t="shared" si="28"/>
        <v>INSERT INTO attributes (parent_id, tag, name, priority, allow_as_filter, allow_for_dataset, allow_for_measurement, allow_for_users, allow_for_qc) VALUES (NULL, 'att_organ',  'Organ',  500,  TRUE, TRUE, TRUE, FALSE, FALSE);</v>
      </c>
      <c r="O279" s="3" t="str">
        <f t="shared" si="29"/>
        <v xml:space="preserve">INSERT INTO attribute_values (attribute_id, tag, name, details) VALUES ((SELECT id FROM attributes WHERE tag = 'att_organ' LIMIT 1),  'att_organ:esophagus',  'Esophagus',  'Esophagus'); </v>
      </c>
    </row>
    <row r="280" spans="1:15">
      <c r="A280" s="7" t="b">
        <f>FALSE()</f>
        <v>0</v>
      </c>
      <c r="B280" s="7"/>
      <c r="C280" s="3" t="s">
        <v>2002</v>
      </c>
      <c r="D280" s="3" t="s">
        <v>2003</v>
      </c>
      <c r="E280" s="3" t="s">
        <v>12</v>
      </c>
      <c r="F280" s="3" t="s">
        <v>137</v>
      </c>
      <c r="G280" s="3" t="s">
        <v>2528</v>
      </c>
      <c r="H280" s="3" t="str">
        <f t="shared" si="26"/>
        <v>att_organ</v>
      </c>
      <c r="I280" s="3" t="s">
        <v>2002</v>
      </c>
      <c r="J280" s="3" t="str">
        <f t="shared" si="27"/>
        <v>att_organ:eye</v>
      </c>
      <c r="K280" s="6" t="s">
        <v>16</v>
      </c>
      <c r="L280" s="3" t="s">
        <v>2003</v>
      </c>
      <c r="M280" s="3" t="s">
        <v>12</v>
      </c>
      <c r="N280" s="3" t="str">
        <f t="shared" si="28"/>
        <v>INSERT INTO attributes (parent_id, tag, name, priority, allow_as_filter, allow_for_dataset, allow_for_measurement, allow_for_users, allow_for_qc) VALUES (NULL, 'att_organ',  'Organ',  500,  TRUE, TRUE, TRUE, FALSE, FALSE);</v>
      </c>
      <c r="O280" s="3" t="str">
        <f t="shared" si="29"/>
        <v xml:space="preserve">INSERT INTO attribute_values (attribute_id, tag, name, details) VALUES ((SELECT id FROM attributes WHERE tag = 'att_organ' LIMIT 1),  'att_organ:eye',  'Eye',  'Eye'); </v>
      </c>
    </row>
    <row r="281" spans="1:15">
      <c r="A281" s="7" t="b">
        <f>FALSE()</f>
        <v>0</v>
      </c>
      <c r="B281" s="7"/>
      <c r="C281" s="3" t="s">
        <v>2004</v>
      </c>
      <c r="D281" s="3" t="s">
        <v>2005</v>
      </c>
      <c r="E281" s="3" t="s">
        <v>12</v>
      </c>
      <c r="F281" s="3" t="s">
        <v>137</v>
      </c>
      <c r="G281" s="3" t="s">
        <v>2528</v>
      </c>
      <c r="H281" s="3" t="str">
        <f t="shared" si="26"/>
        <v>att_organ</v>
      </c>
      <c r="I281" s="3" t="s">
        <v>2004</v>
      </c>
      <c r="J281" s="3" t="str">
        <f t="shared" si="27"/>
        <v>att_organ:gallbladder</v>
      </c>
      <c r="K281" s="6" t="s">
        <v>16</v>
      </c>
      <c r="L281" s="3" t="s">
        <v>2005</v>
      </c>
      <c r="M281" s="3" t="s">
        <v>12</v>
      </c>
      <c r="N281" s="3" t="str">
        <f t="shared" si="28"/>
        <v>INSERT INTO attributes (parent_id, tag, name, priority, allow_as_filter, allow_for_dataset, allow_for_measurement, allow_for_users, allow_for_qc) VALUES (NULL, 'att_organ',  'Organ',  500,  TRUE, TRUE, TRUE, FALSE, FALSE);</v>
      </c>
      <c r="O281" s="3" t="str">
        <f t="shared" si="29"/>
        <v xml:space="preserve">INSERT INTO attribute_values (attribute_id, tag, name, details) VALUES ((SELECT id FROM attributes WHERE tag = 'att_organ' LIMIT 1),  'att_organ:gallbladder',  'Gallbladder',  'Gallbladder'); </v>
      </c>
    </row>
    <row r="282" spans="1:15">
      <c r="A282" s="7" t="b">
        <f>FALSE()</f>
        <v>0</v>
      </c>
      <c r="B282" s="7"/>
      <c r="C282" s="3" t="s">
        <v>2006</v>
      </c>
      <c r="D282" s="3" t="s">
        <v>2007</v>
      </c>
      <c r="E282" s="3" t="s">
        <v>12</v>
      </c>
      <c r="F282" s="3" t="s">
        <v>137</v>
      </c>
      <c r="G282" s="3" t="s">
        <v>2528</v>
      </c>
      <c r="H282" s="3" t="str">
        <f t="shared" si="26"/>
        <v>att_organ</v>
      </c>
      <c r="I282" s="3" t="s">
        <v>2006</v>
      </c>
      <c r="J282" s="3" t="str">
        <f t="shared" si="27"/>
        <v>att_organ:ganglia</v>
      </c>
      <c r="K282" s="6" t="s">
        <v>16</v>
      </c>
      <c r="L282" s="3" t="s">
        <v>2007</v>
      </c>
      <c r="M282" s="3" t="s">
        <v>12</v>
      </c>
      <c r="N282" s="3" t="str">
        <f t="shared" si="28"/>
        <v>INSERT INTO attributes (parent_id, tag, name, priority, allow_as_filter, allow_for_dataset, allow_for_measurement, allow_for_users, allow_for_qc) VALUES (NULL, 'att_organ',  'Organ',  500,  TRUE, TRUE, TRUE, FALSE, FALSE);</v>
      </c>
      <c r="O282" s="3" t="str">
        <f t="shared" si="29"/>
        <v xml:space="preserve">INSERT INTO attribute_values (attribute_id, tag, name, details) VALUES ((SELECT id FROM attributes WHERE tag = 'att_organ' LIMIT 1),  'att_organ:ganglia',  'Ganglia',  'Ganglia'); </v>
      </c>
    </row>
    <row r="283" spans="1:15">
      <c r="A283" s="7" t="b">
        <f>FALSE()</f>
        <v>0</v>
      </c>
      <c r="B283" s="7"/>
      <c r="C283" s="3" t="s">
        <v>2008</v>
      </c>
      <c r="D283" s="3" t="s">
        <v>2009</v>
      </c>
      <c r="E283" s="3" t="s">
        <v>12</v>
      </c>
      <c r="F283" s="3" t="s">
        <v>137</v>
      </c>
      <c r="G283" s="3" t="s">
        <v>2528</v>
      </c>
      <c r="H283" s="3" t="str">
        <f t="shared" si="26"/>
        <v>att_organ</v>
      </c>
      <c r="I283" s="3" t="s">
        <v>2008</v>
      </c>
      <c r="J283" s="3" t="str">
        <f t="shared" si="27"/>
        <v>att_organ:heart</v>
      </c>
      <c r="K283" s="6" t="s">
        <v>16</v>
      </c>
      <c r="L283" s="3" t="s">
        <v>2009</v>
      </c>
      <c r="M283" s="3" t="s">
        <v>12</v>
      </c>
      <c r="N283" s="3" t="str">
        <f t="shared" si="28"/>
        <v>INSERT INTO attributes (parent_id, tag, name, priority, allow_as_filter, allow_for_dataset, allow_for_measurement, allow_for_users, allow_for_qc) VALUES (NULL, 'att_organ',  'Organ',  500,  TRUE, TRUE, TRUE, FALSE, FALSE);</v>
      </c>
      <c r="O283" s="3" t="str">
        <f t="shared" si="29"/>
        <v xml:space="preserve">INSERT INTO attribute_values (attribute_id, tag, name, details) VALUES ((SELECT id FROM attributes WHERE tag = 'att_organ' LIMIT 1),  'att_organ:heart',  'Heart',  'Heart'); </v>
      </c>
    </row>
    <row r="284" spans="1:15">
      <c r="A284" s="7" t="b">
        <f>FALSE()</f>
        <v>0</v>
      </c>
      <c r="B284" s="7"/>
      <c r="C284" s="3" t="s">
        <v>2010</v>
      </c>
      <c r="D284" s="3" t="s">
        <v>2011</v>
      </c>
      <c r="E284" s="3" t="s">
        <v>12</v>
      </c>
      <c r="F284" s="3" t="s">
        <v>137</v>
      </c>
      <c r="G284" s="3" t="s">
        <v>2528</v>
      </c>
      <c r="H284" s="3" t="str">
        <f t="shared" si="26"/>
        <v>att_organ</v>
      </c>
      <c r="I284" s="3" t="s">
        <v>2010</v>
      </c>
      <c r="J284" s="3" t="str">
        <f t="shared" si="27"/>
        <v>att_organ:hypothalamus</v>
      </c>
      <c r="K284" s="6" t="s">
        <v>16</v>
      </c>
      <c r="L284" s="3" t="s">
        <v>2011</v>
      </c>
      <c r="M284" s="3" t="s">
        <v>12</v>
      </c>
      <c r="N284" s="3" t="str">
        <f t="shared" si="28"/>
        <v>INSERT INTO attributes (parent_id, tag, name, priority, allow_as_filter, allow_for_dataset, allow_for_measurement, allow_for_users, allow_for_qc) VALUES (NULL, 'att_organ',  'Organ',  500,  TRUE, TRUE, TRUE, FALSE, FALSE);</v>
      </c>
      <c r="O284" s="3" t="str">
        <f t="shared" si="29"/>
        <v xml:space="preserve">INSERT INTO attribute_values (attribute_id, tag, name, details) VALUES ((SELECT id FROM attributes WHERE tag = 'att_organ' LIMIT 1),  'att_organ:hypothalamus',  'Hypothalamus',  'Hypothalamus'); </v>
      </c>
    </row>
    <row r="285" spans="1:15">
      <c r="A285" s="7" t="b">
        <f>FALSE()</f>
        <v>0</v>
      </c>
      <c r="B285" s="7"/>
      <c r="C285" s="3" t="s">
        <v>2012</v>
      </c>
      <c r="D285" s="3" t="s">
        <v>2013</v>
      </c>
      <c r="E285" s="3" t="s">
        <v>12</v>
      </c>
      <c r="F285" s="3" t="s">
        <v>137</v>
      </c>
      <c r="G285" s="3" t="s">
        <v>2528</v>
      </c>
      <c r="H285" s="3" t="str">
        <f t="shared" si="26"/>
        <v>att_organ</v>
      </c>
      <c r="I285" s="3" t="s">
        <v>2012</v>
      </c>
      <c r="J285" s="3" t="str">
        <f t="shared" si="27"/>
        <v>att_organ:kidney</v>
      </c>
      <c r="K285" s="6" t="s">
        <v>16</v>
      </c>
      <c r="L285" s="3" t="s">
        <v>2013</v>
      </c>
      <c r="M285" s="3" t="s">
        <v>12</v>
      </c>
      <c r="N285" s="3" t="str">
        <f t="shared" si="28"/>
        <v>INSERT INTO attributes (parent_id, tag, name, priority, allow_as_filter, allow_for_dataset, allow_for_measurement, allow_for_users, allow_for_qc) VALUES (NULL, 'att_organ',  'Organ',  500,  TRUE, TRUE, TRUE, FALSE, FALSE);</v>
      </c>
      <c r="O285" s="3" t="str">
        <f t="shared" si="29"/>
        <v xml:space="preserve">INSERT INTO attribute_values (attribute_id, tag, name, details) VALUES ((SELECT id FROM attributes WHERE tag = 'att_organ' LIMIT 1),  'att_organ:kidney',  'Kidney',  'Kidney'); </v>
      </c>
    </row>
    <row r="286" spans="1:15">
      <c r="A286" s="7" t="b">
        <f>FALSE()</f>
        <v>0</v>
      </c>
      <c r="B286" s="7"/>
      <c r="C286" s="3" t="s">
        <v>2014</v>
      </c>
      <c r="D286" s="3" t="s">
        <v>2016</v>
      </c>
      <c r="E286" s="3" t="s">
        <v>12</v>
      </c>
      <c r="F286" s="3" t="s">
        <v>137</v>
      </c>
      <c r="G286" s="3" t="s">
        <v>2528</v>
      </c>
      <c r="H286" s="3" t="str">
        <f t="shared" si="26"/>
        <v>att_organ</v>
      </c>
      <c r="I286" s="3" t="s">
        <v>2014</v>
      </c>
      <c r="J286" s="3" t="str">
        <f t="shared" si="27"/>
        <v>att_organ:large_intestine</v>
      </c>
      <c r="K286" s="6" t="s">
        <v>16</v>
      </c>
      <c r="L286" s="3" t="s">
        <v>2017</v>
      </c>
      <c r="M286" s="3" t="s">
        <v>12</v>
      </c>
      <c r="N286" s="3" t="str">
        <f t="shared" si="28"/>
        <v>INSERT INTO attributes (parent_id, tag, name, priority, allow_as_filter, allow_for_dataset, allow_for_measurement, allow_for_users, allow_for_qc) VALUES (NULL, 'att_organ',  'Organ',  500,  TRUE, TRUE, TRUE, FALSE, FALSE);</v>
      </c>
      <c r="O286" s="3"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c r="A287" s="7" t="b">
        <f>FALSE()</f>
        <v>0</v>
      </c>
      <c r="B287" s="7"/>
      <c r="C287" s="3" t="s">
        <v>2018</v>
      </c>
      <c r="D287" s="3" t="s">
        <v>2019</v>
      </c>
      <c r="E287" s="3" t="s">
        <v>12</v>
      </c>
      <c r="F287" s="3" t="s">
        <v>137</v>
      </c>
      <c r="G287" s="3" t="s">
        <v>2528</v>
      </c>
      <c r="H287" s="3" t="str">
        <f t="shared" si="26"/>
        <v>att_organ</v>
      </c>
      <c r="I287" s="3" t="s">
        <v>2018</v>
      </c>
      <c r="J287" s="3" t="str">
        <f t="shared" si="27"/>
        <v>att_organ:liver</v>
      </c>
      <c r="K287" s="6" t="s">
        <v>16</v>
      </c>
      <c r="L287" s="3" t="s">
        <v>2019</v>
      </c>
      <c r="M287" s="3" t="s">
        <v>12</v>
      </c>
      <c r="N287" s="3" t="str">
        <f t="shared" si="28"/>
        <v>INSERT INTO attributes (parent_id, tag, name, priority, allow_as_filter, allow_for_dataset, allow_for_measurement, allow_for_users, allow_for_qc) VALUES (NULL, 'att_organ',  'Organ',  500,  TRUE, TRUE, TRUE, FALSE, FALSE);</v>
      </c>
      <c r="O287" s="3" t="str">
        <f t="shared" si="29"/>
        <v xml:space="preserve">INSERT INTO attribute_values (attribute_id, tag, name, details) VALUES ((SELECT id FROM attributes WHERE tag = 'att_organ' LIMIT 1),  'att_organ:liver',  'Liver',  'Liver'); </v>
      </c>
    </row>
    <row r="288" spans="1:15">
      <c r="A288" s="7" t="b">
        <f>FALSE()</f>
        <v>0</v>
      </c>
      <c r="B288" s="7"/>
      <c r="C288" s="3" t="s">
        <v>2020</v>
      </c>
      <c r="D288" s="3" t="s">
        <v>2021</v>
      </c>
      <c r="E288" s="3" t="s">
        <v>12</v>
      </c>
      <c r="F288" s="3" t="s">
        <v>137</v>
      </c>
      <c r="G288" s="3" t="s">
        <v>2528</v>
      </c>
      <c r="H288" s="3" t="str">
        <f t="shared" si="26"/>
        <v>att_organ</v>
      </c>
      <c r="I288" s="3" t="s">
        <v>2020</v>
      </c>
      <c r="J288" s="3" t="str">
        <f t="shared" si="27"/>
        <v>att_organ:lung</v>
      </c>
      <c r="K288" s="6" t="s">
        <v>16</v>
      </c>
      <c r="L288" s="3" t="s">
        <v>2021</v>
      </c>
      <c r="M288" s="3" t="s">
        <v>12</v>
      </c>
      <c r="N288" s="3" t="str">
        <f t="shared" si="28"/>
        <v>INSERT INTO attributes (parent_id, tag, name, priority, allow_as_filter, allow_for_dataset, allow_for_measurement, allow_for_users, allow_for_qc) VALUES (NULL, 'att_organ',  'Organ',  500,  TRUE, TRUE, TRUE, FALSE, FALSE);</v>
      </c>
      <c r="O288" s="3" t="str">
        <f t="shared" si="29"/>
        <v xml:space="preserve">INSERT INTO attribute_values (attribute_id, tag, name, details) VALUES ((SELECT id FROM attributes WHERE tag = 'att_organ' LIMIT 1),  'att_organ:lung',  'Lung',  'Lung'); </v>
      </c>
    </row>
    <row r="289" spans="1:15">
      <c r="A289" s="7" t="b">
        <f>FALSE()</f>
        <v>0</v>
      </c>
      <c r="B289" s="7"/>
      <c r="C289" s="3" t="s">
        <v>2022</v>
      </c>
      <c r="D289" s="3" t="s">
        <v>2023</v>
      </c>
      <c r="E289" s="3" t="s">
        <v>12</v>
      </c>
      <c r="F289" s="3" t="s">
        <v>137</v>
      </c>
      <c r="G289" s="3" t="s">
        <v>2528</v>
      </c>
      <c r="H289" s="3" t="str">
        <f t="shared" si="26"/>
        <v>att_organ</v>
      </c>
      <c r="I289" s="3" t="s">
        <v>2022</v>
      </c>
      <c r="J289" s="3" t="str">
        <f t="shared" si="27"/>
        <v>att_organ:lymph_node</v>
      </c>
      <c r="K289" s="6" t="s">
        <v>16</v>
      </c>
      <c r="L289" s="3" t="s">
        <v>2023</v>
      </c>
      <c r="M289" s="3" t="s">
        <v>12</v>
      </c>
      <c r="N289" s="3" t="str">
        <f t="shared" si="28"/>
        <v>INSERT INTO attributes (parent_id, tag, name, priority, allow_as_filter, allow_for_dataset, allow_for_measurement, allow_for_users, allow_for_qc) VALUES (NULL, 'att_organ',  'Organ',  500,  TRUE, TRUE, TRUE, FALSE, FALSE);</v>
      </c>
      <c r="O289" s="3" t="str">
        <f t="shared" si="29"/>
        <v xml:space="preserve">INSERT INTO attribute_values (attribute_id, tag, name, details) VALUES ((SELECT id FROM attributes WHERE tag = 'att_organ' LIMIT 1),  'att_organ:lymph_node',  'Lymph Node',  'Lymph Node'); </v>
      </c>
    </row>
    <row r="290" spans="1:15">
      <c r="A290" s="7" t="b">
        <f>FALSE()</f>
        <v>0</v>
      </c>
      <c r="B290" s="7"/>
      <c r="C290" s="3" t="s">
        <v>2024</v>
      </c>
      <c r="D290" s="3" t="s">
        <v>2025</v>
      </c>
      <c r="E290" s="3" t="s">
        <v>12</v>
      </c>
      <c r="F290" s="3" t="s">
        <v>137</v>
      </c>
      <c r="G290" s="3" t="s">
        <v>2528</v>
      </c>
      <c r="H290" s="3" t="str">
        <f t="shared" si="26"/>
        <v>att_organ</v>
      </c>
      <c r="I290" s="3" t="s">
        <v>2024</v>
      </c>
      <c r="J290" s="3" t="str">
        <f t="shared" si="27"/>
        <v>att_organ:medulla</v>
      </c>
      <c r="K290" s="6" t="s">
        <v>16</v>
      </c>
      <c r="L290" s="3" t="s">
        <v>2025</v>
      </c>
      <c r="M290" s="3" t="s">
        <v>12</v>
      </c>
      <c r="N290" s="3" t="str">
        <f t="shared" si="28"/>
        <v>INSERT INTO attributes (parent_id, tag, name, priority, allow_as_filter, allow_for_dataset, allow_for_measurement, allow_for_users, allow_for_qc) VALUES (NULL, 'att_organ',  'Organ',  500,  TRUE, TRUE, TRUE, FALSE, FALSE);</v>
      </c>
      <c r="O290" s="3" t="str">
        <f t="shared" si="29"/>
        <v xml:space="preserve">INSERT INTO attribute_values (attribute_id, tag, name, details) VALUES ((SELECT id FROM attributes WHERE tag = 'att_organ' LIMIT 1),  'att_organ:medulla',  'Medulla',  'Medulla'); </v>
      </c>
    </row>
    <row r="291" spans="1:15">
      <c r="A291" s="7" t="b">
        <f>FALSE()</f>
        <v>0</v>
      </c>
      <c r="B291" s="7"/>
      <c r="C291" s="3" t="s">
        <v>2026</v>
      </c>
      <c r="D291" s="3" t="s">
        <v>2027</v>
      </c>
      <c r="E291" s="3" t="s">
        <v>12</v>
      </c>
      <c r="F291" s="3" t="s">
        <v>137</v>
      </c>
      <c r="G291" s="3" t="s">
        <v>2528</v>
      </c>
      <c r="H291" s="3" t="str">
        <f t="shared" si="26"/>
        <v>att_organ</v>
      </c>
      <c r="I291" s="3" t="s">
        <v>2026</v>
      </c>
      <c r="J291" s="3" t="str">
        <f t="shared" si="27"/>
        <v>att_organ:mesentery</v>
      </c>
      <c r="K291" s="6" t="s">
        <v>16</v>
      </c>
      <c r="L291" s="3" t="s">
        <v>2027</v>
      </c>
      <c r="M291" s="3" t="s">
        <v>12</v>
      </c>
      <c r="N291" s="3" t="str">
        <f t="shared" si="28"/>
        <v>INSERT INTO attributes (parent_id, tag, name, priority, allow_as_filter, allow_for_dataset, allow_for_measurement, allow_for_users, allow_for_qc) VALUES (NULL, 'att_organ',  'Organ',  500,  TRUE, TRUE, TRUE, FALSE, FALSE);</v>
      </c>
      <c r="O291" s="3" t="str">
        <f t="shared" si="29"/>
        <v xml:space="preserve">INSERT INTO attribute_values (attribute_id, tag, name, details) VALUES ((SELECT id FROM attributes WHERE tag = 'att_organ' LIMIT 1),  'att_organ:mesentery',  'Mesentery',  'Mesentery'); </v>
      </c>
    </row>
    <row r="292" spans="1:15">
      <c r="A292" s="7" t="b">
        <f>FALSE()</f>
        <v>0</v>
      </c>
      <c r="B292" s="7"/>
      <c r="C292" s="3" t="s">
        <v>2028</v>
      </c>
      <c r="D292" s="3" t="s">
        <v>2029</v>
      </c>
      <c r="E292" s="3" t="s">
        <v>12</v>
      </c>
      <c r="F292" s="3" t="s">
        <v>137</v>
      </c>
      <c r="G292" s="3" t="s">
        <v>2528</v>
      </c>
      <c r="H292" s="3" t="str">
        <f t="shared" si="26"/>
        <v>att_organ</v>
      </c>
      <c r="I292" s="3" t="s">
        <v>2028</v>
      </c>
      <c r="J292" s="3" t="str">
        <f t="shared" si="27"/>
        <v>att_organ:midbrain</v>
      </c>
      <c r="K292" s="6" t="s">
        <v>16</v>
      </c>
      <c r="L292" s="3" t="s">
        <v>2029</v>
      </c>
      <c r="M292" s="3" t="s">
        <v>12</v>
      </c>
      <c r="N292" s="3" t="str">
        <f t="shared" si="28"/>
        <v>INSERT INTO attributes (parent_id, tag, name, priority, allow_as_filter, allow_for_dataset, allow_for_measurement, allow_for_users, allow_for_qc) VALUES (NULL, 'att_organ',  'Organ',  500,  TRUE, TRUE, TRUE, FALSE, FALSE);</v>
      </c>
      <c r="O292" s="3" t="str">
        <f t="shared" si="29"/>
        <v xml:space="preserve">INSERT INTO attribute_values (attribute_id, tag, name, details) VALUES ((SELECT id FROM attributes WHERE tag = 'att_organ' LIMIT 1),  'att_organ:midbrain',  'Midbrain',  'Midbrain'); </v>
      </c>
    </row>
    <row r="293" spans="1:15">
      <c r="A293" s="7" t="b">
        <f>FALSE()</f>
        <v>0</v>
      </c>
      <c r="B293" s="7"/>
      <c r="C293" s="3" t="s">
        <v>2030</v>
      </c>
      <c r="D293" s="3" t="s">
        <v>2031</v>
      </c>
      <c r="E293" s="3" t="s">
        <v>12</v>
      </c>
      <c r="F293" s="3" t="s">
        <v>137</v>
      </c>
      <c r="G293" s="3" t="s">
        <v>2528</v>
      </c>
      <c r="H293" s="3" t="str">
        <f t="shared" si="26"/>
        <v>att_organ</v>
      </c>
      <c r="I293" s="3" t="s">
        <v>2030</v>
      </c>
      <c r="J293" s="3" t="str">
        <f t="shared" si="27"/>
        <v>att_organ:ovaries</v>
      </c>
      <c r="K293" s="6" t="s">
        <v>16</v>
      </c>
      <c r="L293" s="3" t="s">
        <v>2031</v>
      </c>
      <c r="M293" s="3" t="s">
        <v>12</v>
      </c>
      <c r="N293" s="3" t="str">
        <f t="shared" si="28"/>
        <v>INSERT INTO attributes (parent_id, tag, name, priority, allow_as_filter, allow_for_dataset, allow_for_measurement, allow_for_users, allow_for_qc) VALUES (NULL, 'att_organ',  'Organ',  500,  TRUE, TRUE, TRUE, FALSE, FALSE);</v>
      </c>
      <c r="O293" s="3" t="str">
        <f t="shared" si="29"/>
        <v xml:space="preserve">INSERT INTO attribute_values (attribute_id, tag, name, details) VALUES ((SELECT id FROM attributes WHERE tag = 'att_organ' LIMIT 1),  'att_organ:ovaries',  'Ovaries',  'Ovaries'); </v>
      </c>
    </row>
    <row r="294" spans="1:15">
      <c r="A294" s="7" t="b">
        <f>FALSE()</f>
        <v>0</v>
      </c>
      <c r="B294" s="7"/>
      <c r="C294" s="3" t="s">
        <v>2032</v>
      </c>
      <c r="D294" s="3" t="s">
        <v>2033</v>
      </c>
      <c r="E294" s="3" t="s">
        <v>12</v>
      </c>
      <c r="F294" s="3" t="s">
        <v>137</v>
      </c>
      <c r="G294" s="3" t="s">
        <v>2528</v>
      </c>
      <c r="H294" s="3" t="str">
        <f t="shared" si="26"/>
        <v>att_organ</v>
      </c>
      <c r="I294" s="3" t="s">
        <v>2032</v>
      </c>
      <c r="J294" s="3" t="str">
        <f t="shared" si="27"/>
        <v>att_organ:pancreas</v>
      </c>
      <c r="K294" s="6" t="s">
        <v>16</v>
      </c>
      <c r="L294" s="3" t="s">
        <v>2033</v>
      </c>
      <c r="M294" s="3" t="s">
        <v>12</v>
      </c>
      <c r="N294" s="3" t="str">
        <f t="shared" si="28"/>
        <v>INSERT INTO attributes (parent_id, tag, name, priority, allow_as_filter, allow_for_dataset, allow_for_measurement, allow_for_users, allow_for_qc) VALUES (NULL, 'att_organ',  'Organ',  500,  TRUE, TRUE, TRUE, FALSE, FALSE);</v>
      </c>
      <c r="O294" s="3" t="str">
        <f t="shared" si="29"/>
        <v xml:space="preserve">INSERT INTO attribute_values (attribute_id, tag, name, details) VALUES ((SELECT id FROM attributes WHERE tag = 'att_organ' LIMIT 1),  'att_organ:pancreas',  'Pancreas',  'Pancreas'); </v>
      </c>
    </row>
    <row r="295" spans="1:15">
      <c r="A295" s="7" t="b">
        <f>FALSE()</f>
        <v>0</v>
      </c>
      <c r="B295" s="7"/>
      <c r="C295" s="3" t="s">
        <v>2034</v>
      </c>
      <c r="D295" s="3" t="s">
        <v>2035</v>
      </c>
      <c r="E295" s="3" t="s">
        <v>12</v>
      </c>
      <c r="F295" s="3" t="s">
        <v>137</v>
      </c>
      <c r="G295" s="3" t="s">
        <v>2528</v>
      </c>
      <c r="H295" s="3" t="str">
        <f t="shared" si="26"/>
        <v>att_organ</v>
      </c>
      <c r="I295" s="3" t="s">
        <v>2034</v>
      </c>
      <c r="J295" s="3" t="str">
        <f t="shared" si="27"/>
        <v>att_organ:pons</v>
      </c>
      <c r="K295" s="6" t="s">
        <v>16</v>
      </c>
      <c r="L295" s="3" t="s">
        <v>2035</v>
      </c>
      <c r="M295" s="3" t="s">
        <v>12</v>
      </c>
      <c r="N295" s="3" t="str">
        <f t="shared" si="28"/>
        <v>INSERT INTO attributes (parent_id, tag, name, priority, allow_as_filter, allow_for_dataset, allow_for_measurement, allow_for_users, allow_for_qc) VALUES (NULL, 'att_organ',  'Organ',  500,  TRUE, TRUE, TRUE, FALSE, FALSE);</v>
      </c>
      <c r="O295" s="3" t="str">
        <f t="shared" si="29"/>
        <v xml:space="preserve">INSERT INTO attribute_values (attribute_id, tag, name, details) VALUES ((SELECT id FROM attributes WHERE tag = 'att_organ' LIMIT 1),  'att_organ:pons',  'Pons',  'Pons'); </v>
      </c>
    </row>
    <row r="296" spans="1:15">
      <c r="A296" s="7" t="b">
        <f>FALSE()</f>
        <v>0</v>
      </c>
      <c r="B296" s="7"/>
      <c r="C296" s="3" t="s">
        <v>2036</v>
      </c>
      <c r="D296" s="3" t="s">
        <v>2037</v>
      </c>
      <c r="E296" s="3" t="s">
        <v>12</v>
      </c>
      <c r="F296" s="3" t="s">
        <v>137</v>
      </c>
      <c r="G296" s="3" t="s">
        <v>2528</v>
      </c>
      <c r="H296" s="3" t="str">
        <f t="shared" si="26"/>
        <v>att_organ</v>
      </c>
      <c r="I296" s="3" t="s">
        <v>2036</v>
      </c>
      <c r="J296" s="3" t="str">
        <f t="shared" si="27"/>
        <v>att_organ:prostate</v>
      </c>
      <c r="K296" s="6" t="s">
        <v>16</v>
      </c>
      <c r="L296" s="3" t="s">
        <v>2037</v>
      </c>
      <c r="M296" s="3" t="s">
        <v>12</v>
      </c>
      <c r="N296" s="3" t="str">
        <f t="shared" si="28"/>
        <v>INSERT INTO attributes (parent_id, tag, name, priority, allow_as_filter, allow_for_dataset, allow_for_measurement, allow_for_users, allow_for_qc) VALUES (NULL, 'att_organ',  'Organ',  500,  TRUE, TRUE, TRUE, FALSE, FALSE);</v>
      </c>
      <c r="O296" s="3" t="str">
        <f t="shared" si="29"/>
        <v xml:space="preserve">INSERT INTO attribute_values (attribute_id, tag, name, details) VALUES ((SELECT id FROM attributes WHERE tag = 'att_organ' LIMIT 1),  'att_organ:prostate',  'Prostate',  'Prostate'); </v>
      </c>
    </row>
    <row r="297" spans="1:15">
      <c r="A297" s="7" t="b">
        <f>FALSE()</f>
        <v>0</v>
      </c>
      <c r="B297" s="7"/>
      <c r="C297" s="3" t="s">
        <v>2038</v>
      </c>
      <c r="D297" s="3" t="s">
        <v>2039</v>
      </c>
      <c r="E297" s="3" t="s">
        <v>12</v>
      </c>
      <c r="F297" s="3" t="s">
        <v>137</v>
      </c>
      <c r="G297" s="3" t="s">
        <v>2528</v>
      </c>
      <c r="H297" s="3" t="str">
        <f t="shared" si="26"/>
        <v>att_organ</v>
      </c>
      <c r="I297" s="3" t="s">
        <v>2038</v>
      </c>
      <c r="J297" s="3" t="str">
        <f t="shared" si="27"/>
        <v>att_organ:rectum</v>
      </c>
      <c r="K297" s="6" t="s">
        <v>16</v>
      </c>
      <c r="L297" s="3" t="s">
        <v>2039</v>
      </c>
      <c r="M297" s="3" t="s">
        <v>12</v>
      </c>
      <c r="N297" s="3" t="str">
        <f t="shared" si="28"/>
        <v>INSERT INTO attributes (parent_id, tag, name, priority, allow_as_filter, allow_for_dataset, allow_for_measurement, allow_for_users, allow_for_qc) VALUES (NULL, 'att_organ',  'Organ',  500,  TRUE, TRUE, TRUE, FALSE, FALSE);</v>
      </c>
      <c r="O297" s="3" t="str">
        <f t="shared" si="29"/>
        <v xml:space="preserve">INSERT INTO attribute_values (attribute_id, tag, name, details) VALUES ((SELECT id FROM attributes WHERE tag = 'att_organ' LIMIT 1),  'att_organ:rectum',  'Rectum',  'Rectum'); </v>
      </c>
    </row>
    <row r="298" spans="1:15">
      <c r="A298" s="7" t="b">
        <f>FALSE()</f>
        <v>0</v>
      </c>
      <c r="B298" s="7"/>
      <c r="C298" s="3" t="s">
        <v>2041</v>
      </c>
      <c r="D298" s="3" t="s">
        <v>2042</v>
      </c>
      <c r="E298" s="3" t="s">
        <v>12</v>
      </c>
      <c r="F298" s="3" t="s">
        <v>137</v>
      </c>
      <c r="G298" s="3" t="s">
        <v>2528</v>
      </c>
      <c r="H298" s="3" t="str">
        <f t="shared" si="26"/>
        <v>att_organ</v>
      </c>
      <c r="I298" s="3" t="s">
        <v>2040</v>
      </c>
      <c r="J298" s="3" t="str">
        <f t="shared" si="27"/>
        <v>att_organ:small_intestine</v>
      </c>
      <c r="K298" s="6" t="s">
        <v>16</v>
      </c>
      <c r="L298" s="3" t="s">
        <v>2043</v>
      </c>
      <c r="M298" s="3" t="s">
        <v>12</v>
      </c>
      <c r="N298" s="3" t="str">
        <f t="shared" si="28"/>
        <v>INSERT INTO attributes (parent_id, tag, name, priority, allow_as_filter, allow_for_dataset, allow_for_measurement, allow_for_users, allow_for_qc) VALUES (NULL, 'att_organ',  'Organ',  500,  TRUE, TRUE, TRUE, FALSE, FALSE);</v>
      </c>
      <c r="O298" s="3" t="str">
        <f t="shared" si="29"/>
        <v xml:space="preserve">INSERT INTO attribute_values (attribute_id, tag, name, details) VALUES ((SELECT id FROM attributes WHERE tag = 'att_organ' LIMIT 1),  'att_organ:small_intestine',  'Small Intestine',  'Small Intestine; Between the Stomach and the Colon'); </v>
      </c>
    </row>
    <row r="299" spans="1:15">
      <c r="A299" s="7" t="b">
        <f>FALSE()</f>
        <v>0</v>
      </c>
      <c r="B299" s="7"/>
      <c r="C299" s="3" t="s">
        <v>2044</v>
      </c>
      <c r="D299" s="3" t="s">
        <v>2045</v>
      </c>
      <c r="E299" s="3" t="s">
        <v>12</v>
      </c>
      <c r="F299" s="3" t="s">
        <v>137</v>
      </c>
      <c r="G299" s="3" t="s">
        <v>2528</v>
      </c>
      <c r="H299" s="3" t="str">
        <f t="shared" si="26"/>
        <v>att_organ</v>
      </c>
      <c r="I299" s="3" t="s">
        <v>2044</v>
      </c>
      <c r="J299" s="3" t="str">
        <f t="shared" si="27"/>
        <v>att_organ:spinal_cord</v>
      </c>
      <c r="K299" s="6" t="s">
        <v>16</v>
      </c>
      <c r="L299" s="3" t="s">
        <v>2046</v>
      </c>
      <c r="M299" s="3" t="s">
        <v>12</v>
      </c>
      <c r="N299" s="3" t="str">
        <f t="shared" si="28"/>
        <v>INSERT INTO attributes (parent_id, tag, name, priority, allow_as_filter, allow_for_dataset, allow_for_measurement, allow_for_users, allow_for_qc) VALUES (NULL, 'att_organ',  'Organ',  500,  TRUE, TRUE, TRUE, FALSE, FALSE);</v>
      </c>
      <c r="O299" s="3" t="str">
        <f t="shared" si="29"/>
        <v xml:space="preserve">INSERT INTO attribute_values (attribute_id, tag, name, details) VALUES ((SELECT id FROM attributes WHERE tag = 'att_organ' LIMIT 1),  'att_organ:spinal_cord',  'Spinal Cord',  'Spinal_Cord'); </v>
      </c>
    </row>
    <row r="300" spans="1:15">
      <c r="A300" s="7" t="b">
        <f>FALSE()</f>
        <v>0</v>
      </c>
      <c r="B300" s="7"/>
      <c r="C300" s="3" t="s">
        <v>2047</v>
      </c>
      <c r="D300" s="3" t="s">
        <v>2048</v>
      </c>
      <c r="E300" s="3" t="s">
        <v>12</v>
      </c>
      <c r="F300" s="3" t="s">
        <v>137</v>
      </c>
      <c r="G300" s="3" t="s">
        <v>2528</v>
      </c>
      <c r="H300" s="3" t="str">
        <f t="shared" si="26"/>
        <v>att_organ</v>
      </c>
      <c r="I300" s="3" t="s">
        <v>2047</v>
      </c>
      <c r="J300" s="3" t="str">
        <f t="shared" si="27"/>
        <v>att_organ:spleen</v>
      </c>
      <c r="K300" s="6" t="s">
        <v>16</v>
      </c>
      <c r="L300" s="3" t="s">
        <v>2048</v>
      </c>
      <c r="M300" s="3" t="s">
        <v>12</v>
      </c>
      <c r="N300" s="3" t="str">
        <f t="shared" si="28"/>
        <v>INSERT INTO attributes (parent_id, tag, name, priority, allow_as_filter, allow_for_dataset, allow_for_measurement, allow_for_users, allow_for_qc) VALUES (NULL, 'att_organ',  'Organ',  500,  TRUE, TRUE, TRUE, FALSE, FALSE);</v>
      </c>
      <c r="O300" s="3" t="str">
        <f t="shared" si="29"/>
        <v xml:space="preserve">INSERT INTO attribute_values (attribute_id, tag, name, details) VALUES ((SELECT id FROM attributes WHERE tag = 'att_organ' LIMIT 1),  'att_organ:spleen',  'Spleen',  'Spleen'); </v>
      </c>
    </row>
    <row r="301" spans="1:15">
      <c r="A301" s="7" t="b">
        <f>FALSE()</f>
        <v>0</v>
      </c>
      <c r="B301" s="7"/>
      <c r="C301" s="3" t="s">
        <v>2049</v>
      </c>
      <c r="D301" s="3" t="s">
        <v>2050</v>
      </c>
      <c r="E301" s="3" t="s">
        <v>12</v>
      </c>
      <c r="F301" s="3" t="s">
        <v>137</v>
      </c>
      <c r="G301" s="3" t="s">
        <v>2528</v>
      </c>
      <c r="H301" s="3" t="str">
        <f t="shared" ref="H301:H332" si="30">"att_"&amp;G301</f>
        <v>att_organ</v>
      </c>
      <c r="I301" s="3" t="s">
        <v>2049</v>
      </c>
      <c r="J301" s="3" t="str">
        <f t="shared" ref="J301:J332" si="31">H301&amp;":"&amp;I301</f>
        <v>att_organ:stomach</v>
      </c>
      <c r="K301" s="6" t="s">
        <v>16</v>
      </c>
      <c r="L301" s="3" t="s">
        <v>2050</v>
      </c>
      <c r="M301" s="3" t="s">
        <v>12</v>
      </c>
      <c r="N301" s="3"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3"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c r="A302" s="7" t="b">
        <f>FALSE()</f>
        <v>0</v>
      </c>
      <c r="B302" s="7"/>
      <c r="C302" s="3" t="s">
        <v>2051</v>
      </c>
      <c r="D302" s="3" t="s">
        <v>2052</v>
      </c>
      <c r="E302" s="3" t="s">
        <v>12</v>
      </c>
      <c r="F302" s="3" t="s">
        <v>137</v>
      </c>
      <c r="G302" s="3" t="s">
        <v>2528</v>
      </c>
      <c r="H302" s="3" t="str">
        <f t="shared" si="30"/>
        <v>att_organ</v>
      </c>
      <c r="I302" s="3" t="s">
        <v>2051</v>
      </c>
      <c r="J302" s="3" t="str">
        <f t="shared" si="31"/>
        <v>att_organ:testicles</v>
      </c>
      <c r="K302" s="6" t="s">
        <v>16</v>
      </c>
      <c r="L302" s="3" t="s">
        <v>2052</v>
      </c>
      <c r="M302" s="3" t="s">
        <v>12</v>
      </c>
      <c r="N302" s="3" t="str">
        <f t="shared" si="32"/>
        <v>INSERT INTO attributes (parent_id, tag, name, priority, allow_as_filter, allow_for_dataset, allow_for_measurement, allow_for_users, allow_for_qc) VALUES (NULL, 'att_organ',  'Organ',  500,  TRUE, TRUE, TRUE, FALSE, FALSE);</v>
      </c>
      <c r="O302" s="3" t="str">
        <f t="shared" si="33"/>
        <v xml:space="preserve">INSERT INTO attribute_values (attribute_id, tag, name, details) VALUES ((SELECT id FROM attributes WHERE tag = 'att_organ' LIMIT 1),  'att_organ:testicles',  'Testicles',  'Testicles'); </v>
      </c>
    </row>
    <row r="303" spans="1:15">
      <c r="A303" s="7" t="b">
        <f>FALSE()</f>
        <v>0</v>
      </c>
      <c r="B303" s="7"/>
      <c r="C303" s="3" t="s">
        <v>2053</v>
      </c>
      <c r="D303" s="3" t="s">
        <v>2054</v>
      </c>
      <c r="E303" s="3" t="s">
        <v>12</v>
      </c>
      <c r="F303" s="3" t="s">
        <v>137</v>
      </c>
      <c r="G303" s="3" t="s">
        <v>2528</v>
      </c>
      <c r="H303" s="3" t="str">
        <f t="shared" si="30"/>
        <v>att_organ</v>
      </c>
      <c r="I303" s="3" t="s">
        <v>2053</v>
      </c>
      <c r="J303" s="3" t="str">
        <f t="shared" si="31"/>
        <v>att_organ:thalamus</v>
      </c>
      <c r="K303" s="6" t="s">
        <v>16</v>
      </c>
      <c r="L303" s="3" t="s">
        <v>2054</v>
      </c>
      <c r="M303" s="3" t="s">
        <v>12</v>
      </c>
      <c r="N303" s="3" t="str">
        <f t="shared" si="32"/>
        <v>INSERT INTO attributes (parent_id, tag, name, priority, allow_as_filter, allow_for_dataset, allow_for_measurement, allow_for_users, allow_for_qc) VALUES (NULL, 'att_organ',  'Organ',  500,  TRUE, TRUE, TRUE, FALSE, FALSE);</v>
      </c>
      <c r="O303" s="3" t="str">
        <f t="shared" si="33"/>
        <v xml:space="preserve">INSERT INTO attribute_values (attribute_id, tag, name, details) VALUES ((SELECT id FROM attributes WHERE tag = 'att_organ' LIMIT 1),  'att_organ:thalamus',  'Thalamus',  'Thalamus'); </v>
      </c>
    </row>
    <row r="304" spans="1:15">
      <c r="A304" s="7" t="b">
        <f>FALSE()</f>
        <v>0</v>
      </c>
      <c r="B304" s="7"/>
      <c r="C304" s="3" t="s">
        <v>2055</v>
      </c>
      <c r="D304" s="3" t="s">
        <v>2056</v>
      </c>
      <c r="E304" s="3" t="s">
        <v>12</v>
      </c>
      <c r="F304" s="3" t="s">
        <v>137</v>
      </c>
      <c r="G304" s="3" t="s">
        <v>2528</v>
      </c>
      <c r="H304" s="3" t="str">
        <f t="shared" si="30"/>
        <v>att_organ</v>
      </c>
      <c r="I304" s="3" t="s">
        <v>2055</v>
      </c>
      <c r="J304" s="3" t="str">
        <f t="shared" si="31"/>
        <v>att_organ:thymus</v>
      </c>
      <c r="K304" s="6" t="s">
        <v>16</v>
      </c>
      <c r="L304" s="3" t="s">
        <v>2056</v>
      </c>
      <c r="M304" s="3" t="s">
        <v>12</v>
      </c>
      <c r="N304" s="3" t="str">
        <f t="shared" si="32"/>
        <v>INSERT INTO attributes (parent_id, tag, name, priority, allow_as_filter, allow_for_dataset, allow_for_measurement, allow_for_users, allow_for_qc) VALUES (NULL, 'att_organ',  'Organ',  500,  TRUE, TRUE, TRUE, FALSE, FALSE);</v>
      </c>
      <c r="O304" s="3" t="str">
        <f t="shared" si="33"/>
        <v xml:space="preserve">INSERT INTO attribute_values (attribute_id, tag, name, details) VALUES ((SELECT id FROM attributes WHERE tag = 'att_organ' LIMIT 1),  'att_organ:thymus',  'Thymus',  'Thymus'); </v>
      </c>
    </row>
    <row r="305" spans="1:15">
      <c r="A305" s="7" t="b">
        <f>FALSE()</f>
        <v>0</v>
      </c>
      <c r="B305" s="7"/>
      <c r="C305" s="3" t="s">
        <v>2057</v>
      </c>
      <c r="D305" s="3" t="s">
        <v>2058</v>
      </c>
      <c r="E305" s="3" t="s">
        <v>12</v>
      </c>
      <c r="F305" s="3" t="s">
        <v>137</v>
      </c>
      <c r="G305" s="3" t="s">
        <v>2528</v>
      </c>
      <c r="H305" s="3" t="str">
        <f t="shared" si="30"/>
        <v>att_organ</v>
      </c>
      <c r="I305" s="3" t="s">
        <v>2057</v>
      </c>
      <c r="J305" s="3" t="str">
        <f t="shared" si="31"/>
        <v>att_organ:tongue</v>
      </c>
      <c r="K305" s="6" t="s">
        <v>16</v>
      </c>
      <c r="L305" s="3" t="s">
        <v>2058</v>
      </c>
      <c r="M305" s="3" t="s">
        <v>12</v>
      </c>
      <c r="N305" s="3" t="str">
        <f t="shared" si="32"/>
        <v>INSERT INTO attributes (parent_id, tag, name, priority, allow_as_filter, allow_for_dataset, allow_for_measurement, allow_for_users, allow_for_qc) VALUES (NULL, 'att_organ',  'Organ',  500,  TRUE, TRUE, TRUE, FALSE, FALSE);</v>
      </c>
      <c r="O305" s="3" t="str">
        <f t="shared" si="33"/>
        <v xml:space="preserve">INSERT INTO attribute_values (attribute_id, tag, name, details) VALUES ((SELECT id FROM attributes WHERE tag = 'att_organ' LIMIT 1),  'att_organ:tongue',  'Tongue',  'Tongue'); </v>
      </c>
    </row>
    <row r="306" spans="1:15">
      <c r="A306" s="7" t="b">
        <f>FALSE()</f>
        <v>0</v>
      </c>
      <c r="B306" s="7"/>
      <c r="C306" s="3" t="s">
        <v>2059</v>
      </c>
      <c r="D306" s="3" t="s">
        <v>2060</v>
      </c>
      <c r="E306" s="3" t="s">
        <v>12</v>
      </c>
      <c r="F306" s="3" t="s">
        <v>137</v>
      </c>
      <c r="G306" s="3" t="s">
        <v>2528</v>
      </c>
      <c r="H306" s="3" t="str">
        <f t="shared" si="30"/>
        <v>att_organ</v>
      </c>
      <c r="I306" s="3" t="s">
        <v>2059</v>
      </c>
      <c r="J306" s="3" t="str">
        <f t="shared" si="31"/>
        <v>att_organ:tonsils</v>
      </c>
      <c r="K306" s="6" t="s">
        <v>16</v>
      </c>
      <c r="L306" s="3" t="s">
        <v>2060</v>
      </c>
      <c r="M306" s="3" t="s">
        <v>12</v>
      </c>
      <c r="N306" s="3" t="str">
        <f t="shared" si="32"/>
        <v>INSERT INTO attributes (parent_id, tag, name, priority, allow_as_filter, allow_for_dataset, allow_for_measurement, allow_for_users, allow_for_qc) VALUES (NULL, 'att_organ',  'Organ',  500,  TRUE, TRUE, TRUE, FALSE, FALSE);</v>
      </c>
      <c r="O306" s="3" t="str">
        <f t="shared" si="33"/>
        <v xml:space="preserve">INSERT INTO attribute_values (attribute_id, tag, name, details) VALUES ((SELECT id FROM attributes WHERE tag = 'att_organ' LIMIT 1),  'att_organ:tonsils',  'Tonsils',  'Tonsils'); </v>
      </c>
    </row>
    <row r="307" spans="1:15">
      <c r="A307" s="7" t="b">
        <f>FALSE()</f>
        <v>0</v>
      </c>
      <c r="B307" s="7"/>
      <c r="C307" s="3" t="s">
        <v>2061</v>
      </c>
      <c r="D307" s="3" t="s">
        <v>2062</v>
      </c>
      <c r="E307" s="3" t="s">
        <v>12</v>
      </c>
      <c r="F307" s="3" t="s">
        <v>137</v>
      </c>
      <c r="G307" s="3" t="s">
        <v>2528</v>
      </c>
      <c r="H307" s="3" t="str">
        <f t="shared" si="30"/>
        <v>att_organ</v>
      </c>
      <c r="I307" s="3" t="s">
        <v>2061</v>
      </c>
      <c r="J307" s="3" t="str">
        <f t="shared" si="31"/>
        <v>att_organ:uterus</v>
      </c>
      <c r="K307" s="6" t="s">
        <v>16</v>
      </c>
      <c r="L307" s="3" t="s">
        <v>2062</v>
      </c>
      <c r="M307" s="3" t="s">
        <v>12</v>
      </c>
      <c r="N307" s="3" t="str">
        <f t="shared" si="32"/>
        <v>INSERT INTO attributes (parent_id, tag, name, priority, allow_as_filter, allow_for_dataset, allow_for_measurement, allow_for_users, allow_for_qc) VALUES (NULL, 'att_organ',  'Organ',  500,  TRUE, TRUE, TRUE, FALSE, FALSE);</v>
      </c>
      <c r="O307" s="3" t="str">
        <f t="shared" si="33"/>
        <v xml:space="preserve">INSERT INTO attribute_values (attribute_id, tag, name, details) VALUES ((SELECT id FROM attributes WHERE tag = 'att_organ' LIMIT 1),  'att_organ:uterus',  'Uterus',  'Uterus'); </v>
      </c>
    </row>
    <row r="308" spans="1:15">
      <c r="A308" s="7" t="b">
        <f>FALSE()</f>
        <v>0</v>
      </c>
      <c r="B308" s="7"/>
      <c r="C308" s="3" t="s">
        <v>2063</v>
      </c>
      <c r="D308" s="3" t="s">
        <v>2064</v>
      </c>
      <c r="E308" s="3" t="s">
        <v>12</v>
      </c>
      <c r="F308" s="3" t="s">
        <v>137</v>
      </c>
      <c r="G308" s="3" t="s">
        <v>2528</v>
      </c>
      <c r="H308" s="3" t="str">
        <f t="shared" si="30"/>
        <v>att_organ</v>
      </c>
      <c r="I308" s="3" t="s">
        <v>2063</v>
      </c>
      <c r="J308" s="3" t="str">
        <f t="shared" si="31"/>
        <v>att_organ:veins</v>
      </c>
      <c r="K308" s="6" t="s">
        <v>16</v>
      </c>
      <c r="L308" s="3" t="s">
        <v>2064</v>
      </c>
      <c r="M308" s="3" t="s">
        <v>12</v>
      </c>
      <c r="N308" s="3" t="str">
        <f t="shared" si="32"/>
        <v>INSERT INTO attributes (parent_id, tag, name, priority, allow_as_filter, allow_for_dataset, allow_for_measurement, allow_for_users, allow_for_qc) VALUES (NULL, 'att_organ',  'Organ',  500,  TRUE, TRUE, TRUE, FALSE, FALSE);</v>
      </c>
      <c r="O308" s="3" t="str">
        <f t="shared" si="33"/>
        <v xml:space="preserve">INSERT INTO attribute_values (attribute_id, tag, name, details) VALUES ((SELECT id FROM attributes WHERE tag = 'att_organ' LIMIT 1),  'att_organ:veins',  'Veins',  'Veins'); </v>
      </c>
    </row>
    <row r="309" spans="1:15">
      <c r="A309" s="6" t="s">
        <v>16</v>
      </c>
      <c r="B309" s="7"/>
      <c r="C309" s="3" t="s">
        <v>2529</v>
      </c>
      <c r="D309" s="3" t="s">
        <v>2530</v>
      </c>
      <c r="E309" s="3" t="s">
        <v>12</v>
      </c>
      <c r="F309" s="3" t="s">
        <v>139</v>
      </c>
      <c r="G309" s="3" t="s">
        <v>2531</v>
      </c>
      <c r="H309" s="3" t="str">
        <f t="shared" si="30"/>
        <v>att_organism</v>
      </c>
      <c r="I309" s="3" t="s">
        <v>2529</v>
      </c>
      <c r="J309" s="3" t="str">
        <f t="shared" si="31"/>
        <v>att_organism:bacteria</v>
      </c>
      <c r="K309" s="6" t="s">
        <v>16</v>
      </c>
      <c r="L309" s="3" t="s">
        <v>2530</v>
      </c>
      <c r="M309" s="3" t="s">
        <v>12</v>
      </c>
      <c r="N309" s="3" t="str">
        <f t="shared" si="32"/>
        <v>INSERT INTO attributes (parent_id, tag, name, priority, allow_as_filter, allow_for_dataset, allow_for_measurement, allow_for_users, allow_for_qc) VALUES (NULL, 'att_organism',  'Organism',  500,  TRUE, TRUE, TRUE, FALSE, FALSE);</v>
      </c>
      <c r="O309" s="3" t="str">
        <f t="shared" si="33"/>
        <v xml:space="preserve">INSERT INTO attribute_values (attribute_id, tag, name, details) VALUES ((SELECT id FROM attributes WHERE tag = 'att_organism' LIMIT 1),  'att_organism:bacteria',  'Bacteria',  'Bacteria'); </v>
      </c>
    </row>
    <row r="310" spans="1:15">
      <c r="A310" s="6" t="s">
        <v>16</v>
      </c>
      <c r="B310" s="7"/>
      <c r="C310" s="3" t="s">
        <v>2532</v>
      </c>
      <c r="D310" s="3" t="s">
        <v>2071</v>
      </c>
      <c r="E310" s="3" t="s">
        <v>12</v>
      </c>
      <c r="F310" s="3" t="s">
        <v>139</v>
      </c>
      <c r="G310" s="3" t="s">
        <v>2531</v>
      </c>
      <c r="H310" s="3" t="str">
        <f t="shared" si="30"/>
        <v>att_organism</v>
      </c>
      <c r="I310" s="3" t="s">
        <v>2532</v>
      </c>
      <c r="J310" s="3" t="str">
        <f t="shared" si="31"/>
        <v>att_organism:elegans</v>
      </c>
      <c r="K310" s="6" t="s">
        <v>16</v>
      </c>
      <c r="L310" s="3" t="s">
        <v>2071</v>
      </c>
      <c r="M310" s="3" t="s">
        <v>12</v>
      </c>
      <c r="N310" s="3" t="str">
        <f t="shared" si="32"/>
        <v>INSERT INTO attributes (parent_id, tag, name, priority, allow_as_filter, allow_for_dataset, allow_for_measurement, allow_for_users, allow_for_qc) VALUES (NULL, 'att_organism',  'Organism',  500,  TRUE, TRUE, TRUE, FALSE, FALSE);</v>
      </c>
      <c r="O310" s="3" t="str">
        <f t="shared" si="33"/>
        <v xml:space="preserve">INSERT INTO attribute_values (attribute_id, tag, name, details) VALUES ((SELECT id FROM attributes WHERE tag = 'att_organism' LIMIT 1),  'att_organism:elegans',  'Caenorhabditis elegans',  'Caenorhabditis elegans'); </v>
      </c>
    </row>
    <row r="311" spans="1:15">
      <c r="A311" s="6" t="s">
        <v>16</v>
      </c>
      <c r="B311" s="7"/>
      <c r="C311" s="3" t="s">
        <v>2533</v>
      </c>
      <c r="D311" s="3" t="s">
        <v>2534</v>
      </c>
      <c r="E311" s="3" t="s">
        <v>12</v>
      </c>
      <c r="F311" s="3" t="s">
        <v>139</v>
      </c>
      <c r="G311" s="3" t="s">
        <v>2531</v>
      </c>
      <c r="H311" s="3" t="str">
        <f t="shared" si="30"/>
        <v>att_organism</v>
      </c>
      <c r="I311" s="3" t="s">
        <v>2533</v>
      </c>
      <c r="J311" s="3" t="str">
        <f t="shared" si="31"/>
        <v>att_organism:gut</v>
      </c>
      <c r="K311" s="6" t="s">
        <v>16</v>
      </c>
      <c r="L311" s="3" t="s">
        <v>2535</v>
      </c>
      <c r="M311" s="3" t="s">
        <v>12</v>
      </c>
      <c r="N311" s="3" t="str">
        <f t="shared" si="32"/>
        <v>INSERT INTO attributes (parent_id, tag, name, priority, allow_as_filter, allow_for_dataset, allow_for_measurement, allow_for_users, allow_for_qc) VALUES (NULL, 'att_organism',  'Organism',  500,  TRUE, TRUE, TRUE, FALSE, FALSE);</v>
      </c>
      <c r="O311" s="3" t="str">
        <f t="shared" si="33"/>
        <v xml:space="preserve">INSERT INTO attribute_values (attribute_id, tag, name, details) VALUES ((SELECT id FROM attributes WHERE tag = 'att_organism' LIMIT 1),  'att_organism:gut',  'Gut Microbiom',  'Gut Microbiomm (Specify in Additional Info)'); </v>
      </c>
    </row>
    <row r="312" spans="1:15">
      <c r="A312" s="6" t="s">
        <v>16</v>
      </c>
      <c r="B312" s="7"/>
      <c r="C312" s="3" t="s">
        <v>2082</v>
      </c>
      <c r="D312" s="3" t="s">
        <v>2083</v>
      </c>
      <c r="E312" s="3" t="s">
        <v>12</v>
      </c>
      <c r="F312" s="3" t="s">
        <v>139</v>
      </c>
      <c r="G312" s="3" t="s">
        <v>2531</v>
      </c>
      <c r="H312" s="3" t="str">
        <f t="shared" si="30"/>
        <v>att_organism</v>
      </c>
      <c r="I312" s="3" t="s">
        <v>2082</v>
      </c>
      <c r="J312" s="3" t="str">
        <f t="shared" si="31"/>
        <v>att_organism:human</v>
      </c>
      <c r="K312" s="6" t="s">
        <v>16</v>
      </c>
      <c r="L312" s="3" t="s">
        <v>2536</v>
      </c>
      <c r="M312" s="3" t="s">
        <v>12</v>
      </c>
      <c r="N312" s="3" t="str">
        <f t="shared" si="32"/>
        <v>INSERT INTO attributes (parent_id, tag, name, priority, allow_as_filter, allow_for_dataset, allow_for_measurement, allow_for_users, allow_for_qc) VALUES (NULL, 'att_organism',  'Organism',  500,  TRUE, TRUE, TRUE, FALSE, FALSE);</v>
      </c>
      <c r="O312" s="3" t="str">
        <f t="shared" si="33"/>
        <v xml:space="preserve">INSERT INTO attribute_values (attribute_id, tag, name, details) VALUES ((SELECT id FROM attributes WHERE tag = 'att_organism' LIMIT 1),  'att_organism:human',  'Homo sapiens',  'Homo sapiens (Human)'); </v>
      </c>
    </row>
    <row r="313" spans="1:15">
      <c r="A313" s="6" t="s">
        <v>16</v>
      </c>
      <c r="B313" s="7"/>
      <c r="C313" s="3" t="s">
        <v>2066</v>
      </c>
      <c r="D313" s="3" t="s">
        <v>2067</v>
      </c>
      <c r="E313" s="3" t="s">
        <v>12</v>
      </c>
      <c r="F313" s="3" t="s">
        <v>139</v>
      </c>
      <c r="G313" s="3" t="s">
        <v>2531</v>
      </c>
      <c r="H313" s="3" t="str">
        <f t="shared" si="30"/>
        <v>att_organism</v>
      </c>
      <c r="I313" s="3" t="s">
        <v>2066</v>
      </c>
      <c r="J313" s="3" t="str">
        <f t="shared" si="31"/>
        <v>att_organism:mouse</v>
      </c>
      <c r="K313" s="6" t="s">
        <v>16</v>
      </c>
      <c r="L313" s="3" t="s">
        <v>2537</v>
      </c>
      <c r="M313" s="3" t="s">
        <v>12</v>
      </c>
      <c r="N313" s="3" t="str">
        <f t="shared" si="32"/>
        <v>INSERT INTO attributes (parent_id, tag, name, priority, allow_as_filter, allow_for_dataset, allow_for_measurement, allow_for_users, allow_for_qc) VALUES (NULL, 'att_organism',  'Organism',  500,  TRUE, TRUE, TRUE, FALSE, FALSE);</v>
      </c>
      <c r="O313" s="3" t="str">
        <f t="shared" si="33"/>
        <v xml:space="preserve">INSERT INTO attribute_values (attribute_id, tag, name, details) VALUES ((SELECT id FROM attributes WHERE tag = 'att_organism' LIMIT 1),  'att_organism:mouse',  'Mus musculus',  'Mus musculus (Mouse)'); </v>
      </c>
    </row>
    <row r="314" spans="1:15">
      <c r="A314" s="6" t="s">
        <v>16</v>
      </c>
      <c r="B314" s="7"/>
      <c r="C314" s="3" t="s">
        <v>2078</v>
      </c>
      <c r="D314" s="3" t="s">
        <v>2079</v>
      </c>
      <c r="E314" s="3" t="s">
        <v>12</v>
      </c>
      <c r="F314" s="3" t="s">
        <v>139</v>
      </c>
      <c r="G314" s="3" t="s">
        <v>2531</v>
      </c>
      <c r="H314" s="3" t="str">
        <f t="shared" si="30"/>
        <v>att_organism</v>
      </c>
      <c r="I314" s="3" t="s">
        <v>2078</v>
      </c>
      <c r="J314" s="3" t="str">
        <f t="shared" si="31"/>
        <v>att_organism:rat</v>
      </c>
      <c r="K314" s="6" t="s">
        <v>16</v>
      </c>
      <c r="L314" s="3" t="s">
        <v>2538</v>
      </c>
      <c r="M314" s="3" t="s">
        <v>12</v>
      </c>
      <c r="N314" s="3" t="str">
        <f t="shared" si="32"/>
        <v>INSERT INTO attributes (parent_id, tag, name, priority, allow_as_filter, allow_for_dataset, allow_for_measurement, allow_for_users, allow_for_qc) VALUES (NULL, 'att_organism',  'Organism',  500,  TRUE, TRUE, TRUE, FALSE, FALSE);</v>
      </c>
      <c r="O314" s="3" t="str">
        <f t="shared" si="33"/>
        <v xml:space="preserve">INSERT INTO attribute_values (attribute_id, tag, name, details) VALUES ((SELECT id FROM attributes WHERE tag = 'att_organism' LIMIT 1),  'att_organism:rat',  'Rattus norvegicus',  'Rattus norvegicus (Rat)'); </v>
      </c>
    </row>
    <row r="315" spans="1:15">
      <c r="A315" s="6" t="s">
        <v>16</v>
      </c>
      <c r="B315" s="7"/>
      <c r="C315" s="3" t="s">
        <v>2074</v>
      </c>
      <c r="D315" s="3" t="s">
        <v>2075</v>
      </c>
      <c r="E315" s="3" t="s">
        <v>12</v>
      </c>
      <c r="F315" s="3" t="s">
        <v>139</v>
      </c>
      <c r="G315" s="3" t="s">
        <v>2531</v>
      </c>
      <c r="H315" s="3" t="str">
        <f t="shared" si="30"/>
        <v>att_organism</v>
      </c>
      <c r="I315" s="3" t="s">
        <v>2074</v>
      </c>
      <c r="J315" s="3" t="str">
        <f t="shared" si="31"/>
        <v>att_organism:yeast</v>
      </c>
      <c r="K315" s="6" t="s">
        <v>16</v>
      </c>
      <c r="L315" s="3" t="s">
        <v>2539</v>
      </c>
      <c r="M315" s="3" t="s">
        <v>12</v>
      </c>
      <c r="N315" s="3" t="str">
        <f t="shared" si="32"/>
        <v>INSERT INTO attributes (parent_id, tag, name, priority, allow_as_filter, allow_for_dataset, allow_for_measurement, allow_for_users, allow_for_qc) VALUES (NULL, 'att_organism',  'Organism',  500,  TRUE, TRUE, TRUE, FALSE, FALSE);</v>
      </c>
      <c r="O315" s="3" t="str">
        <f t="shared" si="33"/>
        <v xml:space="preserve">INSERT INTO attribute_values (attribute_id, tag, name, details) VALUES ((SELECT id FROM attributes WHERE tag = 'att_organism' LIMIT 1),  'att_organism:yeast',  'Saccharomyces cerevisiae',  'Saccharomyces cerevisiae (Baker's Yeast)'); </v>
      </c>
    </row>
    <row r="316" spans="1:15">
      <c r="A316" s="7" t="b">
        <f>FALSE()</f>
        <v>0</v>
      </c>
      <c r="B316" s="7"/>
      <c r="C316" s="3" t="s">
        <v>2085</v>
      </c>
      <c r="D316" s="3" t="s">
        <v>2087</v>
      </c>
      <c r="E316" s="3" t="s">
        <v>12</v>
      </c>
      <c r="F316" s="3" t="s">
        <v>2540</v>
      </c>
      <c r="G316" s="3" t="s">
        <v>2541</v>
      </c>
      <c r="H316" s="3" t="str">
        <f t="shared" si="30"/>
        <v>att_organsystem</v>
      </c>
      <c r="I316" s="3" t="s">
        <v>2085</v>
      </c>
      <c r="J316" s="3" t="str">
        <f t="shared" si="31"/>
        <v>att_organsystem:cardiovascular</v>
      </c>
      <c r="K316" s="6" t="s">
        <v>16</v>
      </c>
      <c r="L316" s="3" t="s">
        <v>2088</v>
      </c>
      <c r="M316" s="3" t="s">
        <v>12</v>
      </c>
      <c r="N316" s="3" t="str">
        <f t="shared" si="32"/>
        <v>INSERT INTO attributes (parent_id, tag, name, priority, allow_as_filter, allow_for_dataset, allow_for_measurement, allow_for_users, allow_for_qc) VALUES (NULL, 'att_organsystem',  'Organ System',  500,  TRUE, TRUE, TRUE, FALSE, FALSE);</v>
      </c>
      <c r="O316" s="3" t="str">
        <f t="shared" si="33"/>
        <v xml:space="preserve">INSERT INTO attribute_values (attribute_id, tag, name, details) VALUES ((SELECT id FROM attributes WHERE tag = 'att_organsystem' LIMIT 1),  'att_organsystem:cardiovascular',  'Cardiovascular',  'Cardiovascular System'); </v>
      </c>
    </row>
    <row r="317" spans="1:15">
      <c r="A317" s="7" t="b">
        <f>FALSE()</f>
        <v>0</v>
      </c>
      <c r="B317" s="7"/>
      <c r="C317" s="3" t="s">
        <v>2089</v>
      </c>
      <c r="D317" s="3" t="s">
        <v>2090</v>
      </c>
      <c r="E317" s="3" t="s">
        <v>12</v>
      </c>
      <c r="F317" s="3" t="s">
        <v>2540</v>
      </c>
      <c r="G317" s="3" t="s">
        <v>2541</v>
      </c>
      <c r="H317" s="3" t="str">
        <f t="shared" si="30"/>
        <v>att_organsystem</v>
      </c>
      <c r="I317" s="3" t="s">
        <v>2089</v>
      </c>
      <c r="J317" s="3" t="str">
        <f t="shared" si="31"/>
        <v>att_organsystem:digestive</v>
      </c>
      <c r="K317" s="6" t="s">
        <v>16</v>
      </c>
      <c r="L317" s="3" t="s">
        <v>2091</v>
      </c>
      <c r="M317" s="3" t="s">
        <v>12</v>
      </c>
      <c r="N317" s="3" t="str">
        <f t="shared" si="32"/>
        <v>INSERT INTO attributes (parent_id, tag, name, priority, allow_as_filter, allow_for_dataset, allow_for_measurement, allow_for_users, allow_for_qc) VALUES (NULL, 'att_organsystem',  'Organ System',  500,  TRUE, TRUE, TRUE, FALSE, FALSE);</v>
      </c>
      <c r="O317" s="3" t="str">
        <f t="shared" si="33"/>
        <v xml:space="preserve">INSERT INTO attribute_values (attribute_id, tag, name, details) VALUES ((SELECT id FROM attributes WHERE tag = 'att_organsystem' LIMIT 1),  'att_organsystem:digestive',  'Digestive',  'Digestive System'); </v>
      </c>
    </row>
    <row r="318" spans="1:15">
      <c r="A318" s="7" t="b">
        <f>FALSE()</f>
        <v>0</v>
      </c>
      <c r="B318" s="7"/>
      <c r="C318" s="3" t="s">
        <v>2092</v>
      </c>
      <c r="D318" s="3" t="s">
        <v>2093</v>
      </c>
      <c r="E318" s="3" t="s">
        <v>12</v>
      </c>
      <c r="F318" s="3" t="s">
        <v>2540</v>
      </c>
      <c r="G318" s="3" t="s">
        <v>2541</v>
      </c>
      <c r="H318" s="3" t="str">
        <f t="shared" si="30"/>
        <v>att_organsystem</v>
      </c>
      <c r="I318" s="3" t="s">
        <v>2092</v>
      </c>
      <c r="J318" s="3" t="str">
        <f t="shared" si="31"/>
        <v>att_organsystem:endocrine</v>
      </c>
      <c r="K318" s="6" t="s">
        <v>16</v>
      </c>
      <c r="L318" s="3" t="s">
        <v>2094</v>
      </c>
      <c r="M318" s="3" t="s">
        <v>12</v>
      </c>
      <c r="N318" s="3" t="str">
        <f t="shared" si="32"/>
        <v>INSERT INTO attributes (parent_id, tag, name, priority, allow_as_filter, allow_for_dataset, allow_for_measurement, allow_for_users, allow_for_qc) VALUES (NULL, 'att_organsystem',  'Organ System',  500,  TRUE, TRUE, TRUE, FALSE, FALSE);</v>
      </c>
      <c r="O318" s="3" t="str">
        <f t="shared" si="33"/>
        <v xml:space="preserve">INSERT INTO attribute_values (attribute_id, tag, name, details) VALUES ((SELECT id FROM attributes WHERE tag = 'att_organsystem' LIMIT 1),  'att_organsystem:endocrine',  'Endocrine',  'Endocrine System'); </v>
      </c>
    </row>
    <row r="319" spans="1:15">
      <c r="A319" s="7" t="b">
        <f>FALSE()</f>
        <v>0</v>
      </c>
      <c r="B319" s="7"/>
      <c r="C319" s="3" t="s">
        <v>2095</v>
      </c>
      <c r="D319" s="3" t="s">
        <v>2096</v>
      </c>
      <c r="E319" s="3" t="s">
        <v>12</v>
      </c>
      <c r="F319" s="3" t="s">
        <v>2540</v>
      </c>
      <c r="G319" s="3" t="s">
        <v>2541</v>
      </c>
      <c r="H319" s="3" t="str">
        <f t="shared" si="30"/>
        <v>att_organsystem</v>
      </c>
      <c r="I319" s="3" t="s">
        <v>2095</v>
      </c>
      <c r="J319" s="3" t="str">
        <f t="shared" si="31"/>
        <v>att_organsystem:excretory</v>
      </c>
      <c r="K319" s="6" t="s">
        <v>16</v>
      </c>
      <c r="L319" s="3" t="s">
        <v>2097</v>
      </c>
      <c r="M319" s="3" t="s">
        <v>12</v>
      </c>
      <c r="N319" s="3" t="str">
        <f t="shared" si="32"/>
        <v>INSERT INTO attributes (parent_id, tag, name, priority, allow_as_filter, allow_for_dataset, allow_for_measurement, allow_for_users, allow_for_qc) VALUES (NULL, 'att_organsystem',  'Organ System',  500,  TRUE, TRUE, TRUE, FALSE, FALSE);</v>
      </c>
      <c r="O319" s="3" t="str">
        <f t="shared" si="33"/>
        <v xml:space="preserve">INSERT INTO attribute_values (attribute_id, tag, name, details) VALUES ((SELECT id FROM attributes WHERE tag = 'att_organsystem' LIMIT 1),  'att_organsystem:excretory',  'Excretory',  'Excretory System'); </v>
      </c>
    </row>
    <row r="320" spans="1:15">
      <c r="A320" s="7" t="b">
        <f>FALSE()</f>
        <v>0</v>
      </c>
      <c r="B320" s="7"/>
      <c r="C320" s="3" t="s">
        <v>2098</v>
      </c>
      <c r="D320" s="3" t="s">
        <v>2099</v>
      </c>
      <c r="E320" s="3" t="s">
        <v>12</v>
      </c>
      <c r="F320" s="3" t="s">
        <v>2540</v>
      </c>
      <c r="G320" s="3" t="s">
        <v>2541</v>
      </c>
      <c r="H320" s="3" t="str">
        <f t="shared" si="30"/>
        <v>att_organsystem</v>
      </c>
      <c r="I320" s="3" t="s">
        <v>2098</v>
      </c>
      <c r="J320" s="3" t="str">
        <f t="shared" si="31"/>
        <v>att_organsystem:integumentary</v>
      </c>
      <c r="K320" s="6" t="s">
        <v>16</v>
      </c>
      <c r="L320" s="3" t="s">
        <v>2100</v>
      </c>
      <c r="M320" s="3" t="s">
        <v>12</v>
      </c>
      <c r="N320" s="3" t="str">
        <f t="shared" si="32"/>
        <v>INSERT INTO attributes (parent_id, tag, name, priority, allow_as_filter, allow_for_dataset, allow_for_measurement, allow_for_users, allow_for_qc) VALUES (NULL, 'att_organsystem',  'Organ System',  500,  TRUE, TRUE, TRUE, FALSE, FALSE);</v>
      </c>
      <c r="O320" s="3" t="str">
        <f t="shared" si="33"/>
        <v xml:space="preserve">INSERT INTO attribute_values (attribute_id, tag, name, details) VALUES ((SELECT id FROM attributes WHERE tag = 'att_organsystem' LIMIT 1),  'att_organsystem:integumentary',  'Integumentary',  'Integumentary System'); </v>
      </c>
    </row>
    <row r="321" spans="1:15">
      <c r="A321" s="7" t="b">
        <f>FALSE()</f>
        <v>0</v>
      </c>
      <c r="B321" s="7"/>
      <c r="C321" s="3" t="s">
        <v>2101</v>
      </c>
      <c r="D321" s="3" t="s">
        <v>2102</v>
      </c>
      <c r="E321" s="3" t="s">
        <v>12</v>
      </c>
      <c r="F321" s="3" t="s">
        <v>2540</v>
      </c>
      <c r="G321" s="3" t="s">
        <v>2541</v>
      </c>
      <c r="H321" s="3" t="str">
        <f t="shared" si="30"/>
        <v>att_organsystem</v>
      </c>
      <c r="I321" s="3" t="s">
        <v>2101</v>
      </c>
      <c r="J321" s="3" t="str">
        <f t="shared" si="31"/>
        <v>att_organsystem:lymphatic</v>
      </c>
      <c r="K321" s="6" t="s">
        <v>16</v>
      </c>
      <c r="L321" s="3" t="s">
        <v>2103</v>
      </c>
      <c r="M321" s="3" t="s">
        <v>12</v>
      </c>
      <c r="N321" s="3" t="str">
        <f t="shared" si="32"/>
        <v>INSERT INTO attributes (parent_id, tag, name, priority, allow_as_filter, allow_for_dataset, allow_for_measurement, allow_for_users, allow_for_qc) VALUES (NULL, 'att_organsystem',  'Organ System',  500,  TRUE, TRUE, TRUE, FALSE, FALSE);</v>
      </c>
      <c r="O321" s="3" t="str">
        <f t="shared" si="33"/>
        <v xml:space="preserve">INSERT INTO attribute_values (attribute_id, tag, name, details) VALUES ((SELECT id FROM attributes WHERE tag = 'att_organsystem' LIMIT 1),  'att_organsystem:lymphatic',  'Lymphatic',  'Lymphatic System'); </v>
      </c>
    </row>
    <row r="322" spans="1:15">
      <c r="A322" s="7" t="b">
        <f>FALSE()</f>
        <v>0</v>
      </c>
      <c r="B322" s="7"/>
      <c r="C322" s="3" t="s">
        <v>2104</v>
      </c>
      <c r="D322" s="3" t="s">
        <v>2105</v>
      </c>
      <c r="E322" s="3" t="s">
        <v>12</v>
      </c>
      <c r="F322" s="3" t="s">
        <v>2540</v>
      </c>
      <c r="G322" s="3" t="s">
        <v>2541</v>
      </c>
      <c r="H322" s="3" t="str">
        <f t="shared" si="30"/>
        <v>att_organsystem</v>
      </c>
      <c r="I322" s="3" t="s">
        <v>2104</v>
      </c>
      <c r="J322" s="3" t="str">
        <f t="shared" si="31"/>
        <v>att_organsystem:muscular</v>
      </c>
      <c r="K322" s="6" t="s">
        <v>16</v>
      </c>
      <c r="L322" s="3" t="s">
        <v>2106</v>
      </c>
      <c r="M322" s="3" t="s">
        <v>12</v>
      </c>
      <c r="N322" s="3" t="str">
        <f t="shared" si="32"/>
        <v>INSERT INTO attributes (parent_id, tag, name, priority, allow_as_filter, allow_for_dataset, allow_for_measurement, allow_for_users, allow_for_qc) VALUES (NULL, 'att_organsystem',  'Organ System',  500,  TRUE, TRUE, TRUE, FALSE, FALSE);</v>
      </c>
      <c r="O322" s="3" t="str">
        <f t="shared" si="33"/>
        <v xml:space="preserve">INSERT INTO attribute_values (attribute_id, tag, name, details) VALUES ((SELECT id FROM attributes WHERE tag = 'att_organsystem' LIMIT 1),  'att_organsystem:muscular',  'Muscular',  'Muscular System'); </v>
      </c>
    </row>
    <row r="323" spans="1:15">
      <c r="A323" s="7" t="b">
        <f>FALSE()</f>
        <v>0</v>
      </c>
      <c r="B323" s="7"/>
      <c r="C323" s="3" t="s">
        <v>2542</v>
      </c>
      <c r="D323" s="3" t="s">
        <v>2108</v>
      </c>
      <c r="E323" s="3" t="s">
        <v>12</v>
      </c>
      <c r="F323" s="3" t="s">
        <v>2540</v>
      </c>
      <c r="G323" s="3" t="s">
        <v>2541</v>
      </c>
      <c r="H323" s="3" t="str">
        <f t="shared" si="30"/>
        <v>att_organsystem</v>
      </c>
      <c r="I323" s="3" t="s">
        <v>2107</v>
      </c>
      <c r="J323" s="3" t="str">
        <f t="shared" si="31"/>
        <v>att_organsystem:nervous_system</v>
      </c>
      <c r="K323" s="6" t="s">
        <v>16</v>
      </c>
      <c r="L323" s="3" t="s">
        <v>2109</v>
      </c>
      <c r="M323" s="3" t="s">
        <v>12</v>
      </c>
      <c r="N323" s="3" t="str">
        <f t="shared" si="32"/>
        <v>INSERT INTO attributes (parent_id, tag, name, priority, allow_as_filter, allow_for_dataset, allow_for_measurement, allow_for_users, allow_for_qc) VALUES (NULL, 'att_organsystem',  'Organ System',  500,  TRUE, TRUE, TRUE, FALSE, FALSE);</v>
      </c>
      <c r="O323" s="3" t="str">
        <f t="shared" si="33"/>
        <v xml:space="preserve">INSERT INTO attribute_values (attribute_id, tag, name, details) VALUES ((SELECT id FROM attributes WHERE tag = 'att_organsystem' LIMIT 1),  'att_organsystem:nervous_system',  'Nervous',  'Nervous System'); </v>
      </c>
    </row>
    <row r="324" spans="1:15">
      <c r="A324" s="7" t="b">
        <f>FALSE()</f>
        <v>0</v>
      </c>
      <c r="B324" s="7"/>
      <c r="C324" s="3" t="s">
        <v>2110</v>
      </c>
      <c r="D324" s="3" t="s">
        <v>2111</v>
      </c>
      <c r="E324" s="3" t="s">
        <v>12</v>
      </c>
      <c r="F324" s="3" t="s">
        <v>2540</v>
      </c>
      <c r="G324" s="3" t="s">
        <v>2541</v>
      </c>
      <c r="H324" s="3" t="str">
        <f t="shared" si="30"/>
        <v>att_organsystem</v>
      </c>
      <c r="I324" s="3" t="s">
        <v>2110</v>
      </c>
      <c r="J324" s="3" t="str">
        <f t="shared" si="31"/>
        <v>att_organsystem:reproductive</v>
      </c>
      <c r="K324" s="6" t="s">
        <v>16</v>
      </c>
      <c r="L324" s="3" t="s">
        <v>2112</v>
      </c>
      <c r="M324" s="3" t="s">
        <v>12</v>
      </c>
      <c r="N324" s="3" t="str">
        <f t="shared" si="32"/>
        <v>INSERT INTO attributes (parent_id, tag, name, priority, allow_as_filter, allow_for_dataset, allow_for_measurement, allow_for_users, allow_for_qc) VALUES (NULL, 'att_organsystem',  'Organ System',  500,  TRUE, TRUE, TRUE, FALSE, FALSE);</v>
      </c>
      <c r="O324" s="3" t="str">
        <f t="shared" si="33"/>
        <v xml:space="preserve">INSERT INTO attribute_values (attribute_id, tag, name, details) VALUES ((SELECT id FROM attributes WHERE tag = 'att_organsystem' LIMIT 1),  'att_organsystem:reproductive',  'Reproductive',  'Reproductive System'); </v>
      </c>
    </row>
    <row r="325" spans="1:15">
      <c r="A325" s="7" t="b">
        <f>FALSE()</f>
        <v>0</v>
      </c>
      <c r="B325" s="7"/>
      <c r="C325" s="3" t="s">
        <v>2113</v>
      </c>
      <c r="D325" s="3" t="s">
        <v>2114</v>
      </c>
      <c r="E325" s="3" t="s">
        <v>12</v>
      </c>
      <c r="F325" s="3" t="s">
        <v>2540</v>
      </c>
      <c r="G325" s="3" t="s">
        <v>2541</v>
      </c>
      <c r="H325" s="3" t="str">
        <f t="shared" si="30"/>
        <v>att_organsystem</v>
      </c>
      <c r="I325" s="3" t="s">
        <v>2113</v>
      </c>
      <c r="J325" s="3" t="str">
        <f t="shared" si="31"/>
        <v>att_organsystem:respiratory</v>
      </c>
      <c r="K325" s="6" t="s">
        <v>16</v>
      </c>
      <c r="L325" s="3" t="s">
        <v>2115</v>
      </c>
      <c r="M325" s="3" t="s">
        <v>12</v>
      </c>
      <c r="N325" s="3" t="str">
        <f t="shared" si="32"/>
        <v>INSERT INTO attributes (parent_id, tag, name, priority, allow_as_filter, allow_for_dataset, allow_for_measurement, allow_for_users, allow_for_qc) VALUES (NULL, 'att_organsystem',  'Organ System',  500,  TRUE, TRUE, TRUE, FALSE, FALSE);</v>
      </c>
      <c r="O325" s="3" t="str">
        <f t="shared" si="33"/>
        <v xml:space="preserve">INSERT INTO attribute_values (attribute_id, tag, name, details) VALUES ((SELECT id FROM attributes WHERE tag = 'att_organsystem' LIMIT 1),  'att_organsystem:respiratory',  'Respiratory',  'Respiratory System'); </v>
      </c>
    </row>
    <row r="326" spans="1:15">
      <c r="A326" s="7" t="b">
        <f>FALSE()</f>
        <v>0</v>
      </c>
      <c r="B326" s="7"/>
      <c r="C326" s="3" t="s">
        <v>2116</v>
      </c>
      <c r="D326" s="3" t="s">
        <v>2117</v>
      </c>
      <c r="E326" s="3" t="s">
        <v>12</v>
      </c>
      <c r="F326" s="3" t="s">
        <v>2540</v>
      </c>
      <c r="G326" s="3" t="s">
        <v>2541</v>
      </c>
      <c r="H326" s="3" t="str">
        <f t="shared" si="30"/>
        <v>att_organsystem</v>
      </c>
      <c r="I326" s="3" t="s">
        <v>2116</v>
      </c>
      <c r="J326" s="3" t="str">
        <f t="shared" si="31"/>
        <v>att_organsystem:skeletal</v>
      </c>
      <c r="K326" s="6" t="s">
        <v>16</v>
      </c>
      <c r="L326" s="3" t="s">
        <v>2118</v>
      </c>
      <c r="M326" s="3" t="s">
        <v>12</v>
      </c>
      <c r="N326" s="3" t="str">
        <f t="shared" si="32"/>
        <v>INSERT INTO attributes (parent_id, tag, name, priority, allow_as_filter, allow_for_dataset, allow_for_measurement, allow_for_users, allow_for_qc) VALUES (NULL, 'att_organsystem',  'Organ System',  500,  TRUE, TRUE, TRUE, FALSE, FALSE);</v>
      </c>
      <c r="O326" s="3" t="str">
        <f t="shared" si="33"/>
        <v xml:space="preserve">INSERT INTO attribute_values (attribute_id, tag, name, details) VALUES ((SELECT id FROM attributes WHERE tag = 'att_organsystem' LIMIT 1),  'att_organsystem:skeletal',  'Skeletal',  'Skeletal System'); </v>
      </c>
    </row>
    <row r="327" spans="1:15">
      <c r="A327" s="7" t="b">
        <f>FALSE()</f>
        <v>0</v>
      </c>
      <c r="B327" s="7"/>
      <c r="C327" s="3" t="s">
        <v>2119</v>
      </c>
      <c r="D327" s="3" t="s">
        <v>2120</v>
      </c>
      <c r="E327" s="3" t="s">
        <v>12</v>
      </c>
      <c r="F327" s="3" t="s">
        <v>2540</v>
      </c>
      <c r="G327" s="3" t="s">
        <v>2541</v>
      </c>
      <c r="H327" s="3" t="str">
        <f t="shared" si="30"/>
        <v>att_organsystem</v>
      </c>
      <c r="I327" s="3" t="s">
        <v>2119</v>
      </c>
      <c r="J327" s="3" t="str">
        <f t="shared" si="31"/>
        <v>att_organsystem:urinary</v>
      </c>
      <c r="K327" s="6" t="s">
        <v>16</v>
      </c>
      <c r="L327" s="3" t="s">
        <v>2121</v>
      </c>
      <c r="M327" s="3" t="s">
        <v>12</v>
      </c>
      <c r="N327" s="3" t="str">
        <f t="shared" si="32"/>
        <v>INSERT INTO attributes (parent_id, tag, name, priority, allow_as_filter, allow_for_dataset, allow_for_measurement, allow_for_users, allow_for_qc) VALUES (NULL, 'att_organsystem',  'Organ System',  500,  TRUE, TRUE, TRUE, FALSE, FALSE);</v>
      </c>
      <c r="O327" s="3" t="str">
        <f t="shared" si="33"/>
        <v xml:space="preserve">INSERT INTO attribute_values (attribute_id, tag, name, details) VALUES ((SELECT id FROM attributes WHERE tag = 'att_organsystem' LIMIT 1),  'att_organsystem:urinary',  'Urinary',  'Urinary system'); </v>
      </c>
    </row>
    <row r="328" spans="1:15" s="9" customFormat="1">
      <c r="A328" s="8" t="b">
        <f>FALSE()</f>
        <v>0</v>
      </c>
      <c r="B328" s="8"/>
      <c r="C328" s="9" t="s">
        <v>2543</v>
      </c>
      <c r="D328" s="9" t="s">
        <v>2544</v>
      </c>
      <c r="E328" s="9" t="s">
        <v>12</v>
      </c>
      <c r="F328" s="9" t="s">
        <v>2545</v>
      </c>
      <c r="G328" s="9" t="s">
        <v>2546</v>
      </c>
      <c r="H328" s="9" t="str">
        <f t="shared" si="30"/>
        <v>att_phenotype</v>
      </c>
      <c r="I328" s="9" t="s">
        <v>2543</v>
      </c>
      <c r="J328" s="9" t="str">
        <f t="shared" si="31"/>
        <v>att_phenotype:kd</v>
      </c>
      <c r="K328" s="10" t="s">
        <v>16</v>
      </c>
      <c r="L328" s="9" t="s">
        <v>100</v>
      </c>
      <c r="M328" s="9" t="s">
        <v>12</v>
      </c>
      <c r="N328" s="9" t="str">
        <f t="shared" si="32"/>
        <v>INSERT INTO attributes (parent_id, tag, name, priority, allow_as_filter, allow_for_dataset, allow_for_measurement, allow_for_users, allow_for_qc) VALUES (NULL, 'att_phenotype',  'Phenotype',  500,  TRUE, TRUE, TRUE, FALSE, FALSE);</v>
      </c>
      <c r="O328" s="9" t="str">
        <f t="shared" si="33"/>
        <v xml:space="preserve">INSERT INTO attribute_values (attribute_id, tag, name, details) VALUES ((SELECT id FROM attributes WHERE tag = 'att_phenotype' LIMIT 1),  'att_phenotype:kd',  'knockdown (kd)',  'knockdown'); </v>
      </c>
    </row>
    <row r="329" spans="1:15" s="9" customFormat="1">
      <c r="A329" s="8" t="b">
        <f>FALSE()</f>
        <v>0</v>
      </c>
      <c r="B329" s="8"/>
      <c r="C329" s="9" t="s">
        <v>1162</v>
      </c>
      <c r="D329" s="9" t="s">
        <v>2547</v>
      </c>
      <c r="E329" s="9" t="s">
        <v>12</v>
      </c>
      <c r="F329" s="9" t="s">
        <v>2545</v>
      </c>
      <c r="G329" s="9" t="s">
        <v>2546</v>
      </c>
      <c r="H329" s="9" t="str">
        <f t="shared" si="30"/>
        <v>att_phenotype</v>
      </c>
      <c r="I329" s="9" t="s">
        <v>1162</v>
      </c>
      <c r="J329" s="9" t="str">
        <f t="shared" si="31"/>
        <v>att_phenotype:ko</v>
      </c>
      <c r="K329" s="10" t="s">
        <v>16</v>
      </c>
      <c r="L329" s="9" t="s">
        <v>2473</v>
      </c>
      <c r="M329" s="9" t="s">
        <v>12</v>
      </c>
      <c r="N329" s="9" t="str">
        <f t="shared" si="32"/>
        <v>INSERT INTO attributes (parent_id, tag, name, priority, allow_as_filter, allow_for_dataset, allow_for_measurement, allow_for_users, allow_for_qc) VALUES (NULL, 'att_phenotype',  'Phenotype',  500,  TRUE, TRUE, TRUE, FALSE, FALSE);</v>
      </c>
      <c r="O329" s="9" t="str">
        <f t="shared" si="33"/>
        <v xml:space="preserve">INSERT INTO attribute_values (attribute_id, tag, name, details) VALUES ((SELECT id FROM attributes WHERE tag = 'att_phenotype' LIMIT 1),  'att_phenotype:ko',  'knockout (ko)',  'knockout'); </v>
      </c>
    </row>
    <row r="330" spans="1:15" s="9" customFormat="1">
      <c r="A330" s="8" t="b">
        <f>FALSE()</f>
        <v>0</v>
      </c>
      <c r="B330" s="8"/>
      <c r="C330" s="9" t="s">
        <v>2548</v>
      </c>
      <c r="D330" s="9" t="s">
        <v>2549</v>
      </c>
      <c r="E330" s="9" t="s">
        <v>12</v>
      </c>
      <c r="F330" s="9" t="s">
        <v>2545</v>
      </c>
      <c r="G330" s="9" t="s">
        <v>2546</v>
      </c>
      <c r="H330" s="9" t="str">
        <f t="shared" si="30"/>
        <v>att_phenotype</v>
      </c>
      <c r="I330" s="9" t="s">
        <v>2548</v>
      </c>
      <c r="J330" s="9" t="str">
        <f t="shared" si="31"/>
        <v>att_phenotype:mt</v>
      </c>
      <c r="K330" s="10" t="s">
        <v>16</v>
      </c>
      <c r="L330" s="9" t="s">
        <v>2550</v>
      </c>
      <c r="M330" s="9" t="s">
        <v>12</v>
      </c>
      <c r="N330" s="9" t="str">
        <f t="shared" si="32"/>
        <v>INSERT INTO attributes (parent_id, tag, name, priority, allow_as_filter, allow_for_dataset, allow_for_measurement, allow_for_users, allow_for_qc) VALUES (NULL, 'att_phenotype',  'Phenotype',  500,  TRUE, TRUE, TRUE, FALSE, FALSE);</v>
      </c>
      <c r="O330" s="9" t="str">
        <f t="shared" si="33"/>
        <v xml:space="preserve">INSERT INTO attribute_values (attribute_id, tag, name, details) VALUES ((SELECT id FROM attributes WHERE tag = 'att_phenotype' LIMIT 1),  'att_phenotype:mt',  'mutant (mt)',  'mutated'); </v>
      </c>
    </row>
    <row r="331" spans="1:15" s="9" customFormat="1">
      <c r="A331" s="8" t="b">
        <f>FALSE()</f>
        <v>0</v>
      </c>
      <c r="B331" s="8"/>
      <c r="C331" s="9" t="s">
        <v>2551</v>
      </c>
      <c r="D331" s="9" t="s">
        <v>2552</v>
      </c>
      <c r="E331" s="9" t="s">
        <v>12</v>
      </c>
      <c r="F331" s="9" t="s">
        <v>2545</v>
      </c>
      <c r="G331" s="9" t="s">
        <v>2546</v>
      </c>
      <c r="H331" s="9" t="str">
        <f t="shared" si="30"/>
        <v>att_phenotype</v>
      </c>
      <c r="I331" s="9" t="s">
        <v>2551</v>
      </c>
      <c r="J331" s="9" t="str">
        <f t="shared" si="31"/>
        <v>att_phenotype:wt</v>
      </c>
      <c r="K331" s="10" t="s">
        <v>16</v>
      </c>
      <c r="L331" s="9" t="s">
        <v>2553</v>
      </c>
      <c r="M331" s="9" t="s">
        <v>12</v>
      </c>
      <c r="N331" s="9" t="str">
        <f t="shared" si="32"/>
        <v>INSERT INTO attributes (parent_id, tag, name, priority, allow_as_filter, allow_for_dataset, allow_for_measurement, allow_for_users, allow_for_qc) VALUES (NULL, 'att_phenotype',  'Phenotype',  500,  TRUE, TRUE, TRUE, FALSE, FALSE);</v>
      </c>
      <c r="O331" s="9" t="str">
        <f t="shared" si="33"/>
        <v xml:space="preserve">INSERT INTO attribute_values (attribute_id, tag, name, details) VALUES ((SELECT id FROM attributes WHERE tag = 'att_phenotype' LIMIT 1),  'att_phenotype:wt',  'wild type (wt)',  'wilde type cells'); </v>
      </c>
    </row>
    <row r="332" spans="1:15">
      <c r="A332" s="6" t="s">
        <v>16</v>
      </c>
      <c r="B332" s="6"/>
      <c r="C332" s="3" t="s">
        <v>2203</v>
      </c>
      <c r="D332" s="3" t="s">
        <v>2203</v>
      </c>
      <c r="E332" s="3" t="s">
        <v>12</v>
      </c>
      <c r="F332" s="3" t="s">
        <v>150</v>
      </c>
      <c r="G332" s="3" t="s">
        <v>2554</v>
      </c>
      <c r="H332" s="3" t="str">
        <f t="shared" si="30"/>
        <v>att_quantification</v>
      </c>
      <c r="I332" s="3" t="s">
        <v>2203</v>
      </c>
      <c r="J332" s="3" t="str">
        <f t="shared" si="31"/>
        <v>att_quantification:isobaric</v>
      </c>
      <c r="K332" s="6" t="s">
        <v>16</v>
      </c>
      <c r="L332" s="3" t="s">
        <v>2204</v>
      </c>
      <c r="M332" s="3" t="s">
        <v>12</v>
      </c>
      <c r="N332" s="3" t="str">
        <f t="shared" si="32"/>
        <v>INSERT INTO attributes (parent_id, tag, name, priority, allow_as_filter, allow_for_dataset, allow_for_measurement, allow_for_users, allow_for_qc) VALUES (NULL, 'att_quantification',  'Quantification Type',  500,  TRUE, TRUE, TRUE, FALSE, FALSE);</v>
      </c>
      <c r="O332" s="3" t="str">
        <f t="shared" si="33"/>
        <v xml:space="preserve">INSERT INTO attribute_values (attribute_id, tag, name, details) VALUES ((SELECT id FROM attributes WHERE tag = 'att_quantification' LIMIT 1),  'att_quantification:isobaric',  'isobaric',  'isobaric (TMT)'); </v>
      </c>
    </row>
    <row r="333" spans="1:15">
      <c r="A333" s="6" t="s">
        <v>16</v>
      </c>
      <c r="B333" s="6"/>
      <c r="C333" s="3" t="s">
        <v>2205</v>
      </c>
      <c r="D333" s="3" t="s">
        <v>2205</v>
      </c>
      <c r="E333" s="3" t="s">
        <v>12</v>
      </c>
      <c r="F333" s="3" t="s">
        <v>150</v>
      </c>
      <c r="G333" s="3" t="s">
        <v>2554</v>
      </c>
      <c r="H333" s="3" t="str">
        <f t="shared" ref="H333:H364" si="34">"att_"&amp;G333</f>
        <v>att_quantification</v>
      </c>
      <c r="I333" s="3" t="s">
        <v>2205</v>
      </c>
      <c r="J333" s="3" t="str">
        <f t="shared" ref="J333:J364" si="35">H333&amp;":"&amp;I333</f>
        <v>att_quantification:istopic</v>
      </c>
      <c r="K333" s="6" t="s">
        <v>16</v>
      </c>
      <c r="L333" s="3" t="s">
        <v>2206</v>
      </c>
      <c r="M333" s="3" t="s">
        <v>12</v>
      </c>
      <c r="N333" s="3"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3"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c r="A334" s="6" t="s">
        <v>16</v>
      </c>
      <c r="B334" s="6"/>
      <c r="C334" s="3" t="s">
        <v>2555</v>
      </c>
      <c r="D334" s="3" t="s">
        <v>2208</v>
      </c>
      <c r="E334" s="3" t="s">
        <v>12</v>
      </c>
      <c r="F334" s="3" t="s">
        <v>150</v>
      </c>
      <c r="G334" s="3" t="s">
        <v>2554</v>
      </c>
      <c r="H334" s="3" t="str">
        <f t="shared" si="34"/>
        <v>att_quantification</v>
      </c>
      <c r="I334" s="3" t="s">
        <v>2207</v>
      </c>
      <c r="J334" s="3" t="str">
        <f t="shared" si="35"/>
        <v>att_quantification:label_free</v>
      </c>
      <c r="K334" s="6" t="s">
        <v>16</v>
      </c>
      <c r="L334" s="3" t="s">
        <v>2209</v>
      </c>
      <c r="M334" s="3" t="s">
        <v>12</v>
      </c>
      <c r="N334" s="3" t="str">
        <f t="shared" si="36"/>
        <v>INSERT INTO attributes (parent_id, tag, name, priority, allow_as_filter, allow_for_dataset, allow_for_measurement, allow_for_users, allow_for_qc) VALUES (NULL, 'att_quantification',  'Quantification Type',  500,  TRUE, TRUE, TRUE, FALSE, FALSE);</v>
      </c>
      <c r="O334" s="3" t="str">
        <f t="shared" si="37"/>
        <v xml:space="preserve">INSERT INTO attribute_values (attribute_id, tag, name, details) VALUES ((SELECT id FROM attributes WHERE tag = 'att_quantification' LIMIT 1),  'att_quantification:label_free',  'Label free',  'Label-free quantification'); </v>
      </c>
    </row>
    <row r="335" spans="1:15">
      <c r="A335" s="6" t="s">
        <v>16</v>
      </c>
      <c r="B335" s="6"/>
      <c r="C335" s="3" t="s">
        <v>2210</v>
      </c>
      <c r="D335" s="3" t="s">
        <v>2210</v>
      </c>
      <c r="E335" s="3" t="s">
        <v>12</v>
      </c>
      <c r="F335" s="3" t="s">
        <v>150</v>
      </c>
      <c r="G335" s="3" t="s">
        <v>2554</v>
      </c>
      <c r="H335" s="3" t="str">
        <f t="shared" si="34"/>
        <v>att_quantification</v>
      </c>
      <c r="I335" s="3" t="s">
        <v>2210</v>
      </c>
      <c r="J335" s="3" t="str">
        <f t="shared" si="35"/>
        <v>att_quantification:silac</v>
      </c>
      <c r="K335" s="6" t="s">
        <v>16</v>
      </c>
      <c r="L335" s="3" t="s">
        <v>2211</v>
      </c>
      <c r="M335" s="3" t="s">
        <v>12</v>
      </c>
      <c r="N335" s="3" t="str">
        <f t="shared" si="36"/>
        <v>INSERT INTO attributes (parent_id, tag, name, priority, allow_as_filter, allow_for_dataset, allow_for_measurement, allow_for_users, allow_for_qc) VALUES (NULL, 'att_quantification',  'Quantification Type',  500,  TRUE, TRUE, TRUE, FALSE, FALSE);</v>
      </c>
      <c r="O335" s="3"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c r="A336" s="7" t="b">
        <f>FALSE()</f>
        <v>0</v>
      </c>
      <c r="B336" s="7"/>
      <c r="C336" s="3" t="s">
        <v>1285</v>
      </c>
      <c r="D336" s="3" t="s">
        <v>1286</v>
      </c>
      <c r="E336" s="3" t="s">
        <v>12</v>
      </c>
      <c r="F336" s="3" t="s">
        <v>2556</v>
      </c>
      <c r="G336" s="3" t="s">
        <v>2557</v>
      </c>
      <c r="H336" s="3" t="str">
        <f t="shared" si="34"/>
        <v>att_signalling</v>
      </c>
      <c r="I336" s="3" t="s">
        <v>1285</v>
      </c>
      <c r="J336" s="3" t="str">
        <f t="shared" si="35"/>
        <v>att_signalling:apoptosis</v>
      </c>
      <c r="K336" s="6" t="s">
        <v>16</v>
      </c>
      <c r="L336" s="3" t="s">
        <v>2220</v>
      </c>
      <c r="M336" s="3" t="s">
        <v>12</v>
      </c>
      <c r="N336" s="3" t="str">
        <f t="shared" si="36"/>
        <v>INSERT INTO attributes (parent_id, tag, name, priority, allow_as_filter, allow_for_dataset, allow_for_measurement, allow_for_users, allow_for_qc) VALUES (NULL, 'att_signalling',  'Signallling Pathway',  500,  TRUE, TRUE, TRUE, FALSE, FALSE);</v>
      </c>
      <c r="O336" s="3" t="str">
        <f t="shared" si="37"/>
        <v xml:space="preserve">INSERT INTO attribute_values (attribute_id, tag, name, details) VALUES ((SELECT id FROM attributes WHERE tag = 'att_signalling' LIMIT 1),  'att_signalling:apoptosis',  'Apoptosis',  'Apoptosis or programmed cell death Signallilng'); </v>
      </c>
    </row>
    <row r="337" spans="1:15">
      <c r="A337" s="7" t="b">
        <f>FALSE()</f>
        <v>0</v>
      </c>
      <c r="B337" s="7"/>
      <c r="C337" s="3" t="s">
        <v>2221</v>
      </c>
      <c r="D337" s="3" t="s">
        <v>2222</v>
      </c>
      <c r="E337" s="3" t="s">
        <v>12</v>
      </c>
      <c r="F337" s="3" t="s">
        <v>2556</v>
      </c>
      <c r="G337" s="3" t="s">
        <v>2557</v>
      </c>
      <c r="H337" s="3" t="str">
        <f t="shared" si="34"/>
        <v>att_signalling</v>
      </c>
      <c r="I337" s="3" t="s">
        <v>2221</v>
      </c>
      <c r="J337" s="3" t="str">
        <f t="shared" si="35"/>
        <v>att_signalling:autocrine</v>
      </c>
      <c r="K337" s="6" t="s">
        <v>16</v>
      </c>
      <c r="L337" s="3" t="s">
        <v>2223</v>
      </c>
      <c r="M337" s="3" t="s">
        <v>12</v>
      </c>
      <c r="N337" s="3" t="str">
        <f t="shared" si="36"/>
        <v>INSERT INTO attributes (parent_id, tag, name, priority, allow_as_filter, allow_for_dataset, allow_for_measurement, allow_for_users, allow_for_qc) VALUES (NULL, 'att_signalling',  'Signallling Pathway',  500,  TRUE, TRUE, TRUE, FALSE, FALSE);</v>
      </c>
      <c r="O337" s="3"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c r="A338" s="7" t="b">
        <f>FALSE()</f>
        <v>0</v>
      </c>
      <c r="B338" s="7"/>
      <c r="C338" s="3" t="s">
        <v>2224</v>
      </c>
      <c r="D338" s="3" t="s">
        <v>2225</v>
      </c>
      <c r="E338" s="3" t="s">
        <v>12</v>
      </c>
      <c r="F338" s="3" t="s">
        <v>2556</v>
      </c>
      <c r="G338" s="3" t="s">
        <v>2557</v>
      </c>
      <c r="H338" s="3" t="str">
        <f t="shared" si="34"/>
        <v>att_signalling</v>
      </c>
      <c r="I338" s="3" t="s">
        <v>2224</v>
      </c>
      <c r="J338" s="3" t="str">
        <f t="shared" si="35"/>
        <v>att_signalling:complement</v>
      </c>
      <c r="K338" s="6" t="s">
        <v>16</v>
      </c>
      <c r="L338" s="3" t="s">
        <v>2226</v>
      </c>
      <c r="M338" s="3" t="s">
        <v>12</v>
      </c>
      <c r="N338" s="3" t="str">
        <f t="shared" si="36"/>
        <v>INSERT INTO attributes (parent_id, tag, name, priority, allow_as_filter, allow_for_dataset, allow_for_measurement, allow_for_users, allow_for_qc) VALUES (NULL, 'att_signalling',  'Signallling Pathway',  500,  TRUE, TRUE, TRUE, FALSE, FALSE);</v>
      </c>
      <c r="O338" s="3" t="str">
        <f t="shared" si="37"/>
        <v xml:space="preserve">INSERT INTO attribute_values (attribute_id, tag, name, details) VALUES ((SELECT id FROM attributes WHERE tag = 'att_signalling' LIMIT 1),  'att_signalling:complement',  'Complement',  'Complement system'); </v>
      </c>
    </row>
    <row r="339" spans="1:15">
      <c r="A339" s="7" t="b">
        <f>FALSE()</f>
        <v>0</v>
      </c>
      <c r="B339" s="7"/>
      <c r="C339" s="3" t="s">
        <v>2227</v>
      </c>
      <c r="D339" s="3" t="s">
        <v>2228</v>
      </c>
      <c r="E339" s="3" t="s">
        <v>12</v>
      </c>
      <c r="F339" s="3" t="s">
        <v>2556</v>
      </c>
      <c r="G339" s="3" t="s">
        <v>2557</v>
      </c>
      <c r="H339" s="3" t="str">
        <f t="shared" si="34"/>
        <v>att_signalling</v>
      </c>
      <c r="I339" s="3" t="s">
        <v>2227</v>
      </c>
      <c r="J339" s="3" t="str">
        <f t="shared" si="35"/>
        <v>att_signalling:cytokines</v>
      </c>
      <c r="K339" s="6" t="s">
        <v>16</v>
      </c>
      <c r="L339" s="3" t="s">
        <v>2229</v>
      </c>
      <c r="M339" s="3" t="s">
        <v>12</v>
      </c>
      <c r="N339" s="3" t="str">
        <f t="shared" si="36"/>
        <v>INSERT INTO attributes (parent_id, tag, name, priority, allow_as_filter, allow_for_dataset, allow_for_measurement, allow_for_users, allow_for_qc) VALUES (NULL, 'att_signalling',  'Signallling Pathway',  500,  TRUE, TRUE, TRUE, FALSE, FALSE);</v>
      </c>
      <c r="O339" s="3"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c r="A340" s="7" t="b">
        <f>FALSE()</f>
        <v>0</v>
      </c>
      <c r="B340" s="7"/>
      <c r="C340" s="3" t="s">
        <v>2230</v>
      </c>
      <c r="D340" s="3" t="s">
        <v>2231</v>
      </c>
      <c r="E340" s="3" t="s">
        <v>12</v>
      </c>
      <c r="F340" s="3" t="s">
        <v>2556</v>
      </c>
      <c r="G340" s="3" t="s">
        <v>2557</v>
      </c>
      <c r="H340" s="3" t="str">
        <f t="shared" si="34"/>
        <v>att_signalling</v>
      </c>
      <c r="I340" s="3" t="s">
        <v>2230</v>
      </c>
      <c r="J340" s="3" t="str">
        <f t="shared" si="35"/>
        <v>att_signalling:inflammation</v>
      </c>
      <c r="K340" s="6" t="s">
        <v>16</v>
      </c>
      <c r="L340" s="3" t="s">
        <v>2232</v>
      </c>
      <c r="M340" s="3" t="s">
        <v>12</v>
      </c>
      <c r="N340" s="3" t="str">
        <f t="shared" si="36"/>
        <v>INSERT INTO attributes (parent_id, tag, name, priority, allow_as_filter, allow_for_dataset, allow_for_measurement, allow_for_users, allow_for_qc) VALUES (NULL, 'att_signalling',  'Signallling Pathway',  500,  TRUE, TRUE, TRUE, FALSE, FALSE);</v>
      </c>
      <c r="O340" s="3"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c r="A341" s="7" t="b">
        <f>FALSE()</f>
        <v>0</v>
      </c>
      <c r="B341" s="7"/>
      <c r="C341" s="3" t="s">
        <v>2233</v>
      </c>
      <c r="D341" s="3" t="s">
        <v>2234</v>
      </c>
      <c r="E341" s="3" t="s">
        <v>12</v>
      </c>
      <c r="F341" s="3" t="s">
        <v>2556</v>
      </c>
      <c r="G341" s="3" t="s">
        <v>2557</v>
      </c>
      <c r="H341" s="3" t="str">
        <f t="shared" si="34"/>
        <v>att_signalling</v>
      </c>
      <c r="I341" s="3" t="s">
        <v>2233</v>
      </c>
      <c r="J341" s="3" t="str">
        <f t="shared" si="35"/>
        <v>att_signalling:insulin</v>
      </c>
      <c r="K341" s="6" t="s">
        <v>16</v>
      </c>
      <c r="L341" s="3" t="s">
        <v>2235</v>
      </c>
      <c r="M341" s="3" t="s">
        <v>12</v>
      </c>
      <c r="N341" s="3" t="str">
        <f t="shared" si="36"/>
        <v>INSERT INTO attributes (parent_id, tag, name, priority, allow_as_filter, allow_for_dataset, allow_for_measurement, allow_for_users, allow_for_qc) VALUES (NULL, 'att_signalling',  'Signallling Pathway',  500,  TRUE, TRUE, TRUE, FALSE, FALSE);</v>
      </c>
      <c r="O341" s="3" t="str">
        <f t="shared" si="37"/>
        <v xml:space="preserve">INSERT INTO attribute_values (attribute_id, tag, name, details) VALUES ((SELECT id FROM attributes WHERE tag = 'att_signalling' LIMIT 1),  'att_signalling:insulin',  'Insulin',  'Insulin Signaling'); </v>
      </c>
    </row>
    <row r="342" spans="1:15">
      <c r="A342" s="7" t="b">
        <f>FALSE()</f>
        <v>0</v>
      </c>
      <c r="B342" s="7"/>
      <c r="C342" s="3" t="s">
        <v>2236</v>
      </c>
      <c r="D342" s="3" t="s">
        <v>2237</v>
      </c>
      <c r="E342" s="3" t="s">
        <v>12</v>
      </c>
      <c r="F342" s="3" t="s">
        <v>2556</v>
      </c>
      <c r="G342" s="3" t="s">
        <v>2557</v>
      </c>
      <c r="H342" s="3" t="str">
        <f t="shared" si="34"/>
        <v>att_signalling</v>
      </c>
      <c r="I342" s="3" t="s">
        <v>2236</v>
      </c>
      <c r="J342" s="3" t="str">
        <f t="shared" si="35"/>
        <v>att_signalling:juxtacrine</v>
      </c>
      <c r="K342" s="6" t="s">
        <v>16</v>
      </c>
      <c r="L342" s="3" t="s">
        <v>2238</v>
      </c>
      <c r="M342" s="3" t="s">
        <v>12</v>
      </c>
      <c r="N342" s="3" t="str">
        <f t="shared" si="36"/>
        <v>INSERT INTO attributes (parent_id, tag, name, priority, allow_as_filter, allow_for_dataset, allow_for_measurement, allow_for_users, allow_for_qc) VALUES (NULL, 'att_signalling',  'Signallling Pathway',  500,  TRUE, TRUE, TRUE, FALSE, FALSE);</v>
      </c>
      <c r="O342" s="3" t="str">
        <f t="shared" si="37"/>
        <v xml:space="preserve">INSERT INTO attribute_values (attribute_id, tag, name, details) VALUES ((SELECT id FROM attributes WHERE tag = 'att_signalling' LIMIT 1),  'att_signalling:juxtacrine',  'Juxtacrine',  'Contact-dependent signalling'); </v>
      </c>
    </row>
    <row r="343" spans="1:15">
      <c r="A343" s="7" t="b">
        <f>FALSE()</f>
        <v>0</v>
      </c>
      <c r="B343" s="7"/>
      <c r="C343" s="3" t="s">
        <v>2239</v>
      </c>
      <c r="D343" s="3" t="s">
        <v>2240</v>
      </c>
      <c r="E343" s="3" t="s">
        <v>12</v>
      </c>
      <c r="F343" s="3" t="s">
        <v>2556</v>
      </c>
      <c r="G343" s="3" t="s">
        <v>2557</v>
      </c>
      <c r="H343" s="3" t="str">
        <f t="shared" si="34"/>
        <v>att_signalling</v>
      </c>
      <c r="I343" s="3" t="s">
        <v>2239</v>
      </c>
      <c r="J343" s="3" t="str">
        <f t="shared" si="35"/>
        <v>att_signalling:necrosis</v>
      </c>
      <c r="K343" s="6" t="s">
        <v>16</v>
      </c>
      <c r="L343" s="3" t="s">
        <v>2241</v>
      </c>
      <c r="M343" s="3" t="s">
        <v>12</v>
      </c>
      <c r="N343" s="3" t="str">
        <f t="shared" si="36"/>
        <v>INSERT INTO attributes (parent_id, tag, name, priority, allow_as_filter, allow_for_dataset, allow_for_measurement, allow_for_users, allow_for_qc) VALUES (NULL, 'att_signalling',  'Signallling Pathway',  500,  TRUE, TRUE, TRUE, FALSE, FALSE);</v>
      </c>
      <c r="O343" s="3" t="str">
        <f t="shared" si="37"/>
        <v xml:space="preserve">INSERT INTO attribute_values (attribute_id, tag, name, details) VALUES ((SELECT id FROM attributes WHERE tag = 'att_signalling' LIMIT 1),  'att_signalling:necrosis',  'Necrosis',  'Uncontrolled cell death.'); </v>
      </c>
    </row>
    <row r="344" spans="1:15">
      <c r="A344" s="7" t="b">
        <f>FALSE()</f>
        <v>0</v>
      </c>
      <c r="B344" s="7"/>
      <c r="C344" s="3" t="s">
        <v>2242</v>
      </c>
      <c r="D344" s="3" t="s">
        <v>2243</v>
      </c>
      <c r="E344" s="3" t="s">
        <v>12</v>
      </c>
      <c r="F344" s="3" t="s">
        <v>2556</v>
      </c>
      <c r="G344" s="3" t="s">
        <v>2557</v>
      </c>
      <c r="H344" s="3" t="str">
        <f t="shared" si="34"/>
        <v>att_signalling</v>
      </c>
      <c r="I344" s="3" t="s">
        <v>2242</v>
      </c>
      <c r="J344" s="3" t="str">
        <f t="shared" si="35"/>
        <v>att_signalling:paracrine</v>
      </c>
      <c r="K344" s="6" t="s">
        <v>16</v>
      </c>
      <c r="L344" s="3" t="s">
        <v>2244</v>
      </c>
      <c r="M344" s="3" t="s">
        <v>12</v>
      </c>
      <c r="N344" s="3" t="str">
        <f t="shared" si="36"/>
        <v>INSERT INTO attributes (parent_id, tag, name, priority, allow_as_filter, allow_for_dataset, allow_for_measurement, allow_for_users, allow_for_qc) VALUES (NULL, 'att_signalling',  'Signallling Pathway',  500,  TRUE, TRUE, TRUE, FALSE, FALSE);</v>
      </c>
      <c r="O344" s="3" t="str">
        <f t="shared" si="37"/>
        <v xml:space="preserve">INSERT INTO attribute_values (attribute_id, tag, name, details) VALUES ((SELECT id FROM attributes WHERE tag = 'att_signalling' LIMIT 1),  'att_signalling:paracrine',  'Paracrine',  'Cell-to-Cell Communication'); </v>
      </c>
    </row>
    <row r="345" spans="1:15">
      <c r="A345" s="7" t="b">
        <f>FALSE()</f>
        <v>0</v>
      </c>
      <c r="B345" s="7"/>
      <c r="C345" s="3" t="s">
        <v>1633</v>
      </c>
      <c r="D345" s="3" t="s">
        <v>1634</v>
      </c>
      <c r="E345" s="3" t="s">
        <v>12</v>
      </c>
      <c r="F345" s="3" t="s">
        <v>2556</v>
      </c>
      <c r="G345" s="3" t="s">
        <v>2557</v>
      </c>
      <c r="H345" s="3" t="str">
        <f t="shared" si="34"/>
        <v>att_signalling</v>
      </c>
      <c r="I345" s="3" t="s">
        <v>1633</v>
      </c>
      <c r="J345" s="3" t="str">
        <f t="shared" si="35"/>
        <v>att_signalling:signaling</v>
      </c>
      <c r="K345" s="6" t="s">
        <v>16</v>
      </c>
      <c r="L345" s="3" t="s">
        <v>2245</v>
      </c>
      <c r="M345" s="3" t="s">
        <v>12</v>
      </c>
      <c r="N345" s="3" t="str">
        <f t="shared" si="36"/>
        <v>INSERT INTO attributes (parent_id, tag, name, priority, allow_as_filter, allow_for_dataset, allow_for_measurement, allow_for_users, allow_for_qc) VALUES (NULL, 'att_signalling',  'Signallling Pathway',  500,  TRUE, TRUE, TRUE, FALSE, FALSE);</v>
      </c>
      <c r="O345" s="3" t="str">
        <f t="shared" si="37"/>
        <v xml:space="preserve">INSERT INTO attribute_values (attribute_id, tag, name, details) VALUES ((SELECT id FROM attributes WHERE tag = 'att_signalling' LIMIT 1),  'att_signalling:signaling',  'Signaling',  'General Protein, Gen or Cell Signaling'); </v>
      </c>
    </row>
    <row r="346" spans="1:15">
      <c r="A346" s="6" t="s">
        <v>16</v>
      </c>
      <c r="B346" s="7"/>
      <c r="C346" s="3" t="s">
        <v>2246</v>
      </c>
      <c r="D346" s="3" t="s">
        <v>2247</v>
      </c>
      <c r="E346" s="3" t="s">
        <v>12</v>
      </c>
      <c r="F346" s="3" t="s">
        <v>155</v>
      </c>
      <c r="G346" s="3" t="s">
        <v>2558</v>
      </c>
      <c r="H346" s="3" t="str">
        <f t="shared" si="34"/>
        <v>att_software</v>
      </c>
      <c r="I346" s="3" t="s">
        <v>2246</v>
      </c>
      <c r="J346" s="3" t="str">
        <f t="shared" si="35"/>
        <v>att_software:diann</v>
      </c>
      <c r="K346" s="6" t="s">
        <v>16</v>
      </c>
      <c r="L346" s="3" t="s">
        <v>2248</v>
      </c>
      <c r="M346" s="3" t="s">
        <v>12</v>
      </c>
      <c r="N346" s="3" t="str">
        <f t="shared" si="36"/>
        <v>INSERT INTO attributes (parent_id, tag, name, priority, allow_as_filter, allow_for_dataset, allow_for_measurement, allow_for_users, allow_for_qc) VALUES (NULL, 'att_software',  'Software',  500,  TRUE, TRUE, TRUE, FALSE, FALSE);</v>
      </c>
      <c r="O346" s="3"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c r="A347" s="6" t="s">
        <v>16</v>
      </c>
      <c r="B347" s="7"/>
      <c r="C347" s="3" t="s">
        <v>2249</v>
      </c>
      <c r="D347" s="3" t="s">
        <v>2250</v>
      </c>
      <c r="E347" s="3" t="s">
        <v>12</v>
      </c>
      <c r="F347" s="3" t="s">
        <v>155</v>
      </c>
      <c r="G347" s="3" t="s">
        <v>2558</v>
      </c>
      <c r="H347" s="3" t="str">
        <f t="shared" si="34"/>
        <v>att_software</v>
      </c>
      <c r="I347" s="3" t="s">
        <v>2249</v>
      </c>
      <c r="J347" s="3" t="str">
        <f t="shared" si="35"/>
        <v>att_software:maxquant</v>
      </c>
      <c r="K347" s="6" t="s">
        <v>16</v>
      </c>
      <c r="L347" s="3" t="s">
        <v>2251</v>
      </c>
      <c r="M347" s="3" t="s">
        <v>12</v>
      </c>
      <c r="N347" s="3" t="str">
        <f t="shared" si="36"/>
        <v>INSERT INTO attributes (parent_id, tag, name, priority, allow_as_filter, allow_for_dataset, allow_for_measurement, allow_for_users, allow_for_qc) VALUES (NULL, 'att_software',  'Software',  500,  TRUE, TRUE, TRUE, FALSE, FALSE);</v>
      </c>
      <c r="O347" s="3" t="str">
        <f t="shared" si="37"/>
        <v xml:space="preserve">INSERT INTO attribute_values (attribute_id, tag, name, details) VALUES ((SELECT id FROM attributes WHERE tag = 'att_software' LIMIT 1),  'att_software:maxquant',  'MaxQuant',  'MPI’s MaxQuant quantitiative proteomics software package'); </v>
      </c>
    </row>
    <row r="348" spans="1:15">
      <c r="A348" s="6" t="s">
        <v>16</v>
      </c>
      <c r="B348" s="7"/>
      <c r="C348" s="3" t="s">
        <v>2252</v>
      </c>
      <c r="D348" s="3" t="s">
        <v>2253</v>
      </c>
      <c r="E348" s="3" t="s">
        <v>12</v>
      </c>
      <c r="F348" s="3" t="s">
        <v>155</v>
      </c>
      <c r="G348" s="3" t="s">
        <v>2558</v>
      </c>
      <c r="H348" s="3" t="str">
        <f t="shared" si="34"/>
        <v>att_software</v>
      </c>
      <c r="I348" s="3" t="s">
        <v>2252</v>
      </c>
      <c r="J348" s="3" t="str">
        <f t="shared" si="35"/>
        <v>att_software:metamorpheus</v>
      </c>
      <c r="K348" s="6" t="s">
        <v>16</v>
      </c>
      <c r="L348" s="3" t="s">
        <v>2254</v>
      </c>
      <c r="M348" s="3" t="s">
        <v>12</v>
      </c>
      <c r="N348" s="3" t="str">
        <f t="shared" si="36"/>
        <v>INSERT INTO attributes (parent_id, tag, name, priority, allow_as_filter, allow_for_dataset, allow_for_measurement, allow_for_users, allow_for_qc) VALUES (NULL, 'att_software',  'Software',  500,  TRUE, TRUE, TRUE, FALSE, FALSE);</v>
      </c>
      <c r="O348" s="3" t="str">
        <f t="shared" si="37"/>
        <v xml:space="preserve">INSERT INTO attribute_values (attribute_id, tag, name, details) VALUES ((SELECT id FROM attributes WHERE tag = 'att_software' LIMIT 1),  'att_software:metamorpheus',  'MetaMorpheus',  'Open-Source PTM Disocvery; smith-chem-wisc'); </v>
      </c>
    </row>
    <row r="349" spans="1:15">
      <c r="A349" s="6" t="s">
        <v>16</v>
      </c>
      <c r="B349" s="7"/>
      <c r="C349" s="3" t="s">
        <v>2255</v>
      </c>
      <c r="D349" s="3" t="s">
        <v>2256</v>
      </c>
      <c r="E349" s="3" t="s">
        <v>12</v>
      </c>
      <c r="F349" s="3" t="s">
        <v>155</v>
      </c>
      <c r="G349" s="3" t="s">
        <v>2558</v>
      </c>
      <c r="H349" s="3" t="str">
        <f t="shared" si="34"/>
        <v>att_software</v>
      </c>
      <c r="I349" s="3" t="s">
        <v>2255</v>
      </c>
      <c r="J349" s="3" t="str">
        <f t="shared" si="35"/>
        <v>att_software:minora</v>
      </c>
      <c r="K349" s="6" t="s">
        <v>16</v>
      </c>
      <c r="L349" s="3" t="s">
        <v>2257</v>
      </c>
      <c r="M349" s="3" t="s">
        <v>12</v>
      </c>
      <c r="N349" s="3" t="str">
        <f t="shared" si="36"/>
        <v>INSERT INTO attributes (parent_id, tag, name, priority, allow_as_filter, allow_for_dataset, allow_for_measurement, allow_for_users, allow_for_qc) VALUES (NULL, 'att_software',  'Software',  500,  TRUE, TRUE, TRUE, FALSE, FALSE);</v>
      </c>
      <c r="O349" s="3" t="str">
        <f t="shared" si="37"/>
        <v xml:space="preserve">INSERT INTO attribute_values (attribute_id, tag, name, details) VALUES ((SELECT id FROM attributes WHERE tag = 'att_software' LIMIT 1),  'att_software:minora',  'Minora',  'Proteome Discoverer, Minora; Thermo Fisher'); </v>
      </c>
    </row>
    <row r="350" spans="1:15">
      <c r="A350" s="6" t="s">
        <v>16</v>
      </c>
      <c r="B350" s="7"/>
      <c r="C350" s="3" t="s">
        <v>2258</v>
      </c>
      <c r="D350" s="3" t="s">
        <v>2259</v>
      </c>
      <c r="E350" s="3" t="s">
        <v>12</v>
      </c>
      <c r="F350" s="3" t="s">
        <v>155</v>
      </c>
      <c r="G350" s="3" t="s">
        <v>2558</v>
      </c>
      <c r="H350" s="3" t="str">
        <f t="shared" si="34"/>
        <v>att_software</v>
      </c>
      <c r="I350" s="3" t="s">
        <v>2258</v>
      </c>
      <c r="J350" s="3" t="str">
        <f t="shared" si="35"/>
        <v>att_software:msfragger</v>
      </c>
      <c r="K350" s="6" t="s">
        <v>16</v>
      </c>
      <c r="L350" s="3" t="s">
        <v>2260</v>
      </c>
      <c r="M350" s="3" t="s">
        <v>12</v>
      </c>
      <c r="N350" s="3" t="str">
        <f t="shared" si="36"/>
        <v>INSERT INTO attributes (parent_id, tag, name, priority, allow_as_filter, allow_for_dataset, allow_for_measurement, allow_for_users, allow_for_qc) VALUES (NULL, 'att_software',  'Software',  500,  TRUE, TRUE, TRUE, FALSE, FALSE);</v>
      </c>
      <c r="O350" s="3" t="str">
        <f t="shared" si="37"/>
        <v xml:space="preserve">INSERT INTO attribute_values (attribute_id, tag, name, details) VALUES ((SELECT id FROM attributes WHERE tag = 'att_software' LIMIT 1),  'att_software:msfragger',  'MSFragger',  'Nesvilab’s MSFragger'); </v>
      </c>
    </row>
    <row r="351" spans="1:15">
      <c r="A351" s="6" t="s">
        <v>16</v>
      </c>
      <c r="B351" s="7"/>
      <c r="C351" s="3" t="s">
        <v>2261</v>
      </c>
      <c r="D351" s="3" t="s">
        <v>2262</v>
      </c>
      <c r="E351" s="3" t="s">
        <v>12</v>
      </c>
      <c r="F351" s="3" t="s">
        <v>155</v>
      </c>
      <c r="G351" s="3" t="s">
        <v>2558</v>
      </c>
      <c r="H351" s="3" t="str">
        <f t="shared" si="34"/>
        <v>att_software</v>
      </c>
      <c r="I351" s="3" t="s">
        <v>2261</v>
      </c>
      <c r="J351" s="3" t="str">
        <f t="shared" si="35"/>
        <v>att_software:msgf</v>
      </c>
      <c r="K351" s="6" t="s">
        <v>16</v>
      </c>
      <c r="L351" s="3" t="s">
        <v>2263</v>
      </c>
      <c r="M351" s="3" t="s">
        <v>12</v>
      </c>
      <c r="N351" s="3" t="str">
        <f t="shared" si="36"/>
        <v>INSERT INTO attributes (parent_id, tag, name, priority, allow_as_filter, allow_for_dataset, allow_for_measurement, allow_for_users, allow_for_qc) VALUES (NULL, 'att_software',  'Software',  500,  TRUE, TRUE, TRUE, FALSE, FALSE);</v>
      </c>
      <c r="O351" s="3" t="str">
        <f t="shared" si="37"/>
        <v xml:space="preserve">INSERT INTO attribute_values (attribute_id, tag, name, details) VALUES ((SELECT id FROM attributes WHERE tag = 'att_software' LIMIT 1),  'att_software:msgf',  'MS-GF+',  'MS-GF+ (aka MSGF+ or MSGFPlus) '); </v>
      </c>
    </row>
    <row r="352" spans="1:15">
      <c r="A352" s="6" t="s">
        <v>16</v>
      </c>
      <c r="B352" s="7"/>
      <c r="C352" s="3" t="s">
        <v>2264</v>
      </c>
      <c r="D352" s="3" t="s">
        <v>2265</v>
      </c>
      <c r="E352" s="3" t="s">
        <v>12</v>
      </c>
      <c r="F352" s="3" t="s">
        <v>155</v>
      </c>
      <c r="G352" s="3" t="s">
        <v>2558</v>
      </c>
      <c r="H352" s="3" t="str">
        <f t="shared" si="34"/>
        <v>att_software</v>
      </c>
      <c r="I352" s="3" t="s">
        <v>2264</v>
      </c>
      <c r="J352" s="3" t="str">
        <f t="shared" si="35"/>
        <v>att_software:spectronaut</v>
      </c>
      <c r="K352" s="6" t="s">
        <v>16</v>
      </c>
      <c r="L352" s="3" t="s">
        <v>2266</v>
      </c>
      <c r="M352" s="3" t="s">
        <v>12</v>
      </c>
      <c r="N352" s="3" t="str">
        <f t="shared" si="36"/>
        <v>INSERT INTO attributes (parent_id, tag, name, priority, allow_as_filter, allow_for_dataset, allow_for_measurement, allow_for_users, allow_for_qc) VALUES (NULL, 'att_software',  'Software',  500,  TRUE, TRUE, TRUE, FALSE, FALSE);</v>
      </c>
      <c r="O352" s="3" t="str">
        <f t="shared" si="37"/>
        <v xml:space="preserve">INSERT INTO attribute_values (attribute_id, tag, name, details) VALUES ((SELECT id FROM attributes WHERE tag = 'att_software' LIMIT 1),  'att_software:spectronaut',  'Spectronaut',  'BioGnoSys’s Spectronaut; DIA proteomics analysis'); </v>
      </c>
    </row>
    <row r="353" spans="1:15">
      <c r="A353" s="7" t="b">
        <f>FALSE()</f>
        <v>0</v>
      </c>
      <c r="B353" s="7"/>
      <c r="C353" s="3" t="s">
        <v>2267</v>
      </c>
      <c r="D353" s="3" t="s">
        <v>2268</v>
      </c>
      <c r="E353" s="3" t="s">
        <v>12</v>
      </c>
      <c r="F353" s="3" t="s">
        <v>159</v>
      </c>
      <c r="G353" s="3" t="s">
        <v>2559</v>
      </c>
      <c r="H353" s="3" t="str">
        <f t="shared" si="34"/>
        <v>att_tissue</v>
      </c>
      <c r="I353" s="3" t="s">
        <v>2267</v>
      </c>
      <c r="J353" s="3" t="str">
        <f t="shared" si="35"/>
        <v>att_tissue:adipose</v>
      </c>
      <c r="K353" s="6" t="s">
        <v>16</v>
      </c>
      <c r="L353" s="3" t="s">
        <v>2269</v>
      </c>
      <c r="M353" s="3" t="s">
        <v>12</v>
      </c>
      <c r="N353" s="3" t="str">
        <f t="shared" si="36"/>
        <v>INSERT INTO attributes (parent_id, tag, name, priority, allow_as_filter, allow_for_dataset, allow_for_measurement, allow_for_users, allow_for_qc) VALUES (NULL, 'att_tissue',  'Tissue',  500,  TRUE, TRUE, TRUE, FALSE, FALSE);</v>
      </c>
      <c r="O353" s="3" t="str">
        <f t="shared" si="37"/>
        <v xml:space="preserve">INSERT INTO attribute_values (attribute_id, tag, name, details) VALUES ((SELECT id FROM attributes WHERE tag = 'att_tissue' LIMIT 1),  'att_tissue:adipose',  'Adipose',  'Adipose connective tissue'); </v>
      </c>
    </row>
    <row r="354" spans="1:15">
      <c r="A354" s="7" t="b">
        <f>FALSE()</f>
        <v>0</v>
      </c>
      <c r="B354" s="7"/>
      <c r="C354" s="3" t="s">
        <v>2270</v>
      </c>
      <c r="D354" s="3" t="s">
        <v>2271</v>
      </c>
      <c r="E354" s="3" t="s">
        <v>12</v>
      </c>
      <c r="F354" s="3" t="s">
        <v>159</v>
      </c>
      <c r="G354" s="3" t="s">
        <v>2559</v>
      </c>
      <c r="H354" s="3" t="str">
        <f t="shared" si="34"/>
        <v>att_tissue</v>
      </c>
      <c r="I354" s="3" t="s">
        <v>2270</v>
      </c>
      <c r="J354" s="3" t="str">
        <f t="shared" si="35"/>
        <v>att_tissue:areolar</v>
      </c>
      <c r="K354" s="6" t="s">
        <v>16</v>
      </c>
      <c r="L354" s="3" t="s">
        <v>2272</v>
      </c>
      <c r="M354" s="3" t="s">
        <v>12</v>
      </c>
      <c r="N354" s="3" t="str">
        <f t="shared" si="36"/>
        <v>INSERT INTO attributes (parent_id, tag, name, priority, allow_as_filter, allow_for_dataset, allow_for_measurement, allow_for_users, allow_for_qc) VALUES (NULL, 'att_tissue',  'Tissue',  500,  TRUE, TRUE, TRUE, FALSE, FALSE);</v>
      </c>
      <c r="O354" s="3" t="str">
        <f t="shared" si="37"/>
        <v xml:space="preserve">INSERT INTO attribute_values (attribute_id, tag, name, details) VALUES ((SELECT id FROM attributes WHERE tag = 'att_tissue' LIMIT 1),  'att_tissue:areolar',  'Areolar',  'Areolar connective tissue'); </v>
      </c>
    </row>
    <row r="355" spans="1:15">
      <c r="A355" s="7" t="b">
        <f>FALSE()</f>
        <v>0</v>
      </c>
      <c r="B355" s="7"/>
      <c r="C355" s="3" t="s">
        <v>2273</v>
      </c>
      <c r="D355" s="3" t="s">
        <v>2274</v>
      </c>
      <c r="E355" s="3" t="s">
        <v>12</v>
      </c>
      <c r="F355" s="3" t="s">
        <v>159</v>
      </c>
      <c r="G355" s="3" t="s">
        <v>2559</v>
      </c>
      <c r="H355" s="3" t="str">
        <f t="shared" si="34"/>
        <v>att_tissue</v>
      </c>
      <c r="I355" s="3" t="s">
        <v>2273</v>
      </c>
      <c r="J355" s="3" t="str">
        <f t="shared" si="35"/>
        <v>att_tissue:blood</v>
      </c>
      <c r="K355" s="6" t="s">
        <v>16</v>
      </c>
      <c r="L355" s="3" t="s">
        <v>2274</v>
      </c>
      <c r="M355" s="3" t="s">
        <v>12</v>
      </c>
      <c r="N355" s="3" t="str">
        <f t="shared" si="36"/>
        <v>INSERT INTO attributes (parent_id, tag, name, priority, allow_as_filter, allow_for_dataset, allow_for_measurement, allow_for_users, allow_for_qc) VALUES (NULL, 'att_tissue',  'Tissue',  500,  TRUE, TRUE, TRUE, FALSE, FALSE);</v>
      </c>
      <c r="O355" s="3" t="str">
        <f t="shared" si="37"/>
        <v xml:space="preserve">INSERT INTO attribute_values (attribute_id, tag, name, details) VALUES ((SELECT id FROM attributes WHERE tag = 'att_tissue' LIMIT 1),  'att_tissue:blood',  'Blood',  'Blood'); </v>
      </c>
    </row>
    <row r="356" spans="1:15">
      <c r="A356" s="7" t="b">
        <f>FALSE()</f>
        <v>0</v>
      </c>
      <c r="B356" s="7"/>
      <c r="C356" s="3" t="s">
        <v>2275</v>
      </c>
      <c r="D356" s="3" t="s">
        <v>2276</v>
      </c>
      <c r="E356" s="3" t="s">
        <v>12</v>
      </c>
      <c r="F356" s="3" t="s">
        <v>159</v>
      </c>
      <c r="G356" s="3" t="s">
        <v>2559</v>
      </c>
      <c r="H356" s="3" t="str">
        <f t="shared" si="34"/>
        <v>att_tissue</v>
      </c>
      <c r="I356" s="3" t="s">
        <v>2275</v>
      </c>
      <c r="J356" s="3" t="str">
        <f t="shared" si="35"/>
        <v>att_tissue:connective</v>
      </c>
      <c r="K356" s="6" t="s">
        <v>16</v>
      </c>
      <c r="L356" s="3" t="s">
        <v>2277</v>
      </c>
      <c r="M356" s="3" t="s">
        <v>12</v>
      </c>
      <c r="N356" s="3" t="str">
        <f t="shared" si="36"/>
        <v>INSERT INTO attributes (parent_id, tag, name, priority, allow_as_filter, allow_for_dataset, allow_for_measurement, allow_for_users, allow_for_qc) VALUES (NULL, 'att_tissue',  'Tissue',  500,  TRUE, TRUE, TRUE, FALSE, FALSE);</v>
      </c>
      <c r="O356" s="3" t="str">
        <f t="shared" si="37"/>
        <v xml:space="preserve">INSERT INTO attribute_values (attribute_id, tag, name, details) VALUES ((SELECT id FROM attributes WHERE tag = 'att_tissue' LIMIT 1),  'att_tissue:connective',  'Connective',  'Connective tissue'); </v>
      </c>
    </row>
    <row r="357" spans="1:15">
      <c r="A357" s="7" t="b">
        <f>FALSE()</f>
        <v>0</v>
      </c>
      <c r="B357" s="7"/>
      <c r="C357" s="3" t="s">
        <v>2278</v>
      </c>
      <c r="D357" s="3" t="s">
        <v>2279</v>
      </c>
      <c r="E357" s="3" t="s">
        <v>12</v>
      </c>
      <c r="F357" s="3" t="s">
        <v>159</v>
      </c>
      <c r="G357" s="3" t="s">
        <v>2559</v>
      </c>
      <c r="H357" s="3" t="str">
        <f t="shared" si="34"/>
        <v>att_tissue</v>
      </c>
      <c r="I357" s="3" t="s">
        <v>2278</v>
      </c>
      <c r="J357" s="3" t="str">
        <f t="shared" si="35"/>
        <v>att_tissue:dermis</v>
      </c>
      <c r="K357" s="6" t="s">
        <v>16</v>
      </c>
      <c r="L357" s="3" t="s">
        <v>2279</v>
      </c>
      <c r="M357" s="3" t="s">
        <v>12</v>
      </c>
      <c r="N357" s="3" t="str">
        <f t="shared" si="36"/>
        <v>INSERT INTO attributes (parent_id, tag, name, priority, allow_as_filter, allow_for_dataset, allow_for_measurement, allow_for_users, allow_for_qc) VALUES (NULL, 'att_tissue',  'Tissue',  500,  TRUE, TRUE, TRUE, FALSE, FALSE);</v>
      </c>
      <c r="O357" s="3" t="str">
        <f t="shared" si="37"/>
        <v xml:space="preserve">INSERT INTO attribute_values (attribute_id, tag, name, details) VALUES ((SELECT id FROM attributes WHERE tag = 'att_tissue' LIMIT 1),  'att_tissue:dermis',  'Dermis',  'Dermis'); </v>
      </c>
    </row>
    <row r="358" spans="1:15">
      <c r="A358" s="7" t="b">
        <f>FALSE()</f>
        <v>0</v>
      </c>
      <c r="B358" s="7"/>
      <c r="C358" s="3" t="s">
        <v>2280</v>
      </c>
      <c r="D358" s="3" t="s">
        <v>2281</v>
      </c>
      <c r="E358" s="3" t="s">
        <v>12</v>
      </c>
      <c r="F358" s="3" t="s">
        <v>159</v>
      </c>
      <c r="G358" s="3" t="s">
        <v>2559</v>
      </c>
      <c r="H358" s="3" t="str">
        <f t="shared" si="34"/>
        <v>att_tissue</v>
      </c>
      <c r="I358" s="3" t="s">
        <v>2280</v>
      </c>
      <c r="J358" s="3" t="str">
        <f t="shared" si="35"/>
        <v>att_tissue:epidermis</v>
      </c>
      <c r="K358" s="6" t="s">
        <v>16</v>
      </c>
      <c r="L358" s="3" t="s">
        <v>2281</v>
      </c>
      <c r="M358" s="3" t="s">
        <v>12</v>
      </c>
      <c r="N358" s="3" t="str">
        <f t="shared" si="36"/>
        <v>INSERT INTO attributes (parent_id, tag, name, priority, allow_as_filter, allow_for_dataset, allow_for_measurement, allow_for_users, allow_for_qc) VALUES (NULL, 'att_tissue',  'Tissue',  500,  TRUE, TRUE, TRUE, FALSE, FALSE);</v>
      </c>
      <c r="O358" s="3" t="str">
        <f t="shared" si="37"/>
        <v xml:space="preserve">INSERT INTO attribute_values (attribute_id, tag, name, details) VALUES ((SELECT id FROM attributes WHERE tag = 'att_tissue' LIMIT 1),  'att_tissue:epidermis',  'Epidermis',  'Epidermis'); </v>
      </c>
    </row>
    <row r="359" spans="1:15">
      <c r="A359" s="7" t="b">
        <f>FALSE()</f>
        <v>0</v>
      </c>
      <c r="B359" s="7"/>
      <c r="C359" s="3" t="s">
        <v>2282</v>
      </c>
      <c r="D359" s="3" t="s">
        <v>2283</v>
      </c>
      <c r="E359" s="3" t="s">
        <v>12</v>
      </c>
      <c r="F359" s="3" t="s">
        <v>159</v>
      </c>
      <c r="G359" s="3" t="s">
        <v>2559</v>
      </c>
      <c r="H359" s="3" t="str">
        <f t="shared" si="34"/>
        <v>att_tissue</v>
      </c>
      <c r="I359" s="3" t="s">
        <v>2282</v>
      </c>
      <c r="J359" s="3" t="str">
        <f t="shared" si="35"/>
        <v>att_tissue:epithelial</v>
      </c>
      <c r="K359" s="6" t="s">
        <v>16</v>
      </c>
      <c r="L359" s="3" t="s">
        <v>2284</v>
      </c>
      <c r="M359" s="3" t="s">
        <v>12</v>
      </c>
      <c r="N359" s="3" t="str">
        <f t="shared" si="36"/>
        <v>INSERT INTO attributes (parent_id, tag, name, priority, allow_as_filter, allow_for_dataset, allow_for_measurement, allow_for_users, allow_for_qc) VALUES (NULL, 'att_tissue',  'Tissue',  500,  TRUE, TRUE, TRUE, FALSE, FALSE);</v>
      </c>
      <c r="O359" s="3" t="str">
        <f t="shared" si="37"/>
        <v xml:space="preserve">INSERT INTO attribute_values (attribute_id, tag, name, details) VALUES ((SELECT id FROM attributes WHERE tag = 'att_tissue' LIMIT 1),  'att_tissue:epithelial',  'Epithelial',  'Epithelial tissue'); </v>
      </c>
    </row>
    <row r="360" spans="1:15">
      <c r="A360" s="7" t="b">
        <f>FALSE()</f>
        <v>0</v>
      </c>
      <c r="B360" s="7"/>
      <c r="C360" s="3" t="s">
        <v>2285</v>
      </c>
      <c r="D360" s="3" t="s">
        <v>2286</v>
      </c>
      <c r="E360" s="3" t="s">
        <v>12</v>
      </c>
      <c r="F360" s="3" t="s">
        <v>159</v>
      </c>
      <c r="G360" s="3" t="s">
        <v>2559</v>
      </c>
      <c r="H360" s="3" t="str">
        <f t="shared" si="34"/>
        <v>att_tissue</v>
      </c>
      <c r="I360" s="3" t="s">
        <v>2285</v>
      </c>
      <c r="J360" s="3" t="str">
        <f t="shared" si="35"/>
        <v>att_tissue:hypodermis</v>
      </c>
      <c r="K360" s="6" t="s">
        <v>16</v>
      </c>
      <c r="L360" s="3" t="s">
        <v>2286</v>
      </c>
      <c r="M360" s="3" t="s">
        <v>12</v>
      </c>
      <c r="N360" s="3" t="str">
        <f t="shared" si="36"/>
        <v>INSERT INTO attributes (parent_id, tag, name, priority, allow_as_filter, allow_for_dataset, allow_for_measurement, allow_for_users, allow_for_qc) VALUES (NULL, 'att_tissue',  'Tissue',  500,  TRUE, TRUE, TRUE, FALSE, FALSE);</v>
      </c>
      <c r="O360" s="3" t="str">
        <f t="shared" si="37"/>
        <v xml:space="preserve">INSERT INTO attribute_values (attribute_id, tag, name, details) VALUES ((SELECT id FROM attributes WHERE tag = 'att_tissue' LIMIT 1),  'att_tissue:hypodermis',  'Hypodermis',  'Hypodermis'); </v>
      </c>
    </row>
    <row r="361" spans="1:15">
      <c r="A361" s="7" t="b">
        <f>FALSE()</f>
        <v>0</v>
      </c>
      <c r="B361" s="7"/>
      <c r="C361" s="3" t="s">
        <v>2287</v>
      </c>
      <c r="D361" s="3" t="s">
        <v>127</v>
      </c>
      <c r="E361" s="3" t="s">
        <v>12</v>
      </c>
      <c r="F361" s="3" t="s">
        <v>159</v>
      </c>
      <c r="G361" s="3" t="s">
        <v>2559</v>
      </c>
      <c r="H361" s="3" t="str">
        <f t="shared" si="34"/>
        <v>att_tissue</v>
      </c>
      <c r="I361" s="3" t="s">
        <v>2287</v>
      </c>
      <c r="J361" s="3" t="str">
        <f t="shared" si="35"/>
        <v>att_tissue:muscle</v>
      </c>
      <c r="K361" s="6" t="s">
        <v>16</v>
      </c>
      <c r="L361" s="3" t="s">
        <v>2288</v>
      </c>
      <c r="M361" s="3" t="s">
        <v>12</v>
      </c>
      <c r="N361" s="3" t="str">
        <f t="shared" si="36"/>
        <v>INSERT INTO attributes (parent_id, tag, name, priority, allow_as_filter, allow_for_dataset, allow_for_measurement, allow_for_users, allow_for_qc) VALUES (NULL, 'att_tissue',  'Tissue',  500,  TRUE, TRUE, TRUE, FALSE, FALSE);</v>
      </c>
      <c r="O361" s="3" t="str">
        <f t="shared" si="37"/>
        <v xml:space="preserve">INSERT INTO attribute_values (attribute_id, tag, name, details) VALUES ((SELECT id FROM attributes WHERE tag = 'att_tissue' LIMIT 1),  'att_tissue:muscle',  'Muscle',  'Muscle tissue'); </v>
      </c>
    </row>
    <row r="362" spans="1:15">
      <c r="A362" s="7" t="b">
        <f>FALSE()</f>
        <v>0</v>
      </c>
      <c r="B362" s="7"/>
      <c r="C362" s="3" t="s">
        <v>2289</v>
      </c>
      <c r="D362" s="3" t="s">
        <v>2108</v>
      </c>
      <c r="E362" s="3" t="s">
        <v>12</v>
      </c>
      <c r="F362" s="3" t="s">
        <v>159</v>
      </c>
      <c r="G362" s="3" t="s">
        <v>2559</v>
      </c>
      <c r="H362" s="3" t="str">
        <f t="shared" si="34"/>
        <v>att_tissue</v>
      </c>
      <c r="I362" s="3" t="s">
        <v>2289</v>
      </c>
      <c r="J362" s="3" t="str">
        <f t="shared" si="35"/>
        <v>att_tissue:nervous</v>
      </c>
      <c r="K362" s="6" t="s">
        <v>16</v>
      </c>
      <c r="L362" s="3" t="s">
        <v>2290</v>
      </c>
      <c r="M362" s="3" t="s">
        <v>12</v>
      </c>
      <c r="N362" s="3" t="str">
        <f t="shared" si="36"/>
        <v>INSERT INTO attributes (parent_id, tag, name, priority, allow_as_filter, allow_for_dataset, allow_for_measurement, allow_for_users, allow_for_qc) VALUES (NULL, 'att_tissue',  'Tissue',  500,  TRUE, TRUE, TRUE, FALSE, FALSE);</v>
      </c>
      <c r="O362" s="3" t="str">
        <f t="shared" si="37"/>
        <v xml:space="preserve">INSERT INTO attribute_values (attribute_id, tag, name, details) VALUES ((SELECT id FROM attributes WHERE tag = 'att_tissue' LIMIT 1),  'att_tissue:nervous',  'Nervous',  'Nervous tissue'); </v>
      </c>
    </row>
    <row r="363" spans="1:15">
      <c r="A363" s="7" t="b">
        <f>FALSE()</f>
        <v>0</v>
      </c>
      <c r="B363" s="7"/>
      <c r="C363" s="3" t="s">
        <v>2291</v>
      </c>
      <c r="D363" s="3" t="s">
        <v>2292</v>
      </c>
      <c r="E363" s="3" t="s">
        <v>12</v>
      </c>
      <c r="F363" s="3" t="s">
        <v>159</v>
      </c>
      <c r="G363" s="3" t="s">
        <v>2559</v>
      </c>
      <c r="H363" s="3" t="str">
        <f t="shared" si="34"/>
        <v>att_tissue</v>
      </c>
      <c r="I363" s="3" t="s">
        <v>2291</v>
      </c>
      <c r="J363" s="3" t="str">
        <f t="shared" si="35"/>
        <v>att_tissue:reticular</v>
      </c>
      <c r="K363" s="6" t="s">
        <v>16</v>
      </c>
      <c r="L363" s="3" t="s">
        <v>2293</v>
      </c>
      <c r="M363" s="3" t="s">
        <v>12</v>
      </c>
      <c r="N363" s="3" t="str">
        <f t="shared" si="36"/>
        <v>INSERT INTO attributes (parent_id, tag, name, priority, allow_as_filter, allow_for_dataset, allow_for_measurement, allow_for_users, allow_for_qc) VALUES (NULL, 'att_tissue',  'Tissue',  500,  TRUE, TRUE, TRUE, FALSE, FALSE);</v>
      </c>
      <c r="O363" s="3" t="str">
        <f t="shared" si="37"/>
        <v xml:space="preserve">INSERT INTO attribute_values (attribute_id, tag, name, details) VALUES ((SELECT id FROM attributes WHERE tag = 'att_tissue' LIMIT 1),  'att_tissue:reticular',  'Reticular',  'Reticular connective tissue'); </v>
      </c>
    </row>
    <row r="364" spans="1:15">
      <c r="A364" s="7" t="b">
        <f>FALSE()</f>
        <v>0</v>
      </c>
      <c r="B364" s="7"/>
      <c r="C364" s="3" t="s">
        <v>2294</v>
      </c>
      <c r="D364" s="3" t="s">
        <v>2295</v>
      </c>
      <c r="E364" s="3" t="s">
        <v>12</v>
      </c>
      <c r="F364" s="3" t="s">
        <v>159</v>
      </c>
      <c r="G364" s="3" t="s">
        <v>2559</v>
      </c>
      <c r="H364" s="3" t="str">
        <f t="shared" si="34"/>
        <v>att_tissue</v>
      </c>
      <c r="I364" s="3" t="s">
        <v>2294</v>
      </c>
      <c r="J364" s="3" t="str">
        <f t="shared" si="35"/>
        <v>att_tissue:stromal</v>
      </c>
      <c r="K364" s="6" t="s">
        <v>16</v>
      </c>
      <c r="L364" s="3" t="s">
        <v>2296</v>
      </c>
      <c r="M364" s="3" t="s">
        <v>12</v>
      </c>
      <c r="N364" s="3" t="str">
        <f t="shared" si="36"/>
        <v>INSERT INTO attributes (parent_id, tag, name, priority, allow_as_filter, allow_for_dataset, allow_for_measurement, allow_for_users, allow_for_qc) VALUES (NULL, 'att_tissue',  'Tissue',  500,  TRUE, TRUE, TRUE, FALSE, FALSE);</v>
      </c>
      <c r="O364" s="3" t="str">
        <f t="shared" si="37"/>
        <v xml:space="preserve">INSERT INTO attribute_values (attribute_id, tag, name, details) VALUES ((SELECT id FROM attributes WHERE tag = 'att_tissue' LIMIT 1),  'att_tissue:stromal',  'Stromal',  'Stroma tissue'); </v>
      </c>
    </row>
    <row r="365" spans="1:15">
      <c r="A365" s="6" t="s">
        <v>16</v>
      </c>
      <c r="B365" s="6"/>
      <c r="C365" s="3" t="s">
        <v>896</v>
      </c>
      <c r="D365" s="3" t="s">
        <v>898</v>
      </c>
      <c r="E365" s="3" t="s">
        <v>12</v>
      </c>
      <c r="F365" s="3" t="s">
        <v>2447</v>
      </c>
      <c r="G365" s="3" t="s">
        <v>2448</v>
      </c>
      <c r="H365" s="3" t="str">
        <f t="shared" ref="H365" si="38">"att_"&amp;G365</f>
        <v>att_dataset</v>
      </c>
      <c r="I365" s="3" t="s">
        <v>2560</v>
      </c>
      <c r="J365" s="3" t="str">
        <f t="shared" ref="J365" si="39">H365&amp;":"&amp;I365</f>
        <v>att_dataset:database orf_search</v>
      </c>
      <c r="K365" s="6" t="s">
        <v>16</v>
      </c>
      <c r="L365" s="3" t="s">
        <v>899</v>
      </c>
      <c r="M365" s="3" t="s">
        <v>12</v>
      </c>
      <c r="N365" s="3" t="str">
        <f t="shared" si="36"/>
        <v>INSERT INTO attributes (parent_id, tag, name, priority, allow_as_filter, allow_for_dataset, allow_for_measurement, allow_for_users, allow_for_qc) VALUES (NULL, 'att_dataset',  'Spectral Interpretation',  500,  TRUE, TRUE, TRUE, FALSE, FALSE);</v>
      </c>
      <c r="O365" s="3" t="str">
        <f t="shared" si="37"/>
        <v xml:space="preserve">INSERT INTO attribute_values (attribute_id, tag, name, details) VALUES ((SELECT id FROM attributes WHERE tag = 'att_dataset' LIMIT 1),  'att_dataset:database orf_search',  'Database + ORF search',  'database and orf search'); </v>
      </c>
    </row>
    <row r="368" spans="1:15">
      <c r="C368" s="3" t="s">
        <v>2561</v>
      </c>
      <c r="D368" s="3" t="s">
        <v>1239</v>
      </c>
      <c r="F368" s="3" t="s">
        <v>106</v>
      </c>
      <c r="G368" s="3" t="s">
        <v>65</v>
      </c>
      <c r="H368" s="3" t="s">
        <v>105</v>
      </c>
      <c r="I368" s="3" t="s">
        <v>920</v>
      </c>
      <c r="J368" s="3" t="str">
        <f>H368&amp;":"&amp;I368</f>
        <v>att_lysis_buffer:sds</v>
      </c>
      <c r="L368" s="3" t="s">
        <v>1240</v>
      </c>
    </row>
    <row r="369" spans="3:12">
      <c r="C369" s="3" t="s">
        <v>2562</v>
      </c>
      <c r="D369" s="3" t="s">
        <v>1245</v>
      </c>
      <c r="F369" s="3" t="s">
        <v>106</v>
      </c>
      <c r="G369" s="3" t="s">
        <v>65</v>
      </c>
      <c r="H369" s="3" t="s">
        <v>105</v>
      </c>
      <c r="I369" s="3" t="s">
        <v>1244</v>
      </c>
      <c r="J369" s="3" t="str">
        <f>H369&amp;":"&amp;I369</f>
        <v>att_lysis_buffer:urea</v>
      </c>
      <c r="L369" s="3" t="s">
        <v>1246</v>
      </c>
    </row>
    <row r="370" spans="3:12">
      <c r="C370" s="3" t="s">
        <v>2563</v>
      </c>
      <c r="D370" s="3" t="s">
        <v>1242</v>
      </c>
      <c r="F370" s="3" t="s">
        <v>106</v>
      </c>
      <c r="G370" s="3" t="s">
        <v>65</v>
      </c>
      <c r="H370" s="3" t="s">
        <v>105</v>
      </c>
      <c r="I370" s="3" t="s">
        <v>1241</v>
      </c>
      <c r="J370" s="3" t="str">
        <f>H370&amp;":"&amp;I370</f>
        <v>att_lysis_buffer:two_sdc</v>
      </c>
      <c r="L370" s="3" t="s">
        <v>1243</v>
      </c>
    </row>
    <row r="371" spans="3:12">
      <c r="C371" s="3" t="s">
        <v>2563</v>
      </c>
      <c r="D371" s="3" t="s">
        <v>1237</v>
      </c>
      <c r="F371" s="3" t="s">
        <v>106</v>
      </c>
      <c r="G371" s="3" t="s">
        <v>65</v>
      </c>
      <c r="H371" s="3" t="s">
        <v>105</v>
      </c>
      <c r="I371" s="3" t="s">
        <v>1236</v>
      </c>
      <c r="J371" s="3" t="str">
        <f>H371&amp;":"&amp;I371</f>
        <v>att_lysis_buffer:one_sdc</v>
      </c>
      <c r="L371" s="3" t="s">
        <v>1238</v>
      </c>
    </row>
    <row r="373" spans="3:12">
      <c r="C373" s="3" t="s">
        <v>65</v>
      </c>
      <c r="D373" s="3" t="s">
        <v>1248</v>
      </c>
      <c r="F373" s="3" t="s">
        <v>107</v>
      </c>
      <c r="G373" s="3" t="s">
        <v>65</v>
      </c>
      <c r="H373" s="3" t="s">
        <v>63</v>
      </c>
      <c r="I373" s="3" t="s">
        <v>1247</v>
      </c>
      <c r="J373" s="3" t="str">
        <f>H373&amp;":"&amp;I373</f>
        <v>att_lysis_method:dounce</v>
      </c>
      <c r="L373" s="3" t="s">
        <v>1249</v>
      </c>
    </row>
    <row r="374" spans="3:12">
      <c r="C374" s="3" t="s">
        <v>65</v>
      </c>
      <c r="D374" s="3" t="s">
        <v>1254</v>
      </c>
      <c r="F374" s="3" t="s">
        <v>107</v>
      </c>
      <c r="G374" s="3" t="s">
        <v>65</v>
      </c>
      <c r="H374" s="3" t="s">
        <v>63</v>
      </c>
      <c r="I374" s="3" t="s">
        <v>1253</v>
      </c>
      <c r="J374" s="3" t="str">
        <f>H374&amp;":"&amp;I374</f>
        <v>att_lysis_method:paracyllus</v>
      </c>
      <c r="L374" s="3" t="s">
        <v>1255</v>
      </c>
    </row>
    <row r="375" spans="3:12">
      <c r="C375" s="3" t="s">
        <v>65</v>
      </c>
      <c r="D375" s="3" t="s">
        <v>1251</v>
      </c>
      <c r="F375" s="3" t="s">
        <v>107</v>
      </c>
      <c r="G375" s="3" t="s">
        <v>65</v>
      </c>
      <c r="H375" s="3" t="s">
        <v>63</v>
      </c>
      <c r="I375" s="3" t="s">
        <v>1250</v>
      </c>
      <c r="J375" s="3" t="str">
        <f>H375&amp;":"&amp;I375</f>
        <v>att_lysis_method:motar_pestle</v>
      </c>
      <c r="L375" s="3" t="s">
        <v>1252</v>
      </c>
    </row>
    <row r="377" spans="3:12">
      <c r="C377" s="3" t="s">
        <v>2564</v>
      </c>
      <c r="D377" s="3" t="s">
        <v>921</v>
      </c>
      <c r="F377" s="3" t="s">
        <v>64</v>
      </c>
      <c r="G377" s="3" t="s">
        <v>2565</v>
      </c>
      <c r="H377" s="3" t="s">
        <v>62</v>
      </c>
      <c r="I377" s="3" t="s">
        <v>920</v>
      </c>
      <c r="J377" s="3" t="str">
        <f t="shared" ref="J377:J385" si="40">H377&amp;":"&amp;I377</f>
        <v>att_detergent:sds</v>
      </c>
      <c r="L377" s="3" t="s">
        <v>922</v>
      </c>
    </row>
    <row r="378" spans="3:12">
      <c r="C378" s="3" t="s">
        <v>2566</v>
      </c>
      <c r="D378" s="3" t="s">
        <v>927</v>
      </c>
      <c r="F378" s="3" t="s">
        <v>64</v>
      </c>
      <c r="G378" s="3" t="s">
        <v>2565</v>
      </c>
      <c r="H378" s="3" t="s">
        <v>62</v>
      </c>
      <c r="I378" s="3" t="s">
        <v>926</v>
      </c>
      <c r="J378" s="3" t="str">
        <f t="shared" si="40"/>
        <v>att_detergent:tween20</v>
      </c>
      <c r="L378" s="3" t="s">
        <v>928</v>
      </c>
    </row>
    <row r="379" spans="3:12">
      <c r="C379" s="3" t="s">
        <v>2567</v>
      </c>
      <c r="D379" s="3" t="s">
        <v>2568</v>
      </c>
      <c r="F379" s="3" t="s">
        <v>64</v>
      </c>
      <c r="G379" s="3" t="s">
        <v>2565</v>
      </c>
      <c r="H379" s="3" t="s">
        <v>62</v>
      </c>
      <c r="I379" s="3" t="s">
        <v>929</v>
      </c>
      <c r="J379" s="3" t="str">
        <f t="shared" si="40"/>
        <v>att_detergent:tween80</v>
      </c>
      <c r="L379" s="3" t="s">
        <v>931</v>
      </c>
    </row>
    <row r="380" spans="3:12">
      <c r="C380" s="3" t="s">
        <v>2569</v>
      </c>
      <c r="D380" s="3" t="s">
        <v>912</v>
      </c>
      <c r="F380" s="3" t="s">
        <v>64</v>
      </c>
      <c r="G380" s="3" t="s">
        <v>2565</v>
      </c>
      <c r="H380" s="3" t="s">
        <v>62</v>
      </c>
      <c r="I380" s="3" t="s">
        <v>911</v>
      </c>
      <c r="J380" s="3" t="str">
        <f t="shared" si="40"/>
        <v>att_detergent:np40</v>
      </c>
      <c r="L380" s="3" t="s">
        <v>913</v>
      </c>
    </row>
    <row r="381" spans="3:12">
      <c r="C381" s="3" t="s">
        <v>2570</v>
      </c>
      <c r="D381" s="3" t="s">
        <v>924</v>
      </c>
      <c r="F381" s="3" t="s">
        <v>64</v>
      </c>
      <c r="G381" s="3" t="s">
        <v>2565</v>
      </c>
      <c r="H381" s="3" t="s">
        <v>62</v>
      </c>
      <c r="I381" s="3" t="s">
        <v>923</v>
      </c>
      <c r="J381" s="3" t="str">
        <f t="shared" si="40"/>
        <v>att_detergent:tritonx100</v>
      </c>
      <c r="L381" s="3" t="s">
        <v>925</v>
      </c>
    </row>
    <row r="382" spans="3:12">
      <c r="C382" s="3" t="s">
        <v>2571</v>
      </c>
      <c r="D382" s="3" t="s">
        <v>906</v>
      </c>
      <c r="F382" s="3" t="s">
        <v>64</v>
      </c>
      <c r="G382" s="3" t="s">
        <v>2565</v>
      </c>
      <c r="H382" s="3" t="s">
        <v>62</v>
      </c>
      <c r="I382" s="3" t="s">
        <v>905</v>
      </c>
      <c r="J382" s="3" t="str">
        <f t="shared" si="40"/>
        <v>att_detergent:chaps</v>
      </c>
      <c r="L382" s="3" t="s">
        <v>907</v>
      </c>
    </row>
    <row r="383" spans="3:12">
      <c r="C383" s="3" t="s">
        <v>2572</v>
      </c>
      <c r="D383" s="3" t="s">
        <v>909</v>
      </c>
      <c r="F383" s="3" t="s">
        <v>64</v>
      </c>
      <c r="G383" s="3" t="s">
        <v>2565</v>
      </c>
      <c r="H383" s="3" t="s">
        <v>62</v>
      </c>
      <c r="I383" s="3" t="s">
        <v>908</v>
      </c>
      <c r="J383" s="3" t="str">
        <f t="shared" si="40"/>
        <v>att_detergent:dmm</v>
      </c>
      <c r="L383" s="3" t="s">
        <v>910</v>
      </c>
    </row>
    <row r="384" spans="3:12">
      <c r="C384" s="3" t="s">
        <v>2573</v>
      </c>
      <c r="D384" s="3" t="s">
        <v>915</v>
      </c>
      <c r="F384" s="3" t="s">
        <v>64</v>
      </c>
      <c r="G384" s="3" t="s">
        <v>2565</v>
      </c>
      <c r="H384" s="3" t="s">
        <v>62</v>
      </c>
      <c r="I384" s="3" t="s">
        <v>914</v>
      </c>
      <c r="J384" s="3" t="str">
        <f t="shared" si="40"/>
        <v>att_detergent:og</v>
      </c>
      <c r="L384" s="3" t="s">
        <v>916</v>
      </c>
    </row>
    <row r="385" spans="1:12">
      <c r="C385" s="3" t="s">
        <v>2574</v>
      </c>
      <c r="D385" s="3" t="s">
        <v>918</v>
      </c>
      <c r="F385" s="3" t="s">
        <v>64</v>
      </c>
      <c r="G385" s="3" t="s">
        <v>2565</v>
      </c>
      <c r="H385" s="3" t="s">
        <v>62</v>
      </c>
      <c r="I385" s="3" t="s">
        <v>917</v>
      </c>
      <c r="J385" s="3" t="str">
        <f t="shared" si="40"/>
        <v>att_detergent:otg</v>
      </c>
      <c r="L385" s="3" t="s">
        <v>919</v>
      </c>
    </row>
    <row r="387" spans="1:12">
      <c r="C387" s="3" t="s">
        <v>2575</v>
      </c>
      <c r="D387" s="3" t="s">
        <v>2217</v>
      </c>
      <c r="F387" s="3" t="s">
        <v>2576</v>
      </c>
      <c r="G387" s="3" t="s">
        <v>2577</v>
      </c>
      <c r="H387" s="3" t="s">
        <v>151</v>
      </c>
      <c r="I387" s="3" t="s">
        <v>2216</v>
      </c>
      <c r="J387" s="3" t="str">
        <f>H387&amp;":"&amp;I387</f>
        <v>att_reduction:tcep</v>
      </c>
      <c r="L387" s="3" t="s">
        <v>2218</v>
      </c>
    </row>
    <row r="388" spans="1:12">
      <c r="C388" s="3" t="s">
        <v>2578</v>
      </c>
      <c r="D388" s="3" t="s">
        <v>2213</v>
      </c>
      <c r="F388" s="3" t="s">
        <v>2576</v>
      </c>
      <c r="G388" s="3" t="s">
        <v>2577</v>
      </c>
      <c r="H388" s="3" t="s">
        <v>151</v>
      </c>
      <c r="I388" s="3" t="s">
        <v>2212</v>
      </c>
      <c r="J388" s="3" t="str">
        <f>H388&amp;":"&amp;I388</f>
        <v>att_reduction:dtt</v>
      </c>
      <c r="L388" s="3" t="s">
        <v>2214</v>
      </c>
    </row>
    <row r="389" spans="1:12">
      <c r="C389" s="3" t="s">
        <v>2578</v>
      </c>
      <c r="D389" s="3" t="s">
        <v>1741</v>
      </c>
      <c r="F389" s="3" t="s">
        <v>2576</v>
      </c>
      <c r="G389" s="3" t="s">
        <v>2577</v>
      </c>
      <c r="H389" s="3" t="s">
        <v>151</v>
      </c>
      <c r="I389" s="3" t="s">
        <v>261</v>
      </c>
      <c r="J389" s="3" t="str">
        <f>H389&amp;":"&amp;I389</f>
        <v>att_reduction:none</v>
      </c>
      <c r="L389" s="3" t="s">
        <v>2215</v>
      </c>
    </row>
    <row r="391" spans="1:12">
      <c r="C391" s="3" t="s">
        <v>2579</v>
      </c>
      <c r="D391" s="3" t="s">
        <v>256</v>
      </c>
      <c r="F391" s="3" t="s">
        <v>2580</v>
      </c>
      <c r="G391" s="3" t="s">
        <v>2581</v>
      </c>
      <c r="H391" s="3" t="s">
        <v>151</v>
      </c>
      <c r="I391" s="3" t="s">
        <v>255</v>
      </c>
      <c r="J391" s="3" t="str">
        <f>H391&amp;":"&amp;I391</f>
        <v>att_reduction:caa</v>
      </c>
      <c r="L391" s="3" t="s">
        <v>257</v>
      </c>
    </row>
    <row r="392" spans="1:12">
      <c r="C392" s="3" t="s">
        <v>2582</v>
      </c>
      <c r="D392" s="3" t="s">
        <v>259</v>
      </c>
      <c r="F392" s="3" t="s">
        <v>2580</v>
      </c>
      <c r="G392" s="3" t="s">
        <v>2581</v>
      </c>
      <c r="H392" s="3" t="s">
        <v>151</v>
      </c>
      <c r="I392" s="3" t="s">
        <v>258</v>
      </c>
      <c r="J392" s="3" t="str">
        <f>H392&amp;":"&amp;I392</f>
        <v>att_reduction:iaa</v>
      </c>
      <c r="L392" s="3" t="s">
        <v>260</v>
      </c>
    </row>
    <row r="393" spans="1:12">
      <c r="C393" s="3" t="s">
        <v>2581</v>
      </c>
      <c r="D393" s="3" t="s">
        <v>1741</v>
      </c>
      <c r="F393" s="3" t="s">
        <v>2580</v>
      </c>
      <c r="G393" s="3" t="s">
        <v>2577</v>
      </c>
      <c r="H393" s="3" t="s">
        <v>151</v>
      </c>
      <c r="I393" s="3" t="s">
        <v>261</v>
      </c>
      <c r="J393" s="3" t="str">
        <f>H393&amp;":"&amp;I393</f>
        <v>att_reduction:none</v>
      </c>
      <c r="L393" s="3" t="s">
        <v>263</v>
      </c>
    </row>
    <row r="395" spans="1:12">
      <c r="A395" s="3" t="b">
        <f>TRUE()</f>
        <v>1</v>
      </c>
      <c r="C395" s="3" t="s">
        <v>2583</v>
      </c>
      <c r="D395" s="3" t="s">
        <v>2152</v>
      </c>
      <c r="F395" s="3" t="s">
        <v>143</v>
      </c>
      <c r="G395" s="3" t="s">
        <v>2584</v>
      </c>
      <c r="H395" s="3" t="s">
        <v>142</v>
      </c>
      <c r="I395" s="3" t="s">
        <v>2151</v>
      </c>
      <c r="J395" s="3" t="str">
        <f t="shared" ref="J395:J402" si="41">H395&amp;":"&amp;I395</f>
        <v>att_protease:trypsin</v>
      </c>
      <c r="L395" s="3" t="s">
        <v>2153</v>
      </c>
    </row>
    <row r="396" spans="1:12">
      <c r="A396" s="3" t="b">
        <f>TRUE()</f>
        <v>1</v>
      </c>
      <c r="C396" s="3" t="s">
        <v>2583</v>
      </c>
      <c r="D396" s="3" t="s">
        <v>2146</v>
      </c>
      <c r="F396" s="3" t="s">
        <v>143</v>
      </c>
      <c r="G396" s="3" t="s">
        <v>2584</v>
      </c>
      <c r="H396" s="3" t="s">
        <v>142</v>
      </c>
      <c r="I396" s="3" t="s">
        <v>2145</v>
      </c>
      <c r="J396" s="3" t="str">
        <f t="shared" si="41"/>
        <v>att_protease:lysc</v>
      </c>
      <c r="L396" s="3" t="s">
        <v>2147</v>
      </c>
    </row>
    <row r="397" spans="1:12">
      <c r="A397" s="3" t="b">
        <f>TRUE()</f>
        <v>1</v>
      </c>
      <c r="C397" s="3" t="s">
        <v>2583</v>
      </c>
      <c r="D397" s="3" t="s">
        <v>2131</v>
      </c>
      <c r="F397" s="3" t="s">
        <v>143</v>
      </c>
      <c r="G397" s="3" t="s">
        <v>2584</v>
      </c>
      <c r="H397" s="3" t="s">
        <v>142</v>
      </c>
      <c r="I397" s="3" t="s">
        <v>2130</v>
      </c>
      <c r="J397" s="3" t="str">
        <f t="shared" si="41"/>
        <v>att_protease:argc</v>
      </c>
      <c r="L397" s="3" t="s">
        <v>2132</v>
      </c>
    </row>
    <row r="398" spans="1:12">
      <c r="A398" s="3" t="b">
        <f>TRUE()</f>
        <v>1</v>
      </c>
      <c r="C398" s="3" t="s">
        <v>2583</v>
      </c>
      <c r="D398" s="3" t="s">
        <v>2143</v>
      </c>
      <c r="F398" s="3" t="s">
        <v>143</v>
      </c>
      <c r="G398" s="3" t="s">
        <v>2584</v>
      </c>
      <c r="H398" s="3" t="s">
        <v>142</v>
      </c>
      <c r="I398" s="3" t="s">
        <v>2142</v>
      </c>
      <c r="J398" s="3" t="str">
        <f t="shared" si="41"/>
        <v>att_protease:gluc</v>
      </c>
      <c r="L398" s="3" t="s">
        <v>2144</v>
      </c>
    </row>
    <row r="399" spans="1:12">
      <c r="A399" s="3" t="b">
        <f>TRUE()</f>
        <v>1</v>
      </c>
      <c r="C399" s="3" t="s">
        <v>2583</v>
      </c>
      <c r="D399" s="3" t="s">
        <v>2137</v>
      </c>
      <c r="F399" s="3" t="s">
        <v>143</v>
      </c>
      <c r="G399" s="3" t="s">
        <v>2584</v>
      </c>
      <c r="H399" s="3" t="s">
        <v>142</v>
      </c>
      <c r="I399" s="3" t="s">
        <v>2136</v>
      </c>
      <c r="J399" s="3" t="str">
        <f t="shared" si="41"/>
        <v>att_protease:chymotrypsin</v>
      </c>
      <c r="L399" s="3" t="s">
        <v>2138</v>
      </c>
    </row>
    <row r="400" spans="1:12">
      <c r="A400" s="3" t="b">
        <f>TRUE()</f>
        <v>1</v>
      </c>
      <c r="C400" s="3" t="s">
        <v>2583</v>
      </c>
      <c r="D400" s="3" t="s">
        <v>2134</v>
      </c>
      <c r="F400" s="3" t="s">
        <v>143</v>
      </c>
      <c r="G400" s="3" t="s">
        <v>2584</v>
      </c>
      <c r="H400" s="3" t="s">
        <v>142</v>
      </c>
      <c r="I400" s="3" t="s">
        <v>2133</v>
      </c>
      <c r="J400" s="3" t="str">
        <f t="shared" si="41"/>
        <v>att_protease:aspn</v>
      </c>
      <c r="L400" s="3" t="s">
        <v>2135</v>
      </c>
    </row>
    <row r="401" spans="1:12">
      <c r="A401" s="3" t="b">
        <f>TRUE()</f>
        <v>1</v>
      </c>
      <c r="C401" s="3" t="s">
        <v>2583</v>
      </c>
      <c r="D401" s="3" t="s">
        <v>2140</v>
      </c>
      <c r="F401" s="3" t="s">
        <v>143</v>
      </c>
      <c r="G401" s="3" t="s">
        <v>2584</v>
      </c>
      <c r="H401" s="3" t="s">
        <v>142</v>
      </c>
      <c r="I401" s="3" t="s">
        <v>2139</v>
      </c>
      <c r="J401" s="3" t="str">
        <f t="shared" si="41"/>
        <v>att_protease:elastase</v>
      </c>
      <c r="L401" s="3" t="s">
        <v>2141</v>
      </c>
    </row>
    <row r="402" spans="1:12">
      <c r="A402" s="3" t="b">
        <f>TRUE()</f>
        <v>1</v>
      </c>
      <c r="C402" s="3" t="s">
        <v>2583</v>
      </c>
      <c r="D402" s="3" t="s">
        <v>2149</v>
      </c>
      <c r="F402" s="3" t="s">
        <v>143</v>
      </c>
      <c r="G402" s="3" t="s">
        <v>2584</v>
      </c>
      <c r="H402" s="3" t="s">
        <v>142</v>
      </c>
      <c r="I402" s="3" t="s">
        <v>2148</v>
      </c>
      <c r="J402" s="3" t="str">
        <f t="shared" si="41"/>
        <v>att_protease:raspn</v>
      </c>
      <c r="L402" s="3" t="s">
        <v>2150</v>
      </c>
    </row>
    <row r="404" spans="1:12">
      <c r="C404" s="3" t="s">
        <v>2585</v>
      </c>
      <c r="D404" s="3" t="s">
        <v>1229</v>
      </c>
      <c r="F404" s="3" t="s">
        <v>104</v>
      </c>
      <c r="G404" s="3" t="s">
        <v>2586</v>
      </c>
      <c r="H404" s="3" t="s">
        <v>103</v>
      </c>
      <c r="I404" s="3" t="s">
        <v>1228</v>
      </c>
      <c r="J404" s="3" t="str">
        <f t="shared" ref="J404:J410" si="42">H404&amp;":"&amp;I404</f>
        <v>att_liquid_handler:mosquitoLV</v>
      </c>
      <c r="L404" s="3" t="s">
        <v>1230</v>
      </c>
    </row>
    <row r="405" spans="1:12">
      <c r="C405" s="3" t="s">
        <v>2585</v>
      </c>
      <c r="D405" s="3" t="s">
        <v>1217</v>
      </c>
      <c r="F405" s="3" t="s">
        <v>104</v>
      </c>
      <c r="G405" s="3" t="s">
        <v>2586</v>
      </c>
      <c r="H405" s="3" t="s">
        <v>103</v>
      </c>
      <c r="I405" s="3" t="s">
        <v>1216</v>
      </c>
      <c r="J405" s="3" t="str">
        <f t="shared" si="42"/>
        <v>att_liquid_handler:felix</v>
      </c>
      <c r="L405" s="3" t="s">
        <v>1218</v>
      </c>
    </row>
    <row r="406" spans="1:12">
      <c r="C406" s="3" t="s">
        <v>2585</v>
      </c>
      <c r="D406" s="3" t="s">
        <v>1226</v>
      </c>
      <c r="F406" s="3" t="s">
        <v>104</v>
      </c>
      <c r="G406" s="3" t="s">
        <v>2586</v>
      </c>
      <c r="H406" s="3" t="s">
        <v>103</v>
      </c>
      <c r="I406" s="3" t="s">
        <v>1225</v>
      </c>
      <c r="J406" s="3" t="str">
        <f t="shared" si="42"/>
        <v>att_liquid_handler:mosquitoHV</v>
      </c>
      <c r="L406" s="3" t="s">
        <v>1227</v>
      </c>
    </row>
    <row r="407" spans="1:12">
      <c r="C407" s="3" t="s">
        <v>2585</v>
      </c>
      <c r="D407" s="3" t="s">
        <v>1232</v>
      </c>
      <c r="F407" s="3" t="s">
        <v>104</v>
      </c>
      <c r="G407" s="3" t="s">
        <v>2586</v>
      </c>
      <c r="H407" s="3" t="s">
        <v>103</v>
      </c>
      <c r="I407" s="3" t="s">
        <v>1231</v>
      </c>
      <c r="J407" s="3" t="str">
        <f t="shared" si="42"/>
        <v>att_liquid_handler:opentrons</v>
      </c>
      <c r="L407" s="3" t="s">
        <v>1232</v>
      </c>
    </row>
    <row r="408" spans="1:12">
      <c r="C408" s="3" t="s">
        <v>2585</v>
      </c>
      <c r="D408" s="3" t="s">
        <v>1220</v>
      </c>
      <c r="F408" s="3" t="s">
        <v>104</v>
      </c>
      <c r="G408" s="3" t="s">
        <v>2586</v>
      </c>
      <c r="H408" s="3" t="s">
        <v>103</v>
      </c>
      <c r="I408" s="3" t="s">
        <v>1219</v>
      </c>
      <c r="J408" s="3" t="str">
        <f t="shared" si="42"/>
        <v>att_liquid_handler:kingfisher</v>
      </c>
      <c r="L408" s="3" t="s">
        <v>1221</v>
      </c>
    </row>
    <row r="409" spans="1:12">
      <c r="C409" s="3" t="s">
        <v>2585</v>
      </c>
      <c r="D409" s="3" t="s">
        <v>1214</v>
      </c>
      <c r="F409" s="3" t="s">
        <v>104</v>
      </c>
      <c r="G409" s="3" t="s">
        <v>2586</v>
      </c>
      <c r="H409" s="3" t="s">
        <v>103</v>
      </c>
      <c r="I409" s="3" t="s">
        <v>1213</v>
      </c>
      <c r="J409" s="3" t="str">
        <f t="shared" si="42"/>
        <v>att_liquid_handler:bravo</v>
      </c>
      <c r="L409" s="3" t="s">
        <v>1215</v>
      </c>
    </row>
    <row r="410" spans="1:12">
      <c r="C410" s="3" t="s">
        <v>2585</v>
      </c>
      <c r="D410" s="3" t="s">
        <v>1234</v>
      </c>
      <c r="F410" s="3" t="s">
        <v>104</v>
      </c>
      <c r="G410" s="3" t="s">
        <v>2586</v>
      </c>
      <c r="H410" s="3" t="s">
        <v>103</v>
      </c>
      <c r="I410" s="3" t="s">
        <v>1233</v>
      </c>
      <c r="J410" s="3" t="str">
        <f t="shared" si="42"/>
        <v>att_liquid_handler:tecan</v>
      </c>
      <c r="L410" s="3" t="s">
        <v>1235</v>
      </c>
    </row>
    <row r="412" spans="1:12">
      <c r="C412" s="3" t="s">
        <v>2587</v>
      </c>
      <c r="D412" s="3" t="s">
        <v>949</v>
      </c>
      <c r="F412" s="3" t="s">
        <v>71</v>
      </c>
      <c r="G412" s="3" t="s">
        <v>2588</v>
      </c>
      <c r="H412" s="3" t="s">
        <v>70</v>
      </c>
      <c r="I412" s="3" t="s">
        <v>948</v>
      </c>
      <c r="J412" s="3" t="str">
        <f>H412&amp;":"&amp;I412</f>
        <v>att_digestion_vessel:96well_plate</v>
      </c>
      <c r="L412" s="3" t="s">
        <v>950</v>
      </c>
    </row>
    <row r="413" spans="1:12">
      <c r="C413" s="3" t="s">
        <v>2587</v>
      </c>
      <c r="D413" s="3" t="s">
        <v>947</v>
      </c>
      <c r="F413" s="3" t="s">
        <v>71</v>
      </c>
      <c r="G413" s="3" t="s">
        <v>2588</v>
      </c>
      <c r="H413" s="3" t="s">
        <v>70</v>
      </c>
      <c r="I413" s="3" t="s">
        <v>946</v>
      </c>
      <c r="J413" s="3" t="str">
        <f>H413&amp;":"&amp;I413</f>
        <v>att_digestion_vessel:384well_plate</v>
      </c>
      <c r="L413" s="3" t="s">
        <v>947</v>
      </c>
    </row>
    <row r="414" spans="1:12">
      <c r="C414" s="3" t="s">
        <v>2589</v>
      </c>
      <c r="D414" s="3" t="s">
        <v>957</v>
      </c>
      <c r="F414" s="3" t="s">
        <v>71</v>
      </c>
      <c r="G414" s="3" t="s">
        <v>2588</v>
      </c>
      <c r="H414" s="3" t="s">
        <v>70</v>
      </c>
      <c r="I414" s="3" t="s">
        <v>956</v>
      </c>
      <c r="J414" s="3" t="str">
        <f>H414&amp;":"&amp;I414</f>
        <v>att_digestion_vessel:two_ml_tube</v>
      </c>
      <c r="L414" s="3" t="s">
        <v>958</v>
      </c>
    </row>
    <row r="415" spans="1:12">
      <c r="C415" s="3" t="s">
        <v>2589</v>
      </c>
      <c r="D415" s="3" t="s">
        <v>952</v>
      </c>
      <c r="F415" s="3" t="s">
        <v>71</v>
      </c>
      <c r="G415" s="3" t="s">
        <v>2588</v>
      </c>
      <c r="H415" s="3" t="s">
        <v>70</v>
      </c>
      <c r="I415" s="3" t="s">
        <v>951</v>
      </c>
      <c r="J415" s="3" t="str">
        <f>H415&amp;":"&amp;I415</f>
        <v>att_digestion_vessel:onefive_ml_tube</v>
      </c>
      <c r="L415" s="3" t="s">
        <v>953</v>
      </c>
    </row>
    <row r="417" spans="3:12">
      <c r="C417" s="3" t="s">
        <v>2590</v>
      </c>
      <c r="D417" s="3" t="s">
        <v>2591</v>
      </c>
      <c r="F417" s="3" t="s">
        <v>13</v>
      </c>
      <c r="G417" s="3" t="s">
        <v>2592</v>
      </c>
      <c r="H417" s="3" t="s">
        <v>11</v>
      </c>
      <c r="I417" s="3" t="s">
        <v>188</v>
      </c>
      <c r="J417" s="3" t="str">
        <f t="shared" ref="J417:J435" si="43">H417&amp;":"&amp;I417</f>
        <v>att_aa_starvation:arginine</v>
      </c>
      <c r="L417" s="3" t="s">
        <v>191</v>
      </c>
    </row>
    <row r="418" spans="3:12">
      <c r="C418" s="3" t="s">
        <v>2590</v>
      </c>
      <c r="D418" s="3" t="s">
        <v>2593</v>
      </c>
      <c r="F418" s="3" t="s">
        <v>13</v>
      </c>
      <c r="G418" s="3" t="s">
        <v>2592</v>
      </c>
      <c r="H418" s="3" t="s">
        <v>11</v>
      </c>
      <c r="I418" s="3" t="s">
        <v>192</v>
      </c>
      <c r="J418" s="3" t="str">
        <f t="shared" si="43"/>
        <v>att_aa_starvation:asparagine</v>
      </c>
      <c r="L418" s="3" t="s">
        <v>194</v>
      </c>
    </row>
    <row r="419" spans="3:12">
      <c r="C419" s="3" t="s">
        <v>2590</v>
      </c>
      <c r="D419" s="3" t="s">
        <v>2594</v>
      </c>
      <c r="F419" s="3" t="s">
        <v>13</v>
      </c>
      <c r="G419" s="3" t="s">
        <v>2592</v>
      </c>
      <c r="H419" s="3" t="s">
        <v>11</v>
      </c>
      <c r="I419" s="3" t="s">
        <v>195</v>
      </c>
      <c r="J419" s="3" t="str">
        <f t="shared" si="43"/>
        <v>att_aa_starvation:asparticacid</v>
      </c>
      <c r="L419" s="3" t="s">
        <v>197</v>
      </c>
    </row>
    <row r="420" spans="3:12">
      <c r="C420" s="3" t="s">
        <v>2590</v>
      </c>
      <c r="D420" s="3" t="s">
        <v>2595</v>
      </c>
      <c r="F420" s="3" t="s">
        <v>13</v>
      </c>
      <c r="G420" s="3" t="s">
        <v>2592</v>
      </c>
      <c r="H420" s="3" t="s">
        <v>11</v>
      </c>
      <c r="I420" s="3" t="s">
        <v>198</v>
      </c>
      <c r="J420" s="3" t="str">
        <f t="shared" si="43"/>
        <v>att_aa_starvation:cysteine</v>
      </c>
      <c r="L420" s="3" t="s">
        <v>200</v>
      </c>
    </row>
    <row r="421" spans="3:12">
      <c r="C421" s="3" t="s">
        <v>2590</v>
      </c>
      <c r="D421" s="3" t="s">
        <v>2596</v>
      </c>
      <c r="F421" s="3" t="s">
        <v>13</v>
      </c>
      <c r="G421" s="3" t="s">
        <v>2592</v>
      </c>
      <c r="H421" s="3" t="s">
        <v>11</v>
      </c>
      <c r="I421" s="3" t="s">
        <v>201</v>
      </c>
      <c r="J421" s="3" t="str">
        <f t="shared" si="43"/>
        <v>att_aa_starvation:glutamicacid</v>
      </c>
      <c r="L421" s="3" t="s">
        <v>203</v>
      </c>
    </row>
    <row r="422" spans="3:12">
      <c r="C422" s="3" t="s">
        <v>2590</v>
      </c>
      <c r="D422" s="3" t="s">
        <v>2597</v>
      </c>
      <c r="F422" s="3" t="s">
        <v>13</v>
      </c>
      <c r="G422" s="3" t="s">
        <v>2592</v>
      </c>
      <c r="H422" s="3" t="s">
        <v>11</v>
      </c>
      <c r="I422" s="3" t="s">
        <v>204</v>
      </c>
      <c r="J422" s="3" t="str">
        <f t="shared" si="43"/>
        <v>att_aa_starvation:glutamine</v>
      </c>
      <c r="L422" s="3" t="s">
        <v>206</v>
      </c>
    </row>
    <row r="423" spans="3:12">
      <c r="C423" s="3" t="s">
        <v>2590</v>
      </c>
      <c r="D423" s="3" t="s">
        <v>2598</v>
      </c>
      <c r="F423" s="3" t="s">
        <v>13</v>
      </c>
      <c r="G423" s="3" t="s">
        <v>2592</v>
      </c>
      <c r="H423" s="3" t="s">
        <v>11</v>
      </c>
      <c r="I423" s="3" t="s">
        <v>207</v>
      </c>
      <c r="J423" s="3" t="str">
        <f t="shared" si="43"/>
        <v>att_aa_starvation:glycine</v>
      </c>
      <c r="L423" s="3" t="s">
        <v>209</v>
      </c>
    </row>
    <row r="424" spans="3:12">
      <c r="C424" s="3" t="s">
        <v>2590</v>
      </c>
      <c r="D424" s="3" t="s">
        <v>2599</v>
      </c>
      <c r="F424" s="3" t="s">
        <v>13</v>
      </c>
      <c r="G424" s="3" t="s">
        <v>2592</v>
      </c>
      <c r="H424" s="3" t="s">
        <v>11</v>
      </c>
      <c r="I424" s="3" t="s">
        <v>210</v>
      </c>
      <c r="J424" s="3" t="str">
        <f t="shared" si="43"/>
        <v>att_aa_starvation:histidine</v>
      </c>
      <c r="L424" s="3" t="s">
        <v>212</v>
      </c>
    </row>
    <row r="425" spans="3:12">
      <c r="C425" s="3" t="s">
        <v>2590</v>
      </c>
      <c r="D425" s="3" t="s">
        <v>2600</v>
      </c>
      <c r="F425" s="3" t="s">
        <v>13</v>
      </c>
      <c r="G425" s="3" t="s">
        <v>2592</v>
      </c>
      <c r="H425" s="3" t="s">
        <v>11</v>
      </c>
      <c r="I425" s="3" t="s">
        <v>213</v>
      </c>
      <c r="J425" s="3" t="str">
        <f t="shared" si="43"/>
        <v>att_aa_starvation:isoleucine</v>
      </c>
      <c r="L425" s="3" t="s">
        <v>215</v>
      </c>
    </row>
    <row r="426" spans="3:12">
      <c r="C426" s="3" t="s">
        <v>2590</v>
      </c>
      <c r="D426" s="3" t="s">
        <v>2601</v>
      </c>
      <c r="F426" s="3" t="s">
        <v>13</v>
      </c>
      <c r="G426" s="3" t="s">
        <v>2592</v>
      </c>
      <c r="H426" s="3" t="s">
        <v>11</v>
      </c>
      <c r="I426" s="3" t="s">
        <v>216</v>
      </c>
      <c r="J426" s="3" t="str">
        <f t="shared" si="43"/>
        <v>att_aa_starvation:leucine</v>
      </c>
      <c r="L426" s="3" t="s">
        <v>218</v>
      </c>
    </row>
    <row r="427" spans="3:12">
      <c r="C427" s="3" t="s">
        <v>2590</v>
      </c>
      <c r="D427" s="3" t="s">
        <v>2602</v>
      </c>
      <c r="F427" s="3" t="s">
        <v>13</v>
      </c>
      <c r="G427" s="3" t="s">
        <v>2592</v>
      </c>
      <c r="H427" s="3" t="s">
        <v>11</v>
      </c>
      <c r="I427" s="3" t="s">
        <v>219</v>
      </c>
      <c r="J427" s="3" t="str">
        <f t="shared" si="43"/>
        <v>att_aa_starvation:lysine</v>
      </c>
      <c r="L427" s="3" t="s">
        <v>221</v>
      </c>
    </row>
    <row r="428" spans="3:12">
      <c r="C428" s="3" t="s">
        <v>2590</v>
      </c>
      <c r="D428" s="3" t="s">
        <v>2603</v>
      </c>
      <c r="F428" s="3" t="s">
        <v>13</v>
      </c>
      <c r="G428" s="3" t="s">
        <v>2592</v>
      </c>
      <c r="H428" s="3" t="s">
        <v>11</v>
      </c>
      <c r="I428" s="3" t="s">
        <v>222</v>
      </c>
      <c r="J428" s="3" t="str">
        <f t="shared" si="43"/>
        <v>att_aa_starvation:methionine</v>
      </c>
      <c r="L428" s="3" t="s">
        <v>224</v>
      </c>
    </row>
    <row r="429" spans="3:12">
      <c r="C429" s="3" t="s">
        <v>2590</v>
      </c>
      <c r="D429" s="3" t="s">
        <v>2604</v>
      </c>
      <c r="F429" s="3" t="s">
        <v>13</v>
      </c>
      <c r="G429" s="3" t="s">
        <v>2592</v>
      </c>
      <c r="H429" s="3" t="s">
        <v>11</v>
      </c>
      <c r="I429" s="3" t="s">
        <v>225</v>
      </c>
      <c r="J429" s="3" t="str">
        <f t="shared" si="43"/>
        <v>att_aa_starvation:phenylalanine</v>
      </c>
      <c r="L429" s="3" t="s">
        <v>227</v>
      </c>
    </row>
    <row r="430" spans="3:12">
      <c r="C430" s="3" t="s">
        <v>2590</v>
      </c>
      <c r="D430" s="3" t="s">
        <v>2605</v>
      </c>
      <c r="F430" s="3" t="s">
        <v>13</v>
      </c>
      <c r="G430" s="3" t="s">
        <v>2592</v>
      </c>
      <c r="H430" s="3" t="s">
        <v>11</v>
      </c>
      <c r="I430" s="3" t="s">
        <v>228</v>
      </c>
      <c r="J430" s="3" t="str">
        <f t="shared" si="43"/>
        <v>att_aa_starvation:proline</v>
      </c>
      <c r="L430" s="3" t="s">
        <v>230</v>
      </c>
    </row>
    <row r="431" spans="3:12">
      <c r="C431" s="3" t="s">
        <v>2590</v>
      </c>
      <c r="D431" s="3" t="s">
        <v>2606</v>
      </c>
      <c r="F431" s="3" t="s">
        <v>13</v>
      </c>
      <c r="G431" s="3" t="s">
        <v>2592</v>
      </c>
      <c r="H431" s="3" t="s">
        <v>11</v>
      </c>
      <c r="I431" s="3" t="s">
        <v>231</v>
      </c>
      <c r="J431" s="3" t="str">
        <f t="shared" si="43"/>
        <v>att_aa_starvation:serine</v>
      </c>
      <c r="L431" s="3" t="s">
        <v>233</v>
      </c>
    </row>
    <row r="432" spans="3:12">
      <c r="C432" s="3" t="s">
        <v>2590</v>
      </c>
      <c r="D432" s="3" t="s">
        <v>2607</v>
      </c>
      <c r="F432" s="3" t="s">
        <v>13</v>
      </c>
      <c r="G432" s="3" t="s">
        <v>2592</v>
      </c>
      <c r="H432" s="3" t="s">
        <v>11</v>
      </c>
      <c r="I432" s="3" t="s">
        <v>234</v>
      </c>
      <c r="J432" s="3" t="str">
        <f t="shared" si="43"/>
        <v>att_aa_starvation:threonine</v>
      </c>
      <c r="L432" s="3" t="s">
        <v>236</v>
      </c>
    </row>
    <row r="433" spans="1:15">
      <c r="C433" s="3" t="s">
        <v>2590</v>
      </c>
      <c r="D433" s="3" t="s">
        <v>2608</v>
      </c>
      <c r="F433" s="3" t="s">
        <v>13</v>
      </c>
      <c r="G433" s="3" t="s">
        <v>2592</v>
      </c>
      <c r="H433" s="3" t="s">
        <v>11</v>
      </c>
      <c r="I433" s="3" t="s">
        <v>237</v>
      </c>
      <c r="J433" s="3" t="str">
        <f t="shared" si="43"/>
        <v>att_aa_starvation:tryptophan</v>
      </c>
      <c r="L433" s="3" t="s">
        <v>239</v>
      </c>
    </row>
    <row r="434" spans="1:15">
      <c r="C434" s="3" t="s">
        <v>2590</v>
      </c>
      <c r="D434" s="3" t="s">
        <v>2609</v>
      </c>
      <c r="F434" s="3" t="s">
        <v>13</v>
      </c>
      <c r="G434" s="3" t="s">
        <v>2592</v>
      </c>
      <c r="H434" s="3" t="s">
        <v>11</v>
      </c>
      <c r="I434" s="3" t="s">
        <v>240</v>
      </c>
      <c r="J434" s="3" t="str">
        <f t="shared" si="43"/>
        <v>att_aa_starvation:tyrosine</v>
      </c>
      <c r="L434" s="3" t="s">
        <v>242</v>
      </c>
    </row>
    <row r="435" spans="1:15">
      <c r="C435" s="3" t="s">
        <v>2590</v>
      </c>
      <c r="D435" s="3" t="s">
        <v>2610</v>
      </c>
      <c r="F435" s="3" t="s">
        <v>13</v>
      </c>
      <c r="G435" s="3" t="s">
        <v>2592</v>
      </c>
      <c r="H435" s="3" t="s">
        <v>11</v>
      </c>
      <c r="I435" s="3" t="s">
        <v>243</v>
      </c>
      <c r="J435" s="3" t="str">
        <f t="shared" si="43"/>
        <v>att_aa_starvation:valine</v>
      </c>
      <c r="L435" s="3" t="s">
        <v>245</v>
      </c>
    </row>
    <row r="439" spans="1:15">
      <c r="A439" s="7" t="b">
        <f>FALSE()</f>
        <v>0</v>
      </c>
      <c r="B439" s="7"/>
      <c r="C439" s="3" t="s">
        <v>684</v>
      </c>
      <c r="D439" s="3" t="s">
        <v>685</v>
      </c>
      <c r="E439" s="3" t="s">
        <v>12</v>
      </c>
      <c r="F439" s="3" t="s">
        <v>2422</v>
      </c>
      <c r="G439" s="3" t="s">
        <v>2423</v>
      </c>
      <c r="H439" s="3" t="str">
        <f t="shared" ref="H439:H448" si="44">"att_"&amp;G439</f>
        <v>att_compound</v>
      </c>
      <c r="I439" s="3" t="s">
        <v>684</v>
      </c>
      <c r="J439" s="3" t="str">
        <f t="shared" ref="J439:J448" si="45">H439&amp;":"&amp;I439</f>
        <v>att_compound:torin</v>
      </c>
      <c r="K439" s="6" t="s">
        <v>16</v>
      </c>
      <c r="L439" s="3" t="s">
        <v>686</v>
      </c>
      <c r="M439" s="3" t="s">
        <v>12</v>
      </c>
      <c r="N439" s="3"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3"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c r="A440" s="7" t="b">
        <f>FALSE()</f>
        <v>0</v>
      </c>
      <c r="B440" s="7"/>
      <c r="C440" s="3" t="s">
        <v>676</v>
      </c>
      <c r="D440" s="3" t="s">
        <v>677</v>
      </c>
      <c r="E440" s="3" t="s">
        <v>12</v>
      </c>
      <c r="F440" s="3" t="s">
        <v>2422</v>
      </c>
      <c r="G440" s="3" t="s">
        <v>2423</v>
      </c>
      <c r="H440" s="3" t="str">
        <f t="shared" si="44"/>
        <v>att_compound</v>
      </c>
      <c r="I440" s="3" t="s">
        <v>676</v>
      </c>
      <c r="J440" s="3" t="str">
        <f t="shared" si="45"/>
        <v>att_compound:rapamycin</v>
      </c>
      <c r="K440" s="3" t="b">
        <f>TRUE()</f>
        <v>1</v>
      </c>
      <c r="L440" s="3" t="s">
        <v>678</v>
      </c>
    </row>
    <row r="441" spans="1:15">
      <c r="C441" s="3" t="s">
        <v>637</v>
      </c>
      <c r="D441" s="3" t="s">
        <v>638</v>
      </c>
      <c r="E441" s="3" t="s">
        <v>12</v>
      </c>
      <c r="F441" s="3" t="s">
        <v>2422</v>
      </c>
      <c r="G441" s="3" t="s">
        <v>2423</v>
      </c>
      <c r="H441" s="3" t="str">
        <f t="shared" si="44"/>
        <v>att_compound</v>
      </c>
      <c r="I441" s="3" t="s">
        <v>637</v>
      </c>
      <c r="J441" s="3" t="str">
        <f t="shared" si="45"/>
        <v>att_compound:antimycin</v>
      </c>
      <c r="K441" s="3" t="b">
        <f>TRUE()</f>
        <v>1</v>
      </c>
      <c r="L441" s="3" t="s">
        <v>639</v>
      </c>
    </row>
    <row r="442" spans="1:15">
      <c r="C442" s="3" t="s">
        <v>673</v>
      </c>
      <c r="D442" s="3" t="s">
        <v>674</v>
      </c>
      <c r="E442" s="3" t="s">
        <v>12</v>
      </c>
      <c r="F442" s="3" t="s">
        <v>2422</v>
      </c>
      <c r="G442" s="3" t="s">
        <v>2423</v>
      </c>
      <c r="H442" s="3" t="str">
        <f t="shared" si="44"/>
        <v>att_compound</v>
      </c>
      <c r="I442" s="3" t="s">
        <v>673</v>
      </c>
      <c r="J442" s="3" t="str">
        <f t="shared" si="45"/>
        <v>att_compound:oligomycin</v>
      </c>
      <c r="K442" s="3" t="b">
        <f>TRUE()</f>
        <v>1</v>
      </c>
      <c r="L442" s="3" t="s">
        <v>675</v>
      </c>
    </row>
    <row r="443" spans="1:15">
      <c r="C443" s="3" t="s">
        <v>670</v>
      </c>
      <c r="D443" s="3" t="s">
        <v>671</v>
      </c>
      <c r="E443" s="3" t="s">
        <v>12</v>
      </c>
      <c r="F443" s="3" t="s">
        <v>2422</v>
      </c>
      <c r="G443" s="3" t="s">
        <v>2423</v>
      </c>
      <c r="H443" s="3" t="str">
        <f t="shared" si="44"/>
        <v>att_compound</v>
      </c>
      <c r="I443" s="3" t="s">
        <v>670</v>
      </c>
      <c r="J443" s="3" t="str">
        <f t="shared" si="45"/>
        <v>att_compound:hydroxyurea</v>
      </c>
      <c r="K443" s="3" t="b">
        <f>TRUE()</f>
        <v>1</v>
      </c>
      <c r="L443" s="3" t="s">
        <v>672</v>
      </c>
    </row>
    <row r="444" spans="1:15">
      <c r="C444" s="3" t="s">
        <v>2611</v>
      </c>
      <c r="D444" s="3" t="s">
        <v>633</v>
      </c>
      <c r="E444" s="3" t="s">
        <v>12</v>
      </c>
      <c r="F444" s="3" t="s">
        <v>2422</v>
      </c>
      <c r="G444" s="3" t="s">
        <v>2423</v>
      </c>
      <c r="H444" s="3" t="str">
        <f t="shared" si="44"/>
        <v>att_compound</v>
      </c>
      <c r="I444" s="3" t="s">
        <v>2611</v>
      </c>
      <c r="J444" s="3" t="str">
        <f t="shared" si="45"/>
        <v xml:space="preserve">att_compound:5-fluorouracil </v>
      </c>
      <c r="K444" s="3" t="b">
        <f>TRUE()</f>
        <v>1</v>
      </c>
      <c r="L444" s="3" t="s">
        <v>634</v>
      </c>
    </row>
    <row r="445" spans="1:15">
      <c r="C445" s="3" t="s">
        <v>2612</v>
      </c>
      <c r="D445" s="3" t="s">
        <v>2613</v>
      </c>
      <c r="E445" s="3" t="s">
        <v>12</v>
      </c>
      <c r="F445" s="3" t="s">
        <v>2422</v>
      </c>
      <c r="G445" s="3" t="s">
        <v>2423</v>
      </c>
      <c r="H445" s="3" t="str">
        <f t="shared" si="44"/>
        <v>att_compound</v>
      </c>
      <c r="I445" s="3" t="s">
        <v>2612</v>
      </c>
      <c r="J445" s="3" t="str">
        <f t="shared" si="45"/>
        <v xml:space="preserve">att_compound:etoposide </v>
      </c>
      <c r="K445" s="3" t="b">
        <f>TRUE()</f>
        <v>1</v>
      </c>
      <c r="L445" s="3" t="s">
        <v>2614</v>
      </c>
    </row>
    <row r="446" spans="1:15">
      <c r="C446" s="3" t="s">
        <v>679</v>
      </c>
      <c r="D446" s="3" t="s">
        <v>680</v>
      </c>
      <c r="E446" s="3" t="s">
        <v>12</v>
      </c>
      <c r="F446" s="3" t="s">
        <v>2422</v>
      </c>
      <c r="G446" s="3" t="s">
        <v>2423</v>
      </c>
      <c r="H446" s="3" t="str">
        <f t="shared" si="44"/>
        <v>att_compound</v>
      </c>
      <c r="I446" s="3" t="s">
        <v>679</v>
      </c>
      <c r="J446" s="3" t="str">
        <f t="shared" si="45"/>
        <v>att_compound:rotenone</v>
      </c>
      <c r="K446" s="3" t="b">
        <f>TRUE()</f>
        <v>1</v>
      </c>
      <c r="L446" s="3" t="s">
        <v>681</v>
      </c>
    </row>
    <row r="447" spans="1:15">
      <c r="C447" s="3" t="s">
        <v>647</v>
      </c>
      <c r="D447" s="3" t="s">
        <v>648</v>
      </c>
      <c r="E447" s="3" t="s">
        <v>12</v>
      </c>
      <c r="F447" s="3" t="s">
        <v>2422</v>
      </c>
      <c r="G447" s="3" t="s">
        <v>2423</v>
      </c>
      <c r="H447" s="3" t="str">
        <f t="shared" si="44"/>
        <v>att_compound</v>
      </c>
      <c r="I447" s="3" t="s">
        <v>647</v>
      </c>
      <c r="J447" s="3" t="str">
        <f t="shared" si="45"/>
        <v>att_compound:cccp</v>
      </c>
      <c r="K447" s="3" t="b">
        <f>TRUE()</f>
        <v>1</v>
      </c>
      <c r="L447" s="3" t="s">
        <v>649</v>
      </c>
    </row>
    <row r="448" spans="1:15">
      <c r="C448" s="3" t="s">
        <v>664</v>
      </c>
      <c r="D448" s="3" t="s">
        <v>665</v>
      </c>
      <c r="E448" s="3" t="s">
        <v>12</v>
      </c>
      <c r="F448" s="3" t="s">
        <v>2422</v>
      </c>
      <c r="G448" s="3" t="s">
        <v>2423</v>
      </c>
      <c r="H448" s="3" t="str">
        <f t="shared" si="44"/>
        <v>att_compound</v>
      </c>
      <c r="I448" s="3" t="s">
        <v>664</v>
      </c>
      <c r="J448" s="3" t="str">
        <f t="shared" si="45"/>
        <v>att_compound:fccp</v>
      </c>
      <c r="K448" s="3" t="b">
        <f>TRUE()</f>
        <v>1</v>
      </c>
      <c r="L448" s="3" t="s">
        <v>666</v>
      </c>
    </row>
    <row r="451" spans="3:12">
      <c r="C451" s="3" t="s">
        <v>1184</v>
      </c>
      <c r="D451" s="3" t="s">
        <v>1185</v>
      </c>
      <c r="F451" s="3" t="s">
        <v>101</v>
      </c>
      <c r="G451" s="3" t="s">
        <v>2615</v>
      </c>
      <c r="H451" s="3" t="str">
        <f t="shared" ref="H451:H459" si="46">"att_"&amp;G451</f>
        <v>att_knockdown_technique</v>
      </c>
      <c r="I451" s="3" t="s">
        <v>1184</v>
      </c>
      <c r="J451" s="3" t="str">
        <f t="shared" ref="J451:J459" si="47">H451&amp;":"&amp;I451</f>
        <v>att_knockdown_technique:sirna</v>
      </c>
      <c r="K451" s="3" t="b">
        <f>TRUE()</f>
        <v>1</v>
      </c>
      <c r="L451" s="3" t="s">
        <v>1186</v>
      </c>
    </row>
    <row r="452" spans="3:12">
      <c r="C452" s="3" t="s">
        <v>1175</v>
      </c>
      <c r="D452" s="3" t="s">
        <v>1176</v>
      </c>
      <c r="F452" s="3" t="s">
        <v>101</v>
      </c>
      <c r="G452" s="3" t="s">
        <v>2615</v>
      </c>
      <c r="H452" s="3" t="str">
        <f t="shared" si="46"/>
        <v>att_knockdown_technique</v>
      </c>
      <c r="I452" s="3" t="s">
        <v>1175</v>
      </c>
      <c r="J452" s="3" t="str">
        <f t="shared" si="47"/>
        <v>att_knockdown_technique:grna</v>
      </c>
      <c r="K452" s="3" t="b">
        <f>TRUE()</f>
        <v>1</v>
      </c>
      <c r="L452" s="3" t="s">
        <v>1177</v>
      </c>
    </row>
    <row r="453" spans="3:12">
      <c r="C453" s="3" t="s">
        <v>1181</v>
      </c>
      <c r="D453" s="3" t="s">
        <v>1182</v>
      </c>
      <c r="F453" s="3" t="s">
        <v>101</v>
      </c>
      <c r="G453" s="3" t="s">
        <v>2615</v>
      </c>
      <c r="H453" s="3" t="str">
        <f t="shared" si="46"/>
        <v>att_knockdown_technique</v>
      </c>
      <c r="I453" s="3" t="s">
        <v>1181</v>
      </c>
      <c r="J453" s="3" t="str">
        <f t="shared" si="47"/>
        <v>att_knockdown_technique:shrna</v>
      </c>
      <c r="K453" s="3" t="b">
        <f>TRUE()</f>
        <v>1</v>
      </c>
      <c r="L453" s="3" t="s">
        <v>1183</v>
      </c>
    </row>
    <row r="454" spans="3:12">
      <c r="C454" s="3" t="s">
        <v>1178</v>
      </c>
      <c r="D454" s="3" t="s">
        <v>1179</v>
      </c>
      <c r="F454" s="3" t="s">
        <v>101</v>
      </c>
      <c r="G454" s="3" t="s">
        <v>2615</v>
      </c>
      <c r="H454" s="3" t="str">
        <f t="shared" si="46"/>
        <v>att_knockdown_technique</v>
      </c>
      <c r="I454" s="3" t="s">
        <v>1178</v>
      </c>
      <c r="J454" s="3" t="str">
        <f t="shared" si="47"/>
        <v>att_knockdown_technique:mirna</v>
      </c>
      <c r="L454" s="3" t="s">
        <v>1180</v>
      </c>
    </row>
    <row r="455" spans="3:12">
      <c r="C455" s="3" t="s">
        <v>1162</v>
      </c>
      <c r="D455" s="3" t="s">
        <v>1163</v>
      </c>
      <c r="F455" s="3" t="s">
        <v>2616</v>
      </c>
      <c r="G455" s="3" t="s">
        <v>2617</v>
      </c>
      <c r="H455" s="3" t="str">
        <f t="shared" si="46"/>
        <v>att_gene_engineering</v>
      </c>
      <c r="I455" s="3" t="s">
        <v>1162</v>
      </c>
      <c r="J455" s="3" t="str">
        <f t="shared" si="47"/>
        <v>att_gene_engineering:ko</v>
      </c>
      <c r="L455" s="3" t="s">
        <v>1164</v>
      </c>
    </row>
    <row r="456" spans="3:12">
      <c r="C456" s="3" t="s">
        <v>2618</v>
      </c>
      <c r="D456" s="3" t="s">
        <v>1160</v>
      </c>
      <c r="F456" s="3" t="s">
        <v>2616</v>
      </c>
      <c r="G456" s="3" t="s">
        <v>2617</v>
      </c>
      <c r="H456" s="3" t="str">
        <f t="shared" si="46"/>
        <v>att_gene_engineering</v>
      </c>
      <c r="I456" s="3" t="s">
        <v>1159</v>
      </c>
      <c r="J456" s="3" t="str">
        <f t="shared" si="47"/>
        <v>att_gene_engineering:knockin</v>
      </c>
      <c r="L456" s="3" t="s">
        <v>1161</v>
      </c>
    </row>
    <row r="457" spans="3:12">
      <c r="C457" s="3" t="s">
        <v>1153</v>
      </c>
      <c r="D457" s="3" t="s">
        <v>1154</v>
      </c>
      <c r="F457" s="3" t="s">
        <v>2616</v>
      </c>
      <c r="G457" s="3" t="s">
        <v>2617</v>
      </c>
      <c r="H457" s="3" t="str">
        <f t="shared" si="46"/>
        <v>att_gene_engineering</v>
      </c>
      <c r="I457" s="3" t="s">
        <v>1153</v>
      </c>
      <c r="J457" s="3" t="str">
        <f t="shared" si="47"/>
        <v>att_gene_engineering:deletion</v>
      </c>
      <c r="L457" s="3" t="s">
        <v>1155</v>
      </c>
    </row>
    <row r="458" spans="3:12">
      <c r="C458" s="3" t="s">
        <v>1157</v>
      </c>
      <c r="D458" s="3" t="s">
        <v>1157</v>
      </c>
      <c r="F458" s="3" t="s">
        <v>2616</v>
      </c>
      <c r="G458" s="3" t="s">
        <v>2617</v>
      </c>
      <c r="H458" s="3" t="str">
        <f t="shared" si="46"/>
        <v>att_gene_engineering</v>
      </c>
      <c r="I458" s="3" t="s">
        <v>1156</v>
      </c>
      <c r="J458" s="3" t="str">
        <f t="shared" si="47"/>
        <v>att_gene_engineering:inducible_expression</v>
      </c>
      <c r="L458" s="3" t="s">
        <v>1158</v>
      </c>
    </row>
    <row r="459" spans="3:12">
      <c r="C459" s="3" t="s">
        <v>2619</v>
      </c>
      <c r="D459" s="3" t="s">
        <v>1166</v>
      </c>
      <c r="F459" s="3" t="s">
        <v>2616</v>
      </c>
      <c r="G459" s="3" t="s">
        <v>2617</v>
      </c>
      <c r="H459" s="3" t="str">
        <f t="shared" si="46"/>
        <v>att_gene_engineering</v>
      </c>
      <c r="I459" s="3" t="s">
        <v>1165</v>
      </c>
      <c r="J459" s="3" t="str">
        <f t="shared" si="47"/>
        <v>att_gene_engineering:stable_expression</v>
      </c>
      <c r="L459" s="3" t="s">
        <v>1167</v>
      </c>
    </row>
    <row r="461" spans="3:12">
      <c r="C461" s="3" t="s">
        <v>1138</v>
      </c>
      <c r="D461" s="3" t="s">
        <v>1139</v>
      </c>
      <c r="F461" s="3" t="s">
        <v>2620</v>
      </c>
      <c r="G461" s="3" t="s">
        <v>2621</v>
      </c>
      <c r="H461" s="3" t="str">
        <f t="shared" ref="H461:H476" si="48">"att_"&amp;G461</f>
        <v>att_gene_editing_method</v>
      </c>
      <c r="I461" s="3" t="s">
        <v>1138</v>
      </c>
      <c r="J461" s="3" t="str">
        <f t="shared" ref="J461:J476" si="49">H461&amp;":"&amp;I461</f>
        <v>att_gene_editing_method:crispr</v>
      </c>
      <c r="L461" s="3" t="s">
        <v>1140</v>
      </c>
    </row>
    <row r="462" spans="3:12">
      <c r="C462" s="3" t="s">
        <v>2622</v>
      </c>
      <c r="D462" s="3" t="s">
        <v>1142</v>
      </c>
      <c r="F462" s="3" t="s">
        <v>2620</v>
      </c>
      <c r="G462" s="3" t="s">
        <v>2621</v>
      </c>
      <c r="H462" s="3" t="str">
        <f t="shared" si="48"/>
        <v>att_gene_editing_method</v>
      </c>
      <c r="I462" s="3" t="s">
        <v>2623</v>
      </c>
      <c r="J462" s="3" t="str">
        <f t="shared" si="49"/>
        <v>att_gene_editing_method:crispr-hdr</v>
      </c>
      <c r="L462" s="3" t="s">
        <v>1143</v>
      </c>
    </row>
    <row r="463" spans="3:12">
      <c r="C463" s="3" t="s">
        <v>2624</v>
      </c>
      <c r="D463" s="3" t="s">
        <v>1136</v>
      </c>
      <c r="F463" s="3" t="s">
        <v>2620</v>
      </c>
      <c r="G463" s="3" t="s">
        <v>2621</v>
      </c>
      <c r="H463" s="3" t="str">
        <f t="shared" si="48"/>
        <v>att_gene_editing_method</v>
      </c>
      <c r="I463" s="3" t="s">
        <v>1135</v>
      </c>
      <c r="J463" s="3" t="str">
        <f t="shared" si="49"/>
        <v>att_gene_editing_method:biggybac</v>
      </c>
      <c r="L463" s="3" t="s">
        <v>1137</v>
      </c>
    </row>
    <row r="464" spans="3:12">
      <c r="C464" s="3" t="s">
        <v>2625</v>
      </c>
      <c r="D464" s="3" t="s">
        <v>1145</v>
      </c>
      <c r="F464" s="3" t="s">
        <v>2620</v>
      </c>
      <c r="G464" s="3" t="s">
        <v>2621</v>
      </c>
      <c r="H464" s="3" t="str">
        <f t="shared" si="48"/>
        <v>att_gene_editing_method</v>
      </c>
      <c r="I464" s="3" t="s">
        <v>1144</v>
      </c>
      <c r="J464" s="3" t="str">
        <f t="shared" si="49"/>
        <v>att_gene_editing_method:lentiviral</v>
      </c>
      <c r="L464" s="3" t="s">
        <v>1146</v>
      </c>
    </row>
    <row r="465" spans="3:12">
      <c r="C465" s="3" t="s">
        <v>2626</v>
      </c>
      <c r="D465" s="3" t="s">
        <v>1148</v>
      </c>
      <c r="F465" s="3" t="s">
        <v>2620</v>
      </c>
      <c r="G465" s="3" t="s">
        <v>2621</v>
      </c>
      <c r="H465" s="3" t="str">
        <f t="shared" si="48"/>
        <v>att_gene_editing_method</v>
      </c>
      <c r="I465" s="3" t="s">
        <v>1147</v>
      </c>
      <c r="J465" s="3" t="str">
        <f t="shared" si="49"/>
        <v>att_gene_editing_method:talen</v>
      </c>
      <c r="L465" s="3" t="s">
        <v>1149</v>
      </c>
    </row>
    <row r="466" spans="3:12">
      <c r="C466" s="3" t="s">
        <v>2627</v>
      </c>
      <c r="D466" s="3" t="s">
        <v>1151</v>
      </c>
      <c r="F466" s="3" t="s">
        <v>2620</v>
      </c>
      <c r="G466" s="3" t="s">
        <v>2621</v>
      </c>
      <c r="H466" s="3" t="str">
        <f t="shared" si="48"/>
        <v>att_gene_editing_method</v>
      </c>
      <c r="I466" s="3" t="s">
        <v>1150</v>
      </c>
      <c r="J466" s="3" t="str">
        <f t="shared" si="49"/>
        <v>att_gene_editing_method:zincfinger</v>
      </c>
      <c r="L466" s="3" t="s">
        <v>1152</v>
      </c>
    </row>
    <row r="467" spans="3:12">
      <c r="C467" s="3" t="s">
        <v>2628</v>
      </c>
      <c r="D467" s="3" t="s">
        <v>2160</v>
      </c>
      <c r="F467" s="3" t="s">
        <v>2629</v>
      </c>
      <c r="G467" s="3" t="s">
        <v>2630</v>
      </c>
      <c r="H467" s="3" t="str">
        <f t="shared" si="48"/>
        <v>att_protein_mutation</v>
      </c>
      <c r="I467" s="3" t="s">
        <v>2159</v>
      </c>
      <c r="J467" s="3" t="str">
        <f t="shared" si="49"/>
        <v>att_protein_mutation:frameshift</v>
      </c>
      <c r="L467" s="3" t="s">
        <v>2161</v>
      </c>
    </row>
    <row r="468" spans="3:12">
      <c r="C468" s="3" t="s">
        <v>2631</v>
      </c>
      <c r="D468" s="3" t="s">
        <v>2180</v>
      </c>
      <c r="F468" s="3" t="s">
        <v>2629</v>
      </c>
      <c r="G468" s="3" t="s">
        <v>2630</v>
      </c>
      <c r="H468" s="3" t="str">
        <f t="shared" si="48"/>
        <v>att_protein_mutation</v>
      </c>
      <c r="I468" s="3" t="s">
        <v>2179</v>
      </c>
      <c r="J468" s="3" t="str">
        <f t="shared" si="49"/>
        <v>att_protein_mutation:substitution</v>
      </c>
      <c r="L468" s="3" t="s">
        <v>2181</v>
      </c>
    </row>
    <row r="469" spans="3:12">
      <c r="C469" s="3" t="s">
        <v>2632</v>
      </c>
      <c r="D469" s="3" t="s">
        <v>2154</v>
      </c>
      <c r="F469" s="3" t="s">
        <v>2629</v>
      </c>
      <c r="G469" s="3" t="s">
        <v>2630</v>
      </c>
      <c r="H469" s="3" t="str">
        <f t="shared" si="48"/>
        <v>att_protein_mutation</v>
      </c>
      <c r="I469" s="3" t="s">
        <v>1153</v>
      </c>
      <c r="J469" s="3" t="str">
        <f t="shared" si="49"/>
        <v>att_protein_mutation:deletion</v>
      </c>
      <c r="L469" s="3" t="s">
        <v>2155</v>
      </c>
    </row>
    <row r="470" spans="3:12">
      <c r="C470" s="3" t="s">
        <v>2171</v>
      </c>
      <c r="D470" s="3" t="s">
        <v>2172</v>
      </c>
      <c r="F470" s="3" t="s">
        <v>2629</v>
      </c>
      <c r="G470" s="3" t="s">
        <v>2630</v>
      </c>
      <c r="H470" s="3" t="str">
        <f t="shared" si="48"/>
        <v>att_protein_mutation</v>
      </c>
      <c r="I470" s="3" t="s">
        <v>2171</v>
      </c>
      <c r="J470" s="3" t="str">
        <f t="shared" si="49"/>
        <v>att_protein_mutation:insertion</v>
      </c>
      <c r="L470" s="3" t="s">
        <v>2173</v>
      </c>
    </row>
    <row r="471" spans="3:12">
      <c r="C471" s="3" t="s">
        <v>2633</v>
      </c>
      <c r="D471" s="3" t="s">
        <v>2183</v>
      </c>
      <c r="F471" s="3" t="s">
        <v>2629</v>
      </c>
      <c r="G471" s="3" t="s">
        <v>2630</v>
      </c>
      <c r="H471" s="3" t="str">
        <f t="shared" si="48"/>
        <v>att_protein_mutation</v>
      </c>
      <c r="I471" s="3" t="s">
        <v>2182</v>
      </c>
      <c r="J471" s="3" t="str">
        <f t="shared" si="49"/>
        <v>att_protein_mutation:truncation</v>
      </c>
      <c r="L471" s="3" t="s">
        <v>2184</v>
      </c>
    </row>
    <row r="472" spans="3:12">
      <c r="C472" s="3" t="s">
        <v>2634</v>
      </c>
      <c r="D472" s="3" t="s">
        <v>2157</v>
      </c>
      <c r="F472" s="3" t="s">
        <v>2629</v>
      </c>
      <c r="G472" s="3" t="s">
        <v>2630</v>
      </c>
      <c r="H472" s="3" t="str">
        <f t="shared" si="48"/>
        <v>att_protein_mutation</v>
      </c>
      <c r="I472" s="3" t="s">
        <v>2156</v>
      </c>
      <c r="J472" s="3" t="str">
        <f t="shared" si="49"/>
        <v>att_protein_mutation:flag</v>
      </c>
      <c r="L472" s="3" t="s">
        <v>2158</v>
      </c>
    </row>
    <row r="473" spans="3:12">
      <c r="C473" s="3" t="s">
        <v>2635</v>
      </c>
      <c r="D473" s="3" t="s">
        <v>2166</v>
      </c>
      <c r="F473" s="3" t="s">
        <v>2629</v>
      </c>
      <c r="G473" s="3" t="s">
        <v>2630</v>
      </c>
      <c r="H473" s="3" t="str">
        <f t="shared" si="48"/>
        <v>att_protein_mutation</v>
      </c>
      <c r="I473" s="3" t="s">
        <v>2165</v>
      </c>
      <c r="J473" s="3" t="str">
        <f t="shared" si="49"/>
        <v>att_protein_mutation:ha</v>
      </c>
      <c r="L473" s="3" t="s">
        <v>2167</v>
      </c>
    </row>
    <row r="474" spans="3:12">
      <c r="C474" s="3" t="s">
        <v>2636</v>
      </c>
      <c r="D474" s="3" t="s">
        <v>2175</v>
      </c>
      <c r="F474" s="3" t="s">
        <v>2629</v>
      </c>
      <c r="G474" s="3" t="s">
        <v>2630</v>
      </c>
      <c r="H474" s="3" t="str">
        <f t="shared" si="48"/>
        <v>att_protein_mutation</v>
      </c>
      <c r="I474" s="3" t="s">
        <v>2174</v>
      </c>
      <c r="J474" s="3" t="str">
        <f t="shared" si="49"/>
        <v>att_protein_mutation:myc</v>
      </c>
      <c r="L474" s="3" t="s">
        <v>2176</v>
      </c>
    </row>
    <row r="475" spans="3:12">
      <c r="C475" s="3" t="s">
        <v>2637</v>
      </c>
      <c r="D475" s="3" t="s">
        <v>2163</v>
      </c>
      <c r="F475" s="3" t="s">
        <v>2629</v>
      </c>
      <c r="G475" s="3" t="s">
        <v>2630</v>
      </c>
      <c r="H475" s="3" t="str">
        <f t="shared" si="48"/>
        <v>att_protein_mutation</v>
      </c>
      <c r="I475" s="3" t="s">
        <v>2162</v>
      </c>
      <c r="J475" s="3" t="str">
        <f t="shared" si="49"/>
        <v>att_protein_mutation:gfp</v>
      </c>
      <c r="L475" s="3" t="s">
        <v>2164</v>
      </c>
    </row>
    <row r="476" spans="3:12">
      <c r="C476" s="3" t="s">
        <v>2638</v>
      </c>
      <c r="D476" s="3" t="s">
        <v>2169</v>
      </c>
      <c r="F476" s="3" t="s">
        <v>2629</v>
      </c>
      <c r="G476" s="3" t="s">
        <v>2630</v>
      </c>
      <c r="H476" s="3" t="str">
        <f t="shared" si="48"/>
        <v>att_protein_mutation</v>
      </c>
      <c r="I476" s="3" t="s">
        <v>2168</v>
      </c>
      <c r="J476" s="3" t="str">
        <f t="shared" si="49"/>
        <v>att_protein_mutation:his</v>
      </c>
      <c r="L476" s="3" t="s">
        <v>2170</v>
      </c>
    </row>
    <row r="478" spans="3:12">
      <c r="C478" s="3" t="s">
        <v>2639</v>
      </c>
      <c r="D478" s="3" t="s">
        <v>2192</v>
      </c>
      <c r="F478" s="3" t="s">
        <v>2640</v>
      </c>
      <c r="G478" s="3" t="s">
        <v>2641</v>
      </c>
      <c r="H478" s="3" t="str">
        <f>"att_"&amp;G478</f>
        <v>att_protein_position</v>
      </c>
      <c r="I478" s="3" t="s">
        <v>2191</v>
      </c>
      <c r="J478" s="3" t="str">
        <f>H478&amp;":"&amp;I478</f>
        <v>att_protein_position:nterm</v>
      </c>
      <c r="L478" s="3" t="s">
        <v>2193</v>
      </c>
    </row>
    <row r="479" spans="3:12">
      <c r="C479" s="3" t="s">
        <v>2642</v>
      </c>
      <c r="D479" s="3" t="s">
        <v>2189</v>
      </c>
      <c r="F479" s="3" t="s">
        <v>2640</v>
      </c>
      <c r="G479" s="3" t="s">
        <v>2641</v>
      </c>
      <c r="H479" s="3" t="str">
        <f>"att_"&amp;G479</f>
        <v>att_protein_position</v>
      </c>
      <c r="I479" s="3" t="s">
        <v>2188</v>
      </c>
      <c r="J479" s="3" t="str">
        <f>H479&amp;":"&amp;I479</f>
        <v>att_protein_position:cterm</v>
      </c>
      <c r="L479" s="3" t="s">
        <v>2190</v>
      </c>
    </row>
    <row r="480" spans="3:12">
      <c r="C480" s="3" t="s">
        <v>2185</v>
      </c>
      <c r="D480" s="3" t="s">
        <v>2186</v>
      </c>
      <c r="F480" s="3" t="s">
        <v>2640</v>
      </c>
      <c r="G480" s="3" t="s">
        <v>2641</v>
      </c>
      <c r="H480" s="3" t="str">
        <f>"att_"&amp;G480</f>
        <v>att_protein_position</v>
      </c>
      <c r="I480" s="3" t="s">
        <v>2185</v>
      </c>
      <c r="J480" s="3" t="str">
        <f>H480&amp;":"&amp;I480</f>
        <v>att_protein_position:aa</v>
      </c>
      <c r="L480" s="3" t="s">
        <v>2187</v>
      </c>
    </row>
    <row r="481" spans="3:12">
      <c r="C481" s="3" t="s">
        <v>2194</v>
      </c>
      <c r="D481" s="3" t="s">
        <v>2195</v>
      </c>
      <c r="F481" s="3" t="s">
        <v>2640</v>
      </c>
      <c r="G481" s="3" t="s">
        <v>2641</v>
      </c>
      <c r="H481" s="3" t="str">
        <f>"att_"&amp;G481</f>
        <v>att_protein_position</v>
      </c>
      <c r="I481" s="3" t="s">
        <v>2194</v>
      </c>
      <c r="J481" s="3" t="str">
        <f>H481&amp;":"&amp;I481</f>
        <v>att_protein_position:region</v>
      </c>
      <c r="L481" s="3" t="s">
        <v>2196</v>
      </c>
    </row>
    <row r="485" spans="3:12">
      <c r="C485" s="3" t="s">
        <v>2643</v>
      </c>
      <c r="D485" s="3" t="s">
        <v>190</v>
      </c>
      <c r="F485" s="3" t="s">
        <v>2644</v>
      </c>
      <c r="G485" s="3" t="s">
        <v>2185</v>
      </c>
      <c r="H485" s="3" t="s">
        <v>189</v>
      </c>
      <c r="I485" s="3" t="s">
        <v>188</v>
      </c>
      <c r="J485" s="3" t="str">
        <f t="shared" ref="J485:J503" si="50">H485&amp;":"&amp;I485</f>
        <v>att_aa:arginine</v>
      </c>
      <c r="L485" s="3" t="s">
        <v>191</v>
      </c>
    </row>
    <row r="486" spans="3:12">
      <c r="C486" s="3" t="s">
        <v>2643</v>
      </c>
      <c r="D486" s="3" t="s">
        <v>193</v>
      </c>
      <c r="F486" s="3" t="s">
        <v>2644</v>
      </c>
      <c r="G486" s="3" t="s">
        <v>2185</v>
      </c>
      <c r="H486" s="3" t="s">
        <v>189</v>
      </c>
      <c r="I486" s="3" t="s">
        <v>192</v>
      </c>
      <c r="J486" s="3" t="str">
        <f t="shared" si="50"/>
        <v>att_aa:asparagine</v>
      </c>
      <c r="L486" s="3" t="s">
        <v>194</v>
      </c>
    </row>
    <row r="487" spans="3:12">
      <c r="C487" s="3" t="s">
        <v>2643</v>
      </c>
      <c r="D487" s="3" t="s">
        <v>196</v>
      </c>
      <c r="F487" s="3" t="s">
        <v>2644</v>
      </c>
      <c r="G487" s="3" t="s">
        <v>2185</v>
      </c>
      <c r="H487" s="3" t="s">
        <v>189</v>
      </c>
      <c r="I487" s="3" t="s">
        <v>195</v>
      </c>
      <c r="J487" s="3" t="str">
        <f t="shared" si="50"/>
        <v>att_aa:asparticacid</v>
      </c>
      <c r="L487" s="3" t="s">
        <v>197</v>
      </c>
    </row>
    <row r="488" spans="3:12">
      <c r="C488" s="3" t="s">
        <v>2643</v>
      </c>
      <c r="D488" s="3" t="s">
        <v>199</v>
      </c>
      <c r="F488" s="3" t="s">
        <v>2644</v>
      </c>
      <c r="G488" s="3" t="s">
        <v>2185</v>
      </c>
      <c r="H488" s="3" t="s">
        <v>189</v>
      </c>
      <c r="I488" s="3" t="s">
        <v>198</v>
      </c>
      <c r="J488" s="3" t="str">
        <f t="shared" si="50"/>
        <v>att_aa:cysteine</v>
      </c>
      <c r="L488" s="3" t="s">
        <v>200</v>
      </c>
    </row>
    <row r="489" spans="3:12">
      <c r="C489" s="3" t="s">
        <v>2643</v>
      </c>
      <c r="D489" s="3" t="s">
        <v>202</v>
      </c>
      <c r="F489" s="3" t="s">
        <v>2644</v>
      </c>
      <c r="G489" s="3" t="s">
        <v>2185</v>
      </c>
      <c r="H489" s="3" t="s">
        <v>189</v>
      </c>
      <c r="I489" s="3" t="s">
        <v>201</v>
      </c>
      <c r="J489" s="3" t="str">
        <f t="shared" si="50"/>
        <v>att_aa:glutamicacid</v>
      </c>
      <c r="L489" s="3" t="s">
        <v>203</v>
      </c>
    </row>
    <row r="490" spans="3:12">
      <c r="C490" s="3" t="s">
        <v>2643</v>
      </c>
      <c r="D490" s="3" t="s">
        <v>205</v>
      </c>
      <c r="F490" s="3" t="s">
        <v>2644</v>
      </c>
      <c r="G490" s="3" t="s">
        <v>2185</v>
      </c>
      <c r="H490" s="3" t="s">
        <v>189</v>
      </c>
      <c r="I490" s="3" t="s">
        <v>204</v>
      </c>
      <c r="J490" s="3" t="str">
        <f t="shared" si="50"/>
        <v>att_aa:glutamine</v>
      </c>
      <c r="L490" s="3" t="s">
        <v>206</v>
      </c>
    </row>
    <row r="491" spans="3:12">
      <c r="C491" s="3" t="s">
        <v>2643</v>
      </c>
      <c r="D491" s="3" t="s">
        <v>208</v>
      </c>
      <c r="F491" s="3" t="s">
        <v>2644</v>
      </c>
      <c r="G491" s="3" t="s">
        <v>2185</v>
      </c>
      <c r="H491" s="3" t="s">
        <v>189</v>
      </c>
      <c r="I491" s="3" t="s">
        <v>207</v>
      </c>
      <c r="J491" s="3" t="str">
        <f t="shared" si="50"/>
        <v>att_aa:glycine</v>
      </c>
      <c r="L491" s="3" t="s">
        <v>209</v>
      </c>
    </row>
    <row r="492" spans="3:12">
      <c r="C492" s="3" t="s">
        <v>2643</v>
      </c>
      <c r="D492" s="3" t="s">
        <v>211</v>
      </c>
      <c r="F492" s="3" t="s">
        <v>2644</v>
      </c>
      <c r="G492" s="3" t="s">
        <v>2185</v>
      </c>
      <c r="H492" s="3" t="s">
        <v>189</v>
      </c>
      <c r="I492" s="3" t="s">
        <v>210</v>
      </c>
      <c r="J492" s="3" t="str">
        <f t="shared" si="50"/>
        <v>att_aa:histidine</v>
      </c>
      <c r="L492" s="3" t="s">
        <v>212</v>
      </c>
    </row>
    <row r="493" spans="3:12">
      <c r="C493" s="3" t="s">
        <v>2643</v>
      </c>
      <c r="D493" s="3" t="s">
        <v>214</v>
      </c>
      <c r="F493" s="3" t="s">
        <v>2644</v>
      </c>
      <c r="G493" s="3" t="s">
        <v>2185</v>
      </c>
      <c r="H493" s="3" t="s">
        <v>189</v>
      </c>
      <c r="I493" s="3" t="s">
        <v>213</v>
      </c>
      <c r="J493" s="3" t="str">
        <f t="shared" si="50"/>
        <v>att_aa:isoleucine</v>
      </c>
      <c r="L493" s="3" t="s">
        <v>215</v>
      </c>
    </row>
    <row r="494" spans="3:12">
      <c r="C494" s="3" t="s">
        <v>2643</v>
      </c>
      <c r="D494" s="3" t="s">
        <v>217</v>
      </c>
      <c r="F494" s="3" t="s">
        <v>2644</v>
      </c>
      <c r="G494" s="3" t="s">
        <v>2185</v>
      </c>
      <c r="H494" s="3" t="s">
        <v>189</v>
      </c>
      <c r="I494" s="3" t="s">
        <v>216</v>
      </c>
      <c r="J494" s="3" t="str">
        <f t="shared" si="50"/>
        <v>att_aa:leucine</v>
      </c>
      <c r="L494" s="3" t="s">
        <v>218</v>
      </c>
    </row>
    <row r="495" spans="3:12">
      <c r="C495" s="3" t="s">
        <v>2643</v>
      </c>
      <c r="D495" s="3" t="s">
        <v>220</v>
      </c>
      <c r="F495" s="3" t="s">
        <v>2644</v>
      </c>
      <c r="G495" s="3" t="s">
        <v>2185</v>
      </c>
      <c r="H495" s="3" t="s">
        <v>189</v>
      </c>
      <c r="I495" s="3" t="s">
        <v>219</v>
      </c>
      <c r="J495" s="3" t="str">
        <f t="shared" si="50"/>
        <v>att_aa:lysine</v>
      </c>
      <c r="L495" s="3" t="s">
        <v>221</v>
      </c>
    </row>
    <row r="496" spans="3:12">
      <c r="C496" s="3" t="s">
        <v>2643</v>
      </c>
      <c r="D496" s="3" t="s">
        <v>223</v>
      </c>
      <c r="F496" s="3" t="s">
        <v>2644</v>
      </c>
      <c r="G496" s="3" t="s">
        <v>2185</v>
      </c>
      <c r="H496" s="3" t="s">
        <v>189</v>
      </c>
      <c r="I496" s="3" t="s">
        <v>222</v>
      </c>
      <c r="J496" s="3" t="str">
        <f t="shared" si="50"/>
        <v>att_aa:methionine</v>
      </c>
      <c r="L496" s="3" t="s">
        <v>224</v>
      </c>
    </row>
    <row r="497" spans="3:12">
      <c r="C497" s="3" t="s">
        <v>2643</v>
      </c>
      <c r="D497" s="3" t="s">
        <v>226</v>
      </c>
      <c r="F497" s="3" t="s">
        <v>2644</v>
      </c>
      <c r="G497" s="3" t="s">
        <v>2185</v>
      </c>
      <c r="H497" s="3" t="s">
        <v>189</v>
      </c>
      <c r="I497" s="3" t="s">
        <v>225</v>
      </c>
      <c r="J497" s="3" t="str">
        <f t="shared" si="50"/>
        <v>att_aa:phenylalanine</v>
      </c>
      <c r="L497" s="3" t="s">
        <v>227</v>
      </c>
    </row>
    <row r="498" spans="3:12">
      <c r="C498" s="3" t="s">
        <v>2643</v>
      </c>
      <c r="D498" s="3" t="s">
        <v>229</v>
      </c>
      <c r="F498" s="3" t="s">
        <v>2644</v>
      </c>
      <c r="G498" s="3" t="s">
        <v>2185</v>
      </c>
      <c r="H498" s="3" t="s">
        <v>189</v>
      </c>
      <c r="I498" s="3" t="s">
        <v>228</v>
      </c>
      <c r="J498" s="3" t="str">
        <f t="shared" si="50"/>
        <v>att_aa:proline</v>
      </c>
      <c r="L498" s="3" t="s">
        <v>230</v>
      </c>
    </row>
    <row r="499" spans="3:12">
      <c r="C499" s="3" t="s">
        <v>2643</v>
      </c>
      <c r="D499" s="3" t="s">
        <v>232</v>
      </c>
      <c r="F499" s="3" t="s">
        <v>2644</v>
      </c>
      <c r="G499" s="3" t="s">
        <v>2185</v>
      </c>
      <c r="H499" s="3" t="s">
        <v>189</v>
      </c>
      <c r="I499" s="3" t="s">
        <v>231</v>
      </c>
      <c r="J499" s="3" t="str">
        <f t="shared" si="50"/>
        <v>att_aa:serine</v>
      </c>
      <c r="L499" s="3" t="s">
        <v>233</v>
      </c>
    </row>
    <row r="500" spans="3:12">
      <c r="C500" s="3" t="s">
        <v>2643</v>
      </c>
      <c r="D500" s="3" t="s">
        <v>235</v>
      </c>
      <c r="F500" s="3" t="s">
        <v>2644</v>
      </c>
      <c r="G500" s="3" t="s">
        <v>2185</v>
      </c>
      <c r="H500" s="3" t="s">
        <v>189</v>
      </c>
      <c r="I500" s="3" t="s">
        <v>234</v>
      </c>
      <c r="J500" s="3" t="str">
        <f t="shared" si="50"/>
        <v>att_aa:threonine</v>
      </c>
      <c r="L500" s="3" t="s">
        <v>236</v>
      </c>
    </row>
    <row r="501" spans="3:12">
      <c r="C501" s="3" t="s">
        <v>2643</v>
      </c>
      <c r="D501" s="3" t="s">
        <v>238</v>
      </c>
      <c r="F501" s="3" t="s">
        <v>2644</v>
      </c>
      <c r="G501" s="3" t="s">
        <v>2185</v>
      </c>
      <c r="H501" s="3" t="s">
        <v>189</v>
      </c>
      <c r="I501" s="3" t="s">
        <v>237</v>
      </c>
      <c r="J501" s="3" t="str">
        <f t="shared" si="50"/>
        <v>att_aa:tryptophan</v>
      </c>
      <c r="L501" s="3" t="s">
        <v>239</v>
      </c>
    </row>
    <row r="502" spans="3:12">
      <c r="C502" s="3" t="s">
        <v>2643</v>
      </c>
      <c r="D502" s="3" t="s">
        <v>241</v>
      </c>
      <c r="F502" s="3" t="s">
        <v>2644</v>
      </c>
      <c r="G502" s="3" t="s">
        <v>2185</v>
      </c>
      <c r="H502" s="3" t="s">
        <v>189</v>
      </c>
      <c r="I502" s="3" t="s">
        <v>240</v>
      </c>
      <c r="J502" s="3" t="str">
        <f t="shared" si="50"/>
        <v>att_aa:tyrosine</v>
      </c>
      <c r="L502" s="3" t="s">
        <v>242</v>
      </c>
    </row>
    <row r="503" spans="3:12">
      <c r="C503" s="3" t="s">
        <v>2643</v>
      </c>
      <c r="D503" s="3" t="s">
        <v>244</v>
      </c>
      <c r="F503" s="3" t="s">
        <v>2644</v>
      </c>
      <c r="G503" s="3" t="s">
        <v>2185</v>
      </c>
      <c r="H503" s="3" t="s">
        <v>189</v>
      </c>
      <c r="I503" s="3" t="s">
        <v>243</v>
      </c>
      <c r="J503" s="3" t="str">
        <f t="shared" si="50"/>
        <v>att_aa:valine</v>
      </c>
      <c r="L503" s="3" t="s">
        <v>245</v>
      </c>
    </row>
    <row r="507" spans="3:12">
      <c r="C507" s="3" t="s">
        <v>2645</v>
      </c>
      <c r="D507" s="3">
        <v>126</v>
      </c>
      <c r="F507" s="3" t="s">
        <v>161</v>
      </c>
      <c r="G507" s="3" t="s">
        <v>2646</v>
      </c>
      <c r="H507" s="3" t="s">
        <v>160</v>
      </c>
      <c r="I507" s="3" t="str">
        <f t="shared" ref="I507:I516" si="51">"tmt10_"&amp;D507</f>
        <v>tmt10_126</v>
      </c>
      <c r="J507" s="3" t="str">
        <f t="shared" ref="J507:J516" si="52">H507&amp;":"&amp;I507</f>
        <v>att_tmt_channel:tmt10_126</v>
      </c>
    </row>
    <row r="508" spans="3:12">
      <c r="C508" s="3" t="s">
        <v>2645</v>
      </c>
      <c r="D508" s="3" t="s">
        <v>2301</v>
      </c>
      <c r="F508" s="3" t="s">
        <v>161</v>
      </c>
      <c r="G508" s="3" t="s">
        <v>2646</v>
      </c>
      <c r="H508" s="3" t="s">
        <v>160</v>
      </c>
      <c r="I508" s="3" t="str">
        <f t="shared" si="51"/>
        <v>tmt10_127N</v>
      </c>
      <c r="J508" s="3" t="str">
        <f t="shared" si="52"/>
        <v>att_tmt_channel:tmt10_127N</v>
      </c>
    </row>
    <row r="509" spans="3:12">
      <c r="C509" s="3" t="s">
        <v>2645</v>
      </c>
      <c r="D509" s="3" t="s">
        <v>2299</v>
      </c>
      <c r="F509" s="3" t="s">
        <v>161</v>
      </c>
      <c r="G509" s="3" t="s">
        <v>2646</v>
      </c>
      <c r="H509" s="3" t="s">
        <v>160</v>
      </c>
      <c r="I509" s="3" t="str">
        <f t="shared" si="51"/>
        <v>tmt10_127C</v>
      </c>
      <c r="J509" s="3" t="str">
        <f t="shared" si="52"/>
        <v>att_tmt_channel:tmt10_127C</v>
      </c>
    </row>
    <row r="510" spans="3:12">
      <c r="C510" s="3" t="s">
        <v>2645</v>
      </c>
      <c r="D510" s="3" t="s">
        <v>2305</v>
      </c>
      <c r="F510" s="3" t="s">
        <v>161</v>
      </c>
      <c r="G510" s="3" t="s">
        <v>2646</v>
      </c>
      <c r="H510" s="3" t="s">
        <v>160</v>
      </c>
      <c r="I510" s="3" t="str">
        <f t="shared" si="51"/>
        <v>tmt10_128N</v>
      </c>
      <c r="J510" s="3" t="str">
        <f t="shared" si="52"/>
        <v>att_tmt_channel:tmt10_128N</v>
      </c>
    </row>
    <row r="511" spans="3:12">
      <c r="C511" s="3" t="s">
        <v>2645</v>
      </c>
      <c r="D511" s="3" t="s">
        <v>2303</v>
      </c>
      <c r="F511" s="3" t="s">
        <v>161</v>
      </c>
      <c r="G511" s="3" t="s">
        <v>2646</v>
      </c>
      <c r="H511" s="3" t="s">
        <v>160</v>
      </c>
      <c r="I511" s="3" t="str">
        <f t="shared" si="51"/>
        <v>tmt10_128C</v>
      </c>
      <c r="J511" s="3" t="str">
        <f t="shared" si="52"/>
        <v>att_tmt_channel:tmt10_128C</v>
      </c>
    </row>
    <row r="512" spans="3:12">
      <c r="C512" s="3" t="s">
        <v>2645</v>
      </c>
      <c r="D512" s="3" t="s">
        <v>2309</v>
      </c>
      <c r="F512" s="3" t="s">
        <v>161</v>
      </c>
      <c r="G512" s="3" t="s">
        <v>2646</v>
      </c>
      <c r="H512" s="3" t="s">
        <v>160</v>
      </c>
      <c r="I512" s="3" t="str">
        <f t="shared" si="51"/>
        <v>tmt10_129N</v>
      </c>
      <c r="J512" s="3" t="str">
        <f t="shared" si="52"/>
        <v>att_tmt_channel:tmt10_129N</v>
      </c>
    </row>
    <row r="513" spans="3:10">
      <c r="C513" s="3" t="s">
        <v>2645</v>
      </c>
      <c r="D513" s="3" t="s">
        <v>2307</v>
      </c>
      <c r="F513" s="3" t="s">
        <v>161</v>
      </c>
      <c r="G513" s="3" t="s">
        <v>2646</v>
      </c>
      <c r="H513" s="3" t="s">
        <v>160</v>
      </c>
      <c r="I513" s="3" t="str">
        <f t="shared" si="51"/>
        <v>tmt10_129C</v>
      </c>
      <c r="J513" s="3" t="str">
        <f t="shared" si="52"/>
        <v>att_tmt_channel:tmt10_129C</v>
      </c>
    </row>
    <row r="514" spans="3:10">
      <c r="C514" s="3" t="s">
        <v>2645</v>
      </c>
      <c r="D514" s="3" t="s">
        <v>2313</v>
      </c>
      <c r="F514" s="3" t="s">
        <v>161</v>
      </c>
      <c r="G514" s="3" t="s">
        <v>2646</v>
      </c>
      <c r="H514" s="3" t="s">
        <v>160</v>
      </c>
      <c r="I514" s="3" t="str">
        <f t="shared" si="51"/>
        <v>tmt10_130N</v>
      </c>
      <c r="J514" s="3" t="str">
        <f t="shared" si="52"/>
        <v>att_tmt_channel:tmt10_130N</v>
      </c>
    </row>
    <row r="515" spans="3:10">
      <c r="C515" s="3" t="s">
        <v>2645</v>
      </c>
      <c r="D515" s="3" t="s">
        <v>2311</v>
      </c>
      <c r="F515" s="3" t="s">
        <v>161</v>
      </c>
      <c r="G515" s="3" t="s">
        <v>2646</v>
      </c>
      <c r="H515" s="3" t="s">
        <v>160</v>
      </c>
      <c r="I515" s="3" t="str">
        <f t="shared" si="51"/>
        <v>tmt10_130C</v>
      </c>
      <c r="J515" s="3" t="str">
        <f t="shared" si="52"/>
        <v>att_tmt_channel:tmt10_130C</v>
      </c>
    </row>
    <row r="516" spans="3:10">
      <c r="C516" s="3" t="s">
        <v>2645</v>
      </c>
      <c r="D516" s="3">
        <v>131</v>
      </c>
      <c r="F516" s="3" t="s">
        <v>161</v>
      </c>
      <c r="G516" s="3" t="s">
        <v>2646</v>
      </c>
      <c r="H516" s="3" t="s">
        <v>160</v>
      </c>
      <c r="I516" s="3" t="str">
        <f t="shared" si="51"/>
        <v>tmt10_131</v>
      </c>
      <c r="J516" s="3" t="str">
        <f t="shared" si="52"/>
        <v>att_tmt_channel:tmt10_131</v>
      </c>
    </row>
    <row r="518" spans="3:10">
      <c r="C518" s="3" t="s">
        <v>2645</v>
      </c>
      <c r="D518" s="3">
        <v>126</v>
      </c>
      <c r="F518" s="3" t="s">
        <v>2647</v>
      </c>
      <c r="G518" s="3" t="s">
        <v>2646</v>
      </c>
      <c r="H518" s="3" t="s">
        <v>160</v>
      </c>
      <c r="I518" s="3" t="str">
        <f t="shared" ref="I518:I528" si="53">"tmt11_"&amp;D518</f>
        <v>tmt11_126</v>
      </c>
      <c r="J518" s="3" t="str">
        <f t="shared" ref="J518:J528" si="54">H518&amp;":"&amp;I518</f>
        <v>att_tmt_channel:tmt11_126</v>
      </c>
    </row>
    <row r="519" spans="3:10">
      <c r="C519" s="3" t="s">
        <v>2645</v>
      </c>
      <c r="D519" s="3" t="s">
        <v>2301</v>
      </c>
      <c r="F519" s="3" t="s">
        <v>2647</v>
      </c>
      <c r="G519" s="3" t="s">
        <v>2646</v>
      </c>
      <c r="H519" s="3" t="s">
        <v>160</v>
      </c>
      <c r="I519" s="3" t="str">
        <f t="shared" si="53"/>
        <v>tmt11_127N</v>
      </c>
      <c r="J519" s="3" t="str">
        <f t="shared" si="54"/>
        <v>att_tmt_channel:tmt11_127N</v>
      </c>
    </row>
    <row r="520" spans="3:10">
      <c r="C520" s="3" t="s">
        <v>2645</v>
      </c>
      <c r="D520" s="3" t="s">
        <v>2299</v>
      </c>
      <c r="F520" s="3" t="s">
        <v>2647</v>
      </c>
      <c r="G520" s="3" t="s">
        <v>2646</v>
      </c>
      <c r="H520" s="3" t="s">
        <v>160</v>
      </c>
      <c r="I520" s="3" t="str">
        <f t="shared" si="53"/>
        <v>tmt11_127C</v>
      </c>
      <c r="J520" s="3" t="str">
        <f t="shared" si="54"/>
        <v>att_tmt_channel:tmt11_127C</v>
      </c>
    </row>
    <row r="521" spans="3:10">
      <c r="C521" s="3" t="s">
        <v>2645</v>
      </c>
      <c r="D521" s="3" t="s">
        <v>2305</v>
      </c>
      <c r="F521" s="3" t="s">
        <v>2647</v>
      </c>
      <c r="G521" s="3" t="s">
        <v>2646</v>
      </c>
      <c r="H521" s="3" t="s">
        <v>160</v>
      </c>
      <c r="I521" s="3" t="str">
        <f t="shared" si="53"/>
        <v>tmt11_128N</v>
      </c>
      <c r="J521" s="3" t="str">
        <f t="shared" si="54"/>
        <v>att_tmt_channel:tmt11_128N</v>
      </c>
    </row>
    <row r="522" spans="3:10">
      <c r="C522" s="3" t="s">
        <v>2645</v>
      </c>
      <c r="D522" s="3" t="s">
        <v>2303</v>
      </c>
      <c r="F522" s="3" t="s">
        <v>2647</v>
      </c>
      <c r="G522" s="3" t="s">
        <v>2646</v>
      </c>
      <c r="H522" s="3" t="s">
        <v>160</v>
      </c>
      <c r="I522" s="3" t="str">
        <f t="shared" si="53"/>
        <v>tmt11_128C</v>
      </c>
      <c r="J522" s="3" t="str">
        <f t="shared" si="54"/>
        <v>att_tmt_channel:tmt11_128C</v>
      </c>
    </row>
    <row r="523" spans="3:10">
      <c r="C523" s="3" t="s">
        <v>2645</v>
      </c>
      <c r="D523" s="3" t="s">
        <v>2309</v>
      </c>
      <c r="F523" s="3" t="s">
        <v>2647</v>
      </c>
      <c r="G523" s="3" t="s">
        <v>2646</v>
      </c>
      <c r="H523" s="3" t="s">
        <v>160</v>
      </c>
      <c r="I523" s="3" t="str">
        <f t="shared" si="53"/>
        <v>tmt11_129N</v>
      </c>
      <c r="J523" s="3" t="str">
        <f t="shared" si="54"/>
        <v>att_tmt_channel:tmt11_129N</v>
      </c>
    </row>
    <row r="524" spans="3:10">
      <c r="C524" s="3" t="s">
        <v>2645</v>
      </c>
      <c r="D524" s="3" t="s">
        <v>2307</v>
      </c>
      <c r="F524" s="3" t="s">
        <v>2647</v>
      </c>
      <c r="G524" s="3" t="s">
        <v>2646</v>
      </c>
      <c r="H524" s="3" t="s">
        <v>160</v>
      </c>
      <c r="I524" s="3" t="str">
        <f t="shared" si="53"/>
        <v>tmt11_129C</v>
      </c>
      <c r="J524" s="3" t="str">
        <f t="shared" si="54"/>
        <v>att_tmt_channel:tmt11_129C</v>
      </c>
    </row>
    <row r="525" spans="3:10">
      <c r="C525" s="3" t="s">
        <v>2645</v>
      </c>
      <c r="D525" s="3" t="s">
        <v>2313</v>
      </c>
      <c r="F525" s="3" t="s">
        <v>2647</v>
      </c>
      <c r="G525" s="3" t="s">
        <v>2646</v>
      </c>
      <c r="H525" s="3" t="s">
        <v>160</v>
      </c>
      <c r="I525" s="3" t="str">
        <f t="shared" si="53"/>
        <v>tmt11_130N</v>
      </c>
      <c r="J525" s="3" t="str">
        <f t="shared" si="54"/>
        <v>att_tmt_channel:tmt11_130N</v>
      </c>
    </row>
    <row r="526" spans="3:10">
      <c r="C526" s="3" t="s">
        <v>2645</v>
      </c>
      <c r="D526" s="3" t="s">
        <v>2311</v>
      </c>
      <c r="F526" s="3" t="s">
        <v>2647</v>
      </c>
      <c r="G526" s="3" t="s">
        <v>2646</v>
      </c>
      <c r="H526" s="3" t="s">
        <v>160</v>
      </c>
      <c r="I526" s="3" t="str">
        <f t="shared" si="53"/>
        <v>tmt11_130C</v>
      </c>
      <c r="J526" s="3" t="str">
        <f t="shared" si="54"/>
        <v>att_tmt_channel:tmt11_130C</v>
      </c>
    </row>
    <row r="527" spans="3:10">
      <c r="C527" s="3" t="s">
        <v>2645</v>
      </c>
      <c r="D527" s="3" t="s">
        <v>2327</v>
      </c>
      <c r="F527" s="3" t="s">
        <v>2647</v>
      </c>
      <c r="G527" s="3" t="s">
        <v>2646</v>
      </c>
      <c r="H527" s="3" t="s">
        <v>160</v>
      </c>
      <c r="I527" s="3" t="str">
        <f t="shared" si="53"/>
        <v>tmt11_131N</v>
      </c>
      <c r="J527" s="3" t="str">
        <f t="shared" si="54"/>
        <v>att_tmt_channel:tmt11_131N</v>
      </c>
    </row>
    <row r="528" spans="3:10">
      <c r="C528" s="3" t="s">
        <v>2645</v>
      </c>
      <c r="D528" s="3" t="s">
        <v>2325</v>
      </c>
      <c r="F528" s="3" t="s">
        <v>2647</v>
      </c>
      <c r="G528" s="3" t="s">
        <v>2646</v>
      </c>
      <c r="H528" s="3" t="s">
        <v>160</v>
      </c>
      <c r="I528" s="3" t="str">
        <f t="shared" si="53"/>
        <v>tmt11_131C</v>
      </c>
      <c r="J528" s="3" t="str">
        <f t="shared" si="54"/>
        <v>att_tmt_channel:tmt11_131C</v>
      </c>
    </row>
    <row r="531" spans="3:10">
      <c r="C531" s="3" t="s">
        <v>2645</v>
      </c>
      <c r="D531" s="3">
        <v>126</v>
      </c>
      <c r="F531" s="3" t="s">
        <v>2648</v>
      </c>
      <c r="G531" s="3" t="s">
        <v>2646</v>
      </c>
      <c r="H531" s="3" t="s">
        <v>160</v>
      </c>
      <c r="I531" s="3" t="str">
        <f t="shared" ref="I531:I536" si="55">"tmt6_"&amp;D531</f>
        <v>tmt6_126</v>
      </c>
      <c r="J531" s="3" t="str">
        <f t="shared" ref="J531:J536" si="56">H531&amp;":"&amp;I531</f>
        <v>att_tmt_channel:tmt6_126</v>
      </c>
    </row>
    <row r="532" spans="3:10">
      <c r="C532" s="3" t="s">
        <v>2645</v>
      </c>
      <c r="D532" s="3">
        <v>127</v>
      </c>
      <c r="F532" s="3" t="s">
        <v>2648</v>
      </c>
      <c r="G532" s="3" t="s">
        <v>2646</v>
      </c>
      <c r="H532" s="3" t="s">
        <v>160</v>
      </c>
      <c r="I532" s="3" t="str">
        <f t="shared" si="55"/>
        <v>tmt6_127</v>
      </c>
      <c r="J532" s="3" t="str">
        <f t="shared" si="56"/>
        <v>att_tmt_channel:tmt6_127</v>
      </c>
    </row>
    <row r="533" spans="3:10">
      <c r="C533" s="3" t="s">
        <v>2645</v>
      </c>
      <c r="D533" s="3">
        <v>128</v>
      </c>
      <c r="F533" s="3" t="s">
        <v>2648</v>
      </c>
      <c r="G533" s="3" t="s">
        <v>2646</v>
      </c>
      <c r="H533" s="3" t="s">
        <v>160</v>
      </c>
      <c r="I533" s="3" t="str">
        <f t="shared" si="55"/>
        <v>tmt6_128</v>
      </c>
      <c r="J533" s="3" t="str">
        <f t="shared" si="56"/>
        <v>att_tmt_channel:tmt6_128</v>
      </c>
    </row>
    <row r="534" spans="3:10">
      <c r="C534" s="3" t="s">
        <v>2645</v>
      </c>
      <c r="D534" s="3">
        <v>129</v>
      </c>
      <c r="F534" s="3" t="s">
        <v>2648</v>
      </c>
      <c r="G534" s="3" t="s">
        <v>2646</v>
      </c>
      <c r="H534" s="3" t="s">
        <v>160</v>
      </c>
      <c r="I534" s="3" t="str">
        <f t="shared" si="55"/>
        <v>tmt6_129</v>
      </c>
      <c r="J534" s="3" t="str">
        <f t="shared" si="56"/>
        <v>att_tmt_channel:tmt6_129</v>
      </c>
    </row>
    <row r="535" spans="3:10">
      <c r="C535" s="3" t="s">
        <v>2645</v>
      </c>
      <c r="D535" s="3">
        <v>130</v>
      </c>
      <c r="F535" s="3" t="s">
        <v>2648</v>
      </c>
      <c r="G535" s="3" t="s">
        <v>2646</v>
      </c>
      <c r="H535" s="3" t="s">
        <v>160</v>
      </c>
      <c r="I535" s="3" t="str">
        <f t="shared" si="55"/>
        <v>tmt6_130</v>
      </c>
      <c r="J535" s="3" t="str">
        <f t="shared" si="56"/>
        <v>att_tmt_channel:tmt6_130</v>
      </c>
    </row>
    <row r="536" spans="3:10">
      <c r="C536" s="3" t="s">
        <v>2645</v>
      </c>
      <c r="D536" s="3">
        <v>131</v>
      </c>
      <c r="F536" s="3" t="s">
        <v>2648</v>
      </c>
      <c r="G536" s="3" t="s">
        <v>2646</v>
      </c>
      <c r="H536" s="3" t="s">
        <v>160</v>
      </c>
      <c r="I536" s="3" t="str">
        <f t="shared" si="55"/>
        <v>tmt6_131</v>
      </c>
      <c r="J536" s="3" t="str">
        <f t="shared" si="56"/>
        <v>att_tmt_channel:tmt6_131</v>
      </c>
    </row>
    <row r="539" spans="3:10">
      <c r="C539" s="3" t="s">
        <v>2645</v>
      </c>
      <c r="D539" s="3">
        <v>126</v>
      </c>
      <c r="F539" s="3" t="s">
        <v>2649</v>
      </c>
      <c r="G539" s="3" t="s">
        <v>2646</v>
      </c>
      <c r="H539" s="3" t="s">
        <v>160</v>
      </c>
      <c r="I539" s="3" t="str">
        <f t="shared" ref="I539:I556" si="57">"tmt18_"&amp;D539</f>
        <v>tmt18_126</v>
      </c>
      <c r="J539" s="3" t="str">
        <f t="shared" ref="J539:J556" si="58">H539&amp;":"&amp;I539</f>
        <v>att_tmt_channel:tmt18_126</v>
      </c>
    </row>
    <row r="540" spans="3:10">
      <c r="C540" s="3" t="s">
        <v>2645</v>
      </c>
      <c r="D540" s="3" t="s">
        <v>2301</v>
      </c>
      <c r="F540" s="3" t="s">
        <v>2649</v>
      </c>
      <c r="G540" s="3" t="s">
        <v>2646</v>
      </c>
      <c r="H540" s="3" t="s">
        <v>160</v>
      </c>
      <c r="I540" s="3" t="str">
        <f t="shared" si="57"/>
        <v>tmt18_127N</v>
      </c>
      <c r="J540" s="3" t="str">
        <f t="shared" si="58"/>
        <v>att_tmt_channel:tmt18_127N</v>
      </c>
    </row>
    <row r="541" spans="3:10">
      <c r="C541" s="3" t="s">
        <v>2645</v>
      </c>
      <c r="D541" s="3" t="s">
        <v>2299</v>
      </c>
      <c r="F541" s="3" t="s">
        <v>2649</v>
      </c>
      <c r="G541" s="3" t="s">
        <v>2646</v>
      </c>
      <c r="H541" s="3" t="s">
        <v>160</v>
      </c>
      <c r="I541" s="3" t="str">
        <f t="shared" si="57"/>
        <v>tmt18_127C</v>
      </c>
      <c r="J541" s="3" t="str">
        <f t="shared" si="58"/>
        <v>att_tmt_channel:tmt18_127C</v>
      </c>
    </row>
    <row r="542" spans="3:10">
      <c r="C542" s="3" t="s">
        <v>2645</v>
      </c>
      <c r="D542" s="3" t="s">
        <v>2305</v>
      </c>
      <c r="F542" s="3" t="s">
        <v>2649</v>
      </c>
      <c r="G542" s="3" t="s">
        <v>2646</v>
      </c>
      <c r="H542" s="3" t="s">
        <v>160</v>
      </c>
      <c r="I542" s="3" t="str">
        <f t="shared" si="57"/>
        <v>tmt18_128N</v>
      </c>
      <c r="J542" s="3" t="str">
        <f t="shared" si="58"/>
        <v>att_tmt_channel:tmt18_128N</v>
      </c>
    </row>
    <row r="543" spans="3:10">
      <c r="C543" s="3" t="s">
        <v>2645</v>
      </c>
      <c r="D543" s="3" t="s">
        <v>2303</v>
      </c>
      <c r="F543" s="3" t="s">
        <v>2649</v>
      </c>
      <c r="G543" s="3" t="s">
        <v>2646</v>
      </c>
      <c r="H543" s="3" t="s">
        <v>160</v>
      </c>
      <c r="I543" s="3" t="str">
        <f t="shared" si="57"/>
        <v>tmt18_128C</v>
      </c>
      <c r="J543" s="3" t="str">
        <f t="shared" si="58"/>
        <v>att_tmt_channel:tmt18_128C</v>
      </c>
    </row>
    <row r="544" spans="3:10">
      <c r="C544" s="3" t="s">
        <v>2645</v>
      </c>
      <c r="D544" s="3" t="s">
        <v>2309</v>
      </c>
      <c r="F544" s="3" t="s">
        <v>2649</v>
      </c>
      <c r="G544" s="3" t="s">
        <v>2646</v>
      </c>
      <c r="H544" s="3" t="s">
        <v>160</v>
      </c>
      <c r="I544" s="3" t="str">
        <f t="shared" si="57"/>
        <v>tmt18_129N</v>
      </c>
      <c r="J544" s="3" t="str">
        <f t="shared" si="58"/>
        <v>att_tmt_channel:tmt18_129N</v>
      </c>
    </row>
    <row r="545" spans="3:10">
      <c r="C545" s="3" t="s">
        <v>2645</v>
      </c>
      <c r="D545" s="3" t="s">
        <v>2307</v>
      </c>
      <c r="F545" s="3" t="s">
        <v>2649</v>
      </c>
      <c r="G545" s="3" t="s">
        <v>2646</v>
      </c>
      <c r="H545" s="3" t="s">
        <v>160</v>
      </c>
      <c r="I545" s="3" t="str">
        <f t="shared" si="57"/>
        <v>tmt18_129C</v>
      </c>
      <c r="J545" s="3" t="str">
        <f t="shared" si="58"/>
        <v>att_tmt_channel:tmt18_129C</v>
      </c>
    </row>
    <row r="546" spans="3:10">
      <c r="C546" s="3" t="s">
        <v>2645</v>
      </c>
      <c r="D546" s="3" t="s">
        <v>2313</v>
      </c>
      <c r="F546" s="3" t="s">
        <v>2649</v>
      </c>
      <c r="G546" s="3" t="s">
        <v>2646</v>
      </c>
      <c r="H546" s="3" t="s">
        <v>160</v>
      </c>
      <c r="I546" s="3" t="str">
        <f t="shared" si="57"/>
        <v>tmt18_130N</v>
      </c>
      <c r="J546" s="3" t="str">
        <f t="shared" si="58"/>
        <v>att_tmt_channel:tmt18_130N</v>
      </c>
    </row>
    <row r="547" spans="3:10">
      <c r="C547" s="3" t="s">
        <v>2645</v>
      </c>
      <c r="D547" s="3" t="s">
        <v>2311</v>
      </c>
      <c r="F547" s="3" t="s">
        <v>2649</v>
      </c>
      <c r="G547" s="3" t="s">
        <v>2646</v>
      </c>
      <c r="H547" s="3" t="s">
        <v>160</v>
      </c>
      <c r="I547" s="3" t="str">
        <f t="shared" si="57"/>
        <v>tmt18_130C</v>
      </c>
      <c r="J547" s="3" t="str">
        <f t="shared" si="58"/>
        <v>att_tmt_channel:tmt18_130C</v>
      </c>
    </row>
    <row r="548" spans="3:10">
      <c r="C548" s="3" t="s">
        <v>2645</v>
      </c>
      <c r="D548" s="3" t="s">
        <v>2327</v>
      </c>
      <c r="F548" s="3" t="s">
        <v>2649</v>
      </c>
      <c r="G548" s="3" t="s">
        <v>2646</v>
      </c>
      <c r="H548" s="3" t="s">
        <v>160</v>
      </c>
      <c r="I548" s="3" t="str">
        <f t="shared" si="57"/>
        <v>tmt18_131N</v>
      </c>
      <c r="J548" s="3" t="str">
        <f t="shared" si="58"/>
        <v>att_tmt_channel:tmt18_131N</v>
      </c>
    </row>
    <row r="549" spans="3:10">
      <c r="C549" s="3" t="s">
        <v>2645</v>
      </c>
      <c r="D549" s="3" t="s">
        <v>2325</v>
      </c>
      <c r="F549" s="3" t="s">
        <v>2649</v>
      </c>
      <c r="G549" s="3" t="s">
        <v>2646</v>
      </c>
      <c r="H549" s="3" t="s">
        <v>160</v>
      </c>
      <c r="I549" s="3" t="str">
        <f t="shared" si="57"/>
        <v>tmt18_131C</v>
      </c>
      <c r="J549" s="3" t="str">
        <f t="shared" si="58"/>
        <v>att_tmt_channel:tmt18_131C</v>
      </c>
    </row>
    <row r="550" spans="3:10">
      <c r="C550" s="3" t="s">
        <v>2645</v>
      </c>
      <c r="D550" s="3" t="s">
        <v>2342</v>
      </c>
      <c r="F550" s="3" t="s">
        <v>2649</v>
      </c>
      <c r="G550" s="3" t="s">
        <v>2646</v>
      </c>
      <c r="H550" s="3" t="s">
        <v>160</v>
      </c>
      <c r="I550" s="3" t="str">
        <f t="shared" si="57"/>
        <v>tmt18_132N</v>
      </c>
      <c r="J550" s="3" t="str">
        <f t="shared" si="58"/>
        <v>att_tmt_channel:tmt18_132N</v>
      </c>
    </row>
    <row r="551" spans="3:10">
      <c r="C551" s="3" t="s">
        <v>2645</v>
      </c>
      <c r="D551" s="3" t="s">
        <v>2340</v>
      </c>
      <c r="F551" s="3" t="s">
        <v>2649</v>
      </c>
      <c r="G551" s="3" t="s">
        <v>2646</v>
      </c>
      <c r="H551" s="3" t="s">
        <v>160</v>
      </c>
      <c r="I551" s="3" t="str">
        <f t="shared" si="57"/>
        <v>tmt18_132C</v>
      </c>
      <c r="J551" s="3" t="str">
        <f t="shared" si="58"/>
        <v>att_tmt_channel:tmt18_132C</v>
      </c>
    </row>
    <row r="552" spans="3:10">
      <c r="C552" s="3" t="s">
        <v>2645</v>
      </c>
      <c r="D552" s="3" t="s">
        <v>2346</v>
      </c>
      <c r="F552" s="3" t="s">
        <v>2649</v>
      </c>
      <c r="G552" s="3" t="s">
        <v>2646</v>
      </c>
      <c r="H552" s="3" t="s">
        <v>160</v>
      </c>
      <c r="I552" s="3" t="str">
        <f t="shared" si="57"/>
        <v>tmt18_133N</v>
      </c>
      <c r="J552" s="3" t="str">
        <f t="shared" si="58"/>
        <v>att_tmt_channel:tmt18_133N</v>
      </c>
    </row>
    <row r="553" spans="3:10">
      <c r="C553" s="3" t="s">
        <v>2645</v>
      </c>
      <c r="D553" s="3" t="s">
        <v>2344</v>
      </c>
      <c r="F553" s="3" t="s">
        <v>2649</v>
      </c>
      <c r="G553" s="3" t="s">
        <v>2646</v>
      </c>
      <c r="H553" s="3" t="s">
        <v>160</v>
      </c>
      <c r="I553" s="3" t="str">
        <f t="shared" si="57"/>
        <v>tmt18_133C</v>
      </c>
      <c r="J553" s="3" t="str">
        <f t="shared" si="58"/>
        <v>att_tmt_channel:tmt18_133C</v>
      </c>
    </row>
    <row r="554" spans="3:10">
      <c r="C554" s="3" t="s">
        <v>2645</v>
      </c>
      <c r="D554" s="3" t="s">
        <v>2350</v>
      </c>
      <c r="F554" s="3" t="s">
        <v>2649</v>
      </c>
      <c r="G554" s="3" t="s">
        <v>2646</v>
      </c>
      <c r="H554" s="3" t="s">
        <v>160</v>
      </c>
      <c r="I554" s="3" t="str">
        <f t="shared" si="57"/>
        <v>tmt18_134N</v>
      </c>
      <c r="J554" s="3" t="str">
        <f t="shared" si="58"/>
        <v>att_tmt_channel:tmt18_134N</v>
      </c>
    </row>
    <row r="555" spans="3:10">
      <c r="C555" s="3" t="s">
        <v>2645</v>
      </c>
      <c r="D555" s="3" t="s">
        <v>2348</v>
      </c>
      <c r="F555" s="3" t="s">
        <v>2649</v>
      </c>
      <c r="G555" s="3" t="s">
        <v>2646</v>
      </c>
      <c r="H555" s="3" t="s">
        <v>160</v>
      </c>
      <c r="I555" s="3" t="str">
        <f t="shared" si="57"/>
        <v>tmt18_134C</v>
      </c>
      <c r="J555" s="3" t="str">
        <f t="shared" si="58"/>
        <v>att_tmt_channel:tmt18_134C</v>
      </c>
    </row>
    <row r="556" spans="3:10">
      <c r="C556" s="3" t="s">
        <v>2645</v>
      </c>
      <c r="D556" s="3" t="s">
        <v>2352</v>
      </c>
      <c r="F556" s="3" t="s">
        <v>2649</v>
      </c>
      <c r="G556" s="3" t="s">
        <v>2646</v>
      </c>
      <c r="H556" s="3" t="s">
        <v>160</v>
      </c>
      <c r="I556" s="3" t="str">
        <f t="shared" si="57"/>
        <v>tmt18_135N</v>
      </c>
      <c r="J556" s="3" t="str">
        <f t="shared" si="58"/>
        <v>att_tmt_channel:tmt18_135N</v>
      </c>
    </row>
    <row r="562" spans="3:10">
      <c r="C562" s="3" t="s">
        <v>2650</v>
      </c>
      <c r="D562" s="3" t="s">
        <v>2372</v>
      </c>
      <c r="F562" s="3" t="s">
        <v>2651</v>
      </c>
      <c r="G562" s="3" t="s">
        <v>2652</v>
      </c>
      <c r="H562" s="3" t="s">
        <v>2653</v>
      </c>
      <c r="I562" s="3" t="s">
        <v>2371</v>
      </c>
      <c r="J562" s="3" t="str">
        <f>H562&amp;":"&amp;I562</f>
        <v>att_user_group:mitoprotea</v>
      </c>
    </row>
    <row r="563" spans="3:10">
      <c r="C563" s="3" t="s">
        <v>2650</v>
      </c>
      <c r="D563" s="3" t="s">
        <v>2375</v>
      </c>
      <c r="F563" s="3" t="s">
        <v>2651</v>
      </c>
      <c r="G563" s="3" t="s">
        <v>2652</v>
      </c>
      <c r="H563" s="3" t="s">
        <v>2653</v>
      </c>
      <c r="I563" s="3" t="s">
        <v>2374</v>
      </c>
      <c r="J563" s="3" t="str">
        <f>H563&amp;":"&amp;I563</f>
        <v>att_user_group:molageing</v>
      </c>
    </row>
    <row r="566" spans="3:10">
      <c r="C566" s="3" t="s">
        <v>2654</v>
      </c>
      <c r="D566" s="3" t="s">
        <v>2366</v>
      </c>
      <c r="F566" s="3" t="s">
        <v>168</v>
      </c>
      <c r="G566" s="3" t="s">
        <v>2655</v>
      </c>
      <c r="H566" s="3" t="s">
        <v>167</v>
      </c>
      <c r="I566" s="3" t="s">
        <v>2365</v>
      </c>
      <c r="J566" s="3" t="str">
        <f>H566&amp;":"&amp;I566</f>
        <v>att_user_institute:mpiage</v>
      </c>
    </row>
    <row r="567" spans="3:10">
      <c r="C567" s="3" t="s">
        <v>2654</v>
      </c>
      <c r="D567" s="3" t="s">
        <v>2363</v>
      </c>
      <c r="F567" s="3" t="s">
        <v>168</v>
      </c>
      <c r="G567" s="3" t="s">
        <v>2655</v>
      </c>
      <c r="H567" s="3" t="s">
        <v>167</v>
      </c>
      <c r="I567" s="3" t="s">
        <v>2362</v>
      </c>
      <c r="J567" s="3" t="str">
        <f>H567&amp;":"&amp;I567</f>
        <v>att_user_institute:cecad</v>
      </c>
    </row>
    <row r="568" spans="3:10">
      <c r="C568" s="3" t="s">
        <v>2654</v>
      </c>
      <c r="D568" s="3" t="s">
        <v>2369</v>
      </c>
      <c r="F568" s="3" t="s">
        <v>168</v>
      </c>
      <c r="G568" s="3" t="s">
        <v>2655</v>
      </c>
      <c r="H568" s="3" t="s">
        <v>167</v>
      </c>
      <c r="I568" s="3" t="s">
        <v>2368</v>
      </c>
      <c r="J568" s="3" t="str">
        <f>H568&amp;":"&amp;I568</f>
        <v>att_user_institute:mpimetab</v>
      </c>
    </row>
    <row r="569" spans="3:10">
      <c r="C569" s="3" t="s">
        <v>2654</v>
      </c>
      <c r="D569" s="3" t="s">
        <v>2360</v>
      </c>
      <c r="F569" s="3" t="s">
        <v>168</v>
      </c>
      <c r="G569" s="3" t="s">
        <v>2655</v>
      </c>
      <c r="H569" s="3" t="s">
        <v>167</v>
      </c>
      <c r="I569" s="3" t="s">
        <v>2359</v>
      </c>
      <c r="J569" s="3"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sheetData>
    <row r="1" spans="1:2">
      <c r="B1" t="s">
        <v>2656</v>
      </c>
    </row>
    <row r="3" spans="1:2">
      <c r="A3">
        <v>-2</v>
      </c>
      <c r="B3" t="s">
        <v>2657</v>
      </c>
    </row>
    <row r="4" spans="1:2">
      <c r="A4">
        <v>-1</v>
      </c>
      <c r="B4" t="s">
        <v>2658</v>
      </c>
    </row>
    <row r="5" spans="1:2">
      <c r="A5">
        <v>0</v>
      </c>
      <c r="B5" t="s">
        <v>2659</v>
      </c>
    </row>
    <row r="6" spans="1:2">
      <c r="A6">
        <v>1</v>
      </c>
      <c r="B6" t="s">
        <v>2660</v>
      </c>
    </row>
    <row r="7" spans="1:2">
      <c r="A7">
        <v>2</v>
      </c>
      <c r="B7" t="s">
        <v>2661</v>
      </c>
    </row>
    <row r="8" spans="1:2">
      <c r="A8">
        <v>3</v>
      </c>
      <c r="B8" t="s">
        <v>2662</v>
      </c>
    </row>
    <row r="9" spans="1:2">
      <c r="A9">
        <v>4</v>
      </c>
      <c r="B9" t="s">
        <v>2663</v>
      </c>
    </row>
    <row r="10" spans="1:2">
      <c r="A10">
        <v>5</v>
      </c>
      <c r="B10" t="s">
        <v>2664</v>
      </c>
    </row>
    <row r="12" spans="1:2">
      <c r="B12" t="s">
        <v>2665</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2026-07-08T14:38:58Z</dcterms:modified>
  <dc:language>en-GB</dc:language>
</cp:coreProperties>
</file>