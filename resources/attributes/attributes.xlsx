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166925"/>
  <mc:AlternateContent xmlns:mc="http://schemas.openxmlformats.org/markup-compatibility/2006">
    <mc:Choice Requires="x15">
      <x15ac:absPath xmlns:x15ac="http://schemas.microsoft.com/office/spreadsheetml/2010/11/ac" url="/Users/hnolte/Documents/GitHub/mitocube-backend/resources/attributes/"/>
    </mc:Choice>
  </mc:AlternateContent>
  <xr:revisionPtr revIDLastSave="0" documentId="13_ncr:1_{641532D4-86E4-F244-8D0E-A4756599532E}" xr6:coauthVersionLast="47" xr6:coauthVersionMax="47" xr10:uidLastSave="{00000000-0000-0000-0000-000000000000}"/>
  <bookViews>
    <workbookView xWindow="11580" yWindow="8600" windowWidth="35840" windowHeight="19620" tabRatio="500" xr2:uid="{00000000-000D-0000-FFFF-FFFF00000000}"/>
  </bookViews>
  <sheets>
    <sheet name="attributes" sheetId="1" r:id="rId1"/>
    <sheet name="attribute_values" sheetId="2" r:id="rId2"/>
    <sheet name="Sheet4" sheetId="9" r:id="rId3"/>
    <sheet name="Sheet3" sheetId="7" r:id="rId4"/>
    <sheet name="Sheet1" sheetId="6" r:id="rId5"/>
    <sheet name="attribute_values_ar" sheetId="3" r:id="rId6"/>
    <sheet name="STATES" sheetId="5" r:id="rId7"/>
  </sheets>
  <definedNames>
    <definedName name="_xlnm._FilterDatabase" localSheetId="5" hidden="1">attribute_values_ar!$A$1:$O$365</definedName>
    <definedName name="_xlnm._FilterDatabase" localSheetId="0" hidden="1">attributes!$A$1:$AMI$108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2" i="1"/>
  <c r="V3" i="1" l="1"/>
  <c r="W3" i="1"/>
  <c r="X3" i="1"/>
  <c r="Y3" i="1"/>
  <c r="Z3" i="1"/>
  <c r="AA3" i="1"/>
  <c r="AB3" i="1"/>
  <c r="V4" i="1"/>
  <c r="W4" i="1"/>
  <c r="X4" i="1"/>
  <c r="Y4" i="1"/>
  <c r="Z4" i="1"/>
  <c r="AA4" i="1"/>
  <c r="AB4" i="1"/>
  <c r="V5" i="1"/>
  <c r="W5" i="1"/>
  <c r="X5" i="1"/>
  <c r="Y5" i="1"/>
  <c r="Z5" i="1"/>
  <c r="AA5" i="1"/>
  <c r="AB5" i="1"/>
  <c r="V6" i="1"/>
  <c r="W6" i="1"/>
  <c r="X6" i="1"/>
  <c r="Y6" i="1"/>
  <c r="Z6" i="1"/>
  <c r="AA6" i="1"/>
  <c r="AB6" i="1"/>
  <c r="V7" i="1"/>
  <c r="W7" i="1"/>
  <c r="X7" i="1"/>
  <c r="Y7" i="1"/>
  <c r="Z7" i="1"/>
  <c r="AA7" i="1"/>
  <c r="AB7" i="1"/>
  <c r="V8" i="1"/>
  <c r="W8" i="1"/>
  <c r="X8" i="1"/>
  <c r="Y8" i="1"/>
  <c r="Z8" i="1"/>
  <c r="AA8" i="1"/>
  <c r="AB8" i="1"/>
  <c r="V9" i="1"/>
  <c r="W9" i="1"/>
  <c r="X9" i="1"/>
  <c r="Y9" i="1"/>
  <c r="Z9" i="1"/>
  <c r="AA9" i="1"/>
  <c r="AB9" i="1"/>
  <c r="V10" i="1"/>
  <c r="W10" i="1"/>
  <c r="X10" i="1"/>
  <c r="Y10" i="1"/>
  <c r="Z10" i="1"/>
  <c r="AA10" i="1"/>
  <c r="AB10" i="1"/>
  <c r="V11" i="1"/>
  <c r="W11" i="1"/>
  <c r="X11" i="1"/>
  <c r="Y11" i="1"/>
  <c r="Z11" i="1"/>
  <c r="AA11" i="1"/>
  <c r="AB11" i="1"/>
  <c r="V12" i="1"/>
  <c r="W12" i="1"/>
  <c r="X12" i="1"/>
  <c r="Y12" i="1"/>
  <c r="Z12" i="1"/>
  <c r="AA12" i="1"/>
  <c r="AB12" i="1"/>
  <c r="V13" i="1"/>
  <c r="W13" i="1"/>
  <c r="X13" i="1"/>
  <c r="Y13" i="1"/>
  <c r="Z13" i="1"/>
  <c r="AA13" i="1"/>
  <c r="AB13" i="1"/>
  <c r="V14" i="1"/>
  <c r="W14" i="1"/>
  <c r="X14" i="1"/>
  <c r="Y14" i="1"/>
  <c r="Z14" i="1"/>
  <c r="AA14" i="1"/>
  <c r="AB14" i="1"/>
  <c r="V15" i="1"/>
  <c r="W15" i="1"/>
  <c r="X15" i="1"/>
  <c r="Y15" i="1"/>
  <c r="Z15" i="1"/>
  <c r="AA15" i="1"/>
  <c r="AB15" i="1"/>
  <c r="V16" i="1"/>
  <c r="W16" i="1"/>
  <c r="X16" i="1"/>
  <c r="Y16" i="1"/>
  <c r="Z16" i="1"/>
  <c r="AA16" i="1"/>
  <c r="AB16" i="1"/>
  <c r="V17" i="1"/>
  <c r="W17" i="1"/>
  <c r="X17" i="1"/>
  <c r="Y17" i="1"/>
  <c r="Z17" i="1"/>
  <c r="AA17" i="1"/>
  <c r="AB17" i="1"/>
  <c r="V18" i="1"/>
  <c r="W18" i="1"/>
  <c r="X18" i="1"/>
  <c r="Y18" i="1"/>
  <c r="Z18" i="1"/>
  <c r="AA18" i="1"/>
  <c r="AB18" i="1"/>
  <c r="V19" i="1"/>
  <c r="W19" i="1"/>
  <c r="X19" i="1"/>
  <c r="Y19" i="1"/>
  <c r="Z19" i="1"/>
  <c r="AA19" i="1"/>
  <c r="AB19" i="1"/>
  <c r="V20" i="1"/>
  <c r="W20" i="1"/>
  <c r="X20" i="1"/>
  <c r="Y20" i="1"/>
  <c r="Z20" i="1"/>
  <c r="AA20" i="1"/>
  <c r="AB20" i="1"/>
  <c r="V21" i="1"/>
  <c r="W21" i="1"/>
  <c r="X21" i="1"/>
  <c r="Y21" i="1"/>
  <c r="Z21" i="1"/>
  <c r="AA21" i="1"/>
  <c r="AB21" i="1"/>
  <c r="V22" i="1"/>
  <c r="W22" i="1"/>
  <c r="X22" i="1"/>
  <c r="Y22" i="1"/>
  <c r="Z22" i="1"/>
  <c r="AA22" i="1"/>
  <c r="AB22" i="1"/>
  <c r="V23" i="1"/>
  <c r="W23" i="1"/>
  <c r="X23" i="1"/>
  <c r="Y23" i="1"/>
  <c r="Z23" i="1"/>
  <c r="AA23" i="1"/>
  <c r="AB23" i="1"/>
  <c r="V24" i="1"/>
  <c r="W24" i="1"/>
  <c r="X24" i="1"/>
  <c r="Y24" i="1"/>
  <c r="Z24" i="1"/>
  <c r="AA24" i="1"/>
  <c r="AB24" i="1"/>
  <c r="V25" i="1"/>
  <c r="W25" i="1"/>
  <c r="X25" i="1"/>
  <c r="Y25" i="1"/>
  <c r="Z25" i="1"/>
  <c r="AA25" i="1"/>
  <c r="AB25" i="1"/>
  <c r="V26" i="1"/>
  <c r="W26" i="1"/>
  <c r="X26" i="1"/>
  <c r="Y26" i="1"/>
  <c r="Z26" i="1"/>
  <c r="AA26" i="1"/>
  <c r="AB26" i="1"/>
  <c r="V27" i="1"/>
  <c r="W27" i="1"/>
  <c r="X27" i="1"/>
  <c r="Y27" i="1"/>
  <c r="Z27" i="1"/>
  <c r="AA27" i="1"/>
  <c r="AB27" i="1"/>
  <c r="V28" i="1"/>
  <c r="W28" i="1"/>
  <c r="X28" i="1"/>
  <c r="Y28" i="1"/>
  <c r="Z28" i="1"/>
  <c r="AA28" i="1"/>
  <c r="AB28" i="1"/>
  <c r="V29" i="1"/>
  <c r="W29" i="1"/>
  <c r="X29" i="1"/>
  <c r="Y29" i="1"/>
  <c r="Z29" i="1"/>
  <c r="AA29" i="1"/>
  <c r="AB29" i="1"/>
  <c r="V30" i="1"/>
  <c r="W30" i="1"/>
  <c r="X30" i="1"/>
  <c r="Y30" i="1"/>
  <c r="Z30" i="1"/>
  <c r="AA30" i="1"/>
  <c r="AB30" i="1"/>
  <c r="V31" i="1"/>
  <c r="W31" i="1"/>
  <c r="X31" i="1"/>
  <c r="Y31" i="1"/>
  <c r="Z31" i="1"/>
  <c r="AA31" i="1"/>
  <c r="AB31" i="1"/>
  <c r="V32" i="1"/>
  <c r="W32" i="1"/>
  <c r="X32" i="1"/>
  <c r="Y32" i="1"/>
  <c r="Z32" i="1"/>
  <c r="AA32" i="1"/>
  <c r="AB32" i="1"/>
  <c r="V33" i="1"/>
  <c r="W33" i="1"/>
  <c r="X33" i="1"/>
  <c r="Y33" i="1"/>
  <c r="Z33" i="1"/>
  <c r="AA33" i="1"/>
  <c r="AB33" i="1"/>
  <c r="V34" i="1"/>
  <c r="W34" i="1"/>
  <c r="X34" i="1"/>
  <c r="Y34" i="1"/>
  <c r="Z34" i="1"/>
  <c r="AA34" i="1"/>
  <c r="AB34" i="1"/>
  <c r="V35" i="1"/>
  <c r="W35" i="1"/>
  <c r="X35" i="1"/>
  <c r="Y35" i="1"/>
  <c r="Z35" i="1"/>
  <c r="AA35" i="1"/>
  <c r="AB35" i="1"/>
  <c r="V36" i="1"/>
  <c r="W36" i="1"/>
  <c r="X36" i="1"/>
  <c r="Y36" i="1"/>
  <c r="Z36" i="1"/>
  <c r="AA36" i="1"/>
  <c r="AB36" i="1"/>
  <c r="V37" i="1"/>
  <c r="W37" i="1"/>
  <c r="X37" i="1"/>
  <c r="Y37" i="1"/>
  <c r="Z37" i="1"/>
  <c r="AA37" i="1"/>
  <c r="AB37" i="1"/>
  <c r="V38" i="1"/>
  <c r="W38" i="1"/>
  <c r="X38" i="1"/>
  <c r="Y38" i="1"/>
  <c r="Z38" i="1"/>
  <c r="AA38" i="1"/>
  <c r="AB38" i="1"/>
  <c r="V39" i="1"/>
  <c r="W39" i="1"/>
  <c r="X39" i="1"/>
  <c r="Y39" i="1"/>
  <c r="Z39" i="1"/>
  <c r="AA39" i="1"/>
  <c r="AB39" i="1"/>
  <c r="V40" i="1"/>
  <c r="W40" i="1"/>
  <c r="X40" i="1"/>
  <c r="Y40" i="1"/>
  <c r="Z40" i="1"/>
  <c r="AA40" i="1"/>
  <c r="AB40" i="1"/>
  <c r="V41" i="1"/>
  <c r="W41" i="1"/>
  <c r="X41" i="1"/>
  <c r="Y41" i="1"/>
  <c r="Z41" i="1"/>
  <c r="AA41" i="1"/>
  <c r="AB41" i="1"/>
  <c r="V42" i="1"/>
  <c r="W42" i="1"/>
  <c r="X42" i="1"/>
  <c r="Y42" i="1"/>
  <c r="Z42" i="1"/>
  <c r="AA42" i="1"/>
  <c r="AB42" i="1"/>
  <c r="V43" i="1"/>
  <c r="W43" i="1"/>
  <c r="X43" i="1"/>
  <c r="Y43" i="1"/>
  <c r="Z43" i="1"/>
  <c r="AA43" i="1"/>
  <c r="AB43" i="1"/>
  <c r="V44" i="1"/>
  <c r="W44" i="1"/>
  <c r="X44" i="1"/>
  <c r="Y44" i="1"/>
  <c r="Z44" i="1"/>
  <c r="AA44" i="1"/>
  <c r="AB44" i="1"/>
  <c r="V45" i="1"/>
  <c r="W45" i="1"/>
  <c r="X45" i="1"/>
  <c r="Y45" i="1"/>
  <c r="Z45" i="1"/>
  <c r="AA45" i="1"/>
  <c r="AB45" i="1"/>
  <c r="V46" i="1"/>
  <c r="W46" i="1"/>
  <c r="X46" i="1"/>
  <c r="Y46" i="1"/>
  <c r="Z46" i="1"/>
  <c r="AA46" i="1"/>
  <c r="AB46" i="1"/>
  <c r="V47" i="1"/>
  <c r="W47" i="1"/>
  <c r="X47" i="1"/>
  <c r="Y47" i="1"/>
  <c r="Z47" i="1"/>
  <c r="AA47" i="1"/>
  <c r="AB47" i="1"/>
  <c r="V48" i="1"/>
  <c r="W48" i="1"/>
  <c r="X48" i="1"/>
  <c r="Y48" i="1"/>
  <c r="Z48" i="1"/>
  <c r="AA48" i="1"/>
  <c r="AB48" i="1"/>
  <c r="V49" i="1"/>
  <c r="W49" i="1"/>
  <c r="X49" i="1"/>
  <c r="Y49" i="1"/>
  <c r="Z49" i="1"/>
  <c r="AA49" i="1"/>
  <c r="AB49" i="1"/>
  <c r="V50" i="1"/>
  <c r="W50" i="1"/>
  <c r="X50" i="1"/>
  <c r="Y50" i="1"/>
  <c r="Z50" i="1"/>
  <c r="AA50" i="1"/>
  <c r="AB50" i="1"/>
  <c r="V51" i="1"/>
  <c r="W51" i="1"/>
  <c r="X51" i="1"/>
  <c r="Y51" i="1"/>
  <c r="Z51" i="1"/>
  <c r="AA51" i="1"/>
  <c r="AB51" i="1"/>
  <c r="V52" i="1"/>
  <c r="W52" i="1"/>
  <c r="X52" i="1"/>
  <c r="Y52" i="1"/>
  <c r="Z52" i="1"/>
  <c r="AA52" i="1"/>
  <c r="AB52" i="1"/>
  <c r="V53" i="1"/>
  <c r="W53" i="1"/>
  <c r="X53" i="1"/>
  <c r="Y53" i="1"/>
  <c r="Z53" i="1"/>
  <c r="AA53" i="1"/>
  <c r="AB53" i="1"/>
  <c r="V54" i="1"/>
  <c r="W54" i="1"/>
  <c r="X54" i="1"/>
  <c r="Y54" i="1"/>
  <c r="Z54" i="1"/>
  <c r="AA54" i="1"/>
  <c r="AB54" i="1"/>
  <c r="V55" i="1"/>
  <c r="W55" i="1"/>
  <c r="X55" i="1"/>
  <c r="Y55" i="1"/>
  <c r="Z55" i="1"/>
  <c r="AA55" i="1"/>
  <c r="AB55" i="1"/>
  <c r="V56" i="1"/>
  <c r="W56" i="1"/>
  <c r="X56" i="1"/>
  <c r="Y56" i="1"/>
  <c r="Z56" i="1"/>
  <c r="AA56" i="1"/>
  <c r="AB56" i="1"/>
  <c r="V57" i="1"/>
  <c r="W57" i="1"/>
  <c r="X57" i="1"/>
  <c r="Y57" i="1"/>
  <c r="Z57" i="1"/>
  <c r="AA57" i="1"/>
  <c r="AB57" i="1"/>
  <c r="V58" i="1"/>
  <c r="W58" i="1"/>
  <c r="X58" i="1"/>
  <c r="Y58" i="1"/>
  <c r="Z58" i="1"/>
  <c r="AA58" i="1"/>
  <c r="AB58" i="1"/>
  <c r="V59" i="1"/>
  <c r="W59" i="1"/>
  <c r="X59" i="1"/>
  <c r="Y59" i="1"/>
  <c r="Z59" i="1"/>
  <c r="AA59" i="1"/>
  <c r="AB59" i="1"/>
  <c r="V60" i="1"/>
  <c r="W60" i="1"/>
  <c r="X60" i="1"/>
  <c r="Y60" i="1"/>
  <c r="Z60" i="1"/>
  <c r="AA60" i="1"/>
  <c r="AB60" i="1"/>
  <c r="V61" i="1"/>
  <c r="W61" i="1"/>
  <c r="X61" i="1"/>
  <c r="Y61" i="1"/>
  <c r="Z61" i="1"/>
  <c r="AA61" i="1"/>
  <c r="AB61" i="1"/>
  <c r="V62" i="1"/>
  <c r="W62" i="1"/>
  <c r="X62" i="1"/>
  <c r="Y62" i="1"/>
  <c r="Z62" i="1"/>
  <c r="AA62" i="1"/>
  <c r="AB62" i="1"/>
  <c r="V63" i="1"/>
  <c r="W63" i="1"/>
  <c r="X63" i="1"/>
  <c r="Y63" i="1"/>
  <c r="Z63" i="1"/>
  <c r="AA63" i="1"/>
  <c r="AB63" i="1"/>
  <c r="V64" i="1"/>
  <c r="W64" i="1"/>
  <c r="X64" i="1"/>
  <c r="Y64" i="1"/>
  <c r="Z64" i="1"/>
  <c r="AA64" i="1"/>
  <c r="AB64" i="1"/>
  <c r="V65" i="1"/>
  <c r="W65" i="1"/>
  <c r="X65" i="1"/>
  <c r="Y65" i="1"/>
  <c r="Z65" i="1"/>
  <c r="AA65" i="1"/>
  <c r="AB65" i="1"/>
  <c r="V66" i="1"/>
  <c r="W66" i="1"/>
  <c r="X66" i="1"/>
  <c r="Y66" i="1"/>
  <c r="Z66" i="1"/>
  <c r="AA66" i="1"/>
  <c r="AB66" i="1"/>
  <c r="V67" i="1"/>
  <c r="W67" i="1"/>
  <c r="X67" i="1"/>
  <c r="Y67" i="1"/>
  <c r="Z67" i="1"/>
  <c r="AA67" i="1"/>
  <c r="AB67" i="1"/>
  <c r="V68" i="1"/>
  <c r="W68" i="1"/>
  <c r="X68" i="1"/>
  <c r="Y68" i="1"/>
  <c r="Z68" i="1"/>
  <c r="AA68" i="1"/>
  <c r="AB68" i="1"/>
  <c r="V69" i="1"/>
  <c r="W69" i="1"/>
  <c r="X69" i="1"/>
  <c r="Y69" i="1"/>
  <c r="Z69" i="1"/>
  <c r="AA69" i="1"/>
  <c r="AB69" i="1"/>
  <c r="V70" i="1"/>
  <c r="W70" i="1"/>
  <c r="X70" i="1"/>
  <c r="Y70" i="1"/>
  <c r="Z70" i="1"/>
  <c r="AA70" i="1"/>
  <c r="AB70" i="1"/>
  <c r="V71" i="1"/>
  <c r="W71" i="1"/>
  <c r="X71" i="1"/>
  <c r="Y71" i="1"/>
  <c r="Z71" i="1"/>
  <c r="AA71" i="1"/>
  <c r="AB71" i="1"/>
  <c r="V72" i="1"/>
  <c r="W72" i="1"/>
  <c r="X72" i="1"/>
  <c r="Y72" i="1"/>
  <c r="Z72" i="1"/>
  <c r="AA72" i="1"/>
  <c r="AB72" i="1"/>
  <c r="V73" i="1"/>
  <c r="W73" i="1"/>
  <c r="X73" i="1"/>
  <c r="Y73" i="1"/>
  <c r="Z73" i="1"/>
  <c r="AA73" i="1"/>
  <c r="AB73" i="1"/>
  <c r="V74" i="1"/>
  <c r="W74" i="1"/>
  <c r="X74" i="1"/>
  <c r="Y74" i="1"/>
  <c r="Z74" i="1"/>
  <c r="AA74" i="1"/>
  <c r="AB74" i="1"/>
  <c r="V75" i="1"/>
  <c r="W75" i="1"/>
  <c r="X75" i="1"/>
  <c r="Y75" i="1"/>
  <c r="Z75" i="1"/>
  <c r="AA75" i="1"/>
  <c r="AB75" i="1"/>
  <c r="V76" i="1"/>
  <c r="W76" i="1"/>
  <c r="X76" i="1"/>
  <c r="Y76" i="1"/>
  <c r="Z76" i="1"/>
  <c r="AA76" i="1"/>
  <c r="AB76" i="1"/>
  <c r="V77" i="1"/>
  <c r="W77" i="1"/>
  <c r="X77" i="1"/>
  <c r="Y77" i="1"/>
  <c r="Z77" i="1"/>
  <c r="AA77" i="1"/>
  <c r="AB77" i="1"/>
  <c r="V78" i="1"/>
  <c r="W78" i="1"/>
  <c r="X78" i="1"/>
  <c r="Y78" i="1"/>
  <c r="Z78" i="1"/>
  <c r="AA78" i="1"/>
  <c r="AB78" i="1"/>
  <c r="V79" i="1"/>
  <c r="W79" i="1"/>
  <c r="X79" i="1"/>
  <c r="Y79" i="1"/>
  <c r="Z79" i="1"/>
  <c r="AA79" i="1"/>
  <c r="AB79" i="1"/>
  <c r="V80" i="1"/>
  <c r="W80" i="1"/>
  <c r="X80" i="1"/>
  <c r="Y80" i="1"/>
  <c r="Z80" i="1"/>
  <c r="AA80" i="1"/>
  <c r="AB80" i="1"/>
  <c r="V81" i="1"/>
  <c r="W81" i="1"/>
  <c r="X81" i="1"/>
  <c r="Y81" i="1"/>
  <c r="Z81" i="1"/>
  <c r="AA81" i="1"/>
  <c r="AB81" i="1"/>
  <c r="V82" i="1"/>
  <c r="W82" i="1"/>
  <c r="X82" i="1"/>
  <c r="Y82" i="1"/>
  <c r="Z82" i="1"/>
  <c r="AA82" i="1"/>
  <c r="AB82" i="1"/>
  <c r="V83" i="1"/>
  <c r="W83" i="1"/>
  <c r="X83" i="1"/>
  <c r="Y83" i="1"/>
  <c r="Z83" i="1"/>
  <c r="AA83" i="1"/>
  <c r="AB83" i="1"/>
  <c r="V84" i="1"/>
  <c r="W84" i="1"/>
  <c r="X84" i="1"/>
  <c r="Y84" i="1"/>
  <c r="Z84" i="1"/>
  <c r="AA84" i="1"/>
  <c r="AB84" i="1"/>
  <c r="V85" i="1"/>
  <c r="W85" i="1"/>
  <c r="X85" i="1"/>
  <c r="Y85" i="1"/>
  <c r="Z85" i="1"/>
  <c r="AA85" i="1"/>
  <c r="AB85" i="1"/>
  <c r="V86" i="1"/>
  <c r="W86" i="1"/>
  <c r="X86" i="1"/>
  <c r="Y86" i="1"/>
  <c r="Z86" i="1"/>
  <c r="AA86" i="1"/>
  <c r="AB86" i="1"/>
  <c r="V87" i="1"/>
  <c r="W87" i="1"/>
  <c r="X87" i="1"/>
  <c r="Y87" i="1"/>
  <c r="Z87" i="1"/>
  <c r="AA87" i="1"/>
  <c r="AB87" i="1"/>
  <c r="V88" i="1"/>
  <c r="W88" i="1"/>
  <c r="X88" i="1"/>
  <c r="Y88" i="1"/>
  <c r="Z88" i="1"/>
  <c r="AA88" i="1"/>
  <c r="AB88" i="1"/>
  <c r="V89" i="1"/>
  <c r="W89" i="1"/>
  <c r="X89" i="1"/>
  <c r="Y89" i="1"/>
  <c r="Z89" i="1"/>
  <c r="AA89" i="1"/>
  <c r="AB89" i="1"/>
  <c r="V90" i="1"/>
  <c r="W90" i="1"/>
  <c r="X90" i="1"/>
  <c r="Y90" i="1"/>
  <c r="Z90" i="1"/>
  <c r="AA90" i="1"/>
  <c r="AB90" i="1"/>
  <c r="V91" i="1"/>
  <c r="W91" i="1"/>
  <c r="X91" i="1"/>
  <c r="Y91" i="1"/>
  <c r="Z91" i="1"/>
  <c r="AA91" i="1"/>
  <c r="AB91" i="1"/>
  <c r="V92" i="1"/>
  <c r="W92" i="1"/>
  <c r="X92" i="1"/>
  <c r="Y92" i="1"/>
  <c r="Z92" i="1"/>
  <c r="AA92" i="1"/>
  <c r="AB92" i="1"/>
  <c r="V93" i="1"/>
  <c r="W93" i="1"/>
  <c r="X93" i="1"/>
  <c r="Y93" i="1"/>
  <c r="Z93" i="1"/>
  <c r="AA93" i="1"/>
  <c r="AB93" i="1"/>
  <c r="V94" i="1"/>
  <c r="W94" i="1"/>
  <c r="X94" i="1"/>
  <c r="Y94" i="1"/>
  <c r="Z94" i="1"/>
  <c r="AA94" i="1"/>
  <c r="AB94" i="1"/>
  <c r="V95" i="1"/>
  <c r="W95" i="1"/>
  <c r="X95" i="1"/>
  <c r="Y95" i="1"/>
  <c r="Z95" i="1"/>
  <c r="AA95" i="1"/>
  <c r="AB95" i="1"/>
  <c r="V96" i="1"/>
  <c r="W96" i="1"/>
  <c r="X96" i="1"/>
  <c r="Y96" i="1"/>
  <c r="Z96" i="1"/>
  <c r="AA96" i="1"/>
  <c r="AB96" i="1"/>
  <c r="V97" i="1"/>
  <c r="W97" i="1"/>
  <c r="X97" i="1"/>
  <c r="Y97" i="1"/>
  <c r="Z97" i="1"/>
  <c r="AA97" i="1"/>
  <c r="AB97" i="1"/>
  <c r="V98" i="1"/>
  <c r="W98" i="1"/>
  <c r="X98" i="1"/>
  <c r="Y98" i="1"/>
  <c r="Z98" i="1"/>
  <c r="AA98" i="1"/>
  <c r="AB98" i="1"/>
  <c r="V99" i="1"/>
  <c r="W99" i="1"/>
  <c r="X99" i="1"/>
  <c r="Y99" i="1"/>
  <c r="Z99" i="1"/>
  <c r="AA99" i="1"/>
  <c r="AB99" i="1"/>
  <c r="V100" i="1"/>
  <c r="W100" i="1"/>
  <c r="X100" i="1"/>
  <c r="Y100" i="1"/>
  <c r="Z100" i="1"/>
  <c r="AA100" i="1"/>
  <c r="AB100" i="1"/>
  <c r="V101" i="1"/>
  <c r="W101" i="1"/>
  <c r="X101" i="1"/>
  <c r="Y101" i="1"/>
  <c r="Z101" i="1"/>
  <c r="AA101" i="1"/>
  <c r="AB101" i="1"/>
  <c r="V102" i="1"/>
  <c r="W102" i="1"/>
  <c r="X102" i="1"/>
  <c r="Y102" i="1"/>
  <c r="Z102" i="1"/>
  <c r="AA102" i="1"/>
  <c r="AB102" i="1"/>
  <c r="V103" i="1"/>
  <c r="W103" i="1"/>
  <c r="X103" i="1"/>
  <c r="Y103" i="1"/>
  <c r="Z103" i="1"/>
  <c r="AA103" i="1"/>
  <c r="AB103" i="1"/>
  <c r="V104" i="1"/>
  <c r="W104" i="1"/>
  <c r="X104" i="1"/>
  <c r="Y104" i="1"/>
  <c r="Z104" i="1"/>
  <c r="AA104" i="1"/>
  <c r="AB104" i="1"/>
  <c r="V105" i="1"/>
  <c r="W105" i="1"/>
  <c r="X105" i="1"/>
  <c r="Y105" i="1"/>
  <c r="Z105" i="1"/>
  <c r="AA105" i="1"/>
  <c r="AB105" i="1"/>
  <c r="V106" i="1"/>
  <c r="W106" i="1"/>
  <c r="X106" i="1"/>
  <c r="Y106" i="1"/>
  <c r="Z106" i="1"/>
  <c r="AA106" i="1"/>
  <c r="AB106" i="1"/>
  <c r="V107" i="1"/>
  <c r="W107" i="1"/>
  <c r="X107" i="1"/>
  <c r="Y107" i="1"/>
  <c r="Z107" i="1"/>
  <c r="AA107" i="1"/>
  <c r="AB107" i="1"/>
  <c r="V108" i="1"/>
  <c r="W108" i="1"/>
  <c r="X108" i="1"/>
  <c r="Y108" i="1"/>
  <c r="Z108" i="1"/>
  <c r="AA108" i="1"/>
  <c r="AB108" i="1"/>
  <c r="V109" i="1"/>
  <c r="W109" i="1"/>
  <c r="X109" i="1"/>
  <c r="Y109" i="1"/>
  <c r="Z109" i="1"/>
  <c r="AA109" i="1"/>
  <c r="AB109" i="1"/>
  <c r="V110" i="1"/>
  <c r="W110" i="1"/>
  <c r="X110" i="1"/>
  <c r="Y110" i="1"/>
  <c r="Z110" i="1"/>
  <c r="AA110" i="1"/>
  <c r="AB110" i="1"/>
  <c r="V111" i="1"/>
  <c r="W111" i="1"/>
  <c r="X111" i="1"/>
  <c r="Y111" i="1"/>
  <c r="Z111" i="1"/>
  <c r="AA111" i="1"/>
  <c r="AB111" i="1"/>
  <c r="V112" i="1"/>
  <c r="W112" i="1"/>
  <c r="X112" i="1"/>
  <c r="Y112" i="1"/>
  <c r="Z112" i="1"/>
  <c r="AA112" i="1"/>
  <c r="AB112" i="1"/>
  <c r="V113" i="1"/>
  <c r="W113" i="1"/>
  <c r="X113" i="1"/>
  <c r="Y113" i="1"/>
  <c r="Z113" i="1"/>
  <c r="AA113" i="1"/>
  <c r="AB113" i="1"/>
  <c r="V114" i="1"/>
  <c r="W114" i="1"/>
  <c r="X114" i="1"/>
  <c r="Y114" i="1"/>
  <c r="Z114" i="1"/>
  <c r="AA114" i="1"/>
  <c r="AB114" i="1"/>
  <c r="V115" i="1"/>
  <c r="W115" i="1"/>
  <c r="X115" i="1"/>
  <c r="Y115" i="1"/>
  <c r="Z115" i="1"/>
  <c r="AA115" i="1"/>
  <c r="AB115" i="1"/>
  <c r="V116" i="1"/>
  <c r="W116" i="1"/>
  <c r="X116" i="1"/>
  <c r="Y116" i="1"/>
  <c r="Z116" i="1"/>
  <c r="AA116" i="1"/>
  <c r="AB116" i="1"/>
  <c r="V117" i="1"/>
  <c r="W117" i="1"/>
  <c r="X117" i="1"/>
  <c r="Y117" i="1"/>
  <c r="Z117" i="1"/>
  <c r="AA117" i="1"/>
  <c r="AB117" i="1"/>
  <c r="V118" i="1"/>
  <c r="W118" i="1"/>
  <c r="X118" i="1"/>
  <c r="Y118" i="1"/>
  <c r="Z118" i="1"/>
  <c r="AA118" i="1"/>
  <c r="AB118" i="1"/>
  <c r="V119" i="1"/>
  <c r="W119" i="1"/>
  <c r="X119" i="1"/>
  <c r="Y119" i="1"/>
  <c r="Z119" i="1"/>
  <c r="AA119" i="1"/>
  <c r="AB119" i="1"/>
  <c r="V120" i="1"/>
  <c r="W120" i="1"/>
  <c r="X120" i="1"/>
  <c r="Y120" i="1"/>
  <c r="Z120" i="1"/>
  <c r="AA120" i="1"/>
  <c r="AB120" i="1"/>
  <c r="V121" i="1"/>
  <c r="W121" i="1"/>
  <c r="X121" i="1"/>
  <c r="Y121" i="1"/>
  <c r="Z121" i="1"/>
  <c r="AA121" i="1"/>
  <c r="AB121" i="1"/>
  <c r="V122" i="1"/>
  <c r="W122" i="1"/>
  <c r="X122" i="1"/>
  <c r="Y122" i="1"/>
  <c r="Z122" i="1"/>
  <c r="AA122" i="1"/>
  <c r="AB122" i="1"/>
  <c r="V123" i="1"/>
  <c r="W123" i="1"/>
  <c r="X123" i="1"/>
  <c r="Y123" i="1"/>
  <c r="Z123" i="1"/>
  <c r="AA123" i="1"/>
  <c r="AB123" i="1"/>
  <c r="V124" i="1"/>
  <c r="W124" i="1"/>
  <c r="X124" i="1"/>
  <c r="Y124" i="1"/>
  <c r="Z124" i="1"/>
  <c r="AA124" i="1"/>
  <c r="AB124" i="1"/>
  <c r="V125" i="1"/>
  <c r="W125" i="1"/>
  <c r="X125" i="1"/>
  <c r="Y125" i="1"/>
  <c r="Z125" i="1"/>
  <c r="AA125" i="1"/>
  <c r="AB125" i="1"/>
  <c r="V126" i="1"/>
  <c r="W126" i="1"/>
  <c r="X126" i="1"/>
  <c r="Y126" i="1"/>
  <c r="Z126" i="1"/>
  <c r="AA126" i="1"/>
  <c r="AB126" i="1"/>
  <c r="AB2" i="1"/>
  <c r="AA2" i="1"/>
  <c r="Z2" i="1"/>
  <c r="Y2" i="1"/>
  <c r="X2" i="1"/>
  <c r="W2" i="1"/>
  <c r="V2" i="1"/>
  <c r="C793" i="2"/>
  <c r="C842" i="2"/>
  <c r="C484" i="2"/>
  <c r="C1019" i="2"/>
  <c r="C1018" i="2"/>
  <c r="C1017" i="2"/>
  <c r="C1016" i="2"/>
  <c r="C1015" i="2"/>
  <c r="C1014" i="2"/>
  <c r="C439" i="2"/>
  <c r="C384" i="2"/>
  <c r="C126" i="2"/>
  <c r="C237" i="2"/>
  <c r="C972" i="2"/>
  <c r="C971" i="2"/>
  <c r="C970" i="2"/>
  <c r="C969" i="2"/>
  <c r="C968" i="2"/>
  <c r="C188" i="2"/>
  <c r="C1013" i="2"/>
  <c r="C1012" i="2"/>
  <c r="C1011" i="2"/>
  <c r="C1010" i="2"/>
  <c r="C1009" i="2"/>
  <c r="C1008"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2" i="2"/>
  <c r="C6" i="7"/>
  <c r="C5" i="7"/>
  <c r="C4" i="7"/>
  <c r="C3" i="7"/>
  <c r="C2" i="7"/>
  <c r="C8" i="6"/>
  <c r="C7" i="6"/>
  <c r="C6" i="6"/>
  <c r="C5" i="6"/>
  <c r="C4" i="6"/>
  <c r="C3" i="6"/>
  <c r="C2" i="6"/>
  <c r="C1" i="6"/>
  <c r="J569" i="3"/>
  <c r="J568" i="3"/>
  <c r="J567" i="3"/>
  <c r="J566" i="3"/>
  <c r="J563" i="3"/>
  <c r="J562" i="3"/>
  <c r="I556" i="3"/>
  <c r="J556" i="3"/>
  <c r="I555" i="3"/>
  <c r="J555" i="3"/>
  <c r="I554" i="3"/>
  <c r="J554" i="3"/>
  <c r="I553" i="3"/>
  <c r="J553" i="3"/>
  <c r="I552" i="3"/>
  <c r="J552" i="3"/>
  <c r="I551" i="3"/>
  <c r="J551" i="3"/>
  <c r="I550" i="3"/>
  <c r="J550" i="3"/>
  <c r="I549" i="3"/>
  <c r="J549" i="3"/>
  <c r="I548" i="3"/>
  <c r="J548" i="3"/>
  <c r="I547" i="3"/>
  <c r="J547" i="3"/>
  <c r="I546" i="3"/>
  <c r="J546" i="3"/>
  <c r="I545" i="3"/>
  <c r="J545" i="3"/>
  <c r="I544" i="3"/>
  <c r="J544" i="3"/>
  <c r="I543" i="3"/>
  <c r="J543" i="3"/>
  <c r="I542" i="3"/>
  <c r="J542" i="3"/>
  <c r="I541" i="3"/>
  <c r="J541" i="3"/>
  <c r="I540" i="3"/>
  <c r="J540" i="3"/>
  <c r="I539" i="3"/>
  <c r="J539" i="3"/>
  <c r="I536" i="3"/>
  <c r="J536" i="3"/>
  <c r="I535" i="3"/>
  <c r="J535" i="3"/>
  <c r="I534" i="3"/>
  <c r="J534" i="3"/>
  <c r="I533" i="3"/>
  <c r="J533" i="3"/>
  <c r="I532" i="3"/>
  <c r="J532" i="3"/>
  <c r="I531" i="3"/>
  <c r="J531" i="3"/>
  <c r="I528" i="3"/>
  <c r="J528" i="3"/>
  <c r="I527" i="3"/>
  <c r="J527" i="3"/>
  <c r="I526" i="3"/>
  <c r="J526" i="3"/>
  <c r="I525" i="3"/>
  <c r="J525" i="3"/>
  <c r="I524" i="3"/>
  <c r="J524" i="3"/>
  <c r="I523" i="3"/>
  <c r="J523" i="3"/>
  <c r="I522" i="3"/>
  <c r="J522" i="3"/>
  <c r="I521" i="3"/>
  <c r="J521" i="3"/>
  <c r="I520" i="3"/>
  <c r="J520" i="3"/>
  <c r="I519" i="3"/>
  <c r="J519" i="3"/>
  <c r="I518" i="3"/>
  <c r="J518" i="3"/>
  <c r="I516" i="3"/>
  <c r="J516" i="3"/>
  <c r="I515" i="3"/>
  <c r="J515" i="3"/>
  <c r="I514" i="3"/>
  <c r="J514" i="3"/>
  <c r="I513" i="3"/>
  <c r="J513" i="3"/>
  <c r="I512" i="3"/>
  <c r="J512" i="3"/>
  <c r="I511" i="3"/>
  <c r="J511" i="3"/>
  <c r="I510" i="3"/>
  <c r="J510" i="3"/>
  <c r="I509" i="3"/>
  <c r="J509" i="3"/>
  <c r="I508" i="3"/>
  <c r="J508" i="3"/>
  <c r="I507" i="3"/>
  <c r="J507" i="3"/>
  <c r="J503" i="3"/>
  <c r="J502" i="3"/>
  <c r="J501" i="3"/>
  <c r="J500" i="3"/>
  <c r="J499" i="3"/>
  <c r="J498" i="3"/>
  <c r="J497" i="3"/>
  <c r="J496" i="3"/>
  <c r="J495" i="3"/>
  <c r="J494" i="3"/>
  <c r="J493" i="3"/>
  <c r="J492" i="3"/>
  <c r="J491" i="3"/>
  <c r="J490" i="3"/>
  <c r="J489" i="3"/>
  <c r="J488" i="3"/>
  <c r="J487" i="3"/>
  <c r="J486" i="3"/>
  <c r="J485" i="3"/>
  <c r="J481" i="3"/>
  <c r="H481" i="3"/>
  <c r="J480" i="3"/>
  <c r="H480" i="3"/>
  <c r="J479" i="3"/>
  <c r="H479" i="3"/>
  <c r="J478" i="3"/>
  <c r="H478" i="3"/>
  <c r="H476" i="3"/>
  <c r="J476" i="3"/>
  <c r="J475" i="3"/>
  <c r="H475" i="3"/>
  <c r="J474" i="3"/>
  <c r="H474" i="3"/>
  <c r="J473" i="3"/>
  <c r="H473" i="3"/>
  <c r="J472" i="3"/>
  <c r="H472" i="3"/>
  <c r="J471" i="3"/>
  <c r="H471" i="3"/>
  <c r="J470" i="3"/>
  <c r="H470" i="3"/>
  <c r="J469" i="3"/>
  <c r="H469" i="3"/>
  <c r="H468" i="3"/>
  <c r="J468" i="3"/>
  <c r="J467" i="3"/>
  <c r="H467" i="3"/>
  <c r="J466" i="3"/>
  <c r="H466" i="3"/>
  <c r="J465" i="3"/>
  <c r="H465" i="3"/>
  <c r="J464" i="3"/>
  <c r="H464" i="3"/>
  <c r="J463" i="3"/>
  <c r="H463" i="3"/>
  <c r="J462" i="3"/>
  <c r="H462" i="3"/>
  <c r="J461" i="3"/>
  <c r="H461" i="3"/>
  <c r="H459" i="3"/>
  <c r="J459" i="3"/>
  <c r="J458" i="3"/>
  <c r="H458" i="3"/>
  <c r="J457" i="3"/>
  <c r="H457" i="3"/>
  <c r="J456" i="3"/>
  <c r="H456" i="3"/>
  <c r="J455" i="3"/>
  <c r="H455" i="3"/>
  <c r="J454" i="3"/>
  <c r="H454" i="3"/>
  <c r="K453" i="3"/>
  <c r="H453" i="3"/>
  <c r="J453" i="3"/>
  <c r="K452" i="3"/>
  <c r="H452" i="3"/>
  <c r="J452" i="3"/>
  <c r="K451" i="3"/>
  <c r="H451" i="3"/>
  <c r="J451" i="3"/>
  <c r="K448" i="3"/>
  <c r="J448" i="3"/>
  <c r="H448" i="3"/>
  <c r="K447" i="3"/>
  <c r="H447" i="3"/>
  <c r="J447" i="3"/>
  <c r="K446" i="3"/>
  <c r="J446" i="3"/>
  <c r="H446" i="3"/>
  <c r="K445" i="3"/>
  <c r="H445" i="3"/>
  <c r="J445" i="3"/>
  <c r="K444" i="3"/>
  <c r="J444" i="3"/>
  <c r="H444" i="3"/>
  <c r="K443" i="3"/>
  <c r="H443" i="3"/>
  <c r="J443" i="3"/>
  <c r="K442" i="3"/>
  <c r="J442" i="3"/>
  <c r="H442" i="3"/>
  <c r="K441" i="3"/>
  <c r="H441" i="3"/>
  <c r="J441" i="3"/>
  <c r="K440" i="3"/>
  <c r="J440" i="3"/>
  <c r="H440" i="3"/>
  <c r="A440" i="3"/>
  <c r="H439" i="3"/>
  <c r="A439" i="3"/>
  <c r="J435" i="3"/>
  <c r="J434" i="3"/>
  <c r="J433" i="3"/>
  <c r="J432" i="3"/>
  <c r="J431" i="3"/>
  <c r="J430" i="3"/>
  <c r="J429" i="3"/>
  <c r="J428" i="3"/>
  <c r="J427" i="3"/>
  <c r="J426" i="3"/>
  <c r="J425" i="3"/>
  <c r="J424" i="3"/>
  <c r="J423" i="3"/>
  <c r="J422" i="3"/>
  <c r="J421" i="3"/>
  <c r="J420" i="3"/>
  <c r="J419" i="3"/>
  <c r="J418" i="3"/>
  <c r="J417" i="3"/>
  <c r="J415" i="3"/>
  <c r="J414" i="3"/>
  <c r="J413" i="3"/>
  <c r="J412" i="3"/>
  <c r="J410" i="3"/>
  <c r="J409" i="3"/>
  <c r="J408" i="3"/>
  <c r="J407" i="3"/>
  <c r="J406" i="3"/>
  <c r="J405" i="3"/>
  <c r="J404" i="3"/>
  <c r="J402" i="3"/>
  <c r="A402" i="3"/>
  <c r="J401" i="3"/>
  <c r="A401" i="3"/>
  <c r="J400" i="3"/>
  <c r="A400" i="3"/>
  <c r="J399" i="3"/>
  <c r="A399" i="3"/>
  <c r="J398" i="3"/>
  <c r="A398" i="3"/>
  <c r="J397" i="3"/>
  <c r="A397" i="3"/>
  <c r="J396" i="3"/>
  <c r="A396" i="3"/>
  <c r="J395" i="3"/>
  <c r="A395" i="3"/>
  <c r="J393" i="3"/>
  <c r="J392" i="3"/>
  <c r="J391" i="3"/>
  <c r="J389" i="3"/>
  <c r="J388" i="3"/>
  <c r="J387" i="3"/>
  <c r="J385" i="3"/>
  <c r="J384" i="3"/>
  <c r="J383" i="3"/>
  <c r="J382" i="3"/>
  <c r="J381" i="3"/>
  <c r="J380" i="3"/>
  <c r="J379" i="3"/>
  <c r="J378" i="3"/>
  <c r="J377" i="3"/>
  <c r="J375" i="3"/>
  <c r="J374" i="3"/>
  <c r="J373" i="3"/>
  <c r="J371" i="3"/>
  <c r="J370" i="3"/>
  <c r="J369" i="3"/>
  <c r="J368" i="3"/>
  <c r="J365" i="3"/>
  <c r="H365" i="3"/>
  <c r="O365" i="3"/>
  <c r="H364" i="3"/>
  <c r="A364" i="3"/>
  <c r="N363" i="3"/>
  <c r="H363" i="3"/>
  <c r="J363" i="3"/>
  <c r="A363" i="3"/>
  <c r="O362" i="3"/>
  <c r="N362" i="3"/>
  <c r="J362" i="3"/>
  <c r="H362" i="3"/>
  <c r="A362" i="3"/>
  <c r="H361" i="3"/>
  <c r="A361" i="3"/>
  <c r="N360" i="3"/>
  <c r="J360" i="3"/>
  <c r="O360" i="3"/>
  <c r="H360" i="3"/>
  <c r="A360" i="3"/>
  <c r="N359" i="3"/>
  <c r="J359" i="3"/>
  <c r="H359" i="3"/>
  <c r="O359" i="3"/>
  <c r="A359" i="3"/>
  <c r="N358" i="3"/>
  <c r="J358" i="3"/>
  <c r="O358" i="3"/>
  <c r="H358" i="3"/>
  <c r="A358" i="3"/>
  <c r="H357" i="3"/>
  <c r="A357" i="3"/>
  <c r="O356" i="3"/>
  <c r="J356" i="3"/>
  <c r="H356" i="3"/>
  <c r="N356" i="3"/>
  <c r="A356" i="3"/>
  <c r="H355" i="3"/>
  <c r="A355" i="3"/>
  <c r="J354" i="3"/>
  <c r="H354" i="3"/>
  <c r="O354" i="3"/>
  <c r="A354" i="3"/>
  <c r="N353" i="3"/>
  <c r="H353" i="3"/>
  <c r="A353" i="3"/>
  <c r="H352" i="3"/>
  <c r="H351" i="3"/>
  <c r="N350" i="3"/>
  <c r="J350" i="3"/>
  <c r="O350" i="3"/>
  <c r="H350" i="3"/>
  <c r="O349" i="3"/>
  <c r="J349" i="3"/>
  <c r="H349" i="3"/>
  <c r="N349" i="3"/>
  <c r="H348" i="3"/>
  <c r="H347" i="3"/>
  <c r="N346" i="3"/>
  <c r="J346" i="3"/>
  <c r="O346" i="3"/>
  <c r="H346" i="3"/>
  <c r="O345" i="3"/>
  <c r="J345" i="3"/>
  <c r="H345" i="3"/>
  <c r="N345" i="3"/>
  <c r="A345" i="3"/>
  <c r="H344" i="3"/>
  <c r="A344" i="3"/>
  <c r="H343" i="3"/>
  <c r="A343" i="3"/>
  <c r="N342" i="3"/>
  <c r="H342" i="3"/>
  <c r="A342" i="3"/>
  <c r="H341" i="3"/>
  <c r="A341" i="3"/>
  <c r="H340" i="3"/>
  <c r="A340" i="3"/>
  <c r="O339" i="3"/>
  <c r="J339" i="3"/>
  <c r="H339" i="3"/>
  <c r="N339" i="3"/>
  <c r="A339" i="3"/>
  <c r="H338" i="3"/>
  <c r="A338" i="3"/>
  <c r="H337" i="3"/>
  <c r="A337" i="3"/>
  <c r="N336" i="3"/>
  <c r="H336" i="3"/>
  <c r="J336" i="3"/>
  <c r="A336" i="3"/>
  <c r="O335" i="3"/>
  <c r="N335" i="3"/>
  <c r="J335" i="3"/>
  <c r="H335" i="3"/>
  <c r="N334" i="3"/>
  <c r="J334" i="3"/>
  <c r="O334" i="3"/>
  <c r="H334" i="3"/>
  <c r="H333" i="3"/>
  <c r="O332" i="3"/>
  <c r="J332" i="3"/>
  <c r="H332" i="3"/>
  <c r="N332" i="3"/>
  <c r="O331" i="3"/>
  <c r="N331" i="3"/>
  <c r="J331" i="3"/>
  <c r="H331" i="3"/>
  <c r="A331" i="3"/>
  <c r="H330" i="3"/>
  <c r="A330" i="3"/>
  <c r="N329" i="3"/>
  <c r="J329" i="3"/>
  <c r="O329" i="3"/>
  <c r="H329" i="3"/>
  <c r="A329" i="3"/>
  <c r="N328" i="3"/>
  <c r="J328" i="3"/>
  <c r="H328" i="3"/>
  <c r="O328" i="3"/>
  <c r="A328" i="3"/>
  <c r="N327" i="3"/>
  <c r="J327" i="3"/>
  <c r="O327" i="3"/>
  <c r="H327" i="3"/>
  <c r="A327" i="3"/>
  <c r="H326" i="3"/>
  <c r="A326" i="3"/>
  <c r="O325" i="3"/>
  <c r="J325" i="3"/>
  <c r="H325" i="3"/>
  <c r="N325" i="3"/>
  <c r="A325" i="3"/>
  <c r="J324" i="3"/>
  <c r="H324" i="3"/>
  <c r="O324" i="3"/>
  <c r="A324" i="3"/>
  <c r="H323" i="3"/>
  <c r="A323" i="3"/>
  <c r="N322" i="3"/>
  <c r="H322" i="3"/>
  <c r="A322" i="3"/>
  <c r="H321" i="3"/>
  <c r="A321" i="3"/>
  <c r="H320" i="3"/>
  <c r="A320" i="3"/>
  <c r="O319" i="3"/>
  <c r="J319" i="3"/>
  <c r="H319" i="3"/>
  <c r="N319" i="3"/>
  <c r="A319" i="3"/>
  <c r="H318" i="3"/>
  <c r="N318" i="3"/>
  <c r="A318" i="3"/>
  <c r="H317" i="3"/>
  <c r="A317" i="3"/>
  <c r="N316" i="3"/>
  <c r="H316" i="3"/>
  <c r="J316" i="3"/>
  <c r="A316" i="3"/>
  <c r="O315" i="3"/>
  <c r="N315" i="3"/>
  <c r="J315" i="3"/>
  <c r="H315" i="3"/>
  <c r="N314" i="3"/>
  <c r="J314" i="3"/>
  <c r="O314" i="3"/>
  <c r="H314" i="3"/>
  <c r="H313" i="3"/>
  <c r="O312" i="3"/>
  <c r="J312" i="3"/>
  <c r="H312" i="3"/>
  <c r="N312" i="3"/>
  <c r="O311" i="3"/>
  <c r="N311" i="3"/>
  <c r="J311" i="3"/>
  <c r="H311" i="3"/>
  <c r="N310" i="3"/>
  <c r="J310" i="3"/>
  <c r="O310" i="3"/>
  <c r="H310" i="3"/>
  <c r="H309" i="3"/>
  <c r="O308" i="3"/>
  <c r="J308" i="3"/>
  <c r="H308" i="3"/>
  <c r="N308" i="3"/>
  <c r="A308" i="3"/>
  <c r="H307" i="3"/>
  <c r="N307" i="3"/>
  <c r="A307" i="3"/>
  <c r="H306" i="3"/>
  <c r="A306" i="3"/>
  <c r="N305" i="3"/>
  <c r="H305" i="3"/>
  <c r="J305" i="3"/>
  <c r="A305" i="3"/>
  <c r="O304" i="3"/>
  <c r="N304" i="3"/>
  <c r="J304" i="3"/>
  <c r="H304" i="3"/>
  <c r="A304" i="3"/>
  <c r="H303" i="3"/>
  <c r="N303" i="3"/>
  <c r="A303" i="3"/>
  <c r="N302" i="3"/>
  <c r="J302" i="3"/>
  <c r="O302" i="3"/>
  <c r="H302" i="3"/>
  <c r="A302" i="3"/>
  <c r="N301" i="3"/>
  <c r="J301" i="3"/>
  <c r="O301" i="3"/>
  <c r="H301" i="3"/>
  <c r="A301" i="3"/>
  <c r="N300" i="3"/>
  <c r="J300" i="3"/>
  <c r="O300" i="3"/>
  <c r="H300" i="3"/>
  <c r="A300" i="3"/>
  <c r="H299" i="3"/>
  <c r="A299" i="3"/>
  <c r="O298" i="3"/>
  <c r="J298" i="3"/>
  <c r="H298" i="3"/>
  <c r="N298" i="3"/>
  <c r="A298" i="3"/>
  <c r="J297" i="3"/>
  <c r="H297" i="3"/>
  <c r="O297" i="3"/>
  <c r="A297" i="3"/>
  <c r="H296" i="3"/>
  <c r="A296" i="3"/>
  <c r="N295" i="3"/>
  <c r="H295" i="3"/>
  <c r="A295" i="3"/>
  <c r="H294" i="3"/>
  <c r="A294" i="3"/>
  <c r="H293" i="3"/>
  <c r="A293" i="3"/>
  <c r="O292" i="3"/>
  <c r="J292" i="3"/>
  <c r="H292" i="3"/>
  <c r="N292" i="3"/>
  <c r="A292" i="3"/>
  <c r="H291" i="3"/>
  <c r="N291" i="3"/>
  <c r="A291" i="3"/>
  <c r="H290" i="3"/>
  <c r="A290" i="3"/>
  <c r="N289" i="3"/>
  <c r="H289" i="3"/>
  <c r="J289" i="3"/>
  <c r="A289" i="3"/>
  <c r="O288" i="3"/>
  <c r="N288" i="3"/>
  <c r="J288" i="3"/>
  <c r="H288" i="3"/>
  <c r="A288" i="3"/>
  <c r="H287" i="3"/>
  <c r="N287" i="3"/>
  <c r="A287" i="3"/>
  <c r="N286" i="3"/>
  <c r="J286" i="3"/>
  <c r="O286" i="3"/>
  <c r="H286" i="3"/>
  <c r="A286" i="3"/>
  <c r="N285" i="3"/>
  <c r="J285" i="3"/>
  <c r="O285" i="3"/>
  <c r="H285" i="3"/>
  <c r="A285" i="3"/>
  <c r="N284" i="3"/>
  <c r="J284" i="3"/>
  <c r="O284" i="3"/>
  <c r="H284" i="3"/>
  <c r="A284" i="3"/>
  <c r="H283" i="3"/>
  <c r="A283" i="3"/>
  <c r="O282" i="3"/>
  <c r="J282" i="3"/>
  <c r="H282" i="3"/>
  <c r="N282" i="3"/>
  <c r="A282" i="3"/>
  <c r="J281" i="3"/>
  <c r="H281" i="3"/>
  <c r="O281" i="3"/>
  <c r="A281" i="3"/>
  <c r="H280" i="3"/>
  <c r="A280" i="3"/>
  <c r="N279" i="3"/>
  <c r="H279" i="3"/>
  <c r="A279" i="3"/>
  <c r="H278" i="3"/>
  <c r="A278" i="3"/>
  <c r="H277" i="3"/>
  <c r="A277" i="3"/>
  <c r="O276" i="3"/>
  <c r="J276" i="3"/>
  <c r="H276" i="3"/>
  <c r="N276" i="3"/>
  <c r="A276" i="3"/>
  <c r="H275" i="3"/>
  <c r="N275" i="3"/>
  <c r="A275" i="3"/>
  <c r="H274" i="3"/>
  <c r="A274" i="3"/>
  <c r="N273" i="3"/>
  <c r="H273" i="3"/>
  <c r="J273" i="3"/>
  <c r="A273" i="3"/>
  <c r="O272" i="3"/>
  <c r="N272" i="3"/>
  <c r="J272" i="3"/>
  <c r="H272" i="3"/>
  <c r="A272" i="3"/>
  <c r="H271" i="3"/>
  <c r="N271" i="3"/>
  <c r="A271" i="3"/>
  <c r="N270" i="3"/>
  <c r="J270" i="3"/>
  <c r="O270" i="3"/>
  <c r="H270" i="3"/>
  <c r="A270" i="3"/>
  <c r="N269" i="3"/>
  <c r="J269" i="3"/>
  <c r="O269" i="3"/>
  <c r="H269" i="3"/>
  <c r="A269" i="3"/>
  <c r="H267" i="3"/>
  <c r="J267" i="3"/>
  <c r="J266" i="3"/>
  <c r="H266" i="3"/>
  <c r="H265" i="3"/>
  <c r="J265" i="3"/>
  <c r="N264" i="3"/>
  <c r="J264" i="3"/>
  <c r="O264" i="3"/>
  <c r="H264" i="3"/>
  <c r="O262" i="3"/>
  <c r="J262" i="3"/>
  <c r="H262" i="3"/>
  <c r="N262" i="3"/>
  <c r="H261" i="3"/>
  <c r="H260" i="3"/>
  <c r="N259" i="3"/>
  <c r="J259" i="3"/>
  <c r="O259" i="3"/>
  <c r="H259" i="3"/>
  <c r="O258" i="3"/>
  <c r="J258" i="3"/>
  <c r="H258" i="3"/>
  <c r="N258" i="3"/>
  <c r="H257" i="3"/>
  <c r="J255" i="3"/>
  <c r="H255" i="3"/>
  <c r="H254" i="3"/>
  <c r="J254" i="3"/>
  <c r="H253" i="3"/>
  <c r="J253" i="3"/>
  <c r="J252" i="3"/>
  <c r="H252" i="3"/>
  <c r="N251" i="3"/>
  <c r="H251" i="3"/>
  <c r="J251" i="3"/>
  <c r="N250" i="3"/>
  <c r="J250" i="3"/>
  <c r="H250" i="3"/>
  <c r="N248" i="3"/>
  <c r="J248" i="3"/>
  <c r="O248" i="3"/>
  <c r="H248" i="3"/>
  <c r="A248" i="3"/>
  <c r="H247" i="3"/>
  <c r="A247" i="3"/>
  <c r="O246" i="3"/>
  <c r="J246" i="3"/>
  <c r="H246" i="3"/>
  <c r="N246" i="3"/>
  <c r="A246" i="3"/>
  <c r="J245" i="3"/>
  <c r="H245" i="3"/>
  <c r="O245" i="3"/>
  <c r="A245" i="3"/>
  <c r="H244" i="3"/>
  <c r="A244" i="3"/>
  <c r="N243" i="3"/>
  <c r="H243" i="3"/>
  <c r="H242" i="3"/>
  <c r="N242" i="3"/>
  <c r="H241" i="3"/>
  <c r="N241" i="3"/>
  <c r="H240" i="3"/>
  <c r="N239" i="3"/>
  <c r="H239" i="3"/>
  <c r="A239" i="3"/>
  <c r="H238" i="3"/>
  <c r="A238" i="3"/>
  <c r="H237" i="3"/>
  <c r="A237" i="3"/>
  <c r="O236" i="3"/>
  <c r="J236" i="3"/>
  <c r="H236" i="3"/>
  <c r="N236" i="3"/>
  <c r="A236" i="3"/>
  <c r="H235" i="3"/>
  <c r="N235" i="3"/>
  <c r="A235" i="3"/>
  <c r="H234" i="3"/>
  <c r="A234" i="3"/>
  <c r="N233" i="3"/>
  <c r="H233" i="3"/>
  <c r="J233" i="3"/>
  <c r="A233" i="3"/>
  <c r="O232" i="3"/>
  <c r="N232" i="3"/>
  <c r="J232" i="3"/>
  <c r="H232" i="3"/>
  <c r="A232" i="3"/>
  <c r="H231" i="3"/>
  <c r="N231" i="3"/>
  <c r="A231" i="3"/>
  <c r="N230" i="3"/>
  <c r="J230" i="3"/>
  <c r="O230" i="3"/>
  <c r="H230" i="3"/>
  <c r="A230" i="3"/>
  <c r="H227" i="3"/>
  <c r="J227" i="3"/>
  <c r="J226" i="3"/>
  <c r="H226" i="3"/>
  <c r="H225" i="3"/>
  <c r="J225" i="3"/>
  <c r="J224" i="3"/>
  <c r="H224" i="3"/>
  <c r="H223" i="3"/>
  <c r="J223" i="3"/>
  <c r="H221" i="3"/>
  <c r="A221" i="3"/>
  <c r="O220" i="3"/>
  <c r="J220" i="3"/>
  <c r="H220" i="3"/>
  <c r="N220" i="3"/>
  <c r="A220" i="3"/>
  <c r="N219" i="3"/>
  <c r="J219" i="3"/>
  <c r="H219" i="3"/>
  <c r="O219" i="3"/>
  <c r="A219" i="3"/>
  <c r="H218" i="3"/>
  <c r="A218" i="3"/>
  <c r="N217" i="3"/>
  <c r="H217" i="3"/>
  <c r="A217" i="3"/>
  <c r="H216" i="3"/>
  <c r="A216" i="3"/>
  <c r="H215" i="3"/>
  <c r="A215" i="3"/>
  <c r="O214" i="3"/>
  <c r="J214" i="3"/>
  <c r="H214" i="3"/>
  <c r="N214" i="3"/>
  <c r="A214" i="3"/>
  <c r="H213" i="3"/>
  <c r="N213" i="3"/>
  <c r="A213" i="3"/>
  <c r="H212" i="3"/>
  <c r="A212" i="3"/>
  <c r="N211" i="3"/>
  <c r="H211" i="3"/>
  <c r="J211" i="3"/>
  <c r="A211" i="3"/>
  <c r="O210" i="3"/>
  <c r="N210" i="3"/>
  <c r="J210" i="3"/>
  <c r="H210" i="3"/>
  <c r="A210" i="3"/>
  <c r="H209" i="3"/>
  <c r="N209" i="3"/>
  <c r="A209" i="3"/>
  <c r="N208" i="3"/>
  <c r="J208" i="3"/>
  <c r="O208" i="3"/>
  <c r="H208" i="3"/>
  <c r="A208" i="3"/>
  <c r="N207" i="3"/>
  <c r="J207" i="3"/>
  <c r="O207" i="3"/>
  <c r="H207" i="3"/>
  <c r="A207" i="3"/>
  <c r="O206" i="3"/>
  <c r="N206" i="3"/>
  <c r="J206" i="3"/>
  <c r="H206" i="3"/>
  <c r="A206" i="3"/>
  <c r="H205" i="3"/>
  <c r="A205" i="3"/>
  <c r="O204" i="3"/>
  <c r="J204" i="3"/>
  <c r="H204" i="3"/>
  <c r="N204" i="3"/>
  <c r="A204" i="3"/>
  <c r="N203" i="3"/>
  <c r="J203" i="3"/>
  <c r="H203" i="3"/>
  <c r="O203" i="3"/>
  <c r="A203" i="3"/>
  <c r="H202" i="3"/>
  <c r="A202" i="3"/>
  <c r="N201" i="3"/>
  <c r="H201" i="3"/>
  <c r="H200" i="3"/>
  <c r="H199" i="3"/>
  <c r="N199" i="3"/>
  <c r="H198" i="3"/>
  <c r="N197" i="3"/>
  <c r="H197" i="3"/>
  <c r="H196" i="3"/>
  <c r="H195" i="3"/>
  <c r="N195" i="3"/>
  <c r="H194" i="3"/>
  <c r="N193" i="3"/>
  <c r="H193" i="3"/>
  <c r="H192" i="3"/>
  <c r="H191" i="3"/>
  <c r="N191" i="3"/>
  <c r="H190" i="3"/>
  <c r="N189" i="3"/>
  <c r="H189" i="3"/>
  <c r="H188" i="3"/>
  <c r="A188" i="3"/>
  <c r="H187" i="3"/>
  <c r="A187" i="3"/>
  <c r="N186" i="3"/>
  <c r="H186" i="3"/>
  <c r="J186" i="3"/>
  <c r="A186" i="3"/>
  <c r="O185" i="3"/>
  <c r="N185" i="3"/>
  <c r="J185" i="3"/>
  <c r="H185" i="3"/>
  <c r="A185" i="3"/>
  <c r="H184" i="3"/>
  <c r="N184" i="3"/>
  <c r="A184" i="3"/>
  <c r="N183" i="3"/>
  <c r="J183" i="3"/>
  <c r="O183" i="3"/>
  <c r="H183" i="3"/>
  <c r="A183" i="3"/>
  <c r="N182" i="3"/>
  <c r="J182" i="3"/>
  <c r="O182" i="3"/>
  <c r="H182" i="3"/>
  <c r="A182" i="3"/>
  <c r="O181" i="3"/>
  <c r="N181" i="3"/>
  <c r="J181" i="3"/>
  <c r="H181" i="3"/>
  <c r="A181" i="3"/>
  <c r="H180" i="3"/>
  <c r="A180" i="3"/>
  <c r="O179" i="3"/>
  <c r="J179" i="3"/>
  <c r="H179" i="3"/>
  <c r="N179" i="3"/>
  <c r="A179" i="3"/>
  <c r="N178" i="3"/>
  <c r="J178" i="3"/>
  <c r="H178" i="3"/>
  <c r="O178" i="3"/>
  <c r="A178" i="3"/>
  <c r="H177" i="3"/>
  <c r="A177" i="3"/>
  <c r="N176" i="3"/>
  <c r="H176" i="3"/>
  <c r="A176" i="3"/>
  <c r="H175" i="3"/>
  <c r="A175" i="3"/>
  <c r="H174" i="3"/>
  <c r="A174" i="3"/>
  <c r="O173" i="3"/>
  <c r="J173" i="3"/>
  <c r="H173" i="3"/>
  <c r="N173" i="3"/>
  <c r="A173" i="3"/>
  <c r="H172" i="3"/>
  <c r="A172" i="3"/>
  <c r="H171" i="3"/>
  <c r="A171" i="3"/>
  <c r="N170" i="3"/>
  <c r="H170" i="3"/>
  <c r="J170" i="3"/>
  <c r="A170" i="3"/>
  <c r="O169" i="3"/>
  <c r="N169" i="3"/>
  <c r="J169" i="3"/>
  <c r="H169" i="3"/>
  <c r="A169" i="3"/>
  <c r="H168" i="3"/>
  <c r="N168" i="3"/>
  <c r="A168" i="3"/>
  <c r="N167" i="3"/>
  <c r="J167" i="3"/>
  <c r="O167" i="3"/>
  <c r="H167" i="3"/>
  <c r="A167" i="3"/>
  <c r="N166" i="3"/>
  <c r="J166" i="3"/>
  <c r="O166" i="3"/>
  <c r="H166" i="3"/>
  <c r="A166" i="3"/>
  <c r="O165" i="3"/>
  <c r="N165" i="3"/>
  <c r="J165" i="3"/>
  <c r="H165" i="3"/>
  <c r="A165" i="3"/>
  <c r="H164" i="3"/>
  <c r="A164" i="3"/>
  <c r="O163" i="3"/>
  <c r="J163" i="3"/>
  <c r="H163" i="3"/>
  <c r="N163" i="3"/>
  <c r="A163" i="3"/>
  <c r="N162" i="3"/>
  <c r="J162" i="3"/>
  <c r="H162" i="3"/>
  <c r="O162" i="3"/>
  <c r="A162" i="3"/>
  <c r="H161" i="3"/>
  <c r="A161" i="3"/>
  <c r="N160" i="3"/>
  <c r="H160" i="3"/>
  <c r="A160" i="3"/>
  <c r="H159" i="3"/>
  <c r="H158" i="3"/>
  <c r="N157" i="3"/>
  <c r="J157" i="3"/>
  <c r="O157" i="3"/>
  <c r="H157" i="3"/>
  <c r="A157" i="3"/>
  <c r="N156" i="3"/>
  <c r="J156" i="3"/>
  <c r="O156" i="3"/>
  <c r="H156" i="3"/>
  <c r="A156" i="3"/>
  <c r="O155" i="3"/>
  <c r="N155" i="3"/>
  <c r="J155" i="3"/>
  <c r="H155" i="3"/>
  <c r="A155" i="3"/>
  <c r="H154" i="3"/>
  <c r="A154" i="3"/>
  <c r="O153" i="3"/>
  <c r="J153" i="3"/>
  <c r="H153" i="3"/>
  <c r="N153" i="3"/>
  <c r="A153" i="3"/>
  <c r="N152" i="3"/>
  <c r="J152" i="3"/>
  <c r="H152" i="3"/>
  <c r="O152" i="3"/>
  <c r="A152" i="3"/>
  <c r="H151" i="3"/>
  <c r="A151" i="3"/>
  <c r="N150" i="3"/>
  <c r="H150" i="3"/>
  <c r="A150" i="3"/>
  <c r="H149" i="3"/>
  <c r="A149" i="3"/>
  <c r="H148" i="3"/>
  <c r="A148" i="3"/>
  <c r="O147" i="3"/>
  <c r="J147" i="3"/>
  <c r="H147" i="3"/>
  <c r="N147" i="3"/>
  <c r="A147" i="3"/>
  <c r="H146" i="3"/>
  <c r="A146" i="3"/>
  <c r="H145" i="3"/>
  <c r="A145" i="3"/>
  <c r="N144" i="3"/>
  <c r="H144" i="3"/>
  <c r="J144" i="3"/>
  <c r="A144" i="3"/>
  <c r="O143" i="3"/>
  <c r="N143" i="3"/>
  <c r="J143" i="3"/>
  <c r="H143" i="3"/>
  <c r="A143" i="3"/>
  <c r="H142" i="3"/>
  <c r="N142" i="3"/>
  <c r="A142" i="3"/>
  <c r="N141" i="3"/>
  <c r="J141" i="3"/>
  <c r="O141" i="3"/>
  <c r="H141" i="3"/>
  <c r="A141" i="3"/>
  <c r="N140" i="3"/>
  <c r="J140" i="3"/>
  <c r="O140" i="3"/>
  <c r="H140" i="3"/>
  <c r="A140" i="3"/>
  <c r="O139" i="3"/>
  <c r="N139" i="3"/>
  <c r="J139" i="3"/>
  <c r="H139" i="3"/>
  <c r="A139" i="3"/>
  <c r="H138" i="3"/>
  <c r="A138" i="3"/>
  <c r="O137" i="3"/>
  <c r="J137" i="3"/>
  <c r="H137" i="3"/>
  <c r="N137" i="3"/>
  <c r="A137" i="3"/>
  <c r="N136" i="3"/>
  <c r="J136" i="3"/>
  <c r="H136" i="3"/>
  <c r="O136" i="3"/>
  <c r="A136" i="3"/>
  <c r="H135" i="3"/>
  <c r="A135" i="3"/>
  <c r="N134" i="3"/>
  <c r="H134" i="3"/>
  <c r="A134" i="3"/>
  <c r="H133" i="3"/>
  <c r="A133" i="3"/>
  <c r="H132" i="3"/>
  <c r="A132" i="3"/>
  <c r="O131" i="3"/>
  <c r="J131" i="3"/>
  <c r="H131" i="3"/>
  <c r="N131" i="3"/>
  <c r="A131" i="3"/>
  <c r="H130" i="3"/>
  <c r="A130" i="3"/>
  <c r="H129" i="3"/>
  <c r="A129" i="3"/>
  <c r="N128" i="3"/>
  <c r="H128" i="3"/>
  <c r="J128" i="3"/>
  <c r="A128" i="3"/>
  <c r="O127" i="3"/>
  <c r="N127" i="3"/>
  <c r="J127" i="3"/>
  <c r="H127" i="3"/>
  <c r="A127" i="3"/>
  <c r="H126" i="3"/>
  <c r="N126" i="3"/>
  <c r="A126" i="3"/>
  <c r="N125" i="3"/>
  <c r="J125" i="3"/>
  <c r="O125" i="3"/>
  <c r="H125" i="3"/>
  <c r="A125" i="3"/>
  <c r="N124" i="3"/>
  <c r="J124" i="3"/>
  <c r="O124" i="3"/>
  <c r="H124" i="3"/>
  <c r="A124" i="3"/>
  <c r="O123" i="3"/>
  <c r="N123" i="3"/>
  <c r="J123" i="3"/>
  <c r="H123" i="3"/>
  <c r="A123" i="3"/>
  <c r="H122" i="3"/>
  <c r="A122" i="3"/>
  <c r="O121" i="3"/>
  <c r="J121" i="3"/>
  <c r="H121" i="3"/>
  <c r="N121" i="3"/>
  <c r="A121" i="3"/>
  <c r="N120" i="3"/>
  <c r="J120" i="3"/>
  <c r="H120" i="3"/>
  <c r="O120" i="3"/>
  <c r="A120" i="3"/>
  <c r="H119" i="3"/>
  <c r="A119" i="3"/>
  <c r="N118" i="3"/>
  <c r="H118" i="3"/>
  <c r="A118" i="3"/>
  <c r="J117" i="3"/>
  <c r="H117" i="3"/>
  <c r="O117" i="3"/>
  <c r="A117" i="3"/>
  <c r="H116" i="3"/>
  <c r="A116" i="3"/>
  <c r="O115" i="3"/>
  <c r="J115" i="3"/>
  <c r="H115" i="3"/>
  <c r="N115" i="3"/>
  <c r="A115" i="3"/>
  <c r="H114" i="3"/>
  <c r="A114" i="3"/>
  <c r="H113" i="3"/>
  <c r="A113" i="3"/>
  <c r="N112" i="3"/>
  <c r="H112" i="3"/>
  <c r="J112" i="3"/>
  <c r="A112" i="3"/>
  <c r="O111" i="3"/>
  <c r="N111" i="3"/>
  <c r="J111" i="3"/>
  <c r="H111" i="3"/>
  <c r="A111" i="3"/>
  <c r="H110" i="3"/>
  <c r="N110" i="3"/>
  <c r="A110" i="3"/>
  <c r="N109" i="3"/>
  <c r="J109" i="3"/>
  <c r="O109" i="3"/>
  <c r="H109" i="3"/>
  <c r="A109" i="3"/>
  <c r="N108" i="3"/>
  <c r="J108" i="3"/>
  <c r="O108" i="3"/>
  <c r="H108" i="3"/>
  <c r="A108" i="3"/>
  <c r="O107" i="3"/>
  <c r="N107" i="3"/>
  <c r="J107" i="3"/>
  <c r="H107" i="3"/>
  <c r="A107" i="3"/>
  <c r="H106" i="3"/>
  <c r="A106" i="3"/>
  <c r="O105" i="3"/>
  <c r="J105" i="3"/>
  <c r="H105" i="3"/>
  <c r="N105" i="3"/>
  <c r="A105" i="3"/>
  <c r="N104" i="3"/>
  <c r="J104" i="3"/>
  <c r="H104" i="3"/>
  <c r="O104" i="3"/>
  <c r="A104" i="3"/>
  <c r="H103" i="3"/>
  <c r="A103" i="3"/>
  <c r="N102" i="3"/>
  <c r="H102" i="3"/>
  <c r="A102" i="3"/>
  <c r="J101" i="3"/>
  <c r="H101" i="3"/>
  <c r="O101" i="3"/>
  <c r="A101" i="3"/>
  <c r="H100" i="3"/>
  <c r="A100" i="3"/>
  <c r="O99" i="3"/>
  <c r="J99" i="3"/>
  <c r="H99" i="3"/>
  <c r="N99" i="3"/>
  <c r="A99" i="3"/>
  <c r="H98" i="3"/>
  <c r="A98" i="3"/>
  <c r="H97" i="3"/>
  <c r="A97" i="3"/>
  <c r="N96" i="3"/>
  <c r="H96" i="3"/>
  <c r="J96" i="3"/>
  <c r="A96" i="3"/>
  <c r="O95" i="3"/>
  <c r="N95" i="3"/>
  <c r="J95" i="3"/>
  <c r="H95" i="3"/>
  <c r="A95" i="3"/>
  <c r="H94" i="3"/>
  <c r="N94" i="3"/>
  <c r="A94" i="3"/>
  <c r="N93" i="3"/>
  <c r="J93" i="3"/>
  <c r="O93" i="3"/>
  <c r="H93" i="3"/>
  <c r="A93" i="3"/>
  <c r="N92" i="3"/>
  <c r="J92" i="3"/>
  <c r="O92" i="3"/>
  <c r="H92" i="3"/>
  <c r="A92" i="3"/>
  <c r="O91" i="3"/>
  <c r="N91" i="3"/>
  <c r="J91" i="3"/>
  <c r="H91" i="3"/>
  <c r="A91" i="3"/>
  <c r="H90" i="3"/>
  <c r="A90" i="3"/>
  <c r="O89" i="3"/>
  <c r="J89" i="3"/>
  <c r="H89" i="3"/>
  <c r="N89" i="3"/>
  <c r="A89" i="3"/>
  <c r="N88" i="3"/>
  <c r="J88" i="3"/>
  <c r="H88" i="3"/>
  <c r="O88" i="3"/>
  <c r="A88" i="3"/>
  <c r="H87" i="3"/>
  <c r="A87" i="3"/>
  <c r="N86" i="3"/>
  <c r="H86" i="3"/>
  <c r="A86" i="3"/>
  <c r="J85" i="3"/>
  <c r="H85" i="3"/>
  <c r="O85" i="3"/>
  <c r="A85" i="3"/>
  <c r="H84" i="3"/>
  <c r="A84" i="3"/>
  <c r="O83" i="3"/>
  <c r="J83" i="3"/>
  <c r="H83" i="3"/>
  <c r="N83" i="3"/>
  <c r="A83" i="3"/>
  <c r="H82" i="3"/>
  <c r="A82" i="3"/>
  <c r="H81" i="3"/>
  <c r="A81" i="3"/>
  <c r="N80" i="3"/>
  <c r="H80" i="3"/>
  <c r="J80" i="3"/>
  <c r="A80" i="3"/>
  <c r="O79" i="3"/>
  <c r="N79" i="3"/>
  <c r="J79" i="3"/>
  <c r="H79" i="3"/>
  <c r="A79" i="3"/>
  <c r="H78" i="3"/>
  <c r="N78" i="3"/>
  <c r="A78" i="3"/>
  <c r="N77" i="3"/>
  <c r="J77" i="3"/>
  <c r="O77" i="3"/>
  <c r="H77" i="3"/>
  <c r="A77" i="3"/>
  <c r="N76" i="3"/>
  <c r="J76" i="3"/>
  <c r="O76" i="3"/>
  <c r="H76" i="3"/>
  <c r="A76" i="3"/>
  <c r="O75" i="3"/>
  <c r="N75" i="3"/>
  <c r="J75" i="3"/>
  <c r="H75" i="3"/>
  <c r="A75" i="3"/>
  <c r="H74" i="3"/>
  <c r="A74" i="3"/>
  <c r="O73" i="3"/>
  <c r="J73" i="3"/>
  <c r="H73" i="3"/>
  <c r="N73" i="3"/>
  <c r="A73" i="3"/>
  <c r="N72" i="3"/>
  <c r="J72" i="3"/>
  <c r="H72" i="3"/>
  <c r="O72" i="3"/>
  <c r="A72" i="3"/>
  <c r="H71" i="3"/>
  <c r="A71" i="3"/>
  <c r="N70" i="3"/>
  <c r="H70" i="3"/>
  <c r="A70" i="3"/>
  <c r="J69" i="3"/>
  <c r="H69" i="3"/>
  <c r="O69" i="3"/>
  <c r="A69" i="3"/>
  <c r="H68" i="3"/>
  <c r="A68" i="3"/>
  <c r="O67" i="3"/>
  <c r="J67" i="3"/>
  <c r="H67" i="3"/>
  <c r="N67" i="3"/>
  <c r="A67" i="3"/>
  <c r="H66" i="3"/>
  <c r="A66" i="3"/>
  <c r="H65" i="3"/>
  <c r="A65" i="3"/>
  <c r="N64" i="3"/>
  <c r="H64" i="3"/>
  <c r="J64" i="3"/>
  <c r="A64" i="3"/>
  <c r="O63" i="3"/>
  <c r="N63" i="3"/>
  <c r="J63" i="3"/>
  <c r="H63" i="3"/>
  <c r="A63" i="3"/>
  <c r="H62" i="3"/>
  <c r="N62" i="3"/>
  <c r="A62" i="3"/>
  <c r="N61" i="3"/>
  <c r="J61" i="3"/>
  <c r="O61" i="3"/>
  <c r="H61" i="3"/>
  <c r="A61" i="3"/>
  <c r="N60" i="3"/>
  <c r="J60" i="3"/>
  <c r="O60" i="3"/>
  <c r="H60" i="3"/>
  <c r="A60" i="3"/>
  <c r="O59" i="3"/>
  <c r="N59" i="3"/>
  <c r="J59" i="3"/>
  <c r="H59" i="3"/>
  <c r="A59" i="3"/>
  <c r="H58" i="3"/>
  <c r="A58" i="3"/>
  <c r="O57" i="3"/>
  <c r="J57" i="3"/>
  <c r="H57" i="3"/>
  <c r="N57" i="3"/>
  <c r="A57" i="3"/>
  <c r="N56" i="3"/>
  <c r="J56" i="3"/>
  <c r="H56" i="3"/>
  <c r="O56" i="3"/>
  <c r="A56" i="3"/>
  <c r="H55" i="3"/>
  <c r="A55" i="3"/>
  <c r="N54" i="3"/>
  <c r="H54" i="3"/>
  <c r="A54" i="3"/>
  <c r="J53" i="3"/>
  <c r="H53" i="3"/>
  <c r="O53" i="3"/>
  <c r="A53" i="3"/>
  <c r="H52" i="3"/>
  <c r="A52" i="3"/>
  <c r="O51" i="3"/>
  <c r="J51" i="3"/>
  <c r="H51" i="3"/>
  <c r="N51" i="3"/>
  <c r="A51" i="3"/>
  <c r="H50" i="3"/>
  <c r="A50" i="3"/>
  <c r="H49" i="3"/>
  <c r="A49" i="3"/>
  <c r="N48" i="3"/>
  <c r="H48" i="3"/>
  <c r="J48" i="3"/>
  <c r="A48" i="3"/>
  <c r="O47" i="3"/>
  <c r="N47" i="3"/>
  <c r="J47" i="3"/>
  <c r="H47" i="3"/>
  <c r="A47" i="3"/>
  <c r="H46" i="3"/>
  <c r="N46" i="3"/>
  <c r="A46" i="3"/>
  <c r="N45" i="3"/>
  <c r="J45" i="3"/>
  <c r="O45" i="3"/>
  <c r="H45" i="3"/>
  <c r="A45" i="3"/>
  <c r="N44" i="3"/>
  <c r="J44" i="3"/>
  <c r="O44" i="3"/>
  <c r="H44" i="3"/>
  <c r="A44" i="3"/>
  <c r="O43" i="3"/>
  <c r="N43" i="3"/>
  <c r="J43" i="3"/>
  <c r="H43" i="3"/>
  <c r="A43" i="3"/>
  <c r="H42" i="3"/>
  <c r="A42" i="3"/>
  <c r="O41" i="3"/>
  <c r="J41" i="3"/>
  <c r="H41" i="3"/>
  <c r="N41" i="3"/>
  <c r="A41" i="3"/>
  <c r="N40" i="3"/>
  <c r="J40" i="3"/>
  <c r="H40" i="3"/>
  <c r="O40" i="3"/>
  <c r="A40" i="3"/>
  <c r="H39" i="3"/>
  <c r="A39" i="3"/>
  <c r="N38" i="3"/>
  <c r="H38" i="3"/>
  <c r="A38" i="3"/>
  <c r="J37" i="3"/>
  <c r="H37" i="3"/>
  <c r="O37" i="3"/>
  <c r="A37" i="3"/>
  <c r="H36" i="3"/>
  <c r="A36" i="3"/>
  <c r="O35" i="3"/>
  <c r="J35" i="3"/>
  <c r="H35" i="3"/>
  <c r="N35" i="3"/>
  <c r="A35" i="3"/>
  <c r="H34" i="3"/>
  <c r="A34" i="3"/>
  <c r="H33" i="3"/>
  <c r="A33" i="3"/>
  <c r="N32" i="3"/>
  <c r="H32" i="3"/>
  <c r="J32" i="3"/>
  <c r="A32" i="3"/>
  <c r="O31" i="3"/>
  <c r="N31" i="3"/>
  <c r="J31" i="3"/>
  <c r="H31" i="3"/>
  <c r="A31" i="3"/>
  <c r="H30" i="3"/>
  <c r="N30" i="3"/>
  <c r="A30" i="3"/>
  <c r="N29" i="3"/>
  <c r="J29" i="3"/>
  <c r="O29" i="3"/>
  <c r="H29" i="3"/>
  <c r="A29" i="3"/>
  <c r="N28" i="3"/>
  <c r="J28" i="3"/>
  <c r="O28" i="3"/>
  <c r="H28" i="3"/>
  <c r="A28" i="3"/>
  <c r="O27" i="3"/>
  <c r="N27" i="3"/>
  <c r="J27" i="3"/>
  <c r="H27" i="3"/>
  <c r="A27" i="3"/>
  <c r="H26" i="3"/>
  <c r="A26" i="3"/>
  <c r="O25" i="3"/>
  <c r="J25" i="3"/>
  <c r="H25" i="3"/>
  <c r="N25" i="3"/>
  <c r="A25" i="3"/>
  <c r="N24" i="3"/>
  <c r="J24" i="3"/>
  <c r="H24" i="3"/>
  <c r="O24" i="3"/>
  <c r="A24" i="3"/>
  <c r="H23" i="3"/>
  <c r="A23" i="3"/>
  <c r="N22" i="3"/>
  <c r="H22" i="3"/>
  <c r="A22" i="3"/>
  <c r="J21" i="3"/>
  <c r="H21" i="3"/>
  <c r="O21" i="3"/>
  <c r="A21" i="3"/>
  <c r="H20" i="3"/>
  <c r="A20" i="3"/>
  <c r="O19" i="3"/>
  <c r="J19" i="3"/>
  <c r="H19" i="3"/>
  <c r="N19" i="3"/>
  <c r="A19" i="3"/>
  <c r="H18" i="3"/>
  <c r="A18" i="3"/>
  <c r="H17" i="3"/>
  <c r="A17" i="3"/>
  <c r="N16" i="3"/>
  <c r="H16" i="3"/>
  <c r="J16" i="3"/>
  <c r="A16" i="3"/>
  <c r="O15" i="3"/>
  <c r="N15" i="3"/>
  <c r="J15" i="3"/>
  <c r="H15" i="3"/>
  <c r="A15" i="3"/>
  <c r="H14" i="3"/>
  <c r="N14" i="3"/>
  <c r="A14" i="3"/>
  <c r="N13" i="3"/>
  <c r="J13" i="3"/>
  <c r="O13" i="3"/>
  <c r="H13" i="3"/>
  <c r="A13" i="3"/>
  <c r="N12" i="3"/>
  <c r="J12" i="3"/>
  <c r="O12" i="3"/>
  <c r="H12" i="3"/>
  <c r="A12" i="3"/>
  <c r="O11" i="3"/>
  <c r="N11" i="3"/>
  <c r="J11" i="3"/>
  <c r="H11" i="3"/>
  <c r="A11" i="3"/>
  <c r="H10" i="3"/>
  <c r="A10" i="3"/>
  <c r="O9" i="3"/>
  <c r="J9" i="3"/>
  <c r="H9" i="3"/>
  <c r="N9" i="3"/>
  <c r="A9" i="3"/>
  <c r="N8" i="3"/>
  <c r="J8" i="3"/>
  <c r="H8" i="3"/>
  <c r="O8" i="3"/>
  <c r="A8" i="3"/>
  <c r="H7" i="3"/>
  <c r="A7" i="3"/>
  <c r="N6" i="3"/>
  <c r="H6" i="3"/>
  <c r="A6" i="3"/>
  <c r="J5" i="3"/>
  <c r="H5" i="3"/>
  <c r="O5" i="3"/>
  <c r="A5" i="3"/>
  <c r="H4" i="3"/>
  <c r="N3" i="3"/>
  <c r="H3" i="3"/>
  <c r="J3" i="3"/>
  <c r="N2" i="3"/>
  <c r="J2" i="3"/>
  <c r="O2" i="3"/>
  <c r="H2" i="3"/>
  <c r="O84" i="3"/>
  <c r="O306" i="3"/>
  <c r="O55" i="3"/>
  <c r="O177" i="3"/>
  <c r="O197" i="3"/>
  <c r="O261" i="3"/>
  <c r="O10" i="3"/>
  <c r="O171" i="3"/>
  <c r="O205" i="3"/>
  <c r="O330" i="3"/>
  <c r="O65" i="3"/>
  <c r="O215" i="3"/>
  <c r="O237" i="3"/>
  <c r="O342" i="3"/>
  <c r="O26" i="3"/>
  <c r="O221" i="3"/>
  <c r="O320" i="3"/>
  <c r="O326" i="3"/>
  <c r="O309" i="3"/>
  <c r="O87" i="3"/>
  <c r="O102" i="3"/>
  <c r="O277" i="3"/>
  <c r="O283" i="3"/>
  <c r="O293" i="3"/>
  <c r="O337" i="3"/>
  <c r="O82" i="3"/>
  <c r="O138" i="3"/>
  <c r="O158" i="3"/>
  <c r="O294" i="3"/>
  <c r="O133" i="3"/>
  <c r="O148" i="3"/>
  <c r="O159" i="3"/>
  <c r="O154" i="3"/>
  <c r="O180" i="3"/>
  <c r="O68" i="3"/>
  <c r="O98" i="3"/>
  <c r="O323" i="3"/>
  <c r="O333" i="3"/>
  <c r="O353" i="3"/>
  <c r="O243" i="3"/>
  <c r="O317" i="3"/>
  <c r="O3" i="3"/>
  <c r="J10" i="3"/>
  <c r="O16" i="3"/>
  <c r="J26" i="3"/>
  <c r="O32" i="3"/>
  <c r="J42" i="3"/>
  <c r="O42" i="3"/>
  <c r="O48" i="3"/>
  <c r="J58" i="3"/>
  <c r="O58" i="3"/>
  <c r="O64" i="3"/>
  <c r="J74" i="3"/>
  <c r="O74" i="3"/>
  <c r="O80" i="3"/>
  <c r="J90" i="3"/>
  <c r="O90" i="3"/>
  <c r="O96" i="3"/>
  <c r="J106" i="3"/>
  <c r="O106" i="3"/>
  <c r="O112" i="3"/>
  <c r="J122" i="3"/>
  <c r="O122" i="3"/>
  <c r="O128" i="3"/>
  <c r="J138" i="3"/>
  <c r="O144" i="3"/>
  <c r="J154" i="3"/>
  <c r="J164" i="3"/>
  <c r="O164" i="3"/>
  <c r="O170" i="3"/>
  <c r="J180" i="3"/>
  <c r="O186" i="3"/>
  <c r="J190" i="3"/>
  <c r="O190" i="3"/>
  <c r="J194" i="3"/>
  <c r="O194" i="3"/>
  <c r="J198" i="3"/>
  <c r="O198" i="3"/>
  <c r="J205" i="3"/>
  <c r="O211" i="3"/>
  <c r="J221" i="3"/>
  <c r="O233" i="3"/>
  <c r="J240" i="3"/>
  <c r="O240" i="3"/>
  <c r="J247" i="3"/>
  <c r="O247" i="3"/>
  <c r="O273" i="3"/>
  <c r="J283" i="3"/>
  <c r="O289" i="3"/>
  <c r="J299" i="3"/>
  <c r="O299" i="3"/>
  <c r="O305" i="3"/>
  <c r="O316" i="3"/>
  <c r="J326" i="3"/>
  <c r="O336" i="3"/>
  <c r="J357" i="3"/>
  <c r="O357" i="3"/>
  <c r="O363" i="3"/>
  <c r="J439" i="3"/>
  <c r="O439" i="3"/>
  <c r="J7" i="3"/>
  <c r="O7" i="3"/>
  <c r="N10" i="3"/>
  <c r="J23" i="3"/>
  <c r="O23" i="3"/>
  <c r="N26" i="3"/>
  <c r="J39" i="3"/>
  <c r="O39" i="3"/>
  <c r="N42" i="3"/>
  <c r="J55" i="3"/>
  <c r="N58" i="3"/>
  <c r="J71" i="3"/>
  <c r="O71" i="3"/>
  <c r="N74" i="3"/>
  <c r="J87" i="3"/>
  <c r="N90" i="3"/>
  <c r="J103" i="3"/>
  <c r="O103" i="3"/>
  <c r="N106" i="3"/>
  <c r="J119" i="3"/>
  <c r="O119" i="3"/>
  <c r="N122" i="3"/>
  <c r="J135" i="3"/>
  <c r="O135" i="3"/>
  <c r="N138" i="3"/>
  <c r="J151" i="3"/>
  <c r="O151" i="3"/>
  <c r="N154" i="3"/>
  <c r="J161" i="3"/>
  <c r="O161" i="3"/>
  <c r="N164" i="3"/>
  <c r="J177" i="3"/>
  <c r="N180" i="3"/>
  <c r="N190" i="3"/>
  <c r="N194" i="3"/>
  <c r="N198" i="3"/>
  <c r="J202" i="3"/>
  <c r="O202" i="3"/>
  <c r="N205" i="3"/>
  <c r="J218" i="3"/>
  <c r="O218" i="3"/>
  <c r="N221" i="3"/>
  <c r="N240" i="3"/>
  <c r="J244" i="3"/>
  <c r="O244" i="3"/>
  <c r="N247" i="3"/>
  <c r="J280" i="3"/>
  <c r="O280" i="3"/>
  <c r="N283" i="3"/>
  <c r="J296" i="3"/>
  <c r="O296" i="3"/>
  <c r="N299" i="3"/>
  <c r="J309" i="3"/>
  <c r="J313" i="3"/>
  <c r="O313" i="3"/>
  <c r="J323" i="3"/>
  <c r="N326" i="3"/>
  <c r="J333" i="3"/>
  <c r="J343" i="3"/>
  <c r="O343" i="3"/>
  <c r="N357" i="3"/>
  <c r="N439" i="3"/>
  <c r="J4" i="3"/>
  <c r="O4" i="3"/>
  <c r="N7" i="3"/>
  <c r="J20" i="3"/>
  <c r="O20" i="3"/>
  <c r="N23" i="3"/>
  <c r="J36" i="3"/>
  <c r="O36" i="3"/>
  <c r="N39" i="3"/>
  <c r="J52" i="3"/>
  <c r="O52" i="3"/>
  <c r="N55" i="3"/>
  <c r="J68" i="3"/>
  <c r="N71" i="3"/>
  <c r="J84" i="3"/>
  <c r="N87" i="3"/>
  <c r="J100" i="3"/>
  <c r="O100" i="3"/>
  <c r="N103" i="3"/>
  <c r="J116" i="3"/>
  <c r="O116" i="3"/>
  <c r="N119" i="3"/>
  <c r="J132" i="3"/>
  <c r="O132" i="3"/>
  <c r="N135" i="3"/>
  <c r="J148" i="3"/>
  <c r="N151" i="3"/>
  <c r="N161" i="3"/>
  <c r="J174" i="3"/>
  <c r="O174" i="3"/>
  <c r="N177" i="3"/>
  <c r="N202" i="3"/>
  <c r="J215" i="3"/>
  <c r="N218" i="3"/>
  <c r="J237" i="3"/>
  <c r="N244" i="3"/>
  <c r="J277" i="3"/>
  <c r="N280" i="3"/>
  <c r="J293" i="3"/>
  <c r="N296" i="3"/>
  <c r="N309" i="3"/>
  <c r="N313" i="3"/>
  <c r="J320" i="3"/>
  <c r="N323" i="3"/>
  <c r="N333" i="3"/>
  <c r="J340" i="3"/>
  <c r="O340" i="3"/>
  <c r="N343" i="3"/>
  <c r="N354" i="3"/>
  <c r="N4" i="3"/>
  <c r="J17" i="3"/>
  <c r="O17" i="3"/>
  <c r="N20" i="3"/>
  <c r="J33" i="3"/>
  <c r="O33" i="3"/>
  <c r="N36" i="3"/>
  <c r="J49" i="3"/>
  <c r="O49" i="3"/>
  <c r="N52" i="3"/>
  <c r="J65" i="3"/>
  <c r="N68" i="3"/>
  <c r="J81" i="3"/>
  <c r="O81" i="3"/>
  <c r="N84" i="3"/>
  <c r="J97" i="3"/>
  <c r="O97" i="3"/>
  <c r="N100" i="3"/>
  <c r="J113" i="3"/>
  <c r="O113" i="3"/>
  <c r="N116" i="3"/>
  <c r="J129" i="3"/>
  <c r="O129" i="3"/>
  <c r="N132" i="3"/>
  <c r="J145" i="3"/>
  <c r="O145" i="3"/>
  <c r="N148" i="3"/>
  <c r="J158" i="3"/>
  <c r="J171" i="3"/>
  <c r="N174" i="3"/>
  <c r="J187" i="3"/>
  <c r="O187" i="3"/>
  <c r="J212" i="3"/>
  <c r="O212" i="3"/>
  <c r="N215" i="3"/>
  <c r="J234" i="3"/>
  <c r="O234" i="3"/>
  <c r="N237" i="3"/>
  <c r="J260" i="3"/>
  <c r="O260" i="3"/>
  <c r="J274" i="3"/>
  <c r="O274" i="3"/>
  <c r="N277" i="3"/>
  <c r="J290" i="3"/>
  <c r="O290" i="3"/>
  <c r="N293" i="3"/>
  <c r="J306" i="3"/>
  <c r="J317" i="3"/>
  <c r="N320" i="3"/>
  <c r="J337" i="3"/>
  <c r="N340" i="3"/>
  <c r="J347" i="3"/>
  <c r="O347" i="3"/>
  <c r="J351" i="3"/>
  <c r="O351" i="3"/>
  <c r="J364" i="3"/>
  <c r="O364" i="3"/>
  <c r="J14" i="3"/>
  <c r="O14" i="3"/>
  <c r="N17" i="3"/>
  <c r="J30" i="3"/>
  <c r="O30" i="3"/>
  <c r="N33" i="3"/>
  <c r="J46" i="3"/>
  <c r="O46" i="3"/>
  <c r="N49" i="3"/>
  <c r="J62" i="3"/>
  <c r="O62" i="3"/>
  <c r="N65" i="3"/>
  <c r="J78" i="3"/>
  <c r="O78" i="3"/>
  <c r="N81" i="3"/>
  <c r="J94" i="3"/>
  <c r="O94" i="3"/>
  <c r="N97" i="3"/>
  <c r="J110" i="3"/>
  <c r="O110" i="3"/>
  <c r="N113" i="3"/>
  <c r="J126" i="3"/>
  <c r="O126" i="3"/>
  <c r="N129" i="3"/>
  <c r="J142" i="3"/>
  <c r="O142" i="3"/>
  <c r="N145" i="3"/>
  <c r="N158" i="3"/>
  <c r="J168" i="3"/>
  <c r="O168" i="3"/>
  <c r="N171" i="3"/>
  <c r="J184" i="3"/>
  <c r="O184" i="3"/>
  <c r="N187" i="3"/>
  <c r="J191" i="3"/>
  <c r="O191" i="3"/>
  <c r="J195" i="3"/>
  <c r="O195" i="3"/>
  <c r="J199" i="3"/>
  <c r="O199" i="3"/>
  <c r="J209" i="3"/>
  <c r="O209" i="3"/>
  <c r="N212" i="3"/>
  <c r="J231" i="3"/>
  <c r="O231" i="3"/>
  <c r="N234" i="3"/>
  <c r="J241" i="3"/>
  <c r="O241" i="3"/>
  <c r="N260" i="3"/>
  <c r="J271" i="3"/>
  <c r="O271" i="3"/>
  <c r="N274" i="3"/>
  <c r="J287" i="3"/>
  <c r="O287" i="3"/>
  <c r="N290" i="3"/>
  <c r="J303" i="3"/>
  <c r="O303" i="3"/>
  <c r="N306" i="3"/>
  <c r="N317" i="3"/>
  <c r="J330" i="3"/>
  <c r="N337" i="3"/>
  <c r="N347" i="3"/>
  <c r="N351" i="3"/>
  <c r="J361" i="3"/>
  <c r="O361" i="3"/>
  <c r="N364" i="3"/>
  <c r="N330" i="3"/>
  <c r="N361" i="3"/>
  <c r="J344" i="3"/>
  <c r="O344" i="3"/>
  <c r="J355" i="3"/>
  <c r="O355" i="3"/>
  <c r="J133" i="3"/>
  <c r="J149" i="3"/>
  <c r="O149" i="3"/>
  <c r="J159" i="3"/>
  <c r="J175" i="3"/>
  <c r="O175" i="3"/>
  <c r="J216" i="3"/>
  <c r="O216" i="3"/>
  <c r="J238" i="3"/>
  <c r="O238" i="3"/>
  <c r="N245" i="3"/>
  <c r="J257" i="3"/>
  <c r="O257" i="3"/>
  <c r="J261" i="3"/>
  <c r="J278" i="3"/>
  <c r="O278" i="3"/>
  <c r="N281" i="3"/>
  <c r="J294" i="3"/>
  <c r="N297" i="3"/>
  <c r="J321" i="3"/>
  <c r="O321" i="3"/>
  <c r="N324" i="3"/>
  <c r="J341" i="3"/>
  <c r="O341" i="3"/>
  <c r="N344" i="3"/>
  <c r="J348" i="3"/>
  <c r="O348" i="3"/>
  <c r="J352" i="3"/>
  <c r="O352" i="3"/>
  <c r="N355" i="3"/>
  <c r="N5" i="3"/>
  <c r="J18" i="3"/>
  <c r="O18" i="3"/>
  <c r="N21" i="3"/>
  <c r="J34" i="3"/>
  <c r="O34" i="3"/>
  <c r="N37" i="3"/>
  <c r="J50" i="3"/>
  <c r="O50" i="3"/>
  <c r="N53" i="3"/>
  <c r="J66" i="3"/>
  <c r="O66" i="3"/>
  <c r="N69" i="3"/>
  <c r="J82" i="3"/>
  <c r="N85" i="3"/>
  <c r="J98" i="3"/>
  <c r="N101" i="3"/>
  <c r="J114" i="3"/>
  <c r="O114" i="3"/>
  <c r="N117" i="3"/>
  <c r="J130" i="3"/>
  <c r="O130" i="3"/>
  <c r="N133" i="3"/>
  <c r="J146" i="3"/>
  <c r="O146" i="3"/>
  <c r="N149" i="3"/>
  <c r="N159" i="3"/>
  <c r="J172" i="3"/>
  <c r="O172" i="3"/>
  <c r="N175" i="3"/>
  <c r="J188" i="3"/>
  <c r="O188" i="3"/>
  <c r="J192" i="3"/>
  <c r="O192" i="3"/>
  <c r="J196" i="3"/>
  <c r="O196" i="3"/>
  <c r="J200" i="3"/>
  <c r="O200" i="3"/>
  <c r="J213" i="3"/>
  <c r="O213" i="3"/>
  <c r="N216" i="3"/>
  <c r="J235" i="3"/>
  <c r="O235" i="3"/>
  <c r="N238" i="3"/>
  <c r="J242" i="3"/>
  <c r="O242" i="3"/>
  <c r="N257" i="3"/>
  <c r="N261" i="3"/>
  <c r="J275" i="3"/>
  <c r="O275" i="3"/>
  <c r="N278" i="3"/>
  <c r="J291" i="3"/>
  <c r="O291" i="3"/>
  <c r="N294" i="3"/>
  <c r="J307" i="3"/>
  <c r="O307" i="3"/>
  <c r="J318" i="3"/>
  <c r="O318" i="3"/>
  <c r="N321" i="3"/>
  <c r="J338" i="3"/>
  <c r="O338" i="3"/>
  <c r="N341" i="3"/>
  <c r="N348" i="3"/>
  <c r="N352" i="3"/>
  <c r="N365" i="3"/>
  <c r="N18" i="3"/>
  <c r="N34" i="3"/>
  <c r="N50" i="3"/>
  <c r="N66" i="3"/>
  <c r="N82" i="3"/>
  <c r="N98" i="3"/>
  <c r="N114" i="3"/>
  <c r="N130" i="3"/>
  <c r="N146" i="3"/>
  <c r="N172" i="3"/>
  <c r="N188" i="3"/>
  <c r="N192" i="3"/>
  <c r="N196" i="3"/>
  <c r="N200" i="3"/>
  <c r="N338" i="3"/>
  <c r="J6" i="3"/>
  <c r="O6" i="3"/>
  <c r="J22" i="3"/>
  <c r="O22" i="3"/>
  <c r="J38" i="3"/>
  <c r="O38" i="3"/>
  <c r="J54" i="3"/>
  <c r="O54" i="3"/>
  <c r="J70" i="3"/>
  <c r="O70" i="3"/>
  <c r="J86" i="3"/>
  <c r="O86" i="3"/>
  <c r="J102" i="3"/>
  <c r="J118" i="3"/>
  <c r="O118" i="3"/>
  <c r="J134" i="3"/>
  <c r="O134" i="3"/>
  <c r="J150" i="3"/>
  <c r="O150" i="3"/>
  <c r="J160" i="3"/>
  <c r="O160" i="3"/>
  <c r="J176" i="3"/>
  <c r="O176" i="3"/>
  <c r="J189" i="3"/>
  <c r="O189" i="3"/>
  <c r="J193" i="3"/>
  <c r="O193" i="3"/>
  <c r="J197" i="3"/>
  <c r="J201" i="3"/>
  <c r="O201" i="3"/>
  <c r="J217" i="3"/>
  <c r="O217" i="3"/>
  <c r="J239" i="3"/>
  <c r="O239" i="3"/>
  <c r="J243" i="3"/>
  <c r="J279" i="3"/>
  <c r="O279" i="3"/>
  <c r="J295" i="3"/>
  <c r="O295" i="3"/>
  <c r="J322" i="3"/>
  <c r="O322" i="3"/>
  <c r="J342" i="3"/>
  <c r="J353" i="3"/>
</calcChain>
</file>

<file path=xl/sharedStrings.xml><?xml version="1.0" encoding="utf-8"?>
<sst xmlns="http://schemas.openxmlformats.org/spreadsheetml/2006/main" count="12646" uniqueCount="4159">
  <si>
    <t>tag</t>
  </si>
  <si>
    <t>parent_tag</t>
  </si>
  <si>
    <t>text</t>
  </si>
  <si>
    <t>priority</t>
  </si>
  <si>
    <t>has_features_value</t>
  </si>
  <si>
    <t>group_tag</t>
  </si>
  <si>
    <t>min_state</t>
  </si>
  <si>
    <t>mandatory_for_submission</t>
  </si>
  <si>
    <t>mandatory_for_active</t>
  </si>
  <si>
    <t>allow_as_filter</t>
  </si>
  <si>
    <t>allow_for_user</t>
  </si>
  <si>
    <t>allow_for_genotype</t>
  </si>
  <si>
    <t>allow_for_qc</t>
  </si>
  <si>
    <t>allow_for_dataset</t>
  </si>
  <si>
    <t>att_aa_starvation</t>
  </si>
  <si>
    <t>NA</t>
  </si>
  <si>
    <t>Amino Acid Starvation</t>
  </si>
  <si>
    <t>FALSE</t>
  </si>
  <si>
    <t>treatment</t>
  </si>
  <si>
    <t>TRUE</t>
  </si>
  <si>
    <t>att_acquisition</t>
  </si>
  <si>
    <t>att_ms</t>
  </si>
  <si>
    <t>Acquisition</t>
  </si>
  <si>
    <t>ms</t>
  </si>
  <si>
    <t>att_alkylation</t>
  </si>
  <si>
    <t>att_digestion_method</t>
  </si>
  <si>
    <t>Protein Alkylation</t>
  </si>
  <si>
    <t>digestion</t>
  </si>
  <si>
    <t>att_analysis_mode</t>
  </si>
  <si>
    <t>att_software</t>
  </si>
  <si>
    <t>Software Analysis Mode</t>
  </si>
  <si>
    <t>data_analysis</t>
  </si>
  <si>
    <t>att_batch</t>
  </si>
  <si>
    <t>Batch</t>
  </si>
  <si>
    <t>batch</t>
  </si>
  <si>
    <t>att_cap_temp</t>
  </si>
  <si>
    <t>att_ms_ionsource</t>
  </si>
  <si>
    <t>att_cell</t>
  </si>
  <si>
    <t>Cell</t>
  </si>
  <si>
    <t>sample_description</t>
  </si>
  <si>
    <t>att_cellline</t>
  </si>
  <si>
    <t>Cellline</t>
  </si>
  <si>
    <t>att_centr_pellet</t>
  </si>
  <si>
    <t>Centrifugation (Pellet) [k x g]</t>
  </si>
  <si>
    <t>sample_prep</t>
  </si>
  <si>
    <t>att_centr_supernatant</t>
  </si>
  <si>
    <t>Centrifugation (Supernatant) [k x g]</t>
  </si>
  <si>
    <t>att_collision_energy</t>
  </si>
  <si>
    <t>Collision Energy [%]</t>
  </si>
  <si>
    <t>att_column_inner_diameter</t>
  </si>
  <si>
    <t>att_column_type</t>
  </si>
  <si>
    <t>lc</t>
  </si>
  <si>
    <t>att_column_length</t>
  </si>
  <si>
    <t>att_column_outer_diameter</t>
  </si>
  <si>
    <t>att_column_oven_temp</t>
  </si>
  <si>
    <t>att_column_particle_size</t>
  </si>
  <si>
    <t>att_column_pore_size</t>
  </si>
  <si>
    <t>Column Pore Size</t>
  </si>
  <si>
    <t>att_column_stat_phase</t>
  </si>
  <si>
    <t>Column Stationary Phase</t>
  </si>
  <si>
    <t>Column Type</t>
  </si>
  <si>
    <t>att_compound</t>
  </si>
  <si>
    <t>Chemical Compound Treatment</t>
  </si>
  <si>
    <t>att_crosslink_hydroamine_cleavable</t>
  </si>
  <si>
    <t>Hydroxylamine Cleavable Crosslinker</t>
  </si>
  <si>
    <t>crosslinker</t>
  </si>
  <si>
    <t>att_crosslink_ms_cleavable</t>
  </si>
  <si>
    <t>MS2 Clevable Crosslinker</t>
  </si>
  <si>
    <t>att_crosslink_non_clevable</t>
  </si>
  <si>
    <t>Non Clevable Crosslinker</t>
  </si>
  <si>
    <t>att_crosslink_thiol_cleavable</t>
  </si>
  <si>
    <t>Thiol-Clevable Crosslinker</t>
  </si>
  <si>
    <t>att_cycletime</t>
  </si>
  <si>
    <t>att_detergent</t>
  </si>
  <si>
    <t>att_lysis_method</t>
  </si>
  <si>
    <t>Detergent</t>
  </si>
  <si>
    <t>lysis</t>
  </si>
  <si>
    <t>att_dia_mz_end</t>
  </si>
  <si>
    <t>att_diawindows</t>
  </si>
  <si>
    <t>att_dia_mz_start</t>
  </si>
  <si>
    <t>Digestion Method</t>
  </si>
  <si>
    <t>att_digestion_temp</t>
  </si>
  <si>
    <t>att_digestion_time</t>
  </si>
  <si>
    <t>att_digestion_vessel</t>
  </si>
  <si>
    <t>Digestion Vessel</t>
  </si>
  <si>
    <t>att_disease</t>
  </si>
  <si>
    <t>Disease</t>
  </si>
  <si>
    <t>att_environment_treatment</t>
  </si>
  <si>
    <t>Environment Treament</t>
  </si>
  <si>
    <t>att_experiment</t>
  </si>
  <si>
    <t>Experiment Type</t>
  </si>
  <si>
    <t>general</t>
  </si>
  <si>
    <t>att_faims_cv</t>
  </si>
  <si>
    <t>att_ms_interface</t>
  </si>
  <si>
    <t>att_faims_gasflow</t>
  </si>
  <si>
    <t>att_faims_inner_temp</t>
  </si>
  <si>
    <t>FAIMS Inner Electrode Temp</t>
  </si>
  <si>
    <t>att_faims_outer_temp</t>
  </si>
  <si>
    <t>FAIMS Outer Electrode Temp</t>
  </si>
  <si>
    <t>att_fasta_file</t>
  </si>
  <si>
    <t>Fasta File</t>
  </si>
  <si>
    <t>att_funding</t>
  </si>
  <si>
    <t>Source of Funding</t>
  </si>
  <si>
    <t>funding</t>
  </si>
  <si>
    <t>att_gene_editing_method</t>
  </si>
  <si>
    <t>att_gene_zygosity</t>
  </si>
  <si>
    <t>Editing method</t>
  </si>
  <si>
    <t>genotype</t>
  </si>
  <si>
    <t>att_gene_engineering</t>
  </si>
  <si>
    <t>Gene engineering</t>
  </si>
  <si>
    <t>Zygosity</t>
  </si>
  <si>
    <t>att_isolation_width</t>
  </si>
  <si>
    <t>att_knockdown_technique</t>
  </si>
  <si>
    <t>knockdown</t>
  </si>
  <si>
    <t>Knockdown Technique</t>
  </si>
  <si>
    <t>att_lc_flow_rate</t>
  </si>
  <si>
    <t>att_lc_system_name</t>
  </si>
  <si>
    <t>att_lc_system</t>
  </si>
  <si>
    <t>LC System</t>
  </si>
  <si>
    <t>att_liquid_handler</t>
  </si>
  <si>
    <t>Liquid Handler</t>
  </si>
  <si>
    <t>att_lysis_buffer</t>
  </si>
  <si>
    <t>Lysis Buffer</t>
  </si>
  <si>
    <t>Lysis Method</t>
  </si>
  <si>
    <t>att_metabolic_label</t>
  </si>
  <si>
    <t>Metabolic / SILAC Labeling</t>
  </si>
  <si>
    <t>att_mitocarta_pathway</t>
  </si>
  <si>
    <t>MitoCarta3.0 Pathway</t>
  </si>
  <si>
    <t>pathway</t>
  </si>
  <si>
    <t>att_model</t>
  </si>
  <si>
    <t>Model</t>
  </si>
  <si>
    <t>Mass Spectrometer Type</t>
  </si>
  <si>
    <t>Interface</t>
  </si>
  <si>
    <t>att_ms_name</t>
  </si>
  <si>
    <t>Ion Source</t>
  </si>
  <si>
    <t>Mass Spectrometer</t>
  </si>
  <si>
    <t>att_ms1_mz_end</t>
  </si>
  <si>
    <t>att_ms1_resolution</t>
  </si>
  <si>
    <t>att_ms1_mz_start</t>
  </si>
  <si>
    <t>MS1 Resolution</t>
  </si>
  <si>
    <t>att_ms2_mz_end</t>
  </si>
  <si>
    <t>att_ms2_resolution</t>
  </si>
  <si>
    <t>att_ms2_mz_start</t>
  </si>
  <si>
    <t>MS2 Resolution</t>
  </si>
  <si>
    <t>att_muscle</t>
  </si>
  <si>
    <t>att_organ</t>
  </si>
  <si>
    <t>Muscle</t>
  </si>
  <si>
    <t>att_offline_frac_instrument</t>
  </si>
  <si>
    <t>att_offline_fractionation</t>
  </si>
  <si>
    <t>Offline Fractionation Instrument</t>
  </si>
  <si>
    <t>fractionation</t>
  </si>
  <si>
    <t>att_offline_fraction_index</t>
  </si>
  <si>
    <t>att_offline_fraction</t>
  </si>
  <si>
    <t>Offline Fractionation Index</t>
  </si>
  <si>
    <t>Offline Fractionation</t>
  </si>
  <si>
    <t>att_omics_type</t>
  </si>
  <si>
    <t>Omics Type</t>
  </si>
  <si>
    <t>Organ</t>
  </si>
  <si>
    <t>att_organism</t>
  </si>
  <si>
    <t>Organism</t>
  </si>
  <si>
    <t>att_phystraining</t>
  </si>
  <si>
    <t>Physical Training</t>
  </si>
  <si>
    <t>att_protease</t>
  </si>
  <si>
    <t>Protease</t>
  </si>
  <si>
    <t>att_protein_mutation</t>
  </si>
  <si>
    <t>Protein Mutation</t>
  </si>
  <si>
    <t>att_protein_position</t>
  </si>
  <si>
    <t>att_quant_algorithm</t>
  </si>
  <si>
    <t>att_quantification</t>
  </si>
  <si>
    <t>Quantification Algorithm</t>
  </si>
  <si>
    <t>Quantification Type</t>
  </si>
  <si>
    <t>att_reduction</t>
  </si>
  <si>
    <t>Protein Reduction</t>
  </si>
  <si>
    <t>att_rf_level</t>
  </si>
  <si>
    <t>RF Level</t>
  </si>
  <si>
    <t>Software</t>
  </si>
  <si>
    <t>att_spatial_fraction</t>
  </si>
  <si>
    <t>Spatial Fraction</t>
  </si>
  <si>
    <t>att_tissue</t>
  </si>
  <si>
    <t>Tissue</t>
  </si>
  <si>
    <t>att_tmt_channel</t>
  </si>
  <si>
    <t>TMT 10 plex</t>
  </si>
  <si>
    <t>TopN</t>
  </si>
  <si>
    <t>att_user_email</t>
  </si>
  <si>
    <t>user</t>
  </si>
  <si>
    <t>att_user_firstname</t>
  </si>
  <si>
    <t>First name</t>
  </si>
  <si>
    <t>att_user_institute</t>
  </si>
  <si>
    <t>Institute</t>
  </si>
  <si>
    <t>att_user_lastname</t>
  </si>
  <si>
    <t>Last name</t>
  </si>
  <si>
    <t>att_user_research_group</t>
  </si>
  <si>
    <t>Research Group</t>
  </si>
  <si>
    <t>att_user_role</t>
  </si>
  <si>
    <t>Role</t>
  </si>
  <si>
    <t>attribute_tag</t>
  </si>
  <si>
    <t>keyword</t>
  </si>
  <si>
    <t>description</t>
  </si>
  <si>
    <t>steroid_synthesis</t>
  </si>
  <si>
    <t>Cholesterol, bile acid, steroid synthesis</t>
  </si>
  <si>
    <t>Metabolism &gt; Lipid metabolism &gt; Cholesterol, bile acid, steroid synthesis</t>
  </si>
  <si>
    <t>q_linked_reactions</t>
  </si>
  <si>
    <t>Q-linked reactions, other</t>
  </si>
  <si>
    <t>Metabolism &gt; Electron carriers &gt; Q-linked reactions, other</t>
  </si>
  <si>
    <t>protein_import</t>
  </si>
  <si>
    <t>Protein import, sorting and homeostasis</t>
  </si>
  <si>
    <t>360um</t>
  </si>
  <si>
    <t>360 µm outer column diameter</t>
  </si>
  <si>
    <t>arginine</t>
  </si>
  <si>
    <t>att_aa</t>
  </si>
  <si>
    <t>Arginine</t>
  </si>
  <si>
    <t>Arginine (Arg/R) MW (Da):174,20 C6H14N4O2 pKa: 2,17</t>
  </si>
  <si>
    <t>asparagine</t>
  </si>
  <si>
    <t>Asparagine</t>
  </si>
  <si>
    <t>Asparagine (Asn/N) MW (Da):132,12 C4H8N2O3</t>
  </si>
  <si>
    <t>asparticacid</t>
  </si>
  <si>
    <t>Aspartic</t>
  </si>
  <si>
    <t>Aspartic acid (Asp/D) MW (Da):133,11 C4H7NO4</t>
  </si>
  <si>
    <t>cysteine</t>
  </si>
  <si>
    <t>Cysteine</t>
  </si>
  <si>
    <t>Cysteine (Cys/C) MW (Da):121,16 C3H7NO2S</t>
  </si>
  <si>
    <t>glutamicacid</t>
  </si>
  <si>
    <t>Glutamic</t>
  </si>
  <si>
    <t>Glutamic acid (Glu/E) MW (Da):147,13 C5H9NO4</t>
  </si>
  <si>
    <t>glutamine</t>
  </si>
  <si>
    <t>Glutamine</t>
  </si>
  <si>
    <t>Glutamine (Gln/Q) MW (Da):146,15 C5H10N2O3</t>
  </si>
  <si>
    <t>glycine</t>
  </si>
  <si>
    <t>Glycine</t>
  </si>
  <si>
    <t>Glycine (Gly/G) MW (Da):75,07 C2H5NO2</t>
  </si>
  <si>
    <t>histidine</t>
  </si>
  <si>
    <t>Histidine</t>
  </si>
  <si>
    <t>Histidine (His/H) MW (Da):155,16 C6H9N3O2</t>
  </si>
  <si>
    <t>isoleucine</t>
  </si>
  <si>
    <t>Isoleucine</t>
  </si>
  <si>
    <t>Isoleucine (Ile/I) MW (Da):131,18 C6H13NO2</t>
  </si>
  <si>
    <t>leucine</t>
  </si>
  <si>
    <t>Leucine</t>
  </si>
  <si>
    <t>Leucine (Leu/L) MW (Da):131,18 C6H13NO2</t>
  </si>
  <si>
    <t>lysine</t>
  </si>
  <si>
    <t>Lysine</t>
  </si>
  <si>
    <t>Lysine (Lys/K) MW (Da):146,19 C6H14N2O2</t>
  </si>
  <si>
    <t>methionine</t>
  </si>
  <si>
    <t>Methionine</t>
  </si>
  <si>
    <t>Methionine (Met/M) MW (Da):149,21 C5H11NO2S</t>
  </si>
  <si>
    <t>phenylalanine</t>
  </si>
  <si>
    <t>Phenylalanine</t>
  </si>
  <si>
    <t>Phenylalanine (Phe/F) MW (Da):165,19 C9H11NO2</t>
  </si>
  <si>
    <t>proline</t>
  </si>
  <si>
    <t>Proline</t>
  </si>
  <si>
    <t>Proline (Pro/P) MW (Da):115,13 C5H9NO2</t>
  </si>
  <si>
    <t>serine</t>
  </si>
  <si>
    <t>Serine</t>
  </si>
  <si>
    <t>Serin (Ser/S) MW (Da):105,09 C3H7NO3</t>
  </si>
  <si>
    <t>threonine</t>
  </si>
  <si>
    <t>Threonine</t>
  </si>
  <si>
    <t>Threonine (Thr/T) MW (Da):119,12 C4H9NO3</t>
  </si>
  <si>
    <t>tryptophan</t>
  </si>
  <si>
    <t>Tryptophan</t>
  </si>
  <si>
    <t>Tryptophan(Trp/W) MW (Da):204,23 C11H12N2O2</t>
  </si>
  <si>
    <t>tyrosine</t>
  </si>
  <si>
    <t>Tyrosine</t>
  </si>
  <si>
    <t>Tyrosine (Tyr/Y) MW (Da):181,19 C9H11NO3</t>
  </si>
  <si>
    <t>valine</t>
  </si>
  <si>
    <t>Valine</t>
  </si>
  <si>
    <t>Valine (Val/V) MW (Da):117,15 C5H11NO2</t>
  </si>
  <si>
    <t>dda</t>
  </si>
  <si>
    <t>DDA</t>
  </si>
  <si>
    <t xml:space="preserve">Data-dependent acquisition </t>
  </si>
  <si>
    <t>dia</t>
  </si>
  <si>
    <t>DIA</t>
  </si>
  <si>
    <t>Data-independent acquisition</t>
  </si>
  <si>
    <t>srm</t>
  </si>
  <si>
    <t>SRM / MRM</t>
  </si>
  <si>
    <t>Selected reaction monitoring / Multiple reaction monitoring</t>
  </si>
  <si>
    <t>caa</t>
  </si>
  <si>
    <t>CAA</t>
  </si>
  <si>
    <t>Chloracetamide for protein alkylation.</t>
  </si>
  <si>
    <t>iaa</t>
  </si>
  <si>
    <t>IAA</t>
  </si>
  <si>
    <t>Iodoacetamide for protein alkylation.</t>
  </si>
  <si>
    <t>none</t>
  </si>
  <si>
    <t>Native</t>
  </si>
  <si>
    <t>Proteins were not alkylated.</t>
  </si>
  <si>
    <t>directdia</t>
  </si>
  <si>
    <t>Direct DIA</t>
  </si>
  <si>
    <t xml:space="preserve">Direct DIA mode (no DDA library). </t>
  </si>
  <si>
    <t>libdia</t>
  </si>
  <si>
    <t>Spectral Library based DIA</t>
  </si>
  <si>
    <t xml:space="preserve">Experimental library (DDA) based DIA anaylsis. </t>
  </si>
  <si>
    <t>adipoq_cre</t>
  </si>
  <si>
    <t>att_animal_model</t>
  </si>
  <si>
    <t>Adipoq-Cre</t>
  </si>
  <si>
    <t>white adipose tissue</t>
  </si>
  <si>
    <t>alb_cre</t>
  </si>
  <si>
    <t>Alb-Cre</t>
  </si>
  <si>
    <t>Hepatocytes</t>
  </si>
  <si>
    <t>asc_ko</t>
  </si>
  <si>
    <t>ASC ko</t>
  </si>
  <si>
    <t>baf53b_cre</t>
  </si>
  <si>
    <t>Baf53b-Cre</t>
  </si>
  <si>
    <t>Neurons</t>
  </si>
  <si>
    <t>c57_bl6j</t>
  </si>
  <si>
    <t>C57/Bl6J</t>
  </si>
  <si>
    <t>clec4f_cre</t>
  </si>
  <si>
    <t>Clec4f-Cre</t>
  </si>
  <si>
    <t>Kupffer cells</t>
  </si>
  <si>
    <t>cx3cr1_cre</t>
  </si>
  <si>
    <t>Cx3cr1-Cre</t>
  </si>
  <si>
    <t>(Yalk sac) Macrophages</t>
  </si>
  <si>
    <t>cxcr4creert2</t>
  </si>
  <si>
    <t>Cxcr4CreERT2</t>
  </si>
  <si>
    <t>glast_cre</t>
  </si>
  <si>
    <t>Glast-Cre</t>
  </si>
  <si>
    <t>Astrocytes</t>
  </si>
  <si>
    <t>lrat_cre</t>
  </si>
  <si>
    <t>Lrat-Cre</t>
  </si>
  <si>
    <t>Hepatic stellate cells</t>
  </si>
  <si>
    <t>lysm_cre</t>
  </si>
  <si>
    <t>LysM-Cre</t>
  </si>
  <si>
    <t>Macrophages/Neutrophils</t>
  </si>
  <si>
    <t>ms4a3_cre</t>
  </si>
  <si>
    <t>Ms4a3-Cre</t>
  </si>
  <si>
    <t>Monocytes</t>
  </si>
  <si>
    <t>mt_nlrp3_cre</t>
  </si>
  <si>
    <t>MT-Nlrp3-Cre</t>
  </si>
  <si>
    <t xml:space="preserve">CAPS R26ERtCreNlrp3A350V </t>
  </si>
  <si>
    <t>nlrp3_flox</t>
  </si>
  <si>
    <t>Nlrp3-flox</t>
  </si>
  <si>
    <t>nlrp3_ko</t>
  </si>
  <si>
    <t>Nlrp3 ko</t>
  </si>
  <si>
    <t>oaf</t>
  </si>
  <si>
    <t>OAF</t>
  </si>
  <si>
    <t>r26_ert2cre</t>
  </si>
  <si>
    <t>R26 ERt2Cre</t>
  </si>
  <si>
    <t>R26 Ert2Cre</t>
  </si>
  <si>
    <t>r26_metrs_flox</t>
  </si>
  <si>
    <t>R26 MetRS*-flox</t>
  </si>
  <si>
    <t>Cell-type specific labelling</t>
  </si>
  <si>
    <t>r26_nlrp3_flox</t>
  </si>
  <si>
    <t>R26 Nlrp3-flox</t>
  </si>
  <si>
    <t>ribotag_lox</t>
  </si>
  <si>
    <t>Ribotag-lox</t>
  </si>
  <si>
    <t>sox10_cre</t>
  </si>
  <si>
    <t>Sox10-Cre</t>
  </si>
  <si>
    <t>Neural crest ?</t>
  </si>
  <si>
    <t>ucp1_cre</t>
  </si>
  <si>
    <t>UCP1-Cre</t>
  </si>
  <si>
    <t>brown adipose tissue</t>
  </si>
  <si>
    <t>vil_cre</t>
  </si>
  <si>
    <t>Vil-Cre</t>
  </si>
  <si>
    <t>Intestinal epithelium</t>
  </si>
  <si>
    <t>adipose_macrophages</t>
  </si>
  <si>
    <t>adiposemacrophages</t>
  </si>
  <si>
    <t>Adipose Macrophages</t>
  </si>
  <si>
    <t>Adipose tissue macrophages</t>
  </si>
  <si>
    <t>astrocytes</t>
  </si>
  <si>
    <t>basophils</t>
  </si>
  <si>
    <t>Basophils</t>
  </si>
  <si>
    <t>&lt; 1% of leukocytes</t>
  </si>
  <si>
    <t>bcells</t>
  </si>
  <si>
    <t>B cells</t>
  </si>
  <si>
    <t>cytotoxict</t>
  </si>
  <si>
    <t>Cytotoxic T cells</t>
  </si>
  <si>
    <t>CD8+ cytotoxic T cells</t>
  </si>
  <si>
    <t>endothelial</t>
  </si>
  <si>
    <t>Endothelial</t>
  </si>
  <si>
    <t>Interior surface cells of blood vessels and lymphatic vessels</t>
  </si>
  <si>
    <t>eosinophils</t>
  </si>
  <si>
    <t>Eosinophils</t>
  </si>
  <si>
    <t>2% of leukocytes</t>
  </si>
  <si>
    <t>epithelioid</t>
  </si>
  <si>
    <t>Epithelioid</t>
  </si>
  <si>
    <t>Granulomas</t>
  </si>
  <si>
    <t>erythrocytes</t>
  </si>
  <si>
    <t>Erythrocytes</t>
  </si>
  <si>
    <t>Red blood cells</t>
  </si>
  <si>
    <t>gammadeltat</t>
  </si>
  <si>
    <t>Gamma Delta T cells</t>
  </si>
  <si>
    <t>Gamma delta T cells</t>
  </si>
  <si>
    <t>hofbauer</t>
  </si>
  <si>
    <t>Hofbauer</t>
  </si>
  <si>
    <t>Hofbauer cells; Placenta</t>
  </si>
  <si>
    <t>keratinocytes</t>
  </si>
  <si>
    <t>Keratinocytes</t>
  </si>
  <si>
    <t>Most prominent cell within the epidermis.</t>
  </si>
  <si>
    <t>kupffer</t>
  </si>
  <si>
    <t>Kupffer</t>
  </si>
  <si>
    <t>Kupffer cells; Liver</t>
  </si>
  <si>
    <t>langerhans</t>
  </si>
  <si>
    <t>Langerhans</t>
  </si>
  <si>
    <t>Langerhans cells; Skin</t>
  </si>
  <si>
    <t>leukocytes</t>
  </si>
  <si>
    <t>Leukocytes</t>
  </si>
  <si>
    <t>White blood cells</t>
  </si>
  <si>
    <t>lymphocytes</t>
  </si>
  <si>
    <t>Lymphocytes</t>
  </si>
  <si>
    <t>30% of leukocytes; includes B cells and T cells</t>
  </si>
  <si>
    <t>macrophage</t>
  </si>
  <si>
    <t>Macrophage</t>
  </si>
  <si>
    <t>microglia</t>
  </si>
  <si>
    <t>Microglia</t>
  </si>
  <si>
    <t>Microglia; Central nervous system</t>
  </si>
  <si>
    <t>monoblast</t>
  </si>
  <si>
    <t>Monoblast</t>
  </si>
  <si>
    <t>monocytes</t>
  </si>
  <si>
    <t>5% of leukocytes</t>
  </si>
  <si>
    <t>neutrophils</t>
  </si>
  <si>
    <t>Neutrophils</t>
  </si>
  <si>
    <t>62% of leukocytes</t>
  </si>
  <si>
    <t>nk</t>
  </si>
  <si>
    <t>Natural Killer cells (NK)</t>
  </si>
  <si>
    <t>Natural killer cells</t>
  </si>
  <si>
    <t>osteoblast</t>
  </si>
  <si>
    <t>Osteoblast</t>
  </si>
  <si>
    <t>forms bone matrix</t>
  </si>
  <si>
    <t>osteoclast</t>
  </si>
  <si>
    <t>Osteoclast</t>
  </si>
  <si>
    <t>resorbs bone</t>
  </si>
  <si>
    <t>osteocytes</t>
  </si>
  <si>
    <t>Osteocytes</t>
  </si>
  <si>
    <t>maintains bone tissue</t>
  </si>
  <si>
    <t>osteogenic</t>
  </si>
  <si>
    <t>Osteogenic</t>
  </si>
  <si>
    <t>Stem cell</t>
  </si>
  <si>
    <t>regt</t>
  </si>
  <si>
    <t>Regulatory T cells (RegT)</t>
  </si>
  <si>
    <t>Regulatory T Cell</t>
  </si>
  <si>
    <t>stemcells</t>
  </si>
  <si>
    <t>Stem Cells</t>
  </si>
  <si>
    <t>Stem or Blast cells</t>
  </si>
  <si>
    <t>tcells</t>
  </si>
  <si>
    <t>T cells</t>
  </si>
  <si>
    <t>thelper</t>
  </si>
  <si>
    <t>T Helper cells (Th)</t>
  </si>
  <si>
    <t>CD4+ T helper cells</t>
  </si>
  <si>
    <t>thrombocytes</t>
  </si>
  <si>
    <t>Thrombocytes</t>
  </si>
  <si>
    <t>Platelets</t>
  </si>
  <si>
    <t>786_0</t>
  </si>
  <si>
    <t>786-0</t>
  </si>
  <si>
    <t>Human NCI-60 cell line; Renal Cancer</t>
  </si>
  <si>
    <t>a498</t>
  </si>
  <si>
    <t>A498</t>
  </si>
  <si>
    <t>a549</t>
  </si>
  <si>
    <t>A549</t>
  </si>
  <si>
    <t>Human NCI-60 cell line; Non-Small Cell Lung cancer</t>
  </si>
  <si>
    <t>achn</t>
  </si>
  <si>
    <t>ACHN</t>
  </si>
  <si>
    <t>bmdc</t>
  </si>
  <si>
    <t>BMDC</t>
  </si>
  <si>
    <t>bmm</t>
  </si>
  <si>
    <t>BMM</t>
  </si>
  <si>
    <t>Bone-marrow-derived macrophages</t>
  </si>
  <si>
    <t>bt549</t>
  </si>
  <si>
    <t>BT-549</t>
  </si>
  <si>
    <t>Human NCI-60 cell line; Breast Cancer</t>
  </si>
  <si>
    <t>caki1</t>
  </si>
  <si>
    <t>CAKI-1</t>
  </si>
  <si>
    <t>cho</t>
  </si>
  <si>
    <t>CHO</t>
  </si>
  <si>
    <t>Chinese hamster ovary</t>
  </si>
  <si>
    <t>colo205</t>
  </si>
  <si>
    <t>COLO205</t>
  </si>
  <si>
    <t>Human NCI-60 cell line; Colon cancer</t>
  </si>
  <si>
    <t>crfcem</t>
  </si>
  <si>
    <t>CRF-CEM</t>
  </si>
  <si>
    <t>Human NCI-60 cell line; Leukemia</t>
  </si>
  <si>
    <t>du145</t>
  </si>
  <si>
    <t>DU-145</t>
  </si>
  <si>
    <t>Human NCI-60 cell line; Prostate Cancer</t>
  </si>
  <si>
    <t>ekvx</t>
  </si>
  <si>
    <t>EKVX</t>
  </si>
  <si>
    <t>hcc2998</t>
  </si>
  <si>
    <t>HCC-2998</t>
  </si>
  <si>
    <t>hct116</t>
  </si>
  <si>
    <t>HCT-116</t>
  </si>
  <si>
    <t>hct15</t>
  </si>
  <si>
    <t>HCT-15</t>
  </si>
  <si>
    <t>hek293</t>
  </si>
  <si>
    <t>HEK293</t>
  </si>
  <si>
    <t>Human Embryonic Kidney cancer cells; epithelial</t>
  </si>
  <si>
    <t>hek293t</t>
  </si>
  <si>
    <t>HEK293T</t>
  </si>
  <si>
    <t>Human Embryonic Kidney cancer cells; epithelial; derivates from HEK293</t>
  </si>
  <si>
    <t>hela</t>
  </si>
  <si>
    <t>HeLa</t>
  </si>
  <si>
    <t>Human epithelial cell; cervical cancer; Henrietta Lacks</t>
  </si>
  <si>
    <t>hl60</t>
  </si>
  <si>
    <t>HL-60</t>
  </si>
  <si>
    <t>hop62</t>
  </si>
  <si>
    <t>HOP-62</t>
  </si>
  <si>
    <t>hop92</t>
  </si>
  <si>
    <t>HOP-92</t>
  </si>
  <si>
    <t>hs578t</t>
  </si>
  <si>
    <t>HS 578T</t>
  </si>
  <si>
    <t>ht29</t>
  </si>
  <si>
    <t>HT29</t>
  </si>
  <si>
    <t>igrov1</t>
  </si>
  <si>
    <t>IGR-OV1</t>
  </si>
  <si>
    <t>Human NCI-60 cell line; Ovarian Cancer</t>
  </si>
  <si>
    <t>immmef</t>
  </si>
  <si>
    <t>Immortalized MEF</t>
  </si>
  <si>
    <t>Immortalized mouse embryonics fibroblast</t>
  </si>
  <si>
    <t>jeko1</t>
  </si>
  <si>
    <t>JeKo-1</t>
  </si>
  <si>
    <t>Human Mantle cell lymphoma</t>
  </si>
  <si>
    <t>jurkat</t>
  </si>
  <si>
    <t>JURKAT</t>
  </si>
  <si>
    <t>Acute T cell leukemia; human T lymphocytes</t>
  </si>
  <si>
    <t>jvm13</t>
  </si>
  <si>
    <t>JVM-13</t>
  </si>
  <si>
    <t>jvm2</t>
  </si>
  <si>
    <t>JVM-2</t>
  </si>
  <si>
    <t>k562</t>
  </si>
  <si>
    <t>K-562</t>
  </si>
  <si>
    <t>km12</t>
  </si>
  <si>
    <t>KM12</t>
  </si>
  <si>
    <t>lox_imvi</t>
  </si>
  <si>
    <t>LOX IMVI</t>
  </si>
  <si>
    <t>Human NCI-60 cell line; Melanoma</t>
  </si>
  <si>
    <t>m14</t>
  </si>
  <si>
    <t>M14</t>
  </si>
  <si>
    <t>malme3m</t>
  </si>
  <si>
    <t>MALME-3M</t>
  </si>
  <si>
    <t>maver1</t>
  </si>
  <si>
    <t>MAVER-1</t>
  </si>
  <si>
    <t>mcf7</t>
  </si>
  <si>
    <t>MCF7</t>
  </si>
  <si>
    <t>mdamb231</t>
  </si>
  <si>
    <t>MDA-MB-231</t>
  </si>
  <si>
    <t>mdamb435</t>
  </si>
  <si>
    <t>MDA-MB-435</t>
  </si>
  <si>
    <t>mdamb468</t>
  </si>
  <si>
    <t>MDA-MB-468</t>
  </si>
  <si>
    <t>mef</t>
  </si>
  <si>
    <t>MEF</t>
  </si>
  <si>
    <t>Primary mouse embryonic fibroblast</t>
  </si>
  <si>
    <t>mino</t>
  </si>
  <si>
    <t>Mino</t>
  </si>
  <si>
    <t>molt4</t>
  </si>
  <si>
    <t>MOLT-4</t>
  </si>
  <si>
    <t>nceb1</t>
  </si>
  <si>
    <t>NCEB-1</t>
  </si>
  <si>
    <t>nci_adrres</t>
  </si>
  <si>
    <t>adrres</t>
  </si>
  <si>
    <t>NCI ADR-RES</t>
  </si>
  <si>
    <t>nci_h226</t>
  </si>
  <si>
    <t>h226</t>
  </si>
  <si>
    <t>NCI-H226</t>
  </si>
  <si>
    <t>nci_h23</t>
  </si>
  <si>
    <t>h23</t>
  </si>
  <si>
    <t>NCI-H23</t>
  </si>
  <si>
    <t>nci_h322m</t>
  </si>
  <si>
    <t>h322m</t>
  </si>
  <si>
    <t>NCI-H322M</t>
  </si>
  <si>
    <t>nci_h460</t>
  </si>
  <si>
    <t>h460</t>
  </si>
  <si>
    <t>NCI-H460</t>
  </si>
  <si>
    <t>nci_h522</t>
  </si>
  <si>
    <t>h522</t>
  </si>
  <si>
    <t>NCI-H522</t>
  </si>
  <si>
    <t>ovcar3</t>
  </si>
  <si>
    <t>OVCAR-3</t>
  </si>
  <si>
    <t>ovcar4</t>
  </si>
  <si>
    <t>OVCAR-4</t>
  </si>
  <si>
    <t>ovcar5</t>
  </si>
  <si>
    <t>OVCAR-5</t>
  </si>
  <si>
    <t>ovcar8</t>
  </si>
  <si>
    <t>OVCAR-8</t>
  </si>
  <si>
    <t>p388</t>
  </si>
  <si>
    <t>P388</t>
  </si>
  <si>
    <t>Leukemia</t>
  </si>
  <si>
    <t>pc3</t>
  </si>
  <si>
    <t>PC-3</t>
  </si>
  <si>
    <t>rec1</t>
  </si>
  <si>
    <t>REC-1</t>
  </si>
  <si>
    <t>rpmi8226</t>
  </si>
  <si>
    <t>RPMI-8226</t>
  </si>
  <si>
    <t>rxf393</t>
  </si>
  <si>
    <t>RXF 393</t>
  </si>
  <si>
    <t>sf268</t>
  </si>
  <si>
    <t>SF-268</t>
  </si>
  <si>
    <t xml:space="preserve">Human NCI-60 cell line; central nervous system (CNS) tumor </t>
  </si>
  <si>
    <t>sf295</t>
  </si>
  <si>
    <t>SF-295</t>
  </si>
  <si>
    <t>sf539</t>
  </si>
  <si>
    <t>SF-539</t>
  </si>
  <si>
    <t>skmel2</t>
  </si>
  <si>
    <t>SK-MEL-2</t>
  </si>
  <si>
    <t>skmel28</t>
  </si>
  <si>
    <t>SK-MEL-28</t>
  </si>
  <si>
    <t>skmel5</t>
  </si>
  <si>
    <t>SK-MEL-5</t>
  </si>
  <si>
    <t>skov3</t>
  </si>
  <si>
    <t>SK-OV-3</t>
  </si>
  <si>
    <t>sn12c</t>
  </si>
  <si>
    <t>SN12C</t>
  </si>
  <si>
    <t>snb19</t>
  </si>
  <si>
    <t>SNB-19</t>
  </si>
  <si>
    <t>snb75</t>
  </si>
  <si>
    <t>SNB-75</t>
  </si>
  <si>
    <t>sr</t>
  </si>
  <si>
    <t>SR</t>
  </si>
  <si>
    <t>sw620</t>
  </si>
  <si>
    <t>SW-620</t>
  </si>
  <si>
    <t>t47d</t>
  </si>
  <si>
    <t>T-47D</t>
  </si>
  <si>
    <t>thp1</t>
  </si>
  <si>
    <t>THP1</t>
  </si>
  <si>
    <t>Human acute monocytic leukemia cell line</t>
  </si>
  <si>
    <t>tk10</t>
  </si>
  <si>
    <t>TK-10</t>
  </si>
  <si>
    <t>u251</t>
  </si>
  <si>
    <t>U251</t>
  </si>
  <si>
    <t>u937</t>
  </si>
  <si>
    <t>U937</t>
  </si>
  <si>
    <t>Pro-monocytic model cell line isolated from histiocytic lymphoma</t>
  </si>
  <si>
    <t>uacc257</t>
  </si>
  <si>
    <t>UACC-257</t>
  </si>
  <si>
    <t>uacc62</t>
  </si>
  <si>
    <t>UACC-62</t>
  </si>
  <si>
    <t>uo31</t>
  </si>
  <si>
    <t>UO-31</t>
  </si>
  <si>
    <t>z138</t>
  </si>
  <si>
    <t>Z-138</t>
  </si>
  <si>
    <t>75um</t>
  </si>
  <si>
    <t>75 µm inner column diameter</t>
  </si>
  <si>
    <t>15cm</t>
  </si>
  <si>
    <t>15 cm column length</t>
  </si>
  <si>
    <t>30cm</t>
  </si>
  <si>
    <t>30 cm column length</t>
  </si>
  <si>
    <t>50cm</t>
  </si>
  <si>
    <t>50 cm column length</t>
  </si>
  <si>
    <t>5cm</t>
  </si>
  <si>
    <t>40c</t>
  </si>
  <si>
    <t>55c</t>
  </si>
  <si>
    <t>170nm</t>
  </si>
  <si>
    <t>1.7 µm particle size</t>
  </si>
  <si>
    <t>270nm</t>
  </si>
  <si>
    <t>2.7 µm particle size</t>
  </si>
  <si>
    <t>c18</t>
  </si>
  <si>
    <t>C18 Stat. Phase</t>
  </si>
  <si>
    <t>C18 stationary phase</t>
  </si>
  <si>
    <t>c8</t>
  </si>
  <si>
    <t>C8 Stat. Phase</t>
  </si>
  <si>
    <t>C8 stationary phase</t>
  </si>
  <si>
    <t>aurora</t>
  </si>
  <si>
    <t>Aurora</t>
  </si>
  <si>
    <t xml:space="preserve">IonOpticks Aurora Column </t>
  </si>
  <si>
    <t>easyspray</t>
  </si>
  <si>
    <t>EASY-Spray HPLC Columns</t>
  </si>
  <si>
    <t>EASY-Spray PepMap Neo UHPLC columns</t>
  </si>
  <si>
    <t>inhouse</t>
  </si>
  <si>
    <t>In-House</t>
  </si>
  <si>
    <t>In House packed Columns</t>
  </si>
  <si>
    <t>upac_doubleviper</t>
  </si>
  <si>
    <t>double nanoViper HPLC Columns</t>
  </si>
  <si>
    <t>Double nanoViper PepMap Neo UHPLC columns</t>
  </si>
  <si>
    <t>upac_low_loadneo</t>
  </si>
  <si>
    <t>Low-Load uPAC Neo HPLC Column</t>
  </si>
  <si>
    <t>µPAC Neo HPLC Column for 0.1-1ng</t>
  </si>
  <si>
    <t>upac_neo</t>
  </si>
  <si>
    <t>uPAC Neo HPLC Column</t>
  </si>
  <si>
    <t>µPAC Neo HPLC Column</t>
  </si>
  <si>
    <t>5_fluorouracil</t>
  </si>
  <si>
    <t>5fluorouracil</t>
  </si>
  <si>
    <t xml:space="preserve">5-Fluorouracil </t>
  </si>
  <si>
    <t xml:space="preserve">5-FU is a pyrimidine analog that causes DNA and RNA stress by the incorporation of its derived metabo- lites into DNA and RNA and by the inhibition of thymidylate synthase, inducing deoxyribonucleotide pool imbalance. </t>
  </si>
  <si>
    <t>anisomycin</t>
  </si>
  <si>
    <t>Anisomycin</t>
  </si>
  <si>
    <t>antimycin</t>
  </si>
  <si>
    <t>Antimycin A</t>
  </si>
  <si>
    <t>Antimycin A - Cytochrome c reductase (CIII) Inhibitor (QiSite Binding) from Streptomyces bacteria.</t>
  </si>
  <si>
    <t>atp</t>
  </si>
  <si>
    <t>ATP</t>
  </si>
  <si>
    <t>Adenosine triphosphate</t>
  </si>
  <si>
    <t>berzosertib</t>
  </si>
  <si>
    <t>Berzosertib</t>
  </si>
  <si>
    <t>bortezomib</t>
  </si>
  <si>
    <t>Bortezomib</t>
  </si>
  <si>
    <t>cccp</t>
  </si>
  <si>
    <t>CCCP</t>
  </si>
  <si>
    <t>Carbonyl cyanide m-chlorophenyl hydrazone. CCCP causes an uncoupling of the proton gradient that is established during the normal activity of electron carriers in the electron transport chain. CCCP acts essentially as an ionophore and reduces the ability of ATP synthase to function optimally.</t>
  </si>
  <si>
    <t>cycloheximide</t>
  </si>
  <si>
    <t>Cycloheximide</t>
  </si>
  <si>
    <t>dmso</t>
  </si>
  <si>
    <t>DMSO</t>
  </si>
  <si>
    <t>Dimethyl sulfoxide used as a control in compound treatment.</t>
  </si>
  <si>
    <t>doxorubicin</t>
  </si>
  <si>
    <t>Doxorubicin</t>
  </si>
  <si>
    <t>Doxorubicin is a type of chemotherapy drug called an anthracycline. It slows or stops the growth of cancer cells by blocking an enzyme called topo isomerase 2. </t>
  </si>
  <si>
    <t>doxycycline</t>
  </si>
  <si>
    <t>Doxycycline</t>
  </si>
  <si>
    <t>Doxycycline is a broad-spectrum antibiotic of the tetracycline class used in the treatment of infections caused by bacteria and certain parasites.</t>
  </si>
  <si>
    <t>etoposide</t>
  </si>
  <si>
    <t>Etoposide</t>
  </si>
  <si>
    <t>Etoposide is a medication used in the management and treatment of various cancers such as testicular, prostate, bladder, stomach, and lung cancer. It is in the topoisomerase II inhibitor class of medications.</t>
  </si>
  <si>
    <t>fccp</t>
  </si>
  <si>
    <t>FCCP</t>
  </si>
  <si>
    <t>Carbonyl cyanide-p-trifluoromethoxyphenylhydrazone (FCCP) is an ionophore that is a mobile ion carrier. It is referred to as an uncoupling agent because it disrupts ATPsynthesis by transporting hydrogen ions through the mitochondrial membrane before they can be used to provide the energy for oxidative phosphorylation</t>
  </si>
  <si>
    <t>h2o</t>
  </si>
  <si>
    <t>H2O</t>
  </si>
  <si>
    <t>Water (H2O) control in a chemical compound treatment</t>
  </si>
  <si>
    <t>hydroxyurea</t>
  </si>
  <si>
    <t>Hydroxyurea</t>
  </si>
  <si>
    <t>Hydroxyurea, hydroxycarbamide. HU in- hibits the ribonucleotide reductase and depletes cellular deoxy- nucleotide pools, thereby inducing replication stress and DNA damage.</t>
  </si>
  <si>
    <t>oligomycin</t>
  </si>
  <si>
    <t>Oligomycin</t>
  </si>
  <si>
    <t>Oligomycin A is an inhibitor of ATP synthase by blocking its proton channel (FO subunit).</t>
  </si>
  <si>
    <t>rapamycin</t>
  </si>
  <si>
    <t>Rapamycin</t>
  </si>
  <si>
    <t>Rapamycin, mTOR inhitbitor,  Synonym : Rapamune, AY-22989, NSC-2260804</t>
  </si>
  <si>
    <t>rotenone</t>
  </si>
  <si>
    <t>Rotenone</t>
  </si>
  <si>
    <t>Rotenone inhibits the transfer of electrons from iron-sulfur centers in complex I to ubiquinone. Complex I is unable to pass off its electron to CoQ, creating a back-up of electrons within the mitochondrial matrix.</t>
  </si>
  <si>
    <t>tamoxifen</t>
  </si>
  <si>
    <t>Tamoxifen</t>
  </si>
  <si>
    <t>torin</t>
  </si>
  <si>
    <t>Torin</t>
  </si>
  <si>
    <t>Torin Treatment</t>
  </si>
  <si>
    <t>trametinib</t>
  </si>
  <si>
    <t>Trametinib</t>
  </si>
  <si>
    <t>unstimulated</t>
  </si>
  <si>
    <t>Unstimulated</t>
  </si>
  <si>
    <t>Unstimulated; nothing added; Control</t>
  </si>
  <si>
    <t>microenvironment</t>
  </si>
  <si>
    <t>egs</t>
  </si>
  <si>
    <t>EGS</t>
  </si>
  <si>
    <t>EGS (Water insoluble, Membrane-permeable) is a crosslinker that contains amine-reactive NHS-ester ends around a 12-atom spacer arm, which can be cleaved by treatment with hydroxylamine at pH 8.5. </t>
  </si>
  <si>
    <t>suflo_egs</t>
  </si>
  <si>
    <t>Suflo-EGS</t>
  </si>
  <si>
    <t>Sulfo-EGS (Water soluble, membrane impermeable) Sulfo-EGS is a water-soluble crosslinker that contains amine-reactive sulfo-NHS-ester ends around a 12-atom spacer arm, which can be cleaved by treatment with hydroxylamine at pH 8.5.</t>
  </si>
  <si>
    <t>dsbu</t>
  </si>
  <si>
    <t>DSBU</t>
  </si>
  <si>
    <t>Disuccinimidyl Dibutyric Urea (DSBU, BuUrBUU). Water-insoluble (dissolve first in DMF or DMSO). MS-cleavable and membrane-semi-permeable crosslinkers that contain an amine-reactive N-hydroxysuccinimide (NHS) ester at each end of a 11-atom spacer arm (DSBU). Contains a cleavable functionality in the linker region that enables cleavage in the gas phase using collision-induced dissociation (CID) during tandem MS (MS/MS) fragmentation. The MS cleavage of DSSO or DSBU generates diagnostic ion doublets during MS2, which distinguishes identification of cross-linked peptides from dead-end modifications.</t>
  </si>
  <si>
    <t>dsso</t>
  </si>
  <si>
    <t>DSSO</t>
  </si>
  <si>
    <t>Disuccinimidyl Sulfoxide (DSSO). Water-insoluble (dissolve first in DMF or DMSO). MS-cleavable and membrane-semi-permeable crosslinkers that contain an amine-reactive N-hydroxysuccinimide (NHS) ester at each end of a 7-carbon spacer arm (DSSO). Contains a cleavable functionality in the linker region that enables cleavage in the gas phase using collision-induced dissociation (CID) during tandem MS (MS/MS) fragmentation. The MS cleavage of DSSO or DSBU generates diagnostic ion doublets during MS2, which distinguishes identification of cross-linked peptides from dead-end modifications.</t>
  </si>
  <si>
    <t>amas</t>
  </si>
  <si>
    <t>AMAS</t>
  </si>
  <si>
    <t>AMAS is an amine-to-sulfhydryl crosslinker that contains NHS-ester and maleimide reactive groups at opposite ends of a very short spacer arm (4.4 angstroms). Features of AMAS: • Reactive groups: NHS ester and maleimide • Reactive towards: amino and sulfhydryl groups •...</t>
  </si>
  <si>
    <t>bm_peg_3</t>
  </si>
  <si>
    <t>BM(PEG)3 (1,11-bismaleimido-triethyleneglycol)</t>
  </si>
  <si>
    <t>BM(PEG)3 is a bismaleimide-activated PEG compound for crosslinking between sulfhydryl (—SH) groups in proteins and other thiol molecules. The maleimide groups at either end of the PEG3 spacer react specifically and efficiently with reduced sulfhydryls at pH 6.5-7.</t>
  </si>
  <si>
    <t>bmb</t>
  </si>
  <si>
    <t>BMB (1,4-bismaleimidobutane)</t>
  </si>
  <si>
    <t>BMB is a mid-length, maleimide crosslinker for covalent, irreversible conjugation between sulfhydryl groups (e.g., protein or peptide cysteines). Features of BMB: • Reactive groups: maleimide (both ends) • Reactive towards: sulfhydryl groups • Mid-length (10.</t>
  </si>
  <si>
    <t>bmh</t>
  </si>
  <si>
    <t>BMH (bismaleimidohexane)</t>
  </si>
  <si>
    <t>BMH is a long-arm, maleimide crosslinker for covalent, irreversible conjugation between sulfhydryl groups (e.g., protein or peptide cysteines). Features of BMH: • Reactive groups: maleimide (both ends) • Reactive towards: sulfhydryl groups • Long (13.</t>
  </si>
  <si>
    <t>bmoe</t>
  </si>
  <si>
    <t>BMOE (bismaleimidoethane)</t>
  </si>
  <si>
    <t>BMOE is a short-arm, maleimide crosslinker for covalent, irreversible conjugation between sulfhydryl groups (e.g., protein or peptide cysteines). Features of BMOE: • Reactive groups: maleimide (both ends) • Reactive towards: sulfhydryl groups • Short (8.</t>
  </si>
  <si>
    <t>bmph</t>
  </si>
  <si>
    <t>BMPH</t>
  </si>
  <si>
    <t>BMPH is a short, maleimide-and-hydrazide crosslinker for conjugating sulfhydryls (cysteines) to carbonyls (aldehyde or ketones, such as those formed by oxidation of glycoprotein carbohydrates).</t>
  </si>
  <si>
    <t>bmps</t>
  </si>
  <si>
    <t>BMPS</t>
  </si>
  <si>
    <t>BMPS is an amine-to-sulfhydryl crosslinker that contains NHS-ester and maleimide reactive groups at opposite ends of a short spacer arm (5.9 Å). Features of BMPS: • Reactive groups: NHS ester and maleimide • Reactive towards: amino and sulfhydryl groups • C3-homolog of...</t>
  </si>
  <si>
    <t>bs_peg_5</t>
  </si>
  <si>
    <t>BS(PEG)5</t>
  </si>
  <si>
    <t>BS(PEG)5 is a bis-succinimide ester-activated PEG compound used for crosslinking between primary amines (—NH2) in proteins and other molecules. The N-hydroxysuccinimide ester (NHS) groups at either end of the PEG5 spacer react specifically and efficiently with lysine and N-terminal amino groups at...</t>
  </si>
  <si>
    <t>bs_peg_9</t>
  </si>
  <si>
    <t>BS(PEG)9</t>
  </si>
  <si>
    <t>BS(PEG)9 is a bis-succinimide ester-activated PEG compound used for crosslinking between primary amines (—NH2) in proteins and other molecules. The N-hydroxysuccinimide ester (NHS) groups at either end of the PEG9 spacer react specifically and efficiently with lysine and N-terminal amino groups at...</t>
  </si>
  <si>
    <t>bs2g_d0</t>
  </si>
  <si>
    <t>BS2G-d0</t>
  </si>
  <si>
    <t>BS2G-d0/d4 reagents form a matched set of heavy (deuterated) and light mass varieties of a short, amine-reactive crosslinker that facilitates the identification of crosslinked peptides by mass spectrometry. The BS2G-d0/d4 reagents are mass-analogs of BS2G crosslinker.</t>
  </si>
  <si>
    <t>bs3</t>
  </si>
  <si>
    <t>BS3</t>
  </si>
  <si>
    <t>BS3 (Sulfo-DSS) is bis(sulfosuccinimidyl)suberate, an amine-to-amine crosslinker that is homobifunctional, water-soluble, non-cleavable and membrane impermeable. BS3 contains an amine-reactive N-hydroxysulfosuccinimide (NHS) ester at each end of an 8-carbon spacer arm.</t>
  </si>
  <si>
    <t>bs3_d0</t>
  </si>
  <si>
    <t>BS3-d0</t>
  </si>
  <si>
    <t>BS3-d0/d4 reagents form a matched set of heavy (deuterated) and light mass varieties of BS3 amine-reactive crosslinker that facilitates the identification of crosslinked peptides by mass spectrometry.</t>
  </si>
  <si>
    <t>bs3_d4</t>
  </si>
  <si>
    <t>BS3-d4</t>
  </si>
  <si>
    <t>dmp</t>
  </si>
  <si>
    <t>DMP</t>
  </si>
  <si>
    <t>DMP (dimethyl pimelimidate) is dimethyl pimelimidate, a membrane-permeable crosslinker that contains an amine-reactive imidoester group at each end of a 7-atom spacer arm. Features of dimethyl pimelimidate: • Reactive groups: imidoester (both ends) • Reactive towards: amino groups (primary amines)...</t>
  </si>
  <si>
    <t>dms</t>
  </si>
  <si>
    <t>DMS</t>
  </si>
  <si>
    <t>DMS (dimethyl suberimidate) is dimethyl suberimidate, a membrane-permeable crosslinker that contains an amine-reactive imidoester group at each end of an 8-atom spacer arm. Features of dimethyl suberimidate: • Reactive groups: imidoester (both ends) • Reactive towards: amino groups (primary amines)...</t>
  </si>
  <si>
    <t>dss</t>
  </si>
  <si>
    <t>DSS</t>
  </si>
  <si>
    <t>DSS (disuccinimidyl suberate), also called disuccinimidyl suberate, is noncleavable and membrane permeable crosslinker that contains an amine-reactive N-hydroxysuccinimide (NHS) ester at each end of an 8-carbon spacer arm.</t>
  </si>
  <si>
    <t>edc</t>
  </si>
  <si>
    <t>EDC</t>
  </si>
  <si>
    <t>EDC is 1-ethyl-3-[3-dimethylaminopropyl]carbodiimide hydrochloride, a water-soluble carbodiimide crosslinker that activates carboxyl groups for spontaneous reaction with primary amines, enabling peptide immobilization and hapten-carrier protein conjugation. In the presence of N-hydroxysulfosuccinimide (sulfo-NHS), EDC can be used to convert carboxyl groups to amine-reactive sulfo-NHS esters. This is accomplished by mixing the EDC with a carboxyl containing molecule and adding sulfo-NHS.</t>
  </si>
  <si>
    <t>emch</t>
  </si>
  <si>
    <t>EMCH</t>
  </si>
  <si>
    <t>EMCH is a mid-length, maleimide-and-hydrazide crosslinker for conjugating sulfhydryls (cysteines) to carbonyls (aldehyde or ketones, such as those formed by oxidation of glycoprotein carbohydrates).</t>
  </si>
  <si>
    <t>emcs</t>
  </si>
  <si>
    <t>EMCS</t>
  </si>
  <si>
    <t>EMCS is an amine-to-sulfhydryl crosslinker that contains NHS-ester and maleimide reactive groups at opposite ends of a medium-length spacer arm (9.4 angstroms). Features of EMCS: • Reactive groups: NHS ester and maleimide • Reactive towards: amino and sulfhydryl groups •...</t>
  </si>
  <si>
    <t>gmbs</t>
  </si>
  <si>
    <t>GMBS</t>
  </si>
  <si>
    <t>GMBS is an amine-to-sulfhydryl crosslinker that contains NHS-ester and maleimide reactive groups at opposite ends of a short spacer arm (7.3 angstroms). Features of GMBS: • Reactive groups: NHS ester and maleimide • Reactive toward: amino and sulfhydryl groups • C4-homolog...</t>
  </si>
  <si>
    <t>kmuh</t>
  </si>
  <si>
    <t>KMUH</t>
  </si>
  <si>
    <t>KMUH is a long, maleimide-and-hydrazide crosslinker for conjugating sulfhydryls (cysteines) to carbonyls (aldehyde or ketones, such as those formed by oxidation of glycoprotein carbohydrates).</t>
  </si>
  <si>
    <t>l_photo_methionine</t>
  </si>
  <si>
    <t>L-Photo-Methionine</t>
  </si>
  <si>
    <t>L-Photo-Methionine is an analog of L-methionine that can be incorporated into proteins during synthesis and then light-activated to covalently crosslink interacting proteins in cells.</t>
  </si>
  <si>
    <t>lc_smcc</t>
  </si>
  <si>
    <t>LC-SMCC</t>
  </si>
  <si>
    <t>LC-SMCC is an amine-to-sulfhydryl crosslinker that contains NHS-ester and maleimide reactive groups at opposite ends of a long cyclohexane-stabilized spacer arm (16.2 angstroms).</t>
  </si>
  <si>
    <t>maleimide_peg4_dbco</t>
  </si>
  <si>
    <t>Maleimide-PEG4-DBCO</t>
  </si>
  <si>
    <t>EZ-Link Maleimide-PEG4-DBCO is a sulfhydryl-reactive hetero-bifunctional crosslinker that contains a dibenzylcyclooctyne (DBCO) group for copper-free click chemistry applications. The thiol/sulfhdryl-reactive maleimide can be used to label a variety of thiol-containing moieties such as free cystines...</t>
  </si>
  <si>
    <t>mpbh</t>
  </si>
  <si>
    <t>MPBH</t>
  </si>
  <si>
    <t>MPBH is a long, maleimide-and-hydrazide crosslinker for conjugating sulfhydryls (cysteines) to carbonyls (aldehyde or ketones, such as those formed by oxidation of glycoprotein carbohydrates).</t>
  </si>
  <si>
    <t>nhs</t>
  </si>
  <si>
    <t>NHS</t>
  </si>
  <si>
    <t>NHS is a chemical modification reagent for converting carboxyl groups to amine-reactive NHS esters for bioconjugation, crosslinking, labeling and immobilization methods. Features of NHS: • Efficiency of EDC-mediated coupling is increased in the presence of NHS •...</t>
  </si>
  <si>
    <t>nhs_azide</t>
  </si>
  <si>
    <t>NHS-Azide</t>
  </si>
  <si>
    <t>NHS-Azide is an amine-reactive compound that can be used to derivatize primary amines of proteins or amine-coated polymer surfaces for ligation to phosphine-modified molecules. This NHS-ester compound reacts to form covalent bonds with primary amines (e.g.</t>
  </si>
  <si>
    <t>nhs_peg4_azide</t>
  </si>
  <si>
    <t>NHS-PEG4-Azide</t>
  </si>
  <si>
    <t>NHS-PEG4-Azide is an amine-reactive compound that can be used to derivatize primary amines of proteins or amine-coated polymer surfaces for ligation to phosphine-modified molecules. This NHS-ester compound reacts to form covalent bonds with primary amines (e.g.</t>
  </si>
  <si>
    <t>nhs_phosphine</t>
  </si>
  <si>
    <t>NHS-Phosphine</t>
  </si>
  <si>
    <t>NHS-Phosphine is an amine-reactive compound that can be used to derivatize primary amines of proteins or amine-coated polymer surfaces for ligation to azide-tagged molecules. Features of NHS-Phosphine: • Soluble—reagent easily dissolves in water-miscible solvents for subsequent...</t>
  </si>
  <si>
    <t>pmpi</t>
  </si>
  <si>
    <t>PMPI</t>
  </si>
  <si>
    <t>PMPI (p-maleimidophenyl isocyanate) is a maleimide-and-isocyanate crosslinker for attaching compounds to sulfhydryl groups (cysteines) after conjugating the linker to hydroxyl groups on a molecule by urethane (carbamate) bonds.</t>
  </si>
  <si>
    <t>sbap</t>
  </si>
  <si>
    <t>SBAP</t>
  </si>
  <si>
    <t>SBAP is a short (6.2 angstrom) crosslinker for amine-to-sulfhydryl conjugation via N-hydroxysuccinimide (NHS) ester and bromoacetyl reactive groups. Features of SBAP: • Reactive groups: NHS ester and bromoacetyl • Reactive toward: amino and sulfhydryl groups • NHS ester...</t>
  </si>
  <si>
    <t>sda</t>
  </si>
  <si>
    <t>SDA</t>
  </si>
  <si>
    <t>SDA (NHS-Diazirine) combines proven NHS-ester and diazirine-based photoreaction chemistries with conjugate amine-containing molecules with nearly any other functional group via long-wave UV-light activation. A 3.9Å spacer arm separates the two photoreactive groups.</t>
  </si>
  <si>
    <t>sia</t>
  </si>
  <si>
    <t>SIA</t>
  </si>
  <si>
    <t>SIA (succinimidyl iodoacetate) is a very short (1.5 angstrom) crosslinker for amine-to-sulfhydryl conjugation via N-hydroxysuccinimide (NHS) ester and iodoacetyl reactive groups. Features of SIA: • Reactive groups: NHS ester and iodoacetyl • Reactive toward: amino and sulfhydryl groups • Shortest...</t>
  </si>
  <si>
    <t>smpb</t>
  </si>
  <si>
    <t>SMPB</t>
  </si>
  <si>
    <t>SMPB is an amine-to-sulfhydryl crosslinker that contains NHS-ester and maleimide reactive groups at opposite ends of a medium-length aromatic spacer arm (11.6 angstroms). Features of SMPB: • Reactive groups: NHS ester and maleimide • Reactive towards: amino and sulfhydryl...</t>
  </si>
  <si>
    <t>smph</t>
  </si>
  <si>
    <t>SMPH</t>
  </si>
  <si>
    <t>SMPH is an amine-to-sulfhydryl crosslinker that contains NHS-ester and maleimide reactive groups at opposite ends of a long spacer arm (14.2 angstroms). Features of SMPH: • Reactive groups: NHS ester and maleimide • Reactive towards: amino and sulfhydryl groups • Slightly...</t>
  </si>
  <si>
    <t>spb</t>
  </si>
  <si>
    <t>SPB</t>
  </si>
  <si>
    <t>SPB is an NHS-ester and psoralen crosslinker that effectively conjugates primary amines to DNA via light-activated intercalation next to pyrimidine bases. Features of SPB: • Reactive groups: NHS ester and psoralen • Reactive toward: amino groups and thymine • DNA...</t>
  </si>
  <si>
    <t>sulfo_emcs</t>
  </si>
  <si>
    <t>Sulfo-EMCS</t>
  </si>
  <si>
    <t>Sulfo-EMCS is a water-soluble amine-to-sulfhydryl crosslinker that contains NHS-ester and maleimide reactive groups at opposite ends of a medium-length spacer arm (9.4 angstroms).</t>
  </si>
  <si>
    <t>sulfo_kmus</t>
  </si>
  <si>
    <t>Sulfo-KMUS</t>
  </si>
  <si>
    <t>Sulfo-KMUS is a water-soluble amine-to-sulfhydryl crosslinker that contains NHS-ester and maleimide reactive groups at opposite ends of a long spacer arm (16.3 angstroms). Features of Sulfo-KMUS: • Reactive groups: sulfo-NHS ester and maleimide • Reactive toward: amino and...</t>
  </si>
  <si>
    <t>sulfo_lc_sda</t>
  </si>
  <si>
    <t>Sulfo-LC-SDA</t>
  </si>
  <si>
    <t>Sulfo-LC-SDA (Sulfo-NHS-LC-Diazirine) combines proven NHS-ester and diazirine-based photoreaction chemistries with conjugate amine-containing molecules with nearly any other functional group via long-wave UV-light activation. A 12.</t>
  </si>
  <si>
    <t>sulfo_mbs</t>
  </si>
  <si>
    <t>Sulfo-MBS</t>
  </si>
  <si>
    <t>Sulfo-MBS (m-maleimidobenzoyl-N-hydroxysulfosuccinimide ester) is a water-soluble amine-to-sulfhydryl crosslinker that contains NHS-ester and maleimide reactive groups at opposite ends of a short aromatic spacer arm (7.3 angstroms).</t>
  </si>
  <si>
    <t>sulfo_sda</t>
  </si>
  <si>
    <t>Sulfo-SDA</t>
  </si>
  <si>
    <t>Sulfo-SDA (Sulfo-NHS-Diazirine) combines proven NHS-ester and diazirine-based photoreaction chemistries with conjugate amine-containing molecules with nearly any other functional group via long-wave UV-light activation. A 3.</t>
  </si>
  <si>
    <t>sulfo_siab</t>
  </si>
  <si>
    <t>Sulfo-SIAB</t>
  </si>
  <si>
    <t>Sulfo-SIAB a water-soluble, mid-length (10.6 angstrom) crosslinker for amine-to-sulfhydryl conjugation via sulfo-N-hydroxysuccinimide (sulfo-NHS) ester and iodoacetyl reactive groups.</t>
  </si>
  <si>
    <t>sulfo_smcc</t>
  </si>
  <si>
    <t>Sulfo-SMCC</t>
  </si>
  <si>
    <t>Sulfo-SMCC is a water-soluble, amine-to-sulfhydryl crosslinker that contains NHS-ester and maleimide reactive groups at opposite ends of a medium-length cyclohexane spacer arm (8.3 angstroms).</t>
  </si>
  <si>
    <t>sulfo_smpb</t>
  </si>
  <si>
    <t>Sulfo-SMPB</t>
  </si>
  <si>
    <t>Sulfo-SMPB is a water-soluble amine-to-sulfhydryl crosslinker that contains NHS-ester and maleimide reactive groups at opposite ends of a medium-length aromatic spacer arm (11.6 angstroms).</t>
  </si>
  <si>
    <t>tbdspp</t>
  </si>
  <si>
    <t>TBDSPP</t>
  </si>
  <si>
    <t>Chemical crosslinking in combination with mass spectrometry is a powerful method to improve protein characterization, and to identify protein-protein interactions. This method has been applied to recombinant and native protein complexes, and more recently, to whole cell lysates or intact unicellular...</t>
  </si>
  <si>
    <t>tfpester_peg12_dbco</t>
  </si>
  <si>
    <t>TFP Ester-PEG12-DBCO</t>
  </si>
  <si>
    <t>EZ-Link TFP Ester-PEG12-DBCO is a hetero-bifunctional crosslinker that contains an amine-reactive tetrafluorophenyl (TFP) group and a dibenzylcyclooctyne (DBCO) group with a water-solubilizing long PEG12 spacer in between.</t>
  </si>
  <si>
    <t>tfpester_peg4_dbco</t>
  </si>
  <si>
    <t>TFP Ester-PEG4-DBCO</t>
  </si>
  <si>
    <t>EZ-Link TFP Ester-PEG4-DBCO is an amine-reactive hetero-bifunctional crosslinker that contains a dibenzylcyclooctyne (DBCO) group for copper-free click-chemistry applications. This crosslinker can be used to label a variety of amine-containing molecules such as proteins, biomolecules, or small...</t>
  </si>
  <si>
    <t>tmea</t>
  </si>
  <si>
    <t>TMEA</t>
  </si>
  <si>
    <t>TMEA (tris(2-maleimidoethyl)amine) is a trifunctional crosslinker containing three reactive maleimide groups to enable three-way conjugation and polymerization of sulfhydryl-containing molecules. Features of TMEA: • Reactive groups: maleimide (on three termini) • Reactive...</t>
  </si>
  <si>
    <t>tsat</t>
  </si>
  <si>
    <t>TSAT</t>
  </si>
  <si>
    <t>TSAT is tris-(succinimidyl) aminotriacetate, a novel trifunctional crosslinker that contains three short spacers arms linked to a central nitrogen atom, each ending in an amine-reactive NHS-ester group.</t>
  </si>
  <si>
    <t>dsp</t>
  </si>
  <si>
    <t>DSP</t>
  </si>
  <si>
    <t>DSP (Lomant's Reagent) is a water-insoluble, homo-bifunctional N-hydroxysuccimide ester (NHS ester) crosslinker that is thiol-cleavable, primary amine-reactive, and useful for many applications. DSP contains an amine-reactive NHS ester at each end of an 8-carbon spacer arm.</t>
  </si>
  <si>
    <t>dtbp</t>
  </si>
  <si>
    <t>DTBP</t>
  </si>
  <si>
    <t>DTBP is dimethyl 3,3'-dithiobispropionimidate, a crosslinker that contains amine-reactive imidoester groups around an 8-atom spacer arm, whose central disulfide bond can be cleaved with reducing agents.</t>
  </si>
  <si>
    <t>dtme</t>
  </si>
  <si>
    <t>DTME</t>
  </si>
  <si>
    <t>DTME (dithiobismaleimidoethane) is a mid-length, maleimide crosslinker for reversible covalent conjugation between sulfhydryl groups (e.g., protein or peptide cysteines) by reduction of the disulfide bond in the center of the spacer arm.</t>
  </si>
  <si>
    <t>dtssp</t>
  </si>
  <si>
    <t>DTSSP</t>
  </si>
  <si>
    <t>DTSSP (3,3'-dithiobis(sulfosuccinimidyl propionate))  is a popular water-soluble crosslinker that contains amine-reactive NHS-ester ends around an 8-atom spacer arm, whose central disulfide bond can be cleaved with reducing agents.</t>
  </si>
  <si>
    <t>lc_spdp</t>
  </si>
  <si>
    <t>LC-SPDP</t>
  </si>
  <si>
    <t>LC-SPDP  (succinimidyl 6-(3(2-pyridyldithio)propionamido)hexanoate)   is a long-chain crosslinker for amine-to-sulfhydryl conjugation via NHS-ester and pyridyldithiol reactive groups that form cleavable (reducible) disulfide bonds with cysteine sulfhydryls.</t>
  </si>
  <si>
    <t>pdph</t>
  </si>
  <si>
    <t>PDPH</t>
  </si>
  <si>
    <t>PDPH (3-(2-pyridyldithio)propionyl hydrazide)  is a short, pyridyldithiol-and-hydrazide crosslinker for reversibly conjugating sulfhydryls (cysteines) to carbonyls (aldehyde or ketones, such as those formed by oxidation of glycoprotein carbohydrates).</t>
  </si>
  <si>
    <t>peg12_spdp</t>
  </si>
  <si>
    <t>PEG12-SPDP</t>
  </si>
  <si>
    <t>PEG12-SPDP is a multifunctional crosslinker for protein conjugation via amine-to-amine or amine-to-sulfhydryl crosslinks that contain a 12-unit polyethylene glycol (PEG) group and a reducible (cleavable) disulfide bond.</t>
  </si>
  <si>
    <t>peg4_spdp</t>
  </si>
  <si>
    <t>PEG4-SPDP</t>
  </si>
  <si>
    <t>PEG4-SPDP is a multifunctional crosslinker for protein conjugation via amine-to-amine or amine-to-sulfhydryl crosslinks that contain a 4-unit polyethylene glycol (PEG) group and a reducible (cleavable) disulfide bond.</t>
  </si>
  <si>
    <t>sdad</t>
  </si>
  <si>
    <t>SDAD</t>
  </si>
  <si>
    <t>SDAD (NHS-SS-Diazirine) combines proven NHS-ester and diazirine-based photoreaction chemistries with conjugate amine-containing molecules with nearly any other functional group via long-wave UV-light activation. A 13.</t>
  </si>
  <si>
    <t>smcc</t>
  </si>
  <si>
    <t>SMCC</t>
  </si>
  <si>
    <t>SMCC is a hetero-bifunctional crosslinker that contain N-hydroxysuccinimide (NHS) ester and maleimide groups that allow covalent conjugation of amine- and sulfhydryl-containing molecules.</t>
  </si>
  <si>
    <t>smpt</t>
  </si>
  <si>
    <t>SMPT</t>
  </si>
  <si>
    <t>SMPT (4-succinimidyloxycarbonyl-alpha-methyl-α(2-pyridyldithio)toluene) is a long-chain crosslinker for amine-to-sulfhydryl conjugation via NHS-ester and pyridyldithiol reactive groups that form strong (hindered) yet cleavable (reducible) disulfide bonds with cysteine sulfhydryls.</t>
  </si>
  <si>
    <t>spdp</t>
  </si>
  <si>
    <t xml:space="preserve">SPDP </t>
  </si>
  <si>
    <t>SPDP (succinimidyl 3-(2-pyridyldithio)propionate)  is a short-chain crosslinker for amine-to-sulfhydryl conjugation via NHS-ester and pyridyldithiol reactive groups that form cleavable (reducible) disulfide bonds with cysteine sulfhydryls.</t>
  </si>
  <si>
    <t>sulfo_lc_spdp</t>
  </si>
  <si>
    <t>Sulfo-LC-SPDP</t>
  </si>
  <si>
    <t>Sulfo-LC-SPDP  (sulfosuccinimidyl 6-(3'-(2-pyridyldithio)propionamido)hexanoate) is a water-soluble, long-chain crosslinker for amine-to-sulfhydryl conjugation via NHS-ester and pyridyldithiol reactive groups that form cleavable (reducible) disulfide bonds with cysteines.</t>
  </si>
  <si>
    <t>sulfo_sanpah</t>
  </si>
  <si>
    <t>Sulfo-SANPAH</t>
  </si>
  <si>
    <t>Sulfo-SANPAH is a hetero-bifunctional crosslinker that contains an amine-reactive N-hydroxysuccinimide (NHS) ester and a photoactivatable nitrophenyl azide. NHS esters react efficiently with primary amino groups (-NH2) in pH 7–9 buffers to form stable amide bonds.</t>
  </si>
  <si>
    <t>sulfo_sdad</t>
  </si>
  <si>
    <t>Sulfo-SDAD</t>
  </si>
  <si>
    <t>Sulfo-SDAD (Sulfo-NHS-SS-Diazirine) combines proven NHS-ester and diazirine-based photoreaction chemistries with conjugate amine-containing molecules with nearly any other functional group via long-wave UV-light activation. A 13.</t>
  </si>
  <si>
    <t>database_orf_search</t>
  </si>
  <si>
    <t>att_dataset</t>
  </si>
  <si>
    <t>Database + ORF search</t>
  </si>
  <si>
    <t>database and orf search</t>
  </si>
  <si>
    <t>database_search</t>
  </si>
  <si>
    <t>Database search</t>
  </si>
  <si>
    <t>database search</t>
  </si>
  <si>
    <t>de_novo</t>
  </si>
  <si>
    <t>de novo</t>
  </si>
  <si>
    <t>chaps</t>
  </si>
  <si>
    <t>CHAPS</t>
  </si>
  <si>
    <t>CHAPS is a zwitterionic detergent that is especially well suited for protecting the native state of proteins.</t>
  </si>
  <si>
    <t>dmm</t>
  </si>
  <si>
    <t>DMM</t>
  </si>
  <si>
    <t>n-Dodecyl-β-D-Maltoside is especially useful for solubilizing membrane proteins to preserve their activity.</t>
  </si>
  <si>
    <t>np40</t>
  </si>
  <si>
    <t>NP-40</t>
  </si>
  <si>
    <t>NP-40 is a nonionic polyoxyethylene surfactant that is most frequently used as a component of cell lysis buffers.</t>
  </si>
  <si>
    <t>og</t>
  </si>
  <si>
    <t>OG</t>
  </si>
  <si>
    <t>octyl-beta-Glucoside is a nonionic detergent that has been widely used for membrane protein solubilization.</t>
  </si>
  <si>
    <t>otg</t>
  </si>
  <si>
    <t>OTG</t>
  </si>
  <si>
    <t>Octylthioglucoside is a low-MW nonionic detergent that is effective for cell lysis and nondenaturing protein solubilization. It is resistant to beta-D-glucoside glucohydrolase degradation.</t>
  </si>
  <si>
    <t>sds</t>
  </si>
  <si>
    <t>SDS</t>
  </si>
  <si>
    <t>Sodium dodecyl sulfate (SDS) is a popular anionic detergent for routine protein electrophoresis and cell lysis methods. </t>
  </si>
  <si>
    <t>tritonx100</t>
  </si>
  <si>
    <t>Triton X-100</t>
  </si>
  <si>
    <t>Triton X-100 is most frequently used as a component of cell lysis buffers or other solutions intended to extract and solubilize proteins.</t>
  </si>
  <si>
    <t>tween20</t>
  </si>
  <si>
    <t>Tween20</t>
  </si>
  <si>
    <t>Tween20 nonionic detergent</t>
  </si>
  <si>
    <t>tween80</t>
  </si>
  <si>
    <t>Tween80</t>
  </si>
  <si>
    <t>Tween80 nonionic detergent</t>
  </si>
  <si>
    <t>30 DIA windows (MS2) Scans within one cycle.</t>
  </si>
  <si>
    <t>40 DIA windows (MS2) Scans within one cycle.</t>
  </si>
  <si>
    <t>fasp</t>
  </si>
  <si>
    <t>FASP</t>
  </si>
  <si>
    <t>Filter Aided Sample Preparation based digestion method.</t>
  </si>
  <si>
    <t>ingel</t>
  </si>
  <si>
    <t xml:space="preserve">In Gel </t>
  </si>
  <si>
    <t>In gel digestion method</t>
  </si>
  <si>
    <t>insol</t>
  </si>
  <si>
    <t>In Solution</t>
  </si>
  <si>
    <t>In solution digestion method</t>
  </si>
  <si>
    <t>sp3</t>
  </si>
  <si>
    <t>SP3</t>
  </si>
  <si>
    <t xml:space="preserve">SP3 magnetic bead based digestion method </t>
  </si>
  <si>
    <t>23c</t>
  </si>
  <si>
    <t>23 °C</t>
  </si>
  <si>
    <t>Digestion of proteins performed at 23 °C.</t>
  </si>
  <si>
    <t>37c</t>
  </si>
  <si>
    <t>37 °C</t>
  </si>
  <si>
    <t>Digestion of proteins performed at 37°C.</t>
  </si>
  <si>
    <t>12h</t>
  </si>
  <si>
    <t>12 h</t>
  </si>
  <si>
    <t>Digestion time of 12 h.</t>
  </si>
  <si>
    <t>16h</t>
  </si>
  <si>
    <t>16 h</t>
  </si>
  <si>
    <t>Digestion time of 16 h.</t>
  </si>
  <si>
    <t>8h</t>
  </si>
  <si>
    <t>8 h</t>
  </si>
  <si>
    <t>Digestion time of 8 h.</t>
  </si>
  <si>
    <t>384well_plate</t>
  </si>
  <si>
    <t>384 well plate</t>
  </si>
  <si>
    <t>96well_plate</t>
  </si>
  <si>
    <t>96 well plate</t>
  </si>
  <si>
    <t>96 well palte</t>
  </si>
  <si>
    <t>onefive_ml_tube</t>
  </si>
  <si>
    <t>1.5 mL RxTube</t>
  </si>
  <si>
    <t>1.5 mL Tube</t>
  </si>
  <si>
    <t>pcrstripe</t>
  </si>
  <si>
    <t>PCR Stripe</t>
  </si>
  <si>
    <t>two_ml_tube</t>
  </si>
  <si>
    <t>2 mL RxTube</t>
  </si>
  <si>
    <t>2mL Tube</t>
  </si>
  <si>
    <t>als</t>
  </si>
  <si>
    <t>ALS</t>
  </si>
  <si>
    <t>Amyotrophic lateral sclerosis</t>
  </si>
  <si>
    <t>alzheimer</t>
  </si>
  <si>
    <t>Alzheimer</t>
  </si>
  <si>
    <t>Alzheimer's disease</t>
  </si>
  <si>
    <t>autoimmune</t>
  </si>
  <si>
    <t>Autoimmune</t>
  </si>
  <si>
    <t>Autoimmune disease</t>
  </si>
  <si>
    <t>cancer</t>
  </si>
  <si>
    <t>Cancer</t>
  </si>
  <si>
    <t>Diseases of abnormal cells grow</t>
  </si>
  <si>
    <t>cardiovascular_diseases</t>
  </si>
  <si>
    <t>cardiovasculardiseases</t>
  </si>
  <si>
    <t>Cardiovascular_Diseases</t>
  </si>
  <si>
    <t>Cardiovascular and circulatory diseases</t>
  </si>
  <si>
    <t>chronic_inflammation</t>
  </si>
  <si>
    <t>chronicinflammation</t>
  </si>
  <si>
    <t>Chronic_Inflammation</t>
  </si>
  <si>
    <t>Slow, long-term inflammation lasting for prolonged periods</t>
  </si>
  <si>
    <t>coeliac</t>
  </si>
  <si>
    <t>Coeliac</t>
  </si>
  <si>
    <t>Coeliac disease</t>
  </si>
  <si>
    <t>covid19</t>
  </si>
  <si>
    <t>COVID19</t>
  </si>
  <si>
    <t>coronavirus disease</t>
  </si>
  <si>
    <t>dementia</t>
  </si>
  <si>
    <t>Dementia</t>
  </si>
  <si>
    <t>demyelinating</t>
  </si>
  <si>
    <t>Demyelinating</t>
  </si>
  <si>
    <t>Demyelinating disease</t>
  </si>
  <si>
    <t>diabetes</t>
  </si>
  <si>
    <t>Diabetes</t>
  </si>
  <si>
    <t>glioblastoma</t>
  </si>
  <si>
    <t>Glioblastoma</t>
  </si>
  <si>
    <t>Grade IV Astrocytoma</t>
  </si>
  <si>
    <t>hiv</t>
  </si>
  <si>
    <t>HIV</t>
  </si>
  <si>
    <t>HIV disease</t>
  </si>
  <si>
    <t>huntington</t>
  </si>
  <si>
    <t>Huntington</t>
  </si>
  <si>
    <t>Huntington's disease</t>
  </si>
  <si>
    <t>ibd</t>
  </si>
  <si>
    <t>IBD</t>
  </si>
  <si>
    <t>Inflammatory bowel disease</t>
  </si>
  <si>
    <t>infection</t>
  </si>
  <si>
    <t>Infection</t>
  </si>
  <si>
    <t>Infection occurs when viruses, bacteria, or other microbes enter your body and begin to multiply.</t>
  </si>
  <si>
    <t>influenza</t>
  </si>
  <si>
    <t>Influenza</t>
  </si>
  <si>
    <t>Flue; contagious respiratory illness caused by influenza viruses.</t>
  </si>
  <si>
    <t>leukemia</t>
  </si>
  <si>
    <t>Cancer of the body's blood-forming tissues</t>
  </si>
  <si>
    <t>lymphoma</t>
  </si>
  <si>
    <t>Lymphoma</t>
  </si>
  <si>
    <t>Cancer that begins in cells of the lymph system</t>
  </si>
  <si>
    <t>malaria</t>
  </si>
  <si>
    <t>Malaria</t>
  </si>
  <si>
    <t>Fatal disease caused by a parasite</t>
  </si>
  <si>
    <t>MS</t>
  </si>
  <si>
    <t>Multiple sclerosis</t>
  </si>
  <si>
    <t>msa</t>
  </si>
  <si>
    <t>MSA</t>
  </si>
  <si>
    <t>Multiple system atrophy</t>
  </si>
  <si>
    <t>neurodegenerative</t>
  </si>
  <si>
    <t>Neurodegenerative</t>
  </si>
  <si>
    <t>Neurodegenerative disease</t>
  </si>
  <si>
    <t>parkinson</t>
  </si>
  <si>
    <t>Parkinson</t>
  </si>
  <si>
    <t>Parkinson's disease</t>
  </si>
  <si>
    <t>prion</t>
  </si>
  <si>
    <t>Prion</t>
  </si>
  <si>
    <t>Prion disease</t>
  </si>
  <si>
    <t>rheumatoid</t>
  </si>
  <si>
    <t>Rheumatoid</t>
  </si>
  <si>
    <t>Rheumatoid arthritis</t>
  </si>
  <si>
    <t>stress</t>
  </si>
  <si>
    <t>Stress</t>
  </si>
  <si>
    <t>How one reacts when feeling under pressure or threatened</t>
  </si>
  <si>
    <t>stroke</t>
  </si>
  <si>
    <t>Stroke</t>
  </si>
  <si>
    <t>Disease that affects the arteries leading to and within the brain</t>
  </si>
  <si>
    <t>tuberculosis</t>
  </si>
  <si>
    <t>Tuberculosis</t>
  </si>
  <si>
    <t>Caused by a bacterium called Mycobacterium tuberculosis</t>
  </si>
  <si>
    <t>hypoxia</t>
  </si>
  <si>
    <t>Hypoxia</t>
  </si>
  <si>
    <t xml:space="preserve">Hypoxic chamber treatment (0.2% O2). </t>
  </si>
  <si>
    <t>normoxia</t>
  </si>
  <si>
    <t>Normoxia</t>
  </si>
  <si>
    <t>Normoxia as a hypoxia control.</t>
  </si>
  <si>
    <t>acetylome</t>
  </si>
  <si>
    <t>Acetylome</t>
  </si>
  <si>
    <t>dvp</t>
  </si>
  <si>
    <t>DVP</t>
  </si>
  <si>
    <t>Fractionated Samples (DVP)</t>
  </si>
  <si>
    <t>expression_proteome</t>
  </si>
  <si>
    <t>expression</t>
  </si>
  <si>
    <t>Expression Proteome</t>
  </si>
  <si>
    <t>interaction</t>
  </si>
  <si>
    <t>Interaction Proteome</t>
  </si>
  <si>
    <t>metrs</t>
  </si>
  <si>
    <t>MetRS</t>
  </si>
  <si>
    <t>neo_nterm_enrichment</t>
  </si>
  <si>
    <t>ntermenrichment</t>
  </si>
  <si>
    <t>Neo N-term enrichment</t>
  </si>
  <si>
    <t>oxinome</t>
  </si>
  <si>
    <t>Oxinome</t>
  </si>
  <si>
    <t>phosphoproteome</t>
  </si>
  <si>
    <t>Phosphoproteome</t>
  </si>
  <si>
    <t>pulse_silac</t>
  </si>
  <si>
    <t>Pulse-SILAC</t>
  </si>
  <si>
    <t>secretome</t>
  </si>
  <si>
    <t>Secretome</t>
  </si>
  <si>
    <t>spatial</t>
  </si>
  <si>
    <t>Spatial Proteome</t>
  </si>
  <si>
    <t>ubiquitinome</t>
  </si>
  <si>
    <t>Ubiquitinome</t>
  </si>
  <si>
    <t>100c</t>
  </si>
  <si>
    <t>95c</t>
  </si>
  <si>
    <t>96c</t>
  </si>
  <si>
    <t>97c</t>
  </si>
  <si>
    <t>98c</t>
  </si>
  <si>
    <t>99c</t>
  </si>
  <si>
    <t>bal</t>
  </si>
  <si>
    <t>att_fluid</t>
  </si>
  <si>
    <t>Bal</t>
  </si>
  <si>
    <t>Bronchoalveolar lavage (BAL)</t>
  </si>
  <si>
    <t>cerebrospinal</t>
  </si>
  <si>
    <t>Cerebrospinal</t>
  </si>
  <si>
    <t>Cerebrospinal fluid (CSF)</t>
  </si>
  <si>
    <t>feces</t>
  </si>
  <si>
    <t>Feces</t>
  </si>
  <si>
    <t>Poop</t>
  </si>
  <si>
    <t>interstitial</t>
  </si>
  <si>
    <t>Interstitial</t>
  </si>
  <si>
    <t>Interstitial fluid</t>
  </si>
  <si>
    <t>lymph</t>
  </si>
  <si>
    <t>Lymph</t>
  </si>
  <si>
    <t>Lymph; fluid that flows through the lymphatic system</t>
  </si>
  <si>
    <t>peritoneal</t>
  </si>
  <si>
    <t>Peritoneal</t>
  </si>
  <si>
    <t>Peritoneal fluid</t>
  </si>
  <si>
    <t>plasma</t>
  </si>
  <si>
    <t>Plasma</t>
  </si>
  <si>
    <t>Blood Plasma</t>
  </si>
  <si>
    <t>pleural</t>
  </si>
  <si>
    <t>Pleural</t>
  </si>
  <si>
    <t>Pleural fluid</t>
  </si>
  <si>
    <t>saliva</t>
  </si>
  <si>
    <t>Saliva</t>
  </si>
  <si>
    <t>Spit</t>
  </si>
  <si>
    <t>seminal</t>
  </si>
  <si>
    <t>Seminal</t>
  </si>
  <si>
    <t>Semen; Seminal fluid</t>
  </si>
  <si>
    <t>serum</t>
  </si>
  <si>
    <t>Serum</t>
  </si>
  <si>
    <t>Blood Serum</t>
  </si>
  <si>
    <t>urine</t>
  </si>
  <si>
    <t>Urine</t>
  </si>
  <si>
    <t>Pee</t>
  </si>
  <si>
    <t>01k</t>
  </si>
  <si>
    <t>att_fraction</t>
  </si>
  <si>
    <t>01k Spatial Fraction (Pellet)</t>
  </si>
  <si>
    <t>05k</t>
  </si>
  <si>
    <t>05k Spatial Fraction (Pellet)</t>
  </si>
  <si>
    <t>12k</t>
  </si>
  <si>
    <t>12k Spatial Fraction (Pellet)</t>
  </si>
  <si>
    <t>24k</t>
  </si>
  <si>
    <t>24k Spatial Fraction (Pellet)</t>
  </si>
  <si>
    <t>79k</t>
  </si>
  <si>
    <t>79k Spatial Fraction (Pellet)</t>
  </si>
  <si>
    <t>crude_mito</t>
  </si>
  <si>
    <t>crude</t>
  </si>
  <si>
    <t>Crude Mito</t>
  </si>
  <si>
    <t>Crude mitochondrial fraction</t>
  </si>
  <si>
    <t>cytosolic</t>
  </si>
  <si>
    <t>Cytosolic</t>
  </si>
  <si>
    <t>Cytosolic Spatial Fraction</t>
  </si>
  <si>
    <t>total</t>
  </si>
  <si>
    <t>Total</t>
  </si>
  <si>
    <t>Total Spatial Fraction</t>
  </si>
  <si>
    <t>biggybac</t>
  </si>
  <si>
    <t>BiggyBac transposon</t>
  </si>
  <si>
    <t>The PiggyBac (PB) transposon is a mobile genetic element that efficiently transposes between vectors and chromosomes via a 'cut and paste' mechanism. During transposition, the PB transposase recognizes transposon-specific inverted terminal repeat sequences (ITRs) located on both ends of the transposon vector and efficiently moves the contents from the original sites and integrates them into TTAA chromosomal sites</t>
  </si>
  <si>
    <t>crispr</t>
  </si>
  <si>
    <t>CRISPR-mediated</t>
  </si>
  <si>
    <t>A CRISPR-associated (Cas) enzyme is used to cleave target DNA, resulting in a double-strand break (DSB). The Cas enzyme is directed by the guide RNA (gRNA) to a user-defined site in the genome, and then the Cas enzyme cuts the DNA.</t>
  </si>
  <si>
    <t>crispr_hdr</t>
  </si>
  <si>
    <t>CRSPR+HDR mediated</t>
  </si>
  <si>
    <t>HDR is an acronym for homology-directed repair, one of the common mechanisms for DNA double-strand break repair in eukaryotes. HDR can be used as part of CRISPR-mediated editing to introduce an exogenous DNA repair template composed of homology arms flanking a sequence of interest.</t>
  </si>
  <si>
    <t>lentiviral</t>
  </si>
  <si>
    <t>Lenti Viral</t>
  </si>
  <si>
    <t>Lentivirus based genome integration.</t>
  </si>
  <si>
    <t>talen</t>
  </si>
  <si>
    <t>TALE nucleases</t>
  </si>
  <si>
    <t>Transcription activator-like effector nucleases (TALEN) are restriction enzymes that can be engineered to cut specific sequences of DNA. They are made by fusing a TAL effector DNA-binding domain to a DNA cleavage domain (a nuclease which cuts DNA strands). Transcription activator-like effectors (TALEs) can be engineered to bind to practically any desired DNA sequence, so when combined with a nuclease, DNA can be cut at specific locations.</t>
  </si>
  <si>
    <t>zincfinger</t>
  </si>
  <si>
    <t>Zinc-finger nucleases</t>
  </si>
  <si>
    <t>Zinc-finger nucleases (ZFNs) are artificial restriction enzymes generated by fusing a zinc finger DNA-binding domain to a DNA-cleavage domain. Zinc finger domains can be engineered to target specific desired DNA sequences and this enables zinc-finger nucleases to target unique sequences within complex genomes.</t>
  </si>
  <si>
    <t>deletion</t>
  </si>
  <si>
    <t>Deletion</t>
  </si>
  <si>
    <t>Gene deletion</t>
  </si>
  <si>
    <t>inducible_expression</t>
  </si>
  <si>
    <t>Inducible Expression</t>
  </si>
  <si>
    <t xml:space="preserve">Inducible gene expression. </t>
  </si>
  <si>
    <t>knockin</t>
  </si>
  <si>
    <t>Knockin</t>
  </si>
  <si>
    <t xml:space="preserve">Gene knock in. One-for-one substitution of DNA sequence information in a genetic locus or the insertion of sequence information not found within the locus. </t>
  </si>
  <si>
    <t>ko</t>
  </si>
  <si>
    <t>Knockout</t>
  </si>
  <si>
    <t>Gene knock out.</t>
  </si>
  <si>
    <t>stable_expression</t>
  </si>
  <si>
    <t xml:space="preserve">Stable Expression </t>
  </si>
  <si>
    <t>Stable gene expression.</t>
  </si>
  <si>
    <t>Heterezygot (+/-)</t>
  </si>
  <si>
    <t>Heterozygous</t>
  </si>
  <si>
    <t>Homozygot (-/-)</t>
  </si>
  <si>
    <t>Homozygous</t>
  </si>
  <si>
    <t>14dia</t>
  </si>
  <si>
    <t>Isolation width (DIA)</t>
  </si>
  <si>
    <t>onepointfour</t>
  </si>
  <si>
    <t>Isolation width (DDA) of 1.4 Th</t>
  </si>
  <si>
    <t>esirna</t>
  </si>
  <si>
    <t>esiRNA</t>
  </si>
  <si>
    <t>Eupheria Biotch - esiRNA knock down technique.</t>
  </si>
  <si>
    <t>grna</t>
  </si>
  <si>
    <t>gRNA</t>
  </si>
  <si>
    <t>gRNA based knockdown in a polyclonal population</t>
  </si>
  <si>
    <t>mirna</t>
  </si>
  <si>
    <t>mirRNA</t>
  </si>
  <si>
    <t>miRNA based gene expression knockdown.</t>
  </si>
  <si>
    <t>shrna</t>
  </si>
  <si>
    <t>shRNA</t>
  </si>
  <si>
    <t xml:space="preserve">shRNA based gene expression kockdown </t>
  </si>
  <si>
    <t>sirna</t>
  </si>
  <si>
    <t>siRNA</t>
  </si>
  <si>
    <t>siRNA based gene expression knock down by RNA interference</t>
  </si>
  <si>
    <t>200nlmin</t>
  </si>
  <si>
    <t>200 nL/min</t>
  </si>
  <si>
    <t>250nlmin</t>
  </si>
  <si>
    <t>250 nL/min</t>
  </si>
  <si>
    <t>500nlmin</t>
  </si>
  <si>
    <t>500 nL/min</t>
  </si>
  <si>
    <t>e1000</t>
  </si>
  <si>
    <t>nLC Easy 1000</t>
  </si>
  <si>
    <t>Thermo Fisher nano LC 1000</t>
  </si>
  <si>
    <t>e1200</t>
  </si>
  <si>
    <t>nLC Easy 1200</t>
  </si>
  <si>
    <t>Thermo Fisher nano LC 1200</t>
  </si>
  <si>
    <t>evosep</t>
  </si>
  <si>
    <t>Evosep</t>
  </si>
  <si>
    <t>nanoelute</t>
  </si>
  <si>
    <t>NanoElute</t>
  </si>
  <si>
    <t>Bruker Nano Elute</t>
  </si>
  <si>
    <t>ultimate</t>
  </si>
  <si>
    <t>Ultimate</t>
  </si>
  <si>
    <t>Thermo Fisher Ultimate RC</t>
  </si>
  <si>
    <t>vanquish</t>
  </si>
  <si>
    <t>Vanquish</t>
  </si>
  <si>
    <t>Thermo Fisher Vanquish</t>
  </si>
  <si>
    <t>easylc1</t>
  </si>
  <si>
    <t>Easy LC1</t>
  </si>
  <si>
    <t>easylc2</t>
  </si>
  <si>
    <t>Easy LC2</t>
  </si>
  <si>
    <t>evosep1</t>
  </si>
  <si>
    <t>Evosep1</t>
  </si>
  <si>
    <t>Evosep 1</t>
  </si>
  <si>
    <t>vanquishneo1</t>
  </si>
  <si>
    <t>Vanquish Neo1</t>
  </si>
  <si>
    <t>bravo</t>
  </si>
  <si>
    <t xml:space="preserve">Agilent Bravo </t>
  </si>
  <si>
    <t>Agilent Bravo Sample Preparaton</t>
  </si>
  <si>
    <t>felix</t>
  </si>
  <si>
    <t>Cybio Felix Liquid Handler</t>
  </si>
  <si>
    <t>Analytic Jena Liquid Handler CyBio Felix</t>
  </si>
  <si>
    <t>kingfisher</t>
  </si>
  <si>
    <t>KingFisher</t>
  </si>
  <si>
    <t>King Fisher Thermo Fisher Liquid Handler (magnetic beads)</t>
  </si>
  <si>
    <t>microlabhamilton</t>
  </si>
  <si>
    <t>Microlab Star M (Hamilton)</t>
  </si>
  <si>
    <t>Hamilton Microlab Star M</t>
  </si>
  <si>
    <t>mosquitoHV</t>
  </si>
  <si>
    <t>Mosquito High Volume</t>
  </si>
  <si>
    <t>Mosquit liquid handler (lhigh volume)</t>
  </si>
  <si>
    <t>mosquitoLV</t>
  </si>
  <si>
    <t xml:space="preserve">Mosquito Low Volumne </t>
  </si>
  <si>
    <t>Mosquit liquid handler (low volume)</t>
  </si>
  <si>
    <t>opentrons</t>
  </si>
  <si>
    <t>Opentrons</t>
  </si>
  <si>
    <t>tecan</t>
  </si>
  <si>
    <t>Tecan</t>
  </si>
  <si>
    <t xml:space="preserve">Tecan liquid handler. </t>
  </si>
  <si>
    <t>one_sdc</t>
  </si>
  <si>
    <t xml:space="preserve">2% SDC Lysis </t>
  </si>
  <si>
    <t>1% SDC in 100 mM HEPES pH=8.5</t>
  </si>
  <si>
    <t>4%SDS Lysis</t>
  </si>
  <si>
    <t>4% SDS Lysis buffer in 100 mM HEPES pH=8.5</t>
  </si>
  <si>
    <t>two_sdc</t>
  </si>
  <si>
    <t xml:space="preserve">1% SDC Lysis </t>
  </si>
  <si>
    <t>2% SDC in 100 mM HEPES pH=8.5</t>
  </si>
  <si>
    <t>urea</t>
  </si>
  <si>
    <t>Urea Lysis</t>
  </si>
  <si>
    <t>6M Urea 2M ThioUrea</t>
  </si>
  <si>
    <t>dounce</t>
  </si>
  <si>
    <t xml:space="preserve">Douncer Lysis </t>
  </si>
  <si>
    <t>Douncer 10 strokes</t>
  </si>
  <si>
    <t>motar_pestle</t>
  </si>
  <si>
    <t>Motar and pestle</t>
  </si>
  <si>
    <t>Tissue grinded using mortar pestle</t>
  </si>
  <si>
    <t>paracyllus</t>
  </si>
  <si>
    <t>Paracyllus</t>
  </si>
  <si>
    <t>Metal beads based tissue distruption</t>
  </si>
  <si>
    <t>arg0</t>
  </si>
  <si>
    <t>Arg0</t>
  </si>
  <si>
    <t>L-Arginine</t>
  </si>
  <si>
    <t>arg10</t>
  </si>
  <si>
    <t>Arg10</t>
  </si>
  <si>
    <t>Arginine +10Da (13C6 15N4)</t>
  </si>
  <si>
    <t>arg6</t>
  </si>
  <si>
    <t>Arg6</t>
  </si>
  <si>
    <t>Arginine +6 Da (13C6)</t>
  </si>
  <si>
    <t>lys0</t>
  </si>
  <si>
    <t>Lys0</t>
  </si>
  <si>
    <t>lys4</t>
  </si>
  <si>
    <t>Lys4</t>
  </si>
  <si>
    <t>Lysine +4Da (4,4,5,5-D4 L-Lysin) for SILAC labeling</t>
  </si>
  <si>
    <t>lys6</t>
  </si>
  <si>
    <t>Lys6</t>
  </si>
  <si>
    <t>Lysine +6Da for SILAC labeling</t>
  </si>
  <si>
    <t>lys8</t>
  </si>
  <si>
    <t>Lys8</t>
  </si>
  <si>
    <t>Lysine +8Da (3C6 15N2) for SILAC labeling</t>
  </si>
  <si>
    <t>abc_transporters</t>
  </si>
  <si>
    <t>ABC transporters</t>
  </si>
  <si>
    <t>Small molecule transport &gt; ABC transporters</t>
  </si>
  <si>
    <t>amidoxime_reducing_complex</t>
  </si>
  <si>
    <t>Amidoxime reducing complex</t>
  </si>
  <si>
    <t>Metabolism &gt; Detoxification &gt; Amidoxime reducing complex</t>
  </si>
  <si>
    <t>amino_acid_metabolism</t>
  </si>
  <si>
    <t>Amino acid metabolism</t>
  </si>
  <si>
    <t>Metabolism &gt; Amino acid metabolism</t>
  </si>
  <si>
    <t>apoptosis</t>
  </si>
  <si>
    <t>Apoptosis</t>
  </si>
  <si>
    <t>Mitochondrial dynamics and surveillance &gt; Apoptosis</t>
  </si>
  <si>
    <t>autophagy</t>
  </si>
  <si>
    <t>Autophagy</t>
  </si>
  <si>
    <t>Mitochondrial dynamics and surveillance &gt; Autophagy</t>
  </si>
  <si>
    <t>biotin_utilizing_proteins</t>
  </si>
  <si>
    <t>Biotin utilizing proteins</t>
  </si>
  <si>
    <t>Metabolism &gt; Vitamin metabolism &gt; Biotin utilizing proteins</t>
  </si>
  <si>
    <t>branched_chain_amino_acid_dehydrogenase_complex</t>
  </si>
  <si>
    <t>Branched-chain amino acid dehydrogenase complex</t>
  </si>
  <si>
    <t>Metabolism &gt; Amino acid metabolism &gt; Branched-chain amino acid dehydrogenase complex</t>
  </si>
  <si>
    <t>branched_chain_amino_acid_metabolism</t>
  </si>
  <si>
    <t>Branched-chain amino acid metabolism</t>
  </si>
  <si>
    <t>Metabolism &gt; Amino acid metabolism &gt; Branched-chain amino acid metabolism</t>
  </si>
  <si>
    <t>calcium_cycle</t>
  </si>
  <si>
    <t>Calcium cycle</t>
  </si>
  <si>
    <t>Signaling &gt; Calcium homeostasis &gt; Calcium cycle</t>
  </si>
  <si>
    <t>calcium_homeostasis</t>
  </si>
  <si>
    <t>Calcium homeostasis</t>
  </si>
  <si>
    <t>Signaling &gt; Calcium homeostasis</t>
  </si>
  <si>
    <t>calcium_uniporter</t>
  </si>
  <si>
    <t>Calcium uniporter</t>
  </si>
  <si>
    <t>Small molecule transport &gt; Calcium uniporter</t>
  </si>
  <si>
    <t>camp_pka_signaling</t>
  </si>
  <si>
    <t>cAMP-PKA signaling</t>
  </si>
  <si>
    <t>Signaling &gt; cAMP-PKA signaling</t>
  </si>
  <si>
    <t>carbohydrate_metabolism</t>
  </si>
  <si>
    <t>Carbohydrate metabolism</t>
  </si>
  <si>
    <t>Metabolism &gt; Carbohydrate metabolism</t>
  </si>
  <si>
    <t>cardiolipin_synthesis</t>
  </si>
  <si>
    <t>Cardiolipin synthesis</t>
  </si>
  <si>
    <t>Metabolism &gt; Lipid metabolism &gt; Cardiolipin synthesis</t>
  </si>
  <si>
    <t>carnitine_shuttle</t>
  </si>
  <si>
    <t>Carnitine shuttle</t>
  </si>
  <si>
    <t>Metabolism &gt; Metals and cofactors &gt; Carnitine shuttle</t>
  </si>
  <si>
    <t>carnitine_synthesis_and_transport</t>
  </si>
  <si>
    <t>Carnitine synthesis and transport</t>
  </si>
  <si>
    <t>Metabolism &gt; Metals and cofactors &gt; Carnitine synthesis and transport</t>
  </si>
  <si>
    <t>catechol_metabolism</t>
  </si>
  <si>
    <t>Catechol metabolism</t>
  </si>
  <si>
    <t>Metabolism &gt; Amino acid metabolism &gt; Catechol metabolism</t>
  </si>
  <si>
    <t>chaperones</t>
  </si>
  <si>
    <t>Chaperones</t>
  </si>
  <si>
    <t>Protein import, sorting and homeostasis &gt; Protein homeostasis &gt; Chaperones</t>
  </si>
  <si>
    <t>cholesterol_associated</t>
  </si>
  <si>
    <t>Cholesterol-associated</t>
  </si>
  <si>
    <t>Metabolism &gt; Lipid metabolism &gt; Cholesterol-associated</t>
  </si>
  <si>
    <t>choline_and_betaine_metabolism</t>
  </si>
  <si>
    <t>Choline and betaine metabolism</t>
  </si>
  <si>
    <t>Metabolism &gt; Vitamin metabolism &gt; Choline and betaine metabolism</t>
  </si>
  <si>
    <t>ci_assembly_factors</t>
  </si>
  <si>
    <t>CI assembly factors</t>
  </si>
  <si>
    <t>OXPHOS &gt; Complex I &gt; CI assembly factors</t>
  </si>
  <si>
    <t>ci_subunits</t>
  </si>
  <si>
    <t>CI subunits</t>
  </si>
  <si>
    <t>OXPHOS &gt; Complex I &gt; CI subunits</t>
  </si>
  <si>
    <t>cii_assembly_factors</t>
  </si>
  <si>
    <t>CII assembly factors</t>
  </si>
  <si>
    <t>OXPHOS &gt; Complex II &gt; CII assembly factors</t>
  </si>
  <si>
    <t>cii_subunits</t>
  </si>
  <si>
    <t>CII subunits</t>
  </si>
  <si>
    <t>OXPHOS &gt; Complex II &gt; CII subunits</t>
  </si>
  <si>
    <t>ciii_assembly_factors</t>
  </si>
  <si>
    <t>CIII assembly factors</t>
  </si>
  <si>
    <t>OXPHOS &gt; Complex III &gt; CIII assembly factors</t>
  </si>
  <si>
    <t>ciii_subunits</t>
  </si>
  <si>
    <t>CIII subunits</t>
  </si>
  <si>
    <t>OXPHOS &gt; Complex III &gt; CIII subunits</t>
  </si>
  <si>
    <t>civ_assembly_factors</t>
  </si>
  <si>
    <t>CIV assembly factors</t>
  </si>
  <si>
    <t>OXPHOS &gt; Complex IV &gt; CIV assembly factors</t>
  </si>
  <si>
    <t>civ_subunits</t>
  </si>
  <si>
    <t>CIV subunits</t>
  </si>
  <si>
    <t>OXPHOS &gt; Complex IV &gt; CIV subunits</t>
  </si>
  <si>
    <t>coenzyme_a_metabolism</t>
  </si>
  <si>
    <t>Coenzyme A metabolism</t>
  </si>
  <si>
    <t>Metabolism &gt; Metals and cofactors &gt; Coenzyme A metabolism</t>
  </si>
  <si>
    <t>coenzyme_q_metabolism</t>
  </si>
  <si>
    <t>Coenzyme Q metabolism</t>
  </si>
  <si>
    <t>Metabolism &gt; Metals and cofactors &gt; Coenzyme Q metabolism</t>
  </si>
  <si>
    <t>complex_i</t>
  </si>
  <si>
    <t>Complex I</t>
  </si>
  <si>
    <t>OXPHOS &gt; Complex I</t>
  </si>
  <si>
    <t>complex_ii</t>
  </si>
  <si>
    <t>Complex II</t>
  </si>
  <si>
    <t>OXPHOS &gt; Complex II</t>
  </si>
  <si>
    <t>complex_iii</t>
  </si>
  <si>
    <t>Complex III</t>
  </si>
  <si>
    <t>OXPHOS &gt; Complex III</t>
  </si>
  <si>
    <t>complex_iv</t>
  </si>
  <si>
    <t>Complex IV</t>
  </si>
  <si>
    <t>OXPHOS &gt; Complex IV</t>
  </si>
  <si>
    <t>complex_v</t>
  </si>
  <si>
    <t>Complex V</t>
  </si>
  <si>
    <t>OXPHOS &gt; Complex V</t>
  </si>
  <si>
    <t>copper_metabolism</t>
  </si>
  <si>
    <t>Copper metabolism</t>
  </si>
  <si>
    <t>Metabolism &gt; Metals and cofactors &gt; Copper metabolism</t>
  </si>
  <si>
    <t>creatine_metabolism</t>
  </si>
  <si>
    <t>Creatine metabolism</t>
  </si>
  <si>
    <t>Metabolism &gt; Nucleotide metabolism &gt; Creatine metabolism</t>
  </si>
  <si>
    <t>cristae_formation</t>
  </si>
  <si>
    <t>Cristae formation</t>
  </si>
  <si>
    <t>Mitochondrial dynamics and surveillance &gt; Cristae formation</t>
  </si>
  <si>
    <t>cv_assembly_factors</t>
  </si>
  <si>
    <t>CV assembly factors</t>
  </si>
  <si>
    <t>OXPHOS &gt; Complex V &gt; CV assembly factors</t>
  </si>
  <si>
    <t>cv_subunits</t>
  </si>
  <si>
    <t>CV subunits</t>
  </si>
  <si>
    <t>OXPHOS &gt; Complex V &gt; CV subunits</t>
  </si>
  <si>
    <t>cytochrome_c</t>
  </si>
  <si>
    <t>Cytochrome C</t>
  </si>
  <si>
    <t>OXPHOS &gt; Cytochrome C</t>
  </si>
  <si>
    <t>cytochromes</t>
  </si>
  <si>
    <t>Cytochromes</t>
  </si>
  <si>
    <t>Metabolism &gt; Electron carriers &gt; Cytochromes</t>
  </si>
  <si>
    <t>detoxification</t>
  </si>
  <si>
    <t>Detoxification</t>
  </si>
  <si>
    <t>Metabolism &gt; Detoxification</t>
  </si>
  <si>
    <t>ef_hand_proteins</t>
  </si>
  <si>
    <t>EF hand proteins</t>
  </si>
  <si>
    <t>Signaling &gt; Calcium homeostasis &gt; EF hand proteins</t>
  </si>
  <si>
    <t>eicosanoid_metabolism</t>
  </si>
  <si>
    <t>Eicosanoid metabolism</t>
  </si>
  <si>
    <t>Metabolism &gt; Lipid metabolism &gt; Eicosanoid metabolism</t>
  </si>
  <si>
    <t>electron_carriers</t>
  </si>
  <si>
    <t>Electron carriers</t>
  </si>
  <si>
    <t>Metabolism &gt; Electron carriers</t>
  </si>
  <si>
    <t>fatty_acid_oxidation</t>
  </si>
  <si>
    <t>Fatty acid oxidation</t>
  </si>
  <si>
    <t>Metabolism &gt; Lipid metabolism &gt; Fatty acid oxidation</t>
  </si>
  <si>
    <t>fe_s_cluster_biosynthesis</t>
  </si>
  <si>
    <t>Fe-S cluster biosynthesis</t>
  </si>
  <si>
    <t>Metabolism &gt; Metals and cofactors &gt; Fe-S cluster biosynthesis</t>
  </si>
  <si>
    <t>fe_s_containing_proteins</t>
  </si>
  <si>
    <t>Fe-S-containing proteins</t>
  </si>
  <si>
    <t>Metabolism &gt; Metals and cofactors &gt; Fe-S-containing proteins</t>
  </si>
  <si>
    <t>fission</t>
  </si>
  <si>
    <t>Fission</t>
  </si>
  <si>
    <t>Mitochondrial dynamics and surveillance &gt; Fission</t>
  </si>
  <si>
    <t>fmet_processing</t>
  </si>
  <si>
    <t>fMet processing</t>
  </si>
  <si>
    <t>Mitochondrial central dogma &gt; Translation &gt; fMet processing</t>
  </si>
  <si>
    <t>folate_and_1_c_metabolism</t>
  </si>
  <si>
    <t>Folate and 1-C metabolism</t>
  </si>
  <si>
    <t>Metabolism &gt; Vitamin metabolism &gt; Folate and 1-C metabolism</t>
  </si>
  <si>
    <t>fusion</t>
  </si>
  <si>
    <t>Fusion</t>
  </si>
  <si>
    <t>Mitochondrial dynamics and surveillance &gt; Fusion</t>
  </si>
  <si>
    <t>gaba_metabolism</t>
  </si>
  <si>
    <t>GABA metabolism</t>
  </si>
  <si>
    <t>Metabolism &gt; Amino acid metabolism &gt; GABA metabolism</t>
  </si>
  <si>
    <t>gluconeogenesis</t>
  </si>
  <si>
    <t>Gluconeogenesis</t>
  </si>
  <si>
    <t>Metabolism &gt; Carbohydrate metabolism &gt; Gluconeogenesis</t>
  </si>
  <si>
    <t>glutamate_metabolism</t>
  </si>
  <si>
    <t>Glutamate metabolism</t>
  </si>
  <si>
    <t>Metabolism &gt; Amino acid metabolism &gt; Glutamate metabolism</t>
  </si>
  <si>
    <t>glycerol_phosphate_shuttle</t>
  </si>
  <si>
    <t>Glycerol phosphate shuttle</t>
  </si>
  <si>
    <t>Metabolism &gt; Carbohydrate metabolism &gt; Glycerol phosphate shuttle</t>
  </si>
  <si>
    <t>glycine_cleavage_system</t>
  </si>
  <si>
    <t>Glycine cleavage system</t>
  </si>
  <si>
    <t>Metabolism &gt; Amino acid metabolism &gt; Glycine cleavage system</t>
  </si>
  <si>
    <t>glycine_metabolism</t>
  </si>
  <si>
    <t>Glycine metabolism</t>
  </si>
  <si>
    <t>Metabolism &gt; Amino acid metabolism &gt; Glycine metabolism</t>
  </si>
  <si>
    <t>glyoxylate_metabolism</t>
  </si>
  <si>
    <t>Glyoxylate metabolism</t>
  </si>
  <si>
    <t>Metabolism &gt; Amino acid metabolism &gt; Glyoxylate metabolism</t>
  </si>
  <si>
    <t>heme_containing_proteins</t>
  </si>
  <si>
    <t>Heme-containing proteins</t>
  </si>
  <si>
    <t>Metabolism &gt; Metals and cofactors &gt; Heme-containing proteins</t>
  </si>
  <si>
    <t>heme_synthesis_and_processing</t>
  </si>
  <si>
    <t>Heme synthesis and processing</t>
  </si>
  <si>
    <t>Metabolism &gt; Metals and cofactors &gt; Heme synthesis and processing</t>
  </si>
  <si>
    <t>immune_response</t>
  </si>
  <si>
    <t>Immune response</t>
  </si>
  <si>
    <t>Signaling &gt; Immune response</t>
  </si>
  <si>
    <t>import_motor</t>
  </si>
  <si>
    <t>Import motor</t>
  </si>
  <si>
    <t>Protein import, sorting and homeostasis &gt; Protein import and sorting &gt; Import motor</t>
  </si>
  <si>
    <t>intramitochondrial_membrane_interactions</t>
  </si>
  <si>
    <t>Intramitochondrial membrane interactions</t>
  </si>
  <si>
    <t>Mitochondrial dynamics and surveillance &gt; Intramitochondrial membrane interactions</t>
  </si>
  <si>
    <t>iron_homeostasis</t>
  </si>
  <si>
    <t>Iron homeostasis</t>
  </si>
  <si>
    <t>Metabolism &gt; Metals and cofactors &gt; Iron homeostasis</t>
  </si>
  <si>
    <t>itaconate_metabolism</t>
  </si>
  <si>
    <t>Itaconate metabolism</t>
  </si>
  <si>
    <t>Metabolism &gt; Carbohydrate metabolism &gt; Itaconate metabolism</t>
  </si>
  <si>
    <t>ketone_metabolism</t>
  </si>
  <si>
    <t>Ketone metabolism</t>
  </si>
  <si>
    <t>Metabolism &gt; Carbohydrate metabolism &gt; Ketone metabolism</t>
  </si>
  <si>
    <t>kynurenine_metabolism</t>
  </si>
  <si>
    <t>Kynurenine metabolism</t>
  </si>
  <si>
    <t>Metabolism &gt; Amino acid metabolism &gt; Kynurenine metabolism</t>
  </si>
  <si>
    <t>lipid_metabolism</t>
  </si>
  <si>
    <t>Lipid metabolism</t>
  </si>
  <si>
    <t>Metabolism &gt; Lipid metabolism</t>
  </si>
  <si>
    <t>lipoate_insertion</t>
  </si>
  <si>
    <t>Lipoate insertion</t>
  </si>
  <si>
    <t>Metabolism &gt; Lipid metabolism &gt; Lipoate insertion</t>
  </si>
  <si>
    <t>lysine_metabolism</t>
  </si>
  <si>
    <t>Lysine metabolism</t>
  </si>
  <si>
    <t>Metabolism &gt; Amino acid metabolism &gt; Lysine metabolism</t>
  </si>
  <si>
    <t>malate_aspartate_shuttle</t>
  </si>
  <si>
    <t>Malate-aspartate shuttle</t>
  </si>
  <si>
    <t>Metabolism &gt; Carbohydrate metabolism &gt; Malate-aspartate shuttle</t>
  </si>
  <si>
    <t>metabolism</t>
  </si>
  <si>
    <t>Metabolism</t>
  </si>
  <si>
    <t>metals_and_cofactors</t>
  </si>
  <si>
    <t>Metals and cofactors</t>
  </si>
  <si>
    <t>Metabolism &gt; Metals and cofactors</t>
  </si>
  <si>
    <t>mia40</t>
  </si>
  <si>
    <t>MIA40</t>
  </si>
  <si>
    <t>Protein import, sorting and homeostasis &gt; Protein import and sorting &gt; MIA40</t>
  </si>
  <si>
    <t>micos_complex</t>
  </si>
  <si>
    <t>MICOS complex</t>
  </si>
  <si>
    <t>Mitochondrial dynamics and surveillance &gt; Cristae formation &gt; MICOS complex</t>
  </si>
  <si>
    <t>mitochondrial_dynamics_and_surveillance</t>
  </si>
  <si>
    <t>Mitochondrial dynamics and surveillance</t>
  </si>
  <si>
    <t>mitochondrial_permeability_transition_pore</t>
  </si>
  <si>
    <t>Mitochondrial permeability transition pore</t>
  </si>
  <si>
    <t>Signaling &gt; Calcium homeostasis &gt; Mitochondrial permeability transition pore</t>
  </si>
  <si>
    <t>mitochondrial_ribosome</t>
  </si>
  <si>
    <t>Mitochondrial ribosome</t>
  </si>
  <si>
    <t>Mitochondrial central dogma &gt; Translation &gt; Mitochondrial ribosome</t>
  </si>
  <si>
    <t>mitochondrial_ribosome_assembly</t>
  </si>
  <si>
    <t>Mitochondrial ribosome assembly</t>
  </si>
  <si>
    <t>Mitochondrial central dogma &gt; Translation &gt; Mitochondrial ribosome assembly</t>
  </si>
  <si>
    <t>mitophagy</t>
  </si>
  <si>
    <t>Mitophagy</t>
  </si>
  <si>
    <t>Mitochondrial dynamics and surveillance &gt; Mitophagy</t>
  </si>
  <si>
    <t>molybdenum_cofactor_synthesis_and_proteins</t>
  </si>
  <si>
    <t>Molybdenum cofactor synthesis and proteins</t>
  </si>
  <si>
    <t>Metabolism &gt; Metals and cofactors &gt; Molybdenum cofactor synthesis and proteins</t>
  </si>
  <si>
    <t>mt_mrna_modifications</t>
  </si>
  <si>
    <t>mt-mRNA modifications</t>
  </si>
  <si>
    <t>Mitochondrial central dogma &gt; mtRNA metabolism &gt; mt-mRNA modifications</t>
  </si>
  <si>
    <t>mt_rrna_modifications</t>
  </si>
  <si>
    <t>mt-rRNA modifications</t>
  </si>
  <si>
    <t>Mitochondrial central dogma &gt; mtRNA metabolism &gt; mt-rRNA modifications</t>
  </si>
  <si>
    <t>mt_trna_modifications</t>
  </si>
  <si>
    <t>mt-tRNA modifications</t>
  </si>
  <si>
    <t>Mitochondrial central dogma &gt; mtRNA metabolism &gt; mt-tRNA modifications</t>
  </si>
  <si>
    <t>mt_trna_synthetases</t>
  </si>
  <si>
    <t>mt-tRNA synthetases</t>
  </si>
  <si>
    <t>Mitochondrial central dogma &gt; Translation &gt; mt-tRNA synthetases</t>
  </si>
  <si>
    <t>mtdna_maintenance</t>
  </si>
  <si>
    <t>mtDNA maintenance</t>
  </si>
  <si>
    <t>Mitochondrial central dogma &gt; mtDNA maintenance</t>
  </si>
  <si>
    <t>mtdna_modifications</t>
  </si>
  <si>
    <t>mtDNA modifications</t>
  </si>
  <si>
    <t>Mitochondrial central dogma &gt; mtDNA maintenance &gt; mtDNA modifications</t>
  </si>
  <si>
    <t>mtdna_nucleoid</t>
  </si>
  <si>
    <t>mtDNA nucleoid</t>
  </si>
  <si>
    <t>Mitochondrial central dogma &gt; mtDNA maintenance &gt; mtDNA nucleoid</t>
  </si>
  <si>
    <t>mtdna_repair</t>
  </si>
  <si>
    <t>mtDNA repair</t>
  </si>
  <si>
    <t>Mitochondrial central dogma &gt; mtDNA maintenance &gt; mtDNA repair</t>
  </si>
  <si>
    <t>mtdna_replication</t>
  </si>
  <si>
    <t>mtDNA replication</t>
  </si>
  <si>
    <t>Mitochondrial central dogma &gt; mtDNA maintenance &gt; mtDNA replication</t>
  </si>
  <si>
    <t>mtdna_stability_and_decay</t>
  </si>
  <si>
    <t>mtDNA stability and decay</t>
  </si>
  <si>
    <t>Mitochondrial central dogma &gt; mtDNA maintenance &gt; mtDNA stability and decay</t>
  </si>
  <si>
    <t>mtrna_granules</t>
  </si>
  <si>
    <t>mtRNA granules</t>
  </si>
  <si>
    <t>Mitochondrial central dogma &gt; mtRNA metabolism &gt; mtRNA granules</t>
  </si>
  <si>
    <t>mtrna_metabolism</t>
  </si>
  <si>
    <t>mtRNA metabolism</t>
  </si>
  <si>
    <t>Mitochondrial central dogma &gt; mtRNA metabolism</t>
  </si>
  <si>
    <t>mtrna_stability_and_decay</t>
  </si>
  <si>
    <t>mtRNA stability and decay</t>
  </si>
  <si>
    <t>Mitochondrial central dogma &gt; mtRNA metabolism &gt; mtRNA stability and decay</t>
  </si>
  <si>
    <t>nad_biosynthesis_and_metabolism</t>
  </si>
  <si>
    <t>NAD biosynthesis and metabolism</t>
  </si>
  <si>
    <t>Metabolism &gt; Metals and cofactors &gt; NAD biosynthesis and metabolism</t>
  </si>
  <si>
    <t>nucleotide_import</t>
  </si>
  <si>
    <t>Nucleotide import</t>
  </si>
  <si>
    <t>Metabolism &gt; Nucleotide metabolism &gt; Nucleotide import</t>
  </si>
  <si>
    <t>nucleotide_metabolism</t>
  </si>
  <si>
    <t>Nucleotide metabolism</t>
  </si>
  <si>
    <t>Metabolism &gt; Nucleotide metabolism</t>
  </si>
  <si>
    <t>nucleotide_synthesis_and_processing</t>
  </si>
  <si>
    <t>Nucleotide synthesis and processing</t>
  </si>
  <si>
    <t>Metabolism &gt; Nucleotide metabolism &gt; Nucleotide synthesis and processing</t>
  </si>
  <si>
    <t>organelle_contact_sites</t>
  </si>
  <si>
    <t>Organelle contact sites</t>
  </si>
  <si>
    <t>Mitochondrial dynamics and surveillance &gt; Organelle contact sites</t>
  </si>
  <si>
    <t>oxa</t>
  </si>
  <si>
    <t>OXA</t>
  </si>
  <si>
    <t>Protein import, sorting and homeostasis &gt; Protein import and sorting &gt; OXA</t>
  </si>
  <si>
    <t>oxphos</t>
  </si>
  <si>
    <t>OXPHOS</t>
  </si>
  <si>
    <t>oxphos_assembly_factors</t>
  </si>
  <si>
    <t>OXPHOS assembly factors</t>
  </si>
  <si>
    <t>OXPHOS &gt; OXPHOS assembly factors</t>
  </si>
  <si>
    <t>oxphos_subunits</t>
  </si>
  <si>
    <t>OXPHOS subunits</t>
  </si>
  <si>
    <t>OXPHOS &gt; OXPHOS subunits</t>
  </si>
  <si>
    <t>phospholipid_metabolism</t>
  </si>
  <si>
    <t>Phospholipid metabolism</t>
  </si>
  <si>
    <t>Metabolism &gt; Lipid metabolism &gt; Phospholipid metabolism</t>
  </si>
  <si>
    <t>polycistronic_mtrna_processing</t>
  </si>
  <si>
    <t>Polycistronic mtRNA processing</t>
  </si>
  <si>
    <t>Mitochondrial central dogma &gt; mtRNA metabolism &gt; Polycistronic mtRNA processing</t>
  </si>
  <si>
    <t>preprotein_cleavage</t>
  </si>
  <si>
    <t>Preprotein cleavage</t>
  </si>
  <si>
    <t>Protein import, sorting and homeostasis &gt; Protein import and sorting &gt; Preprotein cleavage</t>
  </si>
  <si>
    <t>proline_metabolism</t>
  </si>
  <si>
    <t>Proline metabolism</t>
  </si>
  <si>
    <t>Metabolism &gt; Amino acid metabolism &gt; Proline metabolism</t>
  </si>
  <si>
    <t>propanoate_metabolism</t>
  </si>
  <si>
    <t>Propanoate metabolism</t>
  </si>
  <si>
    <t>Metabolism &gt; Carbohydrate metabolism &gt; Propanoate metabolism</t>
  </si>
  <si>
    <t>proteases</t>
  </si>
  <si>
    <t>Proteases</t>
  </si>
  <si>
    <t>Protein import, sorting and homeostasis &gt; Protein homeostasis &gt; Proteases</t>
  </si>
  <si>
    <t>protein_homeostasis</t>
  </si>
  <si>
    <t>Protein homeostasis</t>
  </si>
  <si>
    <t>Protein import, sorting and homeostasis &gt; Protein homeostasis</t>
  </si>
  <si>
    <t>protein_import_and_sorting</t>
  </si>
  <si>
    <t>Protein import and sorting</t>
  </si>
  <si>
    <t>Protein import, sorting and homeostasis &gt; Protein import and sorting</t>
  </si>
  <si>
    <t>pyruvate_metabolism</t>
  </si>
  <si>
    <t>Pyruvate metabolism</t>
  </si>
  <si>
    <t>Metabolism &gt; Carbohydrate metabolism &gt; Pyruvate metabolism</t>
  </si>
  <si>
    <t>respirasome_assembly</t>
  </si>
  <si>
    <t>Respirasome assembly</t>
  </si>
  <si>
    <t>OXPHOS &gt; Respirasome assembly</t>
  </si>
  <si>
    <t>ros_and_glutathione_metabolism</t>
  </si>
  <si>
    <t>ROS and glutathione metabolism</t>
  </si>
  <si>
    <t>Metabolism &gt; Detoxification &gt; ROS and glutathione metabolism</t>
  </si>
  <si>
    <t>sam</t>
  </si>
  <si>
    <t>SAM</t>
  </si>
  <si>
    <t>Protein import, sorting and homeostasis &gt; Protein import and sorting &gt; SAM</t>
  </si>
  <si>
    <t>selenoproteins</t>
  </si>
  <si>
    <t>Selenoproteins</t>
  </si>
  <si>
    <t>Metabolism &gt; Detoxification &gt; Selenoproteins</t>
  </si>
  <si>
    <t>serine_metabolism</t>
  </si>
  <si>
    <t>Serine metabolism</t>
  </si>
  <si>
    <t>Metabolism &gt; Amino acid metabolism &gt; Serine metabolism</t>
  </si>
  <si>
    <t>sideroflexins</t>
  </si>
  <si>
    <t>Sideroflexins</t>
  </si>
  <si>
    <t>Small molecule transport &gt; Sideroflexins</t>
  </si>
  <si>
    <t>signaling</t>
  </si>
  <si>
    <t>Signaling</t>
  </si>
  <si>
    <t>slc25a_family</t>
  </si>
  <si>
    <t>SLC25A family</t>
  </si>
  <si>
    <t>Small molecule transport &gt; SLC25A family</t>
  </si>
  <si>
    <t>small_molecule_transport</t>
  </si>
  <si>
    <t>Small molecule transport</t>
  </si>
  <si>
    <t>sulfur_metabolism</t>
  </si>
  <si>
    <t>Sulfur metabolism</t>
  </si>
  <si>
    <t>Metabolism &gt; Sulfur metabolism</t>
  </si>
  <si>
    <t>tca_associated</t>
  </si>
  <si>
    <t>TCA-associated</t>
  </si>
  <si>
    <t>Metabolism &gt; Carbohydrate metabolism &gt; TCA-associated</t>
  </si>
  <si>
    <t>tca_cycle</t>
  </si>
  <si>
    <t>TCA cycle</t>
  </si>
  <si>
    <t>Metabolism &gt; Carbohydrate metabolism &gt; TCA cycle</t>
  </si>
  <si>
    <t>tetrahydrobiopterin_synthesis</t>
  </si>
  <si>
    <t>Tetrahydrobiopterin synthesis</t>
  </si>
  <si>
    <t>Metabolism &gt; Metals and cofactors &gt; Tetrahydrobiopterin synthesis</t>
  </si>
  <si>
    <t>tim22_carrier_pathway</t>
  </si>
  <si>
    <t>TIM22 carrier pathway</t>
  </si>
  <si>
    <t>Protein import, sorting and homeostasis &gt; Protein import and sorting &gt; TIM22 carrier pathway</t>
  </si>
  <si>
    <t>tim23_presequence_pathway</t>
  </si>
  <si>
    <t>TIM23 presequence pathway</t>
  </si>
  <si>
    <t>Protein import, sorting and homeostasis &gt; Protein import and sorting &gt; TIM23 presequence pathway</t>
  </si>
  <si>
    <t>tom</t>
  </si>
  <si>
    <t>TOM</t>
  </si>
  <si>
    <t>Protein import, sorting and homeostasis &gt; Protein import and sorting &gt; TOM</t>
  </si>
  <si>
    <t>trafficking</t>
  </si>
  <si>
    <t>Trafficking</t>
  </si>
  <si>
    <t>Mitochondrial dynamics and surveillance &gt; Trafficking</t>
  </si>
  <si>
    <t>transcription</t>
  </si>
  <si>
    <t>Transcription</t>
  </si>
  <si>
    <t>Mitochondrial central dogma &gt; mtRNA metabolism &gt; Transcription</t>
  </si>
  <si>
    <t>translation</t>
  </si>
  <si>
    <t>Translation</t>
  </si>
  <si>
    <t>Mitochondrial central dogma &gt; Translation</t>
  </si>
  <si>
    <t>translation_factors</t>
  </si>
  <si>
    <t>Translation factors</t>
  </si>
  <si>
    <t>Mitochondrial central dogma &gt; Translation &gt; Translation factors</t>
  </si>
  <si>
    <t>type_ii_fatty_acid_synthesis</t>
  </si>
  <si>
    <t>Type II fatty acid synthesis</t>
  </si>
  <si>
    <t>Metabolism &gt; Lipid metabolism &gt; Type II fatty acid synthesis</t>
  </si>
  <si>
    <t>urea_cycle</t>
  </si>
  <si>
    <t>Urea cycle</t>
  </si>
  <si>
    <t>Metabolism &gt; Amino acid metabolism &gt; Urea cycle</t>
  </si>
  <si>
    <t>vitamin_a_metabolism</t>
  </si>
  <si>
    <t>Vitamin A metabolism</t>
  </si>
  <si>
    <t>Metabolism &gt; Vitamin metabolism &gt; Vitamin A metabolism</t>
  </si>
  <si>
    <t>vitamin_b1_metabolism</t>
  </si>
  <si>
    <t>Vitamin B1 metabolism</t>
  </si>
  <si>
    <t>Metabolism &gt; Vitamin metabolism &gt; Vitamin B1 metabolism</t>
  </si>
  <si>
    <t>vitamin_b12_metabolism</t>
  </si>
  <si>
    <t>Vitamin B12 metabolism</t>
  </si>
  <si>
    <t>Metabolism &gt; Vitamin metabolism &gt; Vitamin B12 metabolism</t>
  </si>
  <si>
    <t>vitamin_b2_metabolism</t>
  </si>
  <si>
    <t>Vitamin B2 metabolism</t>
  </si>
  <si>
    <t>Metabolism &gt; Vitamin metabolism &gt; Vitamin B2 metabolism</t>
  </si>
  <si>
    <t>vitamin_b6_metabolism</t>
  </si>
  <si>
    <t>Vitamin B6 metabolism</t>
  </si>
  <si>
    <t>Metabolism &gt; Vitamin metabolism &gt; Vitamin B6 metabolism</t>
  </si>
  <si>
    <t>vitamin_c_metabolism</t>
  </si>
  <si>
    <t>Vitamin C metabolism</t>
  </si>
  <si>
    <t>Metabolism &gt; Vitamin metabolism &gt; Vitamin C metabolism</t>
  </si>
  <si>
    <t>vitamin_d_metabolism</t>
  </si>
  <si>
    <t>Vitamin D metabolism</t>
  </si>
  <si>
    <t>Metabolism &gt; Vitamin metabolism &gt; Vitamin D metabolism</t>
  </si>
  <si>
    <t>vitamin_metabolism</t>
  </si>
  <si>
    <t>Vitamin metabolism</t>
  </si>
  <si>
    <t>Metabolism &gt; Vitamin metabolism</t>
  </si>
  <si>
    <t>xenobiotic_metabolism</t>
  </si>
  <si>
    <t>Xenobiotic metabolism</t>
  </si>
  <si>
    <t>Metabolism &gt; Detoxification &gt; Xenobiotic metabolism</t>
  </si>
  <si>
    <t>arbitrary</t>
  </si>
  <si>
    <t>att_mockup</t>
  </si>
  <si>
    <t>Arbitrary</t>
  </si>
  <si>
    <t>Mock categorie that can be used</t>
  </si>
  <si>
    <t>random</t>
  </si>
  <si>
    <t>Random</t>
  </si>
  <si>
    <t>in_vitro</t>
  </si>
  <si>
    <t>In vitro</t>
  </si>
  <si>
    <t>in the glass</t>
  </si>
  <si>
    <t>in_vivo</t>
  </si>
  <si>
    <t>In vivo</t>
  </si>
  <si>
    <t>within the living</t>
  </si>
  <si>
    <t>xenografts</t>
  </si>
  <si>
    <t>Tissue or cells implanted into a model animal</t>
  </si>
  <si>
    <t>eclips</t>
  </si>
  <si>
    <t>Eclips</t>
  </si>
  <si>
    <t>exploris240</t>
  </si>
  <si>
    <t>Exploris 240</t>
  </si>
  <si>
    <t>Exploris 240 Thermo Fisher</t>
  </si>
  <si>
    <t>exploris480</t>
  </si>
  <si>
    <t xml:space="preserve">Exploris 480 </t>
  </si>
  <si>
    <t>Exploris 480 Thermo Fisher</t>
  </si>
  <si>
    <t>qex</t>
  </si>
  <si>
    <t>QExactive</t>
  </si>
  <si>
    <t>Qexactive Thermo Fisher</t>
  </si>
  <si>
    <t>qexplus</t>
  </si>
  <si>
    <t>QExactive Plus</t>
  </si>
  <si>
    <t>QEXcative Plus Thermo Fisher</t>
  </si>
  <si>
    <t>ttofhct</t>
  </si>
  <si>
    <t>timsTOF HCT</t>
  </si>
  <si>
    <t>ttofscp</t>
  </si>
  <si>
    <t>timsTOF SCP</t>
  </si>
  <si>
    <t>faims</t>
  </si>
  <si>
    <t>Faims</t>
  </si>
  <si>
    <t>FAIMS module attached to the mass spectrometer. Please specify the CV value</t>
  </si>
  <si>
    <t>None</t>
  </si>
  <si>
    <t>No special interface in front of the mass spectrometer.</t>
  </si>
  <si>
    <t>easy_spray</t>
  </si>
  <si>
    <t>EASY-Spray™ Source</t>
  </si>
  <si>
    <t>Easy Spray Source from Thermo Fisher</t>
  </si>
  <si>
    <t>flex</t>
  </si>
  <si>
    <t>Nanospray Flex™ Ion Source</t>
  </si>
  <si>
    <t>Thermo Scientific™ Nanospray Flex™ ion source. </t>
  </si>
  <si>
    <t>ion_max</t>
  </si>
  <si>
    <t>Ion Max Source</t>
  </si>
  <si>
    <t>Ion Max Source from Thermo Fisher</t>
  </si>
  <si>
    <t>e1</t>
  </si>
  <si>
    <t>Doris (E1)</t>
  </si>
  <si>
    <t>Doris</t>
  </si>
  <si>
    <t>e2</t>
  </si>
  <si>
    <t>Boris (E2)</t>
  </si>
  <si>
    <t>Boris</t>
  </si>
  <si>
    <t>expl480</t>
  </si>
  <si>
    <t>Exploris (MPI AGE)</t>
  </si>
  <si>
    <t>ignarius</t>
  </si>
  <si>
    <t>not known (yet)</t>
  </si>
  <si>
    <t>unkown instrument / not known yet</t>
  </si>
  <si>
    <t>timstof</t>
  </si>
  <si>
    <t>TimsTOF (KrisTof)</t>
  </si>
  <si>
    <t>TimsTOF</t>
  </si>
  <si>
    <t>120000res</t>
  </si>
  <si>
    <t>at 200 m/z</t>
  </si>
  <si>
    <t>15000res</t>
  </si>
  <si>
    <t>17500res</t>
  </si>
  <si>
    <t>at 400 m/z</t>
  </si>
  <si>
    <t>30000res</t>
  </si>
  <si>
    <t>35000res</t>
  </si>
  <si>
    <t>45000res</t>
  </si>
  <si>
    <t>60000res</t>
  </si>
  <si>
    <t>7500res</t>
  </si>
  <si>
    <t>ab</t>
  </si>
  <si>
    <t>AB</t>
  </si>
  <si>
    <t>Adductor brevis</t>
  </si>
  <si>
    <t>al</t>
  </si>
  <si>
    <t>AL</t>
  </si>
  <si>
    <t>Adductor longus</t>
  </si>
  <si>
    <t>am</t>
  </si>
  <si>
    <t>AM</t>
  </si>
  <si>
    <t>Adductor magnus</t>
  </si>
  <si>
    <t>an</t>
  </si>
  <si>
    <t>AN</t>
  </si>
  <si>
    <t>Anconeus</t>
  </si>
  <si>
    <t>bbl</t>
  </si>
  <si>
    <t>BBL</t>
  </si>
  <si>
    <t>Biceps brachii long head</t>
  </si>
  <si>
    <t>bbs</t>
  </si>
  <si>
    <t>BBS</t>
  </si>
  <si>
    <t>Biceps brachii short head</t>
  </si>
  <si>
    <t>bfa</t>
  </si>
  <si>
    <t>BFA</t>
  </si>
  <si>
    <t>Biceps femoris anterior</t>
  </si>
  <si>
    <t>bfp_ca</t>
  </si>
  <si>
    <t>BFP(ca)</t>
  </si>
  <si>
    <t>Biceps femoris posterior(caudal)</t>
  </si>
  <si>
    <t>bfp_cr</t>
  </si>
  <si>
    <t>BFP(cr)</t>
  </si>
  <si>
    <t>Biceps femoris posterior(cranial)</t>
  </si>
  <si>
    <t>bfp_mi</t>
  </si>
  <si>
    <t>BFP(mi)</t>
  </si>
  <si>
    <t>Biceps femoris posterior(mid)</t>
  </si>
  <si>
    <t>bra</t>
  </si>
  <si>
    <t>BRA</t>
  </si>
  <si>
    <t>Brachialis</t>
  </si>
  <si>
    <t>cf</t>
  </si>
  <si>
    <t>CF</t>
  </si>
  <si>
    <t>Caudofemoralis</t>
  </si>
  <si>
    <t>cor</t>
  </si>
  <si>
    <t>COR</t>
  </si>
  <si>
    <t>Coracobrachialis</t>
  </si>
  <si>
    <t>ecrb</t>
  </si>
  <si>
    <t>ECRB</t>
  </si>
  <si>
    <t>Extensor carpi radialis brevis</t>
  </si>
  <si>
    <t>ecrl</t>
  </si>
  <si>
    <t>ECRL</t>
  </si>
  <si>
    <t>Extensor carpi radialis longus</t>
  </si>
  <si>
    <t>ecu</t>
  </si>
  <si>
    <t>ECU</t>
  </si>
  <si>
    <t>Extensor carpi ulnaris</t>
  </si>
  <si>
    <t>edl</t>
  </si>
  <si>
    <t>EDL</t>
  </si>
  <si>
    <t>Extensor digitorum longus</t>
  </si>
  <si>
    <t>ehl</t>
  </si>
  <si>
    <t>EHL</t>
  </si>
  <si>
    <t>Extensor hallucis longus</t>
  </si>
  <si>
    <t>eip1</t>
  </si>
  <si>
    <t>EIP1</t>
  </si>
  <si>
    <t>Extensor indicis proprius 1</t>
  </si>
  <si>
    <t>eip2</t>
  </si>
  <si>
    <t>EIP2</t>
  </si>
  <si>
    <t>Extensor indicis proprius 2</t>
  </si>
  <si>
    <t>fcr</t>
  </si>
  <si>
    <t>FCR</t>
  </si>
  <si>
    <t>Flexor carpi radialis</t>
  </si>
  <si>
    <t>fcu</t>
  </si>
  <si>
    <t>FCU</t>
  </si>
  <si>
    <t>Flexor carpi ulnaris</t>
  </si>
  <si>
    <t>fdl</t>
  </si>
  <si>
    <t>FDL</t>
  </si>
  <si>
    <t>Flexor digitorum longus</t>
  </si>
  <si>
    <t>ga</t>
  </si>
  <si>
    <t>GA</t>
  </si>
  <si>
    <t>Gracilis anterior</t>
  </si>
  <si>
    <t>gem</t>
  </si>
  <si>
    <t>GEM</t>
  </si>
  <si>
    <t>Gemellus</t>
  </si>
  <si>
    <t>gm</t>
  </si>
  <si>
    <t>GM</t>
  </si>
  <si>
    <t>Gluteus maximus</t>
  </si>
  <si>
    <t>gm_dr</t>
  </si>
  <si>
    <t>GM(dr)</t>
  </si>
  <si>
    <t>Gluteus maximus(dorsal)</t>
  </si>
  <si>
    <t>gm_mi</t>
  </si>
  <si>
    <t>GM(mi)</t>
  </si>
  <si>
    <t>Gluteus maximus(mid)</t>
  </si>
  <si>
    <t>gm_ve</t>
  </si>
  <si>
    <t>GM(ve)</t>
  </si>
  <si>
    <t>Gluteus maximus(ventral)</t>
  </si>
  <si>
    <t>gp</t>
  </si>
  <si>
    <t>GP</t>
  </si>
  <si>
    <t>Gracilis posterior</t>
  </si>
  <si>
    <t>ili</t>
  </si>
  <si>
    <t>ILI</t>
  </si>
  <si>
    <t>Iliacus</t>
  </si>
  <si>
    <t>lg</t>
  </si>
  <si>
    <t>LG</t>
  </si>
  <si>
    <t>Lateral gastrocnemius</t>
  </si>
  <si>
    <t>mg</t>
  </si>
  <si>
    <t>MG</t>
  </si>
  <si>
    <t>Medial gastrocnemius</t>
  </si>
  <si>
    <t>oe</t>
  </si>
  <si>
    <t>OE</t>
  </si>
  <si>
    <t>Obturator extemus</t>
  </si>
  <si>
    <t>oi</t>
  </si>
  <si>
    <t>OI</t>
  </si>
  <si>
    <t>Obturator internus</t>
  </si>
  <si>
    <t>pb</t>
  </si>
  <si>
    <t>PB</t>
  </si>
  <si>
    <t>Peroneus brevis</t>
  </si>
  <si>
    <t>pdqa</t>
  </si>
  <si>
    <t>PDQA</t>
  </si>
  <si>
    <t>Peroneus digit! quarti</t>
  </si>
  <si>
    <t>pdqi</t>
  </si>
  <si>
    <t>PDQI</t>
  </si>
  <si>
    <t>Peroneus digiti quinti</t>
  </si>
  <si>
    <t>pect</t>
  </si>
  <si>
    <t>PECT</t>
  </si>
  <si>
    <t>Pectineus</t>
  </si>
  <si>
    <t>pl</t>
  </si>
  <si>
    <t>PL</t>
  </si>
  <si>
    <t>Peroneus longus</t>
  </si>
  <si>
    <t>plant</t>
  </si>
  <si>
    <t>PLANT</t>
  </si>
  <si>
    <t>Plantaris</t>
  </si>
  <si>
    <t>plo</t>
  </si>
  <si>
    <t>PLO</t>
  </si>
  <si>
    <t>Palmaris longus</t>
  </si>
  <si>
    <t>pma</t>
  </si>
  <si>
    <t>PMA</t>
  </si>
  <si>
    <t>Psoas major</t>
  </si>
  <si>
    <t>pmi</t>
  </si>
  <si>
    <t>PMI</t>
  </si>
  <si>
    <t>Psoas minor</t>
  </si>
  <si>
    <t>pop</t>
  </si>
  <si>
    <t>POP</t>
  </si>
  <si>
    <t>Popliteus</t>
  </si>
  <si>
    <t>pt</t>
  </si>
  <si>
    <t>PT</t>
  </si>
  <si>
    <t>Peroneus tertius</t>
  </si>
  <si>
    <t>pte</t>
  </si>
  <si>
    <t>PTE</t>
  </si>
  <si>
    <t>Pronator teres</t>
  </si>
  <si>
    <t>qf</t>
  </si>
  <si>
    <t>QF</t>
  </si>
  <si>
    <t>Quadratus femoris</t>
  </si>
  <si>
    <t>rf</t>
  </si>
  <si>
    <t>RF</t>
  </si>
  <si>
    <t>Rectus femoris</t>
  </si>
  <si>
    <t>sm</t>
  </si>
  <si>
    <t>SM</t>
  </si>
  <si>
    <t>Semimembranosus</t>
  </si>
  <si>
    <t>sol</t>
  </si>
  <si>
    <t>SOL</t>
  </si>
  <si>
    <t>Soleus</t>
  </si>
  <si>
    <t>st</t>
  </si>
  <si>
    <t>ST</t>
  </si>
  <si>
    <t>Semitendinosus</t>
  </si>
  <si>
    <t>ta</t>
  </si>
  <si>
    <t>TA</t>
  </si>
  <si>
    <t>Tibialis anterior</t>
  </si>
  <si>
    <t>tbl</t>
  </si>
  <si>
    <t>TBL</t>
  </si>
  <si>
    <t>Triceps brachii lateral head</t>
  </si>
  <si>
    <t>tbm</t>
  </si>
  <si>
    <t>TBM</t>
  </si>
  <si>
    <t>Triceps brachii medial head</t>
  </si>
  <si>
    <t>tbo</t>
  </si>
  <si>
    <t>TBO</t>
  </si>
  <si>
    <t>Triceps brachii long head*</t>
  </si>
  <si>
    <t>tp</t>
  </si>
  <si>
    <t>TP</t>
  </si>
  <si>
    <t>Tibialis posterior</t>
  </si>
  <si>
    <t>vi</t>
  </si>
  <si>
    <t>VI</t>
  </si>
  <si>
    <t>Vastus intermedius</t>
  </si>
  <si>
    <t>vl</t>
  </si>
  <si>
    <t>VL</t>
  </si>
  <si>
    <t>Vastus lateralis</t>
  </si>
  <si>
    <t>vm</t>
  </si>
  <si>
    <t>VM</t>
  </si>
  <si>
    <t>Vastus medialis</t>
  </si>
  <si>
    <t>zirconium</t>
  </si>
  <si>
    <t>Zirconium - PAL</t>
  </si>
  <si>
    <t>Zirconium HPLC Pumps coupled to a PAL autosampler for offline high-pH fractionation.</t>
  </si>
  <si>
    <t>bgpage</t>
  </si>
  <si>
    <t>BN-PAGE</t>
  </si>
  <si>
    <t xml:space="preserve">Blue Native PAGE </t>
  </si>
  <si>
    <t>highph_hplc</t>
  </si>
  <si>
    <t>High-pH HPLC</t>
  </si>
  <si>
    <t>High-pH HPLC peptide based fractionation</t>
  </si>
  <si>
    <t>highph_tip</t>
  </si>
  <si>
    <t>High-pH Tips</t>
  </si>
  <si>
    <t>High-pH StageTip peptide based fractionation</t>
  </si>
  <si>
    <t>sax</t>
  </si>
  <si>
    <t>Strong Anion Exchange</t>
  </si>
  <si>
    <t>SAX peptide based fractionation</t>
  </si>
  <si>
    <t>scx</t>
  </si>
  <si>
    <t>Strong Cation Exchange</t>
  </si>
  <si>
    <t>SCX peptide based fractionation</t>
  </si>
  <si>
    <t>sdspage</t>
  </si>
  <si>
    <t>SDS-PAGE</t>
  </si>
  <si>
    <t>SDS Page Acrylamide Gel</t>
  </si>
  <si>
    <t>proteomics</t>
  </si>
  <si>
    <t>Proteomics</t>
  </si>
  <si>
    <t>Proteomics experiment.</t>
  </si>
  <si>
    <t>appendix</t>
  </si>
  <si>
    <t>Appendix</t>
  </si>
  <si>
    <t>arteries</t>
  </si>
  <si>
    <t>Arteries</t>
  </si>
  <si>
    <t>bladder</t>
  </si>
  <si>
    <t>Bladder</t>
  </si>
  <si>
    <t>bone_marrow</t>
  </si>
  <si>
    <t>Bone_Marrow</t>
  </si>
  <si>
    <t>brain</t>
  </si>
  <si>
    <t>Brain</t>
  </si>
  <si>
    <t>bronchi</t>
  </si>
  <si>
    <t>Bronchi</t>
  </si>
  <si>
    <t>cecum</t>
  </si>
  <si>
    <t>Cecum</t>
  </si>
  <si>
    <t>cerebellum</t>
  </si>
  <si>
    <t>Cerebellum</t>
  </si>
  <si>
    <t>cerebrum</t>
  </si>
  <si>
    <t>Cerebrum</t>
  </si>
  <si>
    <t>ear</t>
  </si>
  <si>
    <t>Ear</t>
  </si>
  <si>
    <t>esophagus</t>
  </si>
  <si>
    <t>Esophagus</t>
  </si>
  <si>
    <t>eye</t>
  </si>
  <si>
    <t>Eye</t>
  </si>
  <si>
    <t>gallbladder</t>
  </si>
  <si>
    <t>Gallbladder</t>
  </si>
  <si>
    <t>ganglia</t>
  </si>
  <si>
    <t>Ganglia</t>
  </si>
  <si>
    <t>heart</t>
  </si>
  <si>
    <t>Heart</t>
  </si>
  <si>
    <t>hypothalamus</t>
  </si>
  <si>
    <t>Hypothalamus</t>
  </si>
  <si>
    <t>kidney</t>
  </si>
  <si>
    <t>Kidney</t>
  </si>
  <si>
    <t>large_intestine</t>
  </si>
  <si>
    <t>largeintestine</t>
  </si>
  <si>
    <t>Large Intestine</t>
  </si>
  <si>
    <t>Large Intestine / Colon; between the Anus and small Intestine</t>
  </si>
  <si>
    <t>liver</t>
  </si>
  <si>
    <t>Liver</t>
  </si>
  <si>
    <t>lung</t>
  </si>
  <si>
    <t>Lung</t>
  </si>
  <si>
    <t>lymph_node</t>
  </si>
  <si>
    <t>Lymph Node</t>
  </si>
  <si>
    <t>medulla</t>
  </si>
  <si>
    <t>Medulla</t>
  </si>
  <si>
    <t>mesentery</t>
  </si>
  <si>
    <t>Mesentery</t>
  </si>
  <si>
    <t>midbrain</t>
  </si>
  <si>
    <t>Midbrain</t>
  </si>
  <si>
    <t>ovaries</t>
  </si>
  <si>
    <t>Ovaries</t>
  </si>
  <si>
    <t>pancreas</t>
  </si>
  <si>
    <t>Pancreas</t>
  </si>
  <si>
    <t>pons</t>
  </si>
  <si>
    <t>Pons</t>
  </si>
  <si>
    <t>prostate</t>
  </si>
  <si>
    <t>Prostate</t>
  </si>
  <si>
    <t>rectum</t>
  </si>
  <si>
    <t>Rectum</t>
  </si>
  <si>
    <t>small_intestine</t>
  </si>
  <si>
    <t>smallintestine</t>
  </si>
  <si>
    <t>Small Intestine</t>
  </si>
  <si>
    <t>Small Intestine; Between the Stomach and the Colon</t>
  </si>
  <si>
    <t>spinal_cord</t>
  </si>
  <si>
    <t>Spinal Cord</t>
  </si>
  <si>
    <t>Spinal_Cord</t>
  </si>
  <si>
    <t>spleen</t>
  </si>
  <si>
    <t>Spleen</t>
  </si>
  <si>
    <t>stomach</t>
  </si>
  <si>
    <t>Stomach</t>
  </si>
  <si>
    <t>testicles</t>
  </si>
  <si>
    <t>Testicles</t>
  </si>
  <si>
    <t>thalamus</t>
  </si>
  <si>
    <t>Thalamus</t>
  </si>
  <si>
    <t>thymus</t>
  </si>
  <si>
    <t>Thymus</t>
  </si>
  <si>
    <t>tongue</t>
  </si>
  <si>
    <t>Tongue</t>
  </si>
  <si>
    <t>tonsils</t>
  </si>
  <si>
    <t>Tonsils</t>
  </si>
  <si>
    <t>uterus</t>
  </si>
  <si>
    <t>Uterus</t>
  </si>
  <si>
    <t>veins</t>
  </si>
  <si>
    <t>Veins</t>
  </si>
  <si>
    <t>UP000000589</t>
  </si>
  <si>
    <t>mouse</t>
  </si>
  <si>
    <t>Mus musculus</t>
  </si>
  <si>
    <t>Mouse (Mus Musculus) reference proteome (UP000000589)</t>
  </si>
  <si>
    <t>UP000001940</t>
  </si>
  <si>
    <t>elegeans</t>
  </si>
  <si>
    <t>Caenorhabditis elegans</t>
  </si>
  <si>
    <t>C. Elegans reference proteome (UP000001940)</t>
  </si>
  <si>
    <t>UP000002311</t>
  </si>
  <si>
    <t>yeast</t>
  </si>
  <si>
    <t>Saccharomyces cerevisiae</t>
  </si>
  <si>
    <t>Baker's yeast (Saccharomyces cerevisiae) reference proteome (UP000002311)</t>
  </si>
  <si>
    <t>UP000002494</t>
  </si>
  <si>
    <t>rat</t>
  </si>
  <si>
    <t>Rattus norvegicus</t>
  </si>
  <si>
    <t>Rat (Rattus norvegus) reference proteome (UP000002494)</t>
  </si>
  <si>
    <t>UP000005640</t>
  </si>
  <si>
    <t>human</t>
  </si>
  <si>
    <t>Homo sapiens</t>
  </si>
  <si>
    <t>Human (Homo sapiens) reference proteome (UP000005640)</t>
  </si>
  <si>
    <t>cardiovascular</t>
  </si>
  <si>
    <t>att_organsystem</t>
  </si>
  <si>
    <t>Cardiovascular</t>
  </si>
  <si>
    <t>Cardiovascular System</t>
  </si>
  <si>
    <t>digestive</t>
  </si>
  <si>
    <t>Digestive</t>
  </si>
  <si>
    <t>Digestive System</t>
  </si>
  <si>
    <t>endocrine</t>
  </si>
  <si>
    <t>Endocrine</t>
  </si>
  <si>
    <t>Endocrine System</t>
  </si>
  <si>
    <t>excretory</t>
  </si>
  <si>
    <t>Excretory</t>
  </si>
  <si>
    <t>Excretory System</t>
  </si>
  <si>
    <t>integumentary</t>
  </si>
  <si>
    <t>Integumentary</t>
  </si>
  <si>
    <t>Integumentary System</t>
  </si>
  <si>
    <t>lymphatic</t>
  </si>
  <si>
    <t>Lymphatic</t>
  </si>
  <si>
    <t>Lymphatic System</t>
  </si>
  <si>
    <t>muscular</t>
  </si>
  <si>
    <t>Muscular</t>
  </si>
  <si>
    <t>Muscular System</t>
  </si>
  <si>
    <t>nervous_system</t>
  </si>
  <si>
    <t>Nervous</t>
  </si>
  <si>
    <t>Nervous System</t>
  </si>
  <si>
    <t>reproductive</t>
  </si>
  <si>
    <t>Reproductive</t>
  </si>
  <si>
    <t>Reproductive System</t>
  </si>
  <si>
    <t>respiratory</t>
  </si>
  <si>
    <t>Respiratory</t>
  </si>
  <si>
    <t>Respiratory System</t>
  </si>
  <si>
    <t>skeletal</t>
  </si>
  <si>
    <t>Skeletal</t>
  </si>
  <si>
    <t>Skeletal System</t>
  </si>
  <si>
    <t>urinary</t>
  </si>
  <si>
    <t>Urinary</t>
  </si>
  <si>
    <t>Urinary system</t>
  </si>
  <si>
    <t>intervalcardio</t>
  </si>
  <si>
    <t>Interval Cardio</t>
  </si>
  <si>
    <t xml:space="preserve">Form of cardiovascular exercise that alternates between short bursts of intense activity and periods of rest or lower-intensity exercise. </t>
  </si>
  <si>
    <t>steadycardio</t>
  </si>
  <si>
    <t>Involves maintaining a constant, moderate intensity for an extended period, such as jogging or cycling at a steady pace.</t>
  </si>
  <si>
    <t>strength</t>
  </si>
  <si>
    <t>Strength Training</t>
  </si>
  <si>
    <t>Strength training using weights.</t>
  </si>
  <si>
    <t>argc</t>
  </si>
  <si>
    <t>ArgC</t>
  </si>
  <si>
    <t>ArgC - Cleaves C-term of arginine (R) residues</t>
  </si>
  <si>
    <t>aspn</t>
  </si>
  <si>
    <t>AspN</t>
  </si>
  <si>
    <t>AspN N-terminal of Asp, optimal pH = 4-9</t>
  </si>
  <si>
    <t>chymotrypsin</t>
  </si>
  <si>
    <t>Chymotrypsin</t>
  </si>
  <si>
    <t>Chymotrypsin, cleaves C-terminal of Tyr, Phe, Trp</t>
  </si>
  <si>
    <t>elastase</t>
  </si>
  <si>
    <t>Elastase</t>
  </si>
  <si>
    <t>Elastase, C-terminal of Ala, Val, Ser, Gly, Leu and ile, optimal pH = 9.0</t>
  </si>
  <si>
    <t>gluc</t>
  </si>
  <si>
    <t>GluC</t>
  </si>
  <si>
    <t>GlucC - Cleaves C-term of glutamine € residues</t>
  </si>
  <si>
    <t>lysc</t>
  </si>
  <si>
    <t>LysC</t>
  </si>
  <si>
    <t>LysC (Wako) - Cleaves C-term of lysine</t>
  </si>
  <si>
    <t>raspn</t>
  </si>
  <si>
    <t>rAsp-N</t>
  </si>
  <si>
    <t>rAsp-N, N-terminal of Asp, optimal pH = 6 - 9</t>
  </si>
  <si>
    <t>trypsin</t>
  </si>
  <si>
    <t>Trypsin</t>
  </si>
  <si>
    <t>Trypsin (Sigma) - Cleave C-term of arginine (R) and lysine (K)</t>
  </si>
  <si>
    <t>Amino acid deletion</t>
  </si>
  <si>
    <t>Deletion of a single amino acid</t>
  </si>
  <si>
    <t>flag</t>
  </si>
  <si>
    <t>Flag tag</t>
  </si>
  <si>
    <t xml:space="preserve">Flag (DYKDDDDK) tagged protein </t>
  </si>
  <si>
    <t>frameshift</t>
  </si>
  <si>
    <t>Frameshift</t>
  </si>
  <si>
    <t>Frameshift mediated by a double strand break</t>
  </si>
  <si>
    <t>gfp</t>
  </si>
  <si>
    <t>GFP tag</t>
  </si>
  <si>
    <t xml:space="preserve">GFP tagged protein </t>
  </si>
  <si>
    <t>ha</t>
  </si>
  <si>
    <t>HA tag</t>
  </si>
  <si>
    <t xml:space="preserve">HA (YPYDVPDYA) tagged protein </t>
  </si>
  <si>
    <t>his</t>
  </si>
  <si>
    <t>HIS tag</t>
  </si>
  <si>
    <t xml:space="preserve">NxHIS tagged protein </t>
  </si>
  <si>
    <t>insertion</t>
  </si>
  <si>
    <t>Amino acid insertion</t>
  </si>
  <si>
    <t>Amino acid insertion.</t>
  </si>
  <si>
    <t>myc</t>
  </si>
  <si>
    <t>Myc tag</t>
  </si>
  <si>
    <t xml:space="preserve">Myc (EQKLISEEDL) tagged protein </t>
  </si>
  <si>
    <t>pep86</t>
  </si>
  <si>
    <t>Pep86 to forms with 11S an active luciferase</t>
  </si>
  <si>
    <t>substitution</t>
  </si>
  <si>
    <t>Amino acid substitution</t>
  </si>
  <si>
    <t>Amino acid exchange on a single amino acid position.</t>
  </si>
  <si>
    <t>truncation</t>
  </si>
  <si>
    <t>Truncation</t>
  </si>
  <si>
    <t>Deletion of a region in the amino acid sequence.</t>
  </si>
  <si>
    <t>aa</t>
  </si>
  <si>
    <t>AA position</t>
  </si>
  <si>
    <t>Specific amino acid position</t>
  </si>
  <si>
    <t>cterm</t>
  </si>
  <si>
    <t>C-term</t>
  </si>
  <si>
    <t>C-terminus of the protein</t>
  </si>
  <si>
    <t>nterm</t>
  </si>
  <si>
    <t>N-term</t>
  </si>
  <si>
    <t>N-terminus of the protein</t>
  </si>
  <si>
    <t>region</t>
  </si>
  <si>
    <t>Region</t>
  </si>
  <si>
    <t>Protein region defined by a start and stop amino acid. Use this for truncation or gRNA target sequences.</t>
  </si>
  <si>
    <t>directlfq</t>
  </si>
  <si>
    <t>direct LFQ</t>
  </si>
  <si>
    <t>maxlfq</t>
  </si>
  <si>
    <t>Max LFQ</t>
  </si>
  <si>
    <t>speccount</t>
  </si>
  <si>
    <t>Spectral Counting</t>
  </si>
  <si>
    <t>isobaric</t>
  </si>
  <si>
    <t>isobaric (TMT)</t>
  </si>
  <si>
    <t>istopic</t>
  </si>
  <si>
    <t>istopic (PlexDIA)</t>
  </si>
  <si>
    <t>label_free</t>
  </si>
  <si>
    <t>Label free</t>
  </si>
  <si>
    <t>Label-free quantification</t>
  </si>
  <si>
    <t>silac</t>
  </si>
  <si>
    <t>Stable isotope labeling by/with amino acids in cell culture (SILAC)</t>
  </si>
  <si>
    <t>dtt</t>
  </si>
  <si>
    <t>DTT</t>
  </si>
  <si>
    <t>Dithiothreitol, at a final above 0.1 M concentration, DTT is also widely used for disruption of protein disulfide bonds prior to protein digestion.</t>
  </si>
  <si>
    <t>Proteins were not reduced - intact S-S bridges</t>
  </si>
  <si>
    <t>tcep</t>
  </si>
  <si>
    <t>TCEP</t>
  </si>
  <si>
    <t>TCEP (tris(2-carboxyethyl)phosphine) is a reducing agent frequently used in biochemistry and molecular biology applications. It is often prepared and used as a hydrochloride salt (TCEP-HCl) with a molecular weight of 286.65 gram/mol.</t>
  </si>
  <si>
    <t>att_signalling</t>
  </si>
  <si>
    <t>Apoptosis or programmed cell death Signallilng</t>
  </si>
  <si>
    <t>autocrine</t>
  </si>
  <si>
    <t>Autocrine</t>
  </si>
  <si>
    <t>Signaling in which a cell secretes a hormone or a chemical substance that binds to the receptors</t>
  </si>
  <si>
    <t>complement</t>
  </si>
  <si>
    <t>Complement</t>
  </si>
  <si>
    <t>Complement system</t>
  </si>
  <si>
    <t>cytokines</t>
  </si>
  <si>
    <t>Cytokines</t>
  </si>
  <si>
    <t>Small proteins that are crucial in controlling the growth and activity of immune system cells</t>
  </si>
  <si>
    <t>inflammation</t>
  </si>
  <si>
    <t>Inflammation</t>
  </si>
  <si>
    <t>Biological response of body tissues to harmful stimuli,</t>
  </si>
  <si>
    <t>insulin</t>
  </si>
  <si>
    <t>Insulin</t>
  </si>
  <si>
    <t>Insulin Signaling</t>
  </si>
  <si>
    <t>juxtacrine</t>
  </si>
  <si>
    <t>Juxtacrine</t>
  </si>
  <si>
    <t>Contact-dependent signalling</t>
  </si>
  <si>
    <t>necrosis</t>
  </si>
  <si>
    <t>Necrosis</t>
  </si>
  <si>
    <t>Uncontrolled cell death.</t>
  </si>
  <si>
    <t>paracrine</t>
  </si>
  <si>
    <t>Paracrine</t>
  </si>
  <si>
    <t>Cell-to-Cell Communication</t>
  </si>
  <si>
    <t>General Protein, Gen or Cell Signaling</t>
  </si>
  <si>
    <t>diann</t>
  </si>
  <si>
    <t>DIA-NN</t>
  </si>
  <si>
    <t>universal automated software suite for DIA proteomics data analysis</t>
  </si>
  <si>
    <t>maxquant</t>
  </si>
  <si>
    <t>MaxQuant</t>
  </si>
  <si>
    <t>MPI’s MaxQuant quantitiative proteomics software package</t>
  </si>
  <si>
    <t>metamorpheus</t>
  </si>
  <si>
    <t>MetaMorpheus</t>
  </si>
  <si>
    <t>Open-Source PTM Disocvery; smith-chem-wisc</t>
  </si>
  <si>
    <t>minora</t>
  </si>
  <si>
    <t>Minora</t>
  </si>
  <si>
    <t>Proteome Discoverer, Minora; Thermo Fisher</t>
  </si>
  <si>
    <t>msfragger</t>
  </si>
  <si>
    <t>MSFragger</t>
  </si>
  <si>
    <t>Nesvilab’s MSFragger</t>
  </si>
  <si>
    <t>msgf</t>
  </si>
  <si>
    <t>MS-GF+</t>
  </si>
  <si>
    <t xml:space="preserve">MS-GF+ (aka MSGF+ or MSGFPlus) </t>
  </si>
  <si>
    <t>spectronaut</t>
  </si>
  <si>
    <t>Spectronaut</t>
  </si>
  <si>
    <t>BioGnoSys’s Spectronaut; DIA proteomics analysis</t>
  </si>
  <si>
    <t>adipose</t>
  </si>
  <si>
    <t>Adipose</t>
  </si>
  <si>
    <t>Adipose connective tissue</t>
  </si>
  <si>
    <t>areolar</t>
  </si>
  <si>
    <t>Areolar</t>
  </si>
  <si>
    <t>Areolar connective tissue</t>
  </si>
  <si>
    <t>blood</t>
  </si>
  <si>
    <t>Blood</t>
  </si>
  <si>
    <t>connective</t>
  </si>
  <si>
    <t>Connective</t>
  </si>
  <si>
    <t>Connective tissue</t>
  </si>
  <si>
    <t>dermis</t>
  </si>
  <si>
    <t>Dermis</t>
  </si>
  <si>
    <t>epidermis</t>
  </si>
  <si>
    <t>Epidermis</t>
  </si>
  <si>
    <t>epithelial</t>
  </si>
  <si>
    <t>Epithelial</t>
  </si>
  <si>
    <t>Epithelial tissue</t>
  </si>
  <si>
    <t>hypodermis</t>
  </si>
  <si>
    <t>Hypodermis</t>
  </si>
  <si>
    <t>muscle</t>
  </si>
  <si>
    <t>Muscle tissue</t>
  </si>
  <si>
    <t>nervous</t>
  </si>
  <si>
    <t>Nervous tissue</t>
  </si>
  <si>
    <t>reticular</t>
  </si>
  <si>
    <t>Reticular</t>
  </si>
  <si>
    <t>Reticular connective tissue</t>
  </si>
  <si>
    <t>stromal</t>
  </si>
  <si>
    <t>Stromal</t>
  </si>
  <si>
    <t>Stroma tissue</t>
  </si>
  <si>
    <t>tmt10_126</t>
  </si>
  <si>
    <t>tmt10_127C</t>
  </si>
  <si>
    <t>127C</t>
  </si>
  <si>
    <t>tmt10_127N</t>
  </si>
  <si>
    <t>127N</t>
  </si>
  <si>
    <t>tmt10_128C</t>
  </si>
  <si>
    <t>128C</t>
  </si>
  <si>
    <t>tmt10_128N</t>
  </si>
  <si>
    <t>128N</t>
  </si>
  <si>
    <t>tmt10_129C</t>
  </si>
  <si>
    <t>129C</t>
  </si>
  <si>
    <t>tmt10_129N</t>
  </si>
  <si>
    <t>129N</t>
  </si>
  <si>
    <t>tmt10_130C</t>
  </si>
  <si>
    <t>130C</t>
  </si>
  <si>
    <t>tmt10_130N</t>
  </si>
  <si>
    <t>130N</t>
  </si>
  <si>
    <t>tmt10_131</t>
  </si>
  <si>
    <t>tmt11_126</t>
  </si>
  <si>
    <t>tmt11_127C</t>
  </si>
  <si>
    <t>tmt11_127N</t>
  </si>
  <si>
    <t>tmt11_128C</t>
  </si>
  <si>
    <t>tmt11_128N</t>
  </si>
  <si>
    <t>tmt11_129C</t>
  </si>
  <si>
    <t>tmt11_129N</t>
  </si>
  <si>
    <t>tmt11_130C</t>
  </si>
  <si>
    <t>tmt11_130N</t>
  </si>
  <si>
    <t>tmt11_131C</t>
  </si>
  <si>
    <t>131C</t>
  </si>
  <si>
    <t>tmt11_131N</t>
  </si>
  <si>
    <t>131N</t>
  </si>
  <si>
    <t>tmt18_126</t>
  </si>
  <si>
    <t>tmt18_127C</t>
  </si>
  <si>
    <t>tmt18_127N</t>
  </si>
  <si>
    <t>tmt18_128C</t>
  </si>
  <si>
    <t>tmt18_128N</t>
  </si>
  <si>
    <t>tmt18_129C</t>
  </si>
  <si>
    <t>tmt18_129N</t>
  </si>
  <si>
    <t>tmt18_130C</t>
  </si>
  <si>
    <t>tmt18_130N</t>
  </si>
  <si>
    <t>tmt18_131C</t>
  </si>
  <si>
    <t>tmt18_131N</t>
  </si>
  <si>
    <t>tmt18_132C</t>
  </si>
  <si>
    <t>132C</t>
  </si>
  <si>
    <t>tmt18_132N</t>
  </si>
  <si>
    <t>132N</t>
  </si>
  <si>
    <t>tmt18_133C</t>
  </si>
  <si>
    <t>133C</t>
  </si>
  <si>
    <t>tmt18_133N</t>
  </si>
  <si>
    <t>133N</t>
  </si>
  <si>
    <t>tmt18_134C</t>
  </si>
  <si>
    <t>134C</t>
  </si>
  <si>
    <t>tmt18_134N</t>
  </si>
  <si>
    <t>134N</t>
  </si>
  <si>
    <t>tmt18_135N</t>
  </si>
  <si>
    <t>135N</t>
  </si>
  <si>
    <t>tmt6_126</t>
  </si>
  <si>
    <t>tmt6_127</t>
  </si>
  <si>
    <t>tmt6_128</t>
  </si>
  <si>
    <t>tmt6_129</t>
  </si>
  <si>
    <t>tmt6_130</t>
  </si>
  <si>
    <t>tmt6_131</t>
  </si>
  <si>
    <t>biochem</t>
  </si>
  <si>
    <t>Institute of Biochemistry</t>
  </si>
  <si>
    <t>University of Cologne, Zülpicher Str. 47, 50931 Cologne</t>
  </si>
  <si>
    <t>cecad</t>
  </si>
  <si>
    <t>CECAD Institute</t>
  </si>
  <si>
    <t>Joseph-Stelzmann-Strasse 26, 50931 Cologne</t>
  </si>
  <si>
    <t>mpiage</t>
  </si>
  <si>
    <t>Max Planck Institute for Biology of Ageing</t>
  </si>
  <si>
    <t>Joseph-Stelzmann-Strasse 9b, 50931 Cologne</t>
  </si>
  <si>
    <t>mpimetab</t>
  </si>
  <si>
    <t>Max Planck Institute for Metabolism</t>
  </si>
  <si>
    <t>Gleueler Str. 50, 50931 Cologne</t>
  </si>
  <si>
    <t>mitoprotea</t>
  </si>
  <si>
    <t>Department of Mitochondrial Proteostasis</t>
  </si>
  <si>
    <t>Department Langer</t>
  </si>
  <si>
    <t>molageing</t>
  </si>
  <si>
    <t>Molecular Genetics of Ageing</t>
  </si>
  <si>
    <t>Department Antebi</t>
  </si>
  <si>
    <t>mandatory</t>
  </si>
  <si>
    <t>comment</t>
  </si>
  <si>
    <t>keywords</t>
  </si>
  <si>
    <t>words</t>
  </si>
  <si>
    <t>Freq</t>
  </si>
  <si>
    <t>group_word</t>
  </si>
  <si>
    <t>group</t>
  </si>
  <si>
    <t>group_full</t>
  </si>
  <si>
    <t>attribute</t>
  </si>
  <si>
    <t>attribute_full</t>
  </si>
  <si>
    <t>include</t>
  </si>
  <si>
    <t>details</t>
  </si>
  <si>
    <t>source_keyword</t>
  </si>
  <si>
    <t>SQL_insert_group</t>
  </si>
  <si>
    <t>sql_insert_attribute</t>
  </si>
  <si>
    <t>acquisition</t>
  </si>
  <si>
    <t>adipoqcre</t>
  </si>
  <si>
    <t>Animal Model</t>
  </si>
  <si>
    <t>animal_model</t>
  </si>
  <si>
    <t>albcre</t>
  </si>
  <si>
    <t>ascko</t>
  </si>
  <si>
    <t>baf53bcre</t>
  </si>
  <si>
    <t>c57bl6j</t>
  </si>
  <si>
    <t>clec4fcre</t>
  </si>
  <si>
    <t>cx3cr1cre</t>
  </si>
  <si>
    <t>glastcre</t>
  </si>
  <si>
    <t>lratcre</t>
  </si>
  <si>
    <t>lysmcre</t>
  </si>
  <si>
    <t>ms4a3cre</t>
  </si>
  <si>
    <t>nlrp3cre</t>
  </si>
  <si>
    <t>nlrp3flox</t>
  </si>
  <si>
    <t>nlrp3ko</t>
  </si>
  <si>
    <t>r26ert2cre</t>
  </si>
  <si>
    <t>r26metrs</t>
  </si>
  <si>
    <t>r26nlrp</t>
  </si>
  <si>
    <t>ribotag</t>
  </si>
  <si>
    <t>sox10cre</t>
  </si>
  <si>
    <t>ucp1cre</t>
  </si>
  <si>
    <t>vilcre</t>
  </si>
  <si>
    <t>Celllines</t>
  </si>
  <si>
    <t>celllines</t>
  </si>
  <si>
    <t>NCI-60</t>
  </si>
  <si>
    <t>common cell line</t>
  </si>
  <si>
    <t>Cells</t>
  </si>
  <si>
    <t>cells</t>
  </si>
  <si>
    <t>Compound</t>
  </si>
  <si>
    <t>compound</t>
  </si>
  <si>
    <t>cgas</t>
  </si>
  <si>
    <t>cGAS</t>
  </si>
  <si>
    <t>diabzi</t>
  </si>
  <si>
    <t>diABZI</t>
  </si>
  <si>
    <t>Dimethyl Sulfoxide</t>
  </si>
  <si>
    <t>lactimidomycin</t>
  </si>
  <si>
    <t>Lactimidomycin</t>
  </si>
  <si>
    <t>lps</t>
  </si>
  <si>
    <t>LPS</t>
  </si>
  <si>
    <t>Lipopolysaccharide</t>
  </si>
  <si>
    <t>niap</t>
  </si>
  <si>
    <t>nIAP</t>
  </si>
  <si>
    <t>pam</t>
  </si>
  <si>
    <t>PAM</t>
  </si>
  <si>
    <t>Polyacrylamide</t>
  </si>
  <si>
    <t>r837</t>
  </si>
  <si>
    <t>R837</t>
  </si>
  <si>
    <t>Imiquimod; stimulates the innate immune system by activating toll-like receptor 7 (TLR7)</t>
  </si>
  <si>
    <t>r848</t>
  </si>
  <si>
    <t>R848</t>
  </si>
  <si>
    <t>Resiquimod; Imidazoquinolinamine and Toll-like receptor (TLR) agonist</t>
  </si>
  <si>
    <t>Context</t>
  </si>
  <si>
    <t>context</t>
  </si>
  <si>
    <t>Spectral Interpretation</t>
  </si>
  <si>
    <t>dataset</t>
  </si>
  <si>
    <t>disease</t>
  </si>
  <si>
    <t>experiment</t>
  </si>
  <si>
    <t>neoenrichment</t>
  </si>
  <si>
    <t>other_ptm</t>
  </si>
  <si>
    <t>other PTMs</t>
  </si>
  <si>
    <t>pulsesilac</t>
  </si>
  <si>
    <t>Fluid</t>
  </si>
  <si>
    <t>fluid</t>
  </si>
  <si>
    <t>fraction</t>
  </si>
  <si>
    <t>01k Spatial Fraction</t>
  </si>
  <si>
    <t>05k Spatial Fraction</t>
  </si>
  <si>
    <t>12k Spatial Fraction</t>
  </si>
  <si>
    <t>24k Spatial Fraction</t>
  </si>
  <si>
    <t>79k Spatial Fraction</t>
  </si>
  <si>
    <t>crude mito</t>
  </si>
  <si>
    <t>fractionation hplc high ph</t>
  </si>
  <si>
    <t>offline_fractionation</t>
  </si>
  <si>
    <t>MS Instrument</t>
  </si>
  <si>
    <t>instrument</t>
  </si>
  <si>
    <t>T</t>
  </si>
  <si>
    <t>t</t>
  </si>
  <si>
    <t>casp1_dko</t>
  </si>
  <si>
    <t>Casp1 dKO</t>
  </si>
  <si>
    <t>Gene Knockout</t>
  </si>
  <si>
    <t>knockout</t>
  </si>
  <si>
    <t>Casp1 −/−</t>
  </si>
  <si>
    <t>casp11_dko</t>
  </si>
  <si>
    <t>Casp11 dKO</t>
  </si>
  <si>
    <t>Casp11 −/−</t>
  </si>
  <si>
    <t>gsdmd_dko</t>
  </si>
  <si>
    <t>Gsdmd dKO</t>
  </si>
  <si>
    <t>Gsdmd −/−</t>
  </si>
  <si>
    <t>il18rdko</t>
  </si>
  <si>
    <t>Il18r dKO</t>
  </si>
  <si>
    <t>il18r_dko</t>
  </si>
  <si>
    <t>Il18r −/−</t>
  </si>
  <si>
    <t>il1rdko</t>
  </si>
  <si>
    <t>Il1r dKO</t>
  </si>
  <si>
    <t>il1r_dko</t>
  </si>
  <si>
    <t>Il1r −/−</t>
  </si>
  <si>
    <t>tlr4_dko</t>
  </si>
  <si>
    <t>Tlr4 dKO</t>
  </si>
  <si>
    <t>Tlr4 −/−</t>
  </si>
  <si>
    <t>lc_system</t>
  </si>
  <si>
    <t>Mockup</t>
  </si>
  <si>
    <t>mockup</t>
  </si>
  <si>
    <t>invitro</t>
  </si>
  <si>
    <t>model</t>
  </si>
  <si>
    <t>invivo</t>
  </si>
  <si>
    <t>column aurora</t>
  </si>
  <si>
    <t>column_type</t>
  </si>
  <si>
    <t>in-house packed column</t>
  </si>
  <si>
    <t>Easy spray</t>
  </si>
  <si>
    <t>uPac neo</t>
  </si>
  <si>
    <t>pepmap</t>
  </si>
  <si>
    <t>aurora_15cm</t>
  </si>
  <si>
    <t>Auroa 15 cm</t>
  </si>
  <si>
    <t>LC Column Configuration</t>
  </si>
  <si>
    <t>mslc_column_configuration</t>
  </si>
  <si>
    <t>Auroa 15 cm MS Column</t>
  </si>
  <si>
    <t>aurora_25cm</t>
  </si>
  <si>
    <t>Auroa 25 cm</t>
  </si>
  <si>
    <t>25cm</t>
  </si>
  <si>
    <t>Auroa 25 cm MS Column</t>
  </si>
  <si>
    <t>aurora_30cm</t>
  </si>
  <si>
    <t>Auroa 30 cm</t>
  </si>
  <si>
    <t>Auroa 30 cm MS Column</t>
  </si>
  <si>
    <t>aurora_50cm</t>
  </si>
  <si>
    <t>Auroa 50 cm</t>
  </si>
  <si>
    <t>Auroa 50 cm MS Column</t>
  </si>
  <si>
    <t>column_inhouse</t>
  </si>
  <si>
    <t>In-house</t>
  </si>
  <si>
    <t>In-House Column</t>
  </si>
  <si>
    <t>trap</t>
  </si>
  <si>
    <t>Trap</t>
  </si>
  <si>
    <t>MS-Setting: Trap</t>
  </si>
  <si>
    <t>ms_interface</t>
  </si>
  <si>
    <t>ion source</t>
  </si>
  <si>
    <t>ms_ionsource</t>
  </si>
  <si>
    <t>organ</t>
  </si>
  <si>
    <t>bacteria</t>
  </si>
  <si>
    <t>Bacteria</t>
  </si>
  <si>
    <t>organism</t>
  </si>
  <si>
    <t>elegans</t>
  </si>
  <si>
    <t>gut</t>
  </si>
  <si>
    <t>Gut Microbiom</t>
  </si>
  <si>
    <t>Gut Microbiomm (Specify in Additional Info)</t>
  </si>
  <si>
    <t>Homo sapiens (Human)</t>
  </si>
  <si>
    <t>Mus musculus (Mouse)</t>
  </si>
  <si>
    <t>Rattus norvegicus (Rat)</t>
  </si>
  <si>
    <t>Saccharomyces cerevisiae (Baker's Yeast)</t>
  </si>
  <si>
    <t>Organ System</t>
  </si>
  <si>
    <t>organsystem</t>
  </si>
  <si>
    <t>nervoussystem</t>
  </si>
  <si>
    <t>kd</t>
  </si>
  <si>
    <t>knockdown (kd)</t>
  </si>
  <si>
    <t>Phenotype</t>
  </si>
  <si>
    <t>phenotype</t>
  </si>
  <si>
    <t>knockout (ko)</t>
  </si>
  <si>
    <t>mt</t>
  </si>
  <si>
    <t>mutant (mt)</t>
  </si>
  <si>
    <t>mutated</t>
  </si>
  <si>
    <t>wt</t>
  </si>
  <si>
    <t>wild type (wt)</t>
  </si>
  <si>
    <t>wilde type cells</t>
  </si>
  <si>
    <t>quantification</t>
  </si>
  <si>
    <t>labelfree</t>
  </si>
  <si>
    <t>Signallling Pathway</t>
  </si>
  <si>
    <t>signalling</t>
  </si>
  <si>
    <t>software</t>
  </si>
  <si>
    <t>tissue</t>
  </si>
  <si>
    <t>database orf_search</t>
  </si>
  <si>
    <t>lysis sds</t>
  </si>
  <si>
    <t>lysis urea</t>
  </si>
  <si>
    <t>lysis sdc</t>
  </si>
  <si>
    <t>detergent sds</t>
  </si>
  <si>
    <t>detergent</t>
  </si>
  <si>
    <t>detergent tween20</t>
  </si>
  <si>
    <t>detergent tweem80</t>
  </si>
  <si>
    <t>Tweem80</t>
  </si>
  <si>
    <t>detergent np-40 np40</t>
  </si>
  <si>
    <t>detergent triton x-100 triton 100</t>
  </si>
  <si>
    <t>detergent chaps</t>
  </si>
  <si>
    <t>detergent dmm</t>
  </si>
  <si>
    <t>detergent og glucoside</t>
  </si>
  <si>
    <t>detergent OTG Octylthioglucoside</t>
  </si>
  <si>
    <t>reducing reduced tcep</t>
  </si>
  <si>
    <t>Protein reducing agent</t>
  </si>
  <si>
    <t>reduction</t>
  </si>
  <si>
    <t>reducing reduced dtt</t>
  </si>
  <si>
    <t>alkylation caa</t>
  </si>
  <si>
    <t>Protein alkylation agent</t>
  </si>
  <si>
    <t>alkylation</t>
  </si>
  <si>
    <t>alkylation iaa</t>
  </si>
  <si>
    <t>digestion, protease</t>
  </si>
  <si>
    <t>protease</t>
  </si>
  <si>
    <t>liquid handler, digestion</t>
  </si>
  <si>
    <t>liquid handler</t>
  </si>
  <si>
    <t>well plate, eppendorf</t>
  </si>
  <si>
    <t>digestion vessel</t>
  </si>
  <si>
    <t>tube, eppendorf</t>
  </si>
  <si>
    <t>aminoacids, treatment</t>
  </si>
  <si>
    <t>Arginine Starvation</t>
  </si>
  <si>
    <t>aa_starvation</t>
  </si>
  <si>
    <t>Asparagine Starvation</t>
  </si>
  <si>
    <t>Aspartic Starvation</t>
  </si>
  <si>
    <t>Cysteine Starvation</t>
  </si>
  <si>
    <t>Glutamic Starvation</t>
  </si>
  <si>
    <t>Glutamine Starvation</t>
  </si>
  <si>
    <t>Glycine Starvation</t>
  </si>
  <si>
    <t>Histidine Starvation</t>
  </si>
  <si>
    <t>Isoleucine Starvation</t>
  </si>
  <si>
    <t>Leucine Starvation</t>
  </si>
  <si>
    <t>Lysine Starvation</t>
  </si>
  <si>
    <t>Methionine Starvation</t>
  </si>
  <si>
    <t>Phenylalanine Starvation</t>
  </si>
  <si>
    <t>Proline Starvation</t>
  </si>
  <si>
    <t>Serine Starvation</t>
  </si>
  <si>
    <t>Threonine Starvation</t>
  </si>
  <si>
    <t>Tryptophan Starvation</t>
  </si>
  <si>
    <t>Tyrosine Starvation</t>
  </si>
  <si>
    <t>Valine Starvation</t>
  </si>
  <si>
    <t xml:space="preserve">5-fluorouracil </t>
  </si>
  <si>
    <t xml:space="preserve">etoposide </t>
  </si>
  <si>
    <t xml:space="preserve">Etoposide </t>
  </si>
  <si>
    <t>Etoposide stabilizes the complex between DNA and topoisomerase II,48 leading to the induction of DNA double- strand breaks.</t>
  </si>
  <si>
    <t>knockdown_technique</t>
  </si>
  <si>
    <t>Gene Engineering</t>
  </si>
  <si>
    <t>gene_engineering</t>
  </si>
  <si>
    <t>ki</t>
  </si>
  <si>
    <t>Stable Exrepssion</t>
  </si>
  <si>
    <t>Gene Editing Method</t>
  </si>
  <si>
    <t>gene_editing_method</t>
  </si>
  <si>
    <t>crispr hdr</t>
  </si>
  <si>
    <t>crispr-hdr</t>
  </si>
  <si>
    <t>biggybac biggy bac</t>
  </si>
  <si>
    <t xml:space="preserve">lentivrial </t>
  </si>
  <si>
    <t>tale talen nuclease</t>
  </si>
  <si>
    <t>Zinc-finger nuclease</t>
  </si>
  <si>
    <t>Double strand break Frameshift</t>
  </si>
  <si>
    <t>Protein mutation</t>
  </si>
  <si>
    <t>protein_mutation</t>
  </si>
  <si>
    <t>mutation point mutation</t>
  </si>
  <si>
    <t>deletion mutation</t>
  </si>
  <si>
    <t>truncation mutation delta</t>
  </si>
  <si>
    <t>mutation tag flag</t>
  </si>
  <si>
    <t>mutation tag HA</t>
  </si>
  <si>
    <t>mutation tag myc</t>
  </si>
  <si>
    <t>mutation tag GFP</t>
  </si>
  <si>
    <t>mutation tag HIS</t>
  </si>
  <si>
    <t>n-term</t>
  </si>
  <si>
    <t>Protein position</t>
  </si>
  <si>
    <t>protein_position</t>
  </si>
  <si>
    <t>c-term</t>
  </si>
  <si>
    <t>aminoacids</t>
  </si>
  <si>
    <t>Amino Acid</t>
  </si>
  <si>
    <t>tmt quantification</t>
  </si>
  <si>
    <t>tmt_channel</t>
  </si>
  <si>
    <t>TMT 11 plex</t>
  </si>
  <si>
    <t>TMT 6 plex</t>
  </si>
  <si>
    <t>TMT 18 plex Pro</t>
  </si>
  <si>
    <t>research group</t>
  </si>
  <si>
    <t>Reserach Group</t>
  </si>
  <si>
    <t>user_group</t>
  </si>
  <si>
    <t>att_user_group</t>
  </si>
  <si>
    <t>institute</t>
  </si>
  <si>
    <t>user_institute</t>
  </si>
  <si>
    <t>STATES</t>
  </si>
  <si>
    <t>STOPPED</t>
  </si>
  <si>
    <t>PAUSED</t>
  </si>
  <si>
    <t>SUBMITTED</t>
  </si>
  <si>
    <t>PROCESSED</t>
  </si>
  <si>
    <t>MEASURING</t>
  </si>
  <si>
    <t>DATA ANALYSIS</t>
  </si>
  <si>
    <t>DONE</t>
  </si>
  <si>
    <t>PUBLISHED</t>
  </si>
  <si>
    <t>If allow_for_state === state, then user is prompted to enter those. If the state is higher all the attributes are available as well</t>
  </si>
  <si>
    <t>value</t>
  </si>
  <si>
    <t>Wildtype (+/+)</t>
  </si>
  <si>
    <t>Wildtype</t>
  </si>
  <si>
    <t>Muscle Type</t>
  </si>
  <si>
    <t>Liquid Chromatography Type</t>
  </si>
  <si>
    <t>Liquid Chromatography Name</t>
  </si>
  <si>
    <t>TMT Label Channel</t>
  </si>
  <si>
    <t>Pep86</t>
  </si>
  <si>
    <t>Wildtype form of protein.</t>
  </si>
  <si>
    <t>unknown</t>
  </si>
  <si>
    <t>Unknown. Examples: virus- or biggy-bag expression.</t>
  </si>
  <si>
    <t>quad</t>
  </si>
  <si>
    <t>Q</t>
  </si>
  <si>
    <t>Quadriceps femoris</t>
  </si>
  <si>
    <t>Skeletal Muscle</t>
  </si>
  <si>
    <t>att_diet</t>
  </si>
  <si>
    <t xml:space="preserve">Diet </t>
  </si>
  <si>
    <t>A "Western" Diet for rodents based on AIN-93G, providing 30% of fat from lard, 30% from butterfat, 30% from Crisco (hydrogenated vegetable oil), and, for EFA, 7% from soybean oil and 3% from corn oil. Approximate energy (kcal) from fat 40%, carbohydrate 44%, protein 16%.</t>
  </si>
  <si>
    <t>Western Diet</t>
  </si>
  <si>
    <t>wd</t>
  </si>
  <si>
    <t>sd</t>
  </si>
  <si>
    <t>Standard Diet</t>
  </si>
  <si>
    <t>veg</t>
  </si>
  <si>
    <t>Vegeterian Diet</t>
  </si>
  <si>
    <t>A vegetarian fixed formulation diet for Laboratory Rats and Mice, free of any meat or fish products.</t>
  </si>
  <si>
    <t>High Gluten Diet</t>
  </si>
  <si>
    <t>Die to keep gluten intake/levels high.</t>
  </si>
  <si>
    <t>hg</t>
  </si>
  <si>
    <t>High Fat Diet</t>
  </si>
  <si>
    <t>Diet with more than 60% coloric intake from fat.</t>
  </si>
  <si>
    <t>hfd</t>
  </si>
  <si>
    <t>Steady State Cardio</t>
  </si>
  <si>
    <t>hiit</t>
  </si>
  <si>
    <t>High Intensity Interval Training</t>
  </si>
  <si>
    <t>HIIT training. HIIT is a type of interval training exercise. It incorporates several rounds that alternate between several minutes of high intensity movements to significantly increase the heart rate to at least 80% Hfmax.</t>
  </si>
  <si>
    <t>apex</t>
  </si>
  <si>
    <t>Apex</t>
  </si>
  <si>
    <t>Apex protein for proximity labeling.</t>
  </si>
  <si>
    <t>bioid</t>
  </si>
  <si>
    <t>BioID</t>
  </si>
  <si>
    <t>BioID protein for proximity labeling.</t>
  </si>
  <si>
    <t>turboid</t>
  </si>
  <si>
    <t>TurboID</t>
  </si>
  <si>
    <t>TurboID for protein proximity labeling.</t>
  </si>
  <si>
    <t>Gene Knockdown Technique</t>
  </si>
  <si>
    <t>att_pulldown</t>
  </si>
  <si>
    <t>chemical</t>
  </si>
  <si>
    <t>Chemical/Detergent</t>
  </si>
  <si>
    <t>Cell lysis by adding detergents such as SDS.</t>
  </si>
  <si>
    <t>Opentrons Flex</t>
  </si>
  <si>
    <t>Opentrons OT-2</t>
  </si>
  <si>
    <t>Aurora Frontiers</t>
  </si>
  <si>
    <t>IonOpticks Aurora Frontiers Column</t>
  </si>
  <si>
    <t>E-Mail</t>
  </si>
  <si>
    <t>Unknown/Random</t>
  </si>
  <si>
    <t>Cell lysis achieved using sonication.</t>
  </si>
  <si>
    <t>sonicaton</t>
  </si>
  <si>
    <t>Pulse Sonication</t>
  </si>
  <si>
    <t>h2o2</t>
  </si>
  <si>
    <t>Hydrogen peroxide (H2O2)</t>
  </si>
  <si>
    <t>Hydrogen peroxide</t>
  </si>
  <si>
    <t>Epoxomicin</t>
  </si>
  <si>
    <t>expoximicin</t>
  </si>
  <si>
    <t>epoximicin</t>
  </si>
  <si>
    <t>Epoxomicin is a naturally occurring selective proteasome inhibitor.</t>
  </si>
  <si>
    <t>frezza</t>
  </si>
  <si>
    <t>Department Frezza</t>
  </si>
  <si>
    <t>Metabolomics in Aging</t>
  </si>
  <si>
    <t>krueger</t>
  </si>
  <si>
    <t>Department Krueger</t>
  </si>
  <si>
    <t>Institute for Genetics</t>
  </si>
  <si>
    <t>rugarli</t>
  </si>
  <si>
    <t>Department Rugali</t>
  </si>
  <si>
    <t>trifunovic</t>
  </si>
  <si>
    <t>Department Trifunovic</t>
  </si>
  <si>
    <t>Institute for Mitochondrial Diseases and Aging</t>
  </si>
  <si>
    <t>niessen</t>
  </si>
  <si>
    <t>Department Niessen</t>
  </si>
  <si>
    <t>gloeckner</t>
  </si>
  <si>
    <t>Department Gloeckner</t>
  </si>
  <si>
    <t>Center for Biochemistry</t>
  </si>
  <si>
    <t>bazzi</t>
  </si>
  <si>
    <t>Department Bazzi</t>
  </si>
  <si>
    <t>Polyclinic of Dermatology and Venereology</t>
  </si>
  <si>
    <t>hallek</t>
  </si>
  <si>
    <t>Department Hallek</t>
  </si>
  <si>
    <t>Clinic of Internal Medicine I</t>
  </si>
  <si>
    <t>benzing</t>
  </si>
  <si>
    <t>Department Benzing</t>
  </si>
  <si>
    <t>Clinic of Internal Medicine II, UKK</t>
  </si>
  <si>
    <t>hennies</t>
  </si>
  <si>
    <t>Department Hennies</t>
  </si>
  <si>
    <t>Cologne Center for Genomics, UoC</t>
  </si>
  <si>
    <t>vonkarstedt</t>
  </si>
  <si>
    <t>Department vonKarstedt</t>
  </si>
  <si>
    <t>Dept. of Translational Genomics</t>
  </si>
  <si>
    <t>laessig</t>
  </si>
  <si>
    <t>Department Laessig</t>
  </si>
  <si>
    <t>Institute for Biological Physics,UoC</t>
  </si>
  <si>
    <t>hoppe</t>
  </si>
  <si>
    <t>Department Hoppe</t>
  </si>
  <si>
    <t>Institute for Genetics, UoC</t>
  </si>
  <si>
    <t>garcia</t>
  </si>
  <si>
    <t>Department Garcia</t>
  </si>
  <si>
    <t>khaskar</t>
  </si>
  <si>
    <t>Department Kashkar</t>
  </si>
  <si>
    <t>Institute for Medical Microbiology  Immunology and Hygiene, UKK</t>
  </si>
  <si>
    <t>att_protein_treatment</t>
  </si>
  <si>
    <t>Protein and Hormone Treatment</t>
  </si>
  <si>
    <t>control</t>
  </si>
  <si>
    <t>Control Target Proteins</t>
  </si>
  <si>
    <t>Control targets proteins such as GFP, LacZ</t>
  </si>
  <si>
    <t>controls</t>
  </si>
  <si>
    <t>att_subcellular_compartment</t>
  </si>
  <si>
    <t>wc</t>
  </si>
  <si>
    <t>Whole cell</t>
  </si>
  <si>
    <t>Complete cell</t>
  </si>
  <si>
    <t>mitochondria</t>
  </si>
  <si>
    <t>membrane</t>
  </si>
  <si>
    <t>Membrane Fraction</t>
  </si>
  <si>
    <t>Membrane fraction (Mitochondria, ER)</t>
  </si>
  <si>
    <t>golgi</t>
  </si>
  <si>
    <t>Golgi</t>
  </si>
  <si>
    <t>Golgi fraction</t>
  </si>
  <si>
    <t>plasmamembrane</t>
  </si>
  <si>
    <t>Plasmamembrane fraction</t>
  </si>
  <si>
    <t>nucleus</t>
  </si>
  <si>
    <t>Nucleus</t>
  </si>
  <si>
    <t xml:space="preserve">Nucleus </t>
  </si>
  <si>
    <t>cytosol</t>
  </si>
  <si>
    <t>Cytosol</t>
  </si>
  <si>
    <t>Cytosolic fraction</t>
  </si>
  <si>
    <t>Plasma membrane</t>
  </si>
  <si>
    <t>Pure mitochondria enriched fraction</t>
  </si>
  <si>
    <t>Mitochondria</t>
  </si>
  <si>
    <t>L-Lysine</t>
  </si>
  <si>
    <t>Lys0 Arg0</t>
  </si>
  <si>
    <t>lys0arg0</t>
  </si>
  <si>
    <t>lys4arg6</t>
  </si>
  <si>
    <t>Lys4 Arg6</t>
  </si>
  <si>
    <t>lys8arg10</t>
  </si>
  <si>
    <t>Lys8 Arg10</t>
  </si>
  <si>
    <t>Lysine +8Da Arginine+10Da (Heavy)</t>
  </si>
  <si>
    <t>Lysine +4Da Arginine +6Da (Middle)</t>
  </si>
  <si>
    <t>L-Lysine, L-Arginine (Light)</t>
  </si>
  <si>
    <t>Membrane Fraction + Proteinase K</t>
  </si>
  <si>
    <t>Membrane fraction (Mitochondria, ER) with Proteinase K digestion.</t>
  </si>
  <si>
    <t>mitochondriapk</t>
  </si>
  <si>
    <t>att_gender</t>
  </si>
  <si>
    <t>Gender</t>
  </si>
  <si>
    <t>male</t>
  </si>
  <si>
    <t>Male</t>
  </si>
  <si>
    <t>female</t>
  </si>
  <si>
    <t>Female</t>
  </si>
  <si>
    <t>homologrecombination</t>
  </si>
  <si>
    <t>Homologous recombination (loxP-sites)</t>
  </si>
  <si>
    <t>Hmologous recombination is a DNA repair mechanism that is employed in gene targeting to insert a designed mutation into the homologous genetic locus. Targeted homologous recombination can be performed in murine ES cells through electroporation of a targeting construct. These ES cells are totipotent and, when injected into a mouse blastocyst, they can diffentiate into all cell types of a chimeric mouse.</t>
  </si>
  <si>
    <t>att_cloneid</t>
  </si>
  <si>
    <t>att_ptm_enrichment</t>
  </si>
  <si>
    <t>PTM Enrichment Strategy</t>
  </si>
  <si>
    <t>antibody</t>
  </si>
  <si>
    <t>Antibody</t>
  </si>
  <si>
    <t>An enrichment strategy for PTMs that is based on an antibody such pTyr, Acetylation or Ubiquitination.</t>
  </si>
  <si>
    <t>metal</t>
  </si>
  <si>
    <t>Metal</t>
  </si>
  <si>
    <t>PTM enrichment strategy based on a metal interacting with the PTM such as IMAC or TiO2 enrichment for phospho peptides.</t>
  </si>
  <si>
    <t>Ion Chromatography</t>
  </si>
  <si>
    <t>Ion chromatography to enrich for PTMs such as Strong cation or anion exchange chromatography.</t>
  </si>
  <si>
    <t>ionchromatography</t>
  </si>
  <si>
    <t>Clone ID</t>
  </si>
  <si>
    <t>R848 (Resiquimod) - TLR7/TLR8 Agonist</t>
  </si>
  <si>
    <t>mdc</t>
  </si>
  <si>
    <t>mtregs</t>
  </si>
  <si>
    <t>pdc</t>
  </si>
  <si>
    <t>attregs</t>
  </si>
  <si>
    <t>infdc</t>
  </si>
  <si>
    <t>itgres</t>
  </si>
  <si>
    <t>dendritic</t>
  </si>
  <si>
    <t>ememcell</t>
  </si>
  <si>
    <t>CD45RA+ effector memory cell</t>
  </si>
  <si>
    <t>effector Memory Cell</t>
  </si>
  <si>
    <t>Dendritic cell (DC)</t>
  </si>
  <si>
    <t>Dendritic cell</t>
  </si>
  <si>
    <t>Induced (peripheral) T regulatory cells (iTregs, pTregs)</t>
  </si>
  <si>
    <t>Induced Regulatory T cells (iTregs)</t>
  </si>
  <si>
    <t>Inflammatory Dendritic Cells (infDCs)</t>
  </si>
  <si>
    <t>Inflammatory DC (infDCs)</t>
  </si>
  <si>
    <t>Natural Regulatory T cells (nTregs)</t>
  </si>
  <si>
    <t>Plasmacytoid Dendritic Cells (pDCs)</t>
  </si>
  <si>
    <t>Memory regulatory T cells (mTregs)</t>
  </si>
  <si>
    <t>Memory Regulatory T cells (mTregs)</t>
  </si>
  <si>
    <t>Myeloid Dendritic Cells (mDCs)</t>
  </si>
  <si>
    <t>Myeloid DC (mDCs)</t>
  </si>
  <si>
    <t>Plasmacytoid DC (pDCs)</t>
  </si>
  <si>
    <t>Natural T regulatory lymphocytes (tTregs, nTregs)</t>
  </si>
  <si>
    <t>supernatant</t>
  </si>
  <si>
    <t>Supernatant</t>
  </si>
  <si>
    <t>Cellular fraction; a volume of supernatant liquid</t>
  </si>
  <si>
    <t>att_heart</t>
  </si>
  <si>
    <t>leftatrium</t>
  </si>
  <si>
    <t>Left atrium</t>
  </si>
  <si>
    <t>Left atrium: one of the four chambers of the heart. The left atrium receives blood full of oxygen from the lungs and then empties the blood into the left ventricle.</t>
  </si>
  <si>
    <t>rightatrium</t>
  </si>
  <si>
    <t>Right atrium</t>
  </si>
  <si>
    <t>Right atrium: one of the four chambers of the heart. The right atrium receives blood low in oxygen from the body and then empties the blood into the right ventricle.</t>
  </si>
  <si>
    <t>A ventricle is one of two large chambers located toward the bottom of the heart that collect and expel blood towards the peripheral beds within the body and lungs. </t>
  </si>
  <si>
    <t>hfxage</t>
  </si>
  <si>
    <t>Qexactive Hf-x</t>
  </si>
  <si>
    <t>Qexactive HF-x, Thermo Fisher, replaced.</t>
  </si>
  <si>
    <t>Exploris 480 Thermo Fisher, SN: MA10161N</t>
  </si>
  <si>
    <t>easy1200mpi</t>
  </si>
  <si>
    <t>Easy LC1 (MPI)</t>
  </si>
  <si>
    <t>Easy nLC 1200, Thermo Fisher, SN: LC-030802</t>
  </si>
  <si>
    <t>opentronsot2</t>
  </si>
  <si>
    <t>att_genotype</t>
  </si>
  <si>
    <t>Genotype</t>
  </si>
  <si>
    <t>hemi</t>
  </si>
  <si>
    <t>Hemizygot (hemi)</t>
  </si>
  <si>
    <t>Hemizygot</t>
  </si>
  <si>
    <t>Left ventricle</t>
  </si>
  <si>
    <t>Right ventricle</t>
  </si>
  <si>
    <t>leftventri</t>
  </si>
  <si>
    <t>rightventri</t>
  </si>
  <si>
    <t>riemer</t>
  </si>
  <si>
    <t>Department Riemer</t>
  </si>
  <si>
    <t>Redox biochemistry, UoC</t>
  </si>
  <si>
    <t>Heart Compartment</t>
  </si>
  <si>
    <t>bergmani</t>
  </si>
  <si>
    <t>motori</t>
  </si>
  <si>
    <t>becker</t>
  </si>
  <si>
    <t>bruening</t>
  </si>
  <si>
    <t>piano</t>
  </si>
  <si>
    <t>schwarz</t>
  </si>
  <si>
    <t>corrado</t>
  </si>
  <si>
    <t>eming</t>
  </si>
  <si>
    <t>Department Bergmani</t>
  </si>
  <si>
    <t>Department Motori</t>
  </si>
  <si>
    <t>Department Becker</t>
  </si>
  <si>
    <t>Department Escobar</t>
  </si>
  <si>
    <t>escobar</t>
  </si>
  <si>
    <t>Department Piano</t>
  </si>
  <si>
    <t>Department Schwarz</t>
  </si>
  <si>
    <t>Department Corrado</t>
  </si>
  <si>
    <t>Department Eming</t>
  </si>
  <si>
    <t>Dermatology, UKK, Institute of Zoology</t>
  </si>
  <si>
    <t>Brain Plasticity and Repair, UKK</t>
  </si>
  <si>
    <t>Neuronal Stress Responses, Resilience and Regeneration, UoC</t>
  </si>
  <si>
    <t>Mitochondrial Dynamics and Ubiquitin, UoC</t>
  </si>
  <si>
    <t>Membrane Biophysics, UoC</t>
  </si>
  <si>
    <t>MPI for Metabolism</t>
  </si>
  <si>
    <t>Department Bruening</t>
  </si>
  <si>
    <t>Schwarz Lab,UoC</t>
  </si>
  <si>
    <t>Becker Lab, UoB</t>
  </si>
  <si>
    <t>unibonn</t>
  </si>
  <si>
    <t>University of Bonn</t>
  </si>
  <si>
    <t>Piano Lab, UKK</t>
  </si>
  <si>
    <t>Mitochondrial Metabolism in Immunity, Inflammation and Aging, UoC</t>
  </si>
  <si>
    <t>att_mouse_cre</t>
  </si>
  <si>
    <t>Nestin-cre (B6)</t>
  </si>
  <si>
    <t>nestincre</t>
  </si>
  <si>
    <t>CMV-cre (B6)</t>
  </si>
  <si>
    <t>cmvcre</t>
  </si>
  <si>
    <t>B6.FVB-Tg(Myh6-cre)2182Mds/J - The cardiac-specific murine alpha myosin-heavy chain (Myh6, myosin, heavy polypeptide 6, cardiac muscle, alpha) promoter drives expression of cre in this transgenic strain. Breeding this mouse with another carrying loxP-flanked sequences results in the deletion of the flanked sequences in the offspring. The promoter induces greater than 90% recombination in cardiac muscle cells. No recombination is observed in liver, lung, skeletal muscle (quadriceps), and spleen, or in extraneous cell types in the heart.</t>
  </si>
  <si>
    <t>MyH6-cre (B6)</t>
  </si>
  <si>
    <t>myh6cre</t>
  </si>
  <si>
    <t>Albumin-cre</t>
  </si>
  <si>
    <t>ucpcre</t>
  </si>
  <si>
    <t>Ucp1-cre</t>
  </si>
  <si>
    <t>B6.FVB-Tg(Ucp1-cre)1Evdr/J  -These Ucp1-cre mice express Cre recombinase in interscapular brown fat at room temperature, and in inguinal and epididymal white adipose tissue after cold exposure.</t>
  </si>
  <si>
    <t>B6.Cg-Speer6-ps1Tg(Alb-cre)21Mgn/J  - These transgenic mice express Cre recombinase under the control of the mouse albumin enhancer/promoter in liver.</t>
  </si>
  <si>
    <t>B6.C-Tg(CMV-cre)1Cgn/J - In this transgenic strain, deletion of loxP-flanked genes occurs in all tissues, including germ cells. The cre gene in this strain is under the transcriptional control of a human cytomegalovirus minimal promoter and is likely to be expressed before implantation during early embryogenesis. It also appears that the cre gene is X-linked since transgene transmission through males is restricted to female offspring.</t>
  </si>
  <si>
    <t xml:space="preserve">B6.Cg-Tg(Nes-cre)1Kln/J - These transgenic mice express Cre recombinase under the control of the rat nestin promoter and enhancer. Mice that are hemizygous and homozygous for the transgenic insert are viable and fertile. Nestin-cre mice exhibit mild hypopituitarism, growth retardation, impaired fear response, and a metabolic phenotype. </t>
  </si>
  <si>
    <t>Adipoq-cre</t>
  </si>
  <si>
    <t>B6.FVB-Tg(Adipoq-cre)1Evdr/J - Mice harboring the Adipoq-Cre BAC transgene express Cre recombinase under control of the mouse adiponectin (Adipoq) promoter/enhancer regions within the BAC transgene. Adipoq-Cre BAC transgenic mice are a Cre-lox tool for deletion of floxed sequences in white adipose tissue and brown adipose tissue, but not in activated or resident macrophages.</t>
  </si>
  <si>
    <t>40cm</t>
  </si>
  <si>
    <t>5 cm column length</t>
  </si>
  <si>
    <t>40 cm column length</t>
  </si>
  <si>
    <t>50c</t>
  </si>
  <si>
    <t>The column was kept at 40°C during the complete gradient time.</t>
  </si>
  <si>
    <t>The column was kept at 50°C during the complete gradient time.</t>
  </si>
  <si>
    <t>The column was kept at 55°C during the complete gradient time.</t>
  </si>
  <si>
    <t>ckmmcre</t>
  </si>
  <si>
    <t>Ckmm-cre</t>
  </si>
  <si>
    <t>B6.FVB(129S4)-Tg(Ckmm-cre)5Khn/J - These MCK-Cre transgenic mice have the Cre recombinase gene driven by the muscle creatine kinase (MCK or Ckm) promoter. Cre activity is observed in skeletal and cardiac muscle. When bred with mice containing a loxP-flanked sequence of interest, Cre-mediated recombination will result in skeletal and cardiac muscle deletion of the flanked genome.</t>
  </si>
  <si>
    <t>Control</t>
  </si>
  <si>
    <t>Control (Amino acids at culture media concentration)</t>
  </si>
  <si>
    <t>att_muscle_fiber_type</t>
  </si>
  <si>
    <t>Muscle Fiber Type</t>
  </si>
  <si>
    <t>type1</t>
  </si>
  <si>
    <t>type2a</t>
  </si>
  <si>
    <t>type2b</t>
  </si>
  <si>
    <t>type2x</t>
  </si>
  <si>
    <t>type2d</t>
  </si>
  <si>
    <t>Human specific muscle fiber type</t>
  </si>
  <si>
    <t>mixedt12a</t>
  </si>
  <si>
    <t>Type 1 and Type 2a fibers (mixed)</t>
  </si>
  <si>
    <t>mixedt12x</t>
  </si>
  <si>
    <t>Type 1 and Type 2x fibers (mixed)</t>
  </si>
  <si>
    <t>mixedt1tb</t>
  </si>
  <si>
    <t>Type 1 and Type 2b fibers (mixed)</t>
  </si>
  <si>
    <t>mixed2a2b</t>
  </si>
  <si>
    <t>Type 2a and Type 2b (mixed)</t>
  </si>
  <si>
    <t>mixed2a2x</t>
  </si>
  <si>
    <t>Type 2a and Type 2x (mixed)</t>
  </si>
  <si>
    <t>mixed2b2x</t>
  </si>
  <si>
    <t>Type 2b and Type 2x (mixed)</t>
  </si>
  <si>
    <t>Type 1 fibers (slow)</t>
  </si>
  <si>
    <t>Type 2a fibers (slow-fast)</t>
  </si>
  <si>
    <t>Type 2b fibers (fast)</t>
  </si>
  <si>
    <t>Type 2x fibers (fast)</t>
  </si>
  <si>
    <t>Type 2d fibers (fast)</t>
  </si>
  <si>
    <t>Myh7 positive type 1 fibers (slow - oxidative)</t>
  </si>
  <si>
    <t>Myh2 positive type 2a (fast - oxidative)</t>
  </si>
  <si>
    <t>Myh4 positives types 2b fibers (fast - glycolytic)</t>
  </si>
  <si>
    <t>Myh1 positive type 2x fibers (fast - glycolytic)</t>
  </si>
  <si>
    <t>Myh7 and Myh1 positive fibers</t>
  </si>
  <si>
    <t>Myh7 and Myh2 psoitive fibers</t>
  </si>
  <si>
    <t>Myh7 and Myh4 positive fibers</t>
  </si>
  <si>
    <t>Myh2 and Myh4 positive fibers</t>
  </si>
  <si>
    <t>Myh2 and Myh1 positive fibers</t>
  </si>
  <si>
    <t>Myh4 and Myh1 psotive fibers</t>
  </si>
  <si>
    <t>att_ms_pasef_min</t>
  </si>
  <si>
    <t>att_ms_pasef_max</t>
  </si>
  <si>
    <t>pepsep</t>
  </si>
  <si>
    <t>PepSep HPLC Column (Bruker)</t>
  </si>
  <si>
    <t>PepSep HPLC Column Bruker</t>
  </si>
  <si>
    <t>pepsepultra</t>
  </si>
  <si>
    <t>PepSep Ultra HPLC Column (Bruker)</t>
  </si>
  <si>
    <t>pepsepmax</t>
  </si>
  <si>
    <t>PepSep Max HPLC Column (Bruker)</t>
  </si>
  <si>
    <t>pepsepmaxht</t>
  </si>
  <si>
    <t>pepsep max hat</t>
  </si>
  <si>
    <t>PepSep Max HAT HPLC Column (Bruker)</t>
  </si>
  <si>
    <t>Designed for high-throughput proteomics, the PepSep™ MAX HT (5 cm x 150 um x 1.5 um) allows for gradients less than 15 minutes. This makes it ideal for applications where speed is essential, such as the analysis of clinical samples or the screening of drug libraries.</t>
  </si>
  <si>
    <t>The PepSep™ MAX (10 cm x 150 um x 1.5 um) increases instrument performance to help drive your analysis. When combined with the timsTOF HT, immerse yourself in 4D-Proteomics, so you can accurately analyze 1000s of samples with high throughput at PASEF® speed.</t>
  </si>
  <si>
    <t>The PepSep™ ULTRA (25 cm x 75 um x 1.5 um) C18 HPLC columns enable the analysis of a higher number of proteins and peptides from routine to restricted sample types. </t>
  </si>
  <si>
    <t>Min inversed Ion Mobility</t>
  </si>
  <si>
    <t>Max inversed Ion Mobility</t>
  </si>
  <si>
    <t>captive</t>
  </si>
  <si>
    <t>captivespray</t>
  </si>
  <si>
    <t>captivespraytwo</t>
  </si>
  <si>
    <t>captive two</t>
  </si>
  <si>
    <t>CaptiveSpray 2 Source</t>
  </si>
  <si>
    <t>CaptiveSpray Source</t>
  </si>
  <si>
    <t>CaptiveSpray 2 Source by Bruker for timsTOF</t>
  </si>
  <si>
    <t>CaptiveSpray Source by Bruker for timsTOF</t>
  </si>
  <si>
    <t>captiivespraypro</t>
  </si>
  <si>
    <t>captivespray pro</t>
  </si>
  <si>
    <t>CaptiveSpray Pro Source</t>
  </si>
  <si>
    <t>CaptiveSpray Pro Source by Bruker for timsTOF</t>
  </si>
  <si>
    <t>Z Project 02 (CRC1218)</t>
  </si>
  <si>
    <t>ZO2 Project (Proteomics)</t>
  </si>
  <si>
    <t>protfa</t>
  </si>
  <si>
    <t>tofpro2</t>
  </si>
  <si>
    <t>timsTOF Pro 2</t>
  </si>
  <si>
    <t>timTOF Pro2 Bruker</t>
  </si>
  <si>
    <t>timsTOF HCT Bruker</t>
  </si>
  <si>
    <t>timsTOF Single Cell Proteomics Bruker</t>
  </si>
  <si>
    <t>pellet</t>
  </si>
  <si>
    <t>Pellet</t>
  </si>
  <si>
    <t>Supernatant Fraction</t>
  </si>
  <si>
    <t>Pellet Fraction</t>
  </si>
  <si>
    <t>Subcelullar Compartment</t>
  </si>
  <si>
    <t>Solubilization Fraction</t>
  </si>
  <si>
    <t>att_solubilization_frac</t>
  </si>
  <si>
    <t>Pellet fraction using a solub. buffer and centrifugation</t>
  </si>
  <si>
    <t>Total fraction (input)</t>
  </si>
  <si>
    <t>Supernatant using a solub. buffer and centrifugation</t>
  </si>
  <si>
    <t>ripa</t>
  </si>
  <si>
    <t>RIPA buffer</t>
  </si>
  <si>
    <t>RIPA buffer (specify recipe in info).</t>
  </si>
  <si>
    <t>ripasds</t>
  </si>
  <si>
    <t>RIPA w. 0.1% SDS buffer</t>
  </si>
  <si>
    <t>RIPA cotaning SDS (0.1%) buffer (specify recipe in info).</t>
  </si>
  <si>
    <t>Differential centrifugation fraction</t>
  </si>
  <si>
    <t>solub</t>
  </si>
  <si>
    <t>aggregation solubilization</t>
  </si>
  <si>
    <t>Solubilization Assay</t>
  </si>
  <si>
    <t>Solubilization uses a lysis buffer with low percentage of detergent yielding usually a pellet and supernatant fraction.</t>
  </si>
  <si>
    <t>185 nL/min</t>
  </si>
  <si>
    <t>185nlmin</t>
  </si>
  <si>
    <t>Proteome</t>
  </si>
  <si>
    <t>att_proteome</t>
  </si>
  <si>
    <t>60cm</t>
  </si>
  <si>
    <t>60 cm column length</t>
  </si>
  <si>
    <t>manual</t>
  </si>
  <si>
    <t>None/Manual Pipetting</t>
  </si>
  <si>
    <t>Manual pipetting (By hand)</t>
  </si>
  <si>
    <t>unit</t>
  </si>
  <si>
    <t>att_mouse_strain</t>
  </si>
  <si>
    <t>C57BL/6J</t>
  </si>
  <si>
    <t>C57BL/6J (Black 6), inbred, low susceptibility to tumors, high susceptibility to diet-induced
obesity, moderate hyperglycemia and
hyperinsulinemia</t>
  </si>
  <si>
    <t>proximity</t>
  </si>
  <si>
    <t>bioid, proxomity</t>
  </si>
  <si>
    <t>Proximity Labeling</t>
  </si>
  <si>
    <t>Proximity Labeling using BioID or Apex based assays</t>
  </si>
  <si>
    <t xml:space="preserve">FAIMS Compensation Voltage </t>
  </si>
  <si>
    <t>34 DIA windows (MS2) Scans within one cycle.</t>
  </si>
  <si>
    <t>Enrichment Fraction</t>
  </si>
  <si>
    <t>att_enrich_frac</t>
  </si>
  <si>
    <t>input</t>
  </si>
  <si>
    <t xml:space="preserve">Input </t>
  </si>
  <si>
    <t>Input for an enrichment  including immunoprecipitation, PTM enrichments.</t>
  </si>
  <si>
    <t>Elution</t>
  </si>
  <si>
    <t>Wash</t>
  </si>
  <si>
    <t>wash</t>
  </si>
  <si>
    <t>elution</t>
  </si>
  <si>
    <t>Wash fraction/Supernatant for an enrichment  including immunoprecipitation, PTM enrichments. This fraction should not contain the target peptides/proteins.</t>
  </si>
  <si>
    <t xml:space="preserve">Elution for an enrichment  including immunoprecipitation, PTM enrichments. This fraction contains the target peptides/proteins. </t>
  </si>
  <si>
    <t>MitoBlock-10</t>
  </si>
  <si>
    <t>MitoBloCK-10 (MB-10) is the first small molecule modulator to attenuate protein-associated motor (PAM) complex activity. MitoBloCK-10 (MB-10) inhibits Tim44 (C-terminal domain) binding to the precursor and to Hsp70.</t>
  </si>
  <si>
    <t>mitoblock10</t>
  </si>
  <si>
    <t>Amino Acids (Analogues)</t>
  </si>
  <si>
    <t>fbs</t>
  </si>
  <si>
    <t>nofbs</t>
  </si>
  <si>
    <t>att_cellculture_media</t>
  </si>
  <si>
    <t>10% FBS added to the cell culture media.</t>
  </si>
  <si>
    <t>No FBS used in the cell culture</t>
  </si>
  <si>
    <t>Serum Starvation.</t>
  </si>
  <si>
    <t>Normal' growth</t>
  </si>
  <si>
    <t>Cell culture conditions</t>
  </si>
  <si>
    <t>att_mice_group_age</t>
  </si>
  <si>
    <t>sol_total</t>
  </si>
  <si>
    <t>sol_pellet</t>
  </si>
  <si>
    <t>sol_supernatant</t>
  </si>
  <si>
    <t>embryo</t>
  </si>
  <si>
    <t>young</t>
  </si>
  <si>
    <t>adult</t>
  </si>
  <si>
    <t>old</t>
  </si>
  <si>
    <t>Embryonic mouse sample</t>
  </si>
  <si>
    <t>Embryo</t>
  </si>
  <si>
    <t>Young</t>
  </si>
  <si>
    <t>Adult</t>
  </si>
  <si>
    <t>Old</t>
  </si>
  <si>
    <t>Young mouse (&lt;3 weeks)</t>
  </si>
  <si>
    <t>Old mouse ( &gt; 16 month)</t>
  </si>
  <si>
    <t>Adult mouse (&gt; 3 weeks &lt; 16 month)</t>
  </si>
  <si>
    <t>att_qc_material</t>
  </si>
  <si>
    <t>QC Material</t>
  </si>
  <si>
    <t>qc_hela</t>
  </si>
  <si>
    <t>HeLa Digest</t>
  </si>
  <si>
    <t>Pierce human HeLa digest</t>
  </si>
  <si>
    <t>qc_base</t>
  </si>
  <si>
    <t>BSA Digest</t>
  </si>
  <si>
    <t>BSA digest</t>
  </si>
  <si>
    <t>no_reduction</t>
  </si>
  <si>
    <t>no_interface</t>
  </si>
  <si>
    <t>BV-2</t>
  </si>
  <si>
    <t>BV-2 cells are a murine microglial cell line commonly used as a model for studying microglial function and neuroinflammation.</t>
  </si>
  <si>
    <t>bv2</t>
  </si>
  <si>
    <t>ifng</t>
  </si>
  <si>
    <t>INFg</t>
  </si>
  <si>
    <t xml:space="preserve">Interferon gamma. </t>
  </si>
  <si>
    <t>il4</t>
  </si>
  <si>
    <t>IL4</t>
  </si>
  <si>
    <t>Interleukin 4.</t>
  </si>
  <si>
    <t>il13</t>
  </si>
  <si>
    <t>IL13</t>
  </si>
  <si>
    <t>Interleukin 13.</t>
  </si>
  <si>
    <t>asynlow</t>
  </si>
  <si>
    <t>aSny(low)</t>
  </si>
  <si>
    <t>asynhigh</t>
  </si>
  <si>
    <t>aSny(high)</t>
  </si>
  <si>
    <t>alpha-synuclein in a low concentration.</t>
  </si>
  <si>
    <t>alpha-synuclein in a high concentration.</t>
  </si>
  <si>
    <t>pbs</t>
  </si>
  <si>
    <t>PBS</t>
  </si>
  <si>
    <t>PBS control</t>
  </si>
  <si>
    <t>trexflip</t>
  </si>
  <si>
    <t>T-rex</t>
  </si>
  <si>
    <t>Flp-In T-Rex 293 Cell line</t>
  </si>
  <si>
    <t>Flp-In™ 293 T-REx cell lines is designed for rapid generation of stable cell lines that ensure homogenous expression of your protein of interest from a Flp-In™ expression vector. These cells contain a single stably integrated FRT site at a transcriptionally active genomic locus. Targeted integration of a Flp-In™ expression vector ensures high-level expression of your gene of interest.</t>
  </si>
  <si>
    <t>pisa</t>
  </si>
  <si>
    <t>PISA</t>
  </si>
  <si>
    <t>Proteome integral solubility alteration (PISA)</t>
  </si>
  <si>
    <t>PISA is based on perturbing the soluble state of the whole proteome by a temperature gradient (also named PISA-T). There are different versions of PISA and are distinguished by the temperature gradient and if a melting curve is measured.</t>
  </si>
  <si>
    <t>att_pisa_temperature_gradient</t>
  </si>
  <si>
    <t>43-57°C, 1°C / step</t>
  </si>
  <si>
    <t>pisa43571</t>
  </si>
  <si>
    <t>PISA temperature gradient from 43°C to 57°C in °C per sample steps. The supernatants are then pooled for measuring the abundance in different samples (for example treated with different reagents)</t>
  </si>
  <si>
    <t>Mouse Cre Driver</t>
  </si>
  <si>
    <t>FAIMS Gas flow</t>
  </si>
  <si>
    <t>Column Inner Diameter</t>
  </si>
  <si>
    <t>Isolation Width</t>
  </si>
  <si>
    <t>Age Group</t>
  </si>
  <si>
    <t>Cycle Time</t>
  </si>
  <si>
    <t>MS1 End</t>
  </si>
  <si>
    <t>MS1 Start</t>
  </si>
  <si>
    <t>MS2 End</t>
  </si>
  <si>
    <t>MS2 Start</t>
  </si>
  <si>
    <t>att_lc_gradient</t>
  </si>
  <si>
    <t>binary</t>
  </si>
  <si>
    <t>Binary Gradient - Buffer A and B</t>
  </si>
  <si>
    <t>Binary gradient using two buffers (A) 0.1 % formic acid and (B) 80% Acetonitrile and 0.1% formic acid</t>
  </si>
  <si>
    <t>LC Gradient Type</t>
  </si>
  <si>
    <t>endog</t>
  </si>
  <si>
    <t>Endogenous</t>
  </si>
  <si>
    <t>Endogenous immunoprecipitation</t>
  </si>
  <si>
    <t>FLAG (DYKDDDDK) tagged protein based immunoprecipitation</t>
  </si>
  <si>
    <t>GST</t>
  </si>
  <si>
    <t>Exogenous</t>
  </si>
  <si>
    <t>GST based enrichment after purification of the protein.</t>
  </si>
  <si>
    <t>Immunoprecitation/Pulldown</t>
  </si>
  <si>
    <t>att_column_dimensions</t>
  </si>
  <si>
    <t>column_length</t>
  </si>
  <si>
    <t>column_outer_diameter</t>
  </si>
  <si>
    <t>L</t>
  </si>
  <si>
    <t>ID</t>
  </si>
  <si>
    <t>OD</t>
  </si>
  <si>
    <t>Inner diameter.</t>
  </si>
  <si>
    <t>Outer diameter.</t>
  </si>
  <si>
    <t>column_inner_diameter</t>
  </si>
  <si>
    <t>Column length.</t>
  </si>
  <si>
    <t>Mouse Strain/Background</t>
  </si>
  <si>
    <t>c57bl6n</t>
  </si>
  <si>
    <t>C57BL/6N</t>
  </si>
  <si>
    <t>C57BL/6N, mutation in Nnt gene</t>
  </si>
  <si>
    <t>c57bl6nj</t>
  </si>
  <si>
    <t>C57BL/6NJ</t>
  </si>
  <si>
    <t>This is an NIH subline of C57BL/6. It was separated from C57BL/6J in 1951. Five SNP differences have been identified that distinguish C57BL/6J from C57BL/6ByJ and C57BL/6NJ. This strain does not have the deletion in the Nnt gene that has been found in the C57BL/6J strain.</t>
  </si>
  <si>
    <t>att_mouse_line</t>
  </si>
  <si>
    <t>Mouse Line</t>
  </si>
  <si>
    <t>Atm.flox/R26.LSL.Ccnd1.T286A/Trp53.flox</t>
  </si>
  <si>
    <t>R26.LSL.Ccnd1.T286A/Kmt2d.flox</t>
  </si>
  <si>
    <t>R26.LSL.Ccnd1.T286A/Trp53.flox</t>
  </si>
  <si>
    <t>Cox10_flox-Opa1V1_emKI</t>
  </si>
  <si>
    <t>Cox10_flox-Opa1V1delta4aa_emKI</t>
  </si>
  <si>
    <t>DDO KO</t>
  </si>
  <si>
    <t>R26-LSL-DDO-IRES-LacZ</t>
  </si>
  <si>
    <t>Ezh1 KO</t>
  </si>
  <si>
    <t>Ezh2 fl/fl</t>
  </si>
  <si>
    <t>Drd2-eGFP-L10a BAC</t>
  </si>
  <si>
    <t>Cg1cre; R26_LSL.Bcl2</t>
  </si>
  <si>
    <t>Drd2-Cre (ER44) B6J</t>
  </si>
  <si>
    <t>Entpd1 fl/fl</t>
  </si>
  <si>
    <t>A1R fl/fl</t>
  </si>
  <si>
    <t>R26-LSL-miR128-2-eGFP</t>
  </si>
  <si>
    <t>Nt5e fl/fl x Drd2-Cre</t>
  </si>
  <si>
    <t>Nt5e fl/fl</t>
  </si>
  <si>
    <t>EED fl/fl x G9a fl/fl x Glp fl/fl x Cx3cr1-CreERT2-EYFP</t>
  </si>
  <si>
    <t>G9a fl/fl</t>
  </si>
  <si>
    <t>Glp fl/fl</t>
  </si>
  <si>
    <t>mir-128flfl;PV-Cre</t>
  </si>
  <si>
    <t>mir-128-2 fl/fl</t>
  </si>
  <si>
    <t>PV-Cre B6J</t>
  </si>
  <si>
    <t>RosaBCamK-128</t>
  </si>
  <si>
    <t>B6.129P2(Cg)-Cx3cr1tm1Litt/J</t>
  </si>
  <si>
    <t>Csf1r fl/fl</t>
  </si>
  <si>
    <t>CAG-RFP-EGFP-LC3</t>
  </si>
  <si>
    <t>Fbl_flox/LysMCre</t>
  </si>
  <si>
    <t>Cd19.Cre/R26.LSL.Ccnd1.T286A</t>
  </si>
  <si>
    <t>Atm.flox/Cd19.Cre/R26.LSL.Ccnd1.T286A</t>
  </si>
  <si>
    <t>ATP2.H27/Cd19.Cre/R26.LSL.Ccnd1.T286A/R26.LSL.PB</t>
  </si>
  <si>
    <t>Atm.flox/ATP.H27/Cd19.Cre/R26.LSL.Ccnd1.T286A/R26.LSL.PB</t>
  </si>
  <si>
    <t>L7-Cre B6J</t>
  </si>
  <si>
    <t>R26.LSL.Ccnd1.T286A/R26.LSL.Sox11.IRES.GFP.ki</t>
  </si>
  <si>
    <t>Kmt2d.fl;R26_LSL.Bcl2</t>
  </si>
  <si>
    <t>Atm.flox/R26.LSL.Sox11.IRES.GFP.knock-in</t>
  </si>
  <si>
    <t>Atm.flox/R26.LSL.Sox11.IRES.GFP.ki/Trp53.flox</t>
  </si>
  <si>
    <t>Atm.flox/ATP-H27/R26.LSL.Ccnd1.T286A</t>
  </si>
  <si>
    <t>ATP2.H27/R26.LSL.Ccnd1.T286A</t>
  </si>
  <si>
    <t>Atm.flox/Cd19.Cre/R26.LSL.PB</t>
  </si>
  <si>
    <t>Atm.flox/Cd19.Cre/Trp53.flox</t>
  </si>
  <si>
    <t>Cd19.Cre/R26.LSL.Sox11.IRES.GFP.ki</t>
  </si>
  <si>
    <t>Cd19.Cre/R26.LSL.Ccnd1.T286A/R26.LSL.Sox11.IRES.GFP.ki</t>
  </si>
  <si>
    <t>FVB/NCrl</t>
  </si>
  <si>
    <t>Entpd1 fl/fl x Cx3cr1-CreERT2-EYFP</t>
  </si>
  <si>
    <t>A1R fl/fl x CamKIIa-Cre</t>
  </si>
  <si>
    <t>C57BL/6-Tg(TcraTcrb)1100Mjb/J</t>
  </si>
  <si>
    <t>G9a fl/fl x Glp fl/fl</t>
  </si>
  <si>
    <t>Eu.Sox11</t>
  </si>
  <si>
    <t>A1R fl/fl x PV-Cre</t>
  </si>
  <si>
    <t>EED fl/fl x Cx3cr1-CreERT2-EYFP</t>
  </si>
  <si>
    <t>Brd2 KO</t>
  </si>
  <si>
    <t>B6(Cg)-Ifnar1tm1.1Ees/J</t>
  </si>
  <si>
    <t>FVB-Tg(TcraTcrb)</t>
  </si>
  <si>
    <t>Dnajc15d2aa-Founder 43</t>
  </si>
  <si>
    <t>Dnajc15_emKO - Founder 45</t>
  </si>
  <si>
    <t>Dnajc15_emKO - Founder 48</t>
  </si>
  <si>
    <t>Kmt2d.flox/R26.LSL.Sox11.IRES.GFP.ki</t>
  </si>
  <si>
    <t>NSG (NOD.Cg-PrkdcSCIDIl2rgtm1Wjl/SzJ)</t>
  </si>
  <si>
    <t>Cd19.Cre/R26.LSL.Ccnd1.T286A/Kmt2d.fl</t>
  </si>
  <si>
    <t>Samhd1.fl/Sox11</t>
  </si>
  <si>
    <t>Ccnd1/Samhd1.fl</t>
  </si>
  <si>
    <t>Cd19.Cre/R26.LSL.PB/Eu.Sox11</t>
  </si>
  <si>
    <t>ATP.H27/Cd19.Cre/R26.LSL.PB/Eu.Sox11</t>
  </si>
  <si>
    <t>Drd1a-eGFP-L10a BAC CP73</t>
  </si>
  <si>
    <t>CBA/CaJ</t>
  </si>
  <si>
    <t>Drd1-fl-stop-fl-P2A-tdtomato-stop Founder 3</t>
  </si>
  <si>
    <t>Pu1-P2A-TurboGFPdest-P2A-TurboRFP founder 58</t>
  </si>
  <si>
    <t>Slx4ip_emKO</t>
  </si>
  <si>
    <t>B6.129P2(C)-Cx3cr1tm2.1(cre/ERT2)Jung/J</t>
  </si>
  <si>
    <t>C57BL/6-Tmem119em1(cre/ERT2)Gfng/J</t>
  </si>
  <si>
    <t>TRE;rtTA3</t>
  </si>
  <si>
    <t>Sesn1_Arg461Ala-Line-1;Sesn2_Arg390Ala-Line-1</t>
  </si>
  <si>
    <t>Cd19.Cre.Kmt2d.flox</t>
  </si>
  <si>
    <t>B6.Cg-Gt(ROSA)26Sortm1(CAG-EGFP)Brsy/J</t>
  </si>
  <si>
    <t>R26-miR128-2-eGFP</t>
  </si>
  <si>
    <t>Il34 fl/fl x Csf1 fl/fl</t>
  </si>
  <si>
    <t>Brd2 fl/fl x CAG-RFP-EGFP-LC3</t>
  </si>
  <si>
    <t>Drd1-fl-stop-fl-P2A-tdtomato-stop Founder 24</t>
  </si>
  <si>
    <t>Pu1-P2A-TurboGFPdest-P2A-TurboRFP founder 24</t>
  </si>
  <si>
    <t>Pu1-P2A-TurboGFPdest-P2A-TurboRFP founder 28</t>
  </si>
  <si>
    <t>B6J.B6N(Cg)-Cx3cr1tm1.1(cre)Jung/J</t>
  </si>
  <si>
    <t>GRZ-AD_cGas-D488V</t>
  </si>
  <si>
    <t>GRZ-AD_cGAS-Somnus</t>
  </si>
  <si>
    <t>GRZ-AD_STING</t>
  </si>
  <si>
    <t>GRZ-AD_cGAS-MAXIMUS</t>
  </si>
  <si>
    <t>GRZ-AD_NFKB</t>
  </si>
  <si>
    <t>GRZ-AD_KCC11</t>
  </si>
  <si>
    <t>GRZ-AD_KCC12</t>
  </si>
  <si>
    <t>GRZ-AD_UBI y1</t>
  </si>
  <si>
    <t>C57BL/6 N CRL</t>
  </si>
  <si>
    <t>Beta-actin-cre</t>
  </si>
  <si>
    <t>Ckmm cre</t>
  </si>
  <si>
    <t>Sentinel Stamm CD1</t>
  </si>
  <si>
    <t>CD1</t>
  </si>
  <si>
    <t>C57BL/6 J</t>
  </si>
  <si>
    <t>Parkin loxP</t>
  </si>
  <si>
    <t>B6N-Tg(Adipoq-cre)1Evdr/J</t>
  </si>
  <si>
    <t>Mgme1_KO</t>
  </si>
  <si>
    <t>Nestin Cre B6N</t>
  </si>
  <si>
    <t>B6.Cg-Tg(Nes-cre)1Kln/J</t>
  </si>
  <si>
    <t>B6.C-Tg(CMV-cre)1Cgn/J</t>
  </si>
  <si>
    <t>Projekte MPI Stoffwechselforschung</t>
  </si>
  <si>
    <t>Beta-actin-cre_J</t>
  </si>
  <si>
    <t>Oma1_flox</t>
  </si>
  <si>
    <t>Phb2_flox</t>
  </si>
  <si>
    <t>Oma1_ko_m</t>
  </si>
  <si>
    <t>Yme1l_flox</t>
  </si>
  <si>
    <t>Yme1l_flox-Oma1_flox</t>
  </si>
  <si>
    <t>Cox10_flox-Oma1_flox</t>
  </si>
  <si>
    <t>Opa1V1 emKI</t>
  </si>
  <si>
    <t>Opa1V1delta4aa emKI</t>
  </si>
  <si>
    <t>Deptor_Cys102Trp-Line-1</t>
  </si>
  <si>
    <t>Bend3_flox4</t>
  </si>
  <si>
    <t>Ubqln1del377</t>
  </si>
  <si>
    <t>K-RasLSL.G12d/+;p53fl/fl</t>
  </si>
  <si>
    <t>C57BL/6NTac-Ubqln4tm6658Tac</t>
  </si>
  <si>
    <t>Bend3_flox4_KO</t>
  </si>
  <si>
    <t>Bend3_flox2-3_MUT</t>
  </si>
  <si>
    <t>Opa1V1_emKI-mtYFP</t>
  </si>
  <si>
    <t>Opa1V1delta4aa_emKI-mtYFP</t>
  </si>
  <si>
    <t>Myh6Cre</t>
  </si>
  <si>
    <t>Yme1l_flox-Myh6Cre-Opa1V1delta4aa_emKI</t>
  </si>
  <si>
    <t>Cox10_flox-CkmmCre-Opa1V1_emKI</t>
  </si>
  <si>
    <t>Cox10_flox-CkmmCre-Opa1V1delta4aa_emKI</t>
  </si>
  <si>
    <t>ACTA_Cre</t>
  </si>
  <si>
    <t>Rosa26:LSL.3xFLAG.Ubqln1.IRES.GFP</t>
  </si>
  <si>
    <t>Trp53_flox</t>
  </si>
  <si>
    <t>Cd19.Cre</t>
  </si>
  <si>
    <t>Atm.flox</t>
  </si>
  <si>
    <t>Phlpp1_Glu1149Gly-Line-1</t>
  </si>
  <si>
    <t>Raf1_Asp633Tyr-Line-2</t>
  </si>
  <si>
    <t>Phlpp1_Leu843Pro-Line-2</t>
  </si>
  <si>
    <t>R26.UBQLN4t/t; K-RasLSL.G12d/+; p53fl/fl</t>
  </si>
  <si>
    <t>UbqIn4_flox x Beta-actin-cre_J</t>
  </si>
  <si>
    <t>Dele1_emko</t>
  </si>
  <si>
    <t>R26.LSL.Ccnd1.T286A</t>
  </si>
  <si>
    <t>SAMHD1 _Flox</t>
  </si>
  <si>
    <t>R26.U4, ACTB.Cre</t>
  </si>
  <si>
    <t>R26.LSL.Sox11.IRES.GFP.ki</t>
  </si>
  <si>
    <t>Cd19.Cre/R26.LSL.PB</t>
  </si>
  <si>
    <t>Atm.flox/Trp53.flox</t>
  </si>
  <si>
    <t>Mgme1_ko-C57BL/6J-Tmem173&lt;gt&gt;/J</t>
  </si>
  <si>
    <t>Kmt2d.flox</t>
  </si>
  <si>
    <t>Ubqln1rosat/t; K-RasLSL.G12d/+; p53fl/fl</t>
  </si>
  <si>
    <t>Atm.flox/Cd19.Cre</t>
  </si>
  <si>
    <t>Rosa26:LSL.3xFLAG.Ubqln1.IRES.GFP; ACTB.Cre</t>
  </si>
  <si>
    <t>EEF1A1-LSL.EGFPL10 x Cx3cr1-CreERT2-EYFP</t>
  </si>
  <si>
    <t>ALDH1l1-EGFP-L10a BAC</t>
  </si>
  <si>
    <t>Ubqln1_c.377delC X Ubqln4_flox</t>
  </si>
  <si>
    <t>Cd19.Cre/Trp53.flox</t>
  </si>
  <si>
    <t>Brd2 fl/fl</t>
  </si>
  <si>
    <t>Brd4 fl/fl</t>
  </si>
  <si>
    <t>EEF1A1-LSL.EGFPL10</t>
  </si>
  <si>
    <t>Cx3cr1-CreERT2-EYFP B6J</t>
  </si>
  <si>
    <t>Csk fl/fl x Cx3cr1-CreERT2-EYFP</t>
  </si>
  <si>
    <t>CamKIIa-Cre B6J</t>
  </si>
  <si>
    <t>Brd2 fl/fl x CamKIIa-Cre</t>
  </si>
  <si>
    <t>Brd4 fl/fl x CamKIIa-Cre</t>
  </si>
  <si>
    <t>Atm.flox/R26.LSL.Ccnd1.T286A</t>
  </si>
  <si>
    <t>Csk fl/fl</t>
  </si>
  <si>
    <t>SykB fl/fl x Cx3cr1-CreERT2-EYFP</t>
  </si>
  <si>
    <t>SykB fl/fl</t>
  </si>
  <si>
    <t>Pu1 fl/fl x Cx3cr1-CreERT2-EYFP x R26-LSL-tdTom Ai14</t>
  </si>
  <si>
    <t>Pu1 fl/fl</t>
  </si>
  <si>
    <t>PLCG2 fl/fl x Cx3cr1-CreERT2-EYFP</t>
  </si>
  <si>
    <t>PLCG2 fl/fl</t>
  </si>
  <si>
    <t>R26-LSL-tdTomato Ai14</t>
  </si>
  <si>
    <t>ATP2-H27/Albino_TyrG291T (AVM)</t>
  </si>
  <si>
    <t>R26-LSL-Flag-Pu1-EGFP</t>
  </si>
  <si>
    <t>Trem2 KO</t>
  </si>
  <si>
    <t>R26-LSL-tdTomato Ai14 x Fos2a-iCre-ERT2</t>
  </si>
  <si>
    <t>5XFAD x EED fl/fl</t>
  </si>
  <si>
    <t>Ezh1 fl/fl x CamkIIa-Cre</t>
  </si>
  <si>
    <t>Ezh1 fl/fl</t>
  </si>
  <si>
    <t>Il34 fl/fl</t>
  </si>
  <si>
    <t>Ccr2-CreErt2</t>
  </si>
  <si>
    <t>Csf1 fl/fl</t>
  </si>
  <si>
    <t>Csf1r fl/fl x R26-LSL-tdTomato Ai14 x Drd1a-Cre</t>
  </si>
  <si>
    <t>Drd1a-Cre EY262 B6J</t>
  </si>
  <si>
    <t>Brd2 fl/fl x Cx3cr1-CreERT2-EYFP</t>
  </si>
  <si>
    <t>Brd4 fl/fl x Cx3cr1-CreERT2-EYFP</t>
  </si>
  <si>
    <t>5XFAD</t>
  </si>
  <si>
    <t>EED fl/fl</t>
  </si>
  <si>
    <t>ml_1178</t>
  </si>
  <si>
    <t xml:space="preserve">Atm.flox/R26.LSL.Ccnd1.T286A/Trp53.flox (Jachimowicz Ron) </t>
  </si>
  <si>
    <t>ml_1179</t>
  </si>
  <si>
    <t xml:space="preserve">R26.LSL.Ccnd1.T286A/Kmt2d.flox (Jachimowicz Ron) </t>
  </si>
  <si>
    <t>ml_1180</t>
  </si>
  <si>
    <t xml:space="preserve">R26.LSL.Ccnd1.T286A/Trp53.flox (Jachimowicz Ron) </t>
  </si>
  <si>
    <t>ml_1181</t>
  </si>
  <si>
    <t xml:space="preserve">Cox10_flox-Opa1V1_emKI (Langer Thomas) </t>
  </si>
  <si>
    <t>ml_1182</t>
  </si>
  <si>
    <t xml:space="preserve">Cox10_flox-Opa1V1delta4aa_emKI (Langer Thomas) </t>
  </si>
  <si>
    <t>ml_1183</t>
  </si>
  <si>
    <t>DDO KO (Schaefer Anne) Errico 2006, no MTA necessary (info Sarah Veugelen 03/2022)</t>
  </si>
  <si>
    <t>ml_1184</t>
  </si>
  <si>
    <t>R26-LSL-DDO-IRES-LacZ (Schaefer Anne) DeRosa 2020, no MTA necessary (info Sarah Veugelen 03/2022)</t>
  </si>
  <si>
    <t>ml_1185</t>
  </si>
  <si>
    <t>Ezh1 KO (Schaefer Anne) http://www.informatics.jax.org/allele/MGI:4941012</t>
  </si>
  <si>
    <t>ml_1186</t>
  </si>
  <si>
    <t>Ezh2 fl/fl (Schaefer Anne) Su 2002</t>
  </si>
  <si>
    <t>ml_1187</t>
  </si>
  <si>
    <t>Drd2-eGFP-L10a BAC (Schaefer Anne) JAX #030255 (Doyle 2008), founder CP101, relocation approval NY-CGN JAX 29.03.2022</t>
  </si>
  <si>
    <t>ml_1189</t>
  </si>
  <si>
    <t xml:space="preserve">Cg1cre; R26_LSL.Bcl2 (Jachimowicz Ron) </t>
  </si>
  <si>
    <t>ml_1201</t>
  </si>
  <si>
    <t>Drd2-Cre (ER44) B6J (Schaefer Anne) MMRRC:032108-UCD (backcross from 017263-UCD)</t>
  </si>
  <si>
    <t>ml_1202</t>
  </si>
  <si>
    <t>Entpd1 fl/fl (Schaefer Anne) '=CD39, Rothweiler 2019</t>
  </si>
  <si>
    <t>ml_1203</t>
  </si>
  <si>
    <t>A1R fl/fl (Schaefer Anne) Scammell 2003</t>
  </si>
  <si>
    <t>ml_1204</t>
  </si>
  <si>
    <t>R26-LSL-miR128-2-eGFP (Schaefer Anne) Tan 2013 (Anne)</t>
  </si>
  <si>
    <t>ml_1205</t>
  </si>
  <si>
    <t>Nt5e fl/fl x Drd2-Cre (Schaefer Anne) Nt5e = CD73</t>
  </si>
  <si>
    <t>ml_1206</t>
  </si>
  <si>
    <t>Nt5e fl/fl (Schaefer Anne) '=CD73, not published, from Natasha Snider at UNC Chapel Hill</t>
  </si>
  <si>
    <t>ml_1208</t>
  </si>
  <si>
    <t xml:space="preserve">EED fl/fl x G9a fl/fl x Glp fl/fl x Cx3cr1-CreERT2-EYFP (Schaefer Anne) </t>
  </si>
  <si>
    <t>ml_1209</t>
  </si>
  <si>
    <t>G9a fl/fl (Schaefer Anne) Sampath 2007 (Alexander Tarakhovsky)</t>
  </si>
  <si>
    <t>ml_1210</t>
  </si>
  <si>
    <t>Glp fl/fl (Schaefer Anne) Schaefer 2009</t>
  </si>
  <si>
    <t>ml_1215</t>
  </si>
  <si>
    <t xml:space="preserve">mir-128flfl;PV-Cre (Schaefer Anne) </t>
  </si>
  <si>
    <t>ml_1216</t>
  </si>
  <si>
    <t>mir-128-2 fl/fl (Schaefer Anne) Tan 2013 (Anne Schaefer)</t>
  </si>
  <si>
    <t>ml_1217</t>
  </si>
  <si>
    <t>PV-Cre B6J (Schaefer Anne) JAX #017320</t>
  </si>
  <si>
    <t>ml_1218</t>
  </si>
  <si>
    <t xml:space="preserve">RosaBCamK-128 (Schaefer Anne) </t>
  </si>
  <si>
    <t>ml_1219</t>
  </si>
  <si>
    <t>B6.129P2(Cg)-Cx3cr1tm1Litt/J (Schaefer Anne) Jackson #005582, ordered by MPI</t>
  </si>
  <si>
    <t>ml_1226</t>
  </si>
  <si>
    <t>Csf1r fl/fl (Schaefer Anne) JAX #021212</t>
  </si>
  <si>
    <t>ml_1228</t>
  </si>
  <si>
    <t>CAG-RFP-EGFP-LC3 (Schaefer Anne) JAX #027139, ordered by MPI</t>
  </si>
  <si>
    <t>ml_1229</t>
  </si>
  <si>
    <t xml:space="preserve">Fbl_flox/LysMCre (Antebi Adam) </t>
  </si>
  <si>
    <t>ml_1233</t>
  </si>
  <si>
    <t>Cd19.Cre/R26.LSL.Ccnd1.T286A (Jachimowicz Ron) Verpaarung aus 1031 + 1061</t>
  </si>
  <si>
    <t>ml_1234</t>
  </si>
  <si>
    <t>Atm.flox/Cd19.Cre/R26.LSL.Ccnd1.T286A (Jachimowicz Ron) Verpaarung aus 1031 + 1061 + 1033</t>
  </si>
  <si>
    <t>ml_1235</t>
  </si>
  <si>
    <t>ATP2.H27/Cd19.Cre/R26.LSL.Ccnd1.T286A/R26.LSL.PB (Jachimowicz Ron) Verpaarung aus 1061+1133+1065</t>
  </si>
  <si>
    <t>ml_1236</t>
  </si>
  <si>
    <t>Atm.flox/ATP.H27/Cd19.Cre/R26.LSL.Ccnd1.T286A/R26.LSL.PB (Jachimowicz Ron) Verpaarung aus 1061+1133+1033+1065</t>
  </si>
  <si>
    <t>ml_1237</t>
  </si>
  <si>
    <t>L7-Cre B6J (Schaefer Anne) Import aus dem CECAD (Elena Rugarli), active from P5 on, mosaicism!, Barski et al 2000</t>
  </si>
  <si>
    <t>ml_1242</t>
  </si>
  <si>
    <t>R26.LSL.Ccnd1.T286A/R26.LSL.Sox11.IRES.GFP.ki (Jachimowicz Ron) Verpaarung aus 1064 + 1061</t>
  </si>
  <si>
    <t>ml_1253</t>
  </si>
  <si>
    <t xml:space="preserve">Kmt2d.fl;R26_LSL.Bcl2 (Hansen Julia) </t>
  </si>
  <si>
    <t>ml_1272</t>
  </si>
  <si>
    <t xml:space="preserve">Atm.flox/R26.LSL.Sox11.IRES.GFP.knock-in (Jachimowicz Ron) </t>
  </si>
  <si>
    <t>ml_1273</t>
  </si>
  <si>
    <t xml:space="preserve">Atm.flox/R26.LSL.Sox11.IRES.GFP.ki/Trp53.flox (Jachimowicz Ron) </t>
  </si>
  <si>
    <t>ml_1274</t>
  </si>
  <si>
    <t xml:space="preserve">Atm.flox/ATP-H27/R26.LSL.Ccnd1.T286A (Jachimowicz Ron) </t>
  </si>
  <si>
    <t>ml_1275</t>
  </si>
  <si>
    <t xml:space="preserve">ATP2.H27/R26.LSL.Ccnd1.T286A (Jachimowicz Ron) </t>
  </si>
  <si>
    <t>ml_1276</t>
  </si>
  <si>
    <t>Atm.flox/Cd19.Cre/R26.LSL.PB (Jachimowicz Ron) Generation of genetically modified mouse models 2022.A090, approved as parental line for line 4.</t>
  </si>
  <si>
    <t>ml_1277</t>
  </si>
  <si>
    <t xml:space="preserve">Atm.flox/Cd19.Cre/Trp53.flox (Jachimowicz Ron) </t>
  </si>
  <si>
    <t>ml_1280</t>
  </si>
  <si>
    <t xml:space="preserve">Cd19.Cre/R26.LSL.Sox11.IRES.GFP.ki (Jachimowicz Ron) </t>
  </si>
  <si>
    <t>ml_1281</t>
  </si>
  <si>
    <t xml:space="preserve">Cd19.Cre/R26.LSL.Ccnd1.T286A/R26.LSL.Sox11.IRES.GFP.ki (Jachimowicz Ron) </t>
  </si>
  <si>
    <t>ml_1286</t>
  </si>
  <si>
    <t>FVB/NCrl (Voigt Ingo) inbred strain from Charles River
Coat Color White (albino)</t>
  </si>
  <si>
    <t>ml_1304</t>
  </si>
  <si>
    <t xml:space="preserve">Entpd1 fl/fl x Cx3cr1-CreERT2-EYFP (Schaefer Anne) </t>
  </si>
  <si>
    <t>ml_1305</t>
  </si>
  <si>
    <t xml:space="preserve">A1R fl/fl x CamKIIa-Cre (Schaefer Anne) </t>
  </si>
  <si>
    <t>ml_1306</t>
  </si>
  <si>
    <t>C57BL/6-Tg(TcraTcrb)1100Mjb/J (Ratz Leonie) Jax Stock: 003831</t>
  </si>
  <si>
    <t>ml_1307</t>
  </si>
  <si>
    <t xml:space="preserve">G9a fl/fl x Glp fl/fl (Schaefer Anne) </t>
  </si>
  <si>
    <t>ml_1309</t>
  </si>
  <si>
    <t>Eu.Sox11 (Jachimowicz Ron) Import from Ohio State University</t>
  </si>
  <si>
    <t>ml_1310</t>
  </si>
  <si>
    <t xml:space="preserve">A1R fl/fl x PV-Cre (Schaefer Anne) </t>
  </si>
  <si>
    <t>ml_1311</t>
  </si>
  <si>
    <t xml:space="preserve">EED fl/fl x Cx3cr1-CreERT2-EYFP (Schaefer Anne) </t>
  </si>
  <si>
    <t>ml_1312</t>
  </si>
  <si>
    <t>Brd2 KO (Schaefer Anne) homozygous embryonic lethal</t>
  </si>
  <si>
    <t>ml_1314</t>
  </si>
  <si>
    <t>B6(Cg)-Ifnar1tm1.1Ees/J (Schaefer Anne) JAX 028256 (ordered by MPI)</t>
  </si>
  <si>
    <t>ml_1321</t>
  </si>
  <si>
    <t>Phb2_flox-Opa1V1_emKI</t>
  </si>
  <si>
    <t xml:space="preserve">Phb2_flox-Opa1V1_emKI (Pazurek Lilli) </t>
  </si>
  <si>
    <t>ml_1322</t>
  </si>
  <si>
    <t>Phb2_flox-Opa1V1delta4aa_emKI</t>
  </si>
  <si>
    <t xml:space="preserve">Phb2_flox-Opa1V1delta4aa_emKI (Langer Thomas) </t>
  </si>
  <si>
    <t>ml_1323</t>
  </si>
  <si>
    <t>FVB-Tg(TcraTcrb) (Ratz Leonie) Rückkreuzung von OT-1 in FVB</t>
  </si>
  <si>
    <t>ml_1324</t>
  </si>
  <si>
    <t>Dnajc15d2aa-Founder 43 (Langer Thomas) Dnajc15d2aa offspring from Founder 43</t>
  </si>
  <si>
    <t>ml_1325</t>
  </si>
  <si>
    <t>Dnajc15_emKO - Founder 45 (Langer Thomas) Dnajc15_emKO offspring from Founder 45</t>
  </si>
  <si>
    <t>ml_1326</t>
  </si>
  <si>
    <t>Dnajc15_emKO - Founder 48 (Langer Thomas) Dnajc15_emKO offspring from Founder 48</t>
  </si>
  <si>
    <t>ml_1328</t>
  </si>
  <si>
    <t xml:space="preserve">Kmt2d.flox/R26.LSL.Sox11.IRES.GFP.ki (Broeckelmann Paul) </t>
  </si>
  <si>
    <t>ml_1330</t>
  </si>
  <si>
    <t>NSG (NOD.Cg-PrkdcSCIDIl2rgtm1Wjl/SzJ) (Jachimowicz Ron) https://www.jax.org/strain/005557</t>
  </si>
  <si>
    <t>ml_1331</t>
  </si>
  <si>
    <t xml:space="preserve">Cd19.Cre/R26.LSL.Ccnd1.T286A/Kmt2d.fl (Jachimowicz Ron) </t>
  </si>
  <si>
    <t>ml_1333</t>
  </si>
  <si>
    <t>Dnajc15d2aa-Founder</t>
  </si>
  <si>
    <t>Dnajc15d2aa-Founder (Langer Thomas) 87</t>
  </si>
  <si>
    <t>ml_1334</t>
  </si>
  <si>
    <t>shortDnajc15_emKI-Founder</t>
  </si>
  <si>
    <t>shortDnajc15_emKI-Founder (Langer Thomas) 52</t>
  </si>
  <si>
    <t>ml_1335</t>
  </si>
  <si>
    <t>shortDnajc15_emKI-Founder (Langer Thomas) 53</t>
  </si>
  <si>
    <t>ml_1336</t>
  </si>
  <si>
    <t xml:space="preserve">Samhd1.fl/Sox11 (Broeckelmann Paul) </t>
  </si>
  <si>
    <t>ml_1337</t>
  </si>
  <si>
    <t xml:space="preserve">Ccnd1/Samhd1.fl (Broeckelmann Paul) </t>
  </si>
  <si>
    <t>ml_1339</t>
  </si>
  <si>
    <t xml:space="preserve">Cd19.Cre/R26.LSL.PB/Eu.Sox11 (Jachimowicz Ron) </t>
  </si>
  <si>
    <t>ml_1340</t>
  </si>
  <si>
    <t xml:space="preserve">ATP.H27/Cd19.Cre/R26.LSL.PB/Eu.Sox11 (Jachimowicz Ron) </t>
  </si>
  <si>
    <t>ml_1348</t>
  </si>
  <si>
    <t>Drd1a-eGFP-L10a BAC CP73 (Schaefer Anne) JAX 030254, het viable and fertile, hom probably not viable</t>
  </si>
  <si>
    <t>ml_1353</t>
  </si>
  <si>
    <t>CBA/CaJ (Schaefer Anne) JAX #000654, ordered by MPI</t>
  </si>
  <si>
    <t>ml_1354</t>
  </si>
  <si>
    <t>Drd1-fl-stop-fl-P2A-tdtomato-stop Founder 3 (Schaefer Anne) made by Nils Brose, MPI Goettingen, for Schaefer, founder 3</t>
  </si>
  <si>
    <t>ml_1355</t>
  </si>
  <si>
    <t>Pu1-P2A-TurboGFPdest-P2A-TurboRFP founder 58 (Schaefer Anne) made by Nils Brose, MPI Goettingen, for Schaefer, founder 58</t>
  </si>
  <si>
    <t>ml_1358</t>
  </si>
  <si>
    <t>Slx4ip_emKO (Voigt Ingo) made in house Slx4ip ko by CRISPR/CAS9</t>
  </si>
  <si>
    <t>ml_1362</t>
  </si>
  <si>
    <t>B6.129P2(C)-Cx3cr1tm2.1(cre/ERT2)Jung/J (Langer Thomas) The Jackson Laboratory Linie #020940
Tamoxifen induzierbare Cre-Expression in Mikroglia und peripheren Myeloidzellen</t>
  </si>
  <si>
    <t>ml_1363</t>
  </si>
  <si>
    <t xml:space="preserve">C57BL/6-Tmem119em1(cre/ERT2)Gfng/J (Langer Thomas) The Jackson Laboratory Linie #031820_x000D_
Tamoxifen induzierbare Cre-Expression in Mikroglia </t>
  </si>
  <si>
    <t>ml_1364</t>
  </si>
  <si>
    <t xml:space="preserve">TRE;rtTA3 (Jachimowicz Ron) </t>
  </si>
  <si>
    <t>ml_1366</t>
  </si>
  <si>
    <t xml:space="preserve">Sesn1_Arg461Ala-Line-1;Sesn2_Arg390Ala-Line-1 (Deelen Joris) </t>
  </si>
  <si>
    <t>ml_1367</t>
  </si>
  <si>
    <t xml:space="preserve">Cd19.Cre.Kmt2d.flox (Bruzeau Charlotte) </t>
  </si>
  <si>
    <t>ml_1375</t>
  </si>
  <si>
    <t>B6.Cg-Gt(ROSA)26Sortm1(CAG-EGFP)Brsy/J (Sprenger Hans) Strain #:032290 
import from Jax</t>
  </si>
  <si>
    <t>ml_1377</t>
  </si>
  <si>
    <t>R26-miR128-2-eGFP (Schaefer Anne) R26-miR128-2-eGFP crossed with CMV-Cre</t>
  </si>
  <si>
    <t>ml_1385</t>
  </si>
  <si>
    <t xml:space="preserve">Il34 fl/fl x Csf1 fl/fl (Schaefer Anne) </t>
  </si>
  <si>
    <t>ml_1386</t>
  </si>
  <si>
    <t>ml_1387</t>
  </si>
  <si>
    <t xml:space="preserve">Brd2 fl/fl x CAG-RFP-EGFP-LC3 (Schaefer Anne) </t>
  </si>
  <si>
    <t>ml_1391</t>
  </si>
  <si>
    <t>Drd1-fl-stop-fl-P2A-tdtomato-stop Founder 24 (Schaefer Anne) made by Nils Brose, MPI Goettingen, for Schaefer, founder 24</t>
  </si>
  <si>
    <t>ml_1392</t>
  </si>
  <si>
    <t>Pu1-P2A-TurboGFPdest-P2A-TurboRFP founder 24 (Schaefer Anne) made by Nils Brose, MPI Goettingen, for Schaefer, founder 24</t>
  </si>
  <si>
    <t>ml_1393</t>
  </si>
  <si>
    <t>Pu1-P2A-TurboGFPdest-P2A-TurboRFP founder 28 (Schaefer Anne) made by Nils Brose, MPI Goettingen, for Schaefer, founder 28</t>
  </si>
  <si>
    <t>ml_1396</t>
  </si>
  <si>
    <t>B6J.B6N(Cg)-Cx3cr1tm1.1(cre)Jung/J (Schaefer Anne) JAX #025524, ordered by MPI</t>
  </si>
  <si>
    <t>ml_1411</t>
  </si>
  <si>
    <t>GRZ-AD</t>
  </si>
  <si>
    <t>GRZ-AD (Liu Georg) kurzlebige Linie</t>
  </si>
  <si>
    <t>ml_1412</t>
  </si>
  <si>
    <t>ZMZ1001</t>
  </si>
  <si>
    <t>ZMZ1001 (Liu Georg) langlebige Linie</t>
  </si>
  <si>
    <t>ml_1413</t>
  </si>
  <si>
    <t xml:space="preserve">GRZ-AD_cGas-D488V (Liu Georg) </t>
  </si>
  <si>
    <t>ml_1414</t>
  </si>
  <si>
    <t xml:space="preserve">GRZ-AD_cGAS-Somnus (Ballhysa Eugen) </t>
  </si>
  <si>
    <t>ml_1417</t>
  </si>
  <si>
    <t xml:space="preserve">GRZ-AD_STING (Ballhysa Eugen) </t>
  </si>
  <si>
    <t>ml_1418</t>
  </si>
  <si>
    <t xml:space="preserve">GRZ-AD_cGAS-MAXIMUS (Ballhysa Eugen) </t>
  </si>
  <si>
    <t>ml_1419</t>
  </si>
  <si>
    <t xml:space="preserve">GRZ-AD_NFKB (Ballhysa Eugen) </t>
  </si>
  <si>
    <t>ml_1420</t>
  </si>
  <si>
    <t xml:space="preserve">GRZ-AD_KCC11 (Chen Chu) </t>
  </si>
  <si>
    <t>ml_1421</t>
  </si>
  <si>
    <t xml:space="preserve">GRZ-AD_KCC12 (Chen Chu) </t>
  </si>
  <si>
    <t>ml_1422</t>
  </si>
  <si>
    <t>KLARA</t>
  </si>
  <si>
    <t>KLARA (Liu Georg) Transparent</t>
  </si>
  <si>
    <t>ml_1425</t>
  </si>
  <si>
    <t xml:space="preserve">GRZ-AD_UBI y1 (Ballhysa Eugen) </t>
  </si>
  <si>
    <t>ml_2</t>
  </si>
  <si>
    <t xml:space="preserve">C57BL/6 N CRL (Common Common) basiert auf Charles River, Sulzfeld </t>
  </si>
  <si>
    <t>ml_10</t>
  </si>
  <si>
    <t>Beta-actin-cre (Langer Thomas) Lewandowski et al 1997_x000D_
https://pubmed.ncbi.nlm.nih.gov/9598348</t>
  </si>
  <si>
    <t>ml_17</t>
  </si>
  <si>
    <t>Ckmm cre (Langer Thomas) From Harvard Medical School (Brüning JC, Michael MD, Winnay JN, Hayashi T, Hörsch D, Accili D, Goodyear LJ, Kahn CR. 1998.  A muscle-specific insulin receptor knockout exhibits features of the metabolic syndrome of NIDDM without altering glucose tolerance. Mol Cell. 2(5):559-69)</t>
  </si>
  <si>
    <t>ml_62</t>
  </si>
  <si>
    <t xml:space="preserve">Sentinel Stamm CD1 (Common Common) </t>
  </si>
  <si>
    <t>ml_88</t>
  </si>
  <si>
    <t xml:space="preserve">CD1 (Common Common) </t>
  </si>
  <si>
    <t>ml_132</t>
  </si>
  <si>
    <t xml:space="preserve">C57BL/6 J (Common Common) </t>
  </si>
  <si>
    <t>ml_417</t>
  </si>
  <si>
    <t>Parkin loxP (Larsson Nils-Göran) received from Valina Dawson (MTA for Hopkins and Lexicon), Von Coelln et al 2004</t>
  </si>
  <si>
    <t>ml_669</t>
  </si>
  <si>
    <t xml:space="preserve">B6N-Tg(Adipoq-cre)1Evdr/J (Grönke Sebastian) </t>
  </si>
  <si>
    <t>ml_677</t>
  </si>
  <si>
    <t xml:space="preserve">Mgme1_KO (Larsson Nils-Göran) </t>
  </si>
  <si>
    <t>ml_695</t>
  </si>
  <si>
    <t xml:space="preserve">Nestin Cre B6N (Partridge Linda) </t>
  </si>
  <si>
    <t>ml_762</t>
  </si>
  <si>
    <t>B6.Cg-Tg(Nes-cre)1Kln/J (Schaefer Anne) Import vom Jax-Lab_x000D_
Stock No: 003771, relocation approval NY-CGN JAX 29.03.2022, can be leaky</t>
  </si>
  <si>
    <t>ml_763</t>
  </si>
  <si>
    <t>B6.C-Tg(CMV-cre)1Cgn/J (Schaefer Anne) Import vom JAX-Lab (Martin Denzel)_x000D_
Stock No: 006054 | CMV-Cre   (cre-deleter)_x000D_
Cre is X linked</t>
  </si>
  <si>
    <t>ml_797</t>
  </si>
  <si>
    <t>Projekte MPI Stoffwechselforschung (Voigt Ingo) Projekte der TCF für das MPI für Stoffwechselforschung werden übe diese Linie abgewickelt.</t>
  </si>
  <si>
    <t>ml_873</t>
  </si>
  <si>
    <t>Beta-actin-cre_J (Demetriades Constantinos) This is line 10-Beta-actin-cre backcrossed to B6J background.</t>
  </si>
  <si>
    <t>ml_912</t>
  </si>
  <si>
    <t>Oma1_flox (Langer Thomas) (Eigen-) Import aus CECAD (mint)</t>
  </si>
  <si>
    <t>ml_913</t>
  </si>
  <si>
    <t>Phb2_flox (Langer Thomas) (Eigen-) Import aus CECAD (mint)</t>
  </si>
  <si>
    <t>ml_914</t>
  </si>
  <si>
    <t>Oma1_ko_m (Langer Thomas) (Eigen-) Import aus CECAD (mint)_x000D_
A loxP site was inserted upstream of exon 3 and an FRT flanked neo cassette and loxP site were inserted downstream of exon 3 via homologous recombination. Flp-mediated recombination removed the neo cassette. The full body knockout was achieved by crossing Oma fl/fl mice to a Cre-deleter line.</t>
  </si>
  <si>
    <t>ml_916</t>
  </si>
  <si>
    <t>Yme1l_flox (Langer Thomas) (Eigen-) Import aus CECAD (mint)</t>
  </si>
  <si>
    <t>ml_918</t>
  </si>
  <si>
    <t xml:space="preserve">Yme1l_flox-Oma1_flox (Langer Thomas) </t>
  </si>
  <si>
    <t>ml_927</t>
  </si>
  <si>
    <t>Cox10_flox</t>
  </si>
  <si>
    <t xml:space="preserve">Cox10_flox (Langer Thomas) </t>
  </si>
  <si>
    <t>ml_928</t>
  </si>
  <si>
    <t xml:space="preserve">Cox10_flox-Oma1_flox (Langer Thomas) </t>
  </si>
  <si>
    <t>ml_937</t>
  </si>
  <si>
    <t xml:space="preserve">Opa1V1 emKI (Langer Thomas) </t>
  </si>
  <si>
    <t>ml_938</t>
  </si>
  <si>
    <t xml:space="preserve">Opa1V1delta4aa emKI (Langer Thomas) </t>
  </si>
  <si>
    <t>ml_963</t>
  </si>
  <si>
    <t>Clpb_flox</t>
  </si>
  <si>
    <t xml:space="preserve">Clpb_flox (Langer Thomas) </t>
  </si>
  <si>
    <t>ml_991</t>
  </si>
  <si>
    <t xml:space="preserve">Deptor_Cys102Trp-Line-1 (Deelen Joris) </t>
  </si>
  <si>
    <t>ml_994</t>
  </si>
  <si>
    <t>Bend3_flox4 (Demetriades Constantinos) made in house by CRISPR/Cas9,  loxP sites flanking exon 4</t>
  </si>
  <si>
    <t>ml_1004</t>
  </si>
  <si>
    <t>Ubqln1del377 (Jachimowicz Ron) EP in CECAD</t>
  </si>
  <si>
    <t>ml_1012</t>
  </si>
  <si>
    <t>K-RasLSL.G12d/+;p53fl/fl (Jachimowicz Ron) imported from CECAD</t>
  </si>
  <si>
    <t>ml_1015</t>
  </si>
  <si>
    <t>C57BL/6NTac-Ubqln4tm6658Tac (Jachimowicz Ron) Import/Hergestellt  von Taconic Project K#0037</t>
  </si>
  <si>
    <t>ml_1016</t>
  </si>
  <si>
    <t>Bend3_flox4_KO (Demetriades Constantinos) made in house by CRISPR/Cas9, missing part of exon 4 between loxP sites</t>
  </si>
  <si>
    <t>ml_1017</t>
  </si>
  <si>
    <t>Bend3_flox2-3_MUT (Demetriades Constantinos) made in house by CRISPR/Cas9, mutated ATG</t>
  </si>
  <si>
    <t>ml_1018</t>
  </si>
  <si>
    <t xml:space="preserve">Opa1V1_emKI-mtYFP (Langer Thomas) </t>
  </si>
  <si>
    <t>ml_1019</t>
  </si>
  <si>
    <t xml:space="preserve">Opa1V1delta4aa_emKI-mtYFP (Langer Thomas) </t>
  </si>
  <si>
    <t>ml_1020</t>
  </si>
  <si>
    <t xml:space="preserve">Myh6Cre (Langer Thomas) </t>
  </si>
  <si>
    <t>ml_1022</t>
  </si>
  <si>
    <t xml:space="preserve">Yme1l_flox-Myh6Cre-Opa1V1delta4aa_emKI (Langer Thomas) </t>
  </si>
  <si>
    <t>ml_1023</t>
  </si>
  <si>
    <t xml:space="preserve">Cox10_flox-CkmmCre-Opa1V1_emKI (Langer Thomas) </t>
  </si>
  <si>
    <t>ml_1024</t>
  </si>
  <si>
    <t xml:space="preserve">Cox10_flox-CkmmCre-Opa1V1delta4aa_emKI (Langer Thomas) </t>
  </si>
  <si>
    <t>ml_1025</t>
  </si>
  <si>
    <t>ACTA_Cre (Langer Thomas) Miniou, P., Tiziano, D., Frugier, T., Roblot, N., Le Meur, M., and Melki, J. (1999). Gene targeting restricted to mouse striated muscle lineage. Nucleic Acids Res. 27.</t>
  </si>
  <si>
    <t>ml_1028</t>
  </si>
  <si>
    <t>Rosa26:LSL.3xFLAG.Ubqln1.IRES.GFP (Jachimowicz Ron) made in house</t>
  </si>
  <si>
    <t>ml_1030</t>
  </si>
  <si>
    <t xml:space="preserve">Trp53_flox (Hansen Julia) </t>
  </si>
  <si>
    <t>ml_1031</t>
  </si>
  <si>
    <t>Cd19.Cre (Jachimowicz Ron) Import vom CECAD</t>
  </si>
  <si>
    <t>ml_1033</t>
  </si>
  <si>
    <t xml:space="preserve">Atm.flox (Jachimowicz Ron) </t>
  </si>
  <si>
    <t>ml_1034</t>
  </si>
  <si>
    <t xml:space="preserve">Phlpp1_Glu1149Gly-Line-1 (Deelen Joris) </t>
  </si>
  <si>
    <t>ml_1039</t>
  </si>
  <si>
    <t xml:space="preserve">Raf1_Asp633Tyr-Line-2 (Deelen Joris) </t>
  </si>
  <si>
    <t>ml_1041</t>
  </si>
  <si>
    <t xml:space="preserve">Phlpp1_Leu843Pro-Line-2 (Deelen Joris) </t>
  </si>
  <si>
    <t>ml_1043</t>
  </si>
  <si>
    <t xml:space="preserve">R26.UBQLN4t/t; K-RasLSL.G12d/+; p53fl/fl (Jachimowicz Ron) </t>
  </si>
  <si>
    <t>ml_1045</t>
  </si>
  <si>
    <t xml:space="preserve">UbqIn4_flox x Beta-actin-cre_J (Jachimowicz Ron) </t>
  </si>
  <si>
    <t>ml_1048</t>
  </si>
  <si>
    <t>Dele1_emko (Langer Thomas) Die Phänotyp ist unbekannt. Wir gehen von keiner Belastung aus.</t>
  </si>
  <si>
    <t>ml_1061</t>
  </si>
  <si>
    <t xml:space="preserve">R26.LSL.Ccnd1.T286A (Jachimowicz Ron) </t>
  </si>
  <si>
    <t>ml_1062</t>
  </si>
  <si>
    <t>SAMHD1 _Flox (Jachimowicz Ron) sperm import from Prof. Rehwinkel/Oxford  https://www.ncbi.nlm.nih.gov/pmc/articles/PMC3770946</t>
  </si>
  <si>
    <t>ml_1063</t>
  </si>
  <si>
    <t xml:space="preserve">R26.U4, ACTB.Cre (Jachimowicz Ron) </t>
  </si>
  <si>
    <t>ml_1064</t>
  </si>
  <si>
    <t>R26.LSL.Sox11.IRES.GFP.ki (Jachimowicz Ron) made in house</t>
  </si>
  <si>
    <t>ml_1065</t>
  </si>
  <si>
    <t>Cd19.Cre/R26.LSL.PB (Jachimowicz Ron) Import from CECAD</t>
  </si>
  <si>
    <t>ml_1067</t>
  </si>
  <si>
    <t xml:space="preserve">Atm.flox/Trp53.flox (Jachimowicz Ron) </t>
  </si>
  <si>
    <t>ml_1068</t>
  </si>
  <si>
    <t xml:space="preserve">Mgme1_ko-C57BL/6J-Tmem173&lt;gt&gt;/J (Langer Thomas) </t>
  </si>
  <si>
    <t>ml_1070</t>
  </si>
  <si>
    <t>Kmt2d.flox (Jachimowicz Ron) sperm import from UK Essen (AG C. Reinhardt)</t>
  </si>
  <si>
    <t>ml_1071</t>
  </si>
  <si>
    <t xml:space="preserve">Ubqln1rosat/t; K-RasLSL.G12d/+; p53fl/fl (Jachimowicz Ron) </t>
  </si>
  <si>
    <t>ml_1072</t>
  </si>
  <si>
    <t>Cox10_flox-CkmmCre-Dele1_emKO</t>
  </si>
  <si>
    <t xml:space="preserve">Cox10_flox-CkmmCre-Dele1_emKO (Langer Thomas) </t>
  </si>
  <si>
    <t>ml_1073</t>
  </si>
  <si>
    <t xml:space="preserve">Atm.flox/Cd19.Cre (Jachimowicz Ron) </t>
  </si>
  <si>
    <t>ml_1077</t>
  </si>
  <si>
    <t>Myd88cond_p.L252P/R26_LSL.Bcl2/Prdm1</t>
  </si>
  <si>
    <t>Myd88cond_p.L252P/R26_LSL.Bcl2/Prdm1 (Jachimowicz Ron) import vom CECAD</t>
  </si>
  <si>
    <t>ml_1081</t>
  </si>
  <si>
    <t xml:space="preserve">Rosa26:LSL.3xFLAG.Ubqln1.IRES.GFP; ACTB.Cre (Huetzen Maxim) </t>
  </si>
  <si>
    <t>ml_1082</t>
  </si>
  <si>
    <t>Clpb_flox-CkmmCre</t>
  </si>
  <si>
    <t xml:space="preserve">Clpb_flox-CkmmCre (Langer Thomas) </t>
  </si>
  <si>
    <t>ml_1083</t>
  </si>
  <si>
    <t>Clpb_flox-NestinCre</t>
  </si>
  <si>
    <t xml:space="preserve">Clpb_flox-NestinCre (Langer Thomas) </t>
  </si>
  <si>
    <t>ml_1087</t>
  </si>
  <si>
    <t xml:space="preserve">EEF1A1-LSL.EGFPL10 x Cx3cr1-CreERT2-EYFP (Schaefer Anne) </t>
  </si>
  <si>
    <t>ml_1088</t>
  </si>
  <si>
    <t>ALDH1l1-EGFP-L10a BAC (Schaefer Anne) JAX #030247, relocation approval NY-CGN JAX 29.03.2022</t>
  </si>
  <si>
    <t>ml_1089</t>
  </si>
  <si>
    <t xml:space="preserve">Ubqln1_c.377delC X Ubqln4_flox (Huetzen Maxim) </t>
  </si>
  <si>
    <t>ml_1114</t>
  </si>
  <si>
    <t xml:space="preserve">Cd19.Cre/Trp53.flox (Fluemann Ruth) </t>
  </si>
  <si>
    <t>ml_1115</t>
  </si>
  <si>
    <t>Brd2 fl/fl (Schaefer Anne) Debra J Wolgemuth (unpublished)</t>
  </si>
  <si>
    <t>ml_1116</t>
  </si>
  <si>
    <t>Brd4 fl/fl (Schaefer Anne) Dey 2019</t>
  </si>
  <si>
    <t>ml_1117</t>
  </si>
  <si>
    <t>EEF1A1-LSL.EGFPL10 (Schaefer Anne) JAX #030305 (Stanley 2013), relocation approval NY-CGN JAX 29.03.2022</t>
  </si>
  <si>
    <t>ml_1118</t>
  </si>
  <si>
    <t>Cx3cr1-CreERT2-EYFP B6J (Schaefer Anne) JAX #021160 (Parkhurst 2013), relocation approval NY-CGN JAX 29.03.2022, also expresses eYFP</t>
  </si>
  <si>
    <t>ml_1119</t>
  </si>
  <si>
    <t xml:space="preserve">Csk fl/fl x Cx3cr1-CreERT2-EYFP (Schaefer Anne) </t>
  </si>
  <si>
    <t>ml_1120</t>
  </si>
  <si>
    <t>CamKIIa-Cre B6J (Schaefer Anne) JAX #005359, relocation approval NY-CGN JAX 29.03.2022, leaky in male germ line</t>
  </si>
  <si>
    <t>ml_1121</t>
  </si>
  <si>
    <t xml:space="preserve">Brd2 fl/fl x CamKIIa-Cre (Schaefer Anne) </t>
  </si>
  <si>
    <t>ml_1122</t>
  </si>
  <si>
    <t xml:space="preserve">Brd4 fl/fl x CamKIIa-Cre (Schaefer Anne) </t>
  </si>
  <si>
    <t>ml_1124</t>
  </si>
  <si>
    <t xml:space="preserve">Atm.flox/R26.LSL.Ccnd1.T286A (Broeckelmann Paul) </t>
  </si>
  <si>
    <t>ml_1125</t>
  </si>
  <si>
    <t>Csk fl/fl (Schaefer Anne) Schmedt 1998 (Sasha)</t>
  </si>
  <si>
    <t>ml_1126</t>
  </si>
  <si>
    <t xml:space="preserve">SykB fl/fl x Cx3cr1-CreERT2-EYFP (Schaefer Anne) </t>
  </si>
  <si>
    <t>ml_1127</t>
  </si>
  <si>
    <t>SykB fl/fl (Schaefer Anne) JAX #017309 (Saijo 2003, Sasha), relocation approval NY-CGN JAX 29.03.2022</t>
  </si>
  <si>
    <t>ml_1128</t>
  </si>
  <si>
    <t xml:space="preserve">Pu1 fl/fl x Cx3cr1-CreERT2-EYFP x R26-LSL-tdTom Ai14 (Schaefer Anne) </t>
  </si>
  <si>
    <t>ml_1129</t>
  </si>
  <si>
    <t>Pu1 fl/fl (Schaefer Anne) JAX #006922 (Iwasaki 2005), relocation approval NY-CGN JAX 29.03.2022, occasional albino pups</t>
  </si>
  <si>
    <t>ml_1130</t>
  </si>
  <si>
    <t xml:space="preserve">PLCG2 fl/fl x Cx3cr1-CreERT2-EYFP (Schaefer Anne) </t>
  </si>
  <si>
    <t>ml_1131</t>
  </si>
  <si>
    <t>PLCG2 fl/fl (Schaefer Anne) Hashimoto 2000</t>
  </si>
  <si>
    <t>ml_1132</t>
  </si>
  <si>
    <t>R26-LSL-tdTomato Ai14 (Schaefer Anne) JAX #007914 (Madison 2010), relocation approval NY-CGN JAX 29.03.2022, low tdtomato expression already w/o cre</t>
  </si>
  <si>
    <t>ml_1133</t>
  </si>
  <si>
    <t>ATP2-H27/Albino_TyrG291T (AVM) (Jachimowicz Ron) Imort aus dem CECAD</t>
  </si>
  <si>
    <t>ml_1135</t>
  </si>
  <si>
    <t>R26-LSL-Flag-Pu1-EGFP (Schaefer Anne) from Anna Pimenova</t>
  </si>
  <si>
    <t>ml_1136</t>
  </si>
  <si>
    <t>Trem2 KO (Schaefer Anne) Turnbull 2006</t>
  </si>
  <si>
    <t>ml_1137</t>
  </si>
  <si>
    <t xml:space="preserve">R26-LSL-tdTomato Ai14 x Fos2a-iCre-ERT2 (Schaefer Anne) </t>
  </si>
  <si>
    <t>ml_1140</t>
  </si>
  <si>
    <t>5XFAD x EED fl/fl (Schaefer Anne) EED fl expresses GFP after Cre recombination</t>
  </si>
  <si>
    <t>ml_1142</t>
  </si>
  <si>
    <t xml:space="preserve">Ezh1 fl/fl x CamkIIa-Cre (Schaefer Anne) </t>
  </si>
  <si>
    <t>ml_1143</t>
  </si>
  <si>
    <t>Ezh1 fl/fl (Schaefer Anne) Hidalgo 2012</t>
  </si>
  <si>
    <t>ml_1144</t>
  </si>
  <si>
    <t>Il34 fl/fl (Schaefer Anne) Wang 2012</t>
  </si>
  <si>
    <t>ml_1145</t>
  </si>
  <si>
    <t>Ccr2-CreErt2 (Schaefer Anne) Chen 2020</t>
  </si>
  <si>
    <t>ml_1147</t>
  </si>
  <si>
    <t>Csf1 fl/fl (Schaefer Anne) Harris 2011</t>
  </si>
  <si>
    <t>ml_1148</t>
  </si>
  <si>
    <t xml:space="preserve">Csf1r fl/fl x R26-LSL-tdTomato Ai14 x Drd1a-Cre (Schaefer Anne) </t>
  </si>
  <si>
    <t>ml_1150</t>
  </si>
  <si>
    <t>Drd1a-Cre EY262 B6J (Schaefer Anne) Gong 2007, https://www.mmrrc.org/catalog/sds.php?mmrrc_id=30989 (founder EY262)</t>
  </si>
  <si>
    <t>ml_1155</t>
  </si>
  <si>
    <t xml:space="preserve">Brd2 fl/fl x Cx3cr1-CreERT2-EYFP (Schaefer Anne) </t>
  </si>
  <si>
    <t>ml_1156</t>
  </si>
  <si>
    <t xml:space="preserve">Brd4 fl/fl x Cx3cr1-CreERT2-EYFP (Schaefer Anne) </t>
  </si>
  <si>
    <t>ml_1166</t>
  </si>
  <si>
    <t>5XFAD (Schaefer Anne) JAX #006554 (Oakley 2009), relocation approval NY-CGN JAX 29.03.2022</t>
  </si>
  <si>
    <t>ml_1170</t>
  </si>
  <si>
    <t>EED fl/fl (Schaefer Anne) Ayata 2018 (Anne), expresses GFP after Cre recombination</t>
  </si>
  <si>
    <t>Yme1l_flox-Dele1_emKO</t>
  </si>
  <si>
    <t>Yme1l_flox-Dele1_emKO (Merkler-Bartsch Yvonne) Kreuzung der Linien #916 und #1048, um daraus Linie #1329 (durch Kreuzung mit #1020) zu generieren</t>
  </si>
  <si>
    <t>att_gene_expression_alteration</t>
  </si>
  <si>
    <t>Gene Expression Alteration</t>
  </si>
  <si>
    <t>Expression Alteration</t>
  </si>
  <si>
    <t>overexpression</t>
  </si>
  <si>
    <t>KD</t>
  </si>
  <si>
    <t>Knockdown of a gene expression using siRNA, esiRNA, shRNA, mirRNA, gRNA etc. Please define the knock down technique separately. Provide the time, the concentration and the targeting feature in the user input section.</t>
  </si>
  <si>
    <t xml:space="preserve">Overexpression of a gene. </t>
  </si>
  <si>
    <t>cumate</t>
  </si>
  <si>
    <t>Cumate</t>
  </si>
  <si>
    <t>Cumate used for inducible gene expression.</t>
  </si>
  <si>
    <t>att_ms_type</t>
  </si>
  <si>
    <t>allow_for_measurement</t>
  </si>
  <si>
    <t>Mitochondrial Respiration (OCR) Analysis</t>
  </si>
  <si>
    <t>Seahorse XF Analyzer or Clark electrode measures oxidative phosphorylation efficiency and mitochondrial respiration.</t>
  </si>
  <si>
    <t>Mitochondrial Membrane Potential (ΔΨm) Assays</t>
  </si>
  <si>
    <t>Fluorescent dyes (e.g., JC-1, TMRM, Rhodamine 123) evaluate mitochondrial polarization or depolarization.</t>
  </si>
  <si>
    <t>ATP Measurement</t>
  </si>
  <si>
    <t>Luminescence-based ATP assays quantify cellular ATP levels, reflecting mitochondrial bioenergetics.</t>
  </si>
  <si>
    <t>Reactive Oxygen Species (ROS) Detection</t>
  </si>
  <si>
    <t>Fluorescent probes (e.g., MitoSOX, DCFDA) measure ROS production from mitochondria.</t>
  </si>
  <si>
    <t>Mitochondrial Imaging</t>
  </si>
  <si>
    <t>Confocal or super-resolution microscopy with MitoTracker dyes or EM detects fragmented, fused, or elongated mitochondrial networks.</t>
  </si>
  <si>
    <t>Electron Microscopy (EM)</t>
  </si>
  <si>
    <t>Transmission electron microscopy (TEM) provides ultrastructural details, including cristae organization and swelling.</t>
  </si>
  <si>
    <t>Glucose Tolerance Test (GTT)</t>
  </si>
  <si>
    <t>Inject glucose and monitor blood glucose levels to assess systemic glucose metabolism.</t>
  </si>
  <si>
    <t>Insulin Tolerance Test (ITT)</t>
  </si>
  <si>
    <t>Inject insulin and measure blood glucose reduction to evaluate insulin sensitivity.</t>
  </si>
  <si>
    <t>Body Composition Analysis</t>
  </si>
  <si>
    <t>DEXA or MRI quantifies fat accumulation and lean mass.</t>
  </si>
  <si>
    <t>Cold Challenge Test</t>
  </si>
  <si>
    <t>Expose mice to low temperatures and measure core body temperature to assess thermogenesis.</t>
  </si>
  <si>
    <t>Behavioral Tests for Neurodegeneration</t>
  </si>
  <si>
    <t>Tests like Rotarod, Open Field, or Morris Water Maze assess motor function, activity, or memory.</t>
  </si>
  <si>
    <t>Electrophysiology</t>
  </si>
  <si>
    <t>EEG detects seizures or abnormal brain activity.</t>
  </si>
  <si>
    <t>Echocardiography</t>
  </si>
  <si>
    <t>Ultrasound imaging of the heart detects cardiomyopathy by measuring ejection fraction and wall thickness.</t>
  </si>
  <si>
    <t>Force Measurement in Isolated Muscles</t>
  </si>
  <si>
    <t>Ex vivo contractility tests assess muscle strength.</t>
  </si>
  <si>
    <t>Histological Analysis</t>
  </si>
  <si>
    <t>Gomori trichrome or H&amp;E staining of tissues identifies structural abnormalities, such as muscle fiber atrophy.</t>
  </si>
  <si>
    <t>In Vivo Exercise Tests</t>
  </si>
  <si>
    <t>Treadmill running or grip strength assays measure endurance and muscle function.</t>
  </si>
  <si>
    <t>Embryonic Development Observation</t>
  </si>
  <si>
    <t>Histological or in vivo imaging of embryos detects growth retardation or developmental arrest.</t>
  </si>
  <si>
    <t>Lifespan Studies</t>
  </si>
  <si>
    <t>Long-term observation of mouse cohorts assesses lifespan in relation to mitochondrial dysfunction.</t>
  </si>
  <si>
    <t>Frailty Index</t>
  </si>
  <si>
    <t>Scoring physical parameters like grip strength, activity, and kyphosis quantifies aging-related phenotypes.</t>
  </si>
  <si>
    <t>Flow Cytometry of Immune Cells</t>
  </si>
  <si>
    <t>Fluorescent dyes assess mitochondrial ROS, ΔΨm, or metabolic markers in immune cells.</t>
  </si>
  <si>
    <t>Cytokine Profiling</t>
  </si>
  <si>
    <t>ELISA or multiplex cytokine assays evaluate inflammation associated with mitochondrial dysfunction.</t>
  </si>
  <si>
    <t>Oocyte Imaging</t>
  </si>
  <si>
    <t>Confocal microscopy detects mitochondrial distribution and activity in oocytes to assess quality.</t>
  </si>
  <si>
    <t>Sperm Motility and Energy Measurement</t>
  </si>
  <si>
    <t>CASA and ATP assays evaluate mitochondrial function in sperm.</t>
  </si>
  <si>
    <t>Liver Function Tests</t>
  </si>
  <si>
    <t>ALT/AST enzyme assays measure liver dysfunction linked to mitochondrial defects.</t>
  </si>
  <si>
    <t>Histology of Liver or Kidney</t>
  </si>
  <si>
    <t>Staining with Oil Red O (liver steatosis) or PAS (kidney damage) detects abnormalities.</t>
  </si>
  <si>
    <t>Mitochondrial Fatty Acid Oxidation (FAO) Assays</t>
  </si>
  <si>
    <t>Radiolabeled fatty acid oxidation or acyl-carnitine profiling evaluates FAO in liver tissue.</t>
  </si>
  <si>
    <t>mtDNA Quantification</t>
  </si>
  <si>
    <t>qPCR or Southern blot measures mtDNA copy number or detects deletions.</t>
  </si>
  <si>
    <t>Detects levels of OXPHOS proteins or markers of fission/fusion to evaluate protein expression.</t>
  </si>
  <si>
    <t>Mitophagy Assays</t>
  </si>
  <si>
    <t>Fluorescent mitophagy reporters (e.g., mitoQC) or autophagosome marker imaging measures mitochondrial clearance.</t>
  </si>
  <si>
    <t>Alkaline Gels</t>
  </si>
  <si>
    <t>Detects ribunucleotide incorporate rates in combination with RnasH2 treatment and alkaline conditions.</t>
  </si>
  <si>
    <t>ocr</t>
  </si>
  <si>
    <t>mem_potential</t>
  </si>
  <si>
    <t>atp_quant</t>
  </si>
  <si>
    <t>mt_imag</t>
  </si>
  <si>
    <t>em_imag</t>
  </si>
  <si>
    <t>gtt</t>
  </si>
  <si>
    <t>itt</t>
  </si>
  <si>
    <t>bca</t>
  </si>
  <si>
    <t>cold_test</t>
  </si>
  <si>
    <t>behav_test</t>
  </si>
  <si>
    <t>ros_quant</t>
  </si>
  <si>
    <t>electrophys</t>
  </si>
  <si>
    <t>echocard</t>
  </si>
  <si>
    <t>muscle_force</t>
  </si>
  <si>
    <t>histo_analysis</t>
  </si>
  <si>
    <t>exercise_training</t>
  </si>
  <si>
    <t>e_dev</t>
  </si>
  <si>
    <t>lifespand_study</t>
  </si>
  <si>
    <t>frailty_index</t>
  </si>
  <si>
    <t>flow_cyto</t>
  </si>
  <si>
    <t>cytokine_profile</t>
  </si>
  <si>
    <t>oocyte_imaging</t>
  </si>
  <si>
    <t>sperm_mob</t>
  </si>
  <si>
    <t>liv_func_test</t>
  </si>
  <si>
    <t>liv_kindey_hist</t>
  </si>
  <si>
    <t>fao_assayys</t>
  </si>
  <si>
    <t>mtdna_quant</t>
  </si>
  <si>
    <t>wb</t>
  </si>
  <si>
    <t>Western Blit</t>
  </si>
  <si>
    <t>mitophagy_assa</t>
  </si>
  <si>
    <t>alkaline_gels</t>
  </si>
  <si>
    <t>att_phenotype_method</t>
  </si>
  <si>
    <t>Phenotype Method</t>
  </si>
  <si>
    <t>phenotype_method</t>
  </si>
  <si>
    <t>hetero</t>
  </si>
  <si>
    <t>homozygot</t>
  </si>
  <si>
    <t>ibaq</t>
  </si>
  <si>
    <t>iBAQ</t>
  </si>
  <si>
    <t>Intensity normalization to estimate absolute protein levels.</t>
  </si>
  <si>
    <t>att_metabolite</t>
  </si>
  <si>
    <t xml:space="preserve">Metabolite </t>
  </si>
  <si>
    <t>fumarate</t>
  </si>
  <si>
    <t>Fumarate</t>
  </si>
  <si>
    <t>Fumaric acid or trans-butenedioic acid is an organic compound with the formula HO₂CCH=CHCO₂H. A white solid, fumaric acid occurs widely in nature. It has a fruit-like taste and has been used as a food additive. Its E number is E297. The salts and esters are known as fumarates.</t>
  </si>
  <si>
    <t>di-methyl-fumarate</t>
  </si>
  <si>
    <t>dmf</t>
  </si>
  <si>
    <t>Di-methyl fumarate</t>
  </si>
  <si>
    <t>Dimethyl fumarate (DMF) is the methyl ester of fumaric acid.</t>
  </si>
  <si>
    <t>vehicle</t>
  </si>
  <si>
    <t>Vehicle</t>
  </si>
  <si>
    <t>A control vehicle for a metabolite experiment such as Thermal protein profiiling (TPP)</t>
  </si>
  <si>
    <t>children</t>
  </si>
  <si>
    <t>type</t>
  </si>
  <si>
    <t>att_concentration|att_duration</t>
  </si>
  <si>
    <t>att_voltage|att_temperature</t>
  </si>
  <si>
    <t>att_voltage</t>
  </si>
  <si>
    <t>att_column_oven</t>
  </si>
  <si>
    <t>att_temperature</t>
  </si>
  <si>
    <t>Column Oven</t>
  </si>
  <si>
    <t>Temperature</t>
  </si>
  <si>
    <t>att_length</t>
  </si>
  <si>
    <t>Length</t>
  </si>
  <si>
    <t>mg/mL</t>
  </si>
  <si>
    <t>milligramm per milliliter</t>
  </si>
  <si>
    <t>mol/L</t>
  </si>
  <si>
    <t>mol per litre</t>
  </si>
  <si>
    <t>microgramm per millilitre</t>
  </si>
  <si>
    <t>M</t>
  </si>
  <si>
    <t>molar</t>
  </si>
  <si>
    <t>µM</t>
  </si>
  <si>
    <t>micromolar</t>
  </si>
  <si>
    <t>%</t>
  </si>
  <si>
    <t>Percentage</t>
  </si>
  <si>
    <t>Flow rate</t>
  </si>
  <si>
    <t>mL/min</t>
  </si>
  <si>
    <t>milli litle per minute</t>
  </si>
  <si>
    <t>nL/min</t>
  </si>
  <si>
    <t>nano litre per minute</t>
  </si>
  <si>
    <t>L/min</t>
  </si>
  <si>
    <t>litre per minute</t>
  </si>
  <si>
    <t>Duration</t>
  </si>
  <si>
    <t>s</t>
  </si>
  <si>
    <t>second</t>
  </si>
  <si>
    <t>d</t>
  </si>
  <si>
    <t>day</t>
  </si>
  <si>
    <t>h</t>
  </si>
  <si>
    <t>hour</t>
  </si>
  <si>
    <t>min</t>
  </si>
  <si>
    <t>minute</t>
  </si>
  <si>
    <t>w</t>
  </si>
  <si>
    <t>week</t>
  </si>
  <si>
    <t>a</t>
  </si>
  <si>
    <t xml:space="preserve">year </t>
  </si>
  <si>
    <t>Feature</t>
  </si>
  <si>
    <t>ctrl</t>
  </si>
  <si>
    <t>Control proteins (GFP, LUC, ..)</t>
  </si>
  <si>
    <t>kg</t>
  </si>
  <si>
    <t>kilogram</t>
  </si>
  <si>
    <t>g</t>
  </si>
  <si>
    <t>gramm</t>
  </si>
  <si>
    <t>µg</t>
  </si>
  <si>
    <t>microgramm</t>
  </si>
  <si>
    <t>ng</t>
  </si>
  <si>
    <t>nanogramm</t>
  </si>
  <si>
    <t>m/z</t>
  </si>
  <si>
    <t>mass to chrage (Thomson)</t>
  </si>
  <si>
    <t>K</t>
  </si>
  <si>
    <t>Kelvin</t>
  </si>
  <si>
    <t>°C</t>
  </si>
  <si>
    <t>Celsius</t>
  </si>
  <si>
    <t>Voltage</t>
  </si>
  <si>
    <t>V</t>
  </si>
  <si>
    <t>volt</t>
  </si>
  <si>
    <t>kV</t>
  </si>
  <si>
    <t>kilovolt</t>
  </si>
  <si>
    <t>m</t>
  </si>
  <si>
    <t>metre</t>
  </si>
  <si>
    <t>µm</t>
  </si>
  <si>
    <t>mico-metre</t>
  </si>
  <si>
    <t>cm</t>
  </si>
  <si>
    <t>centimetre</t>
  </si>
  <si>
    <t>dm</t>
  </si>
  <si>
    <t>decimetre</t>
  </si>
  <si>
    <t>amino acids</t>
  </si>
  <si>
    <t>Volume</t>
  </si>
  <si>
    <t>dl</t>
  </si>
  <si>
    <t>decilitre</t>
  </si>
  <si>
    <t>µL</t>
  </si>
  <si>
    <t>microlitre</t>
  </si>
  <si>
    <t>nL</t>
  </si>
  <si>
    <t>nanolitre</t>
  </si>
  <si>
    <t>uid</t>
  </si>
  <si>
    <t>Unique identifier</t>
  </si>
  <si>
    <t>intensity</t>
  </si>
  <si>
    <t>Intensity</t>
  </si>
  <si>
    <t>R(200m/z)</t>
  </si>
  <si>
    <t>Resolution (at 200 m/z)</t>
  </si>
  <si>
    <t>R(400m/z)</t>
  </si>
  <si>
    <t>Resolution (at 400 m/z)</t>
  </si>
  <si>
    <t>Fraction</t>
  </si>
  <si>
    <t>‰</t>
  </si>
  <si>
    <t>Per mille</t>
  </si>
  <si>
    <t>Ratio</t>
  </si>
  <si>
    <t>Version</t>
  </si>
  <si>
    <t>v.</t>
  </si>
  <si>
    <t>Version (v. X.Y.Z)</t>
  </si>
  <si>
    <t>Age</t>
  </si>
  <si>
    <t>Position</t>
  </si>
  <si>
    <t>Amino acid position</t>
  </si>
  <si>
    <t>aa_range</t>
  </si>
  <si>
    <t>Amino acid Range</t>
  </si>
  <si>
    <t>bp</t>
  </si>
  <si>
    <t>base pairs</t>
  </si>
  <si>
    <t>att_concentration</t>
  </si>
  <si>
    <t>att_flow_rate</t>
  </si>
  <si>
    <t>att_duration</t>
  </si>
  <si>
    <t>att_feature</t>
  </si>
  <si>
    <t>att_mass</t>
  </si>
  <si>
    <t>att_masstocharge</t>
  </si>
  <si>
    <t>att_volume</t>
  </si>
  <si>
    <t>att_arbitrary</t>
  </si>
  <si>
    <t>att_version</t>
  </si>
  <si>
    <t>att_age</t>
  </si>
  <si>
    <t>att_position</t>
  </si>
  <si>
    <t>passage</t>
  </si>
  <si>
    <t>The number of passages the cell line has been culitvated.</t>
  </si>
  <si>
    <t>requires</t>
  </si>
  <si>
    <t>scanwindow</t>
  </si>
  <si>
    <t>m/z scan window</t>
  </si>
  <si>
    <t>Scan window of a given spectrum or a DIA method (the mass to charge area that is covered by the DIA scans)</t>
  </si>
  <si>
    <t>att_masstocharge|att_numspectra</t>
  </si>
  <si>
    <t>att_numspectra</t>
  </si>
  <si>
    <t>diawindows</t>
  </si>
  <si>
    <t>topn</t>
  </si>
  <si>
    <t>DIA windows</t>
  </si>
  <si>
    <t>Number of dia windows</t>
  </si>
  <si>
    <t xml:space="preserve">Number of data dependent scans. </t>
  </si>
  <si>
    <t>att_duration|att_termperature|att_volume</t>
  </si>
  <si>
    <t>att_reaction_vessel</t>
  </si>
  <si>
    <t>Digestion/Reaction Vessel</t>
  </si>
  <si>
    <t>att_acquistion:dda</t>
  </si>
  <si>
    <t>att_interface:faims</t>
  </si>
  <si>
    <t>att_duration|att_concentration|att_feature</t>
  </si>
  <si>
    <t>protein</t>
  </si>
  <si>
    <t>Protein feature</t>
  </si>
  <si>
    <t>transcript</t>
  </si>
  <si>
    <t>Transcript</t>
  </si>
  <si>
    <t>metabolite</t>
  </si>
  <si>
    <t>A metabolite feature</t>
  </si>
  <si>
    <t>gene</t>
  </si>
  <si>
    <t>A gene feature</t>
  </si>
  <si>
    <t>Total mass</t>
  </si>
  <si>
    <t>Mass to charge</t>
  </si>
  <si>
    <t>#spectra</t>
  </si>
  <si>
    <t>skmuscle</t>
  </si>
  <si>
    <t>skeletal muscle</t>
  </si>
  <si>
    <t>C57BL6/NRj</t>
  </si>
  <si>
    <t>C57BL/6JRj mice exhibit age-related hearing loss, resistance to audiogenic seizures, and sensitivity to diet-induced Type II diabetes and atherosclerosis. They are prone to hereditary hydrocephalus, alopecia (potentially linked to behavioral causes), low bone density, malocclusion, microphtalmia, ocular malformations, and addiction to morphine and alcohol. Additionally, they carry a deletion in the Nnt gene and are active, relatively aggressive, but easy to handle with a life expectancy of about two years</t>
  </si>
  <si>
    <t>c57bl6nrj</t>
  </si>
  <si>
    <t>InstrumentType</t>
  </si>
  <si>
    <t>Instrument</t>
  </si>
  <si>
    <t>att_lc_system_type</t>
  </si>
  <si>
    <t>att_lc</t>
  </si>
  <si>
    <t>att_heart_compartment</t>
  </si>
  <si>
    <t>ols</t>
  </si>
  <si>
    <t>Unit</t>
  </si>
  <si>
    <t>att_columns_outer_diameter</t>
  </si>
  <si>
    <t>Column Length</t>
  </si>
  <si>
    <t>Column Outer Diameter</t>
  </si>
  <si>
    <t>Column Particle Size</t>
  </si>
  <si>
    <t>att_column_length|att_columns_outer_diameter|att_column_stat_phase|att_column_inner_diameter|att_column_particle_size|att_column_pore_size</t>
  </si>
  <si>
    <t>att_duration|att_concentration</t>
  </si>
  <si>
    <t>perc</t>
  </si>
  <si>
    <t>uM</t>
  </si>
  <si>
    <t>mlpermin</t>
  </si>
  <si>
    <t>nlpermin</t>
  </si>
  <si>
    <t>lpermin</t>
  </si>
  <si>
    <t>celc</t>
  </si>
  <si>
    <t>promille</t>
  </si>
  <si>
    <t>r</t>
  </si>
  <si>
    <t>ratio (:)</t>
  </si>
  <si>
    <t>mgperml</t>
  </si>
  <si>
    <t>molperl</t>
  </si>
  <si>
    <t>ugperml</t>
  </si>
  <si>
    <t>ug/mL</t>
  </si>
  <si>
    <t>R_200mz</t>
  </si>
  <si>
    <t>R_400mz</t>
  </si>
  <si>
    <t>attribute_group</t>
  </si>
  <si>
    <t>allow_input</t>
  </si>
  <si>
    <t>Concentration</t>
  </si>
  <si>
    <t>dt</t>
  </si>
  <si>
    <t>c</t>
  </si>
  <si>
    <t>U</t>
  </si>
  <si>
    <t>n</t>
  </si>
  <si>
    <t>abbr</t>
  </si>
  <si>
    <t>mz</t>
  </si>
  <si>
    <t>is_unit</t>
  </si>
  <si>
    <t>Expression Proteome comparing multiple samples of different conditions and/or genotypes.</t>
  </si>
  <si>
    <t>instrumenttype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</si>
</sst>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TRUE&quot;;&quot;TRUE&quot;;&quot;FALSE&quot;"/>
  </numFmts>
  <fonts count="15" x14ac:knownFonts="1">
    <font>
      <sz val="10"/>
      <name val="Arial"/>
      <family val="2"/>
      <charset val="1"/>
    </font>
    <font>
      <sz val="10"/>
      <color rgb="FFC9211E"/>
      <name val="Arial"/>
      <family val="2"/>
      <charset val="1"/>
    </font>
    <font>
      <b/>
      <i/>
      <sz val="10"/>
      <color rgb="FFFFFFFF"/>
      <name val="Arial"/>
      <family val="2"/>
      <charset val="1"/>
    </font>
    <font>
      <sz val="10"/>
      <color rgb="FF000000"/>
      <name val="Arial"/>
      <family val="2"/>
      <charset val="1"/>
    </font>
    <font>
      <sz val="10"/>
      <color rgb="FFFF0000"/>
      <name val="Arial"/>
      <family val="2"/>
      <charset val="1"/>
    </font>
    <font>
      <sz val="10"/>
      <color rgb="FF333333"/>
      <name val="Arial"/>
      <family val="2"/>
      <charset val="1"/>
    </font>
    <font>
      <b/>
      <i/>
      <sz val="10"/>
      <color theme="0"/>
      <name val="Arial"/>
      <family val="2"/>
      <charset val="1"/>
    </font>
    <font>
      <sz val="10"/>
      <color theme="0"/>
      <name val="Arial"/>
      <family val="2"/>
      <charset val="1"/>
    </font>
    <font>
      <sz val="12"/>
      <color rgb="FF9CDCFE"/>
      <name val="Menlo"/>
      <family val="2"/>
    </font>
    <font>
      <sz val="10"/>
      <name val="Arial"/>
      <family val="2"/>
    </font>
    <font>
      <sz val="10"/>
      <color theme="1"/>
      <name val="Arial"/>
      <family val="2"/>
      <charset val="1"/>
    </font>
    <font>
      <sz val="10"/>
      <color theme="7" tint="0.39997558519241921"/>
      <name val="Arial"/>
      <family val="2"/>
      <charset val="1"/>
    </font>
    <font>
      <i/>
      <sz val="10"/>
      <color theme="1"/>
      <name val="Arial"/>
      <family val="2"/>
    </font>
    <font>
      <sz val="10"/>
      <color rgb="FFC00000"/>
      <name val="Arial"/>
      <family val="2"/>
      <charset val="1"/>
    </font>
    <font>
      <sz val="16"/>
      <color rgb="FF212529"/>
      <name val="Arial"/>
      <family val="2"/>
    </font>
  </fonts>
  <fills count="3">
    <fill>
      <patternFill patternType="none"/>
    </fill>
    <fill>
      <patternFill patternType="gray125"/>
    </fill>
    <fill>
      <patternFill patternType="solid">
        <fgColor rgb="FF333333"/>
        <bgColor rgb="FF333300"/>
      </patternFill>
    </fill>
  </fills>
  <borders count="1">
    <border>
      <left/>
      <right/>
      <top/>
      <bottom/>
      <diagonal/>
    </border>
  </borders>
  <cellStyleXfs count="1">
    <xf numFmtId="0" fontId="0" fillId="0" borderId="0"/>
  </cellStyleXfs>
  <cellXfs count="38">
    <xf numFmtId="0" fontId="0" fillId="0" borderId="0" xfId="0"/>
    <xf numFmtId="49" fontId="0" fillId="0" borderId="0" xfId="0" applyNumberFormat="1"/>
    <xf numFmtId="0" fontId="1" fillId="0" borderId="0" xfId="0" applyFont="1"/>
    <xf numFmtId="0" fontId="2" fillId="2" borderId="0" xfId="0" applyFont="1" applyFill="1" applyAlignment="1">
      <alignment vertical="center"/>
    </xf>
    <xf numFmtId="49" fontId="2" fillId="2" borderId="0" xfId="0" applyNumberFormat="1" applyFont="1" applyFill="1" applyAlignment="1">
      <alignment vertical="center" wrapText="1"/>
    </xf>
    <xf numFmtId="0" fontId="2" fillId="2" borderId="0" xfId="0" applyFont="1" applyFill="1"/>
    <xf numFmtId="0" fontId="0" fillId="0" borderId="0" xfId="0" applyAlignment="1">
      <alignment horizontal="left"/>
    </xf>
    <xf numFmtId="164" fontId="3" fillId="0" borderId="0" xfId="0" applyNumberFormat="1" applyFont="1"/>
    <xf numFmtId="0" fontId="0" fillId="0" borderId="0" xfId="0" applyAlignment="1">
      <alignment horizontal="right"/>
    </xf>
    <xf numFmtId="164" fontId="0" fillId="0" borderId="0" xfId="0" applyNumberFormat="1" applyAlignment="1">
      <alignment horizontal="right"/>
    </xf>
    <xf numFmtId="0" fontId="2" fillId="2" borderId="0" xfId="0" applyFont="1" applyFill="1" applyAlignment="1">
      <alignment horizontal="left"/>
    </xf>
    <xf numFmtId="49" fontId="0" fillId="0" borderId="0" xfId="0" applyNumberFormat="1" applyAlignment="1">
      <alignment horizontal="left"/>
    </xf>
    <xf numFmtId="164" fontId="0" fillId="0" borderId="0" xfId="0" applyNumberFormat="1" applyAlignment="1">
      <alignment horizontal="left"/>
    </xf>
    <xf numFmtId="164" fontId="4" fillId="0" borderId="0" xfId="0" applyNumberFormat="1" applyFont="1" applyAlignment="1">
      <alignment horizontal="left"/>
    </xf>
    <xf numFmtId="0" fontId="4" fillId="0" borderId="0" xfId="0" applyFont="1" applyAlignment="1">
      <alignment horizontal="left"/>
    </xf>
    <xf numFmtId="49" fontId="4" fillId="0" borderId="0" xfId="0" applyNumberFormat="1" applyFont="1" applyAlignment="1">
      <alignment horizontal="left"/>
    </xf>
    <xf numFmtId="0" fontId="5" fillId="0" borderId="0" xfId="0" applyFont="1"/>
    <xf numFmtId="0" fontId="6" fillId="2" borderId="0" xfId="0" applyFont="1" applyFill="1" applyAlignment="1">
      <alignment horizontal="right"/>
    </xf>
    <xf numFmtId="0" fontId="7" fillId="0" borderId="0" xfId="0" applyFont="1" applyAlignment="1">
      <alignment horizontal="right"/>
    </xf>
    <xf numFmtId="0" fontId="7" fillId="0" borderId="0" xfId="0" applyFont="1"/>
    <xf numFmtId="49" fontId="0" fillId="0" borderId="0" xfId="0" applyNumberFormat="1" applyAlignment="1">
      <alignment horizontal="right"/>
    </xf>
    <xf numFmtId="164" fontId="3" fillId="0" borderId="0" xfId="0" applyNumberFormat="1" applyFont="1" applyAlignment="1">
      <alignment horizontal="left"/>
    </xf>
    <xf numFmtId="0" fontId="8" fillId="0" borderId="0" xfId="0" applyFont="1"/>
    <xf numFmtId="0" fontId="0" fillId="0" borderId="0" xfId="0" applyAlignment="1">
      <alignment horizontal="right" wrapText="1"/>
    </xf>
    <xf numFmtId="0" fontId="0" fillId="0" borderId="0" xfId="0" quotePrefix="1" applyAlignment="1">
      <alignment horizontal="right"/>
    </xf>
    <xf numFmtId="0" fontId="9" fillId="0" borderId="0" xfId="0" applyFont="1"/>
    <xf numFmtId="0" fontId="11" fillId="0" borderId="0" xfId="0" applyFont="1"/>
    <xf numFmtId="0" fontId="10" fillId="0" borderId="0" xfId="0" applyFont="1"/>
    <xf numFmtId="49" fontId="10" fillId="0" borderId="0" xfId="0" applyNumberFormat="1" applyFont="1"/>
    <xf numFmtId="164" fontId="10" fillId="0" borderId="0" xfId="0" applyNumberFormat="1" applyFont="1"/>
    <xf numFmtId="0" fontId="10" fillId="0" borderId="0" xfId="0" applyFont="1" applyAlignment="1">
      <alignment horizontal="left"/>
    </xf>
    <xf numFmtId="0" fontId="12" fillId="0" borderId="0" xfId="0" applyFont="1" applyAlignment="1">
      <alignment horizontal="right" vertical="center"/>
    </xf>
    <xf numFmtId="0" fontId="8" fillId="0" borderId="0" xfId="0" applyFont="1" applyAlignment="1">
      <alignment horizontal="right"/>
    </xf>
    <xf numFmtId="0" fontId="10" fillId="0" borderId="0" xfId="0" applyFont="1" applyAlignment="1">
      <alignment horizontal="right"/>
    </xf>
    <xf numFmtId="0" fontId="13" fillId="0" borderId="0" xfId="0" applyFont="1"/>
    <xf numFmtId="0" fontId="13" fillId="0" borderId="0" xfId="0" applyFont="1" applyAlignment="1">
      <alignment horizontal="right"/>
    </xf>
    <xf numFmtId="0" fontId="14" fillId="0" borderId="0" xfId="0" applyFont="1"/>
    <xf numFmtId="0" fontId="0" fillId="0" borderId="0" xfId="0" applyAlignment="1">
      <alignment wrapText="1"/>
    </xf>
  </cellXfs>
  <cellStyles count="1">
    <cellStyle name="Normal" xfId="0" builtinId="0"/>
  </cellStyles>
  <dxfs count="9">
    <dxf>
      <font>
        <color rgb="FFCC0000"/>
      </font>
    </dxf>
    <dxf>
      <font>
        <color rgb="FFCC0000"/>
      </font>
    </dxf>
    <dxf>
      <font>
        <color rgb="FFCC0000"/>
      </font>
    </dxf>
    <dxf>
      <font>
        <color rgb="FFCC0000"/>
      </font>
    </dxf>
    <dxf>
      <fill>
        <patternFill>
          <bgColor rgb="FFC5E0B4"/>
        </patternFill>
      </fill>
    </dxf>
    <dxf>
      <fill>
        <patternFill>
          <bgColor rgb="FFC5E0B4"/>
        </patternFill>
      </fill>
    </dxf>
    <dxf>
      <fill>
        <patternFill>
          <bgColor rgb="FFC5E0B4"/>
        </patternFill>
      </fill>
    </dxf>
    <dxf>
      <fill>
        <patternFill>
          <bgColor rgb="FFC5E0B4"/>
        </patternFill>
      </fill>
    </dxf>
    <dxf>
      <fill>
        <patternFill>
          <bgColor rgb="FFC5E0B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C0000"/>
      <rgbColor rgb="FF008000"/>
      <rgbColor rgb="FF000080"/>
      <rgbColor rgb="FF808000"/>
      <rgbColor rgb="FF800080"/>
      <rgbColor rgb="FF008080"/>
      <rgbColor rgb="FFC5E0B4"/>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I126"/>
  <sheetViews>
    <sheetView tabSelected="1" zoomScaleNormal="100" workbookViewId="0">
      <pane ySplit="1" topLeftCell="A2" activePane="bottomLeft" state="frozen"/>
      <selection pane="bottomLeft" activeCell="U17" sqref="U17"/>
    </sheetView>
  </sheetViews>
  <sheetFormatPr baseColWidth="10" defaultColWidth="10.6640625" defaultRowHeight="13" x14ac:dyDescent="0.15"/>
  <cols>
    <col min="1" max="3" width="24.6640625" customWidth="1"/>
    <col min="4" max="4" width="41.1640625" customWidth="1"/>
    <col min="5" max="5" width="24.1640625" customWidth="1"/>
    <col min="6" max="7" width="32.6640625" customWidth="1"/>
    <col min="10" max="10" width="17.1640625" style="1" customWidth="1"/>
    <col min="11" max="11" width="11.6640625" customWidth="1"/>
    <col min="12" max="12" width="11" customWidth="1"/>
    <col min="13" max="14" width="10.6640625" style="2" customWidth="1"/>
    <col min="15" max="16" width="15.6640625" style="1" customWidth="1"/>
    <col min="17" max="17" width="20.6640625" style="1" customWidth="1"/>
    <col min="18" max="18" width="15.6640625" style="1" customWidth="1"/>
    <col min="19" max="19" width="19.1640625" style="1" customWidth="1"/>
    <col min="20" max="20" width="22" style="1" customWidth="1"/>
    <col min="21" max="21" width="37.6640625" customWidth="1"/>
  </cols>
  <sheetData>
    <row r="1" spans="1:1023" s="3" customFormat="1" ht="15.75" customHeight="1" x14ac:dyDescent="0.15">
      <c r="A1" s="3" t="s">
        <v>0</v>
      </c>
      <c r="B1" s="3" t="s">
        <v>4086</v>
      </c>
      <c r="C1" s="3" t="s">
        <v>3972</v>
      </c>
      <c r="D1" s="3" t="s">
        <v>3971</v>
      </c>
      <c r="E1" s="3" t="s">
        <v>1</v>
      </c>
      <c r="F1" s="3" t="s">
        <v>2</v>
      </c>
      <c r="G1" s="3" t="s">
        <v>4154</v>
      </c>
      <c r="H1" s="3" t="s">
        <v>3</v>
      </c>
      <c r="I1" s="3" t="s">
        <v>4148</v>
      </c>
      <c r="J1" s="4" t="s">
        <v>4</v>
      </c>
      <c r="K1" s="3" t="s">
        <v>5</v>
      </c>
      <c r="L1" s="3" t="s">
        <v>6</v>
      </c>
      <c r="M1" s="3" t="s">
        <v>7</v>
      </c>
      <c r="N1" s="3" t="s">
        <v>8</v>
      </c>
      <c r="O1" s="4" t="s">
        <v>9</v>
      </c>
      <c r="P1" s="4" t="s">
        <v>10</v>
      </c>
      <c r="Q1" s="4" t="s">
        <v>11</v>
      </c>
      <c r="R1" s="4" t="s">
        <v>12</v>
      </c>
      <c r="S1" s="4" t="s">
        <v>13</v>
      </c>
      <c r="T1" s="4" t="s">
        <v>3860</v>
      </c>
      <c r="U1" s="3" t="s">
        <v>4147</v>
      </c>
      <c r="V1" s="3" t="s">
        <v>8</v>
      </c>
      <c r="W1" s="4" t="s">
        <v>9</v>
      </c>
      <c r="X1" s="4" t="s">
        <v>10</v>
      </c>
      <c r="Y1" s="4" t="s">
        <v>11</v>
      </c>
      <c r="Z1" s="4" t="s">
        <v>12</v>
      </c>
      <c r="AA1" s="4" t="s">
        <v>13</v>
      </c>
      <c r="AB1" s="4" t="s">
        <v>3860</v>
      </c>
      <c r="AC1" s="3" t="s">
        <v>4156</v>
      </c>
      <c r="AD1" s="3" t="s">
        <v>2532</v>
      </c>
      <c r="AE1" s="3" t="s">
        <v>4158</v>
      </c>
      <c r="AMC1" s="5"/>
      <c r="AMD1" s="5"/>
      <c r="AME1" s="5"/>
      <c r="AMF1" s="5"/>
      <c r="AMG1"/>
      <c r="AMH1"/>
      <c r="AMI1"/>
    </row>
    <row r="2" spans="1:1023" x14ac:dyDescent="0.15">
      <c r="A2" t="s">
        <v>36</v>
      </c>
      <c r="D2" t="s">
        <v>3974</v>
      </c>
      <c r="E2" t="s">
        <v>133</v>
      </c>
      <c r="F2" t="s">
        <v>134</v>
      </c>
      <c r="H2">
        <v>500</v>
      </c>
      <c r="I2" t="b">
        <v>0</v>
      </c>
      <c r="J2" s="1" t="s">
        <v>17</v>
      </c>
      <c r="K2" t="s">
        <v>23</v>
      </c>
      <c r="L2">
        <v>2</v>
      </c>
      <c r="M2" s="7" t="b">
        <v>0</v>
      </c>
      <c r="N2" s="7" t="b">
        <v>1</v>
      </c>
      <c r="O2" s="1" t="s">
        <v>19</v>
      </c>
      <c r="P2" s="1" t="s">
        <v>17</v>
      </c>
      <c r="Q2" s="1" t="s">
        <v>17</v>
      </c>
      <c r="R2" s="1" t="s">
        <v>19</v>
      </c>
      <c r="S2" s="1" t="s">
        <v>19</v>
      </c>
      <c r="T2" s="1" t="s">
        <v>19</v>
      </c>
      <c r="U2" t="str">
        <f>_xlfn.TEXTJOIN("|",TRUE,V2:AE2)</f>
        <v>mandatory|filter|qc|dataset|sample</v>
      </c>
      <c r="V2" t="str">
        <f>IF(N2,"mandatory","")</f>
        <v>mandatory</v>
      </c>
      <c r="W2" t="str">
        <f>IF(O2,"filter","")</f>
        <v>filter</v>
      </c>
      <c r="X2" t="str">
        <f>IF(P2,"user","")</f>
        <v/>
      </c>
      <c r="Y2" t="str">
        <f>IF(Q2,"genotype","")</f>
        <v/>
      </c>
      <c r="Z2" t="str">
        <f>IF(R2,"qc","")</f>
        <v>qc</v>
      </c>
      <c r="AA2" t="str">
        <f>IF(S2,"dataset","")</f>
        <v>dataset</v>
      </c>
      <c r="AB2" t="str">
        <f>IF(T2,"sample","")</f>
        <v>sample</v>
      </c>
      <c r="AC2" t="str">
        <f>IF(C2="Unit","unit","")</f>
        <v/>
      </c>
    </row>
    <row r="3" spans="1:1023" x14ac:dyDescent="0.15">
      <c r="A3" t="s">
        <v>92</v>
      </c>
      <c r="D3" t="s">
        <v>3975</v>
      </c>
      <c r="E3" s="6" t="s">
        <v>93</v>
      </c>
      <c r="F3" s="6" t="s">
        <v>3127</v>
      </c>
      <c r="G3" s="6"/>
      <c r="H3">
        <v>500</v>
      </c>
      <c r="I3" t="b">
        <v>0</v>
      </c>
      <c r="J3" s="1" t="s">
        <v>17</v>
      </c>
      <c r="K3" t="s">
        <v>23</v>
      </c>
      <c r="L3">
        <v>2</v>
      </c>
      <c r="M3" s="7" t="b">
        <v>0</v>
      </c>
      <c r="N3" s="7" t="b">
        <v>0</v>
      </c>
      <c r="O3" s="1" t="s">
        <v>19</v>
      </c>
      <c r="P3" s="1" t="s">
        <v>17</v>
      </c>
      <c r="Q3" s="1" t="s">
        <v>17</v>
      </c>
      <c r="R3" s="1" t="s">
        <v>17</v>
      </c>
      <c r="S3" s="1" t="s">
        <v>19</v>
      </c>
      <c r="T3" s="1" t="s">
        <v>19</v>
      </c>
      <c r="U3" t="str">
        <f t="shared" ref="U3:U66" si="0">_xlfn.TEXTJOIN("|",TRUE,V3:AE3)</f>
        <v>filter|dataset|sample</v>
      </c>
      <c r="V3" t="str">
        <f t="shared" ref="V3:V66" si="1">IF(N3,"mandatory","")</f>
        <v/>
      </c>
      <c r="W3" t="str">
        <f t="shared" ref="W3:W66" si="2">IF(O3,"filter","")</f>
        <v>filter</v>
      </c>
      <c r="X3" t="str">
        <f t="shared" ref="X3:X66" si="3">IF(P3,"user","")</f>
        <v/>
      </c>
      <c r="Y3" t="str">
        <f t="shared" ref="Y3:Y66" si="4">IF(Q3,"genotype","")</f>
        <v/>
      </c>
      <c r="Z3" t="str">
        <f t="shared" ref="Z3:Z66" si="5">IF(R3,"qc","")</f>
        <v/>
      </c>
      <c r="AA3" t="str">
        <f t="shared" ref="AA3:AA66" si="6">IF(S3,"dataset","")</f>
        <v>dataset</v>
      </c>
      <c r="AB3" t="str">
        <f t="shared" ref="AB3:AB66" si="7">IF(T3,"sample","")</f>
        <v>sample</v>
      </c>
      <c r="AC3" t="str">
        <f>IF(C3="Unit","unit","")</f>
        <v/>
      </c>
    </row>
    <row r="4" spans="1:1023" x14ac:dyDescent="0.15">
      <c r="A4" t="s">
        <v>29</v>
      </c>
      <c r="D4" t="s">
        <v>4081</v>
      </c>
      <c r="E4" t="s">
        <v>15</v>
      </c>
      <c r="F4" t="s">
        <v>175</v>
      </c>
      <c r="H4">
        <v>500</v>
      </c>
      <c r="I4" t="b">
        <v>0</v>
      </c>
      <c r="J4" s="1" t="s">
        <v>17</v>
      </c>
      <c r="K4" t="s">
        <v>31</v>
      </c>
      <c r="L4">
        <v>3</v>
      </c>
      <c r="M4" s="7" t="b">
        <v>0</v>
      </c>
      <c r="N4" s="7" t="b">
        <v>1</v>
      </c>
      <c r="O4" s="1" t="s">
        <v>19</v>
      </c>
      <c r="P4" s="1" t="s">
        <v>17</v>
      </c>
      <c r="Q4" s="1" t="s">
        <v>17</v>
      </c>
      <c r="R4" s="1" t="s">
        <v>17</v>
      </c>
      <c r="S4" s="1" t="s">
        <v>19</v>
      </c>
      <c r="T4" s="1" t="s">
        <v>17</v>
      </c>
      <c r="U4" t="str">
        <f t="shared" si="0"/>
        <v>mandatory|filter|dataset</v>
      </c>
      <c r="V4" t="str">
        <f t="shared" si="1"/>
        <v>mandatory</v>
      </c>
      <c r="W4" t="str">
        <f t="shared" si="2"/>
        <v>filter</v>
      </c>
      <c r="X4" t="str">
        <f t="shared" si="3"/>
        <v/>
      </c>
      <c r="Y4" t="str">
        <f t="shared" si="4"/>
        <v/>
      </c>
      <c r="Z4" t="str">
        <f t="shared" si="5"/>
        <v/>
      </c>
      <c r="AA4" t="str">
        <f t="shared" si="6"/>
        <v>dataset</v>
      </c>
      <c r="AB4" t="str">
        <f t="shared" si="7"/>
        <v/>
      </c>
      <c r="AC4" t="str">
        <f>IF(C4="Unit","unit","")</f>
        <v/>
      </c>
    </row>
    <row r="5" spans="1:1023" x14ac:dyDescent="0.15">
      <c r="A5" s="6" t="s">
        <v>3221</v>
      </c>
      <c r="B5" s="6"/>
      <c r="C5" s="6"/>
      <c r="D5" s="6" t="s">
        <v>4075</v>
      </c>
      <c r="E5" t="s">
        <v>116</v>
      </c>
      <c r="F5" t="s">
        <v>3225</v>
      </c>
      <c r="H5">
        <v>600</v>
      </c>
      <c r="I5" t="b">
        <v>0</v>
      </c>
      <c r="J5" s="1" t="s">
        <v>17</v>
      </c>
      <c r="K5" t="s">
        <v>51</v>
      </c>
      <c r="L5">
        <v>2</v>
      </c>
      <c r="M5" s="7" t="b">
        <v>0</v>
      </c>
      <c r="N5" s="7" t="b">
        <v>0</v>
      </c>
      <c r="O5" s="1" t="s">
        <v>19</v>
      </c>
      <c r="P5" s="1" t="s">
        <v>17</v>
      </c>
      <c r="Q5" s="1" t="s">
        <v>17</v>
      </c>
      <c r="R5" s="1" t="s">
        <v>17</v>
      </c>
      <c r="S5" s="1" t="s">
        <v>19</v>
      </c>
      <c r="T5" s="1" t="s">
        <v>19</v>
      </c>
      <c r="U5" t="str">
        <f t="shared" si="0"/>
        <v>filter|dataset|sample</v>
      </c>
      <c r="V5" t="str">
        <f t="shared" si="1"/>
        <v/>
      </c>
      <c r="W5" t="str">
        <f t="shared" si="2"/>
        <v>filter</v>
      </c>
      <c r="X5" t="str">
        <f t="shared" si="3"/>
        <v/>
      </c>
      <c r="Y5" t="str">
        <f t="shared" si="4"/>
        <v/>
      </c>
      <c r="Z5" t="str">
        <f t="shared" si="5"/>
        <v/>
      </c>
      <c r="AA5" t="str">
        <f t="shared" si="6"/>
        <v>dataset</v>
      </c>
      <c r="AB5" t="str">
        <f t="shared" si="7"/>
        <v>sample</v>
      </c>
      <c r="AC5" t="str">
        <f>IF(C5="Unit","unit","")</f>
        <v/>
      </c>
    </row>
    <row r="6" spans="1:1023" s="26" customFormat="1" x14ac:dyDescent="0.15">
      <c r="A6" s="6" t="s">
        <v>112</v>
      </c>
      <c r="B6" s="6"/>
      <c r="C6" s="6"/>
      <c r="D6" s="6" t="s">
        <v>4102</v>
      </c>
      <c r="E6" s="27" t="s">
        <v>3849</v>
      </c>
      <c r="F6" t="s">
        <v>2775</v>
      </c>
      <c r="G6"/>
      <c r="H6">
        <v>500</v>
      </c>
      <c r="I6" t="b">
        <v>0</v>
      </c>
      <c r="J6" s="1" t="s">
        <v>17</v>
      </c>
      <c r="K6" s="26" t="s">
        <v>3851</v>
      </c>
      <c r="L6">
        <v>0</v>
      </c>
      <c r="M6" s="7" t="b">
        <v>0</v>
      </c>
      <c r="N6" s="7" t="b">
        <v>0</v>
      </c>
      <c r="O6" s="1" t="s">
        <v>19</v>
      </c>
      <c r="P6" s="1" t="s">
        <v>17</v>
      </c>
      <c r="Q6" s="1" t="s">
        <v>17</v>
      </c>
      <c r="R6" s="1" t="s">
        <v>17</v>
      </c>
      <c r="S6" s="1" t="s">
        <v>19</v>
      </c>
      <c r="T6" s="1" t="s">
        <v>17</v>
      </c>
      <c r="U6" t="str">
        <f t="shared" si="0"/>
        <v>filter|dataset</v>
      </c>
      <c r="V6" t="str">
        <f t="shared" si="1"/>
        <v/>
      </c>
      <c r="W6" t="str">
        <f t="shared" si="2"/>
        <v>filter</v>
      </c>
      <c r="X6" t="str">
        <f t="shared" si="3"/>
        <v/>
      </c>
      <c r="Y6" t="str">
        <f t="shared" si="4"/>
        <v/>
      </c>
      <c r="Z6" t="str">
        <f t="shared" si="5"/>
        <v/>
      </c>
      <c r="AA6" t="str">
        <f t="shared" si="6"/>
        <v>dataset</v>
      </c>
      <c r="AB6" t="str">
        <f t="shared" si="7"/>
        <v/>
      </c>
      <c r="AC6" t="str">
        <f>IF(C6="Unit","unit","")</f>
        <v/>
      </c>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row>
    <row r="7" spans="1:1023" x14ac:dyDescent="0.15">
      <c r="A7" s="6" t="s">
        <v>14</v>
      </c>
      <c r="B7" s="6"/>
      <c r="C7" s="6"/>
      <c r="D7" s="6"/>
      <c r="E7" t="s">
        <v>15</v>
      </c>
      <c r="F7" t="s">
        <v>16</v>
      </c>
      <c r="H7">
        <v>500</v>
      </c>
      <c r="I7" t="b">
        <v>0</v>
      </c>
      <c r="J7" s="1" t="s">
        <v>17</v>
      </c>
      <c r="K7" t="s">
        <v>18</v>
      </c>
      <c r="L7">
        <v>0</v>
      </c>
      <c r="M7" s="7" t="b">
        <v>0</v>
      </c>
      <c r="N7" s="7" t="b">
        <v>0</v>
      </c>
      <c r="O7" s="1" t="s">
        <v>19</v>
      </c>
      <c r="P7" s="1" t="s">
        <v>17</v>
      </c>
      <c r="Q7" s="1" t="s">
        <v>17</v>
      </c>
      <c r="R7" s="1" t="s">
        <v>17</v>
      </c>
      <c r="S7" s="1" t="s">
        <v>19</v>
      </c>
      <c r="T7" s="1" t="s">
        <v>17</v>
      </c>
      <c r="U7" t="str">
        <f t="shared" si="0"/>
        <v>filter|dataset</v>
      </c>
      <c r="V7" t="str">
        <f t="shared" si="1"/>
        <v/>
      </c>
      <c r="W7" t="str">
        <f t="shared" si="2"/>
        <v>filter</v>
      </c>
      <c r="X7" t="str">
        <f t="shared" si="3"/>
        <v/>
      </c>
      <c r="Y7" t="str">
        <f t="shared" si="4"/>
        <v/>
      </c>
      <c r="Z7" t="str">
        <f t="shared" si="5"/>
        <v/>
      </c>
      <c r="AA7" t="str">
        <f t="shared" si="6"/>
        <v>dataset</v>
      </c>
      <c r="AB7" t="str">
        <f t="shared" si="7"/>
        <v/>
      </c>
      <c r="AC7" t="str">
        <f>IF(C7="Unit","unit","")</f>
        <v/>
      </c>
    </row>
    <row r="8" spans="1:1023" x14ac:dyDescent="0.15">
      <c r="A8" s="6" t="s">
        <v>72</v>
      </c>
      <c r="B8" s="6"/>
      <c r="C8" s="6"/>
      <c r="D8" s="6"/>
      <c r="E8" s="6" t="s">
        <v>20</v>
      </c>
      <c r="F8" s="6" t="s">
        <v>3216</v>
      </c>
      <c r="G8" s="6"/>
      <c r="H8">
        <v>500</v>
      </c>
      <c r="I8" t="b">
        <v>0</v>
      </c>
      <c r="J8" s="1" t="s">
        <v>17</v>
      </c>
      <c r="K8" t="s">
        <v>23</v>
      </c>
      <c r="L8">
        <v>2</v>
      </c>
      <c r="M8" s="7" t="b">
        <v>0</v>
      </c>
      <c r="N8" s="7" t="b">
        <v>0</v>
      </c>
      <c r="O8" s="1" t="s">
        <v>19</v>
      </c>
      <c r="P8" s="1" t="s">
        <v>17</v>
      </c>
      <c r="Q8" s="1" t="s">
        <v>17</v>
      </c>
      <c r="R8" s="1" t="s">
        <v>17</v>
      </c>
      <c r="S8" s="1" t="s">
        <v>19</v>
      </c>
      <c r="T8" s="1" t="s">
        <v>19</v>
      </c>
      <c r="U8" t="str">
        <f t="shared" si="0"/>
        <v>filter|dataset|sample</v>
      </c>
      <c r="V8" t="str">
        <f t="shared" si="1"/>
        <v/>
      </c>
      <c r="W8" t="str">
        <f t="shared" si="2"/>
        <v>filter</v>
      </c>
      <c r="X8" t="str">
        <f t="shared" si="3"/>
        <v/>
      </c>
      <c r="Y8" t="str">
        <f t="shared" si="4"/>
        <v/>
      </c>
      <c r="Z8" t="str">
        <f t="shared" si="5"/>
        <v/>
      </c>
      <c r="AA8" t="str">
        <f t="shared" si="6"/>
        <v>dataset</v>
      </c>
      <c r="AB8" t="str">
        <f t="shared" si="7"/>
        <v>sample</v>
      </c>
      <c r="AC8" t="str">
        <f>IF(C8="Unit","unit","")</f>
        <v/>
      </c>
    </row>
    <row r="9" spans="1:1023" x14ac:dyDescent="0.15">
      <c r="A9" s="6" t="s">
        <v>3976</v>
      </c>
      <c r="B9" s="6"/>
      <c r="C9" s="6"/>
      <c r="D9" s="6" t="s">
        <v>3977</v>
      </c>
      <c r="E9" s="6" t="s">
        <v>50</v>
      </c>
      <c r="F9" s="6" t="s">
        <v>3978</v>
      </c>
      <c r="G9" s="6"/>
      <c r="H9">
        <v>500</v>
      </c>
      <c r="I9" t="b">
        <v>0</v>
      </c>
      <c r="J9" s="1" t="s">
        <v>17</v>
      </c>
      <c r="K9" s="6" t="s">
        <v>23</v>
      </c>
      <c r="L9">
        <v>2</v>
      </c>
      <c r="M9" s="7" t="b">
        <v>0</v>
      </c>
      <c r="N9" s="7" t="b">
        <v>0</v>
      </c>
      <c r="O9" s="1" t="s">
        <v>17</v>
      </c>
      <c r="P9" s="1" t="s">
        <v>17</v>
      </c>
      <c r="Q9" s="1" t="s">
        <v>17</v>
      </c>
      <c r="R9" s="1" t="s">
        <v>19</v>
      </c>
      <c r="S9" s="1" t="s">
        <v>19</v>
      </c>
      <c r="T9" s="1" t="s">
        <v>19</v>
      </c>
      <c r="U9" t="str">
        <f t="shared" si="0"/>
        <v>qc|dataset|sample</v>
      </c>
      <c r="V9" t="str">
        <f t="shared" si="1"/>
        <v/>
      </c>
      <c r="W9" t="str">
        <f t="shared" si="2"/>
        <v/>
      </c>
      <c r="X9" t="str">
        <f t="shared" si="3"/>
        <v/>
      </c>
      <c r="Y9" t="str">
        <f t="shared" si="4"/>
        <v/>
      </c>
      <c r="Z9" t="str">
        <f t="shared" si="5"/>
        <v>qc</v>
      </c>
      <c r="AA9" t="str">
        <f t="shared" si="6"/>
        <v>dataset</v>
      </c>
      <c r="AB9" t="str">
        <f t="shared" si="7"/>
        <v>sample</v>
      </c>
      <c r="AC9" t="str">
        <f>IF(C9="Unit","unit","")</f>
        <v/>
      </c>
    </row>
    <row r="10" spans="1:1023" x14ac:dyDescent="0.15">
      <c r="A10" s="6" t="s">
        <v>87</v>
      </c>
      <c r="B10" s="6"/>
      <c r="C10" s="6"/>
      <c r="D10" s="6" t="s">
        <v>4075</v>
      </c>
      <c r="E10" t="s">
        <v>15</v>
      </c>
      <c r="F10" t="s">
        <v>88</v>
      </c>
      <c r="H10">
        <v>500</v>
      </c>
      <c r="I10" t="b">
        <v>0</v>
      </c>
      <c r="J10" s="1" t="s">
        <v>17</v>
      </c>
      <c r="K10" t="s">
        <v>18</v>
      </c>
      <c r="L10">
        <v>0</v>
      </c>
      <c r="M10" s="7" t="b">
        <v>0</v>
      </c>
      <c r="N10" s="7" t="b">
        <v>0</v>
      </c>
      <c r="O10" s="1" t="s">
        <v>19</v>
      </c>
      <c r="P10" s="1" t="s">
        <v>17</v>
      </c>
      <c r="Q10" s="1" t="s">
        <v>17</v>
      </c>
      <c r="R10" s="1" t="s">
        <v>17</v>
      </c>
      <c r="S10" s="1" t="s">
        <v>19</v>
      </c>
      <c r="T10" s="1" t="s">
        <v>17</v>
      </c>
      <c r="U10" t="str">
        <f t="shared" si="0"/>
        <v>filter|dataset</v>
      </c>
      <c r="V10" t="str">
        <f t="shared" si="1"/>
        <v/>
      </c>
      <c r="W10" t="str">
        <f t="shared" si="2"/>
        <v>filter</v>
      </c>
      <c r="X10" t="str">
        <f t="shared" si="3"/>
        <v/>
      </c>
      <c r="Y10" t="str">
        <f t="shared" si="4"/>
        <v/>
      </c>
      <c r="Z10" t="str">
        <f t="shared" si="5"/>
        <v/>
      </c>
      <c r="AA10" t="str">
        <f t="shared" si="6"/>
        <v>dataset</v>
      </c>
      <c r="AB10" t="str">
        <f t="shared" si="7"/>
        <v/>
      </c>
      <c r="AC10" t="str">
        <f>IF(C10="Unit","unit","")</f>
        <v/>
      </c>
    </row>
    <row r="11" spans="1:1023" x14ac:dyDescent="0.15">
      <c r="A11" s="6" t="s">
        <v>25</v>
      </c>
      <c r="B11" s="6"/>
      <c r="C11" s="6"/>
      <c r="D11" s="6" t="s">
        <v>4097</v>
      </c>
      <c r="E11" t="s">
        <v>15</v>
      </c>
      <c r="F11" t="s">
        <v>80</v>
      </c>
      <c r="H11">
        <v>500</v>
      </c>
      <c r="I11" t="b">
        <v>0</v>
      </c>
      <c r="J11" s="1" t="s">
        <v>17</v>
      </c>
      <c r="K11" t="s">
        <v>27</v>
      </c>
      <c r="L11">
        <v>1</v>
      </c>
      <c r="M11" s="7" t="b">
        <v>0</v>
      </c>
      <c r="N11" s="7" t="b">
        <v>1</v>
      </c>
      <c r="O11" s="1" t="s">
        <v>19</v>
      </c>
      <c r="P11" s="1" t="s">
        <v>17</v>
      </c>
      <c r="Q11" s="1" t="s">
        <v>17</v>
      </c>
      <c r="R11" s="1" t="s">
        <v>17</v>
      </c>
      <c r="S11" s="1" t="s">
        <v>19</v>
      </c>
      <c r="T11" s="1" t="s">
        <v>17</v>
      </c>
      <c r="U11" t="str">
        <f t="shared" si="0"/>
        <v>mandatory|filter|dataset</v>
      </c>
      <c r="V11" t="str">
        <f t="shared" si="1"/>
        <v>mandatory</v>
      </c>
      <c r="W11" t="str">
        <f t="shared" si="2"/>
        <v>filter</v>
      </c>
      <c r="X11" t="str">
        <f t="shared" si="3"/>
        <v/>
      </c>
      <c r="Y11" t="str">
        <f t="shared" si="4"/>
        <v/>
      </c>
      <c r="Z11" t="str">
        <f t="shared" si="5"/>
        <v/>
      </c>
      <c r="AA11" t="str">
        <f t="shared" si="6"/>
        <v>dataset</v>
      </c>
      <c r="AB11" t="str">
        <f t="shared" si="7"/>
        <v/>
      </c>
      <c r="AC11" t="str">
        <f>IF(C11="Unit","unit","")</f>
        <v/>
      </c>
    </row>
    <row r="12" spans="1:1023" x14ac:dyDescent="0.15">
      <c r="A12" t="s">
        <v>95</v>
      </c>
      <c r="B12" t="s">
        <v>4101</v>
      </c>
      <c r="D12" s="6" t="s">
        <v>3977</v>
      </c>
      <c r="E12" s="6" t="s">
        <v>93</v>
      </c>
      <c r="F12" s="6" t="s">
        <v>96</v>
      </c>
      <c r="G12" s="6"/>
      <c r="H12">
        <v>500</v>
      </c>
      <c r="I12" t="b">
        <v>0</v>
      </c>
      <c r="J12" s="1" t="s">
        <v>17</v>
      </c>
      <c r="K12" t="s">
        <v>23</v>
      </c>
      <c r="L12">
        <v>2</v>
      </c>
      <c r="M12" s="7" t="b">
        <v>0</v>
      </c>
      <c r="N12" s="7" t="b">
        <v>0</v>
      </c>
      <c r="O12" s="1" t="s">
        <v>19</v>
      </c>
      <c r="P12" s="1" t="s">
        <v>17</v>
      </c>
      <c r="Q12" s="1" t="s">
        <v>17</v>
      </c>
      <c r="R12" s="1" t="s">
        <v>17</v>
      </c>
      <c r="S12" s="1" t="s">
        <v>19</v>
      </c>
      <c r="T12" s="1" t="s">
        <v>19</v>
      </c>
      <c r="U12" t="str">
        <f t="shared" si="0"/>
        <v>filter|dataset|sample</v>
      </c>
      <c r="V12" t="str">
        <f t="shared" si="1"/>
        <v/>
      </c>
      <c r="W12" t="str">
        <f t="shared" si="2"/>
        <v>filter</v>
      </c>
      <c r="X12" t="str">
        <f t="shared" si="3"/>
        <v/>
      </c>
      <c r="Y12" t="str">
        <f t="shared" si="4"/>
        <v/>
      </c>
      <c r="Z12" t="str">
        <f t="shared" si="5"/>
        <v/>
      </c>
      <c r="AA12" t="str">
        <f t="shared" si="6"/>
        <v>dataset</v>
      </c>
      <c r="AB12" t="str">
        <f t="shared" si="7"/>
        <v>sample</v>
      </c>
      <c r="AC12" t="str">
        <f>IF(C12="Unit","unit","")</f>
        <v/>
      </c>
    </row>
    <row r="13" spans="1:1023" s="26" customFormat="1" x14ac:dyDescent="0.15">
      <c r="A13" t="s">
        <v>97</v>
      </c>
      <c r="B13" t="s">
        <v>4101</v>
      </c>
      <c r="C13"/>
      <c r="D13" s="6" t="s">
        <v>3977</v>
      </c>
      <c r="E13" s="6" t="s">
        <v>93</v>
      </c>
      <c r="F13" s="6" t="s">
        <v>98</v>
      </c>
      <c r="G13" s="6"/>
      <c r="H13">
        <v>500</v>
      </c>
      <c r="I13" t="b">
        <v>0</v>
      </c>
      <c r="J13" s="1" t="s">
        <v>17</v>
      </c>
      <c r="K13" t="s">
        <v>23</v>
      </c>
      <c r="L13">
        <v>2</v>
      </c>
      <c r="M13" s="7" t="b">
        <v>0</v>
      </c>
      <c r="N13" s="7" t="b">
        <v>0</v>
      </c>
      <c r="O13" s="1" t="s">
        <v>19</v>
      </c>
      <c r="P13" s="1" t="s">
        <v>17</v>
      </c>
      <c r="Q13" s="1" t="s">
        <v>17</v>
      </c>
      <c r="R13" s="1" t="s">
        <v>17</v>
      </c>
      <c r="S13" s="1" t="s">
        <v>19</v>
      </c>
      <c r="T13" s="1" t="s">
        <v>19</v>
      </c>
      <c r="U13" t="str">
        <f t="shared" si="0"/>
        <v>filter|dataset|sample</v>
      </c>
      <c r="V13" t="str">
        <f t="shared" si="1"/>
        <v/>
      </c>
      <c r="W13" t="str">
        <f t="shared" si="2"/>
        <v>filter</v>
      </c>
      <c r="X13" t="str">
        <f t="shared" si="3"/>
        <v/>
      </c>
      <c r="Y13" t="str">
        <f t="shared" si="4"/>
        <v/>
      </c>
      <c r="Z13" t="str">
        <f t="shared" si="5"/>
        <v/>
      </c>
      <c r="AA13" t="str">
        <f t="shared" si="6"/>
        <v>dataset</v>
      </c>
      <c r="AB13" t="str">
        <f t="shared" si="7"/>
        <v>sample</v>
      </c>
      <c r="AC13" t="str">
        <f>IF(C13="Unit","unit","")</f>
        <v/>
      </c>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row>
    <row r="14" spans="1:1023" s="27" customFormat="1" x14ac:dyDescent="0.15">
      <c r="A14" t="s">
        <v>164</v>
      </c>
      <c r="B14"/>
      <c r="C14"/>
      <c r="D14"/>
      <c r="E14" t="s">
        <v>105</v>
      </c>
      <c r="F14" t="s">
        <v>165</v>
      </c>
      <c r="G14"/>
      <c r="H14">
        <v>400</v>
      </c>
      <c r="I14" t="b">
        <v>0</v>
      </c>
      <c r="J14" s="1" t="s">
        <v>17</v>
      </c>
      <c r="K14" t="s">
        <v>107</v>
      </c>
      <c r="L14">
        <v>0</v>
      </c>
      <c r="M14" s="7" t="b">
        <v>0</v>
      </c>
      <c r="N14" s="7" t="b">
        <v>0</v>
      </c>
      <c r="O14" s="1" t="s">
        <v>19</v>
      </c>
      <c r="P14" s="1" t="s">
        <v>17</v>
      </c>
      <c r="Q14" s="1" t="s">
        <v>19</v>
      </c>
      <c r="R14" s="1" t="s">
        <v>17</v>
      </c>
      <c r="S14" s="1" t="s">
        <v>17</v>
      </c>
      <c r="T14" s="1" t="s">
        <v>17</v>
      </c>
      <c r="U14" t="str">
        <f t="shared" si="0"/>
        <v>filter|genotype</v>
      </c>
      <c r="V14" t="str">
        <f t="shared" si="1"/>
        <v/>
      </c>
      <c r="W14" t="str">
        <f t="shared" si="2"/>
        <v>filter</v>
      </c>
      <c r="X14" t="str">
        <f t="shared" si="3"/>
        <v/>
      </c>
      <c r="Y14" t="str">
        <f t="shared" si="4"/>
        <v>genotype</v>
      </c>
      <c r="Z14" t="str">
        <f t="shared" si="5"/>
        <v/>
      </c>
      <c r="AA14" t="str">
        <f t="shared" si="6"/>
        <v/>
      </c>
      <c r="AB14" t="str">
        <f t="shared" si="7"/>
        <v/>
      </c>
      <c r="AC14" t="str">
        <f>IF(C14="Unit","unit","")</f>
        <v/>
      </c>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row>
    <row r="15" spans="1:1023" x14ac:dyDescent="0.15">
      <c r="A15" s="6" t="s">
        <v>2888</v>
      </c>
      <c r="B15" s="6"/>
      <c r="C15" s="6"/>
      <c r="D15" s="6"/>
      <c r="E15" t="s">
        <v>15</v>
      </c>
      <c r="F15" t="s">
        <v>2900</v>
      </c>
      <c r="H15">
        <v>500</v>
      </c>
      <c r="I15" t="b">
        <v>0</v>
      </c>
      <c r="J15" s="1" t="s">
        <v>17</v>
      </c>
      <c r="K15" t="s">
        <v>39</v>
      </c>
      <c r="L15">
        <v>0</v>
      </c>
      <c r="M15" s="7" t="b">
        <v>0</v>
      </c>
      <c r="N15" s="7" t="b">
        <v>0</v>
      </c>
      <c r="O15" s="21" t="b">
        <v>0</v>
      </c>
      <c r="P15" s="21" t="b">
        <v>0</v>
      </c>
      <c r="Q15" s="21" t="b">
        <v>0</v>
      </c>
      <c r="R15" s="21" t="b">
        <v>0</v>
      </c>
      <c r="S15" s="21" t="b">
        <v>1</v>
      </c>
      <c r="T15" s="11" t="s">
        <v>19</v>
      </c>
      <c r="U15" t="str">
        <f t="shared" si="0"/>
        <v>dataset|sample</v>
      </c>
      <c r="V15" t="str">
        <f t="shared" si="1"/>
        <v/>
      </c>
      <c r="W15" t="str">
        <f t="shared" si="2"/>
        <v/>
      </c>
      <c r="X15" t="str">
        <f t="shared" si="3"/>
        <v/>
      </c>
      <c r="Y15" t="str">
        <f t="shared" si="4"/>
        <v/>
      </c>
      <c r="Z15" t="str">
        <f t="shared" si="5"/>
        <v/>
      </c>
      <c r="AA15" t="str">
        <f t="shared" si="6"/>
        <v>dataset</v>
      </c>
      <c r="AB15" t="str">
        <f t="shared" si="7"/>
        <v>sample</v>
      </c>
      <c r="AC15" t="str">
        <f>IF(C15="Unit","unit","")</f>
        <v/>
      </c>
    </row>
    <row r="16" spans="1:1023" x14ac:dyDescent="0.15">
      <c r="A16" t="s">
        <v>104</v>
      </c>
      <c r="E16" t="s">
        <v>108</v>
      </c>
      <c r="F16" t="s">
        <v>106</v>
      </c>
      <c r="H16">
        <v>550</v>
      </c>
      <c r="I16" t="b">
        <v>0</v>
      </c>
      <c r="J16" s="1" t="s">
        <v>17</v>
      </c>
      <c r="K16" t="s">
        <v>107</v>
      </c>
      <c r="L16">
        <v>0</v>
      </c>
      <c r="M16" s="7" t="b">
        <v>0</v>
      </c>
      <c r="N16" s="7" t="b">
        <v>0</v>
      </c>
      <c r="O16" s="1" t="s">
        <v>19</v>
      </c>
      <c r="P16" s="1" t="s">
        <v>17</v>
      </c>
      <c r="Q16" s="1" t="s">
        <v>19</v>
      </c>
      <c r="R16" s="1" t="s">
        <v>17</v>
      </c>
      <c r="S16" s="1" t="s">
        <v>17</v>
      </c>
      <c r="T16" s="1" t="s">
        <v>17</v>
      </c>
      <c r="U16" t="str">
        <f t="shared" si="0"/>
        <v>filter|genotype</v>
      </c>
      <c r="V16" t="str">
        <f t="shared" si="1"/>
        <v/>
      </c>
      <c r="W16" t="str">
        <f t="shared" si="2"/>
        <v>filter</v>
      </c>
      <c r="X16" t="str">
        <f t="shared" si="3"/>
        <v/>
      </c>
      <c r="Y16" t="str">
        <f t="shared" si="4"/>
        <v>genotype</v>
      </c>
      <c r="Z16" t="str">
        <f t="shared" si="5"/>
        <v/>
      </c>
      <c r="AA16" t="str">
        <f t="shared" si="6"/>
        <v/>
      </c>
      <c r="AB16" t="str">
        <f t="shared" si="7"/>
        <v/>
      </c>
      <c r="AC16" t="str">
        <f>IF(C16="Unit","unit","")</f>
        <v/>
      </c>
    </row>
    <row r="17" spans="1:1023" x14ac:dyDescent="0.15">
      <c r="A17" t="s">
        <v>105</v>
      </c>
      <c r="E17" t="s">
        <v>104</v>
      </c>
      <c r="F17" t="s">
        <v>110</v>
      </c>
      <c r="H17">
        <v>500</v>
      </c>
      <c r="I17" t="b">
        <v>0</v>
      </c>
      <c r="J17" s="1" t="s">
        <v>17</v>
      </c>
      <c r="K17" t="s">
        <v>107</v>
      </c>
      <c r="L17">
        <v>0</v>
      </c>
      <c r="M17" s="7" t="b">
        <v>0</v>
      </c>
      <c r="N17" s="7" t="b">
        <v>0</v>
      </c>
      <c r="O17" s="1" t="s">
        <v>19</v>
      </c>
      <c r="P17" s="1" t="s">
        <v>17</v>
      </c>
      <c r="Q17" s="1" t="s">
        <v>19</v>
      </c>
      <c r="R17" s="1" t="s">
        <v>17</v>
      </c>
      <c r="S17" s="1" t="s">
        <v>17</v>
      </c>
      <c r="T17" s="1" t="s">
        <v>17</v>
      </c>
      <c r="U17" t="str">
        <f t="shared" si="0"/>
        <v>filter|genotype</v>
      </c>
      <c r="V17" t="str">
        <f t="shared" si="1"/>
        <v/>
      </c>
      <c r="W17" t="str">
        <f t="shared" si="2"/>
        <v>filter</v>
      </c>
      <c r="X17" t="str">
        <f t="shared" si="3"/>
        <v/>
      </c>
      <c r="Y17" t="str">
        <f t="shared" si="4"/>
        <v>genotype</v>
      </c>
      <c r="Z17" t="str">
        <f t="shared" si="5"/>
        <v/>
      </c>
      <c r="AA17" t="str">
        <f t="shared" si="6"/>
        <v/>
      </c>
      <c r="AB17" t="str">
        <f t="shared" si="7"/>
        <v/>
      </c>
      <c r="AC17" t="str">
        <f>IF(C17="Unit","unit","")</f>
        <v/>
      </c>
    </row>
    <row r="18" spans="1:1023" x14ac:dyDescent="0.15">
      <c r="A18" t="s">
        <v>183</v>
      </c>
      <c r="E18" t="s">
        <v>15</v>
      </c>
      <c r="F18" t="s">
        <v>2784</v>
      </c>
      <c r="H18">
        <v>800</v>
      </c>
      <c r="I18" t="b">
        <v>0</v>
      </c>
      <c r="J18" s="1" t="s">
        <v>17</v>
      </c>
      <c r="K18" t="s">
        <v>184</v>
      </c>
      <c r="L18">
        <v>0</v>
      </c>
      <c r="M18" s="7" t="b">
        <v>0</v>
      </c>
      <c r="N18" s="7" t="b">
        <v>0</v>
      </c>
      <c r="O18" s="1" t="s">
        <v>17</v>
      </c>
      <c r="P18" s="1" t="s">
        <v>19</v>
      </c>
      <c r="Q18" s="1" t="s">
        <v>17</v>
      </c>
      <c r="R18" s="1" t="s">
        <v>17</v>
      </c>
      <c r="S18" s="1" t="s">
        <v>17</v>
      </c>
      <c r="T18" s="1" t="s">
        <v>17</v>
      </c>
      <c r="U18" t="str">
        <f t="shared" si="0"/>
        <v>user</v>
      </c>
      <c r="V18" t="str">
        <f t="shared" si="1"/>
        <v/>
      </c>
      <c r="W18" t="str">
        <f t="shared" si="2"/>
        <v/>
      </c>
      <c r="X18" t="str">
        <f t="shared" si="3"/>
        <v>user</v>
      </c>
      <c r="Y18" t="str">
        <f t="shared" si="4"/>
        <v/>
      </c>
      <c r="Z18" t="str">
        <f t="shared" si="5"/>
        <v/>
      </c>
      <c r="AA18" t="str">
        <f t="shared" si="6"/>
        <v/>
      </c>
      <c r="AB18" t="str">
        <f t="shared" si="7"/>
        <v/>
      </c>
      <c r="AC18" t="str">
        <f>IF(C18="Unit","unit","")</f>
        <v/>
      </c>
    </row>
    <row r="19" spans="1:1023" x14ac:dyDescent="0.15">
      <c r="A19" t="s">
        <v>3859</v>
      </c>
      <c r="C19" t="s">
        <v>4119</v>
      </c>
      <c r="D19" t="s">
        <v>21</v>
      </c>
      <c r="E19" t="s">
        <v>15</v>
      </c>
      <c r="F19" t="s">
        <v>131</v>
      </c>
      <c r="H19">
        <v>720</v>
      </c>
      <c r="I19" t="b">
        <v>0</v>
      </c>
      <c r="J19" s="1" t="s">
        <v>17</v>
      </c>
      <c r="K19" t="s">
        <v>23</v>
      </c>
      <c r="L19">
        <v>2</v>
      </c>
      <c r="M19" s="7" t="b">
        <v>0</v>
      </c>
      <c r="N19" s="7" t="b">
        <v>1</v>
      </c>
      <c r="O19" s="1" t="s">
        <v>19</v>
      </c>
      <c r="P19" s="1" t="s">
        <v>17</v>
      </c>
      <c r="Q19" s="1" t="s">
        <v>17</v>
      </c>
      <c r="R19" s="1" t="s">
        <v>19</v>
      </c>
      <c r="S19" s="1" t="s">
        <v>19</v>
      </c>
      <c r="T19" s="1" t="s">
        <v>19</v>
      </c>
      <c r="U19" t="str">
        <f t="shared" si="0"/>
        <v>mandatory|filter|qc|dataset|sample|instrumenttype</v>
      </c>
      <c r="V19" t="str">
        <f t="shared" si="1"/>
        <v>mandatory</v>
      </c>
      <c r="W19" t="str">
        <f t="shared" si="2"/>
        <v>filter</v>
      </c>
      <c r="X19" t="str">
        <f t="shared" si="3"/>
        <v/>
      </c>
      <c r="Y19" t="str">
        <f t="shared" si="4"/>
        <v/>
      </c>
      <c r="Z19" t="str">
        <f t="shared" si="5"/>
        <v>qc</v>
      </c>
      <c r="AA19" t="str">
        <f t="shared" si="6"/>
        <v>dataset</v>
      </c>
      <c r="AB19" t="str">
        <f t="shared" si="7"/>
        <v>sample</v>
      </c>
      <c r="AC19" t="str">
        <f>IF(C19="Unit","unit","")</f>
        <v/>
      </c>
      <c r="AE19" t="s">
        <v>4158</v>
      </c>
    </row>
    <row r="20" spans="1:1023" x14ac:dyDescent="0.15">
      <c r="A20" t="s">
        <v>21</v>
      </c>
      <c r="C20" t="s">
        <v>4120</v>
      </c>
      <c r="D20" t="s">
        <v>20</v>
      </c>
      <c r="E20" t="s">
        <v>3859</v>
      </c>
      <c r="F20" t="s">
        <v>135</v>
      </c>
      <c r="H20">
        <v>710</v>
      </c>
      <c r="I20" t="b">
        <v>0</v>
      </c>
      <c r="J20" s="1" t="s">
        <v>17</v>
      </c>
      <c r="K20" t="s">
        <v>23</v>
      </c>
      <c r="L20">
        <v>2</v>
      </c>
      <c r="M20" s="7" t="b">
        <v>0</v>
      </c>
      <c r="N20" s="7" t="b">
        <v>1</v>
      </c>
      <c r="O20" s="1" t="s">
        <v>19</v>
      </c>
      <c r="P20" s="1" t="s">
        <v>17</v>
      </c>
      <c r="Q20" s="1" t="s">
        <v>17</v>
      </c>
      <c r="R20" s="1" t="s">
        <v>19</v>
      </c>
      <c r="S20" s="1" t="s">
        <v>19</v>
      </c>
      <c r="T20" s="1" t="s">
        <v>19</v>
      </c>
      <c r="U20" t="str">
        <f t="shared" si="0"/>
        <v>mandatory|filter|qc|dataset|sample|instrument</v>
      </c>
      <c r="V20" t="str">
        <f t="shared" si="1"/>
        <v>mandatory</v>
      </c>
      <c r="W20" t="str">
        <f t="shared" si="2"/>
        <v>filter</v>
      </c>
      <c r="X20" t="str">
        <f t="shared" si="3"/>
        <v/>
      </c>
      <c r="Y20" t="str">
        <f t="shared" si="4"/>
        <v/>
      </c>
      <c r="Z20" t="str">
        <f t="shared" si="5"/>
        <v>qc</v>
      </c>
      <c r="AA20" t="str">
        <f t="shared" si="6"/>
        <v>dataset</v>
      </c>
      <c r="AB20" t="str">
        <f t="shared" si="7"/>
        <v>sample</v>
      </c>
      <c r="AC20" t="str">
        <f>IF(C20="Unit","unit","")</f>
        <v/>
      </c>
      <c r="AD20" t="s">
        <v>2532</v>
      </c>
    </row>
    <row r="21" spans="1:1023" ht="49" customHeight="1" x14ac:dyDescent="0.15">
      <c r="A21" t="s">
        <v>50</v>
      </c>
      <c r="D21" s="37" t="s">
        <v>4130</v>
      </c>
      <c r="E21" t="s">
        <v>15</v>
      </c>
      <c r="F21" t="s">
        <v>60</v>
      </c>
      <c r="H21">
        <v>700</v>
      </c>
      <c r="I21" t="b">
        <v>0</v>
      </c>
      <c r="J21" s="1" t="s">
        <v>17</v>
      </c>
      <c r="K21" t="s">
        <v>51</v>
      </c>
      <c r="L21">
        <v>2</v>
      </c>
      <c r="M21" s="7" t="b">
        <v>0</v>
      </c>
      <c r="N21" s="7" t="b">
        <v>0</v>
      </c>
      <c r="O21" s="1" t="s">
        <v>19</v>
      </c>
      <c r="P21" s="1" t="s">
        <v>17</v>
      </c>
      <c r="Q21" s="1" t="s">
        <v>17</v>
      </c>
      <c r="R21" s="1" t="s">
        <v>19</v>
      </c>
      <c r="S21" s="1" t="s">
        <v>19</v>
      </c>
      <c r="T21" s="1" t="s">
        <v>19</v>
      </c>
      <c r="U21" t="str">
        <f t="shared" si="0"/>
        <v>filter|qc|dataset|sample</v>
      </c>
      <c r="V21" t="str">
        <f t="shared" si="1"/>
        <v/>
      </c>
      <c r="W21" t="str">
        <f t="shared" si="2"/>
        <v>filter</v>
      </c>
      <c r="X21" t="str">
        <f t="shared" si="3"/>
        <v/>
      </c>
      <c r="Y21" t="str">
        <f t="shared" si="4"/>
        <v/>
      </c>
      <c r="Z21" t="str">
        <f t="shared" si="5"/>
        <v>qc</v>
      </c>
      <c r="AA21" t="str">
        <f t="shared" si="6"/>
        <v>dataset</v>
      </c>
      <c r="AB21" t="str">
        <f t="shared" si="7"/>
        <v>sample</v>
      </c>
      <c r="AC21" t="str">
        <f>IF(C21="Unit","unit","")</f>
        <v/>
      </c>
    </row>
    <row r="22" spans="1:1023" x14ac:dyDescent="0.15">
      <c r="A22" t="s">
        <v>185</v>
      </c>
      <c r="E22" t="s">
        <v>15</v>
      </c>
      <c r="F22" t="s">
        <v>186</v>
      </c>
      <c r="H22">
        <v>700</v>
      </c>
      <c r="I22" t="b">
        <v>0</v>
      </c>
      <c r="J22" s="1" t="s">
        <v>17</v>
      </c>
      <c r="K22" t="s">
        <v>184</v>
      </c>
      <c r="L22">
        <v>0</v>
      </c>
      <c r="M22" s="7" t="b">
        <v>0</v>
      </c>
      <c r="N22" s="7" t="b">
        <v>0</v>
      </c>
      <c r="O22" s="1" t="s">
        <v>17</v>
      </c>
      <c r="P22" s="1" t="s">
        <v>19</v>
      </c>
      <c r="Q22" s="1" t="s">
        <v>17</v>
      </c>
      <c r="R22" s="1" t="s">
        <v>17</v>
      </c>
      <c r="S22" s="1" t="s">
        <v>17</v>
      </c>
      <c r="T22" s="1" t="s">
        <v>17</v>
      </c>
      <c r="U22" t="str">
        <f t="shared" si="0"/>
        <v>user</v>
      </c>
      <c r="V22" t="str">
        <f t="shared" si="1"/>
        <v/>
      </c>
      <c r="W22" t="str">
        <f t="shared" si="2"/>
        <v/>
      </c>
      <c r="X22" t="str">
        <f t="shared" si="3"/>
        <v>user</v>
      </c>
      <c r="Y22" t="str">
        <f t="shared" si="4"/>
        <v/>
      </c>
      <c r="Z22" t="str">
        <f t="shared" si="5"/>
        <v/>
      </c>
      <c r="AA22" t="str">
        <f t="shared" si="6"/>
        <v/>
      </c>
      <c r="AB22" t="str">
        <f t="shared" si="7"/>
        <v/>
      </c>
      <c r="AC22" t="str">
        <f>IF(C22="Unit","unit","")</f>
        <v/>
      </c>
    </row>
    <row r="23" spans="1:1023" x14ac:dyDescent="0.15">
      <c r="A23" s="6" t="s">
        <v>20</v>
      </c>
      <c r="B23" s="6"/>
      <c r="C23" s="6"/>
      <c r="D23" s="6" t="s">
        <v>4090</v>
      </c>
      <c r="E23" t="s">
        <v>21</v>
      </c>
      <c r="F23" t="s">
        <v>22</v>
      </c>
      <c r="H23">
        <v>680</v>
      </c>
      <c r="I23" t="b">
        <v>0</v>
      </c>
      <c r="J23" s="1" t="s">
        <v>17</v>
      </c>
      <c r="K23" t="s">
        <v>23</v>
      </c>
      <c r="L23">
        <v>2</v>
      </c>
      <c r="M23" s="7" t="b">
        <v>0</v>
      </c>
      <c r="N23" s="7" t="b">
        <v>1</v>
      </c>
      <c r="O23" s="1" t="s">
        <v>19</v>
      </c>
      <c r="P23" s="1" t="s">
        <v>17</v>
      </c>
      <c r="Q23" s="1" t="s">
        <v>17</v>
      </c>
      <c r="R23" s="1" t="s">
        <v>19</v>
      </c>
      <c r="S23" s="1" t="s">
        <v>19</v>
      </c>
      <c r="T23" s="1" t="s">
        <v>19</v>
      </c>
      <c r="U23" t="str">
        <f t="shared" si="0"/>
        <v>mandatory|filter|qc|dataset|sample</v>
      </c>
      <c r="V23" t="str">
        <f t="shared" si="1"/>
        <v>mandatory</v>
      </c>
      <c r="W23" t="str">
        <f t="shared" si="2"/>
        <v>filter</v>
      </c>
      <c r="X23" t="str">
        <f t="shared" si="3"/>
        <v/>
      </c>
      <c r="Y23" t="str">
        <f t="shared" si="4"/>
        <v/>
      </c>
      <c r="Z23" t="str">
        <f t="shared" si="5"/>
        <v>qc</v>
      </c>
      <c r="AA23" t="str">
        <f t="shared" si="6"/>
        <v>dataset</v>
      </c>
      <c r="AB23" t="str">
        <f t="shared" si="7"/>
        <v>sample</v>
      </c>
      <c r="AC23" t="str">
        <f>IF(C23="Unit","unit","")</f>
        <v/>
      </c>
    </row>
    <row r="24" spans="1:1023" x14ac:dyDescent="0.15">
      <c r="A24" t="s">
        <v>2844</v>
      </c>
      <c r="E24" t="s">
        <v>15</v>
      </c>
      <c r="F24" t="s">
        <v>3093</v>
      </c>
      <c r="H24">
        <v>650</v>
      </c>
      <c r="I24" t="b">
        <v>0</v>
      </c>
      <c r="J24" s="1" t="s">
        <v>17</v>
      </c>
      <c r="K24" t="s">
        <v>44</v>
      </c>
      <c r="L24">
        <v>0</v>
      </c>
      <c r="M24" s="2" t="b">
        <v>0</v>
      </c>
      <c r="N24" s="2" t="b">
        <v>0</v>
      </c>
      <c r="O24" s="1" t="s">
        <v>19</v>
      </c>
      <c r="P24" s="1" t="s">
        <v>17</v>
      </c>
      <c r="Q24" s="1" t="s">
        <v>17</v>
      </c>
      <c r="R24" s="1" t="s">
        <v>17</v>
      </c>
      <c r="S24" s="1" t="s">
        <v>19</v>
      </c>
      <c r="T24" s="1" t="s">
        <v>19</v>
      </c>
      <c r="U24" t="str">
        <f t="shared" si="0"/>
        <v>filter|dataset|sample</v>
      </c>
      <c r="V24" t="str">
        <f t="shared" si="1"/>
        <v/>
      </c>
      <c r="W24" t="str">
        <f t="shared" si="2"/>
        <v>filter</v>
      </c>
      <c r="X24" t="str">
        <f t="shared" si="3"/>
        <v/>
      </c>
      <c r="Y24" t="str">
        <f t="shared" si="4"/>
        <v/>
      </c>
      <c r="Z24" t="str">
        <f t="shared" si="5"/>
        <v/>
      </c>
      <c r="AA24" t="str">
        <f t="shared" si="6"/>
        <v>dataset</v>
      </c>
      <c r="AB24" t="str">
        <f t="shared" si="7"/>
        <v>sample</v>
      </c>
      <c r="AC24" t="str">
        <f>IF(C24="Unit","unit","")</f>
        <v/>
      </c>
    </row>
    <row r="25" spans="1:1023" x14ac:dyDescent="0.15">
      <c r="A25" t="s">
        <v>40</v>
      </c>
      <c r="D25" t="s">
        <v>4082</v>
      </c>
      <c r="E25" t="s">
        <v>15</v>
      </c>
      <c r="F25" t="s">
        <v>41</v>
      </c>
      <c r="H25">
        <v>600</v>
      </c>
      <c r="I25" t="b">
        <v>0</v>
      </c>
      <c r="J25" s="1" t="s">
        <v>17</v>
      </c>
      <c r="K25" t="s">
        <v>39</v>
      </c>
      <c r="L25">
        <v>0</v>
      </c>
      <c r="M25" s="7" t="b">
        <v>0</v>
      </c>
      <c r="N25" s="7" t="b">
        <v>0</v>
      </c>
      <c r="O25" s="1" t="s">
        <v>19</v>
      </c>
      <c r="P25" s="1" t="s">
        <v>17</v>
      </c>
      <c r="Q25" s="1" t="s">
        <v>17</v>
      </c>
      <c r="R25" s="1" t="s">
        <v>17</v>
      </c>
      <c r="S25" s="1" t="s">
        <v>19</v>
      </c>
      <c r="T25" s="1" t="s">
        <v>17</v>
      </c>
      <c r="U25" t="str">
        <f t="shared" si="0"/>
        <v>filter|dataset</v>
      </c>
      <c r="V25" t="str">
        <f t="shared" si="1"/>
        <v/>
      </c>
      <c r="W25" t="str">
        <f t="shared" si="2"/>
        <v>filter</v>
      </c>
      <c r="X25" t="str">
        <f t="shared" si="3"/>
        <v/>
      </c>
      <c r="Y25" t="str">
        <f t="shared" si="4"/>
        <v/>
      </c>
      <c r="Z25" t="str">
        <f t="shared" si="5"/>
        <v/>
      </c>
      <c r="AA25" t="str">
        <f t="shared" si="6"/>
        <v>dataset</v>
      </c>
      <c r="AB25" t="str">
        <f t="shared" si="7"/>
        <v/>
      </c>
      <c r="AC25" t="str">
        <f>IF(C25="Unit","unit","")</f>
        <v/>
      </c>
    </row>
    <row r="26" spans="1:1023" x14ac:dyDescent="0.15">
      <c r="A26" t="s">
        <v>2945</v>
      </c>
      <c r="E26" t="s">
        <v>15</v>
      </c>
      <c r="F26" t="s">
        <v>2946</v>
      </c>
      <c r="H26">
        <v>600</v>
      </c>
      <c r="I26" t="b">
        <v>0</v>
      </c>
      <c r="J26" s="1" t="s">
        <v>17</v>
      </c>
      <c r="K26" t="s">
        <v>39</v>
      </c>
      <c r="L26">
        <v>0</v>
      </c>
      <c r="M26" s="7" t="b">
        <v>0</v>
      </c>
      <c r="N26" s="7" t="b">
        <v>0</v>
      </c>
      <c r="O26" s="1" t="s">
        <v>17</v>
      </c>
      <c r="P26" s="1" t="s">
        <v>17</v>
      </c>
      <c r="Q26" s="1" t="s">
        <v>17</v>
      </c>
      <c r="R26" s="1" t="s">
        <v>17</v>
      </c>
      <c r="S26" s="1" t="s">
        <v>17</v>
      </c>
      <c r="T26" s="1" t="s">
        <v>17</v>
      </c>
      <c r="U26" t="str">
        <f t="shared" si="0"/>
        <v/>
      </c>
      <c r="V26" t="str">
        <f t="shared" si="1"/>
        <v/>
      </c>
      <c r="W26" t="str">
        <f t="shared" si="2"/>
        <v/>
      </c>
      <c r="X26" t="str">
        <f t="shared" si="3"/>
        <v/>
      </c>
      <c r="Y26" t="str">
        <f t="shared" si="4"/>
        <v/>
      </c>
      <c r="Z26" t="str">
        <f t="shared" si="5"/>
        <v/>
      </c>
      <c r="AA26" t="str">
        <f t="shared" si="6"/>
        <v/>
      </c>
      <c r="AB26" t="str">
        <f t="shared" si="7"/>
        <v/>
      </c>
      <c r="AC26" t="str">
        <f>IF(C26="Unit","unit","")</f>
        <v/>
      </c>
    </row>
    <row r="27" spans="1:1023" s="26" customFormat="1" x14ac:dyDescent="0.15">
      <c r="A27" t="s">
        <v>4121</v>
      </c>
      <c r="B27"/>
      <c r="C27" t="s">
        <v>4119</v>
      </c>
      <c r="D27" t="s">
        <v>4122</v>
      </c>
      <c r="E27" t="s">
        <v>15</v>
      </c>
      <c r="F27" t="s">
        <v>2735</v>
      </c>
      <c r="G27"/>
      <c r="H27">
        <v>600</v>
      </c>
      <c r="I27" t="b">
        <v>0</v>
      </c>
      <c r="J27" s="1" t="s">
        <v>17</v>
      </c>
      <c r="K27" t="s">
        <v>51</v>
      </c>
      <c r="L27">
        <v>2</v>
      </c>
      <c r="M27" s="7" t="b">
        <v>0</v>
      </c>
      <c r="N27" s="7" t="b">
        <v>1</v>
      </c>
      <c r="O27" s="1" t="s">
        <v>19</v>
      </c>
      <c r="P27" s="1" t="s">
        <v>17</v>
      </c>
      <c r="Q27" s="1" t="s">
        <v>17</v>
      </c>
      <c r="R27" s="1" t="s">
        <v>19</v>
      </c>
      <c r="S27" s="1" t="s">
        <v>19</v>
      </c>
      <c r="T27" s="1" t="s">
        <v>19</v>
      </c>
      <c r="U27" t="str">
        <f t="shared" si="0"/>
        <v>mandatory|filter|qc|dataset|sample|instrumenttype</v>
      </c>
      <c r="V27" t="str">
        <f t="shared" si="1"/>
        <v>mandatory</v>
      </c>
      <c r="W27" t="str">
        <f t="shared" si="2"/>
        <v>filter</v>
      </c>
      <c r="X27" t="str">
        <f t="shared" si="3"/>
        <v/>
      </c>
      <c r="Y27" t="str">
        <f t="shared" si="4"/>
        <v/>
      </c>
      <c r="Z27" t="str">
        <f t="shared" si="5"/>
        <v>qc</v>
      </c>
      <c r="AA27" t="str">
        <f t="shared" si="6"/>
        <v>dataset</v>
      </c>
      <c r="AB27" t="str">
        <f t="shared" si="7"/>
        <v>sample</v>
      </c>
      <c r="AC27" t="str">
        <f>IF(C27="Unit","unit","")</f>
        <v/>
      </c>
      <c r="AD27"/>
      <c r="AE27" t="s">
        <v>4158</v>
      </c>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row>
    <row r="28" spans="1:1023" x14ac:dyDescent="0.15">
      <c r="A28" s="6" t="s">
        <v>2988</v>
      </c>
      <c r="B28" s="6"/>
      <c r="C28" s="6"/>
      <c r="D28" s="6"/>
      <c r="E28" t="s">
        <v>3120</v>
      </c>
      <c r="F28" t="s">
        <v>3211</v>
      </c>
      <c r="H28">
        <v>600</v>
      </c>
      <c r="I28" t="b">
        <v>0</v>
      </c>
      <c r="J28" s="1" t="s">
        <v>17</v>
      </c>
      <c r="K28" t="s">
        <v>39</v>
      </c>
      <c r="L28">
        <v>0</v>
      </c>
      <c r="M28" s="7" t="b">
        <v>0</v>
      </c>
      <c r="N28" s="7" t="b">
        <v>0</v>
      </c>
      <c r="O28" s="1" t="s">
        <v>19</v>
      </c>
      <c r="P28" s="1" t="s">
        <v>17</v>
      </c>
      <c r="Q28" s="1" t="s">
        <v>17</v>
      </c>
      <c r="R28" s="1" t="s">
        <v>17</v>
      </c>
      <c r="S28" s="1" t="s">
        <v>19</v>
      </c>
      <c r="T28" s="1" t="s">
        <v>19</v>
      </c>
      <c r="U28" t="str">
        <f t="shared" si="0"/>
        <v>filter|dataset|sample</v>
      </c>
      <c r="V28" t="str">
        <f t="shared" si="1"/>
        <v/>
      </c>
      <c r="W28" t="str">
        <f t="shared" si="2"/>
        <v>filter</v>
      </c>
      <c r="X28" t="str">
        <f t="shared" si="3"/>
        <v/>
      </c>
      <c r="Y28" t="str">
        <f t="shared" si="4"/>
        <v/>
      </c>
      <c r="Z28" t="str">
        <f t="shared" si="5"/>
        <v/>
      </c>
      <c r="AA28" t="str">
        <f t="shared" si="6"/>
        <v>dataset</v>
      </c>
      <c r="AB28" t="str">
        <f t="shared" si="7"/>
        <v>sample</v>
      </c>
      <c r="AC28" t="str">
        <f>IF(C28="Unit","unit","")</f>
        <v/>
      </c>
    </row>
    <row r="29" spans="1:1023" x14ac:dyDescent="0.15">
      <c r="A29" s="6" t="s">
        <v>3120</v>
      </c>
      <c r="B29" s="6"/>
      <c r="C29" s="6"/>
      <c r="D29" s="6"/>
      <c r="E29" t="s">
        <v>15</v>
      </c>
      <c r="F29" t="s">
        <v>3244</v>
      </c>
      <c r="H29">
        <v>600</v>
      </c>
      <c r="I29" t="b">
        <v>0</v>
      </c>
      <c r="J29" s="1" t="s">
        <v>17</v>
      </c>
      <c r="K29" t="s">
        <v>39</v>
      </c>
      <c r="L29">
        <v>0</v>
      </c>
      <c r="M29" s="7" t="b">
        <v>0</v>
      </c>
      <c r="N29" s="7" t="b">
        <v>0</v>
      </c>
      <c r="O29" s="1" t="s">
        <v>19</v>
      </c>
      <c r="P29" s="1" t="s">
        <v>17</v>
      </c>
      <c r="Q29" s="1" t="s">
        <v>17</v>
      </c>
      <c r="R29" s="1" t="s">
        <v>17</v>
      </c>
      <c r="S29" s="1" t="s">
        <v>19</v>
      </c>
      <c r="T29" s="1" t="s">
        <v>19</v>
      </c>
      <c r="U29" t="str">
        <f t="shared" si="0"/>
        <v>filter|dataset|sample</v>
      </c>
      <c r="V29" t="str">
        <f t="shared" si="1"/>
        <v/>
      </c>
      <c r="W29" t="str">
        <f t="shared" si="2"/>
        <v>filter</v>
      </c>
      <c r="X29" t="str">
        <f t="shared" si="3"/>
        <v/>
      </c>
      <c r="Y29" t="str">
        <f t="shared" si="4"/>
        <v/>
      </c>
      <c r="Z29" t="str">
        <f t="shared" si="5"/>
        <v/>
      </c>
      <c r="AA29" t="str">
        <f t="shared" si="6"/>
        <v>dataset</v>
      </c>
      <c r="AB29" t="str">
        <f t="shared" si="7"/>
        <v>sample</v>
      </c>
      <c r="AC29" t="str">
        <f>IF(C29="Unit","unit","")</f>
        <v/>
      </c>
    </row>
    <row r="30" spans="1:1023" x14ac:dyDescent="0.15">
      <c r="A30" t="s">
        <v>189</v>
      </c>
      <c r="E30" t="s">
        <v>15</v>
      </c>
      <c r="F30" t="s">
        <v>190</v>
      </c>
      <c r="H30">
        <v>600</v>
      </c>
      <c r="I30" t="b">
        <v>0</v>
      </c>
      <c r="J30" s="1" t="s">
        <v>17</v>
      </c>
      <c r="K30" t="s">
        <v>184</v>
      </c>
      <c r="L30">
        <v>0</v>
      </c>
      <c r="M30" s="7" t="b">
        <v>0</v>
      </c>
      <c r="N30" s="7" t="b">
        <v>0</v>
      </c>
      <c r="O30" s="1" t="s">
        <v>17</v>
      </c>
      <c r="P30" s="1" t="s">
        <v>19</v>
      </c>
      <c r="Q30" s="1" t="s">
        <v>17</v>
      </c>
      <c r="R30" s="1" t="s">
        <v>17</v>
      </c>
      <c r="S30" s="1" t="s">
        <v>17</v>
      </c>
      <c r="T30" s="1" t="s">
        <v>17</v>
      </c>
      <c r="U30" t="str">
        <f t="shared" si="0"/>
        <v>user</v>
      </c>
      <c r="V30" t="str">
        <f t="shared" si="1"/>
        <v/>
      </c>
      <c r="W30" t="str">
        <f t="shared" si="2"/>
        <v/>
      </c>
      <c r="X30" t="str">
        <f t="shared" si="3"/>
        <v>user</v>
      </c>
      <c r="Y30" t="str">
        <f t="shared" si="4"/>
        <v/>
      </c>
      <c r="Z30" t="str">
        <f t="shared" si="5"/>
        <v/>
      </c>
      <c r="AA30" t="str">
        <f t="shared" si="6"/>
        <v/>
      </c>
      <c r="AB30" t="str">
        <f t="shared" si="7"/>
        <v/>
      </c>
      <c r="AC30" t="str">
        <f>IF(C30="Unit","unit","")</f>
        <v/>
      </c>
    </row>
    <row r="31" spans="1:1023" x14ac:dyDescent="0.15">
      <c r="A31" t="s">
        <v>2879</v>
      </c>
      <c r="E31" t="s">
        <v>15</v>
      </c>
      <c r="F31" t="s">
        <v>2880</v>
      </c>
      <c r="H31">
        <v>550</v>
      </c>
      <c r="I31" t="b">
        <v>0</v>
      </c>
      <c r="J31" s="1" t="s">
        <v>17</v>
      </c>
      <c r="K31" t="s">
        <v>39</v>
      </c>
      <c r="L31">
        <v>0</v>
      </c>
      <c r="M31" s="7" t="b">
        <v>0</v>
      </c>
      <c r="N31" s="7" t="b">
        <v>0</v>
      </c>
      <c r="O31" s="1" t="s">
        <v>19</v>
      </c>
      <c r="P31" s="1" t="s">
        <v>17</v>
      </c>
      <c r="Q31" s="1" t="s">
        <v>17</v>
      </c>
      <c r="R31" s="1" t="s">
        <v>17</v>
      </c>
      <c r="S31" s="1" t="s">
        <v>19</v>
      </c>
      <c r="T31" s="1" t="s">
        <v>19</v>
      </c>
      <c r="U31" t="str">
        <f t="shared" si="0"/>
        <v>filter|dataset|sample</v>
      </c>
      <c r="V31" t="str">
        <f t="shared" si="1"/>
        <v/>
      </c>
      <c r="W31" t="str">
        <f t="shared" si="2"/>
        <v>filter</v>
      </c>
      <c r="X31" t="str">
        <f t="shared" si="3"/>
        <v/>
      </c>
      <c r="Y31" t="str">
        <f t="shared" si="4"/>
        <v/>
      </c>
      <c r="Z31" t="str">
        <f t="shared" si="5"/>
        <v/>
      </c>
      <c r="AA31" t="str">
        <f t="shared" si="6"/>
        <v>dataset</v>
      </c>
      <c r="AB31" t="str">
        <f t="shared" si="7"/>
        <v>sample</v>
      </c>
      <c r="AC31" t="str">
        <f>IF(C31="Unit","unit","")</f>
        <v/>
      </c>
    </row>
    <row r="32" spans="1:1023" x14ac:dyDescent="0.15">
      <c r="A32" s="6" t="s">
        <v>171</v>
      </c>
      <c r="B32" s="6"/>
      <c r="C32" s="6"/>
      <c r="D32" s="6" t="s">
        <v>4131</v>
      </c>
      <c r="E32" s="6" t="s">
        <v>25</v>
      </c>
      <c r="F32" s="6" t="s">
        <v>172</v>
      </c>
      <c r="G32" s="6"/>
      <c r="H32">
        <v>550</v>
      </c>
      <c r="I32" t="b">
        <v>0</v>
      </c>
      <c r="J32" s="1" t="s">
        <v>17</v>
      </c>
      <c r="K32" t="s">
        <v>27</v>
      </c>
      <c r="L32">
        <v>1</v>
      </c>
      <c r="M32" s="7" t="b">
        <v>0</v>
      </c>
      <c r="N32" s="7" t="b">
        <v>0</v>
      </c>
      <c r="O32" s="1" t="s">
        <v>19</v>
      </c>
      <c r="P32" s="1" t="s">
        <v>17</v>
      </c>
      <c r="Q32" s="1" t="s">
        <v>17</v>
      </c>
      <c r="R32" s="1" t="s">
        <v>17</v>
      </c>
      <c r="S32" s="1" t="s">
        <v>19</v>
      </c>
      <c r="T32" s="1" t="s">
        <v>17</v>
      </c>
      <c r="U32" t="str">
        <f t="shared" si="0"/>
        <v>filter|dataset</v>
      </c>
      <c r="V32" t="str">
        <f t="shared" si="1"/>
        <v/>
      </c>
      <c r="W32" t="str">
        <f t="shared" si="2"/>
        <v>filter</v>
      </c>
      <c r="X32" t="str">
        <f t="shared" si="3"/>
        <v/>
      </c>
      <c r="Y32" t="str">
        <f t="shared" si="4"/>
        <v/>
      </c>
      <c r="Z32" t="str">
        <f t="shared" si="5"/>
        <v/>
      </c>
      <c r="AA32" t="str">
        <f t="shared" si="6"/>
        <v>dataset</v>
      </c>
      <c r="AB32" t="str">
        <f t="shared" si="7"/>
        <v/>
      </c>
      <c r="AC32" t="str">
        <f>IF(C32="Unit","unit","")</f>
        <v/>
      </c>
    </row>
    <row r="33" spans="1:1023" x14ac:dyDescent="0.15">
      <c r="A33" t="s">
        <v>187</v>
      </c>
      <c r="E33" t="s">
        <v>15</v>
      </c>
      <c r="F33" t="s">
        <v>188</v>
      </c>
      <c r="H33">
        <v>550</v>
      </c>
      <c r="I33" t="b">
        <v>0</v>
      </c>
      <c r="J33" s="1" t="s">
        <v>17</v>
      </c>
      <c r="K33" t="s">
        <v>184</v>
      </c>
      <c r="L33">
        <v>0</v>
      </c>
      <c r="M33" s="7" t="b">
        <v>0</v>
      </c>
      <c r="N33" s="7" t="b">
        <v>0</v>
      </c>
      <c r="O33" s="1" t="s">
        <v>19</v>
      </c>
      <c r="P33" s="1" t="s">
        <v>19</v>
      </c>
      <c r="Q33" s="1" t="s">
        <v>17</v>
      </c>
      <c r="R33" s="1" t="s">
        <v>17</v>
      </c>
      <c r="S33" s="1" t="s">
        <v>17</v>
      </c>
      <c r="T33" s="1" t="s">
        <v>17</v>
      </c>
      <c r="U33" t="str">
        <f t="shared" si="0"/>
        <v>filter|user</v>
      </c>
      <c r="V33" t="str">
        <f t="shared" si="1"/>
        <v/>
      </c>
      <c r="W33" t="str">
        <f t="shared" si="2"/>
        <v>filter</v>
      </c>
      <c r="X33" t="str">
        <f t="shared" si="3"/>
        <v>user</v>
      </c>
      <c r="Y33" t="str">
        <f t="shared" si="4"/>
        <v/>
      </c>
      <c r="Z33" t="str">
        <f t="shared" si="5"/>
        <v/>
      </c>
      <c r="AA33" t="str">
        <f t="shared" si="6"/>
        <v/>
      </c>
      <c r="AB33" t="str">
        <f t="shared" si="7"/>
        <v/>
      </c>
      <c r="AC33" t="str">
        <f>IF(C33="Unit","unit","")</f>
        <v/>
      </c>
    </row>
    <row r="34" spans="1:1023" x14ac:dyDescent="0.15">
      <c r="A34" s="6" t="s">
        <v>209</v>
      </c>
      <c r="B34" s="6"/>
      <c r="C34" s="6"/>
      <c r="D34" s="6"/>
      <c r="E34" t="s">
        <v>15</v>
      </c>
      <c r="F34" t="s">
        <v>3143</v>
      </c>
      <c r="H34">
        <v>500</v>
      </c>
      <c r="I34" t="b">
        <v>0</v>
      </c>
      <c r="J34" s="1" t="s">
        <v>17</v>
      </c>
      <c r="K34" t="s">
        <v>18</v>
      </c>
      <c r="L34">
        <v>0</v>
      </c>
      <c r="M34" s="7" t="b">
        <v>0</v>
      </c>
      <c r="N34" s="7" t="b">
        <v>0</v>
      </c>
      <c r="O34" s="1" t="s">
        <v>19</v>
      </c>
      <c r="P34" s="1" t="s">
        <v>17</v>
      </c>
      <c r="Q34" s="1" t="s">
        <v>17</v>
      </c>
      <c r="R34" s="1" t="s">
        <v>17</v>
      </c>
      <c r="S34" s="1" t="s">
        <v>19</v>
      </c>
      <c r="T34" s="1" t="s">
        <v>17</v>
      </c>
      <c r="U34" t="str">
        <f t="shared" si="0"/>
        <v>filter|dataset</v>
      </c>
      <c r="V34" t="str">
        <f t="shared" si="1"/>
        <v/>
      </c>
      <c r="W34" t="str">
        <f t="shared" si="2"/>
        <v>filter</v>
      </c>
      <c r="X34" t="str">
        <f t="shared" si="3"/>
        <v/>
      </c>
      <c r="Y34" t="str">
        <f t="shared" si="4"/>
        <v/>
      </c>
      <c r="Z34" t="str">
        <f t="shared" si="5"/>
        <v/>
      </c>
      <c r="AA34" t="str">
        <f t="shared" si="6"/>
        <v>dataset</v>
      </c>
      <c r="AB34" t="str">
        <f t="shared" si="7"/>
        <v/>
      </c>
      <c r="AC34" t="str">
        <f>IF(C34="Unit","unit","")</f>
        <v/>
      </c>
    </row>
    <row r="35" spans="1:1023" x14ac:dyDescent="0.15">
      <c r="A35" s="6" t="s">
        <v>28</v>
      </c>
      <c r="B35" s="6"/>
      <c r="C35" s="6"/>
      <c r="D35" s="6"/>
      <c r="E35" t="s">
        <v>29</v>
      </c>
      <c r="F35" t="s">
        <v>30</v>
      </c>
      <c r="H35">
        <v>500</v>
      </c>
      <c r="I35" t="b">
        <v>0</v>
      </c>
      <c r="J35" s="1" t="s">
        <v>17</v>
      </c>
      <c r="K35" t="s">
        <v>31</v>
      </c>
      <c r="L35">
        <v>3</v>
      </c>
      <c r="M35" s="7" t="b">
        <v>0</v>
      </c>
      <c r="N35" s="7" t="b">
        <v>0</v>
      </c>
      <c r="O35" s="1" t="s">
        <v>19</v>
      </c>
      <c r="P35" s="1" t="s">
        <v>17</v>
      </c>
      <c r="Q35" s="1" t="s">
        <v>17</v>
      </c>
      <c r="R35" s="1" t="s">
        <v>17</v>
      </c>
      <c r="S35" s="1" t="s">
        <v>19</v>
      </c>
      <c r="T35" s="1" t="s">
        <v>17</v>
      </c>
      <c r="U35" t="str">
        <f t="shared" si="0"/>
        <v>filter|dataset</v>
      </c>
      <c r="V35" t="str">
        <f t="shared" si="1"/>
        <v/>
      </c>
      <c r="W35" t="str">
        <f t="shared" si="2"/>
        <v>filter</v>
      </c>
      <c r="X35" t="str">
        <f t="shared" si="3"/>
        <v/>
      </c>
      <c r="Y35" t="str">
        <f t="shared" si="4"/>
        <v/>
      </c>
      <c r="Z35" t="str">
        <f t="shared" si="5"/>
        <v/>
      </c>
      <c r="AA35" t="str">
        <f t="shared" si="6"/>
        <v>dataset</v>
      </c>
      <c r="AB35" t="str">
        <f t="shared" si="7"/>
        <v/>
      </c>
      <c r="AC35" t="str">
        <f>IF(C35="Unit","unit","")</f>
        <v/>
      </c>
    </row>
    <row r="36" spans="1:1023" x14ac:dyDescent="0.15">
      <c r="A36" t="s">
        <v>32</v>
      </c>
      <c r="E36" t="s">
        <v>15</v>
      </c>
      <c r="F36" t="s">
        <v>33</v>
      </c>
      <c r="H36">
        <v>500</v>
      </c>
      <c r="I36" t="b">
        <v>0</v>
      </c>
      <c r="J36" s="1" t="s">
        <v>17</v>
      </c>
      <c r="K36" t="s">
        <v>34</v>
      </c>
      <c r="L36">
        <v>0</v>
      </c>
      <c r="M36" s="7" t="b">
        <v>0</v>
      </c>
      <c r="N36" s="7" t="b">
        <v>0</v>
      </c>
      <c r="O36" s="1" t="s">
        <v>17</v>
      </c>
      <c r="P36" s="1" t="s">
        <v>17</v>
      </c>
      <c r="Q36" s="1" t="s">
        <v>17</v>
      </c>
      <c r="R36" s="1" t="s">
        <v>17</v>
      </c>
      <c r="S36" s="1" t="s">
        <v>19</v>
      </c>
      <c r="T36" s="1" t="s">
        <v>17</v>
      </c>
      <c r="U36" t="str">
        <f t="shared" si="0"/>
        <v>dataset</v>
      </c>
      <c r="V36" t="str">
        <f t="shared" si="1"/>
        <v/>
      </c>
      <c r="W36" t="str">
        <f t="shared" si="2"/>
        <v/>
      </c>
      <c r="X36" t="str">
        <f t="shared" si="3"/>
        <v/>
      </c>
      <c r="Y36" t="str">
        <f t="shared" si="4"/>
        <v/>
      </c>
      <c r="Z36" t="str">
        <f t="shared" si="5"/>
        <v/>
      </c>
      <c r="AA36" t="str">
        <f t="shared" si="6"/>
        <v>dataset</v>
      </c>
      <c r="AB36" t="str">
        <f t="shared" si="7"/>
        <v/>
      </c>
      <c r="AC36" t="str">
        <f>IF(C36="Unit","unit","")</f>
        <v/>
      </c>
    </row>
    <row r="37" spans="1:1023" x14ac:dyDescent="0.15">
      <c r="A37" t="s">
        <v>37</v>
      </c>
      <c r="E37" t="s">
        <v>15</v>
      </c>
      <c r="F37" t="s">
        <v>38</v>
      </c>
      <c r="H37">
        <v>500</v>
      </c>
      <c r="I37" t="b">
        <v>0</v>
      </c>
      <c r="J37" s="1" t="s">
        <v>17</v>
      </c>
      <c r="K37" t="s">
        <v>39</v>
      </c>
      <c r="L37">
        <v>0</v>
      </c>
      <c r="M37" s="7" t="b">
        <v>0</v>
      </c>
      <c r="N37" s="7" t="b">
        <v>0</v>
      </c>
      <c r="O37" s="1" t="s">
        <v>19</v>
      </c>
      <c r="P37" s="1" t="s">
        <v>17</v>
      </c>
      <c r="Q37" s="1" t="s">
        <v>17</v>
      </c>
      <c r="R37" s="1" t="s">
        <v>17</v>
      </c>
      <c r="S37" s="1" t="s">
        <v>19</v>
      </c>
      <c r="T37" s="1" t="s">
        <v>17</v>
      </c>
      <c r="U37" t="str">
        <f t="shared" si="0"/>
        <v>filter|dataset</v>
      </c>
      <c r="V37" t="str">
        <f t="shared" si="1"/>
        <v/>
      </c>
      <c r="W37" t="str">
        <f t="shared" si="2"/>
        <v>filter</v>
      </c>
      <c r="X37" t="str">
        <f t="shared" si="3"/>
        <v/>
      </c>
      <c r="Y37" t="str">
        <f t="shared" si="4"/>
        <v/>
      </c>
      <c r="Z37" t="str">
        <f t="shared" si="5"/>
        <v/>
      </c>
      <c r="AA37" t="str">
        <f t="shared" si="6"/>
        <v>dataset</v>
      </c>
      <c r="AB37" t="str">
        <f t="shared" si="7"/>
        <v/>
      </c>
      <c r="AC37" t="str">
        <f>IF(C37="Unit","unit","")</f>
        <v/>
      </c>
    </row>
    <row r="38" spans="1:1023" x14ac:dyDescent="0.15">
      <c r="A38" s="6" t="s">
        <v>47</v>
      </c>
      <c r="B38" s="6"/>
      <c r="C38" s="6"/>
      <c r="D38" s="6"/>
      <c r="E38" s="6" t="s">
        <v>20</v>
      </c>
      <c r="F38" s="6" t="s">
        <v>48</v>
      </c>
      <c r="G38" s="6"/>
      <c r="H38">
        <v>500</v>
      </c>
      <c r="I38" t="b">
        <v>0</v>
      </c>
      <c r="J38" s="1" t="s">
        <v>17</v>
      </c>
      <c r="K38" t="s">
        <v>23</v>
      </c>
      <c r="L38">
        <v>2</v>
      </c>
      <c r="M38" s="7" t="b">
        <v>0</v>
      </c>
      <c r="N38" s="7" t="b">
        <v>0</v>
      </c>
      <c r="O38" s="1" t="s">
        <v>19</v>
      </c>
      <c r="P38" s="1" t="s">
        <v>17</v>
      </c>
      <c r="Q38" s="1" t="s">
        <v>17</v>
      </c>
      <c r="R38" s="1" t="s">
        <v>17</v>
      </c>
      <c r="S38" s="1" t="s">
        <v>19</v>
      </c>
      <c r="T38" s="1" t="s">
        <v>19</v>
      </c>
      <c r="U38" t="str">
        <f t="shared" si="0"/>
        <v>filter|dataset|sample</v>
      </c>
      <c r="V38" t="str">
        <f t="shared" si="1"/>
        <v/>
      </c>
      <c r="W38" t="str">
        <f t="shared" si="2"/>
        <v>filter</v>
      </c>
      <c r="X38" t="str">
        <f t="shared" si="3"/>
        <v/>
      </c>
      <c r="Y38" t="str">
        <f t="shared" si="4"/>
        <v/>
      </c>
      <c r="Z38" t="str">
        <f t="shared" si="5"/>
        <v/>
      </c>
      <c r="AA38" t="str">
        <f t="shared" si="6"/>
        <v>dataset</v>
      </c>
      <c r="AB38" t="str">
        <f t="shared" si="7"/>
        <v>sample</v>
      </c>
      <c r="AC38" t="str">
        <f>IF(C38="Unit","unit","")</f>
        <v/>
      </c>
    </row>
    <row r="39" spans="1:1023" x14ac:dyDescent="0.15">
      <c r="A39" t="s">
        <v>85</v>
      </c>
      <c r="E39" t="s">
        <v>15</v>
      </c>
      <c r="F39" t="s">
        <v>86</v>
      </c>
      <c r="H39">
        <v>500</v>
      </c>
      <c r="I39" t="b">
        <v>0</v>
      </c>
      <c r="J39" s="1" t="s">
        <v>17</v>
      </c>
      <c r="K39" t="s">
        <v>39</v>
      </c>
      <c r="L39">
        <v>0</v>
      </c>
      <c r="M39" s="7" t="b">
        <v>0</v>
      </c>
      <c r="N39" s="7" t="b">
        <v>0</v>
      </c>
      <c r="O39" s="1" t="s">
        <v>19</v>
      </c>
      <c r="P39" s="1" t="s">
        <v>17</v>
      </c>
      <c r="Q39" s="1" t="s">
        <v>17</v>
      </c>
      <c r="R39" s="1" t="s">
        <v>17</v>
      </c>
      <c r="S39" s="1" t="s">
        <v>19</v>
      </c>
      <c r="T39" s="1" t="s">
        <v>17</v>
      </c>
      <c r="U39" t="str">
        <f t="shared" si="0"/>
        <v>filter|dataset</v>
      </c>
      <c r="V39" t="str">
        <f t="shared" si="1"/>
        <v/>
      </c>
      <c r="W39" t="str">
        <f t="shared" si="2"/>
        <v>filter</v>
      </c>
      <c r="X39" t="str">
        <f t="shared" si="3"/>
        <v/>
      </c>
      <c r="Y39" t="str">
        <f t="shared" si="4"/>
        <v/>
      </c>
      <c r="Z39" t="str">
        <f t="shared" si="5"/>
        <v/>
      </c>
      <c r="AA39" t="str">
        <f t="shared" si="6"/>
        <v>dataset</v>
      </c>
      <c r="AB39" t="str">
        <f t="shared" si="7"/>
        <v/>
      </c>
      <c r="AC39" t="str">
        <f>IF(C39="Unit","unit","")</f>
        <v/>
      </c>
    </row>
    <row r="40" spans="1:1023" x14ac:dyDescent="0.15">
      <c r="A40" t="s">
        <v>89</v>
      </c>
      <c r="E40" t="s">
        <v>15</v>
      </c>
      <c r="F40" t="s">
        <v>90</v>
      </c>
      <c r="H40">
        <v>500</v>
      </c>
      <c r="I40" t="b">
        <v>0</v>
      </c>
      <c r="J40" s="1" t="s">
        <v>17</v>
      </c>
      <c r="K40" t="s">
        <v>91</v>
      </c>
      <c r="L40">
        <v>0</v>
      </c>
      <c r="M40" s="7" t="b">
        <v>1</v>
      </c>
      <c r="N40" s="7" t="b">
        <v>1</v>
      </c>
      <c r="O40" s="1" t="s">
        <v>19</v>
      </c>
      <c r="P40" s="1" t="s">
        <v>17</v>
      </c>
      <c r="Q40" s="1" t="s">
        <v>17</v>
      </c>
      <c r="R40" s="1" t="s">
        <v>17</v>
      </c>
      <c r="S40" s="1" t="s">
        <v>19</v>
      </c>
      <c r="T40" s="1" t="s">
        <v>17</v>
      </c>
      <c r="U40" t="str">
        <f t="shared" si="0"/>
        <v>mandatory|filter|dataset</v>
      </c>
      <c r="V40" t="str">
        <f t="shared" si="1"/>
        <v>mandatory</v>
      </c>
      <c r="W40" t="str">
        <f t="shared" si="2"/>
        <v>filter</v>
      </c>
      <c r="X40" t="str">
        <f t="shared" si="3"/>
        <v/>
      </c>
      <c r="Y40" t="str">
        <f t="shared" si="4"/>
        <v/>
      </c>
      <c r="Z40" t="str">
        <f t="shared" si="5"/>
        <v/>
      </c>
      <c r="AA40" t="str">
        <f t="shared" si="6"/>
        <v>dataset</v>
      </c>
      <c r="AB40" t="str">
        <f t="shared" si="7"/>
        <v/>
      </c>
      <c r="AC40" t="str">
        <f>IF(C40="Unit","unit","")</f>
        <v/>
      </c>
    </row>
    <row r="41" spans="1:1023" x14ac:dyDescent="0.15">
      <c r="A41" s="6" t="s">
        <v>99</v>
      </c>
      <c r="B41" s="6"/>
      <c r="C41" s="6"/>
      <c r="D41" s="6"/>
      <c r="E41" t="s">
        <v>29</v>
      </c>
      <c r="F41" t="s">
        <v>100</v>
      </c>
      <c r="H41">
        <v>500</v>
      </c>
      <c r="I41" t="b">
        <v>0</v>
      </c>
      <c r="J41" s="1" t="s">
        <v>17</v>
      </c>
      <c r="K41" t="s">
        <v>31</v>
      </c>
      <c r="L41">
        <v>0</v>
      </c>
      <c r="M41" s="7" t="b">
        <v>0</v>
      </c>
      <c r="N41" s="7" t="b">
        <v>0</v>
      </c>
      <c r="O41" s="1" t="s">
        <v>19</v>
      </c>
      <c r="P41" s="1" t="s">
        <v>17</v>
      </c>
      <c r="Q41" s="1" t="s">
        <v>17</v>
      </c>
      <c r="R41" s="1" t="s">
        <v>17</v>
      </c>
      <c r="S41" s="1" t="s">
        <v>19</v>
      </c>
      <c r="T41" s="1" t="s">
        <v>17</v>
      </c>
      <c r="U41" t="str">
        <f t="shared" si="0"/>
        <v>filter|dataset</v>
      </c>
      <c r="V41" t="str">
        <f t="shared" si="1"/>
        <v/>
      </c>
      <c r="W41" t="str">
        <f t="shared" si="2"/>
        <v>filter</v>
      </c>
      <c r="X41" t="str">
        <f t="shared" si="3"/>
        <v/>
      </c>
      <c r="Y41" t="str">
        <f t="shared" si="4"/>
        <v/>
      </c>
      <c r="Z41" t="str">
        <f t="shared" si="5"/>
        <v/>
      </c>
      <c r="AA41" t="str">
        <f t="shared" si="6"/>
        <v>dataset</v>
      </c>
      <c r="AB41" t="str">
        <f t="shared" si="7"/>
        <v/>
      </c>
      <c r="AC41" t="str">
        <f>IF(C41="Unit","unit","")</f>
        <v/>
      </c>
    </row>
    <row r="42" spans="1:1023" x14ac:dyDescent="0.15">
      <c r="A42" t="s">
        <v>101</v>
      </c>
      <c r="E42" t="s">
        <v>15</v>
      </c>
      <c r="F42" t="s">
        <v>102</v>
      </c>
      <c r="H42">
        <v>500</v>
      </c>
      <c r="I42" t="b">
        <v>0</v>
      </c>
      <c r="J42" s="1" t="s">
        <v>17</v>
      </c>
      <c r="K42" t="s">
        <v>103</v>
      </c>
      <c r="L42">
        <v>0</v>
      </c>
      <c r="M42" s="7" t="b">
        <v>0</v>
      </c>
      <c r="N42" s="7" t="b">
        <v>0</v>
      </c>
      <c r="O42" s="1" t="s">
        <v>19</v>
      </c>
      <c r="P42" s="1" t="s">
        <v>17</v>
      </c>
      <c r="Q42" s="1" t="s">
        <v>17</v>
      </c>
      <c r="R42" s="1" t="s">
        <v>17</v>
      </c>
      <c r="S42" s="1" t="s">
        <v>19</v>
      </c>
      <c r="T42" s="1" t="s">
        <v>17</v>
      </c>
      <c r="U42" t="str">
        <f t="shared" si="0"/>
        <v>filter|dataset</v>
      </c>
      <c r="V42" t="str">
        <f t="shared" si="1"/>
        <v/>
      </c>
      <c r="W42" t="str">
        <f t="shared" si="2"/>
        <v>filter</v>
      </c>
      <c r="X42" t="str">
        <f t="shared" si="3"/>
        <v/>
      </c>
      <c r="Y42" t="str">
        <f t="shared" si="4"/>
        <v/>
      </c>
      <c r="Z42" t="str">
        <f t="shared" si="5"/>
        <v/>
      </c>
      <c r="AA42" t="str">
        <f t="shared" si="6"/>
        <v>dataset</v>
      </c>
      <c r="AB42" t="str">
        <f t="shared" si="7"/>
        <v/>
      </c>
      <c r="AC42" t="str">
        <f>IF(C42="Unit","unit","")</f>
        <v/>
      </c>
    </row>
    <row r="43" spans="1:1023" s="27" customFormat="1" x14ac:dyDescent="0.15">
      <c r="A43" t="s">
        <v>1170</v>
      </c>
      <c r="B43"/>
      <c r="C43"/>
      <c r="D43"/>
      <c r="E43" s="6" t="s">
        <v>15</v>
      </c>
      <c r="F43" s="6" t="s">
        <v>3105</v>
      </c>
      <c r="G43" s="6"/>
      <c r="H43">
        <v>500</v>
      </c>
      <c r="I43" t="b">
        <v>0</v>
      </c>
      <c r="J43" s="1" t="s">
        <v>17</v>
      </c>
      <c r="K43" t="s">
        <v>44</v>
      </c>
      <c r="L43">
        <v>0</v>
      </c>
      <c r="M43" s="7" t="b">
        <v>0</v>
      </c>
      <c r="N43" s="7" t="b">
        <v>0</v>
      </c>
      <c r="O43" s="1" t="s">
        <v>19</v>
      </c>
      <c r="P43" s="1" t="s">
        <v>17</v>
      </c>
      <c r="Q43" s="1" t="s">
        <v>17</v>
      </c>
      <c r="R43" s="1" t="s">
        <v>17</v>
      </c>
      <c r="S43" s="1" t="s">
        <v>19</v>
      </c>
      <c r="T43" s="1" t="s">
        <v>19</v>
      </c>
      <c r="U43" t="str">
        <f t="shared" si="0"/>
        <v>filter|dataset|sample</v>
      </c>
      <c r="V43" t="str">
        <f t="shared" si="1"/>
        <v/>
      </c>
      <c r="W43" t="str">
        <f t="shared" si="2"/>
        <v>filter</v>
      </c>
      <c r="X43" t="str">
        <f t="shared" si="3"/>
        <v/>
      </c>
      <c r="Y43" t="str">
        <f t="shared" si="4"/>
        <v/>
      </c>
      <c r="Z43" t="str">
        <f t="shared" si="5"/>
        <v/>
      </c>
      <c r="AA43" t="str">
        <f t="shared" si="6"/>
        <v>dataset</v>
      </c>
      <c r="AB43" t="str">
        <f t="shared" si="7"/>
        <v>sample</v>
      </c>
      <c r="AC43" t="str">
        <f>IF(C43="Unit","unit","")</f>
        <v/>
      </c>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row>
    <row r="44" spans="1:1023" x14ac:dyDescent="0.15">
      <c r="A44" t="s">
        <v>4122</v>
      </c>
      <c r="C44" t="s">
        <v>4120</v>
      </c>
      <c r="D44" t="s">
        <v>3221</v>
      </c>
      <c r="E44" t="s">
        <v>117</v>
      </c>
      <c r="F44" t="s">
        <v>2736</v>
      </c>
      <c r="H44">
        <v>500</v>
      </c>
      <c r="I44" t="b">
        <v>0</v>
      </c>
      <c r="J44" s="1" t="s">
        <v>17</v>
      </c>
      <c r="K44" t="s">
        <v>51</v>
      </c>
      <c r="L44">
        <v>2</v>
      </c>
      <c r="M44" s="7" t="b">
        <v>0</v>
      </c>
      <c r="N44" s="7" t="b">
        <v>1</v>
      </c>
      <c r="O44" s="1" t="s">
        <v>19</v>
      </c>
      <c r="P44" s="1" t="s">
        <v>17</v>
      </c>
      <c r="Q44" s="1" t="s">
        <v>17</v>
      </c>
      <c r="R44" s="1" t="s">
        <v>19</v>
      </c>
      <c r="S44" s="1" t="s">
        <v>19</v>
      </c>
      <c r="T44" s="1" t="s">
        <v>19</v>
      </c>
      <c r="U44" t="str">
        <f t="shared" si="0"/>
        <v>mandatory|filter|qc|dataset|sample|instrument</v>
      </c>
      <c r="V44" t="str">
        <f t="shared" si="1"/>
        <v>mandatory</v>
      </c>
      <c r="W44" t="str">
        <f t="shared" si="2"/>
        <v>filter</v>
      </c>
      <c r="X44" t="str">
        <f t="shared" si="3"/>
        <v/>
      </c>
      <c r="Y44" t="str">
        <f t="shared" si="4"/>
        <v/>
      </c>
      <c r="Z44" t="str">
        <f t="shared" si="5"/>
        <v>qc</v>
      </c>
      <c r="AA44" t="str">
        <f t="shared" si="6"/>
        <v>dataset</v>
      </c>
      <c r="AB44" t="str">
        <f t="shared" si="7"/>
        <v>sample</v>
      </c>
      <c r="AC44" t="str">
        <f>IF(C44="Unit","unit","")</f>
        <v/>
      </c>
      <c r="AD44" t="s">
        <v>2532</v>
      </c>
    </row>
    <row r="45" spans="1:1023" x14ac:dyDescent="0.15">
      <c r="A45" s="6" t="s">
        <v>121</v>
      </c>
      <c r="B45" s="6"/>
      <c r="C45" s="6"/>
      <c r="D45" s="6"/>
      <c r="E45" s="6" t="s">
        <v>74</v>
      </c>
      <c r="F45" t="s">
        <v>122</v>
      </c>
      <c r="H45">
        <v>500</v>
      </c>
      <c r="I45" t="b">
        <v>0</v>
      </c>
      <c r="J45" s="1" t="s">
        <v>17</v>
      </c>
      <c r="K45" t="s">
        <v>76</v>
      </c>
      <c r="L45">
        <v>1</v>
      </c>
      <c r="M45" s="7" t="b">
        <v>0</v>
      </c>
      <c r="N45" s="7" t="b">
        <v>0</v>
      </c>
      <c r="O45" s="1" t="s">
        <v>19</v>
      </c>
      <c r="P45" s="1" t="s">
        <v>17</v>
      </c>
      <c r="Q45" s="1" t="s">
        <v>17</v>
      </c>
      <c r="R45" s="1" t="s">
        <v>17</v>
      </c>
      <c r="S45" s="1" t="s">
        <v>19</v>
      </c>
      <c r="T45" s="1" t="s">
        <v>19</v>
      </c>
      <c r="U45" t="str">
        <f t="shared" si="0"/>
        <v>filter|dataset|sample</v>
      </c>
      <c r="V45" t="str">
        <f t="shared" si="1"/>
        <v/>
      </c>
      <c r="W45" t="str">
        <f t="shared" si="2"/>
        <v>filter</v>
      </c>
      <c r="X45" t="str">
        <f t="shared" si="3"/>
        <v/>
      </c>
      <c r="Y45" t="str">
        <f t="shared" si="4"/>
        <v/>
      </c>
      <c r="Z45" t="str">
        <f t="shared" si="5"/>
        <v/>
      </c>
      <c r="AA45" t="str">
        <f t="shared" si="6"/>
        <v>dataset</v>
      </c>
      <c r="AB45" t="str">
        <f t="shared" si="7"/>
        <v>sample</v>
      </c>
      <c r="AC45" t="str">
        <f>IF(C45="Unit","unit","")</f>
        <v/>
      </c>
    </row>
    <row r="46" spans="1:1023" x14ac:dyDescent="0.15">
      <c r="A46" s="6" t="s">
        <v>74</v>
      </c>
      <c r="B46" s="6"/>
      <c r="C46" s="6"/>
      <c r="D46" s="6" t="s">
        <v>121</v>
      </c>
      <c r="E46" t="s">
        <v>15</v>
      </c>
      <c r="F46" t="s">
        <v>123</v>
      </c>
      <c r="H46">
        <v>500</v>
      </c>
      <c r="I46" t="b">
        <v>0</v>
      </c>
      <c r="J46" s="1" t="s">
        <v>17</v>
      </c>
      <c r="K46" t="s">
        <v>76</v>
      </c>
      <c r="L46">
        <v>1</v>
      </c>
      <c r="M46" s="7" t="b">
        <v>0</v>
      </c>
      <c r="N46" s="7" t="b">
        <v>0</v>
      </c>
      <c r="O46" s="1" t="s">
        <v>19</v>
      </c>
      <c r="P46" s="1" t="s">
        <v>17</v>
      </c>
      <c r="Q46" s="1" t="s">
        <v>17</v>
      </c>
      <c r="R46" s="1" t="s">
        <v>17</v>
      </c>
      <c r="S46" s="1" t="s">
        <v>19</v>
      </c>
      <c r="T46" s="1" t="s">
        <v>17</v>
      </c>
      <c r="U46" t="str">
        <f t="shared" si="0"/>
        <v>filter|dataset</v>
      </c>
      <c r="V46" t="str">
        <f t="shared" si="1"/>
        <v/>
      </c>
      <c r="W46" t="str">
        <f t="shared" si="2"/>
        <v>filter</v>
      </c>
      <c r="X46" t="str">
        <f t="shared" si="3"/>
        <v/>
      </c>
      <c r="Y46" t="str">
        <f t="shared" si="4"/>
        <v/>
      </c>
      <c r="Z46" t="str">
        <f t="shared" si="5"/>
        <v/>
      </c>
      <c r="AA46" t="str">
        <f t="shared" si="6"/>
        <v>dataset</v>
      </c>
      <c r="AB46" t="str">
        <f t="shared" si="7"/>
        <v/>
      </c>
      <c r="AC46" t="str">
        <f>IF(C46="Unit","unit","")</f>
        <v/>
      </c>
    </row>
    <row r="47" spans="1:1023" x14ac:dyDescent="0.15">
      <c r="A47" s="6" t="s">
        <v>124</v>
      </c>
      <c r="B47" s="6"/>
      <c r="C47" s="6"/>
      <c r="D47" s="6"/>
      <c r="E47" t="s">
        <v>15</v>
      </c>
      <c r="F47" t="s">
        <v>125</v>
      </c>
      <c r="H47">
        <v>500</v>
      </c>
      <c r="I47" t="b">
        <v>0</v>
      </c>
      <c r="J47" s="1" t="s">
        <v>17</v>
      </c>
      <c r="K47" t="s">
        <v>39</v>
      </c>
      <c r="L47">
        <v>0</v>
      </c>
      <c r="M47" s="7" t="b">
        <v>0</v>
      </c>
      <c r="N47" s="7" t="b">
        <v>0</v>
      </c>
      <c r="O47" s="1" t="s">
        <v>19</v>
      </c>
      <c r="P47" s="1" t="s">
        <v>17</v>
      </c>
      <c r="Q47" s="1" t="s">
        <v>17</v>
      </c>
      <c r="R47" s="1" t="s">
        <v>17</v>
      </c>
      <c r="S47" s="1" t="s">
        <v>19</v>
      </c>
      <c r="T47" s="1" t="s">
        <v>17</v>
      </c>
      <c r="U47" t="str">
        <f t="shared" si="0"/>
        <v>filter|dataset</v>
      </c>
      <c r="V47" t="str">
        <f t="shared" si="1"/>
        <v/>
      </c>
      <c r="W47" t="str">
        <f t="shared" si="2"/>
        <v>filter</v>
      </c>
      <c r="X47" t="str">
        <f t="shared" si="3"/>
        <v/>
      </c>
      <c r="Y47" t="str">
        <f t="shared" si="4"/>
        <v/>
      </c>
      <c r="Z47" t="str">
        <f t="shared" si="5"/>
        <v/>
      </c>
      <c r="AA47" t="str">
        <f t="shared" si="6"/>
        <v>dataset</v>
      </c>
      <c r="AB47" t="str">
        <f t="shared" si="7"/>
        <v/>
      </c>
      <c r="AC47" t="str">
        <f>IF(C47="Unit","unit","")</f>
        <v/>
      </c>
    </row>
    <row r="48" spans="1:1023" x14ac:dyDescent="0.15">
      <c r="A48" t="s">
        <v>126</v>
      </c>
      <c r="E48" t="s">
        <v>15</v>
      </c>
      <c r="F48" t="s">
        <v>127</v>
      </c>
      <c r="H48">
        <v>500</v>
      </c>
      <c r="I48" t="b">
        <v>0</v>
      </c>
      <c r="J48" s="1" t="s">
        <v>17</v>
      </c>
      <c r="K48" t="s">
        <v>128</v>
      </c>
      <c r="L48">
        <v>0</v>
      </c>
      <c r="M48" s="7" t="b">
        <v>0</v>
      </c>
      <c r="N48" s="7" t="b">
        <v>0</v>
      </c>
      <c r="O48" s="1" t="s">
        <v>19</v>
      </c>
      <c r="P48" s="1" t="s">
        <v>17</v>
      </c>
      <c r="Q48" s="1" t="s">
        <v>17</v>
      </c>
      <c r="R48" s="1" t="s">
        <v>17</v>
      </c>
      <c r="S48" s="1" t="s">
        <v>19</v>
      </c>
      <c r="T48" s="1" t="s">
        <v>17</v>
      </c>
      <c r="U48" t="str">
        <f t="shared" si="0"/>
        <v>filter|dataset</v>
      </c>
      <c r="V48" t="str">
        <f t="shared" si="1"/>
        <v/>
      </c>
      <c r="W48" t="str">
        <f t="shared" si="2"/>
        <v>filter</v>
      </c>
      <c r="X48" t="str">
        <f t="shared" si="3"/>
        <v/>
      </c>
      <c r="Y48" t="str">
        <f t="shared" si="4"/>
        <v/>
      </c>
      <c r="Z48" t="str">
        <f t="shared" si="5"/>
        <v/>
      </c>
      <c r="AA48" t="str">
        <f t="shared" si="6"/>
        <v>dataset</v>
      </c>
      <c r="AB48" t="str">
        <f t="shared" si="7"/>
        <v/>
      </c>
      <c r="AC48" t="str">
        <f>IF(C48="Unit","unit","")</f>
        <v/>
      </c>
    </row>
    <row r="49" spans="1:29" x14ac:dyDescent="0.15">
      <c r="A49" t="s">
        <v>129</v>
      </c>
      <c r="E49" t="s">
        <v>15</v>
      </c>
      <c r="F49" t="s">
        <v>130</v>
      </c>
      <c r="H49">
        <v>500</v>
      </c>
      <c r="I49" t="b">
        <v>0</v>
      </c>
      <c r="J49" s="1" t="s">
        <v>17</v>
      </c>
      <c r="K49" t="s">
        <v>39</v>
      </c>
      <c r="L49">
        <v>0</v>
      </c>
      <c r="M49" s="7" t="b">
        <v>0</v>
      </c>
      <c r="N49" s="7" t="b">
        <v>0</v>
      </c>
      <c r="O49" s="1" t="s">
        <v>19</v>
      </c>
      <c r="P49" s="1" t="s">
        <v>17</v>
      </c>
      <c r="Q49" s="1" t="s">
        <v>17</v>
      </c>
      <c r="R49" s="1" t="s">
        <v>17</v>
      </c>
      <c r="S49" s="1" t="s">
        <v>19</v>
      </c>
      <c r="T49" s="1" t="s">
        <v>17</v>
      </c>
      <c r="U49" t="str">
        <f t="shared" si="0"/>
        <v>filter|dataset</v>
      </c>
      <c r="V49" t="str">
        <f t="shared" si="1"/>
        <v/>
      </c>
      <c r="W49" t="str">
        <f t="shared" si="2"/>
        <v>filter</v>
      </c>
      <c r="X49" t="str">
        <f t="shared" si="3"/>
        <v/>
      </c>
      <c r="Y49" t="str">
        <f t="shared" si="4"/>
        <v/>
      </c>
      <c r="Z49" t="str">
        <f t="shared" si="5"/>
        <v/>
      </c>
      <c r="AA49" t="str">
        <f t="shared" si="6"/>
        <v>dataset</v>
      </c>
      <c r="AB49" t="str">
        <f t="shared" si="7"/>
        <v/>
      </c>
      <c r="AC49" t="str">
        <f>IF(C49="Unit","unit","")</f>
        <v/>
      </c>
    </row>
    <row r="50" spans="1:29" x14ac:dyDescent="0.15">
      <c r="A50" s="6" t="s">
        <v>93</v>
      </c>
      <c r="B50" s="6"/>
      <c r="C50" s="6"/>
      <c r="D50" s="6"/>
      <c r="E50" t="s">
        <v>3859</v>
      </c>
      <c r="F50" t="s">
        <v>132</v>
      </c>
      <c r="H50">
        <v>500</v>
      </c>
      <c r="I50" t="b">
        <v>0</v>
      </c>
      <c r="J50" s="1" t="s">
        <v>17</v>
      </c>
      <c r="K50" t="s">
        <v>23</v>
      </c>
      <c r="L50">
        <v>2</v>
      </c>
      <c r="M50" s="7" t="b">
        <v>0</v>
      </c>
      <c r="N50" s="7" t="b">
        <v>0</v>
      </c>
      <c r="O50" s="1" t="s">
        <v>19</v>
      </c>
      <c r="P50" s="1" t="s">
        <v>17</v>
      </c>
      <c r="Q50" s="1" t="s">
        <v>17</v>
      </c>
      <c r="R50" s="1" t="s">
        <v>19</v>
      </c>
      <c r="S50" s="1" t="s">
        <v>19</v>
      </c>
      <c r="T50" s="1" t="s">
        <v>19</v>
      </c>
      <c r="U50" t="str">
        <f t="shared" si="0"/>
        <v>filter|qc|dataset|sample</v>
      </c>
      <c r="V50" t="str">
        <f t="shared" si="1"/>
        <v/>
      </c>
      <c r="W50" t="str">
        <f t="shared" si="2"/>
        <v>filter</v>
      </c>
      <c r="X50" t="str">
        <f t="shared" si="3"/>
        <v/>
      </c>
      <c r="Y50" t="str">
        <f t="shared" si="4"/>
        <v/>
      </c>
      <c r="Z50" t="str">
        <f t="shared" si="5"/>
        <v>qc</v>
      </c>
      <c r="AA50" t="str">
        <f t="shared" si="6"/>
        <v>dataset</v>
      </c>
      <c r="AB50" t="str">
        <f t="shared" si="7"/>
        <v>sample</v>
      </c>
      <c r="AC50" t="str">
        <f>IF(C50="Unit","unit","")</f>
        <v/>
      </c>
    </row>
    <row r="51" spans="1:29" x14ac:dyDescent="0.15">
      <c r="A51" t="s">
        <v>144</v>
      </c>
      <c r="E51" t="s">
        <v>145</v>
      </c>
      <c r="F51" t="s">
        <v>2734</v>
      </c>
      <c r="H51">
        <v>500</v>
      </c>
      <c r="I51" t="b">
        <v>0</v>
      </c>
      <c r="J51" s="1" t="s">
        <v>17</v>
      </c>
      <c r="K51" t="s">
        <v>39</v>
      </c>
      <c r="L51">
        <v>0</v>
      </c>
      <c r="M51" s="7" t="b">
        <v>0</v>
      </c>
      <c r="N51" s="7" t="b">
        <v>0</v>
      </c>
      <c r="O51" s="1" t="s">
        <v>19</v>
      </c>
      <c r="P51" s="1" t="s">
        <v>17</v>
      </c>
      <c r="Q51" s="1" t="s">
        <v>17</v>
      </c>
      <c r="R51" s="1" t="s">
        <v>17</v>
      </c>
      <c r="S51" s="1" t="s">
        <v>19</v>
      </c>
      <c r="T51" s="1" t="s">
        <v>17</v>
      </c>
      <c r="U51" t="str">
        <f t="shared" si="0"/>
        <v>filter|dataset</v>
      </c>
      <c r="V51" t="str">
        <f t="shared" si="1"/>
        <v/>
      </c>
      <c r="W51" t="str">
        <f t="shared" si="2"/>
        <v>filter</v>
      </c>
      <c r="X51" t="str">
        <f t="shared" si="3"/>
        <v/>
      </c>
      <c r="Y51" t="str">
        <f t="shared" si="4"/>
        <v/>
      </c>
      <c r="Z51" t="str">
        <f t="shared" si="5"/>
        <v/>
      </c>
      <c r="AA51" t="str">
        <f t="shared" si="6"/>
        <v>dataset</v>
      </c>
      <c r="AB51" t="str">
        <f t="shared" si="7"/>
        <v/>
      </c>
      <c r="AC51" t="str">
        <f>IF(C51="Unit","unit","")</f>
        <v/>
      </c>
    </row>
    <row r="52" spans="1:29" x14ac:dyDescent="0.15">
      <c r="A52" t="s">
        <v>3017</v>
      </c>
      <c r="E52" t="s">
        <v>144</v>
      </c>
      <c r="F52" t="s">
        <v>3018</v>
      </c>
      <c r="H52">
        <v>500</v>
      </c>
      <c r="I52" t="b">
        <v>0</v>
      </c>
      <c r="J52" s="1" t="s">
        <v>17</v>
      </c>
      <c r="K52" t="s">
        <v>39</v>
      </c>
      <c r="L52">
        <v>0</v>
      </c>
      <c r="M52" s="7" t="b">
        <v>0</v>
      </c>
      <c r="N52" s="7" t="b">
        <v>0</v>
      </c>
      <c r="O52" s="1" t="s">
        <v>19</v>
      </c>
      <c r="P52" s="1" t="s">
        <v>17</v>
      </c>
      <c r="Q52" s="1" t="s">
        <v>17</v>
      </c>
      <c r="R52" s="1" t="s">
        <v>17</v>
      </c>
      <c r="S52" s="1" t="s">
        <v>19</v>
      </c>
      <c r="T52" s="1" t="s">
        <v>17</v>
      </c>
      <c r="U52" t="str">
        <f t="shared" si="0"/>
        <v>filter|dataset</v>
      </c>
      <c r="V52" t="str">
        <f t="shared" si="1"/>
        <v/>
      </c>
      <c r="W52" t="str">
        <f t="shared" si="2"/>
        <v>filter</v>
      </c>
      <c r="X52" t="str">
        <f t="shared" si="3"/>
        <v/>
      </c>
      <c r="Y52" t="str">
        <f t="shared" si="4"/>
        <v/>
      </c>
      <c r="Z52" t="str">
        <f t="shared" si="5"/>
        <v/>
      </c>
      <c r="AA52" t="str">
        <f t="shared" si="6"/>
        <v>dataset</v>
      </c>
      <c r="AB52" t="str">
        <f t="shared" si="7"/>
        <v/>
      </c>
      <c r="AC52" t="str">
        <f>IF(C52="Unit","unit","")</f>
        <v/>
      </c>
    </row>
    <row r="53" spans="1:29" x14ac:dyDescent="0.15">
      <c r="A53" t="s">
        <v>155</v>
      </c>
      <c r="E53" t="s">
        <v>15</v>
      </c>
      <c r="F53" t="s">
        <v>156</v>
      </c>
      <c r="H53">
        <v>500</v>
      </c>
      <c r="I53" t="b">
        <v>0</v>
      </c>
      <c r="J53" s="1" t="s">
        <v>17</v>
      </c>
      <c r="K53" t="s">
        <v>91</v>
      </c>
      <c r="L53">
        <v>0</v>
      </c>
      <c r="M53" s="7" t="b">
        <v>1</v>
      </c>
      <c r="N53" s="7" t="b">
        <v>1</v>
      </c>
      <c r="O53" s="1" t="s">
        <v>19</v>
      </c>
      <c r="P53" s="1" t="s">
        <v>17</v>
      </c>
      <c r="Q53" s="1" t="s">
        <v>17</v>
      </c>
      <c r="R53" s="1" t="s">
        <v>17</v>
      </c>
      <c r="S53" s="1" t="s">
        <v>19</v>
      </c>
      <c r="T53" s="1" t="s">
        <v>17</v>
      </c>
      <c r="U53" t="str">
        <f t="shared" si="0"/>
        <v>mandatory|filter|dataset</v>
      </c>
      <c r="V53" t="str">
        <f t="shared" si="1"/>
        <v>mandatory</v>
      </c>
      <c r="W53" t="str">
        <f t="shared" si="2"/>
        <v>filter</v>
      </c>
      <c r="X53" t="str">
        <f t="shared" si="3"/>
        <v/>
      </c>
      <c r="Y53" t="str">
        <f t="shared" si="4"/>
        <v/>
      </c>
      <c r="Z53" t="str">
        <f t="shared" si="5"/>
        <v/>
      </c>
      <c r="AA53" t="str">
        <f t="shared" si="6"/>
        <v>dataset</v>
      </c>
      <c r="AB53" t="str">
        <f t="shared" si="7"/>
        <v/>
      </c>
      <c r="AC53" t="str">
        <f>IF(C53="Unit","unit","")</f>
        <v/>
      </c>
    </row>
    <row r="54" spans="1:29" x14ac:dyDescent="0.15">
      <c r="A54" t="s">
        <v>145</v>
      </c>
      <c r="E54" t="s">
        <v>15</v>
      </c>
      <c r="F54" t="s">
        <v>157</v>
      </c>
      <c r="H54">
        <v>500</v>
      </c>
      <c r="I54" t="b">
        <v>0</v>
      </c>
      <c r="J54" s="1" t="s">
        <v>17</v>
      </c>
      <c r="K54" t="s">
        <v>39</v>
      </c>
      <c r="L54">
        <v>0</v>
      </c>
      <c r="M54" s="7" t="b">
        <v>0</v>
      </c>
      <c r="N54" s="7" t="b">
        <v>0</v>
      </c>
      <c r="O54" s="1" t="s">
        <v>19</v>
      </c>
      <c r="P54" s="1" t="s">
        <v>17</v>
      </c>
      <c r="Q54" s="1" t="s">
        <v>17</v>
      </c>
      <c r="R54" s="1" t="s">
        <v>17</v>
      </c>
      <c r="S54" s="1" t="s">
        <v>19</v>
      </c>
      <c r="T54" s="1" t="s">
        <v>17</v>
      </c>
      <c r="U54" t="str">
        <f t="shared" si="0"/>
        <v>filter|dataset</v>
      </c>
      <c r="V54" t="str">
        <f t="shared" si="1"/>
        <v/>
      </c>
      <c r="W54" t="str">
        <f t="shared" si="2"/>
        <v>filter</v>
      </c>
      <c r="X54" t="str">
        <f t="shared" si="3"/>
        <v/>
      </c>
      <c r="Y54" t="str">
        <f t="shared" si="4"/>
        <v/>
      </c>
      <c r="Z54" t="str">
        <f t="shared" si="5"/>
        <v/>
      </c>
      <c r="AA54" t="str">
        <f t="shared" si="6"/>
        <v>dataset</v>
      </c>
      <c r="AB54" t="str">
        <f t="shared" si="7"/>
        <v/>
      </c>
      <c r="AC54" t="str">
        <f>IF(C54="Unit","unit","")</f>
        <v/>
      </c>
    </row>
    <row r="55" spans="1:29" x14ac:dyDescent="0.15">
      <c r="A55" s="6" t="s">
        <v>3113</v>
      </c>
      <c r="B55" s="6"/>
      <c r="C55" s="6"/>
      <c r="D55" s="6"/>
      <c r="E55" t="s">
        <v>15</v>
      </c>
      <c r="F55" t="s">
        <v>3112</v>
      </c>
      <c r="H55">
        <v>500</v>
      </c>
      <c r="I55" t="b">
        <v>0</v>
      </c>
      <c r="J55" s="1" t="s">
        <v>17</v>
      </c>
      <c r="K55" t="s">
        <v>39</v>
      </c>
      <c r="L55">
        <v>0</v>
      </c>
      <c r="M55" s="7" t="b">
        <v>1</v>
      </c>
      <c r="N55" s="7" t="b">
        <v>1</v>
      </c>
      <c r="O55" s="1" t="s">
        <v>19</v>
      </c>
      <c r="P55" s="1" t="s">
        <v>17</v>
      </c>
      <c r="Q55" s="1" t="s">
        <v>17</v>
      </c>
      <c r="R55" s="1" t="s">
        <v>17</v>
      </c>
      <c r="S55" s="1" t="s">
        <v>19</v>
      </c>
      <c r="T55" s="1" t="s">
        <v>17</v>
      </c>
      <c r="U55" t="str">
        <f t="shared" si="0"/>
        <v>mandatory|filter|dataset</v>
      </c>
      <c r="V55" t="str">
        <f t="shared" si="1"/>
        <v>mandatory</v>
      </c>
      <c r="W55" t="str">
        <f t="shared" si="2"/>
        <v>filter</v>
      </c>
      <c r="X55" t="str">
        <f t="shared" si="3"/>
        <v/>
      </c>
      <c r="Y55" t="str">
        <f t="shared" si="4"/>
        <v/>
      </c>
      <c r="Z55" t="str">
        <f t="shared" si="5"/>
        <v/>
      </c>
      <c r="AA55" t="str">
        <f t="shared" si="6"/>
        <v>dataset</v>
      </c>
      <c r="AB55" t="str">
        <f t="shared" si="7"/>
        <v/>
      </c>
      <c r="AC55" t="str">
        <f>IF(C55="Unit","unit","")</f>
        <v/>
      </c>
    </row>
    <row r="56" spans="1:29" x14ac:dyDescent="0.15">
      <c r="A56" t="s">
        <v>160</v>
      </c>
      <c r="E56" t="s">
        <v>15</v>
      </c>
      <c r="F56" t="s">
        <v>161</v>
      </c>
      <c r="H56">
        <v>500</v>
      </c>
      <c r="I56" t="b">
        <v>0</v>
      </c>
      <c r="J56" s="1" t="s">
        <v>17</v>
      </c>
      <c r="K56" t="s">
        <v>39</v>
      </c>
      <c r="L56">
        <v>0</v>
      </c>
      <c r="M56" s="7" t="b">
        <v>0</v>
      </c>
      <c r="N56" s="7" t="b">
        <v>0</v>
      </c>
      <c r="O56" s="1" t="s">
        <v>19</v>
      </c>
      <c r="P56" s="1" t="s">
        <v>17</v>
      </c>
      <c r="Q56" s="1" t="s">
        <v>17</v>
      </c>
      <c r="R56" s="1" t="s">
        <v>17</v>
      </c>
      <c r="S56" s="1" t="s">
        <v>19</v>
      </c>
      <c r="T56" s="1" t="s">
        <v>17</v>
      </c>
      <c r="U56" t="str">
        <f t="shared" si="0"/>
        <v>filter|dataset</v>
      </c>
      <c r="V56" t="str">
        <f t="shared" si="1"/>
        <v/>
      </c>
      <c r="W56" t="str">
        <f t="shared" si="2"/>
        <v>filter</v>
      </c>
      <c r="X56" t="str">
        <f t="shared" si="3"/>
        <v/>
      </c>
      <c r="Y56" t="str">
        <f t="shared" si="4"/>
        <v/>
      </c>
      <c r="Z56" t="str">
        <f t="shared" si="5"/>
        <v/>
      </c>
      <c r="AA56" t="str">
        <f t="shared" si="6"/>
        <v>dataset</v>
      </c>
      <c r="AB56" t="str">
        <f t="shared" si="7"/>
        <v/>
      </c>
      <c r="AC56" t="str">
        <f>IF(C56="Unit","unit","")</f>
        <v/>
      </c>
    </row>
    <row r="57" spans="1:29" x14ac:dyDescent="0.15">
      <c r="A57" s="6" t="s">
        <v>162</v>
      </c>
      <c r="B57" s="6"/>
      <c r="C57" s="6"/>
      <c r="D57" s="6"/>
      <c r="E57" s="6" t="s">
        <v>25</v>
      </c>
      <c r="F57" s="6" t="s">
        <v>163</v>
      </c>
      <c r="G57" s="6"/>
      <c r="H57">
        <v>500</v>
      </c>
      <c r="I57" t="b">
        <v>0</v>
      </c>
      <c r="J57" s="1" t="s">
        <v>17</v>
      </c>
      <c r="K57" t="s">
        <v>27</v>
      </c>
      <c r="L57">
        <v>1</v>
      </c>
      <c r="M57" s="7" t="b">
        <v>0</v>
      </c>
      <c r="N57" s="7" t="b">
        <v>1</v>
      </c>
      <c r="O57" s="1" t="s">
        <v>19</v>
      </c>
      <c r="P57" s="1" t="s">
        <v>17</v>
      </c>
      <c r="Q57" s="1" t="s">
        <v>17</v>
      </c>
      <c r="R57" s="1" t="s">
        <v>17</v>
      </c>
      <c r="S57" s="1" t="s">
        <v>19</v>
      </c>
      <c r="T57" s="1" t="s">
        <v>17</v>
      </c>
      <c r="U57" t="str">
        <f t="shared" si="0"/>
        <v>mandatory|filter|dataset</v>
      </c>
      <c r="V57" t="str">
        <f t="shared" si="1"/>
        <v>mandatory</v>
      </c>
      <c r="W57" t="str">
        <f t="shared" si="2"/>
        <v>filter</v>
      </c>
      <c r="X57" t="str">
        <f t="shared" si="3"/>
        <v/>
      </c>
      <c r="Y57" t="str">
        <f t="shared" si="4"/>
        <v/>
      </c>
      <c r="Z57" t="str">
        <f t="shared" si="5"/>
        <v/>
      </c>
      <c r="AA57" t="str">
        <f t="shared" si="6"/>
        <v>dataset</v>
      </c>
      <c r="AB57" t="str">
        <f t="shared" si="7"/>
        <v/>
      </c>
      <c r="AC57" t="str">
        <f>IF(C57="Unit","unit","")</f>
        <v/>
      </c>
    </row>
    <row r="58" spans="1:29" x14ac:dyDescent="0.15">
      <c r="A58" t="s">
        <v>2889</v>
      </c>
      <c r="E58" t="s">
        <v>15</v>
      </c>
      <c r="F58" t="s">
        <v>2890</v>
      </c>
      <c r="H58">
        <v>500</v>
      </c>
      <c r="I58" t="b">
        <v>0</v>
      </c>
      <c r="J58" s="1" t="s">
        <v>17</v>
      </c>
      <c r="K58" t="s">
        <v>44</v>
      </c>
      <c r="L58">
        <v>1</v>
      </c>
      <c r="M58" s="7" t="b">
        <v>0</v>
      </c>
      <c r="N58" s="7" t="b">
        <v>0</v>
      </c>
      <c r="O58" s="1" t="s">
        <v>19</v>
      </c>
      <c r="P58" s="1" t="s">
        <v>17</v>
      </c>
      <c r="Q58" s="1" t="s">
        <v>17</v>
      </c>
      <c r="R58" s="1" t="s">
        <v>17</v>
      </c>
      <c r="S58" s="1" t="s">
        <v>19</v>
      </c>
      <c r="T58" s="1" t="s">
        <v>19</v>
      </c>
      <c r="U58" t="str">
        <f t="shared" si="0"/>
        <v>filter|dataset|sample</v>
      </c>
      <c r="V58" t="str">
        <f t="shared" si="1"/>
        <v/>
      </c>
      <c r="W58" t="str">
        <f t="shared" si="2"/>
        <v>filter</v>
      </c>
      <c r="X58" t="str">
        <f t="shared" si="3"/>
        <v/>
      </c>
      <c r="Y58" t="str">
        <f t="shared" si="4"/>
        <v/>
      </c>
      <c r="Z58" t="str">
        <f t="shared" si="5"/>
        <v/>
      </c>
      <c r="AA58" t="str">
        <f t="shared" si="6"/>
        <v>dataset</v>
      </c>
      <c r="AB58" t="str">
        <f t="shared" si="7"/>
        <v>sample</v>
      </c>
      <c r="AC58" t="str">
        <f>IF(C58="Unit","unit","")</f>
        <v/>
      </c>
    </row>
    <row r="59" spans="1:29" x14ac:dyDescent="0.15">
      <c r="A59" s="6" t="s">
        <v>167</v>
      </c>
      <c r="B59" s="6"/>
      <c r="C59" s="6"/>
      <c r="D59" s="6"/>
      <c r="E59" t="s">
        <v>168</v>
      </c>
      <c r="F59" t="s">
        <v>169</v>
      </c>
      <c r="H59">
        <v>500</v>
      </c>
      <c r="I59" t="b">
        <v>0</v>
      </c>
      <c r="J59" s="1" t="s">
        <v>17</v>
      </c>
      <c r="K59" t="s">
        <v>31</v>
      </c>
      <c r="L59">
        <v>3</v>
      </c>
      <c r="M59" s="7" t="b">
        <v>0</v>
      </c>
      <c r="N59" s="7" t="b">
        <v>1</v>
      </c>
      <c r="O59" s="1" t="s">
        <v>19</v>
      </c>
      <c r="P59" s="1" t="s">
        <v>17</v>
      </c>
      <c r="Q59" s="1" t="s">
        <v>17</v>
      </c>
      <c r="R59" s="1" t="s">
        <v>17</v>
      </c>
      <c r="S59" s="1" t="s">
        <v>19</v>
      </c>
      <c r="T59" s="1" t="s">
        <v>17</v>
      </c>
      <c r="U59" t="str">
        <f t="shared" si="0"/>
        <v>mandatory|filter|dataset</v>
      </c>
      <c r="V59" t="str">
        <f t="shared" si="1"/>
        <v>mandatory</v>
      </c>
      <c r="W59" t="str">
        <f t="shared" si="2"/>
        <v>filter</v>
      </c>
      <c r="X59" t="str">
        <f t="shared" si="3"/>
        <v/>
      </c>
      <c r="Y59" t="str">
        <f t="shared" si="4"/>
        <v/>
      </c>
      <c r="Z59" t="str">
        <f t="shared" si="5"/>
        <v/>
      </c>
      <c r="AA59" t="str">
        <f t="shared" si="6"/>
        <v>dataset</v>
      </c>
      <c r="AB59" t="str">
        <f t="shared" si="7"/>
        <v/>
      </c>
      <c r="AC59" t="str">
        <f>IF(C59="Unit","unit","")</f>
        <v/>
      </c>
    </row>
    <row r="60" spans="1:29" x14ac:dyDescent="0.15">
      <c r="A60" s="6" t="s">
        <v>168</v>
      </c>
      <c r="B60" s="6"/>
      <c r="C60" s="6"/>
      <c r="D60" s="6"/>
      <c r="E60" t="s">
        <v>15</v>
      </c>
      <c r="F60" t="s">
        <v>170</v>
      </c>
      <c r="H60">
        <v>500</v>
      </c>
      <c r="I60" t="b">
        <v>0</v>
      </c>
      <c r="J60" s="1" t="s">
        <v>17</v>
      </c>
      <c r="K60" t="s">
        <v>31</v>
      </c>
      <c r="L60">
        <v>3</v>
      </c>
      <c r="M60" s="7" t="b">
        <v>0</v>
      </c>
      <c r="N60" s="7" t="b">
        <v>1</v>
      </c>
      <c r="O60" s="1" t="s">
        <v>19</v>
      </c>
      <c r="P60" s="1" t="s">
        <v>17</v>
      </c>
      <c r="Q60" s="1" t="s">
        <v>17</v>
      </c>
      <c r="R60" s="1" t="s">
        <v>17</v>
      </c>
      <c r="S60" s="1" t="s">
        <v>19</v>
      </c>
      <c r="T60" s="1" t="s">
        <v>17</v>
      </c>
      <c r="U60" t="str">
        <f t="shared" si="0"/>
        <v>mandatory|filter|dataset</v>
      </c>
      <c r="V60" t="str">
        <f t="shared" si="1"/>
        <v>mandatory</v>
      </c>
      <c r="W60" t="str">
        <f t="shared" si="2"/>
        <v>filter</v>
      </c>
      <c r="X60" t="str">
        <f t="shared" si="3"/>
        <v/>
      </c>
      <c r="Y60" t="str">
        <f t="shared" si="4"/>
        <v/>
      </c>
      <c r="Z60" t="str">
        <f t="shared" si="5"/>
        <v/>
      </c>
      <c r="AA60" t="str">
        <f t="shared" si="6"/>
        <v>dataset</v>
      </c>
      <c r="AB60" t="str">
        <f t="shared" si="7"/>
        <v/>
      </c>
      <c r="AC60" t="str">
        <f>IF(C60="Unit","unit","")</f>
        <v/>
      </c>
    </row>
    <row r="61" spans="1:29" x14ac:dyDescent="0.15">
      <c r="A61" s="6" t="s">
        <v>176</v>
      </c>
      <c r="B61" s="6"/>
      <c r="C61" s="6"/>
      <c r="D61" s="6"/>
      <c r="E61" t="s">
        <v>15</v>
      </c>
      <c r="F61" t="s">
        <v>177</v>
      </c>
      <c r="H61">
        <v>500</v>
      </c>
      <c r="I61" t="b">
        <v>0</v>
      </c>
      <c r="J61" s="1" t="s">
        <v>17</v>
      </c>
      <c r="K61" t="s">
        <v>150</v>
      </c>
      <c r="L61">
        <v>1</v>
      </c>
      <c r="M61" s="7" t="b">
        <v>0</v>
      </c>
      <c r="N61" s="7" t="b">
        <v>0</v>
      </c>
      <c r="O61" s="1" t="s">
        <v>19</v>
      </c>
      <c r="P61" s="1" t="s">
        <v>17</v>
      </c>
      <c r="Q61" s="1" t="s">
        <v>17</v>
      </c>
      <c r="R61" s="1" t="s">
        <v>17</v>
      </c>
      <c r="S61" s="1" t="s">
        <v>19</v>
      </c>
      <c r="T61" s="1" t="s">
        <v>17</v>
      </c>
      <c r="U61" t="str">
        <f t="shared" si="0"/>
        <v>filter|dataset</v>
      </c>
      <c r="V61" t="str">
        <f t="shared" si="1"/>
        <v/>
      </c>
      <c r="W61" t="str">
        <f t="shared" si="2"/>
        <v>filter</v>
      </c>
      <c r="X61" t="str">
        <f t="shared" si="3"/>
        <v/>
      </c>
      <c r="Y61" t="str">
        <f t="shared" si="4"/>
        <v/>
      </c>
      <c r="Z61" t="str">
        <f t="shared" si="5"/>
        <v/>
      </c>
      <c r="AA61" t="str">
        <f t="shared" si="6"/>
        <v>dataset</v>
      </c>
      <c r="AB61" t="str">
        <f t="shared" si="7"/>
        <v/>
      </c>
      <c r="AC61" t="str">
        <f>IF(C61="Unit","unit","")</f>
        <v/>
      </c>
    </row>
    <row r="62" spans="1:29" x14ac:dyDescent="0.15">
      <c r="A62" s="6" t="s">
        <v>178</v>
      </c>
      <c r="B62" s="6"/>
      <c r="C62" s="6"/>
      <c r="D62" s="6"/>
      <c r="E62" t="s">
        <v>15</v>
      </c>
      <c r="F62" t="s">
        <v>179</v>
      </c>
      <c r="H62">
        <v>500</v>
      </c>
      <c r="I62" t="b">
        <v>0</v>
      </c>
      <c r="J62" s="1" t="s">
        <v>17</v>
      </c>
      <c r="K62" t="s">
        <v>39</v>
      </c>
      <c r="L62">
        <v>0</v>
      </c>
      <c r="M62" s="7" t="b">
        <v>0</v>
      </c>
      <c r="N62" s="7" t="b">
        <v>0</v>
      </c>
      <c r="O62" s="1" t="s">
        <v>19</v>
      </c>
      <c r="P62" s="1" t="s">
        <v>17</v>
      </c>
      <c r="Q62" s="1" t="s">
        <v>17</v>
      </c>
      <c r="R62" s="1" t="s">
        <v>17</v>
      </c>
      <c r="S62" s="1" t="s">
        <v>19</v>
      </c>
      <c r="T62" s="1" t="s">
        <v>17</v>
      </c>
      <c r="U62" t="str">
        <f t="shared" si="0"/>
        <v>filter|dataset</v>
      </c>
      <c r="V62" t="str">
        <f t="shared" si="1"/>
        <v/>
      </c>
      <c r="W62" t="str">
        <f t="shared" si="2"/>
        <v>filter</v>
      </c>
      <c r="X62" t="str">
        <f t="shared" si="3"/>
        <v/>
      </c>
      <c r="Y62" t="str">
        <f t="shared" si="4"/>
        <v/>
      </c>
      <c r="Z62" t="str">
        <f t="shared" si="5"/>
        <v/>
      </c>
      <c r="AA62" t="str">
        <f t="shared" si="6"/>
        <v>dataset</v>
      </c>
      <c r="AB62" t="str">
        <f t="shared" si="7"/>
        <v/>
      </c>
      <c r="AC62" t="str">
        <f>IF(C62="Unit","unit","")</f>
        <v/>
      </c>
    </row>
    <row r="63" spans="1:29" x14ac:dyDescent="0.15">
      <c r="A63" s="6" t="s">
        <v>180</v>
      </c>
      <c r="B63" s="6"/>
      <c r="C63" s="6"/>
      <c r="D63" s="6"/>
      <c r="E63" t="s">
        <v>15</v>
      </c>
      <c r="F63" t="s">
        <v>2737</v>
      </c>
      <c r="H63">
        <v>500</v>
      </c>
      <c r="I63" t="b">
        <v>0</v>
      </c>
      <c r="J63" s="1" t="s">
        <v>17</v>
      </c>
      <c r="K63" t="s">
        <v>39</v>
      </c>
      <c r="L63">
        <v>0</v>
      </c>
      <c r="M63" s="7" t="b">
        <v>0</v>
      </c>
      <c r="N63" s="7" t="b">
        <v>0</v>
      </c>
      <c r="O63" s="1" t="s">
        <v>19</v>
      </c>
      <c r="P63" s="1" t="s">
        <v>17</v>
      </c>
      <c r="Q63" s="1" t="s">
        <v>17</v>
      </c>
      <c r="R63" s="1" t="s">
        <v>17</v>
      </c>
      <c r="S63" s="1" t="s">
        <v>19</v>
      </c>
      <c r="T63" s="1" t="s">
        <v>17</v>
      </c>
      <c r="U63" t="str">
        <f t="shared" si="0"/>
        <v>filter|dataset</v>
      </c>
      <c r="V63" t="str">
        <f t="shared" si="1"/>
        <v/>
      </c>
      <c r="W63" t="str">
        <f t="shared" si="2"/>
        <v>filter</v>
      </c>
      <c r="X63" t="str">
        <f t="shared" si="3"/>
        <v/>
      </c>
      <c r="Y63" t="str">
        <f t="shared" si="4"/>
        <v/>
      </c>
      <c r="Z63" t="str">
        <f t="shared" si="5"/>
        <v/>
      </c>
      <c r="AA63" t="str">
        <f t="shared" si="6"/>
        <v>dataset</v>
      </c>
      <c r="AB63" t="str">
        <f t="shared" si="7"/>
        <v/>
      </c>
      <c r="AC63" t="str">
        <f>IF(C63="Unit","unit","")</f>
        <v/>
      </c>
    </row>
    <row r="64" spans="1:29" x14ac:dyDescent="0.15">
      <c r="A64" t="s">
        <v>191</v>
      </c>
      <c r="E64" t="s">
        <v>15</v>
      </c>
      <c r="F64" t="s">
        <v>192</v>
      </c>
      <c r="H64">
        <v>500</v>
      </c>
      <c r="I64" t="b">
        <v>0</v>
      </c>
      <c r="J64" s="1" t="s">
        <v>17</v>
      </c>
      <c r="K64" t="s">
        <v>184</v>
      </c>
      <c r="L64">
        <v>0</v>
      </c>
      <c r="M64" s="7" t="b">
        <v>0</v>
      </c>
      <c r="N64" s="7" t="b">
        <v>0</v>
      </c>
      <c r="O64" s="1" t="s">
        <v>19</v>
      </c>
      <c r="P64" s="1" t="s">
        <v>19</v>
      </c>
      <c r="Q64" s="1" t="s">
        <v>17</v>
      </c>
      <c r="R64" s="1" t="s">
        <v>17</v>
      </c>
      <c r="S64" s="1" t="s">
        <v>17</v>
      </c>
      <c r="T64" s="1" t="s">
        <v>17</v>
      </c>
      <c r="U64" t="str">
        <f t="shared" si="0"/>
        <v>filter|user</v>
      </c>
      <c r="V64" t="str">
        <f t="shared" si="1"/>
        <v/>
      </c>
      <c r="W64" t="str">
        <f t="shared" si="2"/>
        <v>filter</v>
      </c>
      <c r="X64" t="str">
        <f t="shared" si="3"/>
        <v>user</v>
      </c>
      <c r="Y64" t="str">
        <f t="shared" si="4"/>
        <v/>
      </c>
      <c r="Z64" t="str">
        <f t="shared" si="5"/>
        <v/>
      </c>
      <c r="AA64" t="str">
        <f t="shared" si="6"/>
        <v/>
      </c>
      <c r="AB64" t="str">
        <f t="shared" si="7"/>
        <v/>
      </c>
      <c r="AC64" t="str">
        <f>IF(C64="Unit","unit","")</f>
        <v/>
      </c>
    </row>
    <row r="65" spans="1:1023" x14ac:dyDescent="0.15">
      <c r="A65" t="s">
        <v>2838</v>
      </c>
      <c r="D65" t="s">
        <v>4076</v>
      </c>
      <c r="E65" t="s">
        <v>15</v>
      </c>
      <c r="F65" t="s">
        <v>2839</v>
      </c>
      <c r="H65">
        <v>500</v>
      </c>
      <c r="I65" t="b">
        <v>0</v>
      </c>
      <c r="J65" s="1" t="s">
        <v>19</v>
      </c>
      <c r="K65" t="s">
        <v>39</v>
      </c>
      <c r="L65">
        <v>0</v>
      </c>
      <c r="M65" s="2" t="b">
        <v>0</v>
      </c>
      <c r="N65" s="2" t="b">
        <v>0</v>
      </c>
      <c r="O65" s="1" t="s">
        <v>17</v>
      </c>
      <c r="P65" s="1" t="s">
        <v>17</v>
      </c>
      <c r="Q65" s="1" t="s">
        <v>17</v>
      </c>
      <c r="R65" s="1" t="s">
        <v>17</v>
      </c>
      <c r="S65" s="1" t="s">
        <v>19</v>
      </c>
      <c r="T65" s="1" t="s">
        <v>17</v>
      </c>
      <c r="U65" t="str">
        <f t="shared" si="0"/>
        <v>dataset</v>
      </c>
      <c r="V65" t="str">
        <f t="shared" si="1"/>
        <v/>
      </c>
      <c r="W65" t="str">
        <f t="shared" si="2"/>
        <v/>
      </c>
      <c r="X65" t="str">
        <f t="shared" si="3"/>
        <v/>
      </c>
      <c r="Y65" t="str">
        <f t="shared" si="4"/>
        <v/>
      </c>
      <c r="Z65" t="str">
        <f t="shared" si="5"/>
        <v/>
      </c>
      <c r="AA65" t="str">
        <f t="shared" si="6"/>
        <v>dataset</v>
      </c>
      <c r="AB65" t="str">
        <f t="shared" si="7"/>
        <v/>
      </c>
      <c r="AC65" t="str">
        <f>IF(C65="Unit","unit","")</f>
        <v/>
      </c>
    </row>
    <row r="66" spans="1:1023" x14ac:dyDescent="0.15">
      <c r="A66" t="s">
        <v>4123</v>
      </c>
      <c r="E66" t="s">
        <v>15</v>
      </c>
      <c r="F66" t="s">
        <v>2957</v>
      </c>
      <c r="H66">
        <v>500</v>
      </c>
      <c r="I66" t="b">
        <v>0</v>
      </c>
      <c r="J66" s="1" t="s">
        <v>17</v>
      </c>
      <c r="K66" t="s">
        <v>39</v>
      </c>
      <c r="L66">
        <v>0</v>
      </c>
      <c r="M66" s="2" t="b">
        <v>0</v>
      </c>
      <c r="N66" s="2" t="b">
        <v>0</v>
      </c>
      <c r="O66" s="1" t="s">
        <v>19</v>
      </c>
      <c r="P66" s="1" t="s">
        <v>17</v>
      </c>
      <c r="Q66" s="1" t="s">
        <v>17</v>
      </c>
      <c r="R66" s="1" t="s">
        <v>17</v>
      </c>
      <c r="S66" s="1" t="s">
        <v>19</v>
      </c>
      <c r="T66" s="1" t="s">
        <v>19</v>
      </c>
      <c r="U66" t="str">
        <f t="shared" si="0"/>
        <v>filter|dataset|sample</v>
      </c>
      <c r="V66" t="str">
        <f t="shared" si="1"/>
        <v/>
      </c>
      <c r="W66" t="str">
        <f t="shared" si="2"/>
        <v>filter</v>
      </c>
      <c r="X66" t="str">
        <f t="shared" si="3"/>
        <v/>
      </c>
      <c r="Y66" t="str">
        <f t="shared" si="4"/>
        <v/>
      </c>
      <c r="Z66" t="str">
        <f t="shared" si="5"/>
        <v/>
      </c>
      <c r="AA66" t="str">
        <f t="shared" si="6"/>
        <v>dataset</v>
      </c>
      <c r="AB66" t="str">
        <f t="shared" si="7"/>
        <v>sample</v>
      </c>
      <c r="AC66" t="str">
        <f>IF(C66="Unit","unit","")</f>
        <v/>
      </c>
    </row>
    <row r="67" spans="1:1023" x14ac:dyDescent="0.15">
      <c r="A67" t="s">
        <v>3095</v>
      </c>
      <c r="E67" t="s">
        <v>15</v>
      </c>
      <c r="F67" t="s">
        <v>3094</v>
      </c>
      <c r="H67">
        <v>500</v>
      </c>
      <c r="I67" t="b">
        <v>0</v>
      </c>
      <c r="J67" s="1" t="s">
        <v>17</v>
      </c>
      <c r="K67" t="s">
        <v>39</v>
      </c>
      <c r="L67">
        <v>0</v>
      </c>
      <c r="M67" s="2" t="b">
        <v>0</v>
      </c>
      <c r="N67" s="2" t="b">
        <v>0</v>
      </c>
      <c r="O67" s="1" t="s">
        <v>19</v>
      </c>
      <c r="P67" s="1" t="s">
        <v>17</v>
      </c>
      <c r="Q67" s="1" t="s">
        <v>17</v>
      </c>
      <c r="R67" s="1" t="s">
        <v>17</v>
      </c>
      <c r="S67" s="1" t="s">
        <v>19</v>
      </c>
      <c r="T67" s="1" t="s">
        <v>19</v>
      </c>
      <c r="U67" t="str">
        <f t="shared" ref="U67:U126" si="8">_xlfn.TEXTJOIN("|",TRUE,V67:AE67)</f>
        <v>filter|dataset|sample</v>
      </c>
      <c r="V67" t="str">
        <f t="shared" ref="V67:V126" si="9">IF(N67,"mandatory","")</f>
        <v/>
      </c>
      <c r="W67" t="str">
        <f t="shared" ref="W67:W126" si="10">IF(O67,"filter","")</f>
        <v>filter</v>
      </c>
      <c r="X67" t="str">
        <f t="shared" ref="X67:X126" si="11">IF(P67,"user","")</f>
        <v/>
      </c>
      <c r="Y67" t="str">
        <f t="shared" ref="Y67:Y126" si="12">IF(Q67,"genotype","")</f>
        <v/>
      </c>
      <c r="Z67" t="str">
        <f t="shared" ref="Z67:Z126" si="13">IF(R67,"qc","")</f>
        <v/>
      </c>
      <c r="AA67" t="str">
        <f t="shared" ref="AA67:AA126" si="14">IF(S67,"dataset","")</f>
        <v>dataset</v>
      </c>
      <c r="AB67" t="str">
        <f t="shared" ref="AB67:AB126" si="15">IF(T67,"sample","")</f>
        <v>sample</v>
      </c>
      <c r="AC67" t="str">
        <f>IF(C67="Unit","unit","")</f>
        <v/>
      </c>
    </row>
    <row r="68" spans="1:1023" x14ac:dyDescent="0.15">
      <c r="A68" t="s">
        <v>3130</v>
      </c>
      <c r="E68" t="s">
        <v>15</v>
      </c>
      <c r="F68" t="s">
        <v>3129</v>
      </c>
      <c r="H68">
        <v>500</v>
      </c>
      <c r="I68" t="b">
        <v>0</v>
      </c>
      <c r="J68" s="1" t="s">
        <v>17</v>
      </c>
      <c r="K68" t="s">
        <v>39</v>
      </c>
      <c r="L68">
        <v>0</v>
      </c>
      <c r="M68" s="2" t="b">
        <v>0</v>
      </c>
      <c r="N68" s="2" t="b">
        <v>0</v>
      </c>
      <c r="O68" s="1" t="s">
        <v>19</v>
      </c>
      <c r="P68" s="1" t="s">
        <v>17</v>
      </c>
      <c r="Q68" s="1" t="s">
        <v>17</v>
      </c>
      <c r="R68" s="1" t="s">
        <v>17</v>
      </c>
      <c r="S68" s="1" t="s">
        <v>19</v>
      </c>
      <c r="T68" s="1" t="s">
        <v>19</v>
      </c>
      <c r="U68" t="str">
        <f t="shared" si="8"/>
        <v>filter|dataset|sample</v>
      </c>
      <c r="V68" t="str">
        <f t="shared" si="9"/>
        <v/>
      </c>
      <c r="W68" t="str">
        <f t="shared" si="10"/>
        <v>filter</v>
      </c>
      <c r="X68" t="str">
        <f t="shared" si="11"/>
        <v/>
      </c>
      <c r="Y68" t="str">
        <f t="shared" si="12"/>
        <v/>
      </c>
      <c r="Z68" t="str">
        <f t="shared" si="13"/>
        <v/>
      </c>
      <c r="AA68" t="str">
        <f t="shared" si="14"/>
        <v>dataset</v>
      </c>
      <c r="AB68" t="str">
        <f t="shared" si="15"/>
        <v>sample</v>
      </c>
      <c r="AC68" t="str">
        <f>IF(C68="Unit","unit","")</f>
        <v/>
      </c>
    </row>
    <row r="69" spans="1:1023" ht="16" x14ac:dyDescent="0.2">
      <c r="A69" s="22" t="s">
        <v>3146</v>
      </c>
      <c r="B69" s="22"/>
      <c r="C69" s="22"/>
      <c r="D69" s="22"/>
      <c r="E69" t="s">
        <v>15</v>
      </c>
      <c r="F69" t="s">
        <v>3151</v>
      </c>
      <c r="H69">
        <v>500</v>
      </c>
      <c r="I69" t="b">
        <v>0</v>
      </c>
      <c r="J69" s="1" t="s">
        <v>17</v>
      </c>
      <c r="K69" t="s">
        <v>39</v>
      </c>
      <c r="L69">
        <v>0</v>
      </c>
      <c r="M69" s="2" t="b">
        <v>0</v>
      </c>
      <c r="N69" s="2" t="b">
        <v>0</v>
      </c>
      <c r="O69" s="1" t="s">
        <v>19</v>
      </c>
      <c r="P69" s="1" t="s">
        <v>17</v>
      </c>
      <c r="Q69" s="1" t="s">
        <v>17</v>
      </c>
      <c r="R69" s="1" t="s">
        <v>17</v>
      </c>
      <c r="S69" s="1" t="s">
        <v>19</v>
      </c>
      <c r="T69" s="1" t="s">
        <v>19</v>
      </c>
      <c r="U69" t="str">
        <f t="shared" si="8"/>
        <v>filter|dataset|sample</v>
      </c>
      <c r="V69" t="str">
        <f t="shared" si="9"/>
        <v/>
      </c>
      <c r="W69" t="str">
        <f t="shared" si="10"/>
        <v>filter</v>
      </c>
      <c r="X69" t="str">
        <f t="shared" si="11"/>
        <v/>
      </c>
      <c r="Y69" t="str">
        <f t="shared" si="12"/>
        <v/>
      </c>
      <c r="Z69" t="str">
        <f t="shared" si="13"/>
        <v/>
      </c>
      <c r="AA69" t="str">
        <f t="shared" si="14"/>
        <v>dataset</v>
      </c>
      <c r="AB69" t="str">
        <f t="shared" si="15"/>
        <v>sample</v>
      </c>
      <c r="AC69" t="str">
        <f>IF(C69="Unit","unit","")</f>
        <v/>
      </c>
    </row>
    <row r="70" spans="1:1023" x14ac:dyDescent="0.15">
      <c r="A70" t="s">
        <v>3152</v>
      </c>
      <c r="E70" t="s">
        <v>15</v>
      </c>
      <c r="F70" t="s">
        <v>3215</v>
      </c>
      <c r="H70">
        <v>500</v>
      </c>
      <c r="I70" t="b">
        <v>0</v>
      </c>
      <c r="J70" s="1" t="s">
        <v>17</v>
      </c>
      <c r="K70" t="s">
        <v>39</v>
      </c>
      <c r="L70">
        <v>0</v>
      </c>
      <c r="M70" s="2" t="b">
        <v>0</v>
      </c>
      <c r="N70" s="2" t="b">
        <v>0</v>
      </c>
      <c r="O70" s="1" t="s">
        <v>19</v>
      </c>
      <c r="P70" s="1" t="s">
        <v>17</v>
      </c>
      <c r="Q70" s="1" t="s">
        <v>17</v>
      </c>
      <c r="R70" s="1" t="s">
        <v>17</v>
      </c>
      <c r="S70" s="1" t="s">
        <v>19</v>
      </c>
      <c r="T70" s="1" t="s">
        <v>19</v>
      </c>
      <c r="U70" t="str">
        <f t="shared" si="8"/>
        <v>filter|dataset|sample</v>
      </c>
      <c r="V70" t="str">
        <f t="shared" si="9"/>
        <v/>
      </c>
      <c r="W70" t="str">
        <f t="shared" si="10"/>
        <v>filter</v>
      </c>
      <c r="X70" t="str">
        <f t="shared" si="11"/>
        <v/>
      </c>
      <c r="Y70" t="str">
        <f t="shared" si="12"/>
        <v/>
      </c>
      <c r="Z70" t="str">
        <f t="shared" si="13"/>
        <v/>
      </c>
      <c r="AA70" t="str">
        <f t="shared" si="14"/>
        <v>dataset</v>
      </c>
      <c r="AB70" t="str">
        <f t="shared" si="15"/>
        <v>sample</v>
      </c>
      <c r="AC70" t="str">
        <f>IF(C70="Unit","unit","")</f>
        <v/>
      </c>
    </row>
    <row r="71" spans="1:1023" x14ac:dyDescent="0.15">
      <c r="A71" s="6" t="s">
        <v>4098</v>
      </c>
      <c r="B71" s="6"/>
      <c r="C71" s="6"/>
      <c r="D71" s="6" t="s">
        <v>4079</v>
      </c>
      <c r="E71" s="6" t="s">
        <v>25</v>
      </c>
      <c r="F71" s="6" t="s">
        <v>4099</v>
      </c>
      <c r="G71" s="6"/>
      <c r="H71">
        <v>450</v>
      </c>
      <c r="I71" t="b">
        <v>0</v>
      </c>
      <c r="J71" s="1" t="s">
        <v>17</v>
      </c>
      <c r="K71" t="s">
        <v>27</v>
      </c>
      <c r="L71">
        <v>1</v>
      </c>
      <c r="M71" s="7" t="b">
        <v>0</v>
      </c>
      <c r="N71" s="7" t="b">
        <v>0</v>
      </c>
      <c r="O71" s="1" t="s">
        <v>19</v>
      </c>
      <c r="P71" s="1" t="s">
        <v>17</v>
      </c>
      <c r="Q71" s="1" t="s">
        <v>17</v>
      </c>
      <c r="R71" s="1" t="s">
        <v>17</v>
      </c>
      <c r="S71" s="1" t="s">
        <v>19</v>
      </c>
      <c r="T71" s="1" t="s">
        <v>17</v>
      </c>
      <c r="U71" t="str">
        <f t="shared" si="8"/>
        <v>filter|dataset</v>
      </c>
      <c r="V71" t="str">
        <f t="shared" si="9"/>
        <v/>
      </c>
      <c r="W71" t="str">
        <f t="shared" si="10"/>
        <v>filter</v>
      </c>
      <c r="X71" t="str">
        <f t="shared" si="11"/>
        <v/>
      </c>
      <c r="Y71" t="str">
        <f t="shared" si="12"/>
        <v/>
      </c>
      <c r="Z71" t="str">
        <f t="shared" si="13"/>
        <v/>
      </c>
      <c r="AA71" t="str">
        <f t="shared" si="14"/>
        <v>dataset</v>
      </c>
      <c r="AB71" t="str">
        <f t="shared" si="15"/>
        <v/>
      </c>
      <c r="AC71" t="str">
        <f>IF(C71="Unit","unit","")</f>
        <v/>
      </c>
    </row>
    <row r="72" spans="1:1023" x14ac:dyDescent="0.15">
      <c r="A72" s="6" t="s">
        <v>119</v>
      </c>
      <c r="B72" s="6"/>
      <c r="C72" s="6"/>
      <c r="D72" s="6"/>
      <c r="E72" s="6" t="s">
        <v>25</v>
      </c>
      <c r="F72" s="6" t="s">
        <v>120</v>
      </c>
      <c r="G72" s="6"/>
      <c r="H72">
        <v>450</v>
      </c>
      <c r="I72" t="b">
        <v>0</v>
      </c>
      <c r="J72" s="1" t="s">
        <v>17</v>
      </c>
      <c r="K72" t="s">
        <v>27</v>
      </c>
      <c r="L72">
        <v>1</v>
      </c>
      <c r="M72" s="7" t="b">
        <v>0</v>
      </c>
      <c r="N72" s="7" t="b">
        <v>0</v>
      </c>
      <c r="O72" s="1" t="s">
        <v>19</v>
      </c>
      <c r="P72" s="1" t="s">
        <v>17</v>
      </c>
      <c r="Q72" s="1" t="s">
        <v>17</v>
      </c>
      <c r="R72" s="1" t="s">
        <v>17</v>
      </c>
      <c r="S72" s="1" t="s">
        <v>19</v>
      </c>
      <c r="T72" s="1" t="s">
        <v>17</v>
      </c>
      <c r="U72" t="str">
        <f t="shared" si="8"/>
        <v>filter|dataset</v>
      </c>
      <c r="V72" t="str">
        <f t="shared" si="9"/>
        <v/>
      </c>
      <c r="W72" t="str">
        <f t="shared" si="10"/>
        <v>filter</v>
      </c>
      <c r="X72" t="str">
        <f t="shared" si="11"/>
        <v/>
      </c>
      <c r="Y72" t="str">
        <f t="shared" si="12"/>
        <v/>
      </c>
      <c r="Z72" t="str">
        <f t="shared" si="13"/>
        <v/>
      </c>
      <c r="AA72" t="str">
        <f t="shared" si="14"/>
        <v>dataset</v>
      </c>
      <c r="AB72" t="str">
        <f t="shared" si="15"/>
        <v/>
      </c>
      <c r="AC72" t="str">
        <f>IF(C72="Unit","unit","")</f>
        <v/>
      </c>
    </row>
    <row r="73" spans="1:1023" x14ac:dyDescent="0.15">
      <c r="A73" t="s">
        <v>3951</v>
      </c>
      <c r="E73" t="s">
        <v>15</v>
      </c>
      <c r="F73" t="s">
        <v>3952</v>
      </c>
      <c r="H73">
        <v>450</v>
      </c>
      <c r="I73" t="b">
        <v>0</v>
      </c>
      <c r="J73" s="1" t="s">
        <v>17</v>
      </c>
      <c r="K73" t="s">
        <v>3953</v>
      </c>
      <c r="L73">
        <v>0</v>
      </c>
      <c r="M73" s="2" t="b">
        <v>0</v>
      </c>
      <c r="N73" s="2" t="b">
        <v>0</v>
      </c>
      <c r="O73" s="1" t="s">
        <v>17</v>
      </c>
      <c r="P73" s="1" t="s">
        <v>17</v>
      </c>
      <c r="Q73" s="1" t="s">
        <v>17</v>
      </c>
      <c r="R73" s="1" t="s">
        <v>17</v>
      </c>
      <c r="S73" s="1" t="s">
        <v>19</v>
      </c>
      <c r="T73" s="1" t="s">
        <v>19</v>
      </c>
      <c r="U73" t="str">
        <f t="shared" si="8"/>
        <v>dataset|sample</v>
      </c>
      <c r="V73" t="str">
        <f t="shared" si="9"/>
        <v/>
      </c>
      <c r="W73" t="str">
        <f t="shared" si="10"/>
        <v/>
      </c>
      <c r="X73" t="str">
        <f t="shared" si="11"/>
        <v/>
      </c>
      <c r="Y73" t="str">
        <f t="shared" si="12"/>
        <v/>
      </c>
      <c r="Z73" t="str">
        <f t="shared" si="13"/>
        <v/>
      </c>
      <c r="AA73" t="str">
        <f t="shared" si="14"/>
        <v>dataset</v>
      </c>
      <c r="AB73" t="str">
        <f t="shared" si="15"/>
        <v>sample</v>
      </c>
      <c r="AC73" t="str">
        <f>IF(C73="Unit","unit","")</f>
        <v/>
      </c>
    </row>
    <row r="74" spans="1:1023" s="26" customFormat="1" x14ac:dyDescent="0.15">
      <c r="A74" s="6" t="s">
        <v>147</v>
      </c>
      <c r="B74" s="6"/>
      <c r="C74" s="6"/>
      <c r="D74" s="6"/>
      <c r="E74" s="6" t="s">
        <v>148</v>
      </c>
      <c r="F74" s="6" t="s">
        <v>149</v>
      </c>
      <c r="G74" s="6"/>
      <c r="H74">
        <v>400</v>
      </c>
      <c r="I74" t="b">
        <v>0</v>
      </c>
      <c r="J74" s="1" t="s">
        <v>17</v>
      </c>
      <c r="K74" t="s">
        <v>150</v>
      </c>
      <c r="L74">
        <v>1</v>
      </c>
      <c r="M74" s="7" t="b">
        <v>0</v>
      </c>
      <c r="N74" s="7" t="b">
        <v>0</v>
      </c>
      <c r="O74" s="1" t="s">
        <v>19</v>
      </c>
      <c r="P74" s="1" t="s">
        <v>17</v>
      </c>
      <c r="Q74" s="1" t="s">
        <v>17</v>
      </c>
      <c r="R74" s="1" t="s">
        <v>17</v>
      </c>
      <c r="S74" s="1" t="s">
        <v>19</v>
      </c>
      <c r="T74" s="1" t="s">
        <v>17</v>
      </c>
      <c r="U74" t="str">
        <f t="shared" si="8"/>
        <v>filter|dataset</v>
      </c>
      <c r="V74" t="str">
        <f t="shared" si="9"/>
        <v/>
      </c>
      <c r="W74" t="str">
        <f t="shared" si="10"/>
        <v>filter</v>
      </c>
      <c r="X74" t="str">
        <f t="shared" si="11"/>
        <v/>
      </c>
      <c r="Y74" t="str">
        <f t="shared" si="12"/>
        <v/>
      </c>
      <c r="Z74" t="str">
        <f t="shared" si="13"/>
        <v/>
      </c>
      <c r="AA74" t="str">
        <f t="shared" si="14"/>
        <v>dataset</v>
      </c>
      <c r="AB74" t="str">
        <f t="shared" si="15"/>
        <v/>
      </c>
      <c r="AC74" t="str">
        <f>IF(C74="Unit","unit","")</f>
        <v/>
      </c>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c r="MA74"/>
      <c r="MB74"/>
      <c r="MC74"/>
      <c r="MD74"/>
      <c r="ME74"/>
      <c r="MF74"/>
      <c r="MG74"/>
      <c r="MH74"/>
      <c r="MI74"/>
      <c r="MJ74"/>
      <c r="MK74"/>
      <c r="ML74"/>
      <c r="MM74"/>
      <c r="MN74"/>
      <c r="MO74"/>
      <c r="MP74"/>
      <c r="MQ74"/>
      <c r="MR74"/>
      <c r="MS74"/>
      <c r="MT74"/>
      <c r="MU74"/>
      <c r="MV74"/>
      <c r="MW74"/>
      <c r="MX74"/>
      <c r="MY74"/>
      <c r="MZ74"/>
      <c r="NA74"/>
      <c r="NB74"/>
      <c r="NC74"/>
      <c r="ND74"/>
      <c r="NE74"/>
      <c r="NF74"/>
      <c r="NG74"/>
      <c r="NH74"/>
      <c r="NI74"/>
      <c r="NJ74"/>
      <c r="NK74"/>
      <c r="NL74"/>
      <c r="NM74"/>
      <c r="NN74"/>
      <c r="NO74"/>
      <c r="NP74"/>
      <c r="NQ74"/>
      <c r="NR74"/>
      <c r="NS74"/>
      <c r="NT74"/>
      <c r="NU74"/>
      <c r="NV74"/>
      <c r="NW74"/>
      <c r="NX74"/>
      <c r="NY74"/>
      <c r="NZ74"/>
      <c r="OA74"/>
      <c r="OB74"/>
      <c r="OC74"/>
      <c r="OD74"/>
      <c r="OE74"/>
      <c r="OF74"/>
      <c r="OG74"/>
      <c r="OH74"/>
      <c r="OI74"/>
      <c r="OJ74"/>
      <c r="OK74"/>
      <c r="OL74"/>
      <c r="OM74"/>
      <c r="ON74"/>
      <c r="OO74"/>
      <c r="OP74"/>
      <c r="OQ74"/>
      <c r="OR74"/>
      <c r="OS74"/>
      <c r="OT74"/>
      <c r="OU74"/>
      <c r="OV74"/>
      <c r="OW74"/>
      <c r="OX74"/>
      <c r="OY74"/>
      <c r="OZ74"/>
      <c r="PA74"/>
      <c r="PB74"/>
      <c r="PC74"/>
      <c r="PD74"/>
      <c r="PE74"/>
      <c r="PF74"/>
      <c r="PG74"/>
      <c r="PH74"/>
      <c r="PI74"/>
      <c r="PJ74"/>
      <c r="PK74"/>
      <c r="PL74"/>
      <c r="PM74"/>
      <c r="PN74"/>
      <c r="PO74"/>
      <c r="PP74"/>
      <c r="PQ74"/>
      <c r="PR74"/>
      <c r="PS74"/>
      <c r="PT74"/>
      <c r="PU74"/>
      <c r="PV74"/>
      <c r="PW74"/>
      <c r="PX74"/>
      <c r="PY74"/>
      <c r="PZ74"/>
      <c r="QA74"/>
      <c r="QB74"/>
      <c r="QC74"/>
      <c r="QD74"/>
      <c r="QE74"/>
      <c r="QF74"/>
      <c r="QG74"/>
      <c r="QH74"/>
      <c r="QI74"/>
      <c r="QJ74"/>
      <c r="QK74"/>
      <c r="QL74"/>
      <c r="QM74"/>
      <c r="QN74"/>
      <c r="QO74"/>
      <c r="QP74"/>
      <c r="QQ74"/>
      <c r="QR74"/>
      <c r="QS74"/>
      <c r="QT74"/>
      <c r="QU74"/>
      <c r="QV74"/>
      <c r="QW74"/>
      <c r="QX74"/>
      <c r="QY74"/>
      <c r="QZ74"/>
      <c r="RA74"/>
      <c r="RB74"/>
      <c r="RC74"/>
      <c r="RD74"/>
      <c r="RE74"/>
      <c r="RF74"/>
      <c r="RG74"/>
      <c r="RH74"/>
      <c r="RI74"/>
      <c r="RJ74"/>
      <c r="RK74"/>
      <c r="RL74"/>
      <c r="RM74"/>
      <c r="RN74"/>
      <c r="RO74"/>
      <c r="RP74"/>
      <c r="RQ74"/>
      <c r="RR74"/>
      <c r="RS74"/>
      <c r="RT74"/>
      <c r="RU74"/>
      <c r="RV74"/>
      <c r="RW74"/>
      <c r="RX74"/>
      <c r="RY74"/>
      <c r="RZ74"/>
      <c r="SA74"/>
      <c r="SB74"/>
      <c r="SC74"/>
      <c r="SD74"/>
      <c r="SE74"/>
      <c r="SF74"/>
      <c r="SG74"/>
      <c r="SH74"/>
      <c r="SI74"/>
      <c r="SJ74"/>
      <c r="SK74"/>
      <c r="SL74"/>
      <c r="SM74"/>
      <c r="SN74"/>
      <c r="SO74"/>
      <c r="SP74"/>
      <c r="SQ74"/>
      <c r="SR74"/>
      <c r="SS74"/>
      <c r="ST74"/>
      <c r="SU74"/>
      <c r="SV74"/>
      <c r="SW74"/>
      <c r="SX74"/>
      <c r="SY74"/>
      <c r="SZ74"/>
      <c r="TA74"/>
      <c r="TB74"/>
      <c r="TC74"/>
      <c r="TD74"/>
      <c r="TE74"/>
      <c r="TF74"/>
      <c r="TG74"/>
      <c r="TH74"/>
      <c r="TI74"/>
      <c r="TJ74"/>
      <c r="TK74"/>
      <c r="TL74"/>
      <c r="TM74"/>
      <c r="TN74"/>
      <c r="TO74"/>
      <c r="TP74"/>
      <c r="TQ74"/>
      <c r="TR74"/>
      <c r="TS74"/>
      <c r="TT74"/>
      <c r="TU74"/>
      <c r="TV74"/>
      <c r="TW74"/>
      <c r="TX74"/>
      <c r="TY74"/>
      <c r="TZ74"/>
      <c r="UA74"/>
      <c r="UB74"/>
      <c r="UC74"/>
      <c r="UD74"/>
      <c r="UE74"/>
      <c r="UF74"/>
      <c r="UG74"/>
      <c r="UH74"/>
      <c r="UI74"/>
      <c r="UJ74"/>
      <c r="UK74"/>
      <c r="UL74"/>
      <c r="UM74"/>
      <c r="UN74"/>
      <c r="UO74"/>
      <c r="UP74"/>
      <c r="UQ74"/>
      <c r="UR74"/>
      <c r="US74"/>
      <c r="UT74"/>
      <c r="UU74"/>
      <c r="UV74"/>
      <c r="UW74"/>
      <c r="UX74"/>
      <c r="UY74"/>
      <c r="UZ74"/>
      <c r="VA74"/>
      <c r="VB74"/>
      <c r="VC74"/>
      <c r="VD74"/>
      <c r="VE74"/>
      <c r="VF74"/>
      <c r="VG74"/>
      <c r="VH74"/>
      <c r="VI74"/>
      <c r="VJ74"/>
      <c r="VK74"/>
      <c r="VL74"/>
      <c r="VM74"/>
      <c r="VN74"/>
      <c r="VO74"/>
      <c r="VP74"/>
      <c r="VQ74"/>
      <c r="VR74"/>
      <c r="VS74"/>
      <c r="VT74"/>
      <c r="VU74"/>
      <c r="VV74"/>
      <c r="VW74"/>
      <c r="VX74"/>
      <c r="VY74"/>
      <c r="VZ74"/>
      <c r="WA74"/>
      <c r="WB74"/>
      <c r="WC74"/>
      <c r="WD74"/>
      <c r="WE74"/>
      <c r="WF74"/>
      <c r="WG74"/>
      <c r="WH74"/>
      <c r="WI74"/>
      <c r="WJ74"/>
      <c r="WK74"/>
      <c r="WL74"/>
      <c r="WM74"/>
      <c r="WN74"/>
      <c r="WO74"/>
      <c r="WP74"/>
      <c r="WQ74"/>
      <c r="WR74"/>
      <c r="WS74"/>
      <c r="WT74"/>
      <c r="WU74"/>
      <c r="WV74"/>
      <c r="WW74"/>
      <c r="WX74"/>
      <c r="WY74"/>
      <c r="WZ74"/>
      <c r="XA74"/>
      <c r="XB74"/>
      <c r="XC74"/>
      <c r="XD74"/>
      <c r="XE74"/>
      <c r="XF74"/>
      <c r="XG74"/>
      <c r="XH74"/>
      <c r="XI74"/>
      <c r="XJ74"/>
      <c r="XK74"/>
      <c r="XL74"/>
      <c r="XM74"/>
      <c r="XN74"/>
      <c r="XO74"/>
      <c r="XP74"/>
      <c r="XQ74"/>
      <c r="XR74"/>
      <c r="XS74"/>
      <c r="XT74"/>
      <c r="XU74"/>
      <c r="XV74"/>
      <c r="XW74"/>
      <c r="XX74"/>
      <c r="XY74"/>
      <c r="XZ74"/>
      <c r="YA74"/>
      <c r="YB74"/>
      <c r="YC74"/>
      <c r="YD74"/>
      <c r="YE74"/>
      <c r="YF74"/>
      <c r="YG74"/>
      <c r="YH74"/>
      <c r="YI74"/>
      <c r="YJ74"/>
      <c r="YK74"/>
      <c r="YL74"/>
      <c r="YM74"/>
      <c r="YN74"/>
      <c r="YO74"/>
      <c r="YP74"/>
      <c r="YQ74"/>
      <c r="YR74"/>
      <c r="YS74"/>
      <c r="YT74"/>
      <c r="YU74"/>
      <c r="YV74"/>
      <c r="YW74"/>
      <c r="YX74"/>
      <c r="YY74"/>
      <c r="YZ74"/>
      <c r="ZA74"/>
      <c r="ZB74"/>
      <c r="ZC74"/>
      <c r="ZD74"/>
      <c r="ZE74"/>
      <c r="ZF74"/>
      <c r="ZG74"/>
      <c r="ZH74"/>
      <c r="ZI74"/>
      <c r="ZJ74"/>
      <c r="ZK74"/>
      <c r="ZL74"/>
      <c r="ZM74"/>
      <c r="ZN74"/>
      <c r="ZO74"/>
      <c r="ZP74"/>
      <c r="ZQ74"/>
      <c r="ZR74"/>
      <c r="ZS74"/>
      <c r="ZT74"/>
      <c r="ZU74"/>
      <c r="ZV74"/>
      <c r="ZW74"/>
      <c r="ZX74"/>
      <c r="ZY74"/>
      <c r="ZZ74"/>
      <c r="AAA74"/>
      <c r="AAB74"/>
      <c r="AAC74"/>
      <c r="AAD74"/>
      <c r="AAE74"/>
      <c r="AAF74"/>
      <c r="AAG74"/>
      <c r="AAH74"/>
      <c r="AAI74"/>
      <c r="AAJ74"/>
      <c r="AAK74"/>
      <c r="AAL74"/>
      <c r="AAM74"/>
      <c r="AAN74"/>
      <c r="AAO74"/>
      <c r="AAP74"/>
      <c r="AAQ74"/>
      <c r="AAR74"/>
      <c r="AAS74"/>
      <c r="AAT74"/>
      <c r="AAU74"/>
      <c r="AAV74"/>
      <c r="AAW74"/>
      <c r="AAX74"/>
      <c r="AAY74"/>
      <c r="AAZ74"/>
      <c r="ABA74"/>
      <c r="ABB74"/>
      <c r="ABC74"/>
      <c r="ABD74"/>
      <c r="ABE74"/>
      <c r="ABF74"/>
      <c r="ABG74"/>
      <c r="ABH74"/>
      <c r="ABI74"/>
      <c r="ABJ74"/>
      <c r="ABK74"/>
      <c r="ABL74"/>
      <c r="ABM74"/>
      <c r="ABN74"/>
      <c r="ABO74"/>
      <c r="ABP74"/>
      <c r="ABQ74"/>
      <c r="ABR74"/>
      <c r="ABS74"/>
      <c r="ABT74"/>
      <c r="ABU74"/>
      <c r="ABV74"/>
      <c r="ABW74"/>
      <c r="ABX74"/>
      <c r="ABY74"/>
      <c r="ABZ74"/>
      <c r="ACA74"/>
      <c r="ACB74"/>
      <c r="ACC74"/>
      <c r="ACD74"/>
      <c r="ACE74"/>
      <c r="ACF74"/>
      <c r="ACG74"/>
      <c r="ACH74"/>
      <c r="ACI74"/>
      <c r="ACJ74"/>
      <c r="ACK74"/>
      <c r="ACL74"/>
      <c r="ACM74"/>
      <c r="ACN74"/>
      <c r="ACO74"/>
      <c r="ACP74"/>
      <c r="ACQ74"/>
      <c r="ACR74"/>
      <c r="ACS74"/>
      <c r="ACT74"/>
      <c r="ACU74"/>
      <c r="ACV74"/>
      <c r="ACW74"/>
      <c r="ACX74"/>
      <c r="ACY74"/>
      <c r="ACZ74"/>
      <c r="ADA74"/>
      <c r="ADB74"/>
      <c r="ADC74"/>
      <c r="ADD74"/>
      <c r="ADE74"/>
      <c r="ADF74"/>
      <c r="ADG74"/>
      <c r="ADH74"/>
      <c r="ADI74"/>
      <c r="ADJ74"/>
      <c r="ADK74"/>
      <c r="ADL74"/>
      <c r="ADM74"/>
      <c r="ADN74"/>
      <c r="ADO74"/>
      <c r="ADP74"/>
      <c r="ADQ74"/>
      <c r="ADR74"/>
      <c r="ADS74"/>
      <c r="ADT74"/>
      <c r="ADU74"/>
      <c r="ADV74"/>
      <c r="ADW74"/>
      <c r="ADX74"/>
      <c r="ADY74"/>
      <c r="ADZ74"/>
      <c r="AEA74"/>
      <c r="AEB74"/>
      <c r="AEC74"/>
      <c r="AED74"/>
      <c r="AEE74"/>
      <c r="AEF74"/>
      <c r="AEG74"/>
      <c r="AEH74"/>
      <c r="AEI74"/>
      <c r="AEJ74"/>
      <c r="AEK74"/>
      <c r="AEL74"/>
      <c r="AEM74"/>
      <c r="AEN74"/>
      <c r="AEO74"/>
      <c r="AEP74"/>
      <c r="AEQ74"/>
      <c r="AER74"/>
      <c r="AES74"/>
      <c r="AET74"/>
      <c r="AEU74"/>
      <c r="AEV74"/>
      <c r="AEW74"/>
      <c r="AEX74"/>
      <c r="AEY74"/>
      <c r="AEZ74"/>
      <c r="AFA74"/>
      <c r="AFB74"/>
      <c r="AFC74"/>
      <c r="AFD74"/>
      <c r="AFE74"/>
      <c r="AFF74"/>
      <c r="AFG74"/>
      <c r="AFH74"/>
      <c r="AFI74"/>
      <c r="AFJ74"/>
      <c r="AFK74"/>
      <c r="AFL74"/>
      <c r="AFM74"/>
      <c r="AFN74"/>
      <c r="AFO74"/>
      <c r="AFP74"/>
      <c r="AFQ74"/>
      <c r="AFR74"/>
      <c r="AFS74"/>
      <c r="AFT74"/>
      <c r="AFU74"/>
      <c r="AFV74"/>
      <c r="AFW74"/>
      <c r="AFX74"/>
      <c r="AFY74"/>
      <c r="AFZ74"/>
      <c r="AGA74"/>
      <c r="AGB74"/>
      <c r="AGC74"/>
      <c r="AGD74"/>
      <c r="AGE74"/>
      <c r="AGF74"/>
      <c r="AGG74"/>
      <c r="AGH74"/>
      <c r="AGI74"/>
      <c r="AGJ74"/>
      <c r="AGK74"/>
      <c r="AGL74"/>
      <c r="AGM74"/>
      <c r="AGN74"/>
      <c r="AGO74"/>
      <c r="AGP74"/>
      <c r="AGQ74"/>
      <c r="AGR74"/>
      <c r="AGS74"/>
      <c r="AGT74"/>
      <c r="AGU74"/>
      <c r="AGV74"/>
      <c r="AGW74"/>
      <c r="AGX74"/>
      <c r="AGY74"/>
      <c r="AGZ74"/>
      <c r="AHA74"/>
      <c r="AHB74"/>
      <c r="AHC74"/>
      <c r="AHD74"/>
      <c r="AHE74"/>
      <c r="AHF74"/>
      <c r="AHG74"/>
      <c r="AHH74"/>
      <c r="AHI74"/>
      <c r="AHJ74"/>
      <c r="AHK74"/>
      <c r="AHL74"/>
      <c r="AHM74"/>
      <c r="AHN74"/>
      <c r="AHO74"/>
      <c r="AHP74"/>
      <c r="AHQ74"/>
      <c r="AHR74"/>
      <c r="AHS74"/>
      <c r="AHT74"/>
      <c r="AHU74"/>
      <c r="AHV74"/>
      <c r="AHW74"/>
      <c r="AHX74"/>
      <c r="AHY74"/>
      <c r="AHZ74"/>
      <c r="AIA74"/>
      <c r="AIB74"/>
      <c r="AIC74"/>
      <c r="AID74"/>
      <c r="AIE74"/>
      <c r="AIF74"/>
      <c r="AIG74"/>
      <c r="AIH74"/>
      <c r="AII74"/>
      <c r="AIJ74"/>
      <c r="AIK74"/>
      <c r="AIL74"/>
      <c r="AIM74"/>
      <c r="AIN74"/>
      <c r="AIO74"/>
      <c r="AIP74"/>
      <c r="AIQ74"/>
      <c r="AIR74"/>
      <c r="AIS74"/>
      <c r="AIT74"/>
      <c r="AIU74"/>
      <c r="AIV74"/>
      <c r="AIW74"/>
      <c r="AIX74"/>
      <c r="AIY74"/>
      <c r="AIZ74"/>
      <c r="AJA74"/>
      <c r="AJB74"/>
      <c r="AJC74"/>
      <c r="AJD74"/>
      <c r="AJE74"/>
      <c r="AJF74"/>
      <c r="AJG74"/>
      <c r="AJH74"/>
      <c r="AJI74"/>
      <c r="AJJ74"/>
      <c r="AJK74"/>
      <c r="AJL74"/>
      <c r="AJM74"/>
      <c r="AJN74"/>
      <c r="AJO74"/>
      <c r="AJP74"/>
      <c r="AJQ74"/>
      <c r="AJR74"/>
      <c r="AJS74"/>
      <c r="AJT74"/>
      <c r="AJU74"/>
      <c r="AJV74"/>
      <c r="AJW74"/>
      <c r="AJX74"/>
      <c r="AJY74"/>
      <c r="AJZ74"/>
      <c r="AKA74"/>
      <c r="AKB74"/>
      <c r="AKC74"/>
      <c r="AKD74"/>
      <c r="AKE74"/>
      <c r="AKF74"/>
      <c r="AKG74"/>
      <c r="AKH74"/>
      <c r="AKI74"/>
      <c r="AKJ74"/>
      <c r="AKK74"/>
      <c r="AKL74"/>
      <c r="AKM74"/>
      <c r="AKN74"/>
      <c r="AKO74"/>
      <c r="AKP74"/>
      <c r="AKQ74"/>
      <c r="AKR74"/>
      <c r="AKS74"/>
      <c r="AKT74"/>
      <c r="AKU74"/>
      <c r="AKV74"/>
      <c r="AKW74"/>
      <c r="AKX74"/>
      <c r="AKY74"/>
      <c r="AKZ74"/>
      <c r="ALA74"/>
      <c r="ALB74"/>
      <c r="ALC74"/>
      <c r="ALD74"/>
      <c r="ALE74"/>
      <c r="ALF74"/>
      <c r="ALG74"/>
      <c r="ALH74"/>
      <c r="ALI74"/>
      <c r="ALJ74"/>
      <c r="ALK74"/>
      <c r="ALL74"/>
      <c r="ALM74"/>
      <c r="ALN74"/>
      <c r="ALO74"/>
      <c r="ALP74"/>
      <c r="ALQ74"/>
      <c r="ALR74"/>
      <c r="ALS74"/>
      <c r="ALT74"/>
      <c r="ALU74"/>
      <c r="ALV74"/>
      <c r="ALW74"/>
      <c r="ALX74"/>
      <c r="ALY74"/>
      <c r="ALZ74"/>
      <c r="AMA74"/>
      <c r="AMB74"/>
      <c r="AMC74"/>
      <c r="AMD74"/>
      <c r="AME74"/>
      <c r="AMF74"/>
      <c r="AMG74"/>
      <c r="AMH74"/>
      <c r="AMI74"/>
    </row>
    <row r="75" spans="1:1023" x14ac:dyDescent="0.15">
      <c r="A75" t="s">
        <v>193</v>
      </c>
      <c r="E75" t="s">
        <v>15</v>
      </c>
      <c r="F75" t="s">
        <v>194</v>
      </c>
      <c r="H75">
        <v>300</v>
      </c>
      <c r="I75" t="b">
        <v>0</v>
      </c>
      <c r="J75" s="1" t="s">
        <v>17</v>
      </c>
      <c r="K75" t="s">
        <v>184</v>
      </c>
      <c r="L75">
        <v>0</v>
      </c>
      <c r="M75" s="7" t="b">
        <v>0</v>
      </c>
      <c r="N75" s="7" t="b">
        <v>0</v>
      </c>
      <c r="O75" s="1" t="s">
        <v>17</v>
      </c>
      <c r="P75" s="1" t="s">
        <v>19</v>
      </c>
      <c r="Q75" s="1" t="s">
        <v>17</v>
      </c>
      <c r="R75" s="1" t="s">
        <v>17</v>
      </c>
      <c r="S75" s="1" t="s">
        <v>17</v>
      </c>
      <c r="T75" s="1" t="s">
        <v>17</v>
      </c>
      <c r="U75" t="str">
        <f t="shared" si="8"/>
        <v>user</v>
      </c>
      <c r="V75" t="str">
        <f t="shared" si="9"/>
        <v/>
      </c>
      <c r="W75" t="str">
        <f t="shared" si="10"/>
        <v/>
      </c>
      <c r="X75" t="str">
        <f t="shared" si="11"/>
        <v>user</v>
      </c>
      <c r="Y75" t="str">
        <f t="shared" si="12"/>
        <v/>
      </c>
      <c r="Z75" t="str">
        <f t="shared" si="13"/>
        <v/>
      </c>
      <c r="AA75" t="str">
        <f t="shared" si="14"/>
        <v/>
      </c>
      <c r="AB75" t="str">
        <f t="shared" si="15"/>
        <v/>
      </c>
      <c r="AC75" t="str">
        <f>IF(C75="Unit","unit","")</f>
        <v/>
      </c>
    </row>
    <row r="76" spans="1:1023" x14ac:dyDescent="0.15">
      <c r="A76" s="6" t="s">
        <v>42</v>
      </c>
      <c r="B76" s="6"/>
      <c r="C76" s="6"/>
      <c r="D76" s="6"/>
      <c r="E76" t="s">
        <v>15</v>
      </c>
      <c r="F76" t="s">
        <v>43</v>
      </c>
      <c r="H76">
        <v>200</v>
      </c>
      <c r="I76" t="b">
        <v>0</v>
      </c>
      <c r="J76" s="1" t="s">
        <v>17</v>
      </c>
      <c r="K76" t="s">
        <v>44</v>
      </c>
      <c r="L76">
        <v>1</v>
      </c>
      <c r="M76" s="7" t="b">
        <v>0</v>
      </c>
      <c r="N76" s="7" t="b">
        <v>0</v>
      </c>
      <c r="O76" s="1" t="s">
        <v>19</v>
      </c>
      <c r="P76" s="1" t="s">
        <v>17</v>
      </c>
      <c r="Q76" s="1" t="s">
        <v>17</v>
      </c>
      <c r="R76" s="1" t="s">
        <v>17</v>
      </c>
      <c r="S76" s="1" t="s">
        <v>19</v>
      </c>
      <c r="T76" s="1" t="s">
        <v>17</v>
      </c>
      <c r="U76" t="str">
        <f t="shared" si="8"/>
        <v>filter|dataset</v>
      </c>
      <c r="V76" t="str">
        <f t="shared" si="9"/>
        <v/>
      </c>
      <c r="W76" t="str">
        <f t="shared" si="10"/>
        <v>filter</v>
      </c>
      <c r="X76" t="str">
        <f t="shared" si="11"/>
        <v/>
      </c>
      <c r="Y76" t="str">
        <f t="shared" si="12"/>
        <v/>
      </c>
      <c r="Z76" t="str">
        <f t="shared" si="13"/>
        <v/>
      </c>
      <c r="AA76" t="str">
        <f t="shared" si="14"/>
        <v>dataset</v>
      </c>
      <c r="AB76" t="str">
        <f t="shared" si="15"/>
        <v/>
      </c>
      <c r="AC76" t="str">
        <f>IF(C76="Unit","unit","")</f>
        <v/>
      </c>
    </row>
    <row r="77" spans="1:1023" x14ac:dyDescent="0.15">
      <c r="A77" s="6" t="s">
        <v>45</v>
      </c>
      <c r="B77" s="6"/>
      <c r="C77" s="6"/>
      <c r="D77" s="6"/>
      <c r="E77" t="s">
        <v>15</v>
      </c>
      <c r="F77" t="s">
        <v>46</v>
      </c>
      <c r="H77">
        <v>200</v>
      </c>
      <c r="I77" t="b">
        <v>0</v>
      </c>
      <c r="J77" s="1" t="s">
        <v>17</v>
      </c>
      <c r="K77" t="s">
        <v>44</v>
      </c>
      <c r="L77">
        <v>1</v>
      </c>
      <c r="M77" s="7" t="b">
        <v>0</v>
      </c>
      <c r="N77" s="7" t="b">
        <v>0</v>
      </c>
      <c r="O77" s="1" t="s">
        <v>19</v>
      </c>
      <c r="P77" s="1" t="s">
        <v>17</v>
      </c>
      <c r="Q77" s="1" t="s">
        <v>17</v>
      </c>
      <c r="R77" s="1" t="s">
        <v>17</v>
      </c>
      <c r="S77" s="1" t="s">
        <v>19</v>
      </c>
      <c r="T77" s="1" t="s">
        <v>17</v>
      </c>
      <c r="U77" t="str">
        <f t="shared" si="8"/>
        <v>filter|dataset</v>
      </c>
      <c r="V77" t="str">
        <f t="shared" si="9"/>
        <v/>
      </c>
      <c r="W77" t="str">
        <f t="shared" si="10"/>
        <v>filter</v>
      </c>
      <c r="X77" t="str">
        <f t="shared" si="11"/>
        <v/>
      </c>
      <c r="Y77" t="str">
        <f t="shared" si="12"/>
        <v/>
      </c>
      <c r="Z77" t="str">
        <f t="shared" si="13"/>
        <v/>
      </c>
      <c r="AA77" t="str">
        <f t="shared" si="14"/>
        <v>dataset</v>
      </c>
      <c r="AB77" t="str">
        <f t="shared" si="15"/>
        <v/>
      </c>
      <c r="AC77" t="str">
        <f>IF(C77="Unit","unit","")</f>
        <v/>
      </c>
    </row>
    <row r="78" spans="1:1023" x14ac:dyDescent="0.15">
      <c r="A78" s="6" t="s">
        <v>111</v>
      </c>
      <c r="B78" s="6" t="s">
        <v>4100</v>
      </c>
      <c r="C78" s="6"/>
      <c r="D78" s="6"/>
      <c r="E78" s="6" t="s">
        <v>20</v>
      </c>
      <c r="F78" s="6" t="s">
        <v>3214</v>
      </c>
      <c r="G78" s="6"/>
      <c r="H78">
        <v>500</v>
      </c>
      <c r="I78" t="b">
        <v>0</v>
      </c>
      <c r="J78" s="1" t="s">
        <v>17</v>
      </c>
      <c r="K78" t="s">
        <v>23</v>
      </c>
      <c r="L78">
        <v>2</v>
      </c>
      <c r="M78" s="7" t="b">
        <v>0</v>
      </c>
      <c r="N78" s="7" t="b">
        <v>0</v>
      </c>
      <c r="O78" s="1" t="s">
        <v>19</v>
      </c>
      <c r="P78" s="1" t="s">
        <v>17</v>
      </c>
      <c r="Q78" s="1" t="s">
        <v>17</v>
      </c>
      <c r="R78" s="1" t="s">
        <v>17</v>
      </c>
      <c r="S78" s="1" t="s">
        <v>19</v>
      </c>
      <c r="T78" s="1" t="s">
        <v>19</v>
      </c>
      <c r="U78" t="str">
        <f t="shared" si="8"/>
        <v>filter|dataset|sample</v>
      </c>
      <c r="V78" t="str">
        <f t="shared" si="9"/>
        <v/>
      </c>
      <c r="W78" t="str">
        <f t="shared" si="10"/>
        <v>filter</v>
      </c>
      <c r="X78" t="str">
        <f t="shared" si="11"/>
        <v/>
      </c>
      <c r="Y78" t="str">
        <f t="shared" si="12"/>
        <v/>
      </c>
      <c r="Z78" t="str">
        <f t="shared" si="13"/>
        <v/>
      </c>
      <c r="AA78" t="str">
        <f t="shared" si="14"/>
        <v>dataset</v>
      </c>
      <c r="AB78" t="str">
        <f t="shared" si="15"/>
        <v>sample</v>
      </c>
      <c r="AC78" t="str">
        <f>IF(C78="Unit","unit","")</f>
        <v/>
      </c>
    </row>
    <row r="79" spans="1:1023" x14ac:dyDescent="0.15">
      <c r="A79" s="6" t="s">
        <v>136</v>
      </c>
      <c r="B79" s="6"/>
      <c r="C79" s="6"/>
      <c r="D79" s="6"/>
      <c r="E79" t="s">
        <v>137</v>
      </c>
      <c r="F79" t="s">
        <v>3217</v>
      </c>
      <c r="H79">
        <v>500</v>
      </c>
      <c r="I79" t="b">
        <v>0</v>
      </c>
      <c r="J79" s="1" t="s">
        <v>17</v>
      </c>
      <c r="K79" t="s">
        <v>23</v>
      </c>
      <c r="L79">
        <v>2</v>
      </c>
      <c r="M79" s="7" t="b">
        <v>0</v>
      </c>
      <c r="N79" s="7" t="b">
        <v>0</v>
      </c>
      <c r="O79" s="1" t="s">
        <v>19</v>
      </c>
      <c r="P79" s="1" t="s">
        <v>17</v>
      </c>
      <c r="Q79" s="1" t="s">
        <v>17</v>
      </c>
      <c r="R79" s="1" t="s">
        <v>17</v>
      </c>
      <c r="S79" s="1" t="s">
        <v>19</v>
      </c>
      <c r="T79" s="1" t="s">
        <v>19</v>
      </c>
      <c r="U79" t="str">
        <f t="shared" si="8"/>
        <v>filter|dataset|sample</v>
      </c>
      <c r="V79" t="str">
        <f t="shared" si="9"/>
        <v/>
      </c>
      <c r="W79" t="str">
        <f t="shared" si="10"/>
        <v>filter</v>
      </c>
      <c r="X79" t="str">
        <f t="shared" si="11"/>
        <v/>
      </c>
      <c r="Y79" t="str">
        <f t="shared" si="12"/>
        <v/>
      </c>
      <c r="Z79" t="str">
        <f t="shared" si="13"/>
        <v/>
      </c>
      <c r="AA79" t="str">
        <f t="shared" si="14"/>
        <v>dataset</v>
      </c>
      <c r="AB79" t="str">
        <f t="shared" si="15"/>
        <v>sample</v>
      </c>
      <c r="AC79" t="str">
        <f>IF(C79="Unit","unit","")</f>
        <v/>
      </c>
    </row>
    <row r="80" spans="1:1023" x14ac:dyDescent="0.15">
      <c r="A80" s="6" t="s">
        <v>138</v>
      </c>
      <c r="B80" s="6"/>
      <c r="C80" s="6"/>
      <c r="D80" s="6"/>
      <c r="E80" t="s">
        <v>137</v>
      </c>
      <c r="F80" t="s">
        <v>3218</v>
      </c>
      <c r="H80">
        <v>500</v>
      </c>
      <c r="I80" t="b">
        <v>0</v>
      </c>
      <c r="J80" s="1" t="s">
        <v>17</v>
      </c>
      <c r="K80" t="s">
        <v>23</v>
      </c>
      <c r="L80">
        <v>2</v>
      </c>
      <c r="M80" s="7" t="b">
        <v>0</v>
      </c>
      <c r="N80" s="7" t="b">
        <v>0</v>
      </c>
      <c r="O80" s="1" t="s">
        <v>19</v>
      </c>
      <c r="P80" s="1" t="s">
        <v>17</v>
      </c>
      <c r="Q80" s="1" t="s">
        <v>17</v>
      </c>
      <c r="R80" s="1" t="s">
        <v>17</v>
      </c>
      <c r="S80" s="1" t="s">
        <v>19</v>
      </c>
      <c r="T80" s="1" t="s">
        <v>19</v>
      </c>
      <c r="U80" t="str">
        <f t="shared" si="8"/>
        <v>filter|dataset|sample</v>
      </c>
      <c r="V80" t="str">
        <f t="shared" si="9"/>
        <v/>
      </c>
      <c r="W80" t="str">
        <f t="shared" si="10"/>
        <v>filter</v>
      </c>
      <c r="X80" t="str">
        <f t="shared" si="11"/>
        <v/>
      </c>
      <c r="Y80" t="str">
        <f t="shared" si="12"/>
        <v/>
      </c>
      <c r="Z80" t="str">
        <f t="shared" si="13"/>
        <v/>
      </c>
      <c r="AA80" t="str">
        <f t="shared" si="14"/>
        <v>dataset</v>
      </c>
      <c r="AB80" t="str">
        <f t="shared" si="15"/>
        <v>sample</v>
      </c>
      <c r="AC80" t="str">
        <f>IF(C80="Unit","unit","")</f>
        <v/>
      </c>
    </row>
    <row r="81" spans="1:1023" x14ac:dyDescent="0.15">
      <c r="A81" s="6" t="s">
        <v>140</v>
      </c>
      <c r="B81" s="6"/>
      <c r="C81" s="6"/>
      <c r="D81" s="6"/>
      <c r="E81" t="s">
        <v>141</v>
      </c>
      <c r="F81" t="s">
        <v>3219</v>
      </c>
      <c r="H81">
        <v>500</v>
      </c>
      <c r="I81" t="b">
        <v>0</v>
      </c>
      <c r="J81" s="1" t="s">
        <v>17</v>
      </c>
      <c r="K81" t="s">
        <v>23</v>
      </c>
      <c r="L81">
        <v>2</v>
      </c>
      <c r="M81" s="7" t="b">
        <v>0</v>
      </c>
      <c r="N81" s="7" t="b">
        <v>0</v>
      </c>
      <c r="O81" s="1" t="s">
        <v>19</v>
      </c>
      <c r="P81" s="1" t="s">
        <v>17</v>
      </c>
      <c r="Q81" s="1" t="s">
        <v>17</v>
      </c>
      <c r="R81" s="1" t="s">
        <v>17</v>
      </c>
      <c r="S81" s="1" t="s">
        <v>19</v>
      </c>
      <c r="T81" s="1" t="s">
        <v>19</v>
      </c>
      <c r="U81" t="str">
        <f t="shared" si="8"/>
        <v>filter|dataset|sample</v>
      </c>
      <c r="V81" t="str">
        <f t="shared" si="9"/>
        <v/>
      </c>
      <c r="W81" t="str">
        <f t="shared" si="10"/>
        <v>filter</v>
      </c>
      <c r="X81" t="str">
        <f t="shared" si="11"/>
        <v/>
      </c>
      <c r="Y81" t="str">
        <f t="shared" si="12"/>
        <v/>
      </c>
      <c r="Z81" t="str">
        <f t="shared" si="13"/>
        <v/>
      </c>
      <c r="AA81" t="str">
        <f t="shared" si="14"/>
        <v>dataset</v>
      </c>
      <c r="AB81" t="str">
        <f t="shared" si="15"/>
        <v>sample</v>
      </c>
      <c r="AC81" t="str">
        <f>IF(C81="Unit","unit","")</f>
        <v/>
      </c>
    </row>
    <row r="82" spans="1:1023" x14ac:dyDescent="0.15">
      <c r="A82" s="6" t="s">
        <v>142</v>
      </c>
      <c r="B82" s="6"/>
      <c r="C82" s="6"/>
      <c r="D82" s="6"/>
      <c r="E82" t="s">
        <v>141</v>
      </c>
      <c r="F82" t="s">
        <v>3220</v>
      </c>
      <c r="H82">
        <v>500</v>
      </c>
      <c r="I82" t="b">
        <v>0</v>
      </c>
      <c r="J82" s="1" t="s">
        <v>17</v>
      </c>
      <c r="K82" t="s">
        <v>23</v>
      </c>
      <c r="L82">
        <v>2</v>
      </c>
      <c r="M82" s="7" t="b">
        <v>0</v>
      </c>
      <c r="N82" s="7" t="b">
        <v>0</v>
      </c>
      <c r="O82" s="1" t="s">
        <v>19</v>
      </c>
      <c r="P82" s="1" t="s">
        <v>17</v>
      </c>
      <c r="Q82" s="1" t="s">
        <v>17</v>
      </c>
      <c r="R82" s="1" t="s">
        <v>17</v>
      </c>
      <c r="S82" s="1" t="s">
        <v>19</v>
      </c>
      <c r="T82" s="1" t="s">
        <v>19</v>
      </c>
      <c r="U82" t="str">
        <f t="shared" si="8"/>
        <v>filter|dataset|sample</v>
      </c>
      <c r="V82" t="str">
        <f t="shared" si="9"/>
        <v/>
      </c>
      <c r="W82" t="str">
        <f t="shared" si="10"/>
        <v>filter</v>
      </c>
      <c r="X82" t="str">
        <f t="shared" si="11"/>
        <v/>
      </c>
      <c r="Y82" t="str">
        <f t="shared" si="12"/>
        <v/>
      </c>
      <c r="Z82" t="str">
        <f t="shared" si="13"/>
        <v/>
      </c>
      <c r="AA82" t="str">
        <f t="shared" si="14"/>
        <v>dataset</v>
      </c>
      <c r="AB82" t="str">
        <f t="shared" si="15"/>
        <v>sample</v>
      </c>
      <c r="AC82" t="str">
        <f>IF(C82="Unit","unit","")</f>
        <v/>
      </c>
    </row>
    <row r="83" spans="1:1023" x14ac:dyDescent="0.15">
      <c r="A83" t="s">
        <v>3168</v>
      </c>
      <c r="E83" t="s">
        <v>15</v>
      </c>
      <c r="F83" t="s">
        <v>3169</v>
      </c>
      <c r="H83">
        <v>600</v>
      </c>
      <c r="I83" t="b">
        <v>0</v>
      </c>
      <c r="J83" s="1" t="s">
        <v>17</v>
      </c>
      <c r="K83" t="s">
        <v>39</v>
      </c>
      <c r="L83">
        <v>0</v>
      </c>
      <c r="M83" s="2" t="b">
        <v>0</v>
      </c>
      <c r="N83" s="2" t="b">
        <v>0</v>
      </c>
      <c r="O83" s="1" t="s">
        <v>19</v>
      </c>
      <c r="P83" s="1" t="s">
        <v>17</v>
      </c>
      <c r="Q83" s="1" t="s">
        <v>17</v>
      </c>
      <c r="R83" s="1" t="s">
        <v>19</v>
      </c>
      <c r="S83" s="1" t="s">
        <v>17</v>
      </c>
      <c r="T83" s="1" t="s">
        <v>17</v>
      </c>
      <c r="U83" t="str">
        <f t="shared" si="8"/>
        <v>filter|qc</v>
      </c>
      <c r="V83" t="str">
        <f t="shared" si="9"/>
        <v/>
      </c>
      <c r="W83" t="str">
        <f t="shared" si="10"/>
        <v>filter</v>
      </c>
      <c r="X83" t="str">
        <f t="shared" si="11"/>
        <v/>
      </c>
      <c r="Y83" t="str">
        <f t="shared" si="12"/>
        <v/>
      </c>
      <c r="Z83" t="str">
        <f t="shared" si="13"/>
        <v>qc</v>
      </c>
      <c r="AA83" t="str">
        <f t="shared" si="14"/>
        <v/>
      </c>
      <c r="AB83" t="str">
        <f t="shared" si="15"/>
        <v/>
      </c>
      <c r="AC83" t="str">
        <f>IF(C83="Unit","unit","")</f>
        <v/>
      </c>
    </row>
    <row r="84" spans="1:1023" x14ac:dyDescent="0.15">
      <c r="A84" s="27" t="s">
        <v>52</v>
      </c>
      <c r="B84" s="27"/>
      <c r="C84" s="27"/>
      <c r="D84" s="8" t="s">
        <v>3980</v>
      </c>
      <c r="E84" s="27" t="s">
        <v>50</v>
      </c>
      <c r="F84" s="27" t="s">
        <v>4127</v>
      </c>
      <c r="G84" s="27"/>
      <c r="H84">
        <v>600</v>
      </c>
      <c r="I84" t="b">
        <v>0</v>
      </c>
      <c r="J84" s="1" t="s">
        <v>17</v>
      </c>
      <c r="K84" t="s">
        <v>51</v>
      </c>
      <c r="L84">
        <v>0</v>
      </c>
      <c r="M84" s="2" t="b">
        <v>0</v>
      </c>
      <c r="N84" s="2" t="b">
        <v>0</v>
      </c>
      <c r="O84" s="1" t="s">
        <v>19</v>
      </c>
      <c r="P84" s="1" t="s">
        <v>17</v>
      </c>
      <c r="Q84" s="1" t="s">
        <v>17</v>
      </c>
      <c r="R84" s="1" t="s">
        <v>19</v>
      </c>
      <c r="S84" s="1" t="s">
        <v>17</v>
      </c>
      <c r="T84" s="1" t="s">
        <v>17</v>
      </c>
      <c r="U84" t="str">
        <f t="shared" si="8"/>
        <v>filter|qc</v>
      </c>
      <c r="V84" t="str">
        <f t="shared" si="9"/>
        <v/>
      </c>
      <c r="W84" t="str">
        <f t="shared" si="10"/>
        <v>filter</v>
      </c>
      <c r="X84" t="str">
        <f t="shared" si="11"/>
        <v/>
      </c>
      <c r="Y84" t="str">
        <f t="shared" si="12"/>
        <v/>
      </c>
      <c r="Z84" t="str">
        <f t="shared" si="13"/>
        <v>qc</v>
      </c>
      <c r="AA84" t="str">
        <f t="shared" si="14"/>
        <v/>
      </c>
      <c r="AB84" t="str">
        <f t="shared" si="15"/>
        <v/>
      </c>
      <c r="AC84" t="str">
        <f>IF(C84="Unit","unit","")</f>
        <v/>
      </c>
      <c r="AD84" s="27"/>
      <c r="AE84" s="27"/>
      <c r="AF84" s="27"/>
      <c r="AG84" s="27"/>
      <c r="AH84" s="27"/>
      <c r="AI84" s="27"/>
      <c r="AJ84" s="27"/>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7"/>
      <c r="BO84" s="27"/>
      <c r="BP84" s="27"/>
      <c r="BQ84" s="27"/>
      <c r="BR84" s="27"/>
      <c r="BS84" s="27"/>
      <c r="BT84" s="27"/>
      <c r="BU84" s="27"/>
      <c r="BV84" s="27"/>
      <c r="BW84" s="27"/>
      <c r="BX84" s="27"/>
      <c r="BY84" s="27"/>
      <c r="BZ84" s="27"/>
      <c r="CA84" s="27"/>
      <c r="CB84" s="27"/>
      <c r="CC84" s="27"/>
      <c r="CD84" s="27"/>
      <c r="CE84" s="27"/>
      <c r="CF84" s="27"/>
      <c r="CG84" s="27"/>
      <c r="CH84" s="27"/>
      <c r="CI84" s="27"/>
      <c r="CJ84" s="27"/>
      <c r="CK84" s="27"/>
      <c r="CL84" s="27"/>
      <c r="CM84" s="27"/>
      <c r="CN84" s="27"/>
      <c r="CO84" s="27"/>
      <c r="CP84" s="27"/>
      <c r="CQ84" s="27"/>
      <c r="CR84" s="27"/>
      <c r="CS84" s="27"/>
      <c r="CT84" s="27"/>
      <c r="CU84" s="27"/>
      <c r="CV84" s="27"/>
      <c r="CW84" s="27"/>
      <c r="CX84" s="27"/>
      <c r="CY84" s="27"/>
      <c r="CZ84" s="27"/>
      <c r="DA84" s="27"/>
      <c r="DB84" s="27"/>
      <c r="DC84" s="27"/>
      <c r="DD84" s="27"/>
      <c r="DE84" s="27"/>
      <c r="DF84" s="27"/>
      <c r="DG84" s="27"/>
      <c r="DH84" s="27"/>
      <c r="DI84" s="27"/>
      <c r="DJ84" s="27"/>
      <c r="DK84" s="27"/>
      <c r="DL84" s="27"/>
      <c r="DM84" s="27"/>
      <c r="DN84" s="27"/>
      <c r="DO84" s="27"/>
      <c r="DP84" s="27"/>
      <c r="DQ84" s="27"/>
      <c r="DR84" s="27"/>
      <c r="DS84" s="27"/>
      <c r="DT84" s="27"/>
      <c r="DU84" s="27"/>
      <c r="DV84" s="27"/>
      <c r="DW84" s="27"/>
      <c r="DX84" s="27"/>
      <c r="DY84" s="27"/>
      <c r="DZ84" s="27"/>
      <c r="EA84" s="27"/>
      <c r="EB84" s="27"/>
      <c r="EC84" s="27"/>
      <c r="ED84" s="27"/>
      <c r="EE84" s="27"/>
      <c r="EF84" s="27"/>
      <c r="EG84" s="27"/>
      <c r="EH84" s="27"/>
      <c r="EI84" s="27"/>
      <c r="EJ84" s="27"/>
      <c r="EK84" s="27"/>
      <c r="EL84" s="27"/>
      <c r="EM84" s="27"/>
      <c r="EN84" s="27"/>
      <c r="EO84" s="27"/>
      <c r="EP84" s="27"/>
      <c r="EQ84" s="27"/>
      <c r="ER84" s="27"/>
      <c r="ES84" s="27"/>
      <c r="ET84" s="27"/>
      <c r="EU84" s="27"/>
      <c r="EV84" s="27"/>
      <c r="EW84" s="27"/>
      <c r="EX84" s="27"/>
      <c r="EY84" s="27"/>
      <c r="EZ84" s="27"/>
      <c r="FA84" s="27"/>
      <c r="FB84" s="27"/>
      <c r="FC84" s="27"/>
      <c r="FD84" s="27"/>
      <c r="FE84" s="27"/>
      <c r="FF84" s="27"/>
      <c r="FG84" s="27"/>
      <c r="FH84" s="27"/>
      <c r="FI84" s="27"/>
      <c r="FJ84" s="27"/>
      <c r="FK84" s="27"/>
      <c r="FL84" s="27"/>
      <c r="FM84" s="27"/>
      <c r="FN84" s="27"/>
      <c r="FO84" s="27"/>
      <c r="FP84" s="27"/>
      <c r="FQ84" s="27"/>
      <c r="FR84" s="27"/>
      <c r="FS84" s="27"/>
      <c r="FT84" s="27"/>
      <c r="FU84" s="27"/>
      <c r="FV84" s="27"/>
      <c r="FW84" s="27"/>
      <c r="FX84" s="27"/>
      <c r="FY84" s="27"/>
      <c r="FZ84" s="27"/>
      <c r="GA84" s="27"/>
      <c r="GB84" s="27"/>
      <c r="GC84" s="27"/>
      <c r="GD84" s="27"/>
      <c r="GE84" s="27"/>
      <c r="GF84" s="27"/>
      <c r="GG84" s="27"/>
      <c r="GH84" s="27"/>
      <c r="GI84" s="27"/>
      <c r="GJ84" s="27"/>
      <c r="GK84" s="27"/>
      <c r="GL84" s="27"/>
      <c r="GM84" s="27"/>
      <c r="GN84" s="27"/>
      <c r="GO84" s="27"/>
      <c r="GP84" s="27"/>
      <c r="GQ84" s="27"/>
      <c r="GR84" s="27"/>
      <c r="GS84" s="27"/>
      <c r="GT84" s="27"/>
      <c r="GU84" s="27"/>
      <c r="GV84" s="27"/>
      <c r="GW84" s="27"/>
      <c r="GX84" s="27"/>
      <c r="GY84" s="27"/>
      <c r="GZ84" s="27"/>
      <c r="HA84" s="27"/>
      <c r="HB84" s="27"/>
      <c r="HC84" s="27"/>
      <c r="HD84" s="27"/>
      <c r="HE84" s="27"/>
      <c r="HF84" s="27"/>
      <c r="HG84" s="27"/>
      <c r="HH84" s="27"/>
      <c r="HI84" s="27"/>
      <c r="HJ84" s="27"/>
      <c r="HK84" s="27"/>
      <c r="HL84" s="27"/>
      <c r="HM84" s="27"/>
      <c r="HN84" s="27"/>
      <c r="HO84" s="27"/>
      <c r="HP84" s="27"/>
      <c r="HQ84" s="27"/>
      <c r="HR84" s="27"/>
      <c r="HS84" s="27"/>
      <c r="HT84" s="27"/>
      <c r="HU84" s="27"/>
      <c r="HV84" s="27"/>
      <c r="HW84" s="27"/>
      <c r="HX84" s="27"/>
      <c r="HY84" s="27"/>
      <c r="HZ84" s="27"/>
      <c r="IA84" s="27"/>
      <c r="IB84" s="27"/>
      <c r="IC84" s="27"/>
      <c r="ID84" s="27"/>
      <c r="IE84" s="27"/>
      <c r="IF84" s="27"/>
      <c r="IG84" s="27"/>
      <c r="IH84" s="27"/>
      <c r="II84" s="27"/>
      <c r="IJ84" s="27"/>
      <c r="IK84" s="27"/>
      <c r="IL84" s="27"/>
      <c r="IM84" s="27"/>
      <c r="IN84" s="27"/>
      <c r="IO84" s="27"/>
      <c r="IP84" s="27"/>
      <c r="IQ84" s="27"/>
      <c r="IR84" s="27"/>
      <c r="IS84" s="27"/>
      <c r="IT84" s="27"/>
      <c r="IU84" s="27"/>
      <c r="IV84" s="27"/>
      <c r="IW84" s="27"/>
      <c r="IX84" s="27"/>
      <c r="IY84" s="27"/>
      <c r="IZ84" s="27"/>
      <c r="JA84" s="27"/>
      <c r="JB84" s="27"/>
      <c r="JC84" s="27"/>
      <c r="JD84" s="27"/>
      <c r="JE84" s="27"/>
      <c r="JF84" s="27"/>
      <c r="JG84" s="27"/>
      <c r="JH84" s="27"/>
      <c r="JI84" s="27"/>
      <c r="JJ84" s="27"/>
      <c r="JK84" s="27"/>
      <c r="JL84" s="27"/>
      <c r="JM84" s="27"/>
      <c r="JN84" s="27"/>
      <c r="JO84" s="27"/>
      <c r="JP84" s="27"/>
      <c r="JQ84" s="27"/>
      <c r="JR84" s="27"/>
      <c r="JS84" s="27"/>
      <c r="JT84" s="27"/>
      <c r="JU84" s="27"/>
      <c r="JV84" s="27"/>
      <c r="JW84" s="27"/>
      <c r="JX84" s="27"/>
      <c r="JY84" s="27"/>
      <c r="JZ84" s="27"/>
      <c r="KA84" s="27"/>
      <c r="KB84" s="27"/>
      <c r="KC84" s="27"/>
      <c r="KD84" s="27"/>
      <c r="KE84" s="27"/>
      <c r="KF84" s="27"/>
      <c r="KG84" s="27"/>
      <c r="KH84" s="27"/>
      <c r="KI84" s="27"/>
      <c r="KJ84" s="27"/>
      <c r="KK84" s="27"/>
      <c r="KL84" s="27"/>
      <c r="KM84" s="27"/>
      <c r="KN84" s="27"/>
      <c r="KO84" s="27"/>
      <c r="KP84" s="27"/>
      <c r="KQ84" s="27"/>
      <c r="KR84" s="27"/>
      <c r="KS84" s="27"/>
      <c r="KT84" s="27"/>
      <c r="KU84" s="27"/>
      <c r="KV84" s="27"/>
      <c r="KW84" s="27"/>
      <c r="KX84" s="27"/>
      <c r="KY84" s="27"/>
      <c r="KZ84" s="27"/>
      <c r="LA84" s="27"/>
      <c r="LB84" s="27"/>
      <c r="LC84" s="27"/>
      <c r="LD84" s="27"/>
      <c r="LE84" s="27"/>
      <c r="LF84" s="27"/>
      <c r="LG84" s="27"/>
      <c r="LH84" s="27"/>
      <c r="LI84" s="27"/>
      <c r="LJ84" s="27"/>
      <c r="LK84" s="27"/>
      <c r="LL84" s="27"/>
      <c r="LM84" s="27"/>
      <c r="LN84" s="27"/>
      <c r="LO84" s="27"/>
      <c r="LP84" s="27"/>
      <c r="LQ84" s="27"/>
      <c r="LR84" s="27"/>
      <c r="LS84" s="27"/>
      <c r="LT84" s="27"/>
      <c r="LU84" s="27"/>
      <c r="LV84" s="27"/>
      <c r="LW84" s="27"/>
      <c r="LX84" s="27"/>
      <c r="LY84" s="27"/>
      <c r="LZ84" s="27"/>
      <c r="MA84" s="27"/>
      <c r="MB84" s="27"/>
      <c r="MC84" s="27"/>
      <c r="MD84" s="27"/>
      <c r="ME84" s="27"/>
      <c r="MF84" s="27"/>
      <c r="MG84" s="27"/>
      <c r="MH84" s="27"/>
      <c r="MI84" s="27"/>
      <c r="MJ84" s="27"/>
      <c r="MK84" s="27"/>
      <c r="ML84" s="27"/>
      <c r="MM84" s="27"/>
      <c r="MN84" s="27"/>
      <c r="MO84" s="27"/>
      <c r="MP84" s="27"/>
      <c r="MQ84" s="27"/>
      <c r="MR84" s="27"/>
      <c r="MS84" s="27"/>
      <c r="MT84" s="27"/>
      <c r="MU84" s="27"/>
      <c r="MV84" s="27"/>
      <c r="MW84" s="27"/>
      <c r="MX84" s="27"/>
      <c r="MY84" s="27"/>
      <c r="MZ84" s="27"/>
      <c r="NA84" s="27"/>
      <c r="NB84" s="27"/>
      <c r="NC84" s="27"/>
      <c r="ND84" s="27"/>
      <c r="NE84" s="27"/>
      <c r="NF84" s="27"/>
      <c r="NG84" s="27"/>
      <c r="NH84" s="27"/>
      <c r="NI84" s="27"/>
      <c r="NJ84" s="27"/>
      <c r="NK84" s="27"/>
      <c r="NL84" s="27"/>
      <c r="NM84" s="27"/>
      <c r="NN84" s="27"/>
      <c r="NO84" s="27"/>
      <c r="NP84" s="27"/>
      <c r="NQ84" s="27"/>
      <c r="NR84" s="27"/>
      <c r="NS84" s="27"/>
      <c r="NT84" s="27"/>
      <c r="NU84" s="27"/>
      <c r="NV84" s="27"/>
      <c r="NW84" s="27"/>
      <c r="NX84" s="27"/>
      <c r="NY84" s="27"/>
      <c r="NZ84" s="27"/>
      <c r="OA84" s="27"/>
      <c r="OB84" s="27"/>
      <c r="OC84" s="27"/>
      <c r="OD84" s="27"/>
      <c r="OE84" s="27"/>
      <c r="OF84" s="27"/>
      <c r="OG84" s="27"/>
      <c r="OH84" s="27"/>
      <c r="OI84" s="27"/>
      <c r="OJ84" s="27"/>
      <c r="OK84" s="27"/>
      <c r="OL84" s="27"/>
      <c r="OM84" s="27"/>
      <c r="ON84" s="27"/>
      <c r="OO84" s="27"/>
      <c r="OP84" s="27"/>
      <c r="OQ84" s="27"/>
      <c r="OR84" s="27"/>
      <c r="OS84" s="27"/>
      <c r="OT84" s="27"/>
      <c r="OU84" s="27"/>
      <c r="OV84" s="27"/>
      <c r="OW84" s="27"/>
      <c r="OX84" s="27"/>
      <c r="OY84" s="27"/>
      <c r="OZ84" s="27"/>
      <c r="PA84" s="27"/>
      <c r="PB84" s="27"/>
      <c r="PC84" s="27"/>
      <c r="PD84" s="27"/>
      <c r="PE84" s="27"/>
      <c r="PF84" s="27"/>
      <c r="PG84" s="27"/>
      <c r="PH84" s="27"/>
      <c r="PI84" s="27"/>
      <c r="PJ84" s="27"/>
      <c r="PK84" s="27"/>
      <c r="PL84" s="27"/>
      <c r="PM84" s="27"/>
      <c r="PN84" s="27"/>
      <c r="PO84" s="27"/>
      <c r="PP84" s="27"/>
      <c r="PQ84" s="27"/>
      <c r="PR84" s="27"/>
      <c r="PS84" s="27"/>
      <c r="PT84" s="27"/>
      <c r="PU84" s="27"/>
      <c r="PV84" s="27"/>
      <c r="PW84" s="27"/>
      <c r="PX84" s="27"/>
      <c r="PY84" s="27"/>
      <c r="PZ84" s="27"/>
      <c r="QA84" s="27"/>
      <c r="QB84" s="27"/>
      <c r="QC84" s="27"/>
      <c r="QD84" s="27"/>
      <c r="QE84" s="27"/>
      <c r="QF84" s="27"/>
      <c r="QG84" s="27"/>
      <c r="QH84" s="27"/>
      <c r="QI84" s="27"/>
      <c r="QJ84" s="27"/>
      <c r="QK84" s="27"/>
      <c r="QL84" s="27"/>
      <c r="QM84" s="27"/>
      <c r="QN84" s="27"/>
      <c r="QO84" s="27"/>
      <c r="QP84" s="27"/>
      <c r="QQ84" s="27"/>
      <c r="QR84" s="27"/>
      <c r="QS84" s="27"/>
      <c r="QT84" s="27"/>
      <c r="QU84" s="27"/>
      <c r="QV84" s="27"/>
      <c r="QW84" s="27"/>
      <c r="QX84" s="27"/>
      <c r="QY84" s="27"/>
      <c r="QZ84" s="27"/>
      <c r="RA84" s="27"/>
      <c r="RB84" s="27"/>
      <c r="RC84" s="27"/>
      <c r="RD84" s="27"/>
      <c r="RE84" s="27"/>
      <c r="RF84" s="27"/>
      <c r="RG84" s="27"/>
      <c r="RH84" s="27"/>
      <c r="RI84" s="27"/>
      <c r="RJ84" s="27"/>
      <c r="RK84" s="27"/>
      <c r="RL84" s="27"/>
      <c r="RM84" s="27"/>
      <c r="RN84" s="27"/>
      <c r="RO84" s="27"/>
      <c r="RP84" s="27"/>
      <c r="RQ84" s="27"/>
      <c r="RR84" s="27"/>
      <c r="RS84" s="27"/>
      <c r="RT84" s="27"/>
      <c r="RU84" s="27"/>
      <c r="RV84" s="27"/>
      <c r="RW84" s="27"/>
      <c r="RX84" s="27"/>
      <c r="RY84" s="27"/>
      <c r="RZ84" s="27"/>
      <c r="SA84" s="27"/>
      <c r="SB84" s="27"/>
      <c r="SC84" s="27"/>
      <c r="SD84" s="27"/>
      <c r="SE84" s="27"/>
      <c r="SF84" s="27"/>
      <c r="SG84" s="27"/>
      <c r="SH84" s="27"/>
      <c r="SI84" s="27"/>
      <c r="SJ84" s="27"/>
      <c r="SK84" s="27"/>
      <c r="SL84" s="27"/>
      <c r="SM84" s="27"/>
      <c r="SN84" s="27"/>
      <c r="SO84" s="27"/>
      <c r="SP84" s="27"/>
      <c r="SQ84" s="27"/>
      <c r="SR84" s="27"/>
      <c r="SS84" s="27"/>
      <c r="ST84" s="27"/>
      <c r="SU84" s="27"/>
      <c r="SV84" s="27"/>
      <c r="SW84" s="27"/>
      <c r="SX84" s="27"/>
      <c r="SY84" s="27"/>
      <c r="SZ84" s="27"/>
      <c r="TA84" s="27"/>
      <c r="TB84" s="27"/>
      <c r="TC84" s="27"/>
      <c r="TD84" s="27"/>
      <c r="TE84" s="27"/>
      <c r="TF84" s="27"/>
      <c r="TG84" s="27"/>
      <c r="TH84" s="27"/>
      <c r="TI84" s="27"/>
      <c r="TJ84" s="27"/>
      <c r="TK84" s="27"/>
      <c r="TL84" s="27"/>
      <c r="TM84" s="27"/>
      <c r="TN84" s="27"/>
      <c r="TO84" s="27"/>
      <c r="TP84" s="27"/>
      <c r="TQ84" s="27"/>
      <c r="TR84" s="27"/>
      <c r="TS84" s="27"/>
      <c r="TT84" s="27"/>
      <c r="TU84" s="27"/>
      <c r="TV84" s="27"/>
      <c r="TW84" s="27"/>
      <c r="TX84" s="27"/>
      <c r="TY84" s="27"/>
      <c r="TZ84" s="27"/>
      <c r="UA84" s="27"/>
      <c r="UB84" s="27"/>
      <c r="UC84" s="27"/>
      <c r="UD84" s="27"/>
      <c r="UE84" s="27"/>
      <c r="UF84" s="27"/>
      <c r="UG84" s="27"/>
      <c r="UH84" s="27"/>
      <c r="UI84" s="27"/>
      <c r="UJ84" s="27"/>
      <c r="UK84" s="27"/>
      <c r="UL84" s="27"/>
      <c r="UM84" s="27"/>
      <c r="UN84" s="27"/>
      <c r="UO84" s="27"/>
      <c r="UP84" s="27"/>
      <c r="UQ84" s="27"/>
      <c r="UR84" s="27"/>
      <c r="US84" s="27"/>
      <c r="UT84" s="27"/>
      <c r="UU84" s="27"/>
      <c r="UV84" s="27"/>
      <c r="UW84" s="27"/>
      <c r="UX84" s="27"/>
      <c r="UY84" s="27"/>
      <c r="UZ84" s="27"/>
      <c r="VA84" s="27"/>
      <c r="VB84" s="27"/>
      <c r="VC84" s="27"/>
      <c r="VD84" s="27"/>
      <c r="VE84" s="27"/>
      <c r="VF84" s="27"/>
      <c r="VG84" s="27"/>
      <c r="VH84" s="27"/>
      <c r="VI84" s="27"/>
      <c r="VJ84" s="27"/>
      <c r="VK84" s="27"/>
      <c r="VL84" s="27"/>
      <c r="VM84" s="27"/>
      <c r="VN84" s="27"/>
      <c r="VO84" s="27"/>
      <c r="VP84" s="27"/>
      <c r="VQ84" s="27"/>
      <c r="VR84" s="27"/>
      <c r="VS84" s="27"/>
      <c r="VT84" s="27"/>
      <c r="VU84" s="27"/>
      <c r="VV84" s="27"/>
      <c r="VW84" s="27"/>
      <c r="VX84" s="27"/>
      <c r="VY84" s="27"/>
      <c r="VZ84" s="27"/>
      <c r="WA84" s="27"/>
      <c r="WB84" s="27"/>
      <c r="WC84" s="27"/>
      <c r="WD84" s="27"/>
      <c r="WE84" s="27"/>
      <c r="WF84" s="27"/>
      <c r="WG84" s="27"/>
      <c r="WH84" s="27"/>
      <c r="WI84" s="27"/>
      <c r="WJ84" s="27"/>
      <c r="WK84" s="27"/>
      <c r="WL84" s="27"/>
      <c r="WM84" s="27"/>
      <c r="WN84" s="27"/>
      <c r="WO84" s="27"/>
      <c r="WP84" s="27"/>
      <c r="WQ84" s="27"/>
      <c r="WR84" s="27"/>
      <c r="WS84" s="27"/>
      <c r="WT84" s="27"/>
      <c r="WU84" s="27"/>
      <c r="WV84" s="27"/>
      <c r="WW84" s="27"/>
      <c r="WX84" s="27"/>
      <c r="WY84" s="27"/>
      <c r="WZ84" s="27"/>
      <c r="XA84" s="27"/>
      <c r="XB84" s="27"/>
      <c r="XC84" s="27"/>
      <c r="XD84" s="27"/>
      <c r="XE84" s="27"/>
      <c r="XF84" s="27"/>
      <c r="XG84" s="27"/>
      <c r="XH84" s="27"/>
      <c r="XI84" s="27"/>
      <c r="XJ84" s="27"/>
      <c r="XK84" s="27"/>
      <c r="XL84" s="27"/>
      <c r="XM84" s="27"/>
      <c r="XN84" s="27"/>
      <c r="XO84" s="27"/>
      <c r="XP84" s="27"/>
      <c r="XQ84" s="27"/>
      <c r="XR84" s="27"/>
      <c r="XS84" s="27"/>
      <c r="XT84" s="27"/>
      <c r="XU84" s="27"/>
      <c r="XV84" s="27"/>
      <c r="XW84" s="27"/>
      <c r="XX84" s="27"/>
      <c r="XY84" s="27"/>
      <c r="XZ84" s="27"/>
      <c r="YA84" s="27"/>
      <c r="YB84" s="27"/>
      <c r="YC84" s="27"/>
      <c r="YD84" s="27"/>
      <c r="YE84" s="27"/>
      <c r="YF84" s="27"/>
      <c r="YG84" s="27"/>
      <c r="YH84" s="27"/>
      <c r="YI84" s="27"/>
      <c r="YJ84" s="27"/>
      <c r="YK84" s="27"/>
      <c r="YL84" s="27"/>
      <c r="YM84" s="27"/>
      <c r="YN84" s="27"/>
      <c r="YO84" s="27"/>
      <c r="YP84" s="27"/>
      <c r="YQ84" s="27"/>
      <c r="YR84" s="27"/>
      <c r="YS84" s="27"/>
      <c r="YT84" s="27"/>
      <c r="YU84" s="27"/>
      <c r="YV84" s="27"/>
      <c r="YW84" s="27"/>
      <c r="YX84" s="27"/>
      <c r="YY84" s="27"/>
      <c r="YZ84" s="27"/>
      <c r="ZA84" s="27"/>
      <c r="ZB84" s="27"/>
      <c r="ZC84" s="27"/>
      <c r="ZD84" s="27"/>
      <c r="ZE84" s="27"/>
      <c r="ZF84" s="27"/>
      <c r="ZG84" s="27"/>
      <c r="ZH84" s="27"/>
      <c r="ZI84" s="27"/>
      <c r="ZJ84" s="27"/>
      <c r="ZK84" s="27"/>
      <c r="ZL84" s="27"/>
      <c r="ZM84" s="27"/>
      <c r="ZN84" s="27"/>
      <c r="ZO84" s="27"/>
      <c r="ZP84" s="27"/>
      <c r="ZQ84" s="27"/>
      <c r="ZR84" s="27"/>
      <c r="ZS84" s="27"/>
      <c r="ZT84" s="27"/>
      <c r="ZU84" s="27"/>
      <c r="ZV84" s="27"/>
      <c r="ZW84" s="27"/>
      <c r="ZX84" s="27"/>
      <c r="ZY84" s="27"/>
      <c r="ZZ84" s="27"/>
      <c r="AAA84" s="27"/>
      <c r="AAB84" s="27"/>
      <c r="AAC84" s="27"/>
      <c r="AAD84" s="27"/>
      <c r="AAE84" s="27"/>
      <c r="AAF84" s="27"/>
      <c r="AAG84" s="27"/>
      <c r="AAH84" s="27"/>
      <c r="AAI84" s="27"/>
      <c r="AAJ84" s="27"/>
      <c r="AAK84" s="27"/>
      <c r="AAL84" s="27"/>
      <c r="AAM84" s="27"/>
      <c r="AAN84" s="27"/>
      <c r="AAO84" s="27"/>
      <c r="AAP84" s="27"/>
      <c r="AAQ84" s="27"/>
      <c r="AAR84" s="27"/>
      <c r="AAS84" s="27"/>
      <c r="AAT84" s="27"/>
      <c r="AAU84" s="27"/>
      <c r="AAV84" s="27"/>
      <c r="AAW84" s="27"/>
      <c r="AAX84" s="27"/>
      <c r="AAY84" s="27"/>
      <c r="AAZ84" s="27"/>
      <c r="ABA84" s="27"/>
      <c r="ABB84" s="27"/>
      <c r="ABC84" s="27"/>
      <c r="ABD84" s="27"/>
      <c r="ABE84" s="27"/>
      <c r="ABF84" s="27"/>
      <c r="ABG84" s="27"/>
      <c r="ABH84" s="27"/>
      <c r="ABI84" s="27"/>
      <c r="ABJ84" s="27"/>
      <c r="ABK84" s="27"/>
      <c r="ABL84" s="27"/>
      <c r="ABM84" s="27"/>
      <c r="ABN84" s="27"/>
      <c r="ABO84" s="27"/>
      <c r="ABP84" s="27"/>
      <c r="ABQ84" s="27"/>
      <c r="ABR84" s="27"/>
      <c r="ABS84" s="27"/>
      <c r="ABT84" s="27"/>
      <c r="ABU84" s="27"/>
      <c r="ABV84" s="27"/>
      <c r="ABW84" s="27"/>
      <c r="ABX84" s="27"/>
      <c r="ABY84" s="27"/>
      <c r="ABZ84" s="27"/>
      <c r="ACA84" s="27"/>
      <c r="ACB84" s="27"/>
      <c r="ACC84" s="27"/>
      <c r="ACD84" s="27"/>
      <c r="ACE84" s="27"/>
      <c r="ACF84" s="27"/>
      <c r="ACG84" s="27"/>
      <c r="ACH84" s="27"/>
      <c r="ACI84" s="27"/>
      <c r="ACJ84" s="27"/>
      <c r="ACK84" s="27"/>
      <c r="ACL84" s="27"/>
      <c r="ACM84" s="27"/>
      <c r="ACN84" s="27"/>
      <c r="ACO84" s="27"/>
      <c r="ACP84" s="27"/>
      <c r="ACQ84" s="27"/>
      <c r="ACR84" s="27"/>
      <c r="ACS84" s="27"/>
      <c r="ACT84" s="27"/>
      <c r="ACU84" s="27"/>
      <c r="ACV84" s="27"/>
      <c r="ACW84" s="27"/>
      <c r="ACX84" s="27"/>
      <c r="ACY84" s="27"/>
      <c r="ACZ84" s="27"/>
      <c r="ADA84" s="27"/>
      <c r="ADB84" s="27"/>
      <c r="ADC84" s="27"/>
      <c r="ADD84" s="27"/>
      <c r="ADE84" s="27"/>
      <c r="ADF84" s="27"/>
      <c r="ADG84" s="27"/>
      <c r="ADH84" s="27"/>
      <c r="ADI84" s="27"/>
      <c r="ADJ84" s="27"/>
      <c r="ADK84" s="27"/>
      <c r="ADL84" s="27"/>
      <c r="ADM84" s="27"/>
      <c r="ADN84" s="27"/>
      <c r="ADO84" s="27"/>
      <c r="ADP84" s="27"/>
      <c r="ADQ84" s="27"/>
      <c r="ADR84" s="27"/>
      <c r="ADS84" s="27"/>
      <c r="ADT84" s="27"/>
      <c r="ADU84" s="27"/>
      <c r="ADV84" s="27"/>
      <c r="ADW84" s="27"/>
      <c r="ADX84" s="27"/>
      <c r="ADY84" s="27"/>
      <c r="ADZ84" s="27"/>
      <c r="AEA84" s="27"/>
      <c r="AEB84" s="27"/>
      <c r="AEC84" s="27"/>
      <c r="AED84" s="27"/>
      <c r="AEE84" s="27"/>
      <c r="AEF84" s="27"/>
      <c r="AEG84" s="27"/>
      <c r="AEH84" s="27"/>
      <c r="AEI84" s="27"/>
      <c r="AEJ84" s="27"/>
      <c r="AEK84" s="27"/>
      <c r="AEL84" s="27"/>
      <c r="AEM84" s="27"/>
      <c r="AEN84" s="27"/>
      <c r="AEO84" s="27"/>
      <c r="AEP84" s="27"/>
      <c r="AEQ84" s="27"/>
      <c r="AER84" s="27"/>
      <c r="AES84" s="27"/>
      <c r="AET84" s="27"/>
      <c r="AEU84" s="27"/>
      <c r="AEV84" s="27"/>
      <c r="AEW84" s="27"/>
      <c r="AEX84" s="27"/>
      <c r="AEY84" s="27"/>
      <c r="AEZ84" s="27"/>
      <c r="AFA84" s="27"/>
      <c r="AFB84" s="27"/>
      <c r="AFC84" s="27"/>
      <c r="AFD84" s="27"/>
      <c r="AFE84" s="27"/>
      <c r="AFF84" s="27"/>
      <c r="AFG84" s="27"/>
      <c r="AFH84" s="27"/>
      <c r="AFI84" s="27"/>
      <c r="AFJ84" s="27"/>
      <c r="AFK84" s="27"/>
      <c r="AFL84" s="27"/>
      <c r="AFM84" s="27"/>
      <c r="AFN84" s="27"/>
      <c r="AFO84" s="27"/>
      <c r="AFP84" s="27"/>
      <c r="AFQ84" s="27"/>
      <c r="AFR84" s="27"/>
      <c r="AFS84" s="27"/>
      <c r="AFT84" s="27"/>
      <c r="AFU84" s="27"/>
      <c r="AFV84" s="27"/>
      <c r="AFW84" s="27"/>
      <c r="AFX84" s="27"/>
      <c r="AFY84" s="27"/>
      <c r="AFZ84" s="27"/>
      <c r="AGA84" s="27"/>
      <c r="AGB84" s="27"/>
      <c r="AGC84" s="27"/>
      <c r="AGD84" s="27"/>
      <c r="AGE84" s="27"/>
      <c r="AGF84" s="27"/>
      <c r="AGG84" s="27"/>
      <c r="AGH84" s="27"/>
      <c r="AGI84" s="27"/>
      <c r="AGJ84" s="27"/>
      <c r="AGK84" s="27"/>
      <c r="AGL84" s="27"/>
      <c r="AGM84" s="27"/>
      <c r="AGN84" s="27"/>
      <c r="AGO84" s="27"/>
      <c r="AGP84" s="27"/>
      <c r="AGQ84" s="27"/>
      <c r="AGR84" s="27"/>
      <c r="AGS84" s="27"/>
      <c r="AGT84" s="27"/>
      <c r="AGU84" s="27"/>
      <c r="AGV84" s="27"/>
      <c r="AGW84" s="27"/>
      <c r="AGX84" s="27"/>
      <c r="AGY84" s="27"/>
      <c r="AGZ84" s="27"/>
      <c r="AHA84" s="27"/>
      <c r="AHB84" s="27"/>
      <c r="AHC84" s="27"/>
      <c r="AHD84" s="27"/>
      <c r="AHE84" s="27"/>
      <c r="AHF84" s="27"/>
      <c r="AHG84" s="27"/>
      <c r="AHH84" s="27"/>
      <c r="AHI84" s="27"/>
      <c r="AHJ84" s="27"/>
      <c r="AHK84" s="27"/>
      <c r="AHL84" s="27"/>
      <c r="AHM84" s="27"/>
      <c r="AHN84" s="27"/>
      <c r="AHO84" s="27"/>
      <c r="AHP84" s="27"/>
      <c r="AHQ84" s="27"/>
      <c r="AHR84" s="27"/>
      <c r="AHS84" s="27"/>
      <c r="AHT84" s="27"/>
      <c r="AHU84" s="27"/>
      <c r="AHV84" s="27"/>
      <c r="AHW84" s="27"/>
      <c r="AHX84" s="27"/>
      <c r="AHY84" s="27"/>
      <c r="AHZ84" s="27"/>
      <c r="AIA84" s="27"/>
      <c r="AIB84" s="27"/>
      <c r="AIC84" s="27"/>
      <c r="AID84" s="27"/>
      <c r="AIE84" s="27"/>
      <c r="AIF84" s="27"/>
      <c r="AIG84" s="27"/>
      <c r="AIH84" s="27"/>
      <c r="AII84" s="27"/>
      <c r="AIJ84" s="27"/>
      <c r="AIK84" s="27"/>
      <c r="AIL84" s="27"/>
      <c r="AIM84" s="27"/>
      <c r="AIN84" s="27"/>
      <c r="AIO84" s="27"/>
      <c r="AIP84" s="27"/>
      <c r="AIQ84" s="27"/>
      <c r="AIR84" s="27"/>
      <c r="AIS84" s="27"/>
      <c r="AIT84" s="27"/>
      <c r="AIU84" s="27"/>
      <c r="AIV84" s="27"/>
      <c r="AIW84" s="27"/>
      <c r="AIX84" s="27"/>
      <c r="AIY84" s="27"/>
      <c r="AIZ84" s="27"/>
      <c r="AJA84" s="27"/>
      <c r="AJB84" s="27"/>
      <c r="AJC84" s="27"/>
      <c r="AJD84" s="27"/>
      <c r="AJE84" s="27"/>
      <c r="AJF84" s="27"/>
      <c r="AJG84" s="27"/>
      <c r="AJH84" s="27"/>
      <c r="AJI84" s="27"/>
      <c r="AJJ84" s="27"/>
      <c r="AJK84" s="27"/>
      <c r="AJL84" s="27"/>
      <c r="AJM84" s="27"/>
      <c r="AJN84" s="27"/>
      <c r="AJO84" s="27"/>
      <c r="AJP84" s="27"/>
      <c r="AJQ84" s="27"/>
      <c r="AJR84" s="27"/>
      <c r="AJS84" s="27"/>
      <c r="AJT84" s="27"/>
      <c r="AJU84" s="27"/>
      <c r="AJV84" s="27"/>
      <c r="AJW84" s="27"/>
      <c r="AJX84" s="27"/>
      <c r="AJY84" s="27"/>
      <c r="AJZ84" s="27"/>
      <c r="AKA84" s="27"/>
      <c r="AKB84" s="27"/>
      <c r="AKC84" s="27"/>
      <c r="AKD84" s="27"/>
      <c r="AKE84" s="27"/>
      <c r="AKF84" s="27"/>
      <c r="AKG84" s="27"/>
      <c r="AKH84" s="27"/>
      <c r="AKI84" s="27"/>
      <c r="AKJ84" s="27"/>
      <c r="AKK84" s="27"/>
      <c r="AKL84" s="27"/>
      <c r="AKM84" s="27"/>
      <c r="AKN84" s="27"/>
      <c r="AKO84" s="27"/>
      <c r="AKP84" s="27"/>
      <c r="AKQ84" s="27"/>
      <c r="AKR84" s="27"/>
      <c r="AKS84" s="27"/>
      <c r="AKT84" s="27"/>
      <c r="AKU84" s="27"/>
      <c r="AKV84" s="27"/>
      <c r="AKW84" s="27"/>
      <c r="AKX84" s="27"/>
      <c r="AKY84" s="27"/>
      <c r="AKZ84" s="27"/>
      <c r="ALA84" s="27"/>
      <c r="ALB84" s="27"/>
      <c r="ALC84" s="27"/>
      <c r="ALD84" s="27"/>
      <c r="ALE84" s="27"/>
      <c r="ALF84" s="27"/>
      <c r="ALG84" s="27"/>
      <c r="ALH84" s="27"/>
      <c r="ALI84" s="27"/>
      <c r="ALJ84" s="27"/>
      <c r="ALK84" s="27"/>
      <c r="ALL84" s="27"/>
      <c r="ALM84" s="27"/>
      <c r="ALN84" s="27"/>
      <c r="ALO84" s="27"/>
      <c r="ALP84" s="27"/>
      <c r="ALQ84" s="27"/>
      <c r="ALR84" s="27"/>
      <c r="ALS84" s="27"/>
      <c r="ALT84" s="27"/>
      <c r="ALU84" s="27"/>
      <c r="ALV84" s="27"/>
      <c r="ALW84" s="27"/>
      <c r="ALX84" s="27"/>
      <c r="ALY84" s="27"/>
      <c r="ALZ84" s="27"/>
      <c r="AMA84" s="27"/>
      <c r="AMB84" s="27"/>
      <c r="AMC84" s="27"/>
      <c r="AMD84" s="27"/>
      <c r="AME84" s="27"/>
      <c r="AMF84" s="27"/>
      <c r="AMG84" s="27"/>
      <c r="AMH84" s="27"/>
      <c r="AMI84" s="27"/>
    </row>
    <row r="85" spans="1:1023" x14ac:dyDescent="0.15">
      <c r="A85" s="27" t="s">
        <v>4126</v>
      </c>
      <c r="B85" s="27"/>
      <c r="C85" s="27"/>
      <c r="D85" s="8" t="s">
        <v>3980</v>
      </c>
      <c r="E85" s="27" t="s">
        <v>50</v>
      </c>
      <c r="F85" s="27" t="s">
        <v>4128</v>
      </c>
      <c r="G85" s="27"/>
      <c r="H85">
        <v>600</v>
      </c>
      <c r="I85" t="b">
        <v>0</v>
      </c>
      <c r="J85" s="1" t="s">
        <v>17</v>
      </c>
      <c r="K85" t="s">
        <v>51</v>
      </c>
      <c r="L85">
        <v>0</v>
      </c>
      <c r="M85" s="2" t="b">
        <v>0</v>
      </c>
      <c r="N85" s="2" t="b">
        <v>0</v>
      </c>
      <c r="O85" s="1" t="s">
        <v>17</v>
      </c>
      <c r="P85" s="1" t="s">
        <v>17</v>
      </c>
      <c r="Q85" s="1" t="s">
        <v>17</v>
      </c>
      <c r="R85" s="1" t="s">
        <v>19</v>
      </c>
      <c r="S85" s="1" t="s">
        <v>17</v>
      </c>
      <c r="T85" s="1" t="s">
        <v>17</v>
      </c>
      <c r="U85" t="str">
        <f t="shared" si="8"/>
        <v>qc</v>
      </c>
      <c r="V85" t="str">
        <f t="shared" si="9"/>
        <v/>
      </c>
      <c r="W85" t="str">
        <f t="shared" si="10"/>
        <v/>
      </c>
      <c r="X85" t="str">
        <f t="shared" si="11"/>
        <v/>
      </c>
      <c r="Y85" t="str">
        <f t="shared" si="12"/>
        <v/>
      </c>
      <c r="Z85" t="str">
        <f t="shared" si="13"/>
        <v>qc</v>
      </c>
      <c r="AA85" t="str">
        <f t="shared" si="14"/>
        <v/>
      </c>
      <c r="AB85" t="str">
        <f t="shared" si="15"/>
        <v/>
      </c>
      <c r="AC85" t="str">
        <f>IF(C85="Unit","unit","")</f>
        <v/>
      </c>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c r="BO85" s="27"/>
      <c r="BP85" s="27"/>
      <c r="BQ85" s="27"/>
      <c r="BR85" s="27"/>
      <c r="BS85" s="27"/>
      <c r="BT85" s="27"/>
      <c r="BU85" s="27"/>
      <c r="BV85" s="27"/>
      <c r="BW85" s="27"/>
      <c r="BX85" s="27"/>
      <c r="BY85" s="27"/>
      <c r="BZ85" s="27"/>
      <c r="CA85" s="27"/>
      <c r="CB85" s="27"/>
      <c r="CC85" s="27"/>
      <c r="CD85" s="27"/>
      <c r="CE85" s="27"/>
      <c r="CF85" s="27"/>
      <c r="CG85" s="27"/>
      <c r="CH85" s="27"/>
      <c r="CI85" s="27"/>
      <c r="CJ85" s="27"/>
      <c r="CK85" s="27"/>
      <c r="CL85" s="27"/>
      <c r="CM85" s="27"/>
      <c r="CN85" s="27"/>
      <c r="CO85" s="27"/>
      <c r="CP85" s="27"/>
      <c r="CQ85" s="27"/>
      <c r="CR85" s="27"/>
      <c r="CS85" s="27"/>
      <c r="CT85" s="27"/>
      <c r="CU85" s="27"/>
      <c r="CV85" s="27"/>
      <c r="CW85" s="27"/>
      <c r="CX85" s="27"/>
      <c r="CY85" s="27"/>
      <c r="CZ85" s="27"/>
      <c r="DA85" s="27"/>
      <c r="DB85" s="27"/>
      <c r="DC85" s="27"/>
      <c r="DD85" s="27"/>
      <c r="DE85" s="27"/>
      <c r="DF85" s="27"/>
      <c r="DG85" s="27"/>
      <c r="DH85" s="27"/>
      <c r="DI85" s="27"/>
      <c r="DJ85" s="27"/>
      <c r="DK85" s="27"/>
      <c r="DL85" s="27"/>
      <c r="DM85" s="27"/>
      <c r="DN85" s="27"/>
      <c r="DO85" s="27"/>
      <c r="DP85" s="27"/>
      <c r="DQ85" s="27"/>
      <c r="DR85" s="27"/>
      <c r="DS85" s="27"/>
      <c r="DT85" s="27"/>
      <c r="DU85" s="27"/>
      <c r="DV85" s="27"/>
      <c r="DW85" s="27"/>
      <c r="DX85" s="27"/>
      <c r="DY85" s="27"/>
      <c r="DZ85" s="27"/>
      <c r="EA85" s="27"/>
      <c r="EB85" s="27"/>
      <c r="EC85" s="27"/>
      <c r="ED85" s="27"/>
      <c r="EE85" s="27"/>
      <c r="EF85" s="27"/>
      <c r="EG85" s="27"/>
      <c r="EH85" s="27"/>
      <c r="EI85" s="27"/>
      <c r="EJ85" s="27"/>
      <c r="EK85" s="27"/>
      <c r="EL85" s="27"/>
      <c r="EM85" s="27"/>
      <c r="EN85" s="27"/>
      <c r="EO85" s="27"/>
      <c r="EP85" s="27"/>
      <c r="EQ85" s="27"/>
      <c r="ER85" s="27"/>
      <c r="ES85" s="27"/>
      <c r="ET85" s="27"/>
      <c r="EU85" s="27"/>
      <c r="EV85" s="27"/>
      <c r="EW85" s="27"/>
      <c r="EX85" s="27"/>
      <c r="EY85" s="27"/>
      <c r="EZ85" s="27"/>
      <c r="FA85" s="27"/>
      <c r="FB85" s="27"/>
      <c r="FC85" s="27"/>
      <c r="FD85" s="27"/>
      <c r="FE85" s="27"/>
      <c r="FF85" s="27"/>
      <c r="FG85" s="27"/>
      <c r="FH85" s="27"/>
      <c r="FI85" s="27"/>
      <c r="FJ85" s="27"/>
      <c r="FK85" s="27"/>
      <c r="FL85" s="27"/>
      <c r="FM85" s="27"/>
      <c r="FN85" s="27"/>
      <c r="FO85" s="27"/>
      <c r="FP85" s="27"/>
      <c r="FQ85" s="27"/>
      <c r="FR85" s="27"/>
      <c r="FS85" s="27"/>
      <c r="FT85" s="27"/>
      <c r="FU85" s="27"/>
      <c r="FV85" s="27"/>
      <c r="FW85" s="27"/>
      <c r="FX85" s="27"/>
      <c r="FY85" s="27"/>
      <c r="FZ85" s="27"/>
      <c r="GA85" s="27"/>
      <c r="GB85" s="27"/>
      <c r="GC85" s="27"/>
      <c r="GD85" s="27"/>
      <c r="GE85" s="27"/>
      <c r="GF85" s="27"/>
      <c r="GG85" s="27"/>
      <c r="GH85" s="27"/>
      <c r="GI85" s="27"/>
      <c r="GJ85" s="27"/>
      <c r="GK85" s="27"/>
      <c r="GL85" s="27"/>
      <c r="GM85" s="27"/>
      <c r="GN85" s="27"/>
      <c r="GO85" s="27"/>
      <c r="GP85" s="27"/>
      <c r="GQ85" s="27"/>
      <c r="GR85" s="27"/>
      <c r="GS85" s="27"/>
      <c r="GT85" s="27"/>
      <c r="GU85" s="27"/>
      <c r="GV85" s="27"/>
      <c r="GW85" s="27"/>
      <c r="GX85" s="27"/>
      <c r="GY85" s="27"/>
      <c r="GZ85" s="27"/>
      <c r="HA85" s="27"/>
      <c r="HB85" s="27"/>
      <c r="HC85" s="27"/>
      <c r="HD85" s="27"/>
      <c r="HE85" s="27"/>
      <c r="HF85" s="27"/>
      <c r="HG85" s="27"/>
      <c r="HH85" s="27"/>
      <c r="HI85" s="27"/>
      <c r="HJ85" s="27"/>
      <c r="HK85" s="27"/>
      <c r="HL85" s="27"/>
      <c r="HM85" s="27"/>
      <c r="HN85" s="27"/>
      <c r="HO85" s="27"/>
      <c r="HP85" s="27"/>
      <c r="HQ85" s="27"/>
      <c r="HR85" s="27"/>
      <c r="HS85" s="27"/>
      <c r="HT85" s="27"/>
      <c r="HU85" s="27"/>
      <c r="HV85" s="27"/>
      <c r="HW85" s="27"/>
      <c r="HX85" s="27"/>
      <c r="HY85" s="27"/>
      <c r="HZ85" s="27"/>
      <c r="IA85" s="27"/>
      <c r="IB85" s="27"/>
      <c r="IC85" s="27"/>
      <c r="ID85" s="27"/>
      <c r="IE85" s="27"/>
      <c r="IF85" s="27"/>
      <c r="IG85" s="27"/>
      <c r="IH85" s="27"/>
      <c r="II85" s="27"/>
      <c r="IJ85" s="27"/>
      <c r="IK85" s="27"/>
      <c r="IL85" s="27"/>
      <c r="IM85" s="27"/>
      <c r="IN85" s="27"/>
      <c r="IO85" s="27"/>
      <c r="IP85" s="27"/>
      <c r="IQ85" s="27"/>
      <c r="IR85" s="27"/>
      <c r="IS85" s="27"/>
      <c r="IT85" s="27"/>
      <c r="IU85" s="27"/>
      <c r="IV85" s="27"/>
      <c r="IW85" s="27"/>
      <c r="IX85" s="27"/>
      <c r="IY85" s="27"/>
      <c r="IZ85" s="27"/>
      <c r="JA85" s="27"/>
      <c r="JB85" s="27"/>
      <c r="JC85" s="27"/>
      <c r="JD85" s="27"/>
      <c r="JE85" s="27"/>
      <c r="JF85" s="27"/>
      <c r="JG85" s="27"/>
      <c r="JH85" s="27"/>
      <c r="JI85" s="27"/>
      <c r="JJ85" s="27"/>
      <c r="JK85" s="27"/>
      <c r="JL85" s="27"/>
      <c r="JM85" s="27"/>
      <c r="JN85" s="27"/>
      <c r="JO85" s="27"/>
      <c r="JP85" s="27"/>
      <c r="JQ85" s="27"/>
      <c r="JR85" s="27"/>
      <c r="JS85" s="27"/>
      <c r="JT85" s="27"/>
      <c r="JU85" s="27"/>
      <c r="JV85" s="27"/>
      <c r="JW85" s="27"/>
      <c r="JX85" s="27"/>
      <c r="JY85" s="27"/>
      <c r="JZ85" s="27"/>
      <c r="KA85" s="27"/>
      <c r="KB85" s="27"/>
      <c r="KC85" s="27"/>
      <c r="KD85" s="27"/>
      <c r="KE85" s="27"/>
      <c r="KF85" s="27"/>
      <c r="KG85" s="27"/>
      <c r="KH85" s="27"/>
      <c r="KI85" s="27"/>
      <c r="KJ85" s="27"/>
      <c r="KK85" s="27"/>
      <c r="KL85" s="27"/>
      <c r="KM85" s="27"/>
      <c r="KN85" s="27"/>
      <c r="KO85" s="27"/>
      <c r="KP85" s="27"/>
      <c r="KQ85" s="27"/>
      <c r="KR85" s="27"/>
      <c r="KS85" s="27"/>
      <c r="KT85" s="27"/>
      <c r="KU85" s="27"/>
      <c r="KV85" s="27"/>
      <c r="KW85" s="27"/>
      <c r="KX85" s="27"/>
      <c r="KY85" s="27"/>
      <c r="KZ85" s="27"/>
      <c r="LA85" s="27"/>
      <c r="LB85" s="27"/>
      <c r="LC85" s="27"/>
      <c r="LD85" s="27"/>
      <c r="LE85" s="27"/>
      <c r="LF85" s="27"/>
      <c r="LG85" s="27"/>
      <c r="LH85" s="27"/>
      <c r="LI85" s="27"/>
      <c r="LJ85" s="27"/>
      <c r="LK85" s="27"/>
      <c r="LL85" s="27"/>
      <c r="LM85" s="27"/>
      <c r="LN85" s="27"/>
      <c r="LO85" s="27"/>
      <c r="LP85" s="27"/>
      <c r="LQ85" s="27"/>
      <c r="LR85" s="27"/>
      <c r="LS85" s="27"/>
      <c r="LT85" s="27"/>
      <c r="LU85" s="27"/>
      <c r="LV85" s="27"/>
      <c r="LW85" s="27"/>
      <c r="LX85" s="27"/>
      <c r="LY85" s="27"/>
      <c r="LZ85" s="27"/>
      <c r="MA85" s="27"/>
      <c r="MB85" s="27"/>
      <c r="MC85" s="27"/>
      <c r="MD85" s="27"/>
      <c r="ME85" s="27"/>
      <c r="MF85" s="27"/>
      <c r="MG85" s="27"/>
      <c r="MH85" s="27"/>
      <c r="MI85" s="27"/>
      <c r="MJ85" s="27"/>
      <c r="MK85" s="27"/>
      <c r="ML85" s="27"/>
      <c r="MM85" s="27"/>
      <c r="MN85" s="27"/>
      <c r="MO85" s="27"/>
      <c r="MP85" s="27"/>
      <c r="MQ85" s="27"/>
      <c r="MR85" s="27"/>
      <c r="MS85" s="27"/>
      <c r="MT85" s="27"/>
      <c r="MU85" s="27"/>
      <c r="MV85" s="27"/>
      <c r="MW85" s="27"/>
      <c r="MX85" s="27"/>
      <c r="MY85" s="27"/>
      <c r="MZ85" s="27"/>
      <c r="NA85" s="27"/>
      <c r="NB85" s="27"/>
      <c r="NC85" s="27"/>
      <c r="ND85" s="27"/>
      <c r="NE85" s="27"/>
      <c r="NF85" s="27"/>
      <c r="NG85" s="27"/>
      <c r="NH85" s="27"/>
      <c r="NI85" s="27"/>
      <c r="NJ85" s="27"/>
      <c r="NK85" s="27"/>
      <c r="NL85" s="27"/>
      <c r="NM85" s="27"/>
      <c r="NN85" s="27"/>
      <c r="NO85" s="27"/>
      <c r="NP85" s="27"/>
      <c r="NQ85" s="27"/>
      <c r="NR85" s="27"/>
      <c r="NS85" s="27"/>
      <c r="NT85" s="27"/>
      <c r="NU85" s="27"/>
      <c r="NV85" s="27"/>
      <c r="NW85" s="27"/>
      <c r="NX85" s="27"/>
      <c r="NY85" s="27"/>
      <c r="NZ85" s="27"/>
      <c r="OA85" s="27"/>
      <c r="OB85" s="27"/>
      <c r="OC85" s="27"/>
      <c r="OD85" s="27"/>
      <c r="OE85" s="27"/>
      <c r="OF85" s="27"/>
      <c r="OG85" s="27"/>
      <c r="OH85" s="27"/>
      <c r="OI85" s="27"/>
      <c r="OJ85" s="27"/>
      <c r="OK85" s="27"/>
      <c r="OL85" s="27"/>
      <c r="OM85" s="27"/>
      <c r="ON85" s="27"/>
      <c r="OO85" s="27"/>
      <c r="OP85" s="27"/>
      <c r="OQ85" s="27"/>
      <c r="OR85" s="27"/>
      <c r="OS85" s="27"/>
      <c r="OT85" s="27"/>
      <c r="OU85" s="27"/>
      <c r="OV85" s="27"/>
      <c r="OW85" s="27"/>
      <c r="OX85" s="27"/>
      <c r="OY85" s="27"/>
      <c r="OZ85" s="27"/>
      <c r="PA85" s="27"/>
      <c r="PB85" s="27"/>
      <c r="PC85" s="27"/>
      <c r="PD85" s="27"/>
      <c r="PE85" s="27"/>
      <c r="PF85" s="27"/>
      <c r="PG85" s="27"/>
      <c r="PH85" s="27"/>
      <c r="PI85" s="27"/>
      <c r="PJ85" s="27"/>
      <c r="PK85" s="27"/>
      <c r="PL85" s="27"/>
      <c r="PM85" s="27"/>
      <c r="PN85" s="27"/>
      <c r="PO85" s="27"/>
      <c r="PP85" s="27"/>
      <c r="PQ85" s="27"/>
      <c r="PR85" s="27"/>
      <c r="PS85" s="27"/>
      <c r="PT85" s="27"/>
      <c r="PU85" s="27"/>
      <c r="PV85" s="27"/>
      <c r="PW85" s="27"/>
      <c r="PX85" s="27"/>
      <c r="PY85" s="27"/>
      <c r="PZ85" s="27"/>
      <c r="QA85" s="27"/>
      <c r="QB85" s="27"/>
      <c r="QC85" s="27"/>
      <c r="QD85" s="27"/>
      <c r="QE85" s="27"/>
      <c r="QF85" s="27"/>
      <c r="QG85" s="27"/>
      <c r="QH85" s="27"/>
      <c r="QI85" s="27"/>
      <c r="QJ85" s="27"/>
      <c r="QK85" s="27"/>
      <c r="QL85" s="27"/>
      <c r="QM85" s="27"/>
      <c r="QN85" s="27"/>
      <c r="QO85" s="27"/>
      <c r="QP85" s="27"/>
      <c r="QQ85" s="27"/>
      <c r="QR85" s="27"/>
      <c r="QS85" s="27"/>
      <c r="QT85" s="27"/>
      <c r="QU85" s="27"/>
      <c r="QV85" s="27"/>
      <c r="QW85" s="27"/>
      <c r="QX85" s="27"/>
      <c r="QY85" s="27"/>
      <c r="QZ85" s="27"/>
      <c r="RA85" s="27"/>
      <c r="RB85" s="27"/>
      <c r="RC85" s="27"/>
      <c r="RD85" s="27"/>
      <c r="RE85" s="27"/>
      <c r="RF85" s="27"/>
      <c r="RG85" s="27"/>
      <c r="RH85" s="27"/>
      <c r="RI85" s="27"/>
      <c r="RJ85" s="27"/>
      <c r="RK85" s="27"/>
      <c r="RL85" s="27"/>
      <c r="RM85" s="27"/>
      <c r="RN85" s="27"/>
      <c r="RO85" s="27"/>
      <c r="RP85" s="27"/>
      <c r="RQ85" s="27"/>
      <c r="RR85" s="27"/>
      <c r="RS85" s="27"/>
      <c r="RT85" s="27"/>
      <c r="RU85" s="27"/>
      <c r="RV85" s="27"/>
      <c r="RW85" s="27"/>
      <c r="RX85" s="27"/>
      <c r="RY85" s="27"/>
      <c r="RZ85" s="27"/>
      <c r="SA85" s="27"/>
      <c r="SB85" s="27"/>
      <c r="SC85" s="27"/>
      <c r="SD85" s="27"/>
      <c r="SE85" s="27"/>
      <c r="SF85" s="27"/>
      <c r="SG85" s="27"/>
      <c r="SH85" s="27"/>
      <c r="SI85" s="27"/>
      <c r="SJ85" s="27"/>
      <c r="SK85" s="27"/>
      <c r="SL85" s="27"/>
      <c r="SM85" s="27"/>
      <c r="SN85" s="27"/>
      <c r="SO85" s="27"/>
      <c r="SP85" s="27"/>
      <c r="SQ85" s="27"/>
      <c r="SR85" s="27"/>
      <c r="SS85" s="27"/>
      <c r="ST85" s="27"/>
      <c r="SU85" s="27"/>
      <c r="SV85" s="27"/>
      <c r="SW85" s="27"/>
      <c r="SX85" s="27"/>
      <c r="SY85" s="27"/>
      <c r="SZ85" s="27"/>
      <c r="TA85" s="27"/>
      <c r="TB85" s="27"/>
      <c r="TC85" s="27"/>
      <c r="TD85" s="27"/>
      <c r="TE85" s="27"/>
      <c r="TF85" s="27"/>
      <c r="TG85" s="27"/>
      <c r="TH85" s="27"/>
      <c r="TI85" s="27"/>
      <c r="TJ85" s="27"/>
      <c r="TK85" s="27"/>
      <c r="TL85" s="27"/>
      <c r="TM85" s="27"/>
      <c r="TN85" s="27"/>
      <c r="TO85" s="27"/>
      <c r="TP85" s="27"/>
      <c r="TQ85" s="27"/>
      <c r="TR85" s="27"/>
      <c r="TS85" s="27"/>
      <c r="TT85" s="27"/>
      <c r="TU85" s="27"/>
      <c r="TV85" s="27"/>
      <c r="TW85" s="27"/>
      <c r="TX85" s="27"/>
      <c r="TY85" s="27"/>
      <c r="TZ85" s="27"/>
      <c r="UA85" s="27"/>
      <c r="UB85" s="27"/>
      <c r="UC85" s="27"/>
      <c r="UD85" s="27"/>
      <c r="UE85" s="27"/>
      <c r="UF85" s="27"/>
      <c r="UG85" s="27"/>
      <c r="UH85" s="27"/>
      <c r="UI85" s="27"/>
      <c r="UJ85" s="27"/>
      <c r="UK85" s="27"/>
      <c r="UL85" s="27"/>
      <c r="UM85" s="27"/>
      <c r="UN85" s="27"/>
      <c r="UO85" s="27"/>
      <c r="UP85" s="27"/>
      <c r="UQ85" s="27"/>
      <c r="UR85" s="27"/>
      <c r="US85" s="27"/>
      <c r="UT85" s="27"/>
      <c r="UU85" s="27"/>
      <c r="UV85" s="27"/>
      <c r="UW85" s="27"/>
      <c r="UX85" s="27"/>
      <c r="UY85" s="27"/>
      <c r="UZ85" s="27"/>
      <c r="VA85" s="27"/>
      <c r="VB85" s="27"/>
      <c r="VC85" s="27"/>
      <c r="VD85" s="27"/>
      <c r="VE85" s="27"/>
      <c r="VF85" s="27"/>
      <c r="VG85" s="27"/>
      <c r="VH85" s="27"/>
      <c r="VI85" s="27"/>
      <c r="VJ85" s="27"/>
      <c r="VK85" s="27"/>
      <c r="VL85" s="27"/>
      <c r="VM85" s="27"/>
      <c r="VN85" s="27"/>
      <c r="VO85" s="27"/>
      <c r="VP85" s="27"/>
      <c r="VQ85" s="27"/>
      <c r="VR85" s="27"/>
      <c r="VS85" s="27"/>
      <c r="VT85" s="27"/>
      <c r="VU85" s="27"/>
      <c r="VV85" s="27"/>
      <c r="VW85" s="27"/>
      <c r="VX85" s="27"/>
      <c r="VY85" s="27"/>
      <c r="VZ85" s="27"/>
      <c r="WA85" s="27"/>
      <c r="WB85" s="27"/>
      <c r="WC85" s="27"/>
      <c r="WD85" s="27"/>
      <c r="WE85" s="27"/>
      <c r="WF85" s="27"/>
      <c r="WG85" s="27"/>
      <c r="WH85" s="27"/>
      <c r="WI85" s="27"/>
      <c r="WJ85" s="27"/>
      <c r="WK85" s="27"/>
      <c r="WL85" s="27"/>
      <c r="WM85" s="27"/>
      <c r="WN85" s="27"/>
      <c r="WO85" s="27"/>
      <c r="WP85" s="27"/>
      <c r="WQ85" s="27"/>
      <c r="WR85" s="27"/>
      <c r="WS85" s="27"/>
      <c r="WT85" s="27"/>
      <c r="WU85" s="27"/>
      <c r="WV85" s="27"/>
      <c r="WW85" s="27"/>
      <c r="WX85" s="27"/>
      <c r="WY85" s="27"/>
      <c r="WZ85" s="27"/>
      <c r="XA85" s="27"/>
      <c r="XB85" s="27"/>
      <c r="XC85" s="27"/>
      <c r="XD85" s="27"/>
      <c r="XE85" s="27"/>
      <c r="XF85" s="27"/>
      <c r="XG85" s="27"/>
      <c r="XH85" s="27"/>
      <c r="XI85" s="27"/>
      <c r="XJ85" s="27"/>
      <c r="XK85" s="27"/>
      <c r="XL85" s="27"/>
      <c r="XM85" s="27"/>
      <c r="XN85" s="27"/>
      <c r="XO85" s="27"/>
      <c r="XP85" s="27"/>
      <c r="XQ85" s="27"/>
      <c r="XR85" s="27"/>
      <c r="XS85" s="27"/>
      <c r="XT85" s="27"/>
      <c r="XU85" s="27"/>
      <c r="XV85" s="27"/>
      <c r="XW85" s="27"/>
      <c r="XX85" s="27"/>
      <c r="XY85" s="27"/>
      <c r="XZ85" s="27"/>
      <c r="YA85" s="27"/>
      <c r="YB85" s="27"/>
      <c r="YC85" s="27"/>
      <c r="YD85" s="27"/>
      <c r="YE85" s="27"/>
      <c r="YF85" s="27"/>
      <c r="YG85" s="27"/>
      <c r="YH85" s="27"/>
      <c r="YI85" s="27"/>
      <c r="YJ85" s="27"/>
      <c r="YK85" s="27"/>
      <c r="YL85" s="27"/>
      <c r="YM85" s="27"/>
      <c r="YN85" s="27"/>
      <c r="YO85" s="27"/>
      <c r="YP85" s="27"/>
      <c r="YQ85" s="27"/>
      <c r="YR85" s="27"/>
      <c r="YS85" s="27"/>
      <c r="YT85" s="27"/>
      <c r="YU85" s="27"/>
      <c r="YV85" s="27"/>
      <c r="YW85" s="27"/>
      <c r="YX85" s="27"/>
      <c r="YY85" s="27"/>
      <c r="YZ85" s="27"/>
      <c r="ZA85" s="27"/>
      <c r="ZB85" s="27"/>
      <c r="ZC85" s="27"/>
      <c r="ZD85" s="27"/>
      <c r="ZE85" s="27"/>
      <c r="ZF85" s="27"/>
      <c r="ZG85" s="27"/>
      <c r="ZH85" s="27"/>
      <c r="ZI85" s="27"/>
      <c r="ZJ85" s="27"/>
      <c r="ZK85" s="27"/>
      <c r="ZL85" s="27"/>
      <c r="ZM85" s="27"/>
      <c r="ZN85" s="27"/>
      <c r="ZO85" s="27"/>
      <c r="ZP85" s="27"/>
      <c r="ZQ85" s="27"/>
      <c r="ZR85" s="27"/>
      <c r="ZS85" s="27"/>
      <c r="ZT85" s="27"/>
      <c r="ZU85" s="27"/>
      <c r="ZV85" s="27"/>
      <c r="ZW85" s="27"/>
      <c r="ZX85" s="27"/>
      <c r="ZY85" s="27"/>
      <c r="ZZ85" s="27"/>
      <c r="AAA85" s="27"/>
      <c r="AAB85" s="27"/>
      <c r="AAC85" s="27"/>
      <c r="AAD85" s="27"/>
      <c r="AAE85" s="27"/>
      <c r="AAF85" s="27"/>
      <c r="AAG85" s="27"/>
      <c r="AAH85" s="27"/>
      <c r="AAI85" s="27"/>
      <c r="AAJ85" s="27"/>
      <c r="AAK85" s="27"/>
      <c r="AAL85" s="27"/>
      <c r="AAM85" s="27"/>
      <c r="AAN85" s="27"/>
      <c r="AAO85" s="27"/>
      <c r="AAP85" s="27"/>
      <c r="AAQ85" s="27"/>
      <c r="AAR85" s="27"/>
      <c r="AAS85" s="27"/>
      <c r="AAT85" s="27"/>
      <c r="AAU85" s="27"/>
      <c r="AAV85" s="27"/>
      <c r="AAW85" s="27"/>
      <c r="AAX85" s="27"/>
      <c r="AAY85" s="27"/>
      <c r="AAZ85" s="27"/>
      <c r="ABA85" s="27"/>
      <c r="ABB85" s="27"/>
      <c r="ABC85" s="27"/>
      <c r="ABD85" s="27"/>
      <c r="ABE85" s="27"/>
      <c r="ABF85" s="27"/>
      <c r="ABG85" s="27"/>
      <c r="ABH85" s="27"/>
      <c r="ABI85" s="27"/>
      <c r="ABJ85" s="27"/>
      <c r="ABK85" s="27"/>
      <c r="ABL85" s="27"/>
      <c r="ABM85" s="27"/>
      <c r="ABN85" s="27"/>
      <c r="ABO85" s="27"/>
      <c r="ABP85" s="27"/>
      <c r="ABQ85" s="27"/>
      <c r="ABR85" s="27"/>
      <c r="ABS85" s="27"/>
      <c r="ABT85" s="27"/>
      <c r="ABU85" s="27"/>
      <c r="ABV85" s="27"/>
      <c r="ABW85" s="27"/>
      <c r="ABX85" s="27"/>
      <c r="ABY85" s="27"/>
      <c r="ABZ85" s="27"/>
      <c r="ACA85" s="27"/>
      <c r="ACB85" s="27"/>
      <c r="ACC85" s="27"/>
      <c r="ACD85" s="27"/>
      <c r="ACE85" s="27"/>
      <c r="ACF85" s="27"/>
      <c r="ACG85" s="27"/>
      <c r="ACH85" s="27"/>
      <c r="ACI85" s="27"/>
      <c r="ACJ85" s="27"/>
      <c r="ACK85" s="27"/>
      <c r="ACL85" s="27"/>
      <c r="ACM85" s="27"/>
      <c r="ACN85" s="27"/>
      <c r="ACO85" s="27"/>
      <c r="ACP85" s="27"/>
      <c r="ACQ85" s="27"/>
      <c r="ACR85" s="27"/>
      <c r="ACS85" s="27"/>
      <c r="ACT85" s="27"/>
      <c r="ACU85" s="27"/>
      <c r="ACV85" s="27"/>
      <c r="ACW85" s="27"/>
      <c r="ACX85" s="27"/>
      <c r="ACY85" s="27"/>
      <c r="ACZ85" s="27"/>
      <c r="ADA85" s="27"/>
      <c r="ADB85" s="27"/>
      <c r="ADC85" s="27"/>
      <c r="ADD85" s="27"/>
      <c r="ADE85" s="27"/>
      <c r="ADF85" s="27"/>
      <c r="ADG85" s="27"/>
      <c r="ADH85" s="27"/>
      <c r="ADI85" s="27"/>
      <c r="ADJ85" s="27"/>
      <c r="ADK85" s="27"/>
      <c r="ADL85" s="27"/>
      <c r="ADM85" s="27"/>
      <c r="ADN85" s="27"/>
      <c r="ADO85" s="27"/>
      <c r="ADP85" s="27"/>
      <c r="ADQ85" s="27"/>
      <c r="ADR85" s="27"/>
      <c r="ADS85" s="27"/>
      <c r="ADT85" s="27"/>
      <c r="ADU85" s="27"/>
      <c r="ADV85" s="27"/>
      <c r="ADW85" s="27"/>
      <c r="ADX85" s="27"/>
      <c r="ADY85" s="27"/>
      <c r="ADZ85" s="27"/>
      <c r="AEA85" s="27"/>
      <c r="AEB85" s="27"/>
      <c r="AEC85" s="27"/>
      <c r="AED85" s="27"/>
      <c r="AEE85" s="27"/>
      <c r="AEF85" s="27"/>
      <c r="AEG85" s="27"/>
      <c r="AEH85" s="27"/>
      <c r="AEI85" s="27"/>
      <c r="AEJ85" s="27"/>
      <c r="AEK85" s="27"/>
      <c r="AEL85" s="27"/>
      <c r="AEM85" s="27"/>
      <c r="AEN85" s="27"/>
      <c r="AEO85" s="27"/>
      <c r="AEP85" s="27"/>
      <c r="AEQ85" s="27"/>
      <c r="AER85" s="27"/>
      <c r="AES85" s="27"/>
      <c r="AET85" s="27"/>
      <c r="AEU85" s="27"/>
      <c r="AEV85" s="27"/>
      <c r="AEW85" s="27"/>
      <c r="AEX85" s="27"/>
      <c r="AEY85" s="27"/>
      <c r="AEZ85" s="27"/>
      <c r="AFA85" s="27"/>
      <c r="AFB85" s="27"/>
      <c r="AFC85" s="27"/>
      <c r="AFD85" s="27"/>
      <c r="AFE85" s="27"/>
      <c r="AFF85" s="27"/>
      <c r="AFG85" s="27"/>
      <c r="AFH85" s="27"/>
      <c r="AFI85" s="27"/>
      <c r="AFJ85" s="27"/>
      <c r="AFK85" s="27"/>
      <c r="AFL85" s="27"/>
      <c r="AFM85" s="27"/>
      <c r="AFN85" s="27"/>
      <c r="AFO85" s="27"/>
      <c r="AFP85" s="27"/>
      <c r="AFQ85" s="27"/>
      <c r="AFR85" s="27"/>
      <c r="AFS85" s="27"/>
      <c r="AFT85" s="27"/>
      <c r="AFU85" s="27"/>
      <c r="AFV85" s="27"/>
      <c r="AFW85" s="27"/>
      <c r="AFX85" s="27"/>
      <c r="AFY85" s="27"/>
      <c r="AFZ85" s="27"/>
      <c r="AGA85" s="27"/>
      <c r="AGB85" s="27"/>
      <c r="AGC85" s="27"/>
      <c r="AGD85" s="27"/>
      <c r="AGE85" s="27"/>
      <c r="AGF85" s="27"/>
      <c r="AGG85" s="27"/>
      <c r="AGH85" s="27"/>
      <c r="AGI85" s="27"/>
      <c r="AGJ85" s="27"/>
      <c r="AGK85" s="27"/>
      <c r="AGL85" s="27"/>
      <c r="AGM85" s="27"/>
      <c r="AGN85" s="27"/>
      <c r="AGO85" s="27"/>
      <c r="AGP85" s="27"/>
      <c r="AGQ85" s="27"/>
      <c r="AGR85" s="27"/>
      <c r="AGS85" s="27"/>
      <c r="AGT85" s="27"/>
      <c r="AGU85" s="27"/>
      <c r="AGV85" s="27"/>
      <c r="AGW85" s="27"/>
      <c r="AGX85" s="27"/>
      <c r="AGY85" s="27"/>
      <c r="AGZ85" s="27"/>
      <c r="AHA85" s="27"/>
      <c r="AHB85" s="27"/>
      <c r="AHC85" s="27"/>
      <c r="AHD85" s="27"/>
      <c r="AHE85" s="27"/>
      <c r="AHF85" s="27"/>
      <c r="AHG85" s="27"/>
      <c r="AHH85" s="27"/>
      <c r="AHI85" s="27"/>
      <c r="AHJ85" s="27"/>
      <c r="AHK85" s="27"/>
      <c r="AHL85" s="27"/>
      <c r="AHM85" s="27"/>
      <c r="AHN85" s="27"/>
      <c r="AHO85" s="27"/>
      <c r="AHP85" s="27"/>
      <c r="AHQ85" s="27"/>
      <c r="AHR85" s="27"/>
      <c r="AHS85" s="27"/>
      <c r="AHT85" s="27"/>
      <c r="AHU85" s="27"/>
      <c r="AHV85" s="27"/>
      <c r="AHW85" s="27"/>
      <c r="AHX85" s="27"/>
      <c r="AHY85" s="27"/>
      <c r="AHZ85" s="27"/>
      <c r="AIA85" s="27"/>
      <c r="AIB85" s="27"/>
      <c r="AIC85" s="27"/>
      <c r="AID85" s="27"/>
      <c r="AIE85" s="27"/>
      <c r="AIF85" s="27"/>
      <c r="AIG85" s="27"/>
      <c r="AIH85" s="27"/>
      <c r="AII85" s="27"/>
      <c r="AIJ85" s="27"/>
      <c r="AIK85" s="27"/>
      <c r="AIL85" s="27"/>
      <c r="AIM85" s="27"/>
      <c r="AIN85" s="27"/>
      <c r="AIO85" s="27"/>
      <c r="AIP85" s="27"/>
      <c r="AIQ85" s="27"/>
      <c r="AIR85" s="27"/>
      <c r="AIS85" s="27"/>
      <c r="AIT85" s="27"/>
      <c r="AIU85" s="27"/>
      <c r="AIV85" s="27"/>
      <c r="AIW85" s="27"/>
      <c r="AIX85" s="27"/>
      <c r="AIY85" s="27"/>
      <c r="AIZ85" s="27"/>
      <c r="AJA85" s="27"/>
      <c r="AJB85" s="27"/>
      <c r="AJC85" s="27"/>
      <c r="AJD85" s="27"/>
      <c r="AJE85" s="27"/>
      <c r="AJF85" s="27"/>
      <c r="AJG85" s="27"/>
      <c r="AJH85" s="27"/>
      <c r="AJI85" s="27"/>
      <c r="AJJ85" s="27"/>
      <c r="AJK85" s="27"/>
      <c r="AJL85" s="27"/>
      <c r="AJM85" s="27"/>
      <c r="AJN85" s="27"/>
      <c r="AJO85" s="27"/>
      <c r="AJP85" s="27"/>
      <c r="AJQ85" s="27"/>
      <c r="AJR85" s="27"/>
      <c r="AJS85" s="27"/>
      <c r="AJT85" s="27"/>
      <c r="AJU85" s="27"/>
      <c r="AJV85" s="27"/>
      <c r="AJW85" s="27"/>
      <c r="AJX85" s="27"/>
      <c r="AJY85" s="27"/>
      <c r="AJZ85" s="27"/>
      <c r="AKA85" s="27"/>
      <c r="AKB85" s="27"/>
      <c r="AKC85" s="27"/>
      <c r="AKD85" s="27"/>
      <c r="AKE85" s="27"/>
      <c r="AKF85" s="27"/>
      <c r="AKG85" s="27"/>
      <c r="AKH85" s="27"/>
      <c r="AKI85" s="27"/>
      <c r="AKJ85" s="27"/>
      <c r="AKK85" s="27"/>
      <c r="AKL85" s="27"/>
      <c r="AKM85" s="27"/>
      <c r="AKN85" s="27"/>
      <c r="AKO85" s="27"/>
      <c r="AKP85" s="27"/>
      <c r="AKQ85" s="27"/>
      <c r="AKR85" s="27"/>
      <c r="AKS85" s="27"/>
      <c r="AKT85" s="27"/>
      <c r="AKU85" s="27"/>
      <c r="AKV85" s="27"/>
      <c r="AKW85" s="27"/>
      <c r="AKX85" s="27"/>
      <c r="AKY85" s="27"/>
      <c r="AKZ85" s="27"/>
      <c r="ALA85" s="27"/>
      <c r="ALB85" s="27"/>
      <c r="ALC85" s="27"/>
      <c r="ALD85" s="27"/>
      <c r="ALE85" s="27"/>
      <c r="ALF85" s="27"/>
      <c r="ALG85" s="27"/>
      <c r="ALH85" s="27"/>
      <c r="ALI85" s="27"/>
      <c r="ALJ85" s="27"/>
      <c r="ALK85" s="27"/>
      <c r="ALL85" s="27"/>
      <c r="ALM85" s="27"/>
      <c r="ALN85" s="27"/>
      <c r="ALO85" s="27"/>
      <c r="ALP85" s="27"/>
      <c r="ALQ85" s="27"/>
      <c r="ALR85" s="27"/>
      <c r="ALS85" s="27"/>
      <c r="ALT85" s="27"/>
      <c r="ALU85" s="27"/>
      <c r="ALV85" s="27"/>
      <c r="ALW85" s="27"/>
      <c r="ALX85" s="27"/>
      <c r="ALY85" s="27"/>
      <c r="ALZ85" s="27"/>
      <c r="AMA85" s="27"/>
      <c r="AMB85" s="27"/>
      <c r="AMC85" s="27"/>
      <c r="AMD85" s="27"/>
      <c r="AME85" s="27"/>
      <c r="AMF85" s="27"/>
      <c r="AMG85" s="27"/>
      <c r="AMH85" s="27"/>
      <c r="AMI85" s="27"/>
    </row>
    <row r="86" spans="1:1023" x14ac:dyDescent="0.15">
      <c r="A86" t="s">
        <v>58</v>
      </c>
      <c r="D86" s="8" t="s">
        <v>3980</v>
      </c>
      <c r="E86" s="27" t="s">
        <v>50</v>
      </c>
      <c r="F86" t="s">
        <v>59</v>
      </c>
      <c r="H86">
        <v>500</v>
      </c>
      <c r="I86" t="b">
        <v>0</v>
      </c>
      <c r="J86" s="1" t="s">
        <v>17</v>
      </c>
      <c r="K86" t="s">
        <v>51</v>
      </c>
      <c r="L86">
        <v>2</v>
      </c>
      <c r="M86" s="7" t="b">
        <v>0</v>
      </c>
      <c r="N86" s="7" t="b">
        <v>0</v>
      </c>
      <c r="O86" s="1" t="s">
        <v>17</v>
      </c>
      <c r="P86" s="1" t="s">
        <v>17</v>
      </c>
      <c r="Q86" s="1" t="s">
        <v>17</v>
      </c>
      <c r="R86" s="1" t="s">
        <v>19</v>
      </c>
      <c r="S86" s="1" t="s">
        <v>19</v>
      </c>
      <c r="T86" s="1" t="s">
        <v>19</v>
      </c>
      <c r="U86" t="str">
        <f t="shared" si="8"/>
        <v>qc|dataset|sample</v>
      </c>
      <c r="V86" t="str">
        <f t="shared" si="9"/>
        <v/>
      </c>
      <c r="W86" t="str">
        <f t="shared" si="10"/>
        <v/>
      </c>
      <c r="X86" t="str">
        <f t="shared" si="11"/>
        <v/>
      </c>
      <c r="Y86" t="str">
        <f t="shared" si="12"/>
        <v/>
      </c>
      <c r="Z86" t="str">
        <f t="shared" si="13"/>
        <v>qc</v>
      </c>
      <c r="AA86" t="str">
        <f t="shared" si="14"/>
        <v>dataset</v>
      </c>
      <c r="AB86" t="str">
        <f t="shared" si="15"/>
        <v>sample</v>
      </c>
      <c r="AC86" t="str">
        <f>IF(C86="Unit","unit","")</f>
        <v/>
      </c>
    </row>
    <row r="87" spans="1:1023" x14ac:dyDescent="0.15">
      <c r="A87" t="s">
        <v>49</v>
      </c>
      <c r="D87" s="8" t="s">
        <v>3980</v>
      </c>
      <c r="E87" s="27" t="s">
        <v>50</v>
      </c>
      <c r="F87" t="s">
        <v>3213</v>
      </c>
      <c r="H87">
        <v>500</v>
      </c>
      <c r="I87" t="b">
        <v>0</v>
      </c>
      <c r="J87" s="1" t="s">
        <v>17</v>
      </c>
      <c r="K87" t="s">
        <v>51</v>
      </c>
      <c r="L87">
        <v>2</v>
      </c>
      <c r="M87" s="7" t="b">
        <v>0</v>
      </c>
      <c r="N87" s="7" t="b">
        <v>0</v>
      </c>
      <c r="O87" s="1" t="s">
        <v>17</v>
      </c>
      <c r="P87" s="1" t="s">
        <v>17</v>
      </c>
      <c r="Q87" s="1" t="s">
        <v>17</v>
      </c>
      <c r="R87" s="1" t="s">
        <v>19</v>
      </c>
      <c r="S87" s="1" t="s">
        <v>19</v>
      </c>
      <c r="T87" s="1" t="s">
        <v>19</v>
      </c>
      <c r="U87" t="str">
        <f t="shared" si="8"/>
        <v>qc|dataset|sample</v>
      </c>
      <c r="V87" t="str">
        <f t="shared" si="9"/>
        <v/>
      </c>
      <c r="W87" t="str">
        <f t="shared" si="10"/>
        <v/>
      </c>
      <c r="X87" t="str">
        <f t="shared" si="11"/>
        <v/>
      </c>
      <c r="Y87" t="str">
        <f t="shared" si="12"/>
        <v/>
      </c>
      <c r="Z87" t="str">
        <f t="shared" si="13"/>
        <v>qc</v>
      </c>
      <c r="AA87" t="str">
        <f t="shared" si="14"/>
        <v>dataset</v>
      </c>
      <c r="AB87" t="str">
        <f t="shared" si="15"/>
        <v>sample</v>
      </c>
      <c r="AC87" t="str">
        <f>IF(C87="Unit","unit","")</f>
        <v/>
      </c>
    </row>
    <row r="88" spans="1:1023" s="27" customFormat="1" x14ac:dyDescent="0.15">
      <c r="A88" s="27" t="s">
        <v>55</v>
      </c>
      <c r="D88" s="33" t="s">
        <v>3980</v>
      </c>
      <c r="E88" s="27" t="s">
        <v>50</v>
      </c>
      <c r="F88" s="27" t="s">
        <v>4129</v>
      </c>
      <c r="H88" s="27">
        <v>500</v>
      </c>
      <c r="I88" t="b">
        <v>0</v>
      </c>
      <c r="J88" s="28" t="s">
        <v>17</v>
      </c>
      <c r="K88" s="27" t="s">
        <v>51</v>
      </c>
      <c r="L88" s="27">
        <v>2</v>
      </c>
      <c r="M88" s="29" t="b">
        <v>0</v>
      </c>
      <c r="N88" s="29" t="b">
        <v>0</v>
      </c>
      <c r="O88" s="28" t="s">
        <v>17</v>
      </c>
      <c r="P88" s="28" t="s">
        <v>17</v>
      </c>
      <c r="Q88" s="28" t="s">
        <v>17</v>
      </c>
      <c r="R88" s="28" t="s">
        <v>19</v>
      </c>
      <c r="S88" s="28" t="s">
        <v>19</v>
      </c>
      <c r="T88" s="28" t="s">
        <v>19</v>
      </c>
      <c r="U88" t="str">
        <f t="shared" si="8"/>
        <v>qc|dataset|sample</v>
      </c>
      <c r="V88" t="str">
        <f t="shared" si="9"/>
        <v/>
      </c>
      <c r="W88" t="str">
        <f t="shared" si="10"/>
        <v/>
      </c>
      <c r="X88" t="str">
        <f t="shared" si="11"/>
        <v/>
      </c>
      <c r="Y88" t="str">
        <f t="shared" si="12"/>
        <v/>
      </c>
      <c r="Z88" t="str">
        <f t="shared" si="13"/>
        <v>qc</v>
      </c>
      <c r="AA88" t="str">
        <f t="shared" si="14"/>
        <v>dataset</v>
      </c>
      <c r="AB88" t="str">
        <f t="shared" si="15"/>
        <v>sample</v>
      </c>
      <c r="AC88" t="str">
        <f>IF(C88="Unit","unit","")</f>
        <v/>
      </c>
    </row>
    <row r="89" spans="1:1023" x14ac:dyDescent="0.15">
      <c r="A89" t="s">
        <v>56</v>
      </c>
      <c r="D89" s="33" t="s">
        <v>3980</v>
      </c>
      <c r="E89" t="s">
        <v>50</v>
      </c>
      <c r="F89" t="s">
        <v>57</v>
      </c>
      <c r="H89">
        <v>500</v>
      </c>
      <c r="I89" t="b">
        <v>0</v>
      </c>
      <c r="J89" s="1" t="s">
        <v>17</v>
      </c>
      <c r="K89" t="s">
        <v>51</v>
      </c>
      <c r="L89">
        <v>2</v>
      </c>
      <c r="M89" s="7" t="b">
        <v>0</v>
      </c>
      <c r="N89" s="7" t="b">
        <v>0</v>
      </c>
      <c r="O89" s="1" t="s">
        <v>17</v>
      </c>
      <c r="P89" s="1" t="s">
        <v>17</v>
      </c>
      <c r="Q89" s="1" t="s">
        <v>17</v>
      </c>
      <c r="R89" s="1" t="s">
        <v>19</v>
      </c>
      <c r="S89" s="1" t="s">
        <v>19</v>
      </c>
      <c r="T89" s="1" t="s">
        <v>19</v>
      </c>
      <c r="U89" t="str">
        <f t="shared" si="8"/>
        <v>qc|dataset|sample</v>
      </c>
      <c r="V89" t="str">
        <f t="shared" si="9"/>
        <v/>
      </c>
      <c r="W89" t="str">
        <f t="shared" si="10"/>
        <v/>
      </c>
      <c r="X89" t="str">
        <f t="shared" si="11"/>
        <v/>
      </c>
      <c r="Y89" t="str">
        <f t="shared" si="12"/>
        <v/>
      </c>
      <c r="Z89" t="str">
        <f t="shared" si="13"/>
        <v>qc</v>
      </c>
      <c r="AA89" t="str">
        <f t="shared" si="14"/>
        <v>dataset</v>
      </c>
      <c r="AB89" t="str">
        <f t="shared" si="15"/>
        <v>sample</v>
      </c>
      <c r="AC89" t="str">
        <f>IF(C89="Unit","unit","")</f>
        <v/>
      </c>
    </row>
    <row r="90" spans="1:1023" s="26" customFormat="1" x14ac:dyDescent="0.15">
      <c r="A90" t="s">
        <v>173</v>
      </c>
      <c r="B90"/>
      <c r="C90"/>
      <c r="D90"/>
      <c r="E90" t="s">
        <v>21</v>
      </c>
      <c r="F90" t="s">
        <v>174</v>
      </c>
      <c r="G90"/>
      <c r="H90">
        <v>500</v>
      </c>
      <c r="I90" t="b">
        <v>0</v>
      </c>
      <c r="J90" s="1" t="s">
        <v>17</v>
      </c>
      <c r="K90" t="s">
        <v>23</v>
      </c>
      <c r="L90">
        <v>2</v>
      </c>
      <c r="M90" s="7" t="b">
        <v>0</v>
      </c>
      <c r="N90" s="7" t="b">
        <v>0</v>
      </c>
      <c r="O90" s="1" t="s">
        <v>19</v>
      </c>
      <c r="P90" s="1" t="s">
        <v>17</v>
      </c>
      <c r="Q90" s="1" t="s">
        <v>17</v>
      </c>
      <c r="R90" s="1" t="s">
        <v>19</v>
      </c>
      <c r="S90" s="1" t="s">
        <v>19</v>
      </c>
      <c r="T90" s="1" t="s">
        <v>19</v>
      </c>
      <c r="U90" t="str">
        <f t="shared" si="8"/>
        <v>filter|qc|dataset|sample</v>
      </c>
      <c r="V90" t="str">
        <f t="shared" si="9"/>
        <v/>
      </c>
      <c r="W90" t="str">
        <f t="shared" si="10"/>
        <v>filter</v>
      </c>
      <c r="X90" t="str">
        <f t="shared" si="11"/>
        <v/>
      </c>
      <c r="Y90" t="str">
        <f t="shared" si="12"/>
        <v/>
      </c>
      <c r="Z90" t="str">
        <f t="shared" si="13"/>
        <v>qc</v>
      </c>
      <c r="AA90" t="str">
        <f t="shared" si="14"/>
        <v>dataset</v>
      </c>
      <c r="AB90" t="str">
        <f t="shared" si="15"/>
        <v>sample</v>
      </c>
      <c r="AC90" t="str">
        <f>IF(C90="Unit","unit","")</f>
        <v/>
      </c>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c r="LT90"/>
      <c r="LU90"/>
      <c r="LV90"/>
      <c r="LW90"/>
      <c r="LX90"/>
      <c r="LY90"/>
      <c r="LZ90"/>
      <c r="MA90"/>
      <c r="MB90"/>
      <c r="MC90"/>
      <c r="MD90"/>
      <c r="ME90"/>
      <c r="MF90"/>
      <c r="MG90"/>
      <c r="MH90"/>
      <c r="MI90"/>
      <c r="MJ90"/>
      <c r="MK90"/>
      <c r="ML90"/>
      <c r="MM90"/>
      <c r="MN90"/>
      <c r="MO90"/>
      <c r="MP90"/>
      <c r="MQ90"/>
      <c r="MR90"/>
      <c r="MS90"/>
      <c r="MT90"/>
      <c r="MU90"/>
      <c r="MV90"/>
      <c r="MW90"/>
      <c r="MX90"/>
      <c r="MY90"/>
      <c r="MZ90"/>
      <c r="NA90"/>
      <c r="NB90"/>
      <c r="NC90"/>
      <c r="ND90"/>
      <c r="NE90"/>
      <c r="NF90"/>
      <c r="NG90"/>
      <c r="NH90"/>
      <c r="NI90"/>
      <c r="NJ90"/>
      <c r="NK90"/>
      <c r="NL90"/>
      <c r="NM90"/>
      <c r="NN90"/>
      <c r="NO90"/>
      <c r="NP90"/>
      <c r="NQ90"/>
      <c r="NR90"/>
      <c r="NS90"/>
      <c r="NT90"/>
      <c r="NU90"/>
      <c r="NV90"/>
      <c r="NW90"/>
      <c r="NX90"/>
      <c r="NY90"/>
      <c r="NZ90"/>
      <c r="OA90"/>
      <c r="OB90"/>
      <c r="OC90"/>
      <c r="OD90"/>
      <c r="OE90"/>
      <c r="OF90"/>
      <c r="OG90"/>
      <c r="OH90"/>
      <c r="OI90"/>
      <c r="OJ90"/>
      <c r="OK90"/>
      <c r="OL90"/>
      <c r="OM90"/>
      <c r="ON90"/>
      <c r="OO90"/>
      <c r="OP90"/>
      <c r="OQ90"/>
      <c r="OR90"/>
      <c r="OS90"/>
      <c r="OT90"/>
      <c r="OU90"/>
      <c r="OV90"/>
      <c r="OW90"/>
      <c r="OX90"/>
      <c r="OY90"/>
      <c r="OZ90"/>
      <c r="PA90"/>
      <c r="PB90"/>
      <c r="PC90"/>
      <c r="PD90"/>
      <c r="PE90"/>
      <c r="PF90"/>
      <c r="PG90"/>
      <c r="PH90"/>
      <c r="PI90"/>
      <c r="PJ90"/>
      <c r="PK90"/>
      <c r="PL90"/>
      <c r="PM90"/>
      <c r="PN90"/>
      <c r="PO90"/>
      <c r="PP90"/>
      <c r="PQ90"/>
      <c r="PR90"/>
      <c r="PS90"/>
      <c r="PT90"/>
      <c r="PU90"/>
      <c r="PV90"/>
      <c r="PW90"/>
      <c r="PX90"/>
      <c r="PY90"/>
      <c r="PZ90"/>
      <c r="QA90"/>
      <c r="QB90"/>
      <c r="QC90"/>
      <c r="QD90"/>
      <c r="QE90"/>
      <c r="QF90"/>
      <c r="QG90"/>
      <c r="QH90"/>
      <c r="QI90"/>
      <c r="QJ90"/>
      <c r="QK90"/>
      <c r="QL90"/>
      <c r="QM90"/>
      <c r="QN90"/>
      <c r="QO90"/>
      <c r="QP90"/>
      <c r="QQ90"/>
      <c r="QR90"/>
      <c r="QS90"/>
      <c r="QT90"/>
      <c r="QU90"/>
      <c r="QV90"/>
      <c r="QW90"/>
      <c r="QX90"/>
      <c r="QY90"/>
      <c r="QZ90"/>
      <c r="RA90"/>
      <c r="RB90"/>
      <c r="RC90"/>
      <c r="RD90"/>
      <c r="RE90"/>
      <c r="RF90"/>
      <c r="RG90"/>
      <c r="RH90"/>
      <c r="RI90"/>
      <c r="RJ90"/>
      <c r="RK90"/>
      <c r="RL90"/>
      <c r="RM90"/>
      <c r="RN90"/>
      <c r="RO90"/>
      <c r="RP90"/>
      <c r="RQ90"/>
      <c r="RR90"/>
      <c r="RS90"/>
      <c r="RT90"/>
      <c r="RU90"/>
      <c r="RV90"/>
      <c r="RW90"/>
      <c r="RX90"/>
      <c r="RY90"/>
      <c r="RZ90"/>
      <c r="SA90"/>
      <c r="SB90"/>
      <c r="SC90"/>
      <c r="SD90"/>
      <c r="SE90"/>
      <c r="SF90"/>
      <c r="SG90"/>
      <c r="SH90"/>
      <c r="SI90"/>
      <c r="SJ90"/>
      <c r="SK90"/>
      <c r="SL90"/>
      <c r="SM90"/>
      <c r="SN90"/>
      <c r="SO90"/>
      <c r="SP90"/>
      <c r="SQ90"/>
      <c r="SR90"/>
      <c r="SS90"/>
      <c r="ST90"/>
      <c r="SU90"/>
      <c r="SV90"/>
      <c r="SW90"/>
      <c r="SX90"/>
      <c r="SY90"/>
      <c r="SZ90"/>
      <c r="TA90"/>
      <c r="TB90"/>
      <c r="TC90"/>
      <c r="TD90"/>
      <c r="TE90"/>
      <c r="TF90"/>
      <c r="TG90"/>
      <c r="TH90"/>
      <c r="TI90"/>
      <c r="TJ90"/>
      <c r="TK90"/>
      <c r="TL90"/>
      <c r="TM90"/>
      <c r="TN90"/>
      <c r="TO90"/>
      <c r="TP90"/>
      <c r="TQ90"/>
      <c r="TR90"/>
      <c r="TS90"/>
      <c r="TT90"/>
      <c r="TU90"/>
      <c r="TV90"/>
      <c r="TW90"/>
      <c r="TX90"/>
      <c r="TY90"/>
      <c r="TZ90"/>
      <c r="UA90"/>
      <c r="UB90"/>
      <c r="UC90"/>
      <c r="UD90"/>
      <c r="UE90"/>
      <c r="UF90"/>
      <c r="UG90"/>
      <c r="UH90"/>
      <c r="UI90"/>
      <c r="UJ90"/>
      <c r="UK90"/>
      <c r="UL90"/>
      <c r="UM90"/>
      <c r="UN90"/>
      <c r="UO90"/>
      <c r="UP90"/>
      <c r="UQ90"/>
      <c r="UR90"/>
      <c r="US90"/>
      <c r="UT90"/>
      <c r="UU90"/>
      <c r="UV90"/>
      <c r="UW90"/>
      <c r="UX90"/>
      <c r="UY90"/>
      <c r="UZ90"/>
      <c r="VA90"/>
      <c r="VB90"/>
      <c r="VC90"/>
      <c r="VD90"/>
      <c r="VE90"/>
      <c r="VF90"/>
      <c r="VG90"/>
      <c r="VH90"/>
      <c r="VI90"/>
      <c r="VJ90"/>
      <c r="VK90"/>
      <c r="VL90"/>
      <c r="VM90"/>
      <c r="VN90"/>
      <c r="VO90"/>
      <c r="VP90"/>
      <c r="VQ90"/>
      <c r="VR90"/>
      <c r="VS90"/>
      <c r="VT90"/>
      <c r="VU90"/>
      <c r="VV90"/>
      <c r="VW90"/>
      <c r="VX90"/>
      <c r="VY90"/>
      <c r="VZ90"/>
      <c r="WA90"/>
      <c r="WB90"/>
      <c r="WC90"/>
      <c r="WD90"/>
      <c r="WE90"/>
      <c r="WF90"/>
      <c r="WG90"/>
      <c r="WH90"/>
      <c r="WI90"/>
      <c r="WJ90"/>
      <c r="WK90"/>
      <c r="WL90"/>
      <c r="WM90"/>
      <c r="WN90"/>
      <c r="WO90"/>
      <c r="WP90"/>
      <c r="WQ90"/>
      <c r="WR90"/>
      <c r="WS90"/>
      <c r="WT90"/>
      <c r="WU90"/>
      <c r="WV90"/>
      <c r="WW90"/>
      <c r="WX90"/>
      <c r="WY90"/>
      <c r="WZ90"/>
      <c r="XA90"/>
      <c r="XB90"/>
      <c r="XC90"/>
      <c r="XD90"/>
      <c r="XE90"/>
      <c r="XF90"/>
      <c r="XG90"/>
      <c r="XH90"/>
      <c r="XI90"/>
      <c r="XJ90"/>
      <c r="XK90"/>
      <c r="XL90"/>
      <c r="XM90"/>
      <c r="XN90"/>
      <c r="XO90"/>
      <c r="XP90"/>
      <c r="XQ90"/>
      <c r="XR90"/>
      <c r="XS90"/>
      <c r="XT90"/>
      <c r="XU90"/>
      <c r="XV90"/>
      <c r="XW90"/>
      <c r="XX90"/>
      <c r="XY90"/>
      <c r="XZ90"/>
      <c r="YA90"/>
      <c r="YB90"/>
      <c r="YC90"/>
      <c r="YD90"/>
      <c r="YE90"/>
      <c r="YF90"/>
      <c r="YG90"/>
      <c r="YH90"/>
      <c r="YI90"/>
      <c r="YJ90"/>
      <c r="YK90"/>
      <c r="YL90"/>
      <c r="YM90"/>
      <c r="YN90"/>
      <c r="YO90"/>
      <c r="YP90"/>
      <c r="YQ90"/>
      <c r="YR90"/>
      <c r="YS90"/>
      <c r="YT90"/>
      <c r="YU90"/>
      <c r="YV90"/>
      <c r="YW90"/>
      <c r="YX90"/>
      <c r="YY90"/>
      <c r="YZ90"/>
      <c r="ZA90"/>
      <c r="ZB90"/>
      <c r="ZC90"/>
      <c r="ZD90"/>
      <c r="ZE90"/>
      <c r="ZF90"/>
      <c r="ZG90"/>
      <c r="ZH90"/>
      <c r="ZI90"/>
      <c r="ZJ90"/>
      <c r="ZK90"/>
      <c r="ZL90"/>
      <c r="ZM90"/>
      <c r="ZN90"/>
      <c r="ZO90"/>
      <c r="ZP90"/>
      <c r="ZQ90"/>
      <c r="ZR90"/>
      <c r="ZS90"/>
      <c r="ZT90"/>
      <c r="ZU90"/>
      <c r="ZV90"/>
      <c r="ZW90"/>
      <c r="ZX90"/>
      <c r="ZY90"/>
      <c r="ZZ90"/>
      <c r="AAA90"/>
      <c r="AAB90"/>
      <c r="AAC90"/>
      <c r="AAD90"/>
      <c r="AAE90"/>
      <c r="AAF90"/>
      <c r="AAG90"/>
      <c r="AAH90"/>
      <c r="AAI90"/>
      <c r="AAJ90"/>
      <c r="AAK90"/>
      <c r="AAL90"/>
      <c r="AAM90"/>
      <c r="AAN90"/>
      <c r="AAO90"/>
      <c r="AAP90"/>
      <c r="AAQ90"/>
      <c r="AAR90"/>
      <c r="AAS90"/>
      <c r="AAT90"/>
      <c r="AAU90"/>
      <c r="AAV90"/>
      <c r="AAW90"/>
      <c r="AAX90"/>
      <c r="AAY90"/>
      <c r="AAZ90"/>
      <c r="ABA90"/>
      <c r="ABB90"/>
      <c r="ABC90"/>
      <c r="ABD90"/>
      <c r="ABE90"/>
      <c r="ABF90"/>
      <c r="ABG90"/>
      <c r="ABH90"/>
      <c r="ABI90"/>
      <c r="ABJ90"/>
      <c r="ABK90"/>
      <c r="ABL90"/>
      <c r="ABM90"/>
      <c r="ABN90"/>
      <c r="ABO90"/>
      <c r="ABP90"/>
      <c r="ABQ90"/>
      <c r="ABR90"/>
      <c r="ABS90"/>
      <c r="ABT90"/>
      <c r="ABU90"/>
      <c r="ABV90"/>
      <c r="ABW90"/>
      <c r="ABX90"/>
      <c r="ABY90"/>
      <c r="ABZ90"/>
      <c r="ACA90"/>
      <c r="ACB90"/>
      <c r="ACC90"/>
      <c r="ACD90"/>
      <c r="ACE90"/>
      <c r="ACF90"/>
      <c r="ACG90"/>
      <c r="ACH90"/>
      <c r="ACI90"/>
      <c r="ACJ90"/>
      <c r="ACK90"/>
      <c r="ACL90"/>
      <c r="ACM90"/>
      <c r="ACN90"/>
      <c r="ACO90"/>
      <c r="ACP90"/>
      <c r="ACQ90"/>
      <c r="ACR90"/>
      <c r="ACS90"/>
      <c r="ACT90"/>
      <c r="ACU90"/>
      <c r="ACV90"/>
      <c r="ACW90"/>
      <c r="ACX90"/>
      <c r="ACY90"/>
      <c r="ACZ90"/>
      <c r="ADA90"/>
      <c r="ADB90"/>
      <c r="ADC90"/>
      <c r="ADD90"/>
      <c r="ADE90"/>
      <c r="ADF90"/>
      <c r="ADG90"/>
      <c r="ADH90"/>
      <c r="ADI90"/>
      <c r="ADJ90"/>
      <c r="ADK90"/>
      <c r="ADL90"/>
      <c r="ADM90"/>
      <c r="ADN90"/>
      <c r="ADO90"/>
      <c r="ADP90"/>
      <c r="ADQ90"/>
      <c r="ADR90"/>
      <c r="ADS90"/>
      <c r="ADT90"/>
      <c r="ADU90"/>
      <c r="ADV90"/>
      <c r="ADW90"/>
      <c r="ADX90"/>
      <c r="ADY90"/>
      <c r="ADZ90"/>
      <c r="AEA90"/>
      <c r="AEB90"/>
      <c r="AEC90"/>
      <c r="AED90"/>
      <c r="AEE90"/>
      <c r="AEF90"/>
      <c r="AEG90"/>
      <c r="AEH90"/>
      <c r="AEI90"/>
      <c r="AEJ90"/>
      <c r="AEK90"/>
      <c r="AEL90"/>
      <c r="AEM90"/>
      <c r="AEN90"/>
      <c r="AEO90"/>
      <c r="AEP90"/>
      <c r="AEQ90"/>
      <c r="AER90"/>
      <c r="AES90"/>
      <c r="AET90"/>
      <c r="AEU90"/>
      <c r="AEV90"/>
      <c r="AEW90"/>
      <c r="AEX90"/>
      <c r="AEY90"/>
      <c r="AEZ90"/>
      <c r="AFA90"/>
      <c r="AFB90"/>
      <c r="AFC90"/>
      <c r="AFD90"/>
      <c r="AFE90"/>
      <c r="AFF90"/>
      <c r="AFG90"/>
      <c r="AFH90"/>
      <c r="AFI90"/>
      <c r="AFJ90"/>
      <c r="AFK90"/>
      <c r="AFL90"/>
      <c r="AFM90"/>
      <c r="AFN90"/>
      <c r="AFO90"/>
      <c r="AFP90"/>
      <c r="AFQ90"/>
      <c r="AFR90"/>
      <c r="AFS90"/>
      <c r="AFT90"/>
      <c r="AFU90"/>
      <c r="AFV90"/>
      <c r="AFW90"/>
      <c r="AFX90"/>
      <c r="AFY90"/>
      <c r="AFZ90"/>
      <c r="AGA90"/>
      <c r="AGB90"/>
      <c r="AGC90"/>
      <c r="AGD90"/>
      <c r="AGE90"/>
      <c r="AGF90"/>
      <c r="AGG90"/>
      <c r="AGH90"/>
      <c r="AGI90"/>
      <c r="AGJ90"/>
      <c r="AGK90"/>
      <c r="AGL90"/>
      <c r="AGM90"/>
      <c r="AGN90"/>
      <c r="AGO90"/>
      <c r="AGP90"/>
      <c r="AGQ90"/>
      <c r="AGR90"/>
      <c r="AGS90"/>
      <c r="AGT90"/>
      <c r="AGU90"/>
      <c r="AGV90"/>
      <c r="AGW90"/>
      <c r="AGX90"/>
      <c r="AGY90"/>
      <c r="AGZ90"/>
      <c r="AHA90"/>
      <c r="AHB90"/>
      <c r="AHC90"/>
      <c r="AHD90"/>
      <c r="AHE90"/>
      <c r="AHF90"/>
      <c r="AHG90"/>
      <c r="AHH90"/>
      <c r="AHI90"/>
      <c r="AHJ90"/>
      <c r="AHK90"/>
      <c r="AHL90"/>
      <c r="AHM90"/>
      <c r="AHN90"/>
      <c r="AHO90"/>
      <c r="AHP90"/>
      <c r="AHQ90"/>
      <c r="AHR90"/>
      <c r="AHS90"/>
      <c r="AHT90"/>
      <c r="AHU90"/>
      <c r="AHV90"/>
      <c r="AHW90"/>
      <c r="AHX90"/>
      <c r="AHY90"/>
      <c r="AHZ90"/>
      <c r="AIA90"/>
      <c r="AIB90"/>
      <c r="AIC90"/>
      <c r="AID90"/>
      <c r="AIE90"/>
      <c r="AIF90"/>
      <c r="AIG90"/>
      <c r="AIH90"/>
      <c r="AII90"/>
      <c r="AIJ90"/>
      <c r="AIK90"/>
      <c r="AIL90"/>
      <c r="AIM90"/>
      <c r="AIN90"/>
      <c r="AIO90"/>
      <c r="AIP90"/>
      <c r="AIQ90"/>
      <c r="AIR90"/>
      <c r="AIS90"/>
      <c r="AIT90"/>
      <c r="AIU90"/>
      <c r="AIV90"/>
      <c r="AIW90"/>
      <c r="AIX90"/>
      <c r="AIY90"/>
      <c r="AIZ90"/>
      <c r="AJA90"/>
      <c r="AJB90"/>
      <c r="AJC90"/>
      <c r="AJD90"/>
      <c r="AJE90"/>
      <c r="AJF90"/>
      <c r="AJG90"/>
      <c r="AJH90"/>
      <c r="AJI90"/>
      <c r="AJJ90"/>
      <c r="AJK90"/>
      <c r="AJL90"/>
      <c r="AJM90"/>
      <c r="AJN90"/>
      <c r="AJO90"/>
      <c r="AJP90"/>
      <c r="AJQ90"/>
      <c r="AJR90"/>
      <c r="AJS90"/>
      <c r="AJT90"/>
      <c r="AJU90"/>
      <c r="AJV90"/>
      <c r="AJW90"/>
      <c r="AJX90"/>
      <c r="AJY90"/>
      <c r="AJZ90"/>
      <c r="AKA90"/>
      <c r="AKB90"/>
      <c r="AKC90"/>
      <c r="AKD90"/>
      <c r="AKE90"/>
      <c r="AKF90"/>
      <c r="AKG90"/>
      <c r="AKH90"/>
      <c r="AKI90"/>
      <c r="AKJ90"/>
      <c r="AKK90"/>
      <c r="AKL90"/>
      <c r="AKM90"/>
      <c r="AKN90"/>
      <c r="AKO90"/>
      <c r="AKP90"/>
      <c r="AKQ90"/>
      <c r="AKR90"/>
      <c r="AKS90"/>
      <c r="AKT90"/>
      <c r="AKU90"/>
      <c r="AKV90"/>
      <c r="AKW90"/>
      <c r="AKX90"/>
      <c r="AKY90"/>
      <c r="AKZ90"/>
      <c r="ALA90"/>
      <c r="ALB90"/>
      <c r="ALC90"/>
      <c r="ALD90"/>
      <c r="ALE90"/>
      <c r="ALF90"/>
      <c r="ALG90"/>
      <c r="ALH90"/>
      <c r="ALI90"/>
      <c r="ALJ90"/>
      <c r="ALK90"/>
      <c r="ALL90"/>
      <c r="ALM90"/>
      <c r="ALN90"/>
      <c r="ALO90"/>
      <c r="ALP90"/>
      <c r="ALQ90"/>
      <c r="ALR90"/>
      <c r="ALS90"/>
      <c r="ALT90"/>
      <c r="ALU90"/>
      <c r="ALV90"/>
      <c r="ALW90"/>
      <c r="ALX90"/>
      <c r="ALY90"/>
      <c r="ALZ90"/>
      <c r="AMA90"/>
      <c r="AMB90"/>
      <c r="AMC90"/>
      <c r="AMD90"/>
      <c r="AME90"/>
      <c r="AMF90"/>
      <c r="AMG90"/>
      <c r="AMH90"/>
      <c r="AMI90"/>
    </row>
    <row r="91" spans="1:1023" x14ac:dyDescent="0.15">
      <c r="A91" t="s">
        <v>94</v>
      </c>
      <c r="B91" t="s">
        <v>4101</v>
      </c>
      <c r="E91" s="6" t="s">
        <v>93</v>
      </c>
      <c r="F91" s="6" t="s">
        <v>3212</v>
      </c>
      <c r="G91" s="6"/>
      <c r="H91">
        <v>500</v>
      </c>
      <c r="I91" t="b">
        <v>0</v>
      </c>
      <c r="J91" s="1" t="s">
        <v>17</v>
      </c>
      <c r="K91" t="s">
        <v>23</v>
      </c>
      <c r="L91">
        <v>2</v>
      </c>
      <c r="M91" s="7" t="b">
        <v>0</v>
      </c>
      <c r="N91" s="7" t="b">
        <v>0</v>
      </c>
      <c r="O91" s="1" t="s">
        <v>19</v>
      </c>
      <c r="P91" s="1" t="s">
        <v>17</v>
      </c>
      <c r="Q91" s="1" t="s">
        <v>17</v>
      </c>
      <c r="R91" s="1" t="s">
        <v>17</v>
      </c>
      <c r="S91" s="1" t="s">
        <v>19</v>
      </c>
      <c r="T91" s="1" t="s">
        <v>19</v>
      </c>
      <c r="U91" t="str">
        <f t="shared" si="8"/>
        <v>filter|dataset|sample</v>
      </c>
      <c r="V91" t="str">
        <f t="shared" si="9"/>
        <v/>
      </c>
      <c r="W91" t="str">
        <f t="shared" si="10"/>
        <v>filter</v>
      </c>
      <c r="X91" t="str">
        <f t="shared" si="11"/>
        <v/>
      </c>
      <c r="Y91" t="str">
        <f t="shared" si="12"/>
        <v/>
      </c>
      <c r="Z91" t="str">
        <f t="shared" si="13"/>
        <v/>
      </c>
      <c r="AA91" t="str">
        <f t="shared" si="14"/>
        <v>dataset</v>
      </c>
      <c r="AB91" t="str">
        <f t="shared" si="15"/>
        <v>sample</v>
      </c>
      <c r="AC91" t="str">
        <f>IF(C91="Unit","unit","")</f>
        <v/>
      </c>
    </row>
    <row r="92" spans="1:1023" ht="13.5" customHeight="1" x14ac:dyDescent="0.15">
      <c r="A92" s="27" t="s">
        <v>3849</v>
      </c>
      <c r="B92" s="27"/>
      <c r="C92" s="27"/>
      <c r="D92" s="27"/>
      <c r="E92" s="30" t="s">
        <v>15</v>
      </c>
      <c r="F92" s="30" t="s">
        <v>3850</v>
      </c>
      <c r="G92" s="30"/>
      <c r="H92" s="27">
        <v>800</v>
      </c>
      <c r="I92" t="b">
        <v>0</v>
      </c>
      <c r="J92" s="28" t="s">
        <v>17</v>
      </c>
      <c r="K92" s="27" t="s">
        <v>3851</v>
      </c>
      <c r="L92" s="27">
        <v>0</v>
      </c>
      <c r="M92" s="7" t="b">
        <v>0</v>
      </c>
      <c r="N92" s="7" t="b">
        <v>0</v>
      </c>
      <c r="O92" s="1" t="s">
        <v>19</v>
      </c>
      <c r="P92" s="1" t="s">
        <v>17</v>
      </c>
      <c r="Q92" s="1" t="s">
        <v>17</v>
      </c>
      <c r="R92" s="1" t="s">
        <v>17</v>
      </c>
      <c r="S92" s="1" t="s">
        <v>19</v>
      </c>
      <c r="T92" s="1" t="s">
        <v>19</v>
      </c>
      <c r="U92" t="str">
        <f t="shared" si="8"/>
        <v>filter|dataset|sample</v>
      </c>
      <c r="V92" t="str">
        <f t="shared" si="9"/>
        <v/>
      </c>
      <c r="W92" t="str">
        <f t="shared" si="10"/>
        <v>filter</v>
      </c>
      <c r="X92" t="str">
        <f t="shared" si="11"/>
        <v/>
      </c>
      <c r="Y92" t="str">
        <f t="shared" si="12"/>
        <v/>
      </c>
      <c r="Z92" t="str">
        <f t="shared" si="13"/>
        <v/>
      </c>
      <c r="AA92" t="str">
        <f t="shared" si="14"/>
        <v>dataset</v>
      </c>
      <c r="AB92" t="str">
        <f t="shared" si="15"/>
        <v>sample</v>
      </c>
      <c r="AC92" t="str">
        <f>IF(C92="Unit","unit","")</f>
        <v/>
      </c>
      <c r="AD92" s="27"/>
      <c r="AE92" s="27"/>
      <c r="AF92" s="27"/>
      <c r="AG92" s="27"/>
      <c r="AH92" s="27"/>
      <c r="AI92" s="27"/>
      <c r="AJ92" s="27"/>
      <c r="AK92" s="27"/>
      <c r="AL92" s="27"/>
      <c r="AM92" s="27"/>
      <c r="AN92" s="27"/>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7"/>
      <c r="BM92" s="27"/>
      <c r="BN92" s="27"/>
      <c r="BO92" s="27"/>
      <c r="BP92" s="27"/>
      <c r="BQ92" s="27"/>
      <c r="BR92" s="27"/>
      <c r="BS92" s="27"/>
      <c r="BT92" s="27"/>
      <c r="BU92" s="27"/>
      <c r="BV92" s="27"/>
      <c r="BW92" s="27"/>
      <c r="BX92" s="27"/>
      <c r="BY92" s="27"/>
      <c r="BZ92" s="27"/>
      <c r="CA92" s="27"/>
      <c r="CB92" s="27"/>
      <c r="CC92" s="27"/>
      <c r="CD92" s="27"/>
      <c r="CE92" s="27"/>
      <c r="CF92" s="27"/>
      <c r="CG92" s="27"/>
      <c r="CH92" s="27"/>
      <c r="CI92" s="27"/>
      <c r="CJ92" s="27"/>
      <c r="CK92" s="27"/>
      <c r="CL92" s="27"/>
      <c r="CM92" s="27"/>
      <c r="CN92" s="27"/>
      <c r="CO92" s="27"/>
      <c r="CP92" s="27"/>
      <c r="CQ92" s="27"/>
      <c r="CR92" s="27"/>
      <c r="CS92" s="27"/>
      <c r="CT92" s="27"/>
      <c r="CU92" s="27"/>
      <c r="CV92" s="27"/>
      <c r="CW92" s="27"/>
      <c r="CX92" s="27"/>
      <c r="CY92" s="27"/>
      <c r="CZ92" s="27"/>
      <c r="DA92" s="27"/>
      <c r="DB92" s="27"/>
      <c r="DC92" s="27"/>
      <c r="DD92" s="27"/>
      <c r="DE92" s="27"/>
      <c r="DF92" s="27"/>
      <c r="DG92" s="27"/>
      <c r="DH92" s="27"/>
      <c r="DI92" s="27"/>
      <c r="DJ92" s="27"/>
      <c r="DK92" s="27"/>
      <c r="DL92" s="27"/>
      <c r="DM92" s="27"/>
      <c r="DN92" s="27"/>
      <c r="DO92" s="27"/>
      <c r="DP92" s="27"/>
      <c r="DQ92" s="27"/>
      <c r="DR92" s="27"/>
      <c r="DS92" s="27"/>
      <c r="DT92" s="27"/>
      <c r="DU92" s="27"/>
      <c r="DV92" s="27"/>
      <c r="DW92" s="27"/>
      <c r="DX92" s="27"/>
      <c r="DY92" s="27"/>
      <c r="DZ92" s="27"/>
      <c r="EA92" s="27"/>
      <c r="EB92" s="27"/>
      <c r="EC92" s="27"/>
      <c r="ED92" s="27"/>
      <c r="EE92" s="27"/>
      <c r="EF92" s="27"/>
      <c r="EG92" s="27"/>
      <c r="EH92" s="27"/>
      <c r="EI92" s="27"/>
      <c r="EJ92" s="27"/>
      <c r="EK92" s="27"/>
      <c r="EL92" s="27"/>
      <c r="EM92" s="27"/>
      <c r="EN92" s="27"/>
      <c r="EO92" s="27"/>
      <c r="EP92" s="27"/>
      <c r="EQ92" s="27"/>
      <c r="ER92" s="27"/>
      <c r="ES92" s="27"/>
      <c r="ET92" s="27"/>
      <c r="EU92" s="27"/>
      <c r="EV92" s="27"/>
      <c r="EW92" s="27"/>
      <c r="EX92" s="27"/>
      <c r="EY92" s="27"/>
      <c r="EZ92" s="27"/>
      <c r="FA92" s="27"/>
      <c r="FB92" s="27"/>
      <c r="FC92" s="27"/>
      <c r="FD92" s="27"/>
      <c r="FE92" s="27"/>
      <c r="FF92" s="27"/>
      <c r="FG92" s="27"/>
      <c r="FH92" s="27"/>
      <c r="FI92" s="27"/>
      <c r="FJ92" s="27"/>
      <c r="FK92" s="27"/>
      <c r="FL92" s="27"/>
      <c r="FM92" s="27"/>
      <c r="FN92" s="27"/>
      <c r="FO92" s="27"/>
      <c r="FP92" s="27"/>
      <c r="FQ92" s="27"/>
      <c r="FR92" s="27"/>
      <c r="FS92" s="27"/>
      <c r="FT92" s="27"/>
      <c r="FU92" s="27"/>
      <c r="FV92" s="27"/>
      <c r="FW92" s="27"/>
      <c r="FX92" s="27"/>
      <c r="FY92" s="27"/>
      <c r="FZ92" s="27"/>
      <c r="GA92" s="27"/>
      <c r="GB92" s="27"/>
      <c r="GC92" s="27"/>
      <c r="GD92" s="27"/>
      <c r="GE92" s="27"/>
      <c r="GF92" s="27"/>
      <c r="GG92" s="27"/>
      <c r="GH92" s="27"/>
      <c r="GI92" s="27"/>
      <c r="GJ92" s="27"/>
      <c r="GK92" s="27"/>
      <c r="GL92" s="27"/>
      <c r="GM92" s="27"/>
      <c r="GN92" s="27"/>
      <c r="GO92" s="27"/>
      <c r="GP92" s="27"/>
      <c r="GQ92" s="27"/>
      <c r="GR92" s="27"/>
      <c r="GS92" s="27"/>
      <c r="GT92" s="27"/>
      <c r="GU92" s="27"/>
      <c r="GV92" s="27"/>
      <c r="GW92" s="27"/>
      <c r="GX92" s="27"/>
      <c r="GY92" s="27"/>
      <c r="GZ92" s="27"/>
      <c r="HA92" s="27"/>
      <c r="HB92" s="27"/>
      <c r="HC92" s="27"/>
      <c r="HD92" s="27"/>
      <c r="HE92" s="27"/>
      <c r="HF92" s="27"/>
      <c r="HG92" s="27"/>
      <c r="HH92" s="27"/>
      <c r="HI92" s="27"/>
      <c r="HJ92" s="27"/>
      <c r="HK92" s="27"/>
      <c r="HL92" s="27"/>
      <c r="HM92" s="27"/>
      <c r="HN92" s="27"/>
      <c r="HO92" s="27"/>
      <c r="HP92" s="27"/>
      <c r="HQ92" s="27"/>
      <c r="HR92" s="27"/>
      <c r="HS92" s="27"/>
      <c r="HT92" s="27"/>
      <c r="HU92" s="27"/>
      <c r="HV92" s="27"/>
      <c r="HW92" s="27"/>
      <c r="HX92" s="27"/>
      <c r="HY92" s="27"/>
      <c r="HZ92" s="27"/>
      <c r="IA92" s="27"/>
      <c r="IB92" s="27"/>
      <c r="IC92" s="27"/>
      <c r="ID92" s="27"/>
      <c r="IE92" s="27"/>
      <c r="IF92" s="27"/>
      <c r="IG92" s="27"/>
      <c r="IH92" s="27"/>
      <c r="II92" s="27"/>
      <c r="IJ92" s="27"/>
      <c r="IK92" s="27"/>
      <c r="IL92" s="27"/>
      <c r="IM92" s="27"/>
      <c r="IN92" s="27"/>
      <c r="IO92" s="27"/>
      <c r="IP92" s="27"/>
      <c r="IQ92" s="27"/>
      <c r="IR92" s="27"/>
      <c r="IS92" s="27"/>
      <c r="IT92" s="27"/>
      <c r="IU92" s="27"/>
      <c r="IV92" s="27"/>
      <c r="IW92" s="27"/>
      <c r="IX92" s="27"/>
      <c r="IY92" s="27"/>
      <c r="IZ92" s="27"/>
      <c r="JA92" s="27"/>
      <c r="JB92" s="27"/>
      <c r="JC92" s="27"/>
      <c r="JD92" s="27"/>
      <c r="JE92" s="27"/>
      <c r="JF92" s="27"/>
      <c r="JG92" s="27"/>
      <c r="JH92" s="27"/>
      <c r="JI92" s="27"/>
      <c r="JJ92" s="27"/>
      <c r="JK92" s="27"/>
      <c r="JL92" s="27"/>
      <c r="JM92" s="27"/>
      <c r="JN92" s="27"/>
      <c r="JO92" s="27"/>
      <c r="JP92" s="27"/>
      <c r="JQ92" s="27"/>
      <c r="JR92" s="27"/>
      <c r="JS92" s="27"/>
      <c r="JT92" s="27"/>
      <c r="JU92" s="27"/>
      <c r="JV92" s="27"/>
      <c r="JW92" s="27"/>
      <c r="JX92" s="27"/>
      <c r="JY92" s="27"/>
      <c r="JZ92" s="27"/>
      <c r="KA92" s="27"/>
      <c r="KB92" s="27"/>
      <c r="KC92" s="27"/>
      <c r="KD92" s="27"/>
      <c r="KE92" s="27"/>
      <c r="KF92" s="27"/>
      <c r="KG92" s="27"/>
      <c r="KH92" s="27"/>
      <c r="KI92" s="27"/>
      <c r="KJ92" s="27"/>
      <c r="KK92" s="27"/>
      <c r="KL92" s="27"/>
      <c r="KM92" s="27"/>
      <c r="KN92" s="27"/>
      <c r="KO92" s="27"/>
      <c r="KP92" s="27"/>
      <c r="KQ92" s="27"/>
      <c r="KR92" s="27"/>
      <c r="KS92" s="27"/>
      <c r="KT92" s="27"/>
      <c r="KU92" s="27"/>
      <c r="KV92" s="27"/>
      <c r="KW92" s="27"/>
      <c r="KX92" s="27"/>
      <c r="KY92" s="27"/>
      <c r="KZ92" s="27"/>
      <c r="LA92" s="27"/>
      <c r="LB92" s="27"/>
      <c r="LC92" s="27"/>
      <c r="LD92" s="27"/>
      <c r="LE92" s="27"/>
      <c r="LF92" s="27"/>
      <c r="LG92" s="27"/>
      <c r="LH92" s="27"/>
      <c r="LI92" s="27"/>
      <c r="LJ92" s="27"/>
      <c r="LK92" s="27"/>
      <c r="LL92" s="27"/>
      <c r="LM92" s="27"/>
      <c r="LN92" s="27"/>
      <c r="LO92" s="27"/>
      <c r="LP92" s="27"/>
      <c r="LQ92" s="27"/>
      <c r="LR92" s="27"/>
      <c r="LS92" s="27"/>
      <c r="LT92" s="27"/>
      <c r="LU92" s="27"/>
      <c r="LV92" s="27"/>
      <c r="LW92" s="27"/>
      <c r="LX92" s="27"/>
      <c r="LY92" s="27"/>
      <c r="LZ92" s="27"/>
      <c r="MA92" s="27"/>
      <c r="MB92" s="27"/>
      <c r="MC92" s="27"/>
      <c r="MD92" s="27"/>
      <c r="ME92" s="27"/>
      <c r="MF92" s="27"/>
      <c r="MG92" s="27"/>
      <c r="MH92" s="27"/>
      <c r="MI92" s="27"/>
      <c r="MJ92" s="27"/>
      <c r="MK92" s="27"/>
      <c r="ML92" s="27"/>
      <c r="MM92" s="27"/>
      <c r="MN92" s="27"/>
      <c r="MO92" s="27"/>
      <c r="MP92" s="27"/>
      <c r="MQ92" s="27"/>
      <c r="MR92" s="27"/>
      <c r="MS92" s="27"/>
      <c r="MT92" s="27"/>
      <c r="MU92" s="27"/>
      <c r="MV92" s="27"/>
      <c r="MW92" s="27"/>
      <c r="MX92" s="27"/>
      <c r="MY92" s="27"/>
      <c r="MZ92" s="27"/>
      <c r="NA92" s="27"/>
      <c r="NB92" s="27"/>
      <c r="NC92" s="27"/>
      <c r="ND92" s="27"/>
      <c r="NE92" s="27"/>
      <c r="NF92" s="27"/>
      <c r="NG92" s="27"/>
      <c r="NH92" s="27"/>
      <c r="NI92" s="27"/>
      <c r="NJ92" s="27"/>
      <c r="NK92" s="27"/>
      <c r="NL92" s="27"/>
      <c r="NM92" s="27"/>
      <c r="NN92" s="27"/>
      <c r="NO92" s="27"/>
      <c r="NP92" s="27"/>
      <c r="NQ92" s="27"/>
      <c r="NR92" s="27"/>
      <c r="NS92" s="27"/>
      <c r="NT92" s="27"/>
      <c r="NU92" s="27"/>
      <c r="NV92" s="27"/>
      <c r="NW92" s="27"/>
      <c r="NX92" s="27"/>
      <c r="NY92" s="27"/>
      <c r="NZ92" s="27"/>
      <c r="OA92" s="27"/>
      <c r="OB92" s="27"/>
      <c r="OC92" s="27"/>
      <c r="OD92" s="27"/>
      <c r="OE92" s="27"/>
      <c r="OF92" s="27"/>
      <c r="OG92" s="27"/>
      <c r="OH92" s="27"/>
      <c r="OI92" s="27"/>
      <c r="OJ92" s="27"/>
      <c r="OK92" s="27"/>
      <c r="OL92" s="27"/>
      <c r="OM92" s="27"/>
      <c r="ON92" s="27"/>
      <c r="OO92" s="27"/>
      <c r="OP92" s="27"/>
      <c r="OQ92" s="27"/>
      <c r="OR92" s="27"/>
      <c r="OS92" s="27"/>
      <c r="OT92" s="27"/>
      <c r="OU92" s="27"/>
      <c r="OV92" s="27"/>
      <c r="OW92" s="27"/>
      <c r="OX92" s="27"/>
      <c r="OY92" s="27"/>
      <c r="OZ92" s="27"/>
      <c r="PA92" s="27"/>
      <c r="PB92" s="27"/>
      <c r="PC92" s="27"/>
      <c r="PD92" s="27"/>
      <c r="PE92" s="27"/>
      <c r="PF92" s="27"/>
      <c r="PG92" s="27"/>
      <c r="PH92" s="27"/>
      <c r="PI92" s="27"/>
      <c r="PJ92" s="27"/>
      <c r="PK92" s="27"/>
      <c r="PL92" s="27"/>
      <c r="PM92" s="27"/>
      <c r="PN92" s="27"/>
      <c r="PO92" s="27"/>
      <c r="PP92" s="27"/>
      <c r="PQ92" s="27"/>
      <c r="PR92" s="27"/>
      <c r="PS92" s="27"/>
      <c r="PT92" s="27"/>
      <c r="PU92" s="27"/>
      <c r="PV92" s="27"/>
      <c r="PW92" s="27"/>
      <c r="PX92" s="27"/>
      <c r="PY92" s="27"/>
      <c r="PZ92" s="27"/>
      <c r="QA92" s="27"/>
      <c r="QB92" s="27"/>
      <c r="QC92" s="27"/>
      <c r="QD92" s="27"/>
      <c r="QE92" s="27"/>
      <c r="QF92" s="27"/>
      <c r="QG92" s="27"/>
      <c r="QH92" s="27"/>
      <c r="QI92" s="27"/>
      <c r="QJ92" s="27"/>
      <c r="QK92" s="27"/>
      <c r="QL92" s="27"/>
      <c r="QM92" s="27"/>
      <c r="QN92" s="27"/>
      <c r="QO92" s="27"/>
      <c r="QP92" s="27"/>
      <c r="QQ92" s="27"/>
      <c r="QR92" s="27"/>
      <c r="QS92" s="27"/>
      <c r="QT92" s="27"/>
      <c r="QU92" s="27"/>
      <c r="QV92" s="27"/>
      <c r="QW92" s="27"/>
      <c r="QX92" s="27"/>
      <c r="QY92" s="27"/>
      <c r="QZ92" s="27"/>
      <c r="RA92" s="27"/>
      <c r="RB92" s="27"/>
      <c r="RC92" s="27"/>
      <c r="RD92" s="27"/>
      <c r="RE92" s="27"/>
      <c r="RF92" s="27"/>
      <c r="RG92" s="27"/>
      <c r="RH92" s="27"/>
      <c r="RI92" s="27"/>
      <c r="RJ92" s="27"/>
      <c r="RK92" s="27"/>
      <c r="RL92" s="27"/>
      <c r="RM92" s="27"/>
      <c r="RN92" s="27"/>
      <c r="RO92" s="27"/>
      <c r="RP92" s="27"/>
      <c r="RQ92" s="27"/>
      <c r="RR92" s="27"/>
      <c r="RS92" s="27"/>
      <c r="RT92" s="27"/>
      <c r="RU92" s="27"/>
      <c r="RV92" s="27"/>
      <c r="RW92" s="27"/>
      <c r="RX92" s="27"/>
      <c r="RY92" s="27"/>
      <c r="RZ92" s="27"/>
      <c r="SA92" s="27"/>
      <c r="SB92" s="27"/>
      <c r="SC92" s="27"/>
      <c r="SD92" s="27"/>
      <c r="SE92" s="27"/>
      <c r="SF92" s="27"/>
      <c r="SG92" s="27"/>
      <c r="SH92" s="27"/>
      <c r="SI92" s="27"/>
      <c r="SJ92" s="27"/>
      <c r="SK92" s="27"/>
      <c r="SL92" s="27"/>
      <c r="SM92" s="27"/>
      <c r="SN92" s="27"/>
      <c r="SO92" s="27"/>
      <c r="SP92" s="27"/>
      <c r="SQ92" s="27"/>
      <c r="SR92" s="27"/>
      <c r="SS92" s="27"/>
      <c r="ST92" s="27"/>
      <c r="SU92" s="27"/>
      <c r="SV92" s="27"/>
      <c r="SW92" s="27"/>
      <c r="SX92" s="27"/>
      <c r="SY92" s="27"/>
      <c r="SZ92" s="27"/>
      <c r="TA92" s="27"/>
      <c r="TB92" s="27"/>
      <c r="TC92" s="27"/>
      <c r="TD92" s="27"/>
      <c r="TE92" s="27"/>
      <c r="TF92" s="27"/>
      <c r="TG92" s="27"/>
      <c r="TH92" s="27"/>
      <c r="TI92" s="27"/>
      <c r="TJ92" s="27"/>
      <c r="TK92" s="27"/>
      <c r="TL92" s="27"/>
      <c r="TM92" s="27"/>
      <c r="TN92" s="27"/>
      <c r="TO92" s="27"/>
      <c r="TP92" s="27"/>
      <c r="TQ92" s="27"/>
      <c r="TR92" s="27"/>
      <c r="TS92" s="27"/>
      <c r="TT92" s="27"/>
      <c r="TU92" s="27"/>
      <c r="TV92" s="27"/>
      <c r="TW92" s="27"/>
      <c r="TX92" s="27"/>
      <c r="TY92" s="27"/>
      <c r="TZ92" s="27"/>
      <c r="UA92" s="27"/>
      <c r="UB92" s="27"/>
      <c r="UC92" s="27"/>
      <c r="UD92" s="27"/>
      <c r="UE92" s="27"/>
      <c r="UF92" s="27"/>
      <c r="UG92" s="27"/>
      <c r="UH92" s="27"/>
      <c r="UI92" s="27"/>
      <c r="UJ92" s="27"/>
      <c r="UK92" s="27"/>
      <c r="UL92" s="27"/>
      <c r="UM92" s="27"/>
      <c r="UN92" s="27"/>
      <c r="UO92" s="27"/>
      <c r="UP92" s="27"/>
      <c r="UQ92" s="27"/>
      <c r="UR92" s="27"/>
      <c r="US92" s="27"/>
      <c r="UT92" s="27"/>
      <c r="UU92" s="27"/>
      <c r="UV92" s="27"/>
      <c r="UW92" s="27"/>
      <c r="UX92" s="27"/>
      <c r="UY92" s="27"/>
      <c r="UZ92" s="27"/>
      <c r="VA92" s="27"/>
      <c r="VB92" s="27"/>
      <c r="VC92" s="27"/>
      <c r="VD92" s="27"/>
      <c r="VE92" s="27"/>
      <c r="VF92" s="27"/>
      <c r="VG92" s="27"/>
      <c r="VH92" s="27"/>
      <c r="VI92" s="27"/>
      <c r="VJ92" s="27"/>
      <c r="VK92" s="27"/>
      <c r="VL92" s="27"/>
      <c r="VM92" s="27"/>
      <c r="VN92" s="27"/>
      <c r="VO92" s="27"/>
      <c r="VP92" s="27"/>
      <c r="VQ92" s="27"/>
      <c r="VR92" s="27"/>
      <c r="VS92" s="27"/>
      <c r="VT92" s="27"/>
      <c r="VU92" s="27"/>
      <c r="VV92" s="27"/>
      <c r="VW92" s="27"/>
      <c r="VX92" s="27"/>
      <c r="VY92" s="27"/>
      <c r="VZ92" s="27"/>
      <c r="WA92" s="27"/>
      <c r="WB92" s="27"/>
      <c r="WC92" s="27"/>
      <c r="WD92" s="27"/>
      <c r="WE92" s="27"/>
      <c r="WF92" s="27"/>
      <c r="WG92" s="27"/>
      <c r="WH92" s="27"/>
      <c r="WI92" s="27"/>
      <c r="WJ92" s="27"/>
      <c r="WK92" s="27"/>
      <c r="WL92" s="27"/>
      <c r="WM92" s="27"/>
      <c r="WN92" s="27"/>
      <c r="WO92" s="27"/>
      <c r="WP92" s="27"/>
      <c r="WQ92" s="27"/>
      <c r="WR92" s="27"/>
      <c r="WS92" s="27"/>
      <c r="WT92" s="27"/>
      <c r="WU92" s="27"/>
      <c r="WV92" s="27"/>
      <c r="WW92" s="27"/>
      <c r="WX92" s="27"/>
      <c r="WY92" s="27"/>
      <c r="WZ92" s="27"/>
      <c r="XA92" s="27"/>
      <c r="XB92" s="27"/>
      <c r="XC92" s="27"/>
      <c r="XD92" s="27"/>
      <c r="XE92" s="27"/>
      <c r="XF92" s="27"/>
      <c r="XG92" s="27"/>
      <c r="XH92" s="27"/>
      <c r="XI92" s="27"/>
      <c r="XJ92" s="27"/>
      <c r="XK92" s="27"/>
      <c r="XL92" s="27"/>
      <c r="XM92" s="27"/>
      <c r="XN92" s="27"/>
      <c r="XO92" s="27"/>
      <c r="XP92" s="27"/>
      <c r="XQ92" s="27"/>
      <c r="XR92" s="27"/>
      <c r="XS92" s="27"/>
      <c r="XT92" s="27"/>
      <c r="XU92" s="27"/>
      <c r="XV92" s="27"/>
      <c r="XW92" s="27"/>
      <c r="XX92" s="27"/>
      <c r="XY92" s="27"/>
      <c r="XZ92" s="27"/>
      <c r="YA92" s="27"/>
      <c r="YB92" s="27"/>
      <c r="YC92" s="27"/>
      <c r="YD92" s="27"/>
      <c r="YE92" s="27"/>
      <c r="YF92" s="27"/>
      <c r="YG92" s="27"/>
      <c r="YH92" s="27"/>
      <c r="YI92" s="27"/>
      <c r="YJ92" s="27"/>
      <c r="YK92" s="27"/>
      <c r="YL92" s="27"/>
      <c r="YM92" s="27"/>
      <c r="YN92" s="27"/>
      <c r="YO92" s="27"/>
      <c r="YP92" s="27"/>
      <c r="YQ92" s="27"/>
      <c r="YR92" s="27"/>
      <c r="YS92" s="27"/>
      <c r="YT92" s="27"/>
      <c r="YU92" s="27"/>
      <c r="YV92" s="27"/>
      <c r="YW92" s="27"/>
      <c r="YX92" s="27"/>
      <c r="YY92" s="27"/>
      <c r="YZ92" s="27"/>
      <c r="ZA92" s="27"/>
      <c r="ZB92" s="27"/>
      <c r="ZC92" s="27"/>
      <c r="ZD92" s="27"/>
      <c r="ZE92" s="27"/>
      <c r="ZF92" s="27"/>
      <c r="ZG92" s="27"/>
      <c r="ZH92" s="27"/>
      <c r="ZI92" s="27"/>
      <c r="ZJ92" s="27"/>
      <c r="ZK92" s="27"/>
      <c r="ZL92" s="27"/>
      <c r="ZM92" s="27"/>
      <c r="ZN92" s="27"/>
      <c r="ZO92" s="27"/>
      <c r="ZP92" s="27"/>
      <c r="ZQ92" s="27"/>
      <c r="ZR92" s="27"/>
      <c r="ZS92" s="27"/>
      <c r="ZT92" s="27"/>
      <c r="ZU92" s="27"/>
      <c r="ZV92" s="27"/>
      <c r="ZW92" s="27"/>
      <c r="ZX92" s="27"/>
      <c r="ZY92" s="27"/>
      <c r="ZZ92" s="27"/>
      <c r="AAA92" s="27"/>
      <c r="AAB92" s="27"/>
      <c r="AAC92" s="27"/>
      <c r="AAD92" s="27"/>
      <c r="AAE92" s="27"/>
      <c r="AAF92" s="27"/>
      <c r="AAG92" s="27"/>
      <c r="AAH92" s="27"/>
      <c r="AAI92" s="27"/>
      <c r="AAJ92" s="27"/>
      <c r="AAK92" s="27"/>
      <c r="AAL92" s="27"/>
      <c r="AAM92" s="27"/>
      <c r="AAN92" s="27"/>
      <c r="AAO92" s="27"/>
      <c r="AAP92" s="27"/>
      <c r="AAQ92" s="27"/>
      <c r="AAR92" s="27"/>
      <c r="AAS92" s="27"/>
      <c r="AAT92" s="27"/>
      <c r="AAU92" s="27"/>
      <c r="AAV92" s="27"/>
      <c r="AAW92" s="27"/>
      <c r="AAX92" s="27"/>
      <c r="AAY92" s="27"/>
      <c r="AAZ92" s="27"/>
      <c r="ABA92" s="27"/>
      <c r="ABB92" s="27"/>
      <c r="ABC92" s="27"/>
      <c r="ABD92" s="27"/>
      <c r="ABE92" s="27"/>
      <c r="ABF92" s="27"/>
      <c r="ABG92" s="27"/>
      <c r="ABH92" s="27"/>
      <c r="ABI92" s="27"/>
      <c r="ABJ92" s="27"/>
      <c r="ABK92" s="27"/>
      <c r="ABL92" s="27"/>
      <c r="ABM92" s="27"/>
      <c r="ABN92" s="27"/>
      <c r="ABO92" s="27"/>
      <c r="ABP92" s="27"/>
      <c r="ABQ92" s="27"/>
      <c r="ABR92" s="27"/>
      <c r="ABS92" s="27"/>
      <c r="ABT92" s="27"/>
      <c r="ABU92" s="27"/>
      <c r="ABV92" s="27"/>
      <c r="ABW92" s="27"/>
      <c r="ABX92" s="27"/>
      <c r="ABY92" s="27"/>
      <c r="ABZ92" s="27"/>
      <c r="ACA92" s="27"/>
      <c r="ACB92" s="27"/>
      <c r="ACC92" s="27"/>
      <c r="ACD92" s="27"/>
      <c r="ACE92" s="27"/>
      <c r="ACF92" s="27"/>
      <c r="ACG92" s="27"/>
      <c r="ACH92" s="27"/>
      <c r="ACI92" s="27"/>
      <c r="ACJ92" s="27"/>
      <c r="ACK92" s="27"/>
      <c r="ACL92" s="27"/>
      <c r="ACM92" s="27"/>
      <c r="ACN92" s="27"/>
      <c r="ACO92" s="27"/>
      <c r="ACP92" s="27"/>
      <c r="ACQ92" s="27"/>
      <c r="ACR92" s="27"/>
      <c r="ACS92" s="27"/>
      <c r="ACT92" s="27"/>
      <c r="ACU92" s="27"/>
      <c r="ACV92" s="27"/>
      <c r="ACW92" s="27"/>
      <c r="ACX92" s="27"/>
      <c r="ACY92" s="27"/>
      <c r="ACZ92" s="27"/>
      <c r="ADA92" s="27"/>
      <c r="ADB92" s="27"/>
      <c r="ADC92" s="27"/>
      <c r="ADD92" s="27"/>
      <c r="ADE92" s="27"/>
      <c r="ADF92" s="27"/>
      <c r="ADG92" s="27"/>
      <c r="ADH92" s="27"/>
      <c r="ADI92" s="27"/>
      <c r="ADJ92" s="27"/>
      <c r="ADK92" s="27"/>
      <c r="ADL92" s="27"/>
      <c r="ADM92" s="27"/>
      <c r="ADN92" s="27"/>
      <c r="ADO92" s="27"/>
      <c r="ADP92" s="27"/>
      <c r="ADQ92" s="27"/>
      <c r="ADR92" s="27"/>
      <c r="ADS92" s="27"/>
      <c r="ADT92" s="27"/>
      <c r="ADU92" s="27"/>
      <c r="ADV92" s="27"/>
      <c r="ADW92" s="27"/>
      <c r="ADX92" s="27"/>
      <c r="ADY92" s="27"/>
      <c r="ADZ92" s="27"/>
      <c r="AEA92" s="27"/>
      <c r="AEB92" s="27"/>
      <c r="AEC92" s="27"/>
      <c r="AED92" s="27"/>
      <c r="AEE92" s="27"/>
      <c r="AEF92" s="27"/>
      <c r="AEG92" s="27"/>
      <c r="AEH92" s="27"/>
      <c r="AEI92" s="27"/>
      <c r="AEJ92" s="27"/>
      <c r="AEK92" s="27"/>
      <c r="AEL92" s="27"/>
      <c r="AEM92" s="27"/>
      <c r="AEN92" s="27"/>
      <c r="AEO92" s="27"/>
      <c r="AEP92" s="27"/>
      <c r="AEQ92" s="27"/>
      <c r="AER92" s="27"/>
      <c r="AES92" s="27"/>
      <c r="AET92" s="27"/>
      <c r="AEU92" s="27"/>
      <c r="AEV92" s="27"/>
      <c r="AEW92" s="27"/>
      <c r="AEX92" s="27"/>
      <c r="AEY92" s="27"/>
      <c r="AEZ92" s="27"/>
      <c r="AFA92" s="27"/>
      <c r="AFB92" s="27"/>
      <c r="AFC92" s="27"/>
      <c r="AFD92" s="27"/>
      <c r="AFE92" s="27"/>
      <c r="AFF92" s="27"/>
      <c r="AFG92" s="27"/>
      <c r="AFH92" s="27"/>
      <c r="AFI92" s="27"/>
      <c r="AFJ92" s="27"/>
      <c r="AFK92" s="27"/>
      <c r="AFL92" s="27"/>
      <c r="AFM92" s="27"/>
      <c r="AFN92" s="27"/>
      <c r="AFO92" s="27"/>
      <c r="AFP92" s="27"/>
      <c r="AFQ92" s="27"/>
      <c r="AFR92" s="27"/>
      <c r="AFS92" s="27"/>
      <c r="AFT92" s="27"/>
      <c r="AFU92" s="27"/>
      <c r="AFV92" s="27"/>
      <c r="AFW92" s="27"/>
      <c r="AFX92" s="27"/>
      <c r="AFY92" s="27"/>
      <c r="AFZ92" s="27"/>
      <c r="AGA92" s="27"/>
      <c r="AGB92" s="27"/>
      <c r="AGC92" s="27"/>
      <c r="AGD92" s="27"/>
      <c r="AGE92" s="27"/>
      <c r="AGF92" s="27"/>
      <c r="AGG92" s="27"/>
      <c r="AGH92" s="27"/>
      <c r="AGI92" s="27"/>
      <c r="AGJ92" s="27"/>
      <c r="AGK92" s="27"/>
      <c r="AGL92" s="27"/>
      <c r="AGM92" s="27"/>
      <c r="AGN92" s="27"/>
      <c r="AGO92" s="27"/>
      <c r="AGP92" s="27"/>
      <c r="AGQ92" s="27"/>
      <c r="AGR92" s="27"/>
      <c r="AGS92" s="27"/>
      <c r="AGT92" s="27"/>
      <c r="AGU92" s="27"/>
      <c r="AGV92" s="27"/>
      <c r="AGW92" s="27"/>
      <c r="AGX92" s="27"/>
      <c r="AGY92" s="27"/>
      <c r="AGZ92" s="27"/>
      <c r="AHA92" s="27"/>
      <c r="AHB92" s="27"/>
      <c r="AHC92" s="27"/>
      <c r="AHD92" s="27"/>
      <c r="AHE92" s="27"/>
      <c r="AHF92" s="27"/>
      <c r="AHG92" s="27"/>
      <c r="AHH92" s="27"/>
      <c r="AHI92" s="27"/>
      <c r="AHJ92" s="27"/>
      <c r="AHK92" s="27"/>
      <c r="AHL92" s="27"/>
      <c r="AHM92" s="27"/>
      <c r="AHN92" s="27"/>
      <c r="AHO92" s="27"/>
      <c r="AHP92" s="27"/>
      <c r="AHQ92" s="27"/>
      <c r="AHR92" s="27"/>
      <c r="AHS92" s="27"/>
      <c r="AHT92" s="27"/>
      <c r="AHU92" s="27"/>
      <c r="AHV92" s="27"/>
      <c r="AHW92" s="27"/>
      <c r="AHX92" s="27"/>
      <c r="AHY92" s="27"/>
      <c r="AHZ92" s="27"/>
      <c r="AIA92" s="27"/>
      <c r="AIB92" s="27"/>
      <c r="AIC92" s="27"/>
      <c r="AID92" s="27"/>
      <c r="AIE92" s="27"/>
      <c r="AIF92" s="27"/>
      <c r="AIG92" s="27"/>
      <c r="AIH92" s="27"/>
      <c r="AII92" s="27"/>
      <c r="AIJ92" s="27"/>
      <c r="AIK92" s="27"/>
      <c r="AIL92" s="27"/>
      <c r="AIM92" s="27"/>
      <c r="AIN92" s="27"/>
      <c r="AIO92" s="27"/>
      <c r="AIP92" s="27"/>
      <c r="AIQ92" s="27"/>
      <c r="AIR92" s="27"/>
      <c r="AIS92" s="27"/>
      <c r="AIT92" s="27"/>
      <c r="AIU92" s="27"/>
      <c r="AIV92" s="27"/>
      <c r="AIW92" s="27"/>
      <c r="AIX92" s="27"/>
      <c r="AIY92" s="27"/>
      <c r="AIZ92" s="27"/>
      <c r="AJA92" s="27"/>
      <c r="AJB92" s="27"/>
      <c r="AJC92" s="27"/>
      <c r="AJD92" s="27"/>
      <c r="AJE92" s="27"/>
      <c r="AJF92" s="27"/>
      <c r="AJG92" s="27"/>
      <c r="AJH92" s="27"/>
      <c r="AJI92" s="27"/>
      <c r="AJJ92" s="27"/>
      <c r="AJK92" s="27"/>
      <c r="AJL92" s="27"/>
      <c r="AJM92" s="27"/>
      <c r="AJN92" s="27"/>
      <c r="AJO92" s="27"/>
      <c r="AJP92" s="27"/>
      <c r="AJQ92" s="27"/>
      <c r="AJR92" s="27"/>
      <c r="AJS92" s="27"/>
      <c r="AJT92" s="27"/>
      <c r="AJU92" s="27"/>
      <c r="AJV92" s="27"/>
      <c r="AJW92" s="27"/>
      <c r="AJX92" s="27"/>
      <c r="AJY92" s="27"/>
      <c r="AJZ92" s="27"/>
      <c r="AKA92" s="27"/>
      <c r="AKB92" s="27"/>
      <c r="AKC92" s="27"/>
      <c r="AKD92" s="27"/>
      <c r="AKE92" s="27"/>
      <c r="AKF92" s="27"/>
      <c r="AKG92" s="27"/>
      <c r="AKH92" s="27"/>
      <c r="AKI92" s="27"/>
      <c r="AKJ92" s="27"/>
      <c r="AKK92" s="27"/>
      <c r="AKL92" s="27"/>
      <c r="AKM92" s="27"/>
      <c r="AKN92" s="27"/>
      <c r="AKO92" s="27"/>
      <c r="AKP92" s="27"/>
      <c r="AKQ92" s="27"/>
      <c r="AKR92" s="27"/>
      <c r="AKS92" s="27"/>
      <c r="AKT92" s="27"/>
      <c r="AKU92" s="27"/>
      <c r="AKV92" s="27"/>
      <c r="AKW92" s="27"/>
      <c r="AKX92" s="27"/>
      <c r="AKY92" s="27"/>
      <c r="AKZ92" s="27"/>
      <c r="ALA92" s="27"/>
      <c r="ALB92" s="27"/>
      <c r="ALC92" s="27"/>
      <c r="ALD92" s="27"/>
      <c r="ALE92" s="27"/>
      <c r="ALF92" s="27"/>
      <c r="ALG92" s="27"/>
      <c r="ALH92" s="27"/>
      <c r="ALI92" s="27"/>
      <c r="ALJ92" s="27"/>
      <c r="ALK92" s="27"/>
      <c r="ALL92" s="27"/>
      <c r="ALM92" s="27"/>
      <c r="ALN92" s="27"/>
      <c r="ALO92" s="27"/>
      <c r="ALP92" s="27"/>
      <c r="ALQ92" s="27"/>
      <c r="ALR92" s="27"/>
      <c r="ALS92" s="27"/>
      <c r="ALT92" s="27"/>
      <c r="ALU92" s="27"/>
      <c r="ALV92" s="27"/>
      <c r="ALW92" s="27"/>
      <c r="ALX92" s="27"/>
      <c r="ALY92" s="27"/>
      <c r="ALZ92" s="27"/>
      <c r="AMA92" s="27"/>
      <c r="AMB92" s="27"/>
      <c r="AMC92" s="27"/>
      <c r="AMD92" s="27"/>
      <c r="AME92" s="27"/>
      <c r="AMF92" s="27"/>
      <c r="AMG92" s="27"/>
      <c r="AMH92" s="27"/>
      <c r="AMI92" s="27"/>
    </row>
    <row r="93" spans="1:1023" x14ac:dyDescent="0.15">
      <c r="A93" t="s">
        <v>108</v>
      </c>
      <c r="E93" t="s">
        <v>15</v>
      </c>
      <c r="F93" t="s">
        <v>109</v>
      </c>
      <c r="H93">
        <v>650</v>
      </c>
      <c r="I93" t="b">
        <v>0</v>
      </c>
      <c r="J93" s="1" t="s">
        <v>17</v>
      </c>
      <c r="K93" t="s">
        <v>107</v>
      </c>
      <c r="L93">
        <v>0</v>
      </c>
      <c r="M93" s="7" t="b">
        <v>0</v>
      </c>
      <c r="N93" s="7" t="b">
        <v>0</v>
      </c>
      <c r="O93" s="1" t="s">
        <v>19</v>
      </c>
      <c r="P93" s="1" t="s">
        <v>17</v>
      </c>
      <c r="Q93" s="1" t="s">
        <v>19</v>
      </c>
      <c r="R93" s="1" t="s">
        <v>17</v>
      </c>
      <c r="S93" s="1" t="s">
        <v>17</v>
      </c>
      <c r="T93" s="1" t="s">
        <v>17</v>
      </c>
      <c r="U93" t="str">
        <f t="shared" si="8"/>
        <v>filter|genotype</v>
      </c>
      <c r="V93" t="str">
        <f t="shared" si="9"/>
        <v/>
      </c>
      <c r="W93" t="str">
        <f t="shared" si="10"/>
        <v>filter</v>
      </c>
      <c r="X93" t="str">
        <f t="shared" si="11"/>
        <v/>
      </c>
      <c r="Y93" t="str">
        <f t="shared" si="12"/>
        <v>genotype</v>
      </c>
      <c r="Z93" t="str">
        <f t="shared" si="13"/>
        <v/>
      </c>
      <c r="AA93" t="str">
        <f t="shared" si="14"/>
        <v/>
      </c>
      <c r="AB93" t="str">
        <f t="shared" si="15"/>
        <v/>
      </c>
      <c r="AC93" t="str">
        <f>IF(C93="Unit","unit","")</f>
        <v/>
      </c>
    </row>
    <row r="94" spans="1:1023" x14ac:dyDescent="0.15">
      <c r="A94" t="s">
        <v>2776</v>
      </c>
      <c r="E94" t="s">
        <v>15</v>
      </c>
      <c r="F94" t="s">
        <v>3233</v>
      </c>
      <c r="H94">
        <v>500</v>
      </c>
      <c r="I94" t="b">
        <v>0</v>
      </c>
      <c r="J94" s="1" t="s">
        <v>19</v>
      </c>
      <c r="K94" t="s">
        <v>39</v>
      </c>
      <c r="L94">
        <v>0</v>
      </c>
      <c r="M94" s="2" t="b">
        <v>0</v>
      </c>
      <c r="N94" s="7" t="b">
        <v>0</v>
      </c>
      <c r="O94" s="1" t="s">
        <v>19</v>
      </c>
      <c r="P94" s="1" t="s">
        <v>17</v>
      </c>
      <c r="Q94" s="1" t="s">
        <v>17</v>
      </c>
      <c r="R94" s="1" t="s">
        <v>17</v>
      </c>
      <c r="S94" s="1" t="s">
        <v>19</v>
      </c>
      <c r="T94" s="1" t="s">
        <v>17</v>
      </c>
      <c r="U94" t="str">
        <f t="shared" si="8"/>
        <v>filter|dataset</v>
      </c>
      <c r="V94" t="str">
        <f t="shared" si="9"/>
        <v/>
      </c>
      <c r="W94" t="str">
        <f t="shared" si="10"/>
        <v>filter</v>
      </c>
      <c r="X94" t="str">
        <f t="shared" si="11"/>
        <v/>
      </c>
      <c r="Y94" t="str">
        <f t="shared" si="12"/>
        <v/>
      </c>
      <c r="Z94" t="str">
        <f t="shared" si="13"/>
        <v/>
      </c>
      <c r="AA94" t="str">
        <f t="shared" si="14"/>
        <v>dataset</v>
      </c>
      <c r="AB94" t="str">
        <f t="shared" si="15"/>
        <v/>
      </c>
      <c r="AC94" t="str">
        <f>IF(C94="Unit","unit","")</f>
        <v/>
      </c>
    </row>
    <row r="95" spans="1:1023" x14ac:dyDescent="0.15">
      <c r="A95" s="6" t="s">
        <v>148</v>
      </c>
      <c r="B95" s="6"/>
      <c r="C95" s="6"/>
      <c r="D95" s="6"/>
      <c r="E95" t="s">
        <v>15</v>
      </c>
      <c r="F95" t="s">
        <v>154</v>
      </c>
      <c r="H95">
        <v>400</v>
      </c>
      <c r="I95" t="b">
        <v>0</v>
      </c>
      <c r="J95" s="1" t="s">
        <v>17</v>
      </c>
      <c r="K95" t="s">
        <v>150</v>
      </c>
      <c r="L95">
        <v>1</v>
      </c>
      <c r="M95" s="7" t="b">
        <v>0</v>
      </c>
      <c r="N95" s="7" t="b">
        <v>0</v>
      </c>
      <c r="O95" s="1" t="s">
        <v>19</v>
      </c>
      <c r="P95" s="1" t="s">
        <v>17</v>
      </c>
      <c r="Q95" s="1" t="s">
        <v>17</v>
      </c>
      <c r="R95" s="1" t="s">
        <v>17</v>
      </c>
      <c r="S95" s="1" t="s">
        <v>19</v>
      </c>
      <c r="T95" s="1" t="s">
        <v>17</v>
      </c>
      <c r="U95" t="str">
        <f t="shared" si="8"/>
        <v>filter|dataset</v>
      </c>
      <c r="V95" t="str">
        <f t="shared" si="9"/>
        <v/>
      </c>
      <c r="W95" t="str">
        <f t="shared" si="10"/>
        <v>filter</v>
      </c>
      <c r="X95" t="str">
        <f t="shared" si="11"/>
        <v/>
      </c>
      <c r="Y95" t="str">
        <f t="shared" si="12"/>
        <v/>
      </c>
      <c r="Z95" t="str">
        <f t="shared" si="13"/>
        <v/>
      </c>
      <c r="AA95" t="str">
        <f t="shared" si="14"/>
        <v>dataset</v>
      </c>
      <c r="AB95" t="str">
        <f t="shared" si="15"/>
        <v/>
      </c>
      <c r="AC95" t="str">
        <f>IF(C95="Unit","unit","")</f>
        <v/>
      </c>
    </row>
    <row r="96" spans="1:1023" x14ac:dyDescent="0.15">
      <c r="A96" t="s">
        <v>2746</v>
      </c>
      <c r="E96" t="s">
        <v>15</v>
      </c>
      <c r="F96" t="s">
        <v>2747</v>
      </c>
      <c r="H96">
        <v>500</v>
      </c>
      <c r="I96" t="b">
        <v>0</v>
      </c>
      <c r="J96" s="1" t="s">
        <v>17</v>
      </c>
      <c r="K96" t="s">
        <v>18</v>
      </c>
      <c r="L96">
        <v>0</v>
      </c>
      <c r="M96" s="2" t="b">
        <v>0</v>
      </c>
      <c r="N96" s="7" t="b">
        <v>0</v>
      </c>
      <c r="O96" s="1" t="s">
        <v>19</v>
      </c>
      <c r="P96" s="1" t="s">
        <v>17</v>
      </c>
      <c r="Q96" s="1" t="s">
        <v>17</v>
      </c>
      <c r="R96" s="1" t="s">
        <v>17</v>
      </c>
      <c r="S96" s="1" t="s">
        <v>19</v>
      </c>
      <c r="T96" s="1" t="s">
        <v>17</v>
      </c>
      <c r="U96" t="str">
        <f t="shared" si="8"/>
        <v>filter|dataset</v>
      </c>
      <c r="V96" t="str">
        <f t="shared" si="9"/>
        <v/>
      </c>
      <c r="W96" t="str">
        <f t="shared" si="10"/>
        <v>filter</v>
      </c>
      <c r="X96" t="str">
        <f t="shared" si="11"/>
        <v/>
      </c>
      <c r="Y96" t="str">
        <f t="shared" si="12"/>
        <v/>
      </c>
      <c r="Z96" t="str">
        <f t="shared" si="13"/>
        <v/>
      </c>
      <c r="AA96" t="str">
        <f t="shared" si="14"/>
        <v>dataset</v>
      </c>
      <c r="AB96" t="str">
        <f t="shared" si="15"/>
        <v/>
      </c>
      <c r="AC96" t="str">
        <f>IF(C96="Unit","unit","")</f>
        <v/>
      </c>
    </row>
    <row r="97" spans="1:29" x14ac:dyDescent="0.15">
      <c r="A97" s="6" t="s">
        <v>61</v>
      </c>
      <c r="B97" s="6"/>
      <c r="C97" s="6"/>
      <c r="D97" s="6" t="s">
        <v>3973</v>
      </c>
      <c r="E97" t="s">
        <v>15</v>
      </c>
      <c r="F97" t="s">
        <v>62</v>
      </c>
      <c r="H97">
        <v>600</v>
      </c>
      <c r="I97" t="b">
        <v>0</v>
      </c>
      <c r="J97" s="1" t="s">
        <v>17</v>
      </c>
      <c r="K97" t="s">
        <v>18</v>
      </c>
      <c r="L97">
        <v>0</v>
      </c>
      <c r="M97" s="7" t="b">
        <v>0</v>
      </c>
      <c r="N97" s="7" t="b">
        <v>0</v>
      </c>
      <c r="O97" s="1" t="s">
        <v>19</v>
      </c>
      <c r="P97" s="1" t="s">
        <v>17</v>
      </c>
      <c r="Q97" s="1" t="s">
        <v>17</v>
      </c>
      <c r="R97" s="1" t="s">
        <v>17</v>
      </c>
      <c r="S97" s="1" t="s">
        <v>19</v>
      </c>
      <c r="T97" s="1" t="s">
        <v>19</v>
      </c>
      <c r="U97" t="str">
        <f t="shared" si="8"/>
        <v>filter|dataset|sample</v>
      </c>
      <c r="V97" t="str">
        <f t="shared" si="9"/>
        <v/>
      </c>
      <c r="W97" t="str">
        <f t="shared" si="10"/>
        <v>filter</v>
      </c>
      <c r="X97" t="str">
        <f t="shared" si="11"/>
        <v/>
      </c>
      <c r="Y97" t="str">
        <f t="shared" si="12"/>
        <v/>
      </c>
      <c r="Z97" t="str">
        <f t="shared" si="13"/>
        <v/>
      </c>
      <c r="AA97" t="str">
        <f t="shared" si="14"/>
        <v>dataset</v>
      </c>
      <c r="AB97" t="str">
        <f t="shared" si="15"/>
        <v>sample</v>
      </c>
      <c r="AC97" t="str">
        <f>IF(C97="Unit","unit","")</f>
        <v/>
      </c>
    </row>
    <row r="98" spans="1:29" x14ac:dyDescent="0.15">
      <c r="A98" s="6" t="s">
        <v>24</v>
      </c>
      <c r="B98" s="6"/>
      <c r="C98" s="6"/>
      <c r="D98" s="6" t="s">
        <v>3973</v>
      </c>
      <c r="E98" s="6" t="s">
        <v>25</v>
      </c>
      <c r="F98" s="6" t="s">
        <v>26</v>
      </c>
      <c r="G98" s="6"/>
      <c r="H98">
        <v>550</v>
      </c>
      <c r="I98" t="b">
        <v>0</v>
      </c>
      <c r="J98" s="1" t="s">
        <v>17</v>
      </c>
      <c r="K98" t="s">
        <v>27</v>
      </c>
      <c r="L98">
        <v>1</v>
      </c>
      <c r="M98" s="7" t="b">
        <v>0</v>
      </c>
      <c r="N98" s="7" t="b">
        <v>0</v>
      </c>
      <c r="O98" s="1" t="s">
        <v>19</v>
      </c>
      <c r="P98" s="1" t="s">
        <v>17</v>
      </c>
      <c r="Q98" s="1" t="s">
        <v>17</v>
      </c>
      <c r="R98" s="1" t="s">
        <v>17</v>
      </c>
      <c r="S98" s="1" t="s">
        <v>19</v>
      </c>
      <c r="T98" s="1" t="s">
        <v>17</v>
      </c>
      <c r="U98" t="str">
        <f t="shared" si="8"/>
        <v>filter|dataset</v>
      </c>
      <c r="V98" t="str">
        <f t="shared" si="9"/>
        <v/>
      </c>
      <c r="W98" t="str">
        <f t="shared" si="10"/>
        <v>filter</v>
      </c>
      <c r="X98" t="str">
        <f t="shared" si="11"/>
        <v/>
      </c>
      <c r="Y98" t="str">
        <f t="shared" si="12"/>
        <v/>
      </c>
      <c r="Z98" t="str">
        <f t="shared" si="13"/>
        <v/>
      </c>
      <c r="AA98" t="str">
        <f t="shared" si="14"/>
        <v>dataset</v>
      </c>
      <c r="AB98" t="str">
        <f t="shared" si="15"/>
        <v/>
      </c>
      <c r="AC98" t="str">
        <f>IF(C98="Unit","unit","")</f>
        <v/>
      </c>
    </row>
    <row r="99" spans="1:29" x14ac:dyDescent="0.15">
      <c r="A99" t="s">
        <v>63</v>
      </c>
      <c r="E99" t="s">
        <v>15</v>
      </c>
      <c r="F99" t="s">
        <v>64</v>
      </c>
      <c r="H99">
        <v>200</v>
      </c>
      <c r="I99" t="b">
        <v>0</v>
      </c>
      <c r="J99" s="1" t="s">
        <v>17</v>
      </c>
      <c r="K99" t="s">
        <v>65</v>
      </c>
      <c r="L99">
        <v>0</v>
      </c>
      <c r="M99" s="7" t="b">
        <v>0</v>
      </c>
      <c r="N99" s="7" t="b">
        <v>0</v>
      </c>
      <c r="O99" s="1" t="s">
        <v>19</v>
      </c>
      <c r="P99" s="1" t="s">
        <v>17</v>
      </c>
      <c r="Q99" s="1" t="s">
        <v>17</v>
      </c>
      <c r="R99" s="1" t="s">
        <v>17</v>
      </c>
      <c r="S99" s="1" t="s">
        <v>19</v>
      </c>
      <c r="T99" s="1" t="s">
        <v>17</v>
      </c>
      <c r="U99" t="str">
        <f t="shared" si="8"/>
        <v>filter|dataset</v>
      </c>
      <c r="V99" t="str">
        <f t="shared" si="9"/>
        <v/>
      </c>
      <c r="W99" t="str">
        <f t="shared" si="10"/>
        <v>filter</v>
      </c>
      <c r="X99" t="str">
        <f t="shared" si="11"/>
        <v/>
      </c>
      <c r="Y99" t="str">
        <f t="shared" si="12"/>
        <v/>
      </c>
      <c r="Z99" t="str">
        <f t="shared" si="13"/>
        <v/>
      </c>
      <c r="AA99" t="str">
        <f t="shared" si="14"/>
        <v>dataset</v>
      </c>
      <c r="AB99" t="str">
        <f t="shared" si="15"/>
        <v/>
      </c>
      <c r="AC99" t="str">
        <f>IF(C99="Unit","unit","")</f>
        <v/>
      </c>
    </row>
    <row r="100" spans="1:29" x14ac:dyDescent="0.15">
      <c r="A100" t="s">
        <v>66</v>
      </c>
      <c r="E100" t="s">
        <v>15</v>
      </c>
      <c r="F100" t="s">
        <v>67</v>
      </c>
      <c r="H100">
        <v>200</v>
      </c>
      <c r="I100" t="b">
        <v>0</v>
      </c>
      <c r="J100" s="1" t="s">
        <v>17</v>
      </c>
      <c r="K100" t="s">
        <v>65</v>
      </c>
      <c r="L100">
        <v>0</v>
      </c>
      <c r="M100" s="7" t="b">
        <v>0</v>
      </c>
      <c r="N100" s="7" t="b">
        <v>0</v>
      </c>
      <c r="O100" s="1" t="s">
        <v>19</v>
      </c>
      <c r="P100" s="1" t="s">
        <v>17</v>
      </c>
      <c r="Q100" s="1" t="s">
        <v>17</v>
      </c>
      <c r="R100" s="1" t="s">
        <v>17</v>
      </c>
      <c r="S100" s="1" t="s">
        <v>19</v>
      </c>
      <c r="T100" s="1" t="s">
        <v>17</v>
      </c>
      <c r="U100" t="str">
        <f t="shared" si="8"/>
        <v>filter|dataset</v>
      </c>
      <c r="V100" t="str">
        <f t="shared" si="9"/>
        <v/>
      </c>
      <c r="W100" t="str">
        <f t="shared" si="10"/>
        <v>filter</v>
      </c>
      <c r="X100" t="str">
        <f t="shared" si="11"/>
        <v/>
      </c>
      <c r="Y100" t="str">
        <f t="shared" si="12"/>
        <v/>
      </c>
      <c r="Z100" t="str">
        <f t="shared" si="13"/>
        <v/>
      </c>
      <c r="AA100" t="str">
        <f t="shared" si="14"/>
        <v>dataset</v>
      </c>
      <c r="AB100" t="str">
        <f t="shared" si="15"/>
        <v/>
      </c>
      <c r="AC100" t="str">
        <f>IF(C100="Unit","unit","")</f>
        <v/>
      </c>
    </row>
    <row r="101" spans="1:29" x14ac:dyDescent="0.15">
      <c r="A101" s="6" t="s">
        <v>68</v>
      </c>
      <c r="B101" s="6"/>
      <c r="C101" s="6"/>
      <c r="D101" s="6"/>
      <c r="E101" t="s">
        <v>15</v>
      </c>
      <c r="F101" t="s">
        <v>69</v>
      </c>
      <c r="H101">
        <v>200</v>
      </c>
      <c r="I101" t="b">
        <v>0</v>
      </c>
      <c r="J101" s="1" t="s">
        <v>17</v>
      </c>
      <c r="K101" t="s">
        <v>65</v>
      </c>
      <c r="L101">
        <v>0</v>
      </c>
      <c r="M101" s="7" t="b">
        <v>0</v>
      </c>
      <c r="N101" s="7" t="b">
        <v>0</v>
      </c>
      <c r="O101" s="1" t="s">
        <v>19</v>
      </c>
      <c r="P101" s="1" t="s">
        <v>17</v>
      </c>
      <c r="Q101" s="1" t="s">
        <v>17</v>
      </c>
      <c r="R101" s="1" t="s">
        <v>17</v>
      </c>
      <c r="S101" s="1" t="s">
        <v>19</v>
      </c>
      <c r="T101" s="1" t="s">
        <v>17</v>
      </c>
      <c r="U101" t="str">
        <f t="shared" si="8"/>
        <v>filter|dataset</v>
      </c>
      <c r="V101" t="str">
        <f t="shared" si="9"/>
        <v/>
      </c>
      <c r="W101" t="str">
        <f t="shared" si="10"/>
        <v>filter</v>
      </c>
      <c r="X101" t="str">
        <f t="shared" si="11"/>
        <v/>
      </c>
      <c r="Y101" t="str">
        <f t="shared" si="12"/>
        <v/>
      </c>
      <c r="Z101" t="str">
        <f t="shared" si="13"/>
        <v/>
      </c>
      <c r="AA101" t="str">
        <f t="shared" si="14"/>
        <v>dataset</v>
      </c>
      <c r="AB101" t="str">
        <f t="shared" si="15"/>
        <v/>
      </c>
      <c r="AC101" t="str">
        <f>IF(C101="Unit","unit","")</f>
        <v/>
      </c>
    </row>
    <row r="102" spans="1:29" x14ac:dyDescent="0.15">
      <c r="A102" t="s">
        <v>70</v>
      </c>
      <c r="E102" t="s">
        <v>15</v>
      </c>
      <c r="F102" t="s">
        <v>71</v>
      </c>
      <c r="H102">
        <v>200</v>
      </c>
      <c r="I102" t="b">
        <v>0</v>
      </c>
      <c r="J102" s="1" t="s">
        <v>17</v>
      </c>
      <c r="K102" t="s">
        <v>65</v>
      </c>
      <c r="L102">
        <v>0</v>
      </c>
      <c r="M102" s="7" t="b">
        <v>0</v>
      </c>
      <c r="N102" s="7" t="b">
        <v>0</v>
      </c>
      <c r="O102" s="1" t="s">
        <v>19</v>
      </c>
      <c r="P102" s="1" t="s">
        <v>17</v>
      </c>
      <c r="Q102" s="1" t="s">
        <v>17</v>
      </c>
      <c r="R102" s="1" t="s">
        <v>17</v>
      </c>
      <c r="S102" s="1" t="s">
        <v>19</v>
      </c>
      <c r="T102" s="1" t="s">
        <v>17</v>
      </c>
      <c r="U102" t="str">
        <f t="shared" si="8"/>
        <v>filter|dataset</v>
      </c>
      <c r="V102" t="str">
        <f t="shared" si="9"/>
        <v/>
      </c>
      <c r="W102" t="str">
        <f t="shared" si="10"/>
        <v>filter</v>
      </c>
      <c r="X102" t="str">
        <f t="shared" si="11"/>
        <v/>
      </c>
      <c r="Y102" t="str">
        <f t="shared" si="12"/>
        <v/>
      </c>
      <c r="Z102" t="str">
        <f t="shared" si="13"/>
        <v/>
      </c>
      <c r="AA102" t="str">
        <f t="shared" si="14"/>
        <v>dataset</v>
      </c>
      <c r="AB102" t="str">
        <f t="shared" si="15"/>
        <v/>
      </c>
      <c r="AC102" t="str">
        <f>IF(C102="Unit","unit","")</f>
        <v/>
      </c>
    </row>
    <row r="103" spans="1:29" x14ac:dyDescent="0.15">
      <c r="A103" t="s">
        <v>3959</v>
      </c>
      <c r="D103" t="s">
        <v>3973</v>
      </c>
      <c r="E103" t="s">
        <v>15</v>
      </c>
      <c r="F103" t="s">
        <v>3960</v>
      </c>
      <c r="H103">
        <v>200</v>
      </c>
      <c r="I103" t="b">
        <v>0</v>
      </c>
      <c r="J103" s="1" t="s">
        <v>17</v>
      </c>
      <c r="K103" t="s">
        <v>39</v>
      </c>
      <c r="L103">
        <v>0</v>
      </c>
      <c r="M103" s="7" t="b">
        <v>0</v>
      </c>
      <c r="N103" s="7" t="b">
        <v>0</v>
      </c>
      <c r="O103" s="1" t="s">
        <v>19</v>
      </c>
      <c r="P103" s="1" t="s">
        <v>17</v>
      </c>
      <c r="Q103" s="1" t="s">
        <v>17</v>
      </c>
      <c r="R103" s="1" t="s">
        <v>17</v>
      </c>
      <c r="S103" s="1" t="s">
        <v>19</v>
      </c>
      <c r="T103" s="1" t="s">
        <v>19</v>
      </c>
      <c r="U103" t="str">
        <f t="shared" si="8"/>
        <v>filter|dataset|sample</v>
      </c>
      <c r="V103" t="str">
        <f t="shared" si="9"/>
        <v/>
      </c>
      <c r="W103" t="str">
        <f t="shared" si="10"/>
        <v>filter</v>
      </c>
      <c r="X103" t="str">
        <f t="shared" si="11"/>
        <v/>
      </c>
      <c r="Y103" t="str">
        <f t="shared" si="12"/>
        <v/>
      </c>
      <c r="Z103" t="str">
        <f t="shared" si="13"/>
        <v/>
      </c>
      <c r="AA103" t="str">
        <f t="shared" si="14"/>
        <v>dataset</v>
      </c>
      <c r="AB103" t="str">
        <f t="shared" si="15"/>
        <v>sample</v>
      </c>
      <c r="AC103" t="str">
        <f>IF(C103="Unit","unit","")</f>
        <v/>
      </c>
    </row>
    <row r="104" spans="1:29" x14ac:dyDescent="0.15">
      <c r="A104" s="6" t="s">
        <v>73</v>
      </c>
      <c r="B104" s="6"/>
      <c r="C104" s="6"/>
      <c r="D104" s="6" t="s">
        <v>4073</v>
      </c>
      <c r="E104" s="6" t="s">
        <v>74</v>
      </c>
      <c r="F104" s="6" t="s">
        <v>75</v>
      </c>
      <c r="G104" s="6"/>
      <c r="H104">
        <v>450</v>
      </c>
      <c r="I104" t="b">
        <v>0</v>
      </c>
      <c r="J104" s="1" t="s">
        <v>17</v>
      </c>
      <c r="K104" t="s">
        <v>76</v>
      </c>
      <c r="L104">
        <v>1</v>
      </c>
      <c r="M104" s="7" t="b">
        <v>0</v>
      </c>
      <c r="N104" s="7" t="b">
        <v>0</v>
      </c>
      <c r="O104" s="1" t="s">
        <v>19</v>
      </c>
      <c r="P104" s="1" t="s">
        <v>17</v>
      </c>
      <c r="Q104" s="1" t="s">
        <v>17</v>
      </c>
      <c r="R104" s="1" t="s">
        <v>17</v>
      </c>
      <c r="S104" s="1" t="s">
        <v>19</v>
      </c>
      <c r="T104" s="1" t="s">
        <v>19</v>
      </c>
      <c r="U104" t="str">
        <f t="shared" si="8"/>
        <v>filter|dataset|sample</v>
      </c>
      <c r="V104" t="str">
        <f t="shared" si="9"/>
        <v/>
      </c>
      <c r="W104" t="str">
        <f t="shared" si="10"/>
        <v>filter</v>
      </c>
      <c r="X104" t="str">
        <f t="shared" si="11"/>
        <v/>
      </c>
      <c r="Y104" t="str">
        <f t="shared" si="12"/>
        <v/>
      </c>
      <c r="Z104" t="str">
        <f t="shared" si="13"/>
        <v/>
      </c>
      <c r="AA104" t="str">
        <f t="shared" si="14"/>
        <v>dataset</v>
      </c>
      <c r="AB104" t="str">
        <f t="shared" si="15"/>
        <v>sample</v>
      </c>
      <c r="AC104" t="str">
        <f>IF(C104="Unit","unit","")</f>
        <v/>
      </c>
    </row>
    <row r="105" spans="1:29" x14ac:dyDescent="0.15">
      <c r="A105" t="s">
        <v>137</v>
      </c>
      <c r="D105" t="s">
        <v>4080</v>
      </c>
      <c r="E105" s="6" t="s">
        <v>20</v>
      </c>
      <c r="F105" s="6" t="s">
        <v>139</v>
      </c>
      <c r="G105" s="6"/>
      <c r="H105">
        <v>500</v>
      </c>
      <c r="I105" t="b">
        <v>0</v>
      </c>
      <c r="J105" s="1" t="s">
        <v>17</v>
      </c>
      <c r="K105" t="s">
        <v>23</v>
      </c>
      <c r="L105">
        <v>2</v>
      </c>
      <c r="M105" s="7" t="b">
        <v>0</v>
      </c>
      <c r="N105" s="7" t="b">
        <v>0</v>
      </c>
      <c r="O105" s="1" t="s">
        <v>19</v>
      </c>
      <c r="P105" s="1" t="s">
        <v>17</v>
      </c>
      <c r="Q105" s="1" t="s">
        <v>17</v>
      </c>
      <c r="R105" s="1" t="s">
        <v>17</v>
      </c>
      <c r="S105" s="1" t="s">
        <v>19</v>
      </c>
      <c r="T105" s="1" t="s">
        <v>19</v>
      </c>
      <c r="U105" t="str">
        <f t="shared" si="8"/>
        <v>filter|dataset|sample</v>
      </c>
      <c r="V105" t="str">
        <f t="shared" si="9"/>
        <v/>
      </c>
      <c r="W105" t="str">
        <f t="shared" si="10"/>
        <v>filter</v>
      </c>
      <c r="X105" t="str">
        <f t="shared" si="11"/>
        <v/>
      </c>
      <c r="Y105" t="str">
        <f t="shared" si="12"/>
        <v/>
      </c>
      <c r="Z105" t="str">
        <f t="shared" si="13"/>
        <v/>
      </c>
      <c r="AA105" t="str">
        <f t="shared" si="14"/>
        <v>dataset</v>
      </c>
      <c r="AB105" t="str">
        <f t="shared" si="15"/>
        <v>sample</v>
      </c>
      <c r="AC105" t="str">
        <f>IF(C105="Unit","unit","")</f>
        <v/>
      </c>
    </row>
    <row r="106" spans="1:29" x14ac:dyDescent="0.15">
      <c r="A106" t="s">
        <v>141</v>
      </c>
      <c r="D106" t="s">
        <v>4080</v>
      </c>
      <c r="E106" s="6" t="s">
        <v>20</v>
      </c>
      <c r="F106" s="6" t="s">
        <v>143</v>
      </c>
      <c r="G106" s="6"/>
      <c r="H106">
        <v>500</v>
      </c>
      <c r="I106" t="b">
        <v>0</v>
      </c>
      <c r="J106" s="1" t="s">
        <v>17</v>
      </c>
      <c r="K106" t="s">
        <v>23</v>
      </c>
      <c r="L106">
        <v>2</v>
      </c>
      <c r="M106" s="7" t="b">
        <v>0</v>
      </c>
      <c r="N106" s="7" t="b">
        <v>0</v>
      </c>
      <c r="O106" s="1" t="s">
        <v>19</v>
      </c>
      <c r="P106" s="1" t="s">
        <v>17</v>
      </c>
      <c r="Q106" s="1" t="s">
        <v>17</v>
      </c>
      <c r="R106" s="1" t="s">
        <v>17</v>
      </c>
      <c r="S106" s="1" t="s">
        <v>19</v>
      </c>
      <c r="T106" s="1" t="s">
        <v>19</v>
      </c>
      <c r="U106" t="str">
        <f t="shared" si="8"/>
        <v>filter|dataset|sample</v>
      </c>
      <c r="V106" t="str">
        <f t="shared" si="9"/>
        <v/>
      </c>
      <c r="W106" t="str">
        <f t="shared" si="10"/>
        <v>filter</v>
      </c>
      <c r="X106" t="str">
        <f t="shared" si="11"/>
        <v/>
      </c>
      <c r="Y106" t="str">
        <f t="shared" si="12"/>
        <v/>
      </c>
      <c r="Z106" t="str">
        <f t="shared" si="13"/>
        <v/>
      </c>
      <c r="AA106" t="str">
        <f t="shared" si="14"/>
        <v>dataset</v>
      </c>
      <c r="AB106" t="str">
        <f t="shared" si="15"/>
        <v>sample</v>
      </c>
      <c r="AC106" t="str">
        <f>IF(C106="Unit","unit","")</f>
        <v/>
      </c>
    </row>
    <row r="107" spans="1:29" x14ac:dyDescent="0.15">
      <c r="A107" s="6" t="s">
        <v>3052</v>
      </c>
      <c r="B107" s="6"/>
      <c r="C107" s="6"/>
      <c r="D107" s="6"/>
      <c r="E107" s="6" t="s">
        <v>21</v>
      </c>
      <c r="F107" s="6" t="s">
        <v>3067</v>
      </c>
      <c r="G107" s="6"/>
      <c r="H107">
        <v>500</v>
      </c>
      <c r="I107" t="b">
        <v>0</v>
      </c>
      <c r="J107" s="1" t="s">
        <v>17</v>
      </c>
      <c r="K107" t="s">
        <v>23</v>
      </c>
      <c r="L107">
        <v>2</v>
      </c>
      <c r="M107" s="7" t="b">
        <v>0</v>
      </c>
      <c r="N107" s="7" t="b">
        <v>0</v>
      </c>
      <c r="O107" s="1" t="s">
        <v>19</v>
      </c>
      <c r="P107" s="1" t="s">
        <v>17</v>
      </c>
      <c r="Q107" s="1" t="s">
        <v>17</v>
      </c>
      <c r="R107" s="1" t="s">
        <v>17</v>
      </c>
      <c r="S107" s="1" t="s">
        <v>19</v>
      </c>
      <c r="T107" s="1" t="s">
        <v>19</v>
      </c>
      <c r="U107" t="str">
        <f t="shared" si="8"/>
        <v>filter|dataset|sample</v>
      </c>
      <c r="V107" t="str">
        <f t="shared" si="9"/>
        <v/>
      </c>
      <c r="W107" t="str">
        <f t="shared" si="10"/>
        <v>filter</v>
      </c>
      <c r="X107" t="str">
        <f t="shared" si="11"/>
        <v/>
      </c>
      <c r="Y107" t="str">
        <f t="shared" si="12"/>
        <v/>
      </c>
      <c r="Z107" t="str">
        <f t="shared" si="13"/>
        <v/>
      </c>
      <c r="AA107" t="str">
        <f t="shared" si="14"/>
        <v>dataset</v>
      </c>
      <c r="AB107" t="str">
        <f t="shared" si="15"/>
        <v>sample</v>
      </c>
      <c r="AC107" t="str">
        <f>IF(C107="Unit","unit","")</f>
        <v/>
      </c>
    </row>
    <row r="108" spans="1:29" x14ac:dyDescent="0.15">
      <c r="A108" s="6" t="s">
        <v>3053</v>
      </c>
      <c r="B108" s="6"/>
      <c r="C108" s="6"/>
      <c r="D108" s="6"/>
      <c r="E108" s="6" t="s">
        <v>21</v>
      </c>
      <c r="F108" s="6" t="s">
        <v>3068</v>
      </c>
      <c r="G108" s="6"/>
      <c r="H108">
        <v>500</v>
      </c>
      <c r="I108" t="b">
        <v>0</v>
      </c>
      <c r="J108" s="1" t="s">
        <v>17</v>
      </c>
      <c r="K108" t="s">
        <v>23</v>
      </c>
      <c r="L108">
        <v>2</v>
      </c>
      <c r="M108" s="7" t="b">
        <v>0</v>
      </c>
      <c r="N108" s="7" t="b">
        <v>0</v>
      </c>
      <c r="O108" s="1" t="s">
        <v>19</v>
      </c>
      <c r="P108" s="1" t="s">
        <v>17</v>
      </c>
      <c r="Q108" s="1" t="s">
        <v>17</v>
      </c>
      <c r="R108" s="1" t="s">
        <v>17</v>
      </c>
      <c r="S108" s="1" t="s">
        <v>19</v>
      </c>
      <c r="T108" s="1" t="s">
        <v>19</v>
      </c>
      <c r="U108" t="str">
        <f t="shared" si="8"/>
        <v>filter|dataset|sample</v>
      </c>
      <c r="V108" t="str">
        <f t="shared" si="9"/>
        <v/>
      </c>
      <c r="W108" t="str">
        <f t="shared" si="10"/>
        <v>filter</v>
      </c>
      <c r="X108" t="str">
        <f t="shared" si="11"/>
        <v/>
      </c>
      <c r="Y108" t="str">
        <f t="shared" si="12"/>
        <v/>
      </c>
      <c r="Z108" t="str">
        <f t="shared" si="13"/>
        <v/>
      </c>
      <c r="AA108" t="str">
        <f t="shared" si="14"/>
        <v>dataset</v>
      </c>
      <c r="AB108" t="str">
        <f t="shared" si="15"/>
        <v>sample</v>
      </c>
      <c r="AC108" t="str">
        <f>IF(C108="Unit","unit","")</f>
        <v/>
      </c>
    </row>
    <row r="109" spans="1:29" x14ac:dyDescent="0.15">
      <c r="A109" s="6" t="s">
        <v>151</v>
      </c>
      <c r="B109" s="6"/>
      <c r="C109" s="6"/>
      <c r="D109" s="6"/>
      <c r="E109" s="6" t="s">
        <v>152</v>
      </c>
      <c r="F109" s="6" t="s">
        <v>153</v>
      </c>
      <c r="G109" s="6"/>
      <c r="H109">
        <v>400</v>
      </c>
      <c r="I109" t="b">
        <v>0</v>
      </c>
      <c r="J109" s="1" t="s">
        <v>17</v>
      </c>
      <c r="K109" t="s">
        <v>150</v>
      </c>
      <c r="L109">
        <v>1</v>
      </c>
      <c r="M109" s="7" t="b">
        <v>0</v>
      </c>
      <c r="N109" s="7" t="b">
        <v>0</v>
      </c>
      <c r="O109" s="1" t="s">
        <v>17</v>
      </c>
      <c r="P109" s="1" t="s">
        <v>17</v>
      </c>
      <c r="Q109" s="1" t="s">
        <v>17</v>
      </c>
      <c r="R109" s="1" t="s">
        <v>17</v>
      </c>
      <c r="S109" s="1" t="s">
        <v>17</v>
      </c>
      <c r="T109" s="1" t="s">
        <v>19</v>
      </c>
      <c r="U109" t="str">
        <f t="shared" si="8"/>
        <v>sample</v>
      </c>
      <c r="V109" t="str">
        <f t="shared" si="9"/>
        <v/>
      </c>
      <c r="W109" t="str">
        <f t="shared" si="10"/>
        <v/>
      </c>
      <c r="X109" t="str">
        <f t="shared" si="11"/>
        <v/>
      </c>
      <c r="Y109" t="str">
        <f t="shared" si="12"/>
        <v/>
      </c>
      <c r="Z109" t="str">
        <f t="shared" si="13"/>
        <v/>
      </c>
      <c r="AA109" t="str">
        <f t="shared" si="14"/>
        <v/>
      </c>
      <c r="AB109" t="str">
        <f t="shared" si="15"/>
        <v>sample</v>
      </c>
      <c r="AC109" t="str">
        <f>IF(C109="Unit","unit","")</f>
        <v/>
      </c>
    </row>
    <row r="110" spans="1:29" x14ac:dyDescent="0.15">
      <c r="A110" s="6" t="s">
        <v>3251</v>
      </c>
      <c r="B110" s="6"/>
      <c r="C110" s="6"/>
      <c r="D110" s="6"/>
      <c r="E110" t="s">
        <v>3120</v>
      </c>
      <c r="F110" t="s">
        <v>3252</v>
      </c>
      <c r="H110">
        <v>659</v>
      </c>
      <c r="I110" t="b">
        <v>0</v>
      </c>
      <c r="J110" s="1" t="s">
        <v>17</v>
      </c>
      <c r="K110" t="s">
        <v>39</v>
      </c>
      <c r="L110">
        <v>0</v>
      </c>
      <c r="M110" s="7" t="b">
        <v>0</v>
      </c>
      <c r="N110" s="7" t="b">
        <v>0</v>
      </c>
      <c r="O110" s="1" t="s">
        <v>19</v>
      </c>
      <c r="P110" s="1" t="s">
        <v>17</v>
      </c>
      <c r="Q110" s="1" t="s">
        <v>17</v>
      </c>
      <c r="R110" s="1" t="s">
        <v>17</v>
      </c>
      <c r="S110" s="1" t="s">
        <v>19</v>
      </c>
      <c r="T110" s="1" t="s">
        <v>19</v>
      </c>
      <c r="U110" t="str">
        <f t="shared" si="8"/>
        <v>filter|dataset|sample</v>
      </c>
      <c r="V110" t="str">
        <f t="shared" si="9"/>
        <v/>
      </c>
      <c r="W110" t="str">
        <f t="shared" si="10"/>
        <v>filter</v>
      </c>
      <c r="X110" t="str">
        <f t="shared" si="11"/>
        <v/>
      </c>
      <c r="Y110" t="str">
        <f t="shared" si="12"/>
        <v/>
      </c>
      <c r="Z110" t="str">
        <f t="shared" si="13"/>
        <v/>
      </c>
      <c r="AA110" t="str">
        <f t="shared" si="14"/>
        <v>dataset</v>
      </c>
      <c r="AB110" t="str">
        <f t="shared" si="15"/>
        <v>sample</v>
      </c>
      <c r="AC110" t="str">
        <f>IF(C110="Unit","unit","")</f>
        <v/>
      </c>
    </row>
    <row r="111" spans="1:29" x14ac:dyDescent="0.15">
      <c r="A111" s="31" t="s">
        <v>4073</v>
      </c>
      <c r="B111" s="31"/>
      <c r="C111" t="s">
        <v>4125</v>
      </c>
      <c r="D111" t="s">
        <v>15</v>
      </c>
      <c r="E111" s="6" t="s">
        <v>15</v>
      </c>
      <c r="F111" s="6" t="s">
        <v>4149</v>
      </c>
      <c r="G111" s="6" t="s">
        <v>4151</v>
      </c>
      <c r="H111">
        <v>500</v>
      </c>
      <c r="I111" t="b">
        <v>1</v>
      </c>
      <c r="J111" s="1" t="s">
        <v>17</v>
      </c>
      <c r="K111" t="s">
        <v>3119</v>
      </c>
      <c r="L111">
        <v>2</v>
      </c>
      <c r="M111" s="7" t="b">
        <v>0</v>
      </c>
      <c r="N111" s="7" t="b">
        <v>0</v>
      </c>
      <c r="O111" s="1" t="s">
        <v>19</v>
      </c>
      <c r="P111" s="1" t="s">
        <v>17</v>
      </c>
      <c r="Q111" s="1" t="s">
        <v>17</v>
      </c>
      <c r="R111" s="1" t="s">
        <v>17</v>
      </c>
      <c r="S111" s="1" t="s">
        <v>19</v>
      </c>
      <c r="T111" s="1" t="s">
        <v>19</v>
      </c>
      <c r="U111" t="str">
        <f t="shared" si="8"/>
        <v>filter|dataset|sample|unit</v>
      </c>
      <c r="V111" t="str">
        <f t="shared" si="9"/>
        <v/>
      </c>
      <c r="W111" t="str">
        <f t="shared" si="10"/>
        <v>filter</v>
      </c>
      <c r="X111" t="str">
        <f t="shared" si="11"/>
        <v/>
      </c>
      <c r="Y111" t="str">
        <f t="shared" si="12"/>
        <v/>
      </c>
      <c r="Z111" t="str">
        <f t="shared" si="13"/>
        <v/>
      </c>
      <c r="AA111" t="str">
        <f t="shared" si="14"/>
        <v>dataset</v>
      </c>
      <c r="AB111" t="str">
        <f t="shared" si="15"/>
        <v>sample</v>
      </c>
      <c r="AC111" t="s">
        <v>3119</v>
      </c>
    </row>
    <row r="112" spans="1:29" x14ac:dyDescent="0.15">
      <c r="A112" s="8" t="s">
        <v>4074</v>
      </c>
      <c r="B112" s="8"/>
      <c r="C112" t="s">
        <v>4125</v>
      </c>
      <c r="E112" s="6" t="s">
        <v>15</v>
      </c>
      <c r="F112" s="6" t="s">
        <v>3993</v>
      </c>
      <c r="G112" s="6" t="s">
        <v>2743</v>
      </c>
      <c r="H112">
        <v>500</v>
      </c>
      <c r="I112" t="b">
        <v>1</v>
      </c>
      <c r="J112" s="1" t="s">
        <v>17</v>
      </c>
      <c r="K112" t="s">
        <v>3119</v>
      </c>
      <c r="L112">
        <v>2</v>
      </c>
      <c r="M112" s="7" t="b">
        <v>0</v>
      </c>
      <c r="N112" s="7" t="b">
        <v>0</v>
      </c>
      <c r="O112" s="1" t="s">
        <v>19</v>
      </c>
      <c r="P112" s="1" t="s">
        <v>17</v>
      </c>
      <c r="Q112" s="1" t="s">
        <v>17</v>
      </c>
      <c r="R112" s="1" t="s">
        <v>17</v>
      </c>
      <c r="S112" s="1" t="s">
        <v>19</v>
      </c>
      <c r="T112" s="1" t="s">
        <v>19</v>
      </c>
      <c r="U112" t="str">
        <f t="shared" si="8"/>
        <v>filter|dataset|sample|unit</v>
      </c>
      <c r="V112" t="str">
        <f t="shared" si="9"/>
        <v/>
      </c>
      <c r="W112" t="str">
        <f t="shared" si="10"/>
        <v>filter</v>
      </c>
      <c r="X112" t="str">
        <f t="shared" si="11"/>
        <v/>
      </c>
      <c r="Y112" t="str">
        <f t="shared" si="12"/>
        <v/>
      </c>
      <c r="Z112" t="str">
        <f t="shared" si="13"/>
        <v/>
      </c>
      <c r="AA112" t="str">
        <f t="shared" si="14"/>
        <v>dataset</v>
      </c>
      <c r="AB112" t="str">
        <f t="shared" si="15"/>
        <v>sample</v>
      </c>
      <c r="AC112" t="s">
        <v>3119</v>
      </c>
    </row>
    <row r="113" spans="1:29" x14ac:dyDescent="0.15">
      <c r="A113" s="8" t="s">
        <v>4075</v>
      </c>
      <c r="B113" s="8"/>
      <c r="C113" t="s">
        <v>4125</v>
      </c>
      <c r="E113" s="6" t="s">
        <v>15</v>
      </c>
      <c r="F113" s="6" t="s">
        <v>4000</v>
      </c>
      <c r="G113" s="6" t="s">
        <v>4150</v>
      </c>
      <c r="H113">
        <v>500</v>
      </c>
      <c r="I113" t="b">
        <v>1</v>
      </c>
      <c r="J113" s="1" t="s">
        <v>17</v>
      </c>
      <c r="K113" t="s">
        <v>3119</v>
      </c>
      <c r="L113">
        <v>2</v>
      </c>
      <c r="M113" s="7" t="b">
        <v>0</v>
      </c>
      <c r="N113" s="7" t="b">
        <v>0</v>
      </c>
      <c r="O113" s="1" t="s">
        <v>19</v>
      </c>
      <c r="P113" s="1" t="s">
        <v>17</v>
      </c>
      <c r="Q113" s="1" t="s">
        <v>17</v>
      </c>
      <c r="R113" s="1" t="s">
        <v>17</v>
      </c>
      <c r="S113" s="1" t="s">
        <v>19</v>
      </c>
      <c r="T113" s="1" t="s">
        <v>19</v>
      </c>
      <c r="U113" t="str">
        <f t="shared" si="8"/>
        <v>filter|dataset|sample|unit</v>
      </c>
      <c r="V113" t="str">
        <f t="shared" si="9"/>
        <v/>
      </c>
      <c r="W113" t="str">
        <f t="shared" si="10"/>
        <v>filter</v>
      </c>
      <c r="X113" t="str">
        <f t="shared" si="11"/>
        <v/>
      </c>
      <c r="Y113" t="str">
        <f t="shared" si="12"/>
        <v/>
      </c>
      <c r="Z113" t="str">
        <f t="shared" si="13"/>
        <v/>
      </c>
      <c r="AA113" t="str">
        <f t="shared" si="14"/>
        <v>dataset</v>
      </c>
      <c r="AB113" t="str">
        <f t="shared" si="15"/>
        <v>sample</v>
      </c>
      <c r="AC113" t="s">
        <v>3119</v>
      </c>
    </row>
    <row r="114" spans="1:29" x14ac:dyDescent="0.15">
      <c r="A114" s="8" t="s">
        <v>4076</v>
      </c>
      <c r="B114" s="8"/>
      <c r="C114" t="s">
        <v>4125</v>
      </c>
      <c r="E114" s="6" t="s">
        <v>15</v>
      </c>
      <c r="F114" s="6" t="s">
        <v>4013</v>
      </c>
      <c r="G114" s="6"/>
      <c r="H114">
        <v>500</v>
      </c>
      <c r="I114" t="b">
        <v>1</v>
      </c>
      <c r="J114" s="1" t="s">
        <v>17</v>
      </c>
      <c r="K114" t="s">
        <v>3119</v>
      </c>
      <c r="L114">
        <v>2</v>
      </c>
      <c r="M114" s="7" t="b">
        <v>0</v>
      </c>
      <c r="N114" s="7" t="b">
        <v>0</v>
      </c>
      <c r="O114" s="1" t="s">
        <v>19</v>
      </c>
      <c r="P114" s="1" t="s">
        <v>17</v>
      </c>
      <c r="Q114" s="1" t="s">
        <v>17</v>
      </c>
      <c r="R114" s="1" t="s">
        <v>17</v>
      </c>
      <c r="S114" s="1" t="s">
        <v>19</v>
      </c>
      <c r="T114" s="1" t="s">
        <v>19</v>
      </c>
      <c r="U114" t="str">
        <f t="shared" si="8"/>
        <v>filter|dataset|sample|unit</v>
      </c>
      <c r="V114" t="str">
        <f t="shared" si="9"/>
        <v/>
      </c>
      <c r="W114" t="str">
        <f t="shared" si="10"/>
        <v>filter</v>
      </c>
      <c r="X114" t="str">
        <f t="shared" si="11"/>
        <v/>
      </c>
      <c r="Y114" t="str">
        <f t="shared" si="12"/>
        <v/>
      </c>
      <c r="Z114" t="str">
        <f t="shared" si="13"/>
        <v/>
      </c>
      <c r="AA114" t="str">
        <f t="shared" si="14"/>
        <v>dataset</v>
      </c>
      <c r="AB114" t="str">
        <f t="shared" si="15"/>
        <v>sample</v>
      </c>
      <c r="AC114" t="s">
        <v>3119</v>
      </c>
    </row>
    <row r="115" spans="1:29" x14ac:dyDescent="0.15">
      <c r="A115" s="8" t="s">
        <v>4077</v>
      </c>
      <c r="B115" s="8"/>
      <c r="C115" t="s">
        <v>4125</v>
      </c>
      <c r="E115" s="6" t="s">
        <v>15</v>
      </c>
      <c r="F115" s="6" t="s">
        <v>4111</v>
      </c>
      <c r="G115" s="6" t="s">
        <v>4035</v>
      </c>
      <c r="H115">
        <v>500</v>
      </c>
      <c r="I115" t="b">
        <v>1</v>
      </c>
      <c r="J115" s="1" t="s">
        <v>17</v>
      </c>
      <c r="K115" t="s">
        <v>3119</v>
      </c>
      <c r="L115">
        <v>2</v>
      </c>
      <c r="M115" s="7" t="b">
        <v>0</v>
      </c>
      <c r="N115" s="7" t="b">
        <v>0</v>
      </c>
      <c r="O115" s="1" t="s">
        <v>19</v>
      </c>
      <c r="P115" s="1" t="s">
        <v>17</v>
      </c>
      <c r="Q115" s="1" t="s">
        <v>17</v>
      </c>
      <c r="R115" s="1" t="s">
        <v>17</v>
      </c>
      <c r="S115" s="1" t="s">
        <v>19</v>
      </c>
      <c r="T115" s="1" t="s">
        <v>19</v>
      </c>
      <c r="U115" t="str">
        <f t="shared" si="8"/>
        <v>filter|dataset|sample|unit</v>
      </c>
      <c r="V115" t="str">
        <f t="shared" si="9"/>
        <v/>
      </c>
      <c r="W115" t="str">
        <f t="shared" si="10"/>
        <v>filter</v>
      </c>
      <c r="X115" t="str">
        <f t="shared" si="11"/>
        <v/>
      </c>
      <c r="Y115" t="str">
        <f t="shared" si="12"/>
        <v/>
      </c>
      <c r="Z115" t="str">
        <f t="shared" si="13"/>
        <v/>
      </c>
      <c r="AA115" t="str">
        <f t="shared" si="14"/>
        <v>dataset</v>
      </c>
      <c r="AB115" t="str">
        <f t="shared" si="15"/>
        <v>sample</v>
      </c>
      <c r="AC115" t="s">
        <v>3119</v>
      </c>
    </row>
    <row r="116" spans="1:29" x14ac:dyDescent="0.15">
      <c r="A116" s="8" t="s">
        <v>4078</v>
      </c>
      <c r="B116" s="8"/>
      <c r="C116" t="s">
        <v>4125</v>
      </c>
      <c r="E116" s="6" t="s">
        <v>15</v>
      </c>
      <c r="F116" s="6" t="s">
        <v>4112</v>
      </c>
      <c r="G116" s="6" t="s">
        <v>4155</v>
      </c>
      <c r="H116">
        <v>500</v>
      </c>
      <c r="I116" t="b">
        <v>1</v>
      </c>
      <c r="J116" s="1" t="s">
        <v>17</v>
      </c>
      <c r="K116" t="s">
        <v>3119</v>
      </c>
      <c r="L116">
        <v>2</v>
      </c>
      <c r="M116" s="7" t="b">
        <v>0</v>
      </c>
      <c r="N116" s="7" t="b">
        <v>0</v>
      </c>
      <c r="O116" s="1" t="s">
        <v>19</v>
      </c>
      <c r="P116" s="1" t="s">
        <v>17</v>
      </c>
      <c r="Q116" s="1" t="s">
        <v>17</v>
      </c>
      <c r="R116" s="1" t="s">
        <v>17</v>
      </c>
      <c r="S116" s="1" t="s">
        <v>19</v>
      </c>
      <c r="T116" s="1" t="s">
        <v>19</v>
      </c>
      <c r="U116" t="str">
        <f t="shared" si="8"/>
        <v>filter|dataset|sample|unit</v>
      </c>
      <c r="V116" t="str">
        <f t="shared" si="9"/>
        <v/>
      </c>
      <c r="W116" t="str">
        <f t="shared" si="10"/>
        <v>filter</v>
      </c>
      <c r="X116" t="str">
        <f t="shared" si="11"/>
        <v/>
      </c>
      <c r="Y116" t="str">
        <f t="shared" si="12"/>
        <v/>
      </c>
      <c r="Z116" t="str">
        <f t="shared" si="13"/>
        <v/>
      </c>
      <c r="AA116" t="str">
        <f t="shared" si="14"/>
        <v>dataset</v>
      </c>
      <c r="AB116" t="str">
        <f t="shared" si="15"/>
        <v>sample</v>
      </c>
      <c r="AC116" t="s">
        <v>3119</v>
      </c>
    </row>
    <row r="117" spans="1:29" x14ac:dyDescent="0.15">
      <c r="A117" s="8" t="s">
        <v>3977</v>
      </c>
      <c r="B117" s="8"/>
      <c r="C117" t="s">
        <v>4125</v>
      </c>
      <c r="E117" s="6" t="s">
        <v>15</v>
      </c>
      <c r="F117" s="6" t="s">
        <v>3979</v>
      </c>
      <c r="G117" s="6" t="s">
        <v>2533</v>
      </c>
      <c r="H117">
        <v>500</v>
      </c>
      <c r="I117" t="b">
        <v>1</v>
      </c>
      <c r="J117" s="1" t="s">
        <v>17</v>
      </c>
      <c r="K117" t="s">
        <v>3119</v>
      </c>
      <c r="L117">
        <v>2</v>
      </c>
      <c r="M117" s="7" t="b">
        <v>0</v>
      </c>
      <c r="N117" s="7" t="b">
        <v>0</v>
      </c>
      <c r="O117" s="1" t="s">
        <v>19</v>
      </c>
      <c r="P117" s="1" t="s">
        <v>17</v>
      </c>
      <c r="Q117" s="1" t="s">
        <v>17</v>
      </c>
      <c r="R117" s="1" t="s">
        <v>17</v>
      </c>
      <c r="S117" s="1" t="s">
        <v>19</v>
      </c>
      <c r="T117" s="1" t="s">
        <v>19</v>
      </c>
      <c r="U117" t="str">
        <f t="shared" si="8"/>
        <v>filter|dataset|sample|unit</v>
      </c>
      <c r="V117" t="str">
        <f t="shared" si="9"/>
        <v/>
      </c>
      <c r="W117" t="str">
        <f t="shared" si="10"/>
        <v>filter</v>
      </c>
      <c r="X117" t="str">
        <f t="shared" si="11"/>
        <v/>
      </c>
      <c r="Y117" t="str">
        <f t="shared" si="12"/>
        <v/>
      </c>
      <c r="Z117" t="str">
        <f t="shared" si="13"/>
        <v/>
      </c>
      <c r="AA117" t="str">
        <f t="shared" si="14"/>
        <v>dataset</v>
      </c>
      <c r="AB117" t="str">
        <f t="shared" si="15"/>
        <v>sample</v>
      </c>
      <c r="AC117" t="s">
        <v>3119</v>
      </c>
    </row>
    <row r="118" spans="1:29" x14ac:dyDescent="0.15">
      <c r="A118" s="8" t="s">
        <v>3975</v>
      </c>
      <c r="B118" s="8"/>
      <c r="C118" t="s">
        <v>4125</v>
      </c>
      <c r="E118" s="6" t="s">
        <v>15</v>
      </c>
      <c r="F118" s="6" t="s">
        <v>4030</v>
      </c>
      <c r="G118" s="6" t="s">
        <v>4152</v>
      </c>
      <c r="H118">
        <v>500</v>
      </c>
      <c r="I118" t="b">
        <v>1</v>
      </c>
      <c r="J118" s="1" t="s">
        <v>17</v>
      </c>
      <c r="K118" t="s">
        <v>3119</v>
      </c>
      <c r="L118">
        <v>2</v>
      </c>
      <c r="M118" s="7" t="b">
        <v>0</v>
      </c>
      <c r="N118" s="7" t="b">
        <v>0</v>
      </c>
      <c r="O118" s="1" t="s">
        <v>19</v>
      </c>
      <c r="P118" s="1" t="s">
        <v>17</v>
      </c>
      <c r="Q118" s="1" t="s">
        <v>17</v>
      </c>
      <c r="R118" s="1" t="s">
        <v>17</v>
      </c>
      <c r="S118" s="1" t="s">
        <v>19</v>
      </c>
      <c r="T118" s="1" t="s">
        <v>19</v>
      </c>
      <c r="U118" t="str">
        <f t="shared" si="8"/>
        <v>filter|dataset|sample|unit</v>
      </c>
      <c r="V118" t="str">
        <f t="shared" si="9"/>
        <v/>
      </c>
      <c r="W118" t="str">
        <f t="shared" si="10"/>
        <v>filter</v>
      </c>
      <c r="X118" t="str">
        <f t="shared" si="11"/>
        <v/>
      </c>
      <c r="Y118" t="str">
        <f t="shared" si="12"/>
        <v/>
      </c>
      <c r="Z118" t="str">
        <f t="shared" si="13"/>
        <v/>
      </c>
      <c r="AA118" t="str">
        <f t="shared" si="14"/>
        <v>dataset</v>
      </c>
      <c r="AB118" t="str">
        <f t="shared" si="15"/>
        <v>sample</v>
      </c>
      <c r="AC118" t="s">
        <v>3119</v>
      </c>
    </row>
    <row r="119" spans="1:29" x14ac:dyDescent="0.15">
      <c r="A119" s="8" t="s">
        <v>3980</v>
      </c>
      <c r="B119" s="8"/>
      <c r="C119" t="s">
        <v>4125</v>
      </c>
      <c r="E119" s="6" t="s">
        <v>15</v>
      </c>
      <c r="F119" s="6" t="s">
        <v>3981</v>
      </c>
      <c r="G119" s="6" t="s">
        <v>3237</v>
      </c>
      <c r="H119">
        <v>500</v>
      </c>
      <c r="I119" t="b">
        <v>1</v>
      </c>
      <c r="J119" s="1" t="s">
        <v>17</v>
      </c>
      <c r="K119" t="s">
        <v>3119</v>
      </c>
      <c r="L119">
        <v>2</v>
      </c>
      <c r="M119" s="7" t="b">
        <v>0</v>
      </c>
      <c r="N119" s="7" t="b">
        <v>0</v>
      </c>
      <c r="O119" s="1" t="s">
        <v>19</v>
      </c>
      <c r="P119" s="1" t="s">
        <v>17</v>
      </c>
      <c r="Q119" s="1" t="s">
        <v>17</v>
      </c>
      <c r="R119" s="1" t="s">
        <v>17</v>
      </c>
      <c r="S119" s="1" t="s">
        <v>19</v>
      </c>
      <c r="T119" s="1" t="s">
        <v>19</v>
      </c>
      <c r="U119" t="str">
        <f t="shared" si="8"/>
        <v>filter|dataset|sample|unit</v>
      </c>
      <c r="V119" t="str">
        <f t="shared" si="9"/>
        <v/>
      </c>
      <c r="W119" t="str">
        <f t="shared" si="10"/>
        <v>filter</v>
      </c>
      <c r="X119" t="str">
        <f t="shared" si="11"/>
        <v/>
      </c>
      <c r="Y119" t="str">
        <f t="shared" si="12"/>
        <v/>
      </c>
      <c r="Z119" t="str">
        <f t="shared" si="13"/>
        <v/>
      </c>
      <c r="AA119" t="str">
        <f t="shared" si="14"/>
        <v>dataset</v>
      </c>
      <c r="AB119" t="str">
        <f t="shared" si="15"/>
        <v>sample</v>
      </c>
      <c r="AC119" t="s">
        <v>3119</v>
      </c>
    </row>
    <row r="120" spans="1:29" x14ac:dyDescent="0.15">
      <c r="A120" s="8" t="s">
        <v>4079</v>
      </c>
      <c r="B120" s="8"/>
      <c r="C120" t="s">
        <v>4125</v>
      </c>
      <c r="E120" s="6" t="s">
        <v>15</v>
      </c>
      <c r="F120" s="6" t="s">
        <v>4044</v>
      </c>
      <c r="G120" s="6" t="s">
        <v>4031</v>
      </c>
      <c r="H120">
        <v>500</v>
      </c>
      <c r="I120" t="b">
        <v>1</v>
      </c>
      <c r="J120" s="1" t="s">
        <v>17</v>
      </c>
      <c r="K120" t="s">
        <v>3119</v>
      </c>
      <c r="L120">
        <v>2</v>
      </c>
      <c r="M120" s="7" t="b">
        <v>0</v>
      </c>
      <c r="N120" s="7" t="b">
        <v>0</v>
      </c>
      <c r="O120" s="1" t="s">
        <v>19</v>
      </c>
      <c r="P120" s="1" t="s">
        <v>17</v>
      </c>
      <c r="Q120" s="1" t="s">
        <v>17</v>
      </c>
      <c r="R120" s="1" t="s">
        <v>17</v>
      </c>
      <c r="S120" s="1" t="s">
        <v>19</v>
      </c>
      <c r="T120" s="1" t="s">
        <v>19</v>
      </c>
      <c r="U120" t="str">
        <f t="shared" si="8"/>
        <v>filter|dataset|sample|unit</v>
      </c>
      <c r="V120" t="str">
        <f t="shared" si="9"/>
        <v/>
      </c>
      <c r="W120" t="str">
        <f t="shared" si="10"/>
        <v>filter</v>
      </c>
      <c r="X120" t="str">
        <f t="shared" si="11"/>
        <v/>
      </c>
      <c r="Y120" t="str">
        <f t="shared" si="12"/>
        <v/>
      </c>
      <c r="Z120" t="str">
        <f t="shared" si="13"/>
        <v/>
      </c>
      <c r="AA120" t="str">
        <f t="shared" si="14"/>
        <v>dataset</v>
      </c>
      <c r="AB120" t="str">
        <f t="shared" si="15"/>
        <v>sample</v>
      </c>
      <c r="AC120" t="s">
        <v>3119</v>
      </c>
    </row>
    <row r="121" spans="1:29" x14ac:dyDescent="0.15">
      <c r="A121" s="8" t="s">
        <v>4080</v>
      </c>
      <c r="B121" s="8"/>
      <c r="C121" t="s">
        <v>4125</v>
      </c>
      <c r="E121" s="6" t="s">
        <v>15</v>
      </c>
      <c r="F121" s="6" t="s">
        <v>1773</v>
      </c>
      <c r="G121" s="6"/>
      <c r="H121">
        <v>500</v>
      </c>
      <c r="I121" t="b">
        <v>1</v>
      </c>
      <c r="J121" s="1" t="s">
        <v>17</v>
      </c>
      <c r="K121" t="s">
        <v>3119</v>
      </c>
      <c r="L121">
        <v>2</v>
      </c>
      <c r="M121" s="7" t="b">
        <v>0</v>
      </c>
      <c r="N121" s="7" t="b">
        <v>0</v>
      </c>
      <c r="O121" s="1" t="s">
        <v>19</v>
      </c>
      <c r="P121" s="1" t="s">
        <v>17</v>
      </c>
      <c r="Q121" s="1" t="s">
        <v>17</v>
      </c>
      <c r="R121" s="1" t="s">
        <v>17</v>
      </c>
      <c r="S121" s="1" t="s">
        <v>19</v>
      </c>
      <c r="T121" s="1" t="s">
        <v>19</v>
      </c>
      <c r="U121" t="str">
        <f t="shared" si="8"/>
        <v>filter|dataset|sample|unit</v>
      </c>
      <c r="V121" t="str">
        <f t="shared" si="9"/>
        <v/>
      </c>
      <c r="W121" t="str">
        <f t="shared" si="10"/>
        <v>filter</v>
      </c>
      <c r="X121" t="str">
        <f t="shared" si="11"/>
        <v/>
      </c>
      <c r="Y121" t="str">
        <f t="shared" si="12"/>
        <v/>
      </c>
      <c r="Z121" t="str">
        <f t="shared" si="13"/>
        <v/>
      </c>
      <c r="AA121" t="str">
        <f t="shared" si="14"/>
        <v>dataset</v>
      </c>
      <c r="AB121" t="str">
        <f t="shared" si="15"/>
        <v>sample</v>
      </c>
      <c r="AC121" t="s">
        <v>3119</v>
      </c>
    </row>
    <row r="122" spans="1:29" x14ac:dyDescent="0.15">
      <c r="A122" s="8" t="s">
        <v>1170</v>
      </c>
      <c r="B122" s="8"/>
      <c r="C122" t="s">
        <v>4125</v>
      </c>
      <c r="E122" s="6" t="s">
        <v>15</v>
      </c>
      <c r="F122" s="6" t="s">
        <v>4059</v>
      </c>
      <c r="G122" s="6"/>
      <c r="H122">
        <v>500</v>
      </c>
      <c r="I122" t="b">
        <v>1</v>
      </c>
      <c r="J122" s="1" t="s">
        <v>17</v>
      </c>
      <c r="K122" t="s">
        <v>3119</v>
      </c>
      <c r="L122">
        <v>2</v>
      </c>
      <c r="M122" s="7" t="b">
        <v>0</v>
      </c>
      <c r="N122" s="7" t="b">
        <v>0</v>
      </c>
      <c r="O122" s="1" t="s">
        <v>19</v>
      </c>
      <c r="P122" s="1" t="s">
        <v>17</v>
      </c>
      <c r="Q122" s="1" t="s">
        <v>17</v>
      </c>
      <c r="R122" s="1" t="s">
        <v>17</v>
      </c>
      <c r="S122" s="1" t="s">
        <v>19</v>
      </c>
      <c r="T122" s="1" t="s">
        <v>19</v>
      </c>
      <c r="U122" t="str">
        <f t="shared" si="8"/>
        <v>filter|dataset|sample|unit</v>
      </c>
      <c r="V122" t="str">
        <f t="shared" si="9"/>
        <v/>
      </c>
      <c r="W122" t="str">
        <f t="shared" si="10"/>
        <v>filter</v>
      </c>
      <c r="X122" t="str">
        <f t="shared" si="11"/>
        <v/>
      </c>
      <c r="Y122" t="str">
        <f t="shared" si="12"/>
        <v/>
      </c>
      <c r="Z122" t="str">
        <f t="shared" si="13"/>
        <v/>
      </c>
      <c r="AA122" t="str">
        <f t="shared" si="14"/>
        <v>dataset</v>
      </c>
      <c r="AB122" t="str">
        <f t="shared" si="15"/>
        <v>sample</v>
      </c>
      <c r="AC122" t="s">
        <v>3119</v>
      </c>
    </row>
    <row r="123" spans="1:29" x14ac:dyDescent="0.15">
      <c r="A123" s="8" t="s">
        <v>4081</v>
      </c>
      <c r="B123" s="8"/>
      <c r="C123" t="s">
        <v>4125</v>
      </c>
      <c r="E123" s="6" t="s">
        <v>15</v>
      </c>
      <c r="F123" s="6" t="s">
        <v>4063</v>
      </c>
      <c r="G123" s="6" t="s">
        <v>4064</v>
      </c>
      <c r="H123">
        <v>500</v>
      </c>
      <c r="I123" t="b">
        <v>1</v>
      </c>
      <c r="J123" s="1" t="s">
        <v>17</v>
      </c>
      <c r="K123" t="s">
        <v>3119</v>
      </c>
      <c r="L123">
        <v>2</v>
      </c>
      <c r="M123" s="7" t="b">
        <v>0</v>
      </c>
      <c r="N123" s="7" t="b">
        <v>0</v>
      </c>
      <c r="O123" s="1" t="s">
        <v>19</v>
      </c>
      <c r="P123" s="1" t="s">
        <v>17</v>
      </c>
      <c r="Q123" s="1" t="s">
        <v>17</v>
      </c>
      <c r="R123" s="1" t="s">
        <v>17</v>
      </c>
      <c r="S123" s="1" t="s">
        <v>19</v>
      </c>
      <c r="T123" s="1" t="s">
        <v>19</v>
      </c>
      <c r="U123" t="str">
        <f t="shared" si="8"/>
        <v>filter|dataset|sample|unit</v>
      </c>
      <c r="V123" t="str">
        <f t="shared" si="9"/>
        <v/>
      </c>
      <c r="W123" t="str">
        <f t="shared" si="10"/>
        <v>filter</v>
      </c>
      <c r="X123" t="str">
        <f t="shared" si="11"/>
        <v/>
      </c>
      <c r="Y123" t="str">
        <f t="shared" si="12"/>
        <v/>
      </c>
      <c r="Z123" t="str">
        <f t="shared" si="13"/>
        <v/>
      </c>
      <c r="AA123" t="str">
        <f t="shared" si="14"/>
        <v>dataset</v>
      </c>
      <c r="AB123" t="str">
        <f t="shared" si="15"/>
        <v>sample</v>
      </c>
      <c r="AC123" t="s">
        <v>3119</v>
      </c>
    </row>
    <row r="124" spans="1:29" x14ac:dyDescent="0.15">
      <c r="A124" s="8" t="s">
        <v>4082</v>
      </c>
      <c r="B124" s="8"/>
      <c r="C124" t="s">
        <v>4125</v>
      </c>
      <c r="E124" s="6" t="s">
        <v>15</v>
      </c>
      <c r="F124" s="6" t="s">
        <v>4066</v>
      </c>
      <c r="G124" s="6"/>
      <c r="H124">
        <v>500</v>
      </c>
      <c r="I124" t="b">
        <v>1</v>
      </c>
      <c r="J124" s="1" t="s">
        <v>17</v>
      </c>
      <c r="K124" t="s">
        <v>3119</v>
      </c>
      <c r="L124">
        <v>2</v>
      </c>
      <c r="M124" s="7" t="b">
        <v>0</v>
      </c>
      <c r="N124" s="7" t="b">
        <v>0</v>
      </c>
      <c r="O124" s="1" t="s">
        <v>19</v>
      </c>
      <c r="P124" s="1" t="s">
        <v>17</v>
      </c>
      <c r="Q124" s="1" t="s">
        <v>17</v>
      </c>
      <c r="R124" s="1" t="s">
        <v>17</v>
      </c>
      <c r="S124" s="1" t="s">
        <v>19</v>
      </c>
      <c r="T124" s="1" t="s">
        <v>19</v>
      </c>
      <c r="U124" t="str">
        <f t="shared" si="8"/>
        <v>filter|dataset|sample|unit</v>
      </c>
      <c r="V124" t="str">
        <f t="shared" si="9"/>
        <v/>
      </c>
      <c r="W124" t="str">
        <f t="shared" si="10"/>
        <v>filter</v>
      </c>
      <c r="X124" t="str">
        <f t="shared" si="11"/>
        <v/>
      </c>
      <c r="Y124" t="str">
        <f t="shared" si="12"/>
        <v/>
      </c>
      <c r="Z124" t="str">
        <f t="shared" si="13"/>
        <v/>
      </c>
      <c r="AA124" t="str">
        <f t="shared" si="14"/>
        <v>dataset</v>
      </c>
      <c r="AB124" t="str">
        <f t="shared" si="15"/>
        <v>sample</v>
      </c>
      <c r="AC124" t="s">
        <v>3119</v>
      </c>
    </row>
    <row r="125" spans="1:29" x14ac:dyDescent="0.15">
      <c r="A125" s="8" t="s">
        <v>4083</v>
      </c>
      <c r="B125" s="8"/>
      <c r="C125" t="s">
        <v>4125</v>
      </c>
      <c r="E125" s="6" t="s">
        <v>15</v>
      </c>
      <c r="F125" s="6" t="s">
        <v>4067</v>
      </c>
      <c r="G125" s="6"/>
      <c r="H125">
        <v>500</v>
      </c>
      <c r="I125" t="b">
        <v>1</v>
      </c>
      <c r="J125" s="1" t="s">
        <v>17</v>
      </c>
      <c r="K125" t="s">
        <v>3119</v>
      </c>
      <c r="L125">
        <v>2</v>
      </c>
      <c r="M125" s="7" t="b">
        <v>0</v>
      </c>
      <c r="N125" s="7" t="b">
        <v>0</v>
      </c>
      <c r="O125" s="1" t="s">
        <v>19</v>
      </c>
      <c r="P125" s="1" t="s">
        <v>17</v>
      </c>
      <c r="Q125" s="1" t="s">
        <v>17</v>
      </c>
      <c r="R125" s="1" t="s">
        <v>17</v>
      </c>
      <c r="S125" s="1" t="s">
        <v>19</v>
      </c>
      <c r="T125" s="1" t="s">
        <v>19</v>
      </c>
      <c r="U125" t="str">
        <f t="shared" si="8"/>
        <v>filter|dataset|sample|unit</v>
      </c>
      <c r="V125" t="str">
        <f t="shared" si="9"/>
        <v/>
      </c>
      <c r="W125" t="str">
        <f t="shared" si="10"/>
        <v>filter</v>
      </c>
      <c r="X125" t="str">
        <f t="shared" si="11"/>
        <v/>
      </c>
      <c r="Y125" t="str">
        <f t="shared" si="12"/>
        <v/>
      </c>
      <c r="Z125" t="str">
        <f t="shared" si="13"/>
        <v/>
      </c>
      <c r="AA125" t="str">
        <f t="shared" si="14"/>
        <v>dataset</v>
      </c>
      <c r="AB125" t="str">
        <f t="shared" si="15"/>
        <v>sample</v>
      </c>
      <c r="AC125" t="s">
        <v>3119</v>
      </c>
    </row>
    <row r="126" spans="1:29" x14ac:dyDescent="0.15">
      <c r="A126" t="s">
        <v>4091</v>
      </c>
      <c r="C126" t="s">
        <v>4125</v>
      </c>
      <c r="E126" s="6" t="s">
        <v>15</v>
      </c>
      <c r="F126" s="6" t="s">
        <v>4113</v>
      </c>
      <c r="G126" s="6" t="s">
        <v>4153</v>
      </c>
      <c r="H126">
        <v>500</v>
      </c>
      <c r="I126" t="b">
        <v>1</v>
      </c>
      <c r="J126" s="1" t="s">
        <v>17</v>
      </c>
      <c r="K126" t="s">
        <v>3119</v>
      </c>
      <c r="L126">
        <v>2</v>
      </c>
      <c r="M126" s="7" t="b">
        <v>0</v>
      </c>
      <c r="N126" s="7" t="b">
        <v>0</v>
      </c>
      <c r="O126" s="1" t="s">
        <v>19</v>
      </c>
      <c r="P126" s="1" t="s">
        <v>17</v>
      </c>
      <c r="Q126" s="1" t="s">
        <v>17</v>
      </c>
      <c r="R126" s="1" t="s">
        <v>17</v>
      </c>
      <c r="S126" s="1" t="s">
        <v>19</v>
      </c>
      <c r="T126" s="1" t="s">
        <v>19</v>
      </c>
      <c r="U126" t="str">
        <f t="shared" si="8"/>
        <v>filter|dataset|sample|unit</v>
      </c>
      <c r="V126" t="str">
        <f t="shared" si="9"/>
        <v/>
      </c>
      <c r="W126" t="str">
        <f t="shared" si="10"/>
        <v>filter</v>
      </c>
      <c r="X126" t="str">
        <f t="shared" si="11"/>
        <v/>
      </c>
      <c r="Y126" t="str">
        <f t="shared" si="12"/>
        <v/>
      </c>
      <c r="Z126" t="str">
        <f t="shared" si="13"/>
        <v/>
      </c>
      <c r="AA126" t="str">
        <f t="shared" si="14"/>
        <v>dataset</v>
      </c>
      <c r="AB126" t="str">
        <f t="shared" si="15"/>
        <v>sample</v>
      </c>
      <c r="AC126" t="s">
        <v>3119</v>
      </c>
    </row>
  </sheetData>
  <autoFilter ref="A1:AMI108" xr:uid="{00000000-0001-0000-0000-000000000000}"/>
  <conditionalFormatting sqref="J1:J100 M2:T100">
    <cfRule type="containsText" dxfId="8" priority="2" operator="containsText" text="TRUE">
      <formula>NOT(ISERROR(SEARCH("TRUE",J1)))</formula>
    </cfRule>
  </conditionalFormatting>
  <conditionalFormatting sqref="N101:T102">
    <cfRule type="containsText" dxfId="7" priority="4" operator="containsText" text="TRUE">
      <formula>NOT(ISERROR(SEARCH("TRUE",N101)))</formula>
    </cfRule>
  </conditionalFormatting>
  <conditionalFormatting sqref="O1:T1">
    <cfRule type="containsText" dxfId="6" priority="7" operator="containsText" text="TRUE">
      <formula>NOT(ISERROR(SEARCH("TRUE",O1)))</formula>
    </cfRule>
  </conditionalFormatting>
  <conditionalFormatting sqref="Q103:T103">
    <cfRule type="containsText" dxfId="5" priority="3" operator="containsText" text="TRUE">
      <formula>NOT(ISERROR(SEARCH("TRUE",Q103)))</formula>
    </cfRule>
  </conditionalFormatting>
  <conditionalFormatting sqref="W1:AB1">
    <cfRule type="containsText" dxfId="4" priority="1" operator="containsText" text="TRUE">
      <formula>NOT(ISERROR(SEARCH("TRUE",W1)))</formula>
    </cfRule>
  </conditionalFormatting>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V1319"/>
  <sheetViews>
    <sheetView topLeftCell="A364" zoomScale="120" zoomScaleNormal="120" workbookViewId="0">
      <selection activeCell="A372" sqref="A372:XFD372"/>
    </sheetView>
  </sheetViews>
  <sheetFormatPr baseColWidth="10" defaultColWidth="10.6640625" defaultRowHeight="13" x14ac:dyDescent="0.15"/>
  <cols>
    <col min="1" max="1" width="19.1640625" style="8" customWidth="1"/>
    <col min="2" max="2" width="27.6640625" style="8" customWidth="1"/>
    <col min="3" max="3" width="31" style="8" customWidth="1"/>
    <col min="4" max="4" width="15.1640625" style="8" customWidth="1"/>
    <col min="5" max="5" width="35.5" style="8" customWidth="1"/>
    <col min="6" max="6" width="52.5" style="8" customWidth="1"/>
    <col min="7" max="1008" width="10.6640625" style="8"/>
  </cols>
  <sheetData>
    <row r="1" spans="1:1010" s="17" customFormat="1" x14ac:dyDescent="0.15">
      <c r="A1" s="17" t="s">
        <v>2731</v>
      </c>
      <c r="B1" s="17" t="s">
        <v>195</v>
      </c>
      <c r="C1" s="17" t="s">
        <v>0</v>
      </c>
      <c r="D1" s="17" t="s">
        <v>196</v>
      </c>
      <c r="E1" s="17" t="s">
        <v>2</v>
      </c>
      <c r="F1" s="17" t="s">
        <v>197</v>
      </c>
      <c r="G1" s="17" t="s">
        <v>3</v>
      </c>
      <c r="H1" s="17" t="s">
        <v>4124</v>
      </c>
      <c r="ALR1" s="18"/>
      <c r="ALS1" s="18"/>
      <c r="ALT1" s="18"/>
      <c r="ALU1" s="19"/>
      <c r="ALV1" s="19"/>
    </row>
    <row r="2" spans="1:1010" x14ac:dyDescent="0.15">
      <c r="A2" s="8" t="s">
        <v>198</v>
      </c>
      <c r="B2" s="8" t="s">
        <v>126</v>
      </c>
      <c r="C2" s="8" t="str">
        <f>A2</f>
        <v>steroid_synthesis</v>
      </c>
      <c r="D2" s="9" t="s">
        <v>15</v>
      </c>
      <c r="E2" s="8" t="s">
        <v>199</v>
      </c>
      <c r="F2" s="8" t="s">
        <v>200</v>
      </c>
      <c r="G2" s="8">
        <v>500</v>
      </c>
    </row>
    <row r="3" spans="1:1010" x14ac:dyDescent="0.15">
      <c r="A3" s="8" t="s">
        <v>201</v>
      </c>
      <c r="B3" s="8" t="s">
        <v>126</v>
      </c>
      <c r="C3" s="8" t="str">
        <f t="shared" ref="C3:C66" si="0">A3</f>
        <v>q_linked_reactions</v>
      </c>
      <c r="D3" s="9" t="s">
        <v>15</v>
      </c>
      <c r="E3" s="8" t="s">
        <v>202</v>
      </c>
      <c r="F3" s="8" t="s">
        <v>203</v>
      </c>
      <c r="G3" s="8">
        <v>500</v>
      </c>
    </row>
    <row r="4" spans="1:1010" x14ac:dyDescent="0.15">
      <c r="A4" s="8" t="s">
        <v>204</v>
      </c>
      <c r="B4" s="8" t="s">
        <v>126</v>
      </c>
      <c r="C4" s="8" t="str">
        <f t="shared" si="0"/>
        <v>protein_import</v>
      </c>
      <c r="D4" s="9" t="s">
        <v>15</v>
      </c>
      <c r="E4" s="8" t="s">
        <v>205</v>
      </c>
      <c r="F4" s="8" t="s">
        <v>205</v>
      </c>
      <c r="G4" s="8">
        <v>500</v>
      </c>
    </row>
    <row r="5" spans="1:1010" x14ac:dyDescent="0.15">
      <c r="A5" s="8" t="s">
        <v>206</v>
      </c>
      <c r="B5" s="8" t="s">
        <v>53</v>
      </c>
      <c r="C5" s="8" t="str">
        <f t="shared" si="0"/>
        <v>360um</v>
      </c>
      <c r="D5" s="9" t="s">
        <v>15</v>
      </c>
      <c r="E5" s="8">
        <v>360</v>
      </c>
      <c r="F5" s="8" t="s">
        <v>207</v>
      </c>
      <c r="G5" s="8">
        <v>500</v>
      </c>
    </row>
    <row r="6" spans="1:1010" x14ac:dyDescent="0.15">
      <c r="A6" s="8" t="s">
        <v>208</v>
      </c>
      <c r="B6" s="8" t="s">
        <v>209</v>
      </c>
      <c r="C6" s="8" t="str">
        <f t="shared" si="0"/>
        <v>arginine</v>
      </c>
      <c r="D6" s="8" t="s">
        <v>208</v>
      </c>
      <c r="E6" s="8" t="s">
        <v>210</v>
      </c>
      <c r="F6" s="8" t="s">
        <v>211</v>
      </c>
      <c r="G6" s="8">
        <v>500</v>
      </c>
    </row>
    <row r="7" spans="1:1010" x14ac:dyDescent="0.15">
      <c r="A7" s="8" t="s">
        <v>212</v>
      </c>
      <c r="B7" s="8" t="s">
        <v>209</v>
      </c>
      <c r="C7" s="8" t="str">
        <f t="shared" si="0"/>
        <v>asparagine</v>
      </c>
      <c r="D7" s="8" t="s">
        <v>212</v>
      </c>
      <c r="E7" s="8" t="s">
        <v>213</v>
      </c>
      <c r="F7" s="8" t="s">
        <v>214</v>
      </c>
      <c r="G7" s="8">
        <v>500</v>
      </c>
    </row>
    <row r="8" spans="1:1010" x14ac:dyDescent="0.15">
      <c r="A8" s="8" t="s">
        <v>215</v>
      </c>
      <c r="B8" s="8" t="s">
        <v>209</v>
      </c>
      <c r="C8" s="8" t="str">
        <f t="shared" si="0"/>
        <v>asparticacid</v>
      </c>
      <c r="D8" s="8" t="s">
        <v>215</v>
      </c>
      <c r="E8" s="8" t="s">
        <v>216</v>
      </c>
      <c r="F8" s="8" t="s">
        <v>217</v>
      </c>
      <c r="G8" s="8">
        <v>500</v>
      </c>
    </row>
    <row r="9" spans="1:1010" x14ac:dyDescent="0.15">
      <c r="A9" s="8" t="s">
        <v>218</v>
      </c>
      <c r="B9" s="8" t="s">
        <v>209</v>
      </c>
      <c r="C9" s="8" t="str">
        <f t="shared" si="0"/>
        <v>cysteine</v>
      </c>
      <c r="D9" s="8" t="s">
        <v>218</v>
      </c>
      <c r="E9" s="8" t="s">
        <v>219</v>
      </c>
      <c r="F9" s="8" t="s">
        <v>220</v>
      </c>
      <c r="G9" s="8">
        <v>500</v>
      </c>
    </row>
    <row r="10" spans="1:1010" x14ac:dyDescent="0.15">
      <c r="A10" s="8" t="s">
        <v>221</v>
      </c>
      <c r="B10" s="8" t="s">
        <v>209</v>
      </c>
      <c r="C10" s="8" t="str">
        <f t="shared" si="0"/>
        <v>glutamicacid</v>
      </c>
      <c r="D10" s="8" t="s">
        <v>221</v>
      </c>
      <c r="E10" s="8" t="s">
        <v>222</v>
      </c>
      <c r="F10" s="8" t="s">
        <v>223</v>
      </c>
      <c r="G10" s="8">
        <v>500</v>
      </c>
    </row>
    <row r="11" spans="1:1010" x14ac:dyDescent="0.15">
      <c r="A11" s="8" t="s">
        <v>224</v>
      </c>
      <c r="B11" s="8" t="s">
        <v>209</v>
      </c>
      <c r="C11" s="8" t="str">
        <f t="shared" si="0"/>
        <v>glutamine</v>
      </c>
      <c r="D11" s="8" t="s">
        <v>224</v>
      </c>
      <c r="E11" s="8" t="s">
        <v>225</v>
      </c>
      <c r="F11" s="8" t="s">
        <v>226</v>
      </c>
      <c r="G11" s="8">
        <v>500</v>
      </c>
    </row>
    <row r="12" spans="1:1010" x14ac:dyDescent="0.15">
      <c r="A12" s="8" t="s">
        <v>227</v>
      </c>
      <c r="B12" s="8" t="s">
        <v>209</v>
      </c>
      <c r="C12" s="8" t="str">
        <f t="shared" si="0"/>
        <v>glycine</v>
      </c>
      <c r="D12" s="8" t="s">
        <v>227</v>
      </c>
      <c r="E12" s="8" t="s">
        <v>228</v>
      </c>
      <c r="F12" s="8" t="s">
        <v>229</v>
      </c>
      <c r="G12" s="8">
        <v>500</v>
      </c>
    </row>
    <row r="13" spans="1:1010" x14ac:dyDescent="0.15">
      <c r="A13" s="8" t="s">
        <v>230</v>
      </c>
      <c r="B13" s="8" t="s">
        <v>209</v>
      </c>
      <c r="C13" s="8" t="str">
        <f t="shared" si="0"/>
        <v>histidine</v>
      </c>
      <c r="D13" s="8" t="s">
        <v>230</v>
      </c>
      <c r="E13" s="8" t="s">
        <v>231</v>
      </c>
      <c r="F13" s="8" t="s">
        <v>232</v>
      </c>
      <c r="G13" s="8">
        <v>500</v>
      </c>
    </row>
    <row r="14" spans="1:1010" x14ac:dyDescent="0.15">
      <c r="A14" s="8" t="s">
        <v>233</v>
      </c>
      <c r="B14" s="8" t="s">
        <v>209</v>
      </c>
      <c r="C14" s="8" t="str">
        <f t="shared" si="0"/>
        <v>isoleucine</v>
      </c>
      <c r="D14" s="8" t="s">
        <v>233</v>
      </c>
      <c r="E14" s="8" t="s">
        <v>234</v>
      </c>
      <c r="F14" s="8" t="s">
        <v>235</v>
      </c>
      <c r="G14" s="8">
        <v>500</v>
      </c>
    </row>
    <row r="15" spans="1:1010" x14ac:dyDescent="0.15">
      <c r="A15" s="8" t="s">
        <v>236</v>
      </c>
      <c r="B15" s="8" t="s">
        <v>209</v>
      </c>
      <c r="C15" s="8" t="str">
        <f t="shared" si="0"/>
        <v>leucine</v>
      </c>
      <c r="D15" s="8" t="s">
        <v>236</v>
      </c>
      <c r="E15" s="8" t="s">
        <v>237</v>
      </c>
      <c r="F15" s="8" t="s">
        <v>238</v>
      </c>
      <c r="G15" s="8">
        <v>500</v>
      </c>
    </row>
    <row r="16" spans="1:1010" x14ac:dyDescent="0.15">
      <c r="A16" s="8" t="s">
        <v>239</v>
      </c>
      <c r="B16" s="8" t="s">
        <v>209</v>
      </c>
      <c r="C16" s="8" t="str">
        <f t="shared" si="0"/>
        <v>lysine</v>
      </c>
      <c r="D16" s="8" t="s">
        <v>239</v>
      </c>
      <c r="E16" s="8" t="s">
        <v>240</v>
      </c>
      <c r="F16" s="8" t="s">
        <v>241</v>
      </c>
      <c r="G16" s="8">
        <v>500</v>
      </c>
    </row>
    <row r="17" spans="1:7" x14ac:dyDescent="0.15">
      <c r="A17" s="8" t="s">
        <v>242</v>
      </c>
      <c r="B17" s="8" t="s">
        <v>209</v>
      </c>
      <c r="C17" s="8" t="str">
        <f t="shared" si="0"/>
        <v>methionine</v>
      </c>
      <c r="D17" s="8" t="s">
        <v>242</v>
      </c>
      <c r="E17" s="8" t="s">
        <v>243</v>
      </c>
      <c r="F17" s="8" t="s">
        <v>244</v>
      </c>
      <c r="G17" s="8">
        <v>500</v>
      </c>
    </row>
    <row r="18" spans="1:7" x14ac:dyDescent="0.15">
      <c r="A18" s="8" t="s">
        <v>245</v>
      </c>
      <c r="B18" s="8" t="s">
        <v>209</v>
      </c>
      <c r="C18" s="8" t="str">
        <f t="shared" si="0"/>
        <v>phenylalanine</v>
      </c>
      <c r="D18" s="8" t="s">
        <v>245</v>
      </c>
      <c r="E18" s="8" t="s">
        <v>246</v>
      </c>
      <c r="F18" s="8" t="s">
        <v>247</v>
      </c>
      <c r="G18" s="8">
        <v>500</v>
      </c>
    </row>
    <row r="19" spans="1:7" x14ac:dyDescent="0.15">
      <c r="A19" s="8" t="s">
        <v>248</v>
      </c>
      <c r="B19" s="8" t="s">
        <v>209</v>
      </c>
      <c r="C19" s="8" t="str">
        <f t="shared" si="0"/>
        <v>proline</v>
      </c>
      <c r="D19" s="8" t="s">
        <v>248</v>
      </c>
      <c r="E19" s="8" t="s">
        <v>249</v>
      </c>
      <c r="F19" s="8" t="s">
        <v>250</v>
      </c>
      <c r="G19" s="8">
        <v>500</v>
      </c>
    </row>
    <row r="20" spans="1:7" x14ac:dyDescent="0.15">
      <c r="A20" s="8" t="s">
        <v>251</v>
      </c>
      <c r="B20" s="8" t="s">
        <v>209</v>
      </c>
      <c r="C20" s="8" t="str">
        <f t="shared" si="0"/>
        <v>serine</v>
      </c>
      <c r="D20" s="8" t="s">
        <v>251</v>
      </c>
      <c r="E20" s="8" t="s">
        <v>252</v>
      </c>
      <c r="F20" s="8" t="s">
        <v>253</v>
      </c>
      <c r="G20" s="8">
        <v>500</v>
      </c>
    </row>
    <row r="21" spans="1:7" x14ac:dyDescent="0.15">
      <c r="A21" s="8" t="s">
        <v>254</v>
      </c>
      <c r="B21" s="8" t="s">
        <v>209</v>
      </c>
      <c r="C21" s="8" t="str">
        <f t="shared" si="0"/>
        <v>threonine</v>
      </c>
      <c r="D21" s="8" t="s">
        <v>254</v>
      </c>
      <c r="E21" s="8" t="s">
        <v>255</v>
      </c>
      <c r="F21" s="8" t="s">
        <v>256</v>
      </c>
      <c r="G21" s="8">
        <v>500</v>
      </c>
    </row>
    <row r="22" spans="1:7" x14ac:dyDescent="0.15">
      <c r="A22" s="8" t="s">
        <v>257</v>
      </c>
      <c r="B22" s="8" t="s">
        <v>209</v>
      </c>
      <c r="C22" s="8" t="str">
        <f t="shared" si="0"/>
        <v>tryptophan</v>
      </c>
      <c r="D22" s="8" t="s">
        <v>257</v>
      </c>
      <c r="E22" s="8" t="s">
        <v>258</v>
      </c>
      <c r="F22" s="8" t="s">
        <v>259</v>
      </c>
      <c r="G22" s="8">
        <v>500</v>
      </c>
    </row>
    <row r="23" spans="1:7" x14ac:dyDescent="0.15">
      <c r="A23" s="8" t="s">
        <v>260</v>
      </c>
      <c r="B23" s="8" t="s">
        <v>209</v>
      </c>
      <c r="C23" s="8" t="str">
        <f t="shared" si="0"/>
        <v>tyrosine</v>
      </c>
      <c r="D23" s="8" t="s">
        <v>260</v>
      </c>
      <c r="E23" s="8" t="s">
        <v>261</v>
      </c>
      <c r="F23" s="8" t="s">
        <v>262</v>
      </c>
      <c r="G23" s="8">
        <v>500</v>
      </c>
    </row>
    <row r="24" spans="1:7" x14ac:dyDescent="0.15">
      <c r="A24" s="8" t="s">
        <v>263</v>
      </c>
      <c r="B24" s="8" t="s">
        <v>209</v>
      </c>
      <c r="C24" s="8" t="str">
        <f t="shared" si="0"/>
        <v>valine</v>
      </c>
      <c r="D24" s="8" t="s">
        <v>263</v>
      </c>
      <c r="E24" s="8" t="s">
        <v>264</v>
      </c>
      <c r="F24" s="8" t="s">
        <v>265</v>
      </c>
      <c r="G24" s="8">
        <v>500</v>
      </c>
    </row>
    <row r="25" spans="1:7" x14ac:dyDescent="0.15">
      <c r="A25" s="8" t="s">
        <v>208</v>
      </c>
      <c r="B25" s="8" t="s">
        <v>14</v>
      </c>
      <c r="C25" s="8" t="str">
        <f t="shared" si="0"/>
        <v>arginine</v>
      </c>
      <c r="D25" s="9" t="s">
        <v>15</v>
      </c>
      <c r="E25" s="8" t="s">
        <v>210</v>
      </c>
      <c r="F25" s="8" t="s">
        <v>211</v>
      </c>
      <c r="G25" s="8">
        <v>500</v>
      </c>
    </row>
    <row r="26" spans="1:7" x14ac:dyDescent="0.15">
      <c r="A26" s="8" t="s">
        <v>212</v>
      </c>
      <c r="B26" s="8" t="s">
        <v>14</v>
      </c>
      <c r="C26" s="8" t="str">
        <f t="shared" si="0"/>
        <v>asparagine</v>
      </c>
      <c r="D26" s="9" t="s">
        <v>15</v>
      </c>
      <c r="E26" s="8" t="s">
        <v>213</v>
      </c>
      <c r="F26" s="8" t="s">
        <v>214</v>
      </c>
      <c r="G26" s="8">
        <v>500</v>
      </c>
    </row>
    <row r="27" spans="1:7" x14ac:dyDescent="0.15">
      <c r="A27" s="8" t="s">
        <v>215</v>
      </c>
      <c r="B27" s="8" t="s">
        <v>14</v>
      </c>
      <c r="C27" s="8" t="str">
        <f t="shared" si="0"/>
        <v>asparticacid</v>
      </c>
      <c r="D27" s="9" t="s">
        <v>15</v>
      </c>
      <c r="E27" s="8" t="s">
        <v>216</v>
      </c>
      <c r="F27" s="8" t="s">
        <v>217</v>
      </c>
      <c r="G27" s="8">
        <v>500</v>
      </c>
    </row>
    <row r="28" spans="1:7" x14ac:dyDescent="0.15">
      <c r="A28" s="8" t="s">
        <v>218</v>
      </c>
      <c r="B28" s="8" t="s">
        <v>14</v>
      </c>
      <c r="C28" s="8" t="str">
        <f t="shared" si="0"/>
        <v>cysteine</v>
      </c>
      <c r="D28" s="9" t="s">
        <v>15</v>
      </c>
      <c r="E28" s="8" t="s">
        <v>219</v>
      </c>
      <c r="F28" s="8" t="s">
        <v>220</v>
      </c>
      <c r="G28" s="8">
        <v>500</v>
      </c>
    </row>
    <row r="29" spans="1:7" x14ac:dyDescent="0.15">
      <c r="A29" s="8" t="s">
        <v>221</v>
      </c>
      <c r="B29" s="8" t="s">
        <v>14</v>
      </c>
      <c r="C29" s="8" t="str">
        <f t="shared" si="0"/>
        <v>glutamicacid</v>
      </c>
      <c r="D29" s="9" t="s">
        <v>15</v>
      </c>
      <c r="E29" s="8" t="s">
        <v>222</v>
      </c>
      <c r="F29" s="8" t="s">
        <v>223</v>
      </c>
      <c r="G29" s="8">
        <v>500</v>
      </c>
    </row>
    <row r="30" spans="1:7" x14ac:dyDescent="0.15">
      <c r="A30" s="8" t="s">
        <v>224</v>
      </c>
      <c r="B30" s="8" t="s">
        <v>14</v>
      </c>
      <c r="C30" s="8" t="str">
        <f t="shared" si="0"/>
        <v>glutamine</v>
      </c>
      <c r="D30" s="9" t="s">
        <v>15</v>
      </c>
      <c r="E30" s="8" t="s">
        <v>225</v>
      </c>
      <c r="F30" s="8" t="s">
        <v>226</v>
      </c>
      <c r="G30" s="8">
        <v>500</v>
      </c>
    </row>
    <row r="31" spans="1:7" x14ac:dyDescent="0.15">
      <c r="A31" s="8" t="s">
        <v>227</v>
      </c>
      <c r="B31" s="8" t="s">
        <v>14</v>
      </c>
      <c r="C31" s="8" t="str">
        <f t="shared" si="0"/>
        <v>glycine</v>
      </c>
      <c r="D31" s="9" t="s">
        <v>15</v>
      </c>
      <c r="E31" s="8" t="s">
        <v>228</v>
      </c>
      <c r="F31" s="8" t="s">
        <v>229</v>
      </c>
      <c r="G31" s="8">
        <v>500</v>
      </c>
    </row>
    <row r="32" spans="1:7" x14ac:dyDescent="0.15">
      <c r="A32" s="8" t="s">
        <v>230</v>
      </c>
      <c r="B32" s="8" t="s">
        <v>14</v>
      </c>
      <c r="C32" s="8" t="str">
        <f t="shared" si="0"/>
        <v>histidine</v>
      </c>
      <c r="D32" s="9" t="s">
        <v>15</v>
      </c>
      <c r="E32" s="8" t="s">
        <v>231</v>
      </c>
      <c r="F32" s="8" t="s">
        <v>232</v>
      </c>
      <c r="G32" s="8">
        <v>500</v>
      </c>
    </row>
    <row r="33" spans="1:7" x14ac:dyDescent="0.15">
      <c r="A33" s="8" t="s">
        <v>233</v>
      </c>
      <c r="B33" s="8" t="s">
        <v>14</v>
      </c>
      <c r="C33" s="8" t="str">
        <f t="shared" si="0"/>
        <v>isoleucine</v>
      </c>
      <c r="D33" s="9" t="s">
        <v>15</v>
      </c>
      <c r="E33" s="8" t="s">
        <v>234</v>
      </c>
      <c r="F33" s="8" t="s">
        <v>235</v>
      </c>
      <c r="G33" s="8">
        <v>500</v>
      </c>
    </row>
    <row r="34" spans="1:7" x14ac:dyDescent="0.15">
      <c r="A34" s="8" t="s">
        <v>236</v>
      </c>
      <c r="B34" s="8" t="s">
        <v>14</v>
      </c>
      <c r="C34" s="8" t="str">
        <f t="shared" si="0"/>
        <v>leucine</v>
      </c>
      <c r="D34" s="9" t="s">
        <v>15</v>
      </c>
      <c r="E34" s="8" t="s">
        <v>237</v>
      </c>
      <c r="F34" s="8" t="s">
        <v>238</v>
      </c>
      <c r="G34" s="8">
        <v>500</v>
      </c>
    </row>
    <row r="35" spans="1:7" x14ac:dyDescent="0.15">
      <c r="A35" s="8" t="s">
        <v>239</v>
      </c>
      <c r="B35" s="8" t="s">
        <v>14</v>
      </c>
      <c r="C35" s="8" t="str">
        <f t="shared" si="0"/>
        <v>lysine</v>
      </c>
      <c r="D35" s="9" t="s">
        <v>15</v>
      </c>
      <c r="E35" s="8" t="s">
        <v>240</v>
      </c>
      <c r="F35" s="8" t="s">
        <v>241</v>
      </c>
      <c r="G35" s="8">
        <v>500</v>
      </c>
    </row>
    <row r="36" spans="1:7" x14ac:dyDescent="0.15">
      <c r="A36" s="8" t="s">
        <v>242</v>
      </c>
      <c r="B36" s="8" t="s">
        <v>14</v>
      </c>
      <c r="C36" s="8" t="str">
        <f t="shared" si="0"/>
        <v>methionine</v>
      </c>
      <c r="D36" s="9" t="s">
        <v>15</v>
      </c>
      <c r="E36" s="8" t="s">
        <v>243</v>
      </c>
      <c r="F36" s="8" t="s">
        <v>244</v>
      </c>
      <c r="G36" s="8">
        <v>500</v>
      </c>
    </row>
    <row r="37" spans="1:7" x14ac:dyDescent="0.15">
      <c r="A37" s="8" t="s">
        <v>245</v>
      </c>
      <c r="B37" s="8" t="s">
        <v>14</v>
      </c>
      <c r="C37" s="8" t="str">
        <f t="shared" si="0"/>
        <v>phenylalanine</v>
      </c>
      <c r="D37" s="9" t="s">
        <v>15</v>
      </c>
      <c r="E37" s="8" t="s">
        <v>246</v>
      </c>
      <c r="F37" s="8" t="s">
        <v>247</v>
      </c>
      <c r="G37" s="8">
        <v>500</v>
      </c>
    </row>
    <row r="38" spans="1:7" x14ac:dyDescent="0.15">
      <c r="A38" s="8" t="s">
        <v>248</v>
      </c>
      <c r="B38" s="8" t="s">
        <v>14</v>
      </c>
      <c r="C38" s="8" t="str">
        <f t="shared" si="0"/>
        <v>proline</v>
      </c>
      <c r="D38" s="9" t="s">
        <v>15</v>
      </c>
      <c r="E38" s="8" t="s">
        <v>249</v>
      </c>
      <c r="F38" s="8" t="s">
        <v>250</v>
      </c>
      <c r="G38" s="8">
        <v>500</v>
      </c>
    </row>
    <row r="39" spans="1:7" x14ac:dyDescent="0.15">
      <c r="A39" s="8" t="s">
        <v>251</v>
      </c>
      <c r="B39" s="8" t="s">
        <v>14</v>
      </c>
      <c r="C39" s="8" t="str">
        <f t="shared" si="0"/>
        <v>serine</v>
      </c>
      <c r="D39" s="9" t="s">
        <v>15</v>
      </c>
      <c r="E39" s="8" t="s">
        <v>252</v>
      </c>
      <c r="F39" s="8" t="s">
        <v>253</v>
      </c>
      <c r="G39" s="8">
        <v>500</v>
      </c>
    </row>
    <row r="40" spans="1:7" x14ac:dyDescent="0.15">
      <c r="A40" s="8" t="s">
        <v>254</v>
      </c>
      <c r="B40" s="8" t="s">
        <v>14</v>
      </c>
      <c r="C40" s="8" t="str">
        <f t="shared" si="0"/>
        <v>threonine</v>
      </c>
      <c r="D40" s="9" t="s">
        <v>15</v>
      </c>
      <c r="E40" s="8" t="s">
        <v>255</v>
      </c>
      <c r="F40" s="8" t="s">
        <v>256</v>
      </c>
      <c r="G40" s="8">
        <v>500</v>
      </c>
    </row>
    <row r="41" spans="1:7" x14ac:dyDescent="0.15">
      <c r="A41" s="8" t="s">
        <v>257</v>
      </c>
      <c r="B41" s="8" t="s">
        <v>14</v>
      </c>
      <c r="C41" s="8" t="str">
        <f t="shared" si="0"/>
        <v>tryptophan</v>
      </c>
      <c r="D41" s="9" t="s">
        <v>15</v>
      </c>
      <c r="E41" s="8" t="s">
        <v>258</v>
      </c>
      <c r="F41" s="8" t="s">
        <v>259</v>
      </c>
      <c r="G41" s="8">
        <v>500</v>
      </c>
    </row>
    <row r="42" spans="1:7" x14ac:dyDescent="0.15">
      <c r="A42" s="8" t="s">
        <v>260</v>
      </c>
      <c r="B42" s="8" t="s">
        <v>14</v>
      </c>
      <c r="C42" s="8" t="str">
        <f t="shared" si="0"/>
        <v>tyrosine</v>
      </c>
      <c r="D42" s="9" t="s">
        <v>15</v>
      </c>
      <c r="E42" s="8" t="s">
        <v>261</v>
      </c>
      <c r="F42" s="8" t="s">
        <v>262</v>
      </c>
      <c r="G42" s="8">
        <v>500</v>
      </c>
    </row>
    <row r="43" spans="1:7" x14ac:dyDescent="0.15">
      <c r="A43" s="8" t="s">
        <v>263</v>
      </c>
      <c r="B43" s="8" t="s">
        <v>14</v>
      </c>
      <c r="C43" s="8" t="str">
        <f t="shared" si="0"/>
        <v>valine</v>
      </c>
      <c r="D43" s="9" t="s">
        <v>15</v>
      </c>
      <c r="E43" s="8" t="s">
        <v>264</v>
      </c>
      <c r="F43" s="8" t="s">
        <v>265</v>
      </c>
      <c r="G43" s="8">
        <v>500</v>
      </c>
    </row>
    <row r="44" spans="1:7" x14ac:dyDescent="0.15">
      <c r="A44" s="8" t="s">
        <v>281</v>
      </c>
      <c r="B44" s="8" t="s">
        <v>14</v>
      </c>
      <c r="C44" s="8" t="str">
        <f t="shared" si="0"/>
        <v>none</v>
      </c>
      <c r="D44" s="9" t="s">
        <v>15</v>
      </c>
      <c r="E44" s="8" t="s">
        <v>3015</v>
      </c>
      <c r="F44" s="8" t="s">
        <v>3016</v>
      </c>
      <c r="G44" s="8">
        <v>500</v>
      </c>
    </row>
    <row r="45" spans="1:7" x14ac:dyDescent="0.15">
      <c r="A45" s="8" t="s">
        <v>266</v>
      </c>
      <c r="B45" s="8" t="s">
        <v>20</v>
      </c>
      <c r="C45" s="8" t="str">
        <f t="shared" si="0"/>
        <v>dda</v>
      </c>
      <c r="D45" s="8" t="s">
        <v>266</v>
      </c>
      <c r="E45" s="8" t="s">
        <v>267</v>
      </c>
      <c r="F45" s="8" t="s">
        <v>268</v>
      </c>
      <c r="G45" s="8">
        <v>500</v>
      </c>
    </row>
    <row r="46" spans="1:7" x14ac:dyDescent="0.15">
      <c r="A46" s="8" t="s">
        <v>269</v>
      </c>
      <c r="B46" s="8" t="s">
        <v>20</v>
      </c>
      <c r="C46" s="8" t="str">
        <f t="shared" si="0"/>
        <v>dia</v>
      </c>
      <c r="D46" s="8" t="s">
        <v>269</v>
      </c>
      <c r="E46" s="8" t="s">
        <v>270</v>
      </c>
      <c r="F46" s="8" t="s">
        <v>271</v>
      </c>
      <c r="G46" s="8">
        <v>500</v>
      </c>
    </row>
    <row r="47" spans="1:7" x14ac:dyDescent="0.15">
      <c r="A47" s="8" t="s">
        <v>272</v>
      </c>
      <c r="B47" s="8" t="s">
        <v>20</v>
      </c>
      <c r="C47" s="8" t="str">
        <f t="shared" si="0"/>
        <v>srm</v>
      </c>
      <c r="D47" s="8" t="s">
        <v>272</v>
      </c>
      <c r="E47" s="8" t="s">
        <v>273</v>
      </c>
      <c r="F47" s="8" t="s">
        <v>274</v>
      </c>
      <c r="G47" s="8">
        <v>500</v>
      </c>
    </row>
    <row r="48" spans="1:7" x14ac:dyDescent="0.15">
      <c r="A48" s="8" t="s">
        <v>275</v>
      </c>
      <c r="B48" s="8" t="s">
        <v>24</v>
      </c>
      <c r="C48" s="8" t="str">
        <f t="shared" si="0"/>
        <v>caa</v>
      </c>
      <c r="D48" s="9" t="s">
        <v>15</v>
      </c>
      <c r="E48" s="8" t="s">
        <v>276</v>
      </c>
      <c r="F48" s="8" t="s">
        <v>277</v>
      </c>
      <c r="G48" s="8">
        <v>500</v>
      </c>
    </row>
    <row r="49" spans="1:7" x14ac:dyDescent="0.15">
      <c r="A49" s="8" t="s">
        <v>278</v>
      </c>
      <c r="B49" s="8" t="s">
        <v>24</v>
      </c>
      <c r="C49" s="8" t="str">
        <f t="shared" si="0"/>
        <v>iaa</v>
      </c>
      <c r="D49" s="9" t="s">
        <v>15</v>
      </c>
      <c r="E49" s="8" t="s">
        <v>279</v>
      </c>
      <c r="F49" s="8" t="s">
        <v>280</v>
      </c>
      <c r="G49" s="8">
        <v>500</v>
      </c>
    </row>
    <row r="50" spans="1:7" x14ac:dyDescent="0.15">
      <c r="A50" s="8" t="s">
        <v>281</v>
      </c>
      <c r="B50" s="8" t="s">
        <v>24</v>
      </c>
      <c r="C50" s="8" t="str">
        <f t="shared" si="0"/>
        <v>none</v>
      </c>
      <c r="D50" s="9" t="s">
        <v>15</v>
      </c>
      <c r="E50" s="8" t="s">
        <v>282</v>
      </c>
      <c r="F50" s="8" t="s">
        <v>283</v>
      </c>
      <c r="G50" s="8">
        <v>500</v>
      </c>
    </row>
    <row r="51" spans="1:7" x14ac:dyDescent="0.15">
      <c r="A51" s="8" t="s">
        <v>284</v>
      </c>
      <c r="B51" s="8" t="s">
        <v>28</v>
      </c>
      <c r="C51" s="8" t="str">
        <f t="shared" si="0"/>
        <v>directdia</v>
      </c>
      <c r="D51" s="9" t="s">
        <v>15</v>
      </c>
      <c r="E51" s="8" t="s">
        <v>285</v>
      </c>
      <c r="F51" s="8" t="s">
        <v>286</v>
      </c>
      <c r="G51" s="8">
        <v>500</v>
      </c>
    </row>
    <row r="52" spans="1:7" x14ac:dyDescent="0.15">
      <c r="A52" s="8" t="s">
        <v>287</v>
      </c>
      <c r="B52" s="8" t="s">
        <v>28</v>
      </c>
      <c r="C52" s="8" t="str">
        <f t="shared" si="0"/>
        <v>libdia</v>
      </c>
      <c r="D52" s="9" t="s">
        <v>15</v>
      </c>
      <c r="E52" s="8" t="s">
        <v>288</v>
      </c>
      <c r="F52" s="8" t="s">
        <v>289</v>
      </c>
      <c r="G52" s="8">
        <v>500</v>
      </c>
    </row>
    <row r="53" spans="1:7" x14ac:dyDescent="0.15">
      <c r="A53" s="8" t="s">
        <v>290</v>
      </c>
      <c r="B53" s="8" t="s">
        <v>291</v>
      </c>
      <c r="C53" s="8" t="str">
        <f t="shared" si="0"/>
        <v>adipoq_cre</v>
      </c>
      <c r="D53" s="9" t="s">
        <v>15</v>
      </c>
      <c r="E53" s="8" t="s">
        <v>292</v>
      </c>
      <c r="F53" s="8" t="s">
        <v>293</v>
      </c>
      <c r="G53" s="8">
        <v>500</v>
      </c>
    </row>
    <row r="54" spans="1:7" x14ac:dyDescent="0.15">
      <c r="A54" s="8" t="s">
        <v>294</v>
      </c>
      <c r="B54" s="8" t="s">
        <v>291</v>
      </c>
      <c r="C54" s="8" t="str">
        <f t="shared" si="0"/>
        <v>alb_cre</v>
      </c>
      <c r="D54" s="9" t="s">
        <v>15</v>
      </c>
      <c r="E54" s="8" t="s">
        <v>295</v>
      </c>
      <c r="F54" s="8" t="s">
        <v>296</v>
      </c>
      <c r="G54" s="8">
        <v>500</v>
      </c>
    </row>
    <row r="55" spans="1:7" x14ac:dyDescent="0.15">
      <c r="A55" s="8" t="s">
        <v>297</v>
      </c>
      <c r="B55" s="8" t="s">
        <v>291</v>
      </c>
      <c r="C55" s="8" t="str">
        <f t="shared" si="0"/>
        <v>asc_ko</v>
      </c>
      <c r="D55" s="9" t="s">
        <v>15</v>
      </c>
      <c r="E55" s="8" t="s">
        <v>298</v>
      </c>
      <c r="F55" s="8" t="s">
        <v>298</v>
      </c>
      <c r="G55" s="8">
        <v>500</v>
      </c>
    </row>
    <row r="56" spans="1:7" x14ac:dyDescent="0.15">
      <c r="A56" s="8" t="s">
        <v>299</v>
      </c>
      <c r="B56" s="8" t="s">
        <v>291</v>
      </c>
      <c r="C56" s="8" t="str">
        <f t="shared" si="0"/>
        <v>baf53b_cre</v>
      </c>
      <c r="D56" s="9" t="s">
        <v>15</v>
      </c>
      <c r="E56" s="8" t="s">
        <v>300</v>
      </c>
      <c r="F56" s="8" t="s">
        <v>301</v>
      </c>
      <c r="G56" s="8">
        <v>500</v>
      </c>
    </row>
    <row r="57" spans="1:7" x14ac:dyDescent="0.15">
      <c r="A57" s="8" t="s">
        <v>302</v>
      </c>
      <c r="B57" s="8" t="s">
        <v>291</v>
      </c>
      <c r="C57" s="8" t="str">
        <f t="shared" si="0"/>
        <v>c57_bl6j</v>
      </c>
      <c r="D57" s="9" t="s">
        <v>15</v>
      </c>
      <c r="E57" s="8" t="s">
        <v>303</v>
      </c>
      <c r="F57" s="8" t="s">
        <v>303</v>
      </c>
      <c r="G57" s="8">
        <v>500</v>
      </c>
    </row>
    <row r="58" spans="1:7" x14ac:dyDescent="0.15">
      <c r="A58" s="8" t="s">
        <v>304</v>
      </c>
      <c r="B58" s="8" t="s">
        <v>291</v>
      </c>
      <c r="C58" s="8" t="str">
        <f t="shared" si="0"/>
        <v>clec4f_cre</v>
      </c>
      <c r="D58" s="9" t="s">
        <v>15</v>
      </c>
      <c r="E58" s="8" t="s">
        <v>305</v>
      </c>
      <c r="F58" s="8" t="s">
        <v>306</v>
      </c>
      <c r="G58" s="8">
        <v>500</v>
      </c>
    </row>
    <row r="59" spans="1:7" x14ac:dyDescent="0.15">
      <c r="A59" s="8" t="s">
        <v>307</v>
      </c>
      <c r="B59" s="8" t="s">
        <v>291</v>
      </c>
      <c r="C59" s="8" t="str">
        <f t="shared" si="0"/>
        <v>cx3cr1_cre</v>
      </c>
      <c r="D59" s="9" t="s">
        <v>15</v>
      </c>
      <c r="E59" s="8" t="s">
        <v>308</v>
      </c>
      <c r="F59" s="8" t="s">
        <v>309</v>
      </c>
      <c r="G59" s="8">
        <v>500</v>
      </c>
    </row>
    <row r="60" spans="1:7" x14ac:dyDescent="0.15">
      <c r="A60" s="8" t="s">
        <v>310</v>
      </c>
      <c r="B60" s="8" t="s">
        <v>291</v>
      </c>
      <c r="C60" s="8" t="str">
        <f t="shared" si="0"/>
        <v>cxcr4creert2</v>
      </c>
      <c r="D60" s="9" t="s">
        <v>15</v>
      </c>
      <c r="E60" s="8" t="s">
        <v>311</v>
      </c>
      <c r="F60" s="8" t="s">
        <v>311</v>
      </c>
      <c r="G60" s="8">
        <v>500</v>
      </c>
    </row>
    <row r="61" spans="1:7" x14ac:dyDescent="0.15">
      <c r="A61" s="8" t="s">
        <v>312</v>
      </c>
      <c r="B61" s="8" t="s">
        <v>291</v>
      </c>
      <c r="C61" s="8" t="str">
        <f t="shared" si="0"/>
        <v>glast_cre</v>
      </c>
      <c r="D61" s="9" t="s">
        <v>15</v>
      </c>
      <c r="E61" s="8" t="s">
        <v>313</v>
      </c>
      <c r="F61" s="8" t="s">
        <v>314</v>
      </c>
      <c r="G61" s="8">
        <v>500</v>
      </c>
    </row>
    <row r="62" spans="1:7" x14ac:dyDescent="0.15">
      <c r="A62" s="8" t="s">
        <v>315</v>
      </c>
      <c r="B62" s="8" t="s">
        <v>291</v>
      </c>
      <c r="C62" s="8" t="str">
        <f t="shared" si="0"/>
        <v>lrat_cre</v>
      </c>
      <c r="D62" s="9" t="s">
        <v>15</v>
      </c>
      <c r="E62" s="8" t="s">
        <v>316</v>
      </c>
      <c r="F62" s="8" t="s">
        <v>317</v>
      </c>
      <c r="G62" s="8">
        <v>500</v>
      </c>
    </row>
    <row r="63" spans="1:7" x14ac:dyDescent="0.15">
      <c r="A63" s="8" t="s">
        <v>318</v>
      </c>
      <c r="B63" s="8" t="s">
        <v>291</v>
      </c>
      <c r="C63" s="8" t="str">
        <f t="shared" si="0"/>
        <v>lysm_cre</v>
      </c>
      <c r="D63" s="9" t="s">
        <v>15</v>
      </c>
      <c r="E63" s="8" t="s">
        <v>319</v>
      </c>
      <c r="F63" s="8" t="s">
        <v>320</v>
      </c>
      <c r="G63" s="8">
        <v>500</v>
      </c>
    </row>
    <row r="64" spans="1:7" x14ac:dyDescent="0.15">
      <c r="A64" s="8" t="s">
        <v>321</v>
      </c>
      <c r="B64" s="8" t="s">
        <v>291</v>
      </c>
      <c r="C64" s="8" t="str">
        <f t="shared" si="0"/>
        <v>ms4a3_cre</v>
      </c>
      <c r="D64" s="9" t="s">
        <v>15</v>
      </c>
      <c r="E64" s="8" t="s">
        <v>322</v>
      </c>
      <c r="F64" s="8" t="s">
        <v>323</v>
      </c>
      <c r="G64" s="8">
        <v>500</v>
      </c>
    </row>
    <row r="65" spans="1:7" x14ac:dyDescent="0.15">
      <c r="A65" s="8" t="s">
        <v>324</v>
      </c>
      <c r="B65" s="8" t="s">
        <v>291</v>
      </c>
      <c r="C65" s="8" t="str">
        <f t="shared" si="0"/>
        <v>mt_nlrp3_cre</v>
      </c>
      <c r="D65" s="9" t="s">
        <v>15</v>
      </c>
      <c r="E65" s="8" t="s">
        <v>325</v>
      </c>
      <c r="F65" s="8" t="s">
        <v>326</v>
      </c>
      <c r="G65" s="8">
        <v>500</v>
      </c>
    </row>
    <row r="66" spans="1:7" x14ac:dyDescent="0.15">
      <c r="A66" s="8" t="s">
        <v>327</v>
      </c>
      <c r="B66" s="8" t="s">
        <v>291</v>
      </c>
      <c r="C66" s="8" t="str">
        <f t="shared" si="0"/>
        <v>nlrp3_flox</v>
      </c>
      <c r="D66" s="9" t="s">
        <v>15</v>
      </c>
      <c r="E66" s="8" t="s">
        <v>328</v>
      </c>
      <c r="F66" s="8" t="s">
        <v>328</v>
      </c>
      <c r="G66" s="8">
        <v>500</v>
      </c>
    </row>
    <row r="67" spans="1:7" x14ac:dyDescent="0.15">
      <c r="A67" s="8" t="s">
        <v>329</v>
      </c>
      <c r="B67" s="8" t="s">
        <v>291</v>
      </c>
      <c r="C67" s="8" t="str">
        <f t="shared" ref="C67:C131" si="1">A67</f>
        <v>nlrp3_ko</v>
      </c>
      <c r="D67" s="9" t="s">
        <v>15</v>
      </c>
      <c r="E67" s="8" t="s">
        <v>330</v>
      </c>
      <c r="F67" s="8" t="s">
        <v>330</v>
      </c>
      <c r="G67" s="8">
        <v>500</v>
      </c>
    </row>
    <row r="68" spans="1:7" x14ac:dyDescent="0.15">
      <c r="A68" s="8" t="s">
        <v>331</v>
      </c>
      <c r="B68" s="8" t="s">
        <v>291</v>
      </c>
      <c r="C68" s="8" t="str">
        <f t="shared" si="1"/>
        <v>oaf</v>
      </c>
      <c r="D68" s="9" t="s">
        <v>15</v>
      </c>
      <c r="E68" s="8" t="s">
        <v>332</v>
      </c>
      <c r="F68" s="8" t="s">
        <v>332</v>
      </c>
      <c r="G68" s="8">
        <v>500</v>
      </c>
    </row>
    <row r="69" spans="1:7" x14ac:dyDescent="0.15">
      <c r="A69" s="8" t="s">
        <v>333</v>
      </c>
      <c r="B69" s="8" t="s">
        <v>291</v>
      </c>
      <c r="C69" s="8" t="str">
        <f t="shared" si="1"/>
        <v>r26_ert2cre</v>
      </c>
      <c r="D69" s="9" t="s">
        <v>15</v>
      </c>
      <c r="E69" s="8" t="s">
        <v>334</v>
      </c>
      <c r="F69" s="8" t="s">
        <v>335</v>
      </c>
      <c r="G69" s="8">
        <v>500</v>
      </c>
    </row>
    <row r="70" spans="1:7" x14ac:dyDescent="0.15">
      <c r="A70" s="8" t="s">
        <v>336</v>
      </c>
      <c r="B70" s="8" t="s">
        <v>291</v>
      </c>
      <c r="C70" s="8" t="str">
        <f t="shared" si="1"/>
        <v>r26_metrs_flox</v>
      </c>
      <c r="D70" s="9" t="s">
        <v>15</v>
      </c>
      <c r="E70" s="9" t="s">
        <v>337</v>
      </c>
      <c r="F70" s="8" t="s">
        <v>338</v>
      </c>
      <c r="G70" s="8">
        <v>500</v>
      </c>
    </row>
    <row r="71" spans="1:7" x14ac:dyDescent="0.15">
      <c r="A71" s="8" t="s">
        <v>339</v>
      </c>
      <c r="B71" s="8" t="s">
        <v>291</v>
      </c>
      <c r="C71" s="8" t="str">
        <f t="shared" si="1"/>
        <v>r26_nlrp3_flox</v>
      </c>
      <c r="D71" s="9" t="s">
        <v>15</v>
      </c>
      <c r="E71" s="8" t="s">
        <v>340</v>
      </c>
      <c r="F71" s="8" t="s">
        <v>340</v>
      </c>
      <c r="G71" s="8">
        <v>500</v>
      </c>
    </row>
    <row r="72" spans="1:7" x14ac:dyDescent="0.15">
      <c r="A72" s="8" t="s">
        <v>341</v>
      </c>
      <c r="B72" s="8" t="s">
        <v>291</v>
      </c>
      <c r="C72" s="8" t="str">
        <f t="shared" si="1"/>
        <v>ribotag_lox</v>
      </c>
      <c r="D72" s="9" t="s">
        <v>15</v>
      </c>
      <c r="E72" s="8" t="s">
        <v>342</v>
      </c>
      <c r="F72" s="9" t="s">
        <v>15</v>
      </c>
      <c r="G72" s="8">
        <v>500</v>
      </c>
    </row>
    <row r="73" spans="1:7" x14ac:dyDescent="0.15">
      <c r="A73" s="8" t="s">
        <v>343</v>
      </c>
      <c r="B73" s="8" t="s">
        <v>291</v>
      </c>
      <c r="C73" s="8" t="str">
        <f t="shared" si="1"/>
        <v>sox10_cre</v>
      </c>
      <c r="D73" s="9" t="s">
        <v>15</v>
      </c>
      <c r="E73" s="8" t="s">
        <v>344</v>
      </c>
      <c r="F73" s="8" t="s">
        <v>345</v>
      </c>
      <c r="G73" s="8">
        <v>500</v>
      </c>
    </row>
    <row r="74" spans="1:7" x14ac:dyDescent="0.15">
      <c r="A74" s="8" t="s">
        <v>346</v>
      </c>
      <c r="B74" s="8" t="s">
        <v>291</v>
      </c>
      <c r="C74" s="8" t="str">
        <f t="shared" si="1"/>
        <v>ucp1_cre</v>
      </c>
      <c r="D74" s="9" t="s">
        <v>15</v>
      </c>
      <c r="E74" s="8" t="s">
        <v>347</v>
      </c>
      <c r="F74" s="8" t="s">
        <v>348</v>
      </c>
      <c r="G74" s="8">
        <v>500</v>
      </c>
    </row>
    <row r="75" spans="1:7" x14ac:dyDescent="0.15">
      <c r="A75" s="8" t="s">
        <v>349</v>
      </c>
      <c r="B75" s="8" t="s">
        <v>291</v>
      </c>
      <c r="C75" s="8" t="str">
        <f t="shared" si="1"/>
        <v>vil_cre</v>
      </c>
      <c r="D75" s="9" t="s">
        <v>15</v>
      </c>
      <c r="E75" s="8" t="s">
        <v>350</v>
      </c>
      <c r="F75" s="8" t="s">
        <v>351</v>
      </c>
      <c r="G75" s="8">
        <v>500</v>
      </c>
    </row>
    <row r="76" spans="1:7" x14ac:dyDescent="0.15">
      <c r="A76" s="8" t="s">
        <v>352</v>
      </c>
      <c r="B76" s="8" t="s">
        <v>37</v>
      </c>
      <c r="C76" s="8" t="str">
        <f t="shared" si="1"/>
        <v>adipose_macrophages</v>
      </c>
      <c r="D76" s="8" t="s">
        <v>353</v>
      </c>
      <c r="E76" s="8" t="s">
        <v>354</v>
      </c>
      <c r="F76" s="8" t="s">
        <v>355</v>
      </c>
      <c r="G76" s="8">
        <v>500</v>
      </c>
    </row>
    <row r="77" spans="1:7" x14ac:dyDescent="0.15">
      <c r="A77" s="8" t="s">
        <v>356</v>
      </c>
      <c r="B77" s="8" t="s">
        <v>37</v>
      </c>
      <c r="C77" s="8" t="str">
        <f t="shared" si="1"/>
        <v>astrocytes</v>
      </c>
      <c r="D77" s="8" t="s">
        <v>356</v>
      </c>
      <c r="E77" s="8" t="s">
        <v>314</v>
      </c>
      <c r="F77" s="8" t="s">
        <v>314</v>
      </c>
      <c r="G77" s="8">
        <v>500</v>
      </c>
    </row>
    <row r="78" spans="1:7" x14ac:dyDescent="0.15">
      <c r="A78" s="8" t="s">
        <v>357</v>
      </c>
      <c r="B78" s="8" t="s">
        <v>37</v>
      </c>
      <c r="C78" s="8" t="str">
        <f t="shared" si="1"/>
        <v>basophils</v>
      </c>
      <c r="D78" s="8" t="s">
        <v>357</v>
      </c>
      <c r="E78" s="8" t="s">
        <v>358</v>
      </c>
      <c r="F78" s="8" t="s">
        <v>359</v>
      </c>
      <c r="G78" s="8">
        <v>500</v>
      </c>
    </row>
    <row r="79" spans="1:7" x14ac:dyDescent="0.15">
      <c r="A79" s="8" t="s">
        <v>360</v>
      </c>
      <c r="B79" s="8" t="s">
        <v>37</v>
      </c>
      <c r="C79" s="8" t="str">
        <f t="shared" si="1"/>
        <v>bcells</v>
      </c>
      <c r="D79" s="8" t="s">
        <v>360</v>
      </c>
      <c r="E79" s="8" t="s">
        <v>361</v>
      </c>
      <c r="F79" s="8" t="s">
        <v>361</v>
      </c>
      <c r="G79" s="8">
        <v>500</v>
      </c>
    </row>
    <row r="80" spans="1:7" x14ac:dyDescent="0.15">
      <c r="A80" s="8" t="s">
        <v>362</v>
      </c>
      <c r="B80" s="8" t="s">
        <v>37</v>
      </c>
      <c r="C80" s="8" t="str">
        <f t="shared" si="1"/>
        <v>cytotoxict</v>
      </c>
      <c r="D80" s="8" t="s">
        <v>362</v>
      </c>
      <c r="E80" s="8" t="s">
        <v>363</v>
      </c>
      <c r="F80" s="8" t="s">
        <v>364</v>
      </c>
      <c r="G80" s="8">
        <v>500</v>
      </c>
    </row>
    <row r="81" spans="1:7" x14ac:dyDescent="0.15">
      <c r="A81" s="8" t="s">
        <v>365</v>
      </c>
      <c r="B81" s="8" t="s">
        <v>37</v>
      </c>
      <c r="C81" s="8" t="str">
        <f t="shared" si="1"/>
        <v>endothelial</v>
      </c>
      <c r="D81" s="8" t="s">
        <v>365</v>
      </c>
      <c r="E81" s="8" t="s">
        <v>366</v>
      </c>
      <c r="F81" s="8" t="s">
        <v>367</v>
      </c>
      <c r="G81" s="8">
        <v>500</v>
      </c>
    </row>
    <row r="82" spans="1:7" x14ac:dyDescent="0.15">
      <c r="A82" s="8" t="s">
        <v>368</v>
      </c>
      <c r="B82" s="8" t="s">
        <v>37</v>
      </c>
      <c r="C82" s="8" t="str">
        <f t="shared" si="1"/>
        <v>eosinophils</v>
      </c>
      <c r="D82" s="8" t="s">
        <v>368</v>
      </c>
      <c r="E82" s="8" t="s">
        <v>369</v>
      </c>
      <c r="F82" s="8" t="s">
        <v>370</v>
      </c>
      <c r="G82" s="8">
        <v>500</v>
      </c>
    </row>
    <row r="83" spans="1:7" x14ac:dyDescent="0.15">
      <c r="A83" s="8" t="s">
        <v>371</v>
      </c>
      <c r="B83" s="8" t="s">
        <v>37</v>
      </c>
      <c r="C83" s="8" t="str">
        <f t="shared" si="1"/>
        <v>epithelioid</v>
      </c>
      <c r="D83" s="8" t="s">
        <v>371</v>
      </c>
      <c r="E83" s="8" t="s">
        <v>372</v>
      </c>
      <c r="F83" s="8" t="s">
        <v>373</v>
      </c>
      <c r="G83" s="8">
        <v>500</v>
      </c>
    </row>
    <row r="84" spans="1:7" x14ac:dyDescent="0.15">
      <c r="A84" s="8" t="s">
        <v>374</v>
      </c>
      <c r="B84" s="8" t="s">
        <v>37</v>
      </c>
      <c r="C84" s="8" t="str">
        <f t="shared" si="1"/>
        <v>erythrocytes</v>
      </c>
      <c r="D84" s="8" t="s">
        <v>374</v>
      </c>
      <c r="E84" s="8" t="s">
        <v>375</v>
      </c>
      <c r="F84" s="8" t="s">
        <v>376</v>
      </c>
      <c r="G84" s="8">
        <v>500</v>
      </c>
    </row>
    <row r="85" spans="1:7" x14ac:dyDescent="0.15">
      <c r="A85" s="8" t="s">
        <v>377</v>
      </c>
      <c r="B85" s="8" t="s">
        <v>37</v>
      </c>
      <c r="C85" s="8" t="str">
        <f t="shared" si="1"/>
        <v>gammadeltat</v>
      </c>
      <c r="D85" s="8" t="s">
        <v>377</v>
      </c>
      <c r="E85" s="8" t="s">
        <v>378</v>
      </c>
      <c r="F85" s="8" t="s">
        <v>379</v>
      </c>
      <c r="G85" s="8">
        <v>500</v>
      </c>
    </row>
    <row r="86" spans="1:7" x14ac:dyDescent="0.15">
      <c r="A86" s="8" t="s">
        <v>380</v>
      </c>
      <c r="B86" s="8" t="s">
        <v>37</v>
      </c>
      <c r="C86" s="8" t="str">
        <f t="shared" si="1"/>
        <v>hofbauer</v>
      </c>
      <c r="D86" s="8" t="s">
        <v>380</v>
      </c>
      <c r="E86" s="8" t="s">
        <v>381</v>
      </c>
      <c r="F86" s="8" t="s">
        <v>382</v>
      </c>
      <c r="G86" s="8">
        <v>500</v>
      </c>
    </row>
    <row r="87" spans="1:7" x14ac:dyDescent="0.15">
      <c r="A87" s="8" t="s">
        <v>383</v>
      </c>
      <c r="B87" s="8" t="s">
        <v>37</v>
      </c>
      <c r="C87" s="8" t="str">
        <f t="shared" si="1"/>
        <v>keratinocytes</v>
      </c>
      <c r="D87" s="8" t="s">
        <v>383</v>
      </c>
      <c r="E87" s="8" t="s">
        <v>384</v>
      </c>
      <c r="F87" s="8" t="s">
        <v>385</v>
      </c>
      <c r="G87" s="8">
        <v>500</v>
      </c>
    </row>
    <row r="88" spans="1:7" x14ac:dyDescent="0.15">
      <c r="A88" s="8" t="s">
        <v>386</v>
      </c>
      <c r="B88" s="8" t="s">
        <v>37</v>
      </c>
      <c r="C88" s="8" t="str">
        <f t="shared" si="1"/>
        <v>kupffer</v>
      </c>
      <c r="D88" s="8" t="s">
        <v>386</v>
      </c>
      <c r="E88" s="8" t="s">
        <v>387</v>
      </c>
      <c r="F88" s="8" t="s">
        <v>388</v>
      </c>
      <c r="G88" s="8">
        <v>500</v>
      </c>
    </row>
    <row r="89" spans="1:7" x14ac:dyDescent="0.15">
      <c r="A89" s="8" t="s">
        <v>389</v>
      </c>
      <c r="B89" s="8" t="s">
        <v>37</v>
      </c>
      <c r="C89" s="8" t="str">
        <f t="shared" si="1"/>
        <v>langerhans</v>
      </c>
      <c r="D89" s="8" t="s">
        <v>389</v>
      </c>
      <c r="E89" s="8" t="s">
        <v>390</v>
      </c>
      <c r="F89" s="8" t="s">
        <v>391</v>
      </c>
      <c r="G89" s="8">
        <v>500</v>
      </c>
    </row>
    <row r="90" spans="1:7" x14ac:dyDescent="0.15">
      <c r="A90" s="8" t="s">
        <v>392</v>
      </c>
      <c r="B90" s="8" t="s">
        <v>37</v>
      </c>
      <c r="C90" s="8" t="str">
        <f t="shared" si="1"/>
        <v>leukocytes</v>
      </c>
      <c r="D90" s="8" t="s">
        <v>392</v>
      </c>
      <c r="E90" s="8" t="s">
        <v>393</v>
      </c>
      <c r="F90" s="8" t="s">
        <v>394</v>
      </c>
      <c r="G90" s="8">
        <v>500</v>
      </c>
    </row>
    <row r="91" spans="1:7" x14ac:dyDescent="0.15">
      <c r="A91" s="8" t="s">
        <v>395</v>
      </c>
      <c r="B91" s="8" t="s">
        <v>37</v>
      </c>
      <c r="C91" s="8" t="str">
        <f t="shared" si="1"/>
        <v>lymphocytes</v>
      </c>
      <c r="D91" s="8" t="s">
        <v>395</v>
      </c>
      <c r="E91" s="8" t="s">
        <v>396</v>
      </c>
      <c r="F91" s="8" t="s">
        <v>397</v>
      </c>
      <c r="G91" s="8">
        <v>500</v>
      </c>
    </row>
    <row r="92" spans="1:7" x14ac:dyDescent="0.15">
      <c r="A92" s="8" t="s">
        <v>398</v>
      </c>
      <c r="B92" s="8" t="s">
        <v>37</v>
      </c>
      <c r="C92" s="8" t="str">
        <f t="shared" si="1"/>
        <v>macrophage</v>
      </c>
      <c r="D92" s="8" t="s">
        <v>398</v>
      </c>
      <c r="E92" s="8" t="s">
        <v>399</v>
      </c>
      <c r="F92" s="8" t="s">
        <v>399</v>
      </c>
      <c r="G92" s="8">
        <v>500</v>
      </c>
    </row>
    <row r="93" spans="1:7" x14ac:dyDescent="0.15">
      <c r="A93" s="8" t="s">
        <v>400</v>
      </c>
      <c r="B93" s="8" t="s">
        <v>37</v>
      </c>
      <c r="C93" s="8" t="str">
        <f t="shared" si="1"/>
        <v>microglia</v>
      </c>
      <c r="D93" s="8" t="s">
        <v>400</v>
      </c>
      <c r="E93" s="8" t="s">
        <v>401</v>
      </c>
      <c r="F93" s="8" t="s">
        <v>402</v>
      </c>
      <c r="G93" s="8">
        <v>500</v>
      </c>
    </row>
    <row r="94" spans="1:7" x14ac:dyDescent="0.15">
      <c r="A94" s="8" t="s">
        <v>403</v>
      </c>
      <c r="B94" s="8" t="s">
        <v>37</v>
      </c>
      <c r="C94" s="8" t="str">
        <f t="shared" si="1"/>
        <v>monoblast</v>
      </c>
      <c r="D94" s="8" t="s">
        <v>403</v>
      </c>
      <c r="E94" s="8" t="s">
        <v>404</v>
      </c>
      <c r="F94" s="8" t="s">
        <v>404</v>
      </c>
      <c r="G94" s="8">
        <v>500</v>
      </c>
    </row>
    <row r="95" spans="1:7" x14ac:dyDescent="0.15">
      <c r="A95" s="8" t="s">
        <v>405</v>
      </c>
      <c r="B95" s="8" t="s">
        <v>37</v>
      </c>
      <c r="C95" s="8" t="str">
        <f t="shared" si="1"/>
        <v>monocytes</v>
      </c>
      <c r="D95" s="8" t="s">
        <v>405</v>
      </c>
      <c r="E95" s="8" t="s">
        <v>323</v>
      </c>
      <c r="F95" s="8" t="s">
        <v>406</v>
      </c>
      <c r="G95" s="8">
        <v>500</v>
      </c>
    </row>
    <row r="96" spans="1:7" x14ac:dyDescent="0.15">
      <c r="A96" s="8" t="s">
        <v>407</v>
      </c>
      <c r="B96" s="8" t="s">
        <v>37</v>
      </c>
      <c r="C96" s="8" t="str">
        <f t="shared" si="1"/>
        <v>neutrophils</v>
      </c>
      <c r="D96" s="8" t="s">
        <v>407</v>
      </c>
      <c r="E96" s="8" t="s">
        <v>408</v>
      </c>
      <c r="F96" s="8" t="s">
        <v>409</v>
      </c>
      <c r="G96" s="8">
        <v>500</v>
      </c>
    </row>
    <row r="97" spans="1:7" x14ac:dyDescent="0.15">
      <c r="A97" s="8" t="s">
        <v>410</v>
      </c>
      <c r="B97" s="8" t="s">
        <v>37</v>
      </c>
      <c r="C97" s="8" t="str">
        <f t="shared" si="1"/>
        <v>nk</v>
      </c>
      <c r="D97" s="8" t="s">
        <v>410</v>
      </c>
      <c r="E97" s="8" t="s">
        <v>411</v>
      </c>
      <c r="F97" s="8" t="s">
        <v>412</v>
      </c>
      <c r="G97" s="8">
        <v>500</v>
      </c>
    </row>
    <row r="98" spans="1:7" x14ac:dyDescent="0.15">
      <c r="A98" s="8" t="s">
        <v>413</v>
      </c>
      <c r="B98" s="8" t="s">
        <v>37</v>
      </c>
      <c r="C98" s="8" t="str">
        <f t="shared" si="1"/>
        <v>osteoblast</v>
      </c>
      <c r="D98" s="8" t="s">
        <v>413</v>
      </c>
      <c r="E98" s="8" t="s">
        <v>414</v>
      </c>
      <c r="F98" s="8" t="s">
        <v>415</v>
      </c>
      <c r="G98" s="8">
        <v>500</v>
      </c>
    </row>
    <row r="99" spans="1:7" x14ac:dyDescent="0.15">
      <c r="A99" s="8" t="s">
        <v>416</v>
      </c>
      <c r="B99" s="8" t="s">
        <v>37</v>
      </c>
      <c r="C99" s="8" t="str">
        <f t="shared" si="1"/>
        <v>osteoclast</v>
      </c>
      <c r="D99" s="8" t="s">
        <v>416</v>
      </c>
      <c r="E99" s="8" t="s">
        <v>417</v>
      </c>
      <c r="F99" s="8" t="s">
        <v>418</v>
      </c>
      <c r="G99" s="8">
        <v>500</v>
      </c>
    </row>
    <row r="100" spans="1:7" x14ac:dyDescent="0.15">
      <c r="A100" s="8" t="s">
        <v>419</v>
      </c>
      <c r="B100" s="8" t="s">
        <v>37</v>
      </c>
      <c r="C100" s="8" t="str">
        <f t="shared" si="1"/>
        <v>osteocytes</v>
      </c>
      <c r="D100" s="8" t="s">
        <v>419</v>
      </c>
      <c r="E100" s="8" t="s">
        <v>420</v>
      </c>
      <c r="F100" s="8" t="s">
        <v>421</v>
      </c>
      <c r="G100" s="8">
        <v>500</v>
      </c>
    </row>
    <row r="101" spans="1:7" x14ac:dyDescent="0.15">
      <c r="A101" s="8" t="s">
        <v>422</v>
      </c>
      <c r="B101" s="8" t="s">
        <v>37</v>
      </c>
      <c r="C101" s="8" t="str">
        <f t="shared" si="1"/>
        <v>osteogenic</v>
      </c>
      <c r="D101" s="8" t="s">
        <v>422</v>
      </c>
      <c r="E101" s="8" t="s">
        <v>423</v>
      </c>
      <c r="F101" s="8" t="s">
        <v>424</v>
      </c>
      <c r="G101" s="8">
        <v>500</v>
      </c>
    </row>
    <row r="102" spans="1:7" x14ac:dyDescent="0.15">
      <c r="A102" s="8" t="s">
        <v>425</v>
      </c>
      <c r="B102" s="8" t="s">
        <v>37</v>
      </c>
      <c r="C102" s="8" t="str">
        <f t="shared" si="1"/>
        <v>regt</v>
      </c>
      <c r="D102" s="8" t="s">
        <v>425</v>
      </c>
      <c r="E102" s="8" t="s">
        <v>426</v>
      </c>
      <c r="F102" s="8" t="s">
        <v>427</v>
      </c>
      <c r="G102" s="8">
        <v>500</v>
      </c>
    </row>
    <row r="103" spans="1:7" x14ac:dyDescent="0.15">
      <c r="A103" s="8" t="s">
        <v>428</v>
      </c>
      <c r="B103" s="8" t="s">
        <v>37</v>
      </c>
      <c r="C103" s="8" t="str">
        <f t="shared" si="1"/>
        <v>stemcells</v>
      </c>
      <c r="D103" s="8" t="s">
        <v>428</v>
      </c>
      <c r="E103" s="8" t="s">
        <v>429</v>
      </c>
      <c r="F103" s="8" t="s">
        <v>430</v>
      </c>
      <c r="G103" s="8">
        <v>500</v>
      </c>
    </row>
    <row r="104" spans="1:7" x14ac:dyDescent="0.15">
      <c r="A104" s="8" t="s">
        <v>431</v>
      </c>
      <c r="B104" s="8" t="s">
        <v>37</v>
      </c>
      <c r="C104" s="8" t="str">
        <f t="shared" si="1"/>
        <v>tcells</v>
      </c>
      <c r="D104" s="8" t="s">
        <v>431</v>
      </c>
      <c r="E104" s="8" t="s">
        <v>432</v>
      </c>
      <c r="F104" s="8" t="s">
        <v>432</v>
      </c>
      <c r="G104" s="8">
        <v>500</v>
      </c>
    </row>
    <row r="105" spans="1:7" x14ac:dyDescent="0.15">
      <c r="A105" s="8" t="s">
        <v>433</v>
      </c>
      <c r="B105" s="8" t="s">
        <v>37</v>
      </c>
      <c r="C105" s="8" t="str">
        <f t="shared" si="1"/>
        <v>thelper</v>
      </c>
      <c r="D105" s="8" t="s">
        <v>433</v>
      </c>
      <c r="E105" s="8" t="s">
        <v>434</v>
      </c>
      <c r="F105" s="8" t="s">
        <v>435</v>
      </c>
      <c r="G105" s="8">
        <v>500</v>
      </c>
    </row>
    <row r="106" spans="1:7" x14ac:dyDescent="0.15">
      <c r="A106" s="8" t="s">
        <v>436</v>
      </c>
      <c r="B106" s="8" t="s">
        <v>37</v>
      </c>
      <c r="C106" s="8" t="str">
        <f t="shared" si="1"/>
        <v>thrombocytes</v>
      </c>
      <c r="D106" s="8" t="s">
        <v>436</v>
      </c>
      <c r="E106" s="8" t="s">
        <v>437</v>
      </c>
      <c r="F106" s="8" t="s">
        <v>438</v>
      </c>
      <c r="G106" s="8">
        <v>500</v>
      </c>
    </row>
    <row r="107" spans="1:7" x14ac:dyDescent="0.15">
      <c r="A107" s="8" t="s">
        <v>439</v>
      </c>
      <c r="B107" s="8" t="s">
        <v>40</v>
      </c>
      <c r="C107" s="8" t="str">
        <f t="shared" si="1"/>
        <v>786_0</v>
      </c>
      <c r="D107" s="8">
        <v>786</v>
      </c>
      <c r="E107" s="8" t="s">
        <v>440</v>
      </c>
      <c r="F107" s="8" t="s">
        <v>441</v>
      </c>
      <c r="G107" s="8">
        <v>500</v>
      </c>
    </row>
    <row r="108" spans="1:7" x14ac:dyDescent="0.15">
      <c r="A108" s="8" t="s">
        <v>442</v>
      </c>
      <c r="B108" s="8" t="s">
        <v>40</v>
      </c>
      <c r="C108" s="8" t="str">
        <f t="shared" si="1"/>
        <v>a498</v>
      </c>
      <c r="D108" s="8" t="s">
        <v>442</v>
      </c>
      <c r="E108" s="8" t="s">
        <v>443</v>
      </c>
      <c r="F108" s="8" t="s">
        <v>441</v>
      </c>
      <c r="G108" s="8">
        <v>500</v>
      </c>
    </row>
    <row r="109" spans="1:7" x14ac:dyDescent="0.15">
      <c r="A109" s="8" t="s">
        <v>444</v>
      </c>
      <c r="B109" s="8" t="s">
        <v>40</v>
      </c>
      <c r="C109" s="8" t="str">
        <f t="shared" si="1"/>
        <v>a549</v>
      </c>
      <c r="D109" s="8" t="s">
        <v>444</v>
      </c>
      <c r="E109" s="8" t="s">
        <v>445</v>
      </c>
      <c r="F109" s="8" t="s">
        <v>446</v>
      </c>
      <c r="G109" s="8">
        <v>500</v>
      </c>
    </row>
    <row r="110" spans="1:7" x14ac:dyDescent="0.15">
      <c r="A110" s="8" t="s">
        <v>447</v>
      </c>
      <c r="B110" s="8" t="s">
        <v>40</v>
      </c>
      <c r="C110" s="8" t="str">
        <f t="shared" si="1"/>
        <v>achn</v>
      </c>
      <c r="D110" s="8" t="s">
        <v>447</v>
      </c>
      <c r="E110" s="8" t="s">
        <v>448</v>
      </c>
      <c r="F110" s="8" t="s">
        <v>441</v>
      </c>
      <c r="G110" s="8">
        <v>500</v>
      </c>
    </row>
    <row r="111" spans="1:7" x14ac:dyDescent="0.15">
      <c r="A111" s="8" t="s">
        <v>449</v>
      </c>
      <c r="B111" s="8" t="s">
        <v>40</v>
      </c>
      <c r="C111" s="8" t="str">
        <f t="shared" si="1"/>
        <v>bmdc</v>
      </c>
      <c r="D111" s="8" t="s">
        <v>449</v>
      </c>
      <c r="E111" s="8" t="s">
        <v>450</v>
      </c>
      <c r="F111" s="8" t="s">
        <v>450</v>
      </c>
      <c r="G111" s="8">
        <v>500</v>
      </c>
    </row>
    <row r="112" spans="1:7" x14ac:dyDescent="0.15">
      <c r="A112" s="8" t="s">
        <v>451</v>
      </c>
      <c r="B112" s="8" t="s">
        <v>40</v>
      </c>
      <c r="C112" s="8" t="str">
        <f t="shared" si="1"/>
        <v>bmm</v>
      </c>
      <c r="D112" s="8" t="s">
        <v>451</v>
      </c>
      <c r="E112" s="8" t="s">
        <v>452</v>
      </c>
      <c r="F112" s="8" t="s">
        <v>453</v>
      </c>
      <c r="G112" s="8">
        <v>500</v>
      </c>
    </row>
    <row r="113" spans="1:7" x14ac:dyDescent="0.15">
      <c r="A113" s="8" t="s">
        <v>454</v>
      </c>
      <c r="B113" s="8" t="s">
        <v>40</v>
      </c>
      <c r="C113" s="8" t="str">
        <f t="shared" si="1"/>
        <v>bt549</v>
      </c>
      <c r="D113" s="8" t="s">
        <v>454</v>
      </c>
      <c r="E113" s="8" t="s">
        <v>455</v>
      </c>
      <c r="F113" s="8" t="s">
        <v>456</v>
      </c>
      <c r="G113" s="8">
        <v>500</v>
      </c>
    </row>
    <row r="114" spans="1:7" x14ac:dyDescent="0.15">
      <c r="A114" s="8" t="s">
        <v>457</v>
      </c>
      <c r="B114" s="8" t="s">
        <v>40</v>
      </c>
      <c r="C114" s="8" t="str">
        <f t="shared" si="1"/>
        <v>caki1</v>
      </c>
      <c r="D114" s="8" t="s">
        <v>457</v>
      </c>
      <c r="E114" s="8" t="s">
        <v>458</v>
      </c>
      <c r="F114" s="8" t="s">
        <v>441</v>
      </c>
      <c r="G114" s="8">
        <v>500</v>
      </c>
    </row>
    <row r="115" spans="1:7" x14ac:dyDescent="0.15">
      <c r="A115" s="8" t="s">
        <v>459</v>
      </c>
      <c r="B115" s="8" t="s">
        <v>40</v>
      </c>
      <c r="C115" s="8" t="str">
        <f t="shared" si="1"/>
        <v>cho</v>
      </c>
      <c r="D115" s="8" t="s">
        <v>459</v>
      </c>
      <c r="E115" s="8" t="s">
        <v>460</v>
      </c>
      <c r="F115" s="8" t="s">
        <v>461</v>
      </c>
      <c r="G115" s="8">
        <v>500</v>
      </c>
    </row>
    <row r="116" spans="1:7" x14ac:dyDescent="0.15">
      <c r="A116" s="8" t="s">
        <v>462</v>
      </c>
      <c r="B116" s="8" t="s">
        <v>40</v>
      </c>
      <c r="C116" s="8" t="str">
        <f t="shared" si="1"/>
        <v>colo205</v>
      </c>
      <c r="D116" s="8" t="s">
        <v>462</v>
      </c>
      <c r="E116" s="8" t="s">
        <v>463</v>
      </c>
      <c r="F116" s="8" t="s">
        <v>464</v>
      </c>
      <c r="G116" s="8">
        <v>500</v>
      </c>
    </row>
    <row r="117" spans="1:7" x14ac:dyDescent="0.15">
      <c r="A117" s="8" t="s">
        <v>465</v>
      </c>
      <c r="B117" s="8" t="s">
        <v>40</v>
      </c>
      <c r="C117" s="8" t="str">
        <f t="shared" si="1"/>
        <v>crfcem</v>
      </c>
      <c r="D117" s="8" t="s">
        <v>465</v>
      </c>
      <c r="E117" s="8" t="s">
        <v>466</v>
      </c>
      <c r="F117" s="8" t="s">
        <v>467</v>
      </c>
      <c r="G117" s="8">
        <v>500</v>
      </c>
    </row>
    <row r="118" spans="1:7" x14ac:dyDescent="0.15">
      <c r="A118" s="8" t="s">
        <v>468</v>
      </c>
      <c r="B118" s="8" t="s">
        <v>40</v>
      </c>
      <c r="C118" s="8" t="str">
        <f t="shared" si="1"/>
        <v>du145</v>
      </c>
      <c r="D118" s="8" t="s">
        <v>468</v>
      </c>
      <c r="E118" s="8" t="s">
        <v>469</v>
      </c>
      <c r="F118" s="8" t="s">
        <v>470</v>
      </c>
      <c r="G118" s="8">
        <v>500</v>
      </c>
    </row>
    <row r="119" spans="1:7" x14ac:dyDescent="0.15">
      <c r="A119" s="8" t="s">
        <v>471</v>
      </c>
      <c r="B119" s="8" t="s">
        <v>40</v>
      </c>
      <c r="C119" s="8" t="str">
        <f t="shared" si="1"/>
        <v>ekvx</v>
      </c>
      <c r="D119" s="8" t="s">
        <v>471</v>
      </c>
      <c r="E119" s="8" t="s">
        <v>472</v>
      </c>
      <c r="F119" s="8" t="s">
        <v>446</v>
      </c>
      <c r="G119" s="8">
        <v>500</v>
      </c>
    </row>
    <row r="120" spans="1:7" x14ac:dyDescent="0.15">
      <c r="A120" s="8" t="s">
        <v>473</v>
      </c>
      <c r="B120" s="8" t="s">
        <v>40</v>
      </c>
      <c r="C120" s="8" t="str">
        <f t="shared" si="1"/>
        <v>hcc2998</v>
      </c>
      <c r="D120" s="8" t="s">
        <v>473</v>
      </c>
      <c r="E120" s="8" t="s">
        <v>474</v>
      </c>
      <c r="F120" s="8" t="s">
        <v>464</v>
      </c>
      <c r="G120" s="8">
        <v>500</v>
      </c>
    </row>
    <row r="121" spans="1:7" x14ac:dyDescent="0.15">
      <c r="A121" s="8" t="s">
        <v>475</v>
      </c>
      <c r="B121" s="8" t="s">
        <v>40</v>
      </c>
      <c r="C121" s="8" t="str">
        <f t="shared" si="1"/>
        <v>hct116</v>
      </c>
      <c r="D121" s="8" t="s">
        <v>475</v>
      </c>
      <c r="E121" s="8" t="s">
        <v>476</v>
      </c>
      <c r="F121" s="8" t="s">
        <v>464</v>
      </c>
      <c r="G121" s="8">
        <v>500</v>
      </c>
    </row>
    <row r="122" spans="1:7" x14ac:dyDescent="0.15">
      <c r="A122" s="8" t="s">
        <v>477</v>
      </c>
      <c r="B122" s="8" t="s">
        <v>40</v>
      </c>
      <c r="C122" s="8" t="str">
        <f t="shared" si="1"/>
        <v>hct15</v>
      </c>
      <c r="D122" s="8" t="s">
        <v>477</v>
      </c>
      <c r="E122" s="8" t="s">
        <v>478</v>
      </c>
      <c r="F122" s="8" t="s">
        <v>464</v>
      </c>
      <c r="G122" s="8">
        <v>500</v>
      </c>
    </row>
    <row r="123" spans="1:7" x14ac:dyDescent="0.15">
      <c r="A123" s="8" t="s">
        <v>479</v>
      </c>
      <c r="B123" s="8" t="s">
        <v>40</v>
      </c>
      <c r="C123" s="8" t="str">
        <f t="shared" si="1"/>
        <v>hek293</v>
      </c>
      <c r="D123" s="8" t="s">
        <v>479</v>
      </c>
      <c r="E123" s="8" t="s">
        <v>480</v>
      </c>
      <c r="F123" s="8" t="s">
        <v>481</v>
      </c>
      <c r="G123" s="8">
        <v>500</v>
      </c>
    </row>
    <row r="124" spans="1:7" x14ac:dyDescent="0.15">
      <c r="A124" s="8" t="s">
        <v>482</v>
      </c>
      <c r="B124" s="8" t="s">
        <v>40</v>
      </c>
      <c r="C124" s="8" t="str">
        <f t="shared" si="1"/>
        <v>hek293t</v>
      </c>
      <c r="D124" s="8" t="s">
        <v>482</v>
      </c>
      <c r="E124" s="8" t="s">
        <v>483</v>
      </c>
      <c r="F124" s="8" t="s">
        <v>484</v>
      </c>
      <c r="G124" s="8">
        <v>500</v>
      </c>
    </row>
    <row r="125" spans="1:7" x14ac:dyDescent="0.15">
      <c r="A125" s="8" t="s">
        <v>485</v>
      </c>
      <c r="B125" s="8" t="s">
        <v>40</v>
      </c>
      <c r="C125" s="8" t="str">
        <f t="shared" si="1"/>
        <v>hela</v>
      </c>
      <c r="D125" s="8" t="s">
        <v>485</v>
      </c>
      <c r="E125" s="8" t="s">
        <v>486</v>
      </c>
      <c r="F125" s="8" t="s">
        <v>487</v>
      </c>
      <c r="G125" s="8">
        <v>500</v>
      </c>
    </row>
    <row r="126" spans="1:7" x14ac:dyDescent="0.15">
      <c r="A126" s="8" t="s">
        <v>3199</v>
      </c>
      <c r="B126" s="8" t="s">
        <v>40</v>
      </c>
      <c r="C126" s="8" t="str">
        <f t="shared" si="1"/>
        <v>trexflip</v>
      </c>
      <c r="D126" s="8" t="s">
        <v>3200</v>
      </c>
      <c r="E126" s="8" t="s">
        <v>3201</v>
      </c>
      <c r="F126" s="8" t="s">
        <v>3202</v>
      </c>
      <c r="G126" s="8">
        <v>500</v>
      </c>
    </row>
    <row r="127" spans="1:7" x14ac:dyDescent="0.15">
      <c r="A127" s="8" t="s">
        <v>488</v>
      </c>
      <c r="B127" s="8" t="s">
        <v>40</v>
      </c>
      <c r="C127" s="8" t="str">
        <f t="shared" si="1"/>
        <v>hl60</v>
      </c>
      <c r="D127" s="8" t="s">
        <v>488</v>
      </c>
      <c r="E127" s="8" t="s">
        <v>489</v>
      </c>
      <c r="F127" s="8" t="s">
        <v>467</v>
      </c>
      <c r="G127" s="8">
        <v>500</v>
      </c>
    </row>
    <row r="128" spans="1:7" x14ac:dyDescent="0.15">
      <c r="A128" s="8" t="s">
        <v>490</v>
      </c>
      <c r="B128" s="8" t="s">
        <v>40</v>
      </c>
      <c r="C128" s="8" t="str">
        <f t="shared" si="1"/>
        <v>hop62</v>
      </c>
      <c r="D128" s="8" t="s">
        <v>490</v>
      </c>
      <c r="E128" s="8" t="s">
        <v>491</v>
      </c>
      <c r="F128" s="8" t="s">
        <v>446</v>
      </c>
      <c r="G128" s="8">
        <v>500</v>
      </c>
    </row>
    <row r="129" spans="1:7" x14ac:dyDescent="0.15">
      <c r="A129" s="8" t="s">
        <v>492</v>
      </c>
      <c r="B129" s="8" t="s">
        <v>40</v>
      </c>
      <c r="C129" s="8" t="str">
        <f t="shared" si="1"/>
        <v>hop92</v>
      </c>
      <c r="D129" s="8" t="s">
        <v>492</v>
      </c>
      <c r="E129" s="8" t="s">
        <v>493</v>
      </c>
      <c r="F129" s="8" t="s">
        <v>446</v>
      </c>
      <c r="G129" s="8">
        <v>500</v>
      </c>
    </row>
    <row r="130" spans="1:7" x14ac:dyDescent="0.15">
      <c r="A130" s="8" t="s">
        <v>494</v>
      </c>
      <c r="B130" s="8" t="s">
        <v>40</v>
      </c>
      <c r="C130" s="8" t="str">
        <f t="shared" si="1"/>
        <v>hs578t</v>
      </c>
      <c r="D130" s="8" t="s">
        <v>494</v>
      </c>
      <c r="E130" s="8" t="s">
        <v>495</v>
      </c>
      <c r="F130" s="8" t="s">
        <v>456</v>
      </c>
      <c r="G130" s="8">
        <v>500</v>
      </c>
    </row>
    <row r="131" spans="1:7" x14ac:dyDescent="0.15">
      <c r="A131" s="8" t="s">
        <v>496</v>
      </c>
      <c r="B131" s="8" t="s">
        <v>40</v>
      </c>
      <c r="C131" s="8" t="str">
        <f t="shared" si="1"/>
        <v>ht29</v>
      </c>
      <c r="D131" s="8" t="s">
        <v>496</v>
      </c>
      <c r="E131" s="8" t="s">
        <v>497</v>
      </c>
      <c r="F131" s="8" t="s">
        <v>464</v>
      </c>
      <c r="G131" s="8">
        <v>500</v>
      </c>
    </row>
    <row r="132" spans="1:7" x14ac:dyDescent="0.15">
      <c r="A132" s="8" t="s">
        <v>498</v>
      </c>
      <c r="B132" s="8" t="s">
        <v>40</v>
      </c>
      <c r="C132" s="8" t="str">
        <f t="shared" ref="C132:C196" si="2">A132</f>
        <v>igrov1</v>
      </c>
      <c r="D132" s="8" t="s">
        <v>498</v>
      </c>
      <c r="E132" s="8" t="s">
        <v>499</v>
      </c>
      <c r="F132" s="8" t="s">
        <v>500</v>
      </c>
      <c r="G132" s="8">
        <v>500</v>
      </c>
    </row>
    <row r="133" spans="1:7" x14ac:dyDescent="0.15">
      <c r="A133" s="8" t="s">
        <v>501</v>
      </c>
      <c r="B133" s="8" t="s">
        <v>40</v>
      </c>
      <c r="C133" s="8" t="str">
        <f t="shared" si="2"/>
        <v>immmef</v>
      </c>
      <c r="D133" s="8" t="s">
        <v>501</v>
      </c>
      <c r="E133" s="8" t="s">
        <v>502</v>
      </c>
      <c r="F133" s="8" t="s">
        <v>503</v>
      </c>
      <c r="G133" s="8">
        <v>500</v>
      </c>
    </row>
    <row r="134" spans="1:7" x14ac:dyDescent="0.15">
      <c r="A134" s="8" t="s">
        <v>504</v>
      </c>
      <c r="B134" s="8" t="s">
        <v>40</v>
      </c>
      <c r="C134" s="8" t="str">
        <f t="shared" si="2"/>
        <v>jeko1</v>
      </c>
      <c r="D134" s="8" t="s">
        <v>504</v>
      </c>
      <c r="E134" s="8" t="s">
        <v>505</v>
      </c>
      <c r="F134" s="8" t="s">
        <v>506</v>
      </c>
      <c r="G134" s="8">
        <v>500</v>
      </c>
    </row>
    <row r="135" spans="1:7" x14ac:dyDescent="0.15">
      <c r="A135" s="8" t="s">
        <v>507</v>
      </c>
      <c r="B135" s="8" t="s">
        <v>40</v>
      </c>
      <c r="C135" s="8" t="str">
        <f t="shared" si="2"/>
        <v>jurkat</v>
      </c>
      <c r="D135" s="8" t="s">
        <v>507</v>
      </c>
      <c r="E135" s="8" t="s">
        <v>508</v>
      </c>
      <c r="F135" s="8" t="s">
        <v>509</v>
      </c>
      <c r="G135" s="8">
        <v>500</v>
      </c>
    </row>
    <row r="136" spans="1:7" x14ac:dyDescent="0.15">
      <c r="A136" s="8" t="s">
        <v>510</v>
      </c>
      <c r="B136" s="8" t="s">
        <v>40</v>
      </c>
      <c r="C136" s="8" t="str">
        <f t="shared" si="2"/>
        <v>jvm13</v>
      </c>
      <c r="D136" s="8" t="s">
        <v>510</v>
      </c>
      <c r="E136" s="8" t="s">
        <v>511</v>
      </c>
      <c r="F136" s="8" t="s">
        <v>506</v>
      </c>
      <c r="G136" s="8">
        <v>500</v>
      </c>
    </row>
    <row r="137" spans="1:7" x14ac:dyDescent="0.15">
      <c r="A137" s="8" t="s">
        <v>512</v>
      </c>
      <c r="B137" s="8" t="s">
        <v>40</v>
      </c>
      <c r="C137" s="8" t="str">
        <f t="shared" si="2"/>
        <v>jvm2</v>
      </c>
      <c r="D137" s="8" t="s">
        <v>512</v>
      </c>
      <c r="E137" s="8" t="s">
        <v>513</v>
      </c>
      <c r="F137" s="8" t="s">
        <v>506</v>
      </c>
      <c r="G137" s="8">
        <v>500</v>
      </c>
    </row>
    <row r="138" spans="1:7" x14ac:dyDescent="0.15">
      <c r="A138" s="8" t="s">
        <v>514</v>
      </c>
      <c r="B138" s="8" t="s">
        <v>40</v>
      </c>
      <c r="C138" s="8" t="str">
        <f t="shared" si="2"/>
        <v>k562</v>
      </c>
      <c r="D138" s="8" t="s">
        <v>514</v>
      </c>
      <c r="E138" s="8" t="s">
        <v>515</v>
      </c>
      <c r="F138" s="8" t="s">
        <v>467</v>
      </c>
      <c r="G138" s="8">
        <v>500</v>
      </c>
    </row>
    <row r="139" spans="1:7" x14ac:dyDescent="0.15">
      <c r="A139" s="8" t="s">
        <v>516</v>
      </c>
      <c r="B139" s="8" t="s">
        <v>40</v>
      </c>
      <c r="C139" s="8" t="str">
        <f t="shared" si="2"/>
        <v>km12</v>
      </c>
      <c r="D139" s="8" t="s">
        <v>516</v>
      </c>
      <c r="E139" s="8" t="s">
        <v>517</v>
      </c>
      <c r="F139" s="8" t="s">
        <v>464</v>
      </c>
      <c r="G139" s="8">
        <v>500</v>
      </c>
    </row>
    <row r="140" spans="1:7" x14ac:dyDescent="0.15">
      <c r="A140" s="8" t="s">
        <v>518</v>
      </c>
      <c r="B140" s="8" t="s">
        <v>40</v>
      </c>
      <c r="C140" s="8" t="str">
        <f t="shared" si="2"/>
        <v>lox_imvi</v>
      </c>
      <c r="D140" s="8" t="s">
        <v>518</v>
      </c>
      <c r="E140" s="8" t="s">
        <v>519</v>
      </c>
      <c r="F140" s="8" t="s">
        <v>520</v>
      </c>
      <c r="G140" s="8">
        <v>500</v>
      </c>
    </row>
    <row r="141" spans="1:7" x14ac:dyDescent="0.15">
      <c r="A141" s="8" t="s">
        <v>521</v>
      </c>
      <c r="B141" s="8" t="s">
        <v>40</v>
      </c>
      <c r="C141" s="8" t="str">
        <f t="shared" si="2"/>
        <v>m14</v>
      </c>
      <c r="D141" s="8" t="s">
        <v>521</v>
      </c>
      <c r="E141" s="8" t="s">
        <v>522</v>
      </c>
      <c r="F141" s="8" t="s">
        <v>520</v>
      </c>
      <c r="G141" s="8">
        <v>500</v>
      </c>
    </row>
    <row r="142" spans="1:7" x14ac:dyDescent="0.15">
      <c r="A142" s="8" t="s">
        <v>523</v>
      </c>
      <c r="B142" s="8" t="s">
        <v>40</v>
      </c>
      <c r="C142" s="8" t="str">
        <f t="shared" si="2"/>
        <v>malme3m</v>
      </c>
      <c r="D142" s="8" t="s">
        <v>523</v>
      </c>
      <c r="E142" s="8" t="s">
        <v>524</v>
      </c>
      <c r="F142" s="8" t="s">
        <v>520</v>
      </c>
      <c r="G142" s="8">
        <v>500</v>
      </c>
    </row>
    <row r="143" spans="1:7" x14ac:dyDescent="0.15">
      <c r="A143" s="8" t="s">
        <v>525</v>
      </c>
      <c r="B143" s="8" t="s">
        <v>40</v>
      </c>
      <c r="C143" s="8" t="str">
        <f t="shared" si="2"/>
        <v>maver1</v>
      </c>
      <c r="D143" s="8" t="s">
        <v>525</v>
      </c>
      <c r="E143" s="8" t="s">
        <v>526</v>
      </c>
      <c r="F143" s="8" t="s">
        <v>506</v>
      </c>
      <c r="G143" s="8">
        <v>500</v>
      </c>
    </row>
    <row r="144" spans="1:7" x14ac:dyDescent="0.15">
      <c r="A144" s="8" t="s">
        <v>527</v>
      </c>
      <c r="B144" s="8" t="s">
        <v>40</v>
      </c>
      <c r="C144" s="8" t="str">
        <f t="shared" si="2"/>
        <v>mcf7</v>
      </c>
      <c r="D144" s="8" t="s">
        <v>527</v>
      </c>
      <c r="E144" s="8" t="s">
        <v>528</v>
      </c>
      <c r="F144" s="8" t="s">
        <v>456</v>
      </c>
      <c r="G144" s="8">
        <v>500</v>
      </c>
    </row>
    <row r="145" spans="1:7" x14ac:dyDescent="0.15">
      <c r="A145" s="8" t="s">
        <v>529</v>
      </c>
      <c r="B145" s="8" t="s">
        <v>40</v>
      </c>
      <c r="C145" s="8" t="str">
        <f t="shared" si="2"/>
        <v>mdamb231</v>
      </c>
      <c r="D145" s="8" t="s">
        <v>529</v>
      </c>
      <c r="E145" s="8" t="s">
        <v>530</v>
      </c>
      <c r="F145" s="8" t="s">
        <v>456</v>
      </c>
      <c r="G145" s="8">
        <v>500</v>
      </c>
    </row>
    <row r="146" spans="1:7" x14ac:dyDescent="0.15">
      <c r="A146" s="8" t="s">
        <v>531</v>
      </c>
      <c r="B146" s="8" t="s">
        <v>40</v>
      </c>
      <c r="C146" s="8" t="str">
        <f t="shared" si="2"/>
        <v>mdamb435</v>
      </c>
      <c r="D146" s="8" t="s">
        <v>531</v>
      </c>
      <c r="E146" s="8" t="s">
        <v>532</v>
      </c>
      <c r="F146" s="8" t="s">
        <v>520</v>
      </c>
      <c r="G146" s="8">
        <v>500</v>
      </c>
    </row>
    <row r="147" spans="1:7" x14ac:dyDescent="0.15">
      <c r="A147" s="8" t="s">
        <v>533</v>
      </c>
      <c r="B147" s="8" t="s">
        <v>40</v>
      </c>
      <c r="C147" s="8" t="str">
        <f t="shared" si="2"/>
        <v>mdamb468</v>
      </c>
      <c r="D147" s="8" t="s">
        <v>533</v>
      </c>
      <c r="E147" s="8" t="s">
        <v>534</v>
      </c>
      <c r="F147" s="8" t="s">
        <v>456</v>
      </c>
      <c r="G147" s="8">
        <v>500</v>
      </c>
    </row>
    <row r="148" spans="1:7" x14ac:dyDescent="0.15">
      <c r="A148" s="8" t="s">
        <v>535</v>
      </c>
      <c r="B148" s="8" t="s">
        <v>40</v>
      </c>
      <c r="C148" s="8" t="str">
        <f t="shared" si="2"/>
        <v>mef</v>
      </c>
      <c r="D148" s="8" t="s">
        <v>535</v>
      </c>
      <c r="E148" s="8" t="s">
        <v>536</v>
      </c>
      <c r="F148" s="8" t="s">
        <v>537</v>
      </c>
      <c r="G148" s="8">
        <v>500</v>
      </c>
    </row>
    <row r="149" spans="1:7" x14ac:dyDescent="0.15">
      <c r="A149" s="8" t="s">
        <v>538</v>
      </c>
      <c r="B149" s="8" t="s">
        <v>40</v>
      </c>
      <c r="C149" s="8" t="str">
        <f t="shared" si="2"/>
        <v>mino</v>
      </c>
      <c r="D149" s="8" t="s">
        <v>538</v>
      </c>
      <c r="E149" s="8" t="s">
        <v>539</v>
      </c>
      <c r="F149" s="8" t="s">
        <v>506</v>
      </c>
      <c r="G149" s="8">
        <v>500</v>
      </c>
    </row>
    <row r="150" spans="1:7" x14ac:dyDescent="0.15">
      <c r="A150" s="8" t="s">
        <v>540</v>
      </c>
      <c r="B150" s="8" t="s">
        <v>40</v>
      </c>
      <c r="C150" s="8" t="str">
        <f t="shared" si="2"/>
        <v>molt4</v>
      </c>
      <c r="D150" s="8" t="s">
        <v>540</v>
      </c>
      <c r="E150" s="8" t="s">
        <v>541</v>
      </c>
      <c r="F150" s="8" t="s">
        <v>467</v>
      </c>
      <c r="G150" s="8">
        <v>500</v>
      </c>
    </row>
    <row r="151" spans="1:7" x14ac:dyDescent="0.15">
      <c r="A151" s="8" t="s">
        <v>542</v>
      </c>
      <c r="B151" s="8" t="s">
        <v>40</v>
      </c>
      <c r="C151" s="8" t="str">
        <f t="shared" si="2"/>
        <v>nceb1</v>
      </c>
      <c r="D151" s="8" t="s">
        <v>542</v>
      </c>
      <c r="E151" s="8" t="s">
        <v>543</v>
      </c>
      <c r="F151" s="8" t="s">
        <v>506</v>
      </c>
      <c r="G151" s="8">
        <v>500</v>
      </c>
    </row>
    <row r="152" spans="1:7" x14ac:dyDescent="0.15">
      <c r="A152" s="8" t="s">
        <v>544</v>
      </c>
      <c r="B152" s="8" t="s">
        <v>40</v>
      </c>
      <c r="C152" s="8" t="str">
        <f t="shared" si="2"/>
        <v>nci_adrres</v>
      </c>
      <c r="D152" s="8" t="s">
        <v>545</v>
      </c>
      <c r="E152" s="8" t="s">
        <v>546</v>
      </c>
      <c r="F152" s="8" t="s">
        <v>500</v>
      </c>
      <c r="G152" s="8">
        <v>500</v>
      </c>
    </row>
    <row r="153" spans="1:7" x14ac:dyDescent="0.15">
      <c r="A153" s="8" t="s">
        <v>547</v>
      </c>
      <c r="B153" s="8" t="s">
        <v>40</v>
      </c>
      <c r="C153" s="8" t="str">
        <f t="shared" si="2"/>
        <v>nci_h226</v>
      </c>
      <c r="D153" s="8" t="s">
        <v>548</v>
      </c>
      <c r="E153" s="8" t="s">
        <v>549</v>
      </c>
      <c r="F153" s="8" t="s">
        <v>446</v>
      </c>
      <c r="G153" s="8">
        <v>500</v>
      </c>
    </row>
    <row r="154" spans="1:7" x14ac:dyDescent="0.15">
      <c r="A154" s="8" t="s">
        <v>550</v>
      </c>
      <c r="B154" s="8" t="s">
        <v>40</v>
      </c>
      <c r="C154" s="8" t="str">
        <f t="shared" si="2"/>
        <v>nci_h23</v>
      </c>
      <c r="D154" s="8" t="s">
        <v>551</v>
      </c>
      <c r="E154" s="8" t="s">
        <v>552</v>
      </c>
      <c r="F154" s="8" t="s">
        <v>446</v>
      </c>
      <c r="G154" s="8">
        <v>500</v>
      </c>
    </row>
    <row r="155" spans="1:7" x14ac:dyDescent="0.15">
      <c r="A155" s="8" t="s">
        <v>553</v>
      </c>
      <c r="B155" s="8" t="s">
        <v>40</v>
      </c>
      <c r="C155" s="8" t="str">
        <f t="shared" si="2"/>
        <v>nci_h322m</v>
      </c>
      <c r="D155" s="8" t="s">
        <v>554</v>
      </c>
      <c r="E155" s="8" t="s">
        <v>555</v>
      </c>
      <c r="F155" s="8" t="s">
        <v>446</v>
      </c>
      <c r="G155" s="8">
        <v>500</v>
      </c>
    </row>
    <row r="156" spans="1:7" x14ac:dyDescent="0.15">
      <c r="A156" s="8" t="s">
        <v>556</v>
      </c>
      <c r="B156" s="8" t="s">
        <v>40</v>
      </c>
      <c r="C156" s="8" t="str">
        <f t="shared" si="2"/>
        <v>nci_h460</v>
      </c>
      <c r="D156" s="8" t="s">
        <v>557</v>
      </c>
      <c r="E156" s="8" t="s">
        <v>558</v>
      </c>
      <c r="F156" s="8" t="s">
        <v>446</v>
      </c>
      <c r="G156" s="8">
        <v>500</v>
      </c>
    </row>
    <row r="157" spans="1:7" x14ac:dyDescent="0.15">
      <c r="A157" s="8" t="s">
        <v>559</v>
      </c>
      <c r="B157" s="8" t="s">
        <v>40</v>
      </c>
      <c r="C157" s="8" t="str">
        <f t="shared" si="2"/>
        <v>nci_h522</v>
      </c>
      <c r="D157" s="8" t="s">
        <v>560</v>
      </c>
      <c r="E157" s="8" t="s">
        <v>561</v>
      </c>
      <c r="F157" s="8" t="s">
        <v>446</v>
      </c>
      <c r="G157" s="8">
        <v>500</v>
      </c>
    </row>
    <row r="158" spans="1:7" x14ac:dyDescent="0.15">
      <c r="A158" s="8" t="s">
        <v>562</v>
      </c>
      <c r="B158" s="8" t="s">
        <v>40</v>
      </c>
      <c r="C158" s="8" t="str">
        <f t="shared" si="2"/>
        <v>ovcar3</v>
      </c>
      <c r="D158" s="8" t="s">
        <v>562</v>
      </c>
      <c r="E158" s="8" t="s">
        <v>563</v>
      </c>
      <c r="F158" s="8" t="s">
        <v>500</v>
      </c>
      <c r="G158" s="8">
        <v>500</v>
      </c>
    </row>
    <row r="159" spans="1:7" x14ac:dyDescent="0.15">
      <c r="A159" s="8" t="s">
        <v>564</v>
      </c>
      <c r="B159" s="8" t="s">
        <v>40</v>
      </c>
      <c r="C159" s="8" t="str">
        <f t="shared" si="2"/>
        <v>ovcar4</v>
      </c>
      <c r="D159" s="8" t="s">
        <v>564</v>
      </c>
      <c r="E159" s="8" t="s">
        <v>565</v>
      </c>
      <c r="F159" s="8" t="s">
        <v>500</v>
      </c>
      <c r="G159" s="8">
        <v>500</v>
      </c>
    </row>
    <row r="160" spans="1:7" x14ac:dyDescent="0.15">
      <c r="A160" s="8" t="s">
        <v>566</v>
      </c>
      <c r="B160" s="8" t="s">
        <v>40</v>
      </c>
      <c r="C160" s="8" t="str">
        <f t="shared" si="2"/>
        <v>ovcar5</v>
      </c>
      <c r="D160" s="8" t="s">
        <v>566</v>
      </c>
      <c r="E160" s="8" t="s">
        <v>567</v>
      </c>
      <c r="F160" s="8" t="s">
        <v>500</v>
      </c>
      <c r="G160" s="8">
        <v>500</v>
      </c>
    </row>
    <row r="161" spans="1:7" x14ac:dyDescent="0.15">
      <c r="A161" s="8" t="s">
        <v>568</v>
      </c>
      <c r="B161" s="8" t="s">
        <v>40</v>
      </c>
      <c r="C161" s="8" t="str">
        <f t="shared" si="2"/>
        <v>ovcar8</v>
      </c>
      <c r="D161" s="8" t="s">
        <v>568</v>
      </c>
      <c r="E161" s="8" t="s">
        <v>569</v>
      </c>
      <c r="F161" s="8" t="s">
        <v>500</v>
      </c>
      <c r="G161" s="8">
        <v>500</v>
      </c>
    </row>
    <row r="162" spans="1:7" x14ac:dyDescent="0.15">
      <c r="A162" s="8" t="s">
        <v>570</v>
      </c>
      <c r="B162" s="8" t="s">
        <v>40</v>
      </c>
      <c r="C162" s="8" t="str">
        <f t="shared" si="2"/>
        <v>p388</v>
      </c>
      <c r="D162" s="8" t="s">
        <v>570</v>
      </c>
      <c r="E162" s="8" t="s">
        <v>571</v>
      </c>
      <c r="F162" s="8" t="s">
        <v>572</v>
      </c>
      <c r="G162" s="8">
        <v>500</v>
      </c>
    </row>
    <row r="163" spans="1:7" x14ac:dyDescent="0.15">
      <c r="A163" s="8" t="s">
        <v>573</v>
      </c>
      <c r="B163" s="8" t="s">
        <v>40</v>
      </c>
      <c r="C163" s="8" t="str">
        <f t="shared" si="2"/>
        <v>pc3</v>
      </c>
      <c r="D163" s="8" t="s">
        <v>573</v>
      </c>
      <c r="E163" s="8" t="s">
        <v>574</v>
      </c>
      <c r="F163" s="8" t="s">
        <v>470</v>
      </c>
      <c r="G163" s="8">
        <v>500</v>
      </c>
    </row>
    <row r="164" spans="1:7" x14ac:dyDescent="0.15">
      <c r="A164" s="8" t="s">
        <v>575</v>
      </c>
      <c r="B164" s="8" t="s">
        <v>40</v>
      </c>
      <c r="C164" s="8" t="str">
        <f t="shared" si="2"/>
        <v>rec1</v>
      </c>
      <c r="D164" s="8" t="s">
        <v>575</v>
      </c>
      <c r="E164" s="8" t="s">
        <v>576</v>
      </c>
      <c r="F164" s="8" t="s">
        <v>506</v>
      </c>
      <c r="G164" s="8">
        <v>500</v>
      </c>
    </row>
    <row r="165" spans="1:7" x14ac:dyDescent="0.15">
      <c r="A165" s="8" t="s">
        <v>577</v>
      </c>
      <c r="B165" s="8" t="s">
        <v>40</v>
      </c>
      <c r="C165" s="8" t="str">
        <f t="shared" si="2"/>
        <v>rpmi8226</v>
      </c>
      <c r="D165" s="8" t="s">
        <v>577</v>
      </c>
      <c r="E165" s="8" t="s">
        <v>578</v>
      </c>
      <c r="F165" s="8" t="s">
        <v>467</v>
      </c>
      <c r="G165" s="8">
        <v>500</v>
      </c>
    </row>
    <row r="166" spans="1:7" x14ac:dyDescent="0.15">
      <c r="A166" s="8" t="s">
        <v>579</v>
      </c>
      <c r="B166" s="8" t="s">
        <v>40</v>
      </c>
      <c r="C166" s="8" t="str">
        <f t="shared" si="2"/>
        <v>rxf393</v>
      </c>
      <c r="D166" s="8" t="s">
        <v>579</v>
      </c>
      <c r="E166" s="8" t="s">
        <v>580</v>
      </c>
      <c r="F166" s="8" t="s">
        <v>441</v>
      </c>
      <c r="G166" s="8">
        <v>500</v>
      </c>
    </row>
    <row r="167" spans="1:7" x14ac:dyDescent="0.15">
      <c r="A167" s="8" t="s">
        <v>581</v>
      </c>
      <c r="B167" s="8" t="s">
        <v>40</v>
      </c>
      <c r="C167" s="8" t="str">
        <f t="shared" si="2"/>
        <v>sf268</v>
      </c>
      <c r="D167" s="8" t="s">
        <v>581</v>
      </c>
      <c r="E167" s="8" t="s">
        <v>582</v>
      </c>
      <c r="F167" s="8" t="s">
        <v>583</v>
      </c>
      <c r="G167" s="8">
        <v>500</v>
      </c>
    </row>
    <row r="168" spans="1:7" x14ac:dyDescent="0.15">
      <c r="A168" s="8" t="s">
        <v>584</v>
      </c>
      <c r="B168" s="8" t="s">
        <v>40</v>
      </c>
      <c r="C168" s="8" t="str">
        <f t="shared" si="2"/>
        <v>sf295</v>
      </c>
      <c r="D168" s="8" t="s">
        <v>584</v>
      </c>
      <c r="E168" s="8" t="s">
        <v>585</v>
      </c>
      <c r="F168" s="8" t="s">
        <v>583</v>
      </c>
      <c r="G168" s="8">
        <v>500</v>
      </c>
    </row>
    <row r="169" spans="1:7" x14ac:dyDescent="0.15">
      <c r="A169" s="8" t="s">
        <v>586</v>
      </c>
      <c r="B169" s="8" t="s">
        <v>40</v>
      </c>
      <c r="C169" s="8" t="str">
        <f t="shared" si="2"/>
        <v>sf539</v>
      </c>
      <c r="D169" s="8" t="s">
        <v>586</v>
      </c>
      <c r="E169" s="8" t="s">
        <v>587</v>
      </c>
      <c r="F169" s="8" t="s">
        <v>583</v>
      </c>
      <c r="G169" s="8">
        <v>500</v>
      </c>
    </row>
    <row r="170" spans="1:7" x14ac:dyDescent="0.15">
      <c r="A170" s="8" t="s">
        <v>588</v>
      </c>
      <c r="B170" s="8" t="s">
        <v>40</v>
      </c>
      <c r="C170" s="8" t="str">
        <f t="shared" si="2"/>
        <v>skmel2</v>
      </c>
      <c r="D170" s="8" t="s">
        <v>588</v>
      </c>
      <c r="E170" s="8" t="s">
        <v>589</v>
      </c>
      <c r="F170" s="8" t="s">
        <v>520</v>
      </c>
      <c r="G170" s="8">
        <v>500</v>
      </c>
    </row>
    <row r="171" spans="1:7" x14ac:dyDescent="0.15">
      <c r="A171" s="8" t="s">
        <v>590</v>
      </c>
      <c r="B171" s="8" t="s">
        <v>40</v>
      </c>
      <c r="C171" s="8" t="str">
        <f t="shared" si="2"/>
        <v>skmel28</v>
      </c>
      <c r="D171" s="8" t="s">
        <v>590</v>
      </c>
      <c r="E171" s="8" t="s">
        <v>591</v>
      </c>
      <c r="F171" s="8" t="s">
        <v>520</v>
      </c>
      <c r="G171" s="8">
        <v>500</v>
      </c>
    </row>
    <row r="172" spans="1:7" x14ac:dyDescent="0.15">
      <c r="A172" s="8" t="s">
        <v>592</v>
      </c>
      <c r="B172" s="8" t="s">
        <v>40</v>
      </c>
      <c r="C172" s="8" t="str">
        <f t="shared" si="2"/>
        <v>skmel5</v>
      </c>
      <c r="D172" s="8" t="s">
        <v>592</v>
      </c>
      <c r="E172" s="8" t="s">
        <v>593</v>
      </c>
      <c r="F172" s="8" t="s">
        <v>520</v>
      </c>
      <c r="G172" s="8">
        <v>500</v>
      </c>
    </row>
    <row r="173" spans="1:7" x14ac:dyDescent="0.15">
      <c r="A173" s="8" t="s">
        <v>594</v>
      </c>
      <c r="B173" s="8" t="s">
        <v>40</v>
      </c>
      <c r="C173" s="8" t="str">
        <f t="shared" si="2"/>
        <v>skov3</v>
      </c>
      <c r="D173" s="8" t="s">
        <v>594</v>
      </c>
      <c r="E173" s="8" t="s">
        <v>595</v>
      </c>
      <c r="F173" s="8" t="s">
        <v>500</v>
      </c>
      <c r="G173" s="8">
        <v>500</v>
      </c>
    </row>
    <row r="174" spans="1:7" x14ac:dyDescent="0.15">
      <c r="A174" s="8" t="s">
        <v>596</v>
      </c>
      <c r="B174" s="8" t="s">
        <v>40</v>
      </c>
      <c r="C174" s="8" t="str">
        <f t="shared" si="2"/>
        <v>sn12c</v>
      </c>
      <c r="D174" s="8" t="s">
        <v>596</v>
      </c>
      <c r="E174" s="8" t="s">
        <v>597</v>
      </c>
      <c r="F174" s="8" t="s">
        <v>441</v>
      </c>
      <c r="G174" s="8">
        <v>500</v>
      </c>
    </row>
    <row r="175" spans="1:7" x14ac:dyDescent="0.15">
      <c r="A175" s="8" t="s">
        <v>598</v>
      </c>
      <c r="B175" s="8" t="s">
        <v>40</v>
      </c>
      <c r="C175" s="8" t="str">
        <f t="shared" si="2"/>
        <v>snb19</v>
      </c>
      <c r="D175" s="8" t="s">
        <v>598</v>
      </c>
      <c r="E175" s="8" t="s">
        <v>599</v>
      </c>
      <c r="F175" s="8" t="s">
        <v>583</v>
      </c>
      <c r="G175" s="8">
        <v>500</v>
      </c>
    </row>
    <row r="176" spans="1:7" x14ac:dyDescent="0.15">
      <c r="A176" s="8" t="s">
        <v>600</v>
      </c>
      <c r="B176" s="8" t="s">
        <v>40</v>
      </c>
      <c r="C176" s="8" t="str">
        <f t="shared" si="2"/>
        <v>snb75</v>
      </c>
      <c r="D176" s="8" t="s">
        <v>600</v>
      </c>
      <c r="E176" s="8" t="s">
        <v>601</v>
      </c>
      <c r="F176" s="8" t="s">
        <v>583</v>
      </c>
      <c r="G176" s="8">
        <v>500</v>
      </c>
    </row>
    <row r="177" spans="1:7" x14ac:dyDescent="0.15">
      <c r="A177" s="8" t="s">
        <v>602</v>
      </c>
      <c r="B177" s="8" t="s">
        <v>40</v>
      </c>
      <c r="C177" s="8" t="str">
        <f t="shared" si="2"/>
        <v>sr</v>
      </c>
      <c r="D177" s="8" t="s">
        <v>602</v>
      </c>
      <c r="E177" s="8" t="s">
        <v>603</v>
      </c>
      <c r="F177" s="8" t="s">
        <v>467</v>
      </c>
      <c r="G177" s="8">
        <v>500</v>
      </c>
    </row>
    <row r="178" spans="1:7" x14ac:dyDescent="0.15">
      <c r="A178" s="8" t="s">
        <v>604</v>
      </c>
      <c r="B178" s="8" t="s">
        <v>40</v>
      </c>
      <c r="C178" s="8" t="str">
        <f t="shared" si="2"/>
        <v>sw620</v>
      </c>
      <c r="D178" s="8" t="s">
        <v>604</v>
      </c>
      <c r="E178" s="8" t="s">
        <v>605</v>
      </c>
      <c r="F178" s="8" t="s">
        <v>464</v>
      </c>
      <c r="G178" s="8">
        <v>500</v>
      </c>
    </row>
    <row r="179" spans="1:7" x14ac:dyDescent="0.15">
      <c r="A179" s="8" t="s">
        <v>606</v>
      </c>
      <c r="B179" s="8" t="s">
        <v>40</v>
      </c>
      <c r="C179" s="8" t="str">
        <f t="shared" si="2"/>
        <v>t47d</v>
      </c>
      <c r="D179" s="8" t="s">
        <v>606</v>
      </c>
      <c r="E179" s="8" t="s">
        <v>607</v>
      </c>
      <c r="F179" s="8" t="s">
        <v>456</v>
      </c>
      <c r="G179" s="8">
        <v>500</v>
      </c>
    </row>
    <row r="180" spans="1:7" x14ac:dyDescent="0.15">
      <c r="A180" s="8" t="s">
        <v>608</v>
      </c>
      <c r="B180" s="8" t="s">
        <v>40</v>
      </c>
      <c r="C180" s="8" t="str">
        <f t="shared" si="2"/>
        <v>thp1</v>
      </c>
      <c r="D180" s="8" t="s">
        <v>608</v>
      </c>
      <c r="E180" s="8" t="s">
        <v>609</v>
      </c>
      <c r="F180" s="8" t="s">
        <v>610</v>
      </c>
      <c r="G180" s="8">
        <v>500</v>
      </c>
    </row>
    <row r="181" spans="1:7" x14ac:dyDescent="0.15">
      <c r="A181" s="8" t="s">
        <v>611</v>
      </c>
      <c r="B181" s="8" t="s">
        <v>40</v>
      </c>
      <c r="C181" s="8" t="str">
        <f t="shared" si="2"/>
        <v>tk10</v>
      </c>
      <c r="D181" s="8" t="s">
        <v>611</v>
      </c>
      <c r="E181" s="8" t="s">
        <v>612</v>
      </c>
      <c r="F181" s="8" t="s">
        <v>441</v>
      </c>
      <c r="G181" s="8">
        <v>500</v>
      </c>
    </row>
    <row r="182" spans="1:7" x14ac:dyDescent="0.15">
      <c r="A182" s="8" t="s">
        <v>613</v>
      </c>
      <c r="B182" s="8" t="s">
        <v>40</v>
      </c>
      <c r="C182" s="8" t="str">
        <f t="shared" si="2"/>
        <v>u251</v>
      </c>
      <c r="D182" s="8" t="s">
        <v>613</v>
      </c>
      <c r="E182" s="8" t="s">
        <v>614</v>
      </c>
      <c r="F182" s="8" t="s">
        <v>583</v>
      </c>
      <c r="G182" s="8">
        <v>500</v>
      </c>
    </row>
    <row r="183" spans="1:7" x14ac:dyDescent="0.15">
      <c r="A183" s="8" t="s">
        <v>615</v>
      </c>
      <c r="B183" s="8" t="s">
        <v>40</v>
      </c>
      <c r="C183" s="8" t="str">
        <f t="shared" si="2"/>
        <v>u937</v>
      </c>
      <c r="D183" s="8" t="s">
        <v>615</v>
      </c>
      <c r="E183" s="8" t="s">
        <v>616</v>
      </c>
      <c r="F183" s="8" t="s">
        <v>617</v>
      </c>
      <c r="G183" s="8">
        <v>500</v>
      </c>
    </row>
    <row r="184" spans="1:7" x14ac:dyDescent="0.15">
      <c r="A184" s="8" t="s">
        <v>618</v>
      </c>
      <c r="B184" s="8" t="s">
        <v>40</v>
      </c>
      <c r="C184" s="8" t="str">
        <f t="shared" si="2"/>
        <v>uacc257</v>
      </c>
      <c r="D184" s="8" t="s">
        <v>618</v>
      </c>
      <c r="E184" s="8" t="s">
        <v>619</v>
      </c>
      <c r="F184" s="8" t="s">
        <v>520</v>
      </c>
      <c r="G184" s="8">
        <v>500</v>
      </c>
    </row>
    <row r="185" spans="1:7" x14ac:dyDescent="0.15">
      <c r="A185" s="8" t="s">
        <v>620</v>
      </c>
      <c r="B185" s="8" t="s">
        <v>40</v>
      </c>
      <c r="C185" s="8" t="str">
        <f t="shared" si="2"/>
        <v>uacc62</v>
      </c>
      <c r="D185" s="8" t="s">
        <v>620</v>
      </c>
      <c r="E185" s="8" t="s">
        <v>621</v>
      </c>
      <c r="F185" s="8" t="s">
        <v>520</v>
      </c>
      <c r="G185" s="8">
        <v>500</v>
      </c>
    </row>
    <row r="186" spans="1:7" x14ac:dyDescent="0.15">
      <c r="A186" s="8" t="s">
        <v>622</v>
      </c>
      <c r="B186" s="8" t="s">
        <v>40</v>
      </c>
      <c r="C186" s="8" t="str">
        <f t="shared" si="2"/>
        <v>uo31</v>
      </c>
      <c r="D186" s="8" t="s">
        <v>622</v>
      </c>
      <c r="E186" s="8" t="s">
        <v>623</v>
      </c>
      <c r="F186" s="8" t="s">
        <v>441</v>
      </c>
      <c r="G186" s="8">
        <v>500</v>
      </c>
    </row>
    <row r="187" spans="1:7" x14ac:dyDescent="0.15">
      <c r="A187" s="8" t="s">
        <v>624</v>
      </c>
      <c r="B187" s="8" t="s">
        <v>40</v>
      </c>
      <c r="C187" s="8" t="str">
        <f t="shared" si="2"/>
        <v>z138</v>
      </c>
      <c r="D187" s="8" t="s">
        <v>624</v>
      </c>
      <c r="E187" s="8" t="s">
        <v>625</v>
      </c>
      <c r="F187" s="8" t="s">
        <v>506</v>
      </c>
      <c r="G187" s="8">
        <v>500</v>
      </c>
    </row>
    <row r="188" spans="1:7" x14ac:dyDescent="0.15">
      <c r="A188" s="8" t="s">
        <v>3180</v>
      </c>
      <c r="B188" s="8" t="s">
        <v>40</v>
      </c>
      <c r="C188" s="8" t="str">
        <f t="shared" si="2"/>
        <v>bv2</v>
      </c>
      <c r="D188" s="8" t="s">
        <v>3180</v>
      </c>
      <c r="E188" s="8" t="s">
        <v>3178</v>
      </c>
      <c r="F188" s="25" t="s">
        <v>3179</v>
      </c>
      <c r="G188" s="8">
        <v>500</v>
      </c>
    </row>
    <row r="189" spans="1:7" x14ac:dyDescent="0.15">
      <c r="A189" s="8" t="s">
        <v>626</v>
      </c>
      <c r="B189" s="8" t="s">
        <v>49</v>
      </c>
      <c r="C189" s="8" t="str">
        <f t="shared" si="2"/>
        <v>75um</v>
      </c>
      <c r="D189" s="9" t="s">
        <v>15</v>
      </c>
      <c r="E189" s="8">
        <v>75</v>
      </c>
      <c r="F189" s="8" t="s">
        <v>627</v>
      </c>
      <c r="G189" s="8">
        <v>500</v>
      </c>
    </row>
    <row r="190" spans="1:7" x14ac:dyDescent="0.15">
      <c r="A190" s="8" t="s">
        <v>628</v>
      </c>
      <c r="B190" s="8" t="s">
        <v>52</v>
      </c>
      <c r="C190" s="8" t="str">
        <f t="shared" si="2"/>
        <v>15cm</v>
      </c>
      <c r="D190" s="8" t="s">
        <v>628</v>
      </c>
      <c r="E190" s="8">
        <v>15</v>
      </c>
      <c r="F190" s="8" t="s">
        <v>629</v>
      </c>
      <c r="G190" s="8">
        <v>500</v>
      </c>
    </row>
    <row r="191" spans="1:7" x14ac:dyDescent="0.15">
      <c r="A191" s="8" t="s">
        <v>630</v>
      </c>
      <c r="B191" s="8" t="s">
        <v>52</v>
      </c>
      <c r="C191" s="8" t="str">
        <f t="shared" si="2"/>
        <v>30cm</v>
      </c>
      <c r="D191" s="8" t="s">
        <v>630</v>
      </c>
      <c r="E191" s="8">
        <v>30</v>
      </c>
      <c r="F191" s="8" t="s">
        <v>631</v>
      </c>
      <c r="G191" s="8">
        <v>500</v>
      </c>
    </row>
    <row r="192" spans="1:7" x14ac:dyDescent="0.15">
      <c r="A192" s="8" t="s">
        <v>632</v>
      </c>
      <c r="B192" s="8" t="s">
        <v>52</v>
      </c>
      <c r="C192" s="8" t="str">
        <f t="shared" si="2"/>
        <v>50cm</v>
      </c>
      <c r="D192" s="8" t="s">
        <v>632</v>
      </c>
      <c r="E192" s="8">
        <v>50</v>
      </c>
      <c r="F192" s="8" t="s">
        <v>633</v>
      </c>
      <c r="G192" s="8">
        <v>500</v>
      </c>
    </row>
    <row r="193" spans="1:7" x14ac:dyDescent="0.15">
      <c r="A193" s="8" t="s">
        <v>634</v>
      </c>
      <c r="B193" s="8" t="s">
        <v>52</v>
      </c>
      <c r="C193" s="8" t="str">
        <f t="shared" si="2"/>
        <v>5cm</v>
      </c>
      <c r="D193" s="8" t="s">
        <v>634</v>
      </c>
      <c r="E193" s="8">
        <v>5</v>
      </c>
      <c r="F193" s="8" t="s">
        <v>3006</v>
      </c>
      <c r="G193" s="8">
        <v>500</v>
      </c>
    </row>
    <row r="194" spans="1:7" x14ac:dyDescent="0.15">
      <c r="A194" s="8" t="s">
        <v>3005</v>
      </c>
      <c r="B194" s="8" t="s">
        <v>52</v>
      </c>
      <c r="C194" s="8" t="str">
        <f t="shared" si="2"/>
        <v>40cm</v>
      </c>
      <c r="D194" s="8">
        <v>40</v>
      </c>
      <c r="E194" s="8">
        <v>40</v>
      </c>
      <c r="F194" s="8" t="s">
        <v>3007</v>
      </c>
      <c r="G194" s="8">
        <v>500</v>
      </c>
    </row>
    <row r="195" spans="1:7" x14ac:dyDescent="0.15">
      <c r="A195" s="8" t="s">
        <v>3114</v>
      </c>
      <c r="B195" s="8" t="s">
        <v>52</v>
      </c>
      <c r="C195" s="8" t="str">
        <f t="shared" si="2"/>
        <v>60cm</v>
      </c>
      <c r="D195" s="8" t="s">
        <v>3114</v>
      </c>
      <c r="E195" s="8">
        <v>60</v>
      </c>
      <c r="F195" s="8" t="s">
        <v>3115</v>
      </c>
      <c r="G195" s="8">
        <v>500</v>
      </c>
    </row>
    <row r="196" spans="1:7" x14ac:dyDescent="0.15">
      <c r="A196" s="8" t="s">
        <v>635</v>
      </c>
      <c r="B196" s="8" t="s">
        <v>54</v>
      </c>
      <c r="C196" s="8" t="str">
        <f t="shared" si="2"/>
        <v>40c</v>
      </c>
      <c r="D196" s="9" t="s">
        <v>15</v>
      </c>
      <c r="E196" s="8">
        <v>40</v>
      </c>
      <c r="F196" s="9" t="s">
        <v>3009</v>
      </c>
      <c r="G196" s="8">
        <v>500</v>
      </c>
    </row>
    <row r="197" spans="1:7" x14ac:dyDescent="0.15">
      <c r="A197" s="8" t="s">
        <v>3008</v>
      </c>
      <c r="B197" s="8" t="s">
        <v>54</v>
      </c>
      <c r="C197" s="8" t="str">
        <f t="shared" ref="C197:C261" si="3">A197</f>
        <v>50c</v>
      </c>
      <c r="D197" s="9" t="s">
        <v>15</v>
      </c>
      <c r="E197" s="8">
        <v>50</v>
      </c>
      <c r="F197" s="9" t="s">
        <v>3010</v>
      </c>
      <c r="G197" s="8">
        <v>500</v>
      </c>
    </row>
    <row r="198" spans="1:7" x14ac:dyDescent="0.15">
      <c r="A198" s="8" t="s">
        <v>636</v>
      </c>
      <c r="B198" s="8" t="s">
        <v>54</v>
      </c>
      <c r="C198" s="8" t="str">
        <f t="shared" si="3"/>
        <v>55c</v>
      </c>
      <c r="D198" s="9" t="s">
        <v>15</v>
      </c>
      <c r="E198" s="8">
        <v>55</v>
      </c>
      <c r="F198" s="9" t="s">
        <v>3011</v>
      </c>
      <c r="G198" s="8">
        <v>500</v>
      </c>
    </row>
    <row r="199" spans="1:7" x14ac:dyDescent="0.15">
      <c r="A199" s="8" t="s">
        <v>637</v>
      </c>
      <c r="B199" s="8" t="s">
        <v>55</v>
      </c>
      <c r="C199" s="8" t="str">
        <f t="shared" si="3"/>
        <v>170nm</v>
      </c>
      <c r="D199" s="9" t="s">
        <v>15</v>
      </c>
      <c r="E199" s="8">
        <v>1.7</v>
      </c>
      <c r="F199" s="8" t="s">
        <v>638</v>
      </c>
      <c r="G199" s="8">
        <v>500</v>
      </c>
    </row>
    <row r="200" spans="1:7" x14ac:dyDescent="0.15">
      <c r="A200" s="8" t="s">
        <v>639</v>
      </c>
      <c r="B200" s="8" t="s">
        <v>55</v>
      </c>
      <c r="C200" s="8" t="str">
        <f t="shared" si="3"/>
        <v>270nm</v>
      </c>
      <c r="D200" s="9" t="s">
        <v>15</v>
      </c>
      <c r="E200" s="8">
        <v>2.7</v>
      </c>
      <c r="F200" s="8" t="s">
        <v>640</v>
      </c>
      <c r="G200" s="8">
        <v>500</v>
      </c>
    </row>
    <row r="201" spans="1:7" x14ac:dyDescent="0.15">
      <c r="A201" s="8" t="s">
        <v>641</v>
      </c>
      <c r="B201" s="8" t="s">
        <v>58</v>
      </c>
      <c r="C201" s="8" t="str">
        <f t="shared" si="3"/>
        <v>c18</v>
      </c>
      <c r="D201" s="9" t="s">
        <v>15</v>
      </c>
      <c r="E201" s="8" t="s">
        <v>642</v>
      </c>
      <c r="F201" s="8" t="s">
        <v>643</v>
      </c>
      <c r="G201" s="8">
        <v>500</v>
      </c>
    </row>
    <row r="202" spans="1:7" x14ac:dyDescent="0.15">
      <c r="A202" s="8" t="s">
        <v>644</v>
      </c>
      <c r="B202" s="8" t="s">
        <v>58</v>
      </c>
      <c r="C202" s="8" t="str">
        <f t="shared" si="3"/>
        <v>c8</v>
      </c>
      <c r="D202" s="9" t="s">
        <v>15</v>
      </c>
      <c r="E202" s="8" t="s">
        <v>645</v>
      </c>
      <c r="F202" s="8" t="s">
        <v>646</v>
      </c>
      <c r="G202" s="8">
        <v>500</v>
      </c>
    </row>
    <row r="203" spans="1:7" x14ac:dyDescent="0.15">
      <c r="A203" s="8" t="s">
        <v>647</v>
      </c>
      <c r="B203" s="8" t="s">
        <v>50</v>
      </c>
      <c r="C203" s="8" t="str">
        <f t="shared" si="3"/>
        <v>aurora</v>
      </c>
      <c r="D203" s="9" t="s">
        <v>15</v>
      </c>
      <c r="E203" s="8" t="s">
        <v>2782</v>
      </c>
      <c r="F203" s="8" t="s">
        <v>2783</v>
      </c>
      <c r="G203" s="8">
        <v>500</v>
      </c>
    </row>
    <row r="204" spans="1:7" x14ac:dyDescent="0.15">
      <c r="A204" s="8" t="s">
        <v>650</v>
      </c>
      <c r="B204" s="8" t="s">
        <v>50</v>
      </c>
      <c r="C204" s="8" t="str">
        <f t="shared" si="3"/>
        <v>easyspray</v>
      </c>
      <c r="D204" s="9" t="s">
        <v>15</v>
      </c>
      <c r="E204" s="8" t="s">
        <v>651</v>
      </c>
      <c r="F204" s="8" t="s">
        <v>652</v>
      </c>
      <c r="G204" s="8">
        <v>500</v>
      </c>
    </row>
    <row r="205" spans="1:7" x14ac:dyDescent="0.15">
      <c r="A205" s="8" t="s">
        <v>653</v>
      </c>
      <c r="B205" s="8" t="s">
        <v>50</v>
      </c>
      <c r="C205" s="8" t="str">
        <f t="shared" si="3"/>
        <v>inhouse</v>
      </c>
      <c r="D205" s="9" t="s">
        <v>15</v>
      </c>
      <c r="E205" s="8" t="s">
        <v>654</v>
      </c>
      <c r="F205" s="8" t="s">
        <v>655</v>
      </c>
      <c r="G205" s="8">
        <v>500</v>
      </c>
    </row>
    <row r="206" spans="1:7" x14ac:dyDescent="0.15">
      <c r="A206" s="8" t="s">
        <v>656</v>
      </c>
      <c r="B206" s="8" t="s">
        <v>50</v>
      </c>
      <c r="C206" s="8" t="str">
        <f t="shared" si="3"/>
        <v>upac_doubleviper</v>
      </c>
      <c r="D206" s="9" t="s">
        <v>15</v>
      </c>
      <c r="E206" s="8" t="s">
        <v>657</v>
      </c>
      <c r="F206" s="8" t="s">
        <v>658</v>
      </c>
      <c r="G206" s="8">
        <v>500</v>
      </c>
    </row>
    <row r="207" spans="1:7" x14ac:dyDescent="0.15">
      <c r="A207" s="8" t="s">
        <v>659</v>
      </c>
      <c r="B207" s="8" t="s">
        <v>50</v>
      </c>
      <c r="C207" s="8" t="str">
        <f t="shared" si="3"/>
        <v>upac_low_loadneo</v>
      </c>
      <c r="D207" s="9" t="s">
        <v>15</v>
      </c>
      <c r="E207" s="8" t="s">
        <v>660</v>
      </c>
      <c r="F207" s="8" t="s">
        <v>661</v>
      </c>
      <c r="G207" s="8">
        <v>500</v>
      </c>
    </row>
    <row r="208" spans="1:7" x14ac:dyDescent="0.15">
      <c r="A208" s="8" t="s">
        <v>662</v>
      </c>
      <c r="B208" s="8" t="s">
        <v>50</v>
      </c>
      <c r="C208" s="8" t="str">
        <f t="shared" si="3"/>
        <v>upac_neo</v>
      </c>
      <c r="D208" s="9" t="s">
        <v>15</v>
      </c>
      <c r="E208" s="8" t="s">
        <v>663</v>
      </c>
      <c r="F208" s="8" t="s">
        <v>664</v>
      </c>
      <c r="G208" s="8">
        <v>500</v>
      </c>
    </row>
    <row r="209" spans="1:7" x14ac:dyDescent="0.15">
      <c r="A209" s="8" t="s">
        <v>3054</v>
      </c>
      <c r="B209" s="8" t="s">
        <v>50</v>
      </c>
      <c r="C209" s="8" t="str">
        <f t="shared" si="3"/>
        <v>pepsep</v>
      </c>
      <c r="D209" s="9" t="s">
        <v>3054</v>
      </c>
      <c r="E209" s="8" t="s">
        <v>3055</v>
      </c>
      <c r="F209" s="8" t="s">
        <v>3056</v>
      </c>
      <c r="G209" s="8">
        <v>500</v>
      </c>
    </row>
    <row r="210" spans="1:7" x14ac:dyDescent="0.15">
      <c r="A210" s="8" t="s">
        <v>3057</v>
      </c>
      <c r="B210" s="8" t="s">
        <v>50</v>
      </c>
      <c r="C210" s="8" t="str">
        <f t="shared" si="3"/>
        <v>pepsepultra</v>
      </c>
      <c r="D210" s="9" t="s">
        <v>3054</v>
      </c>
      <c r="E210" s="8" t="s">
        <v>3058</v>
      </c>
      <c r="F210" s="8" t="s">
        <v>3066</v>
      </c>
      <c r="G210" s="8">
        <v>500</v>
      </c>
    </row>
    <row r="211" spans="1:7" x14ac:dyDescent="0.15">
      <c r="A211" s="8" t="s">
        <v>3059</v>
      </c>
      <c r="B211" s="8" t="s">
        <v>50</v>
      </c>
      <c r="C211" s="8" t="str">
        <f t="shared" si="3"/>
        <v>pepsepmax</v>
      </c>
      <c r="D211" s="9" t="s">
        <v>3054</v>
      </c>
      <c r="E211" s="8" t="s">
        <v>3060</v>
      </c>
      <c r="F211" s="8" t="s">
        <v>3065</v>
      </c>
      <c r="G211" s="8">
        <v>500</v>
      </c>
    </row>
    <row r="212" spans="1:7" x14ac:dyDescent="0.15">
      <c r="A212" s="8" t="s">
        <v>3061</v>
      </c>
      <c r="B212" s="8" t="s">
        <v>50</v>
      </c>
      <c r="C212" s="8" t="str">
        <f t="shared" si="3"/>
        <v>pepsepmaxht</v>
      </c>
      <c r="D212" s="9" t="s">
        <v>3062</v>
      </c>
      <c r="E212" s="8" t="s">
        <v>3063</v>
      </c>
      <c r="F212" s="8" t="s">
        <v>3064</v>
      </c>
      <c r="G212" s="8">
        <v>500</v>
      </c>
    </row>
    <row r="213" spans="1:7" x14ac:dyDescent="0.15">
      <c r="A213" s="8" t="s">
        <v>665</v>
      </c>
      <c r="B213" s="8" t="s">
        <v>61</v>
      </c>
      <c r="C213" s="8" t="str">
        <f t="shared" si="3"/>
        <v>5_fluorouracil</v>
      </c>
      <c r="D213" s="8" t="s">
        <v>666</v>
      </c>
      <c r="E213" s="8" t="s">
        <v>667</v>
      </c>
      <c r="F213" s="8" t="s">
        <v>668</v>
      </c>
      <c r="G213" s="8">
        <v>500</v>
      </c>
    </row>
    <row r="214" spans="1:7" x14ac:dyDescent="0.15">
      <c r="A214" s="8" t="s">
        <v>669</v>
      </c>
      <c r="B214" s="8" t="s">
        <v>61</v>
      </c>
      <c r="C214" s="8" t="str">
        <f t="shared" si="3"/>
        <v>anisomycin</v>
      </c>
      <c r="D214" s="8" t="s">
        <v>669</v>
      </c>
      <c r="E214" s="8" t="s">
        <v>670</v>
      </c>
      <c r="F214" s="8" t="s">
        <v>670</v>
      </c>
      <c r="G214" s="8">
        <v>500</v>
      </c>
    </row>
    <row r="215" spans="1:7" x14ac:dyDescent="0.15">
      <c r="A215" s="8" t="s">
        <v>671</v>
      </c>
      <c r="B215" s="8" t="s">
        <v>61</v>
      </c>
      <c r="C215" s="8" t="str">
        <f t="shared" si="3"/>
        <v>antimycin</v>
      </c>
      <c r="D215" s="8" t="s">
        <v>671</v>
      </c>
      <c r="E215" s="8" t="s">
        <v>672</v>
      </c>
      <c r="F215" s="8" t="s">
        <v>673</v>
      </c>
      <c r="G215" s="8">
        <v>500</v>
      </c>
    </row>
    <row r="216" spans="1:7" x14ac:dyDescent="0.15">
      <c r="A216" s="8" t="s">
        <v>674</v>
      </c>
      <c r="B216" s="8" t="s">
        <v>61</v>
      </c>
      <c r="C216" s="8" t="str">
        <f t="shared" si="3"/>
        <v>atp</v>
      </c>
      <c r="D216" s="8" t="s">
        <v>674</v>
      </c>
      <c r="E216" s="8" t="s">
        <v>675</v>
      </c>
      <c r="F216" s="8" t="s">
        <v>676</v>
      </c>
      <c r="G216" s="8">
        <v>500</v>
      </c>
    </row>
    <row r="217" spans="1:7" x14ac:dyDescent="0.15">
      <c r="A217" s="8" t="s">
        <v>677</v>
      </c>
      <c r="B217" s="8" t="s">
        <v>61</v>
      </c>
      <c r="C217" s="8" t="str">
        <f t="shared" si="3"/>
        <v>berzosertib</v>
      </c>
      <c r="D217" s="8" t="s">
        <v>677</v>
      </c>
      <c r="E217" s="8" t="s">
        <v>677</v>
      </c>
      <c r="F217" s="8" t="s">
        <v>678</v>
      </c>
      <c r="G217" s="8">
        <v>500</v>
      </c>
    </row>
    <row r="218" spans="1:7" x14ac:dyDescent="0.15">
      <c r="A218" s="8" t="s">
        <v>679</v>
      </c>
      <c r="B218" s="8" t="s">
        <v>61</v>
      </c>
      <c r="C218" s="8" t="str">
        <f t="shared" si="3"/>
        <v>bortezomib</v>
      </c>
      <c r="D218" s="8" t="s">
        <v>679</v>
      </c>
      <c r="E218" s="8" t="s">
        <v>679</v>
      </c>
      <c r="F218" s="8" t="s">
        <v>680</v>
      </c>
      <c r="G218" s="8">
        <v>500</v>
      </c>
    </row>
    <row r="219" spans="1:7" x14ac:dyDescent="0.15">
      <c r="A219" s="8" t="s">
        <v>681</v>
      </c>
      <c r="B219" s="8" t="s">
        <v>61</v>
      </c>
      <c r="C219" s="8" t="str">
        <f t="shared" si="3"/>
        <v>cccp</v>
      </c>
      <c r="D219" s="8" t="s">
        <v>681</v>
      </c>
      <c r="E219" s="8" t="s">
        <v>682</v>
      </c>
      <c r="F219" s="8" t="s">
        <v>683</v>
      </c>
      <c r="G219" s="8">
        <v>500</v>
      </c>
    </row>
    <row r="220" spans="1:7" x14ac:dyDescent="0.15">
      <c r="A220" s="8" t="s">
        <v>684</v>
      </c>
      <c r="B220" s="8" t="s">
        <v>61</v>
      </c>
      <c r="C220" s="8" t="str">
        <f t="shared" si="3"/>
        <v>cycloheximide</v>
      </c>
      <c r="D220" s="8" t="s">
        <v>684</v>
      </c>
      <c r="E220" s="8" t="s">
        <v>685</v>
      </c>
      <c r="F220" s="8" t="s">
        <v>685</v>
      </c>
      <c r="G220" s="8">
        <v>500</v>
      </c>
    </row>
    <row r="221" spans="1:7" x14ac:dyDescent="0.15">
      <c r="A221" s="8" t="s">
        <v>686</v>
      </c>
      <c r="B221" s="8" t="s">
        <v>61</v>
      </c>
      <c r="C221" s="8" t="str">
        <f t="shared" si="3"/>
        <v>dmso</v>
      </c>
      <c r="D221" s="8" t="s">
        <v>686</v>
      </c>
      <c r="E221" s="8" t="s">
        <v>687</v>
      </c>
      <c r="F221" s="8" t="s">
        <v>688</v>
      </c>
      <c r="G221" s="8">
        <v>500</v>
      </c>
    </row>
    <row r="222" spans="1:7" x14ac:dyDescent="0.15">
      <c r="A222" s="8" t="s">
        <v>689</v>
      </c>
      <c r="B222" s="8" t="s">
        <v>61</v>
      </c>
      <c r="C222" s="8" t="str">
        <f t="shared" si="3"/>
        <v>doxorubicin</v>
      </c>
      <c r="D222" s="8" t="s">
        <v>689</v>
      </c>
      <c r="E222" s="8" t="s">
        <v>690</v>
      </c>
      <c r="F222" s="8" t="s">
        <v>691</v>
      </c>
      <c r="G222" s="8">
        <v>500</v>
      </c>
    </row>
    <row r="223" spans="1:7" x14ac:dyDescent="0.15">
      <c r="A223" s="8" t="s">
        <v>692</v>
      </c>
      <c r="B223" s="8" t="s">
        <v>61</v>
      </c>
      <c r="C223" s="8" t="str">
        <f t="shared" si="3"/>
        <v>doxycycline</v>
      </c>
      <c r="D223" s="8" t="s">
        <v>692</v>
      </c>
      <c r="E223" s="8" t="s">
        <v>693</v>
      </c>
      <c r="F223" s="8" t="s">
        <v>694</v>
      </c>
      <c r="G223" s="8">
        <v>500</v>
      </c>
    </row>
    <row r="224" spans="1:7" x14ac:dyDescent="0.15">
      <c r="A224" s="8" t="s">
        <v>2794</v>
      </c>
      <c r="B224" s="8" t="s">
        <v>61</v>
      </c>
      <c r="C224" s="8" t="str">
        <f t="shared" si="3"/>
        <v>epoximicin</v>
      </c>
      <c r="D224" s="8" t="s">
        <v>2793</v>
      </c>
      <c r="E224" s="8" t="s">
        <v>2792</v>
      </c>
      <c r="F224" s="8" t="s">
        <v>2795</v>
      </c>
      <c r="G224" s="8">
        <v>500</v>
      </c>
    </row>
    <row r="225" spans="1:7" x14ac:dyDescent="0.15">
      <c r="A225" s="8" t="s">
        <v>695</v>
      </c>
      <c r="B225" s="8" t="s">
        <v>61</v>
      </c>
      <c r="C225" s="8" t="str">
        <f t="shared" si="3"/>
        <v>etoposide</v>
      </c>
      <c r="D225" s="8" t="s">
        <v>695</v>
      </c>
      <c r="E225" s="8" t="s">
        <v>696</v>
      </c>
      <c r="F225" s="8" t="s">
        <v>697</v>
      </c>
      <c r="G225" s="8">
        <v>500</v>
      </c>
    </row>
    <row r="226" spans="1:7" x14ac:dyDescent="0.15">
      <c r="A226" s="8" t="s">
        <v>698</v>
      </c>
      <c r="B226" s="8" t="s">
        <v>61</v>
      </c>
      <c r="C226" s="8" t="str">
        <f t="shared" si="3"/>
        <v>fccp</v>
      </c>
      <c r="D226" s="8" t="s">
        <v>698</v>
      </c>
      <c r="E226" s="8" t="s">
        <v>699</v>
      </c>
      <c r="F226" s="8" t="s">
        <v>700</v>
      </c>
      <c r="G226" s="8">
        <v>500</v>
      </c>
    </row>
    <row r="227" spans="1:7" x14ac:dyDescent="0.15">
      <c r="A227" s="8" t="s">
        <v>701</v>
      </c>
      <c r="B227" s="8" t="s">
        <v>61</v>
      </c>
      <c r="C227" s="8" t="str">
        <f t="shared" si="3"/>
        <v>h2o</v>
      </c>
      <c r="D227" s="8" t="s">
        <v>701</v>
      </c>
      <c r="E227" s="8" t="s">
        <v>702</v>
      </c>
      <c r="F227" s="8" t="s">
        <v>703</v>
      </c>
      <c r="G227" s="8">
        <v>500</v>
      </c>
    </row>
    <row r="228" spans="1:7" x14ac:dyDescent="0.15">
      <c r="A228" s="8" t="s">
        <v>2789</v>
      </c>
      <c r="B228" s="8" t="s">
        <v>61</v>
      </c>
      <c r="C228" s="8" t="str">
        <f t="shared" si="3"/>
        <v>h2o2</v>
      </c>
      <c r="D228" s="8" t="s">
        <v>2789</v>
      </c>
      <c r="E228" s="8" t="s">
        <v>2790</v>
      </c>
      <c r="F228" s="8" t="s">
        <v>2791</v>
      </c>
      <c r="G228" s="8">
        <v>500</v>
      </c>
    </row>
    <row r="229" spans="1:7" x14ac:dyDescent="0.15">
      <c r="A229" s="8" t="s">
        <v>704</v>
      </c>
      <c r="B229" s="8" t="s">
        <v>61</v>
      </c>
      <c r="C229" s="8" t="str">
        <f t="shared" si="3"/>
        <v>hydroxyurea</v>
      </c>
      <c r="D229" s="8" t="s">
        <v>704</v>
      </c>
      <c r="E229" s="8" t="s">
        <v>705</v>
      </c>
      <c r="F229" s="8" t="s">
        <v>706</v>
      </c>
      <c r="G229" s="8">
        <v>500</v>
      </c>
    </row>
    <row r="230" spans="1:7" x14ac:dyDescent="0.15">
      <c r="A230" s="8" t="s">
        <v>707</v>
      </c>
      <c r="B230" s="8" t="s">
        <v>61</v>
      </c>
      <c r="C230" s="8" t="str">
        <f t="shared" si="3"/>
        <v>oligomycin</v>
      </c>
      <c r="D230" s="8" t="s">
        <v>707</v>
      </c>
      <c r="E230" s="8" t="s">
        <v>708</v>
      </c>
      <c r="F230" s="8" t="s">
        <v>709</v>
      </c>
      <c r="G230" s="8">
        <v>500</v>
      </c>
    </row>
    <row r="231" spans="1:7" x14ac:dyDescent="0.15">
      <c r="A231" s="8" t="s">
        <v>710</v>
      </c>
      <c r="B231" s="8" t="s">
        <v>61</v>
      </c>
      <c r="C231" s="8" t="str">
        <f t="shared" si="3"/>
        <v>rapamycin</v>
      </c>
      <c r="D231" s="8" t="s">
        <v>710</v>
      </c>
      <c r="E231" s="8" t="s">
        <v>711</v>
      </c>
      <c r="F231" s="8" t="s">
        <v>712</v>
      </c>
      <c r="G231" s="8">
        <v>500</v>
      </c>
    </row>
    <row r="232" spans="1:7" x14ac:dyDescent="0.15">
      <c r="A232" s="8" t="s">
        <v>713</v>
      </c>
      <c r="B232" s="8" t="s">
        <v>61</v>
      </c>
      <c r="C232" s="8" t="str">
        <f t="shared" si="3"/>
        <v>rotenone</v>
      </c>
      <c r="D232" s="8" t="s">
        <v>713</v>
      </c>
      <c r="E232" s="8" t="s">
        <v>714</v>
      </c>
      <c r="F232" s="8" t="s">
        <v>715</v>
      </c>
      <c r="G232" s="8">
        <v>500</v>
      </c>
    </row>
    <row r="233" spans="1:7" x14ac:dyDescent="0.15">
      <c r="A233" s="8" t="s">
        <v>716</v>
      </c>
      <c r="B233" s="8" t="s">
        <v>61</v>
      </c>
      <c r="C233" s="8" t="str">
        <f t="shared" si="3"/>
        <v>tamoxifen</v>
      </c>
      <c r="D233" s="8" t="s">
        <v>716</v>
      </c>
      <c r="E233" s="8" t="s">
        <v>716</v>
      </c>
      <c r="F233" s="8" t="s">
        <v>717</v>
      </c>
      <c r="G233" s="8">
        <v>500</v>
      </c>
    </row>
    <row r="234" spans="1:7" x14ac:dyDescent="0.15">
      <c r="A234" s="8" t="s">
        <v>718</v>
      </c>
      <c r="B234" s="8" t="s">
        <v>61</v>
      </c>
      <c r="C234" s="8" t="str">
        <f t="shared" si="3"/>
        <v>torin</v>
      </c>
      <c r="D234" s="8" t="s">
        <v>718</v>
      </c>
      <c r="E234" s="8" t="s">
        <v>719</v>
      </c>
      <c r="F234" s="8" t="s">
        <v>720</v>
      </c>
      <c r="G234" s="8">
        <v>500</v>
      </c>
    </row>
    <row r="235" spans="1:7" x14ac:dyDescent="0.15">
      <c r="A235" s="8" t="s">
        <v>721</v>
      </c>
      <c r="B235" s="8" t="s">
        <v>61</v>
      </c>
      <c r="C235" s="8" t="str">
        <f t="shared" si="3"/>
        <v>trametinib</v>
      </c>
      <c r="D235" s="8" t="s">
        <v>721</v>
      </c>
      <c r="E235" s="8" t="s">
        <v>721</v>
      </c>
      <c r="F235" s="8" t="s">
        <v>722</v>
      </c>
      <c r="G235" s="8">
        <v>500</v>
      </c>
    </row>
    <row r="236" spans="1:7" x14ac:dyDescent="0.15">
      <c r="A236" s="8" t="s">
        <v>723</v>
      </c>
      <c r="B236" s="8" t="s">
        <v>61</v>
      </c>
      <c r="C236" s="8" t="str">
        <f t="shared" si="3"/>
        <v>unstimulated</v>
      </c>
      <c r="D236" s="8" t="s">
        <v>723</v>
      </c>
      <c r="E236" s="8" t="s">
        <v>724</v>
      </c>
      <c r="F236" s="8" t="s">
        <v>725</v>
      </c>
      <c r="G236" s="8">
        <v>500</v>
      </c>
    </row>
    <row r="237" spans="1:7" x14ac:dyDescent="0.15">
      <c r="A237" s="8" t="s">
        <v>3196</v>
      </c>
      <c r="B237" s="8" t="s">
        <v>61</v>
      </c>
      <c r="C237" s="8" t="str">
        <f t="shared" si="3"/>
        <v>pbs</v>
      </c>
      <c r="D237" s="8" t="s">
        <v>3196</v>
      </c>
      <c r="E237" s="8" t="s">
        <v>3197</v>
      </c>
      <c r="F237" s="8" t="s">
        <v>3198</v>
      </c>
      <c r="G237" s="8">
        <v>500</v>
      </c>
    </row>
    <row r="238" spans="1:7" x14ac:dyDescent="0.15">
      <c r="A238" s="8" t="s">
        <v>726</v>
      </c>
      <c r="B238" s="8" t="s">
        <v>61</v>
      </c>
      <c r="C238" s="8" t="str">
        <f t="shared" si="3"/>
        <v>microenvironment</v>
      </c>
      <c r="D238" s="9" t="s">
        <v>15</v>
      </c>
      <c r="E238" s="8" t="s">
        <v>726</v>
      </c>
      <c r="F238" s="8" t="s">
        <v>726</v>
      </c>
      <c r="G238" s="8">
        <v>500</v>
      </c>
    </row>
    <row r="239" spans="1:7" x14ac:dyDescent="0.15">
      <c r="A239" s="8" t="s">
        <v>727</v>
      </c>
      <c r="B239" s="8" t="s">
        <v>63</v>
      </c>
      <c r="C239" s="8" t="str">
        <f t="shared" si="3"/>
        <v>egs</v>
      </c>
      <c r="D239" s="9" t="s">
        <v>15</v>
      </c>
      <c r="E239" s="8" t="s">
        <v>728</v>
      </c>
      <c r="F239" s="8" t="s">
        <v>729</v>
      </c>
      <c r="G239" s="8">
        <v>500</v>
      </c>
    </row>
    <row r="240" spans="1:7" x14ac:dyDescent="0.15">
      <c r="A240" s="8" t="s">
        <v>730</v>
      </c>
      <c r="B240" s="8" t="s">
        <v>63</v>
      </c>
      <c r="C240" s="8" t="str">
        <f t="shared" si="3"/>
        <v>suflo_egs</v>
      </c>
      <c r="D240" s="9" t="s">
        <v>15</v>
      </c>
      <c r="E240" s="8" t="s">
        <v>731</v>
      </c>
      <c r="F240" s="8" t="s">
        <v>732</v>
      </c>
      <c r="G240" s="8">
        <v>500</v>
      </c>
    </row>
    <row r="241" spans="1:7" x14ac:dyDescent="0.15">
      <c r="A241" s="8" t="s">
        <v>733</v>
      </c>
      <c r="B241" s="8" t="s">
        <v>66</v>
      </c>
      <c r="C241" s="8" t="str">
        <f t="shared" si="3"/>
        <v>dsbu</v>
      </c>
      <c r="D241" s="9" t="s">
        <v>15</v>
      </c>
      <c r="E241" s="8" t="s">
        <v>734</v>
      </c>
      <c r="F241" s="8" t="s">
        <v>735</v>
      </c>
      <c r="G241" s="8">
        <v>500</v>
      </c>
    </row>
    <row r="242" spans="1:7" x14ac:dyDescent="0.15">
      <c r="A242" s="8" t="s">
        <v>736</v>
      </c>
      <c r="B242" s="8" t="s">
        <v>66</v>
      </c>
      <c r="C242" s="8" t="str">
        <f t="shared" si="3"/>
        <v>dsso</v>
      </c>
      <c r="D242" s="9" t="s">
        <v>15</v>
      </c>
      <c r="E242" s="8" t="s">
        <v>737</v>
      </c>
      <c r="F242" s="8" t="s">
        <v>738</v>
      </c>
      <c r="G242" s="8">
        <v>500</v>
      </c>
    </row>
    <row r="243" spans="1:7" x14ac:dyDescent="0.15">
      <c r="A243" s="8" t="s">
        <v>739</v>
      </c>
      <c r="B243" s="8" t="s">
        <v>68</v>
      </c>
      <c r="C243" s="8" t="str">
        <f t="shared" si="3"/>
        <v>amas</v>
      </c>
      <c r="D243" s="9" t="s">
        <v>15</v>
      </c>
      <c r="E243" s="8" t="s">
        <v>740</v>
      </c>
      <c r="F243" s="8" t="s">
        <v>741</v>
      </c>
      <c r="G243" s="8">
        <v>500</v>
      </c>
    </row>
    <row r="244" spans="1:7" x14ac:dyDescent="0.15">
      <c r="A244" s="8" t="s">
        <v>742</v>
      </c>
      <c r="B244" s="8" t="s">
        <v>68</v>
      </c>
      <c r="C244" s="8" t="str">
        <f t="shared" si="3"/>
        <v>bm_peg_3</v>
      </c>
      <c r="D244" s="9" t="s">
        <v>15</v>
      </c>
      <c r="E244" s="8" t="s">
        <v>743</v>
      </c>
      <c r="F244" s="8" t="s">
        <v>744</v>
      </c>
      <c r="G244" s="8">
        <v>500</v>
      </c>
    </row>
    <row r="245" spans="1:7" x14ac:dyDescent="0.15">
      <c r="A245" s="8" t="s">
        <v>745</v>
      </c>
      <c r="B245" s="8" t="s">
        <v>68</v>
      </c>
      <c r="C245" s="8" t="str">
        <f t="shared" si="3"/>
        <v>bmb</v>
      </c>
      <c r="D245" s="9" t="s">
        <v>15</v>
      </c>
      <c r="E245" s="8" t="s">
        <v>746</v>
      </c>
      <c r="F245" s="8" t="s">
        <v>747</v>
      </c>
      <c r="G245" s="8">
        <v>500</v>
      </c>
    </row>
    <row r="246" spans="1:7" x14ac:dyDescent="0.15">
      <c r="A246" s="8" t="s">
        <v>748</v>
      </c>
      <c r="B246" s="8" t="s">
        <v>68</v>
      </c>
      <c r="C246" s="8" t="str">
        <f t="shared" si="3"/>
        <v>bmh</v>
      </c>
      <c r="D246" s="9" t="s">
        <v>15</v>
      </c>
      <c r="E246" s="8" t="s">
        <v>749</v>
      </c>
      <c r="F246" s="8" t="s">
        <v>750</v>
      </c>
      <c r="G246" s="8">
        <v>500</v>
      </c>
    </row>
    <row r="247" spans="1:7" x14ac:dyDescent="0.15">
      <c r="A247" s="8" t="s">
        <v>751</v>
      </c>
      <c r="B247" s="8" t="s">
        <v>68</v>
      </c>
      <c r="C247" s="8" t="str">
        <f t="shared" si="3"/>
        <v>bmoe</v>
      </c>
      <c r="D247" s="9" t="s">
        <v>15</v>
      </c>
      <c r="E247" s="8" t="s">
        <v>752</v>
      </c>
      <c r="F247" s="8" t="s">
        <v>753</v>
      </c>
      <c r="G247" s="8">
        <v>500</v>
      </c>
    </row>
    <row r="248" spans="1:7" x14ac:dyDescent="0.15">
      <c r="A248" s="8" t="s">
        <v>754</v>
      </c>
      <c r="B248" s="8" t="s">
        <v>68</v>
      </c>
      <c r="C248" s="8" t="str">
        <f t="shared" si="3"/>
        <v>bmph</v>
      </c>
      <c r="D248" s="9" t="s">
        <v>15</v>
      </c>
      <c r="E248" s="8" t="s">
        <v>755</v>
      </c>
      <c r="F248" s="8" t="s">
        <v>756</v>
      </c>
      <c r="G248" s="8">
        <v>500</v>
      </c>
    </row>
    <row r="249" spans="1:7" x14ac:dyDescent="0.15">
      <c r="A249" s="8" t="s">
        <v>757</v>
      </c>
      <c r="B249" s="8" t="s">
        <v>68</v>
      </c>
      <c r="C249" s="8" t="str">
        <f t="shared" si="3"/>
        <v>bmps</v>
      </c>
      <c r="D249" s="9" t="s">
        <v>15</v>
      </c>
      <c r="E249" s="8" t="s">
        <v>758</v>
      </c>
      <c r="F249" s="8" t="s">
        <v>759</v>
      </c>
      <c r="G249" s="8">
        <v>500</v>
      </c>
    </row>
    <row r="250" spans="1:7" x14ac:dyDescent="0.15">
      <c r="A250" s="8" t="s">
        <v>760</v>
      </c>
      <c r="B250" s="8" t="s">
        <v>68</v>
      </c>
      <c r="C250" s="8" t="str">
        <f t="shared" si="3"/>
        <v>bs_peg_5</v>
      </c>
      <c r="D250" s="9" t="s">
        <v>15</v>
      </c>
      <c r="E250" s="8" t="s">
        <v>761</v>
      </c>
      <c r="F250" s="8" t="s">
        <v>762</v>
      </c>
      <c r="G250" s="8">
        <v>500</v>
      </c>
    </row>
    <row r="251" spans="1:7" x14ac:dyDescent="0.15">
      <c r="A251" s="8" t="s">
        <v>763</v>
      </c>
      <c r="B251" s="8" t="s">
        <v>68</v>
      </c>
      <c r="C251" s="8" t="str">
        <f t="shared" si="3"/>
        <v>bs_peg_9</v>
      </c>
      <c r="D251" s="9" t="s">
        <v>15</v>
      </c>
      <c r="E251" s="8" t="s">
        <v>764</v>
      </c>
      <c r="F251" s="8" t="s">
        <v>765</v>
      </c>
      <c r="G251" s="8">
        <v>500</v>
      </c>
    </row>
    <row r="252" spans="1:7" x14ac:dyDescent="0.15">
      <c r="A252" s="8" t="s">
        <v>766</v>
      </c>
      <c r="B252" s="8" t="s">
        <v>68</v>
      </c>
      <c r="C252" s="8" t="str">
        <f t="shared" si="3"/>
        <v>bs2g_d0</v>
      </c>
      <c r="D252" s="9" t="s">
        <v>15</v>
      </c>
      <c r="E252" s="8" t="s">
        <v>767</v>
      </c>
      <c r="F252" s="8" t="s">
        <v>768</v>
      </c>
      <c r="G252" s="8">
        <v>500</v>
      </c>
    </row>
    <row r="253" spans="1:7" x14ac:dyDescent="0.15">
      <c r="A253" s="8" t="s">
        <v>769</v>
      </c>
      <c r="B253" s="8" t="s">
        <v>68</v>
      </c>
      <c r="C253" s="8" t="str">
        <f t="shared" si="3"/>
        <v>bs3</v>
      </c>
      <c r="D253" s="9" t="s">
        <v>15</v>
      </c>
      <c r="E253" s="8" t="s">
        <v>770</v>
      </c>
      <c r="F253" s="8" t="s">
        <v>771</v>
      </c>
      <c r="G253" s="8">
        <v>500</v>
      </c>
    </row>
    <row r="254" spans="1:7" ht="10.5" customHeight="1" x14ac:dyDescent="0.15">
      <c r="A254" s="8" t="s">
        <v>772</v>
      </c>
      <c r="B254" s="8" t="s">
        <v>68</v>
      </c>
      <c r="C254" s="8" t="str">
        <f t="shared" si="3"/>
        <v>bs3_d0</v>
      </c>
      <c r="D254" s="9" t="s">
        <v>15</v>
      </c>
      <c r="E254" s="8" t="s">
        <v>773</v>
      </c>
      <c r="F254" s="8" t="s">
        <v>774</v>
      </c>
      <c r="G254" s="8">
        <v>500</v>
      </c>
    </row>
    <row r="255" spans="1:7" x14ac:dyDescent="0.15">
      <c r="A255" s="8" t="s">
        <v>775</v>
      </c>
      <c r="B255" s="8" t="s">
        <v>68</v>
      </c>
      <c r="C255" s="8" t="str">
        <f t="shared" si="3"/>
        <v>bs3_d4</v>
      </c>
      <c r="D255" s="9" t="s">
        <v>15</v>
      </c>
      <c r="E255" s="8" t="s">
        <v>776</v>
      </c>
      <c r="F255" s="8" t="s">
        <v>774</v>
      </c>
      <c r="G255" s="8">
        <v>500</v>
      </c>
    </row>
    <row r="256" spans="1:7" x14ac:dyDescent="0.15">
      <c r="A256" s="8" t="s">
        <v>777</v>
      </c>
      <c r="B256" s="8" t="s">
        <v>68</v>
      </c>
      <c r="C256" s="8" t="str">
        <f t="shared" si="3"/>
        <v>dmp</v>
      </c>
      <c r="D256" s="9" t="s">
        <v>15</v>
      </c>
      <c r="E256" s="8" t="s">
        <v>778</v>
      </c>
      <c r="F256" s="8" t="s">
        <v>779</v>
      </c>
      <c r="G256" s="8">
        <v>500</v>
      </c>
    </row>
    <row r="257" spans="1:7" x14ac:dyDescent="0.15">
      <c r="A257" s="8" t="s">
        <v>780</v>
      </c>
      <c r="B257" s="8" t="s">
        <v>68</v>
      </c>
      <c r="C257" s="8" t="str">
        <f t="shared" si="3"/>
        <v>dms</v>
      </c>
      <c r="D257" s="9" t="s">
        <v>15</v>
      </c>
      <c r="E257" s="8" t="s">
        <v>781</v>
      </c>
      <c r="F257" s="8" t="s">
        <v>782</v>
      </c>
      <c r="G257" s="8">
        <v>500</v>
      </c>
    </row>
    <row r="258" spans="1:7" x14ac:dyDescent="0.15">
      <c r="A258" s="8" t="s">
        <v>783</v>
      </c>
      <c r="B258" s="8" t="s">
        <v>68</v>
      </c>
      <c r="C258" s="8" t="str">
        <f t="shared" si="3"/>
        <v>dss</v>
      </c>
      <c r="D258" s="9" t="s">
        <v>15</v>
      </c>
      <c r="E258" s="8" t="s">
        <v>784</v>
      </c>
      <c r="F258" s="8" t="s">
        <v>785</v>
      </c>
      <c r="G258" s="8">
        <v>500</v>
      </c>
    </row>
    <row r="259" spans="1:7" x14ac:dyDescent="0.15">
      <c r="A259" s="8" t="s">
        <v>786</v>
      </c>
      <c r="B259" s="8" t="s">
        <v>68</v>
      </c>
      <c r="C259" s="8" t="str">
        <f t="shared" si="3"/>
        <v>edc</v>
      </c>
      <c r="D259" s="9" t="s">
        <v>15</v>
      </c>
      <c r="E259" s="8" t="s">
        <v>787</v>
      </c>
      <c r="F259" s="8" t="s">
        <v>788</v>
      </c>
      <c r="G259" s="8">
        <v>500</v>
      </c>
    </row>
    <row r="260" spans="1:7" x14ac:dyDescent="0.15">
      <c r="A260" s="8" t="s">
        <v>789</v>
      </c>
      <c r="B260" s="8" t="s">
        <v>68</v>
      </c>
      <c r="C260" s="8" t="str">
        <f t="shared" si="3"/>
        <v>emch</v>
      </c>
      <c r="D260" s="9" t="s">
        <v>15</v>
      </c>
      <c r="E260" s="8" t="s">
        <v>790</v>
      </c>
      <c r="F260" s="8" t="s">
        <v>791</v>
      </c>
      <c r="G260" s="8">
        <v>500</v>
      </c>
    </row>
    <row r="261" spans="1:7" x14ac:dyDescent="0.15">
      <c r="A261" s="8" t="s">
        <v>792</v>
      </c>
      <c r="B261" s="8" t="s">
        <v>68</v>
      </c>
      <c r="C261" s="8" t="str">
        <f t="shared" si="3"/>
        <v>emcs</v>
      </c>
      <c r="D261" s="9" t="s">
        <v>15</v>
      </c>
      <c r="E261" s="8" t="s">
        <v>793</v>
      </c>
      <c r="F261" s="8" t="s">
        <v>794</v>
      </c>
      <c r="G261" s="8">
        <v>500</v>
      </c>
    </row>
    <row r="262" spans="1:7" x14ac:dyDescent="0.15">
      <c r="A262" s="8" t="s">
        <v>795</v>
      </c>
      <c r="B262" s="8" t="s">
        <v>68</v>
      </c>
      <c r="C262" s="8" t="str">
        <f t="shared" ref="C262:C325" si="4">A262</f>
        <v>gmbs</v>
      </c>
      <c r="D262" s="9" t="s">
        <v>15</v>
      </c>
      <c r="E262" s="8" t="s">
        <v>796</v>
      </c>
      <c r="F262" s="8" t="s">
        <v>797</v>
      </c>
      <c r="G262" s="8">
        <v>500</v>
      </c>
    </row>
    <row r="263" spans="1:7" x14ac:dyDescent="0.15">
      <c r="A263" s="8" t="s">
        <v>798</v>
      </c>
      <c r="B263" s="8" t="s">
        <v>68</v>
      </c>
      <c r="C263" s="8" t="str">
        <f t="shared" si="4"/>
        <v>kmuh</v>
      </c>
      <c r="D263" s="9" t="s">
        <v>15</v>
      </c>
      <c r="E263" s="8" t="s">
        <v>799</v>
      </c>
      <c r="F263" s="8" t="s">
        <v>800</v>
      </c>
      <c r="G263" s="8">
        <v>500</v>
      </c>
    </row>
    <row r="264" spans="1:7" x14ac:dyDescent="0.15">
      <c r="A264" s="8" t="s">
        <v>801</v>
      </c>
      <c r="B264" s="8" t="s">
        <v>68</v>
      </c>
      <c r="C264" s="8" t="str">
        <f t="shared" si="4"/>
        <v>l_photo_methionine</v>
      </c>
      <c r="D264" s="9" t="s">
        <v>15</v>
      </c>
      <c r="E264" s="8" t="s">
        <v>802</v>
      </c>
      <c r="F264" s="8" t="s">
        <v>803</v>
      </c>
      <c r="G264" s="8">
        <v>500</v>
      </c>
    </row>
    <row r="265" spans="1:7" x14ac:dyDescent="0.15">
      <c r="A265" s="8" t="s">
        <v>804</v>
      </c>
      <c r="B265" s="8" t="s">
        <v>68</v>
      </c>
      <c r="C265" s="8" t="str">
        <f t="shared" si="4"/>
        <v>lc_smcc</v>
      </c>
      <c r="D265" s="9" t="s">
        <v>15</v>
      </c>
      <c r="E265" s="8" t="s">
        <v>805</v>
      </c>
      <c r="F265" s="8" t="s">
        <v>806</v>
      </c>
      <c r="G265" s="8">
        <v>500</v>
      </c>
    </row>
    <row r="266" spans="1:7" x14ac:dyDescent="0.15">
      <c r="A266" s="8" t="s">
        <v>807</v>
      </c>
      <c r="B266" s="8" t="s">
        <v>68</v>
      </c>
      <c r="C266" s="8" t="str">
        <f t="shared" si="4"/>
        <v>maleimide_peg4_dbco</v>
      </c>
      <c r="D266" s="9" t="s">
        <v>15</v>
      </c>
      <c r="E266" s="8" t="s">
        <v>808</v>
      </c>
      <c r="F266" s="8" t="s">
        <v>809</v>
      </c>
      <c r="G266" s="8">
        <v>500</v>
      </c>
    </row>
    <row r="267" spans="1:7" x14ac:dyDescent="0.15">
      <c r="A267" s="8" t="s">
        <v>810</v>
      </c>
      <c r="B267" s="8" t="s">
        <v>68</v>
      </c>
      <c r="C267" s="8" t="str">
        <f t="shared" si="4"/>
        <v>mpbh</v>
      </c>
      <c r="D267" s="9" t="s">
        <v>15</v>
      </c>
      <c r="E267" s="8" t="s">
        <v>811</v>
      </c>
      <c r="F267" s="8" t="s">
        <v>812</v>
      </c>
      <c r="G267" s="8">
        <v>500</v>
      </c>
    </row>
    <row r="268" spans="1:7" x14ac:dyDescent="0.15">
      <c r="A268" s="8" t="s">
        <v>813</v>
      </c>
      <c r="B268" s="8" t="s">
        <v>68</v>
      </c>
      <c r="C268" s="8" t="str">
        <f t="shared" si="4"/>
        <v>nhs</v>
      </c>
      <c r="D268" s="9" t="s">
        <v>15</v>
      </c>
      <c r="E268" s="8" t="s">
        <v>814</v>
      </c>
      <c r="F268" s="8" t="s">
        <v>815</v>
      </c>
      <c r="G268" s="8">
        <v>500</v>
      </c>
    </row>
    <row r="269" spans="1:7" x14ac:dyDescent="0.15">
      <c r="A269" s="8" t="s">
        <v>816</v>
      </c>
      <c r="B269" s="8" t="s">
        <v>68</v>
      </c>
      <c r="C269" s="8" t="str">
        <f t="shared" si="4"/>
        <v>nhs_azide</v>
      </c>
      <c r="D269" s="9" t="s">
        <v>15</v>
      </c>
      <c r="E269" s="8" t="s">
        <v>817</v>
      </c>
      <c r="F269" s="8" t="s">
        <v>818</v>
      </c>
      <c r="G269" s="8">
        <v>500</v>
      </c>
    </row>
    <row r="270" spans="1:7" x14ac:dyDescent="0.15">
      <c r="A270" s="8" t="s">
        <v>819</v>
      </c>
      <c r="B270" s="8" t="s">
        <v>68</v>
      </c>
      <c r="C270" s="8" t="str">
        <f t="shared" si="4"/>
        <v>nhs_peg4_azide</v>
      </c>
      <c r="D270" s="9" t="s">
        <v>15</v>
      </c>
      <c r="E270" s="8" t="s">
        <v>820</v>
      </c>
      <c r="F270" s="8" t="s">
        <v>821</v>
      </c>
      <c r="G270" s="8">
        <v>500</v>
      </c>
    </row>
    <row r="271" spans="1:7" x14ac:dyDescent="0.15">
      <c r="A271" s="8" t="s">
        <v>822</v>
      </c>
      <c r="B271" s="8" t="s">
        <v>68</v>
      </c>
      <c r="C271" s="8" t="str">
        <f t="shared" si="4"/>
        <v>nhs_phosphine</v>
      </c>
      <c r="D271" s="9" t="s">
        <v>15</v>
      </c>
      <c r="E271" s="8" t="s">
        <v>823</v>
      </c>
      <c r="F271" s="8" t="s">
        <v>824</v>
      </c>
      <c r="G271" s="8">
        <v>500</v>
      </c>
    </row>
    <row r="272" spans="1:7" x14ac:dyDescent="0.15">
      <c r="A272" s="8" t="s">
        <v>825</v>
      </c>
      <c r="B272" s="8" t="s">
        <v>68</v>
      </c>
      <c r="C272" s="8" t="str">
        <f t="shared" si="4"/>
        <v>pmpi</v>
      </c>
      <c r="D272" s="9" t="s">
        <v>15</v>
      </c>
      <c r="E272" s="8" t="s">
        <v>826</v>
      </c>
      <c r="F272" s="8" t="s">
        <v>827</v>
      </c>
      <c r="G272" s="8">
        <v>500</v>
      </c>
    </row>
    <row r="273" spans="1:7" x14ac:dyDescent="0.15">
      <c r="A273" s="8" t="s">
        <v>828</v>
      </c>
      <c r="B273" s="8" t="s">
        <v>68</v>
      </c>
      <c r="C273" s="8" t="str">
        <f t="shared" si="4"/>
        <v>sbap</v>
      </c>
      <c r="D273" s="9" t="s">
        <v>15</v>
      </c>
      <c r="E273" s="8" t="s">
        <v>829</v>
      </c>
      <c r="F273" s="8" t="s">
        <v>830</v>
      </c>
      <c r="G273" s="8">
        <v>500</v>
      </c>
    </row>
    <row r="274" spans="1:7" x14ac:dyDescent="0.15">
      <c r="A274" s="8" t="s">
        <v>831</v>
      </c>
      <c r="B274" s="8" t="s">
        <v>68</v>
      </c>
      <c r="C274" s="8" t="str">
        <f t="shared" si="4"/>
        <v>sda</v>
      </c>
      <c r="D274" s="9" t="s">
        <v>15</v>
      </c>
      <c r="E274" s="8" t="s">
        <v>832</v>
      </c>
      <c r="F274" s="8" t="s">
        <v>833</v>
      </c>
      <c r="G274" s="8">
        <v>500</v>
      </c>
    </row>
    <row r="275" spans="1:7" x14ac:dyDescent="0.15">
      <c r="A275" s="8" t="s">
        <v>834</v>
      </c>
      <c r="B275" s="8" t="s">
        <v>68</v>
      </c>
      <c r="C275" s="8" t="str">
        <f t="shared" si="4"/>
        <v>sia</v>
      </c>
      <c r="D275" s="9" t="s">
        <v>15</v>
      </c>
      <c r="E275" s="8" t="s">
        <v>835</v>
      </c>
      <c r="F275" s="8" t="s">
        <v>836</v>
      </c>
      <c r="G275" s="8">
        <v>500</v>
      </c>
    </row>
    <row r="276" spans="1:7" x14ac:dyDescent="0.15">
      <c r="A276" s="8" t="s">
        <v>837</v>
      </c>
      <c r="B276" s="8" t="s">
        <v>68</v>
      </c>
      <c r="C276" s="8" t="str">
        <f t="shared" si="4"/>
        <v>smpb</v>
      </c>
      <c r="D276" s="9" t="s">
        <v>15</v>
      </c>
      <c r="E276" s="8" t="s">
        <v>838</v>
      </c>
      <c r="F276" s="8" t="s">
        <v>839</v>
      </c>
      <c r="G276" s="8">
        <v>500</v>
      </c>
    </row>
    <row r="277" spans="1:7" x14ac:dyDescent="0.15">
      <c r="A277" s="8" t="s">
        <v>840</v>
      </c>
      <c r="B277" s="8" t="s">
        <v>68</v>
      </c>
      <c r="C277" s="8" t="str">
        <f t="shared" si="4"/>
        <v>smph</v>
      </c>
      <c r="D277" s="9" t="s">
        <v>15</v>
      </c>
      <c r="E277" s="8" t="s">
        <v>841</v>
      </c>
      <c r="F277" s="8" t="s">
        <v>842</v>
      </c>
      <c r="G277" s="8">
        <v>500</v>
      </c>
    </row>
    <row r="278" spans="1:7" x14ac:dyDescent="0.15">
      <c r="A278" s="8" t="s">
        <v>843</v>
      </c>
      <c r="B278" s="8" t="s">
        <v>68</v>
      </c>
      <c r="C278" s="8" t="str">
        <f t="shared" si="4"/>
        <v>spb</v>
      </c>
      <c r="D278" s="9" t="s">
        <v>15</v>
      </c>
      <c r="E278" s="8" t="s">
        <v>844</v>
      </c>
      <c r="F278" s="8" t="s">
        <v>845</v>
      </c>
      <c r="G278" s="8">
        <v>500</v>
      </c>
    </row>
    <row r="279" spans="1:7" x14ac:dyDescent="0.15">
      <c r="A279" s="8" t="s">
        <v>846</v>
      </c>
      <c r="B279" s="8" t="s">
        <v>68</v>
      </c>
      <c r="C279" s="8" t="str">
        <f t="shared" si="4"/>
        <v>sulfo_emcs</v>
      </c>
      <c r="D279" s="9" t="s">
        <v>15</v>
      </c>
      <c r="E279" s="8" t="s">
        <v>847</v>
      </c>
      <c r="F279" s="8" t="s">
        <v>848</v>
      </c>
      <c r="G279" s="8">
        <v>500</v>
      </c>
    </row>
    <row r="280" spans="1:7" x14ac:dyDescent="0.15">
      <c r="A280" s="8" t="s">
        <v>849</v>
      </c>
      <c r="B280" s="8" t="s">
        <v>68</v>
      </c>
      <c r="C280" s="8" t="str">
        <f t="shared" si="4"/>
        <v>sulfo_kmus</v>
      </c>
      <c r="D280" s="9" t="s">
        <v>15</v>
      </c>
      <c r="E280" s="8" t="s">
        <v>850</v>
      </c>
      <c r="F280" s="8" t="s">
        <v>851</v>
      </c>
      <c r="G280" s="8">
        <v>500</v>
      </c>
    </row>
    <row r="281" spans="1:7" x14ac:dyDescent="0.15">
      <c r="A281" s="8" t="s">
        <v>852</v>
      </c>
      <c r="B281" s="8" t="s">
        <v>68</v>
      </c>
      <c r="C281" s="8" t="str">
        <f t="shared" si="4"/>
        <v>sulfo_lc_sda</v>
      </c>
      <c r="D281" s="9" t="s">
        <v>15</v>
      </c>
      <c r="E281" s="8" t="s">
        <v>853</v>
      </c>
      <c r="F281" s="8" t="s">
        <v>854</v>
      </c>
      <c r="G281" s="8">
        <v>500</v>
      </c>
    </row>
    <row r="282" spans="1:7" x14ac:dyDescent="0.15">
      <c r="A282" s="8" t="s">
        <v>855</v>
      </c>
      <c r="B282" s="8" t="s">
        <v>68</v>
      </c>
      <c r="C282" s="8" t="str">
        <f t="shared" si="4"/>
        <v>sulfo_mbs</v>
      </c>
      <c r="D282" s="9" t="s">
        <v>15</v>
      </c>
      <c r="E282" s="8" t="s">
        <v>856</v>
      </c>
      <c r="F282" s="8" t="s">
        <v>857</v>
      </c>
      <c r="G282" s="8">
        <v>500</v>
      </c>
    </row>
    <row r="283" spans="1:7" x14ac:dyDescent="0.15">
      <c r="A283" s="8" t="s">
        <v>858</v>
      </c>
      <c r="B283" s="8" t="s">
        <v>68</v>
      </c>
      <c r="C283" s="8" t="str">
        <f t="shared" si="4"/>
        <v>sulfo_sda</v>
      </c>
      <c r="D283" s="9" t="s">
        <v>15</v>
      </c>
      <c r="E283" s="8" t="s">
        <v>859</v>
      </c>
      <c r="F283" s="8" t="s">
        <v>860</v>
      </c>
      <c r="G283" s="8">
        <v>500</v>
      </c>
    </row>
    <row r="284" spans="1:7" x14ac:dyDescent="0.15">
      <c r="A284" s="8" t="s">
        <v>861</v>
      </c>
      <c r="B284" s="8" t="s">
        <v>68</v>
      </c>
      <c r="C284" s="8" t="str">
        <f t="shared" si="4"/>
        <v>sulfo_siab</v>
      </c>
      <c r="D284" s="9" t="s">
        <v>15</v>
      </c>
      <c r="E284" s="8" t="s">
        <v>862</v>
      </c>
      <c r="F284" s="8" t="s">
        <v>863</v>
      </c>
      <c r="G284" s="8">
        <v>500</v>
      </c>
    </row>
    <row r="285" spans="1:7" x14ac:dyDescent="0.15">
      <c r="A285" s="8" t="s">
        <v>864</v>
      </c>
      <c r="B285" s="8" t="s">
        <v>68</v>
      </c>
      <c r="C285" s="8" t="str">
        <f t="shared" si="4"/>
        <v>sulfo_smcc</v>
      </c>
      <c r="D285" s="9" t="s">
        <v>15</v>
      </c>
      <c r="E285" s="8" t="s">
        <v>865</v>
      </c>
      <c r="F285" s="8" t="s">
        <v>866</v>
      </c>
      <c r="G285" s="8">
        <v>500</v>
      </c>
    </row>
    <row r="286" spans="1:7" x14ac:dyDescent="0.15">
      <c r="A286" s="8" t="s">
        <v>867</v>
      </c>
      <c r="B286" s="8" t="s">
        <v>68</v>
      </c>
      <c r="C286" s="8" t="str">
        <f t="shared" si="4"/>
        <v>sulfo_smpb</v>
      </c>
      <c r="D286" s="9" t="s">
        <v>15</v>
      </c>
      <c r="E286" s="8" t="s">
        <v>868</v>
      </c>
      <c r="F286" s="8" t="s">
        <v>869</v>
      </c>
      <c r="G286" s="8">
        <v>500</v>
      </c>
    </row>
    <row r="287" spans="1:7" x14ac:dyDescent="0.15">
      <c r="A287" s="8" t="s">
        <v>870</v>
      </c>
      <c r="B287" s="8" t="s">
        <v>68</v>
      </c>
      <c r="C287" s="8" t="str">
        <f t="shared" si="4"/>
        <v>tbdspp</v>
      </c>
      <c r="D287" s="9" t="s">
        <v>15</v>
      </c>
      <c r="E287" s="8" t="s">
        <v>871</v>
      </c>
      <c r="F287" s="8" t="s">
        <v>872</v>
      </c>
      <c r="G287" s="8">
        <v>500</v>
      </c>
    </row>
    <row r="288" spans="1:7" x14ac:dyDescent="0.15">
      <c r="A288" s="8" t="s">
        <v>873</v>
      </c>
      <c r="B288" s="8" t="s">
        <v>68</v>
      </c>
      <c r="C288" s="8" t="str">
        <f t="shared" si="4"/>
        <v>tfpester_peg12_dbco</v>
      </c>
      <c r="D288" s="9" t="s">
        <v>15</v>
      </c>
      <c r="E288" s="8" t="s">
        <v>874</v>
      </c>
      <c r="F288" s="8" t="s">
        <v>875</v>
      </c>
      <c r="G288" s="8">
        <v>500</v>
      </c>
    </row>
    <row r="289" spans="1:7" x14ac:dyDescent="0.15">
      <c r="A289" s="8" t="s">
        <v>876</v>
      </c>
      <c r="B289" s="8" t="s">
        <v>68</v>
      </c>
      <c r="C289" s="8" t="str">
        <f t="shared" si="4"/>
        <v>tfpester_peg4_dbco</v>
      </c>
      <c r="D289" s="9" t="s">
        <v>15</v>
      </c>
      <c r="E289" s="8" t="s">
        <v>877</v>
      </c>
      <c r="F289" s="8" t="s">
        <v>878</v>
      </c>
      <c r="G289" s="8">
        <v>500</v>
      </c>
    </row>
    <row r="290" spans="1:7" x14ac:dyDescent="0.15">
      <c r="A290" s="8" t="s">
        <v>879</v>
      </c>
      <c r="B290" s="8" t="s">
        <v>68</v>
      </c>
      <c r="C290" s="8" t="str">
        <f t="shared" si="4"/>
        <v>tmea</v>
      </c>
      <c r="D290" s="9" t="s">
        <v>15</v>
      </c>
      <c r="E290" s="8" t="s">
        <v>880</v>
      </c>
      <c r="F290" s="8" t="s">
        <v>881</v>
      </c>
      <c r="G290" s="8">
        <v>500</v>
      </c>
    </row>
    <row r="291" spans="1:7" x14ac:dyDescent="0.15">
      <c r="A291" s="8" t="s">
        <v>882</v>
      </c>
      <c r="B291" s="8" t="s">
        <v>68</v>
      </c>
      <c r="C291" s="8" t="str">
        <f t="shared" si="4"/>
        <v>tsat</v>
      </c>
      <c r="D291" s="9" t="s">
        <v>15</v>
      </c>
      <c r="E291" s="8" t="s">
        <v>883</v>
      </c>
      <c r="F291" s="8" t="s">
        <v>884</v>
      </c>
      <c r="G291" s="8">
        <v>500</v>
      </c>
    </row>
    <row r="292" spans="1:7" x14ac:dyDescent="0.15">
      <c r="A292" s="8" t="s">
        <v>885</v>
      </c>
      <c r="B292" s="8" t="s">
        <v>70</v>
      </c>
      <c r="C292" s="8" t="str">
        <f t="shared" si="4"/>
        <v>dsp</v>
      </c>
      <c r="D292" s="9" t="s">
        <v>15</v>
      </c>
      <c r="E292" s="8" t="s">
        <v>886</v>
      </c>
      <c r="F292" s="8" t="s">
        <v>887</v>
      </c>
      <c r="G292" s="8">
        <v>500</v>
      </c>
    </row>
    <row r="293" spans="1:7" x14ac:dyDescent="0.15">
      <c r="A293" s="8" t="s">
        <v>888</v>
      </c>
      <c r="B293" s="8" t="s">
        <v>70</v>
      </c>
      <c r="C293" s="8" t="str">
        <f t="shared" si="4"/>
        <v>dtbp</v>
      </c>
      <c r="D293" s="9" t="s">
        <v>15</v>
      </c>
      <c r="E293" s="8" t="s">
        <v>889</v>
      </c>
      <c r="F293" s="8" t="s">
        <v>890</v>
      </c>
      <c r="G293" s="8">
        <v>500</v>
      </c>
    </row>
    <row r="294" spans="1:7" x14ac:dyDescent="0.15">
      <c r="A294" s="8" t="s">
        <v>891</v>
      </c>
      <c r="B294" s="8" t="s">
        <v>70</v>
      </c>
      <c r="C294" s="8" t="str">
        <f t="shared" si="4"/>
        <v>dtme</v>
      </c>
      <c r="D294" s="9" t="s">
        <v>15</v>
      </c>
      <c r="E294" s="8" t="s">
        <v>892</v>
      </c>
      <c r="F294" s="8" t="s">
        <v>893</v>
      </c>
      <c r="G294" s="8">
        <v>500</v>
      </c>
    </row>
    <row r="295" spans="1:7" x14ac:dyDescent="0.15">
      <c r="A295" s="8" t="s">
        <v>894</v>
      </c>
      <c r="B295" s="8" t="s">
        <v>70</v>
      </c>
      <c r="C295" s="8" t="str">
        <f t="shared" si="4"/>
        <v>dtssp</v>
      </c>
      <c r="D295" s="9" t="s">
        <v>15</v>
      </c>
      <c r="E295" s="8" t="s">
        <v>895</v>
      </c>
      <c r="F295" s="8" t="s">
        <v>896</v>
      </c>
      <c r="G295" s="8">
        <v>500</v>
      </c>
    </row>
    <row r="296" spans="1:7" x14ac:dyDescent="0.15">
      <c r="A296" s="8" t="s">
        <v>897</v>
      </c>
      <c r="B296" s="8" t="s">
        <v>70</v>
      </c>
      <c r="C296" s="8" t="str">
        <f t="shared" si="4"/>
        <v>lc_spdp</v>
      </c>
      <c r="D296" s="9" t="s">
        <v>15</v>
      </c>
      <c r="E296" s="8" t="s">
        <v>898</v>
      </c>
      <c r="F296" s="8" t="s">
        <v>899</v>
      </c>
      <c r="G296" s="8">
        <v>500</v>
      </c>
    </row>
    <row r="297" spans="1:7" x14ac:dyDescent="0.15">
      <c r="A297" s="8" t="s">
        <v>900</v>
      </c>
      <c r="B297" s="8" t="s">
        <v>70</v>
      </c>
      <c r="C297" s="8" t="str">
        <f t="shared" si="4"/>
        <v>pdph</v>
      </c>
      <c r="D297" s="9" t="s">
        <v>15</v>
      </c>
      <c r="E297" s="8" t="s">
        <v>901</v>
      </c>
      <c r="F297" s="8" t="s">
        <v>902</v>
      </c>
      <c r="G297" s="8">
        <v>500</v>
      </c>
    </row>
    <row r="298" spans="1:7" x14ac:dyDescent="0.15">
      <c r="A298" s="8" t="s">
        <v>903</v>
      </c>
      <c r="B298" s="8" t="s">
        <v>70</v>
      </c>
      <c r="C298" s="8" t="str">
        <f t="shared" si="4"/>
        <v>peg12_spdp</v>
      </c>
      <c r="D298" s="9" t="s">
        <v>15</v>
      </c>
      <c r="E298" s="8" t="s">
        <v>904</v>
      </c>
      <c r="F298" s="8" t="s">
        <v>905</v>
      </c>
      <c r="G298" s="8">
        <v>500</v>
      </c>
    </row>
    <row r="299" spans="1:7" x14ac:dyDescent="0.15">
      <c r="A299" s="8" t="s">
        <v>906</v>
      </c>
      <c r="B299" s="8" t="s">
        <v>70</v>
      </c>
      <c r="C299" s="8" t="str">
        <f t="shared" si="4"/>
        <v>peg4_spdp</v>
      </c>
      <c r="D299" s="9" t="s">
        <v>15</v>
      </c>
      <c r="E299" s="8" t="s">
        <v>907</v>
      </c>
      <c r="F299" s="8" t="s">
        <v>908</v>
      </c>
      <c r="G299" s="8">
        <v>500</v>
      </c>
    </row>
    <row r="300" spans="1:7" x14ac:dyDescent="0.15">
      <c r="A300" s="8" t="s">
        <v>909</v>
      </c>
      <c r="B300" s="8" t="s">
        <v>70</v>
      </c>
      <c r="C300" s="8" t="str">
        <f t="shared" si="4"/>
        <v>sdad</v>
      </c>
      <c r="D300" s="9" t="s">
        <v>15</v>
      </c>
      <c r="E300" s="8" t="s">
        <v>910</v>
      </c>
      <c r="F300" s="8" t="s">
        <v>911</v>
      </c>
      <c r="G300" s="8">
        <v>500</v>
      </c>
    </row>
    <row r="301" spans="1:7" x14ac:dyDescent="0.15">
      <c r="A301" s="8" t="s">
        <v>912</v>
      </c>
      <c r="B301" s="8" t="s">
        <v>70</v>
      </c>
      <c r="C301" s="8" t="str">
        <f t="shared" si="4"/>
        <v>smcc</v>
      </c>
      <c r="D301" s="9" t="s">
        <v>15</v>
      </c>
      <c r="E301" s="8" t="s">
        <v>913</v>
      </c>
      <c r="F301" s="8" t="s">
        <v>914</v>
      </c>
      <c r="G301" s="8">
        <v>500</v>
      </c>
    </row>
    <row r="302" spans="1:7" x14ac:dyDescent="0.15">
      <c r="A302" s="8" t="s">
        <v>915</v>
      </c>
      <c r="B302" s="8" t="s">
        <v>70</v>
      </c>
      <c r="C302" s="8" t="str">
        <f t="shared" si="4"/>
        <v>smpt</v>
      </c>
      <c r="D302" s="9" t="s">
        <v>15</v>
      </c>
      <c r="E302" s="8" t="s">
        <v>916</v>
      </c>
      <c r="F302" s="8" t="s">
        <v>917</v>
      </c>
      <c r="G302" s="8">
        <v>500</v>
      </c>
    </row>
    <row r="303" spans="1:7" x14ac:dyDescent="0.15">
      <c r="A303" s="8" t="s">
        <v>918</v>
      </c>
      <c r="B303" s="8" t="s">
        <v>70</v>
      </c>
      <c r="C303" s="8" t="str">
        <f t="shared" si="4"/>
        <v>spdp</v>
      </c>
      <c r="D303" s="9" t="s">
        <v>15</v>
      </c>
      <c r="E303" s="8" t="s">
        <v>919</v>
      </c>
      <c r="F303" s="8" t="s">
        <v>920</v>
      </c>
      <c r="G303" s="8">
        <v>500</v>
      </c>
    </row>
    <row r="304" spans="1:7" x14ac:dyDescent="0.15">
      <c r="A304" s="8" t="s">
        <v>921</v>
      </c>
      <c r="B304" s="8" t="s">
        <v>70</v>
      </c>
      <c r="C304" s="8" t="str">
        <f t="shared" si="4"/>
        <v>sulfo_lc_spdp</v>
      </c>
      <c r="D304" s="9" t="s">
        <v>15</v>
      </c>
      <c r="E304" s="8" t="s">
        <v>922</v>
      </c>
      <c r="F304" s="8" t="s">
        <v>923</v>
      </c>
      <c r="G304" s="8">
        <v>500</v>
      </c>
    </row>
    <row r="305" spans="1:7" x14ac:dyDescent="0.15">
      <c r="A305" s="8" t="s">
        <v>924</v>
      </c>
      <c r="B305" s="8" t="s">
        <v>70</v>
      </c>
      <c r="C305" s="8" t="str">
        <f t="shared" si="4"/>
        <v>sulfo_sanpah</v>
      </c>
      <c r="D305" s="9" t="s">
        <v>15</v>
      </c>
      <c r="E305" s="8" t="s">
        <v>925</v>
      </c>
      <c r="F305" s="8" t="s">
        <v>926</v>
      </c>
      <c r="G305" s="8">
        <v>500</v>
      </c>
    </row>
    <row r="306" spans="1:7" x14ac:dyDescent="0.15">
      <c r="A306" s="8" t="s">
        <v>927</v>
      </c>
      <c r="B306" s="8" t="s">
        <v>70</v>
      </c>
      <c r="C306" s="8" t="str">
        <f t="shared" si="4"/>
        <v>sulfo_sdad</v>
      </c>
      <c r="D306" s="9" t="s">
        <v>15</v>
      </c>
      <c r="E306" s="8" t="s">
        <v>928</v>
      </c>
      <c r="F306" s="8" t="s">
        <v>929</v>
      </c>
      <c r="G306" s="8">
        <v>500</v>
      </c>
    </row>
    <row r="307" spans="1:7" x14ac:dyDescent="0.15">
      <c r="A307" s="8" t="s">
        <v>930</v>
      </c>
      <c r="B307" s="8" t="s">
        <v>931</v>
      </c>
      <c r="C307" s="8" t="str">
        <f t="shared" si="4"/>
        <v>database_orf_search</v>
      </c>
      <c r="D307" s="9" t="s">
        <v>15</v>
      </c>
      <c r="E307" s="8" t="s">
        <v>932</v>
      </c>
      <c r="F307" s="8" t="s">
        <v>933</v>
      </c>
      <c r="G307" s="8">
        <v>500</v>
      </c>
    </row>
    <row r="308" spans="1:7" x14ac:dyDescent="0.15">
      <c r="A308" s="8" t="s">
        <v>934</v>
      </c>
      <c r="B308" s="8" t="s">
        <v>931</v>
      </c>
      <c r="C308" s="8" t="str">
        <f t="shared" si="4"/>
        <v>database_search</v>
      </c>
      <c r="D308" s="9" t="s">
        <v>15</v>
      </c>
      <c r="E308" s="8" t="s">
        <v>935</v>
      </c>
      <c r="F308" s="8" t="s">
        <v>936</v>
      </c>
      <c r="G308" s="8">
        <v>500</v>
      </c>
    </row>
    <row r="309" spans="1:7" x14ac:dyDescent="0.15">
      <c r="A309" s="8" t="s">
        <v>937</v>
      </c>
      <c r="B309" s="8" t="s">
        <v>931</v>
      </c>
      <c r="C309" s="8" t="str">
        <f t="shared" si="4"/>
        <v>de_novo</v>
      </c>
      <c r="D309" s="9" t="s">
        <v>15</v>
      </c>
      <c r="E309" s="8" t="s">
        <v>938</v>
      </c>
      <c r="F309" s="8" t="s">
        <v>938</v>
      </c>
      <c r="G309" s="8">
        <v>500</v>
      </c>
    </row>
    <row r="310" spans="1:7" x14ac:dyDescent="0.15">
      <c r="A310" s="8" t="s">
        <v>939</v>
      </c>
      <c r="B310" s="8" t="s">
        <v>73</v>
      </c>
      <c r="C310" s="8" t="str">
        <f t="shared" si="4"/>
        <v>chaps</v>
      </c>
      <c r="D310" s="9" t="s">
        <v>15</v>
      </c>
      <c r="E310" s="8" t="s">
        <v>940</v>
      </c>
      <c r="F310" s="8" t="s">
        <v>941</v>
      </c>
      <c r="G310" s="8">
        <v>500</v>
      </c>
    </row>
    <row r="311" spans="1:7" x14ac:dyDescent="0.15">
      <c r="A311" s="8" t="s">
        <v>942</v>
      </c>
      <c r="B311" s="8" t="s">
        <v>73</v>
      </c>
      <c r="C311" s="8" t="str">
        <f t="shared" si="4"/>
        <v>dmm</v>
      </c>
      <c r="D311" s="9" t="s">
        <v>15</v>
      </c>
      <c r="E311" s="8" t="s">
        <v>943</v>
      </c>
      <c r="F311" s="8" t="s">
        <v>944</v>
      </c>
      <c r="G311" s="8">
        <v>500</v>
      </c>
    </row>
    <row r="312" spans="1:7" x14ac:dyDescent="0.15">
      <c r="A312" s="8" t="s">
        <v>945</v>
      </c>
      <c r="B312" s="8" t="s">
        <v>73</v>
      </c>
      <c r="C312" s="8" t="str">
        <f t="shared" si="4"/>
        <v>np40</v>
      </c>
      <c r="D312" s="9" t="s">
        <v>15</v>
      </c>
      <c r="E312" s="8" t="s">
        <v>946</v>
      </c>
      <c r="F312" s="8" t="s">
        <v>947</v>
      </c>
      <c r="G312" s="8">
        <v>500</v>
      </c>
    </row>
    <row r="313" spans="1:7" x14ac:dyDescent="0.15">
      <c r="A313" s="8" t="s">
        <v>948</v>
      </c>
      <c r="B313" s="8" t="s">
        <v>73</v>
      </c>
      <c r="C313" s="8" t="str">
        <f t="shared" si="4"/>
        <v>og</v>
      </c>
      <c r="D313" s="9" t="s">
        <v>15</v>
      </c>
      <c r="E313" s="8" t="s">
        <v>949</v>
      </c>
      <c r="F313" s="8" t="s">
        <v>950</v>
      </c>
      <c r="G313" s="8">
        <v>500</v>
      </c>
    </row>
    <row r="314" spans="1:7" x14ac:dyDescent="0.15">
      <c r="A314" s="8" t="s">
        <v>951</v>
      </c>
      <c r="B314" s="8" t="s">
        <v>73</v>
      </c>
      <c r="C314" s="8" t="str">
        <f t="shared" si="4"/>
        <v>otg</v>
      </c>
      <c r="D314" s="9" t="s">
        <v>15</v>
      </c>
      <c r="E314" s="8" t="s">
        <v>952</v>
      </c>
      <c r="F314" s="8" t="s">
        <v>953</v>
      </c>
      <c r="G314" s="8">
        <v>500</v>
      </c>
    </row>
    <row r="315" spans="1:7" x14ac:dyDescent="0.15">
      <c r="A315" s="8" t="s">
        <v>954</v>
      </c>
      <c r="B315" s="8" t="s">
        <v>73</v>
      </c>
      <c r="C315" s="8" t="str">
        <f t="shared" si="4"/>
        <v>sds</v>
      </c>
      <c r="D315" s="9" t="s">
        <v>15</v>
      </c>
      <c r="E315" s="8" t="s">
        <v>955</v>
      </c>
      <c r="F315" s="8" t="s">
        <v>956</v>
      </c>
      <c r="G315" s="8">
        <v>500</v>
      </c>
    </row>
    <row r="316" spans="1:7" x14ac:dyDescent="0.15">
      <c r="A316" s="8" t="s">
        <v>957</v>
      </c>
      <c r="B316" s="8" t="s">
        <v>73</v>
      </c>
      <c r="C316" s="8" t="str">
        <f t="shared" si="4"/>
        <v>tritonx100</v>
      </c>
      <c r="D316" s="9" t="s">
        <v>15</v>
      </c>
      <c r="E316" s="8" t="s">
        <v>958</v>
      </c>
      <c r="F316" s="8" t="s">
        <v>959</v>
      </c>
      <c r="G316" s="8">
        <v>500</v>
      </c>
    </row>
    <row r="317" spans="1:7" x14ac:dyDescent="0.15">
      <c r="A317" s="8" t="s">
        <v>960</v>
      </c>
      <c r="B317" s="8" t="s">
        <v>73</v>
      </c>
      <c r="C317" s="8" t="str">
        <f t="shared" si="4"/>
        <v>tween20</v>
      </c>
      <c r="D317" s="9" t="s">
        <v>15</v>
      </c>
      <c r="E317" s="8" t="s">
        <v>961</v>
      </c>
      <c r="F317" s="8" t="s">
        <v>962</v>
      </c>
      <c r="G317" s="8">
        <v>500</v>
      </c>
    </row>
    <row r="318" spans="1:7" x14ac:dyDescent="0.15">
      <c r="A318" s="8" t="s">
        <v>963</v>
      </c>
      <c r="B318" s="8" t="s">
        <v>73</v>
      </c>
      <c r="C318" s="8" t="str">
        <f t="shared" si="4"/>
        <v>tween80</v>
      </c>
      <c r="D318" s="9" t="s">
        <v>15</v>
      </c>
      <c r="E318" s="8" t="s">
        <v>964</v>
      </c>
      <c r="F318" s="8" t="s">
        <v>965</v>
      </c>
      <c r="G318" s="8">
        <v>500</v>
      </c>
    </row>
    <row r="319" spans="1:7" x14ac:dyDescent="0.15">
      <c r="A319" s="8">
        <v>1200</v>
      </c>
      <c r="B319" s="8" t="s">
        <v>77</v>
      </c>
      <c r="C319" s="8">
        <f t="shared" si="4"/>
        <v>1200</v>
      </c>
      <c r="D319" s="9" t="s">
        <v>15</v>
      </c>
      <c r="E319" s="8">
        <v>1200</v>
      </c>
      <c r="F319" s="9" t="s">
        <v>15</v>
      </c>
      <c r="G319" s="8">
        <v>500</v>
      </c>
    </row>
    <row r="320" spans="1:7" x14ac:dyDescent="0.15">
      <c r="A320" s="8">
        <v>800</v>
      </c>
      <c r="B320" s="8" t="s">
        <v>77</v>
      </c>
      <c r="C320" s="8">
        <f t="shared" si="4"/>
        <v>800</v>
      </c>
      <c r="D320" s="9" t="s">
        <v>15</v>
      </c>
      <c r="E320" s="8">
        <v>800</v>
      </c>
      <c r="F320" s="9" t="s">
        <v>15</v>
      </c>
      <c r="G320" s="8">
        <v>500</v>
      </c>
    </row>
    <row r="321" spans="1:7" x14ac:dyDescent="0.15">
      <c r="A321" s="8">
        <v>400</v>
      </c>
      <c r="B321" s="8" t="s">
        <v>79</v>
      </c>
      <c r="C321" s="8">
        <f t="shared" si="4"/>
        <v>400</v>
      </c>
      <c r="D321" s="9" t="s">
        <v>15</v>
      </c>
      <c r="E321" s="8">
        <v>400</v>
      </c>
      <c r="F321" s="9" t="s">
        <v>15</v>
      </c>
      <c r="G321" s="8">
        <v>500</v>
      </c>
    </row>
    <row r="322" spans="1:7" x14ac:dyDescent="0.15">
      <c r="A322" s="8">
        <v>30</v>
      </c>
      <c r="B322" s="8" t="s">
        <v>78</v>
      </c>
      <c r="C322" s="8">
        <f t="shared" si="4"/>
        <v>30</v>
      </c>
      <c r="D322" s="9" t="s">
        <v>15</v>
      </c>
      <c r="E322" s="8">
        <v>30</v>
      </c>
      <c r="F322" s="8" t="s">
        <v>966</v>
      </c>
      <c r="G322" s="8">
        <v>500</v>
      </c>
    </row>
    <row r="323" spans="1:7" x14ac:dyDescent="0.15">
      <c r="A323" s="8">
        <v>34</v>
      </c>
      <c r="B323" s="8" t="s">
        <v>78</v>
      </c>
      <c r="C323" s="8">
        <f t="shared" si="4"/>
        <v>34</v>
      </c>
      <c r="D323" s="9" t="s">
        <v>15</v>
      </c>
      <c r="E323" s="8">
        <v>30</v>
      </c>
      <c r="F323" s="8" t="s">
        <v>3128</v>
      </c>
      <c r="G323" s="8">
        <v>500</v>
      </c>
    </row>
    <row r="324" spans="1:7" x14ac:dyDescent="0.15">
      <c r="A324" s="8">
        <v>40</v>
      </c>
      <c r="B324" s="8" t="s">
        <v>78</v>
      </c>
      <c r="C324" s="8">
        <f t="shared" si="4"/>
        <v>40</v>
      </c>
      <c r="D324" s="9" t="s">
        <v>15</v>
      </c>
      <c r="E324" s="8">
        <v>40</v>
      </c>
      <c r="F324" s="8" t="s">
        <v>967</v>
      </c>
      <c r="G324" s="8">
        <v>500</v>
      </c>
    </row>
    <row r="325" spans="1:7" x14ac:dyDescent="0.15">
      <c r="A325" s="8" t="s">
        <v>968</v>
      </c>
      <c r="B325" s="8" t="s">
        <v>25</v>
      </c>
      <c r="C325" s="8" t="str">
        <f t="shared" si="4"/>
        <v>fasp</v>
      </c>
      <c r="D325" s="9" t="s">
        <v>15</v>
      </c>
      <c r="E325" s="8" t="s">
        <v>969</v>
      </c>
      <c r="F325" s="8" t="s">
        <v>970</v>
      </c>
      <c r="G325" s="8">
        <v>500</v>
      </c>
    </row>
    <row r="326" spans="1:7" x14ac:dyDescent="0.15">
      <c r="A326" s="8" t="s">
        <v>971</v>
      </c>
      <c r="B326" s="8" t="s">
        <v>25</v>
      </c>
      <c r="C326" s="8" t="str">
        <f t="shared" ref="C326:C391" si="5">A326</f>
        <v>ingel</v>
      </c>
      <c r="D326" s="9" t="s">
        <v>15</v>
      </c>
      <c r="E326" s="8" t="s">
        <v>972</v>
      </c>
      <c r="F326" s="8" t="s">
        <v>973</v>
      </c>
      <c r="G326" s="8">
        <v>500</v>
      </c>
    </row>
    <row r="327" spans="1:7" x14ac:dyDescent="0.15">
      <c r="A327" s="8" t="s">
        <v>974</v>
      </c>
      <c r="B327" s="8" t="s">
        <v>25</v>
      </c>
      <c r="C327" s="8" t="str">
        <f t="shared" si="5"/>
        <v>insol</v>
      </c>
      <c r="D327" s="9" t="s">
        <v>15</v>
      </c>
      <c r="E327" s="8" t="s">
        <v>975</v>
      </c>
      <c r="F327" s="8" t="s">
        <v>976</v>
      </c>
      <c r="G327" s="8">
        <v>500</v>
      </c>
    </row>
    <row r="328" spans="1:7" x14ac:dyDescent="0.15">
      <c r="A328" s="8" t="s">
        <v>977</v>
      </c>
      <c r="B328" s="8" t="s">
        <v>25</v>
      </c>
      <c r="C328" s="8" t="str">
        <f t="shared" si="5"/>
        <v>sp3</v>
      </c>
      <c r="D328" s="9" t="s">
        <v>15</v>
      </c>
      <c r="E328" s="8" t="s">
        <v>978</v>
      </c>
      <c r="F328" s="8" t="s">
        <v>979</v>
      </c>
      <c r="G328" s="8">
        <v>500</v>
      </c>
    </row>
    <row r="329" spans="1:7" x14ac:dyDescent="0.15">
      <c r="A329" s="8" t="s">
        <v>980</v>
      </c>
      <c r="B329" s="8" t="s">
        <v>81</v>
      </c>
      <c r="C329" s="8" t="str">
        <f t="shared" si="5"/>
        <v>23c</v>
      </c>
      <c r="D329" s="9" t="s">
        <v>15</v>
      </c>
      <c r="E329" s="8" t="s">
        <v>981</v>
      </c>
      <c r="F329" s="8" t="s">
        <v>982</v>
      </c>
      <c r="G329" s="8">
        <v>500</v>
      </c>
    </row>
    <row r="330" spans="1:7" x14ac:dyDescent="0.15">
      <c r="A330" s="8" t="s">
        <v>983</v>
      </c>
      <c r="B330" s="8" t="s">
        <v>81</v>
      </c>
      <c r="C330" s="8" t="str">
        <f t="shared" si="5"/>
        <v>37c</v>
      </c>
      <c r="D330" s="9" t="s">
        <v>15</v>
      </c>
      <c r="E330" s="8" t="s">
        <v>984</v>
      </c>
      <c r="F330" s="8" t="s">
        <v>985</v>
      </c>
      <c r="G330" s="8">
        <v>500</v>
      </c>
    </row>
    <row r="331" spans="1:7" x14ac:dyDescent="0.15">
      <c r="A331" s="8" t="s">
        <v>986</v>
      </c>
      <c r="B331" s="8" t="s">
        <v>82</v>
      </c>
      <c r="C331" s="8" t="str">
        <f t="shared" si="5"/>
        <v>12h</v>
      </c>
      <c r="D331" s="9" t="s">
        <v>15</v>
      </c>
      <c r="E331" s="8" t="s">
        <v>987</v>
      </c>
      <c r="F331" s="8" t="s">
        <v>988</v>
      </c>
      <c r="G331" s="8">
        <v>500</v>
      </c>
    </row>
    <row r="332" spans="1:7" x14ac:dyDescent="0.15">
      <c r="A332" s="8" t="s">
        <v>989</v>
      </c>
      <c r="B332" s="8" t="s">
        <v>82</v>
      </c>
      <c r="C332" s="8" t="str">
        <f t="shared" si="5"/>
        <v>16h</v>
      </c>
      <c r="D332" s="9" t="s">
        <v>15</v>
      </c>
      <c r="E332" s="8" t="s">
        <v>990</v>
      </c>
      <c r="F332" s="8" t="s">
        <v>991</v>
      </c>
      <c r="G332" s="8">
        <v>500</v>
      </c>
    </row>
    <row r="333" spans="1:7" x14ac:dyDescent="0.15">
      <c r="A333" s="8" t="s">
        <v>992</v>
      </c>
      <c r="B333" s="8" t="s">
        <v>82</v>
      </c>
      <c r="C333" s="8" t="str">
        <f t="shared" si="5"/>
        <v>8h</v>
      </c>
      <c r="D333" s="9" t="s">
        <v>15</v>
      </c>
      <c r="E333" s="8" t="s">
        <v>993</v>
      </c>
      <c r="F333" s="8" t="s">
        <v>994</v>
      </c>
      <c r="G333" s="8">
        <v>500</v>
      </c>
    </row>
    <row r="334" spans="1:7" x14ac:dyDescent="0.15">
      <c r="A334" s="8" t="s">
        <v>995</v>
      </c>
      <c r="B334" s="8" t="s">
        <v>83</v>
      </c>
      <c r="C334" s="8" t="str">
        <f t="shared" si="5"/>
        <v>384well_plate</v>
      </c>
      <c r="D334" s="9" t="s">
        <v>15</v>
      </c>
      <c r="E334" s="8" t="s">
        <v>996</v>
      </c>
      <c r="F334" s="8" t="s">
        <v>996</v>
      </c>
      <c r="G334" s="8">
        <v>500</v>
      </c>
    </row>
    <row r="335" spans="1:7" x14ac:dyDescent="0.15">
      <c r="A335" s="8" t="s">
        <v>997</v>
      </c>
      <c r="B335" s="8" t="s">
        <v>83</v>
      </c>
      <c r="C335" s="8" t="str">
        <f t="shared" si="5"/>
        <v>96well_plate</v>
      </c>
      <c r="D335" s="9" t="s">
        <v>15</v>
      </c>
      <c r="E335" s="8" t="s">
        <v>998</v>
      </c>
      <c r="F335" s="8" t="s">
        <v>999</v>
      </c>
      <c r="G335" s="8">
        <v>500</v>
      </c>
    </row>
    <row r="336" spans="1:7" x14ac:dyDescent="0.15">
      <c r="A336" s="8" t="s">
        <v>1000</v>
      </c>
      <c r="B336" s="8" t="s">
        <v>83</v>
      </c>
      <c r="C336" s="8" t="str">
        <f t="shared" si="5"/>
        <v>onefive_ml_tube</v>
      </c>
      <c r="D336" s="9" t="s">
        <v>15</v>
      </c>
      <c r="E336" s="8" t="s">
        <v>1001</v>
      </c>
      <c r="F336" s="8" t="s">
        <v>1002</v>
      </c>
      <c r="G336" s="8">
        <v>500</v>
      </c>
    </row>
    <row r="337" spans="1:7" x14ac:dyDescent="0.15">
      <c r="A337" s="8" t="s">
        <v>1003</v>
      </c>
      <c r="B337" s="8" t="s">
        <v>83</v>
      </c>
      <c r="C337" s="8" t="str">
        <f t="shared" si="5"/>
        <v>pcrstripe</v>
      </c>
      <c r="D337" s="9" t="s">
        <v>15</v>
      </c>
      <c r="E337" s="8" t="s">
        <v>1004</v>
      </c>
      <c r="F337" s="8" t="s">
        <v>1004</v>
      </c>
      <c r="G337" s="8">
        <v>500</v>
      </c>
    </row>
    <row r="338" spans="1:7" x14ac:dyDescent="0.15">
      <c r="A338" s="8" t="s">
        <v>1005</v>
      </c>
      <c r="B338" s="8" t="s">
        <v>83</v>
      </c>
      <c r="C338" s="8" t="str">
        <f t="shared" si="5"/>
        <v>two_ml_tube</v>
      </c>
      <c r="D338" s="9" t="s">
        <v>15</v>
      </c>
      <c r="E338" s="8" t="s">
        <v>1006</v>
      </c>
      <c r="F338" s="8" t="s">
        <v>1007</v>
      </c>
      <c r="G338" s="8">
        <v>500</v>
      </c>
    </row>
    <row r="339" spans="1:7" x14ac:dyDescent="0.15">
      <c r="A339" s="8" t="s">
        <v>1008</v>
      </c>
      <c r="B339" s="8" t="s">
        <v>85</v>
      </c>
      <c r="C339" s="8" t="str">
        <f t="shared" si="5"/>
        <v>als</v>
      </c>
      <c r="D339" s="8" t="s">
        <v>1008</v>
      </c>
      <c r="E339" s="8" t="s">
        <v>1009</v>
      </c>
      <c r="F339" s="8" t="s">
        <v>1010</v>
      </c>
      <c r="G339" s="8">
        <v>500</v>
      </c>
    </row>
    <row r="340" spans="1:7" x14ac:dyDescent="0.15">
      <c r="A340" s="8" t="s">
        <v>1011</v>
      </c>
      <c r="B340" s="8" t="s">
        <v>85</v>
      </c>
      <c r="C340" s="8" t="str">
        <f t="shared" si="5"/>
        <v>alzheimer</v>
      </c>
      <c r="D340" s="8" t="s">
        <v>1011</v>
      </c>
      <c r="E340" s="8" t="s">
        <v>1012</v>
      </c>
      <c r="F340" s="8" t="s">
        <v>1013</v>
      </c>
      <c r="G340" s="8">
        <v>500</v>
      </c>
    </row>
    <row r="341" spans="1:7" x14ac:dyDescent="0.15">
      <c r="A341" s="8" t="s">
        <v>1014</v>
      </c>
      <c r="B341" s="8" t="s">
        <v>85</v>
      </c>
      <c r="C341" s="8" t="str">
        <f t="shared" si="5"/>
        <v>autoimmune</v>
      </c>
      <c r="D341" s="8" t="s">
        <v>1014</v>
      </c>
      <c r="E341" s="8" t="s">
        <v>1015</v>
      </c>
      <c r="F341" s="8" t="s">
        <v>1016</v>
      </c>
      <c r="G341" s="8">
        <v>500</v>
      </c>
    </row>
    <row r="342" spans="1:7" x14ac:dyDescent="0.15">
      <c r="A342" s="8" t="s">
        <v>1017</v>
      </c>
      <c r="B342" s="8" t="s">
        <v>85</v>
      </c>
      <c r="C342" s="8" t="str">
        <f t="shared" si="5"/>
        <v>cancer</v>
      </c>
      <c r="D342" s="8" t="s">
        <v>1017</v>
      </c>
      <c r="E342" s="8" t="s">
        <v>1018</v>
      </c>
      <c r="F342" s="8" t="s">
        <v>1019</v>
      </c>
      <c r="G342" s="8">
        <v>500</v>
      </c>
    </row>
    <row r="343" spans="1:7" x14ac:dyDescent="0.15">
      <c r="A343" s="8" t="s">
        <v>1020</v>
      </c>
      <c r="B343" s="8" t="s">
        <v>85</v>
      </c>
      <c r="C343" s="8" t="str">
        <f t="shared" si="5"/>
        <v>cardiovascular_diseases</v>
      </c>
      <c r="D343" s="8" t="s">
        <v>1021</v>
      </c>
      <c r="E343" s="8" t="s">
        <v>1022</v>
      </c>
      <c r="F343" s="8" t="s">
        <v>1023</v>
      </c>
      <c r="G343" s="8">
        <v>500</v>
      </c>
    </row>
    <row r="344" spans="1:7" x14ac:dyDescent="0.15">
      <c r="A344" s="8" t="s">
        <v>1024</v>
      </c>
      <c r="B344" s="8" t="s">
        <v>85</v>
      </c>
      <c r="C344" s="8" t="str">
        <f t="shared" si="5"/>
        <v>chronic_inflammation</v>
      </c>
      <c r="D344" s="8" t="s">
        <v>1025</v>
      </c>
      <c r="E344" s="8" t="s">
        <v>1026</v>
      </c>
      <c r="F344" s="8" t="s">
        <v>1027</v>
      </c>
      <c r="G344" s="8">
        <v>500</v>
      </c>
    </row>
    <row r="345" spans="1:7" x14ac:dyDescent="0.15">
      <c r="A345" s="8" t="s">
        <v>1028</v>
      </c>
      <c r="B345" s="8" t="s">
        <v>85</v>
      </c>
      <c r="C345" s="8" t="str">
        <f t="shared" si="5"/>
        <v>coeliac</v>
      </c>
      <c r="D345" s="8" t="s">
        <v>1028</v>
      </c>
      <c r="E345" s="8" t="s">
        <v>1029</v>
      </c>
      <c r="F345" s="8" t="s">
        <v>1030</v>
      </c>
      <c r="G345" s="8">
        <v>500</v>
      </c>
    </row>
    <row r="346" spans="1:7" x14ac:dyDescent="0.15">
      <c r="A346" s="8" t="s">
        <v>1031</v>
      </c>
      <c r="B346" s="8" t="s">
        <v>85</v>
      </c>
      <c r="C346" s="8" t="str">
        <f t="shared" si="5"/>
        <v>covid19</v>
      </c>
      <c r="D346" s="8" t="s">
        <v>1031</v>
      </c>
      <c r="E346" s="8" t="s">
        <v>1032</v>
      </c>
      <c r="F346" s="8" t="s">
        <v>1033</v>
      </c>
      <c r="G346" s="8">
        <v>500</v>
      </c>
    </row>
    <row r="347" spans="1:7" x14ac:dyDescent="0.15">
      <c r="A347" s="8" t="s">
        <v>1034</v>
      </c>
      <c r="B347" s="8" t="s">
        <v>85</v>
      </c>
      <c r="C347" s="8" t="str">
        <f t="shared" si="5"/>
        <v>dementia</v>
      </c>
      <c r="D347" s="8" t="s">
        <v>1034</v>
      </c>
      <c r="E347" s="8" t="s">
        <v>1035</v>
      </c>
      <c r="F347" s="8" t="s">
        <v>1035</v>
      </c>
      <c r="G347" s="8">
        <v>500</v>
      </c>
    </row>
    <row r="348" spans="1:7" x14ac:dyDescent="0.15">
      <c r="A348" s="8" t="s">
        <v>1036</v>
      </c>
      <c r="B348" s="8" t="s">
        <v>85</v>
      </c>
      <c r="C348" s="8" t="str">
        <f t="shared" si="5"/>
        <v>demyelinating</v>
      </c>
      <c r="D348" s="8" t="s">
        <v>1036</v>
      </c>
      <c r="E348" s="8" t="s">
        <v>1037</v>
      </c>
      <c r="F348" s="8" t="s">
        <v>1038</v>
      </c>
      <c r="G348" s="8">
        <v>500</v>
      </c>
    </row>
    <row r="349" spans="1:7" x14ac:dyDescent="0.15">
      <c r="A349" s="8" t="s">
        <v>1039</v>
      </c>
      <c r="B349" s="8" t="s">
        <v>85</v>
      </c>
      <c r="C349" s="8" t="str">
        <f t="shared" si="5"/>
        <v>diabetes</v>
      </c>
      <c r="D349" s="8" t="s">
        <v>1039</v>
      </c>
      <c r="E349" s="8" t="s">
        <v>1040</v>
      </c>
      <c r="F349" s="8" t="s">
        <v>1040</v>
      </c>
      <c r="G349" s="8">
        <v>500</v>
      </c>
    </row>
    <row r="350" spans="1:7" x14ac:dyDescent="0.15">
      <c r="A350" s="8" t="s">
        <v>1041</v>
      </c>
      <c r="B350" s="8" t="s">
        <v>85</v>
      </c>
      <c r="C350" s="8" t="str">
        <f t="shared" si="5"/>
        <v>glioblastoma</v>
      </c>
      <c r="D350" s="8" t="s">
        <v>1041</v>
      </c>
      <c r="E350" s="8" t="s">
        <v>1042</v>
      </c>
      <c r="F350" s="8" t="s">
        <v>1043</v>
      </c>
      <c r="G350" s="8">
        <v>500</v>
      </c>
    </row>
    <row r="351" spans="1:7" x14ac:dyDescent="0.15">
      <c r="A351" s="8" t="s">
        <v>1044</v>
      </c>
      <c r="B351" s="8" t="s">
        <v>85</v>
      </c>
      <c r="C351" s="8" t="str">
        <f t="shared" si="5"/>
        <v>hiv</v>
      </c>
      <c r="D351" s="8" t="s">
        <v>1044</v>
      </c>
      <c r="E351" s="8" t="s">
        <v>1045</v>
      </c>
      <c r="F351" s="8" t="s">
        <v>1046</v>
      </c>
      <c r="G351" s="8">
        <v>500</v>
      </c>
    </row>
    <row r="352" spans="1:7" x14ac:dyDescent="0.15">
      <c r="A352" s="8" t="s">
        <v>1047</v>
      </c>
      <c r="B352" s="8" t="s">
        <v>85</v>
      </c>
      <c r="C352" s="8" t="str">
        <f t="shared" si="5"/>
        <v>huntington</v>
      </c>
      <c r="D352" s="8" t="s">
        <v>1047</v>
      </c>
      <c r="E352" s="8" t="s">
        <v>1048</v>
      </c>
      <c r="F352" s="8" t="s">
        <v>1049</v>
      </c>
      <c r="G352" s="8">
        <v>500</v>
      </c>
    </row>
    <row r="353" spans="1:7" x14ac:dyDescent="0.15">
      <c r="A353" s="8" t="s">
        <v>1050</v>
      </c>
      <c r="B353" s="8" t="s">
        <v>85</v>
      </c>
      <c r="C353" s="8" t="str">
        <f t="shared" si="5"/>
        <v>ibd</v>
      </c>
      <c r="D353" s="8" t="s">
        <v>1050</v>
      </c>
      <c r="E353" s="8" t="s">
        <v>1051</v>
      </c>
      <c r="F353" s="8" t="s">
        <v>1052</v>
      </c>
      <c r="G353" s="8">
        <v>500</v>
      </c>
    </row>
    <row r="354" spans="1:7" x14ac:dyDescent="0.15">
      <c r="A354" s="8" t="s">
        <v>1053</v>
      </c>
      <c r="B354" s="8" t="s">
        <v>85</v>
      </c>
      <c r="C354" s="8" t="str">
        <f t="shared" si="5"/>
        <v>infection</v>
      </c>
      <c r="D354" s="8" t="s">
        <v>1053</v>
      </c>
      <c r="E354" s="8" t="s">
        <v>1054</v>
      </c>
      <c r="F354" s="8" t="s">
        <v>1055</v>
      </c>
      <c r="G354" s="8">
        <v>500</v>
      </c>
    </row>
    <row r="355" spans="1:7" x14ac:dyDescent="0.15">
      <c r="A355" s="8" t="s">
        <v>1056</v>
      </c>
      <c r="B355" s="8" t="s">
        <v>85</v>
      </c>
      <c r="C355" s="8" t="str">
        <f t="shared" si="5"/>
        <v>influenza</v>
      </c>
      <c r="D355" s="8" t="s">
        <v>1056</v>
      </c>
      <c r="E355" s="8" t="s">
        <v>1057</v>
      </c>
      <c r="F355" s="8" t="s">
        <v>1058</v>
      </c>
      <c r="G355" s="8">
        <v>500</v>
      </c>
    </row>
    <row r="356" spans="1:7" x14ac:dyDescent="0.15">
      <c r="A356" s="8" t="s">
        <v>1059</v>
      </c>
      <c r="B356" s="8" t="s">
        <v>85</v>
      </c>
      <c r="C356" s="8" t="str">
        <f t="shared" si="5"/>
        <v>leukemia</v>
      </c>
      <c r="D356" s="8" t="s">
        <v>1059</v>
      </c>
      <c r="E356" s="8" t="s">
        <v>572</v>
      </c>
      <c r="F356" s="8" t="s">
        <v>1060</v>
      </c>
      <c r="G356" s="8">
        <v>500</v>
      </c>
    </row>
    <row r="357" spans="1:7" x14ac:dyDescent="0.15">
      <c r="A357" s="8" t="s">
        <v>1061</v>
      </c>
      <c r="B357" s="8" t="s">
        <v>85</v>
      </c>
      <c r="C357" s="8" t="str">
        <f t="shared" si="5"/>
        <v>lymphoma</v>
      </c>
      <c r="D357" s="8" t="s">
        <v>1061</v>
      </c>
      <c r="E357" s="8" t="s">
        <v>1062</v>
      </c>
      <c r="F357" s="8" t="s">
        <v>1063</v>
      </c>
      <c r="G357" s="8">
        <v>500</v>
      </c>
    </row>
    <row r="358" spans="1:7" x14ac:dyDescent="0.15">
      <c r="A358" s="8" t="s">
        <v>1064</v>
      </c>
      <c r="B358" s="8" t="s">
        <v>85</v>
      </c>
      <c r="C358" s="8" t="str">
        <f t="shared" si="5"/>
        <v>malaria</v>
      </c>
      <c r="D358" s="8" t="s">
        <v>1064</v>
      </c>
      <c r="E358" s="8" t="s">
        <v>1065</v>
      </c>
      <c r="F358" s="8" t="s">
        <v>1066</v>
      </c>
      <c r="G358" s="8">
        <v>500</v>
      </c>
    </row>
    <row r="359" spans="1:7" x14ac:dyDescent="0.15">
      <c r="A359" s="8" t="s">
        <v>23</v>
      </c>
      <c r="B359" s="8" t="s">
        <v>85</v>
      </c>
      <c r="C359" s="8" t="str">
        <f t="shared" si="5"/>
        <v>ms</v>
      </c>
      <c r="D359" s="8" t="s">
        <v>23</v>
      </c>
      <c r="E359" s="8" t="s">
        <v>1067</v>
      </c>
      <c r="F359" s="8" t="s">
        <v>1068</v>
      </c>
      <c r="G359" s="8">
        <v>500</v>
      </c>
    </row>
    <row r="360" spans="1:7" x14ac:dyDescent="0.15">
      <c r="A360" s="8" t="s">
        <v>1069</v>
      </c>
      <c r="B360" s="8" t="s">
        <v>85</v>
      </c>
      <c r="C360" s="8" t="str">
        <f t="shared" si="5"/>
        <v>msa</v>
      </c>
      <c r="D360" s="8" t="s">
        <v>1069</v>
      </c>
      <c r="E360" s="8" t="s">
        <v>1070</v>
      </c>
      <c r="F360" s="8" t="s">
        <v>1071</v>
      </c>
      <c r="G360" s="8">
        <v>500</v>
      </c>
    </row>
    <row r="361" spans="1:7" x14ac:dyDescent="0.15">
      <c r="A361" s="8" t="s">
        <v>1072</v>
      </c>
      <c r="B361" s="8" t="s">
        <v>85</v>
      </c>
      <c r="C361" s="8" t="str">
        <f t="shared" si="5"/>
        <v>neurodegenerative</v>
      </c>
      <c r="D361" s="8" t="s">
        <v>1072</v>
      </c>
      <c r="E361" s="8" t="s">
        <v>1073</v>
      </c>
      <c r="F361" s="8" t="s">
        <v>1074</v>
      </c>
      <c r="G361" s="8">
        <v>500</v>
      </c>
    </row>
    <row r="362" spans="1:7" x14ac:dyDescent="0.15">
      <c r="A362" s="8" t="s">
        <v>1075</v>
      </c>
      <c r="B362" s="8" t="s">
        <v>85</v>
      </c>
      <c r="C362" s="8" t="str">
        <f t="shared" si="5"/>
        <v>parkinson</v>
      </c>
      <c r="D362" s="8" t="s">
        <v>1075</v>
      </c>
      <c r="E362" s="8" t="s">
        <v>1076</v>
      </c>
      <c r="F362" s="8" t="s">
        <v>1077</v>
      </c>
      <c r="G362" s="8">
        <v>500</v>
      </c>
    </row>
    <row r="363" spans="1:7" x14ac:dyDescent="0.15">
      <c r="A363" s="8" t="s">
        <v>1078</v>
      </c>
      <c r="B363" s="8" t="s">
        <v>85</v>
      </c>
      <c r="C363" s="8" t="str">
        <f t="shared" si="5"/>
        <v>prion</v>
      </c>
      <c r="D363" s="8" t="s">
        <v>1078</v>
      </c>
      <c r="E363" s="8" t="s">
        <v>1079</v>
      </c>
      <c r="F363" s="8" t="s">
        <v>1080</v>
      </c>
      <c r="G363" s="8">
        <v>500</v>
      </c>
    </row>
    <row r="364" spans="1:7" x14ac:dyDescent="0.15">
      <c r="A364" s="8" t="s">
        <v>1081</v>
      </c>
      <c r="B364" s="8" t="s">
        <v>85</v>
      </c>
      <c r="C364" s="8" t="str">
        <f t="shared" si="5"/>
        <v>rheumatoid</v>
      </c>
      <c r="D364" s="8" t="s">
        <v>1081</v>
      </c>
      <c r="E364" s="8" t="s">
        <v>1082</v>
      </c>
      <c r="F364" s="8" t="s">
        <v>1083</v>
      </c>
      <c r="G364" s="8">
        <v>500</v>
      </c>
    </row>
    <row r="365" spans="1:7" x14ac:dyDescent="0.15">
      <c r="A365" s="8" t="s">
        <v>1084</v>
      </c>
      <c r="B365" s="8" t="s">
        <v>85</v>
      </c>
      <c r="C365" s="8" t="str">
        <f t="shared" si="5"/>
        <v>stress</v>
      </c>
      <c r="D365" s="8" t="s">
        <v>1084</v>
      </c>
      <c r="E365" s="8" t="s">
        <v>1085</v>
      </c>
      <c r="F365" s="8" t="s">
        <v>1086</v>
      </c>
      <c r="G365" s="8">
        <v>500</v>
      </c>
    </row>
    <row r="366" spans="1:7" x14ac:dyDescent="0.15">
      <c r="A366" s="8" t="s">
        <v>1087</v>
      </c>
      <c r="B366" s="8" t="s">
        <v>85</v>
      </c>
      <c r="C366" s="8" t="str">
        <f t="shared" si="5"/>
        <v>stroke</v>
      </c>
      <c r="D366" s="8" t="s">
        <v>1087</v>
      </c>
      <c r="E366" s="8" t="s">
        <v>1088</v>
      </c>
      <c r="F366" s="8" t="s">
        <v>1089</v>
      </c>
      <c r="G366" s="8">
        <v>500</v>
      </c>
    </row>
    <row r="367" spans="1:7" x14ac:dyDescent="0.15">
      <c r="A367" s="8" t="s">
        <v>1090</v>
      </c>
      <c r="B367" s="8" t="s">
        <v>85</v>
      </c>
      <c r="C367" s="8" t="str">
        <f t="shared" si="5"/>
        <v>tuberculosis</v>
      </c>
      <c r="D367" s="8" t="s">
        <v>1090</v>
      </c>
      <c r="E367" s="8" t="s">
        <v>1091</v>
      </c>
      <c r="F367" s="8" t="s">
        <v>1092</v>
      </c>
      <c r="G367" s="8">
        <v>500</v>
      </c>
    </row>
    <row r="368" spans="1:7" x14ac:dyDescent="0.15">
      <c r="A368" s="8" t="s">
        <v>1093</v>
      </c>
      <c r="B368" s="8" t="s">
        <v>87</v>
      </c>
      <c r="C368" s="8" t="str">
        <f t="shared" si="5"/>
        <v>hypoxia</v>
      </c>
      <c r="D368" s="8" t="s">
        <v>1093</v>
      </c>
      <c r="E368" s="8" t="s">
        <v>1094</v>
      </c>
      <c r="F368" s="8" t="s">
        <v>1095</v>
      </c>
      <c r="G368" s="8">
        <v>500</v>
      </c>
    </row>
    <row r="369" spans="1:7" x14ac:dyDescent="0.15">
      <c r="A369" s="8" t="s">
        <v>1096</v>
      </c>
      <c r="B369" s="8" t="s">
        <v>87</v>
      </c>
      <c r="C369" s="8" t="str">
        <f t="shared" si="5"/>
        <v>normoxia</v>
      </c>
      <c r="D369" s="8" t="s">
        <v>1096</v>
      </c>
      <c r="E369" s="8" t="s">
        <v>1097</v>
      </c>
      <c r="F369" s="8" t="s">
        <v>1098</v>
      </c>
      <c r="G369" s="8">
        <v>500</v>
      </c>
    </row>
    <row r="370" spans="1:7" x14ac:dyDescent="0.15">
      <c r="A370" s="8" t="s">
        <v>1099</v>
      </c>
      <c r="B370" s="8" t="s">
        <v>89</v>
      </c>
      <c r="C370" s="8" t="str">
        <f t="shared" si="5"/>
        <v>acetylome</v>
      </c>
      <c r="D370" s="8" t="s">
        <v>1099</v>
      </c>
      <c r="E370" s="8" t="s">
        <v>1100</v>
      </c>
      <c r="F370" s="8" t="s">
        <v>1100</v>
      </c>
      <c r="G370" s="8">
        <v>500</v>
      </c>
    </row>
    <row r="371" spans="1:7" x14ac:dyDescent="0.15">
      <c r="A371" s="8" t="s">
        <v>1101</v>
      </c>
      <c r="B371" s="8" t="s">
        <v>89</v>
      </c>
      <c r="C371" s="8" t="str">
        <f t="shared" si="5"/>
        <v>dvp</v>
      </c>
      <c r="D371" s="8" t="s">
        <v>1101</v>
      </c>
      <c r="E371" s="8" t="s">
        <v>1102</v>
      </c>
      <c r="F371" s="8" t="s">
        <v>1103</v>
      </c>
      <c r="G371" s="8">
        <v>500</v>
      </c>
    </row>
    <row r="372" spans="1:7" x14ac:dyDescent="0.15">
      <c r="A372" s="8" t="s">
        <v>1104</v>
      </c>
      <c r="B372" s="8" t="s">
        <v>89</v>
      </c>
      <c r="C372" s="8" t="str">
        <f t="shared" si="5"/>
        <v>expression_proteome</v>
      </c>
      <c r="D372" s="8" t="s">
        <v>1105</v>
      </c>
      <c r="E372" s="8" t="s">
        <v>1106</v>
      </c>
      <c r="F372" s="8" t="s">
        <v>4157</v>
      </c>
      <c r="G372" s="8">
        <v>500</v>
      </c>
    </row>
    <row r="373" spans="1:7" x14ac:dyDescent="0.15">
      <c r="A373" s="8" t="s">
        <v>3123</v>
      </c>
      <c r="B373" s="8" t="s">
        <v>89</v>
      </c>
      <c r="C373" s="8" t="str">
        <f t="shared" si="5"/>
        <v>proximity</v>
      </c>
      <c r="D373" s="8" t="s">
        <v>3124</v>
      </c>
      <c r="E373" s="8" t="s">
        <v>3125</v>
      </c>
      <c r="F373" s="8" t="s">
        <v>3126</v>
      </c>
      <c r="G373" s="8">
        <v>500</v>
      </c>
    </row>
    <row r="374" spans="1:7" x14ac:dyDescent="0.15">
      <c r="A374" s="8" t="s">
        <v>1107</v>
      </c>
      <c r="B374" s="8" t="s">
        <v>89</v>
      </c>
      <c r="C374" s="8" t="str">
        <f t="shared" si="5"/>
        <v>interaction</v>
      </c>
      <c r="D374" s="8" t="s">
        <v>1107</v>
      </c>
      <c r="E374" s="8" t="s">
        <v>1108</v>
      </c>
      <c r="F374" s="8" t="s">
        <v>1108</v>
      </c>
      <c r="G374" s="8">
        <v>500</v>
      </c>
    </row>
    <row r="375" spans="1:7" x14ac:dyDescent="0.15">
      <c r="A375" s="8" t="s">
        <v>1109</v>
      </c>
      <c r="B375" s="8" t="s">
        <v>89</v>
      </c>
      <c r="C375" s="8" t="str">
        <f t="shared" si="5"/>
        <v>metrs</v>
      </c>
      <c r="D375" s="8" t="s">
        <v>1109</v>
      </c>
      <c r="E375" s="8" t="s">
        <v>1110</v>
      </c>
      <c r="F375" s="8" t="s">
        <v>1110</v>
      </c>
      <c r="G375" s="8">
        <v>500</v>
      </c>
    </row>
    <row r="376" spans="1:7" x14ac:dyDescent="0.15">
      <c r="A376" s="8" t="s">
        <v>1111</v>
      </c>
      <c r="B376" s="8" t="s">
        <v>89</v>
      </c>
      <c r="C376" s="8" t="str">
        <f t="shared" si="5"/>
        <v>neo_nterm_enrichment</v>
      </c>
      <c r="D376" s="8" t="s">
        <v>1112</v>
      </c>
      <c r="E376" s="8" t="s">
        <v>1113</v>
      </c>
      <c r="F376" s="8" t="s">
        <v>1113</v>
      </c>
      <c r="G376" s="8">
        <v>500</v>
      </c>
    </row>
    <row r="377" spans="1:7" x14ac:dyDescent="0.15">
      <c r="A377" s="8" t="s">
        <v>1114</v>
      </c>
      <c r="B377" s="8" t="s">
        <v>89</v>
      </c>
      <c r="C377" s="8" t="str">
        <f t="shared" si="5"/>
        <v>oxinome</v>
      </c>
      <c r="D377" s="8" t="s">
        <v>1114</v>
      </c>
      <c r="E377" s="8" t="s">
        <v>1115</v>
      </c>
      <c r="F377" s="8" t="s">
        <v>1115</v>
      </c>
      <c r="G377" s="8">
        <v>500</v>
      </c>
    </row>
    <row r="378" spans="1:7" x14ac:dyDescent="0.15">
      <c r="A378" s="8" t="s">
        <v>1116</v>
      </c>
      <c r="B378" s="8" t="s">
        <v>89</v>
      </c>
      <c r="C378" s="8" t="str">
        <f t="shared" si="5"/>
        <v>phosphoproteome</v>
      </c>
      <c r="D378" s="8" t="s">
        <v>1116</v>
      </c>
      <c r="E378" s="8" t="s">
        <v>1117</v>
      </c>
      <c r="F378" s="8" t="s">
        <v>1117</v>
      </c>
      <c r="G378" s="8">
        <v>500</v>
      </c>
    </row>
    <row r="379" spans="1:7" x14ac:dyDescent="0.15">
      <c r="A379" s="8" t="s">
        <v>1118</v>
      </c>
      <c r="B379" s="8" t="s">
        <v>89</v>
      </c>
      <c r="C379" s="8" t="str">
        <f t="shared" si="5"/>
        <v>pulse_silac</v>
      </c>
      <c r="D379" s="8" t="s">
        <v>1118</v>
      </c>
      <c r="E379" s="8" t="s">
        <v>1119</v>
      </c>
      <c r="F379" s="8" t="s">
        <v>1119</v>
      </c>
      <c r="G379" s="8">
        <v>500</v>
      </c>
    </row>
    <row r="380" spans="1:7" x14ac:dyDescent="0.15">
      <c r="A380" s="8" t="s">
        <v>1120</v>
      </c>
      <c r="B380" s="8" t="s">
        <v>89</v>
      </c>
      <c r="C380" s="8" t="str">
        <f t="shared" si="5"/>
        <v>secretome</v>
      </c>
      <c r="D380" s="8" t="s">
        <v>1120</v>
      </c>
      <c r="E380" s="8" t="s">
        <v>1121</v>
      </c>
      <c r="F380" s="8" t="s">
        <v>1121</v>
      </c>
      <c r="G380" s="8">
        <v>500</v>
      </c>
    </row>
    <row r="381" spans="1:7" x14ac:dyDescent="0.15">
      <c r="A381" s="8" t="s">
        <v>1122</v>
      </c>
      <c r="B381" s="8" t="s">
        <v>89</v>
      </c>
      <c r="C381" s="8" t="str">
        <f t="shared" si="5"/>
        <v>spatial</v>
      </c>
      <c r="D381" s="8" t="s">
        <v>1122</v>
      </c>
      <c r="E381" s="8" t="s">
        <v>1123</v>
      </c>
      <c r="F381" s="8" t="s">
        <v>1123</v>
      </c>
      <c r="G381" s="8">
        <v>500</v>
      </c>
    </row>
    <row r="382" spans="1:7" x14ac:dyDescent="0.15">
      <c r="A382" s="8" t="s">
        <v>1124</v>
      </c>
      <c r="B382" s="8" t="s">
        <v>89</v>
      </c>
      <c r="C382" s="8" t="str">
        <f t="shared" si="5"/>
        <v>ubiquitinome</v>
      </c>
      <c r="D382" s="8" t="s">
        <v>1124</v>
      </c>
      <c r="E382" s="8" t="s">
        <v>1125</v>
      </c>
      <c r="F382" s="8" t="s">
        <v>1125</v>
      </c>
      <c r="G382" s="8">
        <v>500</v>
      </c>
    </row>
    <row r="383" spans="1:7" x14ac:dyDescent="0.15">
      <c r="A383" s="8" t="s">
        <v>3106</v>
      </c>
      <c r="B383" s="8" t="s">
        <v>89</v>
      </c>
      <c r="C383" s="8" t="str">
        <f t="shared" si="5"/>
        <v>solub</v>
      </c>
      <c r="D383" s="8" t="s">
        <v>3107</v>
      </c>
      <c r="E383" s="8" t="s">
        <v>3108</v>
      </c>
      <c r="F383" s="8" t="s">
        <v>3109</v>
      </c>
      <c r="G383" s="8">
        <v>500</v>
      </c>
    </row>
    <row r="384" spans="1:7" x14ac:dyDescent="0.15">
      <c r="A384" s="8" t="s">
        <v>3203</v>
      </c>
      <c r="B384" s="8" t="s">
        <v>89</v>
      </c>
      <c r="C384" s="8" t="str">
        <f t="shared" si="5"/>
        <v>pisa</v>
      </c>
      <c r="D384" s="8" t="s">
        <v>3204</v>
      </c>
      <c r="E384" s="8" t="s">
        <v>3205</v>
      </c>
      <c r="F384" s="8" t="s">
        <v>3206</v>
      </c>
      <c r="G384" s="8">
        <v>500</v>
      </c>
    </row>
    <row r="385" spans="1:7" x14ac:dyDescent="0.15">
      <c r="A385" s="8" t="s">
        <v>3209</v>
      </c>
      <c r="B385" s="8" t="s">
        <v>3207</v>
      </c>
      <c r="C385" s="8" t="s">
        <v>3203</v>
      </c>
      <c r="D385" s="8" t="s">
        <v>3203</v>
      </c>
      <c r="E385" s="8" t="s">
        <v>3208</v>
      </c>
      <c r="F385" s="8" t="s">
        <v>3210</v>
      </c>
      <c r="G385" s="8">
        <v>500</v>
      </c>
    </row>
    <row r="386" spans="1:7" x14ac:dyDescent="0.15">
      <c r="A386" s="8" t="s">
        <v>1126</v>
      </c>
      <c r="B386" s="8" t="s">
        <v>95</v>
      </c>
      <c r="C386" s="8" t="str">
        <f t="shared" si="5"/>
        <v>100c</v>
      </c>
      <c r="D386" s="9" t="s">
        <v>15</v>
      </c>
      <c r="E386" s="8">
        <v>100</v>
      </c>
      <c r="F386" s="9" t="s">
        <v>15</v>
      </c>
      <c r="G386" s="8">
        <v>500</v>
      </c>
    </row>
    <row r="387" spans="1:7" x14ac:dyDescent="0.15">
      <c r="A387" s="8" t="s">
        <v>1127</v>
      </c>
      <c r="B387" s="8" t="s">
        <v>95</v>
      </c>
      <c r="C387" s="8" t="str">
        <f t="shared" si="5"/>
        <v>95c</v>
      </c>
      <c r="D387" s="9" t="s">
        <v>15</v>
      </c>
      <c r="E387" s="8">
        <v>95</v>
      </c>
      <c r="F387" s="9" t="s">
        <v>15</v>
      </c>
      <c r="G387" s="8">
        <v>500</v>
      </c>
    </row>
    <row r="388" spans="1:7" x14ac:dyDescent="0.15">
      <c r="A388" s="8" t="s">
        <v>1128</v>
      </c>
      <c r="B388" s="8" t="s">
        <v>95</v>
      </c>
      <c r="C388" s="8" t="str">
        <f t="shared" si="5"/>
        <v>96c</v>
      </c>
      <c r="D388" s="9" t="s">
        <v>15</v>
      </c>
      <c r="E388" s="8">
        <v>96</v>
      </c>
      <c r="F388" s="9" t="s">
        <v>15</v>
      </c>
      <c r="G388" s="8">
        <v>500</v>
      </c>
    </row>
    <row r="389" spans="1:7" x14ac:dyDescent="0.15">
      <c r="A389" s="8" t="s">
        <v>1129</v>
      </c>
      <c r="B389" s="8" t="s">
        <v>95</v>
      </c>
      <c r="C389" s="8" t="str">
        <f t="shared" si="5"/>
        <v>97c</v>
      </c>
      <c r="D389" s="9" t="s">
        <v>15</v>
      </c>
      <c r="E389" s="8">
        <v>97</v>
      </c>
      <c r="F389" s="9" t="s">
        <v>15</v>
      </c>
      <c r="G389" s="8">
        <v>500</v>
      </c>
    </row>
    <row r="390" spans="1:7" x14ac:dyDescent="0.15">
      <c r="A390" s="8" t="s">
        <v>1130</v>
      </c>
      <c r="B390" s="8" t="s">
        <v>95</v>
      </c>
      <c r="C390" s="8" t="str">
        <f t="shared" si="5"/>
        <v>98c</v>
      </c>
      <c r="D390" s="9" t="s">
        <v>15</v>
      </c>
      <c r="E390" s="8">
        <v>98</v>
      </c>
      <c r="F390" s="9" t="s">
        <v>15</v>
      </c>
      <c r="G390" s="8">
        <v>500</v>
      </c>
    </row>
    <row r="391" spans="1:7" x14ac:dyDescent="0.15">
      <c r="A391" s="8" t="s">
        <v>1131</v>
      </c>
      <c r="B391" s="8" t="s">
        <v>95</v>
      </c>
      <c r="C391" s="8" t="str">
        <f t="shared" si="5"/>
        <v>99c</v>
      </c>
      <c r="D391" s="9" t="s">
        <v>15</v>
      </c>
      <c r="E391" s="8">
        <v>99</v>
      </c>
      <c r="F391" s="9" t="s">
        <v>15</v>
      </c>
      <c r="G391" s="8">
        <v>500</v>
      </c>
    </row>
    <row r="392" spans="1:7" x14ac:dyDescent="0.15">
      <c r="A392" s="8" t="s">
        <v>1126</v>
      </c>
      <c r="B392" s="8" t="s">
        <v>97</v>
      </c>
      <c r="C392" s="8" t="str">
        <f t="shared" ref="C392:C453" si="6">A392</f>
        <v>100c</v>
      </c>
      <c r="D392" s="9" t="s">
        <v>15</v>
      </c>
      <c r="E392" s="8">
        <v>100</v>
      </c>
      <c r="F392" s="9" t="s">
        <v>15</v>
      </c>
      <c r="G392" s="8">
        <v>500</v>
      </c>
    </row>
    <row r="393" spans="1:7" x14ac:dyDescent="0.15">
      <c r="A393" s="8" t="s">
        <v>1127</v>
      </c>
      <c r="B393" s="8" t="s">
        <v>97</v>
      </c>
      <c r="C393" s="8" t="str">
        <f t="shared" si="6"/>
        <v>95c</v>
      </c>
      <c r="D393" s="9" t="s">
        <v>15</v>
      </c>
      <c r="E393" s="8">
        <v>95</v>
      </c>
      <c r="F393" s="9" t="s">
        <v>15</v>
      </c>
      <c r="G393" s="8">
        <v>500</v>
      </c>
    </row>
    <row r="394" spans="1:7" x14ac:dyDescent="0.15">
      <c r="A394" s="8" t="s">
        <v>1128</v>
      </c>
      <c r="B394" s="8" t="s">
        <v>97</v>
      </c>
      <c r="C394" s="8" t="str">
        <f t="shared" si="6"/>
        <v>96c</v>
      </c>
      <c r="D394" s="9" t="s">
        <v>15</v>
      </c>
      <c r="E394" s="8">
        <v>96</v>
      </c>
      <c r="F394" s="9" t="s">
        <v>15</v>
      </c>
      <c r="G394" s="8">
        <v>500</v>
      </c>
    </row>
    <row r="395" spans="1:7" x14ac:dyDescent="0.15">
      <c r="A395" s="8" t="s">
        <v>1129</v>
      </c>
      <c r="B395" s="8" t="s">
        <v>97</v>
      </c>
      <c r="C395" s="8" t="str">
        <f t="shared" si="6"/>
        <v>97c</v>
      </c>
      <c r="D395" s="9" t="s">
        <v>15</v>
      </c>
      <c r="E395" s="8">
        <v>97</v>
      </c>
      <c r="F395" s="9" t="s">
        <v>15</v>
      </c>
      <c r="G395" s="8">
        <v>500</v>
      </c>
    </row>
    <row r="396" spans="1:7" x14ac:dyDescent="0.15">
      <c r="A396" s="8" t="s">
        <v>1130</v>
      </c>
      <c r="B396" s="8" t="s">
        <v>97</v>
      </c>
      <c r="C396" s="8" t="str">
        <f t="shared" si="6"/>
        <v>98c</v>
      </c>
      <c r="D396" s="9" t="s">
        <v>15</v>
      </c>
      <c r="E396" s="8">
        <v>98</v>
      </c>
      <c r="F396" s="9" t="s">
        <v>15</v>
      </c>
      <c r="G396" s="8">
        <v>500</v>
      </c>
    </row>
    <row r="397" spans="1:7" x14ac:dyDescent="0.15">
      <c r="A397" s="8" t="s">
        <v>1131</v>
      </c>
      <c r="B397" s="8" t="s">
        <v>97</v>
      </c>
      <c r="C397" s="8" t="str">
        <f t="shared" si="6"/>
        <v>99c</v>
      </c>
      <c r="D397" s="9" t="s">
        <v>15</v>
      </c>
      <c r="E397" s="8">
        <v>99</v>
      </c>
      <c r="F397" s="9" t="s">
        <v>15</v>
      </c>
      <c r="G397" s="8">
        <v>500</v>
      </c>
    </row>
    <row r="398" spans="1:7" x14ac:dyDescent="0.15">
      <c r="A398" s="8" t="s">
        <v>1132</v>
      </c>
      <c r="B398" s="8" t="s">
        <v>1133</v>
      </c>
      <c r="C398" s="8" t="str">
        <f t="shared" si="6"/>
        <v>bal</v>
      </c>
      <c r="D398" s="9" t="s">
        <v>15</v>
      </c>
      <c r="E398" s="8" t="s">
        <v>1134</v>
      </c>
      <c r="F398" s="8" t="s">
        <v>1135</v>
      </c>
      <c r="G398" s="8">
        <v>500</v>
      </c>
    </row>
    <row r="399" spans="1:7" x14ac:dyDescent="0.15">
      <c r="A399" s="8" t="s">
        <v>1136</v>
      </c>
      <c r="B399" s="8" t="s">
        <v>1133</v>
      </c>
      <c r="C399" s="8" t="str">
        <f t="shared" si="6"/>
        <v>cerebrospinal</v>
      </c>
      <c r="D399" s="9" t="s">
        <v>15</v>
      </c>
      <c r="E399" s="8" t="s">
        <v>1137</v>
      </c>
      <c r="F399" s="8" t="s">
        <v>1138</v>
      </c>
      <c r="G399" s="8">
        <v>500</v>
      </c>
    </row>
    <row r="400" spans="1:7" x14ac:dyDescent="0.15">
      <c r="A400" s="8" t="s">
        <v>1139</v>
      </c>
      <c r="B400" s="8" t="s">
        <v>1133</v>
      </c>
      <c r="C400" s="8" t="str">
        <f t="shared" si="6"/>
        <v>feces</v>
      </c>
      <c r="D400" s="9" t="s">
        <v>15</v>
      </c>
      <c r="E400" s="8" t="s">
        <v>1140</v>
      </c>
      <c r="F400" s="8" t="s">
        <v>1141</v>
      </c>
      <c r="G400" s="8">
        <v>500</v>
      </c>
    </row>
    <row r="401" spans="1:7" x14ac:dyDescent="0.15">
      <c r="A401" s="8" t="s">
        <v>1142</v>
      </c>
      <c r="B401" s="8" t="s">
        <v>1133</v>
      </c>
      <c r="C401" s="8" t="str">
        <f t="shared" si="6"/>
        <v>interstitial</v>
      </c>
      <c r="D401" s="9" t="s">
        <v>15</v>
      </c>
      <c r="E401" s="8" t="s">
        <v>1143</v>
      </c>
      <c r="F401" s="8" t="s">
        <v>1144</v>
      </c>
      <c r="G401" s="8">
        <v>500</v>
      </c>
    </row>
    <row r="402" spans="1:7" x14ac:dyDescent="0.15">
      <c r="A402" s="8" t="s">
        <v>1145</v>
      </c>
      <c r="B402" s="8" t="s">
        <v>1133</v>
      </c>
      <c r="C402" s="8" t="str">
        <f t="shared" si="6"/>
        <v>lymph</v>
      </c>
      <c r="D402" s="9" t="s">
        <v>15</v>
      </c>
      <c r="E402" s="8" t="s">
        <v>1146</v>
      </c>
      <c r="F402" s="8" t="s">
        <v>1147</v>
      </c>
      <c r="G402" s="8">
        <v>500</v>
      </c>
    </row>
    <row r="403" spans="1:7" x14ac:dyDescent="0.15">
      <c r="A403" s="8" t="s">
        <v>1148</v>
      </c>
      <c r="B403" s="8" t="s">
        <v>1133</v>
      </c>
      <c r="C403" s="8" t="str">
        <f t="shared" si="6"/>
        <v>peritoneal</v>
      </c>
      <c r="D403" s="9" t="s">
        <v>15</v>
      </c>
      <c r="E403" s="8" t="s">
        <v>1149</v>
      </c>
      <c r="F403" s="8" t="s">
        <v>1150</v>
      </c>
      <c r="G403" s="8">
        <v>500</v>
      </c>
    </row>
    <row r="404" spans="1:7" x14ac:dyDescent="0.15">
      <c r="A404" s="8" t="s">
        <v>1151</v>
      </c>
      <c r="B404" s="8" t="s">
        <v>1133</v>
      </c>
      <c r="C404" s="8" t="str">
        <f t="shared" si="6"/>
        <v>plasma</v>
      </c>
      <c r="D404" s="9" t="s">
        <v>15</v>
      </c>
      <c r="E404" s="8" t="s">
        <v>1152</v>
      </c>
      <c r="F404" s="8" t="s">
        <v>1153</v>
      </c>
      <c r="G404" s="8">
        <v>500</v>
      </c>
    </row>
    <row r="405" spans="1:7" x14ac:dyDescent="0.15">
      <c r="A405" s="8" t="s">
        <v>1154</v>
      </c>
      <c r="B405" s="8" t="s">
        <v>1133</v>
      </c>
      <c r="C405" s="8" t="str">
        <f t="shared" si="6"/>
        <v>pleural</v>
      </c>
      <c r="D405" s="9" t="s">
        <v>15</v>
      </c>
      <c r="E405" s="8" t="s">
        <v>1155</v>
      </c>
      <c r="F405" s="8" t="s">
        <v>1156</v>
      </c>
      <c r="G405" s="8">
        <v>500</v>
      </c>
    </row>
    <row r="406" spans="1:7" x14ac:dyDescent="0.15">
      <c r="A406" s="8" t="s">
        <v>1157</v>
      </c>
      <c r="B406" s="8" t="s">
        <v>1133</v>
      </c>
      <c r="C406" s="8" t="str">
        <f t="shared" si="6"/>
        <v>saliva</v>
      </c>
      <c r="D406" s="9" t="s">
        <v>15</v>
      </c>
      <c r="E406" s="8" t="s">
        <v>1158</v>
      </c>
      <c r="F406" s="8" t="s">
        <v>1159</v>
      </c>
      <c r="G406" s="8">
        <v>500</v>
      </c>
    </row>
    <row r="407" spans="1:7" x14ac:dyDescent="0.15">
      <c r="A407" s="8" t="s">
        <v>1160</v>
      </c>
      <c r="B407" s="8" t="s">
        <v>1133</v>
      </c>
      <c r="C407" s="8" t="str">
        <f t="shared" si="6"/>
        <v>seminal</v>
      </c>
      <c r="D407" s="9" t="s">
        <v>15</v>
      </c>
      <c r="E407" s="8" t="s">
        <v>1161</v>
      </c>
      <c r="F407" s="8" t="s">
        <v>1162</v>
      </c>
      <c r="G407" s="8">
        <v>500</v>
      </c>
    </row>
    <row r="408" spans="1:7" x14ac:dyDescent="0.15">
      <c r="A408" s="8" t="s">
        <v>1163</v>
      </c>
      <c r="B408" s="8" t="s">
        <v>1133</v>
      </c>
      <c r="C408" s="8" t="str">
        <f t="shared" si="6"/>
        <v>serum</v>
      </c>
      <c r="D408" s="9" t="s">
        <v>15</v>
      </c>
      <c r="E408" s="8" t="s">
        <v>1164</v>
      </c>
      <c r="F408" s="8" t="s">
        <v>1165</v>
      </c>
      <c r="G408" s="8">
        <v>500</v>
      </c>
    </row>
    <row r="409" spans="1:7" x14ac:dyDescent="0.15">
      <c r="A409" s="8" t="s">
        <v>1166</v>
      </c>
      <c r="B409" s="8" t="s">
        <v>1133</v>
      </c>
      <c r="C409" s="8" t="str">
        <f t="shared" si="6"/>
        <v>urine</v>
      </c>
      <c r="D409" s="9" t="s">
        <v>15</v>
      </c>
      <c r="E409" s="8" t="s">
        <v>1167</v>
      </c>
      <c r="F409" s="8" t="s">
        <v>1168</v>
      </c>
      <c r="G409" s="8">
        <v>500</v>
      </c>
    </row>
    <row r="410" spans="1:7" x14ac:dyDescent="0.15">
      <c r="A410" s="8" t="s">
        <v>1169</v>
      </c>
      <c r="B410" s="8" t="s">
        <v>1170</v>
      </c>
      <c r="C410" s="8" t="str">
        <f t="shared" si="6"/>
        <v>01k</v>
      </c>
      <c r="D410" s="8" t="s">
        <v>1169</v>
      </c>
      <c r="E410" s="8" t="s">
        <v>1169</v>
      </c>
      <c r="F410" s="8" t="s">
        <v>1171</v>
      </c>
      <c r="G410" s="8">
        <v>500</v>
      </c>
    </row>
    <row r="411" spans="1:7" x14ac:dyDescent="0.15">
      <c r="A411" s="8" t="s">
        <v>1172</v>
      </c>
      <c r="B411" s="8" t="s">
        <v>1170</v>
      </c>
      <c r="C411" s="8" t="str">
        <f t="shared" si="6"/>
        <v>05k</v>
      </c>
      <c r="D411" s="8" t="s">
        <v>1172</v>
      </c>
      <c r="E411" s="8" t="s">
        <v>1172</v>
      </c>
      <c r="F411" s="8" t="s">
        <v>1173</v>
      </c>
      <c r="G411" s="8">
        <v>500</v>
      </c>
    </row>
    <row r="412" spans="1:7" x14ac:dyDescent="0.15">
      <c r="A412" s="8" t="s">
        <v>1174</v>
      </c>
      <c r="B412" s="8" t="s">
        <v>1170</v>
      </c>
      <c r="C412" s="8" t="str">
        <f t="shared" si="6"/>
        <v>12k</v>
      </c>
      <c r="D412" s="8" t="s">
        <v>1174</v>
      </c>
      <c r="E412" s="8" t="s">
        <v>1174</v>
      </c>
      <c r="F412" s="8" t="s">
        <v>1175</v>
      </c>
      <c r="G412" s="8">
        <v>500</v>
      </c>
    </row>
    <row r="413" spans="1:7" x14ac:dyDescent="0.15">
      <c r="A413" s="8" t="s">
        <v>1176</v>
      </c>
      <c r="B413" s="8" t="s">
        <v>1170</v>
      </c>
      <c r="C413" s="8" t="str">
        <f t="shared" si="6"/>
        <v>24k</v>
      </c>
      <c r="D413" s="8" t="s">
        <v>1176</v>
      </c>
      <c r="E413" s="8" t="s">
        <v>1176</v>
      </c>
      <c r="F413" s="8" t="s">
        <v>1177</v>
      </c>
      <c r="G413" s="8">
        <v>500</v>
      </c>
    </row>
    <row r="414" spans="1:7" x14ac:dyDescent="0.15">
      <c r="A414" s="8" t="s">
        <v>1178</v>
      </c>
      <c r="B414" s="8" t="s">
        <v>1170</v>
      </c>
      <c r="C414" s="8" t="str">
        <f t="shared" si="6"/>
        <v>79k</v>
      </c>
      <c r="D414" s="8" t="s">
        <v>1178</v>
      </c>
      <c r="E414" s="8" t="s">
        <v>1178</v>
      </c>
      <c r="F414" s="8" t="s">
        <v>1179</v>
      </c>
      <c r="G414" s="8">
        <v>500</v>
      </c>
    </row>
    <row r="415" spans="1:7" x14ac:dyDescent="0.15">
      <c r="A415" s="8" t="s">
        <v>1180</v>
      </c>
      <c r="B415" s="8" t="s">
        <v>1170</v>
      </c>
      <c r="C415" s="8" t="str">
        <f t="shared" si="6"/>
        <v>crude_mito</v>
      </c>
      <c r="D415" s="8" t="s">
        <v>1181</v>
      </c>
      <c r="E415" s="8" t="s">
        <v>1182</v>
      </c>
      <c r="F415" s="8" t="s">
        <v>1183</v>
      </c>
      <c r="G415" s="8">
        <v>500</v>
      </c>
    </row>
    <row r="416" spans="1:7" x14ac:dyDescent="0.15">
      <c r="A416" s="8" t="s">
        <v>1184</v>
      </c>
      <c r="B416" s="8" t="s">
        <v>1170</v>
      </c>
      <c r="C416" s="8" t="str">
        <f t="shared" si="6"/>
        <v>cytosolic</v>
      </c>
      <c r="D416" s="8" t="s">
        <v>1184</v>
      </c>
      <c r="E416" s="8" t="s">
        <v>1185</v>
      </c>
      <c r="F416" s="8" t="s">
        <v>1186</v>
      </c>
      <c r="G416" s="8">
        <v>500</v>
      </c>
    </row>
    <row r="417" spans="1:7" x14ac:dyDescent="0.15">
      <c r="A417" s="8" t="s">
        <v>1187</v>
      </c>
      <c r="B417" s="8" t="s">
        <v>1170</v>
      </c>
      <c r="C417" s="8" t="str">
        <f t="shared" si="6"/>
        <v>total</v>
      </c>
      <c r="D417" s="8" t="s">
        <v>1187</v>
      </c>
      <c r="E417" s="8" t="s">
        <v>1188</v>
      </c>
      <c r="F417" s="8" t="s">
        <v>1189</v>
      </c>
      <c r="G417" s="8">
        <v>500</v>
      </c>
    </row>
    <row r="418" spans="1:7" x14ac:dyDescent="0.15">
      <c r="A418" s="8" t="s">
        <v>3089</v>
      </c>
      <c r="B418" s="8" t="s">
        <v>1170</v>
      </c>
      <c r="C418" s="8" t="str">
        <f t="shared" si="6"/>
        <v>pellet</v>
      </c>
      <c r="D418" s="8" t="s">
        <v>3089</v>
      </c>
      <c r="E418" s="8" t="s">
        <v>3090</v>
      </c>
      <c r="F418" s="8" t="s">
        <v>3092</v>
      </c>
      <c r="G418" s="8">
        <v>500</v>
      </c>
    </row>
    <row r="419" spans="1:7" x14ac:dyDescent="0.15">
      <c r="A419" s="8" t="s">
        <v>2926</v>
      </c>
      <c r="B419" s="8" t="s">
        <v>1170</v>
      </c>
      <c r="C419" s="8" t="str">
        <f t="shared" si="6"/>
        <v>supernatant</v>
      </c>
      <c r="D419" s="8" t="s">
        <v>2926</v>
      </c>
      <c r="E419" s="8" t="s">
        <v>2927</v>
      </c>
      <c r="F419" s="8" t="s">
        <v>3091</v>
      </c>
      <c r="G419" s="8">
        <v>500</v>
      </c>
    </row>
    <row r="420" spans="1:7" x14ac:dyDescent="0.15">
      <c r="A420" s="8" t="s">
        <v>2885</v>
      </c>
      <c r="B420" s="8" t="s">
        <v>104</v>
      </c>
      <c r="C420" s="8" t="str">
        <f t="shared" si="6"/>
        <v>homologrecombination</v>
      </c>
      <c r="D420" s="8" t="s">
        <v>15</v>
      </c>
      <c r="E420" s="8" t="s">
        <v>2886</v>
      </c>
      <c r="F420" s="8" t="s">
        <v>2887</v>
      </c>
      <c r="G420" s="8">
        <v>500</v>
      </c>
    </row>
    <row r="421" spans="1:7" x14ac:dyDescent="0.15">
      <c r="A421" s="8" t="s">
        <v>1190</v>
      </c>
      <c r="B421" s="8" t="s">
        <v>104</v>
      </c>
      <c r="C421" s="8" t="str">
        <f t="shared" si="6"/>
        <v>biggybac</v>
      </c>
      <c r="D421" s="9" t="s">
        <v>15</v>
      </c>
      <c r="E421" s="8" t="s">
        <v>1191</v>
      </c>
      <c r="F421" s="8" t="s">
        <v>1192</v>
      </c>
      <c r="G421" s="8">
        <v>500</v>
      </c>
    </row>
    <row r="422" spans="1:7" x14ac:dyDescent="0.15">
      <c r="A422" s="8" t="s">
        <v>1193</v>
      </c>
      <c r="B422" s="8" t="s">
        <v>104</v>
      </c>
      <c r="C422" s="8" t="str">
        <f t="shared" si="6"/>
        <v>crispr</v>
      </c>
      <c r="D422" s="9" t="s">
        <v>15</v>
      </c>
      <c r="E422" s="8" t="s">
        <v>1194</v>
      </c>
      <c r="F422" s="8" t="s">
        <v>1195</v>
      </c>
      <c r="G422" s="8">
        <v>500</v>
      </c>
    </row>
    <row r="423" spans="1:7" x14ac:dyDescent="0.15">
      <c r="A423" s="8" t="s">
        <v>1196</v>
      </c>
      <c r="B423" s="8" t="s">
        <v>104</v>
      </c>
      <c r="C423" s="8" t="str">
        <f t="shared" si="6"/>
        <v>crispr_hdr</v>
      </c>
      <c r="D423" s="9" t="s">
        <v>15</v>
      </c>
      <c r="E423" s="8" t="s">
        <v>1197</v>
      </c>
      <c r="F423" s="8" t="s">
        <v>1198</v>
      </c>
      <c r="G423" s="8">
        <v>500</v>
      </c>
    </row>
    <row r="424" spans="1:7" x14ac:dyDescent="0.15">
      <c r="A424" s="8" t="s">
        <v>1199</v>
      </c>
      <c r="B424" s="8" t="s">
        <v>104</v>
      </c>
      <c r="C424" s="8" t="str">
        <f t="shared" si="6"/>
        <v>lentiviral</v>
      </c>
      <c r="D424" s="9" t="s">
        <v>15</v>
      </c>
      <c r="E424" s="8" t="s">
        <v>1200</v>
      </c>
      <c r="F424" s="8" t="s">
        <v>1201</v>
      </c>
      <c r="G424" s="8">
        <v>500</v>
      </c>
    </row>
    <row r="425" spans="1:7" x14ac:dyDescent="0.15">
      <c r="A425" s="8" t="s">
        <v>1202</v>
      </c>
      <c r="B425" s="8" t="s">
        <v>104</v>
      </c>
      <c r="C425" s="8" t="str">
        <f t="shared" si="6"/>
        <v>talen</v>
      </c>
      <c r="D425" s="9" t="s">
        <v>15</v>
      </c>
      <c r="E425" s="8" t="s">
        <v>1203</v>
      </c>
      <c r="F425" s="8" t="s">
        <v>1204</v>
      </c>
      <c r="G425" s="8">
        <v>500</v>
      </c>
    </row>
    <row r="426" spans="1:7" x14ac:dyDescent="0.15">
      <c r="A426" s="8" t="s">
        <v>1205</v>
      </c>
      <c r="B426" s="8" t="s">
        <v>104</v>
      </c>
      <c r="C426" s="8" t="str">
        <f t="shared" si="6"/>
        <v>zincfinger</v>
      </c>
      <c r="D426" s="9" t="s">
        <v>15</v>
      </c>
      <c r="E426" s="8" t="s">
        <v>1206</v>
      </c>
      <c r="F426" s="8" t="s">
        <v>1207</v>
      </c>
      <c r="G426" s="8">
        <v>500</v>
      </c>
    </row>
    <row r="427" spans="1:7" x14ac:dyDescent="0.15">
      <c r="A427" s="8" t="s">
        <v>1208</v>
      </c>
      <c r="B427" s="8" t="s">
        <v>108</v>
      </c>
      <c r="C427" s="8" t="str">
        <f t="shared" si="6"/>
        <v>deletion</v>
      </c>
      <c r="D427" s="9" t="s">
        <v>15</v>
      </c>
      <c r="E427" s="8" t="s">
        <v>1209</v>
      </c>
      <c r="F427" s="8" t="s">
        <v>1210</v>
      </c>
      <c r="G427" s="8">
        <v>500</v>
      </c>
    </row>
    <row r="428" spans="1:7" x14ac:dyDescent="0.15">
      <c r="A428" s="8" t="s">
        <v>1211</v>
      </c>
      <c r="B428" s="8" t="s">
        <v>108</v>
      </c>
      <c r="C428" s="8" t="str">
        <f t="shared" si="6"/>
        <v>inducible_expression</v>
      </c>
      <c r="D428" s="9" t="s">
        <v>15</v>
      </c>
      <c r="E428" s="8" t="s">
        <v>1212</v>
      </c>
      <c r="F428" s="8" t="s">
        <v>1213</v>
      </c>
      <c r="G428" s="8">
        <v>500</v>
      </c>
    </row>
    <row r="429" spans="1:7" x14ac:dyDescent="0.15">
      <c r="A429" s="8" t="s">
        <v>1214</v>
      </c>
      <c r="B429" s="8" t="s">
        <v>108</v>
      </c>
      <c r="C429" s="8" t="str">
        <f t="shared" si="6"/>
        <v>knockin</v>
      </c>
      <c r="D429" s="9" t="s">
        <v>15</v>
      </c>
      <c r="E429" s="8" t="s">
        <v>1215</v>
      </c>
      <c r="F429" s="8" t="s">
        <v>1216</v>
      </c>
      <c r="G429" s="8">
        <v>500</v>
      </c>
    </row>
    <row r="430" spans="1:7" x14ac:dyDescent="0.15">
      <c r="A430" s="8" t="s">
        <v>1217</v>
      </c>
      <c r="B430" s="8" t="s">
        <v>108</v>
      </c>
      <c r="C430" s="8" t="str">
        <f t="shared" si="6"/>
        <v>ko</v>
      </c>
      <c r="D430" s="9" t="s">
        <v>15</v>
      </c>
      <c r="E430" s="8" t="s">
        <v>1218</v>
      </c>
      <c r="F430" s="8" t="s">
        <v>1219</v>
      </c>
      <c r="G430" s="8">
        <v>500</v>
      </c>
    </row>
    <row r="431" spans="1:7" x14ac:dyDescent="0.15">
      <c r="A431" s="8" t="s">
        <v>1220</v>
      </c>
      <c r="B431" s="8" t="s">
        <v>108</v>
      </c>
      <c r="C431" s="8" t="str">
        <f t="shared" si="6"/>
        <v>stable_expression</v>
      </c>
      <c r="D431" s="9" t="s">
        <v>15</v>
      </c>
      <c r="E431" s="8" t="s">
        <v>1221</v>
      </c>
      <c r="F431" s="8" t="s">
        <v>1222</v>
      </c>
      <c r="G431" s="8">
        <v>500</v>
      </c>
    </row>
    <row r="432" spans="1:7" x14ac:dyDescent="0.15">
      <c r="A432" s="8" t="s">
        <v>3954</v>
      </c>
      <c r="B432" s="8" t="s">
        <v>105</v>
      </c>
      <c r="C432" s="8" t="str">
        <f t="shared" si="6"/>
        <v>hetero</v>
      </c>
      <c r="D432" s="9" t="s">
        <v>15</v>
      </c>
      <c r="E432" s="8" t="s">
        <v>1223</v>
      </c>
      <c r="F432" s="8" t="s">
        <v>1224</v>
      </c>
      <c r="G432" s="8">
        <v>500</v>
      </c>
    </row>
    <row r="433" spans="1:7" x14ac:dyDescent="0.15">
      <c r="A433" s="8" t="s">
        <v>3955</v>
      </c>
      <c r="B433" s="8" t="s">
        <v>105</v>
      </c>
      <c r="C433" s="8" t="str">
        <f t="shared" si="6"/>
        <v>homozygot</v>
      </c>
      <c r="D433" s="9" t="s">
        <v>15</v>
      </c>
      <c r="E433" s="8" t="s">
        <v>1225</v>
      </c>
      <c r="F433" s="8" t="s">
        <v>1226</v>
      </c>
      <c r="G433" s="8">
        <v>500</v>
      </c>
    </row>
    <row r="434" spans="1:7" x14ac:dyDescent="0.15">
      <c r="A434" s="8" t="s">
        <v>2616</v>
      </c>
      <c r="B434" s="8" t="s">
        <v>105</v>
      </c>
      <c r="C434" s="8" t="str">
        <f t="shared" si="6"/>
        <v>wt</v>
      </c>
      <c r="D434" s="9" t="s">
        <v>15</v>
      </c>
      <c r="E434" s="8" t="s">
        <v>2732</v>
      </c>
      <c r="F434" s="8" t="s">
        <v>2733</v>
      </c>
      <c r="G434" s="8">
        <v>500</v>
      </c>
    </row>
    <row r="435" spans="1:7" x14ac:dyDescent="0.15">
      <c r="A435" s="8" t="s">
        <v>2947</v>
      </c>
      <c r="B435" s="8" t="s">
        <v>105</v>
      </c>
      <c r="C435" s="8" t="str">
        <f t="shared" si="6"/>
        <v>hemi</v>
      </c>
      <c r="D435" s="9" t="s">
        <v>15</v>
      </c>
      <c r="E435" s="8" t="s">
        <v>2948</v>
      </c>
      <c r="F435" s="8" t="s">
        <v>2949</v>
      </c>
      <c r="G435" s="8">
        <v>500</v>
      </c>
    </row>
    <row r="436" spans="1:7" x14ac:dyDescent="0.15">
      <c r="A436" s="8" t="s">
        <v>2740</v>
      </c>
      <c r="B436" s="8" t="s">
        <v>105</v>
      </c>
      <c r="C436" s="8" t="str">
        <f t="shared" si="6"/>
        <v>unknown</v>
      </c>
      <c r="D436" s="9" t="s">
        <v>15</v>
      </c>
      <c r="E436" s="8" t="s">
        <v>2785</v>
      </c>
      <c r="F436" s="8" t="s">
        <v>2741</v>
      </c>
      <c r="G436" s="8">
        <v>500</v>
      </c>
    </row>
    <row r="437" spans="1:7" x14ac:dyDescent="0.15">
      <c r="A437" s="8" t="s">
        <v>2881</v>
      </c>
      <c r="B437" s="8" t="s">
        <v>2879</v>
      </c>
      <c r="C437" s="8" t="str">
        <f t="shared" si="6"/>
        <v>male</v>
      </c>
      <c r="D437" s="9" t="s">
        <v>15</v>
      </c>
      <c r="E437" s="8" t="s">
        <v>2882</v>
      </c>
      <c r="F437" s="8" t="s">
        <v>2882</v>
      </c>
      <c r="G437" s="8">
        <v>500</v>
      </c>
    </row>
    <row r="438" spans="1:7" x14ac:dyDescent="0.15">
      <c r="A438" s="8" t="s">
        <v>2883</v>
      </c>
      <c r="B438" s="8" t="s">
        <v>2879</v>
      </c>
      <c r="C438" s="8" t="str">
        <f t="shared" si="6"/>
        <v>female</v>
      </c>
      <c r="D438" s="9" t="s">
        <v>15</v>
      </c>
      <c r="E438" s="8" t="s">
        <v>2884</v>
      </c>
      <c r="F438" s="8" t="s">
        <v>2884</v>
      </c>
      <c r="G438" s="8">
        <v>500</v>
      </c>
    </row>
    <row r="439" spans="1:7" x14ac:dyDescent="0.15">
      <c r="A439" s="8" t="s">
        <v>3222</v>
      </c>
      <c r="B439" s="8" t="s">
        <v>3221</v>
      </c>
      <c r="C439" s="8" t="str">
        <f t="shared" si="6"/>
        <v>binary</v>
      </c>
      <c r="D439" s="9" t="s">
        <v>15</v>
      </c>
      <c r="E439" s="8" t="s">
        <v>3223</v>
      </c>
      <c r="F439" s="8" t="s">
        <v>3224</v>
      </c>
      <c r="G439" s="8">
        <v>500</v>
      </c>
    </row>
    <row r="440" spans="1:7" x14ac:dyDescent="0.15">
      <c r="A440" s="8" t="s">
        <v>1227</v>
      </c>
      <c r="B440" s="8" t="s">
        <v>111</v>
      </c>
      <c r="C440" s="8" t="str">
        <f t="shared" si="6"/>
        <v>14dia</v>
      </c>
      <c r="D440" s="9" t="s">
        <v>15</v>
      </c>
      <c r="E440" s="8">
        <v>14</v>
      </c>
      <c r="F440" s="8" t="s">
        <v>1228</v>
      </c>
      <c r="G440" s="8">
        <v>500</v>
      </c>
    </row>
    <row r="441" spans="1:7" x14ac:dyDescent="0.15">
      <c r="A441" s="8" t="s">
        <v>1229</v>
      </c>
      <c r="B441" s="8" t="s">
        <v>111</v>
      </c>
      <c r="C441" s="8" t="str">
        <f t="shared" si="6"/>
        <v>onepointfour</v>
      </c>
      <c r="D441" s="9" t="s">
        <v>15</v>
      </c>
      <c r="E441" s="8">
        <v>1.4</v>
      </c>
      <c r="F441" s="8" t="s">
        <v>1230</v>
      </c>
      <c r="G441" s="8">
        <v>500</v>
      </c>
    </row>
    <row r="442" spans="1:7" x14ac:dyDescent="0.15">
      <c r="A442" s="8" t="s">
        <v>1231</v>
      </c>
      <c r="B442" s="8" t="s">
        <v>112</v>
      </c>
      <c r="C442" s="8" t="str">
        <f t="shared" si="6"/>
        <v>esirna</v>
      </c>
      <c r="D442" s="8" t="s">
        <v>1231</v>
      </c>
      <c r="E442" s="8" t="s">
        <v>1232</v>
      </c>
      <c r="F442" s="8" t="s">
        <v>1233</v>
      </c>
      <c r="G442" s="8">
        <v>500</v>
      </c>
    </row>
    <row r="443" spans="1:7" x14ac:dyDescent="0.15">
      <c r="A443" s="8" t="s">
        <v>1234</v>
      </c>
      <c r="B443" s="8" t="s">
        <v>112</v>
      </c>
      <c r="C443" s="8" t="str">
        <f t="shared" si="6"/>
        <v>grna</v>
      </c>
      <c r="D443" s="8" t="s">
        <v>1234</v>
      </c>
      <c r="E443" s="8" t="s">
        <v>1235</v>
      </c>
      <c r="F443" s="8" t="s">
        <v>1236</v>
      </c>
      <c r="G443" s="8">
        <v>500</v>
      </c>
    </row>
    <row r="444" spans="1:7" x14ac:dyDescent="0.15">
      <c r="A444" s="8" t="s">
        <v>1237</v>
      </c>
      <c r="B444" s="8" t="s">
        <v>112</v>
      </c>
      <c r="C444" s="8" t="str">
        <f t="shared" si="6"/>
        <v>mirna</v>
      </c>
      <c r="D444" s="8" t="s">
        <v>1237</v>
      </c>
      <c r="E444" s="8" t="s">
        <v>1238</v>
      </c>
      <c r="F444" s="8" t="s">
        <v>1239</v>
      </c>
      <c r="G444" s="8">
        <v>500</v>
      </c>
    </row>
    <row r="445" spans="1:7" x14ac:dyDescent="0.15">
      <c r="A445" s="8" t="s">
        <v>1240</v>
      </c>
      <c r="B445" s="8" t="s">
        <v>112</v>
      </c>
      <c r="C445" s="8" t="str">
        <f t="shared" si="6"/>
        <v>shrna</v>
      </c>
      <c r="D445" s="8" t="s">
        <v>1240</v>
      </c>
      <c r="E445" s="8" t="s">
        <v>1241</v>
      </c>
      <c r="F445" s="8" t="s">
        <v>1242</v>
      </c>
      <c r="G445" s="8">
        <v>500</v>
      </c>
    </row>
    <row r="446" spans="1:7" x14ac:dyDescent="0.15">
      <c r="A446" s="8" t="s">
        <v>1243</v>
      </c>
      <c r="B446" s="8" t="s">
        <v>112</v>
      </c>
      <c r="C446" s="8" t="str">
        <f t="shared" si="6"/>
        <v>sirna</v>
      </c>
      <c r="D446" s="8" t="s">
        <v>1243</v>
      </c>
      <c r="E446" s="8" t="s">
        <v>1244</v>
      </c>
      <c r="F446" s="8" t="s">
        <v>1245</v>
      </c>
      <c r="G446" s="8">
        <v>500</v>
      </c>
    </row>
    <row r="447" spans="1:7" x14ac:dyDescent="0.15">
      <c r="A447" s="8" t="s">
        <v>3111</v>
      </c>
      <c r="B447" s="8" t="s">
        <v>115</v>
      </c>
      <c r="C447" s="8" t="str">
        <f t="shared" si="6"/>
        <v>185nlmin</v>
      </c>
      <c r="D447" s="9" t="s">
        <v>15</v>
      </c>
      <c r="E447" s="8">
        <v>185</v>
      </c>
      <c r="F447" s="8" t="s">
        <v>3110</v>
      </c>
      <c r="G447" s="8">
        <v>500</v>
      </c>
    </row>
    <row r="448" spans="1:7" x14ac:dyDescent="0.15">
      <c r="A448" s="8" t="s">
        <v>1246</v>
      </c>
      <c r="B448" s="8" t="s">
        <v>115</v>
      </c>
      <c r="C448" s="8" t="str">
        <f t="shared" si="6"/>
        <v>200nlmin</v>
      </c>
      <c r="D448" s="9" t="s">
        <v>15</v>
      </c>
      <c r="E448" s="8">
        <v>200</v>
      </c>
      <c r="F448" s="8" t="s">
        <v>1247</v>
      </c>
      <c r="G448" s="8">
        <v>500</v>
      </c>
    </row>
    <row r="449" spans="1:7" x14ac:dyDescent="0.15">
      <c r="A449" s="8" t="s">
        <v>1248</v>
      </c>
      <c r="B449" s="8" t="s">
        <v>115</v>
      </c>
      <c r="C449" s="8" t="str">
        <f t="shared" si="6"/>
        <v>250nlmin</v>
      </c>
      <c r="D449" s="9" t="s">
        <v>15</v>
      </c>
      <c r="E449" s="8">
        <v>250</v>
      </c>
      <c r="F449" s="8" t="s">
        <v>1249</v>
      </c>
      <c r="G449" s="8">
        <v>500</v>
      </c>
    </row>
    <row r="450" spans="1:7" x14ac:dyDescent="0.15">
      <c r="A450" s="8" t="s">
        <v>1250</v>
      </c>
      <c r="B450" s="8" t="s">
        <v>115</v>
      </c>
      <c r="C450" s="8" t="str">
        <f t="shared" si="6"/>
        <v>500nlmin</v>
      </c>
      <c r="D450" s="9" t="s">
        <v>15</v>
      </c>
      <c r="E450" s="8">
        <v>500</v>
      </c>
      <c r="F450" s="8" t="s">
        <v>1251</v>
      </c>
      <c r="G450" s="8">
        <v>500</v>
      </c>
    </row>
    <row r="451" spans="1:7" x14ac:dyDescent="0.15">
      <c r="A451" s="8" t="s">
        <v>1252</v>
      </c>
      <c r="B451" s="8" t="s">
        <v>4121</v>
      </c>
      <c r="C451" s="8" t="str">
        <f t="shared" si="6"/>
        <v>e1000</v>
      </c>
      <c r="D451" s="8" t="s">
        <v>1252</v>
      </c>
      <c r="E451" s="8" t="s">
        <v>1253</v>
      </c>
      <c r="F451" s="8" t="s">
        <v>1254</v>
      </c>
      <c r="G451" s="8">
        <v>500</v>
      </c>
    </row>
    <row r="452" spans="1:7" x14ac:dyDescent="0.15">
      <c r="A452" s="8" t="s">
        <v>1255</v>
      </c>
      <c r="B452" s="8" t="s">
        <v>4121</v>
      </c>
      <c r="C452" s="8" t="str">
        <f t="shared" si="6"/>
        <v>e1200</v>
      </c>
      <c r="D452" s="8" t="s">
        <v>1255</v>
      </c>
      <c r="E452" s="8" t="s">
        <v>1256</v>
      </c>
      <c r="F452" s="8" t="s">
        <v>1257</v>
      </c>
      <c r="G452" s="8">
        <v>500</v>
      </c>
    </row>
    <row r="453" spans="1:7" x14ac:dyDescent="0.15">
      <c r="A453" s="8" t="s">
        <v>1258</v>
      </c>
      <c r="B453" s="8" t="s">
        <v>4121</v>
      </c>
      <c r="C453" s="8" t="str">
        <f t="shared" si="6"/>
        <v>evosep</v>
      </c>
      <c r="D453" s="8" t="s">
        <v>1258</v>
      </c>
      <c r="E453" s="8" t="s">
        <v>1259</v>
      </c>
      <c r="F453" s="8" t="s">
        <v>1259</v>
      </c>
      <c r="G453" s="8">
        <v>500</v>
      </c>
    </row>
    <row r="454" spans="1:7" x14ac:dyDescent="0.15">
      <c r="A454" s="8" t="s">
        <v>1260</v>
      </c>
      <c r="B454" s="8" t="s">
        <v>4121</v>
      </c>
      <c r="C454" s="8" t="str">
        <f t="shared" ref="C454:C520" si="7">A454</f>
        <v>nanoelute</v>
      </c>
      <c r="D454" s="8" t="s">
        <v>1260</v>
      </c>
      <c r="E454" s="8" t="s">
        <v>1261</v>
      </c>
      <c r="F454" s="8" t="s">
        <v>1262</v>
      </c>
      <c r="G454" s="8">
        <v>500</v>
      </c>
    </row>
    <row r="455" spans="1:7" x14ac:dyDescent="0.15">
      <c r="A455" s="8" t="s">
        <v>1263</v>
      </c>
      <c r="B455" s="8" t="s">
        <v>4121</v>
      </c>
      <c r="C455" s="8" t="str">
        <f t="shared" si="7"/>
        <v>ultimate</v>
      </c>
      <c r="D455" s="8" t="s">
        <v>1263</v>
      </c>
      <c r="E455" s="8" t="s">
        <v>1264</v>
      </c>
      <c r="F455" s="8" t="s">
        <v>1265</v>
      </c>
      <c r="G455" s="8">
        <v>500</v>
      </c>
    </row>
    <row r="456" spans="1:7" x14ac:dyDescent="0.15">
      <c r="A456" s="8" t="s">
        <v>1266</v>
      </c>
      <c r="B456" s="8" t="s">
        <v>4121</v>
      </c>
      <c r="C456" s="8" t="str">
        <f t="shared" si="7"/>
        <v>vanquish</v>
      </c>
      <c r="D456" s="8" t="s">
        <v>1266</v>
      </c>
      <c r="E456" s="8" t="s">
        <v>1267</v>
      </c>
      <c r="F456" s="8" t="s">
        <v>1268</v>
      </c>
      <c r="G456" s="8">
        <v>500</v>
      </c>
    </row>
    <row r="457" spans="1:7" x14ac:dyDescent="0.15">
      <c r="A457" s="8" t="s">
        <v>2941</v>
      </c>
      <c r="B457" s="8" t="s">
        <v>4122</v>
      </c>
      <c r="C457" s="8" t="str">
        <f t="shared" si="7"/>
        <v>easy1200mpi</v>
      </c>
      <c r="D457" s="8" t="s">
        <v>15</v>
      </c>
      <c r="E457" s="8" t="s">
        <v>2942</v>
      </c>
      <c r="F457" s="8" t="s">
        <v>2943</v>
      </c>
      <c r="G457" s="8">
        <v>500</v>
      </c>
    </row>
    <row r="458" spans="1:7" x14ac:dyDescent="0.15">
      <c r="A458" s="8" t="s">
        <v>1269</v>
      </c>
      <c r="B458" s="8" t="s">
        <v>4122</v>
      </c>
      <c r="C458" s="8" t="str">
        <f t="shared" si="7"/>
        <v>easylc1</v>
      </c>
      <c r="D458" s="9" t="s">
        <v>15</v>
      </c>
      <c r="E458" s="8" t="s">
        <v>1270</v>
      </c>
      <c r="F458" s="8" t="s">
        <v>1270</v>
      </c>
      <c r="G458" s="8">
        <v>500</v>
      </c>
    </row>
    <row r="459" spans="1:7" x14ac:dyDescent="0.15">
      <c r="A459" s="8" t="s">
        <v>1271</v>
      </c>
      <c r="B459" s="8" t="s">
        <v>4122</v>
      </c>
      <c r="C459" s="8" t="str">
        <f t="shared" si="7"/>
        <v>easylc2</v>
      </c>
      <c r="D459" s="9" t="s">
        <v>15</v>
      </c>
      <c r="E459" s="8" t="s">
        <v>1272</v>
      </c>
      <c r="F459" s="8" t="s">
        <v>1272</v>
      </c>
      <c r="G459" s="8">
        <v>500</v>
      </c>
    </row>
    <row r="460" spans="1:7" x14ac:dyDescent="0.15">
      <c r="A460" s="8" t="s">
        <v>1273</v>
      </c>
      <c r="B460" s="8" t="s">
        <v>4122</v>
      </c>
      <c r="C460" s="8" t="str">
        <f t="shared" si="7"/>
        <v>evosep1</v>
      </c>
      <c r="D460" s="9" t="s">
        <v>15</v>
      </c>
      <c r="E460" s="8" t="s">
        <v>1274</v>
      </c>
      <c r="F460" s="8" t="s">
        <v>1275</v>
      </c>
      <c r="G460" s="8">
        <v>500</v>
      </c>
    </row>
    <row r="461" spans="1:7" x14ac:dyDescent="0.15">
      <c r="A461" s="8" t="s">
        <v>1276</v>
      </c>
      <c r="B461" s="8" t="s">
        <v>4122</v>
      </c>
      <c r="C461" s="8" t="str">
        <f t="shared" si="7"/>
        <v>vanquishneo1</v>
      </c>
      <c r="D461" s="9" t="s">
        <v>15</v>
      </c>
      <c r="E461" s="8" t="s">
        <v>1277</v>
      </c>
      <c r="F461" s="8" t="s">
        <v>1277</v>
      </c>
      <c r="G461" s="8">
        <v>500</v>
      </c>
    </row>
    <row r="462" spans="1:7" x14ac:dyDescent="0.15">
      <c r="A462" s="8" t="s">
        <v>1278</v>
      </c>
      <c r="B462" s="8" t="s">
        <v>119</v>
      </c>
      <c r="C462" s="8" t="str">
        <f t="shared" si="7"/>
        <v>bravo</v>
      </c>
      <c r="D462" s="8" t="s">
        <v>1278</v>
      </c>
      <c r="E462" s="8" t="s">
        <v>1279</v>
      </c>
      <c r="F462" s="8" t="s">
        <v>1280</v>
      </c>
      <c r="G462" s="8">
        <v>500</v>
      </c>
    </row>
    <row r="463" spans="1:7" x14ac:dyDescent="0.15">
      <c r="A463" s="8" t="s">
        <v>1281</v>
      </c>
      <c r="B463" s="8" t="s">
        <v>119</v>
      </c>
      <c r="C463" s="8" t="str">
        <f t="shared" si="7"/>
        <v>felix</v>
      </c>
      <c r="D463" s="8" t="s">
        <v>1281</v>
      </c>
      <c r="E463" s="8" t="s">
        <v>1282</v>
      </c>
      <c r="F463" s="8" t="s">
        <v>1283</v>
      </c>
      <c r="G463" s="8">
        <v>500</v>
      </c>
    </row>
    <row r="464" spans="1:7" x14ac:dyDescent="0.15">
      <c r="A464" s="8" t="s">
        <v>1284</v>
      </c>
      <c r="B464" s="8" t="s">
        <v>119</v>
      </c>
      <c r="C464" s="8" t="str">
        <f t="shared" si="7"/>
        <v>kingfisher</v>
      </c>
      <c r="D464" s="8" t="s">
        <v>1284</v>
      </c>
      <c r="E464" s="8" t="s">
        <v>1285</v>
      </c>
      <c r="F464" s="8" t="s">
        <v>1286</v>
      </c>
      <c r="G464" s="8">
        <v>500</v>
      </c>
    </row>
    <row r="465" spans="1:7" x14ac:dyDescent="0.15">
      <c r="A465" s="8" t="s">
        <v>1287</v>
      </c>
      <c r="B465" s="8" t="s">
        <v>119</v>
      </c>
      <c r="C465" s="8" t="str">
        <f t="shared" si="7"/>
        <v>microlabhamilton</v>
      </c>
      <c r="D465" s="8" t="s">
        <v>1287</v>
      </c>
      <c r="E465" s="8" t="s">
        <v>1288</v>
      </c>
      <c r="F465" s="8" t="s">
        <v>1289</v>
      </c>
      <c r="G465" s="8">
        <v>500</v>
      </c>
    </row>
    <row r="466" spans="1:7" x14ac:dyDescent="0.15">
      <c r="A466" s="8" t="s">
        <v>1290</v>
      </c>
      <c r="B466" s="8" t="s">
        <v>119</v>
      </c>
      <c r="C466" s="8" t="str">
        <f t="shared" si="7"/>
        <v>mosquitoHV</v>
      </c>
      <c r="D466" s="8" t="s">
        <v>1290</v>
      </c>
      <c r="E466" s="8" t="s">
        <v>1291</v>
      </c>
      <c r="F466" s="8" t="s">
        <v>1292</v>
      </c>
      <c r="G466" s="8">
        <v>500</v>
      </c>
    </row>
    <row r="467" spans="1:7" x14ac:dyDescent="0.15">
      <c r="A467" s="8" t="s">
        <v>1293</v>
      </c>
      <c r="B467" s="8" t="s">
        <v>119</v>
      </c>
      <c r="C467" s="8" t="str">
        <f t="shared" si="7"/>
        <v>mosquitoLV</v>
      </c>
      <c r="D467" s="8" t="s">
        <v>1293</v>
      </c>
      <c r="E467" s="8" t="s">
        <v>1294</v>
      </c>
      <c r="F467" s="8" t="s">
        <v>1295</v>
      </c>
      <c r="G467" s="8">
        <v>500</v>
      </c>
    </row>
    <row r="468" spans="1:7" x14ac:dyDescent="0.15">
      <c r="A468" s="8" t="s">
        <v>1296</v>
      </c>
      <c r="B468" s="8" t="s">
        <v>119</v>
      </c>
      <c r="C468" s="8" t="str">
        <f t="shared" si="7"/>
        <v>opentrons</v>
      </c>
      <c r="D468" s="8" t="s">
        <v>1296</v>
      </c>
      <c r="E468" s="8" t="s">
        <v>2780</v>
      </c>
      <c r="F468" s="8" t="s">
        <v>2780</v>
      </c>
      <c r="G468" s="8">
        <v>500</v>
      </c>
    </row>
    <row r="469" spans="1:7" x14ac:dyDescent="0.15">
      <c r="A469" s="8" t="s">
        <v>2944</v>
      </c>
      <c r="B469" s="8" t="s">
        <v>119</v>
      </c>
      <c r="C469" s="8" t="str">
        <f t="shared" si="7"/>
        <v>opentronsot2</v>
      </c>
      <c r="D469" s="8" t="s">
        <v>1296</v>
      </c>
      <c r="E469" s="8" t="s">
        <v>2781</v>
      </c>
      <c r="F469" s="8" t="s">
        <v>2781</v>
      </c>
      <c r="G469" s="8">
        <v>500</v>
      </c>
    </row>
    <row r="470" spans="1:7" x14ac:dyDescent="0.15">
      <c r="A470" s="8" t="s">
        <v>1298</v>
      </c>
      <c r="B470" s="8" t="s">
        <v>119</v>
      </c>
      <c r="C470" s="8" t="str">
        <f t="shared" si="7"/>
        <v>tecan</v>
      </c>
      <c r="D470" s="8" t="s">
        <v>1298</v>
      </c>
      <c r="E470" s="8" t="s">
        <v>1299</v>
      </c>
      <c r="F470" s="8" t="s">
        <v>1300</v>
      </c>
      <c r="G470" s="8">
        <v>500</v>
      </c>
    </row>
    <row r="471" spans="1:7" x14ac:dyDescent="0.15">
      <c r="A471" s="8" t="s">
        <v>281</v>
      </c>
      <c r="B471" s="8" t="s">
        <v>119</v>
      </c>
      <c r="C471" s="8" t="str">
        <f t="shared" si="7"/>
        <v>none</v>
      </c>
      <c r="D471" s="8" t="s">
        <v>3116</v>
      </c>
      <c r="E471" s="8" t="s">
        <v>3117</v>
      </c>
      <c r="F471" s="8" t="s">
        <v>3118</v>
      </c>
      <c r="G471" s="8">
        <v>500</v>
      </c>
    </row>
    <row r="472" spans="1:7" x14ac:dyDescent="0.15">
      <c r="A472" s="8" t="s">
        <v>1301</v>
      </c>
      <c r="B472" s="8" t="s">
        <v>121</v>
      </c>
      <c r="C472" s="8" t="str">
        <f t="shared" si="7"/>
        <v>one_sdc</v>
      </c>
      <c r="D472" s="9" t="s">
        <v>15</v>
      </c>
      <c r="E472" s="8" t="s">
        <v>1302</v>
      </c>
      <c r="F472" s="8" t="s">
        <v>1303</v>
      </c>
      <c r="G472" s="8">
        <v>500</v>
      </c>
    </row>
    <row r="473" spans="1:7" x14ac:dyDescent="0.15">
      <c r="A473" s="8" t="s">
        <v>954</v>
      </c>
      <c r="B473" s="8" t="s">
        <v>121</v>
      </c>
      <c r="C473" s="8" t="str">
        <f t="shared" si="7"/>
        <v>sds</v>
      </c>
      <c r="D473" s="9" t="s">
        <v>15</v>
      </c>
      <c r="E473" s="8" t="s">
        <v>1304</v>
      </c>
      <c r="F473" s="8" t="s">
        <v>1305</v>
      </c>
      <c r="G473" s="8">
        <v>500</v>
      </c>
    </row>
    <row r="474" spans="1:7" x14ac:dyDescent="0.15">
      <c r="A474" s="8" t="s">
        <v>1306</v>
      </c>
      <c r="B474" s="8" t="s">
        <v>121</v>
      </c>
      <c r="C474" s="8" t="str">
        <f t="shared" si="7"/>
        <v>two_sdc</v>
      </c>
      <c r="D474" s="9" t="s">
        <v>15</v>
      </c>
      <c r="E474" s="8" t="s">
        <v>1307</v>
      </c>
      <c r="F474" s="8" t="s">
        <v>1308</v>
      </c>
      <c r="G474" s="8">
        <v>500</v>
      </c>
    </row>
    <row r="475" spans="1:7" x14ac:dyDescent="0.15">
      <c r="A475" s="8" t="s">
        <v>1309</v>
      </c>
      <c r="B475" s="8" t="s">
        <v>121</v>
      </c>
      <c r="C475" s="8" t="str">
        <f t="shared" si="7"/>
        <v>urea</v>
      </c>
      <c r="D475" s="9" t="s">
        <v>15</v>
      </c>
      <c r="E475" s="8" t="s">
        <v>1310</v>
      </c>
      <c r="F475" s="8" t="s">
        <v>1311</v>
      </c>
      <c r="G475" s="8">
        <v>500</v>
      </c>
    </row>
    <row r="476" spans="1:7" x14ac:dyDescent="0.15">
      <c r="A476" s="8" t="s">
        <v>3099</v>
      </c>
      <c r="B476" s="8" t="s">
        <v>121</v>
      </c>
      <c r="C476" s="8" t="str">
        <f t="shared" si="7"/>
        <v>ripa</v>
      </c>
      <c r="D476" s="9" t="s">
        <v>15</v>
      </c>
      <c r="E476" s="8" t="s">
        <v>3100</v>
      </c>
      <c r="F476" s="8" t="s">
        <v>3101</v>
      </c>
      <c r="G476" s="8">
        <v>500</v>
      </c>
    </row>
    <row r="477" spans="1:7" x14ac:dyDescent="0.15">
      <c r="A477" s="8" t="s">
        <v>3102</v>
      </c>
      <c r="B477" s="8" t="s">
        <v>121</v>
      </c>
      <c r="C477" s="8" t="str">
        <f t="shared" si="7"/>
        <v>ripasds</v>
      </c>
      <c r="D477" s="9" t="s">
        <v>15</v>
      </c>
      <c r="E477" s="8" t="s">
        <v>3103</v>
      </c>
      <c r="F477" s="8" t="s">
        <v>3104</v>
      </c>
      <c r="G477" s="8">
        <v>500</v>
      </c>
    </row>
    <row r="478" spans="1:7" x14ac:dyDescent="0.15">
      <c r="A478" s="8" t="s">
        <v>2777</v>
      </c>
      <c r="B478" s="8" t="s">
        <v>74</v>
      </c>
      <c r="C478" s="8" t="str">
        <f t="shared" si="7"/>
        <v>chemical</v>
      </c>
      <c r="D478" s="9" t="s">
        <v>15</v>
      </c>
      <c r="E478" s="8" t="s">
        <v>2778</v>
      </c>
      <c r="F478" s="8" t="s">
        <v>2779</v>
      </c>
      <c r="G478" s="8">
        <v>500</v>
      </c>
    </row>
    <row r="479" spans="1:7" x14ac:dyDescent="0.15">
      <c r="A479" s="8" t="s">
        <v>2787</v>
      </c>
      <c r="B479" s="8" t="s">
        <v>74</v>
      </c>
      <c r="C479" s="8" t="str">
        <f t="shared" si="7"/>
        <v>sonicaton</v>
      </c>
      <c r="D479" s="9" t="s">
        <v>15</v>
      </c>
      <c r="E479" s="8" t="s">
        <v>2788</v>
      </c>
      <c r="F479" s="8" t="s">
        <v>2786</v>
      </c>
      <c r="G479" s="8">
        <v>500</v>
      </c>
    </row>
    <row r="480" spans="1:7" x14ac:dyDescent="0.15">
      <c r="A480" s="8" t="s">
        <v>1312</v>
      </c>
      <c r="B480" s="8" t="s">
        <v>74</v>
      </c>
      <c r="C480" s="8" t="str">
        <f t="shared" si="7"/>
        <v>dounce</v>
      </c>
      <c r="D480" s="9" t="s">
        <v>15</v>
      </c>
      <c r="E480" s="8" t="s">
        <v>1313</v>
      </c>
      <c r="F480" s="8" t="s">
        <v>1314</v>
      </c>
      <c r="G480" s="8">
        <v>500</v>
      </c>
    </row>
    <row r="481" spans="1:1008" x14ac:dyDescent="0.15">
      <c r="A481" s="8" t="s">
        <v>1315</v>
      </c>
      <c r="B481" s="8" t="s">
        <v>74</v>
      </c>
      <c r="C481" s="8" t="str">
        <f t="shared" si="7"/>
        <v>motar_pestle</v>
      </c>
      <c r="D481" s="9" t="s">
        <v>15</v>
      </c>
      <c r="E481" s="8" t="s">
        <v>1316</v>
      </c>
      <c r="F481" s="8" t="s">
        <v>1317</v>
      </c>
      <c r="G481" s="8">
        <v>500</v>
      </c>
    </row>
    <row r="482" spans="1:1008" x14ac:dyDescent="0.15">
      <c r="A482" s="8" t="s">
        <v>1318</v>
      </c>
      <c r="B482" s="8" t="s">
        <v>74</v>
      </c>
      <c r="C482" s="8" t="str">
        <f t="shared" si="7"/>
        <v>paracyllus</v>
      </c>
      <c r="D482" s="9" t="s">
        <v>15</v>
      </c>
      <c r="E482" s="8" t="s">
        <v>1319</v>
      </c>
      <c r="F482" s="8" t="s">
        <v>1320</v>
      </c>
      <c r="G482" s="8">
        <v>500</v>
      </c>
    </row>
    <row r="483" spans="1:1008" ht="56" x14ac:dyDescent="0.15">
      <c r="A483" s="8" t="s">
        <v>2464</v>
      </c>
      <c r="B483" s="8" t="s">
        <v>3120</v>
      </c>
      <c r="C483" s="8" t="str">
        <f t="shared" si="7"/>
        <v>c57bl6j</v>
      </c>
      <c r="D483" s="9" t="s">
        <v>15</v>
      </c>
      <c r="E483" s="8" t="s">
        <v>3121</v>
      </c>
      <c r="F483" s="23" t="s">
        <v>3122</v>
      </c>
      <c r="G483" s="8">
        <v>500</v>
      </c>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c r="CA483"/>
      <c r="CB483"/>
      <c r="CC483"/>
      <c r="CD483"/>
      <c r="CE483"/>
      <c r="CF483"/>
      <c r="CG483"/>
      <c r="CH483"/>
      <c r="CI483"/>
      <c r="CJ483"/>
      <c r="CK483"/>
      <c r="CL483"/>
      <c r="CM483"/>
      <c r="CN483"/>
      <c r="CO483"/>
      <c r="CP483"/>
      <c r="CQ483"/>
      <c r="CR483"/>
      <c r="CS483"/>
      <c r="CT483"/>
      <c r="CU483"/>
      <c r="CV483"/>
      <c r="CW483"/>
      <c r="CX483"/>
      <c r="CY483"/>
      <c r="CZ483"/>
      <c r="DA483"/>
      <c r="DB483"/>
      <c r="DC483"/>
      <c r="DD483"/>
      <c r="DE483"/>
      <c r="DF483"/>
      <c r="DG483"/>
      <c r="DH483"/>
      <c r="DI483"/>
      <c r="DJ483"/>
      <c r="DK483"/>
      <c r="DL483"/>
      <c r="DM483"/>
      <c r="DN483"/>
      <c r="DO483"/>
      <c r="DP483"/>
      <c r="DQ483"/>
      <c r="DR483"/>
      <c r="DS483"/>
      <c r="DT483"/>
      <c r="DU483"/>
      <c r="DV483"/>
      <c r="DW483"/>
      <c r="DX483"/>
      <c r="DY483"/>
      <c r="DZ483"/>
      <c r="EA483"/>
      <c r="EB483"/>
      <c r="EC483"/>
      <c r="ED483"/>
      <c r="EE483"/>
      <c r="EF483"/>
      <c r="EG483"/>
      <c r="EH483"/>
      <c r="EI483"/>
      <c r="EJ483"/>
      <c r="EK483"/>
      <c r="EL483"/>
      <c r="EM483"/>
      <c r="EN483"/>
      <c r="EO483"/>
      <c r="EP483"/>
      <c r="EQ483"/>
      <c r="ER483"/>
      <c r="ES483"/>
      <c r="ET483"/>
      <c r="EU483"/>
      <c r="EV483"/>
      <c r="EW483"/>
      <c r="EX483"/>
      <c r="EY483"/>
      <c r="EZ483"/>
      <c r="FA483"/>
      <c r="FB483"/>
      <c r="FC483"/>
      <c r="FD483"/>
      <c r="FE483"/>
      <c r="FF483"/>
      <c r="FG483"/>
      <c r="FH483"/>
      <c r="FI483"/>
      <c r="FJ483"/>
      <c r="FK483"/>
      <c r="FL483"/>
      <c r="FM483"/>
      <c r="FN483"/>
      <c r="FO483"/>
      <c r="FP483"/>
      <c r="FQ483"/>
      <c r="FR483"/>
      <c r="FS483"/>
      <c r="FT483"/>
      <c r="FU483"/>
      <c r="FV483"/>
      <c r="FW483"/>
      <c r="FX483"/>
      <c r="FY483"/>
      <c r="FZ483"/>
      <c r="GA483"/>
      <c r="GB483"/>
      <c r="GC483"/>
      <c r="GD483"/>
      <c r="GE483"/>
      <c r="GF483"/>
      <c r="GG483"/>
      <c r="GH483"/>
      <c r="GI483"/>
      <c r="GJ483"/>
      <c r="GK483"/>
      <c r="GL483"/>
      <c r="GM483"/>
      <c r="GN483"/>
      <c r="GO483"/>
      <c r="GP483"/>
      <c r="GQ483"/>
      <c r="GR483"/>
      <c r="GS483"/>
      <c r="GT483"/>
      <c r="GU483"/>
      <c r="GV483"/>
      <c r="GW483"/>
      <c r="GX483"/>
      <c r="GY483"/>
      <c r="GZ483"/>
      <c r="HA483"/>
      <c r="HB483"/>
      <c r="HC483"/>
      <c r="HD483"/>
      <c r="HE483"/>
      <c r="HF483"/>
      <c r="HG483"/>
      <c r="HH483"/>
      <c r="HI483"/>
      <c r="HJ483"/>
      <c r="HK483"/>
      <c r="HL483"/>
      <c r="HM483"/>
      <c r="HN483"/>
      <c r="HO483"/>
      <c r="HP483"/>
      <c r="HQ483"/>
      <c r="HR483"/>
      <c r="HS483"/>
      <c r="HT483"/>
      <c r="HU483"/>
      <c r="HV483"/>
      <c r="HW483"/>
      <c r="HX483"/>
      <c r="HY483"/>
      <c r="HZ483"/>
      <c r="IA483"/>
      <c r="IB483"/>
      <c r="IC483"/>
      <c r="ID483"/>
      <c r="IE483"/>
      <c r="IF483"/>
      <c r="IG483"/>
      <c r="IH483"/>
      <c r="II483"/>
      <c r="IJ483"/>
      <c r="IK483"/>
      <c r="IL483"/>
      <c r="IM483"/>
      <c r="IN483"/>
      <c r="IO483"/>
      <c r="IP483"/>
      <c r="IQ483"/>
      <c r="IR483"/>
      <c r="IS483"/>
      <c r="IT483"/>
      <c r="IU483"/>
      <c r="IV483"/>
      <c r="IW483"/>
      <c r="IX483"/>
      <c r="IY483"/>
      <c r="IZ483"/>
      <c r="JA483"/>
      <c r="JB483"/>
      <c r="JC483"/>
      <c r="JD483"/>
      <c r="JE483"/>
      <c r="JF483"/>
      <c r="JG483"/>
      <c r="JH483"/>
      <c r="JI483"/>
      <c r="JJ483"/>
      <c r="JK483"/>
      <c r="JL483"/>
      <c r="JM483"/>
      <c r="JN483"/>
      <c r="JO483"/>
      <c r="JP483"/>
      <c r="JQ483"/>
      <c r="JR483"/>
      <c r="JS483"/>
      <c r="JT483"/>
      <c r="JU483"/>
      <c r="JV483"/>
      <c r="JW483"/>
      <c r="JX483"/>
      <c r="JY483"/>
      <c r="JZ483"/>
      <c r="KA483"/>
      <c r="KB483"/>
      <c r="KC483"/>
      <c r="KD483"/>
      <c r="KE483"/>
      <c r="KF483"/>
      <c r="KG483"/>
      <c r="KH483"/>
      <c r="KI483"/>
      <c r="KJ483"/>
      <c r="KK483"/>
      <c r="KL483"/>
      <c r="KM483"/>
      <c r="KN483"/>
      <c r="KO483"/>
      <c r="KP483"/>
      <c r="KQ483"/>
      <c r="KR483"/>
      <c r="KS483"/>
      <c r="KT483"/>
      <c r="KU483"/>
      <c r="KV483"/>
      <c r="KW483"/>
      <c r="KX483"/>
      <c r="KY483"/>
      <c r="KZ483"/>
      <c r="LA483"/>
      <c r="LB483"/>
      <c r="LC483"/>
      <c r="LD483"/>
      <c r="LE483"/>
      <c r="LF483"/>
      <c r="LG483"/>
      <c r="LH483"/>
      <c r="LI483"/>
      <c r="LJ483"/>
      <c r="LK483"/>
      <c r="LL483"/>
      <c r="LM483"/>
      <c r="LN483"/>
      <c r="LO483"/>
      <c r="LP483"/>
      <c r="LQ483"/>
      <c r="LR483"/>
      <c r="LS483"/>
      <c r="LT483"/>
      <c r="LU483"/>
      <c r="LV483"/>
      <c r="LW483"/>
      <c r="LX483"/>
      <c r="LY483"/>
      <c r="LZ483"/>
      <c r="MA483"/>
      <c r="MB483"/>
      <c r="MC483"/>
      <c r="MD483"/>
      <c r="ME483"/>
      <c r="MF483"/>
      <c r="MG483"/>
      <c r="MH483"/>
      <c r="MI483"/>
      <c r="MJ483"/>
      <c r="MK483"/>
      <c r="ML483"/>
      <c r="MM483"/>
      <c r="MN483"/>
      <c r="MO483"/>
      <c r="MP483"/>
      <c r="MQ483"/>
      <c r="MR483"/>
      <c r="MS483"/>
      <c r="MT483"/>
      <c r="MU483"/>
      <c r="MV483"/>
      <c r="MW483"/>
      <c r="MX483"/>
      <c r="MY483"/>
      <c r="MZ483"/>
      <c r="NA483"/>
      <c r="NB483"/>
      <c r="NC483"/>
      <c r="ND483"/>
      <c r="NE483"/>
      <c r="NF483"/>
      <c r="NG483"/>
      <c r="NH483"/>
      <c r="NI483"/>
      <c r="NJ483"/>
      <c r="NK483"/>
      <c r="NL483"/>
      <c r="NM483"/>
      <c r="NN483"/>
      <c r="NO483"/>
      <c r="NP483"/>
      <c r="NQ483"/>
      <c r="NR483"/>
      <c r="NS483"/>
      <c r="NT483"/>
      <c r="NU483"/>
      <c r="NV483"/>
      <c r="NW483"/>
      <c r="NX483"/>
      <c r="NY483"/>
      <c r="NZ483"/>
      <c r="OA483"/>
      <c r="OB483"/>
      <c r="OC483"/>
      <c r="OD483"/>
      <c r="OE483"/>
      <c r="OF483"/>
      <c r="OG483"/>
      <c r="OH483"/>
      <c r="OI483"/>
      <c r="OJ483"/>
      <c r="OK483"/>
      <c r="OL483"/>
      <c r="OM483"/>
      <c r="ON483"/>
      <c r="OO483"/>
      <c r="OP483"/>
      <c r="OQ483"/>
      <c r="OR483"/>
      <c r="OS483"/>
      <c r="OT483"/>
      <c r="OU483"/>
      <c r="OV483"/>
      <c r="OW483"/>
      <c r="OX483"/>
      <c r="OY483"/>
      <c r="OZ483"/>
      <c r="PA483"/>
      <c r="PB483"/>
      <c r="PC483"/>
      <c r="PD483"/>
      <c r="PE483"/>
      <c r="PF483"/>
      <c r="PG483"/>
      <c r="PH483"/>
      <c r="PI483"/>
      <c r="PJ483"/>
      <c r="PK483"/>
      <c r="PL483"/>
      <c r="PM483"/>
      <c r="PN483"/>
      <c r="PO483"/>
      <c r="PP483"/>
      <c r="PQ483"/>
      <c r="PR483"/>
      <c r="PS483"/>
      <c r="PT483"/>
      <c r="PU483"/>
      <c r="PV483"/>
      <c r="PW483"/>
      <c r="PX483"/>
      <c r="PY483"/>
      <c r="PZ483"/>
      <c r="QA483"/>
      <c r="QB483"/>
      <c r="QC483"/>
      <c r="QD483"/>
      <c r="QE483"/>
      <c r="QF483"/>
      <c r="QG483"/>
      <c r="QH483"/>
      <c r="QI483"/>
      <c r="QJ483"/>
      <c r="QK483"/>
      <c r="QL483"/>
      <c r="QM483"/>
      <c r="QN483"/>
      <c r="QO483"/>
      <c r="QP483"/>
      <c r="QQ483"/>
      <c r="QR483"/>
      <c r="QS483"/>
      <c r="QT483"/>
      <c r="QU483"/>
      <c r="QV483"/>
      <c r="QW483"/>
      <c r="QX483"/>
      <c r="QY483"/>
      <c r="QZ483"/>
      <c r="RA483"/>
      <c r="RB483"/>
      <c r="RC483"/>
      <c r="RD483"/>
      <c r="RE483"/>
      <c r="RF483"/>
      <c r="RG483"/>
      <c r="RH483"/>
      <c r="RI483"/>
      <c r="RJ483"/>
      <c r="RK483"/>
      <c r="RL483"/>
      <c r="RM483"/>
      <c r="RN483"/>
      <c r="RO483"/>
      <c r="RP483"/>
      <c r="RQ483"/>
      <c r="RR483"/>
      <c r="RS483"/>
      <c r="RT483"/>
      <c r="RU483"/>
      <c r="RV483"/>
      <c r="RW483"/>
      <c r="RX483"/>
      <c r="RY483"/>
      <c r="RZ483"/>
      <c r="SA483"/>
      <c r="SB483"/>
      <c r="SC483"/>
      <c r="SD483"/>
      <c r="SE483"/>
      <c r="SF483"/>
      <c r="SG483"/>
      <c r="SH483"/>
      <c r="SI483"/>
      <c r="SJ483"/>
      <c r="SK483"/>
      <c r="SL483"/>
      <c r="SM483"/>
      <c r="SN483"/>
      <c r="SO483"/>
      <c r="SP483"/>
      <c r="SQ483"/>
      <c r="SR483"/>
      <c r="SS483"/>
      <c r="ST483"/>
      <c r="SU483"/>
      <c r="SV483"/>
      <c r="SW483"/>
      <c r="SX483"/>
      <c r="SY483"/>
      <c r="SZ483"/>
      <c r="TA483"/>
      <c r="TB483"/>
      <c r="TC483"/>
      <c r="TD483"/>
      <c r="TE483"/>
      <c r="TF483"/>
      <c r="TG483"/>
      <c r="TH483"/>
      <c r="TI483"/>
      <c r="TJ483"/>
      <c r="TK483"/>
      <c r="TL483"/>
      <c r="TM483"/>
      <c r="TN483"/>
      <c r="TO483"/>
      <c r="TP483"/>
      <c r="TQ483"/>
      <c r="TR483"/>
      <c r="TS483"/>
      <c r="TT483"/>
      <c r="TU483"/>
      <c r="TV483"/>
      <c r="TW483"/>
      <c r="TX483"/>
      <c r="TY483"/>
      <c r="TZ483"/>
      <c r="UA483"/>
      <c r="UB483"/>
      <c r="UC483"/>
      <c r="UD483"/>
      <c r="UE483"/>
      <c r="UF483"/>
      <c r="UG483"/>
      <c r="UH483"/>
      <c r="UI483"/>
      <c r="UJ483"/>
      <c r="UK483"/>
      <c r="UL483"/>
      <c r="UM483"/>
      <c r="UN483"/>
      <c r="UO483"/>
      <c r="UP483"/>
      <c r="UQ483"/>
      <c r="UR483"/>
      <c r="US483"/>
      <c r="UT483"/>
      <c r="UU483"/>
      <c r="UV483"/>
      <c r="UW483"/>
      <c r="UX483"/>
      <c r="UY483"/>
      <c r="UZ483"/>
      <c r="VA483"/>
      <c r="VB483"/>
      <c r="VC483"/>
      <c r="VD483"/>
      <c r="VE483"/>
      <c r="VF483"/>
      <c r="VG483"/>
      <c r="VH483"/>
      <c r="VI483"/>
      <c r="VJ483"/>
      <c r="VK483"/>
      <c r="VL483"/>
      <c r="VM483"/>
      <c r="VN483"/>
      <c r="VO483"/>
      <c r="VP483"/>
      <c r="VQ483"/>
      <c r="VR483"/>
      <c r="VS483"/>
      <c r="VT483"/>
      <c r="VU483"/>
      <c r="VV483"/>
      <c r="VW483"/>
      <c r="VX483"/>
      <c r="VY483"/>
      <c r="VZ483"/>
      <c r="WA483"/>
      <c r="WB483"/>
      <c r="WC483"/>
      <c r="WD483"/>
      <c r="WE483"/>
      <c r="WF483"/>
      <c r="WG483"/>
      <c r="WH483"/>
      <c r="WI483"/>
      <c r="WJ483"/>
      <c r="WK483"/>
      <c r="WL483"/>
      <c r="WM483"/>
      <c r="WN483"/>
      <c r="WO483"/>
      <c r="WP483"/>
      <c r="WQ483"/>
      <c r="WR483"/>
      <c r="WS483"/>
      <c r="WT483"/>
      <c r="WU483"/>
      <c r="WV483"/>
      <c r="WW483"/>
      <c r="WX483"/>
      <c r="WY483"/>
      <c r="WZ483"/>
      <c r="XA483"/>
      <c r="XB483"/>
      <c r="XC483"/>
      <c r="XD483"/>
      <c r="XE483"/>
      <c r="XF483"/>
      <c r="XG483"/>
      <c r="XH483"/>
      <c r="XI483"/>
      <c r="XJ483"/>
      <c r="XK483"/>
      <c r="XL483"/>
      <c r="XM483"/>
      <c r="XN483"/>
      <c r="XO483"/>
      <c r="XP483"/>
      <c r="XQ483"/>
      <c r="XR483"/>
      <c r="XS483"/>
      <c r="XT483"/>
      <c r="XU483"/>
      <c r="XV483"/>
      <c r="XW483"/>
      <c r="XX483"/>
      <c r="XY483"/>
      <c r="XZ483"/>
      <c r="YA483"/>
      <c r="YB483"/>
      <c r="YC483"/>
      <c r="YD483"/>
      <c r="YE483"/>
      <c r="YF483"/>
      <c r="YG483"/>
      <c r="YH483"/>
      <c r="YI483"/>
      <c r="YJ483"/>
      <c r="YK483"/>
      <c r="YL483"/>
      <c r="YM483"/>
      <c r="YN483"/>
      <c r="YO483"/>
      <c r="YP483"/>
      <c r="YQ483"/>
      <c r="YR483"/>
      <c r="YS483"/>
      <c r="YT483"/>
      <c r="YU483"/>
      <c r="YV483"/>
      <c r="YW483"/>
      <c r="YX483"/>
      <c r="YY483"/>
      <c r="YZ483"/>
      <c r="ZA483"/>
      <c r="ZB483"/>
      <c r="ZC483"/>
      <c r="ZD483"/>
      <c r="ZE483"/>
      <c r="ZF483"/>
      <c r="ZG483"/>
      <c r="ZH483"/>
      <c r="ZI483"/>
      <c r="ZJ483"/>
      <c r="ZK483"/>
      <c r="ZL483"/>
      <c r="ZM483"/>
      <c r="ZN483"/>
      <c r="ZO483"/>
      <c r="ZP483"/>
      <c r="ZQ483"/>
      <c r="ZR483"/>
      <c r="ZS483"/>
      <c r="ZT483"/>
      <c r="ZU483"/>
      <c r="ZV483"/>
      <c r="ZW483"/>
      <c r="ZX483"/>
      <c r="ZY483"/>
      <c r="ZZ483"/>
      <c r="AAA483"/>
      <c r="AAB483"/>
      <c r="AAC483"/>
      <c r="AAD483"/>
      <c r="AAE483"/>
      <c r="AAF483"/>
      <c r="AAG483"/>
      <c r="AAH483"/>
      <c r="AAI483"/>
      <c r="AAJ483"/>
      <c r="AAK483"/>
      <c r="AAL483"/>
      <c r="AAM483"/>
      <c r="AAN483"/>
      <c r="AAO483"/>
      <c r="AAP483"/>
      <c r="AAQ483"/>
      <c r="AAR483"/>
      <c r="AAS483"/>
      <c r="AAT483"/>
      <c r="AAU483"/>
      <c r="AAV483"/>
      <c r="AAW483"/>
      <c r="AAX483"/>
      <c r="AAY483"/>
      <c r="AAZ483"/>
      <c r="ABA483"/>
      <c r="ABB483"/>
      <c r="ABC483"/>
      <c r="ABD483"/>
      <c r="ABE483"/>
      <c r="ABF483"/>
      <c r="ABG483"/>
      <c r="ABH483"/>
      <c r="ABI483"/>
      <c r="ABJ483"/>
      <c r="ABK483"/>
      <c r="ABL483"/>
      <c r="ABM483"/>
      <c r="ABN483"/>
      <c r="ABO483"/>
      <c r="ABP483"/>
      <c r="ABQ483"/>
      <c r="ABR483"/>
      <c r="ABS483"/>
      <c r="ABT483"/>
      <c r="ABU483"/>
      <c r="ABV483"/>
      <c r="ABW483"/>
      <c r="ABX483"/>
      <c r="ABY483"/>
      <c r="ABZ483"/>
      <c r="ACA483"/>
      <c r="ACB483"/>
      <c r="ACC483"/>
      <c r="ACD483"/>
      <c r="ACE483"/>
      <c r="ACF483"/>
      <c r="ACG483"/>
      <c r="ACH483"/>
      <c r="ACI483"/>
      <c r="ACJ483"/>
      <c r="ACK483"/>
      <c r="ACL483"/>
      <c r="ACM483"/>
      <c r="ACN483"/>
      <c r="ACO483"/>
      <c r="ACP483"/>
      <c r="ACQ483"/>
      <c r="ACR483"/>
      <c r="ACS483"/>
      <c r="ACT483"/>
      <c r="ACU483"/>
      <c r="ACV483"/>
      <c r="ACW483"/>
      <c r="ACX483"/>
      <c r="ACY483"/>
      <c r="ACZ483"/>
      <c r="ADA483"/>
      <c r="ADB483"/>
      <c r="ADC483"/>
      <c r="ADD483"/>
      <c r="ADE483"/>
      <c r="ADF483"/>
      <c r="ADG483"/>
      <c r="ADH483"/>
      <c r="ADI483"/>
      <c r="ADJ483"/>
      <c r="ADK483"/>
      <c r="ADL483"/>
      <c r="ADM483"/>
      <c r="ADN483"/>
      <c r="ADO483"/>
      <c r="ADP483"/>
      <c r="ADQ483"/>
      <c r="ADR483"/>
      <c r="ADS483"/>
      <c r="ADT483"/>
      <c r="ADU483"/>
      <c r="ADV483"/>
      <c r="ADW483"/>
      <c r="ADX483"/>
      <c r="ADY483"/>
      <c r="ADZ483"/>
      <c r="AEA483"/>
      <c r="AEB483"/>
      <c r="AEC483"/>
      <c r="AED483"/>
      <c r="AEE483"/>
      <c r="AEF483"/>
      <c r="AEG483"/>
      <c r="AEH483"/>
      <c r="AEI483"/>
      <c r="AEJ483"/>
      <c r="AEK483"/>
      <c r="AEL483"/>
      <c r="AEM483"/>
      <c r="AEN483"/>
      <c r="AEO483"/>
      <c r="AEP483"/>
      <c r="AEQ483"/>
      <c r="AER483"/>
      <c r="AES483"/>
      <c r="AET483"/>
      <c r="AEU483"/>
      <c r="AEV483"/>
      <c r="AEW483"/>
      <c r="AEX483"/>
      <c r="AEY483"/>
      <c r="AEZ483"/>
      <c r="AFA483"/>
      <c r="AFB483"/>
      <c r="AFC483"/>
      <c r="AFD483"/>
      <c r="AFE483"/>
      <c r="AFF483"/>
      <c r="AFG483"/>
      <c r="AFH483"/>
      <c r="AFI483"/>
      <c r="AFJ483"/>
      <c r="AFK483"/>
      <c r="AFL483"/>
      <c r="AFM483"/>
      <c r="AFN483"/>
      <c r="AFO483"/>
      <c r="AFP483"/>
      <c r="AFQ483"/>
      <c r="AFR483"/>
      <c r="AFS483"/>
      <c r="AFT483"/>
      <c r="AFU483"/>
      <c r="AFV483"/>
      <c r="AFW483"/>
      <c r="AFX483"/>
      <c r="AFY483"/>
      <c r="AFZ483"/>
      <c r="AGA483"/>
      <c r="AGB483"/>
      <c r="AGC483"/>
      <c r="AGD483"/>
      <c r="AGE483"/>
      <c r="AGF483"/>
      <c r="AGG483"/>
      <c r="AGH483"/>
      <c r="AGI483"/>
      <c r="AGJ483"/>
      <c r="AGK483"/>
      <c r="AGL483"/>
      <c r="AGM483"/>
      <c r="AGN483"/>
      <c r="AGO483"/>
      <c r="AGP483"/>
      <c r="AGQ483"/>
      <c r="AGR483"/>
      <c r="AGS483"/>
      <c r="AGT483"/>
      <c r="AGU483"/>
      <c r="AGV483"/>
      <c r="AGW483"/>
      <c r="AGX483"/>
      <c r="AGY483"/>
      <c r="AGZ483"/>
      <c r="AHA483"/>
      <c r="AHB483"/>
      <c r="AHC483"/>
      <c r="AHD483"/>
      <c r="AHE483"/>
      <c r="AHF483"/>
      <c r="AHG483"/>
      <c r="AHH483"/>
      <c r="AHI483"/>
      <c r="AHJ483"/>
      <c r="AHK483"/>
      <c r="AHL483"/>
      <c r="AHM483"/>
      <c r="AHN483"/>
      <c r="AHO483"/>
      <c r="AHP483"/>
      <c r="AHQ483"/>
      <c r="AHR483"/>
      <c r="AHS483"/>
      <c r="AHT483"/>
      <c r="AHU483"/>
      <c r="AHV483"/>
      <c r="AHW483"/>
      <c r="AHX483"/>
      <c r="AHY483"/>
      <c r="AHZ483"/>
      <c r="AIA483"/>
      <c r="AIB483"/>
      <c r="AIC483"/>
      <c r="AID483"/>
      <c r="AIE483"/>
      <c r="AIF483"/>
      <c r="AIG483"/>
      <c r="AIH483"/>
      <c r="AII483"/>
      <c r="AIJ483"/>
      <c r="AIK483"/>
      <c r="AIL483"/>
      <c r="AIM483"/>
      <c r="AIN483"/>
      <c r="AIO483"/>
      <c r="AIP483"/>
      <c r="AIQ483"/>
      <c r="AIR483"/>
      <c r="AIS483"/>
      <c r="AIT483"/>
      <c r="AIU483"/>
      <c r="AIV483"/>
      <c r="AIW483"/>
      <c r="AIX483"/>
      <c r="AIY483"/>
      <c r="AIZ483"/>
      <c r="AJA483"/>
      <c r="AJB483"/>
      <c r="AJC483"/>
      <c r="AJD483"/>
      <c r="AJE483"/>
      <c r="AJF483"/>
      <c r="AJG483"/>
      <c r="AJH483"/>
      <c r="AJI483"/>
      <c r="AJJ483"/>
      <c r="AJK483"/>
      <c r="AJL483"/>
      <c r="AJM483"/>
      <c r="AJN483"/>
      <c r="AJO483"/>
      <c r="AJP483"/>
      <c r="AJQ483"/>
      <c r="AJR483"/>
      <c r="AJS483"/>
      <c r="AJT483"/>
      <c r="AJU483"/>
      <c r="AJV483"/>
      <c r="AJW483"/>
      <c r="AJX483"/>
      <c r="AJY483"/>
      <c r="AJZ483"/>
      <c r="AKA483"/>
      <c r="AKB483"/>
      <c r="AKC483"/>
      <c r="AKD483"/>
      <c r="AKE483"/>
      <c r="AKF483"/>
      <c r="AKG483"/>
      <c r="AKH483"/>
      <c r="AKI483"/>
      <c r="AKJ483"/>
      <c r="AKK483"/>
      <c r="AKL483"/>
      <c r="AKM483"/>
      <c r="AKN483"/>
      <c r="AKO483"/>
      <c r="AKP483"/>
      <c r="AKQ483"/>
      <c r="AKR483"/>
      <c r="AKS483"/>
      <c r="AKT483"/>
      <c r="AKU483"/>
      <c r="AKV483"/>
      <c r="AKW483"/>
      <c r="AKX483"/>
      <c r="AKY483"/>
      <c r="AKZ483"/>
      <c r="ALA483"/>
      <c r="ALB483"/>
      <c r="ALC483"/>
      <c r="ALD483"/>
      <c r="ALE483"/>
      <c r="ALF483"/>
      <c r="ALG483"/>
      <c r="ALH483"/>
      <c r="ALI483"/>
      <c r="ALJ483"/>
      <c r="ALK483"/>
      <c r="ALL483"/>
      <c r="ALM483"/>
      <c r="ALN483"/>
      <c r="ALO483"/>
      <c r="ALP483"/>
      <c r="ALQ483"/>
      <c r="ALR483"/>
      <c r="ALS483"/>
      <c r="ALT483"/>
    </row>
    <row r="484" spans="1:1008" ht="14" x14ac:dyDescent="0.15">
      <c r="A484" s="8" t="s">
        <v>3245</v>
      </c>
      <c r="B484" s="8" t="s">
        <v>3120</v>
      </c>
      <c r="C484" s="8" t="str">
        <f t="shared" si="7"/>
        <v>c57bl6n</v>
      </c>
      <c r="D484" s="9" t="s">
        <v>15</v>
      </c>
      <c r="E484" s="8" t="s">
        <v>3246</v>
      </c>
      <c r="F484" s="23" t="s">
        <v>3247</v>
      </c>
      <c r="G484" s="8">
        <v>500</v>
      </c>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c r="CA484"/>
      <c r="CB484"/>
      <c r="CC484"/>
      <c r="CD484"/>
      <c r="CE484"/>
      <c r="CF484"/>
      <c r="CG484"/>
      <c r="CH484"/>
      <c r="CI484"/>
      <c r="CJ484"/>
      <c r="CK484"/>
      <c r="CL484"/>
      <c r="CM484"/>
      <c r="CN484"/>
      <c r="CO484"/>
      <c r="CP484"/>
      <c r="CQ484"/>
      <c r="CR484"/>
      <c r="CS484"/>
      <c r="CT484"/>
      <c r="CU484"/>
      <c r="CV484"/>
      <c r="CW484"/>
      <c r="CX484"/>
      <c r="CY484"/>
      <c r="CZ484"/>
      <c r="DA484"/>
      <c r="DB484"/>
      <c r="DC484"/>
      <c r="DD484"/>
      <c r="DE484"/>
      <c r="DF484"/>
      <c r="DG484"/>
      <c r="DH484"/>
      <c r="DI484"/>
      <c r="DJ484"/>
      <c r="DK484"/>
      <c r="DL484"/>
      <c r="DM484"/>
      <c r="DN484"/>
      <c r="DO484"/>
      <c r="DP484"/>
      <c r="DQ484"/>
      <c r="DR484"/>
      <c r="DS484"/>
      <c r="DT484"/>
      <c r="DU484"/>
      <c r="DV484"/>
      <c r="DW484"/>
      <c r="DX484"/>
      <c r="DY484"/>
      <c r="DZ484"/>
      <c r="EA484"/>
      <c r="EB484"/>
      <c r="EC484"/>
      <c r="ED484"/>
      <c r="EE484"/>
      <c r="EF484"/>
      <c r="EG484"/>
      <c r="EH484"/>
      <c r="EI484"/>
      <c r="EJ484"/>
      <c r="EK484"/>
      <c r="EL484"/>
      <c r="EM484"/>
      <c r="EN484"/>
      <c r="EO484"/>
      <c r="EP484"/>
      <c r="EQ484"/>
      <c r="ER484"/>
      <c r="ES484"/>
      <c r="ET484"/>
      <c r="EU484"/>
      <c r="EV484"/>
      <c r="EW484"/>
      <c r="EX484"/>
      <c r="EY484"/>
      <c r="EZ484"/>
      <c r="FA484"/>
      <c r="FB484"/>
      <c r="FC484"/>
      <c r="FD484"/>
      <c r="FE484"/>
      <c r="FF484"/>
      <c r="FG484"/>
      <c r="FH484"/>
      <c r="FI484"/>
      <c r="FJ484"/>
      <c r="FK484"/>
      <c r="FL484"/>
      <c r="FM484"/>
      <c r="FN484"/>
      <c r="FO484"/>
      <c r="FP484"/>
      <c r="FQ484"/>
      <c r="FR484"/>
      <c r="FS484"/>
      <c r="FT484"/>
      <c r="FU484"/>
      <c r="FV484"/>
      <c r="FW484"/>
      <c r="FX484"/>
      <c r="FY484"/>
      <c r="FZ484"/>
      <c r="GA484"/>
      <c r="GB484"/>
      <c r="GC484"/>
      <c r="GD484"/>
      <c r="GE484"/>
      <c r="GF484"/>
      <c r="GG484"/>
      <c r="GH484"/>
      <c r="GI484"/>
      <c r="GJ484"/>
      <c r="GK484"/>
      <c r="GL484"/>
      <c r="GM484"/>
      <c r="GN484"/>
      <c r="GO484"/>
      <c r="GP484"/>
      <c r="GQ484"/>
      <c r="GR484"/>
      <c r="GS484"/>
      <c r="GT484"/>
      <c r="GU484"/>
      <c r="GV484"/>
      <c r="GW484"/>
      <c r="GX484"/>
      <c r="GY484"/>
      <c r="GZ484"/>
      <c r="HA484"/>
      <c r="HB484"/>
      <c r="HC484"/>
      <c r="HD484"/>
      <c r="HE484"/>
      <c r="HF484"/>
      <c r="HG484"/>
      <c r="HH484"/>
      <c r="HI484"/>
      <c r="HJ484"/>
      <c r="HK484"/>
      <c r="HL484"/>
      <c r="HM484"/>
      <c r="HN484"/>
      <c r="HO484"/>
      <c r="HP484"/>
      <c r="HQ484"/>
      <c r="HR484"/>
      <c r="HS484"/>
      <c r="HT484"/>
      <c r="HU484"/>
      <c r="HV484"/>
      <c r="HW484"/>
      <c r="HX484"/>
      <c r="HY484"/>
      <c r="HZ484"/>
      <c r="IA484"/>
      <c r="IB484"/>
      <c r="IC484"/>
      <c r="ID484"/>
      <c r="IE484"/>
      <c r="IF484"/>
      <c r="IG484"/>
      <c r="IH484"/>
      <c r="II484"/>
      <c r="IJ484"/>
      <c r="IK484"/>
      <c r="IL484"/>
      <c r="IM484"/>
      <c r="IN484"/>
      <c r="IO484"/>
      <c r="IP484"/>
      <c r="IQ484"/>
      <c r="IR484"/>
      <c r="IS484"/>
      <c r="IT484"/>
      <c r="IU484"/>
      <c r="IV484"/>
      <c r="IW484"/>
      <c r="IX484"/>
      <c r="IY484"/>
      <c r="IZ484"/>
      <c r="JA484"/>
      <c r="JB484"/>
      <c r="JC484"/>
      <c r="JD484"/>
      <c r="JE484"/>
      <c r="JF484"/>
      <c r="JG484"/>
      <c r="JH484"/>
      <c r="JI484"/>
      <c r="JJ484"/>
      <c r="JK484"/>
      <c r="JL484"/>
      <c r="JM484"/>
      <c r="JN484"/>
      <c r="JO484"/>
      <c r="JP484"/>
      <c r="JQ484"/>
      <c r="JR484"/>
      <c r="JS484"/>
      <c r="JT484"/>
      <c r="JU484"/>
      <c r="JV484"/>
      <c r="JW484"/>
      <c r="JX484"/>
      <c r="JY484"/>
      <c r="JZ484"/>
      <c r="KA484"/>
      <c r="KB484"/>
      <c r="KC484"/>
      <c r="KD484"/>
      <c r="KE484"/>
      <c r="KF484"/>
      <c r="KG484"/>
      <c r="KH484"/>
      <c r="KI484"/>
      <c r="KJ484"/>
      <c r="KK484"/>
      <c r="KL484"/>
      <c r="KM484"/>
      <c r="KN484"/>
      <c r="KO484"/>
      <c r="KP484"/>
      <c r="KQ484"/>
      <c r="KR484"/>
      <c r="KS484"/>
      <c r="KT484"/>
      <c r="KU484"/>
      <c r="KV484"/>
      <c r="KW484"/>
      <c r="KX484"/>
      <c r="KY484"/>
      <c r="KZ484"/>
      <c r="LA484"/>
      <c r="LB484"/>
      <c r="LC484"/>
      <c r="LD484"/>
      <c r="LE484"/>
      <c r="LF484"/>
      <c r="LG484"/>
      <c r="LH484"/>
      <c r="LI484"/>
      <c r="LJ484"/>
      <c r="LK484"/>
      <c r="LL484"/>
      <c r="LM484"/>
      <c r="LN484"/>
      <c r="LO484"/>
      <c r="LP484"/>
      <c r="LQ484"/>
      <c r="LR484"/>
      <c r="LS484"/>
      <c r="LT484"/>
      <c r="LU484"/>
      <c r="LV484"/>
      <c r="LW484"/>
      <c r="LX484"/>
      <c r="LY484"/>
      <c r="LZ484"/>
      <c r="MA484"/>
      <c r="MB484"/>
      <c r="MC484"/>
      <c r="MD484"/>
      <c r="ME484"/>
      <c r="MF484"/>
      <c r="MG484"/>
      <c r="MH484"/>
      <c r="MI484"/>
      <c r="MJ484"/>
      <c r="MK484"/>
      <c r="ML484"/>
      <c r="MM484"/>
      <c r="MN484"/>
      <c r="MO484"/>
      <c r="MP484"/>
      <c r="MQ484"/>
      <c r="MR484"/>
      <c r="MS484"/>
      <c r="MT484"/>
      <c r="MU484"/>
      <c r="MV484"/>
      <c r="MW484"/>
      <c r="MX484"/>
      <c r="MY484"/>
      <c r="MZ484"/>
      <c r="NA484"/>
      <c r="NB484"/>
      <c r="NC484"/>
      <c r="ND484"/>
      <c r="NE484"/>
      <c r="NF484"/>
      <c r="NG484"/>
      <c r="NH484"/>
      <c r="NI484"/>
      <c r="NJ484"/>
      <c r="NK484"/>
      <c r="NL484"/>
      <c r="NM484"/>
      <c r="NN484"/>
      <c r="NO484"/>
      <c r="NP484"/>
      <c r="NQ484"/>
      <c r="NR484"/>
      <c r="NS484"/>
      <c r="NT484"/>
      <c r="NU484"/>
      <c r="NV484"/>
      <c r="NW484"/>
      <c r="NX484"/>
      <c r="NY484"/>
      <c r="NZ484"/>
      <c r="OA484"/>
      <c r="OB484"/>
      <c r="OC484"/>
      <c r="OD484"/>
      <c r="OE484"/>
      <c r="OF484"/>
      <c r="OG484"/>
      <c r="OH484"/>
      <c r="OI484"/>
      <c r="OJ484"/>
      <c r="OK484"/>
      <c r="OL484"/>
      <c r="OM484"/>
      <c r="ON484"/>
      <c r="OO484"/>
      <c r="OP484"/>
      <c r="OQ484"/>
      <c r="OR484"/>
      <c r="OS484"/>
      <c r="OT484"/>
      <c r="OU484"/>
      <c r="OV484"/>
      <c r="OW484"/>
      <c r="OX484"/>
      <c r="OY484"/>
      <c r="OZ484"/>
      <c r="PA484"/>
      <c r="PB484"/>
      <c r="PC484"/>
      <c r="PD484"/>
      <c r="PE484"/>
      <c r="PF484"/>
      <c r="PG484"/>
      <c r="PH484"/>
      <c r="PI484"/>
      <c r="PJ484"/>
      <c r="PK484"/>
      <c r="PL484"/>
      <c r="PM484"/>
      <c r="PN484"/>
      <c r="PO484"/>
      <c r="PP484"/>
      <c r="PQ484"/>
      <c r="PR484"/>
      <c r="PS484"/>
      <c r="PT484"/>
      <c r="PU484"/>
      <c r="PV484"/>
      <c r="PW484"/>
      <c r="PX484"/>
      <c r="PY484"/>
      <c r="PZ484"/>
      <c r="QA484"/>
      <c r="QB484"/>
      <c r="QC484"/>
      <c r="QD484"/>
      <c r="QE484"/>
      <c r="QF484"/>
      <c r="QG484"/>
      <c r="QH484"/>
      <c r="QI484"/>
      <c r="QJ484"/>
      <c r="QK484"/>
      <c r="QL484"/>
      <c r="QM484"/>
      <c r="QN484"/>
      <c r="QO484"/>
      <c r="QP484"/>
      <c r="QQ484"/>
      <c r="QR484"/>
      <c r="QS484"/>
      <c r="QT484"/>
      <c r="QU484"/>
      <c r="QV484"/>
      <c r="QW484"/>
      <c r="QX484"/>
      <c r="QY484"/>
      <c r="QZ484"/>
      <c r="RA484"/>
      <c r="RB484"/>
      <c r="RC484"/>
      <c r="RD484"/>
      <c r="RE484"/>
      <c r="RF484"/>
      <c r="RG484"/>
      <c r="RH484"/>
      <c r="RI484"/>
      <c r="RJ484"/>
      <c r="RK484"/>
      <c r="RL484"/>
      <c r="RM484"/>
      <c r="RN484"/>
      <c r="RO484"/>
      <c r="RP484"/>
      <c r="RQ484"/>
      <c r="RR484"/>
      <c r="RS484"/>
      <c r="RT484"/>
      <c r="RU484"/>
      <c r="RV484"/>
      <c r="RW484"/>
      <c r="RX484"/>
      <c r="RY484"/>
      <c r="RZ484"/>
      <c r="SA484"/>
      <c r="SB484"/>
      <c r="SC484"/>
      <c r="SD484"/>
      <c r="SE484"/>
      <c r="SF484"/>
      <c r="SG484"/>
      <c r="SH484"/>
      <c r="SI484"/>
      <c r="SJ484"/>
      <c r="SK484"/>
      <c r="SL484"/>
      <c r="SM484"/>
      <c r="SN484"/>
      <c r="SO484"/>
      <c r="SP484"/>
      <c r="SQ484"/>
      <c r="SR484"/>
      <c r="SS484"/>
      <c r="ST484"/>
      <c r="SU484"/>
      <c r="SV484"/>
      <c r="SW484"/>
      <c r="SX484"/>
      <c r="SY484"/>
      <c r="SZ484"/>
      <c r="TA484"/>
      <c r="TB484"/>
      <c r="TC484"/>
      <c r="TD484"/>
      <c r="TE484"/>
      <c r="TF484"/>
      <c r="TG484"/>
      <c r="TH484"/>
      <c r="TI484"/>
      <c r="TJ484"/>
      <c r="TK484"/>
      <c r="TL484"/>
      <c r="TM484"/>
      <c r="TN484"/>
      <c r="TO484"/>
      <c r="TP484"/>
      <c r="TQ484"/>
      <c r="TR484"/>
      <c r="TS484"/>
      <c r="TT484"/>
      <c r="TU484"/>
      <c r="TV484"/>
      <c r="TW484"/>
      <c r="TX484"/>
      <c r="TY484"/>
      <c r="TZ484"/>
      <c r="UA484"/>
      <c r="UB484"/>
      <c r="UC484"/>
      <c r="UD484"/>
      <c r="UE484"/>
      <c r="UF484"/>
      <c r="UG484"/>
      <c r="UH484"/>
      <c r="UI484"/>
      <c r="UJ484"/>
      <c r="UK484"/>
      <c r="UL484"/>
      <c r="UM484"/>
      <c r="UN484"/>
      <c r="UO484"/>
      <c r="UP484"/>
      <c r="UQ484"/>
      <c r="UR484"/>
      <c r="US484"/>
      <c r="UT484"/>
      <c r="UU484"/>
      <c r="UV484"/>
      <c r="UW484"/>
      <c r="UX484"/>
      <c r="UY484"/>
      <c r="UZ484"/>
      <c r="VA484"/>
      <c r="VB484"/>
      <c r="VC484"/>
      <c r="VD484"/>
      <c r="VE484"/>
      <c r="VF484"/>
      <c r="VG484"/>
      <c r="VH484"/>
      <c r="VI484"/>
      <c r="VJ484"/>
      <c r="VK484"/>
      <c r="VL484"/>
      <c r="VM484"/>
      <c r="VN484"/>
      <c r="VO484"/>
      <c r="VP484"/>
      <c r="VQ484"/>
      <c r="VR484"/>
      <c r="VS484"/>
      <c r="VT484"/>
      <c r="VU484"/>
      <c r="VV484"/>
      <c r="VW484"/>
      <c r="VX484"/>
      <c r="VY484"/>
      <c r="VZ484"/>
      <c r="WA484"/>
      <c r="WB484"/>
      <c r="WC484"/>
      <c r="WD484"/>
      <c r="WE484"/>
      <c r="WF484"/>
      <c r="WG484"/>
      <c r="WH484"/>
      <c r="WI484"/>
      <c r="WJ484"/>
      <c r="WK484"/>
      <c r="WL484"/>
      <c r="WM484"/>
      <c r="WN484"/>
      <c r="WO484"/>
      <c r="WP484"/>
      <c r="WQ484"/>
      <c r="WR484"/>
      <c r="WS484"/>
      <c r="WT484"/>
      <c r="WU484"/>
      <c r="WV484"/>
      <c r="WW484"/>
      <c r="WX484"/>
      <c r="WY484"/>
      <c r="WZ484"/>
      <c r="XA484"/>
      <c r="XB484"/>
      <c r="XC484"/>
      <c r="XD484"/>
      <c r="XE484"/>
      <c r="XF484"/>
      <c r="XG484"/>
      <c r="XH484"/>
      <c r="XI484"/>
      <c r="XJ484"/>
      <c r="XK484"/>
      <c r="XL484"/>
      <c r="XM484"/>
      <c r="XN484"/>
      <c r="XO484"/>
      <c r="XP484"/>
      <c r="XQ484"/>
      <c r="XR484"/>
      <c r="XS484"/>
      <c r="XT484"/>
      <c r="XU484"/>
      <c r="XV484"/>
      <c r="XW484"/>
      <c r="XX484"/>
      <c r="XY484"/>
      <c r="XZ484"/>
      <c r="YA484"/>
      <c r="YB484"/>
      <c r="YC484"/>
      <c r="YD484"/>
      <c r="YE484"/>
      <c r="YF484"/>
      <c r="YG484"/>
      <c r="YH484"/>
      <c r="YI484"/>
      <c r="YJ484"/>
      <c r="YK484"/>
      <c r="YL484"/>
      <c r="YM484"/>
      <c r="YN484"/>
      <c r="YO484"/>
      <c r="YP484"/>
      <c r="YQ484"/>
      <c r="YR484"/>
      <c r="YS484"/>
      <c r="YT484"/>
      <c r="YU484"/>
      <c r="YV484"/>
      <c r="YW484"/>
      <c r="YX484"/>
      <c r="YY484"/>
      <c r="YZ484"/>
      <c r="ZA484"/>
      <c r="ZB484"/>
      <c r="ZC484"/>
      <c r="ZD484"/>
      <c r="ZE484"/>
      <c r="ZF484"/>
      <c r="ZG484"/>
      <c r="ZH484"/>
      <c r="ZI484"/>
      <c r="ZJ484"/>
      <c r="ZK484"/>
      <c r="ZL484"/>
      <c r="ZM484"/>
      <c r="ZN484"/>
      <c r="ZO484"/>
      <c r="ZP484"/>
      <c r="ZQ484"/>
      <c r="ZR484"/>
      <c r="ZS484"/>
      <c r="ZT484"/>
      <c r="ZU484"/>
      <c r="ZV484"/>
      <c r="ZW484"/>
      <c r="ZX484"/>
      <c r="ZY484"/>
      <c r="ZZ484"/>
      <c r="AAA484"/>
      <c r="AAB484"/>
      <c r="AAC484"/>
      <c r="AAD484"/>
      <c r="AAE484"/>
      <c r="AAF484"/>
      <c r="AAG484"/>
      <c r="AAH484"/>
      <c r="AAI484"/>
      <c r="AAJ484"/>
      <c r="AAK484"/>
      <c r="AAL484"/>
      <c r="AAM484"/>
      <c r="AAN484"/>
      <c r="AAO484"/>
      <c r="AAP484"/>
      <c r="AAQ484"/>
      <c r="AAR484"/>
      <c r="AAS484"/>
      <c r="AAT484"/>
      <c r="AAU484"/>
      <c r="AAV484"/>
      <c r="AAW484"/>
      <c r="AAX484"/>
      <c r="AAY484"/>
      <c r="AAZ484"/>
      <c r="ABA484"/>
      <c r="ABB484"/>
      <c r="ABC484"/>
      <c r="ABD484"/>
      <c r="ABE484"/>
      <c r="ABF484"/>
      <c r="ABG484"/>
      <c r="ABH484"/>
      <c r="ABI484"/>
      <c r="ABJ484"/>
      <c r="ABK484"/>
      <c r="ABL484"/>
      <c r="ABM484"/>
      <c r="ABN484"/>
      <c r="ABO484"/>
      <c r="ABP484"/>
      <c r="ABQ484"/>
      <c r="ABR484"/>
      <c r="ABS484"/>
      <c r="ABT484"/>
      <c r="ABU484"/>
      <c r="ABV484"/>
      <c r="ABW484"/>
      <c r="ABX484"/>
      <c r="ABY484"/>
      <c r="ABZ484"/>
      <c r="ACA484"/>
      <c r="ACB484"/>
      <c r="ACC484"/>
      <c r="ACD484"/>
      <c r="ACE484"/>
      <c r="ACF484"/>
      <c r="ACG484"/>
      <c r="ACH484"/>
      <c r="ACI484"/>
      <c r="ACJ484"/>
      <c r="ACK484"/>
      <c r="ACL484"/>
      <c r="ACM484"/>
      <c r="ACN484"/>
      <c r="ACO484"/>
      <c r="ACP484"/>
      <c r="ACQ484"/>
      <c r="ACR484"/>
      <c r="ACS484"/>
      <c r="ACT484"/>
      <c r="ACU484"/>
      <c r="ACV484"/>
      <c r="ACW484"/>
      <c r="ACX484"/>
      <c r="ACY484"/>
      <c r="ACZ484"/>
      <c r="ADA484"/>
      <c r="ADB484"/>
      <c r="ADC484"/>
      <c r="ADD484"/>
      <c r="ADE484"/>
      <c r="ADF484"/>
      <c r="ADG484"/>
      <c r="ADH484"/>
      <c r="ADI484"/>
      <c r="ADJ484"/>
      <c r="ADK484"/>
      <c r="ADL484"/>
      <c r="ADM484"/>
      <c r="ADN484"/>
      <c r="ADO484"/>
      <c r="ADP484"/>
      <c r="ADQ484"/>
      <c r="ADR484"/>
      <c r="ADS484"/>
      <c r="ADT484"/>
      <c r="ADU484"/>
      <c r="ADV484"/>
      <c r="ADW484"/>
      <c r="ADX484"/>
      <c r="ADY484"/>
      <c r="ADZ484"/>
      <c r="AEA484"/>
      <c r="AEB484"/>
      <c r="AEC484"/>
      <c r="AED484"/>
      <c r="AEE484"/>
      <c r="AEF484"/>
      <c r="AEG484"/>
      <c r="AEH484"/>
      <c r="AEI484"/>
      <c r="AEJ484"/>
      <c r="AEK484"/>
      <c r="AEL484"/>
      <c r="AEM484"/>
      <c r="AEN484"/>
      <c r="AEO484"/>
      <c r="AEP484"/>
      <c r="AEQ484"/>
      <c r="AER484"/>
      <c r="AES484"/>
      <c r="AET484"/>
      <c r="AEU484"/>
      <c r="AEV484"/>
      <c r="AEW484"/>
      <c r="AEX484"/>
      <c r="AEY484"/>
      <c r="AEZ484"/>
      <c r="AFA484"/>
      <c r="AFB484"/>
      <c r="AFC484"/>
      <c r="AFD484"/>
      <c r="AFE484"/>
      <c r="AFF484"/>
      <c r="AFG484"/>
      <c r="AFH484"/>
      <c r="AFI484"/>
      <c r="AFJ484"/>
      <c r="AFK484"/>
      <c r="AFL484"/>
      <c r="AFM484"/>
      <c r="AFN484"/>
      <c r="AFO484"/>
      <c r="AFP484"/>
      <c r="AFQ484"/>
      <c r="AFR484"/>
      <c r="AFS484"/>
      <c r="AFT484"/>
      <c r="AFU484"/>
      <c r="AFV484"/>
      <c r="AFW484"/>
      <c r="AFX484"/>
      <c r="AFY484"/>
      <c r="AFZ484"/>
      <c r="AGA484"/>
      <c r="AGB484"/>
      <c r="AGC484"/>
      <c r="AGD484"/>
      <c r="AGE484"/>
      <c r="AGF484"/>
      <c r="AGG484"/>
      <c r="AGH484"/>
      <c r="AGI484"/>
      <c r="AGJ484"/>
      <c r="AGK484"/>
      <c r="AGL484"/>
      <c r="AGM484"/>
      <c r="AGN484"/>
      <c r="AGO484"/>
      <c r="AGP484"/>
      <c r="AGQ484"/>
      <c r="AGR484"/>
      <c r="AGS484"/>
      <c r="AGT484"/>
      <c r="AGU484"/>
      <c r="AGV484"/>
      <c r="AGW484"/>
      <c r="AGX484"/>
      <c r="AGY484"/>
      <c r="AGZ484"/>
      <c r="AHA484"/>
      <c r="AHB484"/>
      <c r="AHC484"/>
      <c r="AHD484"/>
      <c r="AHE484"/>
      <c r="AHF484"/>
      <c r="AHG484"/>
      <c r="AHH484"/>
      <c r="AHI484"/>
      <c r="AHJ484"/>
      <c r="AHK484"/>
      <c r="AHL484"/>
      <c r="AHM484"/>
      <c r="AHN484"/>
      <c r="AHO484"/>
      <c r="AHP484"/>
      <c r="AHQ484"/>
      <c r="AHR484"/>
      <c r="AHS484"/>
      <c r="AHT484"/>
      <c r="AHU484"/>
      <c r="AHV484"/>
      <c r="AHW484"/>
      <c r="AHX484"/>
      <c r="AHY484"/>
      <c r="AHZ484"/>
      <c r="AIA484"/>
      <c r="AIB484"/>
      <c r="AIC484"/>
      <c r="AID484"/>
      <c r="AIE484"/>
      <c r="AIF484"/>
      <c r="AIG484"/>
      <c r="AIH484"/>
      <c r="AII484"/>
      <c r="AIJ484"/>
      <c r="AIK484"/>
      <c r="AIL484"/>
      <c r="AIM484"/>
      <c r="AIN484"/>
      <c r="AIO484"/>
      <c r="AIP484"/>
      <c r="AIQ484"/>
      <c r="AIR484"/>
      <c r="AIS484"/>
      <c r="AIT484"/>
      <c r="AIU484"/>
      <c r="AIV484"/>
      <c r="AIW484"/>
      <c r="AIX484"/>
      <c r="AIY484"/>
      <c r="AIZ484"/>
      <c r="AJA484"/>
      <c r="AJB484"/>
      <c r="AJC484"/>
      <c r="AJD484"/>
      <c r="AJE484"/>
      <c r="AJF484"/>
      <c r="AJG484"/>
      <c r="AJH484"/>
      <c r="AJI484"/>
      <c r="AJJ484"/>
      <c r="AJK484"/>
      <c r="AJL484"/>
      <c r="AJM484"/>
      <c r="AJN484"/>
      <c r="AJO484"/>
      <c r="AJP484"/>
      <c r="AJQ484"/>
      <c r="AJR484"/>
      <c r="AJS484"/>
      <c r="AJT484"/>
      <c r="AJU484"/>
      <c r="AJV484"/>
      <c r="AJW484"/>
      <c r="AJX484"/>
      <c r="AJY484"/>
      <c r="AJZ484"/>
      <c r="AKA484"/>
      <c r="AKB484"/>
      <c r="AKC484"/>
      <c r="AKD484"/>
      <c r="AKE484"/>
      <c r="AKF484"/>
      <c r="AKG484"/>
      <c r="AKH484"/>
      <c r="AKI484"/>
      <c r="AKJ484"/>
      <c r="AKK484"/>
      <c r="AKL484"/>
      <c r="AKM484"/>
      <c r="AKN484"/>
      <c r="AKO484"/>
      <c r="AKP484"/>
      <c r="AKQ484"/>
      <c r="AKR484"/>
      <c r="AKS484"/>
      <c r="AKT484"/>
      <c r="AKU484"/>
      <c r="AKV484"/>
      <c r="AKW484"/>
      <c r="AKX484"/>
      <c r="AKY484"/>
      <c r="AKZ484"/>
      <c r="ALA484"/>
      <c r="ALB484"/>
      <c r="ALC484"/>
      <c r="ALD484"/>
      <c r="ALE484"/>
      <c r="ALF484"/>
      <c r="ALG484"/>
      <c r="ALH484"/>
      <c r="ALI484"/>
      <c r="ALJ484"/>
      <c r="ALK484"/>
      <c r="ALL484"/>
      <c r="ALM484"/>
      <c r="ALN484"/>
      <c r="ALO484"/>
      <c r="ALP484"/>
      <c r="ALQ484"/>
      <c r="ALR484"/>
      <c r="ALS484"/>
      <c r="ALT484"/>
    </row>
    <row r="485" spans="1:1008" ht="71" x14ac:dyDescent="0.2">
      <c r="A485" s="8" t="s">
        <v>3248</v>
      </c>
      <c r="B485" s="8" t="s">
        <v>3120</v>
      </c>
      <c r="C485" s="8" t="s">
        <v>3248</v>
      </c>
      <c r="D485" s="9" t="s">
        <v>15</v>
      </c>
      <c r="E485" s="8" t="s">
        <v>3249</v>
      </c>
      <c r="F485" s="23" t="s">
        <v>3250</v>
      </c>
      <c r="G485" s="8">
        <v>500</v>
      </c>
      <c r="H485"/>
      <c r="I485" s="36"/>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c r="CB485"/>
      <c r="CC485"/>
      <c r="CD485"/>
      <c r="CE485"/>
      <c r="CF485"/>
      <c r="CG485"/>
      <c r="CH485"/>
      <c r="CI485"/>
      <c r="CJ485"/>
      <c r="CK485"/>
      <c r="CL485"/>
      <c r="CM485"/>
      <c r="CN485"/>
      <c r="CO485"/>
      <c r="CP485"/>
      <c r="CQ485"/>
      <c r="CR485"/>
      <c r="CS485"/>
      <c r="CT485"/>
      <c r="CU485"/>
      <c r="CV485"/>
      <c r="CW485"/>
      <c r="CX485"/>
      <c r="CY485"/>
      <c r="CZ485"/>
      <c r="DA485"/>
      <c r="DB485"/>
      <c r="DC485"/>
      <c r="DD485"/>
      <c r="DE485"/>
      <c r="DF485"/>
      <c r="DG485"/>
      <c r="DH485"/>
      <c r="DI485"/>
      <c r="DJ485"/>
      <c r="DK485"/>
      <c r="DL485"/>
      <c r="DM485"/>
      <c r="DN485"/>
      <c r="DO485"/>
      <c r="DP485"/>
      <c r="DQ485"/>
      <c r="DR485"/>
      <c r="DS485"/>
      <c r="DT485"/>
      <c r="DU485"/>
      <c r="DV485"/>
      <c r="DW485"/>
      <c r="DX485"/>
      <c r="DY485"/>
      <c r="DZ485"/>
      <c r="EA485"/>
      <c r="EB485"/>
      <c r="EC485"/>
      <c r="ED485"/>
      <c r="EE485"/>
      <c r="EF485"/>
      <c r="EG485"/>
      <c r="EH485"/>
      <c r="EI485"/>
      <c r="EJ485"/>
      <c r="EK485"/>
      <c r="EL485"/>
      <c r="EM485"/>
      <c r="EN485"/>
      <c r="EO485"/>
      <c r="EP485"/>
      <c r="EQ485"/>
      <c r="ER485"/>
      <c r="ES485"/>
      <c r="ET485"/>
      <c r="EU485"/>
      <c r="EV485"/>
      <c r="EW485"/>
      <c r="EX485"/>
      <c r="EY485"/>
      <c r="EZ485"/>
      <c r="FA485"/>
      <c r="FB485"/>
      <c r="FC485"/>
      <c r="FD485"/>
      <c r="FE485"/>
      <c r="FF485"/>
      <c r="FG485"/>
      <c r="FH485"/>
      <c r="FI485"/>
      <c r="FJ485"/>
      <c r="FK485"/>
      <c r="FL485"/>
      <c r="FM485"/>
      <c r="FN485"/>
      <c r="FO485"/>
      <c r="FP485"/>
      <c r="FQ485"/>
      <c r="FR485"/>
      <c r="FS485"/>
      <c r="FT485"/>
      <c r="FU485"/>
      <c r="FV485"/>
      <c r="FW485"/>
      <c r="FX485"/>
      <c r="FY485"/>
      <c r="FZ485"/>
      <c r="GA485"/>
      <c r="GB485"/>
      <c r="GC485"/>
      <c r="GD485"/>
      <c r="GE485"/>
      <c r="GF485"/>
      <c r="GG485"/>
      <c r="GH485"/>
      <c r="GI485"/>
      <c r="GJ485"/>
      <c r="GK485"/>
      <c r="GL485"/>
      <c r="GM485"/>
      <c r="GN485"/>
      <c r="GO485"/>
      <c r="GP485"/>
      <c r="GQ485"/>
      <c r="GR485"/>
      <c r="GS485"/>
      <c r="GT485"/>
      <c r="GU485"/>
      <c r="GV485"/>
      <c r="GW485"/>
      <c r="GX485"/>
      <c r="GY485"/>
      <c r="GZ485"/>
      <c r="HA485"/>
      <c r="HB485"/>
      <c r="HC485"/>
      <c r="HD485"/>
      <c r="HE485"/>
      <c r="HF485"/>
      <c r="HG485"/>
      <c r="HH485"/>
      <c r="HI485"/>
      <c r="HJ485"/>
      <c r="HK485"/>
      <c r="HL485"/>
      <c r="HM485"/>
      <c r="HN485"/>
      <c r="HO485"/>
      <c r="HP485"/>
      <c r="HQ485"/>
      <c r="HR485"/>
      <c r="HS485"/>
      <c r="HT485"/>
      <c r="HU485"/>
      <c r="HV485"/>
      <c r="HW485"/>
      <c r="HX485"/>
      <c r="HY485"/>
      <c r="HZ485"/>
      <c r="IA485"/>
      <c r="IB485"/>
      <c r="IC485"/>
      <c r="ID485"/>
      <c r="IE485"/>
      <c r="IF485"/>
      <c r="IG485"/>
      <c r="IH485"/>
      <c r="II485"/>
      <c r="IJ485"/>
      <c r="IK485"/>
      <c r="IL485"/>
      <c r="IM485"/>
      <c r="IN485"/>
      <c r="IO485"/>
      <c r="IP485"/>
      <c r="IQ485"/>
      <c r="IR485"/>
      <c r="IS485"/>
      <c r="IT485"/>
      <c r="IU485"/>
      <c r="IV485"/>
      <c r="IW485"/>
      <c r="IX485"/>
      <c r="IY485"/>
      <c r="IZ485"/>
      <c r="JA485"/>
      <c r="JB485"/>
      <c r="JC485"/>
      <c r="JD485"/>
      <c r="JE485"/>
      <c r="JF485"/>
      <c r="JG485"/>
      <c r="JH485"/>
      <c r="JI485"/>
      <c r="JJ485"/>
      <c r="JK485"/>
      <c r="JL485"/>
      <c r="JM485"/>
      <c r="JN485"/>
      <c r="JO485"/>
      <c r="JP485"/>
      <c r="JQ485"/>
      <c r="JR485"/>
      <c r="JS485"/>
      <c r="JT485"/>
      <c r="JU485"/>
      <c r="JV485"/>
      <c r="JW485"/>
      <c r="JX485"/>
      <c r="JY485"/>
      <c r="JZ485"/>
      <c r="KA485"/>
      <c r="KB485"/>
      <c r="KC485"/>
      <c r="KD485"/>
      <c r="KE485"/>
      <c r="KF485"/>
      <c r="KG485"/>
      <c r="KH485"/>
      <c r="KI485"/>
      <c r="KJ485"/>
      <c r="KK485"/>
      <c r="KL485"/>
      <c r="KM485"/>
      <c r="KN485"/>
      <c r="KO485"/>
      <c r="KP485"/>
      <c r="KQ485"/>
      <c r="KR485"/>
      <c r="KS485"/>
      <c r="KT485"/>
      <c r="KU485"/>
      <c r="KV485"/>
      <c r="KW485"/>
      <c r="KX485"/>
      <c r="KY485"/>
      <c r="KZ485"/>
      <c r="LA485"/>
      <c r="LB485"/>
      <c r="LC485"/>
      <c r="LD485"/>
      <c r="LE485"/>
      <c r="LF485"/>
      <c r="LG485"/>
      <c r="LH485"/>
      <c r="LI485"/>
      <c r="LJ485"/>
      <c r="LK485"/>
      <c r="LL485"/>
      <c r="LM485"/>
      <c r="LN485"/>
      <c r="LO485"/>
      <c r="LP485"/>
      <c r="LQ485"/>
      <c r="LR485"/>
      <c r="LS485"/>
      <c r="LT485"/>
      <c r="LU485"/>
      <c r="LV485"/>
      <c r="LW485"/>
      <c r="LX485"/>
      <c r="LY485"/>
      <c r="LZ485"/>
      <c r="MA485"/>
      <c r="MB485"/>
      <c r="MC485"/>
      <c r="MD485"/>
      <c r="ME485"/>
      <c r="MF485"/>
      <c r="MG485"/>
      <c r="MH485"/>
      <c r="MI485"/>
      <c r="MJ485"/>
      <c r="MK485"/>
      <c r="ML485"/>
      <c r="MM485"/>
      <c r="MN485"/>
      <c r="MO485"/>
      <c r="MP485"/>
      <c r="MQ485"/>
      <c r="MR485"/>
      <c r="MS485"/>
      <c r="MT485"/>
      <c r="MU485"/>
      <c r="MV485"/>
      <c r="MW485"/>
      <c r="MX485"/>
      <c r="MY485"/>
      <c r="MZ485"/>
      <c r="NA485"/>
      <c r="NB485"/>
      <c r="NC485"/>
      <c r="ND485"/>
      <c r="NE485"/>
      <c r="NF485"/>
      <c r="NG485"/>
      <c r="NH485"/>
      <c r="NI485"/>
      <c r="NJ485"/>
      <c r="NK485"/>
      <c r="NL485"/>
      <c r="NM485"/>
      <c r="NN485"/>
      <c r="NO485"/>
      <c r="NP485"/>
      <c r="NQ485"/>
      <c r="NR485"/>
      <c r="NS485"/>
      <c r="NT485"/>
      <c r="NU485"/>
      <c r="NV485"/>
      <c r="NW485"/>
      <c r="NX485"/>
      <c r="NY485"/>
      <c r="NZ485"/>
      <c r="OA485"/>
      <c r="OB485"/>
      <c r="OC485"/>
      <c r="OD485"/>
      <c r="OE485"/>
      <c r="OF485"/>
      <c r="OG485"/>
      <c r="OH485"/>
      <c r="OI485"/>
      <c r="OJ485"/>
      <c r="OK485"/>
      <c r="OL485"/>
      <c r="OM485"/>
      <c r="ON485"/>
      <c r="OO485"/>
      <c r="OP485"/>
      <c r="OQ485"/>
      <c r="OR485"/>
      <c r="OS485"/>
      <c r="OT485"/>
      <c r="OU485"/>
      <c r="OV485"/>
      <c r="OW485"/>
      <c r="OX485"/>
      <c r="OY485"/>
      <c r="OZ485"/>
      <c r="PA485"/>
      <c r="PB485"/>
      <c r="PC485"/>
      <c r="PD485"/>
      <c r="PE485"/>
      <c r="PF485"/>
      <c r="PG485"/>
      <c r="PH485"/>
      <c r="PI485"/>
      <c r="PJ485"/>
      <c r="PK485"/>
      <c r="PL485"/>
      <c r="PM485"/>
      <c r="PN485"/>
      <c r="PO485"/>
      <c r="PP485"/>
      <c r="PQ485"/>
      <c r="PR485"/>
      <c r="PS485"/>
      <c r="PT485"/>
      <c r="PU485"/>
      <c r="PV485"/>
      <c r="PW485"/>
      <c r="PX485"/>
      <c r="PY485"/>
      <c r="PZ485"/>
      <c r="QA485"/>
      <c r="QB485"/>
      <c r="QC485"/>
      <c r="QD485"/>
      <c r="QE485"/>
      <c r="QF485"/>
      <c r="QG485"/>
      <c r="QH485"/>
      <c r="QI485"/>
      <c r="QJ485"/>
      <c r="QK485"/>
      <c r="QL485"/>
      <c r="QM485"/>
      <c r="QN485"/>
      <c r="QO485"/>
      <c r="QP485"/>
      <c r="QQ485"/>
      <c r="QR485"/>
      <c r="QS485"/>
      <c r="QT485"/>
      <c r="QU485"/>
      <c r="QV485"/>
      <c r="QW485"/>
      <c r="QX485"/>
      <c r="QY485"/>
      <c r="QZ485"/>
      <c r="RA485"/>
      <c r="RB485"/>
      <c r="RC485"/>
      <c r="RD485"/>
      <c r="RE485"/>
      <c r="RF485"/>
      <c r="RG485"/>
      <c r="RH485"/>
      <c r="RI485"/>
      <c r="RJ485"/>
      <c r="RK485"/>
      <c r="RL485"/>
      <c r="RM485"/>
      <c r="RN485"/>
      <c r="RO485"/>
      <c r="RP485"/>
      <c r="RQ485"/>
      <c r="RR485"/>
      <c r="RS485"/>
      <c r="RT485"/>
      <c r="RU485"/>
      <c r="RV485"/>
      <c r="RW485"/>
      <c r="RX485"/>
      <c r="RY485"/>
      <c r="RZ485"/>
      <c r="SA485"/>
      <c r="SB485"/>
      <c r="SC485"/>
      <c r="SD485"/>
      <c r="SE485"/>
      <c r="SF485"/>
      <c r="SG485"/>
      <c r="SH485"/>
      <c r="SI485"/>
      <c r="SJ485"/>
      <c r="SK485"/>
      <c r="SL485"/>
      <c r="SM485"/>
      <c r="SN485"/>
      <c r="SO485"/>
      <c r="SP485"/>
      <c r="SQ485"/>
      <c r="SR485"/>
      <c r="SS485"/>
      <c r="ST485"/>
      <c r="SU485"/>
      <c r="SV485"/>
      <c r="SW485"/>
      <c r="SX485"/>
      <c r="SY485"/>
      <c r="SZ485"/>
      <c r="TA485"/>
      <c r="TB485"/>
      <c r="TC485"/>
      <c r="TD485"/>
      <c r="TE485"/>
      <c r="TF485"/>
      <c r="TG485"/>
      <c r="TH485"/>
      <c r="TI485"/>
      <c r="TJ485"/>
      <c r="TK485"/>
      <c r="TL485"/>
      <c r="TM485"/>
      <c r="TN485"/>
      <c r="TO485"/>
      <c r="TP485"/>
      <c r="TQ485"/>
      <c r="TR485"/>
      <c r="TS485"/>
      <c r="TT485"/>
      <c r="TU485"/>
      <c r="TV485"/>
      <c r="TW485"/>
      <c r="TX485"/>
      <c r="TY485"/>
      <c r="TZ485"/>
      <c r="UA485"/>
      <c r="UB485"/>
      <c r="UC485"/>
      <c r="UD485"/>
      <c r="UE485"/>
      <c r="UF485"/>
      <c r="UG485"/>
      <c r="UH485"/>
      <c r="UI485"/>
      <c r="UJ485"/>
      <c r="UK485"/>
      <c r="UL485"/>
      <c r="UM485"/>
      <c r="UN485"/>
      <c r="UO485"/>
      <c r="UP485"/>
      <c r="UQ485"/>
      <c r="UR485"/>
      <c r="US485"/>
      <c r="UT485"/>
      <c r="UU485"/>
      <c r="UV485"/>
      <c r="UW485"/>
      <c r="UX485"/>
      <c r="UY485"/>
      <c r="UZ485"/>
      <c r="VA485"/>
      <c r="VB485"/>
      <c r="VC485"/>
      <c r="VD485"/>
      <c r="VE485"/>
      <c r="VF485"/>
      <c r="VG485"/>
      <c r="VH485"/>
      <c r="VI485"/>
      <c r="VJ485"/>
      <c r="VK485"/>
      <c r="VL485"/>
      <c r="VM485"/>
      <c r="VN485"/>
      <c r="VO485"/>
      <c r="VP485"/>
      <c r="VQ485"/>
      <c r="VR485"/>
      <c r="VS485"/>
      <c r="VT485"/>
      <c r="VU485"/>
      <c r="VV485"/>
      <c r="VW485"/>
      <c r="VX485"/>
      <c r="VY485"/>
      <c r="VZ485"/>
      <c r="WA485"/>
      <c r="WB485"/>
      <c r="WC485"/>
      <c r="WD485"/>
      <c r="WE485"/>
      <c r="WF485"/>
      <c r="WG485"/>
      <c r="WH485"/>
      <c r="WI485"/>
      <c r="WJ485"/>
      <c r="WK485"/>
      <c r="WL485"/>
      <c r="WM485"/>
      <c r="WN485"/>
      <c r="WO485"/>
      <c r="WP485"/>
      <c r="WQ485"/>
      <c r="WR485"/>
      <c r="WS485"/>
      <c r="WT485"/>
      <c r="WU485"/>
      <c r="WV485"/>
      <c r="WW485"/>
      <c r="WX485"/>
      <c r="WY485"/>
      <c r="WZ485"/>
      <c r="XA485"/>
      <c r="XB485"/>
      <c r="XC485"/>
      <c r="XD485"/>
      <c r="XE485"/>
      <c r="XF485"/>
      <c r="XG485"/>
      <c r="XH485"/>
      <c r="XI485"/>
      <c r="XJ485"/>
      <c r="XK485"/>
      <c r="XL485"/>
      <c r="XM485"/>
      <c r="XN485"/>
      <c r="XO485"/>
      <c r="XP485"/>
      <c r="XQ485"/>
      <c r="XR485"/>
      <c r="XS485"/>
      <c r="XT485"/>
      <c r="XU485"/>
      <c r="XV485"/>
      <c r="XW485"/>
      <c r="XX485"/>
      <c r="XY485"/>
      <c r="XZ485"/>
      <c r="YA485"/>
      <c r="YB485"/>
      <c r="YC485"/>
      <c r="YD485"/>
      <c r="YE485"/>
      <c r="YF485"/>
      <c r="YG485"/>
      <c r="YH485"/>
      <c r="YI485"/>
      <c r="YJ485"/>
      <c r="YK485"/>
      <c r="YL485"/>
      <c r="YM485"/>
      <c r="YN485"/>
      <c r="YO485"/>
      <c r="YP485"/>
      <c r="YQ485"/>
      <c r="YR485"/>
      <c r="YS485"/>
      <c r="YT485"/>
      <c r="YU485"/>
      <c r="YV485"/>
      <c r="YW485"/>
      <c r="YX485"/>
      <c r="YY485"/>
      <c r="YZ485"/>
      <c r="ZA485"/>
      <c r="ZB485"/>
      <c r="ZC485"/>
      <c r="ZD485"/>
      <c r="ZE485"/>
      <c r="ZF485"/>
      <c r="ZG485"/>
      <c r="ZH485"/>
      <c r="ZI485"/>
      <c r="ZJ485"/>
      <c r="ZK485"/>
      <c r="ZL485"/>
      <c r="ZM485"/>
      <c r="ZN485"/>
      <c r="ZO485"/>
      <c r="ZP485"/>
      <c r="ZQ485"/>
      <c r="ZR485"/>
      <c r="ZS485"/>
      <c r="ZT485"/>
      <c r="ZU485"/>
      <c r="ZV485"/>
      <c r="ZW485"/>
      <c r="ZX485"/>
      <c r="ZY485"/>
      <c r="ZZ485"/>
      <c r="AAA485"/>
      <c r="AAB485"/>
      <c r="AAC485"/>
      <c r="AAD485"/>
      <c r="AAE485"/>
      <c r="AAF485"/>
      <c r="AAG485"/>
      <c r="AAH485"/>
      <c r="AAI485"/>
      <c r="AAJ485"/>
      <c r="AAK485"/>
      <c r="AAL485"/>
      <c r="AAM485"/>
      <c r="AAN485"/>
      <c r="AAO485"/>
      <c r="AAP485"/>
      <c r="AAQ485"/>
      <c r="AAR485"/>
      <c r="AAS485"/>
      <c r="AAT485"/>
      <c r="AAU485"/>
      <c r="AAV485"/>
      <c r="AAW485"/>
      <c r="AAX485"/>
      <c r="AAY485"/>
      <c r="AAZ485"/>
      <c r="ABA485"/>
      <c r="ABB485"/>
      <c r="ABC485"/>
      <c r="ABD485"/>
      <c r="ABE485"/>
      <c r="ABF485"/>
      <c r="ABG485"/>
      <c r="ABH485"/>
      <c r="ABI485"/>
      <c r="ABJ485"/>
      <c r="ABK485"/>
      <c r="ABL485"/>
      <c r="ABM485"/>
      <c r="ABN485"/>
      <c r="ABO485"/>
      <c r="ABP485"/>
      <c r="ABQ485"/>
      <c r="ABR485"/>
      <c r="ABS485"/>
      <c r="ABT485"/>
      <c r="ABU485"/>
      <c r="ABV485"/>
      <c r="ABW485"/>
      <c r="ABX485"/>
      <c r="ABY485"/>
      <c r="ABZ485"/>
      <c r="ACA485"/>
      <c r="ACB485"/>
      <c r="ACC485"/>
      <c r="ACD485"/>
      <c r="ACE485"/>
      <c r="ACF485"/>
      <c r="ACG485"/>
      <c r="ACH485"/>
      <c r="ACI485"/>
      <c r="ACJ485"/>
      <c r="ACK485"/>
      <c r="ACL485"/>
      <c r="ACM485"/>
      <c r="ACN485"/>
      <c r="ACO485"/>
      <c r="ACP485"/>
      <c r="ACQ485"/>
      <c r="ACR485"/>
      <c r="ACS485"/>
      <c r="ACT485"/>
      <c r="ACU485"/>
      <c r="ACV485"/>
      <c r="ACW485"/>
      <c r="ACX485"/>
      <c r="ACY485"/>
      <c r="ACZ485"/>
      <c r="ADA485"/>
      <c r="ADB485"/>
      <c r="ADC485"/>
      <c r="ADD485"/>
      <c r="ADE485"/>
      <c r="ADF485"/>
      <c r="ADG485"/>
      <c r="ADH485"/>
      <c r="ADI485"/>
      <c r="ADJ485"/>
      <c r="ADK485"/>
      <c r="ADL485"/>
      <c r="ADM485"/>
      <c r="ADN485"/>
      <c r="ADO485"/>
      <c r="ADP485"/>
      <c r="ADQ485"/>
      <c r="ADR485"/>
      <c r="ADS485"/>
      <c r="ADT485"/>
      <c r="ADU485"/>
      <c r="ADV485"/>
      <c r="ADW485"/>
      <c r="ADX485"/>
      <c r="ADY485"/>
      <c r="ADZ485"/>
      <c r="AEA485"/>
      <c r="AEB485"/>
      <c r="AEC485"/>
      <c r="AED485"/>
      <c r="AEE485"/>
      <c r="AEF485"/>
      <c r="AEG485"/>
      <c r="AEH485"/>
      <c r="AEI485"/>
      <c r="AEJ485"/>
      <c r="AEK485"/>
      <c r="AEL485"/>
      <c r="AEM485"/>
      <c r="AEN485"/>
      <c r="AEO485"/>
      <c r="AEP485"/>
      <c r="AEQ485"/>
      <c r="AER485"/>
      <c r="AES485"/>
      <c r="AET485"/>
      <c r="AEU485"/>
      <c r="AEV485"/>
      <c r="AEW485"/>
      <c r="AEX485"/>
      <c r="AEY485"/>
      <c r="AEZ485"/>
      <c r="AFA485"/>
      <c r="AFB485"/>
      <c r="AFC485"/>
      <c r="AFD485"/>
      <c r="AFE485"/>
      <c r="AFF485"/>
      <c r="AFG485"/>
      <c r="AFH485"/>
      <c r="AFI485"/>
      <c r="AFJ485"/>
      <c r="AFK485"/>
      <c r="AFL485"/>
      <c r="AFM485"/>
      <c r="AFN485"/>
      <c r="AFO485"/>
      <c r="AFP485"/>
      <c r="AFQ485"/>
      <c r="AFR485"/>
      <c r="AFS485"/>
      <c r="AFT485"/>
      <c r="AFU485"/>
      <c r="AFV485"/>
      <c r="AFW485"/>
      <c r="AFX485"/>
      <c r="AFY485"/>
      <c r="AFZ485"/>
      <c r="AGA485"/>
      <c r="AGB485"/>
      <c r="AGC485"/>
      <c r="AGD485"/>
      <c r="AGE485"/>
      <c r="AGF485"/>
      <c r="AGG485"/>
      <c r="AGH485"/>
      <c r="AGI485"/>
      <c r="AGJ485"/>
      <c r="AGK485"/>
      <c r="AGL485"/>
      <c r="AGM485"/>
      <c r="AGN485"/>
      <c r="AGO485"/>
      <c r="AGP485"/>
      <c r="AGQ485"/>
      <c r="AGR485"/>
      <c r="AGS485"/>
      <c r="AGT485"/>
      <c r="AGU485"/>
      <c r="AGV485"/>
      <c r="AGW485"/>
      <c r="AGX485"/>
      <c r="AGY485"/>
      <c r="AGZ485"/>
      <c r="AHA485"/>
      <c r="AHB485"/>
      <c r="AHC485"/>
      <c r="AHD485"/>
      <c r="AHE485"/>
      <c r="AHF485"/>
      <c r="AHG485"/>
      <c r="AHH485"/>
      <c r="AHI485"/>
      <c r="AHJ485"/>
      <c r="AHK485"/>
      <c r="AHL485"/>
      <c r="AHM485"/>
      <c r="AHN485"/>
      <c r="AHO485"/>
      <c r="AHP485"/>
      <c r="AHQ485"/>
      <c r="AHR485"/>
      <c r="AHS485"/>
      <c r="AHT485"/>
      <c r="AHU485"/>
      <c r="AHV485"/>
      <c r="AHW485"/>
      <c r="AHX485"/>
      <c r="AHY485"/>
      <c r="AHZ485"/>
      <c r="AIA485"/>
      <c r="AIB485"/>
      <c r="AIC485"/>
      <c r="AID485"/>
      <c r="AIE485"/>
      <c r="AIF485"/>
      <c r="AIG485"/>
      <c r="AIH485"/>
      <c r="AII485"/>
      <c r="AIJ485"/>
      <c r="AIK485"/>
      <c r="AIL485"/>
      <c r="AIM485"/>
      <c r="AIN485"/>
      <c r="AIO485"/>
      <c r="AIP485"/>
      <c r="AIQ485"/>
      <c r="AIR485"/>
      <c r="AIS485"/>
      <c r="AIT485"/>
      <c r="AIU485"/>
      <c r="AIV485"/>
      <c r="AIW485"/>
      <c r="AIX485"/>
      <c r="AIY485"/>
      <c r="AIZ485"/>
      <c r="AJA485"/>
      <c r="AJB485"/>
      <c r="AJC485"/>
      <c r="AJD485"/>
      <c r="AJE485"/>
      <c r="AJF485"/>
      <c r="AJG485"/>
      <c r="AJH485"/>
      <c r="AJI485"/>
      <c r="AJJ485"/>
      <c r="AJK485"/>
      <c r="AJL485"/>
      <c r="AJM485"/>
      <c r="AJN485"/>
      <c r="AJO485"/>
      <c r="AJP485"/>
      <c r="AJQ485"/>
      <c r="AJR485"/>
      <c r="AJS485"/>
      <c r="AJT485"/>
      <c r="AJU485"/>
      <c r="AJV485"/>
      <c r="AJW485"/>
      <c r="AJX485"/>
      <c r="AJY485"/>
      <c r="AJZ485"/>
      <c r="AKA485"/>
      <c r="AKB485"/>
      <c r="AKC485"/>
      <c r="AKD485"/>
      <c r="AKE485"/>
      <c r="AKF485"/>
      <c r="AKG485"/>
      <c r="AKH485"/>
      <c r="AKI485"/>
      <c r="AKJ485"/>
      <c r="AKK485"/>
      <c r="AKL485"/>
      <c r="AKM485"/>
      <c r="AKN485"/>
      <c r="AKO485"/>
      <c r="AKP485"/>
      <c r="AKQ485"/>
      <c r="AKR485"/>
      <c r="AKS485"/>
      <c r="AKT485"/>
      <c r="AKU485"/>
      <c r="AKV485"/>
      <c r="AKW485"/>
      <c r="AKX485"/>
      <c r="AKY485"/>
      <c r="AKZ485"/>
      <c r="ALA485"/>
      <c r="ALB485"/>
      <c r="ALC485"/>
      <c r="ALD485"/>
      <c r="ALE485"/>
      <c r="ALF485"/>
      <c r="ALG485"/>
      <c r="ALH485"/>
      <c r="ALI485"/>
      <c r="ALJ485"/>
      <c r="ALK485"/>
      <c r="ALL485"/>
      <c r="ALM485"/>
      <c r="ALN485"/>
      <c r="ALO485"/>
      <c r="ALP485"/>
      <c r="ALQ485"/>
      <c r="ALR485"/>
      <c r="ALS485"/>
      <c r="ALT485"/>
    </row>
    <row r="486" spans="1:1008" ht="127" x14ac:dyDescent="0.2">
      <c r="A486" s="8" t="s">
        <v>4118</v>
      </c>
      <c r="B486" s="8" t="s">
        <v>3120</v>
      </c>
      <c r="C486" s="8" t="s">
        <v>4118</v>
      </c>
      <c r="D486" s="9"/>
      <c r="E486" s="8" t="s">
        <v>4116</v>
      </c>
      <c r="F486" s="23" t="s">
        <v>4117</v>
      </c>
      <c r="H486"/>
      <c r="I486" s="3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c r="CC486"/>
      <c r="CD486"/>
      <c r="CE486"/>
      <c r="CF486"/>
      <c r="CG486"/>
      <c r="CH486"/>
      <c r="CI486"/>
      <c r="CJ486"/>
      <c r="CK486"/>
      <c r="CL486"/>
      <c r="CM486"/>
      <c r="CN486"/>
      <c r="CO486"/>
      <c r="CP486"/>
      <c r="CQ486"/>
      <c r="CR486"/>
      <c r="CS486"/>
      <c r="CT486"/>
      <c r="CU486"/>
      <c r="CV486"/>
      <c r="CW486"/>
      <c r="CX486"/>
      <c r="CY486"/>
      <c r="CZ486"/>
      <c r="DA486"/>
      <c r="DB486"/>
      <c r="DC486"/>
      <c r="DD486"/>
      <c r="DE486"/>
      <c r="DF486"/>
      <c r="DG486"/>
      <c r="DH486"/>
      <c r="DI486"/>
      <c r="DJ486"/>
      <c r="DK486"/>
      <c r="DL486"/>
      <c r="DM486"/>
      <c r="DN486"/>
      <c r="DO486"/>
      <c r="DP486"/>
      <c r="DQ486"/>
      <c r="DR486"/>
      <c r="DS486"/>
      <c r="DT486"/>
      <c r="DU486"/>
      <c r="DV486"/>
      <c r="DW486"/>
      <c r="DX486"/>
      <c r="DY486"/>
      <c r="DZ486"/>
      <c r="EA486"/>
      <c r="EB486"/>
      <c r="EC486"/>
      <c r="ED486"/>
      <c r="EE486"/>
      <c r="EF486"/>
      <c r="EG486"/>
      <c r="EH486"/>
      <c r="EI486"/>
      <c r="EJ486"/>
      <c r="EK486"/>
      <c r="EL486"/>
      <c r="EM486"/>
      <c r="EN486"/>
      <c r="EO486"/>
      <c r="EP486"/>
      <c r="EQ486"/>
      <c r="ER486"/>
      <c r="ES486"/>
      <c r="ET486"/>
      <c r="EU486"/>
      <c r="EV486"/>
      <c r="EW486"/>
      <c r="EX486"/>
      <c r="EY486"/>
      <c r="EZ486"/>
      <c r="FA486"/>
      <c r="FB486"/>
      <c r="FC486"/>
      <c r="FD486"/>
      <c r="FE486"/>
      <c r="FF486"/>
      <c r="FG486"/>
      <c r="FH486"/>
      <c r="FI486"/>
      <c r="FJ486"/>
      <c r="FK486"/>
      <c r="FL486"/>
      <c r="FM486"/>
      <c r="FN486"/>
      <c r="FO486"/>
      <c r="FP486"/>
      <c r="FQ486"/>
      <c r="FR486"/>
      <c r="FS486"/>
      <c r="FT486"/>
      <c r="FU486"/>
      <c r="FV486"/>
      <c r="FW486"/>
      <c r="FX486"/>
      <c r="FY486"/>
      <c r="FZ486"/>
      <c r="GA486"/>
      <c r="GB486"/>
      <c r="GC486"/>
      <c r="GD486"/>
      <c r="GE486"/>
      <c r="GF486"/>
      <c r="GG486"/>
      <c r="GH486"/>
      <c r="GI486"/>
      <c r="GJ486"/>
      <c r="GK486"/>
      <c r="GL486"/>
      <c r="GM486"/>
      <c r="GN486"/>
      <c r="GO486"/>
      <c r="GP486"/>
      <c r="GQ486"/>
      <c r="GR486"/>
      <c r="GS486"/>
      <c r="GT486"/>
      <c r="GU486"/>
      <c r="GV486"/>
      <c r="GW486"/>
      <c r="GX486"/>
      <c r="GY486"/>
      <c r="GZ486"/>
      <c r="HA486"/>
      <c r="HB486"/>
      <c r="HC486"/>
      <c r="HD486"/>
      <c r="HE486"/>
      <c r="HF486"/>
      <c r="HG486"/>
      <c r="HH486"/>
      <c r="HI486"/>
      <c r="HJ486"/>
      <c r="HK486"/>
      <c r="HL486"/>
      <c r="HM486"/>
      <c r="HN486"/>
      <c r="HO486"/>
      <c r="HP486"/>
      <c r="HQ486"/>
      <c r="HR486"/>
      <c r="HS486"/>
      <c r="HT486"/>
      <c r="HU486"/>
      <c r="HV486"/>
      <c r="HW486"/>
      <c r="HX486"/>
      <c r="HY486"/>
      <c r="HZ486"/>
      <c r="IA486"/>
      <c r="IB486"/>
      <c r="IC486"/>
      <c r="ID486"/>
      <c r="IE486"/>
      <c r="IF486"/>
      <c r="IG486"/>
      <c r="IH486"/>
      <c r="II486"/>
      <c r="IJ486"/>
      <c r="IK486"/>
      <c r="IL486"/>
      <c r="IM486"/>
      <c r="IN486"/>
      <c r="IO486"/>
      <c r="IP486"/>
      <c r="IQ486"/>
      <c r="IR486"/>
      <c r="IS486"/>
      <c r="IT486"/>
      <c r="IU486"/>
      <c r="IV486"/>
      <c r="IW486"/>
      <c r="IX486"/>
      <c r="IY486"/>
      <c r="IZ486"/>
      <c r="JA486"/>
      <c r="JB486"/>
      <c r="JC486"/>
      <c r="JD486"/>
      <c r="JE486"/>
      <c r="JF486"/>
      <c r="JG486"/>
      <c r="JH486"/>
      <c r="JI486"/>
      <c r="JJ486"/>
      <c r="JK486"/>
      <c r="JL486"/>
      <c r="JM486"/>
      <c r="JN486"/>
      <c r="JO486"/>
      <c r="JP486"/>
      <c r="JQ486"/>
      <c r="JR486"/>
      <c r="JS486"/>
      <c r="JT486"/>
      <c r="JU486"/>
      <c r="JV486"/>
      <c r="JW486"/>
      <c r="JX486"/>
      <c r="JY486"/>
      <c r="JZ486"/>
      <c r="KA486"/>
      <c r="KB486"/>
      <c r="KC486"/>
      <c r="KD486"/>
      <c r="KE486"/>
      <c r="KF486"/>
      <c r="KG486"/>
      <c r="KH486"/>
      <c r="KI486"/>
      <c r="KJ486"/>
      <c r="KK486"/>
      <c r="KL486"/>
      <c r="KM486"/>
      <c r="KN486"/>
      <c r="KO486"/>
      <c r="KP486"/>
      <c r="KQ486"/>
      <c r="KR486"/>
      <c r="KS486"/>
      <c r="KT486"/>
      <c r="KU486"/>
      <c r="KV486"/>
      <c r="KW486"/>
      <c r="KX486"/>
      <c r="KY486"/>
      <c r="KZ486"/>
      <c r="LA486"/>
      <c r="LB486"/>
      <c r="LC486"/>
      <c r="LD486"/>
      <c r="LE486"/>
      <c r="LF486"/>
      <c r="LG486"/>
      <c r="LH486"/>
      <c r="LI486"/>
      <c r="LJ486"/>
      <c r="LK486"/>
      <c r="LL486"/>
      <c r="LM486"/>
      <c r="LN486"/>
      <c r="LO486"/>
      <c r="LP486"/>
      <c r="LQ486"/>
      <c r="LR486"/>
      <c r="LS486"/>
      <c r="LT486"/>
      <c r="LU486"/>
      <c r="LV486"/>
      <c r="LW486"/>
      <c r="LX486"/>
      <c r="LY486"/>
      <c r="LZ486"/>
      <c r="MA486"/>
      <c r="MB486"/>
      <c r="MC486"/>
      <c r="MD486"/>
      <c r="ME486"/>
      <c r="MF486"/>
      <c r="MG486"/>
      <c r="MH486"/>
      <c r="MI486"/>
      <c r="MJ486"/>
      <c r="MK486"/>
      <c r="ML486"/>
      <c r="MM486"/>
      <c r="MN486"/>
      <c r="MO486"/>
      <c r="MP486"/>
      <c r="MQ486"/>
      <c r="MR486"/>
      <c r="MS486"/>
      <c r="MT486"/>
      <c r="MU486"/>
      <c r="MV486"/>
      <c r="MW486"/>
      <c r="MX486"/>
      <c r="MY486"/>
      <c r="MZ486"/>
      <c r="NA486"/>
      <c r="NB486"/>
      <c r="NC486"/>
      <c r="ND486"/>
      <c r="NE486"/>
      <c r="NF486"/>
      <c r="NG486"/>
      <c r="NH486"/>
      <c r="NI486"/>
      <c r="NJ486"/>
      <c r="NK486"/>
      <c r="NL486"/>
      <c r="NM486"/>
      <c r="NN486"/>
      <c r="NO486"/>
      <c r="NP486"/>
      <c r="NQ486"/>
      <c r="NR486"/>
      <c r="NS486"/>
      <c r="NT486"/>
      <c r="NU486"/>
      <c r="NV486"/>
      <c r="NW486"/>
      <c r="NX486"/>
      <c r="NY486"/>
      <c r="NZ486"/>
      <c r="OA486"/>
      <c r="OB486"/>
      <c r="OC486"/>
      <c r="OD486"/>
      <c r="OE486"/>
      <c r="OF486"/>
      <c r="OG486"/>
      <c r="OH486"/>
      <c r="OI486"/>
      <c r="OJ486"/>
      <c r="OK486"/>
      <c r="OL486"/>
      <c r="OM486"/>
      <c r="ON486"/>
      <c r="OO486"/>
      <c r="OP486"/>
      <c r="OQ486"/>
      <c r="OR486"/>
      <c r="OS486"/>
      <c r="OT486"/>
      <c r="OU486"/>
      <c r="OV486"/>
      <c r="OW486"/>
      <c r="OX486"/>
      <c r="OY486"/>
      <c r="OZ486"/>
      <c r="PA486"/>
      <c r="PB486"/>
      <c r="PC486"/>
      <c r="PD486"/>
      <c r="PE486"/>
      <c r="PF486"/>
      <c r="PG486"/>
      <c r="PH486"/>
      <c r="PI486"/>
      <c r="PJ486"/>
      <c r="PK486"/>
      <c r="PL486"/>
      <c r="PM486"/>
      <c r="PN486"/>
      <c r="PO486"/>
      <c r="PP486"/>
      <c r="PQ486"/>
      <c r="PR486"/>
      <c r="PS486"/>
      <c r="PT486"/>
      <c r="PU486"/>
      <c r="PV486"/>
      <c r="PW486"/>
      <c r="PX486"/>
      <c r="PY486"/>
      <c r="PZ486"/>
      <c r="QA486"/>
      <c r="QB486"/>
      <c r="QC486"/>
      <c r="QD486"/>
      <c r="QE486"/>
      <c r="QF486"/>
      <c r="QG486"/>
      <c r="QH486"/>
      <c r="QI486"/>
      <c r="QJ486"/>
      <c r="QK486"/>
      <c r="QL486"/>
      <c r="QM486"/>
      <c r="QN486"/>
      <c r="QO486"/>
      <c r="QP486"/>
      <c r="QQ486"/>
      <c r="QR486"/>
      <c r="QS486"/>
      <c r="QT486"/>
      <c r="QU486"/>
      <c r="QV486"/>
      <c r="QW486"/>
      <c r="QX486"/>
      <c r="QY486"/>
      <c r="QZ486"/>
      <c r="RA486"/>
      <c r="RB486"/>
      <c r="RC486"/>
      <c r="RD486"/>
      <c r="RE486"/>
      <c r="RF486"/>
      <c r="RG486"/>
      <c r="RH486"/>
      <c r="RI486"/>
      <c r="RJ486"/>
      <c r="RK486"/>
      <c r="RL486"/>
      <c r="RM486"/>
      <c r="RN486"/>
      <c r="RO486"/>
      <c r="RP486"/>
      <c r="RQ486"/>
      <c r="RR486"/>
      <c r="RS486"/>
      <c r="RT486"/>
      <c r="RU486"/>
      <c r="RV486"/>
      <c r="RW486"/>
      <c r="RX486"/>
      <c r="RY486"/>
      <c r="RZ486"/>
      <c r="SA486"/>
      <c r="SB486"/>
      <c r="SC486"/>
      <c r="SD486"/>
      <c r="SE486"/>
      <c r="SF486"/>
      <c r="SG486"/>
      <c r="SH486"/>
      <c r="SI486"/>
      <c r="SJ486"/>
      <c r="SK486"/>
      <c r="SL486"/>
      <c r="SM486"/>
      <c r="SN486"/>
      <c r="SO486"/>
      <c r="SP486"/>
      <c r="SQ486"/>
      <c r="SR486"/>
      <c r="SS486"/>
      <c r="ST486"/>
      <c r="SU486"/>
      <c r="SV486"/>
      <c r="SW486"/>
      <c r="SX486"/>
      <c r="SY486"/>
      <c r="SZ486"/>
      <c r="TA486"/>
      <c r="TB486"/>
      <c r="TC486"/>
      <c r="TD486"/>
      <c r="TE486"/>
      <c r="TF486"/>
      <c r="TG486"/>
      <c r="TH486"/>
      <c r="TI486"/>
      <c r="TJ486"/>
      <c r="TK486"/>
      <c r="TL486"/>
      <c r="TM486"/>
      <c r="TN486"/>
      <c r="TO486"/>
      <c r="TP486"/>
      <c r="TQ486"/>
      <c r="TR486"/>
      <c r="TS486"/>
      <c r="TT486"/>
      <c r="TU486"/>
      <c r="TV486"/>
      <c r="TW486"/>
      <c r="TX486"/>
      <c r="TY486"/>
      <c r="TZ486"/>
      <c r="UA486"/>
      <c r="UB486"/>
      <c r="UC486"/>
      <c r="UD486"/>
      <c r="UE486"/>
      <c r="UF486"/>
      <c r="UG486"/>
      <c r="UH486"/>
      <c r="UI486"/>
      <c r="UJ486"/>
      <c r="UK486"/>
      <c r="UL486"/>
      <c r="UM486"/>
      <c r="UN486"/>
      <c r="UO486"/>
      <c r="UP486"/>
      <c r="UQ486"/>
      <c r="UR486"/>
      <c r="US486"/>
      <c r="UT486"/>
      <c r="UU486"/>
      <c r="UV486"/>
      <c r="UW486"/>
      <c r="UX486"/>
      <c r="UY486"/>
      <c r="UZ486"/>
      <c r="VA486"/>
      <c r="VB486"/>
      <c r="VC486"/>
      <c r="VD486"/>
      <c r="VE486"/>
      <c r="VF486"/>
      <c r="VG486"/>
      <c r="VH486"/>
      <c r="VI486"/>
      <c r="VJ486"/>
      <c r="VK486"/>
      <c r="VL486"/>
      <c r="VM486"/>
      <c r="VN486"/>
      <c r="VO486"/>
      <c r="VP486"/>
      <c r="VQ486"/>
      <c r="VR486"/>
      <c r="VS486"/>
      <c r="VT486"/>
      <c r="VU486"/>
      <c r="VV486"/>
      <c r="VW486"/>
      <c r="VX486"/>
      <c r="VY486"/>
      <c r="VZ486"/>
      <c r="WA486"/>
      <c r="WB486"/>
      <c r="WC486"/>
      <c r="WD486"/>
      <c r="WE486"/>
      <c r="WF486"/>
      <c r="WG486"/>
      <c r="WH486"/>
      <c r="WI486"/>
      <c r="WJ486"/>
      <c r="WK486"/>
      <c r="WL486"/>
      <c r="WM486"/>
      <c r="WN486"/>
      <c r="WO486"/>
      <c r="WP486"/>
      <c r="WQ486"/>
      <c r="WR486"/>
      <c r="WS486"/>
      <c r="WT486"/>
      <c r="WU486"/>
      <c r="WV486"/>
      <c r="WW486"/>
      <c r="WX486"/>
      <c r="WY486"/>
      <c r="WZ486"/>
      <c r="XA486"/>
      <c r="XB486"/>
      <c r="XC486"/>
      <c r="XD486"/>
      <c r="XE486"/>
      <c r="XF486"/>
      <c r="XG486"/>
      <c r="XH486"/>
      <c r="XI486"/>
      <c r="XJ486"/>
      <c r="XK486"/>
      <c r="XL486"/>
      <c r="XM486"/>
      <c r="XN486"/>
      <c r="XO486"/>
      <c r="XP486"/>
      <c r="XQ486"/>
      <c r="XR486"/>
      <c r="XS486"/>
      <c r="XT486"/>
      <c r="XU486"/>
      <c r="XV486"/>
      <c r="XW486"/>
      <c r="XX486"/>
      <c r="XY486"/>
      <c r="XZ486"/>
      <c r="YA486"/>
      <c r="YB486"/>
      <c r="YC486"/>
      <c r="YD486"/>
      <c r="YE486"/>
      <c r="YF486"/>
      <c r="YG486"/>
      <c r="YH486"/>
      <c r="YI486"/>
      <c r="YJ486"/>
      <c r="YK486"/>
      <c r="YL486"/>
      <c r="YM486"/>
      <c r="YN486"/>
      <c r="YO486"/>
      <c r="YP486"/>
      <c r="YQ486"/>
      <c r="YR486"/>
      <c r="YS486"/>
      <c r="YT486"/>
      <c r="YU486"/>
      <c r="YV486"/>
      <c r="YW486"/>
      <c r="YX486"/>
      <c r="YY486"/>
      <c r="YZ486"/>
      <c r="ZA486"/>
      <c r="ZB486"/>
      <c r="ZC486"/>
      <c r="ZD486"/>
      <c r="ZE486"/>
      <c r="ZF486"/>
      <c r="ZG486"/>
      <c r="ZH486"/>
      <c r="ZI486"/>
      <c r="ZJ486"/>
      <c r="ZK486"/>
      <c r="ZL486"/>
      <c r="ZM486"/>
      <c r="ZN486"/>
      <c r="ZO486"/>
      <c r="ZP486"/>
      <c r="ZQ486"/>
      <c r="ZR486"/>
      <c r="ZS486"/>
      <c r="ZT486"/>
      <c r="ZU486"/>
      <c r="ZV486"/>
      <c r="ZW486"/>
      <c r="ZX486"/>
      <c r="ZY486"/>
      <c r="ZZ486"/>
      <c r="AAA486"/>
      <c r="AAB486"/>
      <c r="AAC486"/>
      <c r="AAD486"/>
      <c r="AAE486"/>
      <c r="AAF486"/>
      <c r="AAG486"/>
      <c r="AAH486"/>
      <c r="AAI486"/>
      <c r="AAJ486"/>
      <c r="AAK486"/>
      <c r="AAL486"/>
      <c r="AAM486"/>
      <c r="AAN486"/>
      <c r="AAO486"/>
      <c r="AAP486"/>
      <c r="AAQ486"/>
      <c r="AAR486"/>
      <c r="AAS486"/>
      <c r="AAT486"/>
      <c r="AAU486"/>
      <c r="AAV486"/>
      <c r="AAW486"/>
      <c r="AAX486"/>
      <c r="AAY486"/>
      <c r="AAZ486"/>
      <c r="ABA486"/>
      <c r="ABB486"/>
      <c r="ABC486"/>
      <c r="ABD486"/>
      <c r="ABE486"/>
      <c r="ABF486"/>
      <c r="ABG486"/>
      <c r="ABH486"/>
      <c r="ABI486"/>
      <c r="ABJ486"/>
      <c r="ABK486"/>
      <c r="ABL486"/>
      <c r="ABM486"/>
      <c r="ABN486"/>
      <c r="ABO486"/>
      <c r="ABP486"/>
      <c r="ABQ486"/>
      <c r="ABR486"/>
      <c r="ABS486"/>
      <c r="ABT486"/>
      <c r="ABU486"/>
      <c r="ABV486"/>
      <c r="ABW486"/>
      <c r="ABX486"/>
      <c r="ABY486"/>
      <c r="ABZ486"/>
      <c r="ACA486"/>
      <c r="ACB486"/>
      <c r="ACC486"/>
      <c r="ACD486"/>
      <c r="ACE486"/>
      <c r="ACF486"/>
      <c r="ACG486"/>
      <c r="ACH486"/>
      <c r="ACI486"/>
      <c r="ACJ486"/>
      <c r="ACK486"/>
      <c r="ACL486"/>
      <c r="ACM486"/>
      <c r="ACN486"/>
      <c r="ACO486"/>
      <c r="ACP486"/>
      <c r="ACQ486"/>
      <c r="ACR486"/>
      <c r="ACS486"/>
      <c r="ACT486"/>
      <c r="ACU486"/>
      <c r="ACV486"/>
      <c r="ACW486"/>
      <c r="ACX486"/>
      <c r="ACY486"/>
      <c r="ACZ486"/>
      <c r="ADA486"/>
      <c r="ADB486"/>
      <c r="ADC486"/>
      <c r="ADD486"/>
      <c r="ADE486"/>
      <c r="ADF486"/>
      <c r="ADG486"/>
      <c r="ADH486"/>
      <c r="ADI486"/>
      <c r="ADJ486"/>
      <c r="ADK486"/>
      <c r="ADL486"/>
      <c r="ADM486"/>
      <c r="ADN486"/>
      <c r="ADO486"/>
      <c r="ADP486"/>
      <c r="ADQ486"/>
      <c r="ADR486"/>
      <c r="ADS486"/>
      <c r="ADT486"/>
      <c r="ADU486"/>
      <c r="ADV486"/>
      <c r="ADW486"/>
      <c r="ADX486"/>
      <c r="ADY486"/>
      <c r="ADZ486"/>
      <c r="AEA486"/>
      <c r="AEB486"/>
      <c r="AEC486"/>
      <c r="AED486"/>
      <c r="AEE486"/>
      <c r="AEF486"/>
      <c r="AEG486"/>
      <c r="AEH486"/>
      <c r="AEI486"/>
      <c r="AEJ486"/>
      <c r="AEK486"/>
      <c r="AEL486"/>
      <c r="AEM486"/>
      <c r="AEN486"/>
      <c r="AEO486"/>
      <c r="AEP486"/>
      <c r="AEQ486"/>
      <c r="AER486"/>
      <c r="AES486"/>
      <c r="AET486"/>
      <c r="AEU486"/>
      <c r="AEV486"/>
      <c r="AEW486"/>
      <c r="AEX486"/>
      <c r="AEY486"/>
      <c r="AEZ486"/>
      <c r="AFA486"/>
      <c r="AFB486"/>
      <c r="AFC486"/>
      <c r="AFD486"/>
      <c r="AFE486"/>
      <c r="AFF486"/>
      <c r="AFG486"/>
      <c r="AFH486"/>
      <c r="AFI486"/>
      <c r="AFJ486"/>
      <c r="AFK486"/>
      <c r="AFL486"/>
      <c r="AFM486"/>
      <c r="AFN486"/>
      <c r="AFO486"/>
      <c r="AFP486"/>
      <c r="AFQ486"/>
      <c r="AFR486"/>
      <c r="AFS486"/>
      <c r="AFT486"/>
      <c r="AFU486"/>
      <c r="AFV486"/>
      <c r="AFW486"/>
      <c r="AFX486"/>
      <c r="AFY486"/>
      <c r="AFZ486"/>
      <c r="AGA486"/>
      <c r="AGB486"/>
      <c r="AGC486"/>
      <c r="AGD486"/>
      <c r="AGE486"/>
      <c r="AGF486"/>
      <c r="AGG486"/>
      <c r="AGH486"/>
      <c r="AGI486"/>
      <c r="AGJ486"/>
      <c r="AGK486"/>
      <c r="AGL486"/>
      <c r="AGM486"/>
      <c r="AGN486"/>
      <c r="AGO486"/>
      <c r="AGP486"/>
      <c r="AGQ486"/>
      <c r="AGR486"/>
      <c r="AGS486"/>
      <c r="AGT486"/>
      <c r="AGU486"/>
      <c r="AGV486"/>
      <c r="AGW486"/>
      <c r="AGX486"/>
      <c r="AGY486"/>
      <c r="AGZ486"/>
      <c r="AHA486"/>
      <c r="AHB486"/>
      <c r="AHC486"/>
      <c r="AHD486"/>
      <c r="AHE486"/>
      <c r="AHF486"/>
      <c r="AHG486"/>
      <c r="AHH486"/>
      <c r="AHI486"/>
      <c r="AHJ486"/>
      <c r="AHK486"/>
      <c r="AHL486"/>
      <c r="AHM486"/>
      <c r="AHN486"/>
      <c r="AHO486"/>
      <c r="AHP486"/>
      <c r="AHQ486"/>
      <c r="AHR486"/>
      <c r="AHS486"/>
      <c r="AHT486"/>
      <c r="AHU486"/>
      <c r="AHV486"/>
      <c r="AHW486"/>
      <c r="AHX486"/>
      <c r="AHY486"/>
      <c r="AHZ486"/>
      <c r="AIA486"/>
      <c r="AIB486"/>
      <c r="AIC486"/>
      <c r="AID486"/>
      <c r="AIE486"/>
      <c r="AIF486"/>
      <c r="AIG486"/>
      <c r="AIH486"/>
      <c r="AII486"/>
      <c r="AIJ486"/>
      <c r="AIK486"/>
      <c r="AIL486"/>
      <c r="AIM486"/>
      <c r="AIN486"/>
      <c r="AIO486"/>
      <c r="AIP486"/>
      <c r="AIQ486"/>
      <c r="AIR486"/>
      <c r="AIS486"/>
      <c r="AIT486"/>
      <c r="AIU486"/>
      <c r="AIV486"/>
      <c r="AIW486"/>
      <c r="AIX486"/>
      <c r="AIY486"/>
      <c r="AIZ486"/>
      <c r="AJA486"/>
      <c r="AJB486"/>
      <c r="AJC486"/>
      <c r="AJD486"/>
      <c r="AJE486"/>
      <c r="AJF486"/>
      <c r="AJG486"/>
      <c r="AJH486"/>
      <c r="AJI486"/>
      <c r="AJJ486"/>
      <c r="AJK486"/>
      <c r="AJL486"/>
      <c r="AJM486"/>
      <c r="AJN486"/>
      <c r="AJO486"/>
      <c r="AJP486"/>
      <c r="AJQ486"/>
      <c r="AJR486"/>
      <c r="AJS486"/>
      <c r="AJT486"/>
      <c r="AJU486"/>
      <c r="AJV486"/>
      <c r="AJW486"/>
      <c r="AJX486"/>
      <c r="AJY486"/>
      <c r="AJZ486"/>
      <c r="AKA486"/>
      <c r="AKB486"/>
      <c r="AKC486"/>
      <c r="AKD486"/>
      <c r="AKE486"/>
      <c r="AKF486"/>
      <c r="AKG486"/>
      <c r="AKH486"/>
      <c r="AKI486"/>
      <c r="AKJ486"/>
      <c r="AKK486"/>
      <c r="AKL486"/>
      <c r="AKM486"/>
      <c r="AKN486"/>
      <c r="AKO486"/>
      <c r="AKP486"/>
      <c r="AKQ486"/>
      <c r="AKR486"/>
      <c r="AKS486"/>
      <c r="AKT486"/>
      <c r="AKU486"/>
      <c r="AKV486"/>
      <c r="AKW486"/>
      <c r="AKX486"/>
      <c r="AKY486"/>
      <c r="AKZ486"/>
      <c r="ALA486"/>
      <c r="ALB486"/>
      <c r="ALC486"/>
      <c r="ALD486"/>
      <c r="ALE486"/>
      <c r="ALF486"/>
      <c r="ALG486"/>
      <c r="ALH486"/>
      <c r="ALI486"/>
      <c r="ALJ486"/>
      <c r="ALK486"/>
      <c r="ALL486"/>
      <c r="ALM486"/>
      <c r="ALN486"/>
      <c r="ALO486"/>
      <c r="ALP486"/>
      <c r="ALQ486"/>
      <c r="ALR486"/>
      <c r="ALS486"/>
      <c r="ALT486"/>
    </row>
    <row r="487" spans="1:1008" x14ac:dyDescent="0.15">
      <c r="A487" s="8" t="s">
        <v>1321</v>
      </c>
      <c r="B487" s="8" t="s">
        <v>124</v>
      </c>
      <c r="C487" s="8" t="str">
        <f t="shared" si="7"/>
        <v>arg0</v>
      </c>
      <c r="D487" s="9" t="s">
        <v>15</v>
      </c>
      <c r="E487" s="8" t="s">
        <v>1322</v>
      </c>
      <c r="F487" s="8" t="s">
        <v>1323</v>
      </c>
      <c r="G487" s="8">
        <v>500</v>
      </c>
    </row>
    <row r="488" spans="1:1008" x14ac:dyDescent="0.15">
      <c r="A488" s="8" t="s">
        <v>1324</v>
      </c>
      <c r="B488" s="8" t="s">
        <v>124</v>
      </c>
      <c r="C488" s="8" t="str">
        <f t="shared" si="7"/>
        <v>arg10</v>
      </c>
      <c r="D488" s="9" t="s">
        <v>15</v>
      </c>
      <c r="E488" s="8" t="s">
        <v>1325</v>
      </c>
      <c r="F488" s="8" t="s">
        <v>1326</v>
      </c>
      <c r="G488" s="8">
        <v>500</v>
      </c>
    </row>
    <row r="489" spans="1:1008" x14ac:dyDescent="0.15">
      <c r="A489" s="8" t="s">
        <v>1327</v>
      </c>
      <c r="B489" s="8" t="s">
        <v>124</v>
      </c>
      <c r="C489" s="8" t="str">
        <f t="shared" si="7"/>
        <v>arg6</v>
      </c>
      <c r="D489" s="9" t="s">
        <v>15</v>
      </c>
      <c r="E489" s="8" t="s">
        <v>1328</v>
      </c>
      <c r="F489" s="8" t="s">
        <v>1329</v>
      </c>
      <c r="G489" s="8">
        <v>500</v>
      </c>
    </row>
    <row r="490" spans="1:1008" x14ac:dyDescent="0.15">
      <c r="A490" s="8" t="s">
        <v>1330</v>
      </c>
      <c r="B490" s="8" t="s">
        <v>124</v>
      </c>
      <c r="C490" s="8" t="str">
        <f t="shared" si="7"/>
        <v>lys0</v>
      </c>
      <c r="D490" s="9" t="s">
        <v>15</v>
      </c>
      <c r="E490" s="8" t="s">
        <v>1331</v>
      </c>
      <c r="F490" s="9" t="s">
        <v>2866</v>
      </c>
      <c r="G490" s="8">
        <v>500</v>
      </c>
    </row>
    <row r="491" spans="1:1008" x14ac:dyDescent="0.15">
      <c r="A491" s="8" t="s">
        <v>1332</v>
      </c>
      <c r="B491" s="8" t="s">
        <v>124</v>
      </c>
      <c r="C491" s="8" t="str">
        <f t="shared" si="7"/>
        <v>lys4</v>
      </c>
      <c r="D491" s="9" t="s">
        <v>15</v>
      </c>
      <c r="E491" s="8" t="s">
        <v>1333</v>
      </c>
      <c r="F491" s="8" t="s">
        <v>1334</v>
      </c>
      <c r="G491" s="8">
        <v>500</v>
      </c>
    </row>
    <row r="492" spans="1:1008" x14ac:dyDescent="0.15">
      <c r="A492" s="8" t="s">
        <v>1335</v>
      </c>
      <c r="B492" s="8" t="s">
        <v>124</v>
      </c>
      <c r="C492" s="8" t="str">
        <f t="shared" si="7"/>
        <v>lys6</v>
      </c>
      <c r="D492" s="9" t="s">
        <v>15</v>
      </c>
      <c r="E492" s="8" t="s">
        <v>1336</v>
      </c>
      <c r="F492" s="8" t="s">
        <v>1337</v>
      </c>
      <c r="G492" s="8">
        <v>500</v>
      </c>
    </row>
    <row r="493" spans="1:1008" x14ac:dyDescent="0.15">
      <c r="A493" s="8" t="s">
        <v>1338</v>
      </c>
      <c r="B493" s="8" t="s">
        <v>124</v>
      </c>
      <c r="C493" s="8" t="str">
        <f t="shared" si="7"/>
        <v>lys8</v>
      </c>
      <c r="D493" s="9" t="s">
        <v>15</v>
      </c>
      <c r="E493" s="8" t="s">
        <v>1339</v>
      </c>
      <c r="F493" s="8" t="s">
        <v>1340</v>
      </c>
      <c r="G493" s="8">
        <v>500</v>
      </c>
    </row>
    <row r="494" spans="1:1008" x14ac:dyDescent="0.15">
      <c r="A494" s="8" t="s">
        <v>2868</v>
      </c>
      <c r="B494" s="8" t="s">
        <v>124</v>
      </c>
      <c r="C494" s="8" t="str">
        <f t="shared" si="7"/>
        <v>lys0arg0</v>
      </c>
      <c r="D494" s="9" t="s">
        <v>15</v>
      </c>
      <c r="E494" s="8" t="s">
        <v>2867</v>
      </c>
      <c r="F494" s="8" t="s">
        <v>2875</v>
      </c>
      <c r="G494" s="8">
        <v>500</v>
      </c>
    </row>
    <row r="495" spans="1:1008" x14ac:dyDescent="0.15">
      <c r="A495" s="8" t="s">
        <v>2869</v>
      </c>
      <c r="B495" s="8" t="s">
        <v>124</v>
      </c>
      <c r="C495" s="8" t="str">
        <f t="shared" si="7"/>
        <v>lys4arg6</v>
      </c>
      <c r="D495" s="9"/>
      <c r="E495" s="8" t="s">
        <v>2870</v>
      </c>
      <c r="F495" s="8" t="s">
        <v>2874</v>
      </c>
      <c r="G495" s="8">
        <v>500</v>
      </c>
    </row>
    <row r="496" spans="1:1008" x14ac:dyDescent="0.15">
      <c r="A496" s="8" t="s">
        <v>2871</v>
      </c>
      <c r="B496" s="8" t="s">
        <v>124</v>
      </c>
      <c r="C496" s="8" t="str">
        <f t="shared" si="7"/>
        <v>lys8arg10</v>
      </c>
      <c r="D496" s="9"/>
      <c r="E496" s="8" t="s">
        <v>2872</v>
      </c>
      <c r="F496" s="8" t="s">
        <v>2873</v>
      </c>
      <c r="G496" s="8">
        <v>500</v>
      </c>
    </row>
    <row r="497" spans="1:7" x14ac:dyDescent="0.15">
      <c r="A497" s="8" t="s">
        <v>1341</v>
      </c>
      <c r="B497" s="8" t="s">
        <v>126</v>
      </c>
      <c r="C497" s="8" t="str">
        <f t="shared" si="7"/>
        <v>abc_transporters</v>
      </c>
      <c r="D497" s="9" t="s">
        <v>15</v>
      </c>
      <c r="E497" s="8" t="s">
        <v>1342</v>
      </c>
      <c r="F497" s="8" t="s">
        <v>1343</v>
      </c>
      <c r="G497" s="8">
        <v>500</v>
      </c>
    </row>
    <row r="498" spans="1:7" x14ac:dyDescent="0.15">
      <c r="A498" s="8" t="s">
        <v>1344</v>
      </c>
      <c r="B498" s="8" t="s">
        <v>126</v>
      </c>
      <c r="C498" s="8" t="str">
        <f t="shared" si="7"/>
        <v>amidoxime_reducing_complex</v>
      </c>
      <c r="D498" s="9" t="s">
        <v>15</v>
      </c>
      <c r="E498" s="8" t="s">
        <v>1345</v>
      </c>
      <c r="F498" s="8" t="s">
        <v>1346</v>
      </c>
      <c r="G498" s="8">
        <v>500</v>
      </c>
    </row>
    <row r="499" spans="1:7" x14ac:dyDescent="0.15">
      <c r="A499" s="8" t="s">
        <v>1347</v>
      </c>
      <c r="B499" s="8" t="s">
        <v>126</v>
      </c>
      <c r="C499" s="8" t="str">
        <f t="shared" si="7"/>
        <v>amino_acid_metabolism</v>
      </c>
      <c r="D499" s="9" t="s">
        <v>15</v>
      </c>
      <c r="E499" s="8" t="s">
        <v>1348</v>
      </c>
      <c r="F499" s="8" t="s">
        <v>1349</v>
      </c>
      <c r="G499" s="8">
        <v>500</v>
      </c>
    </row>
    <row r="500" spans="1:7" x14ac:dyDescent="0.15">
      <c r="A500" s="8" t="s">
        <v>1350</v>
      </c>
      <c r="B500" s="8" t="s">
        <v>126</v>
      </c>
      <c r="C500" s="8" t="str">
        <f t="shared" si="7"/>
        <v>apoptosis</v>
      </c>
      <c r="D500" s="9" t="s">
        <v>15</v>
      </c>
      <c r="E500" s="8" t="s">
        <v>1351</v>
      </c>
      <c r="F500" s="8" t="s">
        <v>1352</v>
      </c>
      <c r="G500" s="8">
        <v>500</v>
      </c>
    </row>
    <row r="501" spans="1:7" x14ac:dyDescent="0.15">
      <c r="A501" s="8" t="s">
        <v>1353</v>
      </c>
      <c r="B501" s="8" t="s">
        <v>126</v>
      </c>
      <c r="C501" s="8" t="str">
        <f t="shared" si="7"/>
        <v>autophagy</v>
      </c>
      <c r="D501" s="9" t="s">
        <v>15</v>
      </c>
      <c r="E501" s="8" t="s">
        <v>1354</v>
      </c>
      <c r="F501" s="8" t="s">
        <v>1355</v>
      </c>
      <c r="G501" s="8">
        <v>500</v>
      </c>
    </row>
    <row r="502" spans="1:7" x14ac:dyDescent="0.15">
      <c r="A502" s="8" t="s">
        <v>1356</v>
      </c>
      <c r="B502" s="8" t="s">
        <v>126</v>
      </c>
      <c r="C502" s="8" t="str">
        <f t="shared" si="7"/>
        <v>biotin_utilizing_proteins</v>
      </c>
      <c r="D502" s="9" t="s">
        <v>15</v>
      </c>
      <c r="E502" s="8" t="s">
        <v>1357</v>
      </c>
      <c r="F502" s="8" t="s">
        <v>1358</v>
      </c>
      <c r="G502" s="8">
        <v>500</v>
      </c>
    </row>
    <row r="503" spans="1:7" x14ac:dyDescent="0.15">
      <c r="A503" s="8" t="s">
        <v>1359</v>
      </c>
      <c r="B503" s="8" t="s">
        <v>126</v>
      </c>
      <c r="C503" s="8" t="str">
        <f t="shared" si="7"/>
        <v>branched_chain_amino_acid_dehydrogenase_complex</v>
      </c>
      <c r="D503" s="9" t="s">
        <v>15</v>
      </c>
      <c r="E503" s="8" t="s">
        <v>1360</v>
      </c>
      <c r="F503" s="8" t="s">
        <v>1361</v>
      </c>
      <c r="G503" s="8">
        <v>500</v>
      </c>
    </row>
    <row r="504" spans="1:7" x14ac:dyDescent="0.15">
      <c r="A504" s="8" t="s">
        <v>1362</v>
      </c>
      <c r="B504" s="8" t="s">
        <v>126</v>
      </c>
      <c r="C504" s="8" t="str">
        <f t="shared" si="7"/>
        <v>branched_chain_amino_acid_metabolism</v>
      </c>
      <c r="D504" s="9" t="s">
        <v>15</v>
      </c>
      <c r="E504" s="8" t="s">
        <v>1363</v>
      </c>
      <c r="F504" s="8" t="s">
        <v>1364</v>
      </c>
      <c r="G504" s="8">
        <v>500</v>
      </c>
    </row>
    <row r="505" spans="1:7" x14ac:dyDescent="0.15">
      <c r="A505" s="8" t="s">
        <v>1365</v>
      </c>
      <c r="B505" s="8" t="s">
        <v>126</v>
      </c>
      <c r="C505" s="8" t="str">
        <f t="shared" si="7"/>
        <v>calcium_cycle</v>
      </c>
      <c r="D505" s="9" t="s">
        <v>15</v>
      </c>
      <c r="E505" s="8" t="s">
        <v>1366</v>
      </c>
      <c r="F505" s="8" t="s">
        <v>1367</v>
      </c>
      <c r="G505" s="8">
        <v>500</v>
      </c>
    </row>
    <row r="506" spans="1:7" x14ac:dyDescent="0.15">
      <c r="A506" s="8" t="s">
        <v>1368</v>
      </c>
      <c r="B506" s="8" t="s">
        <v>126</v>
      </c>
      <c r="C506" s="8" t="str">
        <f t="shared" si="7"/>
        <v>calcium_homeostasis</v>
      </c>
      <c r="D506" s="9" t="s">
        <v>15</v>
      </c>
      <c r="E506" s="8" t="s">
        <v>1369</v>
      </c>
      <c r="F506" s="8" t="s">
        <v>1370</v>
      </c>
      <c r="G506" s="8">
        <v>500</v>
      </c>
    </row>
    <row r="507" spans="1:7" x14ac:dyDescent="0.15">
      <c r="A507" s="8" t="s">
        <v>1371</v>
      </c>
      <c r="B507" s="8" t="s">
        <v>126</v>
      </c>
      <c r="C507" s="8" t="str">
        <f t="shared" si="7"/>
        <v>calcium_uniporter</v>
      </c>
      <c r="D507" s="9" t="s">
        <v>15</v>
      </c>
      <c r="E507" s="8" t="s">
        <v>1372</v>
      </c>
      <c r="F507" s="8" t="s">
        <v>1373</v>
      </c>
      <c r="G507" s="8">
        <v>500</v>
      </c>
    </row>
    <row r="508" spans="1:7" x14ac:dyDescent="0.15">
      <c r="A508" s="8" t="s">
        <v>1374</v>
      </c>
      <c r="B508" s="8" t="s">
        <v>126</v>
      </c>
      <c r="C508" s="8" t="str">
        <f t="shared" si="7"/>
        <v>camp_pka_signaling</v>
      </c>
      <c r="D508" s="9" t="s">
        <v>15</v>
      </c>
      <c r="E508" s="8" t="s">
        <v>1375</v>
      </c>
      <c r="F508" s="8" t="s">
        <v>1376</v>
      </c>
      <c r="G508" s="8">
        <v>500</v>
      </c>
    </row>
    <row r="509" spans="1:7" x14ac:dyDescent="0.15">
      <c r="A509" s="8" t="s">
        <v>1377</v>
      </c>
      <c r="B509" s="8" t="s">
        <v>126</v>
      </c>
      <c r="C509" s="8" t="str">
        <f t="shared" si="7"/>
        <v>carbohydrate_metabolism</v>
      </c>
      <c r="D509" s="9" t="s">
        <v>15</v>
      </c>
      <c r="E509" s="8" t="s">
        <v>1378</v>
      </c>
      <c r="F509" s="8" t="s">
        <v>1379</v>
      </c>
      <c r="G509" s="8">
        <v>500</v>
      </c>
    </row>
    <row r="510" spans="1:7" x14ac:dyDescent="0.15">
      <c r="A510" s="8" t="s">
        <v>1380</v>
      </c>
      <c r="B510" s="8" t="s">
        <v>126</v>
      </c>
      <c r="C510" s="8" t="str">
        <f t="shared" si="7"/>
        <v>cardiolipin_synthesis</v>
      </c>
      <c r="D510" s="9" t="s">
        <v>15</v>
      </c>
      <c r="E510" s="8" t="s">
        <v>1381</v>
      </c>
      <c r="F510" s="8" t="s">
        <v>1382</v>
      </c>
      <c r="G510" s="8">
        <v>500</v>
      </c>
    </row>
    <row r="511" spans="1:7" x14ac:dyDescent="0.15">
      <c r="A511" s="8" t="s">
        <v>1383</v>
      </c>
      <c r="B511" s="8" t="s">
        <v>126</v>
      </c>
      <c r="C511" s="8" t="str">
        <f t="shared" si="7"/>
        <v>carnitine_shuttle</v>
      </c>
      <c r="D511" s="9" t="s">
        <v>15</v>
      </c>
      <c r="E511" s="8" t="s">
        <v>1384</v>
      </c>
      <c r="F511" s="8" t="s">
        <v>1385</v>
      </c>
      <c r="G511" s="8">
        <v>500</v>
      </c>
    </row>
    <row r="512" spans="1:7" x14ac:dyDescent="0.15">
      <c r="A512" s="8" t="s">
        <v>1386</v>
      </c>
      <c r="B512" s="8" t="s">
        <v>126</v>
      </c>
      <c r="C512" s="8" t="str">
        <f t="shared" si="7"/>
        <v>carnitine_synthesis_and_transport</v>
      </c>
      <c r="D512" s="9" t="s">
        <v>15</v>
      </c>
      <c r="E512" s="8" t="s">
        <v>1387</v>
      </c>
      <c r="F512" s="8" t="s">
        <v>1388</v>
      </c>
      <c r="G512" s="8">
        <v>500</v>
      </c>
    </row>
    <row r="513" spans="1:7" x14ac:dyDescent="0.15">
      <c r="A513" s="8" t="s">
        <v>1389</v>
      </c>
      <c r="B513" s="8" t="s">
        <v>126</v>
      </c>
      <c r="C513" s="8" t="str">
        <f t="shared" si="7"/>
        <v>catechol_metabolism</v>
      </c>
      <c r="D513" s="9" t="s">
        <v>15</v>
      </c>
      <c r="E513" s="8" t="s">
        <v>1390</v>
      </c>
      <c r="F513" s="8" t="s">
        <v>1391</v>
      </c>
      <c r="G513" s="8">
        <v>500</v>
      </c>
    </row>
    <row r="514" spans="1:7" x14ac:dyDescent="0.15">
      <c r="A514" s="8" t="s">
        <v>1392</v>
      </c>
      <c r="B514" s="8" t="s">
        <v>126</v>
      </c>
      <c r="C514" s="8" t="str">
        <f t="shared" si="7"/>
        <v>chaperones</v>
      </c>
      <c r="D514" s="9" t="s">
        <v>15</v>
      </c>
      <c r="E514" s="8" t="s">
        <v>1393</v>
      </c>
      <c r="F514" s="8" t="s">
        <v>1394</v>
      </c>
      <c r="G514" s="8">
        <v>500</v>
      </c>
    </row>
    <row r="515" spans="1:7" x14ac:dyDescent="0.15">
      <c r="A515" s="8" t="s">
        <v>1395</v>
      </c>
      <c r="B515" s="8" t="s">
        <v>126</v>
      </c>
      <c r="C515" s="8" t="str">
        <f t="shared" si="7"/>
        <v>cholesterol_associated</v>
      </c>
      <c r="D515" s="9" t="s">
        <v>15</v>
      </c>
      <c r="E515" s="8" t="s">
        <v>1396</v>
      </c>
      <c r="F515" s="8" t="s">
        <v>1397</v>
      </c>
      <c r="G515" s="8">
        <v>500</v>
      </c>
    </row>
    <row r="516" spans="1:7" x14ac:dyDescent="0.15">
      <c r="A516" s="8" t="s">
        <v>1398</v>
      </c>
      <c r="B516" s="8" t="s">
        <v>126</v>
      </c>
      <c r="C516" s="8" t="str">
        <f t="shared" si="7"/>
        <v>choline_and_betaine_metabolism</v>
      </c>
      <c r="D516" s="9" t="s">
        <v>15</v>
      </c>
      <c r="E516" s="8" t="s">
        <v>1399</v>
      </c>
      <c r="F516" s="8" t="s">
        <v>1400</v>
      </c>
      <c r="G516" s="8">
        <v>500</v>
      </c>
    </row>
    <row r="517" spans="1:7" x14ac:dyDescent="0.15">
      <c r="A517" s="8" t="s">
        <v>1401</v>
      </c>
      <c r="B517" s="8" t="s">
        <v>126</v>
      </c>
      <c r="C517" s="8" t="str">
        <f t="shared" si="7"/>
        <v>ci_assembly_factors</v>
      </c>
      <c r="D517" s="9" t="s">
        <v>15</v>
      </c>
      <c r="E517" s="8" t="s">
        <v>1402</v>
      </c>
      <c r="F517" s="8" t="s">
        <v>1403</v>
      </c>
      <c r="G517" s="8">
        <v>500</v>
      </c>
    </row>
    <row r="518" spans="1:7" x14ac:dyDescent="0.15">
      <c r="A518" s="8" t="s">
        <v>1404</v>
      </c>
      <c r="B518" s="8" t="s">
        <v>126</v>
      </c>
      <c r="C518" s="8" t="str">
        <f t="shared" si="7"/>
        <v>ci_subunits</v>
      </c>
      <c r="D518" s="9" t="s">
        <v>15</v>
      </c>
      <c r="E518" s="8" t="s">
        <v>1405</v>
      </c>
      <c r="F518" s="8" t="s">
        <v>1406</v>
      </c>
      <c r="G518" s="8">
        <v>500</v>
      </c>
    </row>
    <row r="519" spans="1:7" x14ac:dyDescent="0.15">
      <c r="A519" s="8" t="s">
        <v>1407</v>
      </c>
      <c r="B519" s="8" t="s">
        <v>126</v>
      </c>
      <c r="C519" s="8" t="str">
        <f t="shared" si="7"/>
        <v>cii_assembly_factors</v>
      </c>
      <c r="D519" s="9" t="s">
        <v>15</v>
      </c>
      <c r="E519" s="8" t="s">
        <v>1408</v>
      </c>
      <c r="F519" s="8" t="s">
        <v>1409</v>
      </c>
      <c r="G519" s="8">
        <v>500</v>
      </c>
    </row>
    <row r="520" spans="1:7" x14ac:dyDescent="0.15">
      <c r="A520" s="8" t="s">
        <v>1410</v>
      </c>
      <c r="B520" s="8" t="s">
        <v>126</v>
      </c>
      <c r="C520" s="8" t="str">
        <f t="shared" si="7"/>
        <v>cii_subunits</v>
      </c>
      <c r="D520" s="9" t="s">
        <v>15</v>
      </c>
      <c r="E520" s="8" t="s">
        <v>1411</v>
      </c>
      <c r="F520" s="8" t="s">
        <v>1412</v>
      </c>
      <c r="G520" s="8">
        <v>500</v>
      </c>
    </row>
    <row r="521" spans="1:7" x14ac:dyDescent="0.15">
      <c r="A521" s="8" t="s">
        <v>1413</v>
      </c>
      <c r="B521" s="8" t="s">
        <v>126</v>
      </c>
      <c r="C521" s="8" t="str">
        <f t="shared" ref="C521:C584" si="8">A521</f>
        <v>ciii_assembly_factors</v>
      </c>
      <c r="D521" s="9" t="s">
        <v>15</v>
      </c>
      <c r="E521" s="8" t="s">
        <v>1414</v>
      </c>
      <c r="F521" s="8" t="s">
        <v>1415</v>
      </c>
      <c r="G521" s="8">
        <v>500</v>
      </c>
    </row>
    <row r="522" spans="1:7" x14ac:dyDescent="0.15">
      <c r="A522" s="8" t="s">
        <v>1416</v>
      </c>
      <c r="B522" s="8" t="s">
        <v>126</v>
      </c>
      <c r="C522" s="8" t="str">
        <f t="shared" si="8"/>
        <v>ciii_subunits</v>
      </c>
      <c r="D522" s="9" t="s">
        <v>15</v>
      </c>
      <c r="E522" s="8" t="s">
        <v>1417</v>
      </c>
      <c r="F522" s="8" t="s">
        <v>1418</v>
      </c>
      <c r="G522" s="8">
        <v>500</v>
      </c>
    </row>
    <row r="523" spans="1:7" x14ac:dyDescent="0.15">
      <c r="A523" s="8" t="s">
        <v>1419</v>
      </c>
      <c r="B523" s="8" t="s">
        <v>126</v>
      </c>
      <c r="C523" s="8" t="str">
        <f t="shared" si="8"/>
        <v>civ_assembly_factors</v>
      </c>
      <c r="D523" s="9" t="s">
        <v>15</v>
      </c>
      <c r="E523" s="8" t="s">
        <v>1420</v>
      </c>
      <c r="F523" s="8" t="s">
        <v>1421</v>
      </c>
      <c r="G523" s="8">
        <v>500</v>
      </c>
    </row>
    <row r="524" spans="1:7" x14ac:dyDescent="0.15">
      <c r="A524" s="8" t="s">
        <v>1422</v>
      </c>
      <c r="B524" s="8" t="s">
        <v>126</v>
      </c>
      <c r="C524" s="8" t="str">
        <f t="shared" si="8"/>
        <v>civ_subunits</v>
      </c>
      <c r="D524" s="9" t="s">
        <v>15</v>
      </c>
      <c r="E524" s="8" t="s">
        <v>1423</v>
      </c>
      <c r="F524" s="8" t="s">
        <v>1424</v>
      </c>
      <c r="G524" s="8">
        <v>500</v>
      </c>
    </row>
    <row r="525" spans="1:7" x14ac:dyDescent="0.15">
      <c r="A525" s="8" t="s">
        <v>1425</v>
      </c>
      <c r="B525" s="8" t="s">
        <v>126</v>
      </c>
      <c r="C525" s="8" t="str">
        <f t="shared" si="8"/>
        <v>coenzyme_a_metabolism</v>
      </c>
      <c r="D525" s="9" t="s">
        <v>15</v>
      </c>
      <c r="E525" s="8" t="s">
        <v>1426</v>
      </c>
      <c r="F525" s="8" t="s">
        <v>1427</v>
      </c>
      <c r="G525" s="8">
        <v>500</v>
      </c>
    </row>
    <row r="526" spans="1:7" x14ac:dyDescent="0.15">
      <c r="A526" s="8" t="s">
        <v>1428</v>
      </c>
      <c r="B526" s="8" t="s">
        <v>126</v>
      </c>
      <c r="C526" s="8" t="str">
        <f t="shared" si="8"/>
        <v>coenzyme_q_metabolism</v>
      </c>
      <c r="D526" s="9" t="s">
        <v>15</v>
      </c>
      <c r="E526" s="8" t="s">
        <v>1429</v>
      </c>
      <c r="F526" s="8" t="s">
        <v>1430</v>
      </c>
      <c r="G526" s="8">
        <v>500</v>
      </c>
    </row>
    <row r="527" spans="1:7" x14ac:dyDescent="0.15">
      <c r="A527" s="8" t="s">
        <v>1431</v>
      </c>
      <c r="B527" s="8" t="s">
        <v>126</v>
      </c>
      <c r="C527" s="8" t="str">
        <f t="shared" si="8"/>
        <v>complex_i</v>
      </c>
      <c r="D527" s="9" t="s">
        <v>15</v>
      </c>
      <c r="E527" s="8" t="s">
        <v>1432</v>
      </c>
      <c r="F527" s="8" t="s">
        <v>1433</v>
      </c>
      <c r="G527" s="8">
        <v>500</v>
      </c>
    </row>
    <row r="528" spans="1:7" x14ac:dyDescent="0.15">
      <c r="A528" s="8" t="s">
        <v>1434</v>
      </c>
      <c r="B528" s="8" t="s">
        <v>126</v>
      </c>
      <c r="C528" s="8" t="str">
        <f t="shared" si="8"/>
        <v>complex_ii</v>
      </c>
      <c r="D528" s="9" t="s">
        <v>15</v>
      </c>
      <c r="E528" s="8" t="s">
        <v>1435</v>
      </c>
      <c r="F528" s="8" t="s">
        <v>1436</v>
      </c>
      <c r="G528" s="8">
        <v>500</v>
      </c>
    </row>
    <row r="529" spans="1:7" x14ac:dyDescent="0.15">
      <c r="A529" s="8" t="s">
        <v>1437</v>
      </c>
      <c r="B529" s="8" t="s">
        <v>126</v>
      </c>
      <c r="C529" s="8" t="str">
        <f t="shared" si="8"/>
        <v>complex_iii</v>
      </c>
      <c r="D529" s="9" t="s">
        <v>15</v>
      </c>
      <c r="E529" s="8" t="s">
        <v>1438</v>
      </c>
      <c r="F529" s="8" t="s">
        <v>1439</v>
      </c>
      <c r="G529" s="8">
        <v>500</v>
      </c>
    </row>
    <row r="530" spans="1:7" x14ac:dyDescent="0.15">
      <c r="A530" s="8" t="s">
        <v>1440</v>
      </c>
      <c r="B530" s="8" t="s">
        <v>126</v>
      </c>
      <c r="C530" s="8" t="str">
        <f t="shared" si="8"/>
        <v>complex_iv</v>
      </c>
      <c r="D530" s="9" t="s">
        <v>15</v>
      </c>
      <c r="E530" s="8" t="s">
        <v>1441</v>
      </c>
      <c r="F530" s="8" t="s">
        <v>1442</v>
      </c>
      <c r="G530" s="8">
        <v>500</v>
      </c>
    </row>
    <row r="531" spans="1:7" x14ac:dyDescent="0.15">
      <c r="A531" s="8" t="s">
        <v>1443</v>
      </c>
      <c r="B531" s="8" t="s">
        <v>126</v>
      </c>
      <c r="C531" s="8" t="str">
        <f t="shared" si="8"/>
        <v>complex_v</v>
      </c>
      <c r="D531" s="9" t="s">
        <v>15</v>
      </c>
      <c r="E531" s="8" t="s">
        <v>1444</v>
      </c>
      <c r="F531" s="8" t="s">
        <v>1445</v>
      </c>
      <c r="G531" s="8">
        <v>500</v>
      </c>
    </row>
    <row r="532" spans="1:7" x14ac:dyDescent="0.15">
      <c r="A532" s="8" t="s">
        <v>1446</v>
      </c>
      <c r="B532" s="8" t="s">
        <v>126</v>
      </c>
      <c r="C532" s="8" t="str">
        <f t="shared" si="8"/>
        <v>copper_metabolism</v>
      </c>
      <c r="D532" s="9" t="s">
        <v>15</v>
      </c>
      <c r="E532" s="8" t="s">
        <v>1447</v>
      </c>
      <c r="F532" s="8" t="s">
        <v>1448</v>
      </c>
      <c r="G532" s="8">
        <v>500</v>
      </c>
    </row>
    <row r="533" spans="1:7" x14ac:dyDescent="0.15">
      <c r="A533" s="8" t="s">
        <v>1449</v>
      </c>
      <c r="B533" s="8" t="s">
        <v>126</v>
      </c>
      <c r="C533" s="8" t="str">
        <f t="shared" si="8"/>
        <v>creatine_metabolism</v>
      </c>
      <c r="D533" s="9" t="s">
        <v>15</v>
      </c>
      <c r="E533" s="8" t="s">
        <v>1450</v>
      </c>
      <c r="F533" s="8" t="s">
        <v>1451</v>
      </c>
      <c r="G533" s="8">
        <v>500</v>
      </c>
    </row>
    <row r="534" spans="1:7" x14ac:dyDescent="0.15">
      <c r="A534" s="8" t="s">
        <v>1452</v>
      </c>
      <c r="B534" s="8" t="s">
        <v>126</v>
      </c>
      <c r="C534" s="8" t="str">
        <f t="shared" si="8"/>
        <v>cristae_formation</v>
      </c>
      <c r="D534" s="9" t="s">
        <v>15</v>
      </c>
      <c r="E534" s="8" t="s">
        <v>1453</v>
      </c>
      <c r="F534" s="8" t="s">
        <v>1454</v>
      </c>
      <c r="G534" s="8">
        <v>500</v>
      </c>
    </row>
    <row r="535" spans="1:7" x14ac:dyDescent="0.15">
      <c r="A535" s="8" t="s">
        <v>1455</v>
      </c>
      <c r="B535" s="8" t="s">
        <v>126</v>
      </c>
      <c r="C535" s="8" t="str">
        <f t="shared" si="8"/>
        <v>cv_assembly_factors</v>
      </c>
      <c r="D535" s="9" t="s">
        <v>15</v>
      </c>
      <c r="E535" s="8" t="s">
        <v>1456</v>
      </c>
      <c r="F535" s="8" t="s">
        <v>1457</v>
      </c>
      <c r="G535" s="8">
        <v>500</v>
      </c>
    </row>
    <row r="536" spans="1:7" x14ac:dyDescent="0.15">
      <c r="A536" s="8" t="s">
        <v>1458</v>
      </c>
      <c r="B536" s="8" t="s">
        <v>126</v>
      </c>
      <c r="C536" s="8" t="str">
        <f t="shared" si="8"/>
        <v>cv_subunits</v>
      </c>
      <c r="D536" s="9" t="s">
        <v>15</v>
      </c>
      <c r="E536" s="8" t="s">
        <v>1459</v>
      </c>
      <c r="F536" s="8" t="s">
        <v>1460</v>
      </c>
      <c r="G536" s="8">
        <v>500</v>
      </c>
    </row>
    <row r="537" spans="1:7" x14ac:dyDescent="0.15">
      <c r="A537" s="8" t="s">
        <v>1461</v>
      </c>
      <c r="B537" s="8" t="s">
        <v>126</v>
      </c>
      <c r="C537" s="8" t="str">
        <f t="shared" si="8"/>
        <v>cytochrome_c</v>
      </c>
      <c r="D537" s="9" t="s">
        <v>15</v>
      </c>
      <c r="E537" s="8" t="s">
        <v>1462</v>
      </c>
      <c r="F537" s="8" t="s">
        <v>1463</v>
      </c>
      <c r="G537" s="8">
        <v>500</v>
      </c>
    </row>
    <row r="538" spans="1:7" x14ac:dyDescent="0.15">
      <c r="A538" s="8" t="s">
        <v>1464</v>
      </c>
      <c r="B538" s="8" t="s">
        <v>126</v>
      </c>
      <c r="C538" s="8" t="str">
        <f t="shared" si="8"/>
        <v>cytochromes</v>
      </c>
      <c r="D538" s="9" t="s">
        <v>15</v>
      </c>
      <c r="E538" s="8" t="s">
        <v>1465</v>
      </c>
      <c r="F538" s="8" t="s">
        <v>1466</v>
      </c>
      <c r="G538" s="8">
        <v>500</v>
      </c>
    </row>
    <row r="539" spans="1:7" x14ac:dyDescent="0.15">
      <c r="A539" s="8" t="s">
        <v>1467</v>
      </c>
      <c r="B539" s="8" t="s">
        <v>126</v>
      </c>
      <c r="C539" s="8" t="str">
        <f t="shared" si="8"/>
        <v>detoxification</v>
      </c>
      <c r="D539" s="9" t="s">
        <v>15</v>
      </c>
      <c r="E539" s="8" t="s">
        <v>1468</v>
      </c>
      <c r="F539" s="8" t="s">
        <v>1469</v>
      </c>
      <c r="G539" s="8">
        <v>500</v>
      </c>
    </row>
    <row r="540" spans="1:7" x14ac:dyDescent="0.15">
      <c r="A540" s="8" t="s">
        <v>1470</v>
      </c>
      <c r="B540" s="8" t="s">
        <v>126</v>
      </c>
      <c r="C540" s="8" t="str">
        <f t="shared" si="8"/>
        <v>ef_hand_proteins</v>
      </c>
      <c r="D540" s="9" t="s">
        <v>15</v>
      </c>
      <c r="E540" s="8" t="s">
        <v>1471</v>
      </c>
      <c r="F540" s="8" t="s">
        <v>1472</v>
      </c>
      <c r="G540" s="8">
        <v>500</v>
      </c>
    </row>
    <row r="541" spans="1:7" x14ac:dyDescent="0.15">
      <c r="A541" s="8" t="s">
        <v>1473</v>
      </c>
      <c r="B541" s="8" t="s">
        <v>126</v>
      </c>
      <c r="C541" s="8" t="str">
        <f t="shared" si="8"/>
        <v>eicosanoid_metabolism</v>
      </c>
      <c r="D541" s="9" t="s">
        <v>15</v>
      </c>
      <c r="E541" s="8" t="s">
        <v>1474</v>
      </c>
      <c r="F541" s="8" t="s">
        <v>1475</v>
      </c>
      <c r="G541" s="8">
        <v>500</v>
      </c>
    </row>
    <row r="542" spans="1:7" x14ac:dyDescent="0.15">
      <c r="A542" s="8" t="s">
        <v>1476</v>
      </c>
      <c r="B542" s="8" t="s">
        <v>126</v>
      </c>
      <c r="C542" s="8" t="str">
        <f t="shared" si="8"/>
        <v>electron_carriers</v>
      </c>
      <c r="D542" s="9" t="s">
        <v>15</v>
      </c>
      <c r="E542" s="8" t="s">
        <v>1477</v>
      </c>
      <c r="F542" s="8" t="s">
        <v>1478</v>
      </c>
      <c r="G542" s="8">
        <v>500</v>
      </c>
    </row>
    <row r="543" spans="1:7" x14ac:dyDescent="0.15">
      <c r="A543" s="8" t="s">
        <v>1479</v>
      </c>
      <c r="B543" s="8" t="s">
        <v>126</v>
      </c>
      <c r="C543" s="8" t="str">
        <f t="shared" si="8"/>
        <v>fatty_acid_oxidation</v>
      </c>
      <c r="D543" s="9" t="s">
        <v>15</v>
      </c>
      <c r="E543" s="8" t="s">
        <v>1480</v>
      </c>
      <c r="F543" s="8" t="s">
        <v>1481</v>
      </c>
      <c r="G543" s="8">
        <v>500</v>
      </c>
    </row>
    <row r="544" spans="1:7" x14ac:dyDescent="0.15">
      <c r="A544" s="8" t="s">
        <v>1482</v>
      </c>
      <c r="B544" s="8" t="s">
        <v>126</v>
      </c>
      <c r="C544" s="8" t="str">
        <f t="shared" si="8"/>
        <v>fe_s_cluster_biosynthesis</v>
      </c>
      <c r="D544" s="9" t="s">
        <v>15</v>
      </c>
      <c r="E544" s="8" t="s">
        <v>1483</v>
      </c>
      <c r="F544" s="8" t="s">
        <v>1484</v>
      </c>
      <c r="G544" s="8">
        <v>500</v>
      </c>
    </row>
    <row r="545" spans="1:7" x14ac:dyDescent="0.15">
      <c r="A545" s="8" t="s">
        <v>1485</v>
      </c>
      <c r="B545" s="8" t="s">
        <v>126</v>
      </c>
      <c r="C545" s="8" t="str">
        <f t="shared" si="8"/>
        <v>fe_s_containing_proteins</v>
      </c>
      <c r="D545" s="9" t="s">
        <v>15</v>
      </c>
      <c r="E545" s="8" t="s">
        <v>1486</v>
      </c>
      <c r="F545" s="8" t="s">
        <v>1487</v>
      </c>
      <c r="G545" s="8">
        <v>500</v>
      </c>
    </row>
    <row r="546" spans="1:7" x14ac:dyDescent="0.15">
      <c r="A546" s="8" t="s">
        <v>1488</v>
      </c>
      <c r="B546" s="8" t="s">
        <v>126</v>
      </c>
      <c r="C546" s="8" t="str">
        <f t="shared" si="8"/>
        <v>fission</v>
      </c>
      <c r="D546" s="9" t="s">
        <v>15</v>
      </c>
      <c r="E546" s="8" t="s">
        <v>1489</v>
      </c>
      <c r="F546" s="8" t="s">
        <v>1490</v>
      </c>
      <c r="G546" s="8">
        <v>500</v>
      </c>
    </row>
    <row r="547" spans="1:7" x14ac:dyDescent="0.15">
      <c r="A547" s="8" t="s">
        <v>1491</v>
      </c>
      <c r="B547" s="8" t="s">
        <v>126</v>
      </c>
      <c r="C547" s="8" t="str">
        <f t="shared" si="8"/>
        <v>fmet_processing</v>
      </c>
      <c r="D547" s="9" t="s">
        <v>15</v>
      </c>
      <c r="E547" s="8" t="s">
        <v>1492</v>
      </c>
      <c r="F547" s="8" t="s">
        <v>1493</v>
      </c>
      <c r="G547" s="8">
        <v>500</v>
      </c>
    </row>
    <row r="548" spans="1:7" x14ac:dyDescent="0.15">
      <c r="A548" s="8" t="s">
        <v>1494</v>
      </c>
      <c r="B548" s="8" t="s">
        <v>126</v>
      </c>
      <c r="C548" s="8" t="str">
        <f t="shared" si="8"/>
        <v>folate_and_1_c_metabolism</v>
      </c>
      <c r="D548" s="9" t="s">
        <v>15</v>
      </c>
      <c r="E548" s="8" t="s">
        <v>1495</v>
      </c>
      <c r="F548" s="8" t="s">
        <v>1496</v>
      </c>
      <c r="G548" s="8">
        <v>500</v>
      </c>
    </row>
    <row r="549" spans="1:7" x14ac:dyDescent="0.15">
      <c r="A549" s="8" t="s">
        <v>1497</v>
      </c>
      <c r="B549" s="8" t="s">
        <v>126</v>
      </c>
      <c r="C549" s="8" t="str">
        <f t="shared" si="8"/>
        <v>fusion</v>
      </c>
      <c r="D549" s="9" t="s">
        <v>15</v>
      </c>
      <c r="E549" s="8" t="s">
        <v>1498</v>
      </c>
      <c r="F549" s="8" t="s">
        <v>1499</v>
      </c>
      <c r="G549" s="8">
        <v>500</v>
      </c>
    </row>
    <row r="550" spans="1:7" x14ac:dyDescent="0.15">
      <c r="A550" s="8" t="s">
        <v>1500</v>
      </c>
      <c r="B550" s="8" t="s">
        <v>126</v>
      </c>
      <c r="C550" s="8" t="str">
        <f t="shared" si="8"/>
        <v>gaba_metabolism</v>
      </c>
      <c r="D550" s="9" t="s">
        <v>15</v>
      </c>
      <c r="E550" s="8" t="s">
        <v>1501</v>
      </c>
      <c r="F550" s="8" t="s">
        <v>1502</v>
      </c>
      <c r="G550" s="8">
        <v>500</v>
      </c>
    </row>
    <row r="551" spans="1:7" x14ac:dyDescent="0.15">
      <c r="A551" s="8" t="s">
        <v>1503</v>
      </c>
      <c r="B551" s="8" t="s">
        <v>126</v>
      </c>
      <c r="C551" s="8" t="str">
        <f t="shared" si="8"/>
        <v>gluconeogenesis</v>
      </c>
      <c r="D551" s="9" t="s">
        <v>15</v>
      </c>
      <c r="E551" s="8" t="s">
        <v>1504</v>
      </c>
      <c r="F551" s="8" t="s">
        <v>1505</v>
      </c>
      <c r="G551" s="8">
        <v>500</v>
      </c>
    </row>
    <row r="552" spans="1:7" x14ac:dyDescent="0.15">
      <c r="A552" s="8" t="s">
        <v>1506</v>
      </c>
      <c r="B552" s="8" t="s">
        <v>126</v>
      </c>
      <c r="C552" s="8" t="str">
        <f t="shared" si="8"/>
        <v>glutamate_metabolism</v>
      </c>
      <c r="D552" s="9" t="s">
        <v>15</v>
      </c>
      <c r="E552" s="8" t="s">
        <v>1507</v>
      </c>
      <c r="F552" s="8" t="s">
        <v>1508</v>
      </c>
      <c r="G552" s="8">
        <v>500</v>
      </c>
    </row>
    <row r="553" spans="1:7" x14ac:dyDescent="0.15">
      <c r="A553" s="8" t="s">
        <v>1509</v>
      </c>
      <c r="B553" s="8" t="s">
        <v>126</v>
      </c>
      <c r="C553" s="8" t="str">
        <f t="shared" si="8"/>
        <v>glycerol_phosphate_shuttle</v>
      </c>
      <c r="D553" s="9" t="s">
        <v>15</v>
      </c>
      <c r="E553" s="8" t="s">
        <v>1510</v>
      </c>
      <c r="F553" s="8" t="s">
        <v>1511</v>
      </c>
      <c r="G553" s="8">
        <v>500</v>
      </c>
    </row>
    <row r="554" spans="1:7" x14ac:dyDescent="0.15">
      <c r="A554" s="8" t="s">
        <v>1512</v>
      </c>
      <c r="B554" s="8" t="s">
        <v>126</v>
      </c>
      <c r="C554" s="8" t="str">
        <f t="shared" si="8"/>
        <v>glycine_cleavage_system</v>
      </c>
      <c r="D554" s="9" t="s">
        <v>15</v>
      </c>
      <c r="E554" s="8" t="s">
        <v>1513</v>
      </c>
      <c r="F554" s="8" t="s">
        <v>1514</v>
      </c>
      <c r="G554" s="8">
        <v>500</v>
      </c>
    </row>
    <row r="555" spans="1:7" x14ac:dyDescent="0.15">
      <c r="A555" s="8" t="s">
        <v>1515</v>
      </c>
      <c r="B555" s="8" t="s">
        <v>126</v>
      </c>
      <c r="C555" s="8" t="str">
        <f t="shared" si="8"/>
        <v>glycine_metabolism</v>
      </c>
      <c r="D555" s="9" t="s">
        <v>15</v>
      </c>
      <c r="E555" s="8" t="s">
        <v>1516</v>
      </c>
      <c r="F555" s="8" t="s">
        <v>1517</v>
      </c>
      <c r="G555" s="8">
        <v>500</v>
      </c>
    </row>
    <row r="556" spans="1:7" x14ac:dyDescent="0.15">
      <c r="A556" s="8" t="s">
        <v>1518</v>
      </c>
      <c r="B556" s="8" t="s">
        <v>126</v>
      </c>
      <c r="C556" s="8" t="str">
        <f t="shared" si="8"/>
        <v>glyoxylate_metabolism</v>
      </c>
      <c r="D556" s="9" t="s">
        <v>15</v>
      </c>
      <c r="E556" s="8" t="s">
        <v>1519</v>
      </c>
      <c r="F556" s="8" t="s">
        <v>1520</v>
      </c>
      <c r="G556" s="8">
        <v>500</v>
      </c>
    </row>
    <row r="557" spans="1:7" x14ac:dyDescent="0.15">
      <c r="A557" s="8" t="s">
        <v>1521</v>
      </c>
      <c r="B557" s="8" t="s">
        <v>126</v>
      </c>
      <c r="C557" s="8" t="str">
        <f t="shared" si="8"/>
        <v>heme_containing_proteins</v>
      </c>
      <c r="D557" s="9" t="s">
        <v>15</v>
      </c>
      <c r="E557" s="8" t="s">
        <v>1522</v>
      </c>
      <c r="F557" s="8" t="s">
        <v>1523</v>
      </c>
      <c r="G557" s="8">
        <v>500</v>
      </c>
    </row>
    <row r="558" spans="1:7" x14ac:dyDescent="0.15">
      <c r="A558" s="8" t="s">
        <v>1524</v>
      </c>
      <c r="B558" s="8" t="s">
        <v>126</v>
      </c>
      <c r="C558" s="8" t="str">
        <f t="shared" si="8"/>
        <v>heme_synthesis_and_processing</v>
      </c>
      <c r="D558" s="9" t="s">
        <v>15</v>
      </c>
      <c r="E558" s="8" t="s">
        <v>1525</v>
      </c>
      <c r="F558" s="8" t="s">
        <v>1526</v>
      </c>
      <c r="G558" s="8">
        <v>500</v>
      </c>
    </row>
    <row r="559" spans="1:7" x14ac:dyDescent="0.15">
      <c r="A559" s="8" t="s">
        <v>1527</v>
      </c>
      <c r="B559" s="8" t="s">
        <v>126</v>
      </c>
      <c r="C559" s="8" t="str">
        <f t="shared" si="8"/>
        <v>immune_response</v>
      </c>
      <c r="D559" s="9" t="s">
        <v>15</v>
      </c>
      <c r="E559" s="8" t="s">
        <v>1528</v>
      </c>
      <c r="F559" s="8" t="s">
        <v>1529</v>
      </c>
      <c r="G559" s="8">
        <v>500</v>
      </c>
    </row>
    <row r="560" spans="1:7" x14ac:dyDescent="0.15">
      <c r="A560" s="8" t="s">
        <v>1530</v>
      </c>
      <c r="B560" s="8" t="s">
        <v>126</v>
      </c>
      <c r="C560" s="8" t="str">
        <f t="shared" si="8"/>
        <v>import_motor</v>
      </c>
      <c r="D560" s="9" t="s">
        <v>15</v>
      </c>
      <c r="E560" s="8" t="s">
        <v>1531</v>
      </c>
      <c r="F560" s="8" t="s">
        <v>1532</v>
      </c>
      <c r="G560" s="8">
        <v>500</v>
      </c>
    </row>
    <row r="561" spans="1:7" x14ac:dyDescent="0.15">
      <c r="A561" s="8" t="s">
        <v>1533</v>
      </c>
      <c r="B561" s="8" t="s">
        <v>126</v>
      </c>
      <c r="C561" s="8" t="str">
        <f t="shared" si="8"/>
        <v>intramitochondrial_membrane_interactions</v>
      </c>
      <c r="D561" s="9" t="s">
        <v>15</v>
      </c>
      <c r="E561" s="8" t="s">
        <v>1534</v>
      </c>
      <c r="F561" s="8" t="s">
        <v>1535</v>
      </c>
      <c r="G561" s="8">
        <v>500</v>
      </c>
    </row>
    <row r="562" spans="1:7" x14ac:dyDescent="0.15">
      <c r="A562" s="8" t="s">
        <v>1536</v>
      </c>
      <c r="B562" s="8" t="s">
        <v>126</v>
      </c>
      <c r="C562" s="8" t="str">
        <f t="shared" si="8"/>
        <v>iron_homeostasis</v>
      </c>
      <c r="D562" s="9" t="s">
        <v>15</v>
      </c>
      <c r="E562" s="8" t="s">
        <v>1537</v>
      </c>
      <c r="F562" s="8" t="s">
        <v>1538</v>
      </c>
      <c r="G562" s="8">
        <v>500</v>
      </c>
    </row>
    <row r="563" spans="1:7" x14ac:dyDescent="0.15">
      <c r="A563" s="8" t="s">
        <v>1539</v>
      </c>
      <c r="B563" s="8" t="s">
        <v>126</v>
      </c>
      <c r="C563" s="8" t="str">
        <f t="shared" si="8"/>
        <v>itaconate_metabolism</v>
      </c>
      <c r="D563" s="9" t="s">
        <v>15</v>
      </c>
      <c r="E563" s="8" t="s">
        <v>1540</v>
      </c>
      <c r="F563" s="8" t="s">
        <v>1541</v>
      </c>
      <c r="G563" s="8">
        <v>500</v>
      </c>
    </row>
    <row r="564" spans="1:7" x14ac:dyDescent="0.15">
      <c r="A564" s="8" t="s">
        <v>1542</v>
      </c>
      <c r="B564" s="8" t="s">
        <v>126</v>
      </c>
      <c r="C564" s="8" t="str">
        <f t="shared" si="8"/>
        <v>ketone_metabolism</v>
      </c>
      <c r="D564" s="9" t="s">
        <v>15</v>
      </c>
      <c r="E564" s="8" t="s">
        <v>1543</v>
      </c>
      <c r="F564" s="8" t="s">
        <v>1544</v>
      </c>
      <c r="G564" s="8">
        <v>500</v>
      </c>
    </row>
    <row r="565" spans="1:7" x14ac:dyDescent="0.15">
      <c r="A565" s="8" t="s">
        <v>1545</v>
      </c>
      <c r="B565" s="8" t="s">
        <v>126</v>
      </c>
      <c r="C565" s="8" t="str">
        <f t="shared" si="8"/>
        <v>kynurenine_metabolism</v>
      </c>
      <c r="D565" s="9" t="s">
        <v>15</v>
      </c>
      <c r="E565" s="8" t="s">
        <v>1546</v>
      </c>
      <c r="F565" s="8" t="s">
        <v>1547</v>
      </c>
      <c r="G565" s="8">
        <v>500</v>
      </c>
    </row>
    <row r="566" spans="1:7" x14ac:dyDescent="0.15">
      <c r="A566" s="8" t="s">
        <v>1548</v>
      </c>
      <c r="B566" s="8" t="s">
        <v>126</v>
      </c>
      <c r="C566" s="8" t="str">
        <f t="shared" si="8"/>
        <v>lipid_metabolism</v>
      </c>
      <c r="D566" s="9" t="s">
        <v>15</v>
      </c>
      <c r="E566" s="8" t="s">
        <v>1549</v>
      </c>
      <c r="F566" s="8" t="s">
        <v>1550</v>
      </c>
      <c r="G566" s="8">
        <v>500</v>
      </c>
    </row>
    <row r="567" spans="1:7" x14ac:dyDescent="0.15">
      <c r="A567" s="8" t="s">
        <v>1551</v>
      </c>
      <c r="B567" s="8" t="s">
        <v>126</v>
      </c>
      <c r="C567" s="8" t="str">
        <f t="shared" si="8"/>
        <v>lipoate_insertion</v>
      </c>
      <c r="D567" s="9" t="s">
        <v>15</v>
      </c>
      <c r="E567" s="8" t="s">
        <v>1552</v>
      </c>
      <c r="F567" s="8" t="s">
        <v>1553</v>
      </c>
      <c r="G567" s="8">
        <v>500</v>
      </c>
    </row>
    <row r="568" spans="1:7" x14ac:dyDescent="0.15">
      <c r="A568" s="8" t="s">
        <v>1554</v>
      </c>
      <c r="B568" s="8" t="s">
        <v>126</v>
      </c>
      <c r="C568" s="8" t="str">
        <f t="shared" si="8"/>
        <v>lysine_metabolism</v>
      </c>
      <c r="D568" s="9" t="s">
        <v>15</v>
      </c>
      <c r="E568" s="8" t="s">
        <v>1555</v>
      </c>
      <c r="F568" s="8" t="s">
        <v>1556</v>
      </c>
      <c r="G568" s="8">
        <v>500</v>
      </c>
    </row>
    <row r="569" spans="1:7" x14ac:dyDescent="0.15">
      <c r="A569" s="8" t="s">
        <v>1557</v>
      </c>
      <c r="B569" s="8" t="s">
        <v>126</v>
      </c>
      <c r="C569" s="8" t="str">
        <f t="shared" si="8"/>
        <v>malate_aspartate_shuttle</v>
      </c>
      <c r="D569" s="9" t="s">
        <v>15</v>
      </c>
      <c r="E569" s="8" t="s">
        <v>1558</v>
      </c>
      <c r="F569" s="8" t="s">
        <v>1559</v>
      </c>
      <c r="G569" s="8">
        <v>500</v>
      </c>
    </row>
    <row r="570" spans="1:7" x14ac:dyDescent="0.15">
      <c r="A570" s="8" t="s">
        <v>1560</v>
      </c>
      <c r="B570" s="8" t="s">
        <v>126</v>
      </c>
      <c r="C570" s="8" t="str">
        <f t="shared" si="8"/>
        <v>metabolism</v>
      </c>
      <c r="D570" s="9" t="s">
        <v>15</v>
      </c>
      <c r="E570" s="8" t="s">
        <v>1561</v>
      </c>
      <c r="F570" s="8" t="s">
        <v>1561</v>
      </c>
      <c r="G570" s="8">
        <v>500</v>
      </c>
    </row>
    <row r="571" spans="1:7" x14ac:dyDescent="0.15">
      <c r="A571" s="8" t="s">
        <v>1562</v>
      </c>
      <c r="B571" s="8" t="s">
        <v>126</v>
      </c>
      <c r="C571" s="8" t="str">
        <f t="shared" si="8"/>
        <v>metals_and_cofactors</v>
      </c>
      <c r="D571" s="9" t="s">
        <v>15</v>
      </c>
      <c r="E571" s="8" t="s">
        <v>1563</v>
      </c>
      <c r="F571" s="8" t="s">
        <v>1564</v>
      </c>
      <c r="G571" s="8">
        <v>500</v>
      </c>
    </row>
    <row r="572" spans="1:7" x14ac:dyDescent="0.15">
      <c r="A572" s="8" t="s">
        <v>1565</v>
      </c>
      <c r="B572" s="8" t="s">
        <v>126</v>
      </c>
      <c r="C572" s="8" t="str">
        <f t="shared" si="8"/>
        <v>mia40</v>
      </c>
      <c r="D572" s="9" t="s">
        <v>15</v>
      </c>
      <c r="E572" s="8" t="s">
        <v>1566</v>
      </c>
      <c r="F572" s="8" t="s">
        <v>1567</v>
      </c>
      <c r="G572" s="8">
        <v>500</v>
      </c>
    </row>
    <row r="573" spans="1:7" x14ac:dyDescent="0.15">
      <c r="A573" s="8" t="s">
        <v>1568</v>
      </c>
      <c r="B573" s="8" t="s">
        <v>126</v>
      </c>
      <c r="C573" s="8" t="str">
        <f t="shared" si="8"/>
        <v>micos_complex</v>
      </c>
      <c r="D573" s="9" t="s">
        <v>15</v>
      </c>
      <c r="E573" s="8" t="s">
        <v>1569</v>
      </c>
      <c r="F573" s="8" t="s">
        <v>1570</v>
      </c>
      <c r="G573" s="8">
        <v>500</v>
      </c>
    </row>
    <row r="574" spans="1:7" x14ac:dyDescent="0.15">
      <c r="A574" s="8" t="s">
        <v>1571</v>
      </c>
      <c r="B574" s="8" t="s">
        <v>126</v>
      </c>
      <c r="C574" s="8" t="str">
        <f t="shared" si="8"/>
        <v>mitochondrial_dynamics_and_surveillance</v>
      </c>
      <c r="D574" s="9" t="s">
        <v>15</v>
      </c>
      <c r="E574" s="8" t="s">
        <v>1572</v>
      </c>
      <c r="F574" s="8" t="s">
        <v>1572</v>
      </c>
      <c r="G574" s="8">
        <v>500</v>
      </c>
    </row>
    <row r="575" spans="1:7" x14ac:dyDescent="0.15">
      <c r="A575" s="8" t="s">
        <v>1573</v>
      </c>
      <c r="B575" s="8" t="s">
        <v>126</v>
      </c>
      <c r="C575" s="8" t="str">
        <f t="shared" si="8"/>
        <v>mitochondrial_permeability_transition_pore</v>
      </c>
      <c r="D575" s="9" t="s">
        <v>15</v>
      </c>
      <c r="E575" s="8" t="s">
        <v>1574</v>
      </c>
      <c r="F575" s="8" t="s">
        <v>1575</v>
      </c>
      <c r="G575" s="8">
        <v>500</v>
      </c>
    </row>
    <row r="576" spans="1:7" x14ac:dyDescent="0.15">
      <c r="A576" s="8" t="s">
        <v>1576</v>
      </c>
      <c r="B576" s="8" t="s">
        <v>126</v>
      </c>
      <c r="C576" s="8" t="str">
        <f t="shared" si="8"/>
        <v>mitochondrial_ribosome</v>
      </c>
      <c r="D576" s="9" t="s">
        <v>15</v>
      </c>
      <c r="E576" s="8" t="s">
        <v>1577</v>
      </c>
      <c r="F576" s="8" t="s">
        <v>1578</v>
      </c>
      <c r="G576" s="8">
        <v>500</v>
      </c>
    </row>
    <row r="577" spans="1:7" x14ac:dyDescent="0.15">
      <c r="A577" s="8" t="s">
        <v>1579</v>
      </c>
      <c r="B577" s="8" t="s">
        <v>126</v>
      </c>
      <c r="C577" s="8" t="str">
        <f t="shared" si="8"/>
        <v>mitochondrial_ribosome_assembly</v>
      </c>
      <c r="D577" s="9" t="s">
        <v>15</v>
      </c>
      <c r="E577" s="8" t="s">
        <v>1580</v>
      </c>
      <c r="F577" s="8" t="s">
        <v>1581</v>
      </c>
      <c r="G577" s="8">
        <v>500</v>
      </c>
    </row>
    <row r="578" spans="1:7" x14ac:dyDescent="0.15">
      <c r="A578" s="8" t="s">
        <v>1582</v>
      </c>
      <c r="B578" s="8" t="s">
        <v>126</v>
      </c>
      <c r="C578" s="8" t="str">
        <f t="shared" si="8"/>
        <v>mitophagy</v>
      </c>
      <c r="D578" s="9" t="s">
        <v>15</v>
      </c>
      <c r="E578" s="8" t="s">
        <v>1583</v>
      </c>
      <c r="F578" s="8" t="s">
        <v>1584</v>
      </c>
      <c r="G578" s="8">
        <v>500</v>
      </c>
    </row>
    <row r="579" spans="1:7" x14ac:dyDescent="0.15">
      <c r="A579" s="8" t="s">
        <v>1585</v>
      </c>
      <c r="B579" s="8" t="s">
        <v>126</v>
      </c>
      <c r="C579" s="8" t="str">
        <f t="shared" si="8"/>
        <v>molybdenum_cofactor_synthesis_and_proteins</v>
      </c>
      <c r="D579" s="9" t="s">
        <v>15</v>
      </c>
      <c r="E579" s="8" t="s">
        <v>1586</v>
      </c>
      <c r="F579" s="8" t="s">
        <v>1587</v>
      </c>
      <c r="G579" s="8">
        <v>500</v>
      </c>
    </row>
    <row r="580" spans="1:7" x14ac:dyDescent="0.15">
      <c r="A580" s="8" t="s">
        <v>1588</v>
      </c>
      <c r="B580" s="8" t="s">
        <v>126</v>
      </c>
      <c r="C580" s="8" t="str">
        <f t="shared" si="8"/>
        <v>mt_mrna_modifications</v>
      </c>
      <c r="D580" s="9" t="s">
        <v>15</v>
      </c>
      <c r="E580" s="8" t="s">
        <v>1589</v>
      </c>
      <c r="F580" s="8" t="s">
        <v>1590</v>
      </c>
      <c r="G580" s="8">
        <v>500</v>
      </c>
    </row>
    <row r="581" spans="1:7" x14ac:dyDescent="0.15">
      <c r="A581" s="8" t="s">
        <v>1591</v>
      </c>
      <c r="B581" s="8" t="s">
        <v>126</v>
      </c>
      <c r="C581" s="8" t="str">
        <f t="shared" si="8"/>
        <v>mt_rrna_modifications</v>
      </c>
      <c r="D581" s="9" t="s">
        <v>15</v>
      </c>
      <c r="E581" s="8" t="s">
        <v>1592</v>
      </c>
      <c r="F581" s="8" t="s">
        <v>1593</v>
      </c>
      <c r="G581" s="8">
        <v>500</v>
      </c>
    </row>
    <row r="582" spans="1:7" x14ac:dyDescent="0.15">
      <c r="A582" s="8" t="s">
        <v>1594</v>
      </c>
      <c r="B582" s="8" t="s">
        <v>126</v>
      </c>
      <c r="C582" s="8" t="str">
        <f t="shared" si="8"/>
        <v>mt_trna_modifications</v>
      </c>
      <c r="D582" s="9" t="s">
        <v>15</v>
      </c>
      <c r="E582" s="8" t="s">
        <v>1595</v>
      </c>
      <c r="F582" s="8" t="s">
        <v>1596</v>
      </c>
      <c r="G582" s="8">
        <v>500</v>
      </c>
    </row>
    <row r="583" spans="1:7" x14ac:dyDescent="0.15">
      <c r="A583" s="8" t="s">
        <v>1597</v>
      </c>
      <c r="B583" s="8" t="s">
        <v>126</v>
      </c>
      <c r="C583" s="8" t="str">
        <f t="shared" si="8"/>
        <v>mt_trna_synthetases</v>
      </c>
      <c r="D583" s="9" t="s">
        <v>15</v>
      </c>
      <c r="E583" s="8" t="s">
        <v>1598</v>
      </c>
      <c r="F583" s="8" t="s">
        <v>1599</v>
      </c>
      <c r="G583" s="8">
        <v>500</v>
      </c>
    </row>
    <row r="584" spans="1:7" x14ac:dyDescent="0.15">
      <c r="A584" s="8" t="s">
        <v>1600</v>
      </c>
      <c r="B584" s="8" t="s">
        <v>126</v>
      </c>
      <c r="C584" s="8" t="str">
        <f t="shared" si="8"/>
        <v>mtdna_maintenance</v>
      </c>
      <c r="D584" s="9" t="s">
        <v>15</v>
      </c>
      <c r="E584" s="8" t="s">
        <v>1601</v>
      </c>
      <c r="F584" s="8" t="s">
        <v>1602</v>
      </c>
      <c r="G584" s="8">
        <v>500</v>
      </c>
    </row>
    <row r="585" spans="1:7" x14ac:dyDescent="0.15">
      <c r="A585" s="8" t="s">
        <v>1603</v>
      </c>
      <c r="B585" s="8" t="s">
        <v>126</v>
      </c>
      <c r="C585" s="8" t="str">
        <f t="shared" ref="C585:C648" si="9">A585</f>
        <v>mtdna_modifications</v>
      </c>
      <c r="D585" s="9" t="s">
        <v>15</v>
      </c>
      <c r="E585" s="8" t="s">
        <v>1604</v>
      </c>
      <c r="F585" s="8" t="s">
        <v>1605</v>
      </c>
      <c r="G585" s="8">
        <v>500</v>
      </c>
    </row>
    <row r="586" spans="1:7" x14ac:dyDescent="0.15">
      <c r="A586" s="8" t="s">
        <v>1606</v>
      </c>
      <c r="B586" s="8" t="s">
        <v>126</v>
      </c>
      <c r="C586" s="8" t="str">
        <f t="shared" si="9"/>
        <v>mtdna_nucleoid</v>
      </c>
      <c r="D586" s="9" t="s">
        <v>15</v>
      </c>
      <c r="E586" s="8" t="s">
        <v>1607</v>
      </c>
      <c r="F586" s="8" t="s">
        <v>1608</v>
      </c>
      <c r="G586" s="8">
        <v>500</v>
      </c>
    </row>
    <row r="587" spans="1:7" x14ac:dyDescent="0.15">
      <c r="A587" s="8" t="s">
        <v>1609</v>
      </c>
      <c r="B587" s="8" t="s">
        <v>126</v>
      </c>
      <c r="C587" s="8" t="str">
        <f t="shared" si="9"/>
        <v>mtdna_repair</v>
      </c>
      <c r="D587" s="9" t="s">
        <v>15</v>
      </c>
      <c r="E587" s="8" t="s">
        <v>1610</v>
      </c>
      <c r="F587" s="8" t="s">
        <v>1611</v>
      </c>
      <c r="G587" s="8">
        <v>500</v>
      </c>
    </row>
    <row r="588" spans="1:7" x14ac:dyDescent="0.15">
      <c r="A588" s="8" t="s">
        <v>1612</v>
      </c>
      <c r="B588" s="8" t="s">
        <v>126</v>
      </c>
      <c r="C588" s="8" t="str">
        <f t="shared" si="9"/>
        <v>mtdna_replication</v>
      </c>
      <c r="D588" s="9" t="s">
        <v>15</v>
      </c>
      <c r="E588" s="8" t="s">
        <v>1613</v>
      </c>
      <c r="F588" s="8" t="s">
        <v>1614</v>
      </c>
      <c r="G588" s="8">
        <v>500</v>
      </c>
    </row>
    <row r="589" spans="1:7" x14ac:dyDescent="0.15">
      <c r="A589" s="8" t="s">
        <v>1615</v>
      </c>
      <c r="B589" s="8" t="s">
        <v>126</v>
      </c>
      <c r="C589" s="8" t="str">
        <f t="shared" si="9"/>
        <v>mtdna_stability_and_decay</v>
      </c>
      <c r="D589" s="9" t="s">
        <v>15</v>
      </c>
      <c r="E589" s="8" t="s">
        <v>1616</v>
      </c>
      <c r="F589" s="8" t="s">
        <v>1617</v>
      </c>
      <c r="G589" s="8">
        <v>500</v>
      </c>
    </row>
    <row r="590" spans="1:7" x14ac:dyDescent="0.15">
      <c r="A590" s="8" t="s">
        <v>1618</v>
      </c>
      <c r="B590" s="8" t="s">
        <v>126</v>
      </c>
      <c r="C590" s="8" t="str">
        <f t="shared" si="9"/>
        <v>mtrna_granules</v>
      </c>
      <c r="D590" s="9" t="s">
        <v>15</v>
      </c>
      <c r="E590" s="8" t="s">
        <v>1619</v>
      </c>
      <c r="F590" s="8" t="s">
        <v>1620</v>
      </c>
      <c r="G590" s="8">
        <v>500</v>
      </c>
    </row>
    <row r="591" spans="1:7" x14ac:dyDescent="0.15">
      <c r="A591" s="8" t="s">
        <v>1621</v>
      </c>
      <c r="B591" s="8" t="s">
        <v>126</v>
      </c>
      <c r="C591" s="8" t="str">
        <f t="shared" si="9"/>
        <v>mtrna_metabolism</v>
      </c>
      <c r="D591" s="9" t="s">
        <v>15</v>
      </c>
      <c r="E591" s="8" t="s">
        <v>1622</v>
      </c>
      <c r="F591" s="8" t="s">
        <v>1623</v>
      </c>
      <c r="G591" s="8">
        <v>500</v>
      </c>
    </row>
    <row r="592" spans="1:7" x14ac:dyDescent="0.15">
      <c r="A592" s="8" t="s">
        <v>1624</v>
      </c>
      <c r="B592" s="8" t="s">
        <v>126</v>
      </c>
      <c r="C592" s="8" t="str">
        <f t="shared" si="9"/>
        <v>mtrna_stability_and_decay</v>
      </c>
      <c r="D592" s="9" t="s">
        <v>15</v>
      </c>
      <c r="E592" s="8" t="s">
        <v>1625</v>
      </c>
      <c r="F592" s="8" t="s">
        <v>1626</v>
      </c>
      <c r="G592" s="8">
        <v>500</v>
      </c>
    </row>
    <row r="593" spans="1:7" x14ac:dyDescent="0.15">
      <c r="A593" s="8" t="s">
        <v>1627</v>
      </c>
      <c r="B593" s="8" t="s">
        <v>126</v>
      </c>
      <c r="C593" s="8" t="str">
        <f t="shared" si="9"/>
        <v>nad_biosynthesis_and_metabolism</v>
      </c>
      <c r="D593" s="9" t="s">
        <v>15</v>
      </c>
      <c r="E593" s="8" t="s">
        <v>1628</v>
      </c>
      <c r="F593" s="8" t="s">
        <v>1629</v>
      </c>
      <c r="G593" s="8">
        <v>500</v>
      </c>
    </row>
    <row r="594" spans="1:7" x14ac:dyDescent="0.15">
      <c r="A594" s="8" t="s">
        <v>1630</v>
      </c>
      <c r="B594" s="8" t="s">
        <v>126</v>
      </c>
      <c r="C594" s="8" t="str">
        <f t="shared" si="9"/>
        <v>nucleotide_import</v>
      </c>
      <c r="D594" s="9" t="s">
        <v>15</v>
      </c>
      <c r="E594" s="8" t="s">
        <v>1631</v>
      </c>
      <c r="F594" s="8" t="s">
        <v>1632</v>
      </c>
      <c r="G594" s="8">
        <v>500</v>
      </c>
    </row>
    <row r="595" spans="1:7" x14ac:dyDescent="0.15">
      <c r="A595" s="8" t="s">
        <v>1633</v>
      </c>
      <c r="B595" s="8" t="s">
        <v>126</v>
      </c>
      <c r="C595" s="8" t="str">
        <f t="shared" si="9"/>
        <v>nucleotide_metabolism</v>
      </c>
      <c r="D595" s="9" t="s">
        <v>15</v>
      </c>
      <c r="E595" s="8" t="s">
        <v>1634</v>
      </c>
      <c r="F595" s="8" t="s">
        <v>1635</v>
      </c>
      <c r="G595" s="8">
        <v>500</v>
      </c>
    </row>
    <row r="596" spans="1:7" x14ac:dyDescent="0.15">
      <c r="A596" s="8" t="s">
        <v>1636</v>
      </c>
      <c r="B596" s="8" t="s">
        <v>126</v>
      </c>
      <c r="C596" s="8" t="str">
        <f t="shared" si="9"/>
        <v>nucleotide_synthesis_and_processing</v>
      </c>
      <c r="D596" s="9" t="s">
        <v>15</v>
      </c>
      <c r="E596" s="8" t="s">
        <v>1637</v>
      </c>
      <c r="F596" s="8" t="s">
        <v>1638</v>
      </c>
      <c r="G596" s="8">
        <v>500</v>
      </c>
    </row>
    <row r="597" spans="1:7" x14ac:dyDescent="0.15">
      <c r="A597" s="8" t="s">
        <v>1639</v>
      </c>
      <c r="B597" s="8" t="s">
        <v>126</v>
      </c>
      <c r="C597" s="8" t="str">
        <f t="shared" si="9"/>
        <v>organelle_contact_sites</v>
      </c>
      <c r="D597" s="9" t="s">
        <v>15</v>
      </c>
      <c r="E597" s="8" t="s">
        <v>1640</v>
      </c>
      <c r="F597" s="8" t="s">
        <v>1641</v>
      </c>
      <c r="G597" s="8">
        <v>500</v>
      </c>
    </row>
    <row r="598" spans="1:7" x14ac:dyDescent="0.15">
      <c r="A598" s="8" t="s">
        <v>1642</v>
      </c>
      <c r="B598" s="8" t="s">
        <v>126</v>
      </c>
      <c r="C598" s="8" t="str">
        <f t="shared" si="9"/>
        <v>oxa</v>
      </c>
      <c r="D598" s="9" t="s">
        <v>15</v>
      </c>
      <c r="E598" s="8" t="s">
        <v>1643</v>
      </c>
      <c r="F598" s="8" t="s">
        <v>1644</v>
      </c>
      <c r="G598" s="8">
        <v>500</v>
      </c>
    </row>
    <row r="599" spans="1:7" x14ac:dyDescent="0.15">
      <c r="A599" s="8" t="s">
        <v>1645</v>
      </c>
      <c r="B599" s="8" t="s">
        <v>126</v>
      </c>
      <c r="C599" s="8" t="str">
        <f t="shared" si="9"/>
        <v>oxphos</v>
      </c>
      <c r="D599" s="9" t="s">
        <v>15</v>
      </c>
      <c r="E599" s="8" t="s">
        <v>1646</v>
      </c>
      <c r="F599" s="8" t="s">
        <v>1646</v>
      </c>
      <c r="G599" s="8">
        <v>500</v>
      </c>
    </row>
    <row r="600" spans="1:7" x14ac:dyDescent="0.15">
      <c r="A600" s="8" t="s">
        <v>1647</v>
      </c>
      <c r="B600" s="8" t="s">
        <v>126</v>
      </c>
      <c r="C600" s="8" t="str">
        <f t="shared" si="9"/>
        <v>oxphos_assembly_factors</v>
      </c>
      <c r="D600" s="9" t="s">
        <v>15</v>
      </c>
      <c r="E600" s="8" t="s">
        <v>1648</v>
      </c>
      <c r="F600" s="8" t="s">
        <v>1649</v>
      </c>
      <c r="G600" s="8">
        <v>500</v>
      </c>
    </row>
    <row r="601" spans="1:7" x14ac:dyDescent="0.15">
      <c r="A601" s="8" t="s">
        <v>1650</v>
      </c>
      <c r="B601" s="8" t="s">
        <v>126</v>
      </c>
      <c r="C601" s="8" t="str">
        <f t="shared" si="9"/>
        <v>oxphos_subunits</v>
      </c>
      <c r="D601" s="9" t="s">
        <v>15</v>
      </c>
      <c r="E601" s="8" t="s">
        <v>1651</v>
      </c>
      <c r="F601" s="8" t="s">
        <v>1652</v>
      </c>
      <c r="G601" s="8">
        <v>500</v>
      </c>
    </row>
    <row r="602" spans="1:7" x14ac:dyDescent="0.15">
      <c r="A602" s="8" t="s">
        <v>1653</v>
      </c>
      <c r="B602" s="8" t="s">
        <v>126</v>
      </c>
      <c r="C602" s="8" t="str">
        <f t="shared" si="9"/>
        <v>phospholipid_metabolism</v>
      </c>
      <c r="D602" s="9" t="s">
        <v>15</v>
      </c>
      <c r="E602" s="8" t="s">
        <v>1654</v>
      </c>
      <c r="F602" s="8" t="s">
        <v>1655</v>
      </c>
      <c r="G602" s="8">
        <v>500</v>
      </c>
    </row>
    <row r="603" spans="1:7" x14ac:dyDescent="0.15">
      <c r="A603" s="8" t="s">
        <v>1656</v>
      </c>
      <c r="B603" s="8" t="s">
        <v>126</v>
      </c>
      <c r="C603" s="8" t="str">
        <f t="shared" si="9"/>
        <v>polycistronic_mtrna_processing</v>
      </c>
      <c r="D603" s="9" t="s">
        <v>15</v>
      </c>
      <c r="E603" s="8" t="s">
        <v>1657</v>
      </c>
      <c r="F603" s="8" t="s">
        <v>1658</v>
      </c>
      <c r="G603" s="8">
        <v>500</v>
      </c>
    </row>
    <row r="604" spans="1:7" x14ac:dyDescent="0.15">
      <c r="A604" s="8" t="s">
        <v>1659</v>
      </c>
      <c r="B604" s="8" t="s">
        <v>126</v>
      </c>
      <c r="C604" s="8" t="str">
        <f t="shared" si="9"/>
        <v>preprotein_cleavage</v>
      </c>
      <c r="D604" s="9" t="s">
        <v>15</v>
      </c>
      <c r="E604" s="8" t="s">
        <v>1660</v>
      </c>
      <c r="F604" s="8" t="s">
        <v>1661</v>
      </c>
      <c r="G604" s="8">
        <v>500</v>
      </c>
    </row>
    <row r="605" spans="1:7" x14ac:dyDescent="0.15">
      <c r="A605" s="8" t="s">
        <v>1662</v>
      </c>
      <c r="B605" s="8" t="s">
        <v>126</v>
      </c>
      <c r="C605" s="8" t="str">
        <f t="shared" si="9"/>
        <v>proline_metabolism</v>
      </c>
      <c r="D605" s="9" t="s">
        <v>15</v>
      </c>
      <c r="E605" s="8" t="s">
        <v>1663</v>
      </c>
      <c r="F605" s="8" t="s">
        <v>1664</v>
      </c>
      <c r="G605" s="8">
        <v>500</v>
      </c>
    </row>
    <row r="606" spans="1:7" x14ac:dyDescent="0.15">
      <c r="A606" s="8" t="s">
        <v>1665</v>
      </c>
      <c r="B606" s="8" t="s">
        <v>126</v>
      </c>
      <c r="C606" s="8" t="str">
        <f t="shared" si="9"/>
        <v>propanoate_metabolism</v>
      </c>
      <c r="D606" s="9" t="s">
        <v>15</v>
      </c>
      <c r="E606" s="8" t="s">
        <v>1666</v>
      </c>
      <c r="F606" s="8" t="s">
        <v>1667</v>
      </c>
      <c r="G606" s="8">
        <v>500</v>
      </c>
    </row>
    <row r="607" spans="1:7" x14ac:dyDescent="0.15">
      <c r="A607" s="8" t="s">
        <v>1668</v>
      </c>
      <c r="B607" s="8" t="s">
        <v>126</v>
      </c>
      <c r="C607" s="8" t="str">
        <f t="shared" si="9"/>
        <v>proteases</v>
      </c>
      <c r="D607" s="9" t="s">
        <v>15</v>
      </c>
      <c r="E607" s="8" t="s">
        <v>1669</v>
      </c>
      <c r="F607" s="8" t="s">
        <v>1670</v>
      </c>
      <c r="G607" s="8">
        <v>500</v>
      </c>
    </row>
    <row r="608" spans="1:7" x14ac:dyDescent="0.15">
      <c r="A608" s="8" t="s">
        <v>1671</v>
      </c>
      <c r="B608" s="8" t="s">
        <v>126</v>
      </c>
      <c r="C608" s="8" t="str">
        <f t="shared" si="9"/>
        <v>protein_homeostasis</v>
      </c>
      <c r="D608" s="9" t="s">
        <v>15</v>
      </c>
      <c r="E608" s="8" t="s">
        <v>1672</v>
      </c>
      <c r="F608" s="8" t="s">
        <v>1673</v>
      </c>
      <c r="G608" s="8">
        <v>500</v>
      </c>
    </row>
    <row r="609" spans="1:7" x14ac:dyDescent="0.15">
      <c r="A609" s="8" t="s">
        <v>1674</v>
      </c>
      <c r="B609" s="8" t="s">
        <v>126</v>
      </c>
      <c r="C609" s="8" t="str">
        <f t="shared" si="9"/>
        <v>protein_import_and_sorting</v>
      </c>
      <c r="D609" s="9" t="s">
        <v>15</v>
      </c>
      <c r="E609" s="8" t="s">
        <v>1675</v>
      </c>
      <c r="F609" s="8" t="s">
        <v>1676</v>
      </c>
      <c r="G609" s="8">
        <v>500</v>
      </c>
    </row>
    <row r="610" spans="1:7" x14ac:dyDescent="0.15">
      <c r="A610" s="8" t="s">
        <v>1677</v>
      </c>
      <c r="B610" s="8" t="s">
        <v>126</v>
      </c>
      <c r="C610" s="8" t="str">
        <f t="shared" si="9"/>
        <v>pyruvate_metabolism</v>
      </c>
      <c r="D610" s="9" t="s">
        <v>15</v>
      </c>
      <c r="E610" s="8" t="s">
        <v>1678</v>
      </c>
      <c r="F610" s="8" t="s">
        <v>1679</v>
      </c>
      <c r="G610" s="8">
        <v>500</v>
      </c>
    </row>
    <row r="611" spans="1:7" x14ac:dyDescent="0.15">
      <c r="A611" s="8" t="s">
        <v>1680</v>
      </c>
      <c r="B611" s="8" t="s">
        <v>126</v>
      </c>
      <c r="C611" s="8" t="str">
        <f t="shared" si="9"/>
        <v>respirasome_assembly</v>
      </c>
      <c r="D611" s="9" t="s">
        <v>15</v>
      </c>
      <c r="E611" s="8" t="s">
        <v>1681</v>
      </c>
      <c r="F611" s="8" t="s">
        <v>1682</v>
      </c>
      <c r="G611" s="8">
        <v>500</v>
      </c>
    </row>
    <row r="612" spans="1:7" x14ac:dyDescent="0.15">
      <c r="A612" s="8" t="s">
        <v>1683</v>
      </c>
      <c r="B612" s="8" t="s">
        <v>126</v>
      </c>
      <c r="C612" s="8" t="str">
        <f t="shared" si="9"/>
        <v>ros_and_glutathione_metabolism</v>
      </c>
      <c r="D612" s="9" t="s">
        <v>15</v>
      </c>
      <c r="E612" s="8" t="s">
        <v>1684</v>
      </c>
      <c r="F612" s="8" t="s">
        <v>1685</v>
      </c>
      <c r="G612" s="8">
        <v>500</v>
      </c>
    </row>
    <row r="613" spans="1:7" x14ac:dyDescent="0.15">
      <c r="A613" s="8" t="s">
        <v>1686</v>
      </c>
      <c r="B613" s="8" t="s">
        <v>126</v>
      </c>
      <c r="C613" s="8" t="str">
        <f t="shared" si="9"/>
        <v>sam</v>
      </c>
      <c r="D613" s="9" t="s">
        <v>15</v>
      </c>
      <c r="E613" s="8" t="s">
        <v>1687</v>
      </c>
      <c r="F613" s="8" t="s">
        <v>1688</v>
      </c>
      <c r="G613" s="8">
        <v>500</v>
      </c>
    </row>
    <row r="614" spans="1:7" x14ac:dyDescent="0.15">
      <c r="A614" s="8" t="s">
        <v>1689</v>
      </c>
      <c r="B614" s="8" t="s">
        <v>126</v>
      </c>
      <c r="C614" s="8" t="str">
        <f t="shared" si="9"/>
        <v>selenoproteins</v>
      </c>
      <c r="D614" s="9" t="s">
        <v>15</v>
      </c>
      <c r="E614" s="8" t="s">
        <v>1690</v>
      </c>
      <c r="F614" s="8" t="s">
        <v>1691</v>
      </c>
      <c r="G614" s="8">
        <v>500</v>
      </c>
    </row>
    <row r="615" spans="1:7" x14ac:dyDescent="0.15">
      <c r="A615" s="8" t="s">
        <v>1692</v>
      </c>
      <c r="B615" s="8" t="s">
        <v>126</v>
      </c>
      <c r="C615" s="8" t="str">
        <f t="shared" si="9"/>
        <v>serine_metabolism</v>
      </c>
      <c r="D615" s="9" t="s">
        <v>15</v>
      </c>
      <c r="E615" s="8" t="s">
        <v>1693</v>
      </c>
      <c r="F615" s="8" t="s">
        <v>1694</v>
      </c>
      <c r="G615" s="8">
        <v>500</v>
      </c>
    </row>
    <row r="616" spans="1:7" x14ac:dyDescent="0.15">
      <c r="A616" s="8" t="s">
        <v>1695</v>
      </c>
      <c r="B616" s="8" t="s">
        <v>126</v>
      </c>
      <c r="C616" s="8" t="str">
        <f t="shared" si="9"/>
        <v>sideroflexins</v>
      </c>
      <c r="D616" s="9" t="s">
        <v>15</v>
      </c>
      <c r="E616" s="8" t="s">
        <v>1696</v>
      </c>
      <c r="F616" s="8" t="s">
        <v>1697</v>
      </c>
      <c r="G616" s="8">
        <v>500</v>
      </c>
    </row>
    <row r="617" spans="1:7" x14ac:dyDescent="0.15">
      <c r="A617" s="8" t="s">
        <v>1698</v>
      </c>
      <c r="B617" s="8" t="s">
        <v>126</v>
      </c>
      <c r="C617" s="8" t="str">
        <f t="shared" si="9"/>
        <v>signaling</v>
      </c>
      <c r="D617" s="9" t="s">
        <v>15</v>
      </c>
      <c r="E617" s="8" t="s">
        <v>1699</v>
      </c>
      <c r="F617" s="8" t="s">
        <v>1699</v>
      </c>
      <c r="G617" s="8">
        <v>500</v>
      </c>
    </row>
    <row r="618" spans="1:7" x14ac:dyDescent="0.15">
      <c r="A618" s="8" t="s">
        <v>1700</v>
      </c>
      <c r="B618" s="8" t="s">
        <v>126</v>
      </c>
      <c r="C618" s="8" t="str">
        <f t="shared" si="9"/>
        <v>slc25a_family</v>
      </c>
      <c r="D618" s="9" t="s">
        <v>15</v>
      </c>
      <c r="E618" s="8" t="s">
        <v>1701</v>
      </c>
      <c r="F618" s="8" t="s">
        <v>1702</v>
      </c>
      <c r="G618" s="8">
        <v>500</v>
      </c>
    </row>
    <row r="619" spans="1:7" x14ac:dyDescent="0.15">
      <c r="A619" s="8" t="s">
        <v>1703</v>
      </c>
      <c r="B619" s="8" t="s">
        <v>126</v>
      </c>
      <c r="C619" s="8" t="str">
        <f t="shared" si="9"/>
        <v>small_molecule_transport</v>
      </c>
      <c r="D619" s="9" t="s">
        <v>15</v>
      </c>
      <c r="E619" s="8" t="s">
        <v>1704</v>
      </c>
      <c r="F619" s="8" t="s">
        <v>1704</v>
      </c>
      <c r="G619" s="8">
        <v>500</v>
      </c>
    </row>
    <row r="620" spans="1:7" x14ac:dyDescent="0.15">
      <c r="A620" s="8" t="s">
        <v>1705</v>
      </c>
      <c r="B620" s="8" t="s">
        <v>126</v>
      </c>
      <c r="C620" s="8" t="str">
        <f t="shared" si="9"/>
        <v>sulfur_metabolism</v>
      </c>
      <c r="D620" s="9" t="s">
        <v>15</v>
      </c>
      <c r="E620" s="8" t="s">
        <v>1706</v>
      </c>
      <c r="F620" s="8" t="s">
        <v>1707</v>
      </c>
      <c r="G620" s="8">
        <v>500</v>
      </c>
    </row>
    <row r="621" spans="1:7" x14ac:dyDescent="0.15">
      <c r="A621" s="8" t="s">
        <v>1708</v>
      </c>
      <c r="B621" s="8" t="s">
        <v>126</v>
      </c>
      <c r="C621" s="8" t="str">
        <f t="shared" si="9"/>
        <v>tca_associated</v>
      </c>
      <c r="D621" s="9" t="s">
        <v>15</v>
      </c>
      <c r="E621" s="8" t="s">
        <v>1709</v>
      </c>
      <c r="F621" s="8" t="s">
        <v>1710</v>
      </c>
      <c r="G621" s="8">
        <v>500</v>
      </c>
    </row>
    <row r="622" spans="1:7" x14ac:dyDescent="0.15">
      <c r="A622" s="8" t="s">
        <v>1711</v>
      </c>
      <c r="B622" s="8" t="s">
        <v>126</v>
      </c>
      <c r="C622" s="8" t="str">
        <f t="shared" si="9"/>
        <v>tca_cycle</v>
      </c>
      <c r="D622" s="9" t="s">
        <v>15</v>
      </c>
      <c r="E622" s="8" t="s">
        <v>1712</v>
      </c>
      <c r="F622" s="8" t="s">
        <v>1713</v>
      </c>
      <c r="G622" s="8">
        <v>500</v>
      </c>
    </row>
    <row r="623" spans="1:7" x14ac:dyDescent="0.15">
      <c r="A623" s="8" t="s">
        <v>1714</v>
      </c>
      <c r="B623" s="8" t="s">
        <v>126</v>
      </c>
      <c r="C623" s="8" t="str">
        <f t="shared" si="9"/>
        <v>tetrahydrobiopterin_synthesis</v>
      </c>
      <c r="D623" s="9" t="s">
        <v>15</v>
      </c>
      <c r="E623" s="8" t="s">
        <v>1715</v>
      </c>
      <c r="F623" s="8" t="s">
        <v>1716</v>
      </c>
      <c r="G623" s="8">
        <v>500</v>
      </c>
    </row>
    <row r="624" spans="1:7" x14ac:dyDescent="0.15">
      <c r="A624" s="8" t="s">
        <v>1717</v>
      </c>
      <c r="B624" s="8" t="s">
        <v>126</v>
      </c>
      <c r="C624" s="8" t="str">
        <f t="shared" si="9"/>
        <v>tim22_carrier_pathway</v>
      </c>
      <c r="D624" s="9" t="s">
        <v>15</v>
      </c>
      <c r="E624" s="8" t="s">
        <v>1718</v>
      </c>
      <c r="F624" s="8" t="s">
        <v>1719</v>
      </c>
      <c r="G624" s="8">
        <v>500</v>
      </c>
    </row>
    <row r="625" spans="1:7" x14ac:dyDescent="0.15">
      <c r="A625" s="8" t="s">
        <v>1720</v>
      </c>
      <c r="B625" s="8" t="s">
        <v>126</v>
      </c>
      <c r="C625" s="8" t="str">
        <f t="shared" si="9"/>
        <v>tim23_presequence_pathway</v>
      </c>
      <c r="D625" s="9" t="s">
        <v>15</v>
      </c>
      <c r="E625" s="8" t="s">
        <v>1721</v>
      </c>
      <c r="F625" s="8" t="s">
        <v>1722</v>
      </c>
      <c r="G625" s="8">
        <v>500</v>
      </c>
    </row>
    <row r="626" spans="1:7" x14ac:dyDescent="0.15">
      <c r="A626" s="8" t="s">
        <v>1723</v>
      </c>
      <c r="B626" s="8" t="s">
        <v>126</v>
      </c>
      <c r="C626" s="8" t="str">
        <f t="shared" si="9"/>
        <v>tom</v>
      </c>
      <c r="D626" s="9" t="s">
        <v>15</v>
      </c>
      <c r="E626" s="8" t="s">
        <v>1724</v>
      </c>
      <c r="F626" s="8" t="s">
        <v>1725</v>
      </c>
      <c r="G626" s="8">
        <v>500</v>
      </c>
    </row>
    <row r="627" spans="1:7" x14ac:dyDescent="0.15">
      <c r="A627" s="8" t="s">
        <v>1726</v>
      </c>
      <c r="B627" s="8" t="s">
        <v>126</v>
      </c>
      <c r="C627" s="8" t="str">
        <f t="shared" si="9"/>
        <v>trafficking</v>
      </c>
      <c r="D627" s="9" t="s">
        <v>15</v>
      </c>
      <c r="E627" s="8" t="s">
        <v>1727</v>
      </c>
      <c r="F627" s="8" t="s">
        <v>1728</v>
      </c>
      <c r="G627" s="8">
        <v>500</v>
      </c>
    </row>
    <row r="628" spans="1:7" x14ac:dyDescent="0.15">
      <c r="A628" s="8" t="s">
        <v>1729</v>
      </c>
      <c r="B628" s="8" t="s">
        <v>126</v>
      </c>
      <c r="C628" s="8" t="str">
        <f t="shared" si="9"/>
        <v>transcription</v>
      </c>
      <c r="D628" s="9" t="s">
        <v>15</v>
      </c>
      <c r="E628" s="8" t="s">
        <v>1730</v>
      </c>
      <c r="F628" s="8" t="s">
        <v>1731</v>
      </c>
      <c r="G628" s="8">
        <v>500</v>
      </c>
    </row>
    <row r="629" spans="1:7" x14ac:dyDescent="0.15">
      <c r="A629" s="8" t="s">
        <v>1732</v>
      </c>
      <c r="B629" s="8" t="s">
        <v>126</v>
      </c>
      <c r="C629" s="8" t="str">
        <f t="shared" si="9"/>
        <v>translation</v>
      </c>
      <c r="D629" s="9" t="s">
        <v>15</v>
      </c>
      <c r="E629" s="8" t="s">
        <v>1733</v>
      </c>
      <c r="F629" s="8" t="s">
        <v>1734</v>
      </c>
      <c r="G629" s="8">
        <v>500</v>
      </c>
    </row>
    <row r="630" spans="1:7" x14ac:dyDescent="0.15">
      <c r="A630" s="8" t="s">
        <v>1735</v>
      </c>
      <c r="B630" s="8" t="s">
        <v>126</v>
      </c>
      <c r="C630" s="8" t="str">
        <f t="shared" si="9"/>
        <v>translation_factors</v>
      </c>
      <c r="D630" s="9" t="s">
        <v>15</v>
      </c>
      <c r="E630" s="8" t="s">
        <v>1736</v>
      </c>
      <c r="F630" s="8" t="s">
        <v>1737</v>
      </c>
      <c r="G630" s="8">
        <v>500</v>
      </c>
    </row>
    <row r="631" spans="1:7" x14ac:dyDescent="0.15">
      <c r="A631" s="8" t="s">
        <v>1738</v>
      </c>
      <c r="B631" s="8" t="s">
        <v>126</v>
      </c>
      <c r="C631" s="8" t="str">
        <f t="shared" si="9"/>
        <v>type_ii_fatty_acid_synthesis</v>
      </c>
      <c r="D631" s="9" t="s">
        <v>15</v>
      </c>
      <c r="E631" s="8" t="s">
        <v>1739</v>
      </c>
      <c r="F631" s="8" t="s">
        <v>1740</v>
      </c>
      <c r="G631" s="8">
        <v>500</v>
      </c>
    </row>
    <row r="632" spans="1:7" x14ac:dyDescent="0.15">
      <c r="A632" s="8" t="s">
        <v>1741</v>
      </c>
      <c r="B632" s="8" t="s">
        <v>126</v>
      </c>
      <c r="C632" s="8" t="str">
        <f t="shared" si="9"/>
        <v>urea_cycle</v>
      </c>
      <c r="D632" s="9" t="s">
        <v>15</v>
      </c>
      <c r="E632" s="8" t="s">
        <v>1742</v>
      </c>
      <c r="F632" s="8" t="s">
        <v>1743</v>
      </c>
      <c r="G632" s="8">
        <v>500</v>
      </c>
    </row>
    <row r="633" spans="1:7" x14ac:dyDescent="0.15">
      <c r="A633" s="8" t="s">
        <v>1744</v>
      </c>
      <c r="B633" s="8" t="s">
        <v>126</v>
      </c>
      <c r="C633" s="8" t="str">
        <f t="shared" si="9"/>
        <v>vitamin_a_metabolism</v>
      </c>
      <c r="D633" s="9" t="s">
        <v>15</v>
      </c>
      <c r="E633" s="8" t="s">
        <v>1745</v>
      </c>
      <c r="F633" s="8" t="s">
        <v>1746</v>
      </c>
      <c r="G633" s="8">
        <v>500</v>
      </c>
    </row>
    <row r="634" spans="1:7" x14ac:dyDescent="0.15">
      <c r="A634" s="8" t="s">
        <v>1747</v>
      </c>
      <c r="B634" s="8" t="s">
        <v>126</v>
      </c>
      <c r="C634" s="8" t="str">
        <f t="shared" si="9"/>
        <v>vitamin_b1_metabolism</v>
      </c>
      <c r="D634" s="9" t="s">
        <v>15</v>
      </c>
      <c r="E634" s="8" t="s">
        <v>1748</v>
      </c>
      <c r="F634" s="8" t="s">
        <v>1749</v>
      </c>
      <c r="G634" s="8">
        <v>500</v>
      </c>
    </row>
    <row r="635" spans="1:7" x14ac:dyDescent="0.15">
      <c r="A635" s="8" t="s">
        <v>1750</v>
      </c>
      <c r="B635" s="8" t="s">
        <v>126</v>
      </c>
      <c r="C635" s="8" t="str">
        <f t="shared" si="9"/>
        <v>vitamin_b12_metabolism</v>
      </c>
      <c r="D635" s="9" t="s">
        <v>15</v>
      </c>
      <c r="E635" s="8" t="s">
        <v>1751</v>
      </c>
      <c r="F635" s="8" t="s">
        <v>1752</v>
      </c>
      <c r="G635" s="8">
        <v>500</v>
      </c>
    </row>
    <row r="636" spans="1:7" x14ac:dyDescent="0.15">
      <c r="A636" s="8" t="s">
        <v>1753</v>
      </c>
      <c r="B636" s="8" t="s">
        <v>126</v>
      </c>
      <c r="C636" s="8" t="str">
        <f t="shared" si="9"/>
        <v>vitamin_b2_metabolism</v>
      </c>
      <c r="D636" s="9" t="s">
        <v>15</v>
      </c>
      <c r="E636" s="8" t="s">
        <v>1754</v>
      </c>
      <c r="F636" s="8" t="s">
        <v>1755</v>
      </c>
      <c r="G636" s="8">
        <v>500</v>
      </c>
    </row>
    <row r="637" spans="1:7" x14ac:dyDescent="0.15">
      <c r="A637" s="8" t="s">
        <v>1756</v>
      </c>
      <c r="B637" s="8" t="s">
        <v>126</v>
      </c>
      <c r="C637" s="8" t="str">
        <f t="shared" si="9"/>
        <v>vitamin_b6_metabolism</v>
      </c>
      <c r="D637" s="9" t="s">
        <v>15</v>
      </c>
      <c r="E637" s="8" t="s">
        <v>1757</v>
      </c>
      <c r="F637" s="8" t="s">
        <v>1758</v>
      </c>
      <c r="G637" s="8">
        <v>500</v>
      </c>
    </row>
    <row r="638" spans="1:7" x14ac:dyDescent="0.15">
      <c r="A638" s="8" t="s">
        <v>1759</v>
      </c>
      <c r="B638" s="8" t="s">
        <v>126</v>
      </c>
      <c r="C638" s="8" t="str">
        <f t="shared" si="9"/>
        <v>vitamin_c_metabolism</v>
      </c>
      <c r="D638" s="9" t="s">
        <v>15</v>
      </c>
      <c r="E638" s="8" t="s">
        <v>1760</v>
      </c>
      <c r="F638" s="8" t="s">
        <v>1761</v>
      </c>
      <c r="G638" s="8">
        <v>500</v>
      </c>
    </row>
    <row r="639" spans="1:7" x14ac:dyDescent="0.15">
      <c r="A639" s="8" t="s">
        <v>1762</v>
      </c>
      <c r="B639" s="8" t="s">
        <v>126</v>
      </c>
      <c r="C639" s="8" t="str">
        <f t="shared" si="9"/>
        <v>vitamin_d_metabolism</v>
      </c>
      <c r="D639" s="9" t="s">
        <v>15</v>
      </c>
      <c r="E639" s="8" t="s">
        <v>1763</v>
      </c>
      <c r="F639" s="8" t="s">
        <v>1764</v>
      </c>
      <c r="G639" s="8">
        <v>500</v>
      </c>
    </row>
    <row r="640" spans="1:7" x14ac:dyDescent="0.15">
      <c r="A640" s="8" t="s">
        <v>1765</v>
      </c>
      <c r="B640" s="8" t="s">
        <v>126</v>
      </c>
      <c r="C640" s="8" t="str">
        <f t="shared" si="9"/>
        <v>vitamin_metabolism</v>
      </c>
      <c r="D640" s="9" t="s">
        <v>15</v>
      </c>
      <c r="E640" s="8" t="s">
        <v>1766</v>
      </c>
      <c r="F640" s="8" t="s">
        <v>1767</v>
      </c>
      <c r="G640" s="8">
        <v>500</v>
      </c>
    </row>
    <row r="641" spans="1:7" x14ac:dyDescent="0.15">
      <c r="A641" s="8" t="s">
        <v>1768</v>
      </c>
      <c r="B641" s="8" t="s">
        <v>126</v>
      </c>
      <c r="C641" s="8" t="str">
        <f t="shared" si="9"/>
        <v>xenobiotic_metabolism</v>
      </c>
      <c r="D641" s="9" t="s">
        <v>15</v>
      </c>
      <c r="E641" s="8" t="s">
        <v>1769</v>
      </c>
      <c r="F641" s="8" t="s">
        <v>1770</v>
      </c>
      <c r="G641" s="8">
        <v>500</v>
      </c>
    </row>
    <row r="642" spans="1:7" x14ac:dyDescent="0.15">
      <c r="A642" s="8" t="s">
        <v>1771</v>
      </c>
      <c r="B642" s="8" t="s">
        <v>1772</v>
      </c>
      <c r="C642" s="8" t="str">
        <f t="shared" si="9"/>
        <v>arbitrary</v>
      </c>
      <c r="D642" s="9" t="s">
        <v>15</v>
      </c>
      <c r="E642" s="8" t="s">
        <v>1773</v>
      </c>
      <c r="F642" s="8" t="s">
        <v>1774</v>
      </c>
      <c r="G642" s="8">
        <v>500</v>
      </c>
    </row>
    <row r="643" spans="1:7" x14ac:dyDescent="0.15">
      <c r="A643" s="8" t="s">
        <v>1775</v>
      </c>
      <c r="B643" s="8" t="s">
        <v>1772</v>
      </c>
      <c r="C643" s="8" t="str">
        <f t="shared" si="9"/>
        <v>random</v>
      </c>
      <c r="D643" s="9" t="s">
        <v>15</v>
      </c>
      <c r="E643" s="8" t="s">
        <v>1776</v>
      </c>
      <c r="F643" s="8" t="s">
        <v>1774</v>
      </c>
      <c r="G643" s="8">
        <v>500</v>
      </c>
    </row>
    <row r="644" spans="1:7" x14ac:dyDescent="0.15">
      <c r="A644" s="8" t="s">
        <v>1777</v>
      </c>
      <c r="B644" s="8" t="s">
        <v>129</v>
      </c>
      <c r="C644" s="8" t="str">
        <f t="shared" si="9"/>
        <v>in_vitro</v>
      </c>
      <c r="D644" s="9" t="s">
        <v>15</v>
      </c>
      <c r="E644" s="8" t="s">
        <v>1778</v>
      </c>
      <c r="F644" s="8" t="s">
        <v>1779</v>
      </c>
      <c r="G644" s="8">
        <v>500</v>
      </c>
    </row>
    <row r="645" spans="1:7" x14ac:dyDescent="0.15">
      <c r="A645" s="8" t="s">
        <v>1780</v>
      </c>
      <c r="B645" s="8" t="s">
        <v>129</v>
      </c>
      <c r="C645" s="8" t="str">
        <f t="shared" si="9"/>
        <v>in_vivo</v>
      </c>
      <c r="D645" s="9" t="s">
        <v>15</v>
      </c>
      <c r="E645" s="8" t="s">
        <v>1781</v>
      </c>
      <c r="F645" s="8" t="s">
        <v>1782</v>
      </c>
      <c r="G645" s="8">
        <v>500</v>
      </c>
    </row>
    <row r="646" spans="1:7" s="6" customFormat="1" x14ac:dyDescent="0.15">
      <c r="A646" s="8" t="s">
        <v>1783</v>
      </c>
      <c r="B646" s="8" t="s">
        <v>129</v>
      </c>
      <c r="C646" s="8" t="str">
        <f t="shared" si="9"/>
        <v>xenografts</v>
      </c>
      <c r="D646" s="9" t="s">
        <v>15</v>
      </c>
      <c r="E646" s="8" t="s">
        <v>1783</v>
      </c>
      <c r="F646" s="8" t="s">
        <v>1784</v>
      </c>
      <c r="G646" s="8">
        <v>500</v>
      </c>
    </row>
    <row r="647" spans="1:7" s="6" customFormat="1" x14ac:dyDescent="0.15">
      <c r="A647" s="8" t="s">
        <v>2990</v>
      </c>
      <c r="B647" s="8" t="s">
        <v>2988</v>
      </c>
      <c r="C647" s="8" t="str">
        <f t="shared" si="9"/>
        <v>nestincre</v>
      </c>
      <c r="D647" s="8" t="s">
        <v>15</v>
      </c>
      <c r="E647" s="8" t="s">
        <v>2989</v>
      </c>
      <c r="F647" s="8" t="s">
        <v>3002</v>
      </c>
      <c r="G647" s="8">
        <v>500</v>
      </c>
    </row>
    <row r="648" spans="1:7" x14ac:dyDescent="0.15">
      <c r="A648" s="8" t="s">
        <v>2992</v>
      </c>
      <c r="B648" s="8" t="s">
        <v>2988</v>
      </c>
      <c r="C648" s="8" t="str">
        <f t="shared" si="9"/>
        <v>cmvcre</v>
      </c>
      <c r="D648" s="8" t="s">
        <v>15</v>
      </c>
      <c r="E648" s="8" t="s">
        <v>2991</v>
      </c>
      <c r="F648" s="8" t="s">
        <v>3001</v>
      </c>
      <c r="G648" s="8">
        <v>500</v>
      </c>
    </row>
    <row r="649" spans="1:7" x14ac:dyDescent="0.15">
      <c r="A649" s="8" t="s">
        <v>2995</v>
      </c>
      <c r="B649" s="8" t="s">
        <v>2988</v>
      </c>
      <c r="C649" s="8" t="str">
        <f t="shared" ref="C649:C712" si="10">A649</f>
        <v>myh6cre</v>
      </c>
      <c r="D649" s="8" t="s">
        <v>15</v>
      </c>
      <c r="E649" s="8" t="s">
        <v>2994</v>
      </c>
      <c r="F649" s="8" t="s">
        <v>2993</v>
      </c>
      <c r="G649" s="8">
        <v>500</v>
      </c>
    </row>
    <row r="650" spans="1:7" x14ac:dyDescent="0.15">
      <c r="A650" s="8" t="s">
        <v>2461</v>
      </c>
      <c r="B650" s="8" t="s">
        <v>2988</v>
      </c>
      <c r="C650" s="8" t="str">
        <f t="shared" si="10"/>
        <v>albcre</v>
      </c>
      <c r="D650" s="8" t="s">
        <v>15</v>
      </c>
      <c r="E650" s="8" t="s">
        <v>2996</v>
      </c>
      <c r="F650" s="8" t="s">
        <v>3000</v>
      </c>
      <c r="G650" s="8">
        <v>500</v>
      </c>
    </row>
    <row r="651" spans="1:7" x14ac:dyDescent="0.15">
      <c r="A651" s="8" t="s">
        <v>2997</v>
      </c>
      <c r="B651" s="8" t="s">
        <v>2988</v>
      </c>
      <c r="C651" s="8" t="str">
        <f t="shared" si="10"/>
        <v>ucpcre</v>
      </c>
      <c r="D651" s="8" t="s">
        <v>15</v>
      </c>
      <c r="E651" s="8" t="s">
        <v>2998</v>
      </c>
      <c r="F651" s="8" t="s">
        <v>2999</v>
      </c>
      <c r="G651" s="8">
        <v>500</v>
      </c>
    </row>
    <row r="652" spans="1:7" x14ac:dyDescent="0.15">
      <c r="A652" s="8" t="s">
        <v>2458</v>
      </c>
      <c r="B652" s="8" t="s">
        <v>2988</v>
      </c>
      <c r="C652" s="8" t="str">
        <f t="shared" si="10"/>
        <v>adipoqcre</v>
      </c>
      <c r="D652" s="8" t="s">
        <v>15</v>
      </c>
      <c r="E652" s="8" t="s">
        <v>3003</v>
      </c>
      <c r="F652" s="8" t="s">
        <v>3004</v>
      </c>
      <c r="G652" s="8">
        <v>500</v>
      </c>
    </row>
    <row r="653" spans="1:7" x14ac:dyDescent="0.15">
      <c r="A653" s="8" t="s">
        <v>3012</v>
      </c>
      <c r="B653" s="8" t="s">
        <v>2988</v>
      </c>
      <c r="C653" s="8" t="str">
        <f t="shared" si="10"/>
        <v>ckmmcre</v>
      </c>
      <c r="D653" s="8" t="s">
        <v>15</v>
      </c>
      <c r="E653" s="8" t="s">
        <v>3013</v>
      </c>
      <c r="F653" s="8" t="s">
        <v>3014</v>
      </c>
      <c r="G653" s="8">
        <v>500</v>
      </c>
    </row>
    <row r="654" spans="1:7" x14ac:dyDescent="0.15">
      <c r="A654" s="8" t="s">
        <v>1785</v>
      </c>
      <c r="B654" s="8" t="s">
        <v>3859</v>
      </c>
      <c r="C654" s="8" t="str">
        <f t="shared" si="10"/>
        <v>eclips</v>
      </c>
      <c r="D654" s="9" t="s">
        <v>15</v>
      </c>
      <c r="E654" s="8" t="s">
        <v>1786</v>
      </c>
      <c r="F654" s="8" t="s">
        <v>1786</v>
      </c>
      <c r="G654" s="8">
        <v>500</v>
      </c>
    </row>
    <row r="655" spans="1:7" x14ac:dyDescent="0.15">
      <c r="A655" s="8" t="s">
        <v>1787</v>
      </c>
      <c r="B655" s="8" t="s">
        <v>3859</v>
      </c>
      <c r="C655" s="8" t="str">
        <f t="shared" si="10"/>
        <v>exploris240</v>
      </c>
      <c r="D655" s="9" t="s">
        <v>15</v>
      </c>
      <c r="E655" s="8" t="s">
        <v>1788</v>
      </c>
      <c r="F655" s="8" t="s">
        <v>1789</v>
      </c>
      <c r="G655" s="8">
        <v>500</v>
      </c>
    </row>
    <row r="656" spans="1:7" x14ac:dyDescent="0.15">
      <c r="A656" s="8" t="s">
        <v>1790</v>
      </c>
      <c r="B656" s="8" t="s">
        <v>3859</v>
      </c>
      <c r="C656" s="8" t="str">
        <f t="shared" si="10"/>
        <v>exploris480</v>
      </c>
      <c r="D656" s="9" t="s">
        <v>15</v>
      </c>
      <c r="E656" s="8" t="s">
        <v>1791</v>
      </c>
      <c r="F656" s="8" t="s">
        <v>1792</v>
      </c>
      <c r="G656" s="8">
        <v>500</v>
      </c>
    </row>
    <row r="657" spans="1:7" x14ac:dyDescent="0.15">
      <c r="A657" s="8" t="s">
        <v>1793</v>
      </c>
      <c r="B657" s="8" t="s">
        <v>3859</v>
      </c>
      <c r="C657" s="8" t="str">
        <f t="shared" si="10"/>
        <v>qex</v>
      </c>
      <c r="D657" s="9" t="s">
        <v>15</v>
      </c>
      <c r="E657" s="8" t="s">
        <v>1794</v>
      </c>
      <c r="F657" s="8" t="s">
        <v>1795</v>
      </c>
      <c r="G657" s="8">
        <v>500</v>
      </c>
    </row>
    <row r="658" spans="1:7" x14ac:dyDescent="0.15">
      <c r="A658" s="8" t="s">
        <v>1796</v>
      </c>
      <c r="B658" s="8" t="s">
        <v>3859</v>
      </c>
      <c r="C658" s="8" t="str">
        <f t="shared" si="10"/>
        <v>qexplus</v>
      </c>
      <c r="D658" s="9" t="s">
        <v>15</v>
      </c>
      <c r="E658" s="8" t="s">
        <v>1797</v>
      </c>
      <c r="F658" s="8" t="s">
        <v>1798</v>
      </c>
      <c r="G658" s="8">
        <v>500</v>
      </c>
    </row>
    <row r="659" spans="1:7" x14ac:dyDescent="0.15">
      <c r="A659" s="8" t="s">
        <v>3084</v>
      </c>
      <c r="B659" s="8" t="s">
        <v>3859</v>
      </c>
      <c r="C659" s="8" t="str">
        <f t="shared" si="10"/>
        <v>tofpro2</v>
      </c>
      <c r="D659" s="9" t="s">
        <v>15</v>
      </c>
      <c r="E659" s="8" t="s">
        <v>3085</v>
      </c>
      <c r="F659" s="8" t="s">
        <v>3086</v>
      </c>
      <c r="G659" s="8">
        <v>500</v>
      </c>
    </row>
    <row r="660" spans="1:7" x14ac:dyDescent="0.15">
      <c r="A660" s="8" t="s">
        <v>1799</v>
      </c>
      <c r="B660" s="8" t="s">
        <v>3859</v>
      </c>
      <c r="C660" s="8" t="str">
        <f t="shared" si="10"/>
        <v>ttofhct</v>
      </c>
      <c r="D660" s="9" t="s">
        <v>15</v>
      </c>
      <c r="E660" s="8" t="s">
        <v>1800</v>
      </c>
      <c r="F660" s="8" t="s">
        <v>3087</v>
      </c>
      <c r="G660" s="8">
        <v>500</v>
      </c>
    </row>
    <row r="661" spans="1:7" x14ac:dyDescent="0.15">
      <c r="A661" s="8" t="s">
        <v>1801</v>
      </c>
      <c r="B661" s="8" t="s">
        <v>3859</v>
      </c>
      <c r="C661" s="8" t="str">
        <f t="shared" si="10"/>
        <v>ttofscp</v>
      </c>
      <c r="D661" s="9" t="s">
        <v>15</v>
      </c>
      <c r="E661" s="8" t="s">
        <v>1802</v>
      </c>
      <c r="F661" s="8" t="s">
        <v>3088</v>
      </c>
      <c r="G661" s="8">
        <v>500</v>
      </c>
    </row>
    <row r="662" spans="1:7" x14ac:dyDescent="0.15">
      <c r="A662" s="8" t="s">
        <v>1803</v>
      </c>
      <c r="B662" s="8" t="s">
        <v>93</v>
      </c>
      <c r="C662" s="8" t="str">
        <f t="shared" si="10"/>
        <v>faims</v>
      </c>
      <c r="D662" s="9" t="s">
        <v>15</v>
      </c>
      <c r="E662" s="8" t="s">
        <v>1804</v>
      </c>
      <c r="F662" s="8" t="s">
        <v>1805</v>
      </c>
      <c r="G662" s="8">
        <v>500</v>
      </c>
    </row>
    <row r="663" spans="1:7" x14ac:dyDescent="0.15">
      <c r="A663" s="8" t="s">
        <v>3177</v>
      </c>
      <c r="B663" s="8" t="s">
        <v>93</v>
      </c>
      <c r="C663" s="8" t="str">
        <f t="shared" si="10"/>
        <v>no_interface</v>
      </c>
      <c r="D663" s="9" t="s">
        <v>15</v>
      </c>
      <c r="E663" s="8" t="s">
        <v>1806</v>
      </c>
      <c r="F663" s="8" t="s">
        <v>1807</v>
      </c>
      <c r="G663" s="8">
        <v>500</v>
      </c>
    </row>
    <row r="664" spans="1:7" x14ac:dyDescent="0.15">
      <c r="A664" s="8" t="s">
        <v>1808</v>
      </c>
      <c r="B664" s="8" t="s">
        <v>36</v>
      </c>
      <c r="C664" s="8" t="str">
        <f t="shared" si="10"/>
        <v>easy_spray</v>
      </c>
      <c r="D664" s="9" t="s">
        <v>15</v>
      </c>
      <c r="E664" s="8" t="s">
        <v>1809</v>
      </c>
      <c r="F664" s="8" t="s">
        <v>1810</v>
      </c>
      <c r="G664" s="8">
        <v>500</v>
      </c>
    </row>
    <row r="665" spans="1:7" x14ac:dyDescent="0.15">
      <c r="A665" s="8" t="s">
        <v>1811</v>
      </c>
      <c r="B665" s="8" t="s">
        <v>36</v>
      </c>
      <c r="C665" s="8" t="str">
        <f t="shared" si="10"/>
        <v>flex</v>
      </c>
      <c r="D665" s="9" t="s">
        <v>15</v>
      </c>
      <c r="E665" s="8" t="s">
        <v>1812</v>
      </c>
      <c r="F665" s="8" t="s">
        <v>1813</v>
      </c>
      <c r="G665" s="8">
        <v>500</v>
      </c>
    </row>
    <row r="666" spans="1:7" x14ac:dyDescent="0.15">
      <c r="A666" s="8" t="s">
        <v>1814</v>
      </c>
      <c r="B666" s="8" t="s">
        <v>36</v>
      </c>
      <c r="C666" s="8" t="str">
        <f t="shared" si="10"/>
        <v>ion_max</v>
      </c>
      <c r="D666" s="9" t="s">
        <v>15</v>
      </c>
      <c r="E666" s="8" t="s">
        <v>1815</v>
      </c>
      <c r="F666" s="8" t="s">
        <v>1816</v>
      </c>
      <c r="G666" s="8">
        <v>500</v>
      </c>
    </row>
    <row r="667" spans="1:7" x14ac:dyDescent="0.15">
      <c r="A667" s="8" t="s">
        <v>3070</v>
      </c>
      <c r="B667" s="8" t="s">
        <v>36</v>
      </c>
      <c r="C667" s="8" t="str">
        <f t="shared" si="10"/>
        <v>captivespray</v>
      </c>
      <c r="D667" s="9" t="s">
        <v>3069</v>
      </c>
      <c r="E667" s="8" t="s">
        <v>3074</v>
      </c>
      <c r="F667" s="8" t="s">
        <v>3076</v>
      </c>
      <c r="G667" s="8">
        <v>500</v>
      </c>
    </row>
    <row r="668" spans="1:7" x14ac:dyDescent="0.15">
      <c r="A668" s="8" t="s">
        <v>3071</v>
      </c>
      <c r="B668" s="8" t="s">
        <v>36</v>
      </c>
      <c r="C668" s="8" t="str">
        <f t="shared" si="10"/>
        <v>captivespraytwo</v>
      </c>
      <c r="D668" s="9" t="s">
        <v>3072</v>
      </c>
      <c r="E668" s="8" t="s">
        <v>3073</v>
      </c>
      <c r="F668" s="8" t="s">
        <v>3075</v>
      </c>
      <c r="G668" s="8">
        <v>500</v>
      </c>
    </row>
    <row r="669" spans="1:7" x14ac:dyDescent="0.15">
      <c r="A669" s="8" t="s">
        <v>3077</v>
      </c>
      <c r="B669" s="8" t="s">
        <v>36</v>
      </c>
      <c r="C669" s="8" t="str">
        <f t="shared" si="10"/>
        <v>captiivespraypro</v>
      </c>
      <c r="D669" s="9" t="s">
        <v>3078</v>
      </c>
      <c r="E669" s="8" t="s">
        <v>3079</v>
      </c>
      <c r="F669" s="8" t="s">
        <v>3080</v>
      </c>
      <c r="G669" s="8">
        <v>500</v>
      </c>
    </row>
    <row r="670" spans="1:7" x14ac:dyDescent="0.15">
      <c r="A670" s="8" t="s">
        <v>1817</v>
      </c>
      <c r="B670" s="8" t="s">
        <v>21</v>
      </c>
      <c r="C670" s="8" t="str">
        <f t="shared" si="10"/>
        <v>e1</v>
      </c>
      <c r="D670" s="8" t="s">
        <v>1817</v>
      </c>
      <c r="E670" s="8" t="s">
        <v>1818</v>
      </c>
      <c r="F670" s="8" t="s">
        <v>1819</v>
      </c>
      <c r="G670" s="8">
        <v>500</v>
      </c>
    </row>
    <row r="671" spans="1:7" x14ac:dyDescent="0.15">
      <c r="A671" s="8" t="s">
        <v>1820</v>
      </c>
      <c r="B671" s="8" t="s">
        <v>21</v>
      </c>
      <c r="C671" s="8" t="str">
        <f t="shared" si="10"/>
        <v>e2</v>
      </c>
      <c r="D671" s="8" t="s">
        <v>1820</v>
      </c>
      <c r="E671" s="8" t="s">
        <v>1821</v>
      </c>
      <c r="F671" s="8" t="s">
        <v>1822</v>
      </c>
      <c r="G671" s="8">
        <v>500</v>
      </c>
    </row>
    <row r="672" spans="1:7" x14ac:dyDescent="0.15">
      <c r="A672" s="8" t="s">
        <v>1823</v>
      </c>
      <c r="B672" s="8" t="s">
        <v>21</v>
      </c>
      <c r="C672" s="8" t="str">
        <f t="shared" si="10"/>
        <v>expl480</v>
      </c>
      <c r="D672" s="8" t="s">
        <v>1823</v>
      </c>
      <c r="E672" s="8" t="s">
        <v>1824</v>
      </c>
      <c r="F672" s="8" t="s">
        <v>2940</v>
      </c>
      <c r="G672" s="8">
        <v>500</v>
      </c>
    </row>
    <row r="673" spans="1:7" x14ac:dyDescent="0.15">
      <c r="A673" s="8" t="s">
        <v>2937</v>
      </c>
      <c r="B673" s="8" t="s">
        <v>21</v>
      </c>
      <c r="C673" s="8" t="str">
        <f t="shared" si="10"/>
        <v>hfxage</v>
      </c>
      <c r="D673" s="8" t="s">
        <v>15</v>
      </c>
      <c r="E673" s="8" t="s">
        <v>2938</v>
      </c>
      <c r="F673" s="8" t="s">
        <v>2939</v>
      </c>
      <c r="G673" s="8">
        <v>500</v>
      </c>
    </row>
    <row r="674" spans="1:7" x14ac:dyDescent="0.15">
      <c r="A674" s="8" t="s">
        <v>1825</v>
      </c>
      <c r="B674" s="8" t="s">
        <v>21</v>
      </c>
      <c r="C674" s="8" t="str">
        <f t="shared" si="10"/>
        <v>ignarius</v>
      </c>
      <c r="D674" s="8" t="s">
        <v>1825</v>
      </c>
      <c r="E674" s="8" t="s">
        <v>1826</v>
      </c>
      <c r="F674" s="8" t="s">
        <v>1827</v>
      </c>
      <c r="G674" s="8">
        <v>500</v>
      </c>
    </row>
    <row r="675" spans="1:7" x14ac:dyDescent="0.15">
      <c r="A675" s="8" t="s">
        <v>1828</v>
      </c>
      <c r="B675" s="8" t="s">
        <v>21</v>
      </c>
      <c r="C675" s="8" t="str">
        <f t="shared" si="10"/>
        <v>timstof</v>
      </c>
      <c r="D675" s="8" t="s">
        <v>1828</v>
      </c>
      <c r="E675" s="8" t="s">
        <v>1829</v>
      </c>
      <c r="F675" s="8" t="s">
        <v>1830</v>
      </c>
      <c r="G675" s="8">
        <v>500</v>
      </c>
    </row>
    <row r="676" spans="1:7" x14ac:dyDescent="0.15">
      <c r="A676" s="8" t="s">
        <v>1831</v>
      </c>
      <c r="B676" s="8" t="s">
        <v>141</v>
      </c>
      <c r="C676" s="8" t="str">
        <f t="shared" si="10"/>
        <v>120000res</v>
      </c>
      <c r="D676" s="9" t="s">
        <v>15</v>
      </c>
      <c r="E676" s="8">
        <v>120000</v>
      </c>
      <c r="F676" s="8" t="s">
        <v>1832</v>
      </c>
      <c r="G676" s="8">
        <v>500</v>
      </c>
    </row>
    <row r="677" spans="1:7" x14ac:dyDescent="0.15">
      <c r="A677" s="8" t="s">
        <v>1833</v>
      </c>
      <c r="B677" s="8" t="s">
        <v>141</v>
      </c>
      <c r="C677" s="8" t="str">
        <f t="shared" si="10"/>
        <v>15000res</v>
      </c>
      <c r="D677" s="9" t="s">
        <v>15</v>
      </c>
      <c r="E677" s="8">
        <v>15000</v>
      </c>
      <c r="F677" s="8" t="s">
        <v>1832</v>
      </c>
      <c r="G677" s="8">
        <v>500</v>
      </c>
    </row>
    <row r="678" spans="1:7" x14ac:dyDescent="0.15">
      <c r="A678" s="8" t="s">
        <v>1834</v>
      </c>
      <c r="B678" s="8" t="s">
        <v>141</v>
      </c>
      <c r="C678" s="8" t="str">
        <f t="shared" si="10"/>
        <v>17500res</v>
      </c>
      <c r="D678" s="9" t="s">
        <v>15</v>
      </c>
      <c r="E678" s="8">
        <v>17500</v>
      </c>
      <c r="F678" s="8" t="s">
        <v>1835</v>
      </c>
      <c r="G678" s="8">
        <v>500</v>
      </c>
    </row>
    <row r="679" spans="1:7" x14ac:dyDescent="0.15">
      <c r="A679" s="8" t="s">
        <v>1836</v>
      </c>
      <c r="B679" s="8" t="s">
        <v>141</v>
      </c>
      <c r="C679" s="8" t="str">
        <f t="shared" si="10"/>
        <v>30000res</v>
      </c>
      <c r="D679" s="9" t="s">
        <v>15</v>
      </c>
      <c r="E679" s="8">
        <v>30000</v>
      </c>
      <c r="F679" s="8" t="s">
        <v>1832</v>
      </c>
      <c r="G679" s="8">
        <v>500</v>
      </c>
    </row>
    <row r="680" spans="1:7" x14ac:dyDescent="0.15">
      <c r="A680" s="8" t="s">
        <v>1837</v>
      </c>
      <c r="B680" s="8" t="s">
        <v>141</v>
      </c>
      <c r="C680" s="8" t="str">
        <f t="shared" si="10"/>
        <v>35000res</v>
      </c>
      <c r="D680" s="9" t="s">
        <v>15</v>
      </c>
      <c r="E680" s="8">
        <v>35000</v>
      </c>
      <c r="F680" s="8" t="s">
        <v>1835</v>
      </c>
      <c r="G680" s="8">
        <v>500</v>
      </c>
    </row>
    <row r="681" spans="1:7" x14ac:dyDescent="0.15">
      <c r="A681" s="8" t="s">
        <v>1838</v>
      </c>
      <c r="B681" s="8" t="s">
        <v>141</v>
      </c>
      <c r="C681" s="8" t="str">
        <f t="shared" si="10"/>
        <v>45000res</v>
      </c>
      <c r="D681" s="9" t="s">
        <v>15</v>
      </c>
      <c r="E681" s="8">
        <v>45000</v>
      </c>
      <c r="F681" s="8" t="s">
        <v>1832</v>
      </c>
      <c r="G681" s="8">
        <v>500</v>
      </c>
    </row>
    <row r="682" spans="1:7" x14ac:dyDescent="0.15">
      <c r="A682" s="8" t="s">
        <v>1839</v>
      </c>
      <c r="B682" s="8" t="s">
        <v>141</v>
      </c>
      <c r="C682" s="8" t="str">
        <f t="shared" si="10"/>
        <v>60000res</v>
      </c>
      <c r="D682" s="9" t="s">
        <v>15</v>
      </c>
      <c r="E682" s="8">
        <v>60000</v>
      </c>
      <c r="F682" s="8" t="s">
        <v>1832</v>
      </c>
      <c r="G682" s="8">
        <v>500</v>
      </c>
    </row>
    <row r="683" spans="1:7" x14ac:dyDescent="0.15">
      <c r="A683" s="8" t="s">
        <v>1840</v>
      </c>
      <c r="B683" s="8" t="s">
        <v>141</v>
      </c>
      <c r="C683" s="8" t="str">
        <f t="shared" si="10"/>
        <v>7500res</v>
      </c>
      <c r="D683" s="9" t="s">
        <v>15</v>
      </c>
      <c r="E683" s="8">
        <v>7500</v>
      </c>
      <c r="F683" s="8" t="s">
        <v>1832</v>
      </c>
      <c r="G683" s="8">
        <v>500</v>
      </c>
    </row>
    <row r="684" spans="1:7" x14ac:dyDescent="0.15">
      <c r="A684" s="8" t="s">
        <v>1841</v>
      </c>
      <c r="B684" s="8" t="s">
        <v>144</v>
      </c>
      <c r="C684" s="8" t="str">
        <f t="shared" si="10"/>
        <v>ab</v>
      </c>
      <c r="D684" s="9" t="s">
        <v>15</v>
      </c>
      <c r="E684" s="8" t="s">
        <v>1843</v>
      </c>
      <c r="F684" s="8" t="s">
        <v>1842</v>
      </c>
      <c r="G684" s="8">
        <v>500</v>
      </c>
    </row>
    <row r="685" spans="1:7" x14ac:dyDescent="0.15">
      <c r="A685" s="8" t="s">
        <v>1844</v>
      </c>
      <c r="B685" s="8" t="s">
        <v>144</v>
      </c>
      <c r="C685" s="8" t="str">
        <f t="shared" si="10"/>
        <v>al</v>
      </c>
      <c r="D685" s="9" t="s">
        <v>15</v>
      </c>
      <c r="E685" s="8" t="s">
        <v>1846</v>
      </c>
      <c r="F685" s="8" t="s">
        <v>1845</v>
      </c>
      <c r="G685" s="8">
        <v>500</v>
      </c>
    </row>
    <row r="686" spans="1:7" x14ac:dyDescent="0.15">
      <c r="A686" s="8" t="s">
        <v>1847</v>
      </c>
      <c r="B686" s="8" t="s">
        <v>144</v>
      </c>
      <c r="C686" s="8" t="str">
        <f t="shared" si="10"/>
        <v>am</v>
      </c>
      <c r="D686" s="9" t="s">
        <v>15</v>
      </c>
      <c r="E686" s="8" t="s">
        <v>1849</v>
      </c>
      <c r="F686" s="8" t="s">
        <v>1848</v>
      </c>
      <c r="G686" s="8">
        <v>500</v>
      </c>
    </row>
    <row r="687" spans="1:7" x14ac:dyDescent="0.15">
      <c r="A687" s="8" t="s">
        <v>1850</v>
      </c>
      <c r="B687" s="8" t="s">
        <v>144</v>
      </c>
      <c r="C687" s="8" t="str">
        <f t="shared" si="10"/>
        <v>an</v>
      </c>
      <c r="D687" s="9" t="s">
        <v>15</v>
      </c>
      <c r="E687" s="8" t="s">
        <v>1852</v>
      </c>
      <c r="F687" s="8" t="s">
        <v>1851</v>
      </c>
      <c r="G687" s="8">
        <v>500</v>
      </c>
    </row>
    <row r="688" spans="1:7" x14ac:dyDescent="0.15">
      <c r="A688" s="8" t="s">
        <v>1853</v>
      </c>
      <c r="B688" s="8" t="s">
        <v>144</v>
      </c>
      <c r="C688" s="8" t="str">
        <f t="shared" si="10"/>
        <v>bbl</v>
      </c>
      <c r="D688" s="9" t="s">
        <v>15</v>
      </c>
      <c r="E688" s="8" t="s">
        <v>1855</v>
      </c>
      <c r="F688" s="8" t="s">
        <v>1854</v>
      </c>
      <c r="G688" s="8">
        <v>500</v>
      </c>
    </row>
    <row r="689" spans="1:7" x14ac:dyDescent="0.15">
      <c r="A689" s="8" t="s">
        <v>1856</v>
      </c>
      <c r="B689" s="8" t="s">
        <v>144</v>
      </c>
      <c r="C689" s="8" t="str">
        <f t="shared" si="10"/>
        <v>bbs</v>
      </c>
      <c r="D689" s="9" t="s">
        <v>15</v>
      </c>
      <c r="E689" s="8" t="s">
        <v>1858</v>
      </c>
      <c r="F689" s="8" t="s">
        <v>1857</v>
      </c>
      <c r="G689" s="8">
        <v>500</v>
      </c>
    </row>
    <row r="690" spans="1:7" x14ac:dyDescent="0.15">
      <c r="A690" s="8" t="s">
        <v>1859</v>
      </c>
      <c r="B690" s="8" t="s">
        <v>144</v>
      </c>
      <c r="C690" s="8" t="str">
        <f t="shared" si="10"/>
        <v>bfa</v>
      </c>
      <c r="D690" s="9" t="s">
        <v>15</v>
      </c>
      <c r="E690" s="8" t="s">
        <v>1861</v>
      </c>
      <c r="F690" s="8" t="s">
        <v>1860</v>
      </c>
      <c r="G690" s="8">
        <v>500</v>
      </c>
    </row>
    <row r="691" spans="1:7" x14ac:dyDescent="0.15">
      <c r="A691" s="8" t="s">
        <v>1862</v>
      </c>
      <c r="B691" s="8" t="s">
        <v>144</v>
      </c>
      <c r="C691" s="8" t="str">
        <f t="shared" si="10"/>
        <v>bfp_ca</v>
      </c>
      <c r="D691" s="9" t="s">
        <v>15</v>
      </c>
      <c r="E691" s="8" t="s">
        <v>1864</v>
      </c>
      <c r="F691" s="8" t="s">
        <v>1863</v>
      </c>
      <c r="G691" s="8">
        <v>500</v>
      </c>
    </row>
    <row r="692" spans="1:7" x14ac:dyDescent="0.15">
      <c r="A692" s="8" t="s">
        <v>1865</v>
      </c>
      <c r="B692" s="8" t="s">
        <v>144</v>
      </c>
      <c r="C692" s="8" t="str">
        <f t="shared" si="10"/>
        <v>bfp_cr</v>
      </c>
      <c r="D692" s="9" t="s">
        <v>15</v>
      </c>
      <c r="E692" s="8" t="s">
        <v>1867</v>
      </c>
      <c r="F692" s="8" t="s">
        <v>1866</v>
      </c>
      <c r="G692" s="8">
        <v>500</v>
      </c>
    </row>
    <row r="693" spans="1:7" x14ac:dyDescent="0.15">
      <c r="A693" s="8" t="s">
        <v>1868</v>
      </c>
      <c r="B693" s="8" t="s">
        <v>144</v>
      </c>
      <c r="C693" s="8" t="str">
        <f t="shared" si="10"/>
        <v>bfp_mi</v>
      </c>
      <c r="D693" s="9" t="s">
        <v>15</v>
      </c>
      <c r="E693" s="8" t="s">
        <v>1870</v>
      </c>
      <c r="F693" s="8" t="s">
        <v>1869</v>
      </c>
      <c r="G693" s="8">
        <v>500</v>
      </c>
    </row>
    <row r="694" spans="1:7" x14ac:dyDescent="0.15">
      <c r="A694" s="8" t="s">
        <v>1871</v>
      </c>
      <c r="B694" s="8" t="s">
        <v>144</v>
      </c>
      <c r="C694" s="8" t="str">
        <f t="shared" si="10"/>
        <v>bra</v>
      </c>
      <c r="D694" s="9" t="s">
        <v>15</v>
      </c>
      <c r="E694" s="8" t="s">
        <v>1873</v>
      </c>
      <c r="F694" s="8" t="s">
        <v>1872</v>
      </c>
      <c r="G694" s="8">
        <v>500</v>
      </c>
    </row>
    <row r="695" spans="1:7" x14ac:dyDescent="0.15">
      <c r="A695" s="8" t="s">
        <v>1874</v>
      </c>
      <c r="B695" s="8" t="s">
        <v>144</v>
      </c>
      <c r="C695" s="8" t="str">
        <f t="shared" si="10"/>
        <v>cf</v>
      </c>
      <c r="D695" s="9" t="s">
        <v>15</v>
      </c>
      <c r="E695" s="8" t="s">
        <v>1876</v>
      </c>
      <c r="F695" s="8" t="s">
        <v>1875</v>
      </c>
      <c r="G695" s="8">
        <v>500</v>
      </c>
    </row>
    <row r="696" spans="1:7" x14ac:dyDescent="0.15">
      <c r="A696" s="8" t="s">
        <v>1877</v>
      </c>
      <c r="B696" s="8" t="s">
        <v>144</v>
      </c>
      <c r="C696" s="8" t="str">
        <f t="shared" si="10"/>
        <v>cor</v>
      </c>
      <c r="D696" s="9" t="s">
        <v>15</v>
      </c>
      <c r="E696" s="8" t="s">
        <v>1879</v>
      </c>
      <c r="F696" s="8" t="s">
        <v>1878</v>
      </c>
      <c r="G696" s="8">
        <v>500</v>
      </c>
    </row>
    <row r="697" spans="1:7" x14ac:dyDescent="0.15">
      <c r="A697" s="8" t="s">
        <v>1880</v>
      </c>
      <c r="B697" s="8" t="s">
        <v>144</v>
      </c>
      <c r="C697" s="8" t="str">
        <f t="shared" si="10"/>
        <v>ecrb</v>
      </c>
      <c r="D697" s="9" t="s">
        <v>15</v>
      </c>
      <c r="E697" s="8" t="s">
        <v>1882</v>
      </c>
      <c r="F697" s="8" t="s">
        <v>1881</v>
      </c>
      <c r="G697" s="8">
        <v>500</v>
      </c>
    </row>
    <row r="698" spans="1:7" x14ac:dyDescent="0.15">
      <c r="A698" s="8" t="s">
        <v>1883</v>
      </c>
      <c r="B698" s="8" t="s">
        <v>144</v>
      </c>
      <c r="C698" s="8" t="str">
        <f t="shared" si="10"/>
        <v>ecrl</v>
      </c>
      <c r="D698" s="9" t="s">
        <v>15</v>
      </c>
      <c r="E698" s="8" t="s">
        <v>1885</v>
      </c>
      <c r="F698" s="8" t="s">
        <v>1884</v>
      </c>
      <c r="G698" s="8">
        <v>500</v>
      </c>
    </row>
    <row r="699" spans="1:7" x14ac:dyDescent="0.15">
      <c r="A699" s="8" t="s">
        <v>1886</v>
      </c>
      <c r="B699" s="8" t="s">
        <v>144</v>
      </c>
      <c r="C699" s="8" t="str">
        <f t="shared" si="10"/>
        <v>ecu</v>
      </c>
      <c r="D699" s="9" t="s">
        <v>15</v>
      </c>
      <c r="E699" s="8" t="s">
        <v>1888</v>
      </c>
      <c r="F699" s="8" t="s">
        <v>1887</v>
      </c>
      <c r="G699" s="8">
        <v>500</v>
      </c>
    </row>
    <row r="700" spans="1:7" x14ac:dyDescent="0.15">
      <c r="A700" s="8" t="s">
        <v>1889</v>
      </c>
      <c r="B700" s="8" t="s">
        <v>144</v>
      </c>
      <c r="C700" s="8" t="str">
        <f t="shared" si="10"/>
        <v>edl</v>
      </c>
      <c r="D700" s="9" t="s">
        <v>15</v>
      </c>
      <c r="E700" s="8" t="s">
        <v>1891</v>
      </c>
      <c r="F700" s="8" t="s">
        <v>1890</v>
      </c>
      <c r="G700" s="8">
        <v>500</v>
      </c>
    </row>
    <row r="701" spans="1:7" x14ac:dyDescent="0.15">
      <c r="A701" s="8" t="s">
        <v>1892</v>
      </c>
      <c r="B701" s="8" t="s">
        <v>144</v>
      </c>
      <c r="C701" s="8" t="str">
        <f t="shared" si="10"/>
        <v>ehl</v>
      </c>
      <c r="D701" s="9" t="s">
        <v>15</v>
      </c>
      <c r="E701" s="8" t="s">
        <v>1894</v>
      </c>
      <c r="F701" s="8" t="s">
        <v>1893</v>
      </c>
      <c r="G701" s="8">
        <v>500</v>
      </c>
    </row>
    <row r="702" spans="1:7" x14ac:dyDescent="0.15">
      <c r="A702" s="8" t="s">
        <v>1895</v>
      </c>
      <c r="B702" s="8" t="s">
        <v>144</v>
      </c>
      <c r="C702" s="8" t="str">
        <f t="shared" si="10"/>
        <v>eip1</v>
      </c>
      <c r="D702" s="9" t="s">
        <v>15</v>
      </c>
      <c r="E702" s="8" t="s">
        <v>1897</v>
      </c>
      <c r="F702" s="8" t="s">
        <v>1896</v>
      </c>
      <c r="G702" s="8">
        <v>500</v>
      </c>
    </row>
    <row r="703" spans="1:7" x14ac:dyDescent="0.15">
      <c r="A703" s="8" t="s">
        <v>1898</v>
      </c>
      <c r="B703" s="8" t="s">
        <v>144</v>
      </c>
      <c r="C703" s="8" t="str">
        <f t="shared" si="10"/>
        <v>eip2</v>
      </c>
      <c r="D703" s="9" t="s">
        <v>15</v>
      </c>
      <c r="E703" s="8" t="s">
        <v>1900</v>
      </c>
      <c r="F703" s="8" t="s">
        <v>1899</v>
      </c>
      <c r="G703" s="8">
        <v>500</v>
      </c>
    </row>
    <row r="704" spans="1:7" x14ac:dyDescent="0.15">
      <c r="A704" s="8" t="s">
        <v>1901</v>
      </c>
      <c r="B704" s="8" t="s">
        <v>144</v>
      </c>
      <c r="C704" s="8" t="str">
        <f t="shared" si="10"/>
        <v>fcr</v>
      </c>
      <c r="D704" s="9" t="s">
        <v>15</v>
      </c>
      <c r="E704" s="8" t="s">
        <v>1903</v>
      </c>
      <c r="F704" s="8" t="s">
        <v>1902</v>
      </c>
      <c r="G704" s="8">
        <v>500</v>
      </c>
    </row>
    <row r="705" spans="1:7" x14ac:dyDescent="0.15">
      <c r="A705" s="8" t="s">
        <v>1904</v>
      </c>
      <c r="B705" s="8" t="s">
        <v>144</v>
      </c>
      <c r="C705" s="8" t="str">
        <f t="shared" si="10"/>
        <v>fcu</v>
      </c>
      <c r="D705" s="9" t="s">
        <v>15</v>
      </c>
      <c r="E705" s="8" t="s">
        <v>1906</v>
      </c>
      <c r="F705" s="8" t="s">
        <v>1905</v>
      </c>
      <c r="G705" s="8">
        <v>500</v>
      </c>
    </row>
    <row r="706" spans="1:7" x14ac:dyDescent="0.15">
      <c r="A706" s="8" t="s">
        <v>1907</v>
      </c>
      <c r="B706" s="8" t="s">
        <v>144</v>
      </c>
      <c r="C706" s="8" t="str">
        <f t="shared" si="10"/>
        <v>fdl</v>
      </c>
      <c r="D706" s="9" t="s">
        <v>15</v>
      </c>
      <c r="E706" s="8" t="s">
        <v>1909</v>
      </c>
      <c r="F706" s="8" t="s">
        <v>1908</v>
      </c>
      <c r="G706" s="8">
        <v>500</v>
      </c>
    </row>
    <row r="707" spans="1:7" x14ac:dyDescent="0.15">
      <c r="A707" s="8" t="s">
        <v>1910</v>
      </c>
      <c r="B707" s="8" t="s">
        <v>144</v>
      </c>
      <c r="C707" s="8" t="str">
        <f t="shared" si="10"/>
        <v>ga</v>
      </c>
      <c r="D707" s="9" t="s">
        <v>15</v>
      </c>
      <c r="E707" s="8" t="s">
        <v>1912</v>
      </c>
      <c r="F707" s="8" t="s">
        <v>1911</v>
      </c>
      <c r="G707" s="8">
        <v>500</v>
      </c>
    </row>
    <row r="708" spans="1:7" x14ac:dyDescent="0.15">
      <c r="A708" s="8" t="s">
        <v>1913</v>
      </c>
      <c r="B708" s="8" t="s">
        <v>144</v>
      </c>
      <c r="C708" s="8" t="str">
        <f t="shared" si="10"/>
        <v>gem</v>
      </c>
      <c r="D708" s="9" t="s">
        <v>15</v>
      </c>
      <c r="E708" s="8" t="s">
        <v>1915</v>
      </c>
      <c r="F708" s="8" t="s">
        <v>1914</v>
      </c>
      <c r="G708" s="8">
        <v>500</v>
      </c>
    </row>
    <row r="709" spans="1:7" x14ac:dyDescent="0.15">
      <c r="A709" s="8" t="s">
        <v>1916</v>
      </c>
      <c r="B709" s="8" t="s">
        <v>144</v>
      </c>
      <c r="C709" s="8" t="str">
        <f t="shared" si="10"/>
        <v>gm</v>
      </c>
      <c r="D709" s="9" t="s">
        <v>15</v>
      </c>
      <c r="E709" s="8" t="s">
        <v>1918</v>
      </c>
      <c r="F709" s="8" t="s">
        <v>1917</v>
      </c>
      <c r="G709" s="8">
        <v>500</v>
      </c>
    </row>
    <row r="710" spans="1:7" x14ac:dyDescent="0.15">
      <c r="A710" s="8" t="s">
        <v>1919</v>
      </c>
      <c r="B710" s="8" t="s">
        <v>144</v>
      </c>
      <c r="C710" s="8" t="str">
        <f t="shared" si="10"/>
        <v>gm_dr</v>
      </c>
      <c r="D710" s="9" t="s">
        <v>15</v>
      </c>
      <c r="E710" s="8" t="s">
        <v>1921</v>
      </c>
      <c r="F710" s="8" t="s">
        <v>1920</v>
      </c>
      <c r="G710" s="8">
        <v>500</v>
      </c>
    </row>
    <row r="711" spans="1:7" x14ac:dyDescent="0.15">
      <c r="A711" s="8" t="s">
        <v>1922</v>
      </c>
      <c r="B711" s="8" t="s">
        <v>144</v>
      </c>
      <c r="C711" s="8" t="str">
        <f t="shared" si="10"/>
        <v>gm_mi</v>
      </c>
      <c r="D711" s="9" t="s">
        <v>15</v>
      </c>
      <c r="E711" s="8" t="s">
        <v>1924</v>
      </c>
      <c r="F711" s="8" t="s">
        <v>1923</v>
      </c>
      <c r="G711" s="8">
        <v>500</v>
      </c>
    </row>
    <row r="712" spans="1:7" x14ac:dyDescent="0.15">
      <c r="A712" s="8" t="s">
        <v>1925</v>
      </c>
      <c r="B712" s="8" t="s">
        <v>144</v>
      </c>
      <c r="C712" s="8" t="str">
        <f t="shared" si="10"/>
        <v>gm_ve</v>
      </c>
      <c r="D712" s="9" t="s">
        <v>15</v>
      </c>
      <c r="E712" s="8" t="s">
        <v>1927</v>
      </c>
      <c r="F712" s="8" t="s">
        <v>1926</v>
      </c>
      <c r="G712" s="8">
        <v>500</v>
      </c>
    </row>
    <row r="713" spans="1:7" x14ac:dyDescent="0.15">
      <c r="A713" s="8" t="s">
        <v>1928</v>
      </c>
      <c r="B713" s="8" t="s">
        <v>144</v>
      </c>
      <c r="C713" s="8" t="str">
        <f t="shared" ref="C713:C776" si="11">A713</f>
        <v>gp</v>
      </c>
      <c r="D713" s="9" t="s">
        <v>15</v>
      </c>
      <c r="E713" s="8" t="s">
        <v>1930</v>
      </c>
      <c r="F713" s="8" t="s">
        <v>1929</v>
      </c>
      <c r="G713" s="8">
        <v>500</v>
      </c>
    </row>
    <row r="714" spans="1:7" x14ac:dyDescent="0.15">
      <c r="A714" s="8" t="s">
        <v>1931</v>
      </c>
      <c r="B714" s="8" t="s">
        <v>144</v>
      </c>
      <c r="C714" s="8" t="str">
        <f t="shared" si="11"/>
        <v>ili</v>
      </c>
      <c r="D714" s="9" t="s">
        <v>15</v>
      </c>
      <c r="E714" s="8" t="s">
        <v>1933</v>
      </c>
      <c r="F714" s="8" t="s">
        <v>1932</v>
      </c>
      <c r="G714" s="8">
        <v>500</v>
      </c>
    </row>
    <row r="715" spans="1:7" x14ac:dyDescent="0.15">
      <c r="A715" s="8" t="s">
        <v>1934</v>
      </c>
      <c r="B715" s="8" t="s">
        <v>144</v>
      </c>
      <c r="C715" s="8" t="str">
        <f t="shared" si="11"/>
        <v>lg</v>
      </c>
      <c r="D715" s="9" t="s">
        <v>15</v>
      </c>
      <c r="E715" s="8" t="s">
        <v>1936</v>
      </c>
      <c r="F715" s="8" t="s">
        <v>1935</v>
      </c>
      <c r="G715" s="8">
        <v>500</v>
      </c>
    </row>
    <row r="716" spans="1:7" x14ac:dyDescent="0.15">
      <c r="A716" s="8" t="s">
        <v>1937</v>
      </c>
      <c r="B716" s="8" t="s">
        <v>144</v>
      </c>
      <c r="C716" s="8" t="str">
        <f t="shared" si="11"/>
        <v>mg</v>
      </c>
      <c r="D716" s="9" t="s">
        <v>15</v>
      </c>
      <c r="E716" s="8" t="s">
        <v>1939</v>
      </c>
      <c r="F716" s="8" t="s">
        <v>1938</v>
      </c>
      <c r="G716" s="8">
        <v>500</v>
      </c>
    </row>
    <row r="717" spans="1:7" x14ac:dyDescent="0.15">
      <c r="A717" s="8" t="s">
        <v>1940</v>
      </c>
      <c r="B717" s="8" t="s">
        <v>144</v>
      </c>
      <c r="C717" s="8" t="str">
        <f t="shared" si="11"/>
        <v>oe</v>
      </c>
      <c r="D717" s="9" t="s">
        <v>15</v>
      </c>
      <c r="E717" s="8" t="s">
        <v>1942</v>
      </c>
      <c r="F717" s="8" t="s">
        <v>1941</v>
      </c>
      <c r="G717" s="8">
        <v>500</v>
      </c>
    </row>
    <row r="718" spans="1:7" x14ac:dyDescent="0.15">
      <c r="A718" s="8" t="s">
        <v>1943</v>
      </c>
      <c r="B718" s="8" t="s">
        <v>144</v>
      </c>
      <c r="C718" s="8" t="str">
        <f t="shared" si="11"/>
        <v>oi</v>
      </c>
      <c r="D718" s="9" t="s">
        <v>15</v>
      </c>
      <c r="E718" s="8" t="s">
        <v>1945</v>
      </c>
      <c r="F718" s="8" t="s">
        <v>1944</v>
      </c>
      <c r="G718" s="8">
        <v>500</v>
      </c>
    </row>
    <row r="719" spans="1:7" x14ac:dyDescent="0.15">
      <c r="A719" s="8" t="s">
        <v>1946</v>
      </c>
      <c r="B719" s="8" t="s">
        <v>144</v>
      </c>
      <c r="C719" s="8" t="str">
        <f t="shared" si="11"/>
        <v>pb</v>
      </c>
      <c r="D719" s="9" t="s">
        <v>15</v>
      </c>
      <c r="E719" s="8" t="s">
        <v>1948</v>
      </c>
      <c r="F719" s="8" t="s">
        <v>1947</v>
      </c>
      <c r="G719" s="8">
        <v>500</v>
      </c>
    </row>
    <row r="720" spans="1:7" x14ac:dyDescent="0.15">
      <c r="A720" s="8" t="s">
        <v>1949</v>
      </c>
      <c r="B720" s="8" t="s">
        <v>144</v>
      </c>
      <c r="C720" s="8" t="str">
        <f t="shared" si="11"/>
        <v>pdqa</v>
      </c>
      <c r="D720" s="9" t="s">
        <v>15</v>
      </c>
      <c r="E720" s="8" t="s">
        <v>1951</v>
      </c>
      <c r="F720" s="8" t="s">
        <v>1950</v>
      </c>
      <c r="G720" s="8">
        <v>500</v>
      </c>
    </row>
    <row r="721" spans="1:7" x14ac:dyDescent="0.15">
      <c r="A721" s="8" t="s">
        <v>1952</v>
      </c>
      <c r="B721" s="8" t="s">
        <v>144</v>
      </c>
      <c r="C721" s="8" t="str">
        <f t="shared" si="11"/>
        <v>pdqi</v>
      </c>
      <c r="D721" s="9" t="s">
        <v>15</v>
      </c>
      <c r="E721" s="8" t="s">
        <v>1954</v>
      </c>
      <c r="F721" s="8" t="s">
        <v>1953</v>
      </c>
      <c r="G721" s="8">
        <v>500</v>
      </c>
    </row>
    <row r="722" spans="1:7" x14ac:dyDescent="0.15">
      <c r="A722" s="8" t="s">
        <v>1955</v>
      </c>
      <c r="B722" s="8" t="s">
        <v>144</v>
      </c>
      <c r="C722" s="8" t="str">
        <f t="shared" si="11"/>
        <v>pect</v>
      </c>
      <c r="D722" s="9" t="s">
        <v>15</v>
      </c>
      <c r="E722" s="8" t="s">
        <v>1957</v>
      </c>
      <c r="F722" s="8" t="s">
        <v>1956</v>
      </c>
      <c r="G722" s="8">
        <v>500</v>
      </c>
    </row>
    <row r="723" spans="1:7" x14ac:dyDescent="0.15">
      <c r="A723" s="8" t="s">
        <v>1958</v>
      </c>
      <c r="B723" s="8" t="s">
        <v>144</v>
      </c>
      <c r="C723" s="8" t="str">
        <f t="shared" si="11"/>
        <v>pl</v>
      </c>
      <c r="D723" s="9" t="s">
        <v>15</v>
      </c>
      <c r="E723" s="8" t="s">
        <v>1960</v>
      </c>
      <c r="F723" s="8" t="s">
        <v>1959</v>
      </c>
      <c r="G723" s="8">
        <v>500</v>
      </c>
    </row>
    <row r="724" spans="1:7" x14ac:dyDescent="0.15">
      <c r="A724" s="8" t="s">
        <v>1961</v>
      </c>
      <c r="B724" s="8" t="s">
        <v>144</v>
      </c>
      <c r="C724" s="8" t="str">
        <f t="shared" si="11"/>
        <v>plant</v>
      </c>
      <c r="D724" s="9" t="s">
        <v>15</v>
      </c>
      <c r="E724" s="8" t="s">
        <v>1963</v>
      </c>
      <c r="F724" s="8" t="s">
        <v>1962</v>
      </c>
      <c r="G724" s="8">
        <v>500</v>
      </c>
    </row>
    <row r="725" spans="1:7" x14ac:dyDescent="0.15">
      <c r="A725" s="8" t="s">
        <v>1964</v>
      </c>
      <c r="B725" s="8" t="s">
        <v>144</v>
      </c>
      <c r="C725" s="8" t="str">
        <f t="shared" si="11"/>
        <v>plo</v>
      </c>
      <c r="D725" s="9" t="s">
        <v>15</v>
      </c>
      <c r="E725" s="8" t="s">
        <v>1966</v>
      </c>
      <c r="F725" s="8" t="s">
        <v>1965</v>
      </c>
      <c r="G725" s="8">
        <v>500</v>
      </c>
    </row>
    <row r="726" spans="1:7" x14ac:dyDescent="0.15">
      <c r="A726" s="8" t="s">
        <v>1967</v>
      </c>
      <c r="B726" s="8" t="s">
        <v>144</v>
      </c>
      <c r="C726" s="8" t="str">
        <f t="shared" si="11"/>
        <v>pma</v>
      </c>
      <c r="D726" s="9" t="s">
        <v>15</v>
      </c>
      <c r="E726" s="8" t="s">
        <v>1969</v>
      </c>
      <c r="F726" s="8" t="s">
        <v>1968</v>
      </c>
      <c r="G726" s="8">
        <v>500</v>
      </c>
    </row>
    <row r="727" spans="1:7" x14ac:dyDescent="0.15">
      <c r="A727" s="8" t="s">
        <v>1970</v>
      </c>
      <c r="B727" s="8" t="s">
        <v>144</v>
      </c>
      <c r="C727" s="8" t="str">
        <f t="shared" si="11"/>
        <v>pmi</v>
      </c>
      <c r="D727" s="9" t="s">
        <v>15</v>
      </c>
      <c r="E727" s="8" t="s">
        <v>1972</v>
      </c>
      <c r="F727" s="8" t="s">
        <v>1971</v>
      </c>
      <c r="G727" s="8">
        <v>500</v>
      </c>
    </row>
    <row r="728" spans="1:7" x14ac:dyDescent="0.15">
      <c r="A728" s="8" t="s">
        <v>1973</v>
      </c>
      <c r="B728" s="8" t="s">
        <v>144</v>
      </c>
      <c r="C728" s="8" t="str">
        <f t="shared" si="11"/>
        <v>pop</v>
      </c>
      <c r="D728" s="9" t="s">
        <v>15</v>
      </c>
      <c r="E728" s="8" t="s">
        <v>1975</v>
      </c>
      <c r="F728" s="8" t="s">
        <v>1974</v>
      </c>
      <c r="G728" s="8">
        <v>500</v>
      </c>
    </row>
    <row r="729" spans="1:7" x14ac:dyDescent="0.15">
      <c r="A729" s="8" t="s">
        <v>1976</v>
      </c>
      <c r="B729" s="8" t="s">
        <v>144</v>
      </c>
      <c r="C729" s="8" t="str">
        <f t="shared" si="11"/>
        <v>pt</v>
      </c>
      <c r="D729" s="9" t="s">
        <v>15</v>
      </c>
      <c r="E729" s="8" t="s">
        <v>1978</v>
      </c>
      <c r="F729" s="8" t="s">
        <v>1977</v>
      </c>
      <c r="G729" s="8">
        <v>500</v>
      </c>
    </row>
    <row r="730" spans="1:7" x14ac:dyDescent="0.15">
      <c r="A730" s="8" t="s">
        <v>1979</v>
      </c>
      <c r="B730" s="8" t="s">
        <v>144</v>
      </c>
      <c r="C730" s="8" t="str">
        <f t="shared" si="11"/>
        <v>pte</v>
      </c>
      <c r="D730" s="9" t="s">
        <v>15</v>
      </c>
      <c r="E730" s="8" t="s">
        <v>1981</v>
      </c>
      <c r="F730" s="8" t="s">
        <v>1980</v>
      </c>
      <c r="G730" s="8">
        <v>500</v>
      </c>
    </row>
    <row r="731" spans="1:7" x14ac:dyDescent="0.15">
      <c r="A731" s="8" t="s">
        <v>1982</v>
      </c>
      <c r="B731" s="8" t="s">
        <v>144</v>
      </c>
      <c r="C731" s="8" t="str">
        <f t="shared" si="11"/>
        <v>qf</v>
      </c>
      <c r="D731" s="9" t="s">
        <v>15</v>
      </c>
      <c r="E731" s="8" t="s">
        <v>1984</v>
      </c>
      <c r="F731" s="8" t="s">
        <v>1983</v>
      </c>
      <c r="G731" s="8">
        <v>500</v>
      </c>
    </row>
    <row r="732" spans="1:7" x14ac:dyDescent="0.15">
      <c r="A732" s="8" t="s">
        <v>1985</v>
      </c>
      <c r="B732" s="8" t="s">
        <v>144</v>
      </c>
      <c r="C732" s="8" t="str">
        <f t="shared" si="11"/>
        <v>rf</v>
      </c>
      <c r="D732" s="9" t="s">
        <v>15</v>
      </c>
      <c r="E732" s="8" t="s">
        <v>1987</v>
      </c>
      <c r="F732" s="8" t="s">
        <v>1986</v>
      </c>
      <c r="G732" s="8">
        <v>500</v>
      </c>
    </row>
    <row r="733" spans="1:7" x14ac:dyDescent="0.15">
      <c r="A733" s="8" t="s">
        <v>1988</v>
      </c>
      <c r="B733" s="8" t="s">
        <v>144</v>
      </c>
      <c r="C733" s="8" t="str">
        <f t="shared" si="11"/>
        <v>sm</v>
      </c>
      <c r="D733" s="9" t="s">
        <v>15</v>
      </c>
      <c r="E733" s="8" t="s">
        <v>1990</v>
      </c>
      <c r="F733" s="8" t="s">
        <v>1989</v>
      </c>
      <c r="G733" s="8">
        <v>500</v>
      </c>
    </row>
    <row r="734" spans="1:7" x14ac:dyDescent="0.15">
      <c r="A734" s="8" t="s">
        <v>1991</v>
      </c>
      <c r="B734" s="8" t="s">
        <v>144</v>
      </c>
      <c r="C734" s="8" t="str">
        <f t="shared" si="11"/>
        <v>sol</v>
      </c>
      <c r="D734" s="9" t="s">
        <v>15</v>
      </c>
      <c r="E734" s="8" t="s">
        <v>1993</v>
      </c>
      <c r="F734" s="8" t="s">
        <v>1992</v>
      </c>
      <c r="G734" s="8">
        <v>500</v>
      </c>
    </row>
    <row r="735" spans="1:7" x14ac:dyDescent="0.15">
      <c r="A735" s="8" t="s">
        <v>1994</v>
      </c>
      <c r="B735" s="8" t="s">
        <v>144</v>
      </c>
      <c r="C735" s="8" t="str">
        <f t="shared" si="11"/>
        <v>st</v>
      </c>
      <c r="D735" s="9" t="s">
        <v>15</v>
      </c>
      <c r="E735" s="8" t="s">
        <v>1996</v>
      </c>
      <c r="F735" s="8" t="s">
        <v>1995</v>
      </c>
      <c r="G735" s="8">
        <v>500</v>
      </c>
    </row>
    <row r="736" spans="1:7" x14ac:dyDescent="0.15">
      <c r="A736" s="8" t="s">
        <v>1997</v>
      </c>
      <c r="B736" s="8" t="s">
        <v>144</v>
      </c>
      <c r="C736" s="8" t="str">
        <f t="shared" si="11"/>
        <v>ta</v>
      </c>
      <c r="D736" s="9" t="s">
        <v>15</v>
      </c>
      <c r="E736" s="8" t="s">
        <v>1999</v>
      </c>
      <c r="F736" s="8" t="s">
        <v>1998</v>
      </c>
      <c r="G736" s="8">
        <v>500</v>
      </c>
    </row>
    <row r="737" spans="1:7" x14ac:dyDescent="0.15">
      <c r="A737" s="8" t="s">
        <v>2000</v>
      </c>
      <c r="B737" s="8" t="s">
        <v>144</v>
      </c>
      <c r="C737" s="8" t="str">
        <f t="shared" si="11"/>
        <v>tbl</v>
      </c>
      <c r="D737" s="9" t="s">
        <v>15</v>
      </c>
      <c r="E737" s="8" t="s">
        <v>2002</v>
      </c>
      <c r="F737" s="8" t="s">
        <v>2001</v>
      </c>
      <c r="G737" s="8">
        <v>500</v>
      </c>
    </row>
    <row r="738" spans="1:7" x14ac:dyDescent="0.15">
      <c r="A738" s="8" t="s">
        <v>2003</v>
      </c>
      <c r="B738" s="8" t="s">
        <v>144</v>
      </c>
      <c r="C738" s="8" t="str">
        <f t="shared" si="11"/>
        <v>tbm</v>
      </c>
      <c r="D738" s="9" t="s">
        <v>15</v>
      </c>
      <c r="E738" s="8" t="s">
        <v>2005</v>
      </c>
      <c r="F738" s="8" t="s">
        <v>2004</v>
      </c>
      <c r="G738" s="8">
        <v>500</v>
      </c>
    </row>
    <row r="739" spans="1:7" x14ac:dyDescent="0.15">
      <c r="A739" s="8" t="s">
        <v>2006</v>
      </c>
      <c r="B739" s="8" t="s">
        <v>144</v>
      </c>
      <c r="C739" s="8" t="str">
        <f t="shared" si="11"/>
        <v>tbo</v>
      </c>
      <c r="D739" s="9" t="s">
        <v>15</v>
      </c>
      <c r="E739" s="8" t="s">
        <v>2008</v>
      </c>
      <c r="F739" s="8" t="s">
        <v>2007</v>
      </c>
      <c r="G739" s="8">
        <v>500</v>
      </c>
    </row>
    <row r="740" spans="1:7" x14ac:dyDescent="0.15">
      <c r="A740" s="8" t="s">
        <v>2009</v>
      </c>
      <c r="B740" s="8" t="s">
        <v>144</v>
      </c>
      <c r="C740" s="8" t="str">
        <f t="shared" si="11"/>
        <v>tp</v>
      </c>
      <c r="D740" s="9" t="s">
        <v>15</v>
      </c>
      <c r="E740" s="8" t="s">
        <v>2011</v>
      </c>
      <c r="F740" s="8" t="s">
        <v>2010</v>
      </c>
      <c r="G740" s="8">
        <v>500</v>
      </c>
    </row>
    <row r="741" spans="1:7" x14ac:dyDescent="0.15">
      <c r="A741" s="8" t="s">
        <v>2012</v>
      </c>
      <c r="B741" s="8" t="s">
        <v>144</v>
      </c>
      <c r="C741" s="8" t="str">
        <f t="shared" si="11"/>
        <v>vi</v>
      </c>
      <c r="D741" s="9" t="s">
        <v>15</v>
      </c>
      <c r="E741" s="8" t="s">
        <v>2014</v>
      </c>
      <c r="F741" s="8" t="s">
        <v>2013</v>
      </c>
      <c r="G741" s="8">
        <v>500</v>
      </c>
    </row>
    <row r="742" spans="1:7" x14ac:dyDescent="0.15">
      <c r="A742" s="8" t="s">
        <v>2015</v>
      </c>
      <c r="B742" s="8" t="s">
        <v>144</v>
      </c>
      <c r="C742" s="8" t="str">
        <f t="shared" si="11"/>
        <v>vl</v>
      </c>
      <c r="D742" s="9" t="s">
        <v>15</v>
      </c>
      <c r="E742" s="8" t="s">
        <v>2017</v>
      </c>
      <c r="F742" s="8" t="s">
        <v>2016</v>
      </c>
      <c r="G742" s="8">
        <v>500</v>
      </c>
    </row>
    <row r="743" spans="1:7" x14ac:dyDescent="0.15">
      <c r="A743" s="8" t="s">
        <v>2018</v>
      </c>
      <c r="B743" s="8" t="s">
        <v>144</v>
      </c>
      <c r="C743" s="8" t="str">
        <f t="shared" si="11"/>
        <v>vm</v>
      </c>
      <c r="D743" s="9" t="s">
        <v>15</v>
      </c>
      <c r="E743" s="8" t="s">
        <v>2020</v>
      </c>
      <c r="F743" s="8" t="s">
        <v>2019</v>
      </c>
      <c r="G743" s="8">
        <v>500</v>
      </c>
    </row>
    <row r="744" spans="1:7" x14ac:dyDescent="0.15">
      <c r="A744" s="8" t="s">
        <v>2742</v>
      </c>
      <c r="B744" s="8" t="s">
        <v>144</v>
      </c>
      <c r="C744" s="8" t="str">
        <f t="shared" si="11"/>
        <v>quad</v>
      </c>
      <c r="D744" s="9" t="s">
        <v>15</v>
      </c>
      <c r="E744" s="8" t="s">
        <v>2744</v>
      </c>
      <c r="F744" s="8" t="s">
        <v>2743</v>
      </c>
      <c r="G744" s="8">
        <v>500</v>
      </c>
    </row>
    <row r="745" spans="1:7" x14ac:dyDescent="0.15">
      <c r="A745" s="8" t="s">
        <v>2021</v>
      </c>
      <c r="B745" s="8" t="s">
        <v>147</v>
      </c>
      <c r="C745" s="8" t="str">
        <f t="shared" si="11"/>
        <v>zirconium</v>
      </c>
      <c r="D745" s="9" t="s">
        <v>15</v>
      </c>
      <c r="E745" s="8" t="s">
        <v>2022</v>
      </c>
      <c r="F745" s="8" t="s">
        <v>2023</v>
      </c>
      <c r="G745" s="8">
        <v>500</v>
      </c>
    </row>
    <row r="746" spans="1:7" x14ac:dyDescent="0.15">
      <c r="A746" s="8" t="s">
        <v>2024</v>
      </c>
      <c r="B746" s="8" t="s">
        <v>148</v>
      </c>
      <c r="C746" s="8" t="str">
        <f t="shared" si="11"/>
        <v>bgpage</v>
      </c>
      <c r="D746" s="9" t="s">
        <v>15</v>
      </c>
      <c r="E746" s="8" t="s">
        <v>2025</v>
      </c>
      <c r="F746" s="8" t="s">
        <v>2026</v>
      </c>
      <c r="G746" s="8">
        <v>500</v>
      </c>
    </row>
    <row r="747" spans="1:7" x14ac:dyDescent="0.15">
      <c r="A747" s="8" t="s">
        <v>2027</v>
      </c>
      <c r="B747" s="8" t="s">
        <v>148</v>
      </c>
      <c r="C747" s="8" t="str">
        <f t="shared" si="11"/>
        <v>highph_hplc</v>
      </c>
      <c r="D747" s="9" t="s">
        <v>15</v>
      </c>
      <c r="E747" s="8" t="s">
        <v>2028</v>
      </c>
      <c r="F747" s="8" t="s">
        <v>2029</v>
      </c>
      <c r="G747" s="8">
        <v>500</v>
      </c>
    </row>
    <row r="748" spans="1:7" x14ac:dyDescent="0.15">
      <c r="A748" s="8" t="s">
        <v>2030</v>
      </c>
      <c r="B748" s="8" t="s">
        <v>148</v>
      </c>
      <c r="C748" s="8" t="str">
        <f t="shared" si="11"/>
        <v>highph_tip</v>
      </c>
      <c r="D748" s="9" t="s">
        <v>15</v>
      </c>
      <c r="E748" s="8" t="s">
        <v>2031</v>
      </c>
      <c r="F748" s="8" t="s">
        <v>2032</v>
      </c>
      <c r="G748" s="8">
        <v>500</v>
      </c>
    </row>
    <row r="749" spans="1:7" x14ac:dyDescent="0.15">
      <c r="A749" s="8" t="s">
        <v>2033</v>
      </c>
      <c r="B749" s="8" t="s">
        <v>148</v>
      </c>
      <c r="C749" s="8" t="str">
        <f t="shared" si="11"/>
        <v>sax</v>
      </c>
      <c r="D749" s="9" t="s">
        <v>15</v>
      </c>
      <c r="E749" s="8" t="s">
        <v>2034</v>
      </c>
      <c r="F749" s="8" t="s">
        <v>2035</v>
      </c>
      <c r="G749" s="8">
        <v>500</v>
      </c>
    </row>
    <row r="750" spans="1:7" x14ac:dyDescent="0.15">
      <c r="A750" s="8" t="s">
        <v>2036</v>
      </c>
      <c r="B750" s="8" t="s">
        <v>148</v>
      </c>
      <c r="C750" s="8" t="str">
        <f t="shared" si="11"/>
        <v>scx</v>
      </c>
      <c r="D750" s="9" t="s">
        <v>15</v>
      </c>
      <c r="E750" s="8" t="s">
        <v>2037</v>
      </c>
      <c r="F750" s="8" t="s">
        <v>2038</v>
      </c>
      <c r="G750" s="8">
        <v>500</v>
      </c>
    </row>
    <row r="751" spans="1:7" x14ac:dyDescent="0.15">
      <c r="A751" s="8" t="s">
        <v>2039</v>
      </c>
      <c r="B751" s="8" t="s">
        <v>148</v>
      </c>
      <c r="C751" s="8" t="str">
        <f t="shared" si="11"/>
        <v>sdspage</v>
      </c>
      <c r="D751" s="9" t="s">
        <v>15</v>
      </c>
      <c r="E751" s="8" t="s">
        <v>2040</v>
      </c>
      <c r="F751" s="8" t="s">
        <v>2041</v>
      </c>
      <c r="G751" s="8">
        <v>500</v>
      </c>
    </row>
    <row r="752" spans="1:7" x14ac:dyDescent="0.15">
      <c r="A752" s="8" t="s">
        <v>2042</v>
      </c>
      <c r="B752" s="8" t="s">
        <v>155</v>
      </c>
      <c r="C752" s="8" t="str">
        <f t="shared" si="11"/>
        <v>proteomics</v>
      </c>
      <c r="D752" s="9" t="s">
        <v>15</v>
      </c>
      <c r="E752" s="8" t="s">
        <v>2043</v>
      </c>
      <c r="F752" s="8" t="s">
        <v>2044</v>
      </c>
      <c r="G752" s="8">
        <v>500</v>
      </c>
    </row>
    <row r="753" spans="1:7" x14ac:dyDescent="0.15">
      <c r="A753" s="8" t="s">
        <v>2045</v>
      </c>
      <c r="B753" s="8" t="s">
        <v>145</v>
      </c>
      <c r="C753" s="8" t="str">
        <f t="shared" si="11"/>
        <v>appendix</v>
      </c>
      <c r="D753" s="8" t="s">
        <v>2045</v>
      </c>
      <c r="E753" s="8" t="s">
        <v>2046</v>
      </c>
      <c r="F753" s="8" t="s">
        <v>2046</v>
      </c>
      <c r="G753" s="8">
        <v>500</v>
      </c>
    </row>
    <row r="754" spans="1:7" x14ac:dyDescent="0.15">
      <c r="A754" s="8" t="s">
        <v>2047</v>
      </c>
      <c r="B754" s="8" t="s">
        <v>145</v>
      </c>
      <c r="C754" s="8" t="str">
        <f t="shared" si="11"/>
        <v>arteries</v>
      </c>
      <c r="D754" s="8" t="s">
        <v>2047</v>
      </c>
      <c r="E754" s="8" t="s">
        <v>2048</v>
      </c>
      <c r="F754" s="8" t="s">
        <v>2048</v>
      </c>
      <c r="G754" s="8">
        <v>500</v>
      </c>
    </row>
    <row r="755" spans="1:7" x14ac:dyDescent="0.15">
      <c r="A755" s="8" t="s">
        <v>2049</v>
      </c>
      <c r="B755" s="8" t="s">
        <v>145</v>
      </c>
      <c r="C755" s="8" t="str">
        <f t="shared" si="11"/>
        <v>bladder</v>
      </c>
      <c r="D755" s="8" t="s">
        <v>2049</v>
      </c>
      <c r="E755" s="8" t="s">
        <v>2050</v>
      </c>
      <c r="F755" s="8" t="s">
        <v>2050</v>
      </c>
      <c r="G755" s="8">
        <v>500</v>
      </c>
    </row>
    <row r="756" spans="1:7" x14ac:dyDescent="0.15">
      <c r="A756" s="8" t="s">
        <v>2051</v>
      </c>
      <c r="B756" s="8" t="s">
        <v>145</v>
      </c>
      <c r="C756" s="8" t="str">
        <f t="shared" si="11"/>
        <v>bone_marrow</v>
      </c>
      <c r="D756" s="8" t="s">
        <v>2051</v>
      </c>
      <c r="E756" s="8" t="s">
        <v>2052</v>
      </c>
      <c r="F756" s="8" t="s">
        <v>2052</v>
      </c>
      <c r="G756" s="8">
        <v>500</v>
      </c>
    </row>
    <row r="757" spans="1:7" x14ac:dyDescent="0.15">
      <c r="A757" s="8" t="s">
        <v>2053</v>
      </c>
      <c r="B757" s="8" t="s">
        <v>145</v>
      </c>
      <c r="C757" s="8" t="str">
        <f t="shared" si="11"/>
        <v>brain</v>
      </c>
      <c r="D757" s="8" t="s">
        <v>2053</v>
      </c>
      <c r="E757" s="8" t="s">
        <v>2054</v>
      </c>
      <c r="F757" s="8" t="s">
        <v>2054</v>
      </c>
      <c r="G757" s="8">
        <v>500</v>
      </c>
    </row>
    <row r="758" spans="1:7" x14ac:dyDescent="0.15">
      <c r="A758" s="8" t="s">
        <v>2055</v>
      </c>
      <c r="B758" s="8" t="s">
        <v>145</v>
      </c>
      <c r="C758" s="8" t="str">
        <f t="shared" si="11"/>
        <v>bronchi</v>
      </c>
      <c r="D758" s="8" t="s">
        <v>2055</v>
      </c>
      <c r="E758" s="8" t="s">
        <v>2056</v>
      </c>
      <c r="F758" s="8" t="s">
        <v>2056</v>
      </c>
      <c r="G758" s="8">
        <v>500</v>
      </c>
    </row>
    <row r="759" spans="1:7" x14ac:dyDescent="0.15">
      <c r="A759" s="8" t="s">
        <v>2057</v>
      </c>
      <c r="B759" s="8" t="s">
        <v>145</v>
      </c>
      <c r="C759" s="8" t="str">
        <f t="shared" si="11"/>
        <v>cecum</v>
      </c>
      <c r="D759" s="8" t="s">
        <v>2057</v>
      </c>
      <c r="E759" s="8" t="s">
        <v>2058</v>
      </c>
      <c r="F759" s="8" t="s">
        <v>2058</v>
      </c>
      <c r="G759" s="8">
        <v>500</v>
      </c>
    </row>
    <row r="760" spans="1:7" x14ac:dyDescent="0.15">
      <c r="A760" s="8" t="s">
        <v>2059</v>
      </c>
      <c r="B760" s="8" t="s">
        <v>145</v>
      </c>
      <c r="C760" s="8" t="str">
        <f t="shared" si="11"/>
        <v>cerebellum</v>
      </c>
      <c r="D760" s="8" t="s">
        <v>2059</v>
      </c>
      <c r="E760" s="8" t="s">
        <v>2060</v>
      </c>
      <c r="F760" s="8" t="s">
        <v>2060</v>
      </c>
      <c r="G760" s="8">
        <v>500</v>
      </c>
    </row>
    <row r="761" spans="1:7" x14ac:dyDescent="0.15">
      <c r="A761" s="8" t="s">
        <v>2061</v>
      </c>
      <c r="B761" s="8" t="s">
        <v>145</v>
      </c>
      <c r="C761" s="8" t="str">
        <f t="shared" si="11"/>
        <v>cerebrum</v>
      </c>
      <c r="D761" s="8" t="s">
        <v>2061</v>
      </c>
      <c r="E761" s="8" t="s">
        <v>2062</v>
      </c>
      <c r="F761" s="8" t="s">
        <v>2062</v>
      </c>
      <c r="G761" s="8">
        <v>500</v>
      </c>
    </row>
    <row r="762" spans="1:7" x14ac:dyDescent="0.15">
      <c r="A762" s="8" t="s">
        <v>2063</v>
      </c>
      <c r="B762" s="8" t="s">
        <v>145</v>
      </c>
      <c r="C762" s="8" t="str">
        <f t="shared" si="11"/>
        <v>ear</v>
      </c>
      <c r="D762" s="8" t="s">
        <v>2063</v>
      </c>
      <c r="E762" s="8" t="s">
        <v>2064</v>
      </c>
      <c r="F762" s="8" t="s">
        <v>2064</v>
      </c>
      <c r="G762" s="8">
        <v>500</v>
      </c>
    </row>
    <row r="763" spans="1:7" x14ac:dyDescent="0.15">
      <c r="A763" s="8" t="s">
        <v>2065</v>
      </c>
      <c r="B763" s="8" t="s">
        <v>145</v>
      </c>
      <c r="C763" s="8" t="str">
        <f t="shared" si="11"/>
        <v>esophagus</v>
      </c>
      <c r="D763" s="8" t="s">
        <v>2065</v>
      </c>
      <c r="E763" s="8" t="s">
        <v>2066</v>
      </c>
      <c r="F763" s="8" t="s">
        <v>2066</v>
      </c>
      <c r="G763" s="8">
        <v>500</v>
      </c>
    </row>
    <row r="764" spans="1:7" x14ac:dyDescent="0.15">
      <c r="A764" s="8" t="s">
        <v>2067</v>
      </c>
      <c r="B764" s="8" t="s">
        <v>145</v>
      </c>
      <c r="C764" s="8" t="str">
        <f t="shared" si="11"/>
        <v>eye</v>
      </c>
      <c r="D764" s="8" t="s">
        <v>2067</v>
      </c>
      <c r="E764" s="8" t="s">
        <v>2068</v>
      </c>
      <c r="F764" s="8" t="s">
        <v>2068</v>
      </c>
      <c r="G764" s="8">
        <v>500</v>
      </c>
    </row>
    <row r="765" spans="1:7" x14ac:dyDescent="0.15">
      <c r="A765" s="8" t="s">
        <v>2069</v>
      </c>
      <c r="B765" s="8" t="s">
        <v>145</v>
      </c>
      <c r="C765" s="8" t="str">
        <f t="shared" si="11"/>
        <v>gallbladder</v>
      </c>
      <c r="D765" s="8" t="s">
        <v>2069</v>
      </c>
      <c r="E765" s="8" t="s">
        <v>2070</v>
      </c>
      <c r="F765" s="8" t="s">
        <v>2070</v>
      </c>
      <c r="G765" s="8">
        <v>500</v>
      </c>
    </row>
    <row r="766" spans="1:7" x14ac:dyDescent="0.15">
      <c r="A766" s="8" t="s">
        <v>2071</v>
      </c>
      <c r="B766" s="8" t="s">
        <v>145</v>
      </c>
      <c r="C766" s="8" t="str">
        <f t="shared" si="11"/>
        <v>ganglia</v>
      </c>
      <c r="D766" s="8" t="s">
        <v>2071</v>
      </c>
      <c r="E766" s="8" t="s">
        <v>2072</v>
      </c>
      <c r="F766" s="8" t="s">
        <v>2072</v>
      </c>
      <c r="G766" s="8">
        <v>500</v>
      </c>
    </row>
    <row r="767" spans="1:7" x14ac:dyDescent="0.15">
      <c r="A767" s="8" t="s">
        <v>2073</v>
      </c>
      <c r="B767" s="8" t="s">
        <v>145</v>
      </c>
      <c r="C767" s="8" t="str">
        <f t="shared" si="11"/>
        <v>heart</v>
      </c>
      <c r="D767" s="8" t="s">
        <v>2073</v>
      </c>
      <c r="E767" s="8" t="s">
        <v>2074</v>
      </c>
      <c r="F767" s="8" t="s">
        <v>2074</v>
      </c>
      <c r="G767" s="8">
        <v>500</v>
      </c>
    </row>
    <row r="768" spans="1:7" x14ac:dyDescent="0.15">
      <c r="A768" s="8" t="s">
        <v>2075</v>
      </c>
      <c r="B768" s="8" t="s">
        <v>145</v>
      </c>
      <c r="C768" s="8" t="str">
        <f t="shared" si="11"/>
        <v>hypothalamus</v>
      </c>
      <c r="D768" s="8" t="s">
        <v>2075</v>
      </c>
      <c r="E768" s="8" t="s">
        <v>2076</v>
      </c>
      <c r="F768" s="8" t="s">
        <v>2076</v>
      </c>
      <c r="G768" s="8">
        <v>500</v>
      </c>
    </row>
    <row r="769" spans="1:7" x14ac:dyDescent="0.15">
      <c r="A769" s="8" t="s">
        <v>2077</v>
      </c>
      <c r="B769" s="8" t="s">
        <v>145</v>
      </c>
      <c r="C769" s="8" t="str">
        <f t="shared" si="11"/>
        <v>kidney</v>
      </c>
      <c r="D769" s="8" t="s">
        <v>2077</v>
      </c>
      <c r="E769" s="8" t="s">
        <v>2078</v>
      </c>
      <c r="F769" s="8" t="s">
        <v>2078</v>
      </c>
      <c r="G769" s="8">
        <v>500</v>
      </c>
    </row>
    <row r="770" spans="1:7" x14ac:dyDescent="0.15">
      <c r="A770" s="8" t="s">
        <v>2079</v>
      </c>
      <c r="B770" s="8" t="s">
        <v>145</v>
      </c>
      <c r="C770" s="8" t="str">
        <f t="shared" si="11"/>
        <v>large_intestine</v>
      </c>
      <c r="D770" s="8" t="s">
        <v>2080</v>
      </c>
      <c r="E770" s="8" t="s">
        <v>2081</v>
      </c>
      <c r="F770" s="8" t="s">
        <v>2082</v>
      </c>
      <c r="G770" s="8">
        <v>500</v>
      </c>
    </row>
    <row r="771" spans="1:7" x14ac:dyDescent="0.15">
      <c r="A771" s="8" t="s">
        <v>2083</v>
      </c>
      <c r="B771" s="8" t="s">
        <v>145</v>
      </c>
      <c r="C771" s="8" t="str">
        <f t="shared" si="11"/>
        <v>liver</v>
      </c>
      <c r="D771" s="8" t="s">
        <v>2083</v>
      </c>
      <c r="E771" s="8" t="s">
        <v>2084</v>
      </c>
      <c r="F771" s="8" t="s">
        <v>2084</v>
      </c>
      <c r="G771" s="8">
        <v>500</v>
      </c>
    </row>
    <row r="772" spans="1:7" x14ac:dyDescent="0.15">
      <c r="A772" s="8" t="s">
        <v>2085</v>
      </c>
      <c r="B772" s="8" t="s">
        <v>145</v>
      </c>
      <c r="C772" s="8" t="str">
        <f t="shared" si="11"/>
        <v>lung</v>
      </c>
      <c r="D772" s="8" t="s">
        <v>2085</v>
      </c>
      <c r="E772" s="8" t="s">
        <v>2086</v>
      </c>
      <c r="F772" s="8" t="s">
        <v>2086</v>
      </c>
      <c r="G772" s="8">
        <v>500</v>
      </c>
    </row>
    <row r="773" spans="1:7" x14ac:dyDescent="0.15">
      <c r="A773" s="8" t="s">
        <v>2087</v>
      </c>
      <c r="B773" s="8" t="s">
        <v>145</v>
      </c>
      <c r="C773" s="8" t="str">
        <f t="shared" si="11"/>
        <v>lymph_node</v>
      </c>
      <c r="D773" s="8" t="s">
        <v>1145</v>
      </c>
      <c r="E773" s="8" t="s">
        <v>2088</v>
      </c>
      <c r="F773" s="8" t="s">
        <v>2088</v>
      </c>
      <c r="G773" s="8">
        <v>500</v>
      </c>
    </row>
    <row r="774" spans="1:7" x14ac:dyDescent="0.15">
      <c r="A774" s="8" t="s">
        <v>2089</v>
      </c>
      <c r="B774" s="8" t="s">
        <v>145</v>
      </c>
      <c r="C774" s="8" t="str">
        <f t="shared" si="11"/>
        <v>medulla</v>
      </c>
      <c r="D774" s="8" t="s">
        <v>2089</v>
      </c>
      <c r="E774" s="8" t="s">
        <v>2090</v>
      </c>
      <c r="F774" s="8" t="s">
        <v>2090</v>
      </c>
      <c r="G774" s="8">
        <v>500</v>
      </c>
    </row>
    <row r="775" spans="1:7" x14ac:dyDescent="0.15">
      <c r="A775" s="8" t="s">
        <v>2091</v>
      </c>
      <c r="B775" s="8" t="s">
        <v>145</v>
      </c>
      <c r="C775" s="8" t="str">
        <f t="shared" si="11"/>
        <v>mesentery</v>
      </c>
      <c r="D775" s="8" t="s">
        <v>2091</v>
      </c>
      <c r="E775" s="8" t="s">
        <v>2092</v>
      </c>
      <c r="F775" s="8" t="s">
        <v>2092</v>
      </c>
      <c r="G775" s="8">
        <v>500</v>
      </c>
    </row>
    <row r="776" spans="1:7" x14ac:dyDescent="0.15">
      <c r="A776" s="8" t="s">
        <v>2093</v>
      </c>
      <c r="B776" s="8" t="s">
        <v>145</v>
      </c>
      <c r="C776" s="8" t="str">
        <f t="shared" si="11"/>
        <v>midbrain</v>
      </c>
      <c r="D776" s="8" t="s">
        <v>2093</v>
      </c>
      <c r="E776" s="8" t="s">
        <v>2094</v>
      </c>
      <c r="F776" s="8" t="s">
        <v>2094</v>
      </c>
      <c r="G776" s="8">
        <v>500</v>
      </c>
    </row>
    <row r="777" spans="1:7" x14ac:dyDescent="0.15">
      <c r="A777" s="8" t="s">
        <v>2095</v>
      </c>
      <c r="B777" s="8" t="s">
        <v>145</v>
      </c>
      <c r="C777" s="8" t="str">
        <f t="shared" ref="C777:C842" si="12">A777</f>
        <v>ovaries</v>
      </c>
      <c r="D777" s="8" t="s">
        <v>2095</v>
      </c>
      <c r="E777" s="8" t="s">
        <v>2096</v>
      </c>
      <c r="F777" s="8" t="s">
        <v>2096</v>
      </c>
      <c r="G777" s="8">
        <v>500</v>
      </c>
    </row>
    <row r="778" spans="1:7" x14ac:dyDescent="0.15">
      <c r="A778" s="8" t="s">
        <v>2097</v>
      </c>
      <c r="B778" s="8" t="s">
        <v>145</v>
      </c>
      <c r="C778" s="8" t="str">
        <f t="shared" si="12"/>
        <v>pancreas</v>
      </c>
      <c r="D778" s="8" t="s">
        <v>2097</v>
      </c>
      <c r="E778" s="8" t="s">
        <v>2098</v>
      </c>
      <c r="F778" s="8" t="s">
        <v>2098</v>
      </c>
      <c r="G778" s="8">
        <v>500</v>
      </c>
    </row>
    <row r="779" spans="1:7" x14ac:dyDescent="0.15">
      <c r="A779" s="8" t="s">
        <v>2099</v>
      </c>
      <c r="B779" s="8" t="s">
        <v>145</v>
      </c>
      <c r="C779" s="8" t="str">
        <f t="shared" si="12"/>
        <v>pons</v>
      </c>
      <c r="D779" s="8" t="s">
        <v>2099</v>
      </c>
      <c r="E779" s="8" t="s">
        <v>2100</v>
      </c>
      <c r="F779" s="8" t="s">
        <v>2100</v>
      </c>
      <c r="G779" s="8">
        <v>500</v>
      </c>
    </row>
    <row r="780" spans="1:7" x14ac:dyDescent="0.15">
      <c r="A780" s="8" t="s">
        <v>2101</v>
      </c>
      <c r="B780" s="8" t="s">
        <v>145</v>
      </c>
      <c r="C780" s="8" t="str">
        <f t="shared" si="12"/>
        <v>prostate</v>
      </c>
      <c r="D780" s="8" t="s">
        <v>2101</v>
      </c>
      <c r="E780" s="8" t="s">
        <v>2102</v>
      </c>
      <c r="F780" s="8" t="s">
        <v>2102</v>
      </c>
      <c r="G780" s="8">
        <v>500</v>
      </c>
    </row>
    <row r="781" spans="1:7" x14ac:dyDescent="0.15">
      <c r="A781" s="8" t="s">
        <v>2103</v>
      </c>
      <c r="B781" s="8" t="s">
        <v>145</v>
      </c>
      <c r="C781" s="8" t="str">
        <f t="shared" si="12"/>
        <v>rectum</v>
      </c>
      <c r="D781" s="8" t="s">
        <v>2103</v>
      </c>
      <c r="E781" s="8" t="s">
        <v>2104</v>
      </c>
      <c r="F781" s="8" t="s">
        <v>2104</v>
      </c>
      <c r="G781" s="8">
        <v>500</v>
      </c>
    </row>
    <row r="782" spans="1:7" x14ac:dyDescent="0.15">
      <c r="A782" s="8" t="s">
        <v>2105</v>
      </c>
      <c r="B782" s="8" t="s">
        <v>145</v>
      </c>
      <c r="C782" s="8" t="str">
        <f t="shared" si="12"/>
        <v>small_intestine</v>
      </c>
      <c r="D782" s="8" t="s">
        <v>2106</v>
      </c>
      <c r="E782" s="8" t="s">
        <v>2107</v>
      </c>
      <c r="F782" s="8" t="s">
        <v>2108</v>
      </c>
      <c r="G782" s="8">
        <v>500</v>
      </c>
    </row>
    <row r="783" spans="1:7" x14ac:dyDescent="0.15">
      <c r="A783" s="8" t="s">
        <v>2109</v>
      </c>
      <c r="B783" s="8" t="s">
        <v>145</v>
      </c>
      <c r="C783" s="8" t="str">
        <f t="shared" si="12"/>
        <v>spinal_cord</v>
      </c>
      <c r="D783" s="8" t="s">
        <v>2109</v>
      </c>
      <c r="E783" s="8" t="s">
        <v>2110</v>
      </c>
      <c r="F783" s="8" t="s">
        <v>2111</v>
      </c>
      <c r="G783" s="8">
        <v>500</v>
      </c>
    </row>
    <row r="784" spans="1:7" x14ac:dyDescent="0.15">
      <c r="A784" s="8" t="s">
        <v>2112</v>
      </c>
      <c r="B784" s="8" t="s">
        <v>145</v>
      </c>
      <c r="C784" s="8" t="str">
        <f t="shared" si="12"/>
        <v>spleen</v>
      </c>
      <c r="D784" s="8" t="s">
        <v>2112</v>
      </c>
      <c r="E784" s="8" t="s">
        <v>2113</v>
      </c>
      <c r="F784" s="8" t="s">
        <v>2113</v>
      </c>
      <c r="G784" s="8">
        <v>500</v>
      </c>
    </row>
    <row r="785" spans="1:7" x14ac:dyDescent="0.15">
      <c r="A785" s="8" t="s">
        <v>2114</v>
      </c>
      <c r="B785" s="8" t="s">
        <v>145</v>
      </c>
      <c r="C785" s="8" t="str">
        <f t="shared" si="12"/>
        <v>stomach</v>
      </c>
      <c r="D785" s="8" t="s">
        <v>2114</v>
      </c>
      <c r="E785" s="8" t="s">
        <v>2115</v>
      </c>
      <c r="F785" s="8" t="s">
        <v>2115</v>
      </c>
      <c r="G785" s="8">
        <v>500</v>
      </c>
    </row>
    <row r="786" spans="1:7" x14ac:dyDescent="0.15">
      <c r="A786" s="8" t="s">
        <v>2116</v>
      </c>
      <c r="B786" s="8" t="s">
        <v>145</v>
      </c>
      <c r="C786" s="8" t="str">
        <f t="shared" si="12"/>
        <v>testicles</v>
      </c>
      <c r="D786" s="8" t="s">
        <v>2116</v>
      </c>
      <c r="E786" s="8" t="s">
        <v>2117</v>
      </c>
      <c r="F786" s="8" t="s">
        <v>2117</v>
      </c>
      <c r="G786" s="8">
        <v>500</v>
      </c>
    </row>
    <row r="787" spans="1:7" x14ac:dyDescent="0.15">
      <c r="A787" s="8" t="s">
        <v>2118</v>
      </c>
      <c r="B787" s="8" t="s">
        <v>145</v>
      </c>
      <c r="C787" s="8" t="str">
        <f t="shared" si="12"/>
        <v>thalamus</v>
      </c>
      <c r="D787" s="8" t="s">
        <v>2118</v>
      </c>
      <c r="E787" s="8" t="s">
        <v>2119</v>
      </c>
      <c r="F787" s="8" t="s">
        <v>2119</v>
      </c>
      <c r="G787" s="8">
        <v>500</v>
      </c>
    </row>
    <row r="788" spans="1:7" x14ac:dyDescent="0.15">
      <c r="A788" s="8" t="s">
        <v>2120</v>
      </c>
      <c r="B788" s="8" t="s">
        <v>145</v>
      </c>
      <c r="C788" s="8" t="str">
        <f t="shared" si="12"/>
        <v>thymus</v>
      </c>
      <c r="D788" s="8" t="s">
        <v>2120</v>
      </c>
      <c r="E788" s="8" t="s">
        <v>2121</v>
      </c>
      <c r="F788" s="8" t="s">
        <v>2121</v>
      </c>
      <c r="G788" s="8">
        <v>500</v>
      </c>
    </row>
    <row r="789" spans="1:7" x14ac:dyDescent="0.15">
      <c r="A789" s="8" t="s">
        <v>2122</v>
      </c>
      <c r="B789" s="8" t="s">
        <v>145</v>
      </c>
      <c r="C789" s="8" t="str">
        <f t="shared" si="12"/>
        <v>tongue</v>
      </c>
      <c r="D789" s="8" t="s">
        <v>2122</v>
      </c>
      <c r="E789" s="8" t="s">
        <v>2123</v>
      </c>
      <c r="F789" s="8" t="s">
        <v>2123</v>
      </c>
      <c r="G789" s="8">
        <v>500</v>
      </c>
    </row>
    <row r="790" spans="1:7" x14ac:dyDescent="0.15">
      <c r="A790" s="8" t="s">
        <v>2124</v>
      </c>
      <c r="B790" s="8" t="s">
        <v>145</v>
      </c>
      <c r="C790" s="8" t="str">
        <f t="shared" si="12"/>
        <v>tonsils</v>
      </c>
      <c r="D790" s="8" t="s">
        <v>2124</v>
      </c>
      <c r="E790" s="8" t="s">
        <v>2125</v>
      </c>
      <c r="F790" s="8" t="s">
        <v>2125</v>
      </c>
      <c r="G790" s="8">
        <v>500</v>
      </c>
    </row>
    <row r="791" spans="1:7" x14ac:dyDescent="0.15">
      <c r="A791" s="8" t="s">
        <v>2126</v>
      </c>
      <c r="B791" s="8" t="s">
        <v>145</v>
      </c>
      <c r="C791" s="8" t="str">
        <f t="shared" si="12"/>
        <v>uterus</v>
      </c>
      <c r="D791" s="8" t="s">
        <v>2126</v>
      </c>
      <c r="E791" s="8" t="s">
        <v>2127</v>
      </c>
      <c r="F791" s="8" t="s">
        <v>2127</v>
      </c>
      <c r="G791" s="8">
        <v>500</v>
      </c>
    </row>
    <row r="792" spans="1:7" x14ac:dyDescent="0.15">
      <c r="A792" s="8" t="s">
        <v>2128</v>
      </c>
      <c r="B792" s="8" t="s">
        <v>145</v>
      </c>
      <c r="C792" s="8" t="str">
        <f t="shared" si="12"/>
        <v>veins</v>
      </c>
      <c r="D792" s="8" t="s">
        <v>2128</v>
      </c>
      <c r="E792" s="8" t="s">
        <v>2129</v>
      </c>
      <c r="F792" s="8" t="s">
        <v>2129</v>
      </c>
      <c r="G792" s="8">
        <v>500</v>
      </c>
    </row>
    <row r="793" spans="1:7" x14ac:dyDescent="0.15">
      <c r="A793" s="8" t="s">
        <v>4114</v>
      </c>
      <c r="B793" s="8" t="s">
        <v>145</v>
      </c>
      <c r="C793" s="8" t="str">
        <f t="shared" si="12"/>
        <v>skmuscle</v>
      </c>
      <c r="D793" s="8" t="s">
        <v>4115</v>
      </c>
      <c r="E793" s="8" t="s">
        <v>2745</v>
      </c>
      <c r="F793" s="8" t="s">
        <v>2745</v>
      </c>
    </row>
    <row r="794" spans="1:7" x14ac:dyDescent="0.15">
      <c r="A794" s="8" t="s">
        <v>2843</v>
      </c>
      <c r="B794" s="8" t="s">
        <v>158</v>
      </c>
      <c r="C794" s="8" t="str">
        <f t="shared" si="12"/>
        <v>controls</v>
      </c>
      <c r="D794" s="8" t="s">
        <v>2840</v>
      </c>
      <c r="E794" s="8" t="s">
        <v>2841</v>
      </c>
      <c r="F794" s="8" t="s">
        <v>2842</v>
      </c>
      <c r="G794" s="8">
        <v>500</v>
      </c>
    </row>
    <row r="795" spans="1:7" x14ac:dyDescent="0.15">
      <c r="A795" s="8" t="s">
        <v>2150</v>
      </c>
      <c r="B795" s="8" t="s">
        <v>2151</v>
      </c>
      <c r="C795" s="8" t="str">
        <f t="shared" si="12"/>
        <v>cardiovascular</v>
      </c>
      <c r="D795" s="9" t="s">
        <v>15</v>
      </c>
      <c r="E795" s="8" t="s">
        <v>2152</v>
      </c>
      <c r="F795" s="8" t="s">
        <v>2153</v>
      </c>
      <c r="G795" s="8">
        <v>500</v>
      </c>
    </row>
    <row r="796" spans="1:7" x14ac:dyDescent="0.15">
      <c r="A796" s="8" t="s">
        <v>2154</v>
      </c>
      <c r="B796" s="8" t="s">
        <v>2151</v>
      </c>
      <c r="C796" s="8" t="str">
        <f t="shared" si="12"/>
        <v>digestive</v>
      </c>
      <c r="D796" s="9" t="s">
        <v>15</v>
      </c>
      <c r="E796" s="8" t="s">
        <v>2155</v>
      </c>
      <c r="F796" s="8" t="s">
        <v>2156</v>
      </c>
      <c r="G796" s="8">
        <v>500</v>
      </c>
    </row>
    <row r="797" spans="1:7" x14ac:dyDescent="0.15">
      <c r="A797" s="8" t="s">
        <v>2157</v>
      </c>
      <c r="B797" s="8" t="s">
        <v>2151</v>
      </c>
      <c r="C797" s="8" t="str">
        <f t="shared" si="12"/>
        <v>endocrine</v>
      </c>
      <c r="D797" s="9" t="s">
        <v>15</v>
      </c>
      <c r="E797" s="8" t="s">
        <v>2158</v>
      </c>
      <c r="F797" s="8" t="s">
        <v>2159</v>
      </c>
      <c r="G797" s="8">
        <v>500</v>
      </c>
    </row>
    <row r="798" spans="1:7" x14ac:dyDescent="0.15">
      <c r="A798" s="8" t="s">
        <v>2160</v>
      </c>
      <c r="B798" s="8" t="s">
        <v>2151</v>
      </c>
      <c r="C798" s="8" t="str">
        <f t="shared" si="12"/>
        <v>excretory</v>
      </c>
      <c r="D798" s="9" t="s">
        <v>15</v>
      </c>
      <c r="E798" s="8" t="s">
        <v>2161</v>
      </c>
      <c r="F798" s="8" t="s">
        <v>2162</v>
      </c>
      <c r="G798" s="8">
        <v>500</v>
      </c>
    </row>
    <row r="799" spans="1:7" x14ac:dyDescent="0.15">
      <c r="A799" s="8" t="s">
        <v>2163</v>
      </c>
      <c r="B799" s="8" t="s">
        <v>2151</v>
      </c>
      <c r="C799" s="8" t="str">
        <f t="shared" si="12"/>
        <v>integumentary</v>
      </c>
      <c r="D799" s="9" t="s">
        <v>15</v>
      </c>
      <c r="E799" s="8" t="s">
        <v>2164</v>
      </c>
      <c r="F799" s="8" t="s">
        <v>2165</v>
      </c>
      <c r="G799" s="8">
        <v>500</v>
      </c>
    </row>
    <row r="800" spans="1:7" x14ac:dyDescent="0.15">
      <c r="A800" s="8" t="s">
        <v>2166</v>
      </c>
      <c r="B800" s="8" t="s">
        <v>2151</v>
      </c>
      <c r="C800" s="8" t="str">
        <f t="shared" si="12"/>
        <v>lymphatic</v>
      </c>
      <c r="D800" s="9" t="s">
        <v>15</v>
      </c>
      <c r="E800" s="8" t="s">
        <v>2167</v>
      </c>
      <c r="F800" s="8" t="s">
        <v>2168</v>
      </c>
      <c r="G800" s="8">
        <v>500</v>
      </c>
    </row>
    <row r="801" spans="1:7" x14ac:dyDescent="0.15">
      <c r="A801" s="8" t="s">
        <v>2169</v>
      </c>
      <c r="B801" s="8" t="s">
        <v>2151</v>
      </c>
      <c r="C801" s="8" t="str">
        <f t="shared" si="12"/>
        <v>muscular</v>
      </c>
      <c r="D801" s="9" t="s">
        <v>15</v>
      </c>
      <c r="E801" s="8" t="s">
        <v>2170</v>
      </c>
      <c r="F801" s="8" t="s">
        <v>2171</v>
      </c>
      <c r="G801" s="8">
        <v>500</v>
      </c>
    </row>
    <row r="802" spans="1:7" x14ac:dyDescent="0.15">
      <c r="A802" s="8" t="s">
        <v>2172</v>
      </c>
      <c r="B802" s="8" t="s">
        <v>2151</v>
      </c>
      <c r="C802" s="8" t="str">
        <f t="shared" si="12"/>
        <v>nervous_system</v>
      </c>
      <c r="D802" s="9" t="s">
        <v>15</v>
      </c>
      <c r="E802" s="8" t="s">
        <v>2173</v>
      </c>
      <c r="F802" s="8" t="s">
        <v>2174</v>
      </c>
      <c r="G802" s="8">
        <v>500</v>
      </c>
    </row>
    <row r="803" spans="1:7" x14ac:dyDescent="0.15">
      <c r="A803" s="8" t="s">
        <v>2175</v>
      </c>
      <c r="B803" s="8" t="s">
        <v>2151</v>
      </c>
      <c r="C803" s="8" t="str">
        <f t="shared" si="12"/>
        <v>reproductive</v>
      </c>
      <c r="D803" s="9" t="s">
        <v>15</v>
      </c>
      <c r="E803" s="8" t="s">
        <v>2176</v>
      </c>
      <c r="F803" s="8" t="s">
        <v>2177</v>
      </c>
      <c r="G803" s="8">
        <v>500</v>
      </c>
    </row>
    <row r="804" spans="1:7" x14ac:dyDescent="0.15">
      <c r="A804" s="8" t="s">
        <v>2178</v>
      </c>
      <c r="B804" s="8" t="s">
        <v>2151</v>
      </c>
      <c r="C804" s="8" t="str">
        <f t="shared" si="12"/>
        <v>respiratory</v>
      </c>
      <c r="D804" s="9" t="s">
        <v>15</v>
      </c>
      <c r="E804" s="8" t="s">
        <v>2179</v>
      </c>
      <c r="F804" s="8" t="s">
        <v>2180</v>
      </c>
      <c r="G804" s="8">
        <v>500</v>
      </c>
    </row>
    <row r="805" spans="1:7" x14ac:dyDescent="0.15">
      <c r="A805" s="8" t="s">
        <v>2181</v>
      </c>
      <c r="B805" s="8" t="s">
        <v>2151</v>
      </c>
      <c r="C805" s="8" t="str">
        <f t="shared" si="12"/>
        <v>skeletal</v>
      </c>
      <c r="D805" s="9" t="s">
        <v>15</v>
      </c>
      <c r="E805" s="8" t="s">
        <v>2182</v>
      </c>
      <c r="F805" s="8" t="s">
        <v>2183</v>
      </c>
      <c r="G805" s="8">
        <v>500</v>
      </c>
    </row>
    <row r="806" spans="1:7" x14ac:dyDescent="0.15">
      <c r="A806" s="8" t="s">
        <v>2184</v>
      </c>
      <c r="B806" s="8" t="s">
        <v>2151</v>
      </c>
      <c r="C806" s="8" t="str">
        <f t="shared" si="12"/>
        <v>urinary</v>
      </c>
      <c r="D806" s="9" t="s">
        <v>15</v>
      </c>
      <c r="E806" s="8" t="s">
        <v>2185</v>
      </c>
      <c r="F806" s="8" t="s">
        <v>2186</v>
      </c>
      <c r="G806" s="8">
        <v>500</v>
      </c>
    </row>
    <row r="807" spans="1:7" x14ac:dyDescent="0.15">
      <c r="A807" s="8" t="s">
        <v>2187</v>
      </c>
      <c r="B807" s="8" t="s">
        <v>160</v>
      </c>
      <c r="C807" s="8" t="str">
        <f t="shared" si="12"/>
        <v>intervalcardio</v>
      </c>
      <c r="D807" s="9" t="s">
        <v>15</v>
      </c>
      <c r="E807" s="8" t="s">
        <v>2188</v>
      </c>
      <c r="F807" s="8" t="s">
        <v>2189</v>
      </c>
      <c r="G807" s="8">
        <v>500</v>
      </c>
    </row>
    <row r="808" spans="1:7" x14ac:dyDescent="0.15">
      <c r="A808" s="8" t="s">
        <v>2190</v>
      </c>
      <c r="B808" s="8" t="s">
        <v>160</v>
      </c>
      <c r="C808" s="8" t="str">
        <f t="shared" si="12"/>
        <v>steadycardio</v>
      </c>
      <c r="D808" s="9" t="s">
        <v>15</v>
      </c>
      <c r="E808" s="8" t="s">
        <v>2762</v>
      </c>
      <c r="F808" s="8" t="s">
        <v>2191</v>
      </c>
      <c r="G808" s="8">
        <v>500</v>
      </c>
    </row>
    <row r="809" spans="1:7" x14ac:dyDescent="0.15">
      <c r="A809" s="8" t="s">
        <v>2192</v>
      </c>
      <c r="B809" s="8" t="s">
        <v>160</v>
      </c>
      <c r="C809" s="8" t="str">
        <f t="shared" si="12"/>
        <v>strength</v>
      </c>
      <c r="D809" s="9" t="s">
        <v>15</v>
      </c>
      <c r="E809" s="8" t="s">
        <v>2193</v>
      </c>
      <c r="F809" s="8" t="s">
        <v>2194</v>
      </c>
      <c r="G809" s="8">
        <v>500</v>
      </c>
    </row>
    <row r="810" spans="1:7" x14ac:dyDescent="0.15">
      <c r="A810" s="8" t="s">
        <v>2763</v>
      </c>
      <c r="B810" s="8" t="s">
        <v>160</v>
      </c>
      <c r="C810" s="8" t="str">
        <f t="shared" si="12"/>
        <v>hiit</v>
      </c>
      <c r="D810" s="9" t="s">
        <v>15</v>
      </c>
      <c r="E810" s="8" t="s">
        <v>2764</v>
      </c>
      <c r="F810" s="8" t="s">
        <v>2765</v>
      </c>
      <c r="G810" s="8">
        <v>500</v>
      </c>
    </row>
    <row r="811" spans="1:7" x14ac:dyDescent="0.15">
      <c r="A811" s="8" t="s">
        <v>2195</v>
      </c>
      <c r="B811" s="8" t="s">
        <v>162</v>
      </c>
      <c r="C811" s="8" t="str">
        <f t="shared" si="12"/>
        <v>argc</v>
      </c>
      <c r="D811" s="9" t="s">
        <v>15</v>
      </c>
      <c r="E811" s="8" t="s">
        <v>2196</v>
      </c>
      <c r="F811" s="8" t="s">
        <v>2197</v>
      </c>
      <c r="G811" s="8">
        <v>500</v>
      </c>
    </row>
    <row r="812" spans="1:7" x14ac:dyDescent="0.15">
      <c r="A812" s="8" t="s">
        <v>2198</v>
      </c>
      <c r="B812" s="8" t="s">
        <v>162</v>
      </c>
      <c r="C812" s="8" t="str">
        <f t="shared" si="12"/>
        <v>aspn</v>
      </c>
      <c r="D812" s="9" t="s">
        <v>15</v>
      </c>
      <c r="E812" s="8" t="s">
        <v>2199</v>
      </c>
      <c r="F812" s="8" t="s">
        <v>2200</v>
      </c>
      <c r="G812" s="8">
        <v>500</v>
      </c>
    </row>
    <row r="813" spans="1:7" x14ac:dyDescent="0.15">
      <c r="A813" s="8" t="s">
        <v>2201</v>
      </c>
      <c r="B813" s="8" t="s">
        <v>162</v>
      </c>
      <c r="C813" s="8" t="str">
        <f t="shared" si="12"/>
        <v>chymotrypsin</v>
      </c>
      <c r="D813" s="9" t="s">
        <v>15</v>
      </c>
      <c r="E813" s="8" t="s">
        <v>2202</v>
      </c>
      <c r="F813" s="8" t="s">
        <v>2203</v>
      </c>
      <c r="G813" s="8">
        <v>500</v>
      </c>
    </row>
    <row r="814" spans="1:7" x14ac:dyDescent="0.15">
      <c r="A814" s="8" t="s">
        <v>2204</v>
      </c>
      <c r="B814" s="8" t="s">
        <v>162</v>
      </c>
      <c r="C814" s="8" t="str">
        <f t="shared" si="12"/>
        <v>elastase</v>
      </c>
      <c r="D814" s="9" t="s">
        <v>15</v>
      </c>
      <c r="E814" s="8" t="s">
        <v>2205</v>
      </c>
      <c r="F814" s="8" t="s">
        <v>2206</v>
      </c>
      <c r="G814" s="8">
        <v>500</v>
      </c>
    </row>
    <row r="815" spans="1:7" x14ac:dyDescent="0.15">
      <c r="A815" s="8" t="s">
        <v>2207</v>
      </c>
      <c r="B815" s="8" t="s">
        <v>162</v>
      </c>
      <c r="C815" s="8" t="str">
        <f t="shared" si="12"/>
        <v>gluc</v>
      </c>
      <c r="D815" s="9" t="s">
        <v>15</v>
      </c>
      <c r="E815" s="8" t="s">
        <v>2208</v>
      </c>
      <c r="F815" s="8" t="s">
        <v>2209</v>
      </c>
      <c r="G815" s="8">
        <v>500</v>
      </c>
    </row>
    <row r="816" spans="1:7" x14ac:dyDescent="0.15">
      <c r="A816" s="8" t="s">
        <v>2210</v>
      </c>
      <c r="B816" s="8" t="s">
        <v>162</v>
      </c>
      <c r="C816" s="8" t="str">
        <f t="shared" si="12"/>
        <v>lysc</v>
      </c>
      <c r="D816" s="9" t="s">
        <v>15</v>
      </c>
      <c r="E816" s="8" t="s">
        <v>2211</v>
      </c>
      <c r="F816" s="8" t="s">
        <v>2212</v>
      </c>
      <c r="G816" s="8">
        <v>500</v>
      </c>
    </row>
    <row r="817" spans="1:7" x14ac:dyDescent="0.15">
      <c r="A817" s="8" t="s">
        <v>2213</v>
      </c>
      <c r="B817" s="8" t="s">
        <v>162</v>
      </c>
      <c r="C817" s="8" t="str">
        <f t="shared" si="12"/>
        <v>raspn</v>
      </c>
      <c r="D817" s="9" t="s">
        <v>15</v>
      </c>
      <c r="E817" s="8" t="s">
        <v>2214</v>
      </c>
      <c r="F817" s="8" t="s">
        <v>2215</v>
      </c>
      <c r="G817" s="8">
        <v>500</v>
      </c>
    </row>
    <row r="818" spans="1:7" x14ac:dyDescent="0.15">
      <c r="A818" s="8" t="s">
        <v>2216</v>
      </c>
      <c r="B818" s="8" t="s">
        <v>162</v>
      </c>
      <c r="C818" s="8" t="str">
        <f t="shared" si="12"/>
        <v>trypsin</v>
      </c>
      <c r="D818" s="9" t="s">
        <v>15</v>
      </c>
      <c r="E818" s="8" t="s">
        <v>2217</v>
      </c>
      <c r="F818" s="8" t="s">
        <v>2218</v>
      </c>
      <c r="G818" s="8">
        <v>500</v>
      </c>
    </row>
    <row r="819" spans="1:7" x14ac:dyDescent="0.15">
      <c r="A819" s="8" t="s">
        <v>2766</v>
      </c>
      <c r="B819" s="8" t="s">
        <v>164</v>
      </c>
      <c r="C819" s="8" t="str">
        <f t="shared" si="12"/>
        <v>apex</v>
      </c>
      <c r="D819" s="9" t="s">
        <v>15</v>
      </c>
      <c r="E819" s="8" t="s">
        <v>2767</v>
      </c>
      <c r="F819" s="8" t="s">
        <v>2768</v>
      </c>
      <c r="G819" s="8">
        <v>500</v>
      </c>
    </row>
    <row r="820" spans="1:7" x14ac:dyDescent="0.15">
      <c r="A820" s="8" t="s">
        <v>2769</v>
      </c>
      <c r="B820" s="8" t="s">
        <v>164</v>
      </c>
      <c r="C820" s="8" t="str">
        <f t="shared" si="12"/>
        <v>bioid</v>
      </c>
      <c r="D820" s="9" t="s">
        <v>15</v>
      </c>
      <c r="E820" s="8" t="s">
        <v>2770</v>
      </c>
      <c r="F820" s="8" t="s">
        <v>2771</v>
      </c>
      <c r="G820" s="8">
        <v>500</v>
      </c>
    </row>
    <row r="821" spans="1:7" x14ac:dyDescent="0.15">
      <c r="A821" s="8" t="s">
        <v>2772</v>
      </c>
      <c r="B821" s="8" t="s">
        <v>164</v>
      </c>
      <c r="C821" s="8" t="str">
        <f t="shared" si="12"/>
        <v>turboid</v>
      </c>
      <c r="D821" s="9" t="s">
        <v>15</v>
      </c>
      <c r="E821" s="8" t="s">
        <v>2773</v>
      </c>
      <c r="F821" s="8" t="s">
        <v>2774</v>
      </c>
      <c r="G821" s="8">
        <v>500</v>
      </c>
    </row>
    <row r="822" spans="1:7" x14ac:dyDescent="0.15">
      <c r="A822" s="8" t="s">
        <v>1208</v>
      </c>
      <c r="B822" s="8" t="s">
        <v>164</v>
      </c>
      <c r="C822" s="8" t="str">
        <f t="shared" si="12"/>
        <v>deletion</v>
      </c>
      <c r="D822" s="9" t="s">
        <v>15</v>
      </c>
      <c r="E822" s="8" t="s">
        <v>2219</v>
      </c>
      <c r="F822" s="8" t="s">
        <v>2220</v>
      </c>
      <c r="G822" s="8">
        <v>500</v>
      </c>
    </row>
    <row r="823" spans="1:7" x14ac:dyDescent="0.15">
      <c r="A823" s="8" t="s">
        <v>2221</v>
      </c>
      <c r="B823" s="8" t="s">
        <v>164</v>
      </c>
      <c r="C823" s="8" t="str">
        <f t="shared" si="12"/>
        <v>flag</v>
      </c>
      <c r="D823" s="9" t="s">
        <v>15</v>
      </c>
      <c r="E823" s="8" t="s">
        <v>2222</v>
      </c>
      <c r="F823" s="8" t="s">
        <v>2223</v>
      </c>
      <c r="G823" s="8">
        <v>500</v>
      </c>
    </row>
    <row r="824" spans="1:7" x14ac:dyDescent="0.15">
      <c r="A824" s="8" t="s">
        <v>2224</v>
      </c>
      <c r="B824" s="8" t="s">
        <v>164</v>
      </c>
      <c r="C824" s="8" t="str">
        <f t="shared" si="12"/>
        <v>frameshift</v>
      </c>
      <c r="D824" s="9" t="s">
        <v>15</v>
      </c>
      <c r="E824" s="8" t="s">
        <v>2225</v>
      </c>
      <c r="F824" s="8" t="s">
        <v>2226</v>
      </c>
      <c r="G824" s="8">
        <v>500</v>
      </c>
    </row>
    <row r="825" spans="1:7" x14ac:dyDescent="0.15">
      <c r="A825" s="8" t="s">
        <v>2227</v>
      </c>
      <c r="B825" s="8" t="s">
        <v>164</v>
      </c>
      <c r="C825" s="8" t="str">
        <f t="shared" si="12"/>
        <v>gfp</v>
      </c>
      <c r="D825" s="9" t="s">
        <v>15</v>
      </c>
      <c r="E825" s="8" t="s">
        <v>2228</v>
      </c>
      <c r="F825" s="8" t="s">
        <v>2229</v>
      </c>
      <c r="G825" s="8">
        <v>500</v>
      </c>
    </row>
    <row r="826" spans="1:7" x14ac:dyDescent="0.15">
      <c r="A826" s="8" t="s">
        <v>2230</v>
      </c>
      <c r="B826" s="8" t="s">
        <v>164</v>
      </c>
      <c r="C826" s="8" t="str">
        <f t="shared" si="12"/>
        <v>ha</v>
      </c>
      <c r="D826" s="9" t="s">
        <v>15</v>
      </c>
      <c r="E826" s="8" t="s">
        <v>2231</v>
      </c>
      <c r="F826" s="8" t="s">
        <v>2232</v>
      </c>
      <c r="G826" s="8">
        <v>500</v>
      </c>
    </row>
    <row r="827" spans="1:7" x14ac:dyDescent="0.15">
      <c r="A827" s="8" t="s">
        <v>2233</v>
      </c>
      <c r="B827" s="8" t="s">
        <v>164</v>
      </c>
      <c r="C827" s="8" t="str">
        <f t="shared" si="12"/>
        <v>his</v>
      </c>
      <c r="D827" s="9" t="s">
        <v>15</v>
      </c>
      <c r="E827" s="8" t="s">
        <v>2234</v>
      </c>
      <c r="F827" s="8" t="s">
        <v>2235</v>
      </c>
      <c r="G827" s="8">
        <v>500</v>
      </c>
    </row>
    <row r="828" spans="1:7" x14ac:dyDescent="0.15">
      <c r="A828" s="8" t="s">
        <v>2236</v>
      </c>
      <c r="B828" s="8" t="s">
        <v>164</v>
      </c>
      <c r="C828" s="8" t="str">
        <f t="shared" si="12"/>
        <v>insertion</v>
      </c>
      <c r="D828" s="9" t="s">
        <v>15</v>
      </c>
      <c r="E828" s="8" t="s">
        <v>2237</v>
      </c>
      <c r="F828" s="8" t="s">
        <v>2238</v>
      </c>
      <c r="G828" s="8">
        <v>500</v>
      </c>
    </row>
    <row r="829" spans="1:7" x14ac:dyDescent="0.15">
      <c r="A829" s="8" t="s">
        <v>2239</v>
      </c>
      <c r="B829" s="8" t="s">
        <v>164</v>
      </c>
      <c r="C829" s="8" t="str">
        <f t="shared" si="12"/>
        <v>myc</v>
      </c>
      <c r="D829" s="9" t="s">
        <v>15</v>
      </c>
      <c r="E829" s="8" t="s">
        <v>2240</v>
      </c>
      <c r="F829" s="8" t="s">
        <v>2241</v>
      </c>
      <c r="G829" s="8">
        <v>500</v>
      </c>
    </row>
    <row r="830" spans="1:7" x14ac:dyDescent="0.15">
      <c r="A830" s="8" t="s">
        <v>2242</v>
      </c>
      <c r="B830" s="8" t="s">
        <v>164</v>
      </c>
      <c r="C830" s="8" t="str">
        <f t="shared" si="12"/>
        <v>pep86</v>
      </c>
      <c r="D830" s="9" t="s">
        <v>15</v>
      </c>
      <c r="E830" s="8" t="s">
        <v>2738</v>
      </c>
      <c r="F830" s="8" t="s">
        <v>2243</v>
      </c>
      <c r="G830" s="8">
        <v>500</v>
      </c>
    </row>
    <row r="831" spans="1:7" x14ac:dyDescent="0.15">
      <c r="A831" s="8" t="s">
        <v>2244</v>
      </c>
      <c r="B831" s="8" t="s">
        <v>164</v>
      </c>
      <c r="C831" s="8" t="str">
        <f t="shared" si="12"/>
        <v>substitution</v>
      </c>
      <c r="D831" s="9" t="s">
        <v>15</v>
      </c>
      <c r="E831" s="8" t="s">
        <v>2245</v>
      </c>
      <c r="F831" s="8" t="s">
        <v>2246</v>
      </c>
      <c r="G831" s="8">
        <v>500</v>
      </c>
    </row>
    <row r="832" spans="1:7" x14ac:dyDescent="0.15">
      <c r="A832" s="8" t="s">
        <v>2247</v>
      </c>
      <c r="B832" s="8" t="s">
        <v>164</v>
      </c>
      <c r="C832" s="8" t="str">
        <f t="shared" si="12"/>
        <v>truncation</v>
      </c>
      <c r="D832" s="9" t="s">
        <v>15</v>
      </c>
      <c r="E832" s="8" t="s">
        <v>2248</v>
      </c>
      <c r="F832" s="8" t="s">
        <v>2249</v>
      </c>
      <c r="G832" s="8">
        <v>500</v>
      </c>
    </row>
    <row r="833" spans="1:1008" x14ac:dyDescent="0.15">
      <c r="A833" s="8" t="s">
        <v>281</v>
      </c>
      <c r="B833" s="8" t="s">
        <v>164</v>
      </c>
      <c r="C833" s="8" t="str">
        <f t="shared" si="12"/>
        <v>none</v>
      </c>
      <c r="D833" s="9" t="s">
        <v>15</v>
      </c>
      <c r="E833" s="8" t="s">
        <v>1806</v>
      </c>
      <c r="F833" s="8" t="s">
        <v>2739</v>
      </c>
      <c r="G833" s="8">
        <v>500</v>
      </c>
    </row>
    <row r="834" spans="1:1008" x14ac:dyDescent="0.15">
      <c r="A834" s="8" t="s">
        <v>2250</v>
      </c>
      <c r="B834" s="8" t="s">
        <v>166</v>
      </c>
      <c r="C834" s="8" t="str">
        <f t="shared" si="12"/>
        <v>aa</v>
      </c>
      <c r="D834" s="9" t="s">
        <v>15</v>
      </c>
      <c r="E834" s="8" t="s">
        <v>2251</v>
      </c>
      <c r="F834" s="8" t="s">
        <v>2252</v>
      </c>
      <c r="G834" s="8">
        <v>500</v>
      </c>
    </row>
    <row r="835" spans="1:1008" x14ac:dyDescent="0.15">
      <c r="A835" s="8" t="s">
        <v>2253</v>
      </c>
      <c r="B835" s="8" t="s">
        <v>166</v>
      </c>
      <c r="C835" s="8" t="str">
        <f t="shared" si="12"/>
        <v>cterm</v>
      </c>
      <c r="D835" s="9" t="s">
        <v>15</v>
      </c>
      <c r="E835" s="8" t="s">
        <v>2254</v>
      </c>
      <c r="F835" s="8" t="s">
        <v>2255</v>
      </c>
      <c r="G835" s="8">
        <v>500</v>
      </c>
    </row>
    <row r="836" spans="1:1008" x14ac:dyDescent="0.15">
      <c r="A836" s="8" t="s">
        <v>2256</v>
      </c>
      <c r="B836" s="8" t="s">
        <v>166</v>
      </c>
      <c r="C836" s="8" t="str">
        <f t="shared" si="12"/>
        <v>nterm</v>
      </c>
      <c r="D836" s="9" t="s">
        <v>15</v>
      </c>
      <c r="E836" s="8" t="s">
        <v>2257</v>
      </c>
      <c r="F836" s="8" t="s">
        <v>2258</v>
      </c>
      <c r="G836" s="8">
        <v>500</v>
      </c>
    </row>
    <row r="837" spans="1:1008" x14ac:dyDescent="0.15">
      <c r="A837" s="8" t="s">
        <v>2259</v>
      </c>
      <c r="B837" s="8" t="s">
        <v>166</v>
      </c>
      <c r="C837" s="8" t="str">
        <f t="shared" si="12"/>
        <v>region</v>
      </c>
      <c r="D837" s="9" t="s">
        <v>15</v>
      </c>
      <c r="E837" s="8" t="s">
        <v>2260</v>
      </c>
      <c r="F837" s="8" t="s">
        <v>2261</v>
      </c>
      <c r="G837" s="8">
        <v>500</v>
      </c>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c r="CA837"/>
      <c r="CB837"/>
      <c r="CC837"/>
      <c r="CD837"/>
      <c r="CE837"/>
      <c r="CF837"/>
      <c r="CG837"/>
      <c r="CH837"/>
      <c r="CI837"/>
      <c r="CJ837"/>
      <c r="CK837"/>
      <c r="CL837"/>
      <c r="CM837"/>
      <c r="CN837"/>
      <c r="CO837"/>
      <c r="CP837"/>
      <c r="CQ837"/>
      <c r="CR837"/>
      <c r="CS837"/>
      <c r="CT837"/>
      <c r="CU837"/>
      <c r="CV837"/>
      <c r="CW837"/>
      <c r="CX837"/>
      <c r="CY837"/>
      <c r="CZ837"/>
      <c r="DA837"/>
      <c r="DB837"/>
      <c r="DC837"/>
      <c r="DD837"/>
      <c r="DE837"/>
      <c r="DF837"/>
      <c r="DG837"/>
      <c r="DH837"/>
      <c r="DI837"/>
      <c r="DJ837"/>
      <c r="DK837"/>
      <c r="DL837"/>
      <c r="DM837"/>
      <c r="DN837"/>
      <c r="DO837"/>
      <c r="DP837"/>
      <c r="DQ837"/>
      <c r="DR837"/>
      <c r="DS837"/>
      <c r="DT837"/>
      <c r="DU837"/>
      <c r="DV837"/>
      <c r="DW837"/>
      <c r="DX837"/>
      <c r="DY837"/>
      <c r="DZ837"/>
      <c r="EA837"/>
      <c r="EB837"/>
      <c r="EC837"/>
      <c r="ED837"/>
      <c r="EE837"/>
      <c r="EF837"/>
      <c r="EG837"/>
      <c r="EH837"/>
      <c r="EI837"/>
      <c r="EJ837"/>
      <c r="EK837"/>
      <c r="EL837"/>
      <c r="EM837"/>
      <c r="EN837"/>
      <c r="EO837"/>
      <c r="EP837"/>
      <c r="EQ837"/>
      <c r="ER837"/>
      <c r="ES837"/>
      <c r="ET837"/>
      <c r="EU837"/>
      <c r="EV837"/>
      <c r="EW837"/>
      <c r="EX837"/>
      <c r="EY837"/>
      <c r="EZ837"/>
      <c r="FA837"/>
      <c r="FB837"/>
      <c r="FC837"/>
      <c r="FD837"/>
      <c r="FE837"/>
      <c r="FF837"/>
      <c r="FG837"/>
      <c r="FH837"/>
      <c r="FI837"/>
      <c r="FJ837"/>
      <c r="FK837"/>
      <c r="FL837"/>
      <c r="FM837"/>
      <c r="FN837"/>
      <c r="FO837"/>
      <c r="FP837"/>
      <c r="FQ837"/>
      <c r="FR837"/>
      <c r="FS837"/>
      <c r="FT837"/>
      <c r="FU837"/>
      <c r="FV837"/>
      <c r="FW837"/>
      <c r="FX837"/>
      <c r="FY837"/>
      <c r="FZ837"/>
      <c r="GA837"/>
      <c r="GB837"/>
      <c r="GC837"/>
      <c r="GD837"/>
      <c r="GE837"/>
      <c r="GF837"/>
      <c r="GG837"/>
      <c r="GH837"/>
      <c r="GI837"/>
      <c r="GJ837"/>
      <c r="GK837"/>
      <c r="GL837"/>
      <c r="GM837"/>
      <c r="GN837"/>
      <c r="GO837"/>
      <c r="GP837"/>
      <c r="GQ837"/>
      <c r="GR837"/>
      <c r="GS837"/>
      <c r="GT837"/>
      <c r="GU837"/>
      <c r="GV837"/>
      <c r="GW837"/>
      <c r="GX837"/>
      <c r="GY837"/>
      <c r="GZ837"/>
      <c r="HA837"/>
      <c r="HB837"/>
      <c r="HC837"/>
      <c r="HD837"/>
      <c r="HE837"/>
      <c r="HF837"/>
      <c r="HG837"/>
      <c r="HH837"/>
      <c r="HI837"/>
      <c r="HJ837"/>
      <c r="HK837"/>
      <c r="HL837"/>
      <c r="HM837"/>
      <c r="HN837"/>
      <c r="HO837"/>
      <c r="HP837"/>
      <c r="HQ837"/>
      <c r="HR837"/>
      <c r="HS837"/>
      <c r="HT837"/>
      <c r="HU837"/>
      <c r="HV837"/>
      <c r="HW837"/>
      <c r="HX837"/>
      <c r="HY837"/>
      <c r="HZ837"/>
      <c r="IA837"/>
      <c r="IB837"/>
      <c r="IC837"/>
      <c r="ID837"/>
      <c r="IE837"/>
      <c r="IF837"/>
      <c r="IG837"/>
      <c r="IH837"/>
      <c r="II837"/>
      <c r="IJ837"/>
      <c r="IK837"/>
      <c r="IL837"/>
      <c r="IM837"/>
      <c r="IN837"/>
      <c r="IO837"/>
      <c r="IP837"/>
      <c r="IQ837"/>
      <c r="IR837"/>
      <c r="IS837"/>
      <c r="IT837"/>
      <c r="IU837"/>
      <c r="IV837"/>
      <c r="IW837"/>
      <c r="IX837"/>
      <c r="IY837"/>
      <c r="IZ837"/>
      <c r="JA837"/>
      <c r="JB837"/>
      <c r="JC837"/>
      <c r="JD837"/>
      <c r="JE837"/>
      <c r="JF837"/>
      <c r="JG837"/>
      <c r="JH837"/>
      <c r="JI837"/>
      <c r="JJ837"/>
      <c r="JK837"/>
      <c r="JL837"/>
      <c r="JM837"/>
      <c r="JN837"/>
      <c r="JO837"/>
      <c r="JP837"/>
      <c r="JQ837"/>
      <c r="JR837"/>
      <c r="JS837"/>
      <c r="JT837"/>
      <c r="JU837"/>
      <c r="JV837"/>
      <c r="JW837"/>
      <c r="JX837"/>
      <c r="JY837"/>
      <c r="JZ837"/>
      <c r="KA837"/>
      <c r="KB837"/>
      <c r="KC837"/>
      <c r="KD837"/>
      <c r="KE837"/>
      <c r="KF837"/>
      <c r="KG837"/>
      <c r="KH837"/>
      <c r="KI837"/>
      <c r="KJ837"/>
      <c r="KK837"/>
      <c r="KL837"/>
      <c r="KM837"/>
      <c r="KN837"/>
      <c r="KO837"/>
      <c r="KP837"/>
      <c r="KQ837"/>
      <c r="KR837"/>
      <c r="KS837"/>
      <c r="KT837"/>
      <c r="KU837"/>
      <c r="KV837"/>
      <c r="KW837"/>
      <c r="KX837"/>
      <c r="KY837"/>
      <c r="KZ837"/>
      <c r="LA837"/>
      <c r="LB837"/>
      <c r="LC837"/>
      <c r="LD837"/>
      <c r="LE837"/>
      <c r="LF837"/>
      <c r="LG837"/>
      <c r="LH837"/>
      <c r="LI837"/>
      <c r="LJ837"/>
      <c r="LK837"/>
      <c r="LL837"/>
      <c r="LM837"/>
      <c r="LN837"/>
      <c r="LO837"/>
      <c r="LP837"/>
      <c r="LQ837"/>
      <c r="LR837"/>
      <c r="LS837"/>
      <c r="LT837"/>
      <c r="LU837"/>
      <c r="LV837"/>
      <c r="LW837"/>
      <c r="LX837"/>
      <c r="LY837"/>
      <c r="LZ837"/>
      <c r="MA837"/>
      <c r="MB837"/>
      <c r="MC837"/>
      <c r="MD837"/>
      <c r="ME837"/>
      <c r="MF837"/>
      <c r="MG837"/>
      <c r="MH837"/>
      <c r="MI837"/>
      <c r="MJ837"/>
      <c r="MK837"/>
      <c r="ML837"/>
      <c r="MM837"/>
      <c r="MN837"/>
      <c r="MO837"/>
      <c r="MP837"/>
      <c r="MQ837"/>
      <c r="MR837"/>
      <c r="MS837"/>
      <c r="MT837"/>
      <c r="MU837"/>
      <c r="MV837"/>
      <c r="MW837"/>
      <c r="MX837"/>
      <c r="MY837"/>
      <c r="MZ837"/>
      <c r="NA837"/>
      <c r="NB837"/>
      <c r="NC837"/>
      <c r="ND837"/>
      <c r="NE837"/>
      <c r="NF837"/>
      <c r="NG837"/>
      <c r="NH837"/>
      <c r="NI837"/>
      <c r="NJ837"/>
      <c r="NK837"/>
      <c r="NL837"/>
      <c r="NM837"/>
      <c r="NN837"/>
      <c r="NO837"/>
      <c r="NP837"/>
      <c r="NQ837"/>
      <c r="NR837"/>
      <c r="NS837"/>
      <c r="NT837"/>
      <c r="NU837"/>
      <c r="NV837"/>
      <c r="NW837"/>
      <c r="NX837"/>
      <c r="NY837"/>
      <c r="NZ837"/>
      <c r="OA837"/>
      <c r="OB837"/>
      <c r="OC837"/>
      <c r="OD837"/>
      <c r="OE837"/>
      <c r="OF837"/>
      <c r="OG837"/>
      <c r="OH837"/>
      <c r="OI837"/>
      <c r="OJ837"/>
      <c r="OK837"/>
      <c r="OL837"/>
      <c r="OM837"/>
      <c r="ON837"/>
      <c r="OO837"/>
      <c r="OP837"/>
      <c r="OQ837"/>
      <c r="OR837"/>
      <c r="OS837"/>
      <c r="OT837"/>
      <c r="OU837"/>
      <c r="OV837"/>
      <c r="OW837"/>
      <c r="OX837"/>
      <c r="OY837"/>
      <c r="OZ837"/>
      <c r="PA837"/>
      <c r="PB837"/>
      <c r="PC837"/>
      <c r="PD837"/>
      <c r="PE837"/>
      <c r="PF837"/>
      <c r="PG837"/>
      <c r="PH837"/>
      <c r="PI837"/>
      <c r="PJ837"/>
      <c r="PK837"/>
      <c r="PL837"/>
      <c r="PM837"/>
      <c r="PN837"/>
      <c r="PO837"/>
      <c r="PP837"/>
      <c r="PQ837"/>
      <c r="PR837"/>
      <c r="PS837"/>
      <c r="PT837"/>
      <c r="PU837"/>
      <c r="PV837"/>
      <c r="PW837"/>
      <c r="PX837"/>
      <c r="PY837"/>
      <c r="PZ837"/>
      <c r="QA837"/>
      <c r="QB837"/>
      <c r="QC837"/>
      <c r="QD837"/>
      <c r="QE837"/>
      <c r="QF837"/>
      <c r="QG837"/>
      <c r="QH837"/>
      <c r="QI837"/>
      <c r="QJ837"/>
      <c r="QK837"/>
      <c r="QL837"/>
      <c r="QM837"/>
      <c r="QN837"/>
      <c r="QO837"/>
      <c r="QP837"/>
      <c r="QQ837"/>
      <c r="QR837"/>
      <c r="QS837"/>
      <c r="QT837"/>
      <c r="QU837"/>
      <c r="QV837"/>
      <c r="QW837"/>
      <c r="QX837"/>
      <c r="QY837"/>
      <c r="QZ837"/>
      <c r="RA837"/>
      <c r="RB837"/>
      <c r="RC837"/>
      <c r="RD837"/>
      <c r="RE837"/>
      <c r="RF837"/>
      <c r="RG837"/>
      <c r="RH837"/>
      <c r="RI837"/>
      <c r="RJ837"/>
      <c r="RK837"/>
      <c r="RL837"/>
      <c r="RM837"/>
      <c r="RN837"/>
      <c r="RO837"/>
      <c r="RP837"/>
      <c r="RQ837"/>
      <c r="RR837"/>
      <c r="RS837"/>
      <c r="RT837"/>
      <c r="RU837"/>
      <c r="RV837"/>
      <c r="RW837"/>
      <c r="RX837"/>
      <c r="RY837"/>
      <c r="RZ837"/>
      <c r="SA837"/>
      <c r="SB837"/>
      <c r="SC837"/>
      <c r="SD837"/>
      <c r="SE837"/>
      <c r="SF837"/>
      <c r="SG837"/>
      <c r="SH837"/>
      <c r="SI837"/>
      <c r="SJ837"/>
      <c r="SK837"/>
      <c r="SL837"/>
      <c r="SM837"/>
      <c r="SN837"/>
      <c r="SO837"/>
      <c r="SP837"/>
      <c r="SQ837"/>
      <c r="SR837"/>
      <c r="SS837"/>
      <c r="ST837"/>
      <c r="SU837"/>
      <c r="SV837"/>
      <c r="SW837"/>
      <c r="SX837"/>
      <c r="SY837"/>
      <c r="SZ837"/>
      <c r="TA837"/>
      <c r="TB837"/>
      <c r="TC837"/>
      <c r="TD837"/>
      <c r="TE837"/>
      <c r="TF837"/>
      <c r="TG837"/>
      <c r="TH837"/>
      <c r="TI837"/>
      <c r="TJ837"/>
      <c r="TK837"/>
      <c r="TL837"/>
      <c r="TM837"/>
      <c r="TN837"/>
      <c r="TO837"/>
      <c r="TP837"/>
      <c r="TQ837"/>
      <c r="TR837"/>
      <c r="TS837"/>
      <c r="TT837"/>
      <c r="TU837"/>
      <c r="TV837"/>
      <c r="TW837"/>
      <c r="TX837"/>
      <c r="TY837"/>
      <c r="TZ837"/>
      <c r="UA837"/>
      <c r="UB837"/>
      <c r="UC837"/>
      <c r="UD837"/>
      <c r="UE837"/>
      <c r="UF837"/>
      <c r="UG837"/>
      <c r="UH837"/>
      <c r="UI837"/>
      <c r="UJ837"/>
      <c r="UK837"/>
      <c r="UL837"/>
      <c r="UM837"/>
      <c r="UN837"/>
      <c r="UO837"/>
      <c r="UP837"/>
      <c r="UQ837"/>
      <c r="UR837"/>
      <c r="US837"/>
      <c r="UT837"/>
      <c r="UU837"/>
      <c r="UV837"/>
      <c r="UW837"/>
      <c r="UX837"/>
      <c r="UY837"/>
      <c r="UZ837"/>
      <c r="VA837"/>
      <c r="VB837"/>
      <c r="VC837"/>
      <c r="VD837"/>
      <c r="VE837"/>
      <c r="VF837"/>
      <c r="VG837"/>
      <c r="VH837"/>
      <c r="VI837"/>
      <c r="VJ837"/>
      <c r="VK837"/>
      <c r="VL837"/>
      <c r="VM837"/>
      <c r="VN837"/>
      <c r="VO837"/>
      <c r="VP837"/>
      <c r="VQ837"/>
      <c r="VR837"/>
      <c r="VS837"/>
      <c r="VT837"/>
      <c r="VU837"/>
      <c r="VV837"/>
      <c r="VW837"/>
      <c r="VX837"/>
      <c r="VY837"/>
      <c r="VZ837"/>
      <c r="WA837"/>
      <c r="WB837"/>
      <c r="WC837"/>
      <c r="WD837"/>
      <c r="WE837"/>
      <c r="WF837"/>
      <c r="WG837"/>
      <c r="WH837"/>
      <c r="WI837"/>
      <c r="WJ837"/>
      <c r="WK837"/>
      <c r="WL837"/>
      <c r="WM837"/>
      <c r="WN837"/>
      <c r="WO837"/>
      <c r="WP837"/>
      <c r="WQ837"/>
      <c r="WR837"/>
      <c r="WS837"/>
      <c r="WT837"/>
      <c r="WU837"/>
      <c r="WV837"/>
      <c r="WW837"/>
      <c r="WX837"/>
      <c r="WY837"/>
      <c r="WZ837"/>
      <c r="XA837"/>
      <c r="XB837"/>
      <c r="XC837"/>
      <c r="XD837"/>
      <c r="XE837"/>
      <c r="XF837"/>
      <c r="XG837"/>
      <c r="XH837"/>
      <c r="XI837"/>
      <c r="XJ837"/>
      <c r="XK837"/>
      <c r="XL837"/>
      <c r="XM837"/>
      <c r="XN837"/>
      <c r="XO837"/>
      <c r="XP837"/>
      <c r="XQ837"/>
      <c r="XR837"/>
      <c r="XS837"/>
      <c r="XT837"/>
      <c r="XU837"/>
      <c r="XV837"/>
      <c r="XW837"/>
      <c r="XX837"/>
      <c r="XY837"/>
      <c r="XZ837"/>
      <c r="YA837"/>
      <c r="YB837"/>
      <c r="YC837"/>
      <c r="YD837"/>
      <c r="YE837"/>
      <c r="YF837"/>
      <c r="YG837"/>
      <c r="YH837"/>
      <c r="YI837"/>
      <c r="YJ837"/>
      <c r="YK837"/>
      <c r="YL837"/>
      <c r="YM837"/>
      <c r="YN837"/>
      <c r="YO837"/>
      <c r="YP837"/>
      <c r="YQ837"/>
      <c r="YR837"/>
      <c r="YS837"/>
      <c r="YT837"/>
      <c r="YU837"/>
      <c r="YV837"/>
      <c r="YW837"/>
      <c r="YX837"/>
      <c r="YY837"/>
      <c r="YZ837"/>
      <c r="ZA837"/>
      <c r="ZB837"/>
      <c r="ZC837"/>
      <c r="ZD837"/>
      <c r="ZE837"/>
      <c r="ZF837"/>
      <c r="ZG837"/>
      <c r="ZH837"/>
      <c r="ZI837"/>
      <c r="ZJ837"/>
      <c r="ZK837"/>
      <c r="ZL837"/>
      <c r="ZM837"/>
      <c r="ZN837"/>
      <c r="ZO837"/>
      <c r="ZP837"/>
      <c r="ZQ837"/>
      <c r="ZR837"/>
      <c r="ZS837"/>
      <c r="ZT837"/>
      <c r="ZU837"/>
      <c r="ZV837"/>
      <c r="ZW837"/>
      <c r="ZX837"/>
      <c r="ZY837"/>
      <c r="ZZ837"/>
      <c r="AAA837"/>
      <c r="AAB837"/>
      <c r="AAC837"/>
      <c r="AAD837"/>
      <c r="AAE837"/>
      <c r="AAF837"/>
      <c r="AAG837"/>
      <c r="AAH837"/>
      <c r="AAI837"/>
      <c r="AAJ837"/>
      <c r="AAK837"/>
      <c r="AAL837"/>
      <c r="AAM837"/>
      <c r="AAN837"/>
      <c r="AAO837"/>
      <c r="AAP837"/>
      <c r="AAQ837"/>
      <c r="AAR837"/>
      <c r="AAS837"/>
      <c r="AAT837"/>
      <c r="AAU837"/>
      <c r="AAV837"/>
      <c r="AAW837"/>
      <c r="AAX837"/>
      <c r="AAY837"/>
      <c r="AAZ837"/>
      <c r="ABA837"/>
      <c r="ABB837"/>
      <c r="ABC837"/>
      <c r="ABD837"/>
      <c r="ABE837"/>
      <c r="ABF837"/>
      <c r="ABG837"/>
      <c r="ABH837"/>
      <c r="ABI837"/>
      <c r="ABJ837"/>
      <c r="ABK837"/>
      <c r="ABL837"/>
      <c r="ABM837"/>
      <c r="ABN837"/>
      <c r="ABO837"/>
      <c r="ABP837"/>
      <c r="ABQ837"/>
      <c r="ABR837"/>
      <c r="ABS837"/>
      <c r="ABT837"/>
      <c r="ABU837"/>
      <c r="ABV837"/>
      <c r="ABW837"/>
      <c r="ABX837"/>
      <c r="ABY837"/>
      <c r="ABZ837"/>
      <c r="ACA837"/>
      <c r="ACB837"/>
      <c r="ACC837"/>
      <c r="ACD837"/>
      <c r="ACE837"/>
      <c r="ACF837"/>
      <c r="ACG837"/>
      <c r="ACH837"/>
      <c r="ACI837"/>
      <c r="ACJ837"/>
      <c r="ACK837"/>
      <c r="ACL837"/>
      <c r="ACM837"/>
      <c r="ACN837"/>
      <c r="ACO837"/>
      <c r="ACP837"/>
      <c r="ACQ837"/>
      <c r="ACR837"/>
      <c r="ACS837"/>
      <c r="ACT837"/>
      <c r="ACU837"/>
      <c r="ACV837"/>
      <c r="ACW837"/>
      <c r="ACX837"/>
      <c r="ACY837"/>
      <c r="ACZ837"/>
      <c r="ADA837"/>
      <c r="ADB837"/>
      <c r="ADC837"/>
      <c r="ADD837"/>
      <c r="ADE837"/>
      <c r="ADF837"/>
      <c r="ADG837"/>
      <c r="ADH837"/>
      <c r="ADI837"/>
      <c r="ADJ837"/>
      <c r="ADK837"/>
      <c r="ADL837"/>
      <c r="ADM837"/>
      <c r="ADN837"/>
      <c r="ADO837"/>
      <c r="ADP837"/>
      <c r="ADQ837"/>
      <c r="ADR837"/>
      <c r="ADS837"/>
      <c r="ADT837"/>
      <c r="ADU837"/>
      <c r="ADV837"/>
      <c r="ADW837"/>
      <c r="ADX837"/>
      <c r="ADY837"/>
      <c r="ADZ837"/>
      <c r="AEA837"/>
      <c r="AEB837"/>
      <c r="AEC837"/>
      <c r="AED837"/>
      <c r="AEE837"/>
      <c r="AEF837"/>
      <c r="AEG837"/>
      <c r="AEH837"/>
      <c r="AEI837"/>
      <c r="AEJ837"/>
      <c r="AEK837"/>
      <c r="AEL837"/>
      <c r="AEM837"/>
      <c r="AEN837"/>
      <c r="AEO837"/>
      <c r="AEP837"/>
      <c r="AEQ837"/>
      <c r="AER837"/>
      <c r="AES837"/>
      <c r="AET837"/>
      <c r="AEU837"/>
      <c r="AEV837"/>
      <c r="AEW837"/>
      <c r="AEX837"/>
      <c r="AEY837"/>
      <c r="AEZ837"/>
      <c r="AFA837"/>
      <c r="AFB837"/>
      <c r="AFC837"/>
      <c r="AFD837"/>
      <c r="AFE837"/>
      <c r="AFF837"/>
      <c r="AFG837"/>
      <c r="AFH837"/>
      <c r="AFI837"/>
      <c r="AFJ837"/>
      <c r="AFK837"/>
      <c r="AFL837"/>
      <c r="AFM837"/>
      <c r="AFN837"/>
      <c r="AFO837"/>
      <c r="AFP837"/>
      <c r="AFQ837"/>
      <c r="AFR837"/>
      <c r="AFS837"/>
      <c r="AFT837"/>
      <c r="AFU837"/>
      <c r="AFV837"/>
      <c r="AFW837"/>
      <c r="AFX837"/>
      <c r="AFY837"/>
      <c r="AFZ837"/>
      <c r="AGA837"/>
      <c r="AGB837"/>
      <c r="AGC837"/>
      <c r="AGD837"/>
      <c r="AGE837"/>
      <c r="AGF837"/>
      <c r="AGG837"/>
      <c r="AGH837"/>
      <c r="AGI837"/>
      <c r="AGJ837"/>
      <c r="AGK837"/>
      <c r="AGL837"/>
      <c r="AGM837"/>
      <c r="AGN837"/>
      <c r="AGO837"/>
      <c r="AGP837"/>
      <c r="AGQ837"/>
      <c r="AGR837"/>
      <c r="AGS837"/>
      <c r="AGT837"/>
      <c r="AGU837"/>
      <c r="AGV837"/>
      <c r="AGW837"/>
      <c r="AGX837"/>
      <c r="AGY837"/>
      <c r="AGZ837"/>
      <c r="AHA837"/>
      <c r="AHB837"/>
      <c r="AHC837"/>
      <c r="AHD837"/>
      <c r="AHE837"/>
      <c r="AHF837"/>
      <c r="AHG837"/>
      <c r="AHH837"/>
      <c r="AHI837"/>
      <c r="AHJ837"/>
      <c r="AHK837"/>
      <c r="AHL837"/>
      <c r="AHM837"/>
      <c r="AHN837"/>
      <c r="AHO837"/>
      <c r="AHP837"/>
      <c r="AHQ837"/>
      <c r="AHR837"/>
      <c r="AHS837"/>
      <c r="AHT837"/>
      <c r="AHU837"/>
      <c r="AHV837"/>
      <c r="AHW837"/>
      <c r="AHX837"/>
      <c r="AHY837"/>
      <c r="AHZ837"/>
      <c r="AIA837"/>
      <c r="AIB837"/>
      <c r="AIC837"/>
      <c r="AID837"/>
      <c r="AIE837"/>
      <c r="AIF837"/>
      <c r="AIG837"/>
      <c r="AIH837"/>
      <c r="AII837"/>
      <c r="AIJ837"/>
      <c r="AIK837"/>
      <c r="AIL837"/>
      <c r="AIM837"/>
      <c r="AIN837"/>
      <c r="AIO837"/>
      <c r="AIP837"/>
      <c r="AIQ837"/>
      <c r="AIR837"/>
      <c r="AIS837"/>
      <c r="AIT837"/>
      <c r="AIU837"/>
      <c r="AIV837"/>
      <c r="AIW837"/>
      <c r="AIX837"/>
      <c r="AIY837"/>
      <c r="AIZ837"/>
      <c r="AJA837"/>
      <c r="AJB837"/>
      <c r="AJC837"/>
      <c r="AJD837"/>
      <c r="AJE837"/>
      <c r="AJF837"/>
      <c r="AJG837"/>
      <c r="AJH837"/>
      <c r="AJI837"/>
      <c r="AJJ837"/>
      <c r="AJK837"/>
      <c r="AJL837"/>
      <c r="AJM837"/>
      <c r="AJN837"/>
      <c r="AJO837"/>
      <c r="AJP837"/>
      <c r="AJQ837"/>
      <c r="AJR837"/>
      <c r="AJS837"/>
      <c r="AJT837"/>
      <c r="AJU837"/>
      <c r="AJV837"/>
      <c r="AJW837"/>
      <c r="AJX837"/>
      <c r="AJY837"/>
      <c r="AJZ837"/>
      <c r="AKA837"/>
      <c r="AKB837"/>
      <c r="AKC837"/>
      <c r="AKD837"/>
      <c r="AKE837"/>
      <c r="AKF837"/>
      <c r="AKG837"/>
      <c r="AKH837"/>
      <c r="AKI837"/>
      <c r="AKJ837"/>
      <c r="AKK837"/>
      <c r="AKL837"/>
      <c r="AKM837"/>
      <c r="AKN837"/>
      <c r="AKO837"/>
      <c r="AKP837"/>
      <c r="AKQ837"/>
      <c r="AKR837"/>
      <c r="AKS837"/>
      <c r="AKT837"/>
      <c r="AKU837"/>
      <c r="AKV837"/>
      <c r="AKW837"/>
      <c r="AKX837"/>
      <c r="AKY837"/>
      <c r="AKZ837"/>
      <c r="ALA837"/>
      <c r="ALB837"/>
      <c r="ALC837"/>
      <c r="ALD837"/>
      <c r="ALE837"/>
      <c r="ALF837"/>
      <c r="ALG837"/>
      <c r="ALH837"/>
      <c r="ALI837"/>
      <c r="ALJ837"/>
      <c r="ALK837"/>
      <c r="ALL837"/>
      <c r="ALM837"/>
      <c r="ALN837"/>
      <c r="ALO837"/>
      <c r="ALP837"/>
      <c r="ALQ837"/>
      <c r="ALR837"/>
      <c r="ALS837"/>
      <c r="ALT837"/>
    </row>
    <row r="838" spans="1:1008" x14ac:dyDescent="0.15">
      <c r="A838" s="8" t="s">
        <v>2891</v>
      </c>
      <c r="B838" s="8" t="s">
        <v>2889</v>
      </c>
      <c r="C838" s="8" t="str">
        <f t="shared" si="12"/>
        <v>antibody</v>
      </c>
      <c r="D838" s="9" t="s">
        <v>15</v>
      </c>
      <c r="E838" s="8" t="s">
        <v>2892</v>
      </c>
      <c r="F838" s="8" t="s">
        <v>2893</v>
      </c>
      <c r="G838" s="8">
        <v>500</v>
      </c>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c r="CA838"/>
      <c r="CB838"/>
      <c r="CC838"/>
      <c r="CD838"/>
      <c r="CE838"/>
      <c r="CF838"/>
      <c r="CG838"/>
      <c r="CH838"/>
      <c r="CI838"/>
      <c r="CJ838"/>
      <c r="CK838"/>
      <c r="CL838"/>
      <c r="CM838"/>
      <c r="CN838"/>
      <c r="CO838"/>
      <c r="CP838"/>
      <c r="CQ838"/>
      <c r="CR838"/>
      <c r="CS838"/>
      <c r="CT838"/>
      <c r="CU838"/>
      <c r="CV838"/>
      <c r="CW838"/>
      <c r="CX838"/>
      <c r="CY838"/>
      <c r="CZ838"/>
      <c r="DA838"/>
      <c r="DB838"/>
      <c r="DC838"/>
      <c r="DD838"/>
      <c r="DE838"/>
      <c r="DF838"/>
      <c r="DG838"/>
      <c r="DH838"/>
      <c r="DI838"/>
      <c r="DJ838"/>
      <c r="DK838"/>
      <c r="DL838"/>
      <c r="DM838"/>
      <c r="DN838"/>
      <c r="DO838"/>
      <c r="DP838"/>
      <c r="DQ838"/>
      <c r="DR838"/>
      <c r="DS838"/>
      <c r="DT838"/>
      <c r="DU838"/>
      <c r="DV838"/>
      <c r="DW838"/>
      <c r="DX838"/>
      <c r="DY838"/>
      <c r="DZ838"/>
      <c r="EA838"/>
      <c r="EB838"/>
      <c r="EC838"/>
      <c r="ED838"/>
      <c r="EE838"/>
      <c r="EF838"/>
      <c r="EG838"/>
      <c r="EH838"/>
      <c r="EI838"/>
      <c r="EJ838"/>
      <c r="EK838"/>
      <c r="EL838"/>
      <c r="EM838"/>
      <c r="EN838"/>
      <c r="EO838"/>
      <c r="EP838"/>
      <c r="EQ838"/>
      <c r="ER838"/>
      <c r="ES838"/>
      <c r="ET838"/>
      <c r="EU838"/>
      <c r="EV838"/>
      <c r="EW838"/>
      <c r="EX838"/>
      <c r="EY838"/>
      <c r="EZ838"/>
      <c r="FA838"/>
      <c r="FB838"/>
      <c r="FC838"/>
      <c r="FD838"/>
      <c r="FE838"/>
      <c r="FF838"/>
      <c r="FG838"/>
      <c r="FH838"/>
      <c r="FI838"/>
      <c r="FJ838"/>
      <c r="FK838"/>
      <c r="FL838"/>
      <c r="FM838"/>
      <c r="FN838"/>
      <c r="FO838"/>
      <c r="FP838"/>
      <c r="FQ838"/>
      <c r="FR838"/>
      <c r="FS838"/>
      <c r="FT838"/>
      <c r="FU838"/>
      <c r="FV838"/>
      <c r="FW838"/>
      <c r="FX838"/>
      <c r="FY838"/>
      <c r="FZ838"/>
      <c r="GA838"/>
      <c r="GB838"/>
      <c r="GC838"/>
      <c r="GD838"/>
      <c r="GE838"/>
      <c r="GF838"/>
      <c r="GG838"/>
      <c r="GH838"/>
      <c r="GI838"/>
      <c r="GJ838"/>
      <c r="GK838"/>
      <c r="GL838"/>
      <c r="GM838"/>
      <c r="GN838"/>
      <c r="GO838"/>
      <c r="GP838"/>
      <c r="GQ838"/>
      <c r="GR838"/>
      <c r="GS838"/>
      <c r="GT838"/>
      <c r="GU838"/>
      <c r="GV838"/>
      <c r="GW838"/>
      <c r="GX838"/>
      <c r="GY838"/>
      <c r="GZ838"/>
      <c r="HA838"/>
      <c r="HB838"/>
      <c r="HC838"/>
      <c r="HD838"/>
      <c r="HE838"/>
      <c r="HF838"/>
      <c r="HG838"/>
      <c r="HH838"/>
      <c r="HI838"/>
      <c r="HJ838"/>
      <c r="HK838"/>
      <c r="HL838"/>
      <c r="HM838"/>
      <c r="HN838"/>
      <c r="HO838"/>
      <c r="HP838"/>
      <c r="HQ838"/>
      <c r="HR838"/>
      <c r="HS838"/>
      <c r="HT838"/>
      <c r="HU838"/>
      <c r="HV838"/>
      <c r="HW838"/>
      <c r="HX838"/>
      <c r="HY838"/>
      <c r="HZ838"/>
      <c r="IA838"/>
      <c r="IB838"/>
      <c r="IC838"/>
      <c r="ID838"/>
      <c r="IE838"/>
      <c r="IF838"/>
      <c r="IG838"/>
      <c r="IH838"/>
      <c r="II838"/>
      <c r="IJ838"/>
      <c r="IK838"/>
      <c r="IL838"/>
      <c r="IM838"/>
      <c r="IN838"/>
      <c r="IO838"/>
      <c r="IP838"/>
      <c r="IQ838"/>
      <c r="IR838"/>
      <c r="IS838"/>
      <c r="IT838"/>
      <c r="IU838"/>
      <c r="IV838"/>
      <c r="IW838"/>
      <c r="IX838"/>
      <c r="IY838"/>
      <c r="IZ838"/>
      <c r="JA838"/>
      <c r="JB838"/>
      <c r="JC838"/>
      <c r="JD838"/>
      <c r="JE838"/>
      <c r="JF838"/>
      <c r="JG838"/>
      <c r="JH838"/>
      <c r="JI838"/>
      <c r="JJ838"/>
      <c r="JK838"/>
      <c r="JL838"/>
      <c r="JM838"/>
      <c r="JN838"/>
      <c r="JO838"/>
      <c r="JP838"/>
      <c r="JQ838"/>
      <c r="JR838"/>
      <c r="JS838"/>
      <c r="JT838"/>
      <c r="JU838"/>
      <c r="JV838"/>
      <c r="JW838"/>
      <c r="JX838"/>
      <c r="JY838"/>
      <c r="JZ838"/>
      <c r="KA838"/>
      <c r="KB838"/>
      <c r="KC838"/>
      <c r="KD838"/>
      <c r="KE838"/>
      <c r="KF838"/>
      <c r="KG838"/>
      <c r="KH838"/>
      <c r="KI838"/>
      <c r="KJ838"/>
      <c r="KK838"/>
      <c r="KL838"/>
      <c r="KM838"/>
      <c r="KN838"/>
      <c r="KO838"/>
      <c r="KP838"/>
      <c r="KQ838"/>
      <c r="KR838"/>
      <c r="KS838"/>
      <c r="KT838"/>
      <c r="KU838"/>
      <c r="KV838"/>
      <c r="KW838"/>
      <c r="KX838"/>
      <c r="KY838"/>
      <c r="KZ838"/>
      <c r="LA838"/>
      <c r="LB838"/>
      <c r="LC838"/>
      <c r="LD838"/>
      <c r="LE838"/>
      <c r="LF838"/>
      <c r="LG838"/>
      <c r="LH838"/>
      <c r="LI838"/>
      <c r="LJ838"/>
      <c r="LK838"/>
      <c r="LL838"/>
      <c r="LM838"/>
      <c r="LN838"/>
      <c r="LO838"/>
      <c r="LP838"/>
      <c r="LQ838"/>
      <c r="LR838"/>
      <c r="LS838"/>
      <c r="LT838"/>
      <c r="LU838"/>
      <c r="LV838"/>
      <c r="LW838"/>
      <c r="LX838"/>
      <c r="LY838"/>
      <c r="LZ838"/>
      <c r="MA838"/>
      <c r="MB838"/>
      <c r="MC838"/>
      <c r="MD838"/>
      <c r="ME838"/>
      <c r="MF838"/>
      <c r="MG838"/>
      <c r="MH838"/>
      <c r="MI838"/>
      <c r="MJ838"/>
      <c r="MK838"/>
      <c r="ML838"/>
      <c r="MM838"/>
      <c r="MN838"/>
      <c r="MO838"/>
      <c r="MP838"/>
      <c r="MQ838"/>
      <c r="MR838"/>
      <c r="MS838"/>
      <c r="MT838"/>
      <c r="MU838"/>
      <c r="MV838"/>
      <c r="MW838"/>
      <c r="MX838"/>
      <c r="MY838"/>
      <c r="MZ838"/>
      <c r="NA838"/>
      <c r="NB838"/>
      <c r="NC838"/>
      <c r="ND838"/>
      <c r="NE838"/>
      <c r="NF838"/>
      <c r="NG838"/>
      <c r="NH838"/>
      <c r="NI838"/>
      <c r="NJ838"/>
      <c r="NK838"/>
      <c r="NL838"/>
      <c r="NM838"/>
      <c r="NN838"/>
      <c r="NO838"/>
      <c r="NP838"/>
      <c r="NQ838"/>
      <c r="NR838"/>
      <c r="NS838"/>
      <c r="NT838"/>
      <c r="NU838"/>
      <c r="NV838"/>
      <c r="NW838"/>
      <c r="NX838"/>
      <c r="NY838"/>
      <c r="NZ838"/>
      <c r="OA838"/>
      <c r="OB838"/>
      <c r="OC838"/>
      <c r="OD838"/>
      <c r="OE838"/>
      <c r="OF838"/>
      <c r="OG838"/>
      <c r="OH838"/>
      <c r="OI838"/>
      <c r="OJ838"/>
      <c r="OK838"/>
      <c r="OL838"/>
      <c r="OM838"/>
      <c r="ON838"/>
      <c r="OO838"/>
      <c r="OP838"/>
      <c r="OQ838"/>
      <c r="OR838"/>
      <c r="OS838"/>
      <c r="OT838"/>
      <c r="OU838"/>
      <c r="OV838"/>
      <c r="OW838"/>
      <c r="OX838"/>
      <c r="OY838"/>
      <c r="OZ838"/>
      <c r="PA838"/>
      <c r="PB838"/>
      <c r="PC838"/>
      <c r="PD838"/>
      <c r="PE838"/>
      <c r="PF838"/>
      <c r="PG838"/>
      <c r="PH838"/>
      <c r="PI838"/>
      <c r="PJ838"/>
      <c r="PK838"/>
      <c r="PL838"/>
      <c r="PM838"/>
      <c r="PN838"/>
      <c r="PO838"/>
      <c r="PP838"/>
      <c r="PQ838"/>
      <c r="PR838"/>
      <c r="PS838"/>
      <c r="PT838"/>
      <c r="PU838"/>
      <c r="PV838"/>
      <c r="PW838"/>
      <c r="PX838"/>
      <c r="PY838"/>
      <c r="PZ838"/>
      <c r="QA838"/>
      <c r="QB838"/>
      <c r="QC838"/>
      <c r="QD838"/>
      <c r="QE838"/>
      <c r="QF838"/>
      <c r="QG838"/>
      <c r="QH838"/>
      <c r="QI838"/>
      <c r="QJ838"/>
      <c r="QK838"/>
      <c r="QL838"/>
      <c r="QM838"/>
      <c r="QN838"/>
      <c r="QO838"/>
      <c r="QP838"/>
      <c r="QQ838"/>
      <c r="QR838"/>
      <c r="QS838"/>
      <c r="QT838"/>
      <c r="QU838"/>
      <c r="QV838"/>
      <c r="QW838"/>
      <c r="QX838"/>
      <c r="QY838"/>
      <c r="QZ838"/>
      <c r="RA838"/>
      <c r="RB838"/>
      <c r="RC838"/>
      <c r="RD838"/>
      <c r="RE838"/>
      <c r="RF838"/>
      <c r="RG838"/>
      <c r="RH838"/>
      <c r="RI838"/>
      <c r="RJ838"/>
      <c r="RK838"/>
      <c r="RL838"/>
      <c r="RM838"/>
      <c r="RN838"/>
      <c r="RO838"/>
      <c r="RP838"/>
      <c r="RQ838"/>
      <c r="RR838"/>
      <c r="RS838"/>
      <c r="RT838"/>
      <c r="RU838"/>
      <c r="RV838"/>
      <c r="RW838"/>
      <c r="RX838"/>
      <c r="RY838"/>
      <c r="RZ838"/>
      <c r="SA838"/>
      <c r="SB838"/>
      <c r="SC838"/>
      <c r="SD838"/>
      <c r="SE838"/>
      <c r="SF838"/>
      <c r="SG838"/>
      <c r="SH838"/>
      <c r="SI838"/>
      <c r="SJ838"/>
      <c r="SK838"/>
      <c r="SL838"/>
      <c r="SM838"/>
      <c r="SN838"/>
      <c r="SO838"/>
      <c r="SP838"/>
      <c r="SQ838"/>
      <c r="SR838"/>
      <c r="SS838"/>
      <c r="ST838"/>
      <c r="SU838"/>
      <c r="SV838"/>
      <c r="SW838"/>
      <c r="SX838"/>
      <c r="SY838"/>
      <c r="SZ838"/>
      <c r="TA838"/>
      <c r="TB838"/>
      <c r="TC838"/>
      <c r="TD838"/>
      <c r="TE838"/>
      <c r="TF838"/>
      <c r="TG838"/>
      <c r="TH838"/>
      <c r="TI838"/>
      <c r="TJ838"/>
      <c r="TK838"/>
      <c r="TL838"/>
      <c r="TM838"/>
      <c r="TN838"/>
      <c r="TO838"/>
      <c r="TP838"/>
      <c r="TQ838"/>
      <c r="TR838"/>
      <c r="TS838"/>
      <c r="TT838"/>
      <c r="TU838"/>
      <c r="TV838"/>
      <c r="TW838"/>
      <c r="TX838"/>
      <c r="TY838"/>
      <c r="TZ838"/>
      <c r="UA838"/>
      <c r="UB838"/>
      <c r="UC838"/>
      <c r="UD838"/>
      <c r="UE838"/>
      <c r="UF838"/>
      <c r="UG838"/>
      <c r="UH838"/>
      <c r="UI838"/>
      <c r="UJ838"/>
      <c r="UK838"/>
      <c r="UL838"/>
      <c r="UM838"/>
      <c r="UN838"/>
      <c r="UO838"/>
      <c r="UP838"/>
      <c r="UQ838"/>
      <c r="UR838"/>
      <c r="US838"/>
      <c r="UT838"/>
      <c r="UU838"/>
      <c r="UV838"/>
      <c r="UW838"/>
      <c r="UX838"/>
      <c r="UY838"/>
      <c r="UZ838"/>
      <c r="VA838"/>
      <c r="VB838"/>
      <c r="VC838"/>
      <c r="VD838"/>
      <c r="VE838"/>
      <c r="VF838"/>
      <c r="VG838"/>
      <c r="VH838"/>
      <c r="VI838"/>
      <c r="VJ838"/>
      <c r="VK838"/>
      <c r="VL838"/>
      <c r="VM838"/>
      <c r="VN838"/>
      <c r="VO838"/>
      <c r="VP838"/>
      <c r="VQ838"/>
      <c r="VR838"/>
      <c r="VS838"/>
      <c r="VT838"/>
      <c r="VU838"/>
      <c r="VV838"/>
      <c r="VW838"/>
      <c r="VX838"/>
      <c r="VY838"/>
      <c r="VZ838"/>
      <c r="WA838"/>
      <c r="WB838"/>
      <c r="WC838"/>
      <c r="WD838"/>
      <c r="WE838"/>
      <c r="WF838"/>
      <c r="WG838"/>
      <c r="WH838"/>
      <c r="WI838"/>
      <c r="WJ838"/>
      <c r="WK838"/>
      <c r="WL838"/>
      <c r="WM838"/>
      <c r="WN838"/>
      <c r="WO838"/>
      <c r="WP838"/>
      <c r="WQ838"/>
      <c r="WR838"/>
      <c r="WS838"/>
      <c r="WT838"/>
      <c r="WU838"/>
      <c r="WV838"/>
      <c r="WW838"/>
      <c r="WX838"/>
      <c r="WY838"/>
      <c r="WZ838"/>
      <c r="XA838"/>
      <c r="XB838"/>
      <c r="XC838"/>
      <c r="XD838"/>
      <c r="XE838"/>
      <c r="XF838"/>
      <c r="XG838"/>
      <c r="XH838"/>
      <c r="XI838"/>
      <c r="XJ838"/>
      <c r="XK838"/>
      <c r="XL838"/>
      <c r="XM838"/>
      <c r="XN838"/>
      <c r="XO838"/>
      <c r="XP838"/>
      <c r="XQ838"/>
      <c r="XR838"/>
      <c r="XS838"/>
      <c r="XT838"/>
      <c r="XU838"/>
      <c r="XV838"/>
      <c r="XW838"/>
      <c r="XX838"/>
      <c r="XY838"/>
      <c r="XZ838"/>
      <c r="YA838"/>
      <c r="YB838"/>
      <c r="YC838"/>
      <c r="YD838"/>
      <c r="YE838"/>
      <c r="YF838"/>
      <c r="YG838"/>
      <c r="YH838"/>
      <c r="YI838"/>
      <c r="YJ838"/>
      <c r="YK838"/>
      <c r="YL838"/>
      <c r="YM838"/>
      <c r="YN838"/>
      <c r="YO838"/>
      <c r="YP838"/>
      <c r="YQ838"/>
      <c r="YR838"/>
      <c r="YS838"/>
      <c r="YT838"/>
      <c r="YU838"/>
      <c r="YV838"/>
      <c r="YW838"/>
      <c r="YX838"/>
      <c r="YY838"/>
      <c r="YZ838"/>
      <c r="ZA838"/>
      <c r="ZB838"/>
      <c r="ZC838"/>
      <c r="ZD838"/>
      <c r="ZE838"/>
      <c r="ZF838"/>
      <c r="ZG838"/>
      <c r="ZH838"/>
      <c r="ZI838"/>
      <c r="ZJ838"/>
      <c r="ZK838"/>
      <c r="ZL838"/>
      <c r="ZM838"/>
      <c r="ZN838"/>
      <c r="ZO838"/>
      <c r="ZP838"/>
      <c r="ZQ838"/>
      <c r="ZR838"/>
      <c r="ZS838"/>
      <c r="ZT838"/>
      <c r="ZU838"/>
      <c r="ZV838"/>
      <c r="ZW838"/>
      <c r="ZX838"/>
      <c r="ZY838"/>
      <c r="ZZ838"/>
      <c r="AAA838"/>
      <c r="AAB838"/>
      <c r="AAC838"/>
      <c r="AAD838"/>
      <c r="AAE838"/>
      <c r="AAF838"/>
      <c r="AAG838"/>
      <c r="AAH838"/>
      <c r="AAI838"/>
      <c r="AAJ838"/>
      <c r="AAK838"/>
      <c r="AAL838"/>
      <c r="AAM838"/>
      <c r="AAN838"/>
      <c r="AAO838"/>
      <c r="AAP838"/>
      <c r="AAQ838"/>
      <c r="AAR838"/>
      <c r="AAS838"/>
      <c r="AAT838"/>
      <c r="AAU838"/>
      <c r="AAV838"/>
      <c r="AAW838"/>
      <c r="AAX838"/>
      <c r="AAY838"/>
      <c r="AAZ838"/>
      <c r="ABA838"/>
      <c r="ABB838"/>
      <c r="ABC838"/>
      <c r="ABD838"/>
      <c r="ABE838"/>
      <c r="ABF838"/>
      <c r="ABG838"/>
      <c r="ABH838"/>
      <c r="ABI838"/>
      <c r="ABJ838"/>
      <c r="ABK838"/>
      <c r="ABL838"/>
      <c r="ABM838"/>
      <c r="ABN838"/>
      <c r="ABO838"/>
      <c r="ABP838"/>
      <c r="ABQ838"/>
      <c r="ABR838"/>
      <c r="ABS838"/>
      <c r="ABT838"/>
      <c r="ABU838"/>
      <c r="ABV838"/>
      <c r="ABW838"/>
      <c r="ABX838"/>
      <c r="ABY838"/>
      <c r="ABZ838"/>
      <c r="ACA838"/>
      <c r="ACB838"/>
      <c r="ACC838"/>
      <c r="ACD838"/>
      <c r="ACE838"/>
      <c r="ACF838"/>
      <c r="ACG838"/>
      <c r="ACH838"/>
      <c r="ACI838"/>
      <c r="ACJ838"/>
      <c r="ACK838"/>
      <c r="ACL838"/>
      <c r="ACM838"/>
      <c r="ACN838"/>
      <c r="ACO838"/>
      <c r="ACP838"/>
      <c r="ACQ838"/>
      <c r="ACR838"/>
      <c r="ACS838"/>
      <c r="ACT838"/>
      <c r="ACU838"/>
      <c r="ACV838"/>
      <c r="ACW838"/>
      <c r="ACX838"/>
      <c r="ACY838"/>
      <c r="ACZ838"/>
      <c r="ADA838"/>
      <c r="ADB838"/>
      <c r="ADC838"/>
      <c r="ADD838"/>
      <c r="ADE838"/>
      <c r="ADF838"/>
      <c r="ADG838"/>
      <c r="ADH838"/>
      <c r="ADI838"/>
      <c r="ADJ838"/>
      <c r="ADK838"/>
      <c r="ADL838"/>
      <c r="ADM838"/>
      <c r="ADN838"/>
      <c r="ADO838"/>
      <c r="ADP838"/>
      <c r="ADQ838"/>
      <c r="ADR838"/>
      <c r="ADS838"/>
      <c r="ADT838"/>
      <c r="ADU838"/>
      <c r="ADV838"/>
      <c r="ADW838"/>
      <c r="ADX838"/>
      <c r="ADY838"/>
      <c r="ADZ838"/>
      <c r="AEA838"/>
      <c r="AEB838"/>
      <c r="AEC838"/>
      <c r="AED838"/>
      <c r="AEE838"/>
      <c r="AEF838"/>
      <c r="AEG838"/>
      <c r="AEH838"/>
      <c r="AEI838"/>
      <c r="AEJ838"/>
      <c r="AEK838"/>
      <c r="AEL838"/>
      <c r="AEM838"/>
      <c r="AEN838"/>
      <c r="AEO838"/>
      <c r="AEP838"/>
      <c r="AEQ838"/>
      <c r="AER838"/>
      <c r="AES838"/>
      <c r="AET838"/>
      <c r="AEU838"/>
      <c r="AEV838"/>
      <c r="AEW838"/>
      <c r="AEX838"/>
      <c r="AEY838"/>
      <c r="AEZ838"/>
      <c r="AFA838"/>
      <c r="AFB838"/>
      <c r="AFC838"/>
      <c r="AFD838"/>
      <c r="AFE838"/>
      <c r="AFF838"/>
      <c r="AFG838"/>
      <c r="AFH838"/>
      <c r="AFI838"/>
      <c r="AFJ838"/>
      <c r="AFK838"/>
      <c r="AFL838"/>
      <c r="AFM838"/>
      <c r="AFN838"/>
      <c r="AFO838"/>
      <c r="AFP838"/>
      <c r="AFQ838"/>
      <c r="AFR838"/>
      <c r="AFS838"/>
      <c r="AFT838"/>
      <c r="AFU838"/>
      <c r="AFV838"/>
      <c r="AFW838"/>
      <c r="AFX838"/>
      <c r="AFY838"/>
      <c r="AFZ838"/>
      <c r="AGA838"/>
      <c r="AGB838"/>
      <c r="AGC838"/>
      <c r="AGD838"/>
      <c r="AGE838"/>
      <c r="AGF838"/>
      <c r="AGG838"/>
      <c r="AGH838"/>
      <c r="AGI838"/>
      <c r="AGJ838"/>
      <c r="AGK838"/>
      <c r="AGL838"/>
      <c r="AGM838"/>
      <c r="AGN838"/>
      <c r="AGO838"/>
      <c r="AGP838"/>
      <c r="AGQ838"/>
      <c r="AGR838"/>
      <c r="AGS838"/>
      <c r="AGT838"/>
      <c r="AGU838"/>
      <c r="AGV838"/>
      <c r="AGW838"/>
      <c r="AGX838"/>
      <c r="AGY838"/>
      <c r="AGZ838"/>
      <c r="AHA838"/>
      <c r="AHB838"/>
      <c r="AHC838"/>
      <c r="AHD838"/>
      <c r="AHE838"/>
      <c r="AHF838"/>
      <c r="AHG838"/>
      <c r="AHH838"/>
      <c r="AHI838"/>
      <c r="AHJ838"/>
      <c r="AHK838"/>
      <c r="AHL838"/>
      <c r="AHM838"/>
      <c r="AHN838"/>
      <c r="AHO838"/>
      <c r="AHP838"/>
      <c r="AHQ838"/>
      <c r="AHR838"/>
      <c r="AHS838"/>
      <c r="AHT838"/>
      <c r="AHU838"/>
      <c r="AHV838"/>
      <c r="AHW838"/>
      <c r="AHX838"/>
      <c r="AHY838"/>
      <c r="AHZ838"/>
      <c r="AIA838"/>
      <c r="AIB838"/>
      <c r="AIC838"/>
      <c r="AID838"/>
      <c r="AIE838"/>
      <c r="AIF838"/>
      <c r="AIG838"/>
      <c r="AIH838"/>
      <c r="AII838"/>
      <c r="AIJ838"/>
      <c r="AIK838"/>
      <c r="AIL838"/>
      <c r="AIM838"/>
      <c r="AIN838"/>
      <c r="AIO838"/>
      <c r="AIP838"/>
      <c r="AIQ838"/>
      <c r="AIR838"/>
      <c r="AIS838"/>
      <c r="AIT838"/>
      <c r="AIU838"/>
      <c r="AIV838"/>
      <c r="AIW838"/>
      <c r="AIX838"/>
      <c r="AIY838"/>
      <c r="AIZ838"/>
      <c r="AJA838"/>
      <c r="AJB838"/>
      <c r="AJC838"/>
      <c r="AJD838"/>
      <c r="AJE838"/>
      <c r="AJF838"/>
      <c r="AJG838"/>
      <c r="AJH838"/>
      <c r="AJI838"/>
      <c r="AJJ838"/>
      <c r="AJK838"/>
      <c r="AJL838"/>
      <c r="AJM838"/>
      <c r="AJN838"/>
      <c r="AJO838"/>
      <c r="AJP838"/>
      <c r="AJQ838"/>
      <c r="AJR838"/>
      <c r="AJS838"/>
      <c r="AJT838"/>
      <c r="AJU838"/>
      <c r="AJV838"/>
      <c r="AJW838"/>
      <c r="AJX838"/>
      <c r="AJY838"/>
      <c r="AJZ838"/>
      <c r="AKA838"/>
      <c r="AKB838"/>
      <c r="AKC838"/>
      <c r="AKD838"/>
      <c r="AKE838"/>
      <c r="AKF838"/>
      <c r="AKG838"/>
      <c r="AKH838"/>
      <c r="AKI838"/>
      <c r="AKJ838"/>
      <c r="AKK838"/>
      <c r="AKL838"/>
      <c r="AKM838"/>
      <c r="AKN838"/>
      <c r="AKO838"/>
      <c r="AKP838"/>
      <c r="AKQ838"/>
      <c r="AKR838"/>
      <c r="AKS838"/>
      <c r="AKT838"/>
      <c r="AKU838"/>
      <c r="AKV838"/>
      <c r="AKW838"/>
      <c r="AKX838"/>
      <c r="AKY838"/>
      <c r="AKZ838"/>
      <c r="ALA838"/>
      <c r="ALB838"/>
      <c r="ALC838"/>
      <c r="ALD838"/>
      <c r="ALE838"/>
      <c r="ALF838"/>
      <c r="ALG838"/>
      <c r="ALH838"/>
      <c r="ALI838"/>
      <c r="ALJ838"/>
      <c r="ALK838"/>
      <c r="ALL838"/>
      <c r="ALM838"/>
      <c r="ALN838"/>
      <c r="ALO838"/>
      <c r="ALP838"/>
      <c r="ALQ838"/>
      <c r="ALR838"/>
      <c r="ALS838"/>
      <c r="ALT838"/>
    </row>
    <row r="839" spans="1:1008" x14ac:dyDescent="0.15">
      <c r="A839" s="8" t="s">
        <v>2894</v>
      </c>
      <c r="B839" s="8" t="s">
        <v>2889</v>
      </c>
      <c r="C839" s="8" t="str">
        <f t="shared" si="12"/>
        <v>metal</v>
      </c>
      <c r="D839" s="9" t="s">
        <v>15</v>
      </c>
      <c r="E839" s="8" t="s">
        <v>2895</v>
      </c>
      <c r="F839" s="8" t="s">
        <v>2896</v>
      </c>
      <c r="G839" s="8">
        <v>500</v>
      </c>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c r="CA839"/>
      <c r="CB839"/>
      <c r="CC839"/>
      <c r="CD839"/>
      <c r="CE839"/>
      <c r="CF839"/>
      <c r="CG839"/>
      <c r="CH839"/>
      <c r="CI839"/>
      <c r="CJ839"/>
      <c r="CK839"/>
      <c r="CL839"/>
      <c r="CM839"/>
      <c r="CN839"/>
      <c r="CO839"/>
      <c r="CP839"/>
      <c r="CQ839"/>
      <c r="CR839"/>
      <c r="CS839"/>
      <c r="CT839"/>
      <c r="CU839"/>
      <c r="CV839"/>
      <c r="CW839"/>
      <c r="CX839"/>
      <c r="CY839"/>
      <c r="CZ839"/>
      <c r="DA839"/>
      <c r="DB839"/>
      <c r="DC839"/>
      <c r="DD839"/>
      <c r="DE839"/>
      <c r="DF839"/>
      <c r="DG839"/>
      <c r="DH839"/>
      <c r="DI839"/>
      <c r="DJ839"/>
      <c r="DK839"/>
      <c r="DL839"/>
      <c r="DM839"/>
      <c r="DN839"/>
      <c r="DO839"/>
      <c r="DP839"/>
      <c r="DQ839"/>
      <c r="DR839"/>
      <c r="DS839"/>
      <c r="DT839"/>
      <c r="DU839"/>
      <c r="DV839"/>
      <c r="DW839"/>
      <c r="DX839"/>
      <c r="DY839"/>
      <c r="DZ839"/>
      <c r="EA839"/>
      <c r="EB839"/>
      <c r="EC839"/>
      <c r="ED839"/>
      <c r="EE839"/>
      <c r="EF839"/>
      <c r="EG839"/>
      <c r="EH839"/>
      <c r="EI839"/>
      <c r="EJ839"/>
      <c r="EK839"/>
      <c r="EL839"/>
      <c r="EM839"/>
      <c r="EN839"/>
      <c r="EO839"/>
      <c r="EP839"/>
      <c r="EQ839"/>
      <c r="ER839"/>
      <c r="ES839"/>
      <c r="ET839"/>
      <c r="EU839"/>
      <c r="EV839"/>
      <c r="EW839"/>
      <c r="EX839"/>
      <c r="EY839"/>
      <c r="EZ839"/>
      <c r="FA839"/>
      <c r="FB839"/>
      <c r="FC839"/>
      <c r="FD839"/>
      <c r="FE839"/>
      <c r="FF839"/>
      <c r="FG839"/>
      <c r="FH839"/>
      <c r="FI839"/>
      <c r="FJ839"/>
      <c r="FK839"/>
      <c r="FL839"/>
      <c r="FM839"/>
      <c r="FN839"/>
      <c r="FO839"/>
      <c r="FP839"/>
      <c r="FQ839"/>
      <c r="FR839"/>
      <c r="FS839"/>
      <c r="FT839"/>
      <c r="FU839"/>
      <c r="FV839"/>
      <c r="FW839"/>
      <c r="FX839"/>
      <c r="FY839"/>
      <c r="FZ839"/>
      <c r="GA839"/>
      <c r="GB839"/>
      <c r="GC839"/>
      <c r="GD839"/>
      <c r="GE839"/>
      <c r="GF839"/>
      <c r="GG839"/>
      <c r="GH839"/>
      <c r="GI839"/>
      <c r="GJ839"/>
      <c r="GK839"/>
      <c r="GL839"/>
      <c r="GM839"/>
      <c r="GN839"/>
      <c r="GO839"/>
      <c r="GP839"/>
      <c r="GQ839"/>
      <c r="GR839"/>
      <c r="GS839"/>
      <c r="GT839"/>
      <c r="GU839"/>
      <c r="GV839"/>
      <c r="GW839"/>
      <c r="GX839"/>
      <c r="GY839"/>
      <c r="GZ839"/>
      <c r="HA839"/>
      <c r="HB839"/>
      <c r="HC839"/>
      <c r="HD839"/>
      <c r="HE839"/>
      <c r="HF839"/>
      <c r="HG839"/>
      <c r="HH839"/>
      <c r="HI839"/>
      <c r="HJ839"/>
      <c r="HK839"/>
      <c r="HL839"/>
      <c r="HM839"/>
      <c r="HN839"/>
      <c r="HO839"/>
      <c r="HP839"/>
      <c r="HQ839"/>
      <c r="HR839"/>
      <c r="HS839"/>
      <c r="HT839"/>
      <c r="HU839"/>
      <c r="HV839"/>
      <c r="HW839"/>
      <c r="HX839"/>
      <c r="HY839"/>
      <c r="HZ839"/>
      <c r="IA839"/>
      <c r="IB839"/>
      <c r="IC839"/>
      <c r="ID839"/>
      <c r="IE839"/>
      <c r="IF839"/>
      <c r="IG839"/>
      <c r="IH839"/>
      <c r="II839"/>
      <c r="IJ839"/>
      <c r="IK839"/>
      <c r="IL839"/>
      <c r="IM839"/>
      <c r="IN839"/>
      <c r="IO839"/>
      <c r="IP839"/>
      <c r="IQ839"/>
      <c r="IR839"/>
      <c r="IS839"/>
      <c r="IT839"/>
      <c r="IU839"/>
      <c r="IV839"/>
      <c r="IW839"/>
      <c r="IX839"/>
      <c r="IY839"/>
      <c r="IZ839"/>
      <c r="JA839"/>
      <c r="JB839"/>
      <c r="JC839"/>
      <c r="JD839"/>
      <c r="JE839"/>
      <c r="JF839"/>
      <c r="JG839"/>
      <c r="JH839"/>
      <c r="JI839"/>
      <c r="JJ839"/>
      <c r="JK839"/>
      <c r="JL839"/>
      <c r="JM839"/>
      <c r="JN839"/>
      <c r="JO839"/>
      <c r="JP839"/>
      <c r="JQ839"/>
      <c r="JR839"/>
      <c r="JS839"/>
      <c r="JT839"/>
      <c r="JU839"/>
      <c r="JV839"/>
      <c r="JW839"/>
      <c r="JX839"/>
      <c r="JY839"/>
      <c r="JZ839"/>
      <c r="KA839"/>
      <c r="KB839"/>
      <c r="KC839"/>
      <c r="KD839"/>
      <c r="KE839"/>
      <c r="KF839"/>
      <c r="KG839"/>
      <c r="KH839"/>
      <c r="KI839"/>
      <c r="KJ839"/>
      <c r="KK839"/>
      <c r="KL839"/>
      <c r="KM839"/>
      <c r="KN839"/>
      <c r="KO839"/>
      <c r="KP839"/>
      <c r="KQ839"/>
      <c r="KR839"/>
      <c r="KS839"/>
      <c r="KT839"/>
      <c r="KU839"/>
      <c r="KV839"/>
      <c r="KW839"/>
      <c r="KX839"/>
      <c r="KY839"/>
      <c r="KZ839"/>
      <c r="LA839"/>
      <c r="LB839"/>
      <c r="LC839"/>
      <c r="LD839"/>
      <c r="LE839"/>
      <c r="LF839"/>
      <c r="LG839"/>
      <c r="LH839"/>
      <c r="LI839"/>
      <c r="LJ839"/>
      <c r="LK839"/>
      <c r="LL839"/>
      <c r="LM839"/>
      <c r="LN839"/>
      <c r="LO839"/>
      <c r="LP839"/>
      <c r="LQ839"/>
      <c r="LR839"/>
      <c r="LS839"/>
      <c r="LT839"/>
      <c r="LU839"/>
      <c r="LV839"/>
      <c r="LW839"/>
      <c r="LX839"/>
      <c r="LY839"/>
      <c r="LZ839"/>
      <c r="MA839"/>
      <c r="MB839"/>
      <c r="MC839"/>
      <c r="MD839"/>
      <c r="ME839"/>
      <c r="MF839"/>
      <c r="MG839"/>
      <c r="MH839"/>
      <c r="MI839"/>
      <c r="MJ839"/>
      <c r="MK839"/>
      <c r="ML839"/>
      <c r="MM839"/>
      <c r="MN839"/>
      <c r="MO839"/>
      <c r="MP839"/>
      <c r="MQ839"/>
      <c r="MR839"/>
      <c r="MS839"/>
      <c r="MT839"/>
      <c r="MU839"/>
      <c r="MV839"/>
      <c r="MW839"/>
      <c r="MX839"/>
      <c r="MY839"/>
      <c r="MZ839"/>
      <c r="NA839"/>
      <c r="NB839"/>
      <c r="NC839"/>
      <c r="ND839"/>
      <c r="NE839"/>
      <c r="NF839"/>
      <c r="NG839"/>
      <c r="NH839"/>
      <c r="NI839"/>
      <c r="NJ839"/>
      <c r="NK839"/>
      <c r="NL839"/>
      <c r="NM839"/>
      <c r="NN839"/>
      <c r="NO839"/>
      <c r="NP839"/>
      <c r="NQ839"/>
      <c r="NR839"/>
      <c r="NS839"/>
      <c r="NT839"/>
      <c r="NU839"/>
      <c r="NV839"/>
      <c r="NW839"/>
      <c r="NX839"/>
      <c r="NY839"/>
      <c r="NZ839"/>
      <c r="OA839"/>
      <c r="OB839"/>
      <c r="OC839"/>
      <c r="OD839"/>
      <c r="OE839"/>
      <c r="OF839"/>
      <c r="OG839"/>
      <c r="OH839"/>
      <c r="OI839"/>
      <c r="OJ839"/>
      <c r="OK839"/>
      <c r="OL839"/>
      <c r="OM839"/>
      <c r="ON839"/>
      <c r="OO839"/>
      <c r="OP839"/>
      <c r="OQ839"/>
      <c r="OR839"/>
      <c r="OS839"/>
      <c r="OT839"/>
      <c r="OU839"/>
      <c r="OV839"/>
      <c r="OW839"/>
      <c r="OX839"/>
      <c r="OY839"/>
      <c r="OZ839"/>
      <c r="PA839"/>
      <c r="PB839"/>
      <c r="PC839"/>
      <c r="PD839"/>
      <c r="PE839"/>
      <c r="PF839"/>
      <c r="PG839"/>
      <c r="PH839"/>
      <c r="PI839"/>
      <c r="PJ839"/>
      <c r="PK839"/>
      <c r="PL839"/>
      <c r="PM839"/>
      <c r="PN839"/>
      <c r="PO839"/>
      <c r="PP839"/>
      <c r="PQ839"/>
      <c r="PR839"/>
      <c r="PS839"/>
      <c r="PT839"/>
      <c r="PU839"/>
      <c r="PV839"/>
      <c r="PW839"/>
      <c r="PX839"/>
      <c r="PY839"/>
      <c r="PZ839"/>
      <c r="QA839"/>
      <c r="QB839"/>
      <c r="QC839"/>
      <c r="QD839"/>
      <c r="QE839"/>
      <c r="QF839"/>
      <c r="QG839"/>
      <c r="QH839"/>
      <c r="QI839"/>
      <c r="QJ839"/>
      <c r="QK839"/>
      <c r="QL839"/>
      <c r="QM839"/>
      <c r="QN839"/>
      <c r="QO839"/>
      <c r="QP839"/>
      <c r="QQ839"/>
      <c r="QR839"/>
      <c r="QS839"/>
      <c r="QT839"/>
      <c r="QU839"/>
      <c r="QV839"/>
      <c r="QW839"/>
      <c r="QX839"/>
      <c r="QY839"/>
      <c r="QZ839"/>
      <c r="RA839"/>
      <c r="RB839"/>
      <c r="RC839"/>
      <c r="RD839"/>
      <c r="RE839"/>
      <c r="RF839"/>
      <c r="RG839"/>
      <c r="RH839"/>
      <c r="RI839"/>
      <c r="RJ839"/>
      <c r="RK839"/>
      <c r="RL839"/>
      <c r="RM839"/>
      <c r="RN839"/>
      <c r="RO839"/>
      <c r="RP839"/>
      <c r="RQ839"/>
      <c r="RR839"/>
      <c r="RS839"/>
      <c r="RT839"/>
      <c r="RU839"/>
      <c r="RV839"/>
      <c r="RW839"/>
      <c r="RX839"/>
      <c r="RY839"/>
      <c r="RZ839"/>
      <c r="SA839"/>
      <c r="SB839"/>
      <c r="SC839"/>
      <c r="SD839"/>
      <c r="SE839"/>
      <c r="SF839"/>
      <c r="SG839"/>
      <c r="SH839"/>
      <c r="SI839"/>
      <c r="SJ839"/>
      <c r="SK839"/>
      <c r="SL839"/>
      <c r="SM839"/>
      <c r="SN839"/>
      <c r="SO839"/>
      <c r="SP839"/>
      <c r="SQ839"/>
      <c r="SR839"/>
      <c r="SS839"/>
      <c r="ST839"/>
      <c r="SU839"/>
      <c r="SV839"/>
      <c r="SW839"/>
      <c r="SX839"/>
      <c r="SY839"/>
      <c r="SZ839"/>
      <c r="TA839"/>
      <c r="TB839"/>
      <c r="TC839"/>
      <c r="TD839"/>
      <c r="TE839"/>
      <c r="TF839"/>
      <c r="TG839"/>
      <c r="TH839"/>
      <c r="TI839"/>
      <c r="TJ839"/>
      <c r="TK839"/>
      <c r="TL839"/>
      <c r="TM839"/>
      <c r="TN839"/>
      <c r="TO839"/>
      <c r="TP839"/>
      <c r="TQ839"/>
      <c r="TR839"/>
      <c r="TS839"/>
      <c r="TT839"/>
      <c r="TU839"/>
      <c r="TV839"/>
      <c r="TW839"/>
      <c r="TX839"/>
      <c r="TY839"/>
      <c r="TZ839"/>
      <c r="UA839"/>
      <c r="UB839"/>
      <c r="UC839"/>
      <c r="UD839"/>
      <c r="UE839"/>
      <c r="UF839"/>
      <c r="UG839"/>
      <c r="UH839"/>
      <c r="UI839"/>
      <c r="UJ839"/>
      <c r="UK839"/>
      <c r="UL839"/>
      <c r="UM839"/>
      <c r="UN839"/>
      <c r="UO839"/>
      <c r="UP839"/>
      <c r="UQ839"/>
      <c r="UR839"/>
      <c r="US839"/>
      <c r="UT839"/>
      <c r="UU839"/>
      <c r="UV839"/>
      <c r="UW839"/>
      <c r="UX839"/>
      <c r="UY839"/>
      <c r="UZ839"/>
      <c r="VA839"/>
      <c r="VB839"/>
      <c r="VC839"/>
      <c r="VD839"/>
      <c r="VE839"/>
      <c r="VF839"/>
      <c r="VG839"/>
      <c r="VH839"/>
      <c r="VI839"/>
      <c r="VJ839"/>
      <c r="VK839"/>
      <c r="VL839"/>
      <c r="VM839"/>
      <c r="VN839"/>
      <c r="VO839"/>
      <c r="VP839"/>
      <c r="VQ839"/>
      <c r="VR839"/>
      <c r="VS839"/>
      <c r="VT839"/>
      <c r="VU839"/>
      <c r="VV839"/>
      <c r="VW839"/>
      <c r="VX839"/>
      <c r="VY839"/>
      <c r="VZ839"/>
      <c r="WA839"/>
      <c r="WB839"/>
      <c r="WC839"/>
      <c r="WD839"/>
      <c r="WE839"/>
      <c r="WF839"/>
      <c r="WG839"/>
      <c r="WH839"/>
      <c r="WI839"/>
      <c r="WJ839"/>
      <c r="WK839"/>
      <c r="WL839"/>
      <c r="WM839"/>
      <c r="WN839"/>
      <c r="WO839"/>
      <c r="WP839"/>
      <c r="WQ839"/>
      <c r="WR839"/>
      <c r="WS839"/>
      <c r="WT839"/>
      <c r="WU839"/>
      <c r="WV839"/>
      <c r="WW839"/>
      <c r="WX839"/>
      <c r="WY839"/>
      <c r="WZ839"/>
      <c r="XA839"/>
      <c r="XB839"/>
      <c r="XC839"/>
      <c r="XD839"/>
      <c r="XE839"/>
      <c r="XF839"/>
      <c r="XG839"/>
      <c r="XH839"/>
      <c r="XI839"/>
      <c r="XJ839"/>
      <c r="XK839"/>
      <c r="XL839"/>
      <c r="XM839"/>
      <c r="XN839"/>
      <c r="XO839"/>
      <c r="XP839"/>
      <c r="XQ839"/>
      <c r="XR839"/>
      <c r="XS839"/>
      <c r="XT839"/>
      <c r="XU839"/>
      <c r="XV839"/>
      <c r="XW839"/>
      <c r="XX839"/>
      <c r="XY839"/>
      <c r="XZ839"/>
      <c r="YA839"/>
      <c r="YB839"/>
      <c r="YC839"/>
      <c r="YD839"/>
      <c r="YE839"/>
      <c r="YF839"/>
      <c r="YG839"/>
      <c r="YH839"/>
      <c r="YI839"/>
      <c r="YJ839"/>
      <c r="YK839"/>
      <c r="YL839"/>
      <c r="YM839"/>
      <c r="YN839"/>
      <c r="YO839"/>
      <c r="YP839"/>
      <c r="YQ839"/>
      <c r="YR839"/>
      <c r="YS839"/>
      <c r="YT839"/>
      <c r="YU839"/>
      <c r="YV839"/>
      <c r="YW839"/>
      <c r="YX839"/>
      <c r="YY839"/>
      <c r="YZ839"/>
      <c r="ZA839"/>
      <c r="ZB839"/>
      <c r="ZC839"/>
      <c r="ZD839"/>
      <c r="ZE839"/>
      <c r="ZF839"/>
      <c r="ZG839"/>
      <c r="ZH839"/>
      <c r="ZI839"/>
      <c r="ZJ839"/>
      <c r="ZK839"/>
      <c r="ZL839"/>
      <c r="ZM839"/>
      <c r="ZN839"/>
      <c r="ZO839"/>
      <c r="ZP839"/>
      <c r="ZQ839"/>
      <c r="ZR839"/>
      <c r="ZS839"/>
      <c r="ZT839"/>
      <c r="ZU839"/>
      <c r="ZV839"/>
      <c r="ZW839"/>
      <c r="ZX839"/>
      <c r="ZY839"/>
      <c r="ZZ839"/>
      <c r="AAA839"/>
      <c r="AAB839"/>
      <c r="AAC839"/>
      <c r="AAD839"/>
      <c r="AAE839"/>
      <c r="AAF839"/>
      <c r="AAG839"/>
      <c r="AAH839"/>
      <c r="AAI839"/>
      <c r="AAJ839"/>
      <c r="AAK839"/>
      <c r="AAL839"/>
      <c r="AAM839"/>
      <c r="AAN839"/>
      <c r="AAO839"/>
      <c r="AAP839"/>
      <c r="AAQ839"/>
      <c r="AAR839"/>
      <c r="AAS839"/>
      <c r="AAT839"/>
      <c r="AAU839"/>
      <c r="AAV839"/>
      <c r="AAW839"/>
      <c r="AAX839"/>
      <c r="AAY839"/>
      <c r="AAZ839"/>
      <c r="ABA839"/>
      <c r="ABB839"/>
      <c r="ABC839"/>
      <c r="ABD839"/>
      <c r="ABE839"/>
      <c r="ABF839"/>
      <c r="ABG839"/>
      <c r="ABH839"/>
      <c r="ABI839"/>
      <c r="ABJ839"/>
      <c r="ABK839"/>
      <c r="ABL839"/>
      <c r="ABM839"/>
      <c r="ABN839"/>
      <c r="ABO839"/>
      <c r="ABP839"/>
      <c r="ABQ839"/>
      <c r="ABR839"/>
      <c r="ABS839"/>
      <c r="ABT839"/>
      <c r="ABU839"/>
      <c r="ABV839"/>
      <c r="ABW839"/>
      <c r="ABX839"/>
      <c r="ABY839"/>
      <c r="ABZ839"/>
      <c r="ACA839"/>
      <c r="ACB839"/>
      <c r="ACC839"/>
      <c r="ACD839"/>
      <c r="ACE839"/>
      <c r="ACF839"/>
      <c r="ACG839"/>
      <c r="ACH839"/>
      <c r="ACI839"/>
      <c r="ACJ839"/>
      <c r="ACK839"/>
      <c r="ACL839"/>
      <c r="ACM839"/>
      <c r="ACN839"/>
      <c r="ACO839"/>
      <c r="ACP839"/>
      <c r="ACQ839"/>
      <c r="ACR839"/>
      <c r="ACS839"/>
      <c r="ACT839"/>
      <c r="ACU839"/>
      <c r="ACV839"/>
      <c r="ACW839"/>
      <c r="ACX839"/>
      <c r="ACY839"/>
      <c r="ACZ839"/>
      <c r="ADA839"/>
      <c r="ADB839"/>
      <c r="ADC839"/>
      <c r="ADD839"/>
      <c r="ADE839"/>
      <c r="ADF839"/>
      <c r="ADG839"/>
      <c r="ADH839"/>
      <c r="ADI839"/>
      <c r="ADJ839"/>
      <c r="ADK839"/>
      <c r="ADL839"/>
      <c r="ADM839"/>
      <c r="ADN839"/>
      <c r="ADO839"/>
      <c r="ADP839"/>
      <c r="ADQ839"/>
      <c r="ADR839"/>
      <c r="ADS839"/>
      <c r="ADT839"/>
      <c r="ADU839"/>
      <c r="ADV839"/>
      <c r="ADW839"/>
      <c r="ADX839"/>
      <c r="ADY839"/>
      <c r="ADZ839"/>
      <c r="AEA839"/>
      <c r="AEB839"/>
      <c r="AEC839"/>
      <c r="AED839"/>
      <c r="AEE839"/>
      <c r="AEF839"/>
      <c r="AEG839"/>
      <c r="AEH839"/>
      <c r="AEI839"/>
      <c r="AEJ839"/>
      <c r="AEK839"/>
      <c r="AEL839"/>
      <c r="AEM839"/>
      <c r="AEN839"/>
      <c r="AEO839"/>
      <c r="AEP839"/>
      <c r="AEQ839"/>
      <c r="AER839"/>
      <c r="AES839"/>
      <c r="AET839"/>
      <c r="AEU839"/>
      <c r="AEV839"/>
      <c r="AEW839"/>
      <c r="AEX839"/>
      <c r="AEY839"/>
      <c r="AEZ839"/>
      <c r="AFA839"/>
      <c r="AFB839"/>
      <c r="AFC839"/>
      <c r="AFD839"/>
      <c r="AFE839"/>
      <c r="AFF839"/>
      <c r="AFG839"/>
      <c r="AFH839"/>
      <c r="AFI839"/>
      <c r="AFJ839"/>
      <c r="AFK839"/>
      <c r="AFL839"/>
      <c r="AFM839"/>
      <c r="AFN839"/>
      <c r="AFO839"/>
      <c r="AFP839"/>
      <c r="AFQ839"/>
      <c r="AFR839"/>
      <c r="AFS839"/>
      <c r="AFT839"/>
      <c r="AFU839"/>
      <c r="AFV839"/>
      <c r="AFW839"/>
      <c r="AFX839"/>
      <c r="AFY839"/>
      <c r="AFZ839"/>
      <c r="AGA839"/>
      <c r="AGB839"/>
      <c r="AGC839"/>
      <c r="AGD839"/>
      <c r="AGE839"/>
      <c r="AGF839"/>
      <c r="AGG839"/>
      <c r="AGH839"/>
      <c r="AGI839"/>
      <c r="AGJ839"/>
      <c r="AGK839"/>
      <c r="AGL839"/>
      <c r="AGM839"/>
      <c r="AGN839"/>
      <c r="AGO839"/>
      <c r="AGP839"/>
      <c r="AGQ839"/>
      <c r="AGR839"/>
      <c r="AGS839"/>
      <c r="AGT839"/>
      <c r="AGU839"/>
      <c r="AGV839"/>
      <c r="AGW839"/>
      <c r="AGX839"/>
      <c r="AGY839"/>
      <c r="AGZ839"/>
      <c r="AHA839"/>
      <c r="AHB839"/>
      <c r="AHC839"/>
      <c r="AHD839"/>
      <c r="AHE839"/>
      <c r="AHF839"/>
      <c r="AHG839"/>
      <c r="AHH839"/>
      <c r="AHI839"/>
      <c r="AHJ839"/>
      <c r="AHK839"/>
      <c r="AHL839"/>
      <c r="AHM839"/>
      <c r="AHN839"/>
      <c r="AHO839"/>
      <c r="AHP839"/>
      <c r="AHQ839"/>
      <c r="AHR839"/>
      <c r="AHS839"/>
      <c r="AHT839"/>
      <c r="AHU839"/>
      <c r="AHV839"/>
      <c r="AHW839"/>
      <c r="AHX839"/>
      <c r="AHY839"/>
      <c r="AHZ839"/>
      <c r="AIA839"/>
      <c r="AIB839"/>
      <c r="AIC839"/>
      <c r="AID839"/>
      <c r="AIE839"/>
      <c r="AIF839"/>
      <c r="AIG839"/>
      <c r="AIH839"/>
      <c r="AII839"/>
      <c r="AIJ839"/>
      <c r="AIK839"/>
      <c r="AIL839"/>
      <c r="AIM839"/>
      <c r="AIN839"/>
      <c r="AIO839"/>
      <c r="AIP839"/>
      <c r="AIQ839"/>
      <c r="AIR839"/>
      <c r="AIS839"/>
      <c r="AIT839"/>
      <c r="AIU839"/>
      <c r="AIV839"/>
      <c r="AIW839"/>
      <c r="AIX839"/>
      <c r="AIY839"/>
      <c r="AIZ839"/>
      <c r="AJA839"/>
      <c r="AJB839"/>
      <c r="AJC839"/>
      <c r="AJD839"/>
      <c r="AJE839"/>
      <c r="AJF839"/>
      <c r="AJG839"/>
      <c r="AJH839"/>
      <c r="AJI839"/>
      <c r="AJJ839"/>
      <c r="AJK839"/>
      <c r="AJL839"/>
      <c r="AJM839"/>
      <c r="AJN839"/>
      <c r="AJO839"/>
      <c r="AJP839"/>
      <c r="AJQ839"/>
      <c r="AJR839"/>
      <c r="AJS839"/>
      <c r="AJT839"/>
      <c r="AJU839"/>
      <c r="AJV839"/>
      <c r="AJW839"/>
      <c r="AJX839"/>
      <c r="AJY839"/>
      <c r="AJZ839"/>
      <c r="AKA839"/>
      <c r="AKB839"/>
      <c r="AKC839"/>
      <c r="AKD839"/>
      <c r="AKE839"/>
      <c r="AKF839"/>
      <c r="AKG839"/>
      <c r="AKH839"/>
      <c r="AKI839"/>
      <c r="AKJ839"/>
      <c r="AKK839"/>
      <c r="AKL839"/>
      <c r="AKM839"/>
      <c r="AKN839"/>
      <c r="AKO839"/>
      <c r="AKP839"/>
      <c r="AKQ839"/>
      <c r="AKR839"/>
      <c r="AKS839"/>
      <c r="AKT839"/>
      <c r="AKU839"/>
      <c r="AKV839"/>
      <c r="AKW839"/>
      <c r="AKX839"/>
      <c r="AKY839"/>
      <c r="AKZ839"/>
      <c r="ALA839"/>
      <c r="ALB839"/>
      <c r="ALC839"/>
      <c r="ALD839"/>
      <c r="ALE839"/>
      <c r="ALF839"/>
      <c r="ALG839"/>
      <c r="ALH839"/>
      <c r="ALI839"/>
      <c r="ALJ839"/>
      <c r="ALK839"/>
      <c r="ALL839"/>
      <c r="ALM839"/>
      <c r="ALN839"/>
      <c r="ALO839"/>
      <c r="ALP839"/>
      <c r="ALQ839"/>
      <c r="ALR839"/>
      <c r="ALS839"/>
      <c r="ALT839"/>
    </row>
    <row r="840" spans="1:1008" x14ac:dyDescent="0.15">
      <c r="A840" s="8" t="s">
        <v>2899</v>
      </c>
      <c r="B840" s="8" t="s">
        <v>2889</v>
      </c>
      <c r="C840" s="8" t="str">
        <f t="shared" si="12"/>
        <v>ionchromatography</v>
      </c>
      <c r="D840" s="9" t="s">
        <v>15</v>
      </c>
      <c r="E840" s="8" t="s">
        <v>2897</v>
      </c>
      <c r="F840" s="8" t="s">
        <v>2898</v>
      </c>
      <c r="G840" s="8">
        <v>500</v>
      </c>
    </row>
    <row r="841" spans="1:1008" x14ac:dyDescent="0.15">
      <c r="A841" s="8" t="s">
        <v>2262</v>
      </c>
      <c r="B841" s="8" t="s">
        <v>167</v>
      </c>
      <c r="C841" s="8" t="str">
        <f t="shared" si="12"/>
        <v>directlfq</v>
      </c>
      <c r="D841" s="9" t="s">
        <v>15</v>
      </c>
      <c r="E841" s="8" t="s">
        <v>2263</v>
      </c>
      <c r="F841" s="9" t="s">
        <v>15</v>
      </c>
      <c r="G841" s="8">
        <v>500</v>
      </c>
    </row>
    <row r="842" spans="1:1008" x14ac:dyDescent="0.15">
      <c r="A842" s="8" t="s">
        <v>3956</v>
      </c>
      <c r="B842" s="8" t="s">
        <v>167</v>
      </c>
      <c r="C842" s="8" t="str">
        <f t="shared" si="12"/>
        <v>ibaq</v>
      </c>
      <c r="D842" s="9" t="s">
        <v>15</v>
      </c>
      <c r="E842" s="8" t="s">
        <v>3957</v>
      </c>
      <c r="F842" s="9" t="s">
        <v>3958</v>
      </c>
      <c r="G842" s="8">
        <v>500</v>
      </c>
    </row>
    <row r="843" spans="1:1008" x14ac:dyDescent="0.15">
      <c r="A843" s="8" t="s">
        <v>2264</v>
      </c>
      <c r="B843" s="8" t="s">
        <v>167</v>
      </c>
      <c r="C843" s="8" t="str">
        <f t="shared" ref="C843:C906" si="13">A843</f>
        <v>maxlfq</v>
      </c>
      <c r="D843" s="9" t="s">
        <v>15</v>
      </c>
      <c r="E843" s="8" t="s">
        <v>2265</v>
      </c>
      <c r="F843" s="9" t="s">
        <v>15</v>
      </c>
      <c r="G843" s="8">
        <v>500</v>
      </c>
    </row>
    <row r="844" spans="1:1008" x14ac:dyDescent="0.15">
      <c r="A844" s="8" t="s">
        <v>2266</v>
      </c>
      <c r="B844" s="8" t="s">
        <v>167</v>
      </c>
      <c r="C844" s="8" t="str">
        <f t="shared" si="13"/>
        <v>speccount</v>
      </c>
      <c r="D844" s="9" t="s">
        <v>15</v>
      </c>
      <c r="E844" s="8" t="s">
        <v>2267</v>
      </c>
      <c r="F844" s="9" t="s">
        <v>15</v>
      </c>
      <c r="G844" s="8">
        <v>500</v>
      </c>
    </row>
    <row r="845" spans="1:1008" x14ac:dyDescent="0.15">
      <c r="A845" s="8" t="s">
        <v>2268</v>
      </c>
      <c r="B845" s="8" t="s">
        <v>168</v>
      </c>
      <c r="C845" s="8" t="str">
        <f t="shared" si="13"/>
        <v>isobaric</v>
      </c>
      <c r="D845" s="9" t="s">
        <v>15</v>
      </c>
      <c r="E845" s="8" t="s">
        <v>2268</v>
      </c>
      <c r="F845" s="8" t="s">
        <v>2269</v>
      </c>
      <c r="G845" s="8">
        <v>500</v>
      </c>
    </row>
    <row r="846" spans="1:1008" x14ac:dyDescent="0.15">
      <c r="A846" s="8" t="s">
        <v>2270</v>
      </c>
      <c r="B846" s="8" t="s">
        <v>168</v>
      </c>
      <c r="C846" s="8" t="str">
        <f t="shared" si="13"/>
        <v>istopic</v>
      </c>
      <c r="D846" s="9" t="s">
        <v>15</v>
      </c>
      <c r="E846" s="8" t="s">
        <v>2270</v>
      </c>
      <c r="F846" s="8" t="s">
        <v>2271</v>
      </c>
      <c r="G846" s="8">
        <v>500</v>
      </c>
    </row>
    <row r="847" spans="1:1008" x14ac:dyDescent="0.15">
      <c r="A847" s="8" t="s">
        <v>2272</v>
      </c>
      <c r="B847" s="8" t="s">
        <v>168</v>
      </c>
      <c r="C847" s="8" t="str">
        <f t="shared" si="13"/>
        <v>label_free</v>
      </c>
      <c r="D847" s="9" t="s">
        <v>15</v>
      </c>
      <c r="E847" s="8" t="s">
        <v>2273</v>
      </c>
      <c r="F847" s="8" t="s">
        <v>2274</v>
      </c>
      <c r="G847" s="8">
        <v>500</v>
      </c>
    </row>
    <row r="848" spans="1:1008" x14ac:dyDescent="0.15">
      <c r="A848" s="8" t="s">
        <v>2275</v>
      </c>
      <c r="B848" s="8" t="s">
        <v>168</v>
      </c>
      <c r="C848" s="8" t="str">
        <f t="shared" si="13"/>
        <v>silac</v>
      </c>
      <c r="D848" s="9" t="s">
        <v>15</v>
      </c>
      <c r="E848" s="8" t="s">
        <v>2275</v>
      </c>
      <c r="F848" s="8" t="s">
        <v>2276</v>
      </c>
      <c r="G848" s="8">
        <v>500</v>
      </c>
    </row>
    <row r="849" spans="1:7" x14ac:dyDescent="0.15">
      <c r="A849" s="8" t="s">
        <v>2277</v>
      </c>
      <c r="B849" s="8" t="s">
        <v>171</v>
      </c>
      <c r="C849" s="8" t="str">
        <f t="shared" si="13"/>
        <v>dtt</v>
      </c>
      <c r="D849" s="9" t="s">
        <v>15</v>
      </c>
      <c r="E849" s="8" t="s">
        <v>2278</v>
      </c>
      <c r="F849" s="8" t="s">
        <v>2279</v>
      </c>
      <c r="G849" s="8">
        <v>500</v>
      </c>
    </row>
    <row r="850" spans="1:7" x14ac:dyDescent="0.15">
      <c r="A850" s="8" t="s">
        <v>3176</v>
      </c>
      <c r="B850" s="8" t="s">
        <v>171</v>
      </c>
      <c r="C850" s="8" t="str">
        <f t="shared" si="13"/>
        <v>no_reduction</v>
      </c>
      <c r="D850" s="9" t="s">
        <v>15</v>
      </c>
      <c r="E850" s="8" t="s">
        <v>282</v>
      </c>
      <c r="F850" s="8" t="s">
        <v>2280</v>
      </c>
      <c r="G850" s="8">
        <v>500</v>
      </c>
    </row>
    <row r="851" spans="1:7" x14ac:dyDescent="0.15">
      <c r="A851" s="8" t="s">
        <v>2281</v>
      </c>
      <c r="B851" s="8" t="s">
        <v>171</v>
      </c>
      <c r="C851" s="8" t="str">
        <f t="shared" si="13"/>
        <v>tcep</v>
      </c>
      <c r="D851" s="9" t="s">
        <v>15</v>
      </c>
      <c r="E851" s="8" t="s">
        <v>2282</v>
      </c>
      <c r="F851" s="8" t="s">
        <v>2283</v>
      </c>
      <c r="G851" s="8">
        <v>500</v>
      </c>
    </row>
    <row r="852" spans="1:7" x14ac:dyDescent="0.15">
      <c r="A852" s="8" t="s">
        <v>1350</v>
      </c>
      <c r="B852" s="8" t="s">
        <v>2284</v>
      </c>
      <c r="C852" s="8" t="str">
        <f t="shared" si="13"/>
        <v>apoptosis</v>
      </c>
      <c r="D852" s="9" t="s">
        <v>15</v>
      </c>
      <c r="E852" s="8" t="s">
        <v>1351</v>
      </c>
      <c r="F852" s="8" t="s">
        <v>2285</v>
      </c>
      <c r="G852" s="8">
        <v>500</v>
      </c>
    </row>
    <row r="853" spans="1:7" x14ac:dyDescent="0.15">
      <c r="A853" s="8" t="s">
        <v>2286</v>
      </c>
      <c r="B853" s="8" t="s">
        <v>2284</v>
      </c>
      <c r="C853" s="8" t="str">
        <f t="shared" si="13"/>
        <v>autocrine</v>
      </c>
      <c r="D853" s="9" t="s">
        <v>15</v>
      </c>
      <c r="E853" s="8" t="s">
        <v>2287</v>
      </c>
      <c r="F853" s="8" t="s">
        <v>2288</v>
      </c>
      <c r="G853" s="8">
        <v>500</v>
      </c>
    </row>
    <row r="854" spans="1:7" x14ac:dyDescent="0.15">
      <c r="A854" s="8" t="s">
        <v>2289</v>
      </c>
      <c r="B854" s="8" t="s">
        <v>2284</v>
      </c>
      <c r="C854" s="8" t="str">
        <f t="shared" si="13"/>
        <v>complement</v>
      </c>
      <c r="D854" s="9" t="s">
        <v>15</v>
      </c>
      <c r="E854" s="8" t="s">
        <v>2290</v>
      </c>
      <c r="F854" s="8" t="s">
        <v>2291</v>
      </c>
      <c r="G854" s="8">
        <v>500</v>
      </c>
    </row>
    <row r="855" spans="1:7" x14ac:dyDescent="0.15">
      <c r="A855" s="8" t="s">
        <v>2292</v>
      </c>
      <c r="B855" s="8" t="s">
        <v>2284</v>
      </c>
      <c r="C855" s="8" t="str">
        <f t="shared" si="13"/>
        <v>cytokines</v>
      </c>
      <c r="D855" s="9" t="s">
        <v>15</v>
      </c>
      <c r="E855" s="8" t="s">
        <v>2293</v>
      </c>
      <c r="F855" s="8" t="s">
        <v>2294</v>
      </c>
      <c r="G855" s="8">
        <v>500</v>
      </c>
    </row>
    <row r="856" spans="1:7" x14ac:dyDescent="0.15">
      <c r="A856" s="8" t="s">
        <v>2295</v>
      </c>
      <c r="B856" s="8" t="s">
        <v>2284</v>
      </c>
      <c r="C856" s="8" t="str">
        <f t="shared" si="13"/>
        <v>inflammation</v>
      </c>
      <c r="D856" s="9" t="s">
        <v>15</v>
      </c>
      <c r="E856" s="8" t="s">
        <v>2296</v>
      </c>
      <c r="F856" s="8" t="s">
        <v>2297</v>
      </c>
      <c r="G856" s="8">
        <v>500</v>
      </c>
    </row>
    <row r="857" spans="1:7" x14ac:dyDescent="0.15">
      <c r="A857" s="8" t="s">
        <v>2298</v>
      </c>
      <c r="B857" s="8" t="s">
        <v>2284</v>
      </c>
      <c r="C857" s="8" t="str">
        <f t="shared" si="13"/>
        <v>insulin</v>
      </c>
      <c r="D857" s="9" t="s">
        <v>15</v>
      </c>
      <c r="E857" s="8" t="s">
        <v>2299</v>
      </c>
      <c r="F857" s="8" t="s">
        <v>2300</v>
      </c>
      <c r="G857" s="8">
        <v>500</v>
      </c>
    </row>
    <row r="858" spans="1:7" x14ac:dyDescent="0.15">
      <c r="A858" s="8" t="s">
        <v>2301</v>
      </c>
      <c r="B858" s="8" t="s">
        <v>2284</v>
      </c>
      <c r="C858" s="8" t="str">
        <f t="shared" si="13"/>
        <v>juxtacrine</v>
      </c>
      <c r="D858" s="9" t="s">
        <v>15</v>
      </c>
      <c r="E858" s="8" t="s">
        <v>2302</v>
      </c>
      <c r="F858" s="8" t="s">
        <v>2303</v>
      </c>
      <c r="G858" s="8">
        <v>500</v>
      </c>
    </row>
    <row r="859" spans="1:7" x14ac:dyDescent="0.15">
      <c r="A859" s="8" t="s">
        <v>2304</v>
      </c>
      <c r="B859" s="8" t="s">
        <v>2284</v>
      </c>
      <c r="C859" s="8" t="str">
        <f t="shared" si="13"/>
        <v>necrosis</v>
      </c>
      <c r="D859" s="9" t="s">
        <v>15</v>
      </c>
      <c r="E859" s="8" t="s">
        <v>2305</v>
      </c>
      <c r="F859" s="8" t="s">
        <v>2306</v>
      </c>
      <c r="G859" s="8">
        <v>500</v>
      </c>
    </row>
    <row r="860" spans="1:7" x14ac:dyDescent="0.15">
      <c r="A860" s="8" t="s">
        <v>2307</v>
      </c>
      <c r="B860" s="8" t="s">
        <v>2284</v>
      </c>
      <c r="C860" s="8" t="str">
        <f t="shared" si="13"/>
        <v>paracrine</v>
      </c>
      <c r="D860" s="9" t="s">
        <v>15</v>
      </c>
      <c r="E860" s="8" t="s">
        <v>2308</v>
      </c>
      <c r="F860" s="8" t="s">
        <v>2309</v>
      </c>
      <c r="G860" s="8">
        <v>500</v>
      </c>
    </row>
    <row r="861" spans="1:7" x14ac:dyDescent="0.15">
      <c r="A861" s="8" t="s">
        <v>1698</v>
      </c>
      <c r="B861" s="8" t="s">
        <v>2284</v>
      </c>
      <c r="C861" s="8" t="str">
        <f t="shared" si="13"/>
        <v>signaling</v>
      </c>
      <c r="D861" s="9" t="s">
        <v>15</v>
      </c>
      <c r="E861" s="8" t="s">
        <v>1699</v>
      </c>
      <c r="F861" s="8" t="s">
        <v>2310</v>
      </c>
      <c r="G861" s="8">
        <v>500</v>
      </c>
    </row>
    <row r="862" spans="1:7" x14ac:dyDescent="0.15">
      <c r="A862" s="8" t="s">
        <v>2311</v>
      </c>
      <c r="B862" s="8" t="s">
        <v>29</v>
      </c>
      <c r="C862" s="8" t="str">
        <f t="shared" si="13"/>
        <v>diann</v>
      </c>
      <c r="D862" s="9" t="s">
        <v>15</v>
      </c>
      <c r="E862" s="8" t="s">
        <v>2312</v>
      </c>
      <c r="F862" s="8" t="s">
        <v>2313</v>
      </c>
      <c r="G862" s="8">
        <v>500</v>
      </c>
    </row>
    <row r="863" spans="1:7" x14ac:dyDescent="0.15">
      <c r="A863" s="8" t="s">
        <v>2314</v>
      </c>
      <c r="B863" s="8" t="s">
        <v>29</v>
      </c>
      <c r="C863" s="8" t="str">
        <f t="shared" si="13"/>
        <v>maxquant</v>
      </c>
      <c r="D863" s="9" t="s">
        <v>15</v>
      </c>
      <c r="E863" s="8" t="s">
        <v>2315</v>
      </c>
      <c r="F863" s="8" t="s">
        <v>2316</v>
      </c>
      <c r="G863" s="8">
        <v>500</v>
      </c>
    </row>
    <row r="864" spans="1:7" x14ac:dyDescent="0.15">
      <c r="A864" s="8" t="s">
        <v>2317</v>
      </c>
      <c r="B864" s="8" t="s">
        <v>29</v>
      </c>
      <c r="C864" s="8" t="str">
        <f t="shared" si="13"/>
        <v>metamorpheus</v>
      </c>
      <c r="D864" s="9" t="s">
        <v>15</v>
      </c>
      <c r="E864" s="8" t="s">
        <v>2318</v>
      </c>
      <c r="F864" s="8" t="s">
        <v>2319</v>
      </c>
      <c r="G864" s="8">
        <v>500</v>
      </c>
    </row>
    <row r="865" spans="1:7" x14ac:dyDescent="0.15">
      <c r="A865" s="8" t="s">
        <v>2320</v>
      </c>
      <c r="B865" s="8" t="s">
        <v>29</v>
      </c>
      <c r="C865" s="8" t="str">
        <f t="shared" si="13"/>
        <v>minora</v>
      </c>
      <c r="D865" s="9" t="s">
        <v>15</v>
      </c>
      <c r="E865" s="8" t="s">
        <v>2321</v>
      </c>
      <c r="F865" s="8" t="s">
        <v>2322</v>
      </c>
      <c r="G865" s="8">
        <v>500</v>
      </c>
    </row>
    <row r="866" spans="1:7" x14ac:dyDescent="0.15">
      <c r="A866" s="8" t="s">
        <v>2323</v>
      </c>
      <c r="B866" s="8" t="s">
        <v>29</v>
      </c>
      <c r="C866" s="8" t="str">
        <f t="shared" si="13"/>
        <v>msfragger</v>
      </c>
      <c r="D866" s="9" t="s">
        <v>15</v>
      </c>
      <c r="E866" s="8" t="s">
        <v>2324</v>
      </c>
      <c r="F866" s="8" t="s">
        <v>2325</v>
      </c>
      <c r="G866" s="8">
        <v>500</v>
      </c>
    </row>
    <row r="867" spans="1:7" x14ac:dyDescent="0.15">
      <c r="A867" s="8" t="s">
        <v>2326</v>
      </c>
      <c r="B867" s="8" t="s">
        <v>29</v>
      </c>
      <c r="C867" s="8" t="str">
        <f t="shared" si="13"/>
        <v>msgf</v>
      </c>
      <c r="D867" s="9" t="s">
        <v>15</v>
      </c>
      <c r="E867" s="8" t="s">
        <v>2327</v>
      </c>
      <c r="F867" s="8" t="s">
        <v>2328</v>
      </c>
      <c r="G867" s="8">
        <v>500</v>
      </c>
    </row>
    <row r="868" spans="1:7" x14ac:dyDescent="0.15">
      <c r="A868" s="8" t="s">
        <v>2329</v>
      </c>
      <c r="B868" s="8" t="s">
        <v>29</v>
      </c>
      <c r="C868" s="8" t="str">
        <f t="shared" si="13"/>
        <v>spectronaut</v>
      </c>
      <c r="D868" s="9" t="s">
        <v>15</v>
      </c>
      <c r="E868" s="8" t="s">
        <v>2330</v>
      </c>
      <c r="F868" s="8" t="s">
        <v>2331</v>
      </c>
      <c r="G868" s="8">
        <v>500</v>
      </c>
    </row>
    <row r="869" spans="1:7" x14ac:dyDescent="0.15">
      <c r="A869" s="8" t="s">
        <v>2845</v>
      </c>
      <c r="B869" s="8" t="s">
        <v>2844</v>
      </c>
      <c r="C869" s="8" t="str">
        <f t="shared" si="13"/>
        <v>wc</v>
      </c>
      <c r="D869" s="9" t="s">
        <v>15</v>
      </c>
      <c r="E869" s="8" t="s">
        <v>2846</v>
      </c>
      <c r="F869" s="8" t="s">
        <v>2847</v>
      </c>
      <c r="G869" s="8">
        <v>500</v>
      </c>
    </row>
    <row r="870" spans="1:7" x14ac:dyDescent="0.15">
      <c r="A870" s="8" t="s">
        <v>2849</v>
      </c>
      <c r="B870" s="8" t="s">
        <v>2844</v>
      </c>
      <c r="C870" s="8" t="str">
        <f t="shared" si="13"/>
        <v>membrane</v>
      </c>
      <c r="D870" s="9" t="s">
        <v>15</v>
      </c>
      <c r="E870" s="8" t="s">
        <v>2850</v>
      </c>
      <c r="F870" s="8" t="s">
        <v>2851</v>
      </c>
      <c r="G870" s="8">
        <v>500</v>
      </c>
    </row>
    <row r="871" spans="1:7" x14ac:dyDescent="0.15">
      <c r="A871" s="8" t="s">
        <v>2848</v>
      </c>
      <c r="B871" s="8" t="s">
        <v>2844</v>
      </c>
      <c r="C871" s="8" t="str">
        <f t="shared" si="13"/>
        <v>mitochondria</v>
      </c>
      <c r="D871" s="9" t="s">
        <v>15</v>
      </c>
      <c r="E871" s="8" t="s">
        <v>2865</v>
      </c>
      <c r="F871" s="8" t="s">
        <v>2864</v>
      </c>
      <c r="G871" s="8">
        <v>500</v>
      </c>
    </row>
    <row r="872" spans="1:7" x14ac:dyDescent="0.15">
      <c r="A872" s="8" t="s">
        <v>2878</v>
      </c>
      <c r="B872" s="8" t="s">
        <v>2844</v>
      </c>
      <c r="C872" s="8" t="str">
        <f t="shared" si="13"/>
        <v>mitochondriapk</v>
      </c>
      <c r="D872" s="9" t="s">
        <v>15</v>
      </c>
      <c r="E872" s="8" t="s">
        <v>2876</v>
      </c>
      <c r="F872" s="8" t="s">
        <v>2877</v>
      </c>
      <c r="G872" s="8">
        <v>500</v>
      </c>
    </row>
    <row r="873" spans="1:7" x14ac:dyDescent="0.15">
      <c r="A873" s="8" t="s">
        <v>2852</v>
      </c>
      <c r="B873" s="8" t="s">
        <v>2844</v>
      </c>
      <c r="C873" s="8" t="str">
        <f t="shared" si="13"/>
        <v>golgi</v>
      </c>
      <c r="D873" s="9" t="s">
        <v>15</v>
      </c>
      <c r="E873" s="8" t="s">
        <v>2853</v>
      </c>
      <c r="F873" s="8" t="s">
        <v>2854</v>
      </c>
      <c r="G873" s="8">
        <v>500</v>
      </c>
    </row>
    <row r="874" spans="1:7" x14ac:dyDescent="0.15">
      <c r="A874" s="8" t="s">
        <v>2855</v>
      </c>
      <c r="B874" s="8" t="s">
        <v>2844</v>
      </c>
      <c r="C874" s="8" t="str">
        <f t="shared" si="13"/>
        <v>plasmamembrane</v>
      </c>
      <c r="D874" s="9" t="s">
        <v>15</v>
      </c>
      <c r="E874" s="8" t="s">
        <v>2863</v>
      </c>
      <c r="F874" s="8" t="s">
        <v>2856</v>
      </c>
      <c r="G874" s="8">
        <v>500</v>
      </c>
    </row>
    <row r="875" spans="1:7" x14ac:dyDescent="0.15">
      <c r="A875" s="8" t="s">
        <v>2857</v>
      </c>
      <c r="B875" s="8" t="s">
        <v>2844</v>
      </c>
      <c r="C875" s="8" t="str">
        <f t="shared" si="13"/>
        <v>nucleus</v>
      </c>
      <c r="D875" s="9" t="s">
        <v>15</v>
      </c>
      <c r="E875" s="8" t="s">
        <v>2858</v>
      </c>
      <c r="F875" s="8" t="s">
        <v>2859</v>
      </c>
      <c r="G875" s="8">
        <v>500</v>
      </c>
    </row>
    <row r="876" spans="1:7" x14ac:dyDescent="0.15">
      <c r="A876" s="8" t="s">
        <v>2860</v>
      </c>
      <c r="B876" s="8" t="s">
        <v>2844</v>
      </c>
      <c r="C876" s="8" t="str">
        <f t="shared" si="13"/>
        <v>cytosol</v>
      </c>
      <c r="D876" s="9" t="s">
        <v>15</v>
      </c>
      <c r="E876" s="8" t="s">
        <v>2861</v>
      </c>
      <c r="F876" s="8" t="s">
        <v>2862</v>
      </c>
      <c r="G876" s="8">
        <v>500</v>
      </c>
    </row>
    <row r="877" spans="1:7" x14ac:dyDescent="0.15">
      <c r="A877" s="8" t="s">
        <v>2332</v>
      </c>
      <c r="B877" s="8" t="s">
        <v>178</v>
      </c>
      <c r="C877" s="8" t="str">
        <f t="shared" si="13"/>
        <v>adipose</v>
      </c>
      <c r="D877" s="8" t="s">
        <v>2332</v>
      </c>
      <c r="E877" s="8" t="s">
        <v>2333</v>
      </c>
      <c r="F877" s="8" t="s">
        <v>2334</v>
      </c>
      <c r="G877" s="8">
        <v>500</v>
      </c>
    </row>
    <row r="878" spans="1:7" x14ac:dyDescent="0.15">
      <c r="A878" s="8" t="s">
        <v>2335</v>
      </c>
      <c r="B878" s="8" t="s">
        <v>178</v>
      </c>
      <c r="C878" s="8" t="str">
        <f t="shared" si="13"/>
        <v>areolar</v>
      </c>
      <c r="D878" s="8" t="s">
        <v>2335</v>
      </c>
      <c r="E878" s="8" t="s">
        <v>2336</v>
      </c>
      <c r="F878" s="8" t="s">
        <v>2337</v>
      </c>
      <c r="G878" s="8">
        <v>500</v>
      </c>
    </row>
    <row r="879" spans="1:7" x14ac:dyDescent="0.15">
      <c r="A879" s="8" t="s">
        <v>2338</v>
      </c>
      <c r="B879" s="8" t="s">
        <v>178</v>
      </c>
      <c r="C879" s="8" t="str">
        <f t="shared" si="13"/>
        <v>blood</v>
      </c>
      <c r="D879" s="8" t="s">
        <v>2338</v>
      </c>
      <c r="E879" s="8" t="s">
        <v>2339</v>
      </c>
      <c r="F879" s="8" t="s">
        <v>2339</v>
      </c>
      <c r="G879" s="8">
        <v>500</v>
      </c>
    </row>
    <row r="880" spans="1:7" x14ac:dyDescent="0.15">
      <c r="A880" s="8" t="s">
        <v>2340</v>
      </c>
      <c r="B880" s="8" t="s">
        <v>178</v>
      </c>
      <c r="C880" s="8" t="str">
        <f t="shared" si="13"/>
        <v>connective</v>
      </c>
      <c r="D880" s="8" t="s">
        <v>2340</v>
      </c>
      <c r="E880" s="8" t="s">
        <v>2341</v>
      </c>
      <c r="F880" s="8" t="s">
        <v>2342</v>
      </c>
      <c r="G880" s="8">
        <v>500</v>
      </c>
    </row>
    <row r="881" spans="1:7" x14ac:dyDescent="0.15">
      <c r="A881" s="8" t="s">
        <v>2343</v>
      </c>
      <c r="B881" s="8" t="s">
        <v>178</v>
      </c>
      <c r="C881" s="8" t="str">
        <f t="shared" si="13"/>
        <v>dermis</v>
      </c>
      <c r="D881" s="8" t="s">
        <v>2343</v>
      </c>
      <c r="E881" s="8" t="s">
        <v>2344</v>
      </c>
      <c r="F881" s="8" t="s">
        <v>2344</v>
      </c>
      <c r="G881" s="8">
        <v>500</v>
      </c>
    </row>
    <row r="882" spans="1:7" x14ac:dyDescent="0.15">
      <c r="A882" s="8" t="s">
        <v>2345</v>
      </c>
      <c r="B882" s="8" t="s">
        <v>178</v>
      </c>
      <c r="C882" s="8" t="str">
        <f t="shared" si="13"/>
        <v>epidermis</v>
      </c>
      <c r="D882" s="8" t="s">
        <v>2345</v>
      </c>
      <c r="E882" s="8" t="s">
        <v>2346</v>
      </c>
      <c r="F882" s="8" t="s">
        <v>2346</v>
      </c>
      <c r="G882" s="8">
        <v>500</v>
      </c>
    </row>
    <row r="883" spans="1:7" x14ac:dyDescent="0.15">
      <c r="A883" s="8" t="s">
        <v>2347</v>
      </c>
      <c r="B883" s="8" t="s">
        <v>178</v>
      </c>
      <c r="C883" s="8" t="str">
        <f t="shared" si="13"/>
        <v>epithelial</v>
      </c>
      <c r="D883" s="8" t="s">
        <v>2347</v>
      </c>
      <c r="E883" s="8" t="s">
        <v>2348</v>
      </c>
      <c r="F883" s="8" t="s">
        <v>2349</v>
      </c>
      <c r="G883" s="8">
        <v>500</v>
      </c>
    </row>
    <row r="884" spans="1:7" x14ac:dyDescent="0.15">
      <c r="A884" s="8" t="s">
        <v>2350</v>
      </c>
      <c r="B884" s="8" t="s">
        <v>178</v>
      </c>
      <c r="C884" s="8" t="str">
        <f t="shared" si="13"/>
        <v>hypodermis</v>
      </c>
      <c r="D884" s="8" t="s">
        <v>2350</v>
      </c>
      <c r="E884" s="8" t="s">
        <v>2351</v>
      </c>
      <c r="F884" s="8" t="s">
        <v>2351</v>
      </c>
      <c r="G884" s="8">
        <v>500</v>
      </c>
    </row>
    <row r="885" spans="1:7" x14ac:dyDescent="0.15">
      <c r="A885" s="8" t="s">
        <v>2352</v>
      </c>
      <c r="B885" s="8" t="s">
        <v>178</v>
      </c>
      <c r="C885" s="8" t="str">
        <f t="shared" si="13"/>
        <v>muscle</v>
      </c>
      <c r="D885" s="8" t="s">
        <v>2352</v>
      </c>
      <c r="E885" s="8" t="s">
        <v>2745</v>
      </c>
      <c r="F885" s="8" t="s">
        <v>2353</v>
      </c>
      <c r="G885" s="8">
        <v>500</v>
      </c>
    </row>
    <row r="886" spans="1:7" x14ac:dyDescent="0.15">
      <c r="A886" s="8" t="s">
        <v>2354</v>
      </c>
      <c r="B886" s="8" t="s">
        <v>178</v>
      </c>
      <c r="C886" s="8" t="str">
        <f t="shared" si="13"/>
        <v>nervous</v>
      </c>
      <c r="D886" s="8" t="s">
        <v>2354</v>
      </c>
      <c r="E886" s="8" t="s">
        <v>2173</v>
      </c>
      <c r="F886" s="8" t="s">
        <v>2355</v>
      </c>
      <c r="G886" s="8">
        <v>500</v>
      </c>
    </row>
    <row r="887" spans="1:7" x14ac:dyDescent="0.15">
      <c r="A887" s="8" t="s">
        <v>2356</v>
      </c>
      <c r="B887" s="8" t="s">
        <v>178</v>
      </c>
      <c r="C887" s="8" t="str">
        <f t="shared" si="13"/>
        <v>reticular</v>
      </c>
      <c r="D887" s="8" t="s">
        <v>2356</v>
      </c>
      <c r="E887" s="8" t="s">
        <v>2357</v>
      </c>
      <c r="F887" s="8" t="s">
        <v>2358</v>
      </c>
      <c r="G887" s="8">
        <v>500</v>
      </c>
    </row>
    <row r="888" spans="1:7" x14ac:dyDescent="0.15">
      <c r="A888" s="8" t="s">
        <v>2359</v>
      </c>
      <c r="B888" s="8" t="s">
        <v>178</v>
      </c>
      <c r="C888" s="8" t="str">
        <f t="shared" si="13"/>
        <v>stromal</v>
      </c>
      <c r="D888" s="8" t="s">
        <v>2359</v>
      </c>
      <c r="E888" s="8" t="s">
        <v>2360</v>
      </c>
      <c r="F888" s="8" t="s">
        <v>2361</v>
      </c>
      <c r="G888" s="8">
        <v>500</v>
      </c>
    </row>
    <row r="889" spans="1:7" x14ac:dyDescent="0.15">
      <c r="A889" s="8" t="s">
        <v>2362</v>
      </c>
      <c r="B889" s="8" t="s">
        <v>180</v>
      </c>
      <c r="C889" s="8" t="str">
        <f t="shared" si="13"/>
        <v>tmt10_126</v>
      </c>
      <c r="D889" s="9" t="s">
        <v>15</v>
      </c>
      <c r="E889" s="8">
        <v>126</v>
      </c>
      <c r="F889" s="9" t="s">
        <v>15</v>
      </c>
      <c r="G889" s="8">
        <v>500</v>
      </c>
    </row>
    <row r="890" spans="1:7" x14ac:dyDescent="0.15">
      <c r="A890" s="8" t="s">
        <v>2363</v>
      </c>
      <c r="B890" s="8" t="s">
        <v>180</v>
      </c>
      <c r="C890" s="8" t="str">
        <f t="shared" si="13"/>
        <v>tmt10_127C</v>
      </c>
      <c r="D890" s="9" t="s">
        <v>15</v>
      </c>
      <c r="E890" s="8" t="s">
        <v>2364</v>
      </c>
      <c r="F890" s="9" t="s">
        <v>15</v>
      </c>
      <c r="G890" s="8">
        <v>500</v>
      </c>
    </row>
    <row r="891" spans="1:7" x14ac:dyDescent="0.15">
      <c r="A891" s="8" t="s">
        <v>2365</v>
      </c>
      <c r="B891" s="8" t="s">
        <v>180</v>
      </c>
      <c r="C891" s="8" t="str">
        <f t="shared" si="13"/>
        <v>tmt10_127N</v>
      </c>
      <c r="D891" s="9" t="s">
        <v>15</v>
      </c>
      <c r="E891" s="8" t="s">
        <v>2366</v>
      </c>
      <c r="F891" s="9" t="s">
        <v>15</v>
      </c>
      <c r="G891" s="8">
        <v>500</v>
      </c>
    </row>
    <row r="892" spans="1:7" x14ac:dyDescent="0.15">
      <c r="A892" s="8" t="s">
        <v>2367</v>
      </c>
      <c r="B892" s="8" t="s">
        <v>180</v>
      </c>
      <c r="C892" s="8" t="str">
        <f t="shared" si="13"/>
        <v>tmt10_128C</v>
      </c>
      <c r="D892" s="9" t="s">
        <v>15</v>
      </c>
      <c r="E892" s="8" t="s">
        <v>2368</v>
      </c>
      <c r="F892" s="9" t="s">
        <v>15</v>
      </c>
      <c r="G892" s="8">
        <v>500</v>
      </c>
    </row>
    <row r="893" spans="1:7" x14ac:dyDescent="0.15">
      <c r="A893" s="8" t="s">
        <v>2369</v>
      </c>
      <c r="B893" s="8" t="s">
        <v>180</v>
      </c>
      <c r="C893" s="8" t="str">
        <f t="shared" si="13"/>
        <v>tmt10_128N</v>
      </c>
      <c r="D893" s="9" t="s">
        <v>15</v>
      </c>
      <c r="E893" s="8" t="s">
        <v>2370</v>
      </c>
      <c r="F893" s="9" t="s">
        <v>15</v>
      </c>
      <c r="G893" s="8">
        <v>500</v>
      </c>
    </row>
    <row r="894" spans="1:7" x14ac:dyDescent="0.15">
      <c r="A894" s="8" t="s">
        <v>2371</v>
      </c>
      <c r="B894" s="8" t="s">
        <v>180</v>
      </c>
      <c r="C894" s="8" t="str">
        <f t="shared" si="13"/>
        <v>tmt10_129C</v>
      </c>
      <c r="D894" s="9" t="s">
        <v>15</v>
      </c>
      <c r="E894" s="8" t="s">
        <v>2372</v>
      </c>
      <c r="F894" s="9" t="s">
        <v>15</v>
      </c>
      <c r="G894" s="8">
        <v>500</v>
      </c>
    </row>
    <row r="895" spans="1:7" x14ac:dyDescent="0.15">
      <c r="A895" s="8" t="s">
        <v>2373</v>
      </c>
      <c r="B895" s="8" t="s">
        <v>180</v>
      </c>
      <c r="C895" s="8" t="str">
        <f t="shared" si="13"/>
        <v>tmt10_129N</v>
      </c>
      <c r="D895" s="9" t="s">
        <v>15</v>
      </c>
      <c r="E895" s="8" t="s">
        <v>2374</v>
      </c>
      <c r="F895" s="9" t="s">
        <v>15</v>
      </c>
      <c r="G895" s="8">
        <v>500</v>
      </c>
    </row>
    <row r="896" spans="1:7" x14ac:dyDescent="0.15">
      <c r="A896" s="8" t="s">
        <v>2375</v>
      </c>
      <c r="B896" s="8" t="s">
        <v>180</v>
      </c>
      <c r="C896" s="8" t="str">
        <f t="shared" si="13"/>
        <v>tmt10_130C</v>
      </c>
      <c r="D896" s="9" t="s">
        <v>15</v>
      </c>
      <c r="E896" s="8" t="s">
        <v>2376</v>
      </c>
      <c r="F896" s="9" t="s">
        <v>15</v>
      </c>
      <c r="G896" s="8">
        <v>500</v>
      </c>
    </row>
    <row r="897" spans="1:7" x14ac:dyDescent="0.15">
      <c r="A897" s="8" t="s">
        <v>2377</v>
      </c>
      <c r="B897" s="8" t="s">
        <v>180</v>
      </c>
      <c r="C897" s="8" t="str">
        <f t="shared" si="13"/>
        <v>tmt10_130N</v>
      </c>
      <c r="D897" s="9" t="s">
        <v>15</v>
      </c>
      <c r="E897" s="8" t="s">
        <v>2378</v>
      </c>
      <c r="F897" s="9" t="s">
        <v>15</v>
      </c>
      <c r="G897" s="8">
        <v>500</v>
      </c>
    </row>
    <row r="898" spans="1:7" x14ac:dyDescent="0.15">
      <c r="A898" s="8" t="s">
        <v>2379</v>
      </c>
      <c r="B898" s="8" t="s">
        <v>180</v>
      </c>
      <c r="C898" s="8" t="str">
        <f t="shared" si="13"/>
        <v>tmt10_131</v>
      </c>
      <c r="D898" s="9" t="s">
        <v>15</v>
      </c>
      <c r="E898" s="8">
        <v>131</v>
      </c>
      <c r="F898" s="9" t="s">
        <v>15</v>
      </c>
      <c r="G898" s="8">
        <v>500</v>
      </c>
    </row>
    <row r="899" spans="1:7" x14ac:dyDescent="0.15">
      <c r="A899" s="8" t="s">
        <v>2380</v>
      </c>
      <c r="B899" s="8" t="s">
        <v>180</v>
      </c>
      <c r="C899" s="8" t="str">
        <f t="shared" si="13"/>
        <v>tmt11_126</v>
      </c>
      <c r="D899" s="9" t="s">
        <v>15</v>
      </c>
      <c r="E899" s="8">
        <v>126</v>
      </c>
      <c r="F899" s="9" t="s">
        <v>15</v>
      </c>
      <c r="G899" s="8">
        <v>500</v>
      </c>
    </row>
    <row r="900" spans="1:7" x14ac:dyDescent="0.15">
      <c r="A900" s="8" t="s">
        <v>2381</v>
      </c>
      <c r="B900" s="8" t="s">
        <v>180</v>
      </c>
      <c r="C900" s="8" t="str">
        <f t="shared" si="13"/>
        <v>tmt11_127C</v>
      </c>
      <c r="D900" s="9" t="s">
        <v>15</v>
      </c>
      <c r="E900" s="8" t="s">
        <v>2364</v>
      </c>
      <c r="F900" s="9" t="s">
        <v>15</v>
      </c>
      <c r="G900" s="8">
        <v>500</v>
      </c>
    </row>
    <row r="901" spans="1:7" x14ac:dyDescent="0.15">
      <c r="A901" s="8" t="s">
        <v>2382</v>
      </c>
      <c r="B901" s="8" t="s">
        <v>180</v>
      </c>
      <c r="C901" s="8" t="str">
        <f t="shared" si="13"/>
        <v>tmt11_127N</v>
      </c>
      <c r="D901" s="9" t="s">
        <v>15</v>
      </c>
      <c r="E901" s="8" t="s">
        <v>2366</v>
      </c>
      <c r="F901" s="9" t="s">
        <v>15</v>
      </c>
      <c r="G901" s="8">
        <v>500</v>
      </c>
    </row>
    <row r="902" spans="1:7" x14ac:dyDescent="0.15">
      <c r="A902" s="8" t="s">
        <v>2383</v>
      </c>
      <c r="B902" s="8" t="s">
        <v>180</v>
      </c>
      <c r="C902" s="8" t="str">
        <f t="shared" si="13"/>
        <v>tmt11_128C</v>
      </c>
      <c r="D902" s="9" t="s">
        <v>15</v>
      </c>
      <c r="E902" s="8" t="s">
        <v>2368</v>
      </c>
      <c r="F902" s="9" t="s">
        <v>15</v>
      </c>
      <c r="G902" s="8">
        <v>500</v>
      </c>
    </row>
    <row r="903" spans="1:7" x14ac:dyDescent="0.15">
      <c r="A903" s="8" t="s">
        <v>2384</v>
      </c>
      <c r="B903" s="8" t="s">
        <v>180</v>
      </c>
      <c r="C903" s="8" t="str">
        <f t="shared" si="13"/>
        <v>tmt11_128N</v>
      </c>
      <c r="D903" s="9" t="s">
        <v>15</v>
      </c>
      <c r="E903" s="8" t="s">
        <v>2370</v>
      </c>
      <c r="F903" s="9" t="s">
        <v>15</v>
      </c>
      <c r="G903" s="8">
        <v>500</v>
      </c>
    </row>
    <row r="904" spans="1:7" x14ac:dyDescent="0.15">
      <c r="A904" s="8" t="s">
        <v>2385</v>
      </c>
      <c r="B904" s="8" t="s">
        <v>180</v>
      </c>
      <c r="C904" s="8" t="str">
        <f t="shared" si="13"/>
        <v>tmt11_129C</v>
      </c>
      <c r="D904" s="9" t="s">
        <v>15</v>
      </c>
      <c r="E904" s="8" t="s">
        <v>2372</v>
      </c>
      <c r="F904" s="9" t="s">
        <v>15</v>
      </c>
      <c r="G904" s="8">
        <v>500</v>
      </c>
    </row>
    <row r="905" spans="1:7" x14ac:dyDescent="0.15">
      <c r="A905" s="8" t="s">
        <v>2386</v>
      </c>
      <c r="B905" s="8" t="s">
        <v>180</v>
      </c>
      <c r="C905" s="8" t="str">
        <f t="shared" si="13"/>
        <v>tmt11_129N</v>
      </c>
      <c r="D905" s="9" t="s">
        <v>15</v>
      </c>
      <c r="E905" s="8" t="s">
        <v>2374</v>
      </c>
      <c r="F905" s="9" t="s">
        <v>15</v>
      </c>
      <c r="G905" s="8">
        <v>500</v>
      </c>
    </row>
    <row r="906" spans="1:7" x14ac:dyDescent="0.15">
      <c r="A906" s="8" t="s">
        <v>2387</v>
      </c>
      <c r="B906" s="8" t="s">
        <v>180</v>
      </c>
      <c r="C906" s="8" t="str">
        <f t="shared" si="13"/>
        <v>tmt11_130C</v>
      </c>
      <c r="D906" s="9" t="s">
        <v>15</v>
      </c>
      <c r="E906" s="8" t="s">
        <v>2376</v>
      </c>
      <c r="F906" s="9" t="s">
        <v>15</v>
      </c>
      <c r="G906" s="8">
        <v>500</v>
      </c>
    </row>
    <row r="907" spans="1:7" x14ac:dyDescent="0.15">
      <c r="A907" s="8" t="s">
        <v>2388</v>
      </c>
      <c r="B907" s="8" t="s">
        <v>180</v>
      </c>
      <c r="C907" s="8" t="str">
        <f t="shared" ref="C907:C975" si="14">A907</f>
        <v>tmt11_130N</v>
      </c>
      <c r="D907" s="9" t="s">
        <v>15</v>
      </c>
      <c r="E907" s="8" t="s">
        <v>2378</v>
      </c>
      <c r="F907" s="9" t="s">
        <v>15</v>
      </c>
      <c r="G907" s="8">
        <v>500</v>
      </c>
    </row>
    <row r="908" spans="1:7" x14ac:dyDescent="0.15">
      <c r="A908" s="8" t="s">
        <v>2389</v>
      </c>
      <c r="B908" s="8" t="s">
        <v>180</v>
      </c>
      <c r="C908" s="8" t="str">
        <f t="shared" si="14"/>
        <v>tmt11_131C</v>
      </c>
      <c r="D908" s="9" t="s">
        <v>15</v>
      </c>
      <c r="E908" s="8" t="s">
        <v>2390</v>
      </c>
      <c r="F908" s="9" t="s">
        <v>15</v>
      </c>
      <c r="G908" s="8">
        <v>500</v>
      </c>
    </row>
    <row r="909" spans="1:7" x14ac:dyDescent="0.15">
      <c r="A909" s="8" t="s">
        <v>2391</v>
      </c>
      <c r="B909" s="8" t="s">
        <v>180</v>
      </c>
      <c r="C909" s="8" t="str">
        <f t="shared" si="14"/>
        <v>tmt11_131N</v>
      </c>
      <c r="D909" s="9" t="s">
        <v>15</v>
      </c>
      <c r="E909" s="8" t="s">
        <v>2392</v>
      </c>
      <c r="F909" s="9" t="s">
        <v>15</v>
      </c>
      <c r="G909" s="8">
        <v>500</v>
      </c>
    </row>
    <row r="910" spans="1:7" x14ac:dyDescent="0.15">
      <c r="A910" s="8" t="s">
        <v>2393</v>
      </c>
      <c r="B910" s="8" t="s">
        <v>180</v>
      </c>
      <c r="C910" s="8" t="str">
        <f t="shared" si="14"/>
        <v>tmt18_126</v>
      </c>
      <c r="D910" s="9" t="s">
        <v>15</v>
      </c>
      <c r="E910" s="8">
        <v>126</v>
      </c>
      <c r="F910" s="9" t="s">
        <v>15</v>
      </c>
      <c r="G910" s="8">
        <v>500</v>
      </c>
    </row>
    <row r="911" spans="1:7" x14ac:dyDescent="0.15">
      <c r="A911" s="8" t="s">
        <v>2394</v>
      </c>
      <c r="B911" s="8" t="s">
        <v>180</v>
      </c>
      <c r="C911" s="8" t="str">
        <f t="shared" si="14"/>
        <v>tmt18_127C</v>
      </c>
      <c r="D911" s="9" t="s">
        <v>15</v>
      </c>
      <c r="E911" s="8" t="s">
        <v>2364</v>
      </c>
      <c r="F911" s="9" t="s">
        <v>15</v>
      </c>
      <c r="G911" s="8">
        <v>500</v>
      </c>
    </row>
    <row r="912" spans="1:7" x14ac:dyDescent="0.15">
      <c r="A912" s="8" t="s">
        <v>2395</v>
      </c>
      <c r="B912" s="8" t="s">
        <v>180</v>
      </c>
      <c r="C912" s="8" t="str">
        <f t="shared" si="14"/>
        <v>tmt18_127N</v>
      </c>
      <c r="D912" s="9" t="s">
        <v>15</v>
      </c>
      <c r="E912" s="8" t="s">
        <v>2366</v>
      </c>
      <c r="F912" s="9" t="s">
        <v>15</v>
      </c>
      <c r="G912" s="8">
        <v>500</v>
      </c>
    </row>
    <row r="913" spans="1:7" x14ac:dyDescent="0.15">
      <c r="A913" s="8" t="s">
        <v>2396</v>
      </c>
      <c r="B913" s="8" t="s">
        <v>180</v>
      </c>
      <c r="C913" s="8" t="str">
        <f t="shared" si="14"/>
        <v>tmt18_128C</v>
      </c>
      <c r="D913" s="9" t="s">
        <v>15</v>
      </c>
      <c r="E913" s="8" t="s">
        <v>2368</v>
      </c>
      <c r="F913" s="9" t="s">
        <v>15</v>
      </c>
      <c r="G913" s="8">
        <v>500</v>
      </c>
    </row>
    <row r="914" spans="1:7" x14ac:dyDescent="0.15">
      <c r="A914" s="8" t="s">
        <v>2397</v>
      </c>
      <c r="B914" s="8" t="s">
        <v>180</v>
      </c>
      <c r="C914" s="8" t="str">
        <f t="shared" si="14"/>
        <v>tmt18_128N</v>
      </c>
      <c r="D914" s="9" t="s">
        <v>15</v>
      </c>
      <c r="E914" s="8" t="s">
        <v>2370</v>
      </c>
      <c r="F914" s="9" t="s">
        <v>15</v>
      </c>
      <c r="G914" s="8">
        <v>500</v>
      </c>
    </row>
    <row r="915" spans="1:7" x14ac:dyDescent="0.15">
      <c r="A915" s="8" t="s">
        <v>2398</v>
      </c>
      <c r="B915" s="8" t="s">
        <v>180</v>
      </c>
      <c r="C915" s="8" t="str">
        <f t="shared" si="14"/>
        <v>tmt18_129C</v>
      </c>
      <c r="D915" s="9" t="s">
        <v>15</v>
      </c>
      <c r="E915" s="8" t="s">
        <v>2372</v>
      </c>
      <c r="F915" s="9" t="s">
        <v>15</v>
      </c>
      <c r="G915" s="8">
        <v>500</v>
      </c>
    </row>
    <row r="916" spans="1:7" x14ac:dyDescent="0.15">
      <c r="A916" s="8" t="s">
        <v>2399</v>
      </c>
      <c r="B916" s="8" t="s">
        <v>180</v>
      </c>
      <c r="C916" s="8" t="str">
        <f t="shared" si="14"/>
        <v>tmt18_129N</v>
      </c>
      <c r="D916" s="9" t="s">
        <v>15</v>
      </c>
      <c r="E916" s="8" t="s">
        <v>2374</v>
      </c>
      <c r="F916" s="9" t="s">
        <v>15</v>
      </c>
      <c r="G916" s="8">
        <v>500</v>
      </c>
    </row>
    <row r="917" spans="1:7" x14ac:dyDescent="0.15">
      <c r="A917" s="8" t="s">
        <v>2400</v>
      </c>
      <c r="B917" s="8" t="s">
        <v>180</v>
      </c>
      <c r="C917" s="8" t="str">
        <f t="shared" si="14"/>
        <v>tmt18_130C</v>
      </c>
      <c r="D917" s="9" t="s">
        <v>15</v>
      </c>
      <c r="E917" s="8" t="s">
        <v>2376</v>
      </c>
      <c r="F917" s="9" t="s">
        <v>15</v>
      </c>
      <c r="G917" s="8">
        <v>500</v>
      </c>
    </row>
    <row r="918" spans="1:7" x14ac:dyDescent="0.15">
      <c r="A918" s="8" t="s">
        <v>2401</v>
      </c>
      <c r="B918" s="8" t="s">
        <v>180</v>
      </c>
      <c r="C918" s="8" t="str">
        <f t="shared" si="14"/>
        <v>tmt18_130N</v>
      </c>
      <c r="D918" s="9" t="s">
        <v>15</v>
      </c>
      <c r="E918" s="8" t="s">
        <v>2378</v>
      </c>
      <c r="F918" s="9" t="s">
        <v>15</v>
      </c>
      <c r="G918" s="8">
        <v>500</v>
      </c>
    </row>
    <row r="919" spans="1:7" x14ac:dyDescent="0.15">
      <c r="A919" s="8" t="s">
        <v>2402</v>
      </c>
      <c r="B919" s="8" t="s">
        <v>180</v>
      </c>
      <c r="C919" s="8" t="str">
        <f t="shared" si="14"/>
        <v>tmt18_131C</v>
      </c>
      <c r="D919" s="9" t="s">
        <v>15</v>
      </c>
      <c r="E919" s="8" t="s">
        <v>2390</v>
      </c>
      <c r="F919" s="9" t="s">
        <v>15</v>
      </c>
      <c r="G919" s="8">
        <v>500</v>
      </c>
    </row>
    <row r="920" spans="1:7" x14ac:dyDescent="0.15">
      <c r="A920" s="8" t="s">
        <v>2403</v>
      </c>
      <c r="B920" s="8" t="s">
        <v>180</v>
      </c>
      <c r="C920" s="8" t="str">
        <f t="shared" si="14"/>
        <v>tmt18_131N</v>
      </c>
      <c r="D920" s="9" t="s">
        <v>15</v>
      </c>
      <c r="E920" s="8" t="s">
        <v>2392</v>
      </c>
      <c r="F920" s="9" t="s">
        <v>15</v>
      </c>
      <c r="G920" s="8">
        <v>500</v>
      </c>
    </row>
    <row r="921" spans="1:7" x14ac:dyDescent="0.15">
      <c r="A921" s="8" t="s">
        <v>2404</v>
      </c>
      <c r="B921" s="8" t="s">
        <v>180</v>
      </c>
      <c r="C921" s="8" t="str">
        <f t="shared" si="14"/>
        <v>tmt18_132C</v>
      </c>
      <c r="D921" s="9" t="s">
        <v>15</v>
      </c>
      <c r="E921" s="8" t="s">
        <v>2405</v>
      </c>
      <c r="F921" s="9" t="s">
        <v>15</v>
      </c>
      <c r="G921" s="8">
        <v>500</v>
      </c>
    </row>
    <row r="922" spans="1:7" x14ac:dyDescent="0.15">
      <c r="A922" s="8" t="s">
        <v>2406</v>
      </c>
      <c r="B922" s="8" t="s">
        <v>180</v>
      </c>
      <c r="C922" s="8" t="str">
        <f t="shared" si="14"/>
        <v>tmt18_132N</v>
      </c>
      <c r="D922" s="9" t="s">
        <v>15</v>
      </c>
      <c r="E922" s="8" t="s">
        <v>2407</v>
      </c>
      <c r="F922" s="9" t="s">
        <v>15</v>
      </c>
      <c r="G922" s="8">
        <v>500</v>
      </c>
    </row>
    <row r="923" spans="1:7" x14ac:dyDescent="0.15">
      <c r="A923" s="8" t="s">
        <v>2408</v>
      </c>
      <c r="B923" s="8" t="s">
        <v>180</v>
      </c>
      <c r="C923" s="8" t="str">
        <f t="shared" si="14"/>
        <v>tmt18_133C</v>
      </c>
      <c r="D923" s="9" t="s">
        <v>15</v>
      </c>
      <c r="E923" s="8" t="s">
        <v>2409</v>
      </c>
      <c r="F923" s="9" t="s">
        <v>15</v>
      </c>
      <c r="G923" s="8">
        <v>500</v>
      </c>
    </row>
    <row r="924" spans="1:7" x14ac:dyDescent="0.15">
      <c r="A924" s="8" t="s">
        <v>2410</v>
      </c>
      <c r="B924" s="8" t="s">
        <v>180</v>
      </c>
      <c r="C924" s="8" t="str">
        <f t="shared" si="14"/>
        <v>tmt18_133N</v>
      </c>
      <c r="D924" s="9" t="s">
        <v>15</v>
      </c>
      <c r="E924" s="8" t="s">
        <v>2411</v>
      </c>
      <c r="F924" s="9" t="s">
        <v>15</v>
      </c>
      <c r="G924" s="8">
        <v>500</v>
      </c>
    </row>
    <row r="925" spans="1:7" x14ac:dyDescent="0.15">
      <c r="A925" s="8" t="s">
        <v>2412</v>
      </c>
      <c r="B925" s="8" t="s">
        <v>180</v>
      </c>
      <c r="C925" s="8" t="str">
        <f t="shared" si="14"/>
        <v>tmt18_134C</v>
      </c>
      <c r="D925" s="9" t="s">
        <v>15</v>
      </c>
      <c r="E925" s="8" t="s">
        <v>2413</v>
      </c>
      <c r="F925" s="9" t="s">
        <v>15</v>
      </c>
      <c r="G925" s="8">
        <v>500</v>
      </c>
    </row>
    <row r="926" spans="1:7" x14ac:dyDescent="0.15">
      <c r="A926" s="8" t="s">
        <v>2414</v>
      </c>
      <c r="B926" s="8" t="s">
        <v>180</v>
      </c>
      <c r="C926" s="8" t="str">
        <f t="shared" si="14"/>
        <v>tmt18_134N</v>
      </c>
      <c r="D926" s="9" t="s">
        <v>15</v>
      </c>
      <c r="E926" s="8" t="s">
        <v>2415</v>
      </c>
      <c r="F926" s="9" t="s">
        <v>15</v>
      </c>
      <c r="G926" s="8">
        <v>500</v>
      </c>
    </row>
    <row r="927" spans="1:7" x14ac:dyDescent="0.15">
      <c r="A927" s="8" t="s">
        <v>2416</v>
      </c>
      <c r="B927" s="8" t="s">
        <v>180</v>
      </c>
      <c r="C927" s="8" t="str">
        <f t="shared" si="14"/>
        <v>tmt18_135N</v>
      </c>
      <c r="D927" s="9" t="s">
        <v>15</v>
      </c>
      <c r="E927" s="8" t="s">
        <v>2417</v>
      </c>
      <c r="F927" s="9" t="s">
        <v>15</v>
      </c>
      <c r="G927" s="8">
        <v>500</v>
      </c>
    </row>
    <row r="928" spans="1:7" x14ac:dyDescent="0.15">
      <c r="A928" s="8" t="s">
        <v>2418</v>
      </c>
      <c r="B928" s="8" t="s">
        <v>180</v>
      </c>
      <c r="C928" s="8" t="str">
        <f t="shared" si="14"/>
        <v>tmt6_126</v>
      </c>
      <c r="D928" s="9" t="s">
        <v>15</v>
      </c>
      <c r="E928" s="8">
        <v>126</v>
      </c>
      <c r="F928" s="9" t="s">
        <v>15</v>
      </c>
      <c r="G928" s="8">
        <v>500</v>
      </c>
    </row>
    <row r="929" spans="1:7" x14ac:dyDescent="0.15">
      <c r="A929" s="8" t="s">
        <v>2419</v>
      </c>
      <c r="B929" s="8" t="s">
        <v>180</v>
      </c>
      <c r="C929" s="8" t="str">
        <f t="shared" si="14"/>
        <v>tmt6_127</v>
      </c>
      <c r="D929" s="9" t="s">
        <v>15</v>
      </c>
      <c r="E929" s="8">
        <v>127</v>
      </c>
      <c r="F929" s="9" t="s">
        <v>15</v>
      </c>
      <c r="G929" s="8">
        <v>500</v>
      </c>
    </row>
    <row r="930" spans="1:7" x14ac:dyDescent="0.15">
      <c r="A930" s="8" t="s">
        <v>2420</v>
      </c>
      <c r="B930" s="8" t="s">
        <v>180</v>
      </c>
      <c r="C930" s="8" t="str">
        <f t="shared" si="14"/>
        <v>tmt6_128</v>
      </c>
      <c r="D930" s="9" t="s">
        <v>15</v>
      </c>
      <c r="E930" s="8">
        <v>128</v>
      </c>
      <c r="F930" s="9" t="s">
        <v>15</v>
      </c>
      <c r="G930" s="8">
        <v>500</v>
      </c>
    </row>
    <row r="931" spans="1:7" x14ac:dyDescent="0.15">
      <c r="A931" s="8" t="s">
        <v>2421</v>
      </c>
      <c r="B931" s="8" t="s">
        <v>180</v>
      </c>
      <c r="C931" s="8" t="str">
        <f t="shared" si="14"/>
        <v>tmt6_129</v>
      </c>
      <c r="D931" s="9" t="s">
        <v>15</v>
      </c>
      <c r="E931" s="8">
        <v>129</v>
      </c>
      <c r="F931" s="9" t="s">
        <v>15</v>
      </c>
      <c r="G931" s="8">
        <v>500</v>
      </c>
    </row>
    <row r="932" spans="1:7" x14ac:dyDescent="0.15">
      <c r="A932" s="8" t="s">
        <v>2422</v>
      </c>
      <c r="B932" s="8" t="s">
        <v>180</v>
      </c>
      <c r="C932" s="8" t="str">
        <f t="shared" si="14"/>
        <v>tmt6_130</v>
      </c>
      <c r="D932" s="9" t="s">
        <v>15</v>
      </c>
      <c r="E932" s="8">
        <v>130</v>
      </c>
      <c r="F932" s="9" t="s">
        <v>15</v>
      </c>
      <c r="G932" s="8">
        <v>500</v>
      </c>
    </row>
    <row r="933" spans="1:7" x14ac:dyDescent="0.15">
      <c r="A933" s="8" t="s">
        <v>2423</v>
      </c>
      <c r="B933" s="8" t="s">
        <v>180</v>
      </c>
      <c r="C933" s="8" t="str">
        <f t="shared" si="14"/>
        <v>tmt6_131</v>
      </c>
      <c r="D933" s="9" t="s">
        <v>15</v>
      </c>
      <c r="E933" s="8">
        <v>131</v>
      </c>
      <c r="F933" s="9" t="s">
        <v>15</v>
      </c>
      <c r="G933" s="8">
        <v>500</v>
      </c>
    </row>
    <row r="934" spans="1:7" x14ac:dyDescent="0.15">
      <c r="A934" s="8" t="s">
        <v>2424</v>
      </c>
      <c r="B934" s="8" t="s">
        <v>187</v>
      </c>
      <c r="C934" s="8" t="str">
        <f t="shared" si="14"/>
        <v>biochem</v>
      </c>
      <c r="D934" s="9" t="s">
        <v>15</v>
      </c>
      <c r="E934" s="8" t="s">
        <v>2425</v>
      </c>
      <c r="F934" s="8" t="s">
        <v>2426</v>
      </c>
      <c r="G934" s="8">
        <v>500</v>
      </c>
    </row>
    <row r="935" spans="1:7" x14ac:dyDescent="0.15">
      <c r="A935" s="8" t="s">
        <v>2427</v>
      </c>
      <c r="B935" s="8" t="s">
        <v>187</v>
      </c>
      <c r="C935" s="8" t="str">
        <f t="shared" si="14"/>
        <v>cecad</v>
      </c>
      <c r="D935" s="9" t="s">
        <v>15</v>
      </c>
      <c r="E935" s="8" t="s">
        <v>2428</v>
      </c>
      <c r="F935" s="8" t="s">
        <v>2429</v>
      </c>
      <c r="G935" s="8">
        <v>500</v>
      </c>
    </row>
    <row r="936" spans="1:7" x14ac:dyDescent="0.15">
      <c r="A936" s="8" t="s">
        <v>2430</v>
      </c>
      <c r="B936" s="8" t="s">
        <v>187</v>
      </c>
      <c r="C936" s="8" t="str">
        <f t="shared" si="14"/>
        <v>mpiage</v>
      </c>
      <c r="D936" s="9" t="s">
        <v>15</v>
      </c>
      <c r="E936" s="8" t="s">
        <v>2431</v>
      </c>
      <c r="F936" s="8" t="s">
        <v>2432</v>
      </c>
      <c r="G936" s="8">
        <v>500</v>
      </c>
    </row>
    <row r="937" spans="1:7" x14ac:dyDescent="0.15">
      <c r="A937" s="8" t="s">
        <v>2433</v>
      </c>
      <c r="B937" s="8" t="s">
        <v>187</v>
      </c>
      <c r="C937" s="8" t="str">
        <f t="shared" si="14"/>
        <v>mpimetab</v>
      </c>
      <c r="D937" s="9" t="s">
        <v>15</v>
      </c>
      <c r="E937" s="8" t="s">
        <v>2434</v>
      </c>
      <c r="F937" s="8" t="s">
        <v>2435</v>
      </c>
      <c r="G937" s="8">
        <v>500</v>
      </c>
    </row>
    <row r="938" spans="1:7" x14ac:dyDescent="0.15">
      <c r="A938" s="8" t="s">
        <v>2984</v>
      </c>
      <c r="B938" s="8" t="s">
        <v>187</v>
      </c>
      <c r="C938" s="8" t="str">
        <f t="shared" si="14"/>
        <v>unibonn</v>
      </c>
      <c r="D938" s="9" t="s">
        <v>15</v>
      </c>
      <c r="E938" s="8" t="s">
        <v>2985</v>
      </c>
      <c r="F938" s="8" t="s">
        <v>2985</v>
      </c>
      <c r="G938" s="8">
        <v>500</v>
      </c>
    </row>
    <row r="939" spans="1:7" x14ac:dyDescent="0.15">
      <c r="A939" s="8" t="s">
        <v>2436</v>
      </c>
      <c r="B939" s="8" t="s">
        <v>191</v>
      </c>
      <c r="C939" s="8" t="str">
        <f t="shared" si="14"/>
        <v>mitoprotea</v>
      </c>
      <c r="D939" s="8" t="s">
        <v>15</v>
      </c>
      <c r="E939" s="8" t="s">
        <v>2437</v>
      </c>
      <c r="F939" s="8" t="s">
        <v>2438</v>
      </c>
      <c r="G939" s="8">
        <v>500</v>
      </c>
    </row>
    <row r="940" spans="1:7" x14ac:dyDescent="0.15">
      <c r="A940" s="8" t="s">
        <v>2439</v>
      </c>
      <c r="B940" s="8" t="s">
        <v>191</v>
      </c>
      <c r="C940" s="8" t="str">
        <f t="shared" si="14"/>
        <v>molageing</v>
      </c>
      <c r="D940" s="8" t="s">
        <v>15</v>
      </c>
      <c r="E940" s="8" t="s">
        <v>2440</v>
      </c>
      <c r="F940" s="8" t="s">
        <v>2441</v>
      </c>
      <c r="G940" s="8">
        <v>500</v>
      </c>
    </row>
    <row r="941" spans="1:7" x14ac:dyDescent="0.15">
      <c r="A941" s="8" t="s">
        <v>3083</v>
      </c>
      <c r="B941" s="8" t="s">
        <v>191</v>
      </c>
      <c r="C941" s="8" t="str">
        <f t="shared" si="14"/>
        <v>protfa</v>
      </c>
      <c r="D941" s="8" t="s">
        <v>15</v>
      </c>
      <c r="E941" s="8" t="s">
        <v>3082</v>
      </c>
      <c r="F941" s="8" t="s">
        <v>3081</v>
      </c>
      <c r="G941" s="8">
        <v>500</v>
      </c>
    </row>
    <row r="942" spans="1:7" x14ac:dyDescent="0.15">
      <c r="A942" s="8" t="s">
        <v>2796</v>
      </c>
      <c r="B942" s="8" t="s">
        <v>191</v>
      </c>
      <c r="C942" s="8" t="str">
        <f t="shared" si="14"/>
        <v>frezza</v>
      </c>
      <c r="D942" s="8" t="s">
        <v>15</v>
      </c>
      <c r="E942" s="8" t="s">
        <v>2797</v>
      </c>
      <c r="F942" s="8" t="s">
        <v>2798</v>
      </c>
      <c r="G942" s="8">
        <v>500</v>
      </c>
    </row>
    <row r="943" spans="1:7" x14ac:dyDescent="0.15">
      <c r="A943" s="8" t="s">
        <v>2799</v>
      </c>
      <c r="B943" s="8" t="s">
        <v>191</v>
      </c>
      <c r="C943" s="8" t="str">
        <f t="shared" si="14"/>
        <v>krueger</v>
      </c>
      <c r="D943" s="8" t="s">
        <v>15</v>
      </c>
      <c r="E943" s="8" t="s">
        <v>2800</v>
      </c>
      <c r="F943" s="8" t="s">
        <v>2801</v>
      </c>
      <c r="G943" s="8">
        <v>500</v>
      </c>
    </row>
    <row r="944" spans="1:7" x14ac:dyDescent="0.15">
      <c r="A944" s="8" t="s">
        <v>2802</v>
      </c>
      <c r="B944" s="8" t="s">
        <v>191</v>
      </c>
      <c r="C944" s="8" t="str">
        <f t="shared" si="14"/>
        <v>rugarli</v>
      </c>
      <c r="D944" s="8" t="s">
        <v>15</v>
      </c>
      <c r="E944" s="8" t="s">
        <v>2803</v>
      </c>
      <c r="F944" s="8" t="s">
        <v>2801</v>
      </c>
      <c r="G944" s="8">
        <v>500</v>
      </c>
    </row>
    <row r="945" spans="1:7" x14ac:dyDescent="0.15">
      <c r="A945" s="8" t="s">
        <v>2804</v>
      </c>
      <c r="B945" s="8" t="s">
        <v>191</v>
      </c>
      <c r="C945" s="8" t="str">
        <f t="shared" si="14"/>
        <v>trifunovic</v>
      </c>
      <c r="D945" s="8" t="s">
        <v>15</v>
      </c>
      <c r="E945" s="8" t="s">
        <v>2805</v>
      </c>
      <c r="F945" s="8" t="s">
        <v>2806</v>
      </c>
      <c r="G945" s="8">
        <v>500</v>
      </c>
    </row>
    <row r="946" spans="1:7" x14ac:dyDescent="0.15">
      <c r="A946" s="8" t="s">
        <v>2958</v>
      </c>
      <c r="B946" s="8" t="s">
        <v>191</v>
      </c>
      <c r="C946" s="8" t="str">
        <f t="shared" si="14"/>
        <v>bergmani</v>
      </c>
      <c r="D946" s="8" t="s">
        <v>15</v>
      </c>
      <c r="E946" s="8" t="s">
        <v>2966</v>
      </c>
      <c r="F946" s="8" t="s">
        <v>2976</v>
      </c>
      <c r="G946" s="8">
        <v>500</v>
      </c>
    </row>
    <row r="947" spans="1:7" x14ac:dyDescent="0.15">
      <c r="A947" s="8" t="s">
        <v>2959</v>
      </c>
      <c r="B947" s="8" t="s">
        <v>191</v>
      </c>
      <c r="C947" s="8" t="str">
        <f t="shared" si="14"/>
        <v>motori</v>
      </c>
      <c r="D947" s="8" t="s">
        <v>15</v>
      </c>
      <c r="E947" s="8" t="s">
        <v>2967</v>
      </c>
      <c r="F947" s="8" t="s">
        <v>2977</v>
      </c>
      <c r="G947" s="8">
        <v>500</v>
      </c>
    </row>
    <row r="948" spans="1:7" x14ac:dyDescent="0.15">
      <c r="A948" s="8" t="s">
        <v>2960</v>
      </c>
      <c r="B948" s="8" t="s">
        <v>191</v>
      </c>
      <c r="C948" s="8" t="str">
        <f t="shared" si="14"/>
        <v>becker</v>
      </c>
      <c r="D948" s="8" t="s">
        <v>15</v>
      </c>
      <c r="E948" s="8" t="s">
        <v>2968</v>
      </c>
      <c r="F948" s="8" t="s">
        <v>2983</v>
      </c>
      <c r="G948" s="8">
        <v>500</v>
      </c>
    </row>
    <row r="949" spans="1:7" x14ac:dyDescent="0.15">
      <c r="A949" s="8" t="s">
        <v>2961</v>
      </c>
      <c r="B949" s="8" t="s">
        <v>191</v>
      </c>
      <c r="C949" s="8" t="str">
        <f t="shared" si="14"/>
        <v>bruening</v>
      </c>
      <c r="D949" s="8" t="s">
        <v>15</v>
      </c>
      <c r="E949" s="8" t="s">
        <v>2981</v>
      </c>
      <c r="F949" s="8" t="s">
        <v>2980</v>
      </c>
      <c r="G949" s="8">
        <v>500</v>
      </c>
    </row>
    <row r="950" spans="1:7" x14ac:dyDescent="0.15">
      <c r="A950" s="8" t="s">
        <v>2970</v>
      </c>
      <c r="B950" s="8" t="s">
        <v>191</v>
      </c>
      <c r="C950" s="8" t="str">
        <f t="shared" si="14"/>
        <v>escobar</v>
      </c>
      <c r="D950" s="8" t="s">
        <v>15</v>
      </c>
      <c r="E950" s="8" t="s">
        <v>2969</v>
      </c>
      <c r="F950" s="8" t="s">
        <v>2978</v>
      </c>
      <c r="G950" s="8">
        <v>500</v>
      </c>
    </row>
    <row r="951" spans="1:7" x14ac:dyDescent="0.15">
      <c r="A951" s="8" t="s">
        <v>2833</v>
      </c>
      <c r="B951" s="8" t="s">
        <v>191</v>
      </c>
      <c r="C951" s="8" t="str">
        <f t="shared" si="14"/>
        <v>garcia</v>
      </c>
      <c r="D951" s="8" t="s">
        <v>15</v>
      </c>
      <c r="E951" s="8" t="s">
        <v>2834</v>
      </c>
      <c r="F951" s="8" t="s">
        <v>2979</v>
      </c>
      <c r="G951" s="8">
        <v>500</v>
      </c>
    </row>
    <row r="952" spans="1:7" x14ac:dyDescent="0.15">
      <c r="A952" s="8" t="s">
        <v>2962</v>
      </c>
      <c r="B952" s="8" t="s">
        <v>191</v>
      </c>
      <c r="C952" s="8" t="str">
        <f t="shared" si="14"/>
        <v>piano</v>
      </c>
      <c r="D952" s="8" t="s">
        <v>15</v>
      </c>
      <c r="E952" s="8" t="s">
        <v>2971</v>
      </c>
      <c r="F952" s="8" t="s">
        <v>2986</v>
      </c>
      <c r="G952" s="8">
        <v>500</v>
      </c>
    </row>
    <row r="953" spans="1:7" x14ac:dyDescent="0.15">
      <c r="A953" s="8" t="s">
        <v>2963</v>
      </c>
      <c r="B953" s="8" t="s">
        <v>191</v>
      </c>
      <c r="C953" s="8" t="str">
        <f t="shared" si="14"/>
        <v>schwarz</v>
      </c>
      <c r="D953" s="8" t="s">
        <v>15</v>
      </c>
      <c r="E953" s="8" t="s">
        <v>2972</v>
      </c>
      <c r="F953" s="8" t="s">
        <v>2982</v>
      </c>
      <c r="G953" s="8">
        <v>500</v>
      </c>
    </row>
    <row r="954" spans="1:7" x14ac:dyDescent="0.15">
      <c r="A954" s="8" t="s">
        <v>2964</v>
      </c>
      <c r="B954" s="8" t="s">
        <v>191</v>
      </c>
      <c r="C954" s="8" t="str">
        <f t="shared" si="14"/>
        <v>corrado</v>
      </c>
      <c r="D954" s="8" t="s">
        <v>15</v>
      </c>
      <c r="E954" s="8" t="s">
        <v>2973</v>
      </c>
      <c r="F954" s="8" t="s">
        <v>2987</v>
      </c>
      <c r="G954" s="8">
        <v>500</v>
      </c>
    </row>
    <row r="955" spans="1:7" x14ac:dyDescent="0.15">
      <c r="A955" s="8" t="s">
        <v>2965</v>
      </c>
      <c r="B955" s="8" t="s">
        <v>191</v>
      </c>
      <c r="C955" s="8" t="str">
        <f t="shared" si="14"/>
        <v>eming</v>
      </c>
      <c r="D955" s="8" t="s">
        <v>15</v>
      </c>
      <c r="E955" s="8" t="s">
        <v>2974</v>
      </c>
      <c r="F955" s="8" t="s">
        <v>2975</v>
      </c>
      <c r="G955" s="8">
        <v>500</v>
      </c>
    </row>
    <row r="956" spans="1:7" x14ac:dyDescent="0.15">
      <c r="A956" s="8" t="s">
        <v>2830</v>
      </c>
      <c r="B956" s="8" t="s">
        <v>191</v>
      </c>
      <c r="C956" s="8" t="str">
        <f t="shared" si="14"/>
        <v>hoppe</v>
      </c>
      <c r="D956" s="8" t="s">
        <v>15</v>
      </c>
      <c r="E956" s="8" t="s">
        <v>2831</v>
      </c>
      <c r="F956" s="8" t="s">
        <v>2832</v>
      </c>
      <c r="G956" s="8">
        <v>500</v>
      </c>
    </row>
    <row r="957" spans="1:7" x14ac:dyDescent="0.15">
      <c r="A957" s="8" t="s">
        <v>2833</v>
      </c>
      <c r="B957" s="8" t="s">
        <v>191</v>
      </c>
      <c r="C957" s="8" t="str">
        <f t="shared" si="14"/>
        <v>garcia</v>
      </c>
      <c r="D957" s="8" t="s">
        <v>15</v>
      </c>
      <c r="E957" s="8" t="s">
        <v>2834</v>
      </c>
      <c r="F957" s="8" t="s">
        <v>2832</v>
      </c>
      <c r="G957" s="8">
        <v>500</v>
      </c>
    </row>
    <row r="958" spans="1:7" x14ac:dyDescent="0.15">
      <c r="A958" s="8" t="s">
        <v>2835</v>
      </c>
      <c r="B958" s="8" t="s">
        <v>191</v>
      </c>
      <c r="C958" s="8" t="str">
        <f t="shared" si="14"/>
        <v>khaskar</v>
      </c>
      <c r="D958" s="8" t="s">
        <v>15</v>
      </c>
      <c r="E958" s="8" t="s">
        <v>2836</v>
      </c>
      <c r="F958" s="8" t="s">
        <v>2837</v>
      </c>
      <c r="G958" s="8">
        <v>500</v>
      </c>
    </row>
    <row r="959" spans="1:7" x14ac:dyDescent="0.15">
      <c r="A959" s="8" t="s">
        <v>2954</v>
      </c>
      <c r="B959" s="8" t="s">
        <v>191</v>
      </c>
      <c r="C959" s="8" t="str">
        <f t="shared" si="14"/>
        <v>riemer</v>
      </c>
      <c r="D959" s="8" t="s">
        <v>15</v>
      </c>
      <c r="E959" s="8" t="s">
        <v>2955</v>
      </c>
      <c r="F959" s="8" t="s">
        <v>2956</v>
      </c>
      <c r="G959" s="8">
        <v>500</v>
      </c>
    </row>
    <row r="960" spans="1:7" x14ac:dyDescent="0.15">
      <c r="A960" s="8" t="s">
        <v>2750</v>
      </c>
      <c r="B960" s="20" t="s">
        <v>2746</v>
      </c>
      <c r="C960" s="8" t="str">
        <f t="shared" si="14"/>
        <v>wd</v>
      </c>
      <c r="D960" s="8" t="s">
        <v>15</v>
      </c>
      <c r="E960" s="8" t="s">
        <v>2749</v>
      </c>
      <c r="F960" s="8" t="s">
        <v>2748</v>
      </c>
      <c r="G960" s="8">
        <v>500</v>
      </c>
    </row>
    <row r="961" spans="1:7" x14ac:dyDescent="0.15">
      <c r="A961" s="8" t="s">
        <v>2751</v>
      </c>
      <c r="B961" s="20" t="s">
        <v>2746</v>
      </c>
      <c r="C961" s="8" t="str">
        <f t="shared" si="14"/>
        <v>sd</v>
      </c>
      <c r="D961" s="8" t="s">
        <v>15</v>
      </c>
      <c r="E961" s="8" t="s">
        <v>2752</v>
      </c>
      <c r="G961" s="8">
        <v>500</v>
      </c>
    </row>
    <row r="962" spans="1:7" x14ac:dyDescent="0.15">
      <c r="A962" s="8" t="s">
        <v>2753</v>
      </c>
      <c r="B962" s="20" t="s">
        <v>2746</v>
      </c>
      <c r="C962" s="8" t="str">
        <f t="shared" si="14"/>
        <v>veg</v>
      </c>
      <c r="D962" s="8" t="s">
        <v>15</v>
      </c>
      <c r="E962" s="8" t="s">
        <v>2754</v>
      </c>
      <c r="F962" s="8" t="s">
        <v>2755</v>
      </c>
      <c r="G962" s="8">
        <v>500</v>
      </c>
    </row>
    <row r="963" spans="1:7" x14ac:dyDescent="0.15">
      <c r="A963" s="8" t="s">
        <v>2758</v>
      </c>
      <c r="B963" s="20" t="s">
        <v>2746</v>
      </c>
      <c r="C963" s="8" t="str">
        <f t="shared" si="14"/>
        <v>hg</v>
      </c>
      <c r="D963" s="8" t="s">
        <v>15</v>
      </c>
      <c r="E963" s="8" t="s">
        <v>2756</v>
      </c>
      <c r="F963" s="8" t="s">
        <v>2757</v>
      </c>
      <c r="G963" s="8">
        <v>500</v>
      </c>
    </row>
    <row r="964" spans="1:7" x14ac:dyDescent="0.15">
      <c r="A964" s="8" t="s">
        <v>2761</v>
      </c>
      <c r="B964" s="8" t="s">
        <v>2746</v>
      </c>
      <c r="C964" s="8" t="str">
        <f t="shared" si="14"/>
        <v>hfd</v>
      </c>
      <c r="D964" s="8" t="s">
        <v>15</v>
      </c>
      <c r="E964" s="8" t="s">
        <v>2759</v>
      </c>
      <c r="F964" s="8" t="s">
        <v>2760</v>
      </c>
      <c r="G964" s="8">
        <v>500</v>
      </c>
    </row>
    <row r="965" spans="1:7" x14ac:dyDescent="0.15">
      <c r="A965" s="8" t="s">
        <v>2496</v>
      </c>
      <c r="B965" s="8" t="s">
        <v>61</v>
      </c>
      <c r="C965" s="8" t="str">
        <f t="shared" si="14"/>
        <v>lps</v>
      </c>
      <c r="D965" s="8" t="s">
        <v>15</v>
      </c>
      <c r="E965" s="8" t="s">
        <v>2497</v>
      </c>
      <c r="F965" s="8" t="s">
        <v>2498</v>
      </c>
      <c r="G965" s="8">
        <v>500</v>
      </c>
    </row>
    <row r="966" spans="1:7" x14ac:dyDescent="0.15">
      <c r="A966" s="8" t="s">
        <v>2507</v>
      </c>
      <c r="B966" s="8" t="s">
        <v>61</v>
      </c>
      <c r="C966" s="8" t="str">
        <f t="shared" si="14"/>
        <v>r848</v>
      </c>
      <c r="D966" s="8" t="s">
        <v>15</v>
      </c>
      <c r="E966" s="8" t="s">
        <v>2508</v>
      </c>
      <c r="F966" s="8" t="s">
        <v>2901</v>
      </c>
      <c r="G966" s="8">
        <v>500</v>
      </c>
    </row>
    <row r="967" spans="1:7" x14ac:dyDescent="0.15">
      <c r="A967" s="8" t="s">
        <v>3142</v>
      </c>
      <c r="B967" s="8" t="s">
        <v>61</v>
      </c>
      <c r="C967" s="8" t="str">
        <f t="shared" si="14"/>
        <v>mitoblock10</v>
      </c>
      <c r="D967" s="8" t="s">
        <v>15</v>
      </c>
      <c r="E967" s="8" t="s">
        <v>3140</v>
      </c>
      <c r="F967" s="8" t="s">
        <v>3141</v>
      </c>
      <c r="G967" s="8">
        <v>500</v>
      </c>
    </row>
    <row r="968" spans="1:7" x14ac:dyDescent="0.15">
      <c r="A968" s="8" t="s">
        <v>3181</v>
      </c>
      <c r="B968" s="8" t="s">
        <v>61</v>
      </c>
      <c r="C968" s="8" t="str">
        <f t="shared" si="14"/>
        <v>ifng</v>
      </c>
      <c r="D968" s="8" t="s">
        <v>15</v>
      </c>
      <c r="E968" s="8" t="s">
        <v>3182</v>
      </c>
      <c r="F968" s="8" t="s">
        <v>3183</v>
      </c>
      <c r="G968" s="8">
        <v>500</v>
      </c>
    </row>
    <row r="969" spans="1:7" x14ac:dyDescent="0.15">
      <c r="A969" s="8" t="s">
        <v>3184</v>
      </c>
      <c r="B969" s="8" t="s">
        <v>61</v>
      </c>
      <c r="C969" s="8" t="str">
        <f t="shared" si="14"/>
        <v>il4</v>
      </c>
      <c r="D969" s="8" t="s">
        <v>15</v>
      </c>
      <c r="E969" s="8" t="s">
        <v>3185</v>
      </c>
      <c r="F969" s="8" t="s">
        <v>3186</v>
      </c>
      <c r="G969" s="8">
        <v>500</v>
      </c>
    </row>
    <row r="970" spans="1:7" x14ac:dyDescent="0.15">
      <c r="A970" s="8" t="s">
        <v>3187</v>
      </c>
      <c r="B970" s="8" t="s">
        <v>61</v>
      </c>
      <c r="C970" s="8" t="str">
        <f t="shared" si="14"/>
        <v>il13</v>
      </c>
      <c r="D970" s="8" t="s">
        <v>15</v>
      </c>
      <c r="E970" s="8" t="s">
        <v>3188</v>
      </c>
      <c r="F970" s="8" t="s">
        <v>3189</v>
      </c>
      <c r="G970" s="8">
        <v>500</v>
      </c>
    </row>
    <row r="971" spans="1:7" x14ac:dyDescent="0.15">
      <c r="A971" s="8" t="s">
        <v>3190</v>
      </c>
      <c r="B971" s="8" t="s">
        <v>61</v>
      </c>
      <c r="C971" s="8" t="str">
        <f t="shared" si="14"/>
        <v>asynlow</v>
      </c>
      <c r="D971" s="8" t="s">
        <v>15</v>
      </c>
      <c r="E971" s="8" t="s">
        <v>3191</v>
      </c>
      <c r="F971" s="8" t="s">
        <v>3194</v>
      </c>
      <c r="G971" s="8">
        <v>500</v>
      </c>
    </row>
    <row r="972" spans="1:7" x14ac:dyDescent="0.15">
      <c r="A972" s="8" t="s">
        <v>3192</v>
      </c>
      <c r="B972" s="8" t="s">
        <v>61</v>
      </c>
      <c r="C972" s="8" t="str">
        <f t="shared" si="14"/>
        <v>asynhigh</v>
      </c>
      <c r="D972" s="8" t="s">
        <v>15</v>
      </c>
      <c r="E972" s="8" t="s">
        <v>3193</v>
      </c>
      <c r="F972" s="8" t="s">
        <v>3195</v>
      </c>
      <c r="G972" s="8">
        <v>500</v>
      </c>
    </row>
    <row r="973" spans="1:7" x14ac:dyDescent="0.15">
      <c r="A973" s="8" t="s">
        <v>2902</v>
      </c>
      <c r="B973" s="8" t="s">
        <v>37</v>
      </c>
      <c r="C973" s="8" t="str">
        <f t="shared" si="14"/>
        <v>mdc</v>
      </c>
      <c r="D973" s="8" t="s">
        <v>15</v>
      </c>
      <c r="E973" s="8" t="s">
        <v>2923</v>
      </c>
      <c r="F973" s="8" t="s">
        <v>2922</v>
      </c>
      <c r="G973" s="8">
        <v>500</v>
      </c>
    </row>
    <row r="974" spans="1:7" x14ac:dyDescent="0.15">
      <c r="A974" s="8" t="s">
        <v>2903</v>
      </c>
      <c r="B974" s="8" t="s">
        <v>37</v>
      </c>
      <c r="C974" s="8" t="str">
        <f t="shared" si="14"/>
        <v>mtregs</v>
      </c>
      <c r="D974" s="8" t="s">
        <v>15</v>
      </c>
      <c r="E974" s="8" t="s">
        <v>2921</v>
      </c>
      <c r="F974" s="8" t="s">
        <v>2920</v>
      </c>
      <c r="G974" s="8">
        <v>500</v>
      </c>
    </row>
    <row r="975" spans="1:7" x14ac:dyDescent="0.15">
      <c r="A975" s="8" t="s">
        <v>2904</v>
      </c>
      <c r="B975" s="8" t="s">
        <v>37</v>
      </c>
      <c r="C975" s="8" t="str">
        <f t="shared" si="14"/>
        <v>pdc</v>
      </c>
      <c r="D975" s="8" t="s">
        <v>15</v>
      </c>
      <c r="E975" s="8" t="s">
        <v>2924</v>
      </c>
      <c r="F975" s="8" t="s">
        <v>2919</v>
      </c>
      <c r="G975" s="8">
        <v>500</v>
      </c>
    </row>
    <row r="976" spans="1:7" x14ac:dyDescent="0.15">
      <c r="A976" s="8" t="s">
        <v>2905</v>
      </c>
      <c r="B976" s="8" t="s">
        <v>37</v>
      </c>
      <c r="C976" s="8" t="str">
        <f t="shared" ref="C976:C1019" si="15">A976</f>
        <v>attregs</v>
      </c>
      <c r="D976" s="8" t="s">
        <v>15</v>
      </c>
      <c r="E976" s="8" t="s">
        <v>2918</v>
      </c>
      <c r="F976" s="8" t="s">
        <v>2925</v>
      </c>
      <c r="G976" s="8">
        <v>500</v>
      </c>
    </row>
    <row r="977" spans="1:7" x14ac:dyDescent="0.15">
      <c r="A977" s="8" t="s">
        <v>2906</v>
      </c>
      <c r="B977" s="8" t="s">
        <v>37</v>
      </c>
      <c r="C977" s="8" t="str">
        <f t="shared" si="15"/>
        <v>infdc</v>
      </c>
      <c r="D977" s="8" t="s">
        <v>15</v>
      </c>
      <c r="E977" s="8" t="s">
        <v>2917</v>
      </c>
      <c r="F977" s="8" t="s">
        <v>2916</v>
      </c>
      <c r="G977" s="8">
        <v>500</v>
      </c>
    </row>
    <row r="978" spans="1:7" x14ac:dyDescent="0.15">
      <c r="A978" s="8" t="s">
        <v>2907</v>
      </c>
      <c r="B978" s="8" t="s">
        <v>37</v>
      </c>
      <c r="C978" s="8" t="str">
        <f t="shared" si="15"/>
        <v>itgres</v>
      </c>
      <c r="D978" s="8" t="s">
        <v>15</v>
      </c>
      <c r="E978" s="8" t="s">
        <v>2915</v>
      </c>
      <c r="F978" s="8" t="s">
        <v>2914</v>
      </c>
      <c r="G978" s="8">
        <v>500</v>
      </c>
    </row>
    <row r="979" spans="1:7" x14ac:dyDescent="0.15">
      <c r="A979" s="8" t="s">
        <v>2908</v>
      </c>
      <c r="B979" s="8" t="s">
        <v>37</v>
      </c>
      <c r="C979" s="8" t="str">
        <f t="shared" si="15"/>
        <v>dendritic</v>
      </c>
      <c r="D979" s="8" t="s">
        <v>15</v>
      </c>
      <c r="E979" s="8" t="s">
        <v>2913</v>
      </c>
      <c r="F979" s="8" t="s">
        <v>2912</v>
      </c>
      <c r="G979" s="8">
        <v>500</v>
      </c>
    </row>
    <row r="980" spans="1:7" x14ac:dyDescent="0.15">
      <c r="A980" s="8" t="s">
        <v>2909</v>
      </c>
      <c r="B980" s="8" t="s">
        <v>37</v>
      </c>
      <c r="C980" s="8" t="str">
        <f t="shared" si="15"/>
        <v>ememcell</v>
      </c>
      <c r="D980" s="8" t="s">
        <v>15</v>
      </c>
      <c r="E980" s="8" t="s">
        <v>2911</v>
      </c>
      <c r="F980" s="8" t="s">
        <v>2910</v>
      </c>
      <c r="G980" s="8">
        <v>500</v>
      </c>
    </row>
    <row r="981" spans="1:7" x14ac:dyDescent="0.15">
      <c r="A981" s="8" t="s">
        <v>2926</v>
      </c>
      <c r="B981" s="8" t="s">
        <v>2844</v>
      </c>
      <c r="C981" s="8" t="str">
        <f t="shared" si="15"/>
        <v>supernatant</v>
      </c>
      <c r="D981" s="8" t="s">
        <v>15</v>
      </c>
      <c r="E981" s="8" t="s">
        <v>2927</v>
      </c>
      <c r="F981" s="8" t="s">
        <v>2928</v>
      </c>
      <c r="G981" s="8">
        <v>500</v>
      </c>
    </row>
    <row r="982" spans="1:7" x14ac:dyDescent="0.15">
      <c r="A982" s="8" t="s">
        <v>2930</v>
      </c>
      <c r="B982" s="8" t="s">
        <v>2929</v>
      </c>
      <c r="C982" s="8" t="str">
        <f t="shared" si="15"/>
        <v>leftatrium</v>
      </c>
      <c r="D982" s="8" t="s">
        <v>15</v>
      </c>
      <c r="E982" s="8" t="s">
        <v>2931</v>
      </c>
      <c r="F982" s="8" t="s">
        <v>2932</v>
      </c>
      <c r="G982" s="8">
        <v>500</v>
      </c>
    </row>
    <row r="983" spans="1:7" x14ac:dyDescent="0.15">
      <c r="A983" s="8" t="s">
        <v>2933</v>
      </c>
      <c r="B983" s="8" t="s">
        <v>2929</v>
      </c>
      <c r="C983" s="8" t="str">
        <f t="shared" si="15"/>
        <v>rightatrium</v>
      </c>
      <c r="D983" s="8" t="s">
        <v>15</v>
      </c>
      <c r="E983" s="8" t="s">
        <v>2934</v>
      </c>
      <c r="F983" s="8" t="s">
        <v>2935</v>
      </c>
      <c r="G983" s="8">
        <v>500</v>
      </c>
    </row>
    <row r="984" spans="1:7" x14ac:dyDescent="0.15">
      <c r="A984" s="8" t="s">
        <v>2952</v>
      </c>
      <c r="B984" s="8" t="s">
        <v>2929</v>
      </c>
      <c r="C984" s="8" t="str">
        <f t="shared" si="15"/>
        <v>leftventri</v>
      </c>
      <c r="D984" s="8" t="s">
        <v>15</v>
      </c>
      <c r="E984" s="8" t="s">
        <v>2950</v>
      </c>
      <c r="F984" s="8" t="s">
        <v>2936</v>
      </c>
      <c r="G984" s="8">
        <v>500</v>
      </c>
    </row>
    <row r="985" spans="1:7" x14ac:dyDescent="0.15">
      <c r="A985" s="8" t="s">
        <v>2953</v>
      </c>
      <c r="B985" s="8" t="s">
        <v>2929</v>
      </c>
      <c r="C985" s="8" t="str">
        <f t="shared" si="15"/>
        <v>rightventri</v>
      </c>
      <c r="D985" s="8" t="s">
        <v>15</v>
      </c>
      <c r="E985" s="8" t="s">
        <v>2951</v>
      </c>
      <c r="F985" s="8" t="s">
        <v>2936</v>
      </c>
      <c r="G985" s="8">
        <v>500</v>
      </c>
    </row>
    <row r="986" spans="1:7" x14ac:dyDescent="0.15">
      <c r="A986" s="8" t="s">
        <v>3019</v>
      </c>
      <c r="B986" s="8" t="s">
        <v>3017</v>
      </c>
      <c r="C986" s="8" t="str">
        <f t="shared" si="15"/>
        <v>type1</v>
      </c>
      <c r="D986" s="8" t="s">
        <v>15</v>
      </c>
      <c r="E986" s="8" t="s">
        <v>3037</v>
      </c>
      <c r="F986" s="8" t="s">
        <v>3042</v>
      </c>
      <c r="G986" s="8">
        <v>500</v>
      </c>
    </row>
    <row r="987" spans="1:7" x14ac:dyDescent="0.15">
      <c r="A987" s="8" t="s">
        <v>3020</v>
      </c>
      <c r="B987" s="8" t="s">
        <v>3017</v>
      </c>
      <c r="C987" s="8" t="str">
        <f t="shared" si="15"/>
        <v>type2a</v>
      </c>
      <c r="D987" s="8" t="s">
        <v>15</v>
      </c>
      <c r="E987" s="8" t="s">
        <v>3038</v>
      </c>
      <c r="F987" s="8" t="s">
        <v>3043</v>
      </c>
      <c r="G987" s="8">
        <v>500</v>
      </c>
    </row>
    <row r="988" spans="1:7" x14ac:dyDescent="0.15">
      <c r="A988" s="8" t="s">
        <v>3021</v>
      </c>
      <c r="B988" s="8" t="s">
        <v>3017</v>
      </c>
      <c r="C988" s="8" t="str">
        <f t="shared" si="15"/>
        <v>type2b</v>
      </c>
      <c r="D988" s="8" t="s">
        <v>15</v>
      </c>
      <c r="E988" s="8" t="s">
        <v>3039</v>
      </c>
      <c r="F988" s="8" t="s">
        <v>3044</v>
      </c>
      <c r="G988" s="8">
        <v>500</v>
      </c>
    </row>
    <row r="989" spans="1:7" x14ac:dyDescent="0.15">
      <c r="A989" s="8" t="s">
        <v>3022</v>
      </c>
      <c r="B989" s="8" t="s">
        <v>3017</v>
      </c>
      <c r="C989" s="8" t="str">
        <f t="shared" si="15"/>
        <v>type2x</v>
      </c>
      <c r="D989" s="8" t="s">
        <v>15</v>
      </c>
      <c r="E989" s="8" t="s">
        <v>3040</v>
      </c>
      <c r="F989" s="8" t="s">
        <v>3045</v>
      </c>
      <c r="G989" s="8">
        <v>500</v>
      </c>
    </row>
    <row r="990" spans="1:7" x14ac:dyDescent="0.15">
      <c r="A990" s="8" t="s">
        <v>3023</v>
      </c>
      <c r="B990" s="8" t="s">
        <v>3017</v>
      </c>
      <c r="C990" s="8" t="str">
        <f t="shared" si="15"/>
        <v>type2d</v>
      </c>
      <c r="D990" s="8" t="s">
        <v>15</v>
      </c>
      <c r="E990" s="8" t="s">
        <v>3041</v>
      </c>
      <c r="F990" s="8" t="s">
        <v>3024</v>
      </c>
      <c r="G990" s="8">
        <v>500</v>
      </c>
    </row>
    <row r="991" spans="1:7" x14ac:dyDescent="0.15">
      <c r="A991" s="8" t="s">
        <v>3025</v>
      </c>
      <c r="B991" s="8" t="s">
        <v>3017</v>
      </c>
      <c r="C991" s="8" t="str">
        <f t="shared" si="15"/>
        <v>mixedt12a</v>
      </c>
      <c r="D991" s="8" t="s">
        <v>15</v>
      </c>
      <c r="E991" s="8" t="s">
        <v>3026</v>
      </c>
      <c r="F991" s="8" t="s">
        <v>3047</v>
      </c>
      <c r="G991" s="8">
        <v>500</v>
      </c>
    </row>
    <row r="992" spans="1:7" x14ac:dyDescent="0.15">
      <c r="A992" s="8" t="s">
        <v>3027</v>
      </c>
      <c r="B992" s="8" t="s">
        <v>3017</v>
      </c>
      <c r="C992" s="8" t="str">
        <f t="shared" si="15"/>
        <v>mixedt12x</v>
      </c>
      <c r="D992" s="8" t="s">
        <v>15</v>
      </c>
      <c r="E992" s="8" t="s">
        <v>3028</v>
      </c>
      <c r="F992" s="8" t="s">
        <v>3046</v>
      </c>
      <c r="G992" s="8">
        <v>500</v>
      </c>
    </row>
    <row r="993" spans="1:7" x14ac:dyDescent="0.15">
      <c r="A993" s="8" t="s">
        <v>3029</v>
      </c>
      <c r="B993" s="8" t="s">
        <v>3017</v>
      </c>
      <c r="C993" s="8" t="str">
        <f t="shared" si="15"/>
        <v>mixedt1tb</v>
      </c>
      <c r="D993" s="8" t="s">
        <v>15</v>
      </c>
      <c r="E993" s="8" t="s">
        <v>3030</v>
      </c>
      <c r="F993" s="8" t="s">
        <v>3048</v>
      </c>
      <c r="G993" s="8">
        <v>500</v>
      </c>
    </row>
    <row r="994" spans="1:7" x14ac:dyDescent="0.15">
      <c r="A994" s="8" t="s">
        <v>3031</v>
      </c>
      <c r="B994" s="8" t="s">
        <v>3017</v>
      </c>
      <c r="C994" s="8" t="str">
        <f t="shared" si="15"/>
        <v>mixed2a2b</v>
      </c>
      <c r="D994" s="8" t="s">
        <v>15</v>
      </c>
      <c r="E994" s="8" t="s">
        <v>3032</v>
      </c>
      <c r="F994" s="8" t="s">
        <v>3049</v>
      </c>
      <c r="G994" s="8">
        <v>500</v>
      </c>
    </row>
    <row r="995" spans="1:7" x14ac:dyDescent="0.15">
      <c r="A995" s="8" t="s">
        <v>3033</v>
      </c>
      <c r="B995" s="8" t="s">
        <v>3017</v>
      </c>
      <c r="C995" s="8" t="str">
        <f t="shared" si="15"/>
        <v>mixed2a2x</v>
      </c>
      <c r="D995" s="8" t="s">
        <v>15</v>
      </c>
      <c r="E995" s="8" t="s">
        <v>3034</v>
      </c>
      <c r="F995" s="8" t="s">
        <v>3050</v>
      </c>
      <c r="G995" s="8">
        <v>500</v>
      </c>
    </row>
    <row r="996" spans="1:7" x14ac:dyDescent="0.15">
      <c r="A996" s="8" t="s">
        <v>3035</v>
      </c>
      <c r="B996" s="8" t="s">
        <v>3017</v>
      </c>
      <c r="C996" s="8" t="str">
        <f t="shared" si="15"/>
        <v>mixed2b2x</v>
      </c>
      <c r="D996" s="8" t="s">
        <v>15</v>
      </c>
      <c r="E996" s="8" t="s">
        <v>3036</v>
      </c>
      <c r="F996" s="8" t="s">
        <v>3051</v>
      </c>
      <c r="G996" s="8">
        <v>500</v>
      </c>
    </row>
    <row r="997" spans="1:7" x14ac:dyDescent="0.15">
      <c r="A997" s="8" t="s">
        <v>3154</v>
      </c>
      <c r="B997" s="8" t="s">
        <v>3095</v>
      </c>
      <c r="C997" s="8" t="str">
        <f t="shared" si="15"/>
        <v>sol_pellet</v>
      </c>
      <c r="D997" s="8" t="s">
        <v>15</v>
      </c>
      <c r="E997" s="8" t="s">
        <v>3090</v>
      </c>
      <c r="F997" s="8" t="s">
        <v>3096</v>
      </c>
      <c r="G997" s="8">
        <v>500</v>
      </c>
    </row>
    <row r="998" spans="1:7" x14ac:dyDescent="0.15">
      <c r="A998" s="8" t="s">
        <v>3153</v>
      </c>
      <c r="B998" s="8" t="s">
        <v>3095</v>
      </c>
      <c r="C998" s="8" t="str">
        <f t="shared" si="15"/>
        <v>sol_total</v>
      </c>
      <c r="D998" s="8" t="s">
        <v>15</v>
      </c>
      <c r="E998" s="8" t="s">
        <v>1188</v>
      </c>
      <c r="F998" s="8" t="s">
        <v>3097</v>
      </c>
      <c r="G998" s="8">
        <v>500</v>
      </c>
    </row>
    <row r="999" spans="1:7" x14ac:dyDescent="0.15">
      <c r="A999" s="8" t="s">
        <v>3155</v>
      </c>
      <c r="B999" s="8" t="s">
        <v>3095</v>
      </c>
      <c r="C999" s="8" t="str">
        <f t="shared" si="15"/>
        <v>sol_supernatant</v>
      </c>
      <c r="D999" s="8" t="s">
        <v>15</v>
      </c>
      <c r="E999" s="8" t="s">
        <v>2927</v>
      </c>
      <c r="F999" s="8" t="s">
        <v>3098</v>
      </c>
      <c r="G999" s="8">
        <v>500</v>
      </c>
    </row>
    <row r="1000" spans="1:7" x14ac:dyDescent="0.15">
      <c r="A1000" s="8">
        <v>275</v>
      </c>
      <c r="B1000" s="8" t="s">
        <v>35</v>
      </c>
      <c r="C1000" s="8">
        <f t="shared" si="15"/>
        <v>275</v>
      </c>
      <c r="D1000" s="8" t="s">
        <v>15</v>
      </c>
      <c r="E1000" s="8">
        <v>275</v>
      </c>
      <c r="F1000" s="8" t="s">
        <v>15</v>
      </c>
      <c r="G1000" s="8">
        <v>500</v>
      </c>
    </row>
    <row r="1001" spans="1:7" x14ac:dyDescent="0.15">
      <c r="A1001" s="8">
        <v>320</v>
      </c>
      <c r="B1001" s="8" t="s">
        <v>35</v>
      </c>
      <c r="C1001" s="8">
        <f t="shared" si="15"/>
        <v>320</v>
      </c>
      <c r="D1001" s="8" t="s">
        <v>15</v>
      </c>
      <c r="E1001" s="8">
        <v>320</v>
      </c>
      <c r="F1001" s="8" t="s">
        <v>15</v>
      </c>
      <c r="G1001" s="8">
        <v>500</v>
      </c>
    </row>
    <row r="1002" spans="1:7" x14ac:dyDescent="0.15">
      <c r="A1002" s="8">
        <v>-45</v>
      </c>
      <c r="B1002" s="8" t="s">
        <v>92</v>
      </c>
      <c r="C1002" s="8">
        <f t="shared" si="15"/>
        <v>-45</v>
      </c>
      <c r="D1002" s="8" t="s">
        <v>15</v>
      </c>
      <c r="E1002" s="8">
        <v>-45</v>
      </c>
      <c r="F1002" s="8" t="s">
        <v>15</v>
      </c>
      <c r="G1002" s="8">
        <v>500</v>
      </c>
    </row>
    <row r="1003" spans="1:7" x14ac:dyDescent="0.15">
      <c r="A1003" s="8" t="s">
        <v>3131</v>
      </c>
      <c r="B1003" s="8" t="s">
        <v>3130</v>
      </c>
      <c r="C1003" s="8" t="str">
        <f t="shared" si="15"/>
        <v>input</v>
      </c>
      <c r="D1003" s="8" t="s">
        <v>15</v>
      </c>
      <c r="E1003" s="8" t="s">
        <v>3132</v>
      </c>
      <c r="F1003" t="s">
        <v>3133</v>
      </c>
      <c r="G1003" s="8">
        <v>500</v>
      </c>
    </row>
    <row r="1004" spans="1:7" x14ac:dyDescent="0.15">
      <c r="A1004" s="8" t="s">
        <v>3137</v>
      </c>
      <c r="B1004" s="8" t="s">
        <v>3130</v>
      </c>
      <c r="C1004" s="8" t="str">
        <f t="shared" si="15"/>
        <v>elution</v>
      </c>
      <c r="D1004" s="8" t="s">
        <v>15</v>
      </c>
      <c r="E1004" s="8" t="s">
        <v>3134</v>
      </c>
      <c r="F1004" s="8" t="s">
        <v>3139</v>
      </c>
      <c r="G1004" s="8">
        <v>500</v>
      </c>
    </row>
    <row r="1005" spans="1:7" x14ac:dyDescent="0.15">
      <c r="A1005" s="8" t="s">
        <v>3136</v>
      </c>
      <c r="B1005" s="8" t="s">
        <v>3130</v>
      </c>
      <c r="C1005" s="8" t="str">
        <f t="shared" si="15"/>
        <v>wash</v>
      </c>
      <c r="D1005" s="8" t="s">
        <v>15</v>
      </c>
      <c r="E1005" s="8" t="s">
        <v>3135</v>
      </c>
      <c r="F1005" s="8" t="s">
        <v>3138</v>
      </c>
      <c r="G1005" s="8">
        <v>500</v>
      </c>
    </row>
    <row r="1006" spans="1:7" ht="16" x14ac:dyDescent="0.2">
      <c r="A1006" s="8" t="s">
        <v>3144</v>
      </c>
      <c r="B1006" s="32" t="s">
        <v>3146</v>
      </c>
      <c r="C1006" s="8" t="str">
        <f t="shared" si="15"/>
        <v>fbs</v>
      </c>
      <c r="D1006" s="8" t="s">
        <v>15</v>
      </c>
      <c r="E1006" s="8" t="s">
        <v>3147</v>
      </c>
      <c r="F1006" s="24" t="s">
        <v>3150</v>
      </c>
      <c r="G1006" s="8">
        <v>500</v>
      </c>
    </row>
    <row r="1007" spans="1:7" ht="16" x14ac:dyDescent="0.2">
      <c r="A1007" s="8" t="s">
        <v>3145</v>
      </c>
      <c r="B1007" s="32" t="s">
        <v>3146</v>
      </c>
      <c r="C1007" s="8" t="str">
        <f t="shared" si="15"/>
        <v>nofbs</v>
      </c>
      <c r="D1007" s="8" t="s">
        <v>15</v>
      </c>
      <c r="E1007" s="8" t="s">
        <v>3148</v>
      </c>
      <c r="F1007" s="8" t="s">
        <v>3149</v>
      </c>
      <c r="G1007" s="8">
        <v>500</v>
      </c>
    </row>
    <row r="1008" spans="1:7" x14ac:dyDescent="0.15">
      <c r="A1008" s="8" t="s">
        <v>3156</v>
      </c>
      <c r="B1008" s="8" t="s">
        <v>3152</v>
      </c>
      <c r="C1008" s="8" t="str">
        <f t="shared" si="15"/>
        <v>embryo</v>
      </c>
      <c r="D1008" s="8" t="s">
        <v>15</v>
      </c>
      <c r="E1008" s="8" t="s">
        <v>3161</v>
      </c>
      <c r="F1008" s="8" t="s">
        <v>3160</v>
      </c>
      <c r="G1008" s="8">
        <v>500</v>
      </c>
    </row>
    <row r="1009" spans="1:7" x14ac:dyDescent="0.15">
      <c r="A1009" s="8" t="s">
        <v>3157</v>
      </c>
      <c r="B1009" s="8" t="s">
        <v>3152</v>
      </c>
      <c r="C1009" s="8" t="str">
        <f t="shared" si="15"/>
        <v>young</v>
      </c>
      <c r="D1009" s="8" t="s">
        <v>15</v>
      </c>
      <c r="E1009" s="8" t="s">
        <v>3162</v>
      </c>
      <c r="F1009" s="8" t="s">
        <v>3165</v>
      </c>
      <c r="G1009" s="8">
        <v>500</v>
      </c>
    </row>
    <row r="1010" spans="1:7" x14ac:dyDescent="0.15">
      <c r="A1010" s="8" t="s">
        <v>3158</v>
      </c>
      <c r="B1010" s="8" t="s">
        <v>3152</v>
      </c>
      <c r="C1010" s="8" t="str">
        <f t="shared" si="15"/>
        <v>adult</v>
      </c>
      <c r="D1010" s="8" t="s">
        <v>15</v>
      </c>
      <c r="E1010" s="8" t="s">
        <v>3163</v>
      </c>
      <c r="F1010" s="8" t="s">
        <v>3167</v>
      </c>
      <c r="G1010" s="8">
        <v>500</v>
      </c>
    </row>
    <row r="1011" spans="1:7" x14ac:dyDescent="0.15">
      <c r="A1011" s="8" t="s">
        <v>3159</v>
      </c>
      <c r="B1011" s="8" t="s">
        <v>3152</v>
      </c>
      <c r="C1011" s="8" t="str">
        <f t="shared" si="15"/>
        <v>old</v>
      </c>
      <c r="D1011" s="8" t="s">
        <v>15</v>
      </c>
      <c r="E1011" s="8" t="s">
        <v>3164</v>
      </c>
      <c r="F1011" s="8" t="s">
        <v>3166</v>
      </c>
      <c r="G1011" s="8">
        <v>500</v>
      </c>
    </row>
    <row r="1012" spans="1:7" x14ac:dyDescent="0.15">
      <c r="A1012" s="8" t="s">
        <v>3170</v>
      </c>
      <c r="B1012" s="8" t="s">
        <v>3168</v>
      </c>
      <c r="C1012" s="8" t="str">
        <f t="shared" si="15"/>
        <v>qc_hela</v>
      </c>
      <c r="D1012" s="8" t="s">
        <v>15</v>
      </c>
      <c r="E1012" s="8" t="s">
        <v>3171</v>
      </c>
      <c r="F1012" s="8" t="s">
        <v>3172</v>
      </c>
      <c r="G1012" s="8">
        <v>500</v>
      </c>
    </row>
    <row r="1013" spans="1:7" x14ac:dyDescent="0.15">
      <c r="A1013" s="8" t="s">
        <v>3173</v>
      </c>
      <c r="B1013" s="8" t="s">
        <v>3168</v>
      </c>
      <c r="C1013" s="8" t="str">
        <f t="shared" si="15"/>
        <v>qc_base</v>
      </c>
      <c r="D1013" s="8" t="s">
        <v>15</v>
      </c>
      <c r="E1013" s="8" t="s">
        <v>3174</v>
      </c>
      <c r="F1013" s="8" t="s">
        <v>3175</v>
      </c>
      <c r="G1013" s="8">
        <v>500</v>
      </c>
    </row>
    <row r="1014" spans="1:7" x14ac:dyDescent="0.15">
      <c r="A1014" s="8" t="s">
        <v>3226</v>
      </c>
      <c r="B1014" s="8" t="s">
        <v>2776</v>
      </c>
      <c r="C1014" s="8" t="str">
        <f t="shared" si="15"/>
        <v>endog</v>
      </c>
      <c r="D1014" s="8" t="s">
        <v>15</v>
      </c>
      <c r="E1014" s="8" t="s">
        <v>3227</v>
      </c>
      <c r="F1014" s="8" t="s">
        <v>3228</v>
      </c>
      <c r="G1014" s="8">
        <v>500</v>
      </c>
    </row>
    <row r="1015" spans="1:7" x14ac:dyDescent="0.15">
      <c r="A1015" s="8" t="s">
        <v>2221</v>
      </c>
      <c r="B1015" s="8" t="s">
        <v>2776</v>
      </c>
      <c r="C1015" s="8" t="str">
        <f t="shared" si="15"/>
        <v>flag</v>
      </c>
      <c r="D1015" s="8" t="s">
        <v>15</v>
      </c>
      <c r="E1015" s="8" t="s">
        <v>3231</v>
      </c>
      <c r="F1015" s="8" t="s">
        <v>3229</v>
      </c>
      <c r="G1015" s="8">
        <v>500</v>
      </c>
    </row>
    <row r="1016" spans="1:7" x14ac:dyDescent="0.15">
      <c r="A1016" s="8" t="s">
        <v>3230</v>
      </c>
      <c r="B1016" s="8" t="s">
        <v>2776</v>
      </c>
      <c r="C1016" s="8" t="str">
        <f t="shared" si="15"/>
        <v>GST</v>
      </c>
      <c r="D1016" s="8" t="s">
        <v>15</v>
      </c>
      <c r="E1016" s="8" t="s">
        <v>3230</v>
      </c>
      <c r="F1016" s="8" t="s">
        <v>3232</v>
      </c>
      <c r="G1016" s="8">
        <v>500</v>
      </c>
    </row>
    <row r="1017" spans="1:7" x14ac:dyDescent="0.15">
      <c r="A1017" s="8" t="s">
        <v>3235</v>
      </c>
      <c r="B1017" s="33" t="s">
        <v>3234</v>
      </c>
      <c r="C1017" s="8" t="str">
        <f t="shared" si="15"/>
        <v>column_length</v>
      </c>
      <c r="D1017" s="8" t="s">
        <v>15</v>
      </c>
      <c r="E1017" s="8" t="s">
        <v>3237</v>
      </c>
      <c r="F1017" s="8" t="s">
        <v>3243</v>
      </c>
      <c r="G1017" s="8">
        <v>500</v>
      </c>
    </row>
    <row r="1018" spans="1:7" x14ac:dyDescent="0.15">
      <c r="A1018" s="8" t="s">
        <v>3242</v>
      </c>
      <c r="B1018" s="33" t="s">
        <v>3234</v>
      </c>
      <c r="C1018" s="8" t="str">
        <f t="shared" si="15"/>
        <v>column_inner_diameter</v>
      </c>
      <c r="D1018" s="8" t="s">
        <v>15</v>
      </c>
      <c r="E1018" s="8" t="s">
        <v>3238</v>
      </c>
      <c r="F1018" s="8" t="s">
        <v>3240</v>
      </c>
      <c r="G1018" s="8">
        <v>500</v>
      </c>
    </row>
    <row r="1019" spans="1:7" x14ac:dyDescent="0.15">
      <c r="A1019" s="8" t="s">
        <v>3236</v>
      </c>
      <c r="B1019" s="33" t="s">
        <v>3234</v>
      </c>
      <c r="C1019" s="8" t="str">
        <f t="shared" si="15"/>
        <v>column_outer_diameter</v>
      </c>
      <c r="D1019" s="8" t="s">
        <v>15</v>
      </c>
      <c r="E1019" s="8" t="s">
        <v>3239</v>
      </c>
      <c r="F1019" s="8" t="s">
        <v>3241</v>
      </c>
      <c r="G1019" s="8">
        <v>500</v>
      </c>
    </row>
    <row r="1020" spans="1:7" ht="16" x14ac:dyDescent="0.2">
      <c r="A1020" t="s">
        <v>3437</v>
      </c>
      <c r="B1020" s="32" t="s">
        <v>3251</v>
      </c>
      <c r="C1020" t="s">
        <v>3437</v>
      </c>
      <c r="D1020" s="8" t="s">
        <v>15</v>
      </c>
      <c r="E1020" s="8" t="s">
        <v>3253</v>
      </c>
      <c r="F1020" s="8" t="s">
        <v>3438</v>
      </c>
      <c r="G1020" s="8">
        <v>500</v>
      </c>
    </row>
    <row r="1021" spans="1:7" ht="16" x14ac:dyDescent="0.2">
      <c r="A1021" t="s">
        <v>3439</v>
      </c>
      <c r="B1021" s="32" t="s">
        <v>3251</v>
      </c>
      <c r="C1021" t="s">
        <v>3439</v>
      </c>
      <c r="D1021" s="8" t="s">
        <v>15</v>
      </c>
      <c r="E1021" s="8" t="s">
        <v>3254</v>
      </c>
      <c r="F1021" s="8" t="s">
        <v>3440</v>
      </c>
      <c r="G1021" s="8">
        <v>500</v>
      </c>
    </row>
    <row r="1022" spans="1:7" ht="16" x14ac:dyDescent="0.2">
      <c r="A1022" t="s">
        <v>3441</v>
      </c>
      <c r="B1022" s="32" t="s">
        <v>3251</v>
      </c>
      <c r="C1022" t="s">
        <v>3441</v>
      </c>
      <c r="D1022" s="8" t="s">
        <v>15</v>
      </c>
      <c r="E1022" s="8" t="s">
        <v>3255</v>
      </c>
      <c r="F1022" s="8" t="s">
        <v>3442</v>
      </c>
      <c r="G1022" s="8">
        <v>500</v>
      </c>
    </row>
    <row r="1023" spans="1:7" ht="16" x14ac:dyDescent="0.2">
      <c r="A1023" t="s">
        <v>3443</v>
      </c>
      <c r="B1023" s="32" t="s">
        <v>3251</v>
      </c>
      <c r="C1023" t="s">
        <v>3443</v>
      </c>
      <c r="D1023" s="8" t="s">
        <v>15</v>
      </c>
      <c r="E1023" s="8" t="s">
        <v>3256</v>
      </c>
      <c r="F1023" s="8" t="s">
        <v>3444</v>
      </c>
      <c r="G1023" s="8">
        <v>500</v>
      </c>
    </row>
    <row r="1024" spans="1:7" ht="16" x14ac:dyDescent="0.2">
      <c r="A1024" t="s">
        <v>3445</v>
      </c>
      <c r="B1024" s="32" t="s">
        <v>3251</v>
      </c>
      <c r="C1024" t="s">
        <v>3445</v>
      </c>
      <c r="D1024" s="8" t="s">
        <v>15</v>
      </c>
      <c r="E1024" s="8" t="s">
        <v>3257</v>
      </c>
      <c r="F1024" s="8" t="s">
        <v>3446</v>
      </c>
      <c r="G1024" s="8">
        <v>500</v>
      </c>
    </row>
    <row r="1025" spans="1:7" ht="16" x14ac:dyDescent="0.2">
      <c r="A1025" t="s">
        <v>3447</v>
      </c>
      <c r="B1025" s="32" t="s">
        <v>3251</v>
      </c>
      <c r="C1025" t="s">
        <v>3447</v>
      </c>
      <c r="D1025" s="8" t="s">
        <v>15</v>
      </c>
      <c r="E1025" s="8" t="s">
        <v>3258</v>
      </c>
      <c r="F1025" s="8" t="s">
        <v>3448</v>
      </c>
      <c r="G1025" s="8">
        <v>500</v>
      </c>
    </row>
    <row r="1026" spans="1:7" ht="16" x14ac:dyDescent="0.2">
      <c r="A1026" t="s">
        <v>3449</v>
      </c>
      <c r="B1026" s="32" t="s">
        <v>3251</v>
      </c>
      <c r="C1026" t="s">
        <v>3449</v>
      </c>
      <c r="D1026" s="8" t="s">
        <v>15</v>
      </c>
      <c r="E1026" s="8" t="s">
        <v>3259</v>
      </c>
      <c r="F1026" s="8" t="s">
        <v>3450</v>
      </c>
      <c r="G1026" s="8">
        <v>500</v>
      </c>
    </row>
    <row r="1027" spans="1:7" ht="16" x14ac:dyDescent="0.2">
      <c r="A1027" t="s">
        <v>3451</v>
      </c>
      <c r="B1027" s="32" t="s">
        <v>3251</v>
      </c>
      <c r="C1027" t="s">
        <v>3451</v>
      </c>
      <c r="D1027" s="8" t="s">
        <v>15</v>
      </c>
      <c r="E1027" s="8" t="s">
        <v>3260</v>
      </c>
      <c r="F1027" s="8" t="s">
        <v>3452</v>
      </c>
      <c r="G1027" s="8">
        <v>500</v>
      </c>
    </row>
    <row r="1028" spans="1:7" ht="16" x14ac:dyDescent="0.2">
      <c r="A1028" t="s">
        <v>3453</v>
      </c>
      <c r="B1028" s="32" t="s">
        <v>3251</v>
      </c>
      <c r="C1028" t="s">
        <v>3453</v>
      </c>
      <c r="D1028" s="8" t="s">
        <v>15</v>
      </c>
      <c r="E1028" s="8" t="s">
        <v>3261</v>
      </c>
      <c r="F1028" s="8" t="s">
        <v>3454</v>
      </c>
      <c r="G1028" s="8">
        <v>500</v>
      </c>
    </row>
    <row r="1029" spans="1:7" ht="16" x14ac:dyDescent="0.2">
      <c r="A1029" t="s">
        <v>3455</v>
      </c>
      <c r="B1029" s="32" t="s">
        <v>3251</v>
      </c>
      <c r="C1029" t="s">
        <v>3455</v>
      </c>
      <c r="D1029" s="8" t="s">
        <v>15</v>
      </c>
      <c r="E1029" s="8" t="s">
        <v>3262</v>
      </c>
      <c r="F1029" s="8" t="s">
        <v>3456</v>
      </c>
      <c r="G1029" s="8">
        <v>500</v>
      </c>
    </row>
    <row r="1030" spans="1:7" ht="16" x14ac:dyDescent="0.2">
      <c r="A1030" t="s">
        <v>3457</v>
      </c>
      <c r="B1030" s="32" t="s">
        <v>3251</v>
      </c>
      <c r="C1030" t="s">
        <v>3457</v>
      </c>
      <c r="D1030" s="8" t="s">
        <v>15</v>
      </c>
      <c r="E1030" s="8" t="s">
        <v>3263</v>
      </c>
      <c r="F1030" s="8" t="s">
        <v>3458</v>
      </c>
      <c r="G1030" s="8">
        <v>500</v>
      </c>
    </row>
    <row r="1031" spans="1:7" ht="16" x14ac:dyDescent="0.2">
      <c r="A1031" t="s">
        <v>3459</v>
      </c>
      <c r="B1031" s="32" t="s">
        <v>3251</v>
      </c>
      <c r="C1031" t="s">
        <v>3459</v>
      </c>
      <c r="D1031" s="8" t="s">
        <v>15</v>
      </c>
      <c r="E1031" s="8" t="s">
        <v>3264</v>
      </c>
      <c r="F1031" s="8" t="s">
        <v>3460</v>
      </c>
      <c r="G1031" s="8">
        <v>500</v>
      </c>
    </row>
    <row r="1032" spans="1:7" ht="16" x14ac:dyDescent="0.2">
      <c r="A1032" t="s">
        <v>3461</v>
      </c>
      <c r="B1032" s="32" t="s">
        <v>3251</v>
      </c>
      <c r="C1032" t="s">
        <v>3461</v>
      </c>
      <c r="D1032" s="8" t="s">
        <v>15</v>
      </c>
      <c r="E1032" s="8" t="s">
        <v>3265</v>
      </c>
      <c r="F1032" s="8" t="s">
        <v>3462</v>
      </c>
      <c r="G1032" s="8">
        <v>500</v>
      </c>
    </row>
    <row r="1033" spans="1:7" ht="16" x14ac:dyDescent="0.2">
      <c r="A1033" t="s">
        <v>3463</v>
      </c>
      <c r="B1033" s="32" t="s">
        <v>3251</v>
      </c>
      <c r="C1033" t="s">
        <v>3463</v>
      </c>
      <c r="D1033" s="8" t="s">
        <v>15</v>
      </c>
      <c r="E1033" s="8" t="s">
        <v>3266</v>
      </c>
      <c r="F1033" s="8" t="s">
        <v>3464</v>
      </c>
      <c r="G1033" s="8">
        <v>500</v>
      </c>
    </row>
    <row r="1034" spans="1:7" ht="16" x14ac:dyDescent="0.2">
      <c r="A1034" t="s">
        <v>3465</v>
      </c>
      <c r="B1034" s="32" t="s">
        <v>3251</v>
      </c>
      <c r="C1034" t="s">
        <v>3465</v>
      </c>
      <c r="D1034" s="8" t="s">
        <v>15</v>
      </c>
      <c r="E1034" s="8" t="s">
        <v>3267</v>
      </c>
      <c r="F1034" s="8" t="s">
        <v>3466</v>
      </c>
      <c r="G1034" s="8">
        <v>500</v>
      </c>
    </row>
    <row r="1035" spans="1:7" ht="16" x14ac:dyDescent="0.2">
      <c r="A1035" t="s">
        <v>3467</v>
      </c>
      <c r="B1035" s="32" t="s">
        <v>3251</v>
      </c>
      <c r="C1035" t="s">
        <v>3467</v>
      </c>
      <c r="D1035" s="8" t="s">
        <v>15</v>
      </c>
      <c r="E1035" s="8" t="s">
        <v>3268</v>
      </c>
      <c r="F1035" s="8" t="s">
        <v>3468</v>
      </c>
      <c r="G1035" s="8">
        <v>500</v>
      </c>
    </row>
    <row r="1036" spans="1:7" ht="16" x14ac:dyDescent="0.2">
      <c r="A1036" t="s">
        <v>3469</v>
      </c>
      <c r="B1036" s="32" t="s">
        <v>3251</v>
      </c>
      <c r="C1036" t="s">
        <v>3469</v>
      </c>
      <c r="D1036" s="8" t="s">
        <v>15</v>
      </c>
      <c r="E1036" s="8" t="s">
        <v>3269</v>
      </c>
      <c r="F1036" s="8" t="s">
        <v>3470</v>
      </c>
      <c r="G1036" s="8">
        <v>500</v>
      </c>
    </row>
    <row r="1037" spans="1:7" ht="16" x14ac:dyDescent="0.2">
      <c r="A1037" t="s">
        <v>3471</v>
      </c>
      <c r="B1037" s="32" t="s">
        <v>3251</v>
      </c>
      <c r="C1037" t="s">
        <v>3471</v>
      </c>
      <c r="D1037" s="8" t="s">
        <v>15</v>
      </c>
      <c r="E1037" s="8" t="s">
        <v>3270</v>
      </c>
      <c r="F1037" s="8" t="s">
        <v>3472</v>
      </c>
      <c r="G1037" s="8">
        <v>500</v>
      </c>
    </row>
    <row r="1038" spans="1:7" ht="16" x14ac:dyDescent="0.2">
      <c r="A1038" t="s">
        <v>3473</v>
      </c>
      <c r="B1038" s="32" t="s">
        <v>3251</v>
      </c>
      <c r="C1038" t="s">
        <v>3473</v>
      </c>
      <c r="D1038" s="8" t="s">
        <v>15</v>
      </c>
      <c r="E1038" s="8" t="s">
        <v>3271</v>
      </c>
      <c r="F1038" s="8" t="s">
        <v>3474</v>
      </c>
      <c r="G1038" s="8">
        <v>500</v>
      </c>
    </row>
    <row r="1039" spans="1:7" ht="16" x14ac:dyDescent="0.2">
      <c r="A1039" t="s">
        <v>3475</v>
      </c>
      <c r="B1039" s="32" t="s">
        <v>3251</v>
      </c>
      <c r="C1039" t="s">
        <v>3475</v>
      </c>
      <c r="D1039" s="8" t="s">
        <v>15</v>
      </c>
      <c r="E1039" s="8" t="s">
        <v>3272</v>
      </c>
      <c r="F1039" s="8" t="s">
        <v>3476</v>
      </c>
      <c r="G1039" s="8">
        <v>500</v>
      </c>
    </row>
    <row r="1040" spans="1:7" ht="16" x14ac:dyDescent="0.2">
      <c r="A1040" t="s">
        <v>3477</v>
      </c>
      <c r="B1040" s="32" t="s">
        <v>3251</v>
      </c>
      <c r="C1040" t="s">
        <v>3477</v>
      </c>
      <c r="D1040" s="8" t="s">
        <v>15</v>
      </c>
      <c r="E1040" s="8" t="s">
        <v>3273</v>
      </c>
      <c r="F1040" s="8" t="s">
        <v>3478</v>
      </c>
      <c r="G1040" s="8">
        <v>500</v>
      </c>
    </row>
    <row r="1041" spans="1:7" ht="16" x14ac:dyDescent="0.2">
      <c r="A1041" t="s">
        <v>3479</v>
      </c>
      <c r="B1041" s="32" t="s">
        <v>3251</v>
      </c>
      <c r="C1041" t="s">
        <v>3479</v>
      </c>
      <c r="D1041" s="8" t="s">
        <v>15</v>
      </c>
      <c r="E1041" s="8" t="s">
        <v>3274</v>
      </c>
      <c r="F1041" s="8" t="s">
        <v>3480</v>
      </c>
      <c r="G1041" s="8">
        <v>500</v>
      </c>
    </row>
    <row r="1042" spans="1:7" ht="16" x14ac:dyDescent="0.2">
      <c r="A1042" t="s">
        <v>3481</v>
      </c>
      <c r="B1042" s="32" t="s">
        <v>3251</v>
      </c>
      <c r="C1042" t="s">
        <v>3481</v>
      </c>
      <c r="D1042" s="8" t="s">
        <v>15</v>
      </c>
      <c r="E1042" s="8" t="s">
        <v>3275</v>
      </c>
      <c r="F1042" s="8" t="s">
        <v>3482</v>
      </c>
      <c r="G1042" s="8">
        <v>500</v>
      </c>
    </row>
    <row r="1043" spans="1:7" ht="16" x14ac:dyDescent="0.2">
      <c r="A1043" t="s">
        <v>3483</v>
      </c>
      <c r="B1043" s="32" t="s">
        <v>3251</v>
      </c>
      <c r="C1043" t="s">
        <v>3483</v>
      </c>
      <c r="D1043" s="8" t="s">
        <v>15</v>
      </c>
      <c r="E1043" s="8" t="s">
        <v>3276</v>
      </c>
      <c r="F1043" s="8" t="s">
        <v>3484</v>
      </c>
      <c r="G1043" s="8">
        <v>500</v>
      </c>
    </row>
    <row r="1044" spans="1:7" ht="16" x14ac:dyDescent="0.2">
      <c r="A1044" t="s">
        <v>3485</v>
      </c>
      <c r="B1044" s="32" t="s">
        <v>3251</v>
      </c>
      <c r="C1044" t="s">
        <v>3485</v>
      </c>
      <c r="D1044" s="8" t="s">
        <v>15</v>
      </c>
      <c r="E1044" s="8" t="s">
        <v>3277</v>
      </c>
      <c r="F1044" s="8" t="s">
        <v>3486</v>
      </c>
      <c r="G1044" s="8">
        <v>500</v>
      </c>
    </row>
    <row r="1045" spans="1:7" ht="16" x14ac:dyDescent="0.2">
      <c r="A1045" t="s">
        <v>3487</v>
      </c>
      <c r="B1045" s="32" t="s">
        <v>3251</v>
      </c>
      <c r="C1045" t="s">
        <v>3487</v>
      </c>
      <c r="D1045" s="8" t="s">
        <v>15</v>
      </c>
      <c r="E1045" s="8" t="s">
        <v>3278</v>
      </c>
      <c r="F1045" s="8" t="s">
        <v>3488</v>
      </c>
      <c r="G1045" s="8">
        <v>500</v>
      </c>
    </row>
    <row r="1046" spans="1:7" ht="16" x14ac:dyDescent="0.2">
      <c r="A1046" t="s">
        <v>3489</v>
      </c>
      <c r="B1046" s="32" t="s">
        <v>3251</v>
      </c>
      <c r="C1046" t="s">
        <v>3489</v>
      </c>
      <c r="D1046" s="8" t="s">
        <v>15</v>
      </c>
      <c r="E1046" s="8" t="s">
        <v>3279</v>
      </c>
      <c r="F1046" s="8" t="s">
        <v>3490</v>
      </c>
      <c r="G1046" s="8">
        <v>500</v>
      </c>
    </row>
    <row r="1047" spans="1:7" ht="16" x14ac:dyDescent="0.2">
      <c r="A1047" t="s">
        <v>3491</v>
      </c>
      <c r="B1047" s="32" t="s">
        <v>3251</v>
      </c>
      <c r="C1047" t="s">
        <v>3491</v>
      </c>
      <c r="D1047" s="8" t="s">
        <v>15</v>
      </c>
      <c r="E1047" s="8" t="s">
        <v>3280</v>
      </c>
      <c r="F1047" s="8" t="s">
        <v>3492</v>
      </c>
      <c r="G1047" s="8">
        <v>500</v>
      </c>
    </row>
    <row r="1048" spans="1:7" ht="16" x14ac:dyDescent="0.2">
      <c r="A1048" t="s">
        <v>3493</v>
      </c>
      <c r="B1048" s="32" t="s">
        <v>3251</v>
      </c>
      <c r="C1048" t="s">
        <v>3493</v>
      </c>
      <c r="D1048" s="8" t="s">
        <v>15</v>
      </c>
      <c r="E1048" s="8" t="s">
        <v>3281</v>
      </c>
      <c r="F1048" s="8" t="s">
        <v>3494</v>
      </c>
      <c r="G1048" s="8">
        <v>500</v>
      </c>
    </row>
    <row r="1049" spans="1:7" ht="16" x14ac:dyDescent="0.2">
      <c r="A1049" t="s">
        <v>3495</v>
      </c>
      <c r="B1049" s="32" t="s">
        <v>3251</v>
      </c>
      <c r="C1049" t="s">
        <v>3495</v>
      </c>
      <c r="D1049" s="8" t="s">
        <v>15</v>
      </c>
      <c r="E1049" s="8" t="s">
        <v>3282</v>
      </c>
      <c r="F1049" s="8" t="s">
        <v>3496</v>
      </c>
      <c r="G1049" s="8">
        <v>500</v>
      </c>
    </row>
    <row r="1050" spans="1:7" ht="16" x14ac:dyDescent="0.2">
      <c r="A1050" t="s">
        <v>3497</v>
      </c>
      <c r="B1050" s="32" t="s">
        <v>3251</v>
      </c>
      <c r="C1050" t="s">
        <v>3497</v>
      </c>
      <c r="D1050" s="8" t="s">
        <v>15</v>
      </c>
      <c r="E1050" s="8" t="s">
        <v>3283</v>
      </c>
      <c r="F1050" s="8" t="s">
        <v>3498</v>
      </c>
      <c r="G1050" s="8">
        <v>500</v>
      </c>
    </row>
    <row r="1051" spans="1:7" ht="16" x14ac:dyDescent="0.2">
      <c r="A1051" t="s">
        <v>3499</v>
      </c>
      <c r="B1051" s="32" t="s">
        <v>3251</v>
      </c>
      <c r="C1051" t="s">
        <v>3499</v>
      </c>
      <c r="D1051" s="8" t="s">
        <v>15</v>
      </c>
      <c r="E1051" s="8" t="s">
        <v>3284</v>
      </c>
      <c r="F1051" s="8" t="s">
        <v>3500</v>
      </c>
      <c r="G1051" s="8">
        <v>500</v>
      </c>
    </row>
    <row r="1052" spans="1:7" ht="16" x14ac:dyDescent="0.2">
      <c r="A1052" t="s">
        <v>3501</v>
      </c>
      <c r="B1052" s="32" t="s">
        <v>3251</v>
      </c>
      <c r="C1052" t="s">
        <v>3501</v>
      </c>
      <c r="D1052" s="8" t="s">
        <v>15</v>
      </c>
      <c r="E1052" s="8" t="s">
        <v>3285</v>
      </c>
      <c r="F1052" s="8" t="s">
        <v>3502</v>
      </c>
      <c r="G1052" s="8">
        <v>500</v>
      </c>
    </row>
    <row r="1053" spans="1:7" ht="16" x14ac:dyDescent="0.2">
      <c r="A1053" t="s">
        <v>3503</v>
      </c>
      <c r="B1053" s="32" t="s">
        <v>3251</v>
      </c>
      <c r="C1053" t="s">
        <v>3503</v>
      </c>
      <c r="D1053" s="8" t="s">
        <v>15</v>
      </c>
      <c r="E1053" s="8" t="s">
        <v>3286</v>
      </c>
      <c r="F1053" s="8" t="s">
        <v>3504</v>
      </c>
      <c r="G1053" s="8">
        <v>500</v>
      </c>
    </row>
    <row r="1054" spans="1:7" ht="16" x14ac:dyDescent="0.2">
      <c r="A1054" t="s">
        <v>3505</v>
      </c>
      <c r="B1054" s="32" t="s">
        <v>3251</v>
      </c>
      <c r="C1054" t="s">
        <v>3505</v>
      </c>
      <c r="D1054" s="8" t="s">
        <v>15</v>
      </c>
      <c r="E1054" s="8" t="s">
        <v>3287</v>
      </c>
      <c r="F1054" s="8" t="s">
        <v>3506</v>
      </c>
      <c r="G1054" s="8">
        <v>500</v>
      </c>
    </row>
    <row r="1055" spans="1:7" ht="16" x14ac:dyDescent="0.2">
      <c r="A1055" t="s">
        <v>3507</v>
      </c>
      <c r="B1055" s="32" t="s">
        <v>3251</v>
      </c>
      <c r="C1055" t="s">
        <v>3507</v>
      </c>
      <c r="D1055" s="8" t="s">
        <v>15</v>
      </c>
      <c r="E1055" s="8" t="s">
        <v>3288</v>
      </c>
      <c r="F1055" s="8" t="s">
        <v>3508</v>
      </c>
      <c r="G1055" s="8">
        <v>500</v>
      </c>
    </row>
    <row r="1056" spans="1:7" ht="16" x14ac:dyDescent="0.2">
      <c r="A1056" t="s">
        <v>3509</v>
      </c>
      <c r="B1056" s="32" t="s">
        <v>3251</v>
      </c>
      <c r="C1056" t="s">
        <v>3509</v>
      </c>
      <c r="D1056" s="8" t="s">
        <v>15</v>
      </c>
      <c r="E1056" s="8" t="s">
        <v>3289</v>
      </c>
      <c r="F1056" s="8" t="s">
        <v>3510</v>
      </c>
      <c r="G1056" s="8">
        <v>500</v>
      </c>
    </row>
    <row r="1057" spans="1:7" ht="16" x14ac:dyDescent="0.2">
      <c r="A1057" t="s">
        <v>3511</v>
      </c>
      <c r="B1057" s="32" t="s">
        <v>3251</v>
      </c>
      <c r="C1057" t="s">
        <v>3511</v>
      </c>
      <c r="D1057" s="8" t="s">
        <v>15</v>
      </c>
      <c r="E1057" s="8" t="s">
        <v>3290</v>
      </c>
      <c r="F1057" s="8" t="s">
        <v>3512</v>
      </c>
      <c r="G1057" s="8">
        <v>500</v>
      </c>
    </row>
    <row r="1058" spans="1:7" ht="16" x14ac:dyDescent="0.2">
      <c r="A1058" t="s">
        <v>3513</v>
      </c>
      <c r="B1058" s="32" t="s">
        <v>3251</v>
      </c>
      <c r="C1058" t="s">
        <v>3513</v>
      </c>
      <c r="D1058" s="8" t="s">
        <v>15</v>
      </c>
      <c r="E1058" s="8" t="s">
        <v>3291</v>
      </c>
      <c r="F1058" s="8" t="s">
        <v>3514</v>
      </c>
      <c r="G1058" s="8">
        <v>500</v>
      </c>
    </row>
    <row r="1059" spans="1:7" ht="16" x14ac:dyDescent="0.2">
      <c r="A1059" t="s">
        <v>3515</v>
      </c>
      <c r="B1059" s="32" t="s">
        <v>3251</v>
      </c>
      <c r="C1059" t="s">
        <v>3515</v>
      </c>
      <c r="D1059" s="8" t="s">
        <v>15</v>
      </c>
      <c r="E1059" s="8" t="s">
        <v>3292</v>
      </c>
      <c r="F1059" s="8" t="s">
        <v>3516</v>
      </c>
      <c r="G1059" s="8">
        <v>500</v>
      </c>
    </row>
    <row r="1060" spans="1:7" ht="16" x14ac:dyDescent="0.2">
      <c r="A1060" t="s">
        <v>3517</v>
      </c>
      <c r="B1060" s="32" t="s">
        <v>3251</v>
      </c>
      <c r="C1060" t="s">
        <v>3517</v>
      </c>
      <c r="D1060" s="8" t="s">
        <v>15</v>
      </c>
      <c r="E1060" s="8" t="s">
        <v>3293</v>
      </c>
      <c r="F1060" s="8" t="s">
        <v>3518</v>
      </c>
      <c r="G1060" s="8">
        <v>500</v>
      </c>
    </row>
    <row r="1061" spans="1:7" ht="16" x14ac:dyDescent="0.2">
      <c r="A1061" t="s">
        <v>3519</v>
      </c>
      <c r="B1061" s="32" t="s">
        <v>3251</v>
      </c>
      <c r="C1061" t="s">
        <v>3519</v>
      </c>
      <c r="D1061" s="8" t="s">
        <v>15</v>
      </c>
      <c r="E1061" s="8" t="s">
        <v>3294</v>
      </c>
      <c r="F1061" s="8" t="s">
        <v>3520</v>
      </c>
      <c r="G1061" s="8">
        <v>500</v>
      </c>
    </row>
    <row r="1062" spans="1:7" ht="16" x14ac:dyDescent="0.2">
      <c r="A1062" t="s">
        <v>3521</v>
      </c>
      <c r="B1062" s="32" t="s">
        <v>3251</v>
      </c>
      <c r="C1062" t="s">
        <v>3521</v>
      </c>
      <c r="D1062" s="8" t="s">
        <v>15</v>
      </c>
      <c r="E1062" s="8" t="s">
        <v>3295</v>
      </c>
      <c r="F1062" s="8" t="s">
        <v>3522</v>
      </c>
      <c r="G1062" s="8">
        <v>500</v>
      </c>
    </row>
    <row r="1063" spans="1:7" ht="16" x14ac:dyDescent="0.2">
      <c r="A1063" t="s">
        <v>3523</v>
      </c>
      <c r="B1063" s="32" t="s">
        <v>3251</v>
      </c>
      <c r="C1063" t="s">
        <v>3523</v>
      </c>
      <c r="D1063" s="8" t="s">
        <v>15</v>
      </c>
      <c r="E1063" s="8" t="s">
        <v>3296</v>
      </c>
      <c r="F1063" s="8" t="s">
        <v>3524</v>
      </c>
      <c r="G1063" s="8">
        <v>500</v>
      </c>
    </row>
    <row r="1064" spans="1:7" ht="16" x14ac:dyDescent="0.2">
      <c r="A1064" t="s">
        <v>3525</v>
      </c>
      <c r="B1064" s="32" t="s">
        <v>3251</v>
      </c>
      <c r="C1064" t="s">
        <v>3525</v>
      </c>
      <c r="D1064" s="8" t="s">
        <v>15</v>
      </c>
      <c r="E1064" s="8" t="s">
        <v>3297</v>
      </c>
      <c r="F1064" s="8" t="s">
        <v>3526</v>
      </c>
      <c r="G1064" s="8">
        <v>500</v>
      </c>
    </row>
    <row r="1065" spans="1:7" ht="16" x14ac:dyDescent="0.2">
      <c r="A1065" t="s">
        <v>3527</v>
      </c>
      <c r="B1065" s="32" t="s">
        <v>3251</v>
      </c>
      <c r="C1065" t="s">
        <v>3527</v>
      </c>
      <c r="D1065" s="8" t="s">
        <v>15</v>
      </c>
      <c r="E1065" s="8" t="s">
        <v>3298</v>
      </c>
      <c r="F1065" s="8" t="s">
        <v>3528</v>
      </c>
      <c r="G1065" s="8">
        <v>500</v>
      </c>
    </row>
    <row r="1066" spans="1:7" ht="16" x14ac:dyDescent="0.2">
      <c r="A1066" t="s">
        <v>3529</v>
      </c>
      <c r="B1066" s="32" t="s">
        <v>3251</v>
      </c>
      <c r="C1066" t="s">
        <v>3529</v>
      </c>
      <c r="D1066" s="8" t="s">
        <v>15</v>
      </c>
      <c r="E1066" s="8" t="s">
        <v>3299</v>
      </c>
      <c r="F1066" s="8" t="s">
        <v>3530</v>
      </c>
      <c r="G1066" s="8">
        <v>500</v>
      </c>
    </row>
    <row r="1067" spans="1:7" ht="16" x14ac:dyDescent="0.2">
      <c r="A1067" t="s">
        <v>3531</v>
      </c>
      <c r="B1067" s="32" t="s">
        <v>3251</v>
      </c>
      <c r="C1067" t="s">
        <v>3531</v>
      </c>
      <c r="D1067" s="8" t="s">
        <v>15</v>
      </c>
      <c r="E1067" s="8" t="s">
        <v>3300</v>
      </c>
      <c r="F1067" s="8" t="s">
        <v>3532</v>
      </c>
      <c r="G1067" s="8">
        <v>500</v>
      </c>
    </row>
    <row r="1068" spans="1:7" ht="16" x14ac:dyDescent="0.2">
      <c r="A1068" t="s">
        <v>3533</v>
      </c>
      <c r="B1068" s="32" t="s">
        <v>3251</v>
      </c>
      <c r="C1068" t="s">
        <v>3533</v>
      </c>
      <c r="D1068" s="8" t="s">
        <v>15</v>
      </c>
      <c r="E1068" s="8" t="s">
        <v>3301</v>
      </c>
      <c r="F1068" s="8" t="s">
        <v>3534</v>
      </c>
      <c r="G1068" s="8">
        <v>500</v>
      </c>
    </row>
    <row r="1069" spans="1:7" ht="16" x14ac:dyDescent="0.2">
      <c r="A1069" t="s">
        <v>3535</v>
      </c>
      <c r="B1069" s="32" t="s">
        <v>3251</v>
      </c>
      <c r="C1069" t="s">
        <v>3535</v>
      </c>
      <c r="D1069" s="8" t="s">
        <v>15</v>
      </c>
      <c r="E1069" s="8" t="s">
        <v>3302</v>
      </c>
      <c r="F1069" s="8" t="s">
        <v>3536</v>
      </c>
      <c r="G1069" s="8">
        <v>500</v>
      </c>
    </row>
    <row r="1070" spans="1:7" ht="16" x14ac:dyDescent="0.2">
      <c r="A1070" t="s">
        <v>3537</v>
      </c>
      <c r="B1070" s="32" t="s">
        <v>3251</v>
      </c>
      <c r="C1070" t="s">
        <v>3537</v>
      </c>
      <c r="D1070" s="8" t="s">
        <v>15</v>
      </c>
      <c r="E1070" s="8" t="s">
        <v>3303</v>
      </c>
      <c r="F1070" s="8" t="s">
        <v>3538</v>
      </c>
      <c r="G1070" s="8">
        <v>500</v>
      </c>
    </row>
    <row r="1071" spans="1:7" ht="16" x14ac:dyDescent="0.2">
      <c r="A1071" t="s">
        <v>3539</v>
      </c>
      <c r="B1071" s="32" t="s">
        <v>3251</v>
      </c>
      <c r="C1071" t="s">
        <v>3539</v>
      </c>
      <c r="D1071" s="8" t="s">
        <v>15</v>
      </c>
      <c r="E1071" s="8" t="s">
        <v>3304</v>
      </c>
      <c r="F1071" s="8" t="s">
        <v>3540</v>
      </c>
      <c r="G1071" s="8">
        <v>500</v>
      </c>
    </row>
    <row r="1072" spans="1:7" ht="16" x14ac:dyDescent="0.2">
      <c r="A1072" t="s">
        <v>3541</v>
      </c>
      <c r="B1072" s="32" t="s">
        <v>3251</v>
      </c>
      <c r="C1072" t="s">
        <v>3541</v>
      </c>
      <c r="D1072" s="8" t="s">
        <v>15</v>
      </c>
      <c r="E1072" s="8" t="s">
        <v>3305</v>
      </c>
      <c r="F1072" s="8" t="s">
        <v>3542</v>
      </c>
      <c r="G1072" s="8">
        <v>500</v>
      </c>
    </row>
    <row r="1073" spans="1:7" ht="16" x14ac:dyDescent="0.2">
      <c r="A1073" t="s">
        <v>3543</v>
      </c>
      <c r="B1073" s="32" t="s">
        <v>3251</v>
      </c>
      <c r="C1073" t="s">
        <v>3543</v>
      </c>
      <c r="D1073" s="8" t="s">
        <v>15</v>
      </c>
      <c r="E1073" s="8" t="s">
        <v>3544</v>
      </c>
      <c r="F1073" s="8" t="s">
        <v>3545</v>
      </c>
      <c r="G1073" s="8">
        <v>500</v>
      </c>
    </row>
    <row r="1074" spans="1:7" ht="16" x14ac:dyDescent="0.2">
      <c r="A1074" t="s">
        <v>3546</v>
      </c>
      <c r="B1074" s="32" t="s">
        <v>3251</v>
      </c>
      <c r="C1074" t="s">
        <v>3546</v>
      </c>
      <c r="D1074" s="8" t="s">
        <v>15</v>
      </c>
      <c r="E1074" s="8" t="s">
        <v>3547</v>
      </c>
      <c r="F1074" s="8" t="s">
        <v>3548</v>
      </c>
      <c r="G1074" s="8">
        <v>500</v>
      </c>
    </row>
    <row r="1075" spans="1:7" ht="16" x14ac:dyDescent="0.2">
      <c r="A1075" t="s">
        <v>3549</v>
      </c>
      <c r="B1075" s="32" t="s">
        <v>3251</v>
      </c>
      <c r="C1075" t="s">
        <v>3549</v>
      </c>
      <c r="D1075" s="8" t="s">
        <v>15</v>
      </c>
      <c r="E1075" s="8" t="s">
        <v>3306</v>
      </c>
      <c r="F1075" s="8" t="s">
        <v>3550</v>
      </c>
      <c r="G1075" s="8">
        <v>500</v>
      </c>
    </row>
    <row r="1076" spans="1:7" ht="16" x14ac:dyDescent="0.2">
      <c r="A1076" t="s">
        <v>3551</v>
      </c>
      <c r="B1076" s="32" t="s">
        <v>3251</v>
      </c>
      <c r="C1076" t="s">
        <v>3551</v>
      </c>
      <c r="D1076" s="8" t="s">
        <v>15</v>
      </c>
      <c r="E1076" s="8" t="s">
        <v>3307</v>
      </c>
      <c r="F1076" s="8" t="s">
        <v>3552</v>
      </c>
      <c r="G1076" s="8">
        <v>500</v>
      </c>
    </row>
    <row r="1077" spans="1:7" ht="16" x14ac:dyDescent="0.2">
      <c r="A1077" t="s">
        <v>3553</v>
      </c>
      <c r="B1077" s="32" t="s">
        <v>3251</v>
      </c>
      <c r="C1077" t="s">
        <v>3553</v>
      </c>
      <c r="D1077" s="8" t="s">
        <v>15</v>
      </c>
      <c r="E1077" s="8" t="s">
        <v>3308</v>
      </c>
      <c r="F1077" s="8" t="s">
        <v>3554</v>
      </c>
      <c r="G1077" s="8">
        <v>500</v>
      </c>
    </row>
    <row r="1078" spans="1:7" ht="16" x14ac:dyDescent="0.2">
      <c r="A1078" t="s">
        <v>3555</v>
      </c>
      <c r="B1078" s="32" t="s">
        <v>3251</v>
      </c>
      <c r="C1078" t="s">
        <v>3555</v>
      </c>
      <c r="D1078" s="8" t="s">
        <v>15</v>
      </c>
      <c r="E1078" s="8" t="s">
        <v>3309</v>
      </c>
      <c r="F1078" s="8" t="s">
        <v>3556</v>
      </c>
      <c r="G1078" s="8">
        <v>500</v>
      </c>
    </row>
    <row r="1079" spans="1:7" ht="16" x14ac:dyDescent="0.2">
      <c r="A1079" t="s">
        <v>3557</v>
      </c>
      <c r="B1079" s="32" t="s">
        <v>3251</v>
      </c>
      <c r="C1079" t="s">
        <v>3557</v>
      </c>
      <c r="D1079" s="8" t="s">
        <v>15</v>
      </c>
      <c r="E1079" s="8" t="s">
        <v>3310</v>
      </c>
      <c r="F1079" s="8" t="s">
        <v>3558</v>
      </c>
      <c r="G1079" s="8">
        <v>500</v>
      </c>
    </row>
    <row r="1080" spans="1:7" ht="16" x14ac:dyDescent="0.2">
      <c r="A1080" t="s">
        <v>3559</v>
      </c>
      <c r="B1080" s="32" t="s">
        <v>3251</v>
      </c>
      <c r="C1080" t="s">
        <v>3559</v>
      </c>
      <c r="D1080" s="8" t="s">
        <v>15</v>
      </c>
      <c r="E1080" s="8" t="s">
        <v>3311</v>
      </c>
      <c r="F1080" s="8" t="s">
        <v>3560</v>
      </c>
      <c r="G1080" s="8">
        <v>500</v>
      </c>
    </row>
    <row r="1081" spans="1:7" ht="16" x14ac:dyDescent="0.2">
      <c r="A1081" t="s">
        <v>3561</v>
      </c>
      <c r="B1081" s="32" t="s">
        <v>3251</v>
      </c>
      <c r="C1081" t="s">
        <v>3561</v>
      </c>
      <c r="D1081" s="8" t="s">
        <v>15</v>
      </c>
      <c r="E1081" s="8" t="s">
        <v>3312</v>
      </c>
      <c r="F1081" s="8" t="s">
        <v>3562</v>
      </c>
      <c r="G1081" s="8">
        <v>500</v>
      </c>
    </row>
    <row r="1082" spans="1:7" ht="16" x14ac:dyDescent="0.2">
      <c r="A1082" t="s">
        <v>3563</v>
      </c>
      <c r="B1082" s="32" t="s">
        <v>3251</v>
      </c>
      <c r="C1082" t="s">
        <v>3563</v>
      </c>
      <c r="D1082" s="8" t="s">
        <v>15</v>
      </c>
      <c r="E1082" s="8" t="s">
        <v>3564</v>
      </c>
      <c r="F1082" s="8" t="s">
        <v>3565</v>
      </c>
      <c r="G1082" s="8">
        <v>500</v>
      </c>
    </row>
    <row r="1083" spans="1:7" ht="16" x14ac:dyDescent="0.2">
      <c r="A1083" t="s">
        <v>3566</v>
      </c>
      <c r="B1083" s="32" t="s">
        <v>3251</v>
      </c>
      <c r="C1083" t="s">
        <v>3566</v>
      </c>
      <c r="D1083" s="8" t="s">
        <v>15</v>
      </c>
      <c r="E1083" s="8" t="s">
        <v>3567</v>
      </c>
      <c r="F1083" s="8" t="s">
        <v>3568</v>
      </c>
      <c r="G1083" s="8">
        <v>500</v>
      </c>
    </row>
    <row r="1084" spans="1:7" ht="16" x14ac:dyDescent="0.2">
      <c r="A1084" t="s">
        <v>3569</v>
      </c>
      <c r="B1084" s="32" t="s">
        <v>3251</v>
      </c>
      <c r="C1084" t="s">
        <v>3569</v>
      </c>
      <c r="D1084" s="8" t="s">
        <v>15</v>
      </c>
      <c r="E1084" s="8" t="s">
        <v>3567</v>
      </c>
      <c r="F1084" s="8" t="s">
        <v>3570</v>
      </c>
      <c r="G1084" s="8">
        <v>500</v>
      </c>
    </row>
    <row r="1085" spans="1:7" ht="16" x14ac:dyDescent="0.2">
      <c r="A1085" t="s">
        <v>3571</v>
      </c>
      <c r="B1085" s="32" t="s">
        <v>3251</v>
      </c>
      <c r="C1085" t="s">
        <v>3571</v>
      </c>
      <c r="D1085" s="8" t="s">
        <v>15</v>
      </c>
      <c r="E1085" s="8" t="s">
        <v>3313</v>
      </c>
      <c r="F1085" s="8" t="s">
        <v>3572</v>
      </c>
      <c r="G1085" s="8">
        <v>500</v>
      </c>
    </row>
    <row r="1086" spans="1:7" ht="16" x14ac:dyDescent="0.2">
      <c r="A1086" t="s">
        <v>3573</v>
      </c>
      <c r="B1086" s="32" t="s">
        <v>3251</v>
      </c>
      <c r="C1086" t="s">
        <v>3573</v>
      </c>
      <c r="D1086" s="8" t="s">
        <v>15</v>
      </c>
      <c r="E1086" s="8" t="s">
        <v>3314</v>
      </c>
      <c r="F1086" s="8" t="s">
        <v>3574</v>
      </c>
      <c r="G1086" s="8">
        <v>500</v>
      </c>
    </row>
    <row r="1087" spans="1:7" ht="16" x14ac:dyDescent="0.2">
      <c r="A1087" t="s">
        <v>3575</v>
      </c>
      <c r="B1087" s="32" t="s">
        <v>3251</v>
      </c>
      <c r="C1087" t="s">
        <v>3575</v>
      </c>
      <c r="D1087" s="8" t="s">
        <v>15</v>
      </c>
      <c r="E1087" s="8" t="s">
        <v>3315</v>
      </c>
      <c r="F1087" s="8" t="s">
        <v>3576</v>
      </c>
      <c r="G1087" s="8">
        <v>500</v>
      </c>
    </row>
    <row r="1088" spans="1:7" ht="16" x14ac:dyDescent="0.2">
      <c r="A1088" t="s">
        <v>3577</v>
      </c>
      <c r="B1088" s="32" t="s">
        <v>3251</v>
      </c>
      <c r="C1088" t="s">
        <v>3577</v>
      </c>
      <c r="D1088" s="8" t="s">
        <v>15</v>
      </c>
      <c r="E1088" s="8" t="s">
        <v>3316</v>
      </c>
      <c r="F1088" s="8" t="s">
        <v>3578</v>
      </c>
      <c r="G1088" s="8">
        <v>500</v>
      </c>
    </row>
    <row r="1089" spans="1:7" ht="16" x14ac:dyDescent="0.2">
      <c r="A1089" t="s">
        <v>3579</v>
      </c>
      <c r="B1089" s="32" t="s">
        <v>3251</v>
      </c>
      <c r="C1089" t="s">
        <v>3579</v>
      </c>
      <c r="D1089" s="8" t="s">
        <v>15</v>
      </c>
      <c r="E1089" s="8" t="s">
        <v>3317</v>
      </c>
      <c r="F1089" s="8" t="s">
        <v>3580</v>
      </c>
      <c r="G1089" s="8">
        <v>500</v>
      </c>
    </row>
    <row r="1090" spans="1:7" ht="16" x14ac:dyDescent="0.2">
      <c r="A1090" t="s">
        <v>3581</v>
      </c>
      <c r="B1090" s="32" t="s">
        <v>3251</v>
      </c>
      <c r="C1090" t="s">
        <v>3581</v>
      </c>
      <c r="D1090" s="8" t="s">
        <v>15</v>
      </c>
      <c r="E1090" s="8" t="s">
        <v>3318</v>
      </c>
      <c r="F1090" s="8" t="s">
        <v>3582</v>
      </c>
      <c r="G1090" s="8">
        <v>500</v>
      </c>
    </row>
    <row r="1091" spans="1:7" ht="16" x14ac:dyDescent="0.2">
      <c r="A1091" t="s">
        <v>3583</v>
      </c>
      <c r="B1091" s="32" t="s">
        <v>3251</v>
      </c>
      <c r="C1091" t="s">
        <v>3583</v>
      </c>
      <c r="D1091" s="8" t="s">
        <v>15</v>
      </c>
      <c r="E1091" s="8" t="s">
        <v>3319</v>
      </c>
      <c r="F1091" s="8" t="s">
        <v>3584</v>
      </c>
      <c r="G1091" s="8">
        <v>500</v>
      </c>
    </row>
    <row r="1092" spans="1:7" ht="16" x14ac:dyDescent="0.2">
      <c r="A1092" t="s">
        <v>3585</v>
      </c>
      <c r="B1092" s="32" t="s">
        <v>3251</v>
      </c>
      <c r="C1092" t="s">
        <v>3585</v>
      </c>
      <c r="D1092" s="8" t="s">
        <v>15</v>
      </c>
      <c r="E1092" s="8" t="s">
        <v>3320</v>
      </c>
      <c r="F1092" s="8" t="s">
        <v>3586</v>
      </c>
      <c r="G1092" s="8">
        <v>500</v>
      </c>
    </row>
    <row r="1093" spans="1:7" ht="16" x14ac:dyDescent="0.2">
      <c r="A1093" t="s">
        <v>3587</v>
      </c>
      <c r="B1093" s="32" t="s">
        <v>3251</v>
      </c>
      <c r="C1093" t="s">
        <v>3587</v>
      </c>
      <c r="D1093" s="8" t="s">
        <v>15</v>
      </c>
      <c r="E1093" s="8" t="s">
        <v>3321</v>
      </c>
      <c r="F1093" s="8" t="s">
        <v>3588</v>
      </c>
      <c r="G1093" s="8">
        <v>500</v>
      </c>
    </row>
    <row r="1094" spans="1:7" ht="16" x14ac:dyDescent="0.2">
      <c r="A1094" t="s">
        <v>3589</v>
      </c>
      <c r="B1094" s="32" t="s">
        <v>3251</v>
      </c>
      <c r="C1094" t="s">
        <v>3589</v>
      </c>
      <c r="D1094" s="8" t="s">
        <v>15</v>
      </c>
      <c r="E1094" s="8" t="s">
        <v>3322</v>
      </c>
      <c r="F1094" s="8" t="s">
        <v>3590</v>
      </c>
      <c r="G1094" s="8">
        <v>500</v>
      </c>
    </row>
    <row r="1095" spans="1:7" ht="16" x14ac:dyDescent="0.2">
      <c r="A1095" t="s">
        <v>3591</v>
      </c>
      <c r="B1095" s="32" t="s">
        <v>3251</v>
      </c>
      <c r="C1095" t="s">
        <v>3591</v>
      </c>
      <c r="D1095" s="8" t="s">
        <v>15</v>
      </c>
      <c r="E1095" s="8" t="s">
        <v>3323</v>
      </c>
      <c r="F1095" s="8" t="s">
        <v>3592</v>
      </c>
      <c r="G1095" s="8">
        <v>500</v>
      </c>
    </row>
    <row r="1096" spans="1:7" ht="16" x14ac:dyDescent="0.2">
      <c r="A1096" t="s">
        <v>3593</v>
      </c>
      <c r="B1096" s="32" t="s">
        <v>3251</v>
      </c>
      <c r="C1096" t="s">
        <v>3593</v>
      </c>
      <c r="D1096" s="8" t="s">
        <v>15</v>
      </c>
      <c r="E1096" s="8" t="s">
        <v>3324</v>
      </c>
      <c r="F1096" s="8" t="s">
        <v>3594</v>
      </c>
      <c r="G1096" s="8">
        <v>500</v>
      </c>
    </row>
    <row r="1097" spans="1:7" ht="16" x14ac:dyDescent="0.2">
      <c r="A1097" t="s">
        <v>3595</v>
      </c>
      <c r="B1097" s="32" t="s">
        <v>3251</v>
      </c>
      <c r="C1097" t="s">
        <v>3595</v>
      </c>
      <c r="D1097" s="8" t="s">
        <v>15</v>
      </c>
      <c r="E1097" s="8" t="s">
        <v>3325</v>
      </c>
      <c r="F1097" s="8" t="s">
        <v>3596</v>
      </c>
      <c r="G1097" s="8">
        <v>500</v>
      </c>
    </row>
    <row r="1098" spans="1:7" ht="16" x14ac:dyDescent="0.2">
      <c r="A1098" t="s">
        <v>3597</v>
      </c>
      <c r="B1098" s="32" t="s">
        <v>3251</v>
      </c>
      <c r="C1098" t="s">
        <v>3597</v>
      </c>
      <c r="D1098" s="8" t="s">
        <v>15</v>
      </c>
      <c r="E1098" s="8" t="s">
        <v>3326</v>
      </c>
      <c r="F1098" s="8" t="s">
        <v>3598</v>
      </c>
      <c r="G1098" s="8">
        <v>500</v>
      </c>
    </row>
    <row r="1099" spans="1:7" ht="16" x14ac:dyDescent="0.2">
      <c r="A1099" t="s">
        <v>3599</v>
      </c>
      <c r="B1099" s="32" t="s">
        <v>3251</v>
      </c>
      <c r="C1099" t="s">
        <v>3599</v>
      </c>
      <c r="D1099" s="8" t="s">
        <v>15</v>
      </c>
      <c r="E1099" s="8" t="s">
        <v>3327</v>
      </c>
      <c r="F1099" s="8" t="s">
        <v>3600</v>
      </c>
      <c r="G1099" s="8">
        <v>500</v>
      </c>
    </row>
    <row r="1100" spans="1:7" ht="16" x14ac:dyDescent="0.2">
      <c r="A1100" t="s">
        <v>3601</v>
      </c>
      <c r="B1100" s="32" t="s">
        <v>3251</v>
      </c>
      <c r="C1100" t="s">
        <v>3601</v>
      </c>
      <c r="D1100" s="8" t="s">
        <v>15</v>
      </c>
      <c r="E1100" s="8" t="s">
        <v>3328</v>
      </c>
      <c r="F1100" s="8" t="s">
        <v>3602</v>
      </c>
      <c r="G1100" s="8">
        <v>500</v>
      </c>
    </row>
    <row r="1101" spans="1:7" ht="16" x14ac:dyDescent="0.2">
      <c r="A1101" t="s">
        <v>3603</v>
      </c>
      <c r="B1101" s="32" t="s">
        <v>3251</v>
      </c>
      <c r="C1101" t="s">
        <v>3603</v>
      </c>
      <c r="D1101" s="8" t="s">
        <v>15</v>
      </c>
      <c r="E1101" s="8" t="s">
        <v>3329</v>
      </c>
      <c r="F1101" s="8" t="s">
        <v>3604</v>
      </c>
      <c r="G1101" s="8">
        <v>500</v>
      </c>
    </row>
    <row r="1102" spans="1:7" ht="16" x14ac:dyDescent="0.2">
      <c r="A1102" t="s">
        <v>3605</v>
      </c>
      <c r="B1102" s="32" t="s">
        <v>3251</v>
      </c>
      <c r="C1102" t="s">
        <v>3605</v>
      </c>
      <c r="D1102" s="8" t="s">
        <v>15</v>
      </c>
      <c r="E1102" s="8" t="s">
        <v>3847</v>
      </c>
      <c r="F1102" s="8" t="s">
        <v>3848</v>
      </c>
      <c r="G1102" s="8">
        <v>500</v>
      </c>
    </row>
    <row r="1103" spans="1:7" ht="16" x14ac:dyDescent="0.2">
      <c r="A1103" t="s">
        <v>3606</v>
      </c>
      <c r="B1103" s="32" t="s">
        <v>3251</v>
      </c>
      <c r="C1103" t="s">
        <v>3606</v>
      </c>
      <c r="D1103" s="8" t="s">
        <v>15</v>
      </c>
      <c r="E1103" s="8" t="s">
        <v>3330</v>
      </c>
      <c r="F1103" s="8" t="s">
        <v>3607</v>
      </c>
      <c r="G1103" s="8">
        <v>500</v>
      </c>
    </row>
    <row r="1104" spans="1:7" ht="16" x14ac:dyDescent="0.2">
      <c r="A1104" t="s">
        <v>3608</v>
      </c>
      <c r="B1104" s="32" t="s">
        <v>3251</v>
      </c>
      <c r="C1104" t="s">
        <v>3608</v>
      </c>
      <c r="D1104" s="8" t="s">
        <v>15</v>
      </c>
      <c r="E1104" s="8" t="s">
        <v>3331</v>
      </c>
      <c r="F1104" s="8" t="s">
        <v>3609</v>
      </c>
      <c r="G1104" s="8">
        <v>500</v>
      </c>
    </row>
    <row r="1105" spans="1:7" ht="16" x14ac:dyDescent="0.2">
      <c r="A1105" t="s">
        <v>3610</v>
      </c>
      <c r="B1105" s="32" t="s">
        <v>3251</v>
      </c>
      <c r="C1105" t="s">
        <v>3610</v>
      </c>
      <c r="D1105" s="8" t="s">
        <v>15</v>
      </c>
      <c r="E1105" s="8" t="s">
        <v>3332</v>
      </c>
      <c r="F1105" s="8" t="s">
        <v>3611</v>
      </c>
      <c r="G1105" s="8">
        <v>500</v>
      </c>
    </row>
    <row r="1106" spans="1:7" ht="16" x14ac:dyDescent="0.2">
      <c r="A1106" t="s">
        <v>3612</v>
      </c>
      <c r="B1106" s="32" t="s">
        <v>3251</v>
      </c>
      <c r="C1106" t="s">
        <v>3612</v>
      </c>
      <c r="D1106" s="8" t="s">
        <v>15</v>
      </c>
      <c r="E1106" s="8" t="s">
        <v>3333</v>
      </c>
      <c r="F1106" s="8" t="s">
        <v>3613</v>
      </c>
      <c r="G1106" s="8">
        <v>500</v>
      </c>
    </row>
    <row r="1107" spans="1:7" ht="16" x14ac:dyDescent="0.2">
      <c r="A1107" t="s">
        <v>3614</v>
      </c>
      <c r="B1107" s="32" t="s">
        <v>3251</v>
      </c>
      <c r="C1107" t="s">
        <v>3614</v>
      </c>
      <c r="D1107" s="8" t="s">
        <v>15</v>
      </c>
      <c r="E1107" s="8" t="s">
        <v>3334</v>
      </c>
      <c r="F1107" s="8" t="s">
        <v>3615</v>
      </c>
      <c r="G1107" s="8">
        <v>500</v>
      </c>
    </row>
    <row r="1108" spans="1:7" ht="16" x14ac:dyDescent="0.2">
      <c r="A1108" t="s">
        <v>3616</v>
      </c>
      <c r="B1108" s="32" t="s">
        <v>3251</v>
      </c>
      <c r="C1108" t="s">
        <v>3616</v>
      </c>
      <c r="D1108" s="8" t="s">
        <v>15</v>
      </c>
      <c r="E1108" s="8" t="s">
        <v>3617</v>
      </c>
      <c r="F1108" s="8" t="s">
        <v>3618</v>
      </c>
      <c r="G1108" s="8">
        <v>500</v>
      </c>
    </row>
    <row r="1109" spans="1:7" ht="16" x14ac:dyDescent="0.2">
      <c r="A1109" t="s">
        <v>3619</v>
      </c>
      <c r="B1109" s="32" t="s">
        <v>3251</v>
      </c>
      <c r="C1109" t="s">
        <v>3619</v>
      </c>
      <c r="D1109" s="8" t="s">
        <v>15</v>
      </c>
      <c r="E1109" s="8" t="s">
        <v>3620</v>
      </c>
      <c r="F1109" s="8" t="s">
        <v>3621</v>
      </c>
      <c r="G1109" s="8">
        <v>500</v>
      </c>
    </row>
    <row r="1110" spans="1:7" ht="16" x14ac:dyDescent="0.2">
      <c r="A1110" t="s">
        <v>3622</v>
      </c>
      <c r="B1110" s="32" t="s">
        <v>3251</v>
      </c>
      <c r="C1110" t="s">
        <v>3622</v>
      </c>
      <c r="D1110" s="8" t="s">
        <v>15</v>
      </c>
      <c r="E1110" s="8" t="s">
        <v>3335</v>
      </c>
      <c r="F1110" s="8" t="s">
        <v>3623</v>
      </c>
      <c r="G1110" s="8">
        <v>500</v>
      </c>
    </row>
    <row r="1111" spans="1:7" ht="16" x14ac:dyDescent="0.2">
      <c r="A1111" t="s">
        <v>3624</v>
      </c>
      <c r="B1111" s="32" t="s">
        <v>3251</v>
      </c>
      <c r="C1111" t="s">
        <v>3624</v>
      </c>
      <c r="D1111" s="8" t="s">
        <v>15</v>
      </c>
      <c r="E1111" s="8" t="s">
        <v>3336</v>
      </c>
      <c r="F1111" s="8" t="s">
        <v>3625</v>
      </c>
      <c r="G1111" s="8">
        <v>500</v>
      </c>
    </row>
    <row r="1112" spans="1:7" ht="16" x14ac:dyDescent="0.2">
      <c r="A1112" t="s">
        <v>3626</v>
      </c>
      <c r="B1112" s="32" t="s">
        <v>3251</v>
      </c>
      <c r="C1112" t="s">
        <v>3626</v>
      </c>
      <c r="D1112" s="8" t="s">
        <v>15</v>
      </c>
      <c r="E1112" s="8" t="s">
        <v>3337</v>
      </c>
      <c r="F1112" s="8" t="s">
        <v>3627</v>
      </c>
      <c r="G1112" s="8">
        <v>500</v>
      </c>
    </row>
    <row r="1113" spans="1:7" ht="16" x14ac:dyDescent="0.2">
      <c r="A1113" t="s">
        <v>3628</v>
      </c>
      <c r="B1113" s="32" t="s">
        <v>3251</v>
      </c>
      <c r="C1113" t="s">
        <v>3628</v>
      </c>
      <c r="D1113" s="8" t="s">
        <v>15</v>
      </c>
      <c r="E1113" s="8" t="s">
        <v>3338</v>
      </c>
      <c r="F1113" s="8" t="s">
        <v>3629</v>
      </c>
      <c r="G1113" s="8">
        <v>500</v>
      </c>
    </row>
    <row r="1114" spans="1:7" ht="16" x14ac:dyDescent="0.2">
      <c r="A1114" t="s">
        <v>3630</v>
      </c>
      <c r="B1114" s="32" t="s">
        <v>3251</v>
      </c>
      <c r="C1114" t="s">
        <v>3630</v>
      </c>
      <c r="D1114" s="8" t="s">
        <v>15</v>
      </c>
      <c r="E1114" s="8" t="s">
        <v>3339</v>
      </c>
      <c r="F1114" s="8" t="s">
        <v>3631</v>
      </c>
      <c r="G1114" s="8">
        <v>500</v>
      </c>
    </row>
    <row r="1115" spans="1:7" ht="16" x14ac:dyDescent="0.2">
      <c r="A1115" t="s">
        <v>3632</v>
      </c>
      <c r="B1115" s="32" t="s">
        <v>3251</v>
      </c>
      <c r="C1115" t="s">
        <v>3632</v>
      </c>
      <c r="D1115" s="8" t="s">
        <v>15</v>
      </c>
      <c r="E1115" s="8" t="s">
        <v>3340</v>
      </c>
      <c r="F1115" s="8" t="s">
        <v>3633</v>
      </c>
      <c r="G1115" s="8">
        <v>500</v>
      </c>
    </row>
    <row r="1116" spans="1:7" ht="16" x14ac:dyDescent="0.2">
      <c r="A1116" t="s">
        <v>3634</v>
      </c>
      <c r="B1116" s="32" t="s">
        <v>3251</v>
      </c>
      <c r="C1116" t="s">
        <v>3634</v>
      </c>
      <c r="D1116" s="8" t="s">
        <v>15</v>
      </c>
      <c r="E1116" s="8" t="s">
        <v>3341</v>
      </c>
      <c r="F1116" s="8" t="s">
        <v>3635</v>
      </c>
      <c r="G1116" s="8">
        <v>500</v>
      </c>
    </row>
    <row r="1117" spans="1:7" ht="16" x14ac:dyDescent="0.2">
      <c r="A1117" t="s">
        <v>3636</v>
      </c>
      <c r="B1117" s="32" t="s">
        <v>3251</v>
      </c>
      <c r="C1117" t="s">
        <v>3636</v>
      </c>
      <c r="D1117" s="8" t="s">
        <v>15</v>
      </c>
      <c r="E1117" s="8" t="s">
        <v>3637</v>
      </c>
      <c r="F1117" s="8" t="s">
        <v>3638</v>
      </c>
      <c r="G1117" s="8">
        <v>500</v>
      </c>
    </row>
    <row r="1118" spans="1:7" ht="16" x14ac:dyDescent="0.2">
      <c r="A1118" t="s">
        <v>3639</v>
      </c>
      <c r="B1118" s="32" t="s">
        <v>3251</v>
      </c>
      <c r="C1118" t="s">
        <v>3639</v>
      </c>
      <c r="D1118" s="8" t="s">
        <v>15</v>
      </c>
      <c r="E1118" s="8" t="s">
        <v>3342</v>
      </c>
      <c r="F1118" s="8" t="s">
        <v>3640</v>
      </c>
      <c r="G1118" s="8">
        <v>500</v>
      </c>
    </row>
    <row r="1119" spans="1:7" ht="16" x14ac:dyDescent="0.2">
      <c r="A1119" t="s">
        <v>3641</v>
      </c>
      <c r="B1119" s="32" t="s">
        <v>3251</v>
      </c>
      <c r="C1119" t="s">
        <v>3641</v>
      </c>
      <c r="D1119" s="8" t="s">
        <v>15</v>
      </c>
      <c r="E1119" s="8" t="s">
        <v>3343</v>
      </c>
      <c r="F1119" s="8" t="s">
        <v>3642</v>
      </c>
      <c r="G1119" s="8">
        <v>500</v>
      </c>
    </row>
    <row r="1120" spans="1:7" ht="16" x14ac:dyDescent="0.2">
      <c r="A1120" t="s">
        <v>3643</v>
      </c>
      <c r="B1120" s="32" t="s">
        <v>3251</v>
      </c>
      <c r="C1120" t="s">
        <v>3643</v>
      </c>
      <c r="D1120" s="8" t="s">
        <v>15</v>
      </c>
      <c r="E1120" s="8" t="s">
        <v>3344</v>
      </c>
      <c r="F1120" s="8" t="s">
        <v>3644</v>
      </c>
      <c r="G1120" s="8">
        <v>500</v>
      </c>
    </row>
    <row r="1121" spans="1:7" ht="16" x14ac:dyDescent="0.2">
      <c r="A1121" t="s">
        <v>3645</v>
      </c>
      <c r="B1121" s="32" t="s">
        <v>3251</v>
      </c>
      <c r="C1121" t="s">
        <v>3645</v>
      </c>
      <c r="D1121" s="8" t="s">
        <v>15</v>
      </c>
      <c r="E1121" s="8" t="s">
        <v>3345</v>
      </c>
      <c r="F1121" s="8" t="s">
        <v>3646</v>
      </c>
      <c r="G1121" s="8">
        <v>500</v>
      </c>
    </row>
    <row r="1122" spans="1:7" ht="16" x14ac:dyDescent="0.2">
      <c r="A1122" t="s">
        <v>3647</v>
      </c>
      <c r="B1122" s="32" t="s">
        <v>3251</v>
      </c>
      <c r="C1122" t="s">
        <v>3647</v>
      </c>
      <c r="D1122" s="8" t="s">
        <v>15</v>
      </c>
      <c r="E1122" s="8" t="s">
        <v>3346</v>
      </c>
      <c r="F1122" s="8" t="s">
        <v>3648</v>
      </c>
      <c r="G1122" s="8">
        <v>500</v>
      </c>
    </row>
    <row r="1123" spans="1:7" ht="16" x14ac:dyDescent="0.2">
      <c r="A1123" t="s">
        <v>3649</v>
      </c>
      <c r="B1123" s="32" t="s">
        <v>3251</v>
      </c>
      <c r="C1123" t="s">
        <v>3649</v>
      </c>
      <c r="D1123" s="8" t="s">
        <v>15</v>
      </c>
      <c r="E1123" s="8" t="s">
        <v>3347</v>
      </c>
      <c r="F1123" s="8" t="s">
        <v>3650</v>
      </c>
      <c r="G1123" s="8">
        <v>500</v>
      </c>
    </row>
    <row r="1124" spans="1:7" ht="16" x14ac:dyDescent="0.2">
      <c r="A1124" t="s">
        <v>3651</v>
      </c>
      <c r="B1124" s="32" t="s">
        <v>3251</v>
      </c>
      <c r="C1124" t="s">
        <v>3651</v>
      </c>
      <c r="D1124" s="8" t="s">
        <v>15</v>
      </c>
      <c r="E1124" s="8" t="s">
        <v>3348</v>
      </c>
      <c r="F1124" s="8" t="s">
        <v>3652</v>
      </c>
      <c r="G1124" s="8">
        <v>500</v>
      </c>
    </row>
    <row r="1125" spans="1:7" ht="16" x14ac:dyDescent="0.2">
      <c r="A1125" t="s">
        <v>3653</v>
      </c>
      <c r="B1125" s="32" t="s">
        <v>3251</v>
      </c>
      <c r="C1125" t="s">
        <v>3653</v>
      </c>
      <c r="D1125" s="8" t="s">
        <v>15</v>
      </c>
      <c r="E1125" s="8" t="s">
        <v>3349</v>
      </c>
      <c r="F1125" s="8" t="s">
        <v>3654</v>
      </c>
      <c r="G1125" s="8">
        <v>500</v>
      </c>
    </row>
    <row r="1126" spans="1:7" ht="16" x14ac:dyDescent="0.2">
      <c r="A1126" t="s">
        <v>3655</v>
      </c>
      <c r="B1126" s="32" t="s">
        <v>3251</v>
      </c>
      <c r="C1126" t="s">
        <v>3655</v>
      </c>
      <c r="D1126" s="8" t="s">
        <v>15</v>
      </c>
      <c r="E1126" s="8" t="s">
        <v>3350</v>
      </c>
      <c r="F1126" s="8" t="s">
        <v>3656</v>
      </c>
      <c r="G1126" s="8">
        <v>500</v>
      </c>
    </row>
    <row r="1127" spans="1:7" ht="16" x14ac:dyDescent="0.2">
      <c r="A1127" t="s">
        <v>3657</v>
      </c>
      <c r="B1127" s="32" t="s">
        <v>3251</v>
      </c>
      <c r="C1127" t="s">
        <v>3657</v>
      </c>
      <c r="D1127" s="8" t="s">
        <v>15</v>
      </c>
      <c r="E1127" s="8" t="s">
        <v>3351</v>
      </c>
      <c r="F1127" s="8" t="s">
        <v>3658</v>
      </c>
      <c r="G1127" s="8">
        <v>500</v>
      </c>
    </row>
    <row r="1128" spans="1:7" ht="16" x14ac:dyDescent="0.2">
      <c r="A1128" t="s">
        <v>3659</v>
      </c>
      <c r="B1128" s="32" t="s">
        <v>3251</v>
      </c>
      <c r="C1128" t="s">
        <v>3659</v>
      </c>
      <c r="D1128" s="8" t="s">
        <v>15</v>
      </c>
      <c r="E1128" s="8" t="s">
        <v>3352</v>
      </c>
      <c r="F1128" s="8" t="s">
        <v>3660</v>
      </c>
      <c r="G1128" s="8">
        <v>500</v>
      </c>
    </row>
    <row r="1129" spans="1:7" ht="16" x14ac:dyDescent="0.2">
      <c r="A1129" t="s">
        <v>3661</v>
      </c>
      <c r="B1129" s="32" t="s">
        <v>3251</v>
      </c>
      <c r="C1129" t="s">
        <v>3661</v>
      </c>
      <c r="D1129" s="8" t="s">
        <v>15</v>
      </c>
      <c r="E1129" s="8" t="s">
        <v>3353</v>
      </c>
      <c r="F1129" s="8" t="s">
        <v>3662</v>
      </c>
      <c r="G1129" s="8">
        <v>500</v>
      </c>
    </row>
    <row r="1130" spans="1:7" ht="16" x14ac:dyDescent="0.2">
      <c r="A1130" t="s">
        <v>3663</v>
      </c>
      <c r="B1130" s="32" t="s">
        <v>3251</v>
      </c>
      <c r="C1130" t="s">
        <v>3663</v>
      </c>
      <c r="D1130" s="8" t="s">
        <v>15</v>
      </c>
      <c r="E1130" s="8" t="s">
        <v>3354</v>
      </c>
      <c r="F1130" s="8" t="s">
        <v>3664</v>
      </c>
      <c r="G1130" s="8">
        <v>500</v>
      </c>
    </row>
    <row r="1131" spans="1:7" ht="16" x14ac:dyDescent="0.2">
      <c r="A1131" t="s">
        <v>3665</v>
      </c>
      <c r="B1131" s="32" t="s">
        <v>3251</v>
      </c>
      <c r="C1131" t="s">
        <v>3665</v>
      </c>
      <c r="D1131" s="8" t="s">
        <v>15</v>
      </c>
      <c r="E1131" s="8" t="s">
        <v>3355</v>
      </c>
      <c r="F1131" s="8" t="s">
        <v>3666</v>
      </c>
      <c r="G1131" s="8">
        <v>500</v>
      </c>
    </row>
    <row r="1132" spans="1:7" ht="16" x14ac:dyDescent="0.2">
      <c r="A1132" t="s">
        <v>3667</v>
      </c>
      <c r="B1132" s="32" t="s">
        <v>3251</v>
      </c>
      <c r="C1132" t="s">
        <v>3667</v>
      </c>
      <c r="D1132" s="8" t="s">
        <v>15</v>
      </c>
      <c r="E1132" s="8" t="s">
        <v>3356</v>
      </c>
      <c r="F1132" s="8" t="s">
        <v>3668</v>
      </c>
      <c r="G1132" s="8">
        <v>500</v>
      </c>
    </row>
    <row r="1133" spans="1:7" ht="16" x14ac:dyDescent="0.2">
      <c r="A1133" t="s">
        <v>3669</v>
      </c>
      <c r="B1133" s="32" t="s">
        <v>3251</v>
      </c>
      <c r="C1133" t="s">
        <v>3669</v>
      </c>
      <c r="D1133" s="8" t="s">
        <v>15</v>
      </c>
      <c r="E1133" s="8" t="s">
        <v>3357</v>
      </c>
      <c r="F1133" s="8" t="s">
        <v>3670</v>
      </c>
      <c r="G1133" s="8">
        <v>500</v>
      </c>
    </row>
    <row r="1134" spans="1:7" ht="16" x14ac:dyDescent="0.2">
      <c r="A1134" t="s">
        <v>3671</v>
      </c>
      <c r="B1134" s="32" t="s">
        <v>3251</v>
      </c>
      <c r="C1134" t="s">
        <v>3671</v>
      </c>
      <c r="D1134" s="8" t="s">
        <v>15</v>
      </c>
      <c r="E1134" s="8" t="s">
        <v>3358</v>
      </c>
      <c r="F1134" s="8" t="s">
        <v>3672</v>
      </c>
      <c r="G1134" s="8">
        <v>500</v>
      </c>
    </row>
    <row r="1135" spans="1:7" ht="16" x14ac:dyDescent="0.2">
      <c r="A1135" t="s">
        <v>3673</v>
      </c>
      <c r="B1135" s="32" t="s">
        <v>3251</v>
      </c>
      <c r="C1135" t="s">
        <v>3673</v>
      </c>
      <c r="D1135" s="8" t="s">
        <v>15</v>
      </c>
      <c r="E1135" s="8" t="s">
        <v>3359</v>
      </c>
      <c r="F1135" s="8" t="s">
        <v>3674</v>
      </c>
      <c r="G1135" s="8">
        <v>500</v>
      </c>
    </row>
    <row r="1136" spans="1:7" ht="16" x14ac:dyDescent="0.2">
      <c r="A1136" t="s">
        <v>3675</v>
      </c>
      <c r="B1136" s="32" t="s">
        <v>3251</v>
      </c>
      <c r="C1136" t="s">
        <v>3675</v>
      </c>
      <c r="D1136" s="8" t="s">
        <v>15</v>
      </c>
      <c r="E1136" s="8" t="s">
        <v>3360</v>
      </c>
      <c r="F1136" s="8" t="s">
        <v>3676</v>
      </c>
      <c r="G1136" s="8">
        <v>500</v>
      </c>
    </row>
    <row r="1137" spans="1:7" ht="16" x14ac:dyDescent="0.2">
      <c r="A1137" t="s">
        <v>3677</v>
      </c>
      <c r="B1137" s="32" t="s">
        <v>3251</v>
      </c>
      <c r="C1137" t="s">
        <v>3677</v>
      </c>
      <c r="D1137" s="8" t="s">
        <v>15</v>
      </c>
      <c r="E1137" s="8" t="s">
        <v>3361</v>
      </c>
      <c r="F1137" s="8" t="s">
        <v>3678</v>
      </c>
      <c r="G1137" s="8">
        <v>500</v>
      </c>
    </row>
    <row r="1138" spans="1:7" ht="16" x14ac:dyDescent="0.2">
      <c r="A1138" t="s">
        <v>3679</v>
      </c>
      <c r="B1138" s="32" t="s">
        <v>3251</v>
      </c>
      <c r="C1138" t="s">
        <v>3679</v>
      </c>
      <c r="D1138" s="8" t="s">
        <v>15</v>
      </c>
      <c r="E1138" s="8" t="s">
        <v>3680</v>
      </c>
      <c r="F1138" s="8" t="s">
        <v>3681</v>
      </c>
      <c r="G1138" s="8">
        <v>500</v>
      </c>
    </row>
    <row r="1139" spans="1:7" ht="16" x14ac:dyDescent="0.2">
      <c r="A1139" t="s">
        <v>3682</v>
      </c>
      <c r="B1139" s="32" t="s">
        <v>3251</v>
      </c>
      <c r="C1139" t="s">
        <v>3682</v>
      </c>
      <c r="D1139" s="8" t="s">
        <v>15</v>
      </c>
      <c r="E1139" s="8" t="s">
        <v>3362</v>
      </c>
      <c r="F1139" s="8" t="s">
        <v>3683</v>
      </c>
      <c r="G1139" s="8">
        <v>500</v>
      </c>
    </row>
    <row r="1140" spans="1:7" ht="16" x14ac:dyDescent="0.2">
      <c r="A1140" t="s">
        <v>3684</v>
      </c>
      <c r="B1140" s="32" t="s">
        <v>3251</v>
      </c>
      <c r="C1140" t="s">
        <v>3684</v>
      </c>
      <c r="D1140" s="8" t="s">
        <v>15</v>
      </c>
      <c r="E1140" s="8" t="s">
        <v>3363</v>
      </c>
      <c r="F1140" s="8" t="s">
        <v>3685</v>
      </c>
      <c r="G1140" s="8">
        <v>500</v>
      </c>
    </row>
    <row r="1141" spans="1:7" ht="16" x14ac:dyDescent="0.2">
      <c r="A1141" t="s">
        <v>3686</v>
      </c>
      <c r="B1141" s="32" t="s">
        <v>3251</v>
      </c>
      <c r="C1141" t="s">
        <v>3686</v>
      </c>
      <c r="D1141" s="8" t="s">
        <v>15</v>
      </c>
      <c r="E1141" s="8" t="s">
        <v>3364</v>
      </c>
      <c r="F1141" s="8" t="s">
        <v>3687</v>
      </c>
      <c r="G1141" s="8">
        <v>500</v>
      </c>
    </row>
    <row r="1142" spans="1:7" ht="16" x14ac:dyDescent="0.2">
      <c r="A1142" t="s">
        <v>3688</v>
      </c>
      <c r="B1142" s="32" t="s">
        <v>3251</v>
      </c>
      <c r="C1142" t="s">
        <v>3688</v>
      </c>
      <c r="D1142" s="8" t="s">
        <v>15</v>
      </c>
      <c r="E1142" s="8" t="s">
        <v>3689</v>
      </c>
      <c r="F1142" s="8" t="s">
        <v>3690</v>
      </c>
      <c r="G1142" s="8">
        <v>500</v>
      </c>
    </row>
    <row r="1143" spans="1:7" ht="16" x14ac:dyDescent="0.2">
      <c r="A1143" t="s">
        <v>3691</v>
      </c>
      <c r="B1143" s="32" t="s">
        <v>3251</v>
      </c>
      <c r="C1143" t="s">
        <v>3691</v>
      </c>
      <c r="D1143" s="8" t="s">
        <v>15</v>
      </c>
      <c r="E1143" s="8" t="s">
        <v>3365</v>
      </c>
      <c r="F1143" s="8" t="s">
        <v>3692</v>
      </c>
      <c r="G1143" s="8">
        <v>500</v>
      </c>
    </row>
    <row r="1144" spans="1:7" ht="16" x14ac:dyDescent="0.2">
      <c r="A1144" t="s">
        <v>3693</v>
      </c>
      <c r="B1144" s="32" t="s">
        <v>3251</v>
      </c>
      <c r="C1144" t="s">
        <v>3693</v>
      </c>
      <c r="D1144" s="8" t="s">
        <v>15</v>
      </c>
      <c r="E1144" s="8" t="s">
        <v>3366</v>
      </c>
      <c r="F1144" s="8" t="s">
        <v>3694</v>
      </c>
      <c r="G1144" s="8">
        <v>500</v>
      </c>
    </row>
    <row r="1145" spans="1:7" ht="16" x14ac:dyDescent="0.2">
      <c r="A1145" t="s">
        <v>3695</v>
      </c>
      <c r="B1145" s="32" t="s">
        <v>3251</v>
      </c>
      <c r="C1145" t="s">
        <v>3695</v>
      </c>
      <c r="D1145" s="8" t="s">
        <v>15</v>
      </c>
      <c r="E1145" s="8" t="s">
        <v>3367</v>
      </c>
      <c r="F1145" s="8" t="s">
        <v>3696</v>
      </c>
      <c r="G1145" s="8">
        <v>500</v>
      </c>
    </row>
    <row r="1146" spans="1:7" ht="16" x14ac:dyDescent="0.2">
      <c r="A1146" t="s">
        <v>3697</v>
      </c>
      <c r="B1146" s="32" t="s">
        <v>3251</v>
      </c>
      <c r="C1146" t="s">
        <v>3697</v>
      </c>
      <c r="D1146" s="8" t="s">
        <v>15</v>
      </c>
      <c r="E1146" s="8" t="s">
        <v>3368</v>
      </c>
      <c r="F1146" s="8" t="s">
        <v>3698</v>
      </c>
      <c r="G1146" s="8">
        <v>500</v>
      </c>
    </row>
    <row r="1147" spans="1:7" ht="16" x14ac:dyDescent="0.2">
      <c r="A1147" t="s">
        <v>3699</v>
      </c>
      <c r="B1147" s="32" t="s">
        <v>3251</v>
      </c>
      <c r="C1147" t="s">
        <v>3699</v>
      </c>
      <c r="D1147" s="8" t="s">
        <v>15</v>
      </c>
      <c r="E1147" s="8" t="s">
        <v>3369</v>
      </c>
      <c r="F1147" s="8" t="s">
        <v>3700</v>
      </c>
      <c r="G1147" s="8">
        <v>500</v>
      </c>
    </row>
    <row r="1148" spans="1:7" ht="16" x14ac:dyDescent="0.2">
      <c r="A1148" t="s">
        <v>3701</v>
      </c>
      <c r="B1148" s="32" t="s">
        <v>3251</v>
      </c>
      <c r="C1148" t="s">
        <v>3701</v>
      </c>
      <c r="D1148" s="8" t="s">
        <v>15</v>
      </c>
      <c r="E1148" s="8" t="s">
        <v>3370</v>
      </c>
      <c r="F1148" s="8" t="s">
        <v>3702</v>
      </c>
      <c r="G1148" s="8">
        <v>500</v>
      </c>
    </row>
    <row r="1149" spans="1:7" ht="16" x14ac:dyDescent="0.2">
      <c r="A1149" t="s">
        <v>3703</v>
      </c>
      <c r="B1149" s="32" t="s">
        <v>3251</v>
      </c>
      <c r="C1149" t="s">
        <v>3703</v>
      </c>
      <c r="D1149" s="8" t="s">
        <v>15</v>
      </c>
      <c r="E1149" s="8" t="s">
        <v>3371</v>
      </c>
      <c r="F1149" s="8" t="s">
        <v>3704</v>
      </c>
      <c r="G1149" s="8">
        <v>500</v>
      </c>
    </row>
    <row r="1150" spans="1:7" ht="16" x14ac:dyDescent="0.2">
      <c r="A1150" t="s">
        <v>3705</v>
      </c>
      <c r="B1150" s="32" t="s">
        <v>3251</v>
      </c>
      <c r="C1150" t="s">
        <v>3705</v>
      </c>
      <c r="D1150" s="8" t="s">
        <v>15</v>
      </c>
      <c r="E1150" s="8" t="s">
        <v>3372</v>
      </c>
      <c r="F1150" s="8" t="s">
        <v>3706</v>
      </c>
      <c r="G1150" s="8">
        <v>500</v>
      </c>
    </row>
    <row r="1151" spans="1:7" ht="16" x14ac:dyDescent="0.2">
      <c r="A1151" t="s">
        <v>3707</v>
      </c>
      <c r="B1151" s="32" t="s">
        <v>3251</v>
      </c>
      <c r="C1151" t="s">
        <v>3707</v>
      </c>
      <c r="D1151" s="8" t="s">
        <v>15</v>
      </c>
      <c r="E1151" s="8" t="s">
        <v>3373</v>
      </c>
      <c r="F1151" s="8" t="s">
        <v>3708</v>
      </c>
      <c r="G1151" s="8">
        <v>500</v>
      </c>
    </row>
    <row r="1152" spans="1:7" ht="16" x14ac:dyDescent="0.2">
      <c r="A1152" t="s">
        <v>3709</v>
      </c>
      <c r="B1152" s="32" t="s">
        <v>3251</v>
      </c>
      <c r="C1152" t="s">
        <v>3709</v>
      </c>
      <c r="D1152" s="8" t="s">
        <v>15</v>
      </c>
      <c r="E1152" s="8" t="s">
        <v>3374</v>
      </c>
      <c r="F1152" s="8" t="s">
        <v>3710</v>
      </c>
      <c r="G1152" s="8">
        <v>500</v>
      </c>
    </row>
    <row r="1153" spans="1:7" ht="16" x14ac:dyDescent="0.2">
      <c r="A1153" t="s">
        <v>3711</v>
      </c>
      <c r="B1153" s="32" t="s">
        <v>3251</v>
      </c>
      <c r="C1153" t="s">
        <v>3711</v>
      </c>
      <c r="D1153" s="8" t="s">
        <v>15</v>
      </c>
      <c r="E1153" s="8" t="s">
        <v>3375</v>
      </c>
      <c r="F1153" s="8" t="s">
        <v>3712</v>
      </c>
      <c r="G1153" s="8">
        <v>500</v>
      </c>
    </row>
    <row r="1154" spans="1:7" ht="16" x14ac:dyDescent="0.2">
      <c r="A1154" t="s">
        <v>3713</v>
      </c>
      <c r="B1154" s="32" t="s">
        <v>3251</v>
      </c>
      <c r="C1154" t="s">
        <v>3713</v>
      </c>
      <c r="D1154" s="8" t="s">
        <v>15</v>
      </c>
      <c r="E1154" s="8" t="s">
        <v>3376</v>
      </c>
      <c r="F1154" s="8" t="s">
        <v>3714</v>
      </c>
      <c r="G1154" s="8">
        <v>500</v>
      </c>
    </row>
    <row r="1155" spans="1:7" ht="16" x14ac:dyDescent="0.2">
      <c r="A1155" t="s">
        <v>3715</v>
      </c>
      <c r="B1155" s="32" t="s">
        <v>3251</v>
      </c>
      <c r="C1155" t="s">
        <v>3715</v>
      </c>
      <c r="D1155" s="8" t="s">
        <v>15</v>
      </c>
      <c r="E1155" s="8" t="s">
        <v>3377</v>
      </c>
      <c r="F1155" s="8" t="s">
        <v>3716</v>
      </c>
      <c r="G1155" s="8">
        <v>500</v>
      </c>
    </row>
    <row r="1156" spans="1:7" ht="16" x14ac:dyDescent="0.2">
      <c r="A1156" t="s">
        <v>3717</v>
      </c>
      <c r="B1156" s="32" t="s">
        <v>3251</v>
      </c>
      <c r="C1156" t="s">
        <v>3717</v>
      </c>
      <c r="D1156" s="8" t="s">
        <v>15</v>
      </c>
      <c r="E1156" s="8" t="s">
        <v>3378</v>
      </c>
      <c r="F1156" s="8" t="s">
        <v>3718</v>
      </c>
      <c r="G1156" s="8">
        <v>500</v>
      </c>
    </row>
    <row r="1157" spans="1:7" ht="16" x14ac:dyDescent="0.2">
      <c r="A1157" t="s">
        <v>3719</v>
      </c>
      <c r="B1157" s="32" t="s">
        <v>3251</v>
      </c>
      <c r="C1157" t="s">
        <v>3719</v>
      </c>
      <c r="D1157" s="8" t="s">
        <v>15</v>
      </c>
      <c r="E1157" s="8" t="s">
        <v>3379</v>
      </c>
      <c r="F1157" s="8" t="s">
        <v>3720</v>
      </c>
      <c r="G1157" s="8">
        <v>500</v>
      </c>
    </row>
    <row r="1158" spans="1:7" ht="16" x14ac:dyDescent="0.2">
      <c r="A1158" t="s">
        <v>3721</v>
      </c>
      <c r="B1158" s="32" t="s">
        <v>3251</v>
      </c>
      <c r="C1158" t="s">
        <v>3721</v>
      </c>
      <c r="D1158" s="8" t="s">
        <v>15</v>
      </c>
      <c r="E1158" s="8" t="s">
        <v>3380</v>
      </c>
      <c r="F1158" s="8" t="s">
        <v>3722</v>
      </c>
      <c r="G1158" s="8">
        <v>500</v>
      </c>
    </row>
    <row r="1159" spans="1:7" ht="16" x14ac:dyDescent="0.2">
      <c r="A1159" t="s">
        <v>3723</v>
      </c>
      <c r="B1159" s="32" t="s">
        <v>3251</v>
      </c>
      <c r="C1159" t="s">
        <v>3723</v>
      </c>
      <c r="D1159" s="8" t="s">
        <v>15</v>
      </c>
      <c r="E1159" s="8" t="s">
        <v>3381</v>
      </c>
      <c r="F1159" s="8" t="s">
        <v>3724</v>
      </c>
      <c r="G1159" s="8">
        <v>500</v>
      </c>
    </row>
    <row r="1160" spans="1:7" ht="16" x14ac:dyDescent="0.2">
      <c r="A1160" t="s">
        <v>3725</v>
      </c>
      <c r="B1160" s="32" t="s">
        <v>3251</v>
      </c>
      <c r="C1160" t="s">
        <v>3725</v>
      </c>
      <c r="D1160" s="8" t="s">
        <v>15</v>
      </c>
      <c r="E1160" s="8" t="s">
        <v>3382</v>
      </c>
      <c r="F1160" s="8" t="s">
        <v>3726</v>
      </c>
      <c r="G1160" s="8">
        <v>500</v>
      </c>
    </row>
    <row r="1161" spans="1:7" ht="16" x14ac:dyDescent="0.2">
      <c r="A1161" t="s">
        <v>3727</v>
      </c>
      <c r="B1161" s="32" t="s">
        <v>3251</v>
      </c>
      <c r="C1161" t="s">
        <v>3727</v>
      </c>
      <c r="D1161" s="8" t="s">
        <v>15</v>
      </c>
      <c r="E1161" s="8" t="s">
        <v>3383</v>
      </c>
      <c r="F1161" s="8" t="s">
        <v>3728</v>
      </c>
      <c r="G1161" s="8">
        <v>500</v>
      </c>
    </row>
    <row r="1162" spans="1:7" ht="16" x14ac:dyDescent="0.2">
      <c r="A1162" t="s">
        <v>3729</v>
      </c>
      <c r="B1162" s="32" t="s">
        <v>3251</v>
      </c>
      <c r="C1162" t="s">
        <v>3729</v>
      </c>
      <c r="D1162" s="8" t="s">
        <v>15</v>
      </c>
      <c r="E1162" s="8" t="s">
        <v>3384</v>
      </c>
      <c r="F1162" s="8" t="s">
        <v>3730</v>
      </c>
      <c r="G1162" s="8">
        <v>500</v>
      </c>
    </row>
    <row r="1163" spans="1:7" ht="16" x14ac:dyDescent="0.2">
      <c r="A1163" t="s">
        <v>3731</v>
      </c>
      <c r="B1163" s="32" t="s">
        <v>3251</v>
      </c>
      <c r="C1163" t="s">
        <v>3731</v>
      </c>
      <c r="D1163" s="8" t="s">
        <v>15</v>
      </c>
      <c r="E1163" s="8" t="s">
        <v>3385</v>
      </c>
      <c r="F1163" s="8" t="s">
        <v>3732</v>
      </c>
      <c r="G1163" s="8">
        <v>500</v>
      </c>
    </row>
    <row r="1164" spans="1:7" ht="16" x14ac:dyDescent="0.2">
      <c r="A1164" t="s">
        <v>3733</v>
      </c>
      <c r="B1164" s="32" t="s">
        <v>3251</v>
      </c>
      <c r="C1164" t="s">
        <v>3733</v>
      </c>
      <c r="D1164" s="8" t="s">
        <v>15</v>
      </c>
      <c r="E1164" s="8" t="s">
        <v>3386</v>
      </c>
      <c r="F1164" s="8" t="s">
        <v>3734</v>
      </c>
      <c r="G1164" s="8">
        <v>500</v>
      </c>
    </row>
    <row r="1165" spans="1:7" ht="16" x14ac:dyDescent="0.2">
      <c r="A1165" t="s">
        <v>3735</v>
      </c>
      <c r="B1165" s="32" t="s">
        <v>3251</v>
      </c>
      <c r="C1165" t="s">
        <v>3735</v>
      </c>
      <c r="D1165" s="8" t="s">
        <v>15</v>
      </c>
      <c r="E1165" s="8" t="s">
        <v>3387</v>
      </c>
      <c r="F1165" s="8" t="s">
        <v>3736</v>
      </c>
      <c r="G1165" s="8">
        <v>500</v>
      </c>
    </row>
    <row r="1166" spans="1:7" ht="16" x14ac:dyDescent="0.2">
      <c r="A1166" t="s">
        <v>3737</v>
      </c>
      <c r="B1166" s="32" t="s">
        <v>3251</v>
      </c>
      <c r="C1166" t="s">
        <v>3737</v>
      </c>
      <c r="D1166" s="8" t="s">
        <v>15</v>
      </c>
      <c r="E1166" s="8" t="s">
        <v>3388</v>
      </c>
      <c r="F1166" s="8" t="s">
        <v>3738</v>
      </c>
      <c r="G1166" s="8">
        <v>500</v>
      </c>
    </row>
    <row r="1167" spans="1:7" ht="16" x14ac:dyDescent="0.2">
      <c r="A1167" t="s">
        <v>3739</v>
      </c>
      <c r="B1167" s="32" t="s">
        <v>3251</v>
      </c>
      <c r="C1167" t="s">
        <v>3739</v>
      </c>
      <c r="D1167" s="8" t="s">
        <v>15</v>
      </c>
      <c r="E1167" s="8" t="s">
        <v>3389</v>
      </c>
      <c r="F1167" s="8" t="s">
        <v>3740</v>
      </c>
      <c r="G1167" s="8">
        <v>500</v>
      </c>
    </row>
    <row r="1168" spans="1:7" ht="16" x14ac:dyDescent="0.2">
      <c r="A1168" t="s">
        <v>3741</v>
      </c>
      <c r="B1168" s="32" t="s">
        <v>3251</v>
      </c>
      <c r="C1168" t="s">
        <v>3741</v>
      </c>
      <c r="D1168" s="8" t="s">
        <v>15</v>
      </c>
      <c r="E1168" s="8" t="s">
        <v>3390</v>
      </c>
      <c r="F1168" s="8" t="s">
        <v>3742</v>
      </c>
      <c r="G1168" s="8">
        <v>500</v>
      </c>
    </row>
    <row r="1169" spans="1:7" ht="16" x14ac:dyDescent="0.2">
      <c r="A1169" t="s">
        <v>3743</v>
      </c>
      <c r="B1169" s="32" t="s">
        <v>3251</v>
      </c>
      <c r="C1169" t="s">
        <v>3743</v>
      </c>
      <c r="D1169" s="8" t="s">
        <v>15</v>
      </c>
      <c r="E1169" s="8" t="s">
        <v>3391</v>
      </c>
      <c r="F1169" s="8" t="s">
        <v>3744</v>
      </c>
      <c r="G1169" s="8">
        <v>500</v>
      </c>
    </row>
    <row r="1170" spans="1:7" ht="16" x14ac:dyDescent="0.2">
      <c r="A1170" t="s">
        <v>3745</v>
      </c>
      <c r="B1170" s="32" t="s">
        <v>3251</v>
      </c>
      <c r="C1170" t="s">
        <v>3745</v>
      </c>
      <c r="D1170" s="8" t="s">
        <v>15</v>
      </c>
      <c r="E1170" s="8" t="s">
        <v>3392</v>
      </c>
      <c r="F1170" s="8" t="s">
        <v>3746</v>
      </c>
      <c r="G1170" s="8">
        <v>500</v>
      </c>
    </row>
    <row r="1171" spans="1:7" ht="16" x14ac:dyDescent="0.2">
      <c r="A1171" t="s">
        <v>3747</v>
      </c>
      <c r="B1171" s="32" t="s">
        <v>3251</v>
      </c>
      <c r="C1171" t="s">
        <v>3747</v>
      </c>
      <c r="D1171" s="8" t="s">
        <v>15</v>
      </c>
      <c r="E1171" s="8" t="s">
        <v>3393</v>
      </c>
      <c r="F1171" s="8" t="s">
        <v>3748</v>
      </c>
      <c r="G1171" s="8">
        <v>500</v>
      </c>
    </row>
    <row r="1172" spans="1:7" ht="16" x14ac:dyDescent="0.2">
      <c r="A1172" t="s">
        <v>3749</v>
      </c>
      <c r="B1172" s="32" t="s">
        <v>3251</v>
      </c>
      <c r="C1172" t="s">
        <v>3749</v>
      </c>
      <c r="D1172" s="8" t="s">
        <v>15</v>
      </c>
      <c r="E1172" s="8" t="s">
        <v>3394</v>
      </c>
      <c r="F1172" s="8" t="s">
        <v>3750</v>
      </c>
      <c r="G1172" s="8">
        <v>500</v>
      </c>
    </row>
    <row r="1173" spans="1:7" ht="16" x14ac:dyDescent="0.2">
      <c r="A1173" t="s">
        <v>3751</v>
      </c>
      <c r="B1173" s="32" t="s">
        <v>3251</v>
      </c>
      <c r="C1173" t="s">
        <v>3751</v>
      </c>
      <c r="D1173" s="8" t="s">
        <v>15</v>
      </c>
      <c r="E1173" s="8" t="s">
        <v>3395</v>
      </c>
      <c r="F1173" s="8" t="s">
        <v>3752</v>
      </c>
      <c r="G1173" s="8">
        <v>500</v>
      </c>
    </row>
    <row r="1174" spans="1:7" ht="16" x14ac:dyDescent="0.2">
      <c r="A1174" t="s">
        <v>3753</v>
      </c>
      <c r="B1174" s="32" t="s">
        <v>3251</v>
      </c>
      <c r="C1174" t="s">
        <v>3753</v>
      </c>
      <c r="D1174" s="8" t="s">
        <v>15</v>
      </c>
      <c r="E1174" s="8" t="s">
        <v>3396</v>
      </c>
      <c r="F1174" s="8" t="s">
        <v>3754</v>
      </c>
      <c r="G1174" s="8">
        <v>500</v>
      </c>
    </row>
    <row r="1175" spans="1:7" ht="16" x14ac:dyDescent="0.2">
      <c r="A1175" t="s">
        <v>3755</v>
      </c>
      <c r="B1175" s="32" t="s">
        <v>3251</v>
      </c>
      <c r="C1175" t="s">
        <v>3755</v>
      </c>
      <c r="D1175" s="8" t="s">
        <v>15</v>
      </c>
      <c r="E1175" s="8" t="s">
        <v>3397</v>
      </c>
      <c r="F1175" s="8" t="s">
        <v>3756</v>
      </c>
      <c r="G1175" s="8">
        <v>500</v>
      </c>
    </row>
    <row r="1176" spans="1:7" ht="16" x14ac:dyDescent="0.2">
      <c r="A1176" t="s">
        <v>3757</v>
      </c>
      <c r="B1176" s="32" t="s">
        <v>3251</v>
      </c>
      <c r="C1176" t="s">
        <v>3757</v>
      </c>
      <c r="D1176" s="8" t="s">
        <v>15</v>
      </c>
      <c r="E1176" s="8" t="s">
        <v>3758</v>
      </c>
      <c r="F1176" s="8" t="s">
        <v>3759</v>
      </c>
      <c r="G1176" s="8">
        <v>500</v>
      </c>
    </row>
    <row r="1177" spans="1:7" ht="16" x14ac:dyDescent="0.2">
      <c r="A1177" t="s">
        <v>3760</v>
      </c>
      <c r="B1177" s="32" t="s">
        <v>3251</v>
      </c>
      <c r="C1177" t="s">
        <v>3760</v>
      </c>
      <c r="D1177" s="8" t="s">
        <v>15</v>
      </c>
      <c r="E1177" s="8" t="s">
        <v>3398</v>
      </c>
      <c r="F1177" s="8" t="s">
        <v>3761</v>
      </c>
      <c r="G1177" s="8">
        <v>500</v>
      </c>
    </row>
    <row r="1178" spans="1:7" ht="16" x14ac:dyDescent="0.2">
      <c r="A1178" t="s">
        <v>3762</v>
      </c>
      <c r="B1178" s="32" t="s">
        <v>3251</v>
      </c>
      <c r="C1178" t="s">
        <v>3762</v>
      </c>
      <c r="D1178" s="8" t="s">
        <v>15</v>
      </c>
      <c r="E1178" s="8" t="s">
        <v>3763</v>
      </c>
      <c r="F1178" s="8" t="s">
        <v>3764</v>
      </c>
      <c r="G1178" s="8">
        <v>500</v>
      </c>
    </row>
    <row r="1179" spans="1:7" ht="16" x14ac:dyDescent="0.2">
      <c r="A1179" t="s">
        <v>3765</v>
      </c>
      <c r="B1179" s="32" t="s">
        <v>3251</v>
      </c>
      <c r="C1179" t="s">
        <v>3765</v>
      </c>
      <c r="D1179" s="8" t="s">
        <v>15</v>
      </c>
      <c r="E1179" s="8" t="s">
        <v>3399</v>
      </c>
      <c r="F1179" s="8" t="s">
        <v>3766</v>
      </c>
      <c r="G1179" s="8">
        <v>500</v>
      </c>
    </row>
    <row r="1180" spans="1:7" ht="16" x14ac:dyDescent="0.2">
      <c r="A1180" t="s">
        <v>3767</v>
      </c>
      <c r="B1180" s="32" t="s">
        <v>3251</v>
      </c>
      <c r="C1180" t="s">
        <v>3767</v>
      </c>
      <c r="D1180" s="8" t="s">
        <v>15</v>
      </c>
      <c r="E1180" s="8" t="s">
        <v>3768</v>
      </c>
      <c r="F1180" s="8" t="s">
        <v>3769</v>
      </c>
      <c r="G1180" s="8">
        <v>500</v>
      </c>
    </row>
    <row r="1181" spans="1:7" ht="16" x14ac:dyDescent="0.2">
      <c r="A1181" t="s">
        <v>3770</v>
      </c>
      <c r="B1181" s="32" t="s">
        <v>3251</v>
      </c>
      <c r="C1181" t="s">
        <v>3770</v>
      </c>
      <c r="D1181" s="8" t="s">
        <v>15</v>
      </c>
      <c r="E1181" s="8" t="s">
        <v>3771</v>
      </c>
      <c r="F1181" s="8" t="s">
        <v>3772</v>
      </c>
      <c r="G1181" s="8">
        <v>500</v>
      </c>
    </row>
    <row r="1182" spans="1:7" ht="16" x14ac:dyDescent="0.2">
      <c r="A1182" t="s">
        <v>3773</v>
      </c>
      <c r="B1182" s="32" t="s">
        <v>3251</v>
      </c>
      <c r="C1182" t="s">
        <v>3773</v>
      </c>
      <c r="D1182" s="8" t="s">
        <v>15</v>
      </c>
      <c r="E1182" s="8" t="s">
        <v>3400</v>
      </c>
      <c r="F1182" s="8" t="s">
        <v>3774</v>
      </c>
      <c r="G1182" s="8">
        <v>500</v>
      </c>
    </row>
    <row r="1183" spans="1:7" ht="16" x14ac:dyDescent="0.2">
      <c r="A1183" t="s">
        <v>3775</v>
      </c>
      <c r="B1183" s="32" t="s">
        <v>3251</v>
      </c>
      <c r="C1183" t="s">
        <v>3775</v>
      </c>
      <c r="D1183" s="8" t="s">
        <v>15</v>
      </c>
      <c r="E1183" s="8" t="s">
        <v>3401</v>
      </c>
      <c r="F1183" s="8" t="s">
        <v>3776</v>
      </c>
      <c r="G1183" s="8">
        <v>500</v>
      </c>
    </row>
    <row r="1184" spans="1:7" ht="16" x14ac:dyDescent="0.2">
      <c r="A1184" t="s">
        <v>3777</v>
      </c>
      <c r="B1184" s="32" t="s">
        <v>3251</v>
      </c>
      <c r="C1184" t="s">
        <v>3777</v>
      </c>
      <c r="D1184" s="8" t="s">
        <v>15</v>
      </c>
      <c r="E1184" s="8" t="s">
        <v>3402</v>
      </c>
      <c r="F1184" s="8" t="s">
        <v>3778</v>
      </c>
      <c r="G1184" s="8">
        <v>500</v>
      </c>
    </row>
    <row r="1185" spans="1:7" ht="16" x14ac:dyDescent="0.2">
      <c r="A1185" t="s">
        <v>3779</v>
      </c>
      <c r="B1185" s="32" t="s">
        <v>3251</v>
      </c>
      <c r="C1185" t="s">
        <v>3779</v>
      </c>
      <c r="D1185" s="8" t="s">
        <v>15</v>
      </c>
      <c r="E1185" s="8" t="s">
        <v>3403</v>
      </c>
      <c r="F1185" s="8" t="s">
        <v>3780</v>
      </c>
      <c r="G1185" s="8">
        <v>500</v>
      </c>
    </row>
    <row r="1186" spans="1:7" ht="16" x14ac:dyDescent="0.2">
      <c r="A1186" t="s">
        <v>3781</v>
      </c>
      <c r="B1186" s="32" t="s">
        <v>3251</v>
      </c>
      <c r="C1186" t="s">
        <v>3781</v>
      </c>
      <c r="D1186" s="8" t="s">
        <v>15</v>
      </c>
      <c r="E1186" s="8" t="s">
        <v>3404</v>
      </c>
      <c r="F1186" s="8" t="s">
        <v>3782</v>
      </c>
      <c r="G1186" s="8">
        <v>500</v>
      </c>
    </row>
    <row r="1187" spans="1:7" ht="16" x14ac:dyDescent="0.2">
      <c r="A1187" t="s">
        <v>3783</v>
      </c>
      <c r="B1187" s="32" t="s">
        <v>3251</v>
      </c>
      <c r="C1187" t="s">
        <v>3783</v>
      </c>
      <c r="D1187" s="8" t="s">
        <v>15</v>
      </c>
      <c r="E1187" s="8" t="s">
        <v>3405</v>
      </c>
      <c r="F1187" s="8" t="s">
        <v>3784</v>
      </c>
      <c r="G1187" s="8">
        <v>500</v>
      </c>
    </row>
    <row r="1188" spans="1:7" ht="16" x14ac:dyDescent="0.2">
      <c r="A1188" t="s">
        <v>3785</v>
      </c>
      <c r="B1188" s="32" t="s">
        <v>3251</v>
      </c>
      <c r="C1188" t="s">
        <v>3785</v>
      </c>
      <c r="D1188" s="8" t="s">
        <v>15</v>
      </c>
      <c r="E1188" s="8" t="s">
        <v>3406</v>
      </c>
      <c r="F1188" s="8" t="s">
        <v>3786</v>
      </c>
      <c r="G1188" s="8">
        <v>500</v>
      </c>
    </row>
    <row r="1189" spans="1:7" ht="16" x14ac:dyDescent="0.2">
      <c r="A1189" t="s">
        <v>3787</v>
      </c>
      <c r="B1189" s="32" t="s">
        <v>3251</v>
      </c>
      <c r="C1189" t="s">
        <v>3787</v>
      </c>
      <c r="D1189" s="8" t="s">
        <v>15</v>
      </c>
      <c r="E1189" s="8" t="s">
        <v>3407</v>
      </c>
      <c r="F1189" s="8" t="s">
        <v>3788</v>
      </c>
      <c r="G1189" s="8">
        <v>500</v>
      </c>
    </row>
    <row r="1190" spans="1:7" ht="16" x14ac:dyDescent="0.2">
      <c r="A1190" t="s">
        <v>3789</v>
      </c>
      <c r="B1190" s="32" t="s">
        <v>3251</v>
      </c>
      <c r="C1190" t="s">
        <v>3789</v>
      </c>
      <c r="D1190" s="8" t="s">
        <v>15</v>
      </c>
      <c r="E1190" s="8" t="s">
        <v>3408</v>
      </c>
      <c r="F1190" s="8" t="s">
        <v>3790</v>
      </c>
      <c r="G1190" s="8">
        <v>500</v>
      </c>
    </row>
    <row r="1191" spans="1:7" ht="16" x14ac:dyDescent="0.2">
      <c r="A1191" t="s">
        <v>3791</v>
      </c>
      <c r="B1191" s="32" t="s">
        <v>3251</v>
      </c>
      <c r="C1191" t="s">
        <v>3791</v>
      </c>
      <c r="D1191" s="8" t="s">
        <v>15</v>
      </c>
      <c r="E1191" s="8" t="s">
        <v>3409</v>
      </c>
      <c r="F1191" s="8" t="s">
        <v>3792</v>
      </c>
      <c r="G1191" s="8">
        <v>500</v>
      </c>
    </row>
    <row r="1192" spans="1:7" ht="16" x14ac:dyDescent="0.2">
      <c r="A1192" t="s">
        <v>3793</v>
      </c>
      <c r="B1192" s="32" t="s">
        <v>3251</v>
      </c>
      <c r="C1192" t="s">
        <v>3793</v>
      </c>
      <c r="D1192" s="8" t="s">
        <v>15</v>
      </c>
      <c r="E1192" s="8" t="s">
        <v>3410</v>
      </c>
      <c r="F1192" s="8" t="s">
        <v>3794</v>
      </c>
      <c r="G1192" s="8">
        <v>500</v>
      </c>
    </row>
    <row r="1193" spans="1:7" ht="16" x14ac:dyDescent="0.2">
      <c r="A1193" t="s">
        <v>3795</v>
      </c>
      <c r="B1193" s="32" t="s">
        <v>3251</v>
      </c>
      <c r="C1193" t="s">
        <v>3795</v>
      </c>
      <c r="D1193" s="8" t="s">
        <v>15</v>
      </c>
      <c r="E1193" s="8" t="s">
        <v>3411</v>
      </c>
      <c r="F1193" s="8" t="s">
        <v>3796</v>
      </c>
      <c r="G1193" s="8">
        <v>500</v>
      </c>
    </row>
    <row r="1194" spans="1:7" ht="16" x14ac:dyDescent="0.2">
      <c r="A1194" t="s">
        <v>3797</v>
      </c>
      <c r="B1194" s="32" t="s">
        <v>3251</v>
      </c>
      <c r="C1194" t="s">
        <v>3797</v>
      </c>
      <c r="D1194" s="8" t="s">
        <v>15</v>
      </c>
      <c r="E1194" s="8" t="s">
        <v>3412</v>
      </c>
      <c r="F1194" s="8" t="s">
        <v>3798</v>
      </c>
      <c r="G1194" s="8">
        <v>500</v>
      </c>
    </row>
    <row r="1195" spans="1:7" ht="16" x14ac:dyDescent="0.2">
      <c r="A1195" t="s">
        <v>3799</v>
      </c>
      <c r="B1195" s="32" t="s">
        <v>3251</v>
      </c>
      <c r="C1195" t="s">
        <v>3799</v>
      </c>
      <c r="D1195" s="8" t="s">
        <v>15</v>
      </c>
      <c r="E1195" s="8" t="s">
        <v>3413</v>
      </c>
      <c r="F1195" s="8" t="s">
        <v>3800</v>
      </c>
      <c r="G1195" s="8">
        <v>500</v>
      </c>
    </row>
    <row r="1196" spans="1:7" ht="16" x14ac:dyDescent="0.2">
      <c r="A1196" t="s">
        <v>3801</v>
      </c>
      <c r="B1196" s="32" t="s">
        <v>3251</v>
      </c>
      <c r="C1196" t="s">
        <v>3801</v>
      </c>
      <c r="D1196" s="8" t="s">
        <v>15</v>
      </c>
      <c r="E1196" s="8" t="s">
        <v>3414</v>
      </c>
      <c r="F1196" s="8" t="s">
        <v>3802</v>
      </c>
      <c r="G1196" s="8">
        <v>500</v>
      </c>
    </row>
    <row r="1197" spans="1:7" ht="16" x14ac:dyDescent="0.2">
      <c r="A1197" t="s">
        <v>3803</v>
      </c>
      <c r="B1197" s="32" t="s">
        <v>3251</v>
      </c>
      <c r="C1197" t="s">
        <v>3803</v>
      </c>
      <c r="D1197" s="8" t="s">
        <v>15</v>
      </c>
      <c r="E1197" s="8" t="s">
        <v>3415</v>
      </c>
      <c r="F1197" s="8" t="s">
        <v>3804</v>
      </c>
      <c r="G1197" s="8">
        <v>500</v>
      </c>
    </row>
    <row r="1198" spans="1:7" ht="16" x14ac:dyDescent="0.2">
      <c r="A1198" t="s">
        <v>3805</v>
      </c>
      <c r="B1198" s="32" t="s">
        <v>3251</v>
      </c>
      <c r="C1198" t="s">
        <v>3805</v>
      </c>
      <c r="D1198" s="8" t="s">
        <v>15</v>
      </c>
      <c r="E1198" s="8" t="s">
        <v>3416</v>
      </c>
      <c r="F1198" s="8" t="s">
        <v>3806</v>
      </c>
      <c r="G1198" s="8">
        <v>500</v>
      </c>
    </row>
    <row r="1199" spans="1:7" ht="16" x14ac:dyDescent="0.2">
      <c r="A1199" t="s">
        <v>3807</v>
      </c>
      <c r="B1199" s="32" t="s">
        <v>3251</v>
      </c>
      <c r="C1199" t="s">
        <v>3807</v>
      </c>
      <c r="D1199" s="8" t="s">
        <v>15</v>
      </c>
      <c r="E1199" s="8" t="s">
        <v>3417</v>
      </c>
      <c r="F1199" s="8" t="s">
        <v>3808</v>
      </c>
      <c r="G1199" s="8">
        <v>500</v>
      </c>
    </row>
    <row r="1200" spans="1:7" ht="16" x14ac:dyDescent="0.2">
      <c r="A1200" t="s">
        <v>3809</v>
      </c>
      <c r="B1200" s="32" t="s">
        <v>3251</v>
      </c>
      <c r="C1200" t="s">
        <v>3809</v>
      </c>
      <c r="D1200" s="8" t="s">
        <v>15</v>
      </c>
      <c r="E1200" s="8" t="s">
        <v>3418</v>
      </c>
      <c r="F1200" s="8" t="s">
        <v>3810</v>
      </c>
      <c r="G1200" s="8">
        <v>500</v>
      </c>
    </row>
    <row r="1201" spans="1:7" ht="16" x14ac:dyDescent="0.2">
      <c r="A1201" t="s">
        <v>3811</v>
      </c>
      <c r="B1201" s="32" t="s">
        <v>3251</v>
      </c>
      <c r="C1201" t="s">
        <v>3811</v>
      </c>
      <c r="D1201" s="8" t="s">
        <v>15</v>
      </c>
      <c r="E1201" s="8" t="s">
        <v>3419</v>
      </c>
      <c r="F1201" s="8" t="s">
        <v>3812</v>
      </c>
      <c r="G1201" s="8">
        <v>500</v>
      </c>
    </row>
    <row r="1202" spans="1:7" ht="16" x14ac:dyDescent="0.2">
      <c r="A1202" t="s">
        <v>3813</v>
      </c>
      <c r="B1202" s="32" t="s">
        <v>3251</v>
      </c>
      <c r="C1202" t="s">
        <v>3813</v>
      </c>
      <c r="D1202" s="8" t="s">
        <v>15</v>
      </c>
      <c r="E1202" s="8" t="s">
        <v>3420</v>
      </c>
      <c r="F1202" s="8" t="s">
        <v>3814</v>
      </c>
      <c r="G1202" s="8">
        <v>500</v>
      </c>
    </row>
    <row r="1203" spans="1:7" ht="16" x14ac:dyDescent="0.2">
      <c r="A1203" t="s">
        <v>3815</v>
      </c>
      <c r="B1203" s="32" t="s">
        <v>3251</v>
      </c>
      <c r="C1203" t="s">
        <v>3815</v>
      </c>
      <c r="D1203" s="8" t="s">
        <v>15</v>
      </c>
      <c r="E1203" s="8" t="s">
        <v>3421</v>
      </c>
      <c r="F1203" s="8" t="s">
        <v>3816</v>
      </c>
      <c r="G1203" s="8">
        <v>500</v>
      </c>
    </row>
    <row r="1204" spans="1:7" ht="16" x14ac:dyDescent="0.2">
      <c r="A1204" t="s">
        <v>3817</v>
      </c>
      <c r="B1204" s="32" t="s">
        <v>3251</v>
      </c>
      <c r="C1204" t="s">
        <v>3817</v>
      </c>
      <c r="D1204" s="8" t="s">
        <v>15</v>
      </c>
      <c r="E1204" s="8" t="s">
        <v>3422</v>
      </c>
      <c r="F1204" s="8" t="s">
        <v>3818</v>
      </c>
      <c r="G1204" s="8">
        <v>500</v>
      </c>
    </row>
    <row r="1205" spans="1:7" ht="16" x14ac:dyDescent="0.2">
      <c r="A1205" t="s">
        <v>3819</v>
      </c>
      <c r="B1205" s="32" t="s">
        <v>3251</v>
      </c>
      <c r="C1205" t="s">
        <v>3819</v>
      </c>
      <c r="D1205" s="8" t="s">
        <v>15</v>
      </c>
      <c r="E1205" s="8" t="s">
        <v>3423</v>
      </c>
      <c r="F1205" s="8" t="s">
        <v>3820</v>
      </c>
      <c r="G1205" s="8">
        <v>500</v>
      </c>
    </row>
    <row r="1206" spans="1:7" ht="16" x14ac:dyDescent="0.2">
      <c r="A1206" t="s">
        <v>3821</v>
      </c>
      <c r="B1206" s="32" t="s">
        <v>3251</v>
      </c>
      <c r="C1206" t="s">
        <v>3821</v>
      </c>
      <c r="D1206" s="8" t="s">
        <v>15</v>
      </c>
      <c r="E1206" s="8" t="s">
        <v>3424</v>
      </c>
      <c r="F1206" s="8" t="s">
        <v>3822</v>
      </c>
      <c r="G1206" s="8">
        <v>500</v>
      </c>
    </row>
    <row r="1207" spans="1:7" ht="16" x14ac:dyDescent="0.2">
      <c r="A1207" t="s">
        <v>3823</v>
      </c>
      <c r="B1207" s="32" t="s">
        <v>3251</v>
      </c>
      <c r="C1207" t="s">
        <v>3823</v>
      </c>
      <c r="D1207" s="8" t="s">
        <v>15</v>
      </c>
      <c r="E1207" s="8" t="s">
        <v>3425</v>
      </c>
      <c r="F1207" s="8" t="s">
        <v>3824</v>
      </c>
      <c r="G1207" s="8">
        <v>500</v>
      </c>
    </row>
    <row r="1208" spans="1:7" ht="16" x14ac:dyDescent="0.2">
      <c r="A1208" t="s">
        <v>3825</v>
      </c>
      <c r="B1208" s="32" t="s">
        <v>3251</v>
      </c>
      <c r="C1208" t="s">
        <v>3825</v>
      </c>
      <c r="D1208" s="8" t="s">
        <v>15</v>
      </c>
      <c r="E1208" s="8" t="s">
        <v>3426</v>
      </c>
      <c r="F1208" s="8" t="s">
        <v>3826</v>
      </c>
      <c r="G1208" s="8">
        <v>500</v>
      </c>
    </row>
    <row r="1209" spans="1:7" ht="16" x14ac:dyDescent="0.2">
      <c r="A1209" t="s">
        <v>3827</v>
      </c>
      <c r="B1209" s="32" t="s">
        <v>3251</v>
      </c>
      <c r="C1209" t="s">
        <v>3827</v>
      </c>
      <c r="D1209" s="8" t="s">
        <v>15</v>
      </c>
      <c r="E1209" s="8" t="s">
        <v>3427</v>
      </c>
      <c r="F1209" s="8" t="s">
        <v>3828</v>
      </c>
      <c r="G1209" s="8">
        <v>500</v>
      </c>
    </row>
    <row r="1210" spans="1:7" ht="16" x14ac:dyDescent="0.2">
      <c r="A1210" t="s">
        <v>3829</v>
      </c>
      <c r="B1210" s="32" t="s">
        <v>3251</v>
      </c>
      <c r="C1210" t="s">
        <v>3829</v>
      </c>
      <c r="D1210" s="8" t="s">
        <v>15</v>
      </c>
      <c r="E1210" s="8" t="s">
        <v>3428</v>
      </c>
      <c r="F1210" s="8" t="s">
        <v>3830</v>
      </c>
      <c r="G1210" s="8">
        <v>500</v>
      </c>
    </row>
    <row r="1211" spans="1:7" ht="16" x14ac:dyDescent="0.2">
      <c r="A1211" t="s">
        <v>3831</v>
      </c>
      <c r="B1211" s="32" t="s">
        <v>3251</v>
      </c>
      <c r="C1211" t="s">
        <v>3831</v>
      </c>
      <c r="D1211" s="8" t="s">
        <v>15</v>
      </c>
      <c r="E1211" s="8" t="s">
        <v>3429</v>
      </c>
      <c r="F1211" s="8" t="s">
        <v>3832</v>
      </c>
      <c r="G1211" s="8">
        <v>500</v>
      </c>
    </row>
    <row r="1212" spans="1:7" ht="16" x14ac:dyDescent="0.2">
      <c r="A1212" t="s">
        <v>3833</v>
      </c>
      <c r="B1212" s="32" t="s">
        <v>3251</v>
      </c>
      <c r="C1212" t="s">
        <v>3833</v>
      </c>
      <c r="D1212" s="8" t="s">
        <v>15</v>
      </c>
      <c r="E1212" s="8" t="s">
        <v>3430</v>
      </c>
      <c r="F1212" s="8" t="s">
        <v>3834</v>
      </c>
      <c r="G1212" s="8">
        <v>500</v>
      </c>
    </row>
    <row r="1213" spans="1:7" ht="16" x14ac:dyDescent="0.2">
      <c r="A1213" t="s">
        <v>3835</v>
      </c>
      <c r="B1213" s="32" t="s">
        <v>3251</v>
      </c>
      <c r="C1213" t="s">
        <v>3835</v>
      </c>
      <c r="D1213" s="8" t="s">
        <v>15</v>
      </c>
      <c r="E1213" s="8" t="s">
        <v>3431</v>
      </c>
      <c r="F1213" s="8" t="s">
        <v>3836</v>
      </c>
      <c r="G1213" s="8">
        <v>500</v>
      </c>
    </row>
    <row r="1214" spans="1:7" ht="16" x14ac:dyDescent="0.2">
      <c r="A1214" t="s">
        <v>3837</v>
      </c>
      <c r="B1214" s="32" t="s">
        <v>3251</v>
      </c>
      <c r="C1214" t="s">
        <v>3837</v>
      </c>
      <c r="D1214" s="8" t="s">
        <v>15</v>
      </c>
      <c r="E1214" s="8" t="s">
        <v>3432</v>
      </c>
      <c r="F1214" s="8" t="s">
        <v>3838</v>
      </c>
      <c r="G1214" s="8">
        <v>500</v>
      </c>
    </row>
    <row r="1215" spans="1:7" ht="16" x14ac:dyDescent="0.2">
      <c r="A1215" t="s">
        <v>3839</v>
      </c>
      <c r="B1215" s="32" t="s">
        <v>3251</v>
      </c>
      <c r="C1215" t="s">
        <v>3839</v>
      </c>
      <c r="D1215" s="8" t="s">
        <v>15</v>
      </c>
      <c r="E1215" s="8" t="s">
        <v>3433</v>
      </c>
      <c r="F1215" s="8" t="s">
        <v>3840</v>
      </c>
      <c r="G1215" s="8">
        <v>500</v>
      </c>
    </row>
    <row r="1216" spans="1:7" ht="16" x14ac:dyDescent="0.2">
      <c r="A1216" t="s">
        <v>3841</v>
      </c>
      <c r="B1216" s="32" t="s">
        <v>3251</v>
      </c>
      <c r="C1216" t="s">
        <v>3841</v>
      </c>
      <c r="D1216" s="8" t="s">
        <v>15</v>
      </c>
      <c r="E1216" s="8" t="s">
        <v>3434</v>
      </c>
      <c r="F1216" s="8" t="s">
        <v>3842</v>
      </c>
      <c r="G1216" s="8">
        <v>500</v>
      </c>
    </row>
    <row r="1217" spans="1:7" ht="16" x14ac:dyDescent="0.2">
      <c r="A1217" t="s">
        <v>3843</v>
      </c>
      <c r="B1217" s="32" t="s">
        <v>3251</v>
      </c>
      <c r="C1217" t="s">
        <v>3843</v>
      </c>
      <c r="D1217" s="8" t="s">
        <v>15</v>
      </c>
      <c r="E1217" s="8" t="s">
        <v>3435</v>
      </c>
      <c r="F1217" s="8" t="s">
        <v>3844</v>
      </c>
      <c r="G1217" s="8">
        <v>500</v>
      </c>
    </row>
    <row r="1218" spans="1:7" ht="16" x14ac:dyDescent="0.2">
      <c r="A1218" t="s">
        <v>3845</v>
      </c>
      <c r="B1218" s="32" t="s">
        <v>3251</v>
      </c>
      <c r="C1218" t="s">
        <v>3845</v>
      </c>
      <c r="D1218" s="8" t="s">
        <v>15</v>
      </c>
      <c r="E1218" s="8" t="s">
        <v>3436</v>
      </c>
      <c r="F1218" s="8" t="s">
        <v>3846</v>
      </c>
      <c r="G1218" s="8">
        <v>500</v>
      </c>
    </row>
    <row r="1219" spans="1:7" x14ac:dyDescent="0.15">
      <c r="A1219" s="8" t="s">
        <v>113</v>
      </c>
      <c r="B1219" s="33" t="s">
        <v>3849</v>
      </c>
      <c r="C1219" s="8" t="s">
        <v>113</v>
      </c>
      <c r="D1219" s="8" t="s">
        <v>15</v>
      </c>
      <c r="E1219" s="8" t="s">
        <v>3853</v>
      </c>
      <c r="F1219" s="8" t="s">
        <v>3854</v>
      </c>
      <c r="G1219" s="8">
        <v>500</v>
      </c>
    </row>
    <row r="1220" spans="1:7" x14ac:dyDescent="0.15">
      <c r="A1220" s="8" t="s">
        <v>3852</v>
      </c>
      <c r="B1220" s="33" t="s">
        <v>3849</v>
      </c>
      <c r="C1220" s="8" t="s">
        <v>3852</v>
      </c>
      <c r="D1220" s="8" t="s">
        <v>15</v>
      </c>
      <c r="E1220" s="8" t="s">
        <v>1941</v>
      </c>
      <c r="F1220" s="8" t="s">
        <v>3855</v>
      </c>
      <c r="G1220" s="8">
        <v>500</v>
      </c>
    </row>
    <row r="1221" spans="1:7" x14ac:dyDescent="0.15">
      <c r="A1221" s="8" t="s">
        <v>3856</v>
      </c>
      <c r="B1221" s="8" t="s">
        <v>61</v>
      </c>
      <c r="C1221" s="8" t="s">
        <v>3856</v>
      </c>
      <c r="D1221" s="8" t="s">
        <v>15</v>
      </c>
      <c r="E1221" s="8" t="s">
        <v>3857</v>
      </c>
      <c r="F1221" s="8" t="s">
        <v>3858</v>
      </c>
      <c r="G1221" s="8">
        <v>500</v>
      </c>
    </row>
    <row r="1222" spans="1:7" x14ac:dyDescent="0.15">
      <c r="A1222" s="8" t="s">
        <v>3920</v>
      </c>
      <c r="B1222" s="8" t="s">
        <v>3951</v>
      </c>
      <c r="C1222" s="8" t="s">
        <v>3920</v>
      </c>
      <c r="D1222" s="8" t="s">
        <v>15</v>
      </c>
      <c r="E1222" s="8" t="s">
        <v>3861</v>
      </c>
      <c r="F1222" s="8" t="s">
        <v>3862</v>
      </c>
      <c r="G1222" s="8">
        <v>500</v>
      </c>
    </row>
    <row r="1223" spans="1:7" x14ac:dyDescent="0.15">
      <c r="A1223" s="8" t="s">
        <v>3921</v>
      </c>
      <c r="B1223" s="8" t="s">
        <v>3951</v>
      </c>
      <c r="C1223" s="8" t="s">
        <v>3921</v>
      </c>
      <c r="D1223" s="8" t="s">
        <v>15</v>
      </c>
      <c r="E1223" s="8" t="s">
        <v>3863</v>
      </c>
      <c r="F1223" s="8" t="s">
        <v>3864</v>
      </c>
      <c r="G1223" s="8">
        <v>500</v>
      </c>
    </row>
    <row r="1224" spans="1:7" x14ac:dyDescent="0.15">
      <c r="A1224" s="8" t="s">
        <v>3922</v>
      </c>
      <c r="B1224" s="8" t="s">
        <v>3951</v>
      </c>
      <c r="C1224" s="8" t="s">
        <v>3922</v>
      </c>
      <c r="D1224" s="8" t="s">
        <v>15</v>
      </c>
      <c r="E1224" s="8" t="s">
        <v>3865</v>
      </c>
      <c r="F1224" s="8" t="s">
        <v>3866</v>
      </c>
      <c r="G1224" s="8">
        <v>500</v>
      </c>
    </row>
    <row r="1225" spans="1:7" x14ac:dyDescent="0.15">
      <c r="A1225" s="8" t="s">
        <v>3930</v>
      </c>
      <c r="B1225" s="8" t="s">
        <v>3951</v>
      </c>
      <c r="C1225" s="8" t="s">
        <v>3930</v>
      </c>
      <c r="D1225" s="8" t="s">
        <v>15</v>
      </c>
      <c r="E1225" s="8" t="s">
        <v>3867</v>
      </c>
      <c r="F1225" s="8" t="s">
        <v>3868</v>
      </c>
      <c r="G1225" s="8">
        <v>500</v>
      </c>
    </row>
    <row r="1226" spans="1:7" x14ac:dyDescent="0.15">
      <c r="A1226" s="8" t="s">
        <v>3923</v>
      </c>
      <c r="B1226" s="8" t="s">
        <v>3951</v>
      </c>
      <c r="C1226" s="8" t="s">
        <v>3923</v>
      </c>
      <c r="D1226" s="8" t="s">
        <v>15</v>
      </c>
      <c r="E1226" s="8" t="s">
        <v>3869</v>
      </c>
      <c r="F1226" s="8" t="s">
        <v>3870</v>
      </c>
      <c r="G1226" s="8">
        <v>500</v>
      </c>
    </row>
    <row r="1227" spans="1:7" x14ac:dyDescent="0.15">
      <c r="A1227" s="8" t="s">
        <v>3924</v>
      </c>
      <c r="B1227" s="8" t="s">
        <v>3951</v>
      </c>
      <c r="C1227" s="8" t="s">
        <v>3924</v>
      </c>
      <c r="D1227" s="8" t="s">
        <v>15</v>
      </c>
      <c r="E1227" s="8" t="s">
        <v>3871</v>
      </c>
      <c r="F1227" s="8" t="s">
        <v>3872</v>
      </c>
      <c r="G1227" s="8">
        <v>500</v>
      </c>
    </row>
    <row r="1228" spans="1:7" x14ac:dyDescent="0.15">
      <c r="A1228" s="8" t="s">
        <v>3925</v>
      </c>
      <c r="B1228" s="8" t="s">
        <v>3951</v>
      </c>
      <c r="C1228" s="8" t="s">
        <v>3925</v>
      </c>
      <c r="D1228" s="8" t="s">
        <v>15</v>
      </c>
      <c r="E1228" s="8" t="s">
        <v>3873</v>
      </c>
      <c r="F1228" s="8" t="s">
        <v>3874</v>
      </c>
      <c r="G1228" s="8">
        <v>500</v>
      </c>
    </row>
    <row r="1229" spans="1:7" x14ac:dyDescent="0.15">
      <c r="A1229" s="8" t="s">
        <v>3926</v>
      </c>
      <c r="B1229" s="8" t="s">
        <v>3951</v>
      </c>
      <c r="C1229" s="8" t="s">
        <v>3926</v>
      </c>
      <c r="D1229" s="8" t="s">
        <v>15</v>
      </c>
      <c r="E1229" s="8" t="s">
        <v>3875</v>
      </c>
      <c r="F1229" s="8" t="s">
        <v>3876</v>
      </c>
      <c r="G1229" s="8">
        <v>500</v>
      </c>
    </row>
    <row r="1230" spans="1:7" x14ac:dyDescent="0.15">
      <c r="A1230" s="8" t="s">
        <v>3927</v>
      </c>
      <c r="B1230" s="8" t="s">
        <v>3951</v>
      </c>
      <c r="C1230" s="8" t="s">
        <v>3927</v>
      </c>
      <c r="D1230" s="8" t="s">
        <v>15</v>
      </c>
      <c r="E1230" s="8" t="s">
        <v>3877</v>
      </c>
      <c r="F1230" s="8" t="s">
        <v>3878</v>
      </c>
      <c r="G1230" s="8">
        <v>500</v>
      </c>
    </row>
    <row r="1231" spans="1:7" x14ac:dyDescent="0.15">
      <c r="A1231" s="8" t="s">
        <v>3928</v>
      </c>
      <c r="B1231" s="8" t="s">
        <v>3951</v>
      </c>
      <c r="C1231" s="8" t="s">
        <v>3928</v>
      </c>
      <c r="D1231" s="8" t="s">
        <v>15</v>
      </c>
      <c r="E1231" s="8" t="s">
        <v>3879</v>
      </c>
      <c r="F1231" s="8" t="s">
        <v>3880</v>
      </c>
      <c r="G1231" s="8">
        <v>500</v>
      </c>
    </row>
    <row r="1232" spans="1:7" x14ac:dyDescent="0.15">
      <c r="A1232" s="8" t="s">
        <v>3929</v>
      </c>
      <c r="B1232" s="8" t="s">
        <v>3951</v>
      </c>
      <c r="C1232" s="8" t="s">
        <v>3929</v>
      </c>
      <c r="D1232" s="8" t="s">
        <v>15</v>
      </c>
      <c r="E1232" s="8" t="s">
        <v>3881</v>
      </c>
      <c r="F1232" s="8" t="s">
        <v>3882</v>
      </c>
      <c r="G1232" s="8">
        <v>500</v>
      </c>
    </row>
    <row r="1233" spans="1:7" x14ac:dyDescent="0.15">
      <c r="A1233" s="8" t="s">
        <v>3931</v>
      </c>
      <c r="B1233" s="8" t="s">
        <v>3951</v>
      </c>
      <c r="C1233" s="8" t="s">
        <v>3931</v>
      </c>
      <c r="D1233" s="8" t="s">
        <v>15</v>
      </c>
      <c r="E1233" s="8" t="s">
        <v>3883</v>
      </c>
      <c r="F1233" s="8" t="s">
        <v>3884</v>
      </c>
      <c r="G1233" s="8">
        <v>500</v>
      </c>
    </row>
    <row r="1234" spans="1:7" x14ac:dyDescent="0.15">
      <c r="A1234" s="8" t="s">
        <v>3932</v>
      </c>
      <c r="B1234" s="8" t="s">
        <v>3951</v>
      </c>
      <c r="C1234" s="8" t="s">
        <v>3932</v>
      </c>
      <c r="D1234" s="8" t="s">
        <v>15</v>
      </c>
      <c r="E1234" s="8" t="s">
        <v>3885</v>
      </c>
      <c r="F1234" s="8" t="s">
        <v>3886</v>
      </c>
      <c r="G1234" s="8">
        <v>500</v>
      </c>
    </row>
    <row r="1235" spans="1:7" x14ac:dyDescent="0.15">
      <c r="A1235" s="8" t="s">
        <v>3933</v>
      </c>
      <c r="B1235" s="8" t="s">
        <v>3951</v>
      </c>
      <c r="C1235" s="8" t="s">
        <v>3933</v>
      </c>
      <c r="D1235" s="8" t="s">
        <v>15</v>
      </c>
      <c r="E1235" s="8" t="s">
        <v>3887</v>
      </c>
      <c r="F1235" s="8" t="s">
        <v>3888</v>
      </c>
      <c r="G1235" s="8">
        <v>500</v>
      </c>
    </row>
    <row r="1236" spans="1:7" x14ac:dyDescent="0.15">
      <c r="A1236" s="8" t="s">
        <v>3934</v>
      </c>
      <c r="B1236" s="8" t="s">
        <v>3951</v>
      </c>
      <c r="C1236" s="8" t="s">
        <v>3934</v>
      </c>
      <c r="D1236" s="8" t="s">
        <v>15</v>
      </c>
      <c r="E1236" s="8" t="s">
        <v>3889</v>
      </c>
      <c r="F1236" s="8" t="s">
        <v>3890</v>
      </c>
      <c r="G1236" s="8">
        <v>500</v>
      </c>
    </row>
    <row r="1237" spans="1:7" x14ac:dyDescent="0.15">
      <c r="A1237" s="8" t="s">
        <v>3935</v>
      </c>
      <c r="B1237" s="8" t="s">
        <v>3951</v>
      </c>
      <c r="C1237" s="8" t="s">
        <v>3935</v>
      </c>
      <c r="D1237" s="8" t="s">
        <v>15</v>
      </c>
      <c r="E1237" s="8" t="s">
        <v>3891</v>
      </c>
      <c r="F1237" s="8" t="s">
        <v>3892</v>
      </c>
      <c r="G1237" s="8">
        <v>500</v>
      </c>
    </row>
    <row r="1238" spans="1:7" x14ac:dyDescent="0.15">
      <c r="A1238" s="8" t="s">
        <v>3936</v>
      </c>
      <c r="B1238" s="8" t="s">
        <v>3951</v>
      </c>
      <c r="C1238" s="8" t="s">
        <v>3936</v>
      </c>
      <c r="D1238" s="8" t="s">
        <v>15</v>
      </c>
      <c r="E1238" s="8" t="s">
        <v>3893</v>
      </c>
      <c r="F1238" s="8" t="s">
        <v>3894</v>
      </c>
      <c r="G1238" s="8">
        <v>500</v>
      </c>
    </row>
    <row r="1239" spans="1:7" x14ac:dyDescent="0.15">
      <c r="A1239" s="8" t="s">
        <v>3937</v>
      </c>
      <c r="B1239" s="8" t="s">
        <v>3951</v>
      </c>
      <c r="C1239" s="8" t="s">
        <v>3937</v>
      </c>
      <c r="D1239" s="8" t="s">
        <v>15</v>
      </c>
      <c r="E1239" s="8" t="s">
        <v>3895</v>
      </c>
      <c r="F1239" s="8" t="s">
        <v>3896</v>
      </c>
      <c r="G1239" s="8">
        <v>500</v>
      </c>
    </row>
    <row r="1240" spans="1:7" x14ac:dyDescent="0.15">
      <c r="A1240" s="8" t="s">
        <v>3938</v>
      </c>
      <c r="B1240" s="8" t="s">
        <v>3951</v>
      </c>
      <c r="C1240" s="8" t="s">
        <v>3938</v>
      </c>
      <c r="D1240" s="8" t="s">
        <v>15</v>
      </c>
      <c r="E1240" s="8" t="s">
        <v>3897</v>
      </c>
      <c r="F1240" s="8" t="s">
        <v>3898</v>
      </c>
      <c r="G1240" s="8">
        <v>500</v>
      </c>
    </row>
    <row r="1241" spans="1:7" x14ac:dyDescent="0.15">
      <c r="A1241" s="8" t="s">
        <v>3939</v>
      </c>
      <c r="B1241" s="8" t="s">
        <v>3951</v>
      </c>
      <c r="C1241" s="8" t="s">
        <v>3939</v>
      </c>
      <c r="D1241" s="8" t="s">
        <v>15</v>
      </c>
      <c r="E1241" s="8" t="s">
        <v>3899</v>
      </c>
      <c r="F1241" s="8" t="s">
        <v>3900</v>
      </c>
      <c r="G1241" s="8">
        <v>500</v>
      </c>
    </row>
    <row r="1242" spans="1:7" x14ac:dyDescent="0.15">
      <c r="A1242" s="8" t="s">
        <v>3940</v>
      </c>
      <c r="B1242" s="8" t="s">
        <v>3951</v>
      </c>
      <c r="C1242" s="8" t="s">
        <v>3940</v>
      </c>
      <c r="D1242" s="8" t="s">
        <v>15</v>
      </c>
      <c r="E1242" s="8" t="s">
        <v>3901</v>
      </c>
      <c r="F1242" s="8" t="s">
        <v>3902</v>
      </c>
      <c r="G1242" s="8">
        <v>500</v>
      </c>
    </row>
    <row r="1243" spans="1:7" x14ac:dyDescent="0.15">
      <c r="A1243" s="8" t="s">
        <v>3941</v>
      </c>
      <c r="B1243" s="8" t="s">
        <v>3951</v>
      </c>
      <c r="C1243" s="8" t="s">
        <v>3941</v>
      </c>
      <c r="D1243" s="8" t="s">
        <v>15</v>
      </c>
      <c r="E1243" s="8" t="s">
        <v>3903</v>
      </c>
      <c r="F1243" s="8" t="s">
        <v>3904</v>
      </c>
      <c r="G1243" s="8">
        <v>500</v>
      </c>
    </row>
    <row r="1244" spans="1:7" x14ac:dyDescent="0.15">
      <c r="A1244" s="8" t="s">
        <v>3942</v>
      </c>
      <c r="B1244" s="8" t="s">
        <v>3951</v>
      </c>
      <c r="C1244" s="8" t="s">
        <v>3942</v>
      </c>
      <c r="D1244" s="8" t="s">
        <v>15</v>
      </c>
      <c r="E1244" s="8" t="s">
        <v>3905</v>
      </c>
      <c r="F1244" s="8" t="s">
        <v>3906</v>
      </c>
      <c r="G1244" s="8">
        <v>500</v>
      </c>
    </row>
    <row r="1245" spans="1:7" x14ac:dyDescent="0.15">
      <c r="A1245" s="8" t="s">
        <v>3943</v>
      </c>
      <c r="B1245" s="8" t="s">
        <v>3951</v>
      </c>
      <c r="C1245" s="8" t="s">
        <v>3943</v>
      </c>
      <c r="D1245" s="8" t="s">
        <v>15</v>
      </c>
      <c r="E1245" s="8" t="s">
        <v>3907</v>
      </c>
      <c r="F1245" s="8" t="s">
        <v>3908</v>
      </c>
      <c r="G1245" s="8">
        <v>500</v>
      </c>
    </row>
    <row r="1246" spans="1:7" x14ac:dyDescent="0.15">
      <c r="A1246" s="8" t="s">
        <v>3944</v>
      </c>
      <c r="B1246" s="8" t="s">
        <v>3951</v>
      </c>
      <c r="C1246" s="8" t="s">
        <v>3944</v>
      </c>
      <c r="D1246" s="8" t="s">
        <v>15</v>
      </c>
      <c r="E1246" s="8" t="s">
        <v>3909</v>
      </c>
      <c r="F1246" s="8" t="s">
        <v>3910</v>
      </c>
      <c r="G1246" s="8">
        <v>500</v>
      </c>
    </row>
    <row r="1247" spans="1:7" x14ac:dyDescent="0.15">
      <c r="A1247" s="8" t="s">
        <v>3945</v>
      </c>
      <c r="B1247" s="8" t="s">
        <v>3951</v>
      </c>
      <c r="C1247" s="8" t="s">
        <v>3945</v>
      </c>
      <c r="D1247" s="8" t="s">
        <v>15</v>
      </c>
      <c r="E1247" s="8" t="s">
        <v>3911</v>
      </c>
      <c r="F1247" s="8" t="s">
        <v>3912</v>
      </c>
      <c r="G1247" s="8">
        <v>500</v>
      </c>
    </row>
    <row r="1248" spans="1:7" x14ac:dyDescent="0.15">
      <c r="A1248" s="8" t="s">
        <v>3946</v>
      </c>
      <c r="B1248" s="8" t="s">
        <v>3951</v>
      </c>
      <c r="C1248" s="8" t="s">
        <v>3946</v>
      </c>
      <c r="D1248" s="8" t="s">
        <v>15</v>
      </c>
      <c r="E1248" s="8" t="s">
        <v>3913</v>
      </c>
      <c r="F1248" s="8" t="s">
        <v>3914</v>
      </c>
      <c r="G1248" s="8">
        <v>500</v>
      </c>
    </row>
    <row r="1249" spans="1:1008" x14ac:dyDescent="0.15">
      <c r="A1249" s="8" t="s">
        <v>3947</v>
      </c>
      <c r="B1249" s="8" t="s">
        <v>3951</v>
      </c>
      <c r="C1249" s="8" t="s">
        <v>3947</v>
      </c>
      <c r="D1249" s="8" t="s">
        <v>15</v>
      </c>
      <c r="E1249" s="8" t="s">
        <v>3948</v>
      </c>
      <c r="F1249" s="8" t="s">
        <v>3915</v>
      </c>
      <c r="G1249" s="8">
        <v>500</v>
      </c>
    </row>
    <row r="1250" spans="1:1008" x14ac:dyDescent="0.15">
      <c r="A1250" s="8" t="s">
        <v>3949</v>
      </c>
      <c r="B1250" s="8" t="s">
        <v>3951</v>
      </c>
      <c r="C1250" s="8" t="s">
        <v>3949</v>
      </c>
      <c r="D1250" s="8" t="s">
        <v>15</v>
      </c>
      <c r="E1250" s="8" t="s">
        <v>3916</v>
      </c>
      <c r="F1250" s="8" t="s">
        <v>3917</v>
      </c>
      <c r="G1250" s="8">
        <v>500</v>
      </c>
    </row>
    <row r="1251" spans="1:1008" x14ac:dyDescent="0.15">
      <c r="A1251" s="8" t="s">
        <v>3950</v>
      </c>
      <c r="B1251" s="8" t="s">
        <v>3951</v>
      </c>
      <c r="C1251" s="8" t="s">
        <v>3950</v>
      </c>
      <c r="D1251" s="8" t="s">
        <v>15</v>
      </c>
      <c r="E1251" s="8" t="s">
        <v>3918</v>
      </c>
      <c r="F1251" s="8" t="s">
        <v>3919</v>
      </c>
      <c r="G1251" s="8">
        <v>500</v>
      </c>
    </row>
    <row r="1252" spans="1:1008" x14ac:dyDescent="0.15">
      <c r="A1252" s="8" t="s">
        <v>3961</v>
      </c>
      <c r="B1252" s="8" t="s">
        <v>3959</v>
      </c>
      <c r="C1252" s="8" t="s">
        <v>3961</v>
      </c>
      <c r="D1252" s="8" t="s">
        <v>3961</v>
      </c>
      <c r="E1252" s="8" t="s">
        <v>3962</v>
      </c>
      <c r="F1252" s="8" t="s">
        <v>3963</v>
      </c>
      <c r="G1252" s="8">
        <v>500</v>
      </c>
    </row>
    <row r="1253" spans="1:1008" x14ac:dyDescent="0.15">
      <c r="A1253" s="8" t="s">
        <v>3964</v>
      </c>
      <c r="B1253" s="8" t="s">
        <v>3959</v>
      </c>
      <c r="C1253" s="8" t="s">
        <v>3964</v>
      </c>
      <c r="D1253" s="8" t="s">
        <v>3965</v>
      </c>
      <c r="E1253" s="8" t="s">
        <v>3966</v>
      </c>
      <c r="F1253" s="8" t="s">
        <v>3967</v>
      </c>
      <c r="G1253" s="8">
        <v>500</v>
      </c>
    </row>
    <row r="1254" spans="1:1008" x14ac:dyDescent="0.15">
      <c r="A1254" s="8" t="s">
        <v>3968</v>
      </c>
      <c r="B1254" s="8" t="s">
        <v>3959</v>
      </c>
      <c r="C1254" s="8" t="s">
        <v>3968</v>
      </c>
      <c r="D1254" s="8" t="s">
        <v>3968</v>
      </c>
      <c r="E1254" s="8" t="s">
        <v>3969</v>
      </c>
      <c r="F1254" s="8" t="s">
        <v>3970</v>
      </c>
      <c r="G1254" s="8">
        <v>500</v>
      </c>
    </row>
    <row r="1255" spans="1:1008" x14ac:dyDescent="0.15">
      <c r="A1255" t="s">
        <v>4141</v>
      </c>
      <c r="B1255" s="31" t="s">
        <v>4073</v>
      </c>
      <c r="C1255" t="s">
        <v>4141</v>
      </c>
      <c r="D1255" s="8" t="s">
        <v>15</v>
      </c>
      <c r="E1255" t="s">
        <v>3982</v>
      </c>
      <c r="F1255" t="s">
        <v>3983</v>
      </c>
      <c r="G1255">
        <v>500</v>
      </c>
    </row>
    <row r="1256" spans="1:1008" x14ac:dyDescent="0.15">
      <c r="A1256" t="s">
        <v>4142</v>
      </c>
      <c r="B1256" s="31" t="s">
        <v>4073</v>
      </c>
      <c r="C1256" t="s">
        <v>4142</v>
      </c>
      <c r="D1256" s="8" t="s">
        <v>15</v>
      </c>
      <c r="E1256" t="s">
        <v>3984</v>
      </c>
      <c r="F1256" t="s">
        <v>3985</v>
      </c>
      <c r="G1256">
        <v>500</v>
      </c>
    </row>
    <row r="1257" spans="1:1008" x14ac:dyDescent="0.15">
      <c r="A1257" t="s">
        <v>4143</v>
      </c>
      <c r="B1257" s="31" t="s">
        <v>4073</v>
      </c>
      <c r="C1257" t="s">
        <v>4143</v>
      </c>
      <c r="D1257" s="8" t="s">
        <v>15</v>
      </c>
      <c r="E1257" t="s">
        <v>4144</v>
      </c>
      <c r="F1257" t="s">
        <v>3986</v>
      </c>
      <c r="G1257">
        <v>500</v>
      </c>
    </row>
    <row r="1258" spans="1:1008" x14ac:dyDescent="0.15">
      <c r="A1258" t="s">
        <v>3987</v>
      </c>
      <c r="B1258" s="8" t="s">
        <v>4073</v>
      </c>
      <c r="C1258" t="s">
        <v>3987</v>
      </c>
      <c r="D1258" s="8" t="s">
        <v>15</v>
      </c>
      <c r="E1258" t="s">
        <v>3987</v>
      </c>
      <c r="F1258" t="s">
        <v>3988</v>
      </c>
      <c r="G1258">
        <v>500</v>
      </c>
    </row>
    <row r="1259" spans="1:1008" x14ac:dyDescent="0.15">
      <c r="A1259" t="s">
        <v>4133</v>
      </c>
      <c r="B1259" s="8" t="s">
        <v>4073</v>
      </c>
      <c r="C1259" t="s">
        <v>3989</v>
      </c>
      <c r="D1259" s="8" t="s">
        <v>15</v>
      </c>
      <c r="E1259" t="s">
        <v>3989</v>
      </c>
      <c r="F1259" t="s">
        <v>3990</v>
      </c>
      <c r="G1259">
        <v>600</v>
      </c>
    </row>
    <row r="1260" spans="1:1008" x14ac:dyDescent="0.15">
      <c r="A1260" t="s">
        <v>4132</v>
      </c>
      <c r="B1260" s="8" t="s">
        <v>4073</v>
      </c>
      <c r="C1260" t="s">
        <v>3991</v>
      </c>
      <c r="D1260" s="8" t="s">
        <v>15</v>
      </c>
      <c r="E1260" t="s">
        <v>3991</v>
      </c>
      <c r="F1260" t="s">
        <v>3992</v>
      </c>
      <c r="G1260">
        <v>450</v>
      </c>
    </row>
    <row r="1261" spans="1:1008" x14ac:dyDescent="0.15">
      <c r="A1261" t="s">
        <v>4134</v>
      </c>
      <c r="B1261" s="8" t="s">
        <v>4074</v>
      </c>
      <c r="C1261" t="s">
        <v>4134</v>
      </c>
      <c r="D1261" s="8" t="s">
        <v>15</v>
      </c>
      <c r="E1261" t="s">
        <v>3994</v>
      </c>
      <c r="F1261" t="s">
        <v>3995</v>
      </c>
      <c r="G1261">
        <v>500</v>
      </c>
    </row>
    <row r="1262" spans="1:1008" x14ac:dyDescent="0.15">
      <c r="A1262" t="s">
        <v>4135</v>
      </c>
      <c r="B1262" s="8" t="s">
        <v>4074</v>
      </c>
      <c r="C1262" t="s">
        <v>4135</v>
      </c>
      <c r="D1262" s="8" t="s">
        <v>15</v>
      </c>
      <c r="E1262" t="s">
        <v>3996</v>
      </c>
      <c r="F1262" t="s">
        <v>3997</v>
      </c>
      <c r="G1262">
        <v>550</v>
      </c>
    </row>
    <row r="1263" spans="1:1008" x14ac:dyDescent="0.15">
      <c r="A1263" t="s">
        <v>4136</v>
      </c>
      <c r="B1263" s="8" t="s">
        <v>4074</v>
      </c>
      <c r="C1263" t="s">
        <v>4136</v>
      </c>
      <c r="D1263" s="8" t="s">
        <v>15</v>
      </c>
      <c r="E1263" t="s">
        <v>3998</v>
      </c>
      <c r="F1263" t="s">
        <v>3999</v>
      </c>
      <c r="G1263">
        <v>500</v>
      </c>
    </row>
    <row r="1264" spans="1:1008" x14ac:dyDescent="0.15">
      <c r="A1264" t="s">
        <v>4001</v>
      </c>
      <c r="B1264" s="8" t="s">
        <v>4075</v>
      </c>
      <c r="C1264" t="s">
        <v>4001</v>
      </c>
      <c r="D1264" s="8" t="s">
        <v>15</v>
      </c>
      <c r="E1264" t="s">
        <v>4001</v>
      </c>
      <c r="F1264" t="s">
        <v>4002</v>
      </c>
      <c r="G1264">
        <v>550</v>
      </c>
      <c r="H1264"/>
      <c r="I1264"/>
      <c r="J1264"/>
      <c r="K1264"/>
      <c r="L1264"/>
      <c r="M1264"/>
      <c r="N1264"/>
      <c r="O1264"/>
      <c r="P1264"/>
      <c r="Q1264"/>
      <c r="R1264"/>
      <c r="S1264"/>
      <c r="T1264"/>
      <c r="U1264"/>
      <c r="V1264"/>
      <c r="W1264"/>
      <c r="X1264"/>
      <c r="Y1264"/>
      <c r="Z1264"/>
      <c r="AA1264"/>
      <c r="AB1264"/>
      <c r="AC1264"/>
      <c r="AD1264"/>
      <c r="AE1264"/>
      <c r="AF1264"/>
      <c r="AG1264"/>
      <c r="AH1264"/>
      <c r="AI1264"/>
      <c r="AJ1264"/>
      <c r="AK1264"/>
      <c r="AL1264"/>
      <c r="AM1264"/>
      <c r="AN1264"/>
      <c r="AO1264"/>
      <c r="AP1264"/>
      <c r="AQ1264"/>
      <c r="AR1264"/>
      <c r="AS1264"/>
      <c r="AT1264"/>
      <c r="AU1264"/>
      <c r="AV1264"/>
      <c r="AW1264"/>
      <c r="AX1264"/>
      <c r="AY1264"/>
      <c r="AZ1264"/>
      <c r="BA1264"/>
      <c r="BB1264"/>
      <c r="BC1264"/>
      <c r="BD1264"/>
      <c r="BE1264"/>
      <c r="BF1264"/>
      <c r="BG1264"/>
      <c r="BH1264"/>
      <c r="BI1264"/>
      <c r="BJ1264"/>
      <c r="BK1264"/>
      <c r="BL1264"/>
      <c r="BM1264"/>
      <c r="BN1264"/>
      <c r="BO1264"/>
      <c r="BP1264"/>
      <c r="BQ1264"/>
      <c r="BR1264"/>
      <c r="BS1264"/>
      <c r="BT1264"/>
      <c r="BU1264"/>
      <c r="BV1264"/>
      <c r="BW1264"/>
      <c r="BX1264"/>
      <c r="BY1264"/>
      <c r="BZ1264"/>
      <c r="CA1264"/>
      <c r="CB1264"/>
      <c r="CC1264"/>
      <c r="CD1264"/>
      <c r="CE1264"/>
      <c r="CF1264"/>
      <c r="CG1264"/>
      <c r="CH1264"/>
      <c r="CI1264"/>
      <c r="CJ1264"/>
      <c r="CK1264"/>
      <c r="CL1264"/>
      <c r="CM1264"/>
      <c r="CN1264"/>
      <c r="CO1264"/>
      <c r="CP1264"/>
      <c r="CQ1264"/>
      <c r="CR1264"/>
      <c r="CS1264"/>
      <c r="CT1264"/>
      <c r="CU1264"/>
      <c r="CV1264"/>
      <c r="CW1264"/>
      <c r="CX1264"/>
      <c r="CY1264"/>
      <c r="CZ1264"/>
      <c r="DA1264"/>
      <c r="DB1264"/>
      <c r="DC1264"/>
      <c r="DD1264"/>
      <c r="DE1264"/>
      <c r="DF1264"/>
      <c r="DG1264"/>
      <c r="DH1264"/>
      <c r="DI1264"/>
      <c r="DJ1264"/>
      <c r="DK1264"/>
      <c r="DL1264"/>
      <c r="DM1264"/>
      <c r="DN1264"/>
      <c r="DO1264"/>
      <c r="DP1264"/>
      <c r="DQ1264"/>
      <c r="DR1264"/>
      <c r="DS1264"/>
      <c r="DT1264"/>
      <c r="DU1264"/>
      <c r="DV1264"/>
      <c r="DW1264"/>
      <c r="DX1264"/>
      <c r="DY1264"/>
      <c r="DZ1264"/>
      <c r="EA1264"/>
      <c r="EB1264"/>
      <c r="EC1264"/>
      <c r="ED1264"/>
      <c r="EE1264"/>
      <c r="EF1264"/>
      <c r="EG1264"/>
      <c r="EH1264"/>
      <c r="EI1264"/>
      <c r="EJ1264"/>
      <c r="EK1264"/>
      <c r="EL1264"/>
      <c r="EM1264"/>
      <c r="EN1264"/>
      <c r="EO1264"/>
      <c r="EP1264"/>
      <c r="EQ1264"/>
      <c r="ER1264"/>
      <c r="ES1264"/>
      <c r="ET1264"/>
      <c r="EU1264"/>
      <c r="EV1264"/>
      <c r="EW1264"/>
      <c r="EX1264"/>
      <c r="EY1264"/>
      <c r="EZ1264"/>
      <c r="FA1264"/>
      <c r="FB1264"/>
      <c r="FC1264"/>
      <c r="FD1264"/>
      <c r="FE1264"/>
      <c r="FF1264"/>
      <c r="FG1264"/>
      <c r="FH1264"/>
      <c r="FI1264"/>
      <c r="FJ1264"/>
      <c r="FK1264"/>
      <c r="FL1264"/>
      <c r="FM1264"/>
      <c r="FN1264"/>
      <c r="FO1264"/>
      <c r="FP1264"/>
      <c r="FQ1264"/>
      <c r="FR1264"/>
      <c r="FS1264"/>
      <c r="FT1264"/>
      <c r="FU1264"/>
      <c r="FV1264"/>
      <c r="FW1264"/>
      <c r="FX1264"/>
      <c r="FY1264"/>
      <c r="FZ1264"/>
      <c r="GA1264"/>
      <c r="GB1264"/>
      <c r="GC1264"/>
      <c r="GD1264"/>
      <c r="GE1264"/>
      <c r="GF1264"/>
      <c r="GG1264"/>
      <c r="GH1264"/>
      <c r="GI1264"/>
      <c r="GJ1264"/>
      <c r="GK1264"/>
      <c r="GL1264"/>
      <c r="GM1264"/>
      <c r="GN1264"/>
      <c r="GO1264"/>
      <c r="GP1264"/>
      <c r="GQ1264"/>
      <c r="GR1264"/>
      <c r="GS1264"/>
      <c r="GT1264"/>
      <c r="GU1264"/>
      <c r="GV1264"/>
      <c r="GW1264"/>
      <c r="GX1264"/>
      <c r="GY1264"/>
      <c r="GZ1264"/>
      <c r="HA1264"/>
      <c r="HB1264"/>
      <c r="HC1264"/>
      <c r="HD1264"/>
      <c r="HE1264"/>
      <c r="HF1264"/>
      <c r="HG1264"/>
      <c r="HH1264"/>
      <c r="HI1264"/>
      <c r="HJ1264"/>
      <c r="HK1264"/>
      <c r="HL1264"/>
      <c r="HM1264"/>
      <c r="HN1264"/>
      <c r="HO1264"/>
      <c r="HP1264"/>
      <c r="HQ1264"/>
      <c r="HR1264"/>
      <c r="HS1264"/>
      <c r="HT1264"/>
      <c r="HU1264"/>
      <c r="HV1264"/>
      <c r="HW1264"/>
      <c r="HX1264"/>
      <c r="HY1264"/>
      <c r="HZ1264"/>
      <c r="IA1264"/>
      <c r="IB1264"/>
      <c r="IC1264"/>
      <c r="ID1264"/>
      <c r="IE1264"/>
      <c r="IF1264"/>
      <c r="IG1264"/>
      <c r="IH1264"/>
      <c r="II1264"/>
      <c r="IJ1264"/>
      <c r="IK1264"/>
      <c r="IL1264"/>
      <c r="IM1264"/>
      <c r="IN1264"/>
      <c r="IO1264"/>
      <c r="IP1264"/>
      <c r="IQ1264"/>
      <c r="IR1264"/>
      <c r="IS1264"/>
      <c r="IT1264"/>
      <c r="IU1264"/>
      <c r="IV1264"/>
      <c r="IW1264"/>
      <c r="IX1264"/>
      <c r="IY1264"/>
      <c r="IZ1264"/>
      <c r="JA1264"/>
      <c r="JB1264"/>
      <c r="JC1264"/>
      <c r="JD1264"/>
      <c r="JE1264"/>
      <c r="JF1264"/>
      <c r="JG1264"/>
      <c r="JH1264"/>
      <c r="JI1264"/>
      <c r="JJ1264"/>
      <c r="JK1264"/>
      <c r="JL1264"/>
      <c r="JM1264"/>
      <c r="JN1264"/>
      <c r="JO1264"/>
      <c r="JP1264"/>
      <c r="JQ1264"/>
      <c r="JR1264"/>
      <c r="JS1264"/>
      <c r="JT1264"/>
      <c r="JU1264"/>
      <c r="JV1264"/>
      <c r="JW1264"/>
      <c r="JX1264"/>
      <c r="JY1264"/>
      <c r="JZ1264"/>
      <c r="KA1264"/>
      <c r="KB1264"/>
      <c r="KC1264"/>
      <c r="KD1264"/>
      <c r="KE1264"/>
      <c r="KF1264"/>
      <c r="KG1264"/>
      <c r="KH1264"/>
      <c r="KI1264"/>
      <c r="KJ1264"/>
      <c r="KK1264"/>
      <c r="KL1264"/>
      <c r="KM1264"/>
      <c r="KN1264"/>
      <c r="KO1264"/>
      <c r="KP1264"/>
      <c r="KQ1264"/>
      <c r="KR1264"/>
      <c r="KS1264"/>
      <c r="KT1264"/>
      <c r="KU1264"/>
      <c r="KV1264"/>
      <c r="KW1264"/>
      <c r="KX1264"/>
      <c r="KY1264"/>
      <c r="KZ1264"/>
      <c r="LA1264"/>
      <c r="LB1264"/>
      <c r="LC1264"/>
      <c r="LD1264"/>
      <c r="LE1264"/>
      <c r="LF1264"/>
      <c r="LG1264"/>
      <c r="LH1264"/>
      <c r="LI1264"/>
      <c r="LJ1264"/>
      <c r="LK1264"/>
      <c r="LL1264"/>
      <c r="LM1264"/>
      <c r="LN1264"/>
      <c r="LO1264"/>
      <c r="LP1264"/>
      <c r="LQ1264"/>
      <c r="LR1264"/>
      <c r="LS1264"/>
      <c r="LT1264"/>
      <c r="LU1264"/>
      <c r="LV1264"/>
      <c r="LW1264"/>
      <c r="LX1264"/>
      <c r="LY1264"/>
      <c r="LZ1264"/>
      <c r="MA1264"/>
      <c r="MB1264"/>
      <c r="MC1264"/>
      <c r="MD1264"/>
      <c r="ME1264"/>
      <c r="MF1264"/>
      <c r="MG1264"/>
      <c r="MH1264"/>
      <c r="MI1264"/>
      <c r="MJ1264"/>
      <c r="MK1264"/>
      <c r="ML1264"/>
      <c r="MM1264"/>
      <c r="MN1264"/>
      <c r="MO1264"/>
      <c r="MP1264"/>
      <c r="MQ1264"/>
      <c r="MR1264"/>
      <c r="MS1264"/>
      <c r="MT1264"/>
      <c r="MU1264"/>
      <c r="MV1264"/>
      <c r="MW1264"/>
      <c r="MX1264"/>
      <c r="MY1264"/>
      <c r="MZ1264"/>
      <c r="NA1264"/>
      <c r="NB1264"/>
      <c r="NC1264"/>
      <c r="ND1264"/>
      <c r="NE1264"/>
      <c r="NF1264"/>
      <c r="NG1264"/>
      <c r="NH1264"/>
      <c r="NI1264"/>
      <c r="NJ1264"/>
      <c r="NK1264"/>
      <c r="NL1264"/>
      <c r="NM1264"/>
      <c r="NN1264"/>
      <c r="NO1264"/>
      <c r="NP1264"/>
      <c r="NQ1264"/>
      <c r="NR1264"/>
      <c r="NS1264"/>
      <c r="NT1264"/>
      <c r="NU1264"/>
      <c r="NV1264"/>
      <c r="NW1264"/>
      <c r="NX1264"/>
      <c r="NY1264"/>
      <c r="NZ1264"/>
      <c r="OA1264"/>
      <c r="OB1264"/>
      <c r="OC1264"/>
      <c r="OD1264"/>
      <c r="OE1264"/>
      <c r="OF1264"/>
      <c r="OG1264"/>
      <c r="OH1264"/>
      <c r="OI1264"/>
      <c r="OJ1264"/>
      <c r="OK1264"/>
      <c r="OL1264"/>
      <c r="OM1264"/>
      <c r="ON1264"/>
      <c r="OO1264"/>
      <c r="OP1264"/>
      <c r="OQ1264"/>
      <c r="OR1264"/>
      <c r="OS1264"/>
      <c r="OT1264"/>
      <c r="OU1264"/>
      <c r="OV1264"/>
      <c r="OW1264"/>
      <c r="OX1264"/>
      <c r="OY1264"/>
      <c r="OZ1264"/>
      <c r="PA1264"/>
      <c r="PB1264"/>
      <c r="PC1264"/>
      <c r="PD1264"/>
      <c r="PE1264"/>
      <c r="PF1264"/>
      <c r="PG1264"/>
      <c r="PH1264"/>
      <c r="PI1264"/>
      <c r="PJ1264"/>
      <c r="PK1264"/>
      <c r="PL1264"/>
      <c r="PM1264"/>
      <c r="PN1264"/>
      <c r="PO1264"/>
      <c r="PP1264"/>
      <c r="PQ1264"/>
      <c r="PR1264"/>
      <c r="PS1264"/>
      <c r="PT1264"/>
      <c r="PU1264"/>
      <c r="PV1264"/>
      <c r="PW1264"/>
      <c r="PX1264"/>
      <c r="PY1264"/>
      <c r="PZ1264"/>
      <c r="QA1264"/>
      <c r="QB1264"/>
      <c r="QC1264"/>
      <c r="QD1264"/>
      <c r="QE1264"/>
      <c r="QF1264"/>
      <c r="QG1264"/>
      <c r="QH1264"/>
      <c r="QI1264"/>
      <c r="QJ1264"/>
      <c r="QK1264"/>
      <c r="QL1264"/>
      <c r="QM1264"/>
      <c r="QN1264"/>
      <c r="QO1264"/>
      <c r="QP1264"/>
      <c r="QQ1264"/>
      <c r="QR1264"/>
      <c r="QS1264"/>
      <c r="QT1264"/>
      <c r="QU1264"/>
      <c r="QV1264"/>
      <c r="QW1264"/>
      <c r="QX1264"/>
      <c r="QY1264"/>
      <c r="QZ1264"/>
      <c r="RA1264"/>
      <c r="RB1264"/>
      <c r="RC1264"/>
      <c r="RD1264"/>
      <c r="RE1264"/>
      <c r="RF1264"/>
      <c r="RG1264"/>
      <c r="RH1264"/>
      <c r="RI1264"/>
      <c r="RJ1264"/>
      <c r="RK1264"/>
      <c r="RL1264"/>
      <c r="RM1264"/>
      <c r="RN1264"/>
      <c r="RO1264"/>
      <c r="RP1264"/>
      <c r="RQ1264"/>
      <c r="RR1264"/>
      <c r="RS1264"/>
      <c r="RT1264"/>
      <c r="RU1264"/>
      <c r="RV1264"/>
      <c r="RW1264"/>
      <c r="RX1264"/>
      <c r="RY1264"/>
      <c r="RZ1264"/>
      <c r="SA1264"/>
      <c r="SB1264"/>
      <c r="SC1264"/>
      <c r="SD1264"/>
      <c r="SE1264"/>
      <c r="SF1264"/>
      <c r="SG1264"/>
      <c r="SH1264"/>
      <c r="SI1264"/>
      <c r="SJ1264"/>
      <c r="SK1264"/>
      <c r="SL1264"/>
      <c r="SM1264"/>
      <c r="SN1264"/>
      <c r="SO1264"/>
      <c r="SP1264"/>
      <c r="SQ1264"/>
      <c r="SR1264"/>
      <c r="SS1264"/>
      <c r="ST1264"/>
      <c r="SU1264"/>
      <c r="SV1264"/>
      <c r="SW1264"/>
      <c r="SX1264"/>
      <c r="SY1264"/>
      <c r="SZ1264"/>
      <c r="TA1264"/>
      <c r="TB1264"/>
      <c r="TC1264"/>
      <c r="TD1264"/>
      <c r="TE1264"/>
      <c r="TF1264"/>
      <c r="TG1264"/>
      <c r="TH1264"/>
      <c r="TI1264"/>
      <c r="TJ1264"/>
      <c r="TK1264"/>
      <c r="TL1264"/>
      <c r="TM1264"/>
      <c r="TN1264"/>
      <c r="TO1264"/>
      <c r="TP1264"/>
      <c r="TQ1264"/>
      <c r="TR1264"/>
      <c r="TS1264"/>
      <c r="TT1264"/>
      <c r="TU1264"/>
      <c r="TV1264"/>
      <c r="TW1264"/>
      <c r="TX1264"/>
      <c r="TY1264"/>
      <c r="TZ1264"/>
      <c r="UA1264"/>
      <c r="UB1264"/>
      <c r="UC1264"/>
      <c r="UD1264"/>
      <c r="UE1264"/>
      <c r="UF1264"/>
      <c r="UG1264"/>
      <c r="UH1264"/>
      <c r="UI1264"/>
      <c r="UJ1264"/>
      <c r="UK1264"/>
      <c r="UL1264"/>
      <c r="UM1264"/>
      <c r="UN1264"/>
      <c r="UO1264"/>
      <c r="UP1264"/>
      <c r="UQ1264"/>
      <c r="UR1264"/>
      <c r="US1264"/>
      <c r="UT1264"/>
      <c r="UU1264"/>
      <c r="UV1264"/>
      <c r="UW1264"/>
      <c r="UX1264"/>
      <c r="UY1264"/>
      <c r="UZ1264"/>
      <c r="VA1264"/>
      <c r="VB1264"/>
      <c r="VC1264"/>
      <c r="VD1264"/>
      <c r="VE1264"/>
      <c r="VF1264"/>
      <c r="VG1264"/>
      <c r="VH1264"/>
      <c r="VI1264"/>
      <c r="VJ1264"/>
      <c r="VK1264"/>
      <c r="VL1264"/>
      <c r="VM1264"/>
      <c r="VN1264"/>
      <c r="VO1264"/>
      <c r="VP1264"/>
      <c r="VQ1264"/>
      <c r="VR1264"/>
      <c r="VS1264"/>
      <c r="VT1264"/>
      <c r="VU1264"/>
      <c r="VV1264"/>
      <c r="VW1264"/>
      <c r="VX1264"/>
      <c r="VY1264"/>
      <c r="VZ1264"/>
      <c r="WA1264"/>
      <c r="WB1264"/>
      <c r="WC1264"/>
      <c r="WD1264"/>
      <c r="WE1264"/>
      <c r="WF1264"/>
      <c r="WG1264"/>
      <c r="WH1264"/>
      <c r="WI1264"/>
      <c r="WJ1264"/>
      <c r="WK1264"/>
      <c r="WL1264"/>
      <c r="WM1264"/>
      <c r="WN1264"/>
      <c r="WO1264"/>
      <c r="WP1264"/>
      <c r="WQ1264"/>
      <c r="WR1264"/>
      <c r="WS1264"/>
      <c r="WT1264"/>
      <c r="WU1264"/>
      <c r="WV1264"/>
      <c r="WW1264"/>
      <c r="WX1264"/>
      <c r="WY1264"/>
      <c r="WZ1264"/>
      <c r="XA1264"/>
      <c r="XB1264"/>
      <c r="XC1264"/>
      <c r="XD1264"/>
      <c r="XE1264"/>
      <c r="XF1264"/>
      <c r="XG1264"/>
      <c r="XH1264"/>
      <c r="XI1264"/>
      <c r="XJ1264"/>
      <c r="XK1264"/>
      <c r="XL1264"/>
      <c r="XM1264"/>
      <c r="XN1264"/>
      <c r="XO1264"/>
      <c r="XP1264"/>
      <c r="XQ1264"/>
      <c r="XR1264"/>
      <c r="XS1264"/>
      <c r="XT1264"/>
      <c r="XU1264"/>
      <c r="XV1264"/>
      <c r="XW1264"/>
      <c r="XX1264"/>
      <c r="XY1264"/>
      <c r="XZ1264"/>
      <c r="YA1264"/>
      <c r="YB1264"/>
      <c r="YC1264"/>
      <c r="YD1264"/>
      <c r="YE1264"/>
      <c r="YF1264"/>
      <c r="YG1264"/>
      <c r="YH1264"/>
      <c r="YI1264"/>
      <c r="YJ1264"/>
      <c r="YK1264"/>
      <c r="YL1264"/>
      <c r="YM1264"/>
      <c r="YN1264"/>
      <c r="YO1264"/>
      <c r="YP1264"/>
      <c r="YQ1264"/>
      <c r="YR1264"/>
      <c r="YS1264"/>
      <c r="YT1264"/>
      <c r="YU1264"/>
      <c r="YV1264"/>
      <c r="YW1264"/>
      <c r="YX1264"/>
      <c r="YY1264"/>
      <c r="YZ1264"/>
      <c r="ZA1264"/>
      <c r="ZB1264"/>
      <c r="ZC1264"/>
      <c r="ZD1264"/>
      <c r="ZE1264"/>
      <c r="ZF1264"/>
      <c r="ZG1264"/>
      <c r="ZH1264"/>
      <c r="ZI1264"/>
      <c r="ZJ1264"/>
      <c r="ZK1264"/>
      <c r="ZL1264"/>
      <c r="ZM1264"/>
      <c r="ZN1264"/>
      <c r="ZO1264"/>
      <c r="ZP1264"/>
      <c r="ZQ1264"/>
      <c r="ZR1264"/>
      <c r="ZS1264"/>
      <c r="ZT1264"/>
      <c r="ZU1264"/>
      <c r="ZV1264"/>
      <c r="ZW1264"/>
      <c r="ZX1264"/>
      <c r="ZY1264"/>
      <c r="ZZ1264"/>
      <c r="AAA1264"/>
      <c r="AAB1264"/>
      <c r="AAC1264"/>
      <c r="AAD1264"/>
      <c r="AAE1264"/>
      <c r="AAF1264"/>
      <c r="AAG1264"/>
      <c r="AAH1264"/>
      <c r="AAI1264"/>
      <c r="AAJ1264"/>
      <c r="AAK1264"/>
      <c r="AAL1264"/>
      <c r="AAM1264"/>
      <c r="AAN1264"/>
      <c r="AAO1264"/>
      <c r="AAP1264"/>
      <c r="AAQ1264"/>
      <c r="AAR1264"/>
      <c r="AAS1264"/>
      <c r="AAT1264"/>
      <c r="AAU1264"/>
      <c r="AAV1264"/>
      <c r="AAW1264"/>
      <c r="AAX1264"/>
      <c r="AAY1264"/>
      <c r="AAZ1264"/>
      <c r="ABA1264"/>
      <c r="ABB1264"/>
      <c r="ABC1264"/>
      <c r="ABD1264"/>
      <c r="ABE1264"/>
      <c r="ABF1264"/>
      <c r="ABG1264"/>
      <c r="ABH1264"/>
      <c r="ABI1264"/>
      <c r="ABJ1264"/>
      <c r="ABK1264"/>
      <c r="ABL1264"/>
      <c r="ABM1264"/>
      <c r="ABN1264"/>
      <c r="ABO1264"/>
      <c r="ABP1264"/>
      <c r="ABQ1264"/>
      <c r="ABR1264"/>
      <c r="ABS1264"/>
      <c r="ABT1264"/>
      <c r="ABU1264"/>
      <c r="ABV1264"/>
      <c r="ABW1264"/>
      <c r="ABX1264"/>
      <c r="ABY1264"/>
      <c r="ABZ1264"/>
      <c r="ACA1264"/>
      <c r="ACB1264"/>
      <c r="ACC1264"/>
      <c r="ACD1264"/>
      <c r="ACE1264"/>
      <c r="ACF1264"/>
      <c r="ACG1264"/>
      <c r="ACH1264"/>
      <c r="ACI1264"/>
      <c r="ACJ1264"/>
      <c r="ACK1264"/>
      <c r="ACL1264"/>
      <c r="ACM1264"/>
      <c r="ACN1264"/>
      <c r="ACO1264"/>
      <c r="ACP1264"/>
      <c r="ACQ1264"/>
      <c r="ACR1264"/>
      <c r="ACS1264"/>
      <c r="ACT1264"/>
      <c r="ACU1264"/>
      <c r="ACV1264"/>
      <c r="ACW1264"/>
      <c r="ACX1264"/>
      <c r="ACY1264"/>
      <c r="ACZ1264"/>
      <c r="ADA1264"/>
      <c r="ADB1264"/>
      <c r="ADC1264"/>
      <c r="ADD1264"/>
      <c r="ADE1264"/>
      <c r="ADF1264"/>
      <c r="ADG1264"/>
      <c r="ADH1264"/>
      <c r="ADI1264"/>
      <c r="ADJ1264"/>
      <c r="ADK1264"/>
      <c r="ADL1264"/>
      <c r="ADM1264"/>
      <c r="ADN1264"/>
      <c r="ADO1264"/>
      <c r="ADP1264"/>
      <c r="ADQ1264"/>
      <c r="ADR1264"/>
      <c r="ADS1264"/>
      <c r="ADT1264"/>
      <c r="ADU1264"/>
      <c r="ADV1264"/>
      <c r="ADW1264"/>
      <c r="ADX1264"/>
      <c r="ADY1264"/>
      <c r="ADZ1264"/>
      <c r="AEA1264"/>
      <c r="AEB1264"/>
      <c r="AEC1264"/>
      <c r="AED1264"/>
      <c r="AEE1264"/>
      <c r="AEF1264"/>
      <c r="AEG1264"/>
      <c r="AEH1264"/>
      <c r="AEI1264"/>
      <c r="AEJ1264"/>
      <c r="AEK1264"/>
      <c r="AEL1264"/>
      <c r="AEM1264"/>
      <c r="AEN1264"/>
      <c r="AEO1264"/>
      <c r="AEP1264"/>
      <c r="AEQ1264"/>
      <c r="AER1264"/>
      <c r="AES1264"/>
      <c r="AET1264"/>
      <c r="AEU1264"/>
      <c r="AEV1264"/>
      <c r="AEW1264"/>
      <c r="AEX1264"/>
      <c r="AEY1264"/>
      <c r="AEZ1264"/>
      <c r="AFA1264"/>
      <c r="AFB1264"/>
      <c r="AFC1264"/>
      <c r="AFD1264"/>
      <c r="AFE1264"/>
      <c r="AFF1264"/>
      <c r="AFG1264"/>
      <c r="AFH1264"/>
      <c r="AFI1264"/>
      <c r="AFJ1264"/>
      <c r="AFK1264"/>
      <c r="AFL1264"/>
      <c r="AFM1264"/>
      <c r="AFN1264"/>
      <c r="AFO1264"/>
      <c r="AFP1264"/>
      <c r="AFQ1264"/>
      <c r="AFR1264"/>
      <c r="AFS1264"/>
      <c r="AFT1264"/>
      <c r="AFU1264"/>
      <c r="AFV1264"/>
      <c r="AFW1264"/>
      <c r="AFX1264"/>
      <c r="AFY1264"/>
      <c r="AFZ1264"/>
      <c r="AGA1264"/>
      <c r="AGB1264"/>
      <c r="AGC1264"/>
      <c r="AGD1264"/>
      <c r="AGE1264"/>
      <c r="AGF1264"/>
      <c r="AGG1264"/>
      <c r="AGH1264"/>
      <c r="AGI1264"/>
      <c r="AGJ1264"/>
      <c r="AGK1264"/>
      <c r="AGL1264"/>
      <c r="AGM1264"/>
      <c r="AGN1264"/>
      <c r="AGO1264"/>
      <c r="AGP1264"/>
      <c r="AGQ1264"/>
      <c r="AGR1264"/>
      <c r="AGS1264"/>
      <c r="AGT1264"/>
      <c r="AGU1264"/>
      <c r="AGV1264"/>
      <c r="AGW1264"/>
      <c r="AGX1264"/>
      <c r="AGY1264"/>
      <c r="AGZ1264"/>
      <c r="AHA1264"/>
      <c r="AHB1264"/>
      <c r="AHC1264"/>
      <c r="AHD1264"/>
      <c r="AHE1264"/>
      <c r="AHF1264"/>
      <c r="AHG1264"/>
      <c r="AHH1264"/>
      <c r="AHI1264"/>
      <c r="AHJ1264"/>
      <c r="AHK1264"/>
      <c r="AHL1264"/>
      <c r="AHM1264"/>
      <c r="AHN1264"/>
      <c r="AHO1264"/>
      <c r="AHP1264"/>
      <c r="AHQ1264"/>
      <c r="AHR1264"/>
      <c r="AHS1264"/>
      <c r="AHT1264"/>
      <c r="AHU1264"/>
      <c r="AHV1264"/>
      <c r="AHW1264"/>
      <c r="AHX1264"/>
      <c r="AHY1264"/>
      <c r="AHZ1264"/>
      <c r="AIA1264"/>
      <c r="AIB1264"/>
      <c r="AIC1264"/>
      <c r="AID1264"/>
      <c r="AIE1264"/>
      <c r="AIF1264"/>
      <c r="AIG1264"/>
      <c r="AIH1264"/>
      <c r="AII1264"/>
      <c r="AIJ1264"/>
      <c r="AIK1264"/>
      <c r="AIL1264"/>
      <c r="AIM1264"/>
      <c r="AIN1264"/>
      <c r="AIO1264"/>
      <c r="AIP1264"/>
      <c r="AIQ1264"/>
      <c r="AIR1264"/>
      <c r="AIS1264"/>
      <c r="AIT1264"/>
      <c r="AIU1264"/>
      <c r="AIV1264"/>
      <c r="AIW1264"/>
      <c r="AIX1264"/>
      <c r="AIY1264"/>
      <c r="AIZ1264"/>
      <c r="AJA1264"/>
      <c r="AJB1264"/>
      <c r="AJC1264"/>
      <c r="AJD1264"/>
      <c r="AJE1264"/>
      <c r="AJF1264"/>
      <c r="AJG1264"/>
      <c r="AJH1264"/>
      <c r="AJI1264"/>
      <c r="AJJ1264"/>
      <c r="AJK1264"/>
      <c r="AJL1264"/>
      <c r="AJM1264"/>
      <c r="AJN1264"/>
      <c r="AJO1264"/>
      <c r="AJP1264"/>
      <c r="AJQ1264"/>
      <c r="AJR1264"/>
      <c r="AJS1264"/>
      <c r="AJT1264"/>
      <c r="AJU1264"/>
      <c r="AJV1264"/>
      <c r="AJW1264"/>
      <c r="AJX1264"/>
      <c r="AJY1264"/>
      <c r="AJZ1264"/>
      <c r="AKA1264"/>
      <c r="AKB1264"/>
      <c r="AKC1264"/>
      <c r="AKD1264"/>
      <c r="AKE1264"/>
      <c r="AKF1264"/>
      <c r="AKG1264"/>
      <c r="AKH1264"/>
      <c r="AKI1264"/>
      <c r="AKJ1264"/>
      <c r="AKK1264"/>
      <c r="AKL1264"/>
      <c r="AKM1264"/>
      <c r="AKN1264"/>
      <c r="AKO1264"/>
      <c r="AKP1264"/>
      <c r="AKQ1264"/>
      <c r="AKR1264"/>
      <c r="AKS1264"/>
      <c r="AKT1264"/>
      <c r="AKU1264"/>
      <c r="AKV1264"/>
      <c r="AKW1264"/>
      <c r="AKX1264"/>
      <c r="AKY1264"/>
      <c r="AKZ1264"/>
      <c r="ALA1264"/>
      <c r="ALB1264"/>
      <c r="ALC1264"/>
      <c r="ALD1264"/>
      <c r="ALE1264"/>
      <c r="ALF1264"/>
      <c r="ALG1264"/>
      <c r="ALH1264"/>
      <c r="ALI1264"/>
      <c r="ALJ1264"/>
      <c r="ALK1264"/>
      <c r="ALL1264"/>
      <c r="ALM1264"/>
      <c r="ALN1264"/>
      <c r="ALO1264"/>
      <c r="ALP1264"/>
      <c r="ALQ1264"/>
      <c r="ALR1264"/>
      <c r="ALS1264"/>
      <c r="ALT1264"/>
    </row>
    <row r="1265" spans="1:1008" x14ac:dyDescent="0.15">
      <c r="A1265" t="s">
        <v>4003</v>
      </c>
      <c r="B1265" s="8" t="s">
        <v>4075</v>
      </c>
      <c r="C1265" t="s">
        <v>4003</v>
      </c>
      <c r="D1265" s="8" t="s">
        <v>15</v>
      </c>
      <c r="E1265" t="s">
        <v>4003</v>
      </c>
      <c r="F1265" t="s">
        <v>4004</v>
      </c>
      <c r="G1265">
        <v>500</v>
      </c>
      <c r="H1265"/>
      <c r="I1265"/>
      <c r="J1265"/>
      <c r="K1265"/>
      <c r="L1265"/>
      <c r="M1265"/>
      <c r="N1265"/>
      <c r="O1265"/>
      <c r="P1265"/>
      <c r="Q1265"/>
      <c r="R1265"/>
      <c r="S1265"/>
      <c r="T1265"/>
      <c r="U1265"/>
      <c r="V1265"/>
      <c r="W1265"/>
      <c r="X1265"/>
      <c r="Y1265"/>
      <c r="Z1265"/>
      <c r="AA1265"/>
      <c r="AB1265"/>
      <c r="AC1265"/>
      <c r="AD1265"/>
      <c r="AE1265"/>
      <c r="AF1265"/>
      <c r="AG1265"/>
      <c r="AH1265"/>
      <c r="AI1265"/>
      <c r="AJ1265"/>
      <c r="AK1265"/>
      <c r="AL1265"/>
      <c r="AM1265"/>
      <c r="AN1265"/>
      <c r="AO1265"/>
      <c r="AP1265"/>
      <c r="AQ1265"/>
      <c r="AR1265"/>
      <c r="AS1265"/>
      <c r="AT1265"/>
      <c r="AU1265"/>
      <c r="AV1265"/>
      <c r="AW1265"/>
      <c r="AX1265"/>
      <c r="AY1265"/>
      <c r="AZ1265"/>
      <c r="BA1265"/>
      <c r="BB1265"/>
      <c r="BC1265"/>
      <c r="BD1265"/>
      <c r="BE1265"/>
      <c r="BF1265"/>
      <c r="BG1265"/>
      <c r="BH1265"/>
      <c r="BI1265"/>
      <c r="BJ1265"/>
      <c r="BK1265"/>
      <c r="BL1265"/>
      <c r="BM1265"/>
      <c r="BN1265"/>
      <c r="BO1265"/>
      <c r="BP1265"/>
      <c r="BQ1265"/>
      <c r="BR1265"/>
      <c r="BS1265"/>
      <c r="BT1265"/>
      <c r="BU1265"/>
      <c r="BV1265"/>
      <c r="BW1265"/>
      <c r="BX1265"/>
      <c r="BY1265"/>
      <c r="BZ1265"/>
      <c r="CA1265"/>
      <c r="CB1265"/>
      <c r="CC1265"/>
      <c r="CD1265"/>
      <c r="CE1265"/>
      <c r="CF1265"/>
      <c r="CG1265"/>
      <c r="CH1265"/>
      <c r="CI1265"/>
      <c r="CJ1265"/>
      <c r="CK1265"/>
      <c r="CL1265"/>
      <c r="CM1265"/>
      <c r="CN1265"/>
      <c r="CO1265"/>
      <c r="CP1265"/>
      <c r="CQ1265"/>
      <c r="CR1265"/>
      <c r="CS1265"/>
      <c r="CT1265"/>
      <c r="CU1265"/>
      <c r="CV1265"/>
      <c r="CW1265"/>
      <c r="CX1265"/>
      <c r="CY1265"/>
      <c r="CZ1265"/>
      <c r="DA1265"/>
      <c r="DB1265"/>
      <c r="DC1265"/>
      <c r="DD1265"/>
      <c r="DE1265"/>
      <c r="DF1265"/>
      <c r="DG1265"/>
      <c r="DH1265"/>
      <c r="DI1265"/>
      <c r="DJ1265"/>
      <c r="DK1265"/>
      <c r="DL1265"/>
      <c r="DM1265"/>
      <c r="DN1265"/>
      <c r="DO1265"/>
      <c r="DP1265"/>
      <c r="DQ1265"/>
      <c r="DR1265"/>
      <c r="DS1265"/>
      <c r="DT1265"/>
      <c r="DU1265"/>
      <c r="DV1265"/>
      <c r="DW1265"/>
      <c r="DX1265"/>
      <c r="DY1265"/>
      <c r="DZ1265"/>
      <c r="EA1265"/>
      <c r="EB1265"/>
      <c r="EC1265"/>
      <c r="ED1265"/>
      <c r="EE1265"/>
      <c r="EF1265"/>
      <c r="EG1265"/>
      <c r="EH1265"/>
      <c r="EI1265"/>
      <c r="EJ1265"/>
      <c r="EK1265"/>
      <c r="EL1265"/>
      <c r="EM1265"/>
      <c r="EN1265"/>
      <c r="EO1265"/>
      <c r="EP1265"/>
      <c r="EQ1265"/>
      <c r="ER1265"/>
      <c r="ES1265"/>
      <c r="ET1265"/>
      <c r="EU1265"/>
      <c r="EV1265"/>
      <c r="EW1265"/>
      <c r="EX1265"/>
      <c r="EY1265"/>
      <c r="EZ1265"/>
      <c r="FA1265"/>
      <c r="FB1265"/>
      <c r="FC1265"/>
      <c r="FD1265"/>
      <c r="FE1265"/>
      <c r="FF1265"/>
      <c r="FG1265"/>
      <c r="FH1265"/>
      <c r="FI1265"/>
      <c r="FJ1265"/>
      <c r="FK1265"/>
      <c r="FL1265"/>
      <c r="FM1265"/>
      <c r="FN1265"/>
      <c r="FO1265"/>
      <c r="FP1265"/>
      <c r="FQ1265"/>
      <c r="FR1265"/>
      <c r="FS1265"/>
      <c r="FT1265"/>
      <c r="FU1265"/>
      <c r="FV1265"/>
      <c r="FW1265"/>
      <c r="FX1265"/>
      <c r="FY1265"/>
      <c r="FZ1265"/>
      <c r="GA1265"/>
      <c r="GB1265"/>
      <c r="GC1265"/>
      <c r="GD1265"/>
      <c r="GE1265"/>
      <c r="GF1265"/>
      <c r="GG1265"/>
      <c r="GH1265"/>
      <c r="GI1265"/>
      <c r="GJ1265"/>
      <c r="GK1265"/>
      <c r="GL1265"/>
      <c r="GM1265"/>
      <c r="GN1265"/>
      <c r="GO1265"/>
      <c r="GP1265"/>
      <c r="GQ1265"/>
      <c r="GR1265"/>
      <c r="GS1265"/>
      <c r="GT1265"/>
      <c r="GU1265"/>
      <c r="GV1265"/>
      <c r="GW1265"/>
      <c r="GX1265"/>
      <c r="GY1265"/>
      <c r="GZ1265"/>
      <c r="HA1265"/>
      <c r="HB1265"/>
      <c r="HC1265"/>
      <c r="HD1265"/>
      <c r="HE1265"/>
      <c r="HF1265"/>
      <c r="HG1265"/>
      <c r="HH1265"/>
      <c r="HI1265"/>
      <c r="HJ1265"/>
      <c r="HK1265"/>
      <c r="HL1265"/>
      <c r="HM1265"/>
      <c r="HN1265"/>
      <c r="HO1265"/>
      <c r="HP1265"/>
      <c r="HQ1265"/>
      <c r="HR1265"/>
      <c r="HS1265"/>
      <c r="HT1265"/>
      <c r="HU1265"/>
      <c r="HV1265"/>
      <c r="HW1265"/>
      <c r="HX1265"/>
      <c r="HY1265"/>
      <c r="HZ1265"/>
      <c r="IA1265"/>
      <c r="IB1265"/>
      <c r="IC1265"/>
      <c r="ID1265"/>
      <c r="IE1265"/>
      <c r="IF1265"/>
      <c r="IG1265"/>
      <c r="IH1265"/>
      <c r="II1265"/>
      <c r="IJ1265"/>
      <c r="IK1265"/>
      <c r="IL1265"/>
      <c r="IM1265"/>
      <c r="IN1265"/>
      <c r="IO1265"/>
      <c r="IP1265"/>
      <c r="IQ1265"/>
      <c r="IR1265"/>
      <c r="IS1265"/>
      <c r="IT1265"/>
      <c r="IU1265"/>
      <c r="IV1265"/>
      <c r="IW1265"/>
      <c r="IX1265"/>
      <c r="IY1265"/>
      <c r="IZ1265"/>
      <c r="JA1265"/>
      <c r="JB1265"/>
      <c r="JC1265"/>
      <c r="JD1265"/>
      <c r="JE1265"/>
      <c r="JF1265"/>
      <c r="JG1265"/>
      <c r="JH1265"/>
      <c r="JI1265"/>
      <c r="JJ1265"/>
      <c r="JK1265"/>
      <c r="JL1265"/>
      <c r="JM1265"/>
      <c r="JN1265"/>
      <c r="JO1265"/>
      <c r="JP1265"/>
      <c r="JQ1265"/>
      <c r="JR1265"/>
      <c r="JS1265"/>
      <c r="JT1265"/>
      <c r="JU1265"/>
      <c r="JV1265"/>
      <c r="JW1265"/>
      <c r="JX1265"/>
      <c r="JY1265"/>
      <c r="JZ1265"/>
      <c r="KA1265"/>
      <c r="KB1265"/>
      <c r="KC1265"/>
      <c r="KD1265"/>
      <c r="KE1265"/>
      <c r="KF1265"/>
      <c r="KG1265"/>
      <c r="KH1265"/>
      <c r="KI1265"/>
      <c r="KJ1265"/>
      <c r="KK1265"/>
      <c r="KL1265"/>
      <c r="KM1265"/>
      <c r="KN1265"/>
      <c r="KO1265"/>
      <c r="KP1265"/>
      <c r="KQ1265"/>
      <c r="KR1265"/>
      <c r="KS1265"/>
      <c r="KT1265"/>
      <c r="KU1265"/>
      <c r="KV1265"/>
      <c r="KW1265"/>
      <c r="KX1265"/>
      <c r="KY1265"/>
      <c r="KZ1265"/>
      <c r="LA1265"/>
      <c r="LB1265"/>
      <c r="LC1265"/>
      <c r="LD1265"/>
      <c r="LE1265"/>
      <c r="LF1265"/>
      <c r="LG1265"/>
      <c r="LH1265"/>
      <c r="LI1265"/>
      <c r="LJ1265"/>
      <c r="LK1265"/>
      <c r="LL1265"/>
      <c r="LM1265"/>
      <c r="LN1265"/>
      <c r="LO1265"/>
      <c r="LP1265"/>
      <c r="LQ1265"/>
      <c r="LR1265"/>
      <c r="LS1265"/>
      <c r="LT1265"/>
      <c r="LU1265"/>
      <c r="LV1265"/>
      <c r="LW1265"/>
      <c r="LX1265"/>
      <c r="LY1265"/>
      <c r="LZ1265"/>
      <c r="MA1265"/>
      <c r="MB1265"/>
      <c r="MC1265"/>
      <c r="MD1265"/>
      <c r="ME1265"/>
      <c r="MF1265"/>
      <c r="MG1265"/>
      <c r="MH1265"/>
      <c r="MI1265"/>
      <c r="MJ1265"/>
      <c r="MK1265"/>
      <c r="ML1265"/>
      <c r="MM1265"/>
      <c r="MN1265"/>
      <c r="MO1265"/>
      <c r="MP1265"/>
      <c r="MQ1265"/>
      <c r="MR1265"/>
      <c r="MS1265"/>
      <c r="MT1265"/>
      <c r="MU1265"/>
      <c r="MV1265"/>
      <c r="MW1265"/>
      <c r="MX1265"/>
      <c r="MY1265"/>
      <c r="MZ1265"/>
      <c r="NA1265"/>
      <c r="NB1265"/>
      <c r="NC1265"/>
      <c r="ND1265"/>
      <c r="NE1265"/>
      <c r="NF1265"/>
      <c r="NG1265"/>
      <c r="NH1265"/>
      <c r="NI1265"/>
      <c r="NJ1265"/>
      <c r="NK1265"/>
      <c r="NL1265"/>
      <c r="NM1265"/>
      <c r="NN1265"/>
      <c r="NO1265"/>
      <c r="NP1265"/>
      <c r="NQ1265"/>
      <c r="NR1265"/>
      <c r="NS1265"/>
      <c r="NT1265"/>
      <c r="NU1265"/>
      <c r="NV1265"/>
      <c r="NW1265"/>
      <c r="NX1265"/>
      <c r="NY1265"/>
      <c r="NZ1265"/>
      <c r="OA1265"/>
      <c r="OB1265"/>
      <c r="OC1265"/>
      <c r="OD1265"/>
      <c r="OE1265"/>
      <c r="OF1265"/>
      <c r="OG1265"/>
      <c r="OH1265"/>
      <c r="OI1265"/>
      <c r="OJ1265"/>
      <c r="OK1265"/>
      <c r="OL1265"/>
      <c r="OM1265"/>
      <c r="ON1265"/>
      <c r="OO1265"/>
      <c r="OP1265"/>
      <c r="OQ1265"/>
      <c r="OR1265"/>
      <c r="OS1265"/>
      <c r="OT1265"/>
      <c r="OU1265"/>
      <c r="OV1265"/>
      <c r="OW1265"/>
      <c r="OX1265"/>
      <c r="OY1265"/>
      <c r="OZ1265"/>
      <c r="PA1265"/>
      <c r="PB1265"/>
      <c r="PC1265"/>
      <c r="PD1265"/>
      <c r="PE1265"/>
      <c r="PF1265"/>
      <c r="PG1265"/>
      <c r="PH1265"/>
      <c r="PI1265"/>
      <c r="PJ1265"/>
      <c r="PK1265"/>
      <c r="PL1265"/>
      <c r="PM1265"/>
      <c r="PN1265"/>
      <c r="PO1265"/>
      <c r="PP1265"/>
      <c r="PQ1265"/>
      <c r="PR1265"/>
      <c r="PS1265"/>
      <c r="PT1265"/>
      <c r="PU1265"/>
      <c r="PV1265"/>
      <c r="PW1265"/>
      <c r="PX1265"/>
      <c r="PY1265"/>
      <c r="PZ1265"/>
      <c r="QA1265"/>
      <c r="QB1265"/>
      <c r="QC1265"/>
      <c r="QD1265"/>
      <c r="QE1265"/>
      <c r="QF1265"/>
      <c r="QG1265"/>
      <c r="QH1265"/>
      <c r="QI1265"/>
      <c r="QJ1265"/>
      <c r="QK1265"/>
      <c r="QL1265"/>
      <c r="QM1265"/>
      <c r="QN1265"/>
      <c r="QO1265"/>
      <c r="QP1265"/>
      <c r="QQ1265"/>
      <c r="QR1265"/>
      <c r="QS1265"/>
      <c r="QT1265"/>
      <c r="QU1265"/>
      <c r="QV1265"/>
      <c r="QW1265"/>
      <c r="QX1265"/>
      <c r="QY1265"/>
      <c r="QZ1265"/>
      <c r="RA1265"/>
      <c r="RB1265"/>
      <c r="RC1265"/>
      <c r="RD1265"/>
      <c r="RE1265"/>
      <c r="RF1265"/>
      <c r="RG1265"/>
      <c r="RH1265"/>
      <c r="RI1265"/>
      <c r="RJ1265"/>
      <c r="RK1265"/>
      <c r="RL1265"/>
      <c r="RM1265"/>
      <c r="RN1265"/>
      <c r="RO1265"/>
      <c r="RP1265"/>
      <c r="RQ1265"/>
      <c r="RR1265"/>
      <c r="RS1265"/>
      <c r="RT1265"/>
      <c r="RU1265"/>
      <c r="RV1265"/>
      <c r="RW1265"/>
      <c r="RX1265"/>
      <c r="RY1265"/>
      <c r="RZ1265"/>
      <c r="SA1265"/>
      <c r="SB1265"/>
      <c r="SC1265"/>
      <c r="SD1265"/>
      <c r="SE1265"/>
      <c r="SF1265"/>
      <c r="SG1265"/>
      <c r="SH1265"/>
      <c r="SI1265"/>
      <c r="SJ1265"/>
      <c r="SK1265"/>
      <c r="SL1265"/>
      <c r="SM1265"/>
      <c r="SN1265"/>
      <c r="SO1265"/>
      <c r="SP1265"/>
      <c r="SQ1265"/>
      <c r="SR1265"/>
      <c r="SS1265"/>
      <c r="ST1265"/>
      <c r="SU1265"/>
      <c r="SV1265"/>
      <c r="SW1265"/>
      <c r="SX1265"/>
      <c r="SY1265"/>
      <c r="SZ1265"/>
      <c r="TA1265"/>
      <c r="TB1265"/>
      <c r="TC1265"/>
      <c r="TD1265"/>
      <c r="TE1265"/>
      <c r="TF1265"/>
      <c r="TG1265"/>
      <c r="TH1265"/>
      <c r="TI1265"/>
      <c r="TJ1265"/>
      <c r="TK1265"/>
      <c r="TL1265"/>
      <c r="TM1265"/>
      <c r="TN1265"/>
      <c r="TO1265"/>
      <c r="TP1265"/>
      <c r="TQ1265"/>
      <c r="TR1265"/>
      <c r="TS1265"/>
      <c r="TT1265"/>
      <c r="TU1265"/>
      <c r="TV1265"/>
      <c r="TW1265"/>
      <c r="TX1265"/>
      <c r="TY1265"/>
      <c r="TZ1265"/>
      <c r="UA1265"/>
      <c r="UB1265"/>
      <c r="UC1265"/>
      <c r="UD1265"/>
      <c r="UE1265"/>
      <c r="UF1265"/>
      <c r="UG1265"/>
      <c r="UH1265"/>
      <c r="UI1265"/>
      <c r="UJ1265"/>
      <c r="UK1265"/>
      <c r="UL1265"/>
      <c r="UM1265"/>
      <c r="UN1265"/>
      <c r="UO1265"/>
      <c r="UP1265"/>
      <c r="UQ1265"/>
      <c r="UR1265"/>
      <c r="US1265"/>
      <c r="UT1265"/>
      <c r="UU1265"/>
      <c r="UV1265"/>
      <c r="UW1265"/>
      <c r="UX1265"/>
      <c r="UY1265"/>
      <c r="UZ1265"/>
      <c r="VA1265"/>
      <c r="VB1265"/>
      <c r="VC1265"/>
      <c r="VD1265"/>
      <c r="VE1265"/>
      <c r="VF1265"/>
      <c r="VG1265"/>
      <c r="VH1265"/>
      <c r="VI1265"/>
      <c r="VJ1265"/>
      <c r="VK1265"/>
      <c r="VL1265"/>
      <c r="VM1265"/>
      <c r="VN1265"/>
      <c r="VO1265"/>
      <c r="VP1265"/>
      <c r="VQ1265"/>
      <c r="VR1265"/>
      <c r="VS1265"/>
      <c r="VT1265"/>
      <c r="VU1265"/>
      <c r="VV1265"/>
      <c r="VW1265"/>
      <c r="VX1265"/>
      <c r="VY1265"/>
      <c r="VZ1265"/>
      <c r="WA1265"/>
      <c r="WB1265"/>
      <c r="WC1265"/>
      <c r="WD1265"/>
      <c r="WE1265"/>
      <c r="WF1265"/>
      <c r="WG1265"/>
      <c r="WH1265"/>
      <c r="WI1265"/>
      <c r="WJ1265"/>
      <c r="WK1265"/>
      <c r="WL1265"/>
      <c r="WM1265"/>
      <c r="WN1265"/>
      <c r="WO1265"/>
      <c r="WP1265"/>
      <c r="WQ1265"/>
      <c r="WR1265"/>
      <c r="WS1265"/>
      <c r="WT1265"/>
      <c r="WU1265"/>
      <c r="WV1265"/>
      <c r="WW1265"/>
      <c r="WX1265"/>
      <c r="WY1265"/>
      <c r="WZ1265"/>
      <c r="XA1265"/>
      <c r="XB1265"/>
      <c r="XC1265"/>
      <c r="XD1265"/>
      <c r="XE1265"/>
      <c r="XF1265"/>
      <c r="XG1265"/>
      <c r="XH1265"/>
      <c r="XI1265"/>
      <c r="XJ1265"/>
      <c r="XK1265"/>
      <c r="XL1265"/>
      <c r="XM1265"/>
      <c r="XN1265"/>
      <c r="XO1265"/>
      <c r="XP1265"/>
      <c r="XQ1265"/>
      <c r="XR1265"/>
      <c r="XS1265"/>
      <c r="XT1265"/>
      <c r="XU1265"/>
      <c r="XV1265"/>
      <c r="XW1265"/>
      <c r="XX1265"/>
      <c r="XY1265"/>
      <c r="XZ1265"/>
      <c r="YA1265"/>
      <c r="YB1265"/>
      <c r="YC1265"/>
      <c r="YD1265"/>
      <c r="YE1265"/>
      <c r="YF1265"/>
      <c r="YG1265"/>
      <c r="YH1265"/>
      <c r="YI1265"/>
      <c r="YJ1265"/>
      <c r="YK1265"/>
      <c r="YL1265"/>
      <c r="YM1265"/>
      <c r="YN1265"/>
      <c r="YO1265"/>
      <c r="YP1265"/>
      <c r="YQ1265"/>
      <c r="YR1265"/>
      <c r="YS1265"/>
      <c r="YT1265"/>
      <c r="YU1265"/>
      <c r="YV1265"/>
      <c r="YW1265"/>
      <c r="YX1265"/>
      <c r="YY1265"/>
      <c r="YZ1265"/>
      <c r="ZA1265"/>
      <c r="ZB1265"/>
      <c r="ZC1265"/>
      <c r="ZD1265"/>
      <c r="ZE1265"/>
      <c r="ZF1265"/>
      <c r="ZG1265"/>
      <c r="ZH1265"/>
      <c r="ZI1265"/>
      <c r="ZJ1265"/>
      <c r="ZK1265"/>
      <c r="ZL1265"/>
      <c r="ZM1265"/>
      <c r="ZN1265"/>
      <c r="ZO1265"/>
      <c r="ZP1265"/>
      <c r="ZQ1265"/>
      <c r="ZR1265"/>
      <c r="ZS1265"/>
      <c r="ZT1265"/>
      <c r="ZU1265"/>
      <c r="ZV1265"/>
      <c r="ZW1265"/>
      <c r="ZX1265"/>
      <c r="ZY1265"/>
      <c r="ZZ1265"/>
      <c r="AAA1265"/>
      <c r="AAB1265"/>
      <c r="AAC1265"/>
      <c r="AAD1265"/>
      <c r="AAE1265"/>
      <c r="AAF1265"/>
      <c r="AAG1265"/>
      <c r="AAH1265"/>
      <c r="AAI1265"/>
      <c r="AAJ1265"/>
      <c r="AAK1265"/>
      <c r="AAL1265"/>
      <c r="AAM1265"/>
      <c r="AAN1265"/>
      <c r="AAO1265"/>
      <c r="AAP1265"/>
      <c r="AAQ1265"/>
      <c r="AAR1265"/>
      <c r="AAS1265"/>
      <c r="AAT1265"/>
      <c r="AAU1265"/>
      <c r="AAV1265"/>
      <c r="AAW1265"/>
      <c r="AAX1265"/>
      <c r="AAY1265"/>
      <c r="AAZ1265"/>
      <c r="ABA1265"/>
      <c r="ABB1265"/>
      <c r="ABC1265"/>
      <c r="ABD1265"/>
      <c r="ABE1265"/>
      <c r="ABF1265"/>
      <c r="ABG1265"/>
      <c r="ABH1265"/>
      <c r="ABI1265"/>
      <c r="ABJ1265"/>
      <c r="ABK1265"/>
      <c r="ABL1265"/>
      <c r="ABM1265"/>
      <c r="ABN1265"/>
      <c r="ABO1265"/>
      <c r="ABP1265"/>
      <c r="ABQ1265"/>
      <c r="ABR1265"/>
      <c r="ABS1265"/>
      <c r="ABT1265"/>
      <c r="ABU1265"/>
      <c r="ABV1265"/>
      <c r="ABW1265"/>
      <c r="ABX1265"/>
      <c r="ABY1265"/>
      <c r="ABZ1265"/>
      <c r="ACA1265"/>
      <c r="ACB1265"/>
      <c r="ACC1265"/>
      <c r="ACD1265"/>
      <c r="ACE1265"/>
      <c r="ACF1265"/>
      <c r="ACG1265"/>
      <c r="ACH1265"/>
      <c r="ACI1265"/>
      <c r="ACJ1265"/>
      <c r="ACK1265"/>
      <c r="ACL1265"/>
      <c r="ACM1265"/>
      <c r="ACN1265"/>
      <c r="ACO1265"/>
      <c r="ACP1265"/>
      <c r="ACQ1265"/>
      <c r="ACR1265"/>
      <c r="ACS1265"/>
      <c r="ACT1265"/>
      <c r="ACU1265"/>
      <c r="ACV1265"/>
      <c r="ACW1265"/>
      <c r="ACX1265"/>
      <c r="ACY1265"/>
      <c r="ACZ1265"/>
      <c r="ADA1265"/>
      <c r="ADB1265"/>
      <c r="ADC1265"/>
      <c r="ADD1265"/>
      <c r="ADE1265"/>
      <c r="ADF1265"/>
      <c r="ADG1265"/>
      <c r="ADH1265"/>
      <c r="ADI1265"/>
      <c r="ADJ1265"/>
      <c r="ADK1265"/>
      <c r="ADL1265"/>
      <c r="ADM1265"/>
      <c r="ADN1265"/>
      <c r="ADO1265"/>
      <c r="ADP1265"/>
      <c r="ADQ1265"/>
      <c r="ADR1265"/>
      <c r="ADS1265"/>
      <c r="ADT1265"/>
      <c r="ADU1265"/>
      <c r="ADV1265"/>
      <c r="ADW1265"/>
      <c r="ADX1265"/>
      <c r="ADY1265"/>
      <c r="ADZ1265"/>
      <c r="AEA1265"/>
      <c r="AEB1265"/>
      <c r="AEC1265"/>
      <c r="AED1265"/>
      <c r="AEE1265"/>
      <c r="AEF1265"/>
      <c r="AEG1265"/>
      <c r="AEH1265"/>
      <c r="AEI1265"/>
      <c r="AEJ1265"/>
      <c r="AEK1265"/>
      <c r="AEL1265"/>
      <c r="AEM1265"/>
      <c r="AEN1265"/>
      <c r="AEO1265"/>
      <c r="AEP1265"/>
      <c r="AEQ1265"/>
      <c r="AER1265"/>
      <c r="AES1265"/>
      <c r="AET1265"/>
      <c r="AEU1265"/>
      <c r="AEV1265"/>
      <c r="AEW1265"/>
      <c r="AEX1265"/>
      <c r="AEY1265"/>
      <c r="AEZ1265"/>
      <c r="AFA1265"/>
      <c r="AFB1265"/>
      <c r="AFC1265"/>
      <c r="AFD1265"/>
      <c r="AFE1265"/>
      <c r="AFF1265"/>
      <c r="AFG1265"/>
      <c r="AFH1265"/>
      <c r="AFI1265"/>
      <c r="AFJ1265"/>
      <c r="AFK1265"/>
      <c r="AFL1265"/>
      <c r="AFM1265"/>
      <c r="AFN1265"/>
      <c r="AFO1265"/>
      <c r="AFP1265"/>
      <c r="AFQ1265"/>
      <c r="AFR1265"/>
      <c r="AFS1265"/>
      <c r="AFT1265"/>
      <c r="AFU1265"/>
      <c r="AFV1265"/>
      <c r="AFW1265"/>
      <c r="AFX1265"/>
      <c r="AFY1265"/>
      <c r="AFZ1265"/>
      <c r="AGA1265"/>
      <c r="AGB1265"/>
      <c r="AGC1265"/>
      <c r="AGD1265"/>
      <c r="AGE1265"/>
      <c r="AGF1265"/>
      <c r="AGG1265"/>
      <c r="AGH1265"/>
      <c r="AGI1265"/>
      <c r="AGJ1265"/>
      <c r="AGK1265"/>
      <c r="AGL1265"/>
      <c r="AGM1265"/>
      <c r="AGN1265"/>
      <c r="AGO1265"/>
      <c r="AGP1265"/>
      <c r="AGQ1265"/>
      <c r="AGR1265"/>
      <c r="AGS1265"/>
      <c r="AGT1265"/>
      <c r="AGU1265"/>
      <c r="AGV1265"/>
      <c r="AGW1265"/>
      <c r="AGX1265"/>
      <c r="AGY1265"/>
      <c r="AGZ1265"/>
      <c r="AHA1265"/>
      <c r="AHB1265"/>
      <c r="AHC1265"/>
      <c r="AHD1265"/>
      <c r="AHE1265"/>
      <c r="AHF1265"/>
      <c r="AHG1265"/>
      <c r="AHH1265"/>
      <c r="AHI1265"/>
      <c r="AHJ1265"/>
      <c r="AHK1265"/>
      <c r="AHL1265"/>
      <c r="AHM1265"/>
      <c r="AHN1265"/>
      <c r="AHO1265"/>
      <c r="AHP1265"/>
      <c r="AHQ1265"/>
      <c r="AHR1265"/>
      <c r="AHS1265"/>
      <c r="AHT1265"/>
      <c r="AHU1265"/>
      <c r="AHV1265"/>
      <c r="AHW1265"/>
      <c r="AHX1265"/>
      <c r="AHY1265"/>
      <c r="AHZ1265"/>
      <c r="AIA1265"/>
      <c r="AIB1265"/>
      <c r="AIC1265"/>
      <c r="AID1265"/>
      <c r="AIE1265"/>
      <c r="AIF1265"/>
      <c r="AIG1265"/>
      <c r="AIH1265"/>
      <c r="AII1265"/>
      <c r="AIJ1265"/>
      <c r="AIK1265"/>
      <c r="AIL1265"/>
      <c r="AIM1265"/>
      <c r="AIN1265"/>
      <c r="AIO1265"/>
      <c r="AIP1265"/>
      <c r="AIQ1265"/>
      <c r="AIR1265"/>
      <c r="AIS1265"/>
      <c r="AIT1265"/>
      <c r="AIU1265"/>
      <c r="AIV1265"/>
      <c r="AIW1265"/>
      <c r="AIX1265"/>
      <c r="AIY1265"/>
      <c r="AIZ1265"/>
      <c r="AJA1265"/>
      <c r="AJB1265"/>
      <c r="AJC1265"/>
      <c r="AJD1265"/>
      <c r="AJE1265"/>
      <c r="AJF1265"/>
      <c r="AJG1265"/>
      <c r="AJH1265"/>
      <c r="AJI1265"/>
      <c r="AJJ1265"/>
      <c r="AJK1265"/>
      <c r="AJL1265"/>
      <c r="AJM1265"/>
      <c r="AJN1265"/>
      <c r="AJO1265"/>
      <c r="AJP1265"/>
      <c r="AJQ1265"/>
      <c r="AJR1265"/>
      <c r="AJS1265"/>
      <c r="AJT1265"/>
      <c r="AJU1265"/>
      <c r="AJV1265"/>
      <c r="AJW1265"/>
      <c r="AJX1265"/>
      <c r="AJY1265"/>
      <c r="AJZ1265"/>
      <c r="AKA1265"/>
      <c r="AKB1265"/>
      <c r="AKC1265"/>
      <c r="AKD1265"/>
      <c r="AKE1265"/>
      <c r="AKF1265"/>
      <c r="AKG1265"/>
      <c r="AKH1265"/>
      <c r="AKI1265"/>
      <c r="AKJ1265"/>
      <c r="AKK1265"/>
      <c r="AKL1265"/>
      <c r="AKM1265"/>
      <c r="AKN1265"/>
      <c r="AKO1265"/>
      <c r="AKP1265"/>
      <c r="AKQ1265"/>
      <c r="AKR1265"/>
      <c r="AKS1265"/>
      <c r="AKT1265"/>
      <c r="AKU1265"/>
      <c r="AKV1265"/>
      <c r="AKW1265"/>
      <c r="AKX1265"/>
      <c r="AKY1265"/>
      <c r="AKZ1265"/>
      <c r="ALA1265"/>
      <c r="ALB1265"/>
      <c r="ALC1265"/>
      <c r="ALD1265"/>
      <c r="ALE1265"/>
      <c r="ALF1265"/>
      <c r="ALG1265"/>
      <c r="ALH1265"/>
      <c r="ALI1265"/>
      <c r="ALJ1265"/>
      <c r="ALK1265"/>
      <c r="ALL1265"/>
      <c r="ALM1265"/>
      <c r="ALN1265"/>
      <c r="ALO1265"/>
      <c r="ALP1265"/>
      <c r="ALQ1265"/>
      <c r="ALR1265"/>
      <c r="ALS1265"/>
      <c r="ALT1265"/>
    </row>
    <row r="1266" spans="1:1008" x14ac:dyDescent="0.15">
      <c r="A1266" t="s">
        <v>4005</v>
      </c>
      <c r="B1266" s="8" t="s">
        <v>4075</v>
      </c>
      <c r="C1266" t="s">
        <v>4005</v>
      </c>
      <c r="D1266" s="8" t="s">
        <v>15</v>
      </c>
      <c r="E1266" t="s">
        <v>4005</v>
      </c>
      <c r="F1266" t="s">
        <v>4006</v>
      </c>
      <c r="G1266">
        <v>650</v>
      </c>
      <c r="H1266"/>
      <c r="I1266"/>
      <c r="J1266"/>
      <c r="K1266"/>
      <c r="L1266"/>
      <c r="M1266"/>
      <c r="N1266"/>
      <c r="O1266"/>
      <c r="P1266"/>
      <c r="Q1266"/>
      <c r="R1266"/>
      <c r="S1266"/>
      <c r="T1266"/>
      <c r="U1266"/>
      <c r="V1266"/>
      <c r="W1266"/>
      <c r="X1266"/>
      <c r="Y1266"/>
      <c r="Z1266"/>
      <c r="AA1266"/>
      <c r="AB1266"/>
      <c r="AC1266"/>
      <c r="AD1266"/>
      <c r="AE1266"/>
      <c r="AF1266"/>
      <c r="AG1266"/>
      <c r="AH1266"/>
      <c r="AI1266"/>
      <c r="AJ1266"/>
      <c r="AK1266"/>
      <c r="AL1266"/>
      <c r="AM1266"/>
      <c r="AN1266"/>
      <c r="AO1266"/>
      <c r="AP1266"/>
      <c r="AQ1266"/>
      <c r="AR1266"/>
      <c r="AS1266"/>
      <c r="AT1266"/>
      <c r="AU1266"/>
      <c r="AV1266"/>
      <c r="AW1266"/>
      <c r="AX1266"/>
      <c r="AY1266"/>
      <c r="AZ1266"/>
      <c r="BA1266"/>
      <c r="BB1266"/>
      <c r="BC1266"/>
      <c r="BD1266"/>
      <c r="BE1266"/>
      <c r="BF1266"/>
      <c r="BG1266"/>
      <c r="BH1266"/>
      <c r="BI1266"/>
      <c r="BJ1266"/>
      <c r="BK1266"/>
      <c r="BL1266"/>
      <c r="BM1266"/>
      <c r="BN1266"/>
      <c r="BO1266"/>
      <c r="BP1266"/>
      <c r="BQ1266"/>
      <c r="BR1266"/>
      <c r="BS1266"/>
      <c r="BT1266"/>
      <c r="BU1266"/>
      <c r="BV1266"/>
      <c r="BW1266"/>
      <c r="BX1266"/>
      <c r="BY1266"/>
      <c r="BZ1266"/>
      <c r="CA1266"/>
      <c r="CB1266"/>
      <c r="CC1266"/>
      <c r="CD1266"/>
      <c r="CE1266"/>
      <c r="CF1266"/>
      <c r="CG1266"/>
      <c r="CH1266"/>
      <c r="CI1266"/>
      <c r="CJ1266"/>
      <c r="CK1266"/>
      <c r="CL1266"/>
      <c r="CM1266"/>
      <c r="CN1266"/>
      <c r="CO1266"/>
      <c r="CP1266"/>
      <c r="CQ1266"/>
      <c r="CR1266"/>
      <c r="CS1266"/>
      <c r="CT1266"/>
      <c r="CU1266"/>
      <c r="CV1266"/>
      <c r="CW1266"/>
      <c r="CX1266"/>
      <c r="CY1266"/>
      <c r="CZ1266"/>
      <c r="DA1266"/>
      <c r="DB1266"/>
      <c r="DC1266"/>
      <c r="DD1266"/>
      <c r="DE1266"/>
      <c r="DF1266"/>
      <c r="DG1266"/>
      <c r="DH1266"/>
      <c r="DI1266"/>
      <c r="DJ1266"/>
      <c r="DK1266"/>
      <c r="DL1266"/>
      <c r="DM1266"/>
      <c r="DN1266"/>
      <c r="DO1266"/>
      <c r="DP1266"/>
      <c r="DQ1266"/>
      <c r="DR1266"/>
      <c r="DS1266"/>
      <c r="DT1266"/>
      <c r="DU1266"/>
      <c r="DV1266"/>
      <c r="DW1266"/>
      <c r="DX1266"/>
      <c r="DY1266"/>
      <c r="DZ1266"/>
      <c r="EA1266"/>
      <c r="EB1266"/>
      <c r="EC1266"/>
      <c r="ED1266"/>
      <c r="EE1266"/>
      <c r="EF1266"/>
      <c r="EG1266"/>
      <c r="EH1266"/>
      <c r="EI1266"/>
      <c r="EJ1266"/>
      <c r="EK1266"/>
      <c r="EL1266"/>
      <c r="EM1266"/>
      <c r="EN1266"/>
      <c r="EO1266"/>
      <c r="EP1266"/>
      <c r="EQ1266"/>
      <c r="ER1266"/>
      <c r="ES1266"/>
      <c r="ET1266"/>
      <c r="EU1266"/>
      <c r="EV1266"/>
      <c r="EW1266"/>
      <c r="EX1266"/>
      <c r="EY1266"/>
      <c r="EZ1266"/>
      <c r="FA1266"/>
      <c r="FB1266"/>
      <c r="FC1266"/>
      <c r="FD1266"/>
      <c r="FE1266"/>
      <c r="FF1266"/>
      <c r="FG1266"/>
      <c r="FH1266"/>
      <c r="FI1266"/>
      <c r="FJ1266"/>
      <c r="FK1266"/>
      <c r="FL1266"/>
      <c r="FM1266"/>
      <c r="FN1266"/>
      <c r="FO1266"/>
      <c r="FP1266"/>
      <c r="FQ1266"/>
      <c r="FR1266"/>
      <c r="FS1266"/>
      <c r="FT1266"/>
      <c r="FU1266"/>
      <c r="FV1266"/>
      <c r="FW1266"/>
      <c r="FX1266"/>
      <c r="FY1266"/>
      <c r="FZ1266"/>
      <c r="GA1266"/>
      <c r="GB1266"/>
      <c r="GC1266"/>
      <c r="GD1266"/>
      <c r="GE1266"/>
      <c r="GF1266"/>
      <c r="GG1266"/>
      <c r="GH1266"/>
      <c r="GI1266"/>
      <c r="GJ1266"/>
      <c r="GK1266"/>
      <c r="GL1266"/>
      <c r="GM1266"/>
      <c r="GN1266"/>
      <c r="GO1266"/>
      <c r="GP1266"/>
      <c r="GQ1266"/>
      <c r="GR1266"/>
      <c r="GS1266"/>
      <c r="GT1266"/>
      <c r="GU1266"/>
      <c r="GV1266"/>
      <c r="GW1266"/>
      <c r="GX1266"/>
      <c r="GY1266"/>
      <c r="GZ1266"/>
      <c r="HA1266"/>
      <c r="HB1266"/>
      <c r="HC1266"/>
      <c r="HD1266"/>
      <c r="HE1266"/>
      <c r="HF1266"/>
      <c r="HG1266"/>
      <c r="HH1266"/>
      <c r="HI1266"/>
      <c r="HJ1266"/>
      <c r="HK1266"/>
      <c r="HL1266"/>
      <c r="HM1266"/>
      <c r="HN1266"/>
      <c r="HO1266"/>
      <c r="HP1266"/>
      <c r="HQ1266"/>
      <c r="HR1266"/>
      <c r="HS1266"/>
      <c r="HT1266"/>
      <c r="HU1266"/>
      <c r="HV1266"/>
      <c r="HW1266"/>
      <c r="HX1266"/>
      <c r="HY1266"/>
      <c r="HZ1266"/>
      <c r="IA1266"/>
      <c r="IB1266"/>
      <c r="IC1266"/>
      <c r="ID1266"/>
      <c r="IE1266"/>
      <c r="IF1266"/>
      <c r="IG1266"/>
      <c r="IH1266"/>
      <c r="II1266"/>
      <c r="IJ1266"/>
      <c r="IK1266"/>
      <c r="IL1266"/>
      <c r="IM1266"/>
      <c r="IN1266"/>
      <c r="IO1266"/>
      <c r="IP1266"/>
      <c r="IQ1266"/>
      <c r="IR1266"/>
      <c r="IS1266"/>
      <c r="IT1266"/>
      <c r="IU1266"/>
      <c r="IV1266"/>
      <c r="IW1266"/>
      <c r="IX1266"/>
      <c r="IY1266"/>
      <c r="IZ1266"/>
      <c r="JA1266"/>
      <c r="JB1266"/>
      <c r="JC1266"/>
      <c r="JD1266"/>
      <c r="JE1266"/>
      <c r="JF1266"/>
      <c r="JG1266"/>
      <c r="JH1266"/>
      <c r="JI1266"/>
      <c r="JJ1266"/>
      <c r="JK1266"/>
      <c r="JL1266"/>
      <c r="JM1266"/>
      <c r="JN1266"/>
      <c r="JO1266"/>
      <c r="JP1266"/>
      <c r="JQ1266"/>
      <c r="JR1266"/>
      <c r="JS1266"/>
      <c r="JT1266"/>
      <c r="JU1266"/>
      <c r="JV1266"/>
      <c r="JW1266"/>
      <c r="JX1266"/>
      <c r="JY1266"/>
      <c r="JZ1266"/>
      <c r="KA1266"/>
      <c r="KB1266"/>
      <c r="KC1266"/>
      <c r="KD1266"/>
      <c r="KE1266"/>
      <c r="KF1266"/>
      <c r="KG1266"/>
      <c r="KH1266"/>
      <c r="KI1266"/>
      <c r="KJ1266"/>
      <c r="KK1266"/>
      <c r="KL1266"/>
      <c r="KM1266"/>
      <c r="KN1266"/>
      <c r="KO1266"/>
      <c r="KP1266"/>
      <c r="KQ1266"/>
      <c r="KR1266"/>
      <c r="KS1266"/>
      <c r="KT1266"/>
      <c r="KU1266"/>
      <c r="KV1266"/>
      <c r="KW1266"/>
      <c r="KX1266"/>
      <c r="KY1266"/>
      <c r="KZ1266"/>
      <c r="LA1266"/>
      <c r="LB1266"/>
      <c r="LC1266"/>
      <c r="LD1266"/>
      <c r="LE1266"/>
      <c r="LF1266"/>
      <c r="LG1266"/>
      <c r="LH1266"/>
      <c r="LI1266"/>
      <c r="LJ1266"/>
      <c r="LK1266"/>
      <c r="LL1266"/>
      <c r="LM1266"/>
      <c r="LN1266"/>
      <c r="LO1266"/>
      <c r="LP1266"/>
      <c r="LQ1266"/>
      <c r="LR1266"/>
      <c r="LS1266"/>
      <c r="LT1266"/>
      <c r="LU1266"/>
      <c r="LV1266"/>
      <c r="LW1266"/>
      <c r="LX1266"/>
      <c r="LY1266"/>
      <c r="LZ1266"/>
      <c r="MA1266"/>
      <c r="MB1266"/>
      <c r="MC1266"/>
      <c r="MD1266"/>
      <c r="ME1266"/>
      <c r="MF1266"/>
      <c r="MG1266"/>
      <c r="MH1266"/>
      <c r="MI1266"/>
      <c r="MJ1266"/>
      <c r="MK1266"/>
      <c r="ML1266"/>
      <c r="MM1266"/>
      <c r="MN1266"/>
      <c r="MO1266"/>
      <c r="MP1266"/>
      <c r="MQ1266"/>
      <c r="MR1266"/>
      <c r="MS1266"/>
      <c r="MT1266"/>
      <c r="MU1266"/>
      <c r="MV1266"/>
      <c r="MW1266"/>
      <c r="MX1266"/>
      <c r="MY1266"/>
      <c r="MZ1266"/>
      <c r="NA1266"/>
      <c r="NB1266"/>
      <c r="NC1266"/>
      <c r="ND1266"/>
      <c r="NE1266"/>
      <c r="NF1266"/>
      <c r="NG1266"/>
      <c r="NH1266"/>
      <c r="NI1266"/>
      <c r="NJ1266"/>
      <c r="NK1266"/>
      <c r="NL1266"/>
      <c r="NM1266"/>
      <c r="NN1266"/>
      <c r="NO1266"/>
      <c r="NP1266"/>
      <c r="NQ1266"/>
      <c r="NR1266"/>
      <c r="NS1266"/>
      <c r="NT1266"/>
      <c r="NU1266"/>
      <c r="NV1266"/>
      <c r="NW1266"/>
      <c r="NX1266"/>
      <c r="NY1266"/>
      <c r="NZ1266"/>
      <c r="OA1266"/>
      <c r="OB1266"/>
      <c r="OC1266"/>
      <c r="OD1266"/>
      <c r="OE1266"/>
      <c r="OF1266"/>
      <c r="OG1266"/>
      <c r="OH1266"/>
      <c r="OI1266"/>
      <c r="OJ1266"/>
      <c r="OK1266"/>
      <c r="OL1266"/>
      <c r="OM1266"/>
      <c r="ON1266"/>
      <c r="OO1266"/>
      <c r="OP1266"/>
      <c r="OQ1266"/>
      <c r="OR1266"/>
      <c r="OS1266"/>
      <c r="OT1266"/>
      <c r="OU1266"/>
      <c r="OV1266"/>
      <c r="OW1266"/>
      <c r="OX1266"/>
      <c r="OY1266"/>
      <c r="OZ1266"/>
      <c r="PA1266"/>
      <c r="PB1266"/>
      <c r="PC1266"/>
      <c r="PD1266"/>
      <c r="PE1266"/>
      <c r="PF1266"/>
      <c r="PG1266"/>
      <c r="PH1266"/>
      <c r="PI1266"/>
      <c r="PJ1266"/>
      <c r="PK1266"/>
      <c r="PL1266"/>
      <c r="PM1266"/>
      <c r="PN1266"/>
      <c r="PO1266"/>
      <c r="PP1266"/>
      <c r="PQ1266"/>
      <c r="PR1266"/>
      <c r="PS1266"/>
      <c r="PT1266"/>
      <c r="PU1266"/>
      <c r="PV1266"/>
      <c r="PW1266"/>
      <c r="PX1266"/>
      <c r="PY1266"/>
      <c r="PZ1266"/>
      <c r="QA1266"/>
      <c r="QB1266"/>
      <c r="QC1266"/>
      <c r="QD1266"/>
      <c r="QE1266"/>
      <c r="QF1266"/>
      <c r="QG1266"/>
      <c r="QH1266"/>
      <c r="QI1266"/>
      <c r="QJ1266"/>
      <c r="QK1266"/>
      <c r="QL1266"/>
      <c r="QM1266"/>
      <c r="QN1266"/>
      <c r="QO1266"/>
      <c r="QP1266"/>
      <c r="QQ1266"/>
      <c r="QR1266"/>
      <c r="QS1266"/>
      <c r="QT1266"/>
      <c r="QU1266"/>
      <c r="QV1266"/>
      <c r="QW1266"/>
      <c r="QX1266"/>
      <c r="QY1266"/>
      <c r="QZ1266"/>
      <c r="RA1266"/>
      <c r="RB1266"/>
      <c r="RC1266"/>
      <c r="RD1266"/>
      <c r="RE1266"/>
      <c r="RF1266"/>
      <c r="RG1266"/>
      <c r="RH1266"/>
      <c r="RI1266"/>
      <c r="RJ1266"/>
      <c r="RK1266"/>
      <c r="RL1266"/>
      <c r="RM1266"/>
      <c r="RN1266"/>
      <c r="RO1266"/>
      <c r="RP1266"/>
      <c r="RQ1266"/>
      <c r="RR1266"/>
      <c r="RS1266"/>
      <c r="RT1266"/>
      <c r="RU1266"/>
      <c r="RV1266"/>
      <c r="RW1266"/>
      <c r="RX1266"/>
      <c r="RY1266"/>
      <c r="RZ1266"/>
      <c r="SA1266"/>
      <c r="SB1266"/>
      <c r="SC1266"/>
      <c r="SD1266"/>
      <c r="SE1266"/>
      <c r="SF1266"/>
      <c r="SG1266"/>
      <c r="SH1266"/>
      <c r="SI1266"/>
      <c r="SJ1266"/>
      <c r="SK1266"/>
      <c r="SL1266"/>
      <c r="SM1266"/>
      <c r="SN1266"/>
      <c r="SO1266"/>
      <c r="SP1266"/>
      <c r="SQ1266"/>
      <c r="SR1266"/>
      <c r="SS1266"/>
      <c r="ST1266"/>
      <c r="SU1266"/>
      <c r="SV1266"/>
      <c r="SW1266"/>
      <c r="SX1266"/>
      <c r="SY1266"/>
      <c r="SZ1266"/>
      <c r="TA1266"/>
      <c r="TB1266"/>
      <c r="TC1266"/>
      <c r="TD1266"/>
      <c r="TE1266"/>
      <c r="TF1266"/>
      <c r="TG1266"/>
      <c r="TH1266"/>
      <c r="TI1266"/>
      <c r="TJ1266"/>
      <c r="TK1266"/>
      <c r="TL1266"/>
      <c r="TM1266"/>
      <c r="TN1266"/>
      <c r="TO1266"/>
      <c r="TP1266"/>
      <c r="TQ1266"/>
      <c r="TR1266"/>
      <c r="TS1266"/>
      <c r="TT1266"/>
      <c r="TU1266"/>
      <c r="TV1266"/>
      <c r="TW1266"/>
      <c r="TX1266"/>
      <c r="TY1266"/>
      <c r="TZ1266"/>
      <c r="UA1266"/>
      <c r="UB1266"/>
      <c r="UC1266"/>
      <c r="UD1266"/>
      <c r="UE1266"/>
      <c r="UF1266"/>
      <c r="UG1266"/>
      <c r="UH1266"/>
      <c r="UI1266"/>
      <c r="UJ1266"/>
      <c r="UK1266"/>
      <c r="UL1266"/>
      <c r="UM1266"/>
      <c r="UN1266"/>
      <c r="UO1266"/>
      <c r="UP1266"/>
      <c r="UQ1266"/>
      <c r="UR1266"/>
      <c r="US1266"/>
      <c r="UT1266"/>
      <c r="UU1266"/>
      <c r="UV1266"/>
      <c r="UW1266"/>
      <c r="UX1266"/>
      <c r="UY1266"/>
      <c r="UZ1266"/>
      <c r="VA1266"/>
      <c r="VB1266"/>
      <c r="VC1266"/>
      <c r="VD1266"/>
      <c r="VE1266"/>
      <c r="VF1266"/>
      <c r="VG1266"/>
      <c r="VH1266"/>
      <c r="VI1266"/>
      <c r="VJ1266"/>
      <c r="VK1266"/>
      <c r="VL1266"/>
      <c r="VM1266"/>
      <c r="VN1266"/>
      <c r="VO1266"/>
      <c r="VP1266"/>
      <c r="VQ1266"/>
      <c r="VR1266"/>
      <c r="VS1266"/>
      <c r="VT1266"/>
      <c r="VU1266"/>
      <c r="VV1266"/>
      <c r="VW1266"/>
      <c r="VX1266"/>
      <c r="VY1266"/>
      <c r="VZ1266"/>
      <c r="WA1266"/>
      <c r="WB1266"/>
      <c r="WC1266"/>
      <c r="WD1266"/>
      <c r="WE1266"/>
      <c r="WF1266"/>
      <c r="WG1266"/>
      <c r="WH1266"/>
      <c r="WI1266"/>
      <c r="WJ1266"/>
      <c r="WK1266"/>
      <c r="WL1266"/>
      <c r="WM1266"/>
      <c r="WN1266"/>
      <c r="WO1266"/>
      <c r="WP1266"/>
      <c r="WQ1266"/>
      <c r="WR1266"/>
      <c r="WS1266"/>
      <c r="WT1266"/>
      <c r="WU1266"/>
      <c r="WV1266"/>
      <c r="WW1266"/>
      <c r="WX1266"/>
      <c r="WY1266"/>
      <c r="WZ1266"/>
      <c r="XA1266"/>
      <c r="XB1266"/>
      <c r="XC1266"/>
      <c r="XD1266"/>
      <c r="XE1266"/>
      <c r="XF1266"/>
      <c r="XG1266"/>
      <c r="XH1266"/>
      <c r="XI1266"/>
      <c r="XJ1266"/>
      <c r="XK1266"/>
      <c r="XL1266"/>
      <c r="XM1266"/>
      <c r="XN1266"/>
      <c r="XO1266"/>
      <c r="XP1266"/>
      <c r="XQ1266"/>
      <c r="XR1266"/>
      <c r="XS1266"/>
      <c r="XT1266"/>
      <c r="XU1266"/>
      <c r="XV1266"/>
      <c r="XW1266"/>
      <c r="XX1266"/>
      <c r="XY1266"/>
      <c r="XZ1266"/>
      <c r="YA1266"/>
      <c r="YB1266"/>
      <c r="YC1266"/>
      <c r="YD1266"/>
      <c r="YE1266"/>
      <c r="YF1266"/>
      <c r="YG1266"/>
      <c r="YH1266"/>
      <c r="YI1266"/>
      <c r="YJ1266"/>
      <c r="YK1266"/>
      <c r="YL1266"/>
      <c r="YM1266"/>
      <c r="YN1266"/>
      <c r="YO1266"/>
      <c r="YP1266"/>
      <c r="YQ1266"/>
      <c r="YR1266"/>
      <c r="YS1266"/>
      <c r="YT1266"/>
      <c r="YU1266"/>
      <c r="YV1266"/>
      <c r="YW1266"/>
      <c r="YX1266"/>
      <c r="YY1266"/>
      <c r="YZ1266"/>
      <c r="ZA1266"/>
      <c r="ZB1266"/>
      <c r="ZC1266"/>
      <c r="ZD1266"/>
      <c r="ZE1266"/>
      <c r="ZF1266"/>
      <c r="ZG1266"/>
      <c r="ZH1266"/>
      <c r="ZI1266"/>
      <c r="ZJ1266"/>
      <c r="ZK1266"/>
      <c r="ZL1266"/>
      <c r="ZM1266"/>
      <c r="ZN1266"/>
      <c r="ZO1266"/>
      <c r="ZP1266"/>
      <c r="ZQ1266"/>
      <c r="ZR1266"/>
      <c r="ZS1266"/>
      <c r="ZT1266"/>
      <c r="ZU1266"/>
      <c r="ZV1266"/>
      <c r="ZW1266"/>
      <c r="ZX1266"/>
      <c r="ZY1266"/>
      <c r="ZZ1266"/>
      <c r="AAA1266"/>
      <c r="AAB1266"/>
      <c r="AAC1266"/>
      <c r="AAD1266"/>
      <c r="AAE1266"/>
      <c r="AAF1266"/>
      <c r="AAG1266"/>
      <c r="AAH1266"/>
      <c r="AAI1266"/>
      <c r="AAJ1266"/>
      <c r="AAK1266"/>
      <c r="AAL1266"/>
      <c r="AAM1266"/>
      <c r="AAN1266"/>
      <c r="AAO1266"/>
      <c r="AAP1266"/>
      <c r="AAQ1266"/>
      <c r="AAR1266"/>
      <c r="AAS1266"/>
      <c r="AAT1266"/>
      <c r="AAU1266"/>
      <c r="AAV1266"/>
      <c r="AAW1266"/>
      <c r="AAX1266"/>
      <c r="AAY1266"/>
      <c r="AAZ1266"/>
      <c r="ABA1266"/>
      <c r="ABB1266"/>
      <c r="ABC1266"/>
      <c r="ABD1266"/>
      <c r="ABE1266"/>
      <c r="ABF1266"/>
      <c r="ABG1266"/>
      <c r="ABH1266"/>
      <c r="ABI1266"/>
      <c r="ABJ1266"/>
      <c r="ABK1266"/>
      <c r="ABL1266"/>
      <c r="ABM1266"/>
      <c r="ABN1266"/>
      <c r="ABO1266"/>
      <c r="ABP1266"/>
      <c r="ABQ1266"/>
      <c r="ABR1266"/>
      <c r="ABS1266"/>
      <c r="ABT1266"/>
      <c r="ABU1266"/>
      <c r="ABV1266"/>
      <c r="ABW1266"/>
      <c r="ABX1266"/>
      <c r="ABY1266"/>
      <c r="ABZ1266"/>
      <c r="ACA1266"/>
      <c r="ACB1266"/>
      <c r="ACC1266"/>
      <c r="ACD1266"/>
      <c r="ACE1266"/>
      <c r="ACF1266"/>
      <c r="ACG1266"/>
      <c r="ACH1266"/>
      <c r="ACI1266"/>
      <c r="ACJ1266"/>
      <c r="ACK1266"/>
      <c r="ACL1266"/>
      <c r="ACM1266"/>
      <c r="ACN1266"/>
      <c r="ACO1266"/>
      <c r="ACP1266"/>
      <c r="ACQ1266"/>
      <c r="ACR1266"/>
      <c r="ACS1266"/>
      <c r="ACT1266"/>
      <c r="ACU1266"/>
      <c r="ACV1266"/>
      <c r="ACW1266"/>
      <c r="ACX1266"/>
      <c r="ACY1266"/>
      <c r="ACZ1266"/>
      <c r="ADA1266"/>
      <c r="ADB1266"/>
      <c r="ADC1266"/>
      <c r="ADD1266"/>
      <c r="ADE1266"/>
      <c r="ADF1266"/>
      <c r="ADG1266"/>
      <c r="ADH1266"/>
      <c r="ADI1266"/>
      <c r="ADJ1266"/>
      <c r="ADK1266"/>
      <c r="ADL1266"/>
      <c r="ADM1266"/>
      <c r="ADN1266"/>
      <c r="ADO1266"/>
      <c r="ADP1266"/>
      <c r="ADQ1266"/>
      <c r="ADR1266"/>
      <c r="ADS1266"/>
      <c r="ADT1266"/>
      <c r="ADU1266"/>
      <c r="ADV1266"/>
      <c r="ADW1266"/>
      <c r="ADX1266"/>
      <c r="ADY1266"/>
      <c r="ADZ1266"/>
      <c r="AEA1266"/>
      <c r="AEB1266"/>
      <c r="AEC1266"/>
      <c r="AED1266"/>
      <c r="AEE1266"/>
      <c r="AEF1266"/>
      <c r="AEG1266"/>
      <c r="AEH1266"/>
      <c r="AEI1266"/>
      <c r="AEJ1266"/>
      <c r="AEK1266"/>
      <c r="AEL1266"/>
      <c r="AEM1266"/>
      <c r="AEN1266"/>
      <c r="AEO1266"/>
      <c r="AEP1266"/>
      <c r="AEQ1266"/>
      <c r="AER1266"/>
      <c r="AES1266"/>
      <c r="AET1266"/>
      <c r="AEU1266"/>
      <c r="AEV1266"/>
      <c r="AEW1266"/>
      <c r="AEX1266"/>
      <c r="AEY1266"/>
      <c r="AEZ1266"/>
      <c r="AFA1266"/>
      <c r="AFB1266"/>
      <c r="AFC1266"/>
      <c r="AFD1266"/>
      <c r="AFE1266"/>
      <c r="AFF1266"/>
      <c r="AFG1266"/>
      <c r="AFH1266"/>
      <c r="AFI1266"/>
      <c r="AFJ1266"/>
      <c r="AFK1266"/>
      <c r="AFL1266"/>
      <c r="AFM1266"/>
      <c r="AFN1266"/>
      <c r="AFO1266"/>
      <c r="AFP1266"/>
      <c r="AFQ1266"/>
      <c r="AFR1266"/>
      <c r="AFS1266"/>
      <c r="AFT1266"/>
      <c r="AFU1266"/>
      <c r="AFV1266"/>
      <c r="AFW1266"/>
      <c r="AFX1266"/>
      <c r="AFY1266"/>
      <c r="AFZ1266"/>
      <c r="AGA1266"/>
      <c r="AGB1266"/>
      <c r="AGC1266"/>
      <c r="AGD1266"/>
      <c r="AGE1266"/>
      <c r="AGF1266"/>
      <c r="AGG1266"/>
      <c r="AGH1266"/>
      <c r="AGI1266"/>
      <c r="AGJ1266"/>
      <c r="AGK1266"/>
      <c r="AGL1266"/>
      <c r="AGM1266"/>
      <c r="AGN1266"/>
      <c r="AGO1266"/>
      <c r="AGP1266"/>
      <c r="AGQ1266"/>
      <c r="AGR1266"/>
      <c r="AGS1266"/>
      <c r="AGT1266"/>
      <c r="AGU1266"/>
      <c r="AGV1266"/>
      <c r="AGW1266"/>
      <c r="AGX1266"/>
      <c r="AGY1266"/>
      <c r="AGZ1266"/>
      <c r="AHA1266"/>
      <c r="AHB1266"/>
      <c r="AHC1266"/>
      <c r="AHD1266"/>
      <c r="AHE1266"/>
      <c r="AHF1266"/>
      <c r="AHG1266"/>
      <c r="AHH1266"/>
      <c r="AHI1266"/>
      <c r="AHJ1266"/>
      <c r="AHK1266"/>
      <c r="AHL1266"/>
      <c r="AHM1266"/>
      <c r="AHN1266"/>
      <c r="AHO1266"/>
      <c r="AHP1266"/>
      <c r="AHQ1266"/>
      <c r="AHR1266"/>
      <c r="AHS1266"/>
      <c r="AHT1266"/>
      <c r="AHU1266"/>
      <c r="AHV1266"/>
      <c r="AHW1266"/>
      <c r="AHX1266"/>
      <c r="AHY1266"/>
      <c r="AHZ1266"/>
      <c r="AIA1266"/>
      <c r="AIB1266"/>
      <c r="AIC1266"/>
      <c r="AID1266"/>
      <c r="AIE1266"/>
      <c r="AIF1266"/>
      <c r="AIG1266"/>
      <c r="AIH1266"/>
      <c r="AII1266"/>
      <c r="AIJ1266"/>
      <c r="AIK1266"/>
      <c r="AIL1266"/>
      <c r="AIM1266"/>
      <c r="AIN1266"/>
      <c r="AIO1266"/>
      <c r="AIP1266"/>
      <c r="AIQ1266"/>
      <c r="AIR1266"/>
      <c r="AIS1266"/>
      <c r="AIT1266"/>
      <c r="AIU1266"/>
      <c r="AIV1266"/>
      <c r="AIW1266"/>
      <c r="AIX1266"/>
      <c r="AIY1266"/>
      <c r="AIZ1266"/>
      <c r="AJA1266"/>
      <c r="AJB1266"/>
      <c r="AJC1266"/>
      <c r="AJD1266"/>
      <c r="AJE1266"/>
      <c r="AJF1266"/>
      <c r="AJG1266"/>
      <c r="AJH1266"/>
      <c r="AJI1266"/>
      <c r="AJJ1266"/>
      <c r="AJK1266"/>
      <c r="AJL1266"/>
      <c r="AJM1266"/>
      <c r="AJN1266"/>
      <c r="AJO1266"/>
      <c r="AJP1266"/>
      <c r="AJQ1266"/>
      <c r="AJR1266"/>
      <c r="AJS1266"/>
      <c r="AJT1266"/>
      <c r="AJU1266"/>
      <c r="AJV1266"/>
      <c r="AJW1266"/>
      <c r="AJX1266"/>
      <c r="AJY1266"/>
      <c r="AJZ1266"/>
      <c r="AKA1266"/>
      <c r="AKB1266"/>
      <c r="AKC1266"/>
      <c r="AKD1266"/>
      <c r="AKE1266"/>
      <c r="AKF1266"/>
      <c r="AKG1266"/>
      <c r="AKH1266"/>
      <c r="AKI1266"/>
      <c r="AKJ1266"/>
      <c r="AKK1266"/>
      <c r="AKL1266"/>
      <c r="AKM1266"/>
      <c r="AKN1266"/>
      <c r="AKO1266"/>
      <c r="AKP1266"/>
      <c r="AKQ1266"/>
      <c r="AKR1266"/>
      <c r="AKS1266"/>
      <c r="AKT1266"/>
      <c r="AKU1266"/>
      <c r="AKV1266"/>
      <c r="AKW1266"/>
      <c r="AKX1266"/>
      <c r="AKY1266"/>
      <c r="AKZ1266"/>
      <c r="ALA1266"/>
      <c r="ALB1266"/>
      <c r="ALC1266"/>
      <c r="ALD1266"/>
      <c r="ALE1266"/>
      <c r="ALF1266"/>
      <c r="ALG1266"/>
      <c r="ALH1266"/>
      <c r="ALI1266"/>
      <c r="ALJ1266"/>
      <c r="ALK1266"/>
      <c r="ALL1266"/>
      <c r="ALM1266"/>
      <c r="ALN1266"/>
      <c r="ALO1266"/>
      <c r="ALP1266"/>
      <c r="ALQ1266"/>
      <c r="ALR1266"/>
      <c r="ALS1266"/>
      <c r="ALT1266"/>
    </row>
    <row r="1267" spans="1:1008" x14ac:dyDescent="0.15">
      <c r="A1267" t="s">
        <v>4007</v>
      </c>
      <c r="B1267" s="8" t="s">
        <v>4075</v>
      </c>
      <c r="C1267" t="s">
        <v>4007</v>
      </c>
      <c r="D1267" s="8" t="s">
        <v>15</v>
      </c>
      <c r="E1267" t="s">
        <v>4007</v>
      </c>
      <c r="F1267" t="s">
        <v>4008</v>
      </c>
      <c r="G1267">
        <v>600</v>
      </c>
      <c r="H1267"/>
      <c r="I1267"/>
      <c r="J1267"/>
      <c r="K1267"/>
      <c r="L1267"/>
      <c r="M1267"/>
      <c r="N1267"/>
      <c r="O1267"/>
      <c r="P1267"/>
      <c r="Q1267"/>
      <c r="R1267"/>
      <c r="S1267"/>
      <c r="T1267"/>
      <c r="U1267"/>
      <c r="V1267"/>
      <c r="W1267"/>
      <c r="X1267"/>
      <c r="Y1267"/>
      <c r="Z1267"/>
      <c r="AA1267"/>
      <c r="AB1267"/>
      <c r="AC1267"/>
      <c r="AD1267"/>
      <c r="AE1267"/>
      <c r="AF1267"/>
      <c r="AG1267"/>
      <c r="AH1267"/>
      <c r="AI1267"/>
      <c r="AJ1267"/>
      <c r="AK1267"/>
      <c r="AL1267"/>
      <c r="AM1267"/>
      <c r="AN1267"/>
      <c r="AO1267"/>
      <c r="AP1267"/>
      <c r="AQ1267"/>
      <c r="AR1267"/>
      <c r="AS1267"/>
      <c r="AT1267"/>
      <c r="AU1267"/>
      <c r="AV1267"/>
      <c r="AW1267"/>
      <c r="AX1267"/>
      <c r="AY1267"/>
      <c r="AZ1267"/>
      <c r="BA1267"/>
      <c r="BB1267"/>
      <c r="BC1267"/>
      <c r="BD1267"/>
      <c r="BE1267"/>
      <c r="BF1267"/>
      <c r="BG1267"/>
      <c r="BH1267"/>
      <c r="BI1267"/>
      <c r="BJ1267"/>
      <c r="BK1267"/>
      <c r="BL1267"/>
      <c r="BM1267"/>
      <c r="BN1267"/>
      <c r="BO1267"/>
      <c r="BP1267"/>
      <c r="BQ1267"/>
      <c r="BR1267"/>
      <c r="BS1267"/>
      <c r="BT1267"/>
      <c r="BU1267"/>
      <c r="BV1267"/>
      <c r="BW1267"/>
      <c r="BX1267"/>
      <c r="BY1267"/>
      <c r="BZ1267"/>
      <c r="CA1267"/>
      <c r="CB1267"/>
      <c r="CC1267"/>
      <c r="CD1267"/>
      <c r="CE1267"/>
      <c r="CF1267"/>
      <c r="CG1267"/>
      <c r="CH1267"/>
      <c r="CI1267"/>
      <c r="CJ1267"/>
      <c r="CK1267"/>
      <c r="CL1267"/>
      <c r="CM1267"/>
      <c r="CN1267"/>
      <c r="CO1267"/>
      <c r="CP1267"/>
      <c r="CQ1267"/>
      <c r="CR1267"/>
      <c r="CS1267"/>
      <c r="CT1267"/>
      <c r="CU1267"/>
      <c r="CV1267"/>
      <c r="CW1267"/>
      <c r="CX1267"/>
      <c r="CY1267"/>
      <c r="CZ1267"/>
      <c r="DA1267"/>
      <c r="DB1267"/>
      <c r="DC1267"/>
      <c r="DD1267"/>
      <c r="DE1267"/>
      <c r="DF1267"/>
      <c r="DG1267"/>
      <c r="DH1267"/>
      <c r="DI1267"/>
      <c r="DJ1267"/>
      <c r="DK1267"/>
      <c r="DL1267"/>
      <c r="DM1267"/>
      <c r="DN1267"/>
      <c r="DO1267"/>
      <c r="DP1267"/>
      <c r="DQ1267"/>
      <c r="DR1267"/>
      <c r="DS1267"/>
      <c r="DT1267"/>
      <c r="DU1267"/>
      <c r="DV1267"/>
      <c r="DW1267"/>
      <c r="DX1267"/>
      <c r="DY1267"/>
      <c r="DZ1267"/>
      <c r="EA1267"/>
      <c r="EB1267"/>
      <c r="EC1267"/>
      <c r="ED1267"/>
      <c r="EE1267"/>
      <c r="EF1267"/>
      <c r="EG1267"/>
      <c r="EH1267"/>
      <c r="EI1267"/>
      <c r="EJ1267"/>
      <c r="EK1267"/>
      <c r="EL1267"/>
      <c r="EM1267"/>
      <c r="EN1267"/>
      <c r="EO1267"/>
      <c r="EP1267"/>
      <c r="EQ1267"/>
      <c r="ER1267"/>
      <c r="ES1267"/>
      <c r="ET1267"/>
      <c r="EU1267"/>
      <c r="EV1267"/>
      <c r="EW1267"/>
      <c r="EX1267"/>
      <c r="EY1267"/>
      <c r="EZ1267"/>
      <c r="FA1267"/>
      <c r="FB1267"/>
      <c r="FC1267"/>
      <c r="FD1267"/>
      <c r="FE1267"/>
      <c r="FF1267"/>
      <c r="FG1267"/>
      <c r="FH1267"/>
      <c r="FI1267"/>
      <c r="FJ1267"/>
      <c r="FK1267"/>
      <c r="FL1267"/>
      <c r="FM1267"/>
      <c r="FN1267"/>
      <c r="FO1267"/>
      <c r="FP1267"/>
      <c r="FQ1267"/>
      <c r="FR1267"/>
      <c r="FS1267"/>
      <c r="FT1267"/>
      <c r="FU1267"/>
      <c r="FV1267"/>
      <c r="FW1267"/>
      <c r="FX1267"/>
      <c r="FY1267"/>
      <c r="FZ1267"/>
      <c r="GA1267"/>
      <c r="GB1267"/>
      <c r="GC1267"/>
      <c r="GD1267"/>
      <c r="GE1267"/>
      <c r="GF1267"/>
      <c r="GG1267"/>
      <c r="GH1267"/>
      <c r="GI1267"/>
      <c r="GJ1267"/>
      <c r="GK1267"/>
      <c r="GL1267"/>
      <c r="GM1267"/>
      <c r="GN1267"/>
      <c r="GO1267"/>
      <c r="GP1267"/>
      <c r="GQ1267"/>
      <c r="GR1267"/>
      <c r="GS1267"/>
      <c r="GT1267"/>
      <c r="GU1267"/>
      <c r="GV1267"/>
      <c r="GW1267"/>
      <c r="GX1267"/>
      <c r="GY1267"/>
      <c r="GZ1267"/>
      <c r="HA1267"/>
      <c r="HB1267"/>
      <c r="HC1267"/>
      <c r="HD1267"/>
      <c r="HE1267"/>
      <c r="HF1267"/>
      <c r="HG1267"/>
      <c r="HH1267"/>
      <c r="HI1267"/>
      <c r="HJ1267"/>
      <c r="HK1267"/>
      <c r="HL1267"/>
      <c r="HM1267"/>
      <c r="HN1267"/>
      <c r="HO1267"/>
      <c r="HP1267"/>
      <c r="HQ1267"/>
      <c r="HR1267"/>
      <c r="HS1267"/>
      <c r="HT1267"/>
      <c r="HU1267"/>
      <c r="HV1267"/>
      <c r="HW1267"/>
      <c r="HX1267"/>
      <c r="HY1267"/>
      <c r="HZ1267"/>
      <c r="IA1267"/>
      <c r="IB1267"/>
      <c r="IC1267"/>
      <c r="ID1267"/>
      <c r="IE1267"/>
      <c r="IF1267"/>
      <c r="IG1267"/>
      <c r="IH1267"/>
      <c r="II1267"/>
      <c r="IJ1267"/>
      <c r="IK1267"/>
      <c r="IL1267"/>
      <c r="IM1267"/>
      <c r="IN1267"/>
      <c r="IO1267"/>
      <c r="IP1267"/>
      <c r="IQ1267"/>
      <c r="IR1267"/>
      <c r="IS1267"/>
      <c r="IT1267"/>
      <c r="IU1267"/>
      <c r="IV1267"/>
      <c r="IW1267"/>
      <c r="IX1267"/>
      <c r="IY1267"/>
      <c r="IZ1267"/>
      <c r="JA1267"/>
      <c r="JB1267"/>
      <c r="JC1267"/>
      <c r="JD1267"/>
      <c r="JE1267"/>
      <c r="JF1267"/>
      <c r="JG1267"/>
      <c r="JH1267"/>
      <c r="JI1267"/>
      <c r="JJ1267"/>
      <c r="JK1267"/>
      <c r="JL1267"/>
      <c r="JM1267"/>
      <c r="JN1267"/>
      <c r="JO1267"/>
      <c r="JP1267"/>
      <c r="JQ1267"/>
      <c r="JR1267"/>
      <c r="JS1267"/>
      <c r="JT1267"/>
      <c r="JU1267"/>
      <c r="JV1267"/>
      <c r="JW1267"/>
      <c r="JX1267"/>
      <c r="JY1267"/>
      <c r="JZ1267"/>
      <c r="KA1267"/>
      <c r="KB1267"/>
      <c r="KC1267"/>
      <c r="KD1267"/>
      <c r="KE1267"/>
      <c r="KF1267"/>
      <c r="KG1267"/>
      <c r="KH1267"/>
      <c r="KI1267"/>
      <c r="KJ1267"/>
      <c r="KK1267"/>
      <c r="KL1267"/>
      <c r="KM1267"/>
      <c r="KN1267"/>
      <c r="KO1267"/>
      <c r="KP1267"/>
      <c r="KQ1267"/>
      <c r="KR1267"/>
      <c r="KS1267"/>
      <c r="KT1267"/>
      <c r="KU1267"/>
      <c r="KV1267"/>
      <c r="KW1267"/>
      <c r="KX1267"/>
      <c r="KY1267"/>
      <c r="KZ1267"/>
      <c r="LA1267"/>
      <c r="LB1267"/>
      <c r="LC1267"/>
      <c r="LD1267"/>
      <c r="LE1267"/>
      <c r="LF1267"/>
      <c r="LG1267"/>
      <c r="LH1267"/>
      <c r="LI1267"/>
      <c r="LJ1267"/>
      <c r="LK1267"/>
      <c r="LL1267"/>
      <c r="LM1267"/>
      <c r="LN1267"/>
      <c r="LO1267"/>
      <c r="LP1267"/>
      <c r="LQ1267"/>
      <c r="LR1267"/>
      <c r="LS1267"/>
      <c r="LT1267"/>
      <c r="LU1267"/>
      <c r="LV1267"/>
      <c r="LW1267"/>
      <c r="LX1267"/>
      <c r="LY1267"/>
      <c r="LZ1267"/>
      <c r="MA1267"/>
      <c r="MB1267"/>
      <c r="MC1267"/>
      <c r="MD1267"/>
      <c r="ME1267"/>
      <c r="MF1267"/>
      <c r="MG1267"/>
      <c r="MH1267"/>
      <c r="MI1267"/>
      <c r="MJ1267"/>
      <c r="MK1267"/>
      <c r="ML1267"/>
      <c r="MM1267"/>
      <c r="MN1267"/>
      <c r="MO1267"/>
      <c r="MP1267"/>
      <c r="MQ1267"/>
      <c r="MR1267"/>
      <c r="MS1267"/>
      <c r="MT1267"/>
      <c r="MU1267"/>
      <c r="MV1267"/>
      <c r="MW1267"/>
      <c r="MX1267"/>
      <c r="MY1267"/>
      <c r="MZ1267"/>
      <c r="NA1267"/>
      <c r="NB1267"/>
      <c r="NC1267"/>
      <c r="ND1267"/>
      <c r="NE1267"/>
      <c r="NF1267"/>
      <c r="NG1267"/>
      <c r="NH1267"/>
      <c r="NI1267"/>
      <c r="NJ1267"/>
      <c r="NK1267"/>
      <c r="NL1267"/>
      <c r="NM1267"/>
      <c r="NN1267"/>
      <c r="NO1267"/>
      <c r="NP1267"/>
      <c r="NQ1267"/>
      <c r="NR1267"/>
      <c r="NS1267"/>
      <c r="NT1267"/>
      <c r="NU1267"/>
      <c r="NV1267"/>
      <c r="NW1267"/>
      <c r="NX1267"/>
      <c r="NY1267"/>
      <c r="NZ1267"/>
      <c r="OA1267"/>
      <c r="OB1267"/>
      <c r="OC1267"/>
      <c r="OD1267"/>
      <c r="OE1267"/>
      <c r="OF1267"/>
      <c r="OG1267"/>
      <c r="OH1267"/>
      <c r="OI1267"/>
      <c r="OJ1267"/>
      <c r="OK1267"/>
      <c r="OL1267"/>
      <c r="OM1267"/>
      <c r="ON1267"/>
      <c r="OO1267"/>
      <c r="OP1267"/>
      <c r="OQ1267"/>
      <c r="OR1267"/>
      <c r="OS1267"/>
      <c r="OT1267"/>
      <c r="OU1267"/>
      <c r="OV1267"/>
      <c r="OW1267"/>
      <c r="OX1267"/>
      <c r="OY1267"/>
      <c r="OZ1267"/>
      <c r="PA1267"/>
      <c r="PB1267"/>
      <c r="PC1267"/>
      <c r="PD1267"/>
      <c r="PE1267"/>
      <c r="PF1267"/>
      <c r="PG1267"/>
      <c r="PH1267"/>
      <c r="PI1267"/>
      <c r="PJ1267"/>
      <c r="PK1267"/>
      <c r="PL1267"/>
      <c r="PM1267"/>
      <c r="PN1267"/>
      <c r="PO1267"/>
      <c r="PP1267"/>
      <c r="PQ1267"/>
      <c r="PR1267"/>
      <c r="PS1267"/>
      <c r="PT1267"/>
      <c r="PU1267"/>
      <c r="PV1267"/>
      <c r="PW1267"/>
      <c r="PX1267"/>
      <c r="PY1267"/>
      <c r="PZ1267"/>
      <c r="QA1267"/>
      <c r="QB1267"/>
      <c r="QC1267"/>
      <c r="QD1267"/>
      <c r="QE1267"/>
      <c r="QF1267"/>
      <c r="QG1267"/>
      <c r="QH1267"/>
      <c r="QI1267"/>
      <c r="QJ1267"/>
      <c r="QK1267"/>
      <c r="QL1267"/>
      <c r="QM1267"/>
      <c r="QN1267"/>
      <c r="QO1267"/>
      <c r="QP1267"/>
      <c r="QQ1267"/>
      <c r="QR1267"/>
      <c r="QS1267"/>
      <c r="QT1267"/>
      <c r="QU1267"/>
      <c r="QV1267"/>
      <c r="QW1267"/>
      <c r="QX1267"/>
      <c r="QY1267"/>
      <c r="QZ1267"/>
      <c r="RA1267"/>
      <c r="RB1267"/>
      <c r="RC1267"/>
      <c r="RD1267"/>
      <c r="RE1267"/>
      <c r="RF1267"/>
      <c r="RG1267"/>
      <c r="RH1267"/>
      <c r="RI1267"/>
      <c r="RJ1267"/>
      <c r="RK1267"/>
      <c r="RL1267"/>
      <c r="RM1267"/>
      <c r="RN1267"/>
      <c r="RO1267"/>
      <c r="RP1267"/>
      <c r="RQ1267"/>
      <c r="RR1267"/>
      <c r="RS1267"/>
      <c r="RT1267"/>
      <c r="RU1267"/>
      <c r="RV1267"/>
      <c r="RW1267"/>
      <c r="RX1267"/>
      <c r="RY1267"/>
      <c r="RZ1267"/>
      <c r="SA1267"/>
      <c r="SB1267"/>
      <c r="SC1267"/>
      <c r="SD1267"/>
      <c r="SE1267"/>
      <c r="SF1267"/>
      <c r="SG1267"/>
      <c r="SH1267"/>
      <c r="SI1267"/>
      <c r="SJ1267"/>
      <c r="SK1267"/>
      <c r="SL1267"/>
      <c r="SM1267"/>
      <c r="SN1267"/>
      <c r="SO1267"/>
      <c r="SP1267"/>
      <c r="SQ1267"/>
      <c r="SR1267"/>
      <c r="SS1267"/>
      <c r="ST1267"/>
      <c r="SU1267"/>
      <c r="SV1267"/>
      <c r="SW1267"/>
      <c r="SX1267"/>
      <c r="SY1267"/>
      <c r="SZ1267"/>
      <c r="TA1267"/>
      <c r="TB1267"/>
      <c r="TC1267"/>
      <c r="TD1267"/>
      <c r="TE1267"/>
      <c r="TF1267"/>
      <c r="TG1267"/>
      <c r="TH1267"/>
      <c r="TI1267"/>
      <c r="TJ1267"/>
      <c r="TK1267"/>
      <c r="TL1267"/>
      <c r="TM1267"/>
      <c r="TN1267"/>
      <c r="TO1267"/>
      <c r="TP1267"/>
      <c r="TQ1267"/>
      <c r="TR1267"/>
      <c r="TS1267"/>
      <c r="TT1267"/>
      <c r="TU1267"/>
      <c r="TV1267"/>
      <c r="TW1267"/>
      <c r="TX1267"/>
      <c r="TY1267"/>
      <c r="TZ1267"/>
      <c r="UA1267"/>
      <c r="UB1267"/>
      <c r="UC1267"/>
      <c r="UD1267"/>
      <c r="UE1267"/>
      <c r="UF1267"/>
      <c r="UG1267"/>
      <c r="UH1267"/>
      <c r="UI1267"/>
      <c r="UJ1267"/>
      <c r="UK1267"/>
      <c r="UL1267"/>
      <c r="UM1267"/>
      <c r="UN1267"/>
      <c r="UO1267"/>
      <c r="UP1267"/>
      <c r="UQ1267"/>
      <c r="UR1267"/>
      <c r="US1267"/>
      <c r="UT1267"/>
      <c r="UU1267"/>
      <c r="UV1267"/>
      <c r="UW1267"/>
      <c r="UX1267"/>
      <c r="UY1267"/>
      <c r="UZ1267"/>
      <c r="VA1267"/>
      <c r="VB1267"/>
      <c r="VC1267"/>
      <c r="VD1267"/>
      <c r="VE1267"/>
      <c r="VF1267"/>
      <c r="VG1267"/>
      <c r="VH1267"/>
      <c r="VI1267"/>
      <c r="VJ1267"/>
      <c r="VK1267"/>
      <c r="VL1267"/>
      <c r="VM1267"/>
      <c r="VN1267"/>
      <c r="VO1267"/>
      <c r="VP1267"/>
      <c r="VQ1267"/>
      <c r="VR1267"/>
      <c r="VS1267"/>
      <c r="VT1267"/>
      <c r="VU1267"/>
      <c r="VV1267"/>
      <c r="VW1267"/>
      <c r="VX1267"/>
      <c r="VY1267"/>
      <c r="VZ1267"/>
      <c r="WA1267"/>
      <c r="WB1267"/>
      <c r="WC1267"/>
      <c r="WD1267"/>
      <c r="WE1267"/>
      <c r="WF1267"/>
      <c r="WG1267"/>
      <c r="WH1267"/>
      <c r="WI1267"/>
      <c r="WJ1267"/>
      <c r="WK1267"/>
      <c r="WL1267"/>
      <c r="WM1267"/>
      <c r="WN1267"/>
      <c r="WO1267"/>
      <c r="WP1267"/>
      <c r="WQ1267"/>
      <c r="WR1267"/>
      <c r="WS1267"/>
      <c r="WT1267"/>
      <c r="WU1267"/>
      <c r="WV1267"/>
      <c r="WW1267"/>
      <c r="WX1267"/>
      <c r="WY1267"/>
      <c r="WZ1267"/>
      <c r="XA1267"/>
      <c r="XB1267"/>
      <c r="XC1267"/>
      <c r="XD1267"/>
      <c r="XE1267"/>
      <c r="XF1267"/>
      <c r="XG1267"/>
      <c r="XH1267"/>
      <c r="XI1267"/>
      <c r="XJ1267"/>
      <c r="XK1267"/>
      <c r="XL1267"/>
      <c r="XM1267"/>
      <c r="XN1267"/>
      <c r="XO1267"/>
      <c r="XP1267"/>
      <c r="XQ1267"/>
      <c r="XR1267"/>
      <c r="XS1267"/>
      <c r="XT1267"/>
      <c r="XU1267"/>
      <c r="XV1267"/>
      <c r="XW1267"/>
      <c r="XX1267"/>
      <c r="XY1267"/>
      <c r="XZ1267"/>
      <c r="YA1267"/>
      <c r="YB1267"/>
      <c r="YC1267"/>
      <c r="YD1267"/>
      <c r="YE1267"/>
      <c r="YF1267"/>
      <c r="YG1267"/>
      <c r="YH1267"/>
      <c r="YI1267"/>
      <c r="YJ1267"/>
      <c r="YK1267"/>
      <c r="YL1267"/>
      <c r="YM1267"/>
      <c r="YN1267"/>
      <c r="YO1267"/>
      <c r="YP1267"/>
      <c r="YQ1267"/>
      <c r="YR1267"/>
      <c r="YS1267"/>
      <c r="YT1267"/>
      <c r="YU1267"/>
      <c r="YV1267"/>
      <c r="YW1267"/>
      <c r="YX1267"/>
      <c r="YY1267"/>
      <c r="YZ1267"/>
      <c r="ZA1267"/>
      <c r="ZB1267"/>
      <c r="ZC1267"/>
      <c r="ZD1267"/>
      <c r="ZE1267"/>
      <c r="ZF1267"/>
      <c r="ZG1267"/>
      <c r="ZH1267"/>
      <c r="ZI1267"/>
      <c r="ZJ1267"/>
      <c r="ZK1267"/>
      <c r="ZL1267"/>
      <c r="ZM1267"/>
      <c r="ZN1267"/>
      <c r="ZO1267"/>
      <c r="ZP1267"/>
      <c r="ZQ1267"/>
      <c r="ZR1267"/>
      <c r="ZS1267"/>
      <c r="ZT1267"/>
      <c r="ZU1267"/>
      <c r="ZV1267"/>
      <c r="ZW1267"/>
      <c r="ZX1267"/>
      <c r="ZY1267"/>
      <c r="ZZ1267"/>
      <c r="AAA1267"/>
      <c r="AAB1267"/>
      <c r="AAC1267"/>
      <c r="AAD1267"/>
      <c r="AAE1267"/>
      <c r="AAF1267"/>
      <c r="AAG1267"/>
      <c r="AAH1267"/>
      <c r="AAI1267"/>
      <c r="AAJ1267"/>
      <c r="AAK1267"/>
      <c r="AAL1267"/>
      <c r="AAM1267"/>
      <c r="AAN1267"/>
      <c r="AAO1267"/>
      <c r="AAP1267"/>
      <c r="AAQ1267"/>
      <c r="AAR1267"/>
      <c r="AAS1267"/>
      <c r="AAT1267"/>
      <c r="AAU1267"/>
      <c r="AAV1267"/>
      <c r="AAW1267"/>
      <c r="AAX1267"/>
      <c r="AAY1267"/>
      <c r="AAZ1267"/>
      <c r="ABA1267"/>
      <c r="ABB1267"/>
      <c r="ABC1267"/>
      <c r="ABD1267"/>
      <c r="ABE1267"/>
      <c r="ABF1267"/>
      <c r="ABG1267"/>
      <c r="ABH1267"/>
      <c r="ABI1267"/>
      <c r="ABJ1267"/>
      <c r="ABK1267"/>
      <c r="ABL1267"/>
      <c r="ABM1267"/>
      <c r="ABN1267"/>
      <c r="ABO1267"/>
      <c r="ABP1267"/>
      <c r="ABQ1267"/>
      <c r="ABR1267"/>
      <c r="ABS1267"/>
      <c r="ABT1267"/>
      <c r="ABU1267"/>
      <c r="ABV1267"/>
      <c r="ABW1267"/>
      <c r="ABX1267"/>
      <c r="ABY1267"/>
      <c r="ABZ1267"/>
      <c r="ACA1267"/>
      <c r="ACB1267"/>
      <c r="ACC1267"/>
      <c r="ACD1267"/>
      <c r="ACE1267"/>
      <c r="ACF1267"/>
      <c r="ACG1267"/>
      <c r="ACH1267"/>
      <c r="ACI1267"/>
      <c r="ACJ1267"/>
      <c r="ACK1267"/>
      <c r="ACL1267"/>
      <c r="ACM1267"/>
      <c r="ACN1267"/>
      <c r="ACO1267"/>
      <c r="ACP1267"/>
      <c r="ACQ1267"/>
      <c r="ACR1267"/>
      <c r="ACS1267"/>
      <c r="ACT1267"/>
      <c r="ACU1267"/>
      <c r="ACV1267"/>
      <c r="ACW1267"/>
      <c r="ACX1267"/>
      <c r="ACY1267"/>
      <c r="ACZ1267"/>
      <c r="ADA1267"/>
      <c r="ADB1267"/>
      <c r="ADC1267"/>
      <c r="ADD1267"/>
      <c r="ADE1267"/>
      <c r="ADF1267"/>
      <c r="ADG1267"/>
      <c r="ADH1267"/>
      <c r="ADI1267"/>
      <c r="ADJ1267"/>
      <c r="ADK1267"/>
      <c r="ADL1267"/>
      <c r="ADM1267"/>
      <c r="ADN1267"/>
      <c r="ADO1267"/>
      <c r="ADP1267"/>
      <c r="ADQ1267"/>
      <c r="ADR1267"/>
      <c r="ADS1267"/>
      <c r="ADT1267"/>
      <c r="ADU1267"/>
      <c r="ADV1267"/>
      <c r="ADW1267"/>
      <c r="ADX1267"/>
      <c r="ADY1267"/>
      <c r="ADZ1267"/>
      <c r="AEA1267"/>
      <c r="AEB1267"/>
      <c r="AEC1267"/>
      <c r="AED1267"/>
      <c r="AEE1267"/>
      <c r="AEF1267"/>
      <c r="AEG1267"/>
      <c r="AEH1267"/>
      <c r="AEI1267"/>
      <c r="AEJ1267"/>
      <c r="AEK1267"/>
      <c r="AEL1267"/>
      <c r="AEM1267"/>
      <c r="AEN1267"/>
      <c r="AEO1267"/>
      <c r="AEP1267"/>
      <c r="AEQ1267"/>
      <c r="AER1267"/>
      <c r="AES1267"/>
      <c r="AET1267"/>
      <c r="AEU1267"/>
      <c r="AEV1267"/>
      <c r="AEW1267"/>
      <c r="AEX1267"/>
      <c r="AEY1267"/>
      <c r="AEZ1267"/>
      <c r="AFA1267"/>
      <c r="AFB1267"/>
      <c r="AFC1267"/>
      <c r="AFD1267"/>
      <c r="AFE1267"/>
      <c r="AFF1267"/>
      <c r="AFG1267"/>
      <c r="AFH1267"/>
      <c r="AFI1267"/>
      <c r="AFJ1267"/>
      <c r="AFK1267"/>
      <c r="AFL1267"/>
      <c r="AFM1267"/>
      <c r="AFN1267"/>
      <c r="AFO1267"/>
      <c r="AFP1267"/>
      <c r="AFQ1267"/>
      <c r="AFR1267"/>
      <c r="AFS1267"/>
      <c r="AFT1267"/>
      <c r="AFU1267"/>
      <c r="AFV1267"/>
      <c r="AFW1267"/>
      <c r="AFX1267"/>
      <c r="AFY1267"/>
      <c r="AFZ1267"/>
      <c r="AGA1267"/>
      <c r="AGB1267"/>
      <c r="AGC1267"/>
      <c r="AGD1267"/>
      <c r="AGE1267"/>
      <c r="AGF1267"/>
      <c r="AGG1267"/>
      <c r="AGH1267"/>
      <c r="AGI1267"/>
      <c r="AGJ1267"/>
      <c r="AGK1267"/>
      <c r="AGL1267"/>
      <c r="AGM1267"/>
      <c r="AGN1267"/>
      <c r="AGO1267"/>
      <c r="AGP1267"/>
      <c r="AGQ1267"/>
      <c r="AGR1267"/>
      <c r="AGS1267"/>
      <c r="AGT1267"/>
      <c r="AGU1267"/>
      <c r="AGV1267"/>
      <c r="AGW1267"/>
      <c r="AGX1267"/>
      <c r="AGY1267"/>
      <c r="AGZ1267"/>
      <c r="AHA1267"/>
      <c r="AHB1267"/>
      <c r="AHC1267"/>
      <c r="AHD1267"/>
      <c r="AHE1267"/>
      <c r="AHF1267"/>
      <c r="AHG1267"/>
      <c r="AHH1267"/>
      <c r="AHI1267"/>
      <c r="AHJ1267"/>
      <c r="AHK1267"/>
      <c r="AHL1267"/>
      <c r="AHM1267"/>
      <c r="AHN1267"/>
      <c r="AHO1267"/>
      <c r="AHP1267"/>
      <c r="AHQ1267"/>
      <c r="AHR1267"/>
      <c r="AHS1267"/>
      <c r="AHT1267"/>
      <c r="AHU1267"/>
      <c r="AHV1267"/>
      <c r="AHW1267"/>
      <c r="AHX1267"/>
      <c r="AHY1267"/>
      <c r="AHZ1267"/>
      <c r="AIA1267"/>
      <c r="AIB1267"/>
      <c r="AIC1267"/>
      <c r="AID1267"/>
      <c r="AIE1267"/>
      <c r="AIF1267"/>
      <c r="AIG1267"/>
      <c r="AIH1267"/>
      <c r="AII1267"/>
      <c r="AIJ1267"/>
      <c r="AIK1267"/>
      <c r="AIL1267"/>
      <c r="AIM1267"/>
      <c r="AIN1267"/>
      <c r="AIO1267"/>
      <c r="AIP1267"/>
      <c r="AIQ1267"/>
      <c r="AIR1267"/>
      <c r="AIS1267"/>
      <c r="AIT1267"/>
      <c r="AIU1267"/>
      <c r="AIV1267"/>
      <c r="AIW1267"/>
      <c r="AIX1267"/>
      <c r="AIY1267"/>
      <c r="AIZ1267"/>
      <c r="AJA1267"/>
      <c r="AJB1267"/>
      <c r="AJC1267"/>
      <c r="AJD1267"/>
      <c r="AJE1267"/>
      <c r="AJF1267"/>
      <c r="AJG1267"/>
      <c r="AJH1267"/>
      <c r="AJI1267"/>
      <c r="AJJ1267"/>
      <c r="AJK1267"/>
      <c r="AJL1267"/>
      <c r="AJM1267"/>
      <c r="AJN1267"/>
      <c r="AJO1267"/>
      <c r="AJP1267"/>
      <c r="AJQ1267"/>
      <c r="AJR1267"/>
      <c r="AJS1267"/>
      <c r="AJT1267"/>
      <c r="AJU1267"/>
      <c r="AJV1267"/>
      <c r="AJW1267"/>
      <c r="AJX1267"/>
      <c r="AJY1267"/>
      <c r="AJZ1267"/>
      <c r="AKA1267"/>
      <c r="AKB1267"/>
      <c r="AKC1267"/>
      <c r="AKD1267"/>
      <c r="AKE1267"/>
      <c r="AKF1267"/>
      <c r="AKG1267"/>
      <c r="AKH1267"/>
      <c r="AKI1267"/>
      <c r="AKJ1267"/>
      <c r="AKK1267"/>
      <c r="AKL1267"/>
      <c r="AKM1267"/>
      <c r="AKN1267"/>
      <c r="AKO1267"/>
      <c r="AKP1267"/>
      <c r="AKQ1267"/>
      <c r="AKR1267"/>
      <c r="AKS1267"/>
      <c r="AKT1267"/>
      <c r="AKU1267"/>
      <c r="AKV1267"/>
      <c r="AKW1267"/>
      <c r="AKX1267"/>
      <c r="AKY1267"/>
      <c r="AKZ1267"/>
      <c r="ALA1267"/>
      <c r="ALB1267"/>
      <c r="ALC1267"/>
      <c r="ALD1267"/>
      <c r="ALE1267"/>
      <c r="ALF1267"/>
      <c r="ALG1267"/>
      <c r="ALH1267"/>
      <c r="ALI1267"/>
      <c r="ALJ1267"/>
      <c r="ALK1267"/>
      <c r="ALL1267"/>
      <c r="ALM1267"/>
      <c r="ALN1267"/>
      <c r="ALO1267"/>
      <c r="ALP1267"/>
      <c r="ALQ1267"/>
      <c r="ALR1267"/>
      <c r="ALS1267"/>
      <c r="ALT1267"/>
    </row>
    <row r="1268" spans="1:1008" x14ac:dyDescent="0.15">
      <c r="A1268" t="s">
        <v>4009</v>
      </c>
      <c r="B1268" s="8" t="s">
        <v>4075</v>
      </c>
      <c r="C1268" t="s">
        <v>4009</v>
      </c>
      <c r="D1268" s="8" t="s">
        <v>15</v>
      </c>
      <c r="E1268" t="s">
        <v>4009</v>
      </c>
      <c r="F1268" t="s">
        <v>4010</v>
      </c>
      <c r="G1268">
        <v>580</v>
      </c>
      <c r="H1268"/>
      <c r="I1268"/>
      <c r="J1268"/>
      <c r="K1268"/>
      <c r="L1268"/>
      <c r="M1268"/>
      <c r="N1268"/>
      <c r="O1268"/>
      <c r="P1268"/>
      <c r="Q1268"/>
      <c r="R1268"/>
      <c r="S1268"/>
      <c r="T1268"/>
      <c r="U1268"/>
      <c r="V1268"/>
      <c r="W1268"/>
      <c r="X1268"/>
      <c r="Y1268"/>
      <c r="Z1268"/>
      <c r="AA1268"/>
      <c r="AB1268"/>
      <c r="AC1268"/>
      <c r="AD1268"/>
      <c r="AE1268"/>
      <c r="AF1268"/>
      <c r="AG1268"/>
      <c r="AH1268"/>
      <c r="AI1268"/>
      <c r="AJ1268"/>
      <c r="AK1268"/>
      <c r="AL1268"/>
      <c r="AM1268"/>
      <c r="AN1268"/>
      <c r="AO1268"/>
      <c r="AP1268"/>
      <c r="AQ1268"/>
      <c r="AR1268"/>
      <c r="AS1268"/>
      <c r="AT1268"/>
      <c r="AU1268"/>
      <c r="AV1268"/>
      <c r="AW1268"/>
      <c r="AX1268"/>
      <c r="AY1268"/>
      <c r="AZ1268"/>
      <c r="BA1268"/>
      <c r="BB1268"/>
      <c r="BC1268"/>
      <c r="BD1268"/>
      <c r="BE1268"/>
      <c r="BF1268"/>
      <c r="BG1268"/>
      <c r="BH1268"/>
      <c r="BI1268"/>
      <c r="BJ1268"/>
      <c r="BK1268"/>
      <c r="BL1268"/>
      <c r="BM1268"/>
      <c r="BN1268"/>
      <c r="BO1268"/>
      <c r="BP1268"/>
      <c r="BQ1268"/>
      <c r="BR1268"/>
      <c r="BS1268"/>
      <c r="BT1268"/>
      <c r="BU1268"/>
      <c r="BV1268"/>
      <c r="BW1268"/>
      <c r="BX1268"/>
      <c r="BY1268"/>
      <c r="BZ1268"/>
      <c r="CA1268"/>
      <c r="CB1268"/>
      <c r="CC1268"/>
      <c r="CD1268"/>
      <c r="CE1268"/>
      <c r="CF1268"/>
      <c r="CG1268"/>
      <c r="CH1268"/>
      <c r="CI1268"/>
      <c r="CJ1268"/>
      <c r="CK1268"/>
      <c r="CL1268"/>
      <c r="CM1268"/>
      <c r="CN1268"/>
      <c r="CO1268"/>
      <c r="CP1268"/>
      <c r="CQ1268"/>
      <c r="CR1268"/>
      <c r="CS1268"/>
      <c r="CT1268"/>
      <c r="CU1268"/>
      <c r="CV1268"/>
      <c r="CW1268"/>
      <c r="CX1268"/>
      <c r="CY1268"/>
      <c r="CZ1268"/>
      <c r="DA1268"/>
      <c r="DB1268"/>
      <c r="DC1268"/>
      <c r="DD1268"/>
      <c r="DE1268"/>
      <c r="DF1268"/>
      <c r="DG1268"/>
      <c r="DH1268"/>
      <c r="DI1268"/>
      <c r="DJ1268"/>
      <c r="DK1268"/>
      <c r="DL1268"/>
      <c r="DM1268"/>
      <c r="DN1268"/>
      <c r="DO1268"/>
      <c r="DP1268"/>
      <c r="DQ1268"/>
      <c r="DR1268"/>
      <c r="DS1268"/>
      <c r="DT1268"/>
      <c r="DU1268"/>
      <c r="DV1268"/>
      <c r="DW1268"/>
      <c r="DX1268"/>
      <c r="DY1268"/>
      <c r="DZ1268"/>
      <c r="EA1268"/>
      <c r="EB1268"/>
      <c r="EC1268"/>
      <c r="ED1268"/>
      <c r="EE1268"/>
      <c r="EF1268"/>
      <c r="EG1268"/>
      <c r="EH1268"/>
      <c r="EI1268"/>
      <c r="EJ1268"/>
      <c r="EK1268"/>
      <c r="EL1268"/>
      <c r="EM1268"/>
      <c r="EN1268"/>
      <c r="EO1268"/>
      <c r="EP1268"/>
      <c r="EQ1268"/>
      <c r="ER1268"/>
      <c r="ES1268"/>
      <c r="ET1268"/>
      <c r="EU1268"/>
      <c r="EV1268"/>
      <c r="EW1268"/>
      <c r="EX1268"/>
      <c r="EY1268"/>
      <c r="EZ1268"/>
      <c r="FA1268"/>
      <c r="FB1268"/>
      <c r="FC1268"/>
      <c r="FD1268"/>
      <c r="FE1268"/>
      <c r="FF1268"/>
      <c r="FG1268"/>
      <c r="FH1268"/>
      <c r="FI1268"/>
      <c r="FJ1268"/>
      <c r="FK1268"/>
      <c r="FL1268"/>
      <c r="FM1268"/>
      <c r="FN1268"/>
      <c r="FO1268"/>
      <c r="FP1268"/>
      <c r="FQ1268"/>
      <c r="FR1268"/>
      <c r="FS1268"/>
      <c r="FT1268"/>
      <c r="FU1268"/>
      <c r="FV1268"/>
      <c r="FW1268"/>
      <c r="FX1268"/>
      <c r="FY1268"/>
      <c r="FZ1268"/>
      <c r="GA1268"/>
      <c r="GB1268"/>
      <c r="GC1268"/>
      <c r="GD1268"/>
      <c r="GE1268"/>
      <c r="GF1268"/>
      <c r="GG1268"/>
      <c r="GH1268"/>
      <c r="GI1268"/>
      <c r="GJ1268"/>
      <c r="GK1268"/>
      <c r="GL1268"/>
      <c r="GM1268"/>
      <c r="GN1268"/>
      <c r="GO1268"/>
      <c r="GP1268"/>
      <c r="GQ1268"/>
      <c r="GR1268"/>
      <c r="GS1268"/>
      <c r="GT1268"/>
      <c r="GU1268"/>
      <c r="GV1268"/>
      <c r="GW1268"/>
      <c r="GX1268"/>
      <c r="GY1268"/>
      <c r="GZ1268"/>
      <c r="HA1268"/>
      <c r="HB1268"/>
      <c r="HC1268"/>
      <c r="HD1268"/>
      <c r="HE1268"/>
      <c r="HF1268"/>
      <c r="HG1268"/>
      <c r="HH1268"/>
      <c r="HI1268"/>
      <c r="HJ1268"/>
      <c r="HK1268"/>
      <c r="HL1268"/>
      <c r="HM1268"/>
      <c r="HN1268"/>
      <c r="HO1268"/>
      <c r="HP1268"/>
      <c r="HQ1268"/>
      <c r="HR1268"/>
      <c r="HS1268"/>
      <c r="HT1268"/>
      <c r="HU1268"/>
      <c r="HV1268"/>
      <c r="HW1268"/>
      <c r="HX1268"/>
      <c r="HY1268"/>
      <c r="HZ1268"/>
      <c r="IA1268"/>
      <c r="IB1268"/>
      <c r="IC1268"/>
      <c r="ID1268"/>
      <c r="IE1268"/>
      <c r="IF1268"/>
      <c r="IG1268"/>
      <c r="IH1268"/>
      <c r="II1268"/>
      <c r="IJ1268"/>
      <c r="IK1268"/>
      <c r="IL1268"/>
      <c r="IM1268"/>
      <c r="IN1268"/>
      <c r="IO1268"/>
      <c r="IP1268"/>
      <c r="IQ1268"/>
      <c r="IR1268"/>
      <c r="IS1268"/>
      <c r="IT1268"/>
      <c r="IU1268"/>
      <c r="IV1268"/>
      <c r="IW1268"/>
      <c r="IX1268"/>
      <c r="IY1268"/>
      <c r="IZ1268"/>
      <c r="JA1268"/>
      <c r="JB1268"/>
      <c r="JC1268"/>
      <c r="JD1268"/>
      <c r="JE1268"/>
      <c r="JF1268"/>
      <c r="JG1268"/>
      <c r="JH1268"/>
      <c r="JI1268"/>
      <c r="JJ1268"/>
      <c r="JK1268"/>
      <c r="JL1268"/>
      <c r="JM1268"/>
      <c r="JN1268"/>
      <c r="JO1268"/>
      <c r="JP1268"/>
      <c r="JQ1268"/>
      <c r="JR1268"/>
      <c r="JS1268"/>
      <c r="JT1268"/>
      <c r="JU1268"/>
      <c r="JV1268"/>
      <c r="JW1268"/>
      <c r="JX1268"/>
      <c r="JY1268"/>
      <c r="JZ1268"/>
      <c r="KA1268"/>
      <c r="KB1268"/>
      <c r="KC1268"/>
      <c r="KD1268"/>
      <c r="KE1268"/>
      <c r="KF1268"/>
      <c r="KG1268"/>
      <c r="KH1268"/>
      <c r="KI1268"/>
      <c r="KJ1268"/>
      <c r="KK1268"/>
      <c r="KL1268"/>
      <c r="KM1268"/>
      <c r="KN1268"/>
      <c r="KO1268"/>
      <c r="KP1268"/>
      <c r="KQ1268"/>
      <c r="KR1268"/>
      <c r="KS1268"/>
      <c r="KT1268"/>
      <c r="KU1268"/>
      <c r="KV1268"/>
      <c r="KW1268"/>
      <c r="KX1268"/>
      <c r="KY1268"/>
      <c r="KZ1268"/>
      <c r="LA1268"/>
      <c r="LB1268"/>
      <c r="LC1268"/>
      <c r="LD1268"/>
      <c r="LE1268"/>
      <c r="LF1268"/>
      <c r="LG1268"/>
      <c r="LH1268"/>
      <c r="LI1268"/>
      <c r="LJ1268"/>
      <c r="LK1268"/>
      <c r="LL1268"/>
      <c r="LM1268"/>
      <c r="LN1268"/>
      <c r="LO1268"/>
      <c r="LP1268"/>
      <c r="LQ1268"/>
      <c r="LR1268"/>
      <c r="LS1268"/>
      <c r="LT1268"/>
      <c r="LU1268"/>
      <c r="LV1268"/>
      <c r="LW1268"/>
      <c r="LX1268"/>
      <c r="LY1268"/>
      <c r="LZ1268"/>
      <c r="MA1268"/>
      <c r="MB1268"/>
      <c r="MC1268"/>
      <c r="MD1268"/>
      <c r="ME1268"/>
      <c r="MF1268"/>
      <c r="MG1268"/>
      <c r="MH1268"/>
      <c r="MI1268"/>
      <c r="MJ1268"/>
      <c r="MK1268"/>
      <c r="ML1268"/>
      <c r="MM1268"/>
      <c r="MN1268"/>
      <c r="MO1268"/>
      <c r="MP1268"/>
      <c r="MQ1268"/>
      <c r="MR1268"/>
      <c r="MS1268"/>
      <c r="MT1268"/>
      <c r="MU1268"/>
      <c r="MV1268"/>
      <c r="MW1268"/>
      <c r="MX1268"/>
      <c r="MY1268"/>
      <c r="MZ1268"/>
      <c r="NA1268"/>
      <c r="NB1268"/>
      <c r="NC1268"/>
      <c r="ND1268"/>
      <c r="NE1268"/>
      <c r="NF1268"/>
      <c r="NG1268"/>
      <c r="NH1268"/>
      <c r="NI1268"/>
      <c r="NJ1268"/>
      <c r="NK1268"/>
      <c r="NL1268"/>
      <c r="NM1268"/>
      <c r="NN1268"/>
      <c r="NO1268"/>
      <c r="NP1268"/>
      <c r="NQ1268"/>
      <c r="NR1268"/>
      <c r="NS1268"/>
      <c r="NT1268"/>
      <c r="NU1268"/>
      <c r="NV1268"/>
      <c r="NW1268"/>
      <c r="NX1268"/>
      <c r="NY1268"/>
      <c r="NZ1268"/>
      <c r="OA1268"/>
      <c r="OB1268"/>
      <c r="OC1268"/>
      <c r="OD1268"/>
      <c r="OE1268"/>
      <c r="OF1268"/>
      <c r="OG1268"/>
      <c r="OH1268"/>
      <c r="OI1268"/>
      <c r="OJ1268"/>
      <c r="OK1268"/>
      <c r="OL1268"/>
      <c r="OM1268"/>
      <c r="ON1268"/>
      <c r="OO1268"/>
      <c r="OP1268"/>
      <c r="OQ1268"/>
      <c r="OR1268"/>
      <c r="OS1268"/>
      <c r="OT1268"/>
      <c r="OU1268"/>
      <c r="OV1268"/>
      <c r="OW1268"/>
      <c r="OX1268"/>
      <c r="OY1268"/>
      <c r="OZ1268"/>
      <c r="PA1268"/>
      <c r="PB1268"/>
      <c r="PC1268"/>
      <c r="PD1268"/>
      <c r="PE1268"/>
      <c r="PF1268"/>
      <c r="PG1268"/>
      <c r="PH1268"/>
      <c r="PI1268"/>
      <c r="PJ1268"/>
      <c r="PK1268"/>
      <c r="PL1268"/>
      <c r="PM1268"/>
      <c r="PN1268"/>
      <c r="PO1268"/>
      <c r="PP1268"/>
      <c r="PQ1268"/>
      <c r="PR1268"/>
      <c r="PS1268"/>
      <c r="PT1268"/>
      <c r="PU1268"/>
      <c r="PV1268"/>
      <c r="PW1268"/>
      <c r="PX1268"/>
      <c r="PY1268"/>
      <c r="PZ1268"/>
      <c r="QA1268"/>
      <c r="QB1268"/>
      <c r="QC1268"/>
      <c r="QD1268"/>
      <c r="QE1268"/>
      <c r="QF1268"/>
      <c r="QG1268"/>
      <c r="QH1268"/>
      <c r="QI1268"/>
      <c r="QJ1268"/>
      <c r="QK1268"/>
      <c r="QL1268"/>
      <c r="QM1268"/>
      <c r="QN1268"/>
      <c r="QO1268"/>
      <c r="QP1268"/>
      <c r="QQ1268"/>
      <c r="QR1268"/>
      <c r="QS1268"/>
      <c r="QT1268"/>
      <c r="QU1268"/>
      <c r="QV1268"/>
      <c r="QW1268"/>
      <c r="QX1268"/>
      <c r="QY1268"/>
      <c r="QZ1268"/>
      <c r="RA1268"/>
      <c r="RB1268"/>
      <c r="RC1268"/>
      <c r="RD1268"/>
      <c r="RE1268"/>
      <c r="RF1268"/>
      <c r="RG1268"/>
      <c r="RH1268"/>
      <c r="RI1268"/>
      <c r="RJ1268"/>
      <c r="RK1268"/>
      <c r="RL1268"/>
      <c r="RM1268"/>
      <c r="RN1268"/>
      <c r="RO1268"/>
      <c r="RP1268"/>
      <c r="RQ1268"/>
      <c r="RR1268"/>
      <c r="RS1268"/>
      <c r="RT1268"/>
      <c r="RU1268"/>
      <c r="RV1268"/>
      <c r="RW1268"/>
      <c r="RX1268"/>
      <c r="RY1268"/>
      <c r="RZ1268"/>
      <c r="SA1268"/>
      <c r="SB1268"/>
      <c r="SC1268"/>
      <c r="SD1268"/>
      <c r="SE1268"/>
      <c r="SF1268"/>
      <c r="SG1268"/>
      <c r="SH1268"/>
      <c r="SI1268"/>
      <c r="SJ1268"/>
      <c r="SK1268"/>
      <c r="SL1268"/>
      <c r="SM1268"/>
      <c r="SN1268"/>
      <c r="SO1268"/>
      <c r="SP1268"/>
      <c r="SQ1268"/>
      <c r="SR1268"/>
      <c r="SS1268"/>
      <c r="ST1268"/>
      <c r="SU1268"/>
      <c r="SV1268"/>
      <c r="SW1268"/>
      <c r="SX1268"/>
      <c r="SY1268"/>
      <c r="SZ1268"/>
      <c r="TA1268"/>
      <c r="TB1268"/>
      <c r="TC1268"/>
      <c r="TD1268"/>
      <c r="TE1268"/>
      <c r="TF1268"/>
      <c r="TG1268"/>
      <c r="TH1268"/>
      <c r="TI1268"/>
      <c r="TJ1268"/>
      <c r="TK1268"/>
      <c r="TL1268"/>
      <c r="TM1268"/>
      <c r="TN1268"/>
      <c r="TO1268"/>
      <c r="TP1268"/>
      <c r="TQ1268"/>
      <c r="TR1268"/>
      <c r="TS1268"/>
      <c r="TT1268"/>
      <c r="TU1268"/>
      <c r="TV1268"/>
      <c r="TW1268"/>
      <c r="TX1268"/>
      <c r="TY1268"/>
      <c r="TZ1268"/>
      <c r="UA1268"/>
      <c r="UB1268"/>
      <c r="UC1268"/>
      <c r="UD1268"/>
      <c r="UE1268"/>
      <c r="UF1268"/>
      <c r="UG1268"/>
      <c r="UH1268"/>
      <c r="UI1268"/>
      <c r="UJ1268"/>
      <c r="UK1268"/>
      <c r="UL1268"/>
      <c r="UM1268"/>
      <c r="UN1268"/>
      <c r="UO1268"/>
      <c r="UP1268"/>
      <c r="UQ1268"/>
      <c r="UR1268"/>
      <c r="US1268"/>
      <c r="UT1268"/>
      <c r="UU1268"/>
      <c r="UV1268"/>
      <c r="UW1268"/>
      <c r="UX1268"/>
      <c r="UY1268"/>
      <c r="UZ1268"/>
      <c r="VA1268"/>
      <c r="VB1268"/>
      <c r="VC1268"/>
      <c r="VD1268"/>
      <c r="VE1268"/>
      <c r="VF1268"/>
      <c r="VG1268"/>
      <c r="VH1268"/>
      <c r="VI1268"/>
      <c r="VJ1268"/>
      <c r="VK1268"/>
      <c r="VL1268"/>
      <c r="VM1268"/>
      <c r="VN1268"/>
      <c r="VO1268"/>
      <c r="VP1268"/>
      <c r="VQ1268"/>
      <c r="VR1268"/>
      <c r="VS1268"/>
      <c r="VT1268"/>
      <c r="VU1268"/>
      <c r="VV1268"/>
      <c r="VW1268"/>
      <c r="VX1268"/>
      <c r="VY1268"/>
      <c r="VZ1268"/>
      <c r="WA1268"/>
      <c r="WB1268"/>
      <c r="WC1268"/>
      <c r="WD1268"/>
      <c r="WE1268"/>
      <c r="WF1268"/>
      <c r="WG1268"/>
      <c r="WH1268"/>
      <c r="WI1268"/>
      <c r="WJ1268"/>
      <c r="WK1268"/>
      <c r="WL1268"/>
      <c r="WM1268"/>
      <c r="WN1268"/>
      <c r="WO1268"/>
      <c r="WP1268"/>
      <c r="WQ1268"/>
      <c r="WR1268"/>
      <c r="WS1268"/>
      <c r="WT1268"/>
      <c r="WU1268"/>
      <c r="WV1268"/>
      <c r="WW1268"/>
      <c r="WX1268"/>
      <c r="WY1268"/>
      <c r="WZ1268"/>
      <c r="XA1268"/>
      <c r="XB1268"/>
      <c r="XC1268"/>
      <c r="XD1268"/>
      <c r="XE1268"/>
      <c r="XF1268"/>
      <c r="XG1268"/>
      <c r="XH1268"/>
      <c r="XI1268"/>
      <c r="XJ1268"/>
      <c r="XK1268"/>
      <c r="XL1268"/>
      <c r="XM1268"/>
      <c r="XN1268"/>
      <c r="XO1268"/>
      <c r="XP1268"/>
      <c r="XQ1268"/>
      <c r="XR1268"/>
      <c r="XS1268"/>
      <c r="XT1268"/>
      <c r="XU1268"/>
      <c r="XV1268"/>
      <c r="XW1268"/>
      <c r="XX1268"/>
      <c r="XY1268"/>
      <c r="XZ1268"/>
      <c r="YA1268"/>
      <c r="YB1268"/>
      <c r="YC1268"/>
      <c r="YD1268"/>
      <c r="YE1268"/>
      <c r="YF1268"/>
      <c r="YG1268"/>
      <c r="YH1268"/>
      <c r="YI1268"/>
      <c r="YJ1268"/>
      <c r="YK1268"/>
      <c r="YL1268"/>
      <c r="YM1268"/>
      <c r="YN1268"/>
      <c r="YO1268"/>
      <c r="YP1268"/>
      <c r="YQ1268"/>
      <c r="YR1268"/>
      <c r="YS1268"/>
      <c r="YT1268"/>
      <c r="YU1268"/>
      <c r="YV1268"/>
      <c r="YW1268"/>
      <c r="YX1268"/>
      <c r="YY1268"/>
      <c r="YZ1268"/>
      <c r="ZA1268"/>
      <c r="ZB1268"/>
      <c r="ZC1268"/>
      <c r="ZD1268"/>
      <c r="ZE1268"/>
      <c r="ZF1268"/>
      <c r="ZG1268"/>
      <c r="ZH1268"/>
      <c r="ZI1268"/>
      <c r="ZJ1268"/>
      <c r="ZK1268"/>
      <c r="ZL1268"/>
      <c r="ZM1268"/>
      <c r="ZN1268"/>
      <c r="ZO1268"/>
      <c r="ZP1268"/>
      <c r="ZQ1268"/>
      <c r="ZR1268"/>
      <c r="ZS1268"/>
      <c r="ZT1268"/>
      <c r="ZU1268"/>
      <c r="ZV1268"/>
      <c r="ZW1268"/>
      <c r="ZX1268"/>
      <c r="ZY1268"/>
      <c r="ZZ1268"/>
      <c r="AAA1268"/>
      <c r="AAB1268"/>
      <c r="AAC1268"/>
      <c r="AAD1268"/>
      <c r="AAE1268"/>
      <c r="AAF1268"/>
      <c r="AAG1268"/>
      <c r="AAH1268"/>
      <c r="AAI1268"/>
      <c r="AAJ1268"/>
      <c r="AAK1268"/>
      <c r="AAL1268"/>
      <c r="AAM1268"/>
      <c r="AAN1268"/>
      <c r="AAO1268"/>
      <c r="AAP1268"/>
      <c r="AAQ1268"/>
      <c r="AAR1268"/>
      <c r="AAS1268"/>
      <c r="AAT1268"/>
      <c r="AAU1268"/>
      <c r="AAV1268"/>
      <c r="AAW1268"/>
      <c r="AAX1268"/>
      <c r="AAY1268"/>
      <c r="AAZ1268"/>
      <c r="ABA1268"/>
      <c r="ABB1268"/>
      <c r="ABC1268"/>
      <c r="ABD1268"/>
      <c r="ABE1268"/>
      <c r="ABF1268"/>
      <c r="ABG1268"/>
      <c r="ABH1268"/>
      <c r="ABI1268"/>
      <c r="ABJ1268"/>
      <c r="ABK1268"/>
      <c r="ABL1268"/>
      <c r="ABM1268"/>
      <c r="ABN1268"/>
      <c r="ABO1268"/>
      <c r="ABP1268"/>
      <c r="ABQ1268"/>
      <c r="ABR1268"/>
      <c r="ABS1268"/>
      <c r="ABT1268"/>
      <c r="ABU1268"/>
      <c r="ABV1268"/>
      <c r="ABW1268"/>
      <c r="ABX1268"/>
      <c r="ABY1268"/>
      <c r="ABZ1268"/>
      <c r="ACA1268"/>
      <c r="ACB1268"/>
      <c r="ACC1268"/>
      <c r="ACD1268"/>
      <c r="ACE1268"/>
      <c r="ACF1268"/>
      <c r="ACG1268"/>
      <c r="ACH1268"/>
      <c r="ACI1268"/>
      <c r="ACJ1268"/>
      <c r="ACK1268"/>
      <c r="ACL1268"/>
      <c r="ACM1268"/>
      <c r="ACN1268"/>
      <c r="ACO1268"/>
      <c r="ACP1268"/>
      <c r="ACQ1268"/>
      <c r="ACR1268"/>
      <c r="ACS1268"/>
      <c r="ACT1268"/>
      <c r="ACU1268"/>
      <c r="ACV1268"/>
      <c r="ACW1268"/>
      <c r="ACX1268"/>
      <c r="ACY1268"/>
      <c r="ACZ1268"/>
      <c r="ADA1268"/>
      <c r="ADB1268"/>
      <c r="ADC1268"/>
      <c r="ADD1268"/>
      <c r="ADE1268"/>
      <c r="ADF1268"/>
      <c r="ADG1268"/>
      <c r="ADH1268"/>
      <c r="ADI1268"/>
      <c r="ADJ1268"/>
      <c r="ADK1268"/>
      <c r="ADL1268"/>
      <c r="ADM1268"/>
      <c r="ADN1268"/>
      <c r="ADO1268"/>
      <c r="ADP1268"/>
      <c r="ADQ1268"/>
      <c r="ADR1268"/>
      <c r="ADS1268"/>
      <c r="ADT1268"/>
      <c r="ADU1268"/>
      <c r="ADV1268"/>
      <c r="ADW1268"/>
      <c r="ADX1268"/>
      <c r="ADY1268"/>
      <c r="ADZ1268"/>
      <c r="AEA1268"/>
      <c r="AEB1268"/>
      <c r="AEC1268"/>
      <c r="AED1268"/>
      <c r="AEE1268"/>
      <c r="AEF1268"/>
      <c r="AEG1268"/>
      <c r="AEH1268"/>
      <c r="AEI1268"/>
      <c r="AEJ1268"/>
      <c r="AEK1268"/>
      <c r="AEL1268"/>
      <c r="AEM1268"/>
      <c r="AEN1268"/>
      <c r="AEO1268"/>
      <c r="AEP1268"/>
      <c r="AEQ1268"/>
      <c r="AER1268"/>
      <c r="AES1268"/>
      <c r="AET1268"/>
      <c r="AEU1268"/>
      <c r="AEV1268"/>
      <c r="AEW1268"/>
      <c r="AEX1268"/>
      <c r="AEY1268"/>
      <c r="AEZ1268"/>
      <c r="AFA1268"/>
      <c r="AFB1268"/>
      <c r="AFC1268"/>
      <c r="AFD1268"/>
      <c r="AFE1268"/>
      <c r="AFF1268"/>
      <c r="AFG1268"/>
      <c r="AFH1268"/>
      <c r="AFI1268"/>
      <c r="AFJ1268"/>
      <c r="AFK1268"/>
      <c r="AFL1268"/>
      <c r="AFM1268"/>
      <c r="AFN1268"/>
      <c r="AFO1268"/>
      <c r="AFP1268"/>
      <c r="AFQ1268"/>
      <c r="AFR1268"/>
      <c r="AFS1268"/>
      <c r="AFT1268"/>
      <c r="AFU1268"/>
      <c r="AFV1268"/>
      <c r="AFW1268"/>
      <c r="AFX1268"/>
      <c r="AFY1268"/>
      <c r="AFZ1268"/>
      <c r="AGA1268"/>
      <c r="AGB1268"/>
      <c r="AGC1268"/>
      <c r="AGD1268"/>
      <c r="AGE1268"/>
      <c r="AGF1268"/>
      <c r="AGG1268"/>
      <c r="AGH1268"/>
      <c r="AGI1268"/>
      <c r="AGJ1268"/>
      <c r="AGK1268"/>
      <c r="AGL1268"/>
      <c r="AGM1268"/>
      <c r="AGN1268"/>
      <c r="AGO1268"/>
      <c r="AGP1268"/>
      <c r="AGQ1268"/>
      <c r="AGR1268"/>
      <c r="AGS1268"/>
      <c r="AGT1268"/>
      <c r="AGU1268"/>
      <c r="AGV1268"/>
      <c r="AGW1268"/>
      <c r="AGX1268"/>
      <c r="AGY1268"/>
      <c r="AGZ1268"/>
      <c r="AHA1268"/>
      <c r="AHB1268"/>
      <c r="AHC1268"/>
      <c r="AHD1268"/>
      <c r="AHE1268"/>
      <c r="AHF1268"/>
      <c r="AHG1268"/>
      <c r="AHH1268"/>
      <c r="AHI1268"/>
      <c r="AHJ1268"/>
      <c r="AHK1268"/>
      <c r="AHL1268"/>
      <c r="AHM1268"/>
      <c r="AHN1268"/>
      <c r="AHO1268"/>
      <c r="AHP1268"/>
      <c r="AHQ1268"/>
      <c r="AHR1268"/>
      <c r="AHS1268"/>
      <c r="AHT1268"/>
      <c r="AHU1268"/>
      <c r="AHV1268"/>
      <c r="AHW1268"/>
      <c r="AHX1268"/>
      <c r="AHY1268"/>
      <c r="AHZ1268"/>
      <c r="AIA1268"/>
      <c r="AIB1268"/>
      <c r="AIC1268"/>
      <c r="AID1268"/>
      <c r="AIE1268"/>
      <c r="AIF1268"/>
      <c r="AIG1268"/>
      <c r="AIH1268"/>
      <c r="AII1268"/>
      <c r="AIJ1268"/>
      <c r="AIK1268"/>
      <c r="AIL1268"/>
      <c r="AIM1268"/>
      <c r="AIN1268"/>
      <c r="AIO1268"/>
      <c r="AIP1268"/>
      <c r="AIQ1268"/>
      <c r="AIR1268"/>
      <c r="AIS1268"/>
      <c r="AIT1268"/>
      <c r="AIU1268"/>
      <c r="AIV1268"/>
      <c r="AIW1268"/>
      <c r="AIX1268"/>
      <c r="AIY1268"/>
      <c r="AIZ1268"/>
      <c r="AJA1268"/>
      <c r="AJB1268"/>
      <c r="AJC1268"/>
      <c r="AJD1268"/>
      <c r="AJE1268"/>
      <c r="AJF1268"/>
      <c r="AJG1268"/>
      <c r="AJH1268"/>
      <c r="AJI1268"/>
      <c r="AJJ1268"/>
      <c r="AJK1268"/>
      <c r="AJL1268"/>
      <c r="AJM1268"/>
      <c r="AJN1268"/>
      <c r="AJO1268"/>
      <c r="AJP1268"/>
      <c r="AJQ1268"/>
      <c r="AJR1268"/>
      <c r="AJS1268"/>
      <c r="AJT1268"/>
      <c r="AJU1268"/>
      <c r="AJV1268"/>
      <c r="AJW1268"/>
      <c r="AJX1268"/>
      <c r="AJY1268"/>
      <c r="AJZ1268"/>
      <c r="AKA1268"/>
      <c r="AKB1268"/>
      <c r="AKC1268"/>
      <c r="AKD1268"/>
      <c r="AKE1268"/>
      <c r="AKF1268"/>
      <c r="AKG1268"/>
      <c r="AKH1268"/>
      <c r="AKI1268"/>
      <c r="AKJ1268"/>
      <c r="AKK1268"/>
      <c r="AKL1268"/>
      <c r="AKM1268"/>
      <c r="AKN1268"/>
      <c r="AKO1268"/>
      <c r="AKP1268"/>
      <c r="AKQ1268"/>
      <c r="AKR1268"/>
      <c r="AKS1268"/>
      <c r="AKT1268"/>
      <c r="AKU1268"/>
      <c r="AKV1268"/>
      <c r="AKW1268"/>
      <c r="AKX1268"/>
      <c r="AKY1268"/>
      <c r="AKZ1268"/>
      <c r="ALA1268"/>
      <c r="ALB1268"/>
      <c r="ALC1268"/>
      <c r="ALD1268"/>
      <c r="ALE1268"/>
      <c r="ALF1268"/>
      <c r="ALG1268"/>
      <c r="ALH1268"/>
      <c r="ALI1268"/>
      <c r="ALJ1268"/>
      <c r="ALK1268"/>
      <c r="ALL1268"/>
      <c r="ALM1268"/>
      <c r="ALN1268"/>
      <c r="ALO1268"/>
      <c r="ALP1268"/>
      <c r="ALQ1268"/>
      <c r="ALR1268"/>
      <c r="ALS1268"/>
      <c r="ALT1268"/>
    </row>
    <row r="1269" spans="1:1008" x14ac:dyDescent="0.15">
      <c r="A1269" t="s">
        <v>4011</v>
      </c>
      <c r="B1269" s="8" t="s">
        <v>4075</v>
      </c>
      <c r="C1269" t="s">
        <v>4011</v>
      </c>
      <c r="D1269" s="8" t="s">
        <v>15</v>
      </c>
      <c r="E1269" t="s">
        <v>4011</v>
      </c>
      <c r="F1269" t="s">
        <v>4012</v>
      </c>
      <c r="G1269">
        <v>500</v>
      </c>
      <c r="H1269"/>
      <c r="I1269"/>
      <c r="J1269"/>
      <c r="K1269"/>
      <c r="L1269"/>
      <c r="M1269"/>
      <c r="N1269"/>
      <c r="O1269"/>
      <c r="P1269"/>
      <c r="Q1269"/>
      <c r="R1269"/>
      <c r="S1269"/>
      <c r="T1269"/>
      <c r="U1269"/>
      <c r="V1269"/>
      <c r="W1269"/>
      <c r="X1269"/>
      <c r="Y1269"/>
      <c r="Z1269"/>
      <c r="AA1269"/>
      <c r="AB1269"/>
      <c r="AC1269"/>
      <c r="AD1269"/>
      <c r="AE1269"/>
      <c r="AF1269"/>
      <c r="AG1269"/>
      <c r="AH1269"/>
      <c r="AI1269"/>
      <c r="AJ1269"/>
      <c r="AK1269"/>
      <c r="AL1269"/>
      <c r="AM1269"/>
      <c r="AN1269"/>
      <c r="AO1269"/>
      <c r="AP1269"/>
      <c r="AQ1269"/>
      <c r="AR1269"/>
      <c r="AS1269"/>
      <c r="AT1269"/>
      <c r="AU1269"/>
      <c r="AV1269"/>
      <c r="AW1269"/>
      <c r="AX1269"/>
      <c r="AY1269"/>
      <c r="AZ1269"/>
      <c r="BA1269"/>
      <c r="BB1269"/>
      <c r="BC1269"/>
      <c r="BD1269"/>
      <c r="BE1269"/>
      <c r="BF1269"/>
      <c r="BG1269"/>
      <c r="BH1269"/>
      <c r="BI1269"/>
      <c r="BJ1269"/>
      <c r="BK1269"/>
      <c r="BL1269"/>
      <c r="BM1269"/>
      <c r="BN1269"/>
      <c r="BO1269"/>
      <c r="BP1269"/>
      <c r="BQ1269"/>
      <c r="BR1269"/>
      <c r="BS1269"/>
      <c r="BT1269"/>
      <c r="BU1269"/>
      <c r="BV1269"/>
      <c r="BW1269"/>
      <c r="BX1269"/>
      <c r="BY1269"/>
      <c r="BZ1269"/>
      <c r="CA1269"/>
      <c r="CB1269"/>
      <c r="CC1269"/>
      <c r="CD1269"/>
      <c r="CE1269"/>
      <c r="CF1269"/>
      <c r="CG1269"/>
      <c r="CH1269"/>
      <c r="CI1269"/>
      <c r="CJ1269"/>
      <c r="CK1269"/>
      <c r="CL1269"/>
      <c r="CM1269"/>
      <c r="CN1269"/>
      <c r="CO1269"/>
      <c r="CP1269"/>
      <c r="CQ1269"/>
      <c r="CR1269"/>
      <c r="CS1269"/>
      <c r="CT1269"/>
      <c r="CU1269"/>
      <c r="CV1269"/>
      <c r="CW1269"/>
      <c r="CX1269"/>
      <c r="CY1269"/>
      <c r="CZ1269"/>
      <c r="DA1269"/>
      <c r="DB1269"/>
      <c r="DC1269"/>
      <c r="DD1269"/>
      <c r="DE1269"/>
      <c r="DF1269"/>
      <c r="DG1269"/>
      <c r="DH1269"/>
      <c r="DI1269"/>
      <c r="DJ1269"/>
      <c r="DK1269"/>
      <c r="DL1269"/>
      <c r="DM1269"/>
      <c r="DN1269"/>
      <c r="DO1269"/>
      <c r="DP1269"/>
      <c r="DQ1269"/>
      <c r="DR1269"/>
      <c r="DS1269"/>
      <c r="DT1269"/>
      <c r="DU1269"/>
      <c r="DV1269"/>
      <c r="DW1269"/>
      <c r="DX1269"/>
      <c r="DY1269"/>
      <c r="DZ1269"/>
      <c r="EA1269"/>
      <c r="EB1269"/>
      <c r="EC1269"/>
      <c r="ED1269"/>
      <c r="EE1269"/>
      <c r="EF1269"/>
      <c r="EG1269"/>
      <c r="EH1269"/>
      <c r="EI1269"/>
      <c r="EJ1269"/>
      <c r="EK1269"/>
      <c r="EL1269"/>
      <c r="EM1269"/>
      <c r="EN1269"/>
      <c r="EO1269"/>
      <c r="EP1269"/>
      <c r="EQ1269"/>
      <c r="ER1269"/>
      <c r="ES1269"/>
      <c r="ET1269"/>
      <c r="EU1269"/>
      <c r="EV1269"/>
      <c r="EW1269"/>
      <c r="EX1269"/>
      <c r="EY1269"/>
      <c r="EZ1269"/>
      <c r="FA1269"/>
      <c r="FB1269"/>
      <c r="FC1269"/>
      <c r="FD1269"/>
      <c r="FE1269"/>
      <c r="FF1269"/>
      <c r="FG1269"/>
      <c r="FH1269"/>
      <c r="FI1269"/>
      <c r="FJ1269"/>
      <c r="FK1269"/>
      <c r="FL1269"/>
      <c r="FM1269"/>
      <c r="FN1269"/>
      <c r="FO1269"/>
      <c r="FP1269"/>
      <c r="FQ1269"/>
      <c r="FR1269"/>
      <c r="FS1269"/>
      <c r="FT1269"/>
      <c r="FU1269"/>
      <c r="FV1269"/>
      <c r="FW1269"/>
      <c r="FX1269"/>
      <c r="FY1269"/>
      <c r="FZ1269"/>
      <c r="GA1269"/>
      <c r="GB1269"/>
      <c r="GC1269"/>
      <c r="GD1269"/>
      <c r="GE1269"/>
      <c r="GF1269"/>
      <c r="GG1269"/>
      <c r="GH1269"/>
      <c r="GI1269"/>
      <c r="GJ1269"/>
      <c r="GK1269"/>
      <c r="GL1269"/>
      <c r="GM1269"/>
      <c r="GN1269"/>
      <c r="GO1269"/>
      <c r="GP1269"/>
      <c r="GQ1269"/>
      <c r="GR1269"/>
      <c r="GS1269"/>
      <c r="GT1269"/>
      <c r="GU1269"/>
      <c r="GV1269"/>
      <c r="GW1269"/>
      <c r="GX1269"/>
      <c r="GY1269"/>
      <c r="GZ1269"/>
      <c r="HA1269"/>
      <c r="HB1269"/>
      <c r="HC1269"/>
      <c r="HD1269"/>
      <c r="HE1269"/>
      <c r="HF1269"/>
      <c r="HG1269"/>
      <c r="HH1269"/>
      <c r="HI1269"/>
      <c r="HJ1269"/>
      <c r="HK1269"/>
      <c r="HL1269"/>
      <c r="HM1269"/>
      <c r="HN1269"/>
      <c r="HO1269"/>
      <c r="HP1269"/>
      <c r="HQ1269"/>
      <c r="HR1269"/>
      <c r="HS1269"/>
      <c r="HT1269"/>
      <c r="HU1269"/>
      <c r="HV1269"/>
      <c r="HW1269"/>
      <c r="HX1269"/>
      <c r="HY1269"/>
      <c r="HZ1269"/>
      <c r="IA1269"/>
      <c r="IB1269"/>
      <c r="IC1269"/>
      <c r="ID1269"/>
      <c r="IE1269"/>
      <c r="IF1269"/>
      <c r="IG1269"/>
      <c r="IH1269"/>
      <c r="II1269"/>
      <c r="IJ1269"/>
      <c r="IK1269"/>
      <c r="IL1269"/>
      <c r="IM1269"/>
      <c r="IN1269"/>
      <c r="IO1269"/>
      <c r="IP1269"/>
      <c r="IQ1269"/>
      <c r="IR1269"/>
      <c r="IS1269"/>
      <c r="IT1269"/>
      <c r="IU1269"/>
      <c r="IV1269"/>
      <c r="IW1269"/>
      <c r="IX1269"/>
      <c r="IY1269"/>
      <c r="IZ1269"/>
      <c r="JA1269"/>
      <c r="JB1269"/>
      <c r="JC1269"/>
      <c r="JD1269"/>
      <c r="JE1269"/>
      <c r="JF1269"/>
      <c r="JG1269"/>
      <c r="JH1269"/>
      <c r="JI1269"/>
      <c r="JJ1269"/>
      <c r="JK1269"/>
      <c r="JL1269"/>
      <c r="JM1269"/>
      <c r="JN1269"/>
      <c r="JO1269"/>
      <c r="JP1269"/>
      <c r="JQ1269"/>
      <c r="JR1269"/>
      <c r="JS1269"/>
      <c r="JT1269"/>
      <c r="JU1269"/>
      <c r="JV1269"/>
      <c r="JW1269"/>
      <c r="JX1269"/>
      <c r="JY1269"/>
      <c r="JZ1269"/>
      <c r="KA1269"/>
      <c r="KB1269"/>
      <c r="KC1269"/>
      <c r="KD1269"/>
      <c r="KE1269"/>
      <c r="KF1269"/>
      <c r="KG1269"/>
      <c r="KH1269"/>
      <c r="KI1269"/>
      <c r="KJ1269"/>
      <c r="KK1269"/>
      <c r="KL1269"/>
      <c r="KM1269"/>
      <c r="KN1269"/>
      <c r="KO1269"/>
      <c r="KP1269"/>
      <c r="KQ1269"/>
      <c r="KR1269"/>
      <c r="KS1269"/>
      <c r="KT1269"/>
      <c r="KU1269"/>
      <c r="KV1269"/>
      <c r="KW1269"/>
      <c r="KX1269"/>
      <c r="KY1269"/>
      <c r="KZ1269"/>
      <c r="LA1269"/>
      <c r="LB1269"/>
      <c r="LC1269"/>
      <c r="LD1269"/>
      <c r="LE1269"/>
      <c r="LF1269"/>
      <c r="LG1269"/>
      <c r="LH1269"/>
      <c r="LI1269"/>
      <c r="LJ1269"/>
      <c r="LK1269"/>
      <c r="LL1269"/>
      <c r="LM1269"/>
      <c r="LN1269"/>
      <c r="LO1269"/>
      <c r="LP1269"/>
      <c r="LQ1269"/>
      <c r="LR1269"/>
      <c r="LS1269"/>
      <c r="LT1269"/>
      <c r="LU1269"/>
      <c r="LV1269"/>
      <c r="LW1269"/>
      <c r="LX1269"/>
      <c r="LY1269"/>
      <c r="LZ1269"/>
      <c r="MA1269"/>
      <c r="MB1269"/>
      <c r="MC1269"/>
      <c r="MD1269"/>
      <c r="ME1269"/>
      <c r="MF1269"/>
      <c r="MG1269"/>
      <c r="MH1269"/>
      <c r="MI1269"/>
      <c r="MJ1269"/>
      <c r="MK1269"/>
      <c r="ML1269"/>
      <c r="MM1269"/>
      <c r="MN1269"/>
      <c r="MO1269"/>
      <c r="MP1269"/>
      <c r="MQ1269"/>
      <c r="MR1269"/>
      <c r="MS1269"/>
      <c r="MT1269"/>
      <c r="MU1269"/>
      <c r="MV1269"/>
      <c r="MW1269"/>
      <c r="MX1269"/>
      <c r="MY1269"/>
      <c r="MZ1269"/>
      <c r="NA1269"/>
      <c r="NB1269"/>
      <c r="NC1269"/>
      <c r="ND1269"/>
      <c r="NE1269"/>
      <c r="NF1269"/>
      <c r="NG1269"/>
      <c r="NH1269"/>
      <c r="NI1269"/>
      <c r="NJ1269"/>
      <c r="NK1269"/>
      <c r="NL1269"/>
      <c r="NM1269"/>
      <c r="NN1269"/>
      <c r="NO1269"/>
      <c r="NP1269"/>
      <c r="NQ1269"/>
      <c r="NR1269"/>
      <c r="NS1269"/>
      <c r="NT1269"/>
      <c r="NU1269"/>
      <c r="NV1269"/>
      <c r="NW1269"/>
      <c r="NX1269"/>
      <c r="NY1269"/>
      <c r="NZ1269"/>
      <c r="OA1269"/>
      <c r="OB1269"/>
      <c r="OC1269"/>
      <c r="OD1269"/>
      <c r="OE1269"/>
      <c r="OF1269"/>
      <c r="OG1269"/>
      <c r="OH1269"/>
      <c r="OI1269"/>
      <c r="OJ1269"/>
      <c r="OK1269"/>
      <c r="OL1269"/>
      <c r="OM1269"/>
      <c r="ON1269"/>
      <c r="OO1269"/>
      <c r="OP1269"/>
      <c r="OQ1269"/>
      <c r="OR1269"/>
      <c r="OS1269"/>
      <c r="OT1269"/>
      <c r="OU1269"/>
      <c r="OV1269"/>
      <c r="OW1269"/>
      <c r="OX1269"/>
      <c r="OY1269"/>
      <c r="OZ1269"/>
      <c r="PA1269"/>
      <c r="PB1269"/>
      <c r="PC1269"/>
      <c r="PD1269"/>
      <c r="PE1269"/>
      <c r="PF1269"/>
      <c r="PG1269"/>
      <c r="PH1269"/>
      <c r="PI1269"/>
      <c r="PJ1269"/>
      <c r="PK1269"/>
      <c r="PL1269"/>
      <c r="PM1269"/>
      <c r="PN1269"/>
      <c r="PO1269"/>
      <c r="PP1269"/>
      <c r="PQ1269"/>
      <c r="PR1269"/>
      <c r="PS1269"/>
      <c r="PT1269"/>
      <c r="PU1269"/>
      <c r="PV1269"/>
      <c r="PW1269"/>
      <c r="PX1269"/>
      <c r="PY1269"/>
      <c r="PZ1269"/>
      <c r="QA1269"/>
      <c r="QB1269"/>
      <c r="QC1269"/>
      <c r="QD1269"/>
      <c r="QE1269"/>
      <c r="QF1269"/>
      <c r="QG1269"/>
      <c r="QH1269"/>
      <c r="QI1269"/>
      <c r="QJ1269"/>
      <c r="QK1269"/>
      <c r="QL1269"/>
      <c r="QM1269"/>
      <c r="QN1269"/>
      <c r="QO1269"/>
      <c r="QP1269"/>
      <c r="QQ1269"/>
      <c r="QR1269"/>
      <c r="QS1269"/>
      <c r="QT1269"/>
      <c r="QU1269"/>
      <c r="QV1269"/>
      <c r="QW1269"/>
      <c r="QX1269"/>
      <c r="QY1269"/>
      <c r="QZ1269"/>
      <c r="RA1269"/>
      <c r="RB1269"/>
      <c r="RC1269"/>
      <c r="RD1269"/>
      <c r="RE1269"/>
      <c r="RF1269"/>
      <c r="RG1269"/>
      <c r="RH1269"/>
      <c r="RI1269"/>
      <c r="RJ1269"/>
      <c r="RK1269"/>
      <c r="RL1269"/>
      <c r="RM1269"/>
      <c r="RN1269"/>
      <c r="RO1269"/>
      <c r="RP1269"/>
      <c r="RQ1269"/>
      <c r="RR1269"/>
      <c r="RS1269"/>
      <c r="RT1269"/>
      <c r="RU1269"/>
      <c r="RV1269"/>
      <c r="RW1269"/>
      <c r="RX1269"/>
      <c r="RY1269"/>
      <c r="RZ1269"/>
      <c r="SA1269"/>
      <c r="SB1269"/>
      <c r="SC1269"/>
      <c r="SD1269"/>
      <c r="SE1269"/>
      <c r="SF1269"/>
      <c r="SG1269"/>
      <c r="SH1269"/>
      <c r="SI1269"/>
      <c r="SJ1269"/>
      <c r="SK1269"/>
      <c r="SL1269"/>
      <c r="SM1269"/>
      <c r="SN1269"/>
      <c r="SO1269"/>
      <c r="SP1269"/>
      <c r="SQ1269"/>
      <c r="SR1269"/>
      <c r="SS1269"/>
      <c r="ST1269"/>
      <c r="SU1269"/>
      <c r="SV1269"/>
      <c r="SW1269"/>
      <c r="SX1269"/>
      <c r="SY1269"/>
      <c r="SZ1269"/>
      <c r="TA1269"/>
      <c r="TB1269"/>
      <c r="TC1269"/>
      <c r="TD1269"/>
      <c r="TE1269"/>
      <c r="TF1269"/>
      <c r="TG1269"/>
      <c r="TH1269"/>
      <c r="TI1269"/>
      <c r="TJ1269"/>
      <c r="TK1269"/>
      <c r="TL1269"/>
      <c r="TM1269"/>
      <c r="TN1269"/>
      <c r="TO1269"/>
      <c r="TP1269"/>
      <c r="TQ1269"/>
      <c r="TR1269"/>
      <c r="TS1269"/>
      <c r="TT1269"/>
      <c r="TU1269"/>
      <c r="TV1269"/>
      <c r="TW1269"/>
      <c r="TX1269"/>
      <c r="TY1269"/>
      <c r="TZ1269"/>
      <c r="UA1269"/>
      <c r="UB1269"/>
      <c r="UC1269"/>
      <c r="UD1269"/>
      <c r="UE1269"/>
      <c r="UF1269"/>
      <c r="UG1269"/>
      <c r="UH1269"/>
      <c r="UI1269"/>
      <c r="UJ1269"/>
      <c r="UK1269"/>
      <c r="UL1269"/>
      <c r="UM1269"/>
      <c r="UN1269"/>
      <c r="UO1269"/>
      <c r="UP1269"/>
      <c r="UQ1269"/>
      <c r="UR1269"/>
      <c r="US1269"/>
      <c r="UT1269"/>
      <c r="UU1269"/>
      <c r="UV1269"/>
      <c r="UW1269"/>
      <c r="UX1269"/>
      <c r="UY1269"/>
      <c r="UZ1269"/>
      <c r="VA1269"/>
      <c r="VB1269"/>
      <c r="VC1269"/>
      <c r="VD1269"/>
      <c r="VE1269"/>
      <c r="VF1269"/>
      <c r="VG1269"/>
      <c r="VH1269"/>
      <c r="VI1269"/>
      <c r="VJ1269"/>
      <c r="VK1269"/>
      <c r="VL1269"/>
      <c r="VM1269"/>
      <c r="VN1269"/>
      <c r="VO1269"/>
      <c r="VP1269"/>
      <c r="VQ1269"/>
      <c r="VR1269"/>
      <c r="VS1269"/>
      <c r="VT1269"/>
      <c r="VU1269"/>
      <c r="VV1269"/>
      <c r="VW1269"/>
      <c r="VX1269"/>
      <c r="VY1269"/>
      <c r="VZ1269"/>
      <c r="WA1269"/>
      <c r="WB1269"/>
      <c r="WC1269"/>
      <c r="WD1269"/>
      <c r="WE1269"/>
      <c r="WF1269"/>
      <c r="WG1269"/>
      <c r="WH1269"/>
      <c r="WI1269"/>
      <c r="WJ1269"/>
      <c r="WK1269"/>
      <c r="WL1269"/>
      <c r="WM1269"/>
      <c r="WN1269"/>
      <c r="WO1269"/>
      <c r="WP1269"/>
      <c r="WQ1269"/>
      <c r="WR1269"/>
      <c r="WS1269"/>
      <c r="WT1269"/>
      <c r="WU1269"/>
      <c r="WV1269"/>
      <c r="WW1269"/>
      <c r="WX1269"/>
      <c r="WY1269"/>
      <c r="WZ1269"/>
      <c r="XA1269"/>
      <c r="XB1269"/>
      <c r="XC1269"/>
      <c r="XD1269"/>
      <c r="XE1269"/>
      <c r="XF1269"/>
      <c r="XG1269"/>
      <c r="XH1269"/>
      <c r="XI1269"/>
      <c r="XJ1269"/>
      <c r="XK1269"/>
      <c r="XL1269"/>
      <c r="XM1269"/>
      <c r="XN1269"/>
      <c r="XO1269"/>
      <c r="XP1269"/>
      <c r="XQ1269"/>
      <c r="XR1269"/>
      <c r="XS1269"/>
      <c r="XT1269"/>
      <c r="XU1269"/>
      <c r="XV1269"/>
      <c r="XW1269"/>
      <c r="XX1269"/>
      <c r="XY1269"/>
      <c r="XZ1269"/>
      <c r="YA1269"/>
      <c r="YB1269"/>
      <c r="YC1269"/>
      <c r="YD1269"/>
      <c r="YE1269"/>
      <c r="YF1269"/>
      <c r="YG1269"/>
      <c r="YH1269"/>
      <c r="YI1269"/>
      <c r="YJ1269"/>
      <c r="YK1269"/>
      <c r="YL1269"/>
      <c r="YM1269"/>
      <c r="YN1269"/>
      <c r="YO1269"/>
      <c r="YP1269"/>
      <c r="YQ1269"/>
      <c r="YR1269"/>
      <c r="YS1269"/>
      <c r="YT1269"/>
      <c r="YU1269"/>
      <c r="YV1269"/>
      <c r="YW1269"/>
      <c r="YX1269"/>
      <c r="YY1269"/>
      <c r="YZ1269"/>
      <c r="ZA1269"/>
      <c r="ZB1269"/>
      <c r="ZC1269"/>
      <c r="ZD1269"/>
      <c r="ZE1269"/>
      <c r="ZF1269"/>
      <c r="ZG1269"/>
      <c r="ZH1269"/>
      <c r="ZI1269"/>
      <c r="ZJ1269"/>
      <c r="ZK1269"/>
      <c r="ZL1269"/>
      <c r="ZM1269"/>
      <c r="ZN1269"/>
      <c r="ZO1269"/>
      <c r="ZP1269"/>
      <c r="ZQ1269"/>
      <c r="ZR1269"/>
      <c r="ZS1269"/>
      <c r="ZT1269"/>
      <c r="ZU1269"/>
      <c r="ZV1269"/>
      <c r="ZW1269"/>
      <c r="ZX1269"/>
      <c r="ZY1269"/>
      <c r="ZZ1269"/>
      <c r="AAA1269"/>
      <c r="AAB1269"/>
      <c r="AAC1269"/>
      <c r="AAD1269"/>
      <c r="AAE1269"/>
      <c r="AAF1269"/>
      <c r="AAG1269"/>
      <c r="AAH1269"/>
      <c r="AAI1269"/>
      <c r="AAJ1269"/>
      <c r="AAK1269"/>
      <c r="AAL1269"/>
      <c r="AAM1269"/>
      <c r="AAN1269"/>
      <c r="AAO1269"/>
      <c r="AAP1269"/>
      <c r="AAQ1269"/>
      <c r="AAR1269"/>
      <c r="AAS1269"/>
      <c r="AAT1269"/>
      <c r="AAU1269"/>
      <c r="AAV1269"/>
      <c r="AAW1269"/>
      <c r="AAX1269"/>
      <c r="AAY1269"/>
      <c r="AAZ1269"/>
      <c r="ABA1269"/>
      <c r="ABB1269"/>
      <c r="ABC1269"/>
      <c r="ABD1269"/>
      <c r="ABE1269"/>
      <c r="ABF1269"/>
      <c r="ABG1269"/>
      <c r="ABH1269"/>
      <c r="ABI1269"/>
      <c r="ABJ1269"/>
      <c r="ABK1269"/>
      <c r="ABL1269"/>
      <c r="ABM1269"/>
      <c r="ABN1269"/>
      <c r="ABO1269"/>
      <c r="ABP1269"/>
      <c r="ABQ1269"/>
      <c r="ABR1269"/>
      <c r="ABS1269"/>
      <c r="ABT1269"/>
      <c r="ABU1269"/>
      <c r="ABV1269"/>
      <c r="ABW1269"/>
      <c r="ABX1269"/>
      <c r="ABY1269"/>
      <c r="ABZ1269"/>
      <c r="ACA1269"/>
      <c r="ACB1269"/>
      <c r="ACC1269"/>
      <c r="ACD1269"/>
      <c r="ACE1269"/>
      <c r="ACF1269"/>
      <c r="ACG1269"/>
      <c r="ACH1269"/>
      <c r="ACI1269"/>
      <c r="ACJ1269"/>
      <c r="ACK1269"/>
      <c r="ACL1269"/>
      <c r="ACM1269"/>
      <c r="ACN1269"/>
      <c r="ACO1269"/>
      <c r="ACP1269"/>
      <c r="ACQ1269"/>
      <c r="ACR1269"/>
      <c r="ACS1269"/>
      <c r="ACT1269"/>
      <c r="ACU1269"/>
      <c r="ACV1269"/>
      <c r="ACW1269"/>
      <c r="ACX1269"/>
      <c r="ACY1269"/>
      <c r="ACZ1269"/>
      <c r="ADA1269"/>
      <c r="ADB1269"/>
      <c r="ADC1269"/>
      <c r="ADD1269"/>
      <c r="ADE1269"/>
      <c r="ADF1269"/>
      <c r="ADG1269"/>
      <c r="ADH1269"/>
      <c r="ADI1269"/>
      <c r="ADJ1269"/>
      <c r="ADK1269"/>
      <c r="ADL1269"/>
      <c r="ADM1269"/>
      <c r="ADN1269"/>
      <c r="ADO1269"/>
      <c r="ADP1269"/>
      <c r="ADQ1269"/>
      <c r="ADR1269"/>
      <c r="ADS1269"/>
      <c r="ADT1269"/>
      <c r="ADU1269"/>
      <c r="ADV1269"/>
      <c r="ADW1269"/>
      <c r="ADX1269"/>
      <c r="ADY1269"/>
      <c r="ADZ1269"/>
      <c r="AEA1269"/>
      <c r="AEB1269"/>
      <c r="AEC1269"/>
      <c r="AED1269"/>
      <c r="AEE1269"/>
      <c r="AEF1269"/>
      <c r="AEG1269"/>
      <c r="AEH1269"/>
      <c r="AEI1269"/>
      <c r="AEJ1269"/>
      <c r="AEK1269"/>
      <c r="AEL1269"/>
      <c r="AEM1269"/>
      <c r="AEN1269"/>
      <c r="AEO1269"/>
      <c r="AEP1269"/>
      <c r="AEQ1269"/>
      <c r="AER1269"/>
      <c r="AES1269"/>
      <c r="AET1269"/>
      <c r="AEU1269"/>
      <c r="AEV1269"/>
      <c r="AEW1269"/>
      <c r="AEX1269"/>
      <c r="AEY1269"/>
      <c r="AEZ1269"/>
      <c r="AFA1269"/>
      <c r="AFB1269"/>
      <c r="AFC1269"/>
      <c r="AFD1269"/>
      <c r="AFE1269"/>
      <c r="AFF1269"/>
      <c r="AFG1269"/>
      <c r="AFH1269"/>
      <c r="AFI1269"/>
      <c r="AFJ1269"/>
      <c r="AFK1269"/>
      <c r="AFL1269"/>
      <c r="AFM1269"/>
      <c r="AFN1269"/>
      <c r="AFO1269"/>
      <c r="AFP1269"/>
      <c r="AFQ1269"/>
      <c r="AFR1269"/>
      <c r="AFS1269"/>
      <c r="AFT1269"/>
      <c r="AFU1269"/>
      <c r="AFV1269"/>
      <c r="AFW1269"/>
      <c r="AFX1269"/>
      <c r="AFY1269"/>
      <c r="AFZ1269"/>
      <c r="AGA1269"/>
      <c r="AGB1269"/>
      <c r="AGC1269"/>
      <c r="AGD1269"/>
      <c r="AGE1269"/>
      <c r="AGF1269"/>
      <c r="AGG1269"/>
      <c r="AGH1269"/>
      <c r="AGI1269"/>
      <c r="AGJ1269"/>
      <c r="AGK1269"/>
      <c r="AGL1269"/>
      <c r="AGM1269"/>
      <c r="AGN1269"/>
      <c r="AGO1269"/>
      <c r="AGP1269"/>
      <c r="AGQ1269"/>
      <c r="AGR1269"/>
      <c r="AGS1269"/>
      <c r="AGT1269"/>
      <c r="AGU1269"/>
      <c r="AGV1269"/>
      <c r="AGW1269"/>
      <c r="AGX1269"/>
      <c r="AGY1269"/>
      <c r="AGZ1269"/>
      <c r="AHA1269"/>
      <c r="AHB1269"/>
      <c r="AHC1269"/>
      <c r="AHD1269"/>
      <c r="AHE1269"/>
      <c r="AHF1269"/>
      <c r="AHG1269"/>
      <c r="AHH1269"/>
      <c r="AHI1269"/>
      <c r="AHJ1269"/>
      <c r="AHK1269"/>
      <c r="AHL1269"/>
      <c r="AHM1269"/>
      <c r="AHN1269"/>
      <c r="AHO1269"/>
      <c r="AHP1269"/>
      <c r="AHQ1269"/>
      <c r="AHR1269"/>
      <c r="AHS1269"/>
      <c r="AHT1269"/>
      <c r="AHU1269"/>
      <c r="AHV1269"/>
      <c r="AHW1269"/>
      <c r="AHX1269"/>
      <c r="AHY1269"/>
      <c r="AHZ1269"/>
      <c r="AIA1269"/>
      <c r="AIB1269"/>
      <c r="AIC1269"/>
      <c r="AID1269"/>
      <c r="AIE1269"/>
      <c r="AIF1269"/>
      <c r="AIG1269"/>
      <c r="AIH1269"/>
      <c r="AII1269"/>
      <c r="AIJ1269"/>
      <c r="AIK1269"/>
      <c r="AIL1269"/>
      <c r="AIM1269"/>
      <c r="AIN1269"/>
      <c r="AIO1269"/>
      <c r="AIP1269"/>
      <c r="AIQ1269"/>
      <c r="AIR1269"/>
      <c r="AIS1269"/>
      <c r="AIT1269"/>
      <c r="AIU1269"/>
      <c r="AIV1269"/>
      <c r="AIW1269"/>
      <c r="AIX1269"/>
      <c r="AIY1269"/>
      <c r="AIZ1269"/>
      <c r="AJA1269"/>
      <c r="AJB1269"/>
      <c r="AJC1269"/>
      <c r="AJD1269"/>
      <c r="AJE1269"/>
      <c r="AJF1269"/>
      <c r="AJG1269"/>
      <c r="AJH1269"/>
      <c r="AJI1269"/>
      <c r="AJJ1269"/>
      <c r="AJK1269"/>
      <c r="AJL1269"/>
      <c r="AJM1269"/>
      <c r="AJN1269"/>
      <c r="AJO1269"/>
      <c r="AJP1269"/>
      <c r="AJQ1269"/>
      <c r="AJR1269"/>
      <c r="AJS1269"/>
      <c r="AJT1269"/>
      <c r="AJU1269"/>
      <c r="AJV1269"/>
      <c r="AJW1269"/>
      <c r="AJX1269"/>
      <c r="AJY1269"/>
      <c r="AJZ1269"/>
      <c r="AKA1269"/>
      <c r="AKB1269"/>
      <c r="AKC1269"/>
      <c r="AKD1269"/>
      <c r="AKE1269"/>
      <c r="AKF1269"/>
      <c r="AKG1269"/>
      <c r="AKH1269"/>
      <c r="AKI1269"/>
      <c r="AKJ1269"/>
      <c r="AKK1269"/>
      <c r="AKL1269"/>
      <c r="AKM1269"/>
      <c r="AKN1269"/>
      <c r="AKO1269"/>
      <c r="AKP1269"/>
      <c r="AKQ1269"/>
      <c r="AKR1269"/>
      <c r="AKS1269"/>
      <c r="AKT1269"/>
      <c r="AKU1269"/>
      <c r="AKV1269"/>
      <c r="AKW1269"/>
      <c r="AKX1269"/>
      <c r="AKY1269"/>
      <c r="AKZ1269"/>
      <c r="ALA1269"/>
      <c r="ALB1269"/>
      <c r="ALC1269"/>
      <c r="ALD1269"/>
      <c r="ALE1269"/>
      <c r="ALF1269"/>
      <c r="ALG1269"/>
      <c r="ALH1269"/>
      <c r="ALI1269"/>
      <c r="ALJ1269"/>
      <c r="ALK1269"/>
      <c r="ALL1269"/>
      <c r="ALM1269"/>
      <c r="ALN1269"/>
      <c r="ALO1269"/>
      <c r="ALP1269"/>
      <c r="ALQ1269"/>
      <c r="ALR1269"/>
      <c r="ALS1269"/>
      <c r="ALT1269"/>
    </row>
    <row r="1270" spans="1:1008" s="34" customFormat="1" x14ac:dyDescent="0.15">
      <c r="A1270" s="34" t="s">
        <v>4014</v>
      </c>
      <c r="B1270" s="35" t="s">
        <v>4076</v>
      </c>
      <c r="C1270" s="34" t="s">
        <v>4014</v>
      </c>
      <c r="D1270" s="35" t="s">
        <v>15</v>
      </c>
      <c r="E1270" s="34" t="s">
        <v>4014</v>
      </c>
      <c r="F1270" s="34" t="s">
        <v>4015</v>
      </c>
      <c r="G1270" s="34">
        <v>550</v>
      </c>
    </row>
    <row r="1271" spans="1:1008" x14ac:dyDescent="0.15">
      <c r="A1271" t="s">
        <v>4103</v>
      </c>
      <c r="B1271" s="8" t="s">
        <v>4076</v>
      </c>
      <c r="C1271" t="s">
        <v>4103</v>
      </c>
      <c r="D1271" s="8" t="s">
        <v>15</v>
      </c>
      <c r="E1271" t="s">
        <v>4103</v>
      </c>
      <c r="F1271" t="s">
        <v>4104</v>
      </c>
      <c r="G1271">
        <v>550</v>
      </c>
      <c r="H1271"/>
      <c r="I1271"/>
      <c r="J1271"/>
      <c r="K1271"/>
      <c r="L1271"/>
      <c r="M1271"/>
      <c r="N1271"/>
      <c r="O1271"/>
      <c r="P1271"/>
      <c r="Q1271"/>
      <c r="R1271"/>
      <c r="S1271"/>
      <c r="T1271"/>
      <c r="U1271"/>
      <c r="V1271"/>
      <c r="W1271"/>
      <c r="X1271"/>
      <c r="Y1271"/>
      <c r="Z1271"/>
      <c r="AA1271"/>
      <c r="AB1271"/>
      <c r="AC1271"/>
      <c r="AD1271"/>
      <c r="AE1271"/>
      <c r="AF1271"/>
      <c r="AG1271"/>
      <c r="AH1271"/>
      <c r="AI1271"/>
      <c r="AJ1271"/>
      <c r="AK1271"/>
      <c r="AL1271"/>
      <c r="AM1271"/>
      <c r="AN1271"/>
      <c r="AO1271"/>
      <c r="AP1271"/>
      <c r="AQ1271"/>
      <c r="AR1271"/>
      <c r="AS1271"/>
      <c r="AT1271"/>
      <c r="AU1271"/>
      <c r="AV1271"/>
      <c r="AW1271"/>
      <c r="AX1271"/>
      <c r="AY1271"/>
      <c r="AZ1271"/>
      <c r="BA1271"/>
      <c r="BB1271"/>
      <c r="BC1271"/>
      <c r="BD1271"/>
      <c r="BE1271"/>
      <c r="BF1271"/>
      <c r="BG1271"/>
      <c r="BH1271"/>
      <c r="BI1271"/>
      <c r="BJ1271"/>
      <c r="BK1271"/>
      <c r="BL1271"/>
      <c r="BM1271"/>
      <c r="BN1271"/>
      <c r="BO1271"/>
      <c r="BP1271"/>
      <c r="BQ1271"/>
      <c r="BR1271"/>
      <c r="BS1271"/>
      <c r="BT1271"/>
      <c r="BU1271"/>
      <c r="BV1271"/>
      <c r="BW1271"/>
      <c r="BX1271"/>
      <c r="BY1271"/>
      <c r="BZ1271"/>
      <c r="CA1271"/>
      <c r="CB1271"/>
      <c r="CC1271"/>
      <c r="CD1271"/>
      <c r="CE1271"/>
      <c r="CF1271"/>
      <c r="CG1271"/>
      <c r="CH1271"/>
      <c r="CI1271"/>
      <c r="CJ1271"/>
      <c r="CK1271"/>
      <c r="CL1271"/>
      <c r="CM1271"/>
      <c r="CN1271"/>
      <c r="CO1271"/>
      <c r="CP1271"/>
      <c r="CQ1271"/>
      <c r="CR1271"/>
      <c r="CS1271"/>
      <c r="CT1271"/>
      <c r="CU1271"/>
      <c r="CV1271"/>
      <c r="CW1271"/>
      <c r="CX1271"/>
      <c r="CY1271"/>
      <c r="CZ1271"/>
      <c r="DA1271"/>
      <c r="DB1271"/>
      <c r="DC1271"/>
      <c r="DD1271"/>
      <c r="DE1271"/>
      <c r="DF1271"/>
      <c r="DG1271"/>
      <c r="DH1271"/>
      <c r="DI1271"/>
      <c r="DJ1271"/>
      <c r="DK1271"/>
      <c r="DL1271"/>
      <c r="DM1271"/>
      <c r="DN1271"/>
      <c r="DO1271"/>
      <c r="DP1271"/>
      <c r="DQ1271"/>
      <c r="DR1271"/>
      <c r="DS1271"/>
      <c r="DT1271"/>
      <c r="DU1271"/>
      <c r="DV1271"/>
      <c r="DW1271"/>
      <c r="DX1271"/>
      <c r="DY1271"/>
      <c r="DZ1271"/>
      <c r="EA1271"/>
      <c r="EB1271"/>
      <c r="EC1271"/>
      <c r="ED1271"/>
      <c r="EE1271"/>
      <c r="EF1271"/>
      <c r="EG1271"/>
      <c r="EH1271"/>
      <c r="EI1271"/>
      <c r="EJ1271"/>
      <c r="EK1271"/>
      <c r="EL1271"/>
      <c r="EM1271"/>
      <c r="EN1271"/>
      <c r="EO1271"/>
      <c r="EP1271"/>
      <c r="EQ1271"/>
      <c r="ER1271"/>
      <c r="ES1271"/>
      <c r="ET1271"/>
      <c r="EU1271"/>
      <c r="EV1271"/>
      <c r="EW1271"/>
      <c r="EX1271"/>
      <c r="EY1271"/>
      <c r="EZ1271"/>
      <c r="FA1271"/>
      <c r="FB1271"/>
      <c r="FC1271"/>
      <c r="FD1271"/>
      <c r="FE1271"/>
      <c r="FF1271"/>
      <c r="FG1271"/>
      <c r="FH1271"/>
      <c r="FI1271"/>
      <c r="FJ1271"/>
      <c r="FK1271"/>
      <c r="FL1271"/>
      <c r="FM1271"/>
      <c r="FN1271"/>
      <c r="FO1271"/>
      <c r="FP1271"/>
      <c r="FQ1271"/>
      <c r="FR1271"/>
      <c r="FS1271"/>
      <c r="FT1271"/>
      <c r="FU1271"/>
      <c r="FV1271"/>
      <c r="FW1271"/>
      <c r="FX1271"/>
      <c r="FY1271"/>
      <c r="FZ1271"/>
      <c r="GA1271"/>
      <c r="GB1271"/>
      <c r="GC1271"/>
      <c r="GD1271"/>
      <c r="GE1271"/>
      <c r="GF1271"/>
      <c r="GG1271"/>
      <c r="GH1271"/>
      <c r="GI1271"/>
      <c r="GJ1271"/>
      <c r="GK1271"/>
      <c r="GL1271"/>
      <c r="GM1271"/>
      <c r="GN1271"/>
      <c r="GO1271"/>
      <c r="GP1271"/>
      <c r="GQ1271"/>
      <c r="GR1271"/>
      <c r="GS1271"/>
      <c r="GT1271"/>
      <c r="GU1271"/>
      <c r="GV1271"/>
      <c r="GW1271"/>
      <c r="GX1271"/>
      <c r="GY1271"/>
      <c r="GZ1271"/>
      <c r="HA1271"/>
      <c r="HB1271"/>
      <c r="HC1271"/>
      <c r="HD1271"/>
      <c r="HE1271"/>
      <c r="HF1271"/>
      <c r="HG1271"/>
      <c r="HH1271"/>
      <c r="HI1271"/>
      <c r="HJ1271"/>
      <c r="HK1271"/>
      <c r="HL1271"/>
      <c r="HM1271"/>
      <c r="HN1271"/>
      <c r="HO1271"/>
      <c r="HP1271"/>
      <c r="HQ1271"/>
      <c r="HR1271"/>
      <c r="HS1271"/>
      <c r="HT1271"/>
      <c r="HU1271"/>
      <c r="HV1271"/>
      <c r="HW1271"/>
      <c r="HX1271"/>
      <c r="HY1271"/>
      <c r="HZ1271"/>
      <c r="IA1271"/>
      <c r="IB1271"/>
      <c r="IC1271"/>
      <c r="ID1271"/>
      <c r="IE1271"/>
      <c r="IF1271"/>
      <c r="IG1271"/>
      <c r="IH1271"/>
      <c r="II1271"/>
      <c r="IJ1271"/>
      <c r="IK1271"/>
      <c r="IL1271"/>
      <c r="IM1271"/>
      <c r="IN1271"/>
      <c r="IO1271"/>
      <c r="IP1271"/>
      <c r="IQ1271"/>
      <c r="IR1271"/>
      <c r="IS1271"/>
      <c r="IT1271"/>
      <c r="IU1271"/>
      <c r="IV1271"/>
      <c r="IW1271"/>
      <c r="IX1271"/>
      <c r="IY1271"/>
      <c r="IZ1271"/>
      <c r="JA1271"/>
      <c r="JB1271"/>
      <c r="JC1271"/>
      <c r="JD1271"/>
      <c r="JE1271"/>
      <c r="JF1271"/>
      <c r="JG1271"/>
      <c r="JH1271"/>
      <c r="JI1271"/>
      <c r="JJ1271"/>
      <c r="JK1271"/>
      <c r="JL1271"/>
      <c r="JM1271"/>
      <c r="JN1271"/>
      <c r="JO1271"/>
      <c r="JP1271"/>
      <c r="JQ1271"/>
      <c r="JR1271"/>
      <c r="JS1271"/>
      <c r="JT1271"/>
      <c r="JU1271"/>
      <c r="JV1271"/>
      <c r="JW1271"/>
      <c r="JX1271"/>
      <c r="JY1271"/>
      <c r="JZ1271"/>
      <c r="KA1271"/>
      <c r="KB1271"/>
      <c r="KC1271"/>
      <c r="KD1271"/>
      <c r="KE1271"/>
      <c r="KF1271"/>
      <c r="KG1271"/>
      <c r="KH1271"/>
      <c r="KI1271"/>
      <c r="KJ1271"/>
      <c r="KK1271"/>
      <c r="KL1271"/>
      <c r="KM1271"/>
      <c r="KN1271"/>
      <c r="KO1271"/>
      <c r="KP1271"/>
      <c r="KQ1271"/>
      <c r="KR1271"/>
      <c r="KS1271"/>
      <c r="KT1271"/>
      <c r="KU1271"/>
      <c r="KV1271"/>
      <c r="KW1271"/>
      <c r="KX1271"/>
      <c r="KY1271"/>
      <c r="KZ1271"/>
      <c r="LA1271"/>
      <c r="LB1271"/>
      <c r="LC1271"/>
      <c r="LD1271"/>
      <c r="LE1271"/>
      <c r="LF1271"/>
      <c r="LG1271"/>
      <c r="LH1271"/>
      <c r="LI1271"/>
      <c r="LJ1271"/>
      <c r="LK1271"/>
      <c r="LL1271"/>
      <c r="LM1271"/>
      <c r="LN1271"/>
      <c r="LO1271"/>
      <c r="LP1271"/>
      <c r="LQ1271"/>
      <c r="LR1271"/>
      <c r="LS1271"/>
      <c r="LT1271"/>
      <c r="LU1271"/>
      <c r="LV1271"/>
      <c r="LW1271"/>
      <c r="LX1271"/>
      <c r="LY1271"/>
      <c r="LZ1271"/>
      <c r="MA1271"/>
      <c r="MB1271"/>
      <c r="MC1271"/>
      <c r="MD1271"/>
      <c r="ME1271"/>
      <c r="MF1271"/>
      <c r="MG1271"/>
      <c r="MH1271"/>
      <c r="MI1271"/>
      <c r="MJ1271"/>
      <c r="MK1271"/>
      <c r="ML1271"/>
      <c r="MM1271"/>
      <c r="MN1271"/>
      <c r="MO1271"/>
      <c r="MP1271"/>
      <c r="MQ1271"/>
      <c r="MR1271"/>
      <c r="MS1271"/>
      <c r="MT1271"/>
      <c r="MU1271"/>
      <c r="MV1271"/>
      <c r="MW1271"/>
      <c r="MX1271"/>
      <c r="MY1271"/>
      <c r="MZ1271"/>
      <c r="NA1271"/>
      <c r="NB1271"/>
      <c r="NC1271"/>
      <c r="ND1271"/>
      <c r="NE1271"/>
      <c r="NF1271"/>
      <c r="NG1271"/>
      <c r="NH1271"/>
      <c r="NI1271"/>
      <c r="NJ1271"/>
      <c r="NK1271"/>
      <c r="NL1271"/>
      <c r="NM1271"/>
      <c r="NN1271"/>
      <c r="NO1271"/>
      <c r="NP1271"/>
      <c r="NQ1271"/>
      <c r="NR1271"/>
      <c r="NS1271"/>
      <c r="NT1271"/>
      <c r="NU1271"/>
      <c r="NV1271"/>
      <c r="NW1271"/>
      <c r="NX1271"/>
      <c r="NY1271"/>
      <c r="NZ1271"/>
      <c r="OA1271"/>
      <c r="OB1271"/>
      <c r="OC1271"/>
      <c r="OD1271"/>
      <c r="OE1271"/>
      <c r="OF1271"/>
      <c r="OG1271"/>
      <c r="OH1271"/>
      <c r="OI1271"/>
      <c r="OJ1271"/>
      <c r="OK1271"/>
      <c r="OL1271"/>
      <c r="OM1271"/>
      <c r="ON1271"/>
      <c r="OO1271"/>
      <c r="OP1271"/>
      <c r="OQ1271"/>
      <c r="OR1271"/>
      <c r="OS1271"/>
      <c r="OT1271"/>
      <c r="OU1271"/>
      <c r="OV1271"/>
      <c r="OW1271"/>
      <c r="OX1271"/>
      <c r="OY1271"/>
      <c r="OZ1271"/>
      <c r="PA1271"/>
      <c r="PB1271"/>
      <c r="PC1271"/>
      <c r="PD1271"/>
      <c r="PE1271"/>
      <c r="PF1271"/>
      <c r="PG1271"/>
      <c r="PH1271"/>
      <c r="PI1271"/>
      <c r="PJ1271"/>
      <c r="PK1271"/>
      <c r="PL1271"/>
      <c r="PM1271"/>
      <c r="PN1271"/>
      <c r="PO1271"/>
      <c r="PP1271"/>
      <c r="PQ1271"/>
      <c r="PR1271"/>
      <c r="PS1271"/>
      <c r="PT1271"/>
      <c r="PU1271"/>
      <c r="PV1271"/>
      <c r="PW1271"/>
      <c r="PX1271"/>
      <c r="PY1271"/>
      <c r="PZ1271"/>
      <c r="QA1271"/>
      <c r="QB1271"/>
      <c r="QC1271"/>
      <c r="QD1271"/>
      <c r="QE1271"/>
      <c r="QF1271"/>
      <c r="QG1271"/>
      <c r="QH1271"/>
      <c r="QI1271"/>
      <c r="QJ1271"/>
      <c r="QK1271"/>
      <c r="QL1271"/>
      <c r="QM1271"/>
      <c r="QN1271"/>
      <c r="QO1271"/>
      <c r="QP1271"/>
      <c r="QQ1271"/>
      <c r="QR1271"/>
      <c r="QS1271"/>
      <c r="QT1271"/>
      <c r="QU1271"/>
      <c r="QV1271"/>
      <c r="QW1271"/>
      <c r="QX1271"/>
      <c r="QY1271"/>
      <c r="QZ1271"/>
      <c r="RA1271"/>
      <c r="RB1271"/>
      <c r="RC1271"/>
      <c r="RD1271"/>
      <c r="RE1271"/>
      <c r="RF1271"/>
      <c r="RG1271"/>
      <c r="RH1271"/>
      <c r="RI1271"/>
      <c r="RJ1271"/>
      <c r="RK1271"/>
      <c r="RL1271"/>
      <c r="RM1271"/>
      <c r="RN1271"/>
      <c r="RO1271"/>
      <c r="RP1271"/>
      <c r="RQ1271"/>
      <c r="RR1271"/>
      <c r="RS1271"/>
      <c r="RT1271"/>
      <c r="RU1271"/>
      <c r="RV1271"/>
      <c r="RW1271"/>
      <c r="RX1271"/>
      <c r="RY1271"/>
      <c r="RZ1271"/>
      <c r="SA1271"/>
      <c r="SB1271"/>
      <c r="SC1271"/>
      <c r="SD1271"/>
      <c r="SE1271"/>
      <c r="SF1271"/>
      <c r="SG1271"/>
      <c r="SH1271"/>
      <c r="SI1271"/>
      <c r="SJ1271"/>
      <c r="SK1271"/>
      <c r="SL1271"/>
      <c r="SM1271"/>
      <c r="SN1271"/>
      <c r="SO1271"/>
      <c r="SP1271"/>
      <c r="SQ1271"/>
      <c r="SR1271"/>
      <c r="SS1271"/>
      <c r="ST1271"/>
      <c r="SU1271"/>
      <c r="SV1271"/>
      <c r="SW1271"/>
      <c r="SX1271"/>
      <c r="SY1271"/>
      <c r="SZ1271"/>
      <c r="TA1271"/>
      <c r="TB1271"/>
      <c r="TC1271"/>
      <c r="TD1271"/>
      <c r="TE1271"/>
      <c r="TF1271"/>
      <c r="TG1271"/>
      <c r="TH1271"/>
      <c r="TI1271"/>
      <c r="TJ1271"/>
      <c r="TK1271"/>
      <c r="TL1271"/>
      <c r="TM1271"/>
      <c r="TN1271"/>
      <c r="TO1271"/>
      <c r="TP1271"/>
      <c r="TQ1271"/>
      <c r="TR1271"/>
      <c r="TS1271"/>
      <c r="TT1271"/>
      <c r="TU1271"/>
      <c r="TV1271"/>
      <c r="TW1271"/>
      <c r="TX1271"/>
      <c r="TY1271"/>
      <c r="TZ1271"/>
      <c r="UA1271"/>
      <c r="UB1271"/>
      <c r="UC1271"/>
      <c r="UD1271"/>
      <c r="UE1271"/>
      <c r="UF1271"/>
      <c r="UG1271"/>
      <c r="UH1271"/>
      <c r="UI1271"/>
      <c r="UJ1271"/>
      <c r="UK1271"/>
      <c r="UL1271"/>
      <c r="UM1271"/>
      <c r="UN1271"/>
      <c r="UO1271"/>
      <c r="UP1271"/>
      <c r="UQ1271"/>
      <c r="UR1271"/>
      <c r="US1271"/>
      <c r="UT1271"/>
      <c r="UU1271"/>
      <c r="UV1271"/>
      <c r="UW1271"/>
      <c r="UX1271"/>
      <c r="UY1271"/>
      <c r="UZ1271"/>
      <c r="VA1271"/>
      <c r="VB1271"/>
      <c r="VC1271"/>
      <c r="VD1271"/>
      <c r="VE1271"/>
      <c r="VF1271"/>
      <c r="VG1271"/>
      <c r="VH1271"/>
      <c r="VI1271"/>
      <c r="VJ1271"/>
      <c r="VK1271"/>
      <c r="VL1271"/>
      <c r="VM1271"/>
      <c r="VN1271"/>
      <c r="VO1271"/>
      <c r="VP1271"/>
      <c r="VQ1271"/>
      <c r="VR1271"/>
      <c r="VS1271"/>
      <c r="VT1271"/>
      <c r="VU1271"/>
      <c r="VV1271"/>
      <c r="VW1271"/>
      <c r="VX1271"/>
      <c r="VY1271"/>
      <c r="VZ1271"/>
      <c r="WA1271"/>
      <c r="WB1271"/>
      <c r="WC1271"/>
      <c r="WD1271"/>
      <c r="WE1271"/>
      <c r="WF1271"/>
      <c r="WG1271"/>
      <c r="WH1271"/>
      <c r="WI1271"/>
      <c r="WJ1271"/>
      <c r="WK1271"/>
      <c r="WL1271"/>
      <c r="WM1271"/>
      <c r="WN1271"/>
      <c r="WO1271"/>
      <c r="WP1271"/>
      <c r="WQ1271"/>
      <c r="WR1271"/>
      <c r="WS1271"/>
      <c r="WT1271"/>
      <c r="WU1271"/>
      <c r="WV1271"/>
      <c r="WW1271"/>
      <c r="WX1271"/>
      <c r="WY1271"/>
      <c r="WZ1271"/>
      <c r="XA1271"/>
      <c r="XB1271"/>
      <c r="XC1271"/>
      <c r="XD1271"/>
      <c r="XE1271"/>
      <c r="XF1271"/>
      <c r="XG1271"/>
      <c r="XH1271"/>
      <c r="XI1271"/>
      <c r="XJ1271"/>
      <c r="XK1271"/>
      <c r="XL1271"/>
      <c r="XM1271"/>
      <c r="XN1271"/>
      <c r="XO1271"/>
      <c r="XP1271"/>
      <c r="XQ1271"/>
      <c r="XR1271"/>
      <c r="XS1271"/>
      <c r="XT1271"/>
      <c r="XU1271"/>
      <c r="XV1271"/>
      <c r="XW1271"/>
      <c r="XX1271"/>
      <c r="XY1271"/>
      <c r="XZ1271"/>
      <c r="YA1271"/>
      <c r="YB1271"/>
      <c r="YC1271"/>
      <c r="YD1271"/>
      <c r="YE1271"/>
      <c r="YF1271"/>
      <c r="YG1271"/>
      <c r="YH1271"/>
      <c r="YI1271"/>
      <c r="YJ1271"/>
      <c r="YK1271"/>
      <c r="YL1271"/>
      <c r="YM1271"/>
      <c r="YN1271"/>
      <c r="YO1271"/>
      <c r="YP1271"/>
      <c r="YQ1271"/>
      <c r="YR1271"/>
      <c r="YS1271"/>
      <c r="YT1271"/>
      <c r="YU1271"/>
      <c r="YV1271"/>
      <c r="YW1271"/>
      <c r="YX1271"/>
      <c r="YY1271"/>
      <c r="YZ1271"/>
      <c r="ZA1271"/>
      <c r="ZB1271"/>
      <c r="ZC1271"/>
      <c r="ZD1271"/>
      <c r="ZE1271"/>
      <c r="ZF1271"/>
      <c r="ZG1271"/>
      <c r="ZH1271"/>
      <c r="ZI1271"/>
      <c r="ZJ1271"/>
      <c r="ZK1271"/>
      <c r="ZL1271"/>
      <c r="ZM1271"/>
      <c r="ZN1271"/>
      <c r="ZO1271"/>
      <c r="ZP1271"/>
      <c r="ZQ1271"/>
      <c r="ZR1271"/>
      <c r="ZS1271"/>
      <c r="ZT1271"/>
      <c r="ZU1271"/>
      <c r="ZV1271"/>
      <c r="ZW1271"/>
      <c r="ZX1271"/>
      <c r="ZY1271"/>
      <c r="ZZ1271"/>
      <c r="AAA1271"/>
      <c r="AAB1271"/>
      <c r="AAC1271"/>
      <c r="AAD1271"/>
      <c r="AAE1271"/>
      <c r="AAF1271"/>
      <c r="AAG1271"/>
      <c r="AAH1271"/>
      <c r="AAI1271"/>
      <c r="AAJ1271"/>
      <c r="AAK1271"/>
      <c r="AAL1271"/>
      <c r="AAM1271"/>
      <c r="AAN1271"/>
      <c r="AAO1271"/>
      <c r="AAP1271"/>
      <c r="AAQ1271"/>
      <c r="AAR1271"/>
      <c r="AAS1271"/>
      <c r="AAT1271"/>
      <c r="AAU1271"/>
      <c r="AAV1271"/>
      <c r="AAW1271"/>
      <c r="AAX1271"/>
      <c r="AAY1271"/>
      <c r="AAZ1271"/>
      <c r="ABA1271"/>
      <c r="ABB1271"/>
      <c r="ABC1271"/>
      <c r="ABD1271"/>
      <c r="ABE1271"/>
      <c r="ABF1271"/>
      <c r="ABG1271"/>
      <c r="ABH1271"/>
      <c r="ABI1271"/>
      <c r="ABJ1271"/>
      <c r="ABK1271"/>
      <c r="ABL1271"/>
      <c r="ABM1271"/>
      <c r="ABN1271"/>
      <c r="ABO1271"/>
      <c r="ABP1271"/>
      <c r="ABQ1271"/>
      <c r="ABR1271"/>
      <c r="ABS1271"/>
      <c r="ABT1271"/>
      <c r="ABU1271"/>
      <c r="ABV1271"/>
      <c r="ABW1271"/>
      <c r="ABX1271"/>
      <c r="ABY1271"/>
      <c r="ABZ1271"/>
      <c r="ACA1271"/>
      <c r="ACB1271"/>
      <c r="ACC1271"/>
      <c r="ACD1271"/>
      <c r="ACE1271"/>
      <c r="ACF1271"/>
      <c r="ACG1271"/>
      <c r="ACH1271"/>
      <c r="ACI1271"/>
      <c r="ACJ1271"/>
      <c r="ACK1271"/>
      <c r="ACL1271"/>
      <c r="ACM1271"/>
      <c r="ACN1271"/>
      <c r="ACO1271"/>
      <c r="ACP1271"/>
      <c r="ACQ1271"/>
      <c r="ACR1271"/>
      <c r="ACS1271"/>
      <c r="ACT1271"/>
      <c r="ACU1271"/>
      <c r="ACV1271"/>
      <c r="ACW1271"/>
      <c r="ACX1271"/>
      <c r="ACY1271"/>
      <c r="ACZ1271"/>
      <c r="ADA1271"/>
      <c r="ADB1271"/>
      <c r="ADC1271"/>
      <c r="ADD1271"/>
      <c r="ADE1271"/>
      <c r="ADF1271"/>
      <c r="ADG1271"/>
      <c r="ADH1271"/>
      <c r="ADI1271"/>
      <c r="ADJ1271"/>
      <c r="ADK1271"/>
      <c r="ADL1271"/>
      <c r="ADM1271"/>
      <c r="ADN1271"/>
      <c r="ADO1271"/>
      <c r="ADP1271"/>
      <c r="ADQ1271"/>
      <c r="ADR1271"/>
      <c r="ADS1271"/>
      <c r="ADT1271"/>
      <c r="ADU1271"/>
      <c r="ADV1271"/>
      <c r="ADW1271"/>
      <c r="ADX1271"/>
      <c r="ADY1271"/>
      <c r="ADZ1271"/>
      <c r="AEA1271"/>
      <c r="AEB1271"/>
      <c r="AEC1271"/>
      <c r="AED1271"/>
      <c r="AEE1271"/>
      <c r="AEF1271"/>
      <c r="AEG1271"/>
      <c r="AEH1271"/>
      <c r="AEI1271"/>
      <c r="AEJ1271"/>
      <c r="AEK1271"/>
      <c r="AEL1271"/>
      <c r="AEM1271"/>
      <c r="AEN1271"/>
      <c r="AEO1271"/>
      <c r="AEP1271"/>
      <c r="AEQ1271"/>
      <c r="AER1271"/>
      <c r="AES1271"/>
      <c r="AET1271"/>
      <c r="AEU1271"/>
      <c r="AEV1271"/>
      <c r="AEW1271"/>
      <c r="AEX1271"/>
      <c r="AEY1271"/>
      <c r="AEZ1271"/>
      <c r="AFA1271"/>
      <c r="AFB1271"/>
      <c r="AFC1271"/>
      <c r="AFD1271"/>
      <c r="AFE1271"/>
      <c r="AFF1271"/>
      <c r="AFG1271"/>
      <c r="AFH1271"/>
      <c r="AFI1271"/>
      <c r="AFJ1271"/>
      <c r="AFK1271"/>
      <c r="AFL1271"/>
      <c r="AFM1271"/>
      <c r="AFN1271"/>
      <c r="AFO1271"/>
      <c r="AFP1271"/>
      <c r="AFQ1271"/>
      <c r="AFR1271"/>
      <c r="AFS1271"/>
      <c r="AFT1271"/>
      <c r="AFU1271"/>
      <c r="AFV1271"/>
      <c r="AFW1271"/>
      <c r="AFX1271"/>
      <c r="AFY1271"/>
      <c r="AFZ1271"/>
      <c r="AGA1271"/>
      <c r="AGB1271"/>
      <c r="AGC1271"/>
      <c r="AGD1271"/>
      <c r="AGE1271"/>
      <c r="AGF1271"/>
      <c r="AGG1271"/>
      <c r="AGH1271"/>
      <c r="AGI1271"/>
      <c r="AGJ1271"/>
      <c r="AGK1271"/>
      <c r="AGL1271"/>
      <c r="AGM1271"/>
      <c r="AGN1271"/>
      <c r="AGO1271"/>
      <c r="AGP1271"/>
      <c r="AGQ1271"/>
      <c r="AGR1271"/>
      <c r="AGS1271"/>
      <c r="AGT1271"/>
      <c r="AGU1271"/>
      <c r="AGV1271"/>
      <c r="AGW1271"/>
      <c r="AGX1271"/>
      <c r="AGY1271"/>
      <c r="AGZ1271"/>
      <c r="AHA1271"/>
      <c r="AHB1271"/>
      <c r="AHC1271"/>
      <c r="AHD1271"/>
      <c r="AHE1271"/>
      <c r="AHF1271"/>
      <c r="AHG1271"/>
      <c r="AHH1271"/>
      <c r="AHI1271"/>
      <c r="AHJ1271"/>
      <c r="AHK1271"/>
      <c r="AHL1271"/>
      <c r="AHM1271"/>
      <c r="AHN1271"/>
      <c r="AHO1271"/>
      <c r="AHP1271"/>
      <c r="AHQ1271"/>
      <c r="AHR1271"/>
      <c r="AHS1271"/>
      <c r="AHT1271"/>
      <c r="AHU1271"/>
      <c r="AHV1271"/>
      <c r="AHW1271"/>
      <c r="AHX1271"/>
      <c r="AHY1271"/>
      <c r="AHZ1271"/>
      <c r="AIA1271"/>
      <c r="AIB1271"/>
      <c r="AIC1271"/>
      <c r="AID1271"/>
      <c r="AIE1271"/>
      <c r="AIF1271"/>
      <c r="AIG1271"/>
      <c r="AIH1271"/>
      <c r="AII1271"/>
      <c r="AIJ1271"/>
      <c r="AIK1271"/>
      <c r="AIL1271"/>
      <c r="AIM1271"/>
      <c r="AIN1271"/>
      <c r="AIO1271"/>
      <c r="AIP1271"/>
      <c r="AIQ1271"/>
      <c r="AIR1271"/>
      <c r="AIS1271"/>
      <c r="AIT1271"/>
      <c r="AIU1271"/>
      <c r="AIV1271"/>
      <c r="AIW1271"/>
      <c r="AIX1271"/>
      <c r="AIY1271"/>
      <c r="AIZ1271"/>
      <c r="AJA1271"/>
      <c r="AJB1271"/>
      <c r="AJC1271"/>
      <c r="AJD1271"/>
      <c r="AJE1271"/>
      <c r="AJF1271"/>
      <c r="AJG1271"/>
      <c r="AJH1271"/>
      <c r="AJI1271"/>
      <c r="AJJ1271"/>
      <c r="AJK1271"/>
      <c r="AJL1271"/>
      <c r="AJM1271"/>
      <c r="AJN1271"/>
      <c r="AJO1271"/>
      <c r="AJP1271"/>
      <c r="AJQ1271"/>
      <c r="AJR1271"/>
      <c r="AJS1271"/>
      <c r="AJT1271"/>
      <c r="AJU1271"/>
      <c r="AJV1271"/>
      <c r="AJW1271"/>
      <c r="AJX1271"/>
      <c r="AJY1271"/>
      <c r="AJZ1271"/>
      <c r="AKA1271"/>
      <c r="AKB1271"/>
      <c r="AKC1271"/>
      <c r="AKD1271"/>
      <c r="AKE1271"/>
      <c r="AKF1271"/>
      <c r="AKG1271"/>
      <c r="AKH1271"/>
      <c r="AKI1271"/>
      <c r="AKJ1271"/>
      <c r="AKK1271"/>
      <c r="AKL1271"/>
      <c r="AKM1271"/>
      <c r="AKN1271"/>
      <c r="AKO1271"/>
      <c r="AKP1271"/>
      <c r="AKQ1271"/>
      <c r="AKR1271"/>
      <c r="AKS1271"/>
      <c r="AKT1271"/>
      <c r="AKU1271"/>
      <c r="AKV1271"/>
      <c r="AKW1271"/>
      <c r="AKX1271"/>
      <c r="AKY1271"/>
      <c r="AKZ1271"/>
      <c r="ALA1271"/>
      <c r="ALB1271"/>
      <c r="ALC1271"/>
      <c r="ALD1271"/>
      <c r="ALE1271"/>
      <c r="ALF1271"/>
      <c r="ALG1271"/>
      <c r="ALH1271"/>
      <c r="ALI1271"/>
      <c r="ALJ1271"/>
      <c r="ALK1271"/>
      <c r="ALL1271"/>
      <c r="ALM1271"/>
      <c r="ALN1271"/>
      <c r="ALO1271"/>
      <c r="ALP1271"/>
      <c r="ALQ1271"/>
      <c r="ALR1271"/>
      <c r="ALS1271"/>
      <c r="ALT1271"/>
    </row>
    <row r="1272" spans="1:1008" x14ac:dyDescent="0.15">
      <c r="A1272" t="s">
        <v>4105</v>
      </c>
      <c r="B1272" s="8" t="s">
        <v>4076</v>
      </c>
      <c r="C1272" t="s">
        <v>4105</v>
      </c>
      <c r="D1272" s="8" t="s">
        <v>15</v>
      </c>
      <c r="E1272" t="s">
        <v>4105</v>
      </c>
      <c r="F1272" s="8" t="s">
        <v>4106</v>
      </c>
      <c r="G1272">
        <v>550</v>
      </c>
      <c r="H1272"/>
      <c r="I1272"/>
      <c r="J1272"/>
      <c r="K1272"/>
      <c r="L1272"/>
      <c r="M1272"/>
      <c r="N1272"/>
      <c r="O1272"/>
      <c r="P1272"/>
      <c r="Q1272"/>
      <c r="R1272"/>
      <c r="S1272"/>
      <c r="T1272"/>
      <c r="U1272"/>
      <c r="V1272"/>
      <c r="W1272"/>
      <c r="X1272"/>
      <c r="Y1272"/>
      <c r="Z1272"/>
      <c r="AA1272"/>
      <c r="AB1272"/>
      <c r="AC1272"/>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c r="BR1272"/>
      <c r="BS1272"/>
      <c r="BT1272"/>
      <c r="BU1272"/>
      <c r="BV1272"/>
      <c r="BW1272"/>
      <c r="BX1272"/>
      <c r="BY1272"/>
      <c r="BZ1272"/>
      <c r="CA1272"/>
      <c r="CB1272"/>
      <c r="CC1272"/>
      <c r="CD1272"/>
      <c r="CE1272"/>
      <c r="CF1272"/>
      <c r="CG1272"/>
      <c r="CH1272"/>
      <c r="CI1272"/>
      <c r="CJ1272"/>
      <c r="CK1272"/>
      <c r="CL1272"/>
      <c r="CM1272"/>
      <c r="CN1272"/>
      <c r="CO1272"/>
      <c r="CP1272"/>
      <c r="CQ1272"/>
      <c r="CR1272"/>
      <c r="CS1272"/>
      <c r="CT1272"/>
      <c r="CU1272"/>
      <c r="CV1272"/>
      <c r="CW1272"/>
      <c r="CX1272"/>
      <c r="CY1272"/>
      <c r="CZ1272"/>
      <c r="DA1272"/>
      <c r="DB1272"/>
      <c r="DC1272"/>
      <c r="DD1272"/>
      <c r="DE1272"/>
      <c r="DF1272"/>
      <c r="DG1272"/>
      <c r="DH1272"/>
      <c r="DI1272"/>
      <c r="DJ1272"/>
      <c r="DK1272"/>
      <c r="DL1272"/>
      <c r="DM1272"/>
      <c r="DN1272"/>
      <c r="DO1272"/>
      <c r="DP1272"/>
      <c r="DQ1272"/>
      <c r="DR1272"/>
      <c r="DS1272"/>
      <c r="DT1272"/>
      <c r="DU1272"/>
      <c r="DV1272"/>
      <c r="DW1272"/>
      <c r="DX1272"/>
      <c r="DY1272"/>
      <c r="DZ1272"/>
      <c r="EA1272"/>
      <c r="EB1272"/>
      <c r="EC1272"/>
      <c r="ED1272"/>
      <c r="EE1272"/>
      <c r="EF1272"/>
      <c r="EG1272"/>
      <c r="EH1272"/>
      <c r="EI1272"/>
      <c r="EJ1272"/>
      <c r="EK1272"/>
      <c r="EL1272"/>
      <c r="EM1272"/>
      <c r="EN1272"/>
      <c r="EO1272"/>
      <c r="EP1272"/>
      <c r="EQ1272"/>
      <c r="ER1272"/>
      <c r="ES1272"/>
      <c r="ET1272"/>
      <c r="EU1272"/>
      <c r="EV1272"/>
      <c r="EW1272"/>
      <c r="EX1272"/>
      <c r="EY1272"/>
      <c r="EZ1272"/>
      <c r="FA1272"/>
      <c r="FB1272"/>
      <c r="FC1272"/>
      <c r="FD1272"/>
      <c r="FE1272"/>
      <c r="FF1272"/>
      <c r="FG1272"/>
      <c r="FH1272"/>
      <c r="FI1272"/>
      <c r="FJ1272"/>
      <c r="FK1272"/>
      <c r="FL1272"/>
      <c r="FM1272"/>
      <c r="FN1272"/>
      <c r="FO1272"/>
      <c r="FP1272"/>
      <c r="FQ1272"/>
      <c r="FR1272"/>
      <c r="FS1272"/>
      <c r="FT1272"/>
      <c r="FU1272"/>
      <c r="FV1272"/>
      <c r="FW1272"/>
      <c r="FX1272"/>
      <c r="FY1272"/>
      <c r="FZ1272"/>
      <c r="GA1272"/>
      <c r="GB1272"/>
      <c r="GC1272"/>
      <c r="GD1272"/>
      <c r="GE1272"/>
      <c r="GF1272"/>
      <c r="GG1272"/>
      <c r="GH1272"/>
      <c r="GI1272"/>
      <c r="GJ1272"/>
      <c r="GK1272"/>
      <c r="GL1272"/>
      <c r="GM1272"/>
      <c r="GN1272"/>
      <c r="GO1272"/>
      <c r="GP1272"/>
      <c r="GQ1272"/>
      <c r="GR1272"/>
      <c r="GS1272"/>
      <c r="GT1272"/>
      <c r="GU1272"/>
      <c r="GV1272"/>
      <c r="GW1272"/>
      <c r="GX1272"/>
      <c r="GY1272"/>
      <c r="GZ1272"/>
      <c r="HA1272"/>
      <c r="HB1272"/>
      <c r="HC1272"/>
      <c r="HD1272"/>
      <c r="HE1272"/>
      <c r="HF1272"/>
      <c r="HG1272"/>
      <c r="HH1272"/>
      <c r="HI1272"/>
      <c r="HJ1272"/>
      <c r="HK1272"/>
      <c r="HL1272"/>
      <c r="HM1272"/>
      <c r="HN1272"/>
      <c r="HO1272"/>
      <c r="HP1272"/>
      <c r="HQ1272"/>
      <c r="HR1272"/>
      <c r="HS1272"/>
      <c r="HT1272"/>
      <c r="HU1272"/>
      <c r="HV1272"/>
      <c r="HW1272"/>
      <c r="HX1272"/>
      <c r="HY1272"/>
      <c r="HZ1272"/>
      <c r="IA1272"/>
      <c r="IB1272"/>
      <c r="IC1272"/>
      <c r="ID1272"/>
      <c r="IE1272"/>
      <c r="IF1272"/>
      <c r="IG1272"/>
      <c r="IH1272"/>
      <c r="II1272"/>
      <c r="IJ1272"/>
      <c r="IK1272"/>
      <c r="IL1272"/>
      <c r="IM1272"/>
      <c r="IN1272"/>
      <c r="IO1272"/>
      <c r="IP1272"/>
      <c r="IQ1272"/>
      <c r="IR1272"/>
      <c r="IS1272"/>
      <c r="IT1272"/>
      <c r="IU1272"/>
      <c r="IV1272"/>
      <c r="IW1272"/>
      <c r="IX1272"/>
      <c r="IY1272"/>
      <c r="IZ1272"/>
      <c r="JA1272"/>
      <c r="JB1272"/>
      <c r="JC1272"/>
      <c r="JD1272"/>
      <c r="JE1272"/>
      <c r="JF1272"/>
      <c r="JG1272"/>
      <c r="JH1272"/>
      <c r="JI1272"/>
      <c r="JJ1272"/>
      <c r="JK1272"/>
      <c r="JL1272"/>
      <c r="JM1272"/>
      <c r="JN1272"/>
      <c r="JO1272"/>
      <c r="JP1272"/>
      <c r="JQ1272"/>
      <c r="JR1272"/>
      <c r="JS1272"/>
      <c r="JT1272"/>
      <c r="JU1272"/>
      <c r="JV1272"/>
      <c r="JW1272"/>
      <c r="JX1272"/>
      <c r="JY1272"/>
      <c r="JZ1272"/>
      <c r="KA1272"/>
      <c r="KB1272"/>
      <c r="KC1272"/>
      <c r="KD1272"/>
      <c r="KE1272"/>
      <c r="KF1272"/>
      <c r="KG1272"/>
      <c r="KH1272"/>
      <c r="KI1272"/>
      <c r="KJ1272"/>
      <c r="KK1272"/>
      <c r="KL1272"/>
      <c r="KM1272"/>
      <c r="KN1272"/>
      <c r="KO1272"/>
      <c r="KP1272"/>
      <c r="KQ1272"/>
      <c r="KR1272"/>
      <c r="KS1272"/>
      <c r="KT1272"/>
      <c r="KU1272"/>
      <c r="KV1272"/>
      <c r="KW1272"/>
      <c r="KX1272"/>
      <c r="KY1272"/>
      <c r="KZ1272"/>
      <c r="LA1272"/>
      <c r="LB1272"/>
      <c r="LC1272"/>
      <c r="LD1272"/>
      <c r="LE1272"/>
      <c r="LF1272"/>
      <c r="LG1272"/>
      <c r="LH1272"/>
      <c r="LI1272"/>
      <c r="LJ1272"/>
      <c r="LK1272"/>
      <c r="LL1272"/>
      <c r="LM1272"/>
      <c r="LN1272"/>
      <c r="LO1272"/>
      <c r="LP1272"/>
      <c r="LQ1272"/>
      <c r="LR1272"/>
      <c r="LS1272"/>
      <c r="LT1272"/>
      <c r="LU1272"/>
      <c r="LV1272"/>
      <c r="LW1272"/>
      <c r="LX1272"/>
      <c r="LY1272"/>
      <c r="LZ1272"/>
      <c r="MA1272"/>
      <c r="MB1272"/>
      <c r="MC1272"/>
      <c r="MD1272"/>
      <c r="ME1272"/>
      <c r="MF1272"/>
      <c r="MG1272"/>
      <c r="MH1272"/>
      <c r="MI1272"/>
      <c r="MJ1272"/>
      <c r="MK1272"/>
      <c r="ML1272"/>
      <c r="MM1272"/>
      <c r="MN1272"/>
      <c r="MO1272"/>
      <c r="MP1272"/>
      <c r="MQ1272"/>
      <c r="MR1272"/>
      <c r="MS1272"/>
      <c r="MT1272"/>
      <c r="MU1272"/>
      <c r="MV1272"/>
      <c r="MW1272"/>
      <c r="MX1272"/>
      <c r="MY1272"/>
      <c r="MZ1272"/>
      <c r="NA1272"/>
      <c r="NB1272"/>
      <c r="NC1272"/>
      <c r="ND1272"/>
      <c r="NE1272"/>
      <c r="NF1272"/>
      <c r="NG1272"/>
      <c r="NH1272"/>
      <c r="NI1272"/>
      <c r="NJ1272"/>
      <c r="NK1272"/>
      <c r="NL1272"/>
      <c r="NM1272"/>
      <c r="NN1272"/>
      <c r="NO1272"/>
      <c r="NP1272"/>
      <c r="NQ1272"/>
      <c r="NR1272"/>
      <c r="NS1272"/>
      <c r="NT1272"/>
      <c r="NU1272"/>
      <c r="NV1272"/>
      <c r="NW1272"/>
      <c r="NX1272"/>
      <c r="NY1272"/>
      <c r="NZ1272"/>
      <c r="OA1272"/>
      <c r="OB1272"/>
      <c r="OC1272"/>
      <c r="OD1272"/>
      <c r="OE1272"/>
      <c r="OF1272"/>
      <c r="OG1272"/>
      <c r="OH1272"/>
      <c r="OI1272"/>
      <c r="OJ1272"/>
      <c r="OK1272"/>
      <c r="OL1272"/>
      <c r="OM1272"/>
      <c r="ON1272"/>
      <c r="OO1272"/>
      <c r="OP1272"/>
      <c r="OQ1272"/>
      <c r="OR1272"/>
      <c r="OS1272"/>
      <c r="OT1272"/>
      <c r="OU1272"/>
      <c r="OV1272"/>
      <c r="OW1272"/>
      <c r="OX1272"/>
      <c r="OY1272"/>
      <c r="OZ1272"/>
      <c r="PA1272"/>
      <c r="PB1272"/>
      <c r="PC1272"/>
      <c r="PD1272"/>
      <c r="PE1272"/>
      <c r="PF1272"/>
      <c r="PG1272"/>
      <c r="PH1272"/>
      <c r="PI1272"/>
      <c r="PJ1272"/>
      <c r="PK1272"/>
      <c r="PL1272"/>
      <c r="PM1272"/>
      <c r="PN1272"/>
      <c r="PO1272"/>
      <c r="PP1272"/>
      <c r="PQ1272"/>
      <c r="PR1272"/>
      <c r="PS1272"/>
      <c r="PT1272"/>
      <c r="PU1272"/>
      <c r="PV1272"/>
      <c r="PW1272"/>
      <c r="PX1272"/>
      <c r="PY1272"/>
      <c r="PZ1272"/>
      <c r="QA1272"/>
      <c r="QB1272"/>
      <c r="QC1272"/>
      <c r="QD1272"/>
      <c r="QE1272"/>
      <c r="QF1272"/>
      <c r="QG1272"/>
      <c r="QH1272"/>
      <c r="QI1272"/>
      <c r="QJ1272"/>
      <c r="QK1272"/>
      <c r="QL1272"/>
      <c r="QM1272"/>
      <c r="QN1272"/>
      <c r="QO1272"/>
      <c r="QP1272"/>
      <c r="QQ1272"/>
      <c r="QR1272"/>
      <c r="QS1272"/>
      <c r="QT1272"/>
      <c r="QU1272"/>
      <c r="QV1272"/>
      <c r="QW1272"/>
      <c r="QX1272"/>
      <c r="QY1272"/>
      <c r="QZ1272"/>
      <c r="RA1272"/>
      <c r="RB1272"/>
      <c r="RC1272"/>
      <c r="RD1272"/>
      <c r="RE1272"/>
      <c r="RF1272"/>
      <c r="RG1272"/>
      <c r="RH1272"/>
      <c r="RI1272"/>
      <c r="RJ1272"/>
      <c r="RK1272"/>
      <c r="RL1272"/>
      <c r="RM1272"/>
      <c r="RN1272"/>
      <c r="RO1272"/>
      <c r="RP1272"/>
      <c r="RQ1272"/>
      <c r="RR1272"/>
      <c r="RS1272"/>
      <c r="RT1272"/>
      <c r="RU1272"/>
      <c r="RV1272"/>
      <c r="RW1272"/>
      <c r="RX1272"/>
      <c r="RY1272"/>
      <c r="RZ1272"/>
      <c r="SA1272"/>
      <c r="SB1272"/>
      <c r="SC1272"/>
      <c r="SD1272"/>
      <c r="SE1272"/>
      <c r="SF1272"/>
      <c r="SG1272"/>
      <c r="SH1272"/>
      <c r="SI1272"/>
      <c r="SJ1272"/>
      <c r="SK1272"/>
      <c r="SL1272"/>
      <c r="SM1272"/>
      <c r="SN1272"/>
      <c r="SO1272"/>
      <c r="SP1272"/>
      <c r="SQ1272"/>
      <c r="SR1272"/>
      <c r="SS1272"/>
      <c r="ST1272"/>
      <c r="SU1272"/>
      <c r="SV1272"/>
      <c r="SW1272"/>
      <c r="SX1272"/>
      <c r="SY1272"/>
      <c r="SZ1272"/>
      <c r="TA1272"/>
      <c r="TB1272"/>
      <c r="TC1272"/>
      <c r="TD1272"/>
      <c r="TE1272"/>
      <c r="TF1272"/>
      <c r="TG1272"/>
      <c r="TH1272"/>
      <c r="TI1272"/>
      <c r="TJ1272"/>
      <c r="TK1272"/>
      <c r="TL1272"/>
      <c r="TM1272"/>
      <c r="TN1272"/>
      <c r="TO1272"/>
      <c r="TP1272"/>
      <c r="TQ1272"/>
      <c r="TR1272"/>
      <c r="TS1272"/>
      <c r="TT1272"/>
      <c r="TU1272"/>
      <c r="TV1272"/>
      <c r="TW1272"/>
      <c r="TX1272"/>
      <c r="TY1272"/>
      <c r="TZ1272"/>
      <c r="UA1272"/>
      <c r="UB1272"/>
      <c r="UC1272"/>
      <c r="UD1272"/>
      <c r="UE1272"/>
      <c r="UF1272"/>
      <c r="UG1272"/>
      <c r="UH1272"/>
      <c r="UI1272"/>
      <c r="UJ1272"/>
      <c r="UK1272"/>
      <c r="UL1272"/>
      <c r="UM1272"/>
      <c r="UN1272"/>
      <c r="UO1272"/>
      <c r="UP1272"/>
      <c r="UQ1272"/>
      <c r="UR1272"/>
      <c r="US1272"/>
      <c r="UT1272"/>
      <c r="UU1272"/>
      <c r="UV1272"/>
      <c r="UW1272"/>
      <c r="UX1272"/>
      <c r="UY1272"/>
      <c r="UZ1272"/>
      <c r="VA1272"/>
      <c r="VB1272"/>
      <c r="VC1272"/>
      <c r="VD1272"/>
      <c r="VE1272"/>
      <c r="VF1272"/>
      <c r="VG1272"/>
      <c r="VH1272"/>
      <c r="VI1272"/>
      <c r="VJ1272"/>
      <c r="VK1272"/>
      <c r="VL1272"/>
      <c r="VM1272"/>
      <c r="VN1272"/>
      <c r="VO1272"/>
      <c r="VP1272"/>
      <c r="VQ1272"/>
      <c r="VR1272"/>
      <c r="VS1272"/>
      <c r="VT1272"/>
      <c r="VU1272"/>
      <c r="VV1272"/>
      <c r="VW1272"/>
      <c r="VX1272"/>
      <c r="VY1272"/>
      <c r="VZ1272"/>
      <c r="WA1272"/>
      <c r="WB1272"/>
      <c r="WC1272"/>
      <c r="WD1272"/>
      <c r="WE1272"/>
      <c r="WF1272"/>
      <c r="WG1272"/>
      <c r="WH1272"/>
      <c r="WI1272"/>
      <c r="WJ1272"/>
      <c r="WK1272"/>
      <c r="WL1272"/>
      <c r="WM1272"/>
      <c r="WN1272"/>
      <c r="WO1272"/>
      <c r="WP1272"/>
      <c r="WQ1272"/>
      <c r="WR1272"/>
      <c r="WS1272"/>
      <c r="WT1272"/>
      <c r="WU1272"/>
      <c r="WV1272"/>
      <c r="WW1272"/>
      <c r="WX1272"/>
      <c r="WY1272"/>
      <c r="WZ1272"/>
      <c r="XA1272"/>
      <c r="XB1272"/>
      <c r="XC1272"/>
      <c r="XD1272"/>
      <c r="XE1272"/>
      <c r="XF1272"/>
      <c r="XG1272"/>
      <c r="XH1272"/>
      <c r="XI1272"/>
      <c r="XJ1272"/>
      <c r="XK1272"/>
      <c r="XL1272"/>
      <c r="XM1272"/>
      <c r="XN1272"/>
      <c r="XO1272"/>
      <c r="XP1272"/>
      <c r="XQ1272"/>
      <c r="XR1272"/>
      <c r="XS1272"/>
      <c r="XT1272"/>
      <c r="XU1272"/>
      <c r="XV1272"/>
      <c r="XW1272"/>
      <c r="XX1272"/>
      <c r="XY1272"/>
      <c r="XZ1272"/>
      <c r="YA1272"/>
      <c r="YB1272"/>
      <c r="YC1272"/>
      <c r="YD1272"/>
      <c r="YE1272"/>
      <c r="YF1272"/>
      <c r="YG1272"/>
      <c r="YH1272"/>
      <c r="YI1272"/>
      <c r="YJ1272"/>
      <c r="YK1272"/>
      <c r="YL1272"/>
      <c r="YM1272"/>
      <c r="YN1272"/>
      <c r="YO1272"/>
      <c r="YP1272"/>
      <c r="YQ1272"/>
      <c r="YR1272"/>
      <c r="YS1272"/>
      <c r="YT1272"/>
      <c r="YU1272"/>
      <c r="YV1272"/>
      <c r="YW1272"/>
      <c r="YX1272"/>
      <c r="YY1272"/>
      <c r="YZ1272"/>
      <c r="ZA1272"/>
      <c r="ZB1272"/>
      <c r="ZC1272"/>
      <c r="ZD1272"/>
      <c r="ZE1272"/>
      <c r="ZF1272"/>
      <c r="ZG1272"/>
      <c r="ZH1272"/>
      <c r="ZI1272"/>
      <c r="ZJ1272"/>
      <c r="ZK1272"/>
      <c r="ZL1272"/>
      <c r="ZM1272"/>
      <c r="ZN1272"/>
      <c r="ZO1272"/>
      <c r="ZP1272"/>
      <c r="ZQ1272"/>
      <c r="ZR1272"/>
      <c r="ZS1272"/>
      <c r="ZT1272"/>
      <c r="ZU1272"/>
      <c r="ZV1272"/>
      <c r="ZW1272"/>
      <c r="ZX1272"/>
      <c r="ZY1272"/>
      <c r="ZZ1272"/>
      <c r="AAA1272"/>
      <c r="AAB1272"/>
      <c r="AAC1272"/>
      <c r="AAD1272"/>
      <c r="AAE1272"/>
      <c r="AAF1272"/>
      <c r="AAG1272"/>
      <c r="AAH1272"/>
      <c r="AAI1272"/>
      <c r="AAJ1272"/>
      <c r="AAK1272"/>
      <c r="AAL1272"/>
      <c r="AAM1272"/>
      <c r="AAN1272"/>
      <c r="AAO1272"/>
      <c r="AAP1272"/>
      <c r="AAQ1272"/>
      <c r="AAR1272"/>
      <c r="AAS1272"/>
      <c r="AAT1272"/>
      <c r="AAU1272"/>
      <c r="AAV1272"/>
      <c r="AAW1272"/>
      <c r="AAX1272"/>
      <c r="AAY1272"/>
      <c r="AAZ1272"/>
      <c r="ABA1272"/>
      <c r="ABB1272"/>
      <c r="ABC1272"/>
      <c r="ABD1272"/>
      <c r="ABE1272"/>
      <c r="ABF1272"/>
      <c r="ABG1272"/>
      <c r="ABH1272"/>
      <c r="ABI1272"/>
      <c r="ABJ1272"/>
      <c r="ABK1272"/>
      <c r="ABL1272"/>
      <c r="ABM1272"/>
      <c r="ABN1272"/>
      <c r="ABO1272"/>
      <c r="ABP1272"/>
      <c r="ABQ1272"/>
      <c r="ABR1272"/>
      <c r="ABS1272"/>
      <c r="ABT1272"/>
      <c r="ABU1272"/>
      <c r="ABV1272"/>
      <c r="ABW1272"/>
      <c r="ABX1272"/>
      <c r="ABY1272"/>
      <c r="ABZ1272"/>
      <c r="ACA1272"/>
      <c r="ACB1272"/>
      <c r="ACC1272"/>
      <c r="ACD1272"/>
      <c r="ACE1272"/>
      <c r="ACF1272"/>
      <c r="ACG1272"/>
      <c r="ACH1272"/>
      <c r="ACI1272"/>
      <c r="ACJ1272"/>
      <c r="ACK1272"/>
      <c r="ACL1272"/>
      <c r="ACM1272"/>
      <c r="ACN1272"/>
      <c r="ACO1272"/>
      <c r="ACP1272"/>
      <c r="ACQ1272"/>
      <c r="ACR1272"/>
      <c r="ACS1272"/>
      <c r="ACT1272"/>
      <c r="ACU1272"/>
      <c r="ACV1272"/>
      <c r="ACW1272"/>
      <c r="ACX1272"/>
      <c r="ACY1272"/>
      <c r="ACZ1272"/>
      <c r="ADA1272"/>
      <c r="ADB1272"/>
      <c r="ADC1272"/>
      <c r="ADD1272"/>
      <c r="ADE1272"/>
      <c r="ADF1272"/>
      <c r="ADG1272"/>
      <c r="ADH1272"/>
      <c r="ADI1272"/>
      <c r="ADJ1272"/>
      <c r="ADK1272"/>
      <c r="ADL1272"/>
      <c r="ADM1272"/>
      <c r="ADN1272"/>
      <c r="ADO1272"/>
      <c r="ADP1272"/>
      <c r="ADQ1272"/>
      <c r="ADR1272"/>
      <c r="ADS1272"/>
      <c r="ADT1272"/>
      <c r="ADU1272"/>
      <c r="ADV1272"/>
      <c r="ADW1272"/>
      <c r="ADX1272"/>
      <c r="ADY1272"/>
      <c r="ADZ1272"/>
      <c r="AEA1272"/>
      <c r="AEB1272"/>
      <c r="AEC1272"/>
      <c r="AED1272"/>
      <c r="AEE1272"/>
      <c r="AEF1272"/>
      <c r="AEG1272"/>
      <c r="AEH1272"/>
      <c r="AEI1272"/>
      <c r="AEJ1272"/>
      <c r="AEK1272"/>
      <c r="AEL1272"/>
      <c r="AEM1272"/>
      <c r="AEN1272"/>
      <c r="AEO1272"/>
      <c r="AEP1272"/>
      <c r="AEQ1272"/>
      <c r="AER1272"/>
      <c r="AES1272"/>
      <c r="AET1272"/>
      <c r="AEU1272"/>
      <c r="AEV1272"/>
      <c r="AEW1272"/>
      <c r="AEX1272"/>
      <c r="AEY1272"/>
      <c r="AEZ1272"/>
      <c r="AFA1272"/>
      <c r="AFB1272"/>
      <c r="AFC1272"/>
      <c r="AFD1272"/>
      <c r="AFE1272"/>
      <c r="AFF1272"/>
      <c r="AFG1272"/>
      <c r="AFH1272"/>
      <c r="AFI1272"/>
      <c r="AFJ1272"/>
      <c r="AFK1272"/>
      <c r="AFL1272"/>
      <c r="AFM1272"/>
      <c r="AFN1272"/>
      <c r="AFO1272"/>
      <c r="AFP1272"/>
      <c r="AFQ1272"/>
      <c r="AFR1272"/>
      <c r="AFS1272"/>
      <c r="AFT1272"/>
      <c r="AFU1272"/>
      <c r="AFV1272"/>
      <c r="AFW1272"/>
      <c r="AFX1272"/>
      <c r="AFY1272"/>
      <c r="AFZ1272"/>
      <c r="AGA1272"/>
      <c r="AGB1272"/>
      <c r="AGC1272"/>
      <c r="AGD1272"/>
      <c r="AGE1272"/>
      <c r="AGF1272"/>
      <c r="AGG1272"/>
      <c r="AGH1272"/>
      <c r="AGI1272"/>
      <c r="AGJ1272"/>
      <c r="AGK1272"/>
      <c r="AGL1272"/>
      <c r="AGM1272"/>
      <c r="AGN1272"/>
      <c r="AGO1272"/>
      <c r="AGP1272"/>
      <c r="AGQ1272"/>
      <c r="AGR1272"/>
      <c r="AGS1272"/>
      <c r="AGT1272"/>
      <c r="AGU1272"/>
      <c r="AGV1272"/>
      <c r="AGW1272"/>
      <c r="AGX1272"/>
      <c r="AGY1272"/>
      <c r="AGZ1272"/>
      <c r="AHA1272"/>
      <c r="AHB1272"/>
      <c r="AHC1272"/>
      <c r="AHD1272"/>
      <c r="AHE1272"/>
      <c r="AHF1272"/>
      <c r="AHG1272"/>
      <c r="AHH1272"/>
      <c r="AHI1272"/>
      <c r="AHJ1272"/>
      <c r="AHK1272"/>
      <c r="AHL1272"/>
      <c r="AHM1272"/>
      <c r="AHN1272"/>
      <c r="AHO1272"/>
      <c r="AHP1272"/>
      <c r="AHQ1272"/>
      <c r="AHR1272"/>
      <c r="AHS1272"/>
      <c r="AHT1272"/>
      <c r="AHU1272"/>
      <c r="AHV1272"/>
      <c r="AHW1272"/>
      <c r="AHX1272"/>
      <c r="AHY1272"/>
      <c r="AHZ1272"/>
      <c r="AIA1272"/>
      <c r="AIB1272"/>
      <c r="AIC1272"/>
      <c r="AID1272"/>
      <c r="AIE1272"/>
      <c r="AIF1272"/>
      <c r="AIG1272"/>
      <c r="AIH1272"/>
      <c r="AII1272"/>
      <c r="AIJ1272"/>
      <c r="AIK1272"/>
      <c r="AIL1272"/>
      <c r="AIM1272"/>
      <c r="AIN1272"/>
      <c r="AIO1272"/>
      <c r="AIP1272"/>
      <c r="AIQ1272"/>
      <c r="AIR1272"/>
      <c r="AIS1272"/>
      <c r="AIT1272"/>
      <c r="AIU1272"/>
      <c r="AIV1272"/>
      <c r="AIW1272"/>
      <c r="AIX1272"/>
      <c r="AIY1272"/>
      <c r="AIZ1272"/>
      <c r="AJA1272"/>
      <c r="AJB1272"/>
      <c r="AJC1272"/>
      <c r="AJD1272"/>
      <c r="AJE1272"/>
      <c r="AJF1272"/>
      <c r="AJG1272"/>
      <c r="AJH1272"/>
      <c r="AJI1272"/>
      <c r="AJJ1272"/>
      <c r="AJK1272"/>
      <c r="AJL1272"/>
      <c r="AJM1272"/>
      <c r="AJN1272"/>
      <c r="AJO1272"/>
      <c r="AJP1272"/>
      <c r="AJQ1272"/>
      <c r="AJR1272"/>
      <c r="AJS1272"/>
      <c r="AJT1272"/>
      <c r="AJU1272"/>
      <c r="AJV1272"/>
      <c r="AJW1272"/>
      <c r="AJX1272"/>
      <c r="AJY1272"/>
      <c r="AJZ1272"/>
      <c r="AKA1272"/>
      <c r="AKB1272"/>
      <c r="AKC1272"/>
      <c r="AKD1272"/>
      <c r="AKE1272"/>
      <c r="AKF1272"/>
      <c r="AKG1272"/>
      <c r="AKH1272"/>
      <c r="AKI1272"/>
      <c r="AKJ1272"/>
      <c r="AKK1272"/>
      <c r="AKL1272"/>
      <c r="AKM1272"/>
      <c r="AKN1272"/>
      <c r="AKO1272"/>
      <c r="AKP1272"/>
      <c r="AKQ1272"/>
      <c r="AKR1272"/>
      <c r="AKS1272"/>
      <c r="AKT1272"/>
      <c r="AKU1272"/>
      <c r="AKV1272"/>
      <c r="AKW1272"/>
      <c r="AKX1272"/>
      <c r="AKY1272"/>
      <c r="AKZ1272"/>
      <c r="ALA1272"/>
      <c r="ALB1272"/>
      <c r="ALC1272"/>
      <c r="ALD1272"/>
      <c r="ALE1272"/>
      <c r="ALF1272"/>
      <c r="ALG1272"/>
      <c r="ALH1272"/>
      <c r="ALI1272"/>
      <c r="ALJ1272"/>
      <c r="ALK1272"/>
      <c r="ALL1272"/>
      <c r="ALM1272"/>
      <c r="ALN1272"/>
      <c r="ALO1272"/>
      <c r="ALP1272"/>
      <c r="ALQ1272"/>
      <c r="ALR1272"/>
      <c r="ALS1272"/>
      <c r="ALT1272"/>
    </row>
    <row r="1273" spans="1:1008" x14ac:dyDescent="0.15">
      <c r="A1273" t="s">
        <v>4107</v>
      </c>
      <c r="B1273" s="8" t="s">
        <v>4076</v>
      </c>
      <c r="C1273" t="s">
        <v>4107</v>
      </c>
      <c r="D1273" s="8" t="s">
        <v>15</v>
      </c>
      <c r="E1273" t="s">
        <v>4107</v>
      </c>
      <c r="F1273" s="8" t="s">
        <v>4108</v>
      </c>
      <c r="G1273">
        <v>500</v>
      </c>
      <c r="H1273"/>
      <c r="I1273"/>
      <c r="J1273"/>
      <c r="K1273"/>
      <c r="L1273"/>
      <c r="M1273"/>
      <c r="N1273"/>
      <c r="O1273"/>
      <c r="P1273"/>
      <c r="Q1273"/>
      <c r="R1273"/>
      <c r="S1273"/>
      <c r="T1273"/>
      <c r="U1273"/>
      <c r="V1273"/>
      <c r="W1273"/>
      <c r="X1273"/>
      <c r="Y1273"/>
      <c r="Z1273"/>
      <c r="AA1273"/>
      <c r="AB1273"/>
      <c r="AC1273"/>
      <c r="AD1273"/>
      <c r="AE1273"/>
      <c r="AF1273"/>
      <c r="AG1273"/>
      <c r="AH1273"/>
      <c r="AI1273"/>
      <c r="AJ1273"/>
      <c r="AK1273"/>
      <c r="AL1273"/>
      <c r="AM1273"/>
      <c r="AN1273"/>
      <c r="AO1273"/>
      <c r="AP1273"/>
      <c r="AQ1273"/>
      <c r="AR1273"/>
      <c r="AS1273"/>
      <c r="AT1273"/>
      <c r="AU1273"/>
      <c r="AV1273"/>
      <c r="AW1273"/>
      <c r="AX1273"/>
      <c r="AY1273"/>
      <c r="AZ1273"/>
      <c r="BA1273"/>
      <c r="BB1273"/>
      <c r="BC1273"/>
      <c r="BD1273"/>
      <c r="BE1273"/>
      <c r="BF1273"/>
      <c r="BG1273"/>
      <c r="BH1273"/>
      <c r="BI1273"/>
      <c r="BJ1273"/>
      <c r="BK1273"/>
      <c r="BL1273"/>
      <c r="BM1273"/>
      <c r="BN1273"/>
      <c r="BO1273"/>
      <c r="BP1273"/>
      <c r="BQ1273"/>
      <c r="BR1273"/>
      <c r="BS1273"/>
      <c r="BT1273"/>
      <c r="BU1273"/>
      <c r="BV1273"/>
      <c r="BW1273"/>
      <c r="BX1273"/>
      <c r="BY1273"/>
      <c r="BZ1273"/>
      <c r="CA1273"/>
      <c r="CB1273"/>
      <c r="CC1273"/>
      <c r="CD1273"/>
      <c r="CE1273"/>
      <c r="CF1273"/>
      <c r="CG1273"/>
      <c r="CH1273"/>
      <c r="CI1273"/>
      <c r="CJ1273"/>
      <c r="CK1273"/>
      <c r="CL1273"/>
      <c r="CM1273"/>
      <c r="CN1273"/>
      <c r="CO1273"/>
      <c r="CP1273"/>
      <c r="CQ1273"/>
      <c r="CR1273"/>
      <c r="CS1273"/>
      <c r="CT1273"/>
      <c r="CU1273"/>
      <c r="CV1273"/>
      <c r="CW1273"/>
      <c r="CX1273"/>
      <c r="CY1273"/>
      <c r="CZ1273"/>
      <c r="DA1273"/>
      <c r="DB1273"/>
      <c r="DC1273"/>
      <c r="DD1273"/>
      <c r="DE1273"/>
      <c r="DF1273"/>
      <c r="DG1273"/>
      <c r="DH1273"/>
      <c r="DI1273"/>
      <c r="DJ1273"/>
      <c r="DK1273"/>
      <c r="DL1273"/>
      <c r="DM1273"/>
      <c r="DN1273"/>
      <c r="DO1273"/>
      <c r="DP1273"/>
      <c r="DQ1273"/>
      <c r="DR1273"/>
      <c r="DS1273"/>
      <c r="DT1273"/>
      <c r="DU1273"/>
      <c r="DV1273"/>
      <c r="DW1273"/>
      <c r="DX1273"/>
      <c r="DY1273"/>
      <c r="DZ1273"/>
      <c r="EA1273"/>
      <c r="EB1273"/>
      <c r="EC1273"/>
      <c r="ED1273"/>
      <c r="EE1273"/>
      <c r="EF1273"/>
      <c r="EG1273"/>
      <c r="EH1273"/>
      <c r="EI1273"/>
      <c r="EJ1273"/>
      <c r="EK1273"/>
      <c r="EL1273"/>
      <c r="EM1273"/>
      <c r="EN1273"/>
      <c r="EO1273"/>
      <c r="EP1273"/>
      <c r="EQ1273"/>
      <c r="ER1273"/>
      <c r="ES1273"/>
      <c r="ET1273"/>
      <c r="EU1273"/>
      <c r="EV1273"/>
      <c r="EW1273"/>
      <c r="EX1273"/>
      <c r="EY1273"/>
      <c r="EZ1273"/>
      <c r="FA1273"/>
      <c r="FB1273"/>
      <c r="FC1273"/>
      <c r="FD1273"/>
      <c r="FE1273"/>
      <c r="FF1273"/>
      <c r="FG1273"/>
      <c r="FH1273"/>
      <c r="FI1273"/>
      <c r="FJ1273"/>
      <c r="FK1273"/>
      <c r="FL1273"/>
      <c r="FM1273"/>
      <c r="FN1273"/>
      <c r="FO1273"/>
      <c r="FP1273"/>
      <c r="FQ1273"/>
      <c r="FR1273"/>
      <c r="FS1273"/>
      <c r="FT1273"/>
      <c r="FU1273"/>
      <c r="FV1273"/>
      <c r="FW1273"/>
      <c r="FX1273"/>
      <c r="FY1273"/>
      <c r="FZ1273"/>
      <c r="GA1273"/>
      <c r="GB1273"/>
      <c r="GC1273"/>
      <c r="GD1273"/>
      <c r="GE1273"/>
      <c r="GF1273"/>
      <c r="GG1273"/>
      <c r="GH1273"/>
      <c r="GI1273"/>
      <c r="GJ1273"/>
      <c r="GK1273"/>
      <c r="GL1273"/>
      <c r="GM1273"/>
      <c r="GN1273"/>
      <c r="GO1273"/>
      <c r="GP1273"/>
      <c r="GQ1273"/>
      <c r="GR1273"/>
      <c r="GS1273"/>
      <c r="GT1273"/>
      <c r="GU1273"/>
      <c r="GV1273"/>
      <c r="GW1273"/>
      <c r="GX1273"/>
      <c r="GY1273"/>
      <c r="GZ1273"/>
      <c r="HA1273"/>
      <c r="HB1273"/>
      <c r="HC1273"/>
      <c r="HD1273"/>
      <c r="HE1273"/>
      <c r="HF1273"/>
      <c r="HG1273"/>
      <c r="HH1273"/>
      <c r="HI1273"/>
      <c r="HJ1273"/>
      <c r="HK1273"/>
      <c r="HL1273"/>
      <c r="HM1273"/>
      <c r="HN1273"/>
      <c r="HO1273"/>
      <c r="HP1273"/>
      <c r="HQ1273"/>
      <c r="HR1273"/>
      <c r="HS1273"/>
      <c r="HT1273"/>
      <c r="HU1273"/>
      <c r="HV1273"/>
      <c r="HW1273"/>
      <c r="HX1273"/>
      <c r="HY1273"/>
      <c r="HZ1273"/>
      <c r="IA1273"/>
      <c r="IB1273"/>
      <c r="IC1273"/>
      <c r="ID1273"/>
      <c r="IE1273"/>
      <c r="IF1273"/>
      <c r="IG1273"/>
      <c r="IH1273"/>
      <c r="II1273"/>
      <c r="IJ1273"/>
      <c r="IK1273"/>
      <c r="IL1273"/>
      <c r="IM1273"/>
      <c r="IN1273"/>
      <c r="IO1273"/>
      <c r="IP1273"/>
      <c r="IQ1273"/>
      <c r="IR1273"/>
      <c r="IS1273"/>
      <c r="IT1273"/>
      <c r="IU1273"/>
      <c r="IV1273"/>
      <c r="IW1273"/>
      <c r="IX1273"/>
      <c r="IY1273"/>
      <c r="IZ1273"/>
      <c r="JA1273"/>
      <c r="JB1273"/>
      <c r="JC1273"/>
      <c r="JD1273"/>
      <c r="JE1273"/>
      <c r="JF1273"/>
      <c r="JG1273"/>
      <c r="JH1273"/>
      <c r="JI1273"/>
      <c r="JJ1273"/>
      <c r="JK1273"/>
      <c r="JL1273"/>
      <c r="JM1273"/>
      <c r="JN1273"/>
      <c r="JO1273"/>
      <c r="JP1273"/>
      <c r="JQ1273"/>
      <c r="JR1273"/>
      <c r="JS1273"/>
      <c r="JT1273"/>
      <c r="JU1273"/>
      <c r="JV1273"/>
      <c r="JW1273"/>
      <c r="JX1273"/>
      <c r="JY1273"/>
      <c r="JZ1273"/>
      <c r="KA1273"/>
      <c r="KB1273"/>
      <c r="KC1273"/>
      <c r="KD1273"/>
      <c r="KE1273"/>
      <c r="KF1273"/>
      <c r="KG1273"/>
      <c r="KH1273"/>
      <c r="KI1273"/>
      <c r="KJ1273"/>
      <c r="KK1273"/>
      <c r="KL1273"/>
      <c r="KM1273"/>
      <c r="KN1273"/>
      <c r="KO1273"/>
      <c r="KP1273"/>
      <c r="KQ1273"/>
      <c r="KR1273"/>
      <c r="KS1273"/>
      <c r="KT1273"/>
      <c r="KU1273"/>
      <c r="KV1273"/>
      <c r="KW1273"/>
      <c r="KX1273"/>
      <c r="KY1273"/>
      <c r="KZ1273"/>
      <c r="LA1273"/>
      <c r="LB1273"/>
      <c r="LC1273"/>
      <c r="LD1273"/>
      <c r="LE1273"/>
      <c r="LF1273"/>
      <c r="LG1273"/>
      <c r="LH1273"/>
      <c r="LI1273"/>
      <c r="LJ1273"/>
      <c r="LK1273"/>
      <c r="LL1273"/>
      <c r="LM1273"/>
      <c r="LN1273"/>
      <c r="LO1273"/>
      <c r="LP1273"/>
      <c r="LQ1273"/>
      <c r="LR1273"/>
      <c r="LS1273"/>
      <c r="LT1273"/>
      <c r="LU1273"/>
      <c r="LV1273"/>
      <c r="LW1273"/>
      <c r="LX1273"/>
      <c r="LY1273"/>
      <c r="LZ1273"/>
      <c r="MA1273"/>
      <c r="MB1273"/>
      <c r="MC1273"/>
      <c r="MD1273"/>
      <c r="ME1273"/>
      <c r="MF1273"/>
      <c r="MG1273"/>
      <c r="MH1273"/>
      <c r="MI1273"/>
      <c r="MJ1273"/>
      <c r="MK1273"/>
      <c r="ML1273"/>
      <c r="MM1273"/>
      <c r="MN1273"/>
      <c r="MO1273"/>
      <c r="MP1273"/>
      <c r="MQ1273"/>
      <c r="MR1273"/>
      <c r="MS1273"/>
      <c r="MT1273"/>
      <c r="MU1273"/>
      <c r="MV1273"/>
      <c r="MW1273"/>
      <c r="MX1273"/>
      <c r="MY1273"/>
      <c r="MZ1273"/>
      <c r="NA1273"/>
      <c r="NB1273"/>
      <c r="NC1273"/>
      <c r="ND1273"/>
      <c r="NE1273"/>
      <c r="NF1273"/>
      <c r="NG1273"/>
      <c r="NH1273"/>
      <c r="NI1273"/>
      <c r="NJ1273"/>
      <c r="NK1273"/>
      <c r="NL1273"/>
      <c r="NM1273"/>
      <c r="NN1273"/>
      <c r="NO1273"/>
      <c r="NP1273"/>
      <c r="NQ1273"/>
      <c r="NR1273"/>
      <c r="NS1273"/>
      <c r="NT1273"/>
      <c r="NU1273"/>
      <c r="NV1273"/>
      <c r="NW1273"/>
      <c r="NX1273"/>
      <c r="NY1273"/>
      <c r="NZ1273"/>
      <c r="OA1273"/>
      <c r="OB1273"/>
      <c r="OC1273"/>
      <c r="OD1273"/>
      <c r="OE1273"/>
      <c r="OF1273"/>
      <c r="OG1273"/>
      <c r="OH1273"/>
      <c r="OI1273"/>
      <c r="OJ1273"/>
      <c r="OK1273"/>
      <c r="OL1273"/>
      <c r="OM1273"/>
      <c r="ON1273"/>
      <c r="OO1273"/>
      <c r="OP1273"/>
      <c r="OQ1273"/>
      <c r="OR1273"/>
      <c r="OS1273"/>
      <c r="OT1273"/>
      <c r="OU1273"/>
      <c r="OV1273"/>
      <c r="OW1273"/>
      <c r="OX1273"/>
      <c r="OY1273"/>
      <c r="OZ1273"/>
      <c r="PA1273"/>
      <c r="PB1273"/>
      <c r="PC1273"/>
      <c r="PD1273"/>
      <c r="PE1273"/>
      <c r="PF1273"/>
      <c r="PG1273"/>
      <c r="PH1273"/>
      <c r="PI1273"/>
      <c r="PJ1273"/>
      <c r="PK1273"/>
      <c r="PL1273"/>
      <c r="PM1273"/>
      <c r="PN1273"/>
      <c r="PO1273"/>
      <c r="PP1273"/>
      <c r="PQ1273"/>
      <c r="PR1273"/>
      <c r="PS1273"/>
      <c r="PT1273"/>
      <c r="PU1273"/>
      <c r="PV1273"/>
      <c r="PW1273"/>
      <c r="PX1273"/>
      <c r="PY1273"/>
      <c r="PZ1273"/>
      <c r="QA1273"/>
      <c r="QB1273"/>
      <c r="QC1273"/>
      <c r="QD1273"/>
      <c r="QE1273"/>
      <c r="QF1273"/>
      <c r="QG1273"/>
      <c r="QH1273"/>
      <c r="QI1273"/>
      <c r="QJ1273"/>
      <c r="QK1273"/>
      <c r="QL1273"/>
      <c r="QM1273"/>
      <c r="QN1273"/>
      <c r="QO1273"/>
      <c r="QP1273"/>
      <c r="QQ1273"/>
      <c r="QR1273"/>
      <c r="QS1273"/>
      <c r="QT1273"/>
      <c r="QU1273"/>
      <c r="QV1273"/>
      <c r="QW1273"/>
      <c r="QX1273"/>
      <c r="QY1273"/>
      <c r="QZ1273"/>
      <c r="RA1273"/>
      <c r="RB1273"/>
      <c r="RC1273"/>
      <c r="RD1273"/>
      <c r="RE1273"/>
      <c r="RF1273"/>
      <c r="RG1273"/>
      <c r="RH1273"/>
      <c r="RI1273"/>
      <c r="RJ1273"/>
      <c r="RK1273"/>
      <c r="RL1273"/>
      <c r="RM1273"/>
      <c r="RN1273"/>
      <c r="RO1273"/>
      <c r="RP1273"/>
      <c r="RQ1273"/>
      <c r="RR1273"/>
      <c r="RS1273"/>
      <c r="RT1273"/>
      <c r="RU1273"/>
      <c r="RV1273"/>
      <c r="RW1273"/>
      <c r="RX1273"/>
      <c r="RY1273"/>
      <c r="RZ1273"/>
      <c r="SA1273"/>
      <c r="SB1273"/>
      <c r="SC1273"/>
      <c r="SD1273"/>
      <c r="SE1273"/>
      <c r="SF1273"/>
      <c r="SG1273"/>
      <c r="SH1273"/>
      <c r="SI1273"/>
      <c r="SJ1273"/>
      <c r="SK1273"/>
      <c r="SL1273"/>
      <c r="SM1273"/>
      <c r="SN1273"/>
      <c r="SO1273"/>
      <c r="SP1273"/>
      <c r="SQ1273"/>
      <c r="SR1273"/>
      <c r="SS1273"/>
      <c r="ST1273"/>
      <c r="SU1273"/>
      <c r="SV1273"/>
      <c r="SW1273"/>
      <c r="SX1273"/>
      <c r="SY1273"/>
      <c r="SZ1273"/>
      <c r="TA1273"/>
      <c r="TB1273"/>
      <c r="TC1273"/>
      <c r="TD1273"/>
      <c r="TE1273"/>
      <c r="TF1273"/>
      <c r="TG1273"/>
      <c r="TH1273"/>
      <c r="TI1273"/>
      <c r="TJ1273"/>
      <c r="TK1273"/>
      <c r="TL1273"/>
      <c r="TM1273"/>
      <c r="TN1273"/>
      <c r="TO1273"/>
      <c r="TP1273"/>
      <c r="TQ1273"/>
      <c r="TR1273"/>
      <c r="TS1273"/>
      <c r="TT1273"/>
      <c r="TU1273"/>
      <c r="TV1273"/>
      <c r="TW1273"/>
      <c r="TX1273"/>
      <c r="TY1273"/>
      <c r="TZ1273"/>
      <c r="UA1273"/>
      <c r="UB1273"/>
      <c r="UC1273"/>
      <c r="UD1273"/>
      <c r="UE1273"/>
      <c r="UF1273"/>
      <c r="UG1273"/>
      <c r="UH1273"/>
      <c r="UI1273"/>
      <c r="UJ1273"/>
      <c r="UK1273"/>
      <c r="UL1273"/>
      <c r="UM1273"/>
      <c r="UN1273"/>
      <c r="UO1273"/>
      <c r="UP1273"/>
      <c r="UQ1273"/>
      <c r="UR1273"/>
      <c r="US1273"/>
      <c r="UT1273"/>
      <c r="UU1273"/>
      <c r="UV1273"/>
      <c r="UW1273"/>
      <c r="UX1273"/>
      <c r="UY1273"/>
      <c r="UZ1273"/>
      <c r="VA1273"/>
      <c r="VB1273"/>
      <c r="VC1273"/>
      <c r="VD1273"/>
      <c r="VE1273"/>
      <c r="VF1273"/>
      <c r="VG1273"/>
      <c r="VH1273"/>
      <c r="VI1273"/>
      <c r="VJ1273"/>
      <c r="VK1273"/>
      <c r="VL1273"/>
      <c r="VM1273"/>
      <c r="VN1273"/>
      <c r="VO1273"/>
      <c r="VP1273"/>
      <c r="VQ1273"/>
      <c r="VR1273"/>
      <c r="VS1273"/>
      <c r="VT1273"/>
      <c r="VU1273"/>
      <c r="VV1273"/>
      <c r="VW1273"/>
      <c r="VX1273"/>
      <c r="VY1273"/>
      <c r="VZ1273"/>
      <c r="WA1273"/>
      <c r="WB1273"/>
      <c r="WC1273"/>
      <c r="WD1273"/>
      <c r="WE1273"/>
      <c r="WF1273"/>
      <c r="WG1273"/>
      <c r="WH1273"/>
      <c r="WI1273"/>
      <c r="WJ1273"/>
      <c r="WK1273"/>
      <c r="WL1273"/>
      <c r="WM1273"/>
      <c r="WN1273"/>
      <c r="WO1273"/>
      <c r="WP1273"/>
      <c r="WQ1273"/>
      <c r="WR1273"/>
      <c r="WS1273"/>
      <c r="WT1273"/>
      <c r="WU1273"/>
      <c r="WV1273"/>
      <c r="WW1273"/>
      <c r="WX1273"/>
      <c r="WY1273"/>
      <c r="WZ1273"/>
      <c r="XA1273"/>
      <c r="XB1273"/>
      <c r="XC1273"/>
      <c r="XD1273"/>
      <c r="XE1273"/>
      <c r="XF1273"/>
      <c r="XG1273"/>
      <c r="XH1273"/>
      <c r="XI1273"/>
      <c r="XJ1273"/>
      <c r="XK1273"/>
      <c r="XL1273"/>
      <c r="XM1273"/>
      <c r="XN1273"/>
      <c r="XO1273"/>
      <c r="XP1273"/>
      <c r="XQ1273"/>
      <c r="XR1273"/>
      <c r="XS1273"/>
      <c r="XT1273"/>
      <c r="XU1273"/>
      <c r="XV1273"/>
      <c r="XW1273"/>
      <c r="XX1273"/>
      <c r="XY1273"/>
      <c r="XZ1273"/>
      <c r="YA1273"/>
      <c r="YB1273"/>
      <c r="YC1273"/>
      <c r="YD1273"/>
      <c r="YE1273"/>
      <c r="YF1273"/>
      <c r="YG1273"/>
      <c r="YH1273"/>
      <c r="YI1273"/>
      <c r="YJ1273"/>
      <c r="YK1273"/>
      <c r="YL1273"/>
      <c r="YM1273"/>
      <c r="YN1273"/>
      <c r="YO1273"/>
      <c r="YP1273"/>
      <c r="YQ1273"/>
      <c r="YR1273"/>
      <c r="YS1273"/>
      <c r="YT1273"/>
      <c r="YU1273"/>
      <c r="YV1273"/>
      <c r="YW1273"/>
      <c r="YX1273"/>
      <c r="YY1273"/>
      <c r="YZ1273"/>
      <c r="ZA1273"/>
      <c r="ZB1273"/>
      <c r="ZC1273"/>
      <c r="ZD1273"/>
      <c r="ZE1273"/>
      <c r="ZF1273"/>
      <c r="ZG1273"/>
      <c r="ZH1273"/>
      <c r="ZI1273"/>
      <c r="ZJ1273"/>
      <c r="ZK1273"/>
      <c r="ZL1273"/>
      <c r="ZM1273"/>
      <c r="ZN1273"/>
      <c r="ZO1273"/>
      <c r="ZP1273"/>
      <c r="ZQ1273"/>
      <c r="ZR1273"/>
      <c r="ZS1273"/>
      <c r="ZT1273"/>
      <c r="ZU1273"/>
      <c r="ZV1273"/>
      <c r="ZW1273"/>
      <c r="ZX1273"/>
      <c r="ZY1273"/>
      <c r="ZZ1273"/>
      <c r="AAA1273"/>
      <c r="AAB1273"/>
      <c r="AAC1273"/>
      <c r="AAD1273"/>
      <c r="AAE1273"/>
      <c r="AAF1273"/>
      <c r="AAG1273"/>
      <c r="AAH1273"/>
      <c r="AAI1273"/>
      <c r="AAJ1273"/>
      <c r="AAK1273"/>
      <c r="AAL1273"/>
      <c r="AAM1273"/>
      <c r="AAN1273"/>
      <c r="AAO1273"/>
      <c r="AAP1273"/>
      <c r="AAQ1273"/>
      <c r="AAR1273"/>
      <c r="AAS1273"/>
      <c r="AAT1273"/>
      <c r="AAU1273"/>
      <c r="AAV1273"/>
      <c r="AAW1273"/>
      <c r="AAX1273"/>
      <c r="AAY1273"/>
      <c r="AAZ1273"/>
      <c r="ABA1273"/>
      <c r="ABB1273"/>
      <c r="ABC1273"/>
      <c r="ABD1273"/>
      <c r="ABE1273"/>
      <c r="ABF1273"/>
      <c r="ABG1273"/>
      <c r="ABH1273"/>
      <c r="ABI1273"/>
      <c r="ABJ1273"/>
      <c r="ABK1273"/>
      <c r="ABL1273"/>
      <c r="ABM1273"/>
      <c r="ABN1273"/>
      <c r="ABO1273"/>
      <c r="ABP1273"/>
      <c r="ABQ1273"/>
      <c r="ABR1273"/>
      <c r="ABS1273"/>
      <c r="ABT1273"/>
      <c r="ABU1273"/>
      <c r="ABV1273"/>
      <c r="ABW1273"/>
      <c r="ABX1273"/>
      <c r="ABY1273"/>
      <c r="ABZ1273"/>
      <c r="ACA1273"/>
      <c r="ACB1273"/>
      <c r="ACC1273"/>
      <c r="ACD1273"/>
      <c r="ACE1273"/>
      <c r="ACF1273"/>
      <c r="ACG1273"/>
      <c r="ACH1273"/>
      <c r="ACI1273"/>
      <c r="ACJ1273"/>
      <c r="ACK1273"/>
      <c r="ACL1273"/>
      <c r="ACM1273"/>
      <c r="ACN1273"/>
      <c r="ACO1273"/>
      <c r="ACP1273"/>
      <c r="ACQ1273"/>
      <c r="ACR1273"/>
      <c r="ACS1273"/>
      <c r="ACT1273"/>
      <c r="ACU1273"/>
      <c r="ACV1273"/>
      <c r="ACW1273"/>
      <c r="ACX1273"/>
      <c r="ACY1273"/>
      <c r="ACZ1273"/>
      <c r="ADA1273"/>
      <c r="ADB1273"/>
      <c r="ADC1273"/>
      <c r="ADD1273"/>
      <c r="ADE1273"/>
      <c r="ADF1273"/>
      <c r="ADG1273"/>
      <c r="ADH1273"/>
      <c r="ADI1273"/>
      <c r="ADJ1273"/>
      <c r="ADK1273"/>
      <c r="ADL1273"/>
      <c r="ADM1273"/>
      <c r="ADN1273"/>
      <c r="ADO1273"/>
      <c r="ADP1273"/>
      <c r="ADQ1273"/>
      <c r="ADR1273"/>
      <c r="ADS1273"/>
      <c r="ADT1273"/>
      <c r="ADU1273"/>
      <c r="ADV1273"/>
      <c r="ADW1273"/>
      <c r="ADX1273"/>
      <c r="ADY1273"/>
      <c r="ADZ1273"/>
      <c r="AEA1273"/>
      <c r="AEB1273"/>
      <c r="AEC1273"/>
      <c r="AED1273"/>
      <c r="AEE1273"/>
      <c r="AEF1273"/>
      <c r="AEG1273"/>
      <c r="AEH1273"/>
      <c r="AEI1273"/>
      <c r="AEJ1273"/>
      <c r="AEK1273"/>
      <c r="AEL1273"/>
      <c r="AEM1273"/>
      <c r="AEN1273"/>
      <c r="AEO1273"/>
      <c r="AEP1273"/>
      <c r="AEQ1273"/>
      <c r="AER1273"/>
      <c r="AES1273"/>
      <c r="AET1273"/>
      <c r="AEU1273"/>
      <c r="AEV1273"/>
      <c r="AEW1273"/>
      <c r="AEX1273"/>
      <c r="AEY1273"/>
      <c r="AEZ1273"/>
      <c r="AFA1273"/>
      <c r="AFB1273"/>
      <c r="AFC1273"/>
      <c r="AFD1273"/>
      <c r="AFE1273"/>
      <c r="AFF1273"/>
      <c r="AFG1273"/>
      <c r="AFH1273"/>
      <c r="AFI1273"/>
      <c r="AFJ1273"/>
      <c r="AFK1273"/>
      <c r="AFL1273"/>
      <c r="AFM1273"/>
      <c r="AFN1273"/>
      <c r="AFO1273"/>
      <c r="AFP1273"/>
      <c r="AFQ1273"/>
      <c r="AFR1273"/>
      <c r="AFS1273"/>
      <c r="AFT1273"/>
      <c r="AFU1273"/>
      <c r="AFV1273"/>
      <c r="AFW1273"/>
      <c r="AFX1273"/>
      <c r="AFY1273"/>
      <c r="AFZ1273"/>
      <c r="AGA1273"/>
      <c r="AGB1273"/>
      <c r="AGC1273"/>
      <c r="AGD1273"/>
      <c r="AGE1273"/>
      <c r="AGF1273"/>
      <c r="AGG1273"/>
      <c r="AGH1273"/>
      <c r="AGI1273"/>
      <c r="AGJ1273"/>
      <c r="AGK1273"/>
      <c r="AGL1273"/>
      <c r="AGM1273"/>
      <c r="AGN1273"/>
      <c r="AGO1273"/>
      <c r="AGP1273"/>
      <c r="AGQ1273"/>
      <c r="AGR1273"/>
      <c r="AGS1273"/>
      <c r="AGT1273"/>
      <c r="AGU1273"/>
      <c r="AGV1273"/>
      <c r="AGW1273"/>
      <c r="AGX1273"/>
      <c r="AGY1273"/>
      <c r="AGZ1273"/>
      <c r="AHA1273"/>
      <c r="AHB1273"/>
      <c r="AHC1273"/>
      <c r="AHD1273"/>
      <c r="AHE1273"/>
      <c r="AHF1273"/>
      <c r="AHG1273"/>
      <c r="AHH1273"/>
      <c r="AHI1273"/>
      <c r="AHJ1273"/>
      <c r="AHK1273"/>
      <c r="AHL1273"/>
      <c r="AHM1273"/>
      <c r="AHN1273"/>
      <c r="AHO1273"/>
      <c r="AHP1273"/>
      <c r="AHQ1273"/>
      <c r="AHR1273"/>
      <c r="AHS1273"/>
      <c r="AHT1273"/>
      <c r="AHU1273"/>
      <c r="AHV1273"/>
      <c r="AHW1273"/>
      <c r="AHX1273"/>
      <c r="AHY1273"/>
      <c r="AHZ1273"/>
      <c r="AIA1273"/>
      <c r="AIB1273"/>
      <c r="AIC1273"/>
      <c r="AID1273"/>
      <c r="AIE1273"/>
      <c r="AIF1273"/>
      <c r="AIG1273"/>
      <c r="AIH1273"/>
      <c r="AII1273"/>
      <c r="AIJ1273"/>
      <c r="AIK1273"/>
      <c r="AIL1273"/>
      <c r="AIM1273"/>
      <c r="AIN1273"/>
      <c r="AIO1273"/>
      <c r="AIP1273"/>
      <c r="AIQ1273"/>
      <c r="AIR1273"/>
      <c r="AIS1273"/>
      <c r="AIT1273"/>
      <c r="AIU1273"/>
      <c r="AIV1273"/>
      <c r="AIW1273"/>
      <c r="AIX1273"/>
      <c r="AIY1273"/>
      <c r="AIZ1273"/>
      <c r="AJA1273"/>
      <c r="AJB1273"/>
      <c r="AJC1273"/>
      <c r="AJD1273"/>
      <c r="AJE1273"/>
      <c r="AJF1273"/>
      <c r="AJG1273"/>
      <c r="AJH1273"/>
      <c r="AJI1273"/>
      <c r="AJJ1273"/>
      <c r="AJK1273"/>
      <c r="AJL1273"/>
      <c r="AJM1273"/>
      <c r="AJN1273"/>
      <c r="AJO1273"/>
      <c r="AJP1273"/>
      <c r="AJQ1273"/>
      <c r="AJR1273"/>
      <c r="AJS1273"/>
      <c r="AJT1273"/>
      <c r="AJU1273"/>
      <c r="AJV1273"/>
      <c r="AJW1273"/>
      <c r="AJX1273"/>
      <c r="AJY1273"/>
      <c r="AJZ1273"/>
      <c r="AKA1273"/>
      <c r="AKB1273"/>
      <c r="AKC1273"/>
      <c r="AKD1273"/>
      <c r="AKE1273"/>
      <c r="AKF1273"/>
      <c r="AKG1273"/>
      <c r="AKH1273"/>
      <c r="AKI1273"/>
      <c r="AKJ1273"/>
      <c r="AKK1273"/>
      <c r="AKL1273"/>
      <c r="AKM1273"/>
      <c r="AKN1273"/>
      <c r="AKO1273"/>
      <c r="AKP1273"/>
      <c r="AKQ1273"/>
      <c r="AKR1273"/>
      <c r="AKS1273"/>
      <c r="AKT1273"/>
      <c r="AKU1273"/>
      <c r="AKV1273"/>
      <c r="AKW1273"/>
      <c r="AKX1273"/>
      <c r="AKY1273"/>
      <c r="AKZ1273"/>
      <c r="ALA1273"/>
      <c r="ALB1273"/>
      <c r="ALC1273"/>
      <c r="ALD1273"/>
      <c r="ALE1273"/>
      <c r="ALF1273"/>
      <c r="ALG1273"/>
      <c r="ALH1273"/>
      <c r="ALI1273"/>
      <c r="ALJ1273"/>
      <c r="ALK1273"/>
      <c r="ALL1273"/>
      <c r="ALM1273"/>
      <c r="ALN1273"/>
      <c r="ALO1273"/>
      <c r="ALP1273"/>
      <c r="ALQ1273"/>
      <c r="ALR1273"/>
      <c r="ALS1273"/>
      <c r="ALT1273"/>
    </row>
    <row r="1274" spans="1:1008" x14ac:dyDescent="0.15">
      <c r="A1274" t="s">
        <v>4109</v>
      </c>
      <c r="B1274" s="8" t="s">
        <v>4076</v>
      </c>
      <c r="C1274" t="s">
        <v>4109</v>
      </c>
      <c r="D1274" s="8" t="s">
        <v>15</v>
      </c>
      <c r="E1274" t="s">
        <v>4109</v>
      </c>
      <c r="F1274" s="8" t="s">
        <v>4110</v>
      </c>
      <c r="G1274">
        <v>500</v>
      </c>
      <c r="H1274"/>
      <c r="I1274"/>
      <c r="J1274"/>
      <c r="K1274"/>
      <c r="L1274"/>
      <c r="M1274"/>
      <c r="N1274"/>
      <c r="O1274"/>
      <c r="P1274"/>
      <c r="Q1274"/>
      <c r="R1274"/>
      <c r="S1274"/>
      <c r="T1274"/>
      <c r="U1274"/>
      <c r="V1274"/>
      <c r="W1274"/>
      <c r="X1274"/>
      <c r="Y1274"/>
      <c r="Z1274"/>
      <c r="AA1274"/>
      <c r="AB1274"/>
      <c r="AC1274"/>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c r="BI1274"/>
      <c r="BJ1274"/>
      <c r="BK1274"/>
      <c r="BL1274"/>
      <c r="BM1274"/>
      <c r="BN1274"/>
      <c r="BO1274"/>
      <c r="BP1274"/>
      <c r="BQ1274"/>
      <c r="BR1274"/>
      <c r="BS1274"/>
      <c r="BT1274"/>
      <c r="BU1274"/>
      <c r="BV1274"/>
      <c r="BW1274"/>
      <c r="BX1274"/>
      <c r="BY1274"/>
      <c r="BZ1274"/>
      <c r="CA1274"/>
      <c r="CB1274"/>
      <c r="CC1274"/>
      <c r="CD1274"/>
      <c r="CE1274"/>
      <c r="CF1274"/>
      <c r="CG1274"/>
      <c r="CH1274"/>
      <c r="CI1274"/>
      <c r="CJ1274"/>
      <c r="CK1274"/>
      <c r="CL1274"/>
      <c r="CM1274"/>
      <c r="CN1274"/>
      <c r="CO1274"/>
      <c r="CP1274"/>
      <c r="CQ1274"/>
      <c r="CR1274"/>
      <c r="CS1274"/>
      <c r="CT1274"/>
      <c r="CU1274"/>
      <c r="CV1274"/>
      <c r="CW1274"/>
      <c r="CX1274"/>
      <c r="CY1274"/>
      <c r="CZ1274"/>
      <c r="DA1274"/>
      <c r="DB1274"/>
      <c r="DC1274"/>
      <c r="DD1274"/>
      <c r="DE1274"/>
      <c r="DF1274"/>
      <c r="DG1274"/>
      <c r="DH1274"/>
      <c r="DI1274"/>
      <c r="DJ1274"/>
      <c r="DK1274"/>
      <c r="DL1274"/>
      <c r="DM1274"/>
      <c r="DN1274"/>
      <c r="DO1274"/>
      <c r="DP1274"/>
      <c r="DQ1274"/>
      <c r="DR1274"/>
      <c r="DS1274"/>
      <c r="DT1274"/>
      <c r="DU1274"/>
      <c r="DV1274"/>
      <c r="DW1274"/>
      <c r="DX1274"/>
      <c r="DY1274"/>
      <c r="DZ1274"/>
      <c r="EA1274"/>
      <c r="EB1274"/>
      <c r="EC1274"/>
      <c r="ED1274"/>
      <c r="EE1274"/>
      <c r="EF1274"/>
      <c r="EG1274"/>
      <c r="EH1274"/>
      <c r="EI1274"/>
      <c r="EJ1274"/>
      <c r="EK1274"/>
      <c r="EL1274"/>
      <c r="EM1274"/>
      <c r="EN1274"/>
      <c r="EO1274"/>
      <c r="EP1274"/>
      <c r="EQ1274"/>
      <c r="ER1274"/>
      <c r="ES1274"/>
      <c r="ET1274"/>
      <c r="EU1274"/>
      <c r="EV1274"/>
      <c r="EW1274"/>
      <c r="EX1274"/>
      <c r="EY1274"/>
      <c r="EZ1274"/>
      <c r="FA1274"/>
      <c r="FB1274"/>
      <c r="FC1274"/>
      <c r="FD1274"/>
      <c r="FE1274"/>
      <c r="FF1274"/>
      <c r="FG1274"/>
      <c r="FH1274"/>
      <c r="FI1274"/>
      <c r="FJ1274"/>
      <c r="FK1274"/>
      <c r="FL1274"/>
      <c r="FM1274"/>
      <c r="FN1274"/>
      <c r="FO1274"/>
      <c r="FP1274"/>
      <c r="FQ1274"/>
      <c r="FR1274"/>
      <c r="FS1274"/>
      <c r="FT1274"/>
      <c r="FU1274"/>
      <c r="FV1274"/>
      <c r="FW1274"/>
      <c r="FX1274"/>
      <c r="FY1274"/>
      <c r="FZ1274"/>
      <c r="GA1274"/>
      <c r="GB1274"/>
      <c r="GC1274"/>
      <c r="GD1274"/>
      <c r="GE1274"/>
      <c r="GF1274"/>
      <c r="GG1274"/>
      <c r="GH1274"/>
      <c r="GI1274"/>
      <c r="GJ1274"/>
      <c r="GK1274"/>
      <c r="GL1274"/>
      <c r="GM1274"/>
      <c r="GN1274"/>
      <c r="GO1274"/>
      <c r="GP1274"/>
      <c r="GQ1274"/>
      <c r="GR1274"/>
      <c r="GS1274"/>
      <c r="GT1274"/>
      <c r="GU1274"/>
      <c r="GV1274"/>
      <c r="GW1274"/>
      <c r="GX1274"/>
      <c r="GY1274"/>
      <c r="GZ1274"/>
      <c r="HA1274"/>
      <c r="HB1274"/>
      <c r="HC1274"/>
      <c r="HD1274"/>
      <c r="HE1274"/>
      <c r="HF1274"/>
      <c r="HG1274"/>
      <c r="HH1274"/>
      <c r="HI1274"/>
      <c r="HJ1274"/>
      <c r="HK1274"/>
      <c r="HL1274"/>
      <c r="HM1274"/>
      <c r="HN1274"/>
      <c r="HO1274"/>
      <c r="HP1274"/>
      <c r="HQ1274"/>
      <c r="HR1274"/>
      <c r="HS1274"/>
      <c r="HT1274"/>
      <c r="HU1274"/>
      <c r="HV1274"/>
      <c r="HW1274"/>
      <c r="HX1274"/>
      <c r="HY1274"/>
      <c r="HZ1274"/>
      <c r="IA1274"/>
      <c r="IB1274"/>
      <c r="IC1274"/>
      <c r="ID1274"/>
      <c r="IE1274"/>
      <c r="IF1274"/>
      <c r="IG1274"/>
      <c r="IH1274"/>
      <c r="II1274"/>
      <c r="IJ1274"/>
      <c r="IK1274"/>
      <c r="IL1274"/>
      <c r="IM1274"/>
      <c r="IN1274"/>
      <c r="IO1274"/>
      <c r="IP1274"/>
      <c r="IQ1274"/>
      <c r="IR1274"/>
      <c r="IS1274"/>
      <c r="IT1274"/>
      <c r="IU1274"/>
      <c r="IV1274"/>
      <c r="IW1274"/>
      <c r="IX1274"/>
      <c r="IY1274"/>
      <c r="IZ1274"/>
      <c r="JA1274"/>
      <c r="JB1274"/>
      <c r="JC1274"/>
      <c r="JD1274"/>
      <c r="JE1274"/>
      <c r="JF1274"/>
      <c r="JG1274"/>
      <c r="JH1274"/>
      <c r="JI1274"/>
      <c r="JJ1274"/>
      <c r="JK1274"/>
      <c r="JL1274"/>
      <c r="JM1274"/>
      <c r="JN1274"/>
      <c r="JO1274"/>
      <c r="JP1274"/>
      <c r="JQ1274"/>
      <c r="JR1274"/>
      <c r="JS1274"/>
      <c r="JT1274"/>
      <c r="JU1274"/>
      <c r="JV1274"/>
      <c r="JW1274"/>
      <c r="JX1274"/>
      <c r="JY1274"/>
      <c r="JZ1274"/>
      <c r="KA1274"/>
      <c r="KB1274"/>
      <c r="KC1274"/>
      <c r="KD1274"/>
      <c r="KE1274"/>
      <c r="KF1274"/>
      <c r="KG1274"/>
      <c r="KH1274"/>
      <c r="KI1274"/>
      <c r="KJ1274"/>
      <c r="KK1274"/>
      <c r="KL1274"/>
      <c r="KM1274"/>
      <c r="KN1274"/>
      <c r="KO1274"/>
      <c r="KP1274"/>
      <c r="KQ1274"/>
      <c r="KR1274"/>
      <c r="KS1274"/>
      <c r="KT1274"/>
      <c r="KU1274"/>
      <c r="KV1274"/>
      <c r="KW1274"/>
      <c r="KX1274"/>
      <c r="KY1274"/>
      <c r="KZ1274"/>
      <c r="LA1274"/>
      <c r="LB1274"/>
      <c r="LC1274"/>
      <c r="LD1274"/>
      <c r="LE1274"/>
      <c r="LF1274"/>
      <c r="LG1274"/>
      <c r="LH1274"/>
      <c r="LI1274"/>
      <c r="LJ1274"/>
      <c r="LK1274"/>
      <c r="LL1274"/>
      <c r="LM1274"/>
      <c r="LN1274"/>
      <c r="LO1274"/>
      <c r="LP1274"/>
      <c r="LQ1274"/>
      <c r="LR1274"/>
      <c r="LS1274"/>
      <c r="LT1274"/>
      <c r="LU1274"/>
      <c r="LV1274"/>
      <c r="LW1274"/>
      <c r="LX1274"/>
      <c r="LY1274"/>
      <c r="LZ1274"/>
      <c r="MA1274"/>
      <c r="MB1274"/>
      <c r="MC1274"/>
      <c r="MD1274"/>
      <c r="ME1274"/>
      <c r="MF1274"/>
      <c r="MG1274"/>
      <c r="MH1274"/>
      <c r="MI1274"/>
      <c r="MJ1274"/>
      <c r="MK1274"/>
      <c r="ML1274"/>
      <c r="MM1274"/>
      <c r="MN1274"/>
      <c r="MO1274"/>
      <c r="MP1274"/>
      <c r="MQ1274"/>
      <c r="MR1274"/>
      <c r="MS1274"/>
      <c r="MT1274"/>
      <c r="MU1274"/>
      <c r="MV1274"/>
      <c r="MW1274"/>
      <c r="MX1274"/>
      <c r="MY1274"/>
      <c r="MZ1274"/>
      <c r="NA1274"/>
      <c r="NB1274"/>
      <c r="NC1274"/>
      <c r="ND1274"/>
      <c r="NE1274"/>
      <c r="NF1274"/>
      <c r="NG1274"/>
      <c r="NH1274"/>
      <c r="NI1274"/>
      <c r="NJ1274"/>
      <c r="NK1274"/>
      <c r="NL1274"/>
      <c r="NM1274"/>
      <c r="NN1274"/>
      <c r="NO1274"/>
      <c r="NP1274"/>
      <c r="NQ1274"/>
      <c r="NR1274"/>
      <c r="NS1274"/>
      <c r="NT1274"/>
      <c r="NU1274"/>
      <c r="NV1274"/>
      <c r="NW1274"/>
      <c r="NX1274"/>
      <c r="NY1274"/>
      <c r="NZ1274"/>
      <c r="OA1274"/>
      <c r="OB1274"/>
      <c r="OC1274"/>
      <c r="OD1274"/>
      <c r="OE1274"/>
      <c r="OF1274"/>
      <c r="OG1274"/>
      <c r="OH1274"/>
      <c r="OI1274"/>
      <c r="OJ1274"/>
      <c r="OK1274"/>
      <c r="OL1274"/>
      <c r="OM1274"/>
      <c r="ON1274"/>
      <c r="OO1274"/>
      <c r="OP1274"/>
      <c r="OQ1274"/>
      <c r="OR1274"/>
      <c r="OS1274"/>
      <c r="OT1274"/>
      <c r="OU1274"/>
      <c r="OV1274"/>
      <c r="OW1274"/>
      <c r="OX1274"/>
      <c r="OY1274"/>
      <c r="OZ1274"/>
      <c r="PA1274"/>
      <c r="PB1274"/>
      <c r="PC1274"/>
      <c r="PD1274"/>
      <c r="PE1274"/>
      <c r="PF1274"/>
      <c r="PG1274"/>
      <c r="PH1274"/>
      <c r="PI1274"/>
      <c r="PJ1274"/>
      <c r="PK1274"/>
      <c r="PL1274"/>
      <c r="PM1274"/>
      <c r="PN1274"/>
      <c r="PO1274"/>
      <c r="PP1274"/>
      <c r="PQ1274"/>
      <c r="PR1274"/>
      <c r="PS1274"/>
      <c r="PT1274"/>
      <c r="PU1274"/>
      <c r="PV1274"/>
      <c r="PW1274"/>
      <c r="PX1274"/>
      <c r="PY1274"/>
      <c r="PZ1274"/>
      <c r="QA1274"/>
      <c r="QB1274"/>
      <c r="QC1274"/>
      <c r="QD1274"/>
      <c r="QE1274"/>
      <c r="QF1274"/>
      <c r="QG1274"/>
      <c r="QH1274"/>
      <c r="QI1274"/>
      <c r="QJ1274"/>
      <c r="QK1274"/>
      <c r="QL1274"/>
      <c r="QM1274"/>
      <c r="QN1274"/>
      <c r="QO1274"/>
      <c r="QP1274"/>
      <c r="QQ1274"/>
      <c r="QR1274"/>
      <c r="QS1274"/>
      <c r="QT1274"/>
      <c r="QU1274"/>
      <c r="QV1274"/>
      <c r="QW1274"/>
      <c r="QX1274"/>
      <c r="QY1274"/>
      <c r="QZ1274"/>
      <c r="RA1274"/>
      <c r="RB1274"/>
      <c r="RC1274"/>
      <c r="RD1274"/>
      <c r="RE1274"/>
      <c r="RF1274"/>
      <c r="RG1274"/>
      <c r="RH1274"/>
      <c r="RI1274"/>
      <c r="RJ1274"/>
      <c r="RK1274"/>
      <c r="RL1274"/>
      <c r="RM1274"/>
      <c r="RN1274"/>
      <c r="RO1274"/>
      <c r="RP1274"/>
      <c r="RQ1274"/>
      <c r="RR1274"/>
      <c r="RS1274"/>
      <c r="RT1274"/>
      <c r="RU1274"/>
      <c r="RV1274"/>
      <c r="RW1274"/>
      <c r="RX1274"/>
      <c r="RY1274"/>
      <c r="RZ1274"/>
      <c r="SA1274"/>
      <c r="SB1274"/>
      <c r="SC1274"/>
      <c r="SD1274"/>
      <c r="SE1274"/>
      <c r="SF1274"/>
      <c r="SG1274"/>
      <c r="SH1274"/>
      <c r="SI1274"/>
      <c r="SJ1274"/>
      <c r="SK1274"/>
      <c r="SL1274"/>
      <c r="SM1274"/>
      <c r="SN1274"/>
      <c r="SO1274"/>
      <c r="SP1274"/>
      <c r="SQ1274"/>
      <c r="SR1274"/>
      <c r="SS1274"/>
      <c r="ST1274"/>
      <c r="SU1274"/>
      <c r="SV1274"/>
      <c r="SW1274"/>
      <c r="SX1274"/>
      <c r="SY1274"/>
      <c r="SZ1274"/>
      <c r="TA1274"/>
      <c r="TB1274"/>
      <c r="TC1274"/>
      <c r="TD1274"/>
      <c r="TE1274"/>
      <c r="TF1274"/>
      <c r="TG1274"/>
      <c r="TH1274"/>
      <c r="TI1274"/>
      <c r="TJ1274"/>
      <c r="TK1274"/>
      <c r="TL1274"/>
      <c r="TM1274"/>
      <c r="TN1274"/>
      <c r="TO1274"/>
      <c r="TP1274"/>
      <c r="TQ1274"/>
      <c r="TR1274"/>
      <c r="TS1274"/>
      <c r="TT1274"/>
      <c r="TU1274"/>
      <c r="TV1274"/>
      <c r="TW1274"/>
      <c r="TX1274"/>
      <c r="TY1274"/>
      <c r="TZ1274"/>
      <c r="UA1274"/>
      <c r="UB1274"/>
      <c r="UC1274"/>
      <c r="UD1274"/>
      <c r="UE1274"/>
      <c r="UF1274"/>
      <c r="UG1274"/>
      <c r="UH1274"/>
      <c r="UI1274"/>
      <c r="UJ1274"/>
      <c r="UK1274"/>
      <c r="UL1274"/>
      <c r="UM1274"/>
      <c r="UN1274"/>
      <c r="UO1274"/>
      <c r="UP1274"/>
      <c r="UQ1274"/>
      <c r="UR1274"/>
      <c r="US1274"/>
      <c r="UT1274"/>
      <c r="UU1274"/>
      <c r="UV1274"/>
      <c r="UW1274"/>
      <c r="UX1274"/>
      <c r="UY1274"/>
      <c r="UZ1274"/>
      <c r="VA1274"/>
      <c r="VB1274"/>
      <c r="VC1274"/>
      <c r="VD1274"/>
      <c r="VE1274"/>
      <c r="VF1274"/>
      <c r="VG1274"/>
      <c r="VH1274"/>
      <c r="VI1274"/>
      <c r="VJ1274"/>
      <c r="VK1274"/>
      <c r="VL1274"/>
      <c r="VM1274"/>
      <c r="VN1274"/>
      <c r="VO1274"/>
      <c r="VP1274"/>
      <c r="VQ1274"/>
      <c r="VR1274"/>
      <c r="VS1274"/>
      <c r="VT1274"/>
      <c r="VU1274"/>
      <c r="VV1274"/>
      <c r="VW1274"/>
      <c r="VX1274"/>
      <c r="VY1274"/>
      <c r="VZ1274"/>
      <c r="WA1274"/>
      <c r="WB1274"/>
      <c r="WC1274"/>
      <c r="WD1274"/>
      <c r="WE1274"/>
      <c r="WF1274"/>
      <c r="WG1274"/>
      <c r="WH1274"/>
      <c r="WI1274"/>
      <c r="WJ1274"/>
      <c r="WK1274"/>
      <c r="WL1274"/>
      <c r="WM1274"/>
      <c r="WN1274"/>
      <c r="WO1274"/>
      <c r="WP1274"/>
      <c r="WQ1274"/>
      <c r="WR1274"/>
      <c r="WS1274"/>
      <c r="WT1274"/>
      <c r="WU1274"/>
      <c r="WV1274"/>
      <c r="WW1274"/>
      <c r="WX1274"/>
      <c r="WY1274"/>
      <c r="WZ1274"/>
      <c r="XA1274"/>
      <c r="XB1274"/>
      <c r="XC1274"/>
      <c r="XD1274"/>
      <c r="XE1274"/>
      <c r="XF1274"/>
      <c r="XG1274"/>
      <c r="XH1274"/>
      <c r="XI1274"/>
      <c r="XJ1274"/>
      <c r="XK1274"/>
      <c r="XL1274"/>
      <c r="XM1274"/>
      <c r="XN1274"/>
      <c r="XO1274"/>
      <c r="XP1274"/>
      <c r="XQ1274"/>
      <c r="XR1274"/>
      <c r="XS1274"/>
      <c r="XT1274"/>
      <c r="XU1274"/>
      <c r="XV1274"/>
      <c r="XW1274"/>
      <c r="XX1274"/>
      <c r="XY1274"/>
      <c r="XZ1274"/>
      <c r="YA1274"/>
      <c r="YB1274"/>
      <c r="YC1274"/>
      <c r="YD1274"/>
      <c r="YE1274"/>
      <c r="YF1274"/>
      <c r="YG1274"/>
      <c r="YH1274"/>
      <c r="YI1274"/>
      <c r="YJ1274"/>
      <c r="YK1274"/>
      <c r="YL1274"/>
      <c r="YM1274"/>
      <c r="YN1274"/>
      <c r="YO1274"/>
      <c r="YP1274"/>
      <c r="YQ1274"/>
      <c r="YR1274"/>
      <c r="YS1274"/>
      <c r="YT1274"/>
      <c r="YU1274"/>
      <c r="YV1274"/>
      <c r="YW1274"/>
      <c r="YX1274"/>
      <c r="YY1274"/>
      <c r="YZ1274"/>
      <c r="ZA1274"/>
      <c r="ZB1274"/>
      <c r="ZC1274"/>
      <c r="ZD1274"/>
      <c r="ZE1274"/>
      <c r="ZF1274"/>
      <c r="ZG1274"/>
      <c r="ZH1274"/>
      <c r="ZI1274"/>
      <c r="ZJ1274"/>
      <c r="ZK1274"/>
      <c r="ZL1274"/>
      <c r="ZM1274"/>
      <c r="ZN1274"/>
      <c r="ZO1274"/>
      <c r="ZP1274"/>
      <c r="ZQ1274"/>
      <c r="ZR1274"/>
      <c r="ZS1274"/>
      <c r="ZT1274"/>
      <c r="ZU1274"/>
      <c r="ZV1274"/>
      <c r="ZW1274"/>
      <c r="ZX1274"/>
      <c r="ZY1274"/>
      <c r="ZZ1274"/>
      <c r="AAA1274"/>
      <c r="AAB1274"/>
      <c r="AAC1274"/>
      <c r="AAD1274"/>
      <c r="AAE1274"/>
      <c r="AAF1274"/>
      <c r="AAG1274"/>
      <c r="AAH1274"/>
      <c r="AAI1274"/>
      <c r="AAJ1274"/>
      <c r="AAK1274"/>
      <c r="AAL1274"/>
      <c r="AAM1274"/>
      <c r="AAN1274"/>
      <c r="AAO1274"/>
      <c r="AAP1274"/>
      <c r="AAQ1274"/>
      <c r="AAR1274"/>
      <c r="AAS1274"/>
      <c r="AAT1274"/>
      <c r="AAU1274"/>
      <c r="AAV1274"/>
      <c r="AAW1274"/>
      <c r="AAX1274"/>
      <c r="AAY1274"/>
      <c r="AAZ1274"/>
      <c r="ABA1274"/>
      <c r="ABB1274"/>
      <c r="ABC1274"/>
      <c r="ABD1274"/>
      <c r="ABE1274"/>
      <c r="ABF1274"/>
      <c r="ABG1274"/>
      <c r="ABH1274"/>
      <c r="ABI1274"/>
      <c r="ABJ1274"/>
      <c r="ABK1274"/>
      <c r="ABL1274"/>
      <c r="ABM1274"/>
      <c r="ABN1274"/>
      <c r="ABO1274"/>
      <c r="ABP1274"/>
      <c r="ABQ1274"/>
      <c r="ABR1274"/>
      <c r="ABS1274"/>
      <c r="ABT1274"/>
      <c r="ABU1274"/>
      <c r="ABV1274"/>
      <c r="ABW1274"/>
      <c r="ABX1274"/>
      <c r="ABY1274"/>
      <c r="ABZ1274"/>
      <c r="ACA1274"/>
      <c r="ACB1274"/>
      <c r="ACC1274"/>
      <c r="ACD1274"/>
      <c r="ACE1274"/>
      <c r="ACF1274"/>
      <c r="ACG1274"/>
      <c r="ACH1274"/>
      <c r="ACI1274"/>
      <c r="ACJ1274"/>
      <c r="ACK1274"/>
      <c r="ACL1274"/>
      <c r="ACM1274"/>
      <c r="ACN1274"/>
      <c r="ACO1274"/>
      <c r="ACP1274"/>
      <c r="ACQ1274"/>
      <c r="ACR1274"/>
      <c r="ACS1274"/>
      <c r="ACT1274"/>
      <c r="ACU1274"/>
      <c r="ACV1274"/>
      <c r="ACW1274"/>
      <c r="ACX1274"/>
      <c r="ACY1274"/>
      <c r="ACZ1274"/>
      <c r="ADA1274"/>
      <c r="ADB1274"/>
      <c r="ADC1274"/>
      <c r="ADD1274"/>
      <c r="ADE1274"/>
      <c r="ADF1274"/>
      <c r="ADG1274"/>
      <c r="ADH1274"/>
      <c r="ADI1274"/>
      <c r="ADJ1274"/>
      <c r="ADK1274"/>
      <c r="ADL1274"/>
      <c r="ADM1274"/>
      <c r="ADN1274"/>
      <c r="ADO1274"/>
      <c r="ADP1274"/>
      <c r="ADQ1274"/>
      <c r="ADR1274"/>
      <c r="ADS1274"/>
      <c r="ADT1274"/>
      <c r="ADU1274"/>
      <c r="ADV1274"/>
      <c r="ADW1274"/>
      <c r="ADX1274"/>
      <c r="ADY1274"/>
      <c r="ADZ1274"/>
      <c r="AEA1274"/>
      <c r="AEB1274"/>
      <c r="AEC1274"/>
      <c r="AED1274"/>
      <c r="AEE1274"/>
      <c r="AEF1274"/>
      <c r="AEG1274"/>
      <c r="AEH1274"/>
      <c r="AEI1274"/>
      <c r="AEJ1274"/>
      <c r="AEK1274"/>
      <c r="AEL1274"/>
      <c r="AEM1274"/>
      <c r="AEN1274"/>
      <c r="AEO1274"/>
      <c r="AEP1274"/>
      <c r="AEQ1274"/>
      <c r="AER1274"/>
      <c r="AES1274"/>
      <c r="AET1274"/>
      <c r="AEU1274"/>
      <c r="AEV1274"/>
      <c r="AEW1274"/>
      <c r="AEX1274"/>
      <c r="AEY1274"/>
      <c r="AEZ1274"/>
      <c r="AFA1274"/>
      <c r="AFB1274"/>
      <c r="AFC1274"/>
      <c r="AFD1274"/>
      <c r="AFE1274"/>
      <c r="AFF1274"/>
      <c r="AFG1274"/>
      <c r="AFH1274"/>
      <c r="AFI1274"/>
      <c r="AFJ1274"/>
      <c r="AFK1274"/>
      <c r="AFL1274"/>
      <c r="AFM1274"/>
      <c r="AFN1274"/>
      <c r="AFO1274"/>
      <c r="AFP1274"/>
      <c r="AFQ1274"/>
      <c r="AFR1274"/>
      <c r="AFS1274"/>
      <c r="AFT1274"/>
      <c r="AFU1274"/>
      <c r="AFV1274"/>
      <c r="AFW1274"/>
      <c r="AFX1274"/>
      <c r="AFY1274"/>
      <c r="AFZ1274"/>
      <c r="AGA1274"/>
      <c r="AGB1274"/>
      <c r="AGC1274"/>
      <c r="AGD1274"/>
      <c r="AGE1274"/>
      <c r="AGF1274"/>
      <c r="AGG1274"/>
      <c r="AGH1274"/>
      <c r="AGI1274"/>
      <c r="AGJ1274"/>
      <c r="AGK1274"/>
      <c r="AGL1274"/>
      <c r="AGM1274"/>
      <c r="AGN1274"/>
      <c r="AGO1274"/>
      <c r="AGP1274"/>
      <c r="AGQ1274"/>
      <c r="AGR1274"/>
      <c r="AGS1274"/>
      <c r="AGT1274"/>
      <c r="AGU1274"/>
      <c r="AGV1274"/>
      <c r="AGW1274"/>
      <c r="AGX1274"/>
      <c r="AGY1274"/>
      <c r="AGZ1274"/>
      <c r="AHA1274"/>
      <c r="AHB1274"/>
      <c r="AHC1274"/>
      <c r="AHD1274"/>
      <c r="AHE1274"/>
      <c r="AHF1274"/>
      <c r="AHG1274"/>
      <c r="AHH1274"/>
      <c r="AHI1274"/>
      <c r="AHJ1274"/>
      <c r="AHK1274"/>
      <c r="AHL1274"/>
      <c r="AHM1274"/>
      <c r="AHN1274"/>
      <c r="AHO1274"/>
      <c r="AHP1274"/>
      <c r="AHQ1274"/>
      <c r="AHR1274"/>
      <c r="AHS1274"/>
      <c r="AHT1274"/>
      <c r="AHU1274"/>
      <c r="AHV1274"/>
      <c r="AHW1274"/>
      <c r="AHX1274"/>
      <c r="AHY1274"/>
      <c r="AHZ1274"/>
      <c r="AIA1274"/>
      <c r="AIB1274"/>
      <c r="AIC1274"/>
      <c r="AID1274"/>
      <c r="AIE1274"/>
      <c r="AIF1274"/>
      <c r="AIG1274"/>
      <c r="AIH1274"/>
      <c r="AII1274"/>
      <c r="AIJ1274"/>
      <c r="AIK1274"/>
      <c r="AIL1274"/>
      <c r="AIM1274"/>
      <c r="AIN1274"/>
      <c r="AIO1274"/>
      <c r="AIP1274"/>
      <c r="AIQ1274"/>
      <c r="AIR1274"/>
      <c r="AIS1274"/>
      <c r="AIT1274"/>
      <c r="AIU1274"/>
      <c r="AIV1274"/>
      <c r="AIW1274"/>
      <c r="AIX1274"/>
      <c r="AIY1274"/>
      <c r="AIZ1274"/>
      <c r="AJA1274"/>
      <c r="AJB1274"/>
      <c r="AJC1274"/>
      <c r="AJD1274"/>
      <c r="AJE1274"/>
      <c r="AJF1274"/>
      <c r="AJG1274"/>
      <c r="AJH1274"/>
      <c r="AJI1274"/>
      <c r="AJJ1274"/>
      <c r="AJK1274"/>
      <c r="AJL1274"/>
      <c r="AJM1274"/>
      <c r="AJN1274"/>
      <c r="AJO1274"/>
      <c r="AJP1274"/>
      <c r="AJQ1274"/>
      <c r="AJR1274"/>
      <c r="AJS1274"/>
      <c r="AJT1274"/>
      <c r="AJU1274"/>
      <c r="AJV1274"/>
      <c r="AJW1274"/>
      <c r="AJX1274"/>
      <c r="AJY1274"/>
      <c r="AJZ1274"/>
      <c r="AKA1274"/>
      <c r="AKB1274"/>
      <c r="AKC1274"/>
      <c r="AKD1274"/>
      <c r="AKE1274"/>
      <c r="AKF1274"/>
      <c r="AKG1274"/>
      <c r="AKH1274"/>
      <c r="AKI1274"/>
      <c r="AKJ1274"/>
      <c r="AKK1274"/>
      <c r="AKL1274"/>
      <c r="AKM1274"/>
      <c r="AKN1274"/>
      <c r="AKO1274"/>
      <c r="AKP1274"/>
      <c r="AKQ1274"/>
      <c r="AKR1274"/>
      <c r="AKS1274"/>
      <c r="AKT1274"/>
      <c r="AKU1274"/>
      <c r="AKV1274"/>
      <c r="AKW1274"/>
      <c r="AKX1274"/>
      <c r="AKY1274"/>
      <c r="AKZ1274"/>
      <c r="ALA1274"/>
      <c r="ALB1274"/>
      <c r="ALC1274"/>
      <c r="ALD1274"/>
      <c r="ALE1274"/>
      <c r="ALF1274"/>
      <c r="ALG1274"/>
      <c r="ALH1274"/>
      <c r="ALI1274"/>
      <c r="ALJ1274"/>
      <c r="ALK1274"/>
      <c r="ALL1274"/>
      <c r="ALM1274"/>
      <c r="ALN1274"/>
      <c r="ALO1274"/>
      <c r="ALP1274"/>
      <c r="ALQ1274"/>
      <c r="ALR1274"/>
      <c r="ALS1274"/>
      <c r="ALT1274"/>
    </row>
    <row r="1275" spans="1:1008" x14ac:dyDescent="0.15">
      <c r="A1275" t="s">
        <v>4016</v>
      </c>
      <c r="B1275" s="8" t="s">
        <v>4077</v>
      </c>
      <c r="C1275" t="s">
        <v>4016</v>
      </c>
      <c r="D1275" s="8" t="s">
        <v>15</v>
      </c>
      <c r="E1275" t="s">
        <v>4016</v>
      </c>
      <c r="F1275" t="s">
        <v>4017</v>
      </c>
      <c r="G1275">
        <v>500</v>
      </c>
      <c r="H1275"/>
      <c r="I1275"/>
      <c r="J1275"/>
      <c r="K1275"/>
      <c r="L1275"/>
      <c r="M1275"/>
      <c r="N1275"/>
      <c r="O1275"/>
      <c r="P1275"/>
      <c r="Q1275"/>
      <c r="R1275"/>
      <c r="S1275"/>
      <c r="T1275"/>
      <c r="U1275"/>
      <c r="V1275"/>
      <c r="W1275"/>
      <c r="X1275"/>
      <c r="Y1275"/>
      <c r="Z1275"/>
      <c r="AA1275"/>
      <c r="AB1275"/>
      <c r="AC1275"/>
      <c r="AD1275"/>
      <c r="AE1275"/>
      <c r="AF1275"/>
      <c r="AG1275"/>
      <c r="AH1275"/>
      <c r="AI1275"/>
      <c r="AJ1275"/>
      <c r="AK1275"/>
      <c r="AL1275"/>
      <c r="AM1275"/>
      <c r="AN1275"/>
      <c r="AO1275"/>
      <c r="AP1275"/>
      <c r="AQ1275"/>
      <c r="AR1275"/>
      <c r="AS1275"/>
      <c r="AT1275"/>
      <c r="AU1275"/>
      <c r="AV1275"/>
      <c r="AW1275"/>
      <c r="AX1275"/>
      <c r="AY1275"/>
      <c r="AZ1275"/>
      <c r="BA1275"/>
      <c r="BB1275"/>
      <c r="BC1275"/>
      <c r="BD1275"/>
      <c r="BE1275"/>
      <c r="BF1275"/>
      <c r="BG1275"/>
      <c r="BH1275"/>
      <c r="BI1275"/>
      <c r="BJ1275"/>
      <c r="BK1275"/>
      <c r="BL1275"/>
      <c r="BM1275"/>
      <c r="BN1275"/>
      <c r="BO1275"/>
      <c r="BP1275"/>
      <c r="BQ1275"/>
      <c r="BR1275"/>
      <c r="BS1275"/>
      <c r="BT1275"/>
      <c r="BU1275"/>
      <c r="BV1275"/>
      <c r="BW1275"/>
      <c r="BX1275"/>
      <c r="BY1275"/>
      <c r="BZ1275"/>
      <c r="CA1275"/>
      <c r="CB1275"/>
      <c r="CC1275"/>
      <c r="CD1275"/>
      <c r="CE1275"/>
      <c r="CF1275"/>
      <c r="CG1275"/>
      <c r="CH1275"/>
      <c r="CI1275"/>
      <c r="CJ1275"/>
      <c r="CK1275"/>
      <c r="CL1275"/>
      <c r="CM1275"/>
      <c r="CN1275"/>
      <c r="CO1275"/>
      <c r="CP1275"/>
      <c r="CQ1275"/>
      <c r="CR1275"/>
      <c r="CS1275"/>
      <c r="CT1275"/>
      <c r="CU1275"/>
      <c r="CV1275"/>
      <c r="CW1275"/>
      <c r="CX1275"/>
      <c r="CY1275"/>
      <c r="CZ1275"/>
      <c r="DA1275"/>
      <c r="DB1275"/>
      <c r="DC1275"/>
      <c r="DD1275"/>
      <c r="DE1275"/>
      <c r="DF1275"/>
      <c r="DG1275"/>
      <c r="DH1275"/>
      <c r="DI1275"/>
      <c r="DJ1275"/>
      <c r="DK1275"/>
      <c r="DL1275"/>
      <c r="DM1275"/>
      <c r="DN1275"/>
      <c r="DO1275"/>
      <c r="DP1275"/>
      <c r="DQ1275"/>
      <c r="DR1275"/>
      <c r="DS1275"/>
      <c r="DT1275"/>
      <c r="DU1275"/>
      <c r="DV1275"/>
      <c r="DW1275"/>
      <c r="DX1275"/>
      <c r="DY1275"/>
      <c r="DZ1275"/>
      <c r="EA1275"/>
      <c r="EB1275"/>
      <c r="EC1275"/>
      <c r="ED1275"/>
      <c r="EE1275"/>
      <c r="EF1275"/>
      <c r="EG1275"/>
      <c r="EH1275"/>
      <c r="EI1275"/>
      <c r="EJ1275"/>
      <c r="EK1275"/>
      <c r="EL1275"/>
      <c r="EM1275"/>
      <c r="EN1275"/>
      <c r="EO1275"/>
      <c r="EP1275"/>
      <c r="EQ1275"/>
      <c r="ER1275"/>
      <c r="ES1275"/>
      <c r="ET1275"/>
      <c r="EU1275"/>
      <c r="EV1275"/>
      <c r="EW1275"/>
      <c r="EX1275"/>
      <c r="EY1275"/>
      <c r="EZ1275"/>
      <c r="FA1275"/>
      <c r="FB1275"/>
      <c r="FC1275"/>
      <c r="FD1275"/>
      <c r="FE1275"/>
      <c r="FF1275"/>
      <c r="FG1275"/>
      <c r="FH1275"/>
      <c r="FI1275"/>
      <c r="FJ1275"/>
      <c r="FK1275"/>
      <c r="FL1275"/>
      <c r="FM1275"/>
      <c r="FN1275"/>
      <c r="FO1275"/>
      <c r="FP1275"/>
      <c r="FQ1275"/>
      <c r="FR1275"/>
      <c r="FS1275"/>
      <c r="FT1275"/>
      <c r="FU1275"/>
      <c r="FV1275"/>
      <c r="FW1275"/>
      <c r="FX1275"/>
      <c r="FY1275"/>
      <c r="FZ1275"/>
      <c r="GA1275"/>
      <c r="GB1275"/>
      <c r="GC1275"/>
      <c r="GD1275"/>
      <c r="GE1275"/>
      <c r="GF1275"/>
      <c r="GG1275"/>
      <c r="GH1275"/>
      <c r="GI1275"/>
      <c r="GJ1275"/>
      <c r="GK1275"/>
      <c r="GL1275"/>
      <c r="GM1275"/>
      <c r="GN1275"/>
      <c r="GO1275"/>
      <c r="GP1275"/>
      <c r="GQ1275"/>
      <c r="GR1275"/>
      <c r="GS1275"/>
      <c r="GT1275"/>
      <c r="GU1275"/>
      <c r="GV1275"/>
      <c r="GW1275"/>
      <c r="GX1275"/>
      <c r="GY1275"/>
      <c r="GZ1275"/>
      <c r="HA1275"/>
      <c r="HB1275"/>
      <c r="HC1275"/>
      <c r="HD1275"/>
      <c r="HE1275"/>
      <c r="HF1275"/>
      <c r="HG1275"/>
      <c r="HH1275"/>
      <c r="HI1275"/>
      <c r="HJ1275"/>
      <c r="HK1275"/>
      <c r="HL1275"/>
      <c r="HM1275"/>
      <c r="HN1275"/>
      <c r="HO1275"/>
      <c r="HP1275"/>
      <c r="HQ1275"/>
      <c r="HR1275"/>
      <c r="HS1275"/>
      <c r="HT1275"/>
      <c r="HU1275"/>
      <c r="HV1275"/>
      <c r="HW1275"/>
      <c r="HX1275"/>
      <c r="HY1275"/>
      <c r="HZ1275"/>
      <c r="IA1275"/>
      <c r="IB1275"/>
      <c r="IC1275"/>
      <c r="ID1275"/>
      <c r="IE1275"/>
      <c r="IF1275"/>
      <c r="IG1275"/>
      <c r="IH1275"/>
      <c r="II1275"/>
      <c r="IJ1275"/>
      <c r="IK1275"/>
      <c r="IL1275"/>
      <c r="IM1275"/>
      <c r="IN1275"/>
      <c r="IO1275"/>
      <c r="IP1275"/>
      <c r="IQ1275"/>
      <c r="IR1275"/>
      <c r="IS1275"/>
      <c r="IT1275"/>
      <c r="IU1275"/>
      <c r="IV1275"/>
      <c r="IW1275"/>
      <c r="IX1275"/>
      <c r="IY1275"/>
      <c r="IZ1275"/>
      <c r="JA1275"/>
      <c r="JB1275"/>
      <c r="JC1275"/>
      <c r="JD1275"/>
      <c r="JE1275"/>
      <c r="JF1275"/>
      <c r="JG1275"/>
      <c r="JH1275"/>
      <c r="JI1275"/>
      <c r="JJ1275"/>
      <c r="JK1275"/>
      <c r="JL1275"/>
      <c r="JM1275"/>
      <c r="JN1275"/>
      <c r="JO1275"/>
      <c r="JP1275"/>
      <c r="JQ1275"/>
      <c r="JR1275"/>
      <c r="JS1275"/>
      <c r="JT1275"/>
      <c r="JU1275"/>
      <c r="JV1275"/>
      <c r="JW1275"/>
      <c r="JX1275"/>
      <c r="JY1275"/>
      <c r="JZ1275"/>
      <c r="KA1275"/>
      <c r="KB1275"/>
      <c r="KC1275"/>
      <c r="KD1275"/>
      <c r="KE1275"/>
      <c r="KF1275"/>
      <c r="KG1275"/>
      <c r="KH1275"/>
      <c r="KI1275"/>
      <c r="KJ1275"/>
      <c r="KK1275"/>
      <c r="KL1275"/>
      <c r="KM1275"/>
      <c r="KN1275"/>
      <c r="KO1275"/>
      <c r="KP1275"/>
      <c r="KQ1275"/>
      <c r="KR1275"/>
      <c r="KS1275"/>
      <c r="KT1275"/>
      <c r="KU1275"/>
      <c r="KV1275"/>
      <c r="KW1275"/>
      <c r="KX1275"/>
      <c r="KY1275"/>
      <c r="KZ1275"/>
      <c r="LA1275"/>
      <c r="LB1275"/>
      <c r="LC1275"/>
      <c r="LD1275"/>
      <c r="LE1275"/>
      <c r="LF1275"/>
      <c r="LG1275"/>
      <c r="LH1275"/>
      <c r="LI1275"/>
      <c r="LJ1275"/>
      <c r="LK1275"/>
      <c r="LL1275"/>
      <c r="LM1275"/>
      <c r="LN1275"/>
      <c r="LO1275"/>
      <c r="LP1275"/>
      <c r="LQ1275"/>
      <c r="LR1275"/>
      <c r="LS1275"/>
      <c r="LT1275"/>
      <c r="LU1275"/>
      <c r="LV1275"/>
      <c r="LW1275"/>
      <c r="LX1275"/>
      <c r="LY1275"/>
      <c r="LZ1275"/>
      <c r="MA1275"/>
      <c r="MB1275"/>
      <c r="MC1275"/>
      <c r="MD1275"/>
      <c r="ME1275"/>
      <c r="MF1275"/>
      <c r="MG1275"/>
      <c r="MH1275"/>
      <c r="MI1275"/>
      <c r="MJ1275"/>
      <c r="MK1275"/>
      <c r="ML1275"/>
      <c r="MM1275"/>
      <c r="MN1275"/>
      <c r="MO1275"/>
      <c r="MP1275"/>
      <c r="MQ1275"/>
      <c r="MR1275"/>
      <c r="MS1275"/>
      <c r="MT1275"/>
      <c r="MU1275"/>
      <c r="MV1275"/>
      <c r="MW1275"/>
      <c r="MX1275"/>
      <c r="MY1275"/>
      <c r="MZ1275"/>
      <c r="NA1275"/>
      <c r="NB1275"/>
      <c r="NC1275"/>
      <c r="ND1275"/>
      <c r="NE1275"/>
      <c r="NF1275"/>
      <c r="NG1275"/>
      <c r="NH1275"/>
      <c r="NI1275"/>
      <c r="NJ1275"/>
      <c r="NK1275"/>
      <c r="NL1275"/>
      <c r="NM1275"/>
      <c r="NN1275"/>
      <c r="NO1275"/>
      <c r="NP1275"/>
      <c r="NQ1275"/>
      <c r="NR1275"/>
      <c r="NS1275"/>
      <c r="NT1275"/>
      <c r="NU1275"/>
      <c r="NV1275"/>
      <c r="NW1275"/>
      <c r="NX1275"/>
      <c r="NY1275"/>
      <c r="NZ1275"/>
      <c r="OA1275"/>
      <c r="OB1275"/>
      <c r="OC1275"/>
      <c r="OD1275"/>
      <c r="OE1275"/>
      <c r="OF1275"/>
      <c r="OG1275"/>
      <c r="OH1275"/>
      <c r="OI1275"/>
      <c r="OJ1275"/>
      <c r="OK1275"/>
      <c r="OL1275"/>
      <c r="OM1275"/>
      <c r="ON1275"/>
      <c r="OO1275"/>
      <c r="OP1275"/>
      <c r="OQ1275"/>
      <c r="OR1275"/>
      <c r="OS1275"/>
      <c r="OT1275"/>
      <c r="OU1275"/>
      <c r="OV1275"/>
      <c r="OW1275"/>
      <c r="OX1275"/>
      <c r="OY1275"/>
      <c r="OZ1275"/>
      <c r="PA1275"/>
      <c r="PB1275"/>
      <c r="PC1275"/>
      <c r="PD1275"/>
      <c r="PE1275"/>
      <c r="PF1275"/>
      <c r="PG1275"/>
      <c r="PH1275"/>
      <c r="PI1275"/>
      <c r="PJ1275"/>
      <c r="PK1275"/>
      <c r="PL1275"/>
      <c r="PM1275"/>
      <c r="PN1275"/>
      <c r="PO1275"/>
      <c r="PP1275"/>
      <c r="PQ1275"/>
      <c r="PR1275"/>
      <c r="PS1275"/>
      <c r="PT1275"/>
      <c r="PU1275"/>
      <c r="PV1275"/>
      <c r="PW1275"/>
      <c r="PX1275"/>
      <c r="PY1275"/>
      <c r="PZ1275"/>
      <c r="QA1275"/>
      <c r="QB1275"/>
      <c r="QC1275"/>
      <c r="QD1275"/>
      <c r="QE1275"/>
      <c r="QF1275"/>
      <c r="QG1275"/>
      <c r="QH1275"/>
      <c r="QI1275"/>
      <c r="QJ1275"/>
      <c r="QK1275"/>
      <c r="QL1275"/>
      <c r="QM1275"/>
      <c r="QN1275"/>
      <c r="QO1275"/>
      <c r="QP1275"/>
      <c r="QQ1275"/>
      <c r="QR1275"/>
      <c r="QS1275"/>
      <c r="QT1275"/>
      <c r="QU1275"/>
      <c r="QV1275"/>
      <c r="QW1275"/>
      <c r="QX1275"/>
      <c r="QY1275"/>
      <c r="QZ1275"/>
      <c r="RA1275"/>
      <c r="RB1275"/>
      <c r="RC1275"/>
      <c r="RD1275"/>
      <c r="RE1275"/>
      <c r="RF1275"/>
      <c r="RG1275"/>
      <c r="RH1275"/>
      <c r="RI1275"/>
      <c r="RJ1275"/>
      <c r="RK1275"/>
      <c r="RL1275"/>
      <c r="RM1275"/>
      <c r="RN1275"/>
      <c r="RO1275"/>
      <c r="RP1275"/>
      <c r="RQ1275"/>
      <c r="RR1275"/>
      <c r="RS1275"/>
      <c r="RT1275"/>
      <c r="RU1275"/>
      <c r="RV1275"/>
      <c r="RW1275"/>
      <c r="RX1275"/>
      <c r="RY1275"/>
      <c r="RZ1275"/>
      <c r="SA1275"/>
      <c r="SB1275"/>
      <c r="SC1275"/>
      <c r="SD1275"/>
      <c r="SE1275"/>
      <c r="SF1275"/>
      <c r="SG1275"/>
      <c r="SH1275"/>
      <c r="SI1275"/>
      <c r="SJ1275"/>
      <c r="SK1275"/>
      <c r="SL1275"/>
      <c r="SM1275"/>
      <c r="SN1275"/>
      <c r="SO1275"/>
      <c r="SP1275"/>
      <c r="SQ1275"/>
      <c r="SR1275"/>
      <c r="SS1275"/>
      <c r="ST1275"/>
      <c r="SU1275"/>
      <c r="SV1275"/>
      <c r="SW1275"/>
      <c r="SX1275"/>
      <c r="SY1275"/>
      <c r="SZ1275"/>
      <c r="TA1275"/>
      <c r="TB1275"/>
      <c r="TC1275"/>
      <c r="TD1275"/>
      <c r="TE1275"/>
      <c r="TF1275"/>
      <c r="TG1275"/>
      <c r="TH1275"/>
      <c r="TI1275"/>
      <c r="TJ1275"/>
      <c r="TK1275"/>
      <c r="TL1275"/>
      <c r="TM1275"/>
      <c r="TN1275"/>
      <c r="TO1275"/>
      <c r="TP1275"/>
      <c r="TQ1275"/>
      <c r="TR1275"/>
      <c r="TS1275"/>
      <c r="TT1275"/>
      <c r="TU1275"/>
      <c r="TV1275"/>
      <c r="TW1275"/>
      <c r="TX1275"/>
      <c r="TY1275"/>
      <c r="TZ1275"/>
      <c r="UA1275"/>
      <c r="UB1275"/>
      <c r="UC1275"/>
      <c r="UD1275"/>
      <c r="UE1275"/>
      <c r="UF1275"/>
      <c r="UG1275"/>
      <c r="UH1275"/>
      <c r="UI1275"/>
      <c r="UJ1275"/>
      <c r="UK1275"/>
      <c r="UL1275"/>
      <c r="UM1275"/>
      <c r="UN1275"/>
      <c r="UO1275"/>
      <c r="UP1275"/>
      <c r="UQ1275"/>
      <c r="UR1275"/>
      <c r="US1275"/>
      <c r="UT1275"/>
      <c r="UU1275"/>
      <c r="UV1275"/>
      <c r="UW1275"/>
      <c r="UX1275"/>
      <c r="UY1275"/>
      <c r="UZ1275"/>
      <c r="VA1275"/>
      <c r="VB1275"/>
      <c r="VC1275"/>
      <c r="VD1275"/>
      <c r="VE1275"/>
      <c r="VF1275"/>
      <c r="VG1275"/>
      <c r="VH1275"/>
      <c r="VI1275"/>
      <c r="VJ1275"/>
      <c r="VK1275"/>
      <c r="VL1275"/>
      <c r="VM1275"/>
      <c r="VN1275"/>
      <c r="VO1275"/>
      <c r="VP1275"/>
      <c r="VQ1275"/>
      <c r="VR1275"/>
      <c r="VS1275"/>
      <c r="VT1275"/>
      <c r="VU1275"/>
      <c r="VV1275"/>
      <c r="VW1275"/>
      <c r="VX1275"/>
      <c r="VY1275"/>
      <c r="VZ1275"/>
      <c r="WA1275"/>
      <c r="WB1275"/>
      <c r="WC1275"/>
      <c r="WD1275"/>
      <c r="WE1275"/>
      <c r="WF1275"/>
      <c r="WG1275"/>
      <c r="WH1275"/>
      <c r="WI1275"/>
      <c r="WJ1275"/>
      <c r="WK1275"/>
      <c r="WL1275"/>
      <c r="WM1275"/>
      <c r="WN1275"/>
      <c r="WO1275"/>
      <c r="WP1275"/>
      <c r="WQ1275"/>
      <c r="WR1275"/>
      <c r="WS1275"/>
      <c r="WT1275"/>
      <c r="WU1275"/>
      <c r="WV1275"/>
      <c r="WW1275"/>
      <c r="WX1275"/>
      <c r="WY1275"/>
      <c r="WZ1275"/>
      <c r="XA1275"/>
      <c r="XB1275"/>
      <c r="XC1275"/>
      <c r="XD1275"/>
      <c r="XE1275"/>
      <c r="XF1275"/>
      <c r="XG1275"/>
      <c r="XH1275"/>
      <c r="XI1275"/>
      <c r="XJ1275"/>
      <c r="XK1275"/>
      <c r="XL1275"/>
      <c r="XM1275"/>
      <c r="XN1275"/>
      <c r="XO1275"/>
      <c r="XP1275"/>
      <c r="XQ1275"/>
      <c r="XR1275"/>
      <c r="XS1275"/>
      <c r="XT1275"/>
      <c r="XU1275"/>
      <c r="XV1275"/>
      <c r="XW1275"/>
      <c r="XX1275"/>
      <c r="XY1275"/>
      <c r="XZ1275"/>
      <c r="YA1275"/>
      <c r="YB1275"/>
      <c r="YC1275"/>
      <c r="YD1275"/>
      <c r="YE1275"/>
      <c r="YF1275"/>
      <c r="YG1275"/>
      <c r="YH1275"/>
      <c r="YI1275"/>
      <c r="YJ1275"/>
      <c r="YK1275"/>
      <c r="YL1275"/>
      <c r="YM1275"/>
      <c r="YN1275"/>
      <c r="YO1275"/>
      <c r="YP1275"/>
      <c r="YQ1275"/>
      <c r="YR1275"/>
      <c r="YS1275"/>
      <c r="YT1275"/>
      <c r="YU1275"/>
      <c r="YV1275"/>
      <c r="YW1275"/>
      <c r="YX1275"/>
      <c r="YY1275"/>
      <c r="YZ1275"/>
      <c r="ZA1275"/>
      <c r="ZB1275"/>
      <c r="ZC1275"/>
      <c r="ZD1275"/>
      <c r="ZE1275"/>
      <c r="ZF1275"/>
      <c r="ZG1275"/>
      <c r="ZH1275"/>
      <c r="ZI1275"/>
      <c r="ZJ1275"/>
      <c r="ZK1275"/>
      <c r="ZL1275"/>
      <c r="ZM1275"/>
      <c r="ZN1275"/>
      <c r="ZO1275"/>
      <c r="ZP1275"/>
      <c r="ZQ1275"/>
      <c r="ZR1275"/>
      <c r="ZS1275"/>
      <c r="ZT1275"/>
      <c r="ZU1275"/>
      <c r="ZV1275"/>
      <c r="ZW1275"/>
      <c r="ZX1275"/>
      <c r="ZY1275"/>
      <c r="ZZ1275"/>
      <c r="AAA1275"/>
      <c r="AAB1275"/>
      <c r="AAC1275"/>
      <c r="AAD1275"/>
      <c r="AAE1275"/>
      <c r="AAF1275"/>
      <c r="AAG1275"/>
      <c r="AAH1275"/>
      <c r="AAI1275"/>
      <c r="AAJ1275"/>
      <c r="AAK1275"/>
      <c r="AAL1275"/>
      <c r="AAM1275"/>
      <c r="AAN1275"/>
      <c r="AAO1275"/>
      <c r="AAP1275"/>
      <c r="AAQ1275"/>
      <c r="AAR1275"/>
      <c r="AAS1275"/>
      <c r="AAT1275"/>
      <c r="AAU1275"/>
      <c r="AAV1275"/>
      <c r="AAW1275"/>
      <c r="AAX1275"/>
      <c r="AAY1275"/>
      <c r="AAZ1275"/>
      <c r="ABA1275"/>
      <c r="ABB1275"/>
      <c r="ABC1275"/>
      <c r="ABD1275"/>
      <c r="ABE1275"/>
      <c r="ABF1275"/>
      <c r="ABG1275"/>
      <c r="ABH1275"/>
      <c r="ABI1275"/>
      <c r="ABJ1275"/>
      <c r="ABK1275"/>
      <c r="ABL1275"/>
      <c r="ABM1275"/>
      <c r="ABN1275"/>
      <c r="ABO1275"/>
      <c r="ABP1275"/>
      <c r="ABQ1275"/>
      <c r="ABR1275"/>
      <c r="ABS1275"/>
      <c r="ABT1275"/>
      <c r="ABU1275"/>
      <c r="ABV1275"/>
      <c r="ABW1275"/>
      <c r="ABX1275"/>
      <c r="ABY1275"/>
      <c r="ABZ1275"/>
      <c r="ACA1275"/>
      <c r="ACB1275"/>
      <c r="ACC1275"/>
      <c r="ACD1275"/>
      <c r="ACE1275"/>
      <c r="ACF1275"/>
      <c r="ACG1275"/>
      <c r="ACH1275"/>
      <c r="ACI1275"/>
      <c r="ACJ1275"/>
      <c r="ACK1275"/>
      <c r="ACL1275"/>
      <c r="ACM1275"/>
      <c r="ACN1275"/>
      <c r="ACO1275"/>
      <c r="ACP1275"/>
      <c r="ACQ1275"/>
      <c r="ACR1275"/>
      <c r="ACS1275"/>
      <c r="ACT1275"/>
      <c r="ACU1275"/>
      <c r="ACV1275"/>
      <c r="ACW1275"/>
      <c r="ACX1275"/>
      <c r="ACY1275"/>
      <c r="ACZ1275"/>
      <c r="ADA1275"/>
      <c r="ADB1275"/>
      <c r="ADC1275"/>
      <c r="ADD1275"/>
      <c r="ADE1275"/>
      <c r="ADF1275"/>
      <c r="ADG1275"/>
      <c r="ADH1275"/>
      <c r="ADI1275"/>
      <c r="ADJ1275"/>
      <c r="ADK1275"/>
      <c r="ADL1275"/>
      <c r="ADM1275"/>
      <c r="ADN1275"/>
      <c r="ADO1275"/>
      <c r="ADP1275"/>
      <c r="ADQ1275"/>
      <c r="ADR1275"/>
      <c r="ADS1275"/>
      <c r="ADT1275"/>
      <c r="ADU1275"/>
      <c r="ADV1275"/>
      <c r="ADW1275"/>
      <c r="ADX1275"/>
      <c r="ADY1275"/>
      <c r="ADZ1275"/>
      <c r="AEA1275"/>
      <c r="AEB1275"/>
      <c r="AEC1275"/>
      <c r="AED1275"/>
      <c r="AEE1275"/>
      <c r="AEF1275"/>
      <c r="AEG1275"/>
      <c r="AEH1275"/>
      <c r="AEI1275"/>
      <c r="AEJ1275"/>
      <c r="AEK1275"/>
      <c r="AEL1275"/>
      <c r="AEM1275"/>
      <c r="AEN1275"/>
      <c r="AEO1275"/>
      <c r="AEP1275"/>
      <c r="AEQ1275"/>
      <c r="AER1275"/>
      <c r="AES1275"/>
      <c r="AET1275"/>
      <c r="AEU1275"/>
      <c r="AEV1275"/>
      <c r="AEW1275"/>
      <c r="AEX1275"/>
      <c r="AEY1275"/>
      <c r="AEZ1275"/>
      <c r="AFA1275"/>
      <c r="AFB1275"/>
      <c r="AFC1275"/>
      <c r="AFD1275"/>
      <c r="AFE1275"/>
      <c r="AFF1275"/>
      <c r="AFG1275"/>
      <c r="AFH1275"/>
      <c r="AFI1275"/>
      <c r="AFJ1275"/>
      <c r="AFK1275"/>
      <c r="AFL1275"/>
      <c r="AFM1275"/>
      <c r="AFN1275"/>
      <c r="AFO1275"/>
      <c r="AFP1275"/>
      <c r="AFQ1275"/>
      <c r="AFR1275"/>
      <c r="AFS1275"/>
      <c r="AFT1275"/>
      <c r="AFU1275"/>
      <c r="AFV1275"/>
      <c r="AFW1275"/>
      <c r="AFX1275"/>
      <c r="AFY1275"/>
      <c r="AFZ1275"/>
      <c r="AGA1275"/>
      <c r="AGB1275"/>
      <c r="AGC1275"/>
      <c r="AGD1275"/>
      <c r="AGE1275"/>
      <c r="AGF1275"/>
      <c r="AGG1275"/>
      <c r="AGH1275"/>
      <c r="AGI1275"/>
      <c r="AGJ1275"/>
      <c r="AGK1275"/>
      <c r="AGL1275"/>
      <c r="AGM1275"/>
      <c r="AGN1275"/>
      <c r="AGO1275"/>
      <c r="AGP1275"/>
      <c r="AGQ1275"/>
      <c r="AGR1275"/>
      <c r="AGS1275"/>
      <c r="AGT1275"/>
      <c r="AGU1275"/>
      <c r="AGV1275"/>
      <c r="AGW1275"/>
      <c r="AGX1275"/>
      <c r="AGY1275"/>
      <c r="AGZ1275"/>
      <c r="AHA1275"/>
      <c r="AHB1275"/>
      <c r="AHC1275"/>
      <c r="AHD1275"/>
      <c r="AHE1275"/>
      <c r="AHF1275"/>
      <c r="AHG1275"/>
      <c r="AHH1275"/>
      <c r="AHI1275"/>
      <c r="AHJ1275"/>
      <c r="AHK1275"/>
      <c r="AHL1275"/>
      <c r="AHM1275"/>
      <c r="AHN1275"/>
      <c r="AHO1275"/>
      <c r="AHP1275"/>
      <c r="AHQ1275"/>
      <c r="AHR1275"/>
      <c r="AHS1275"/>
      <c r="AHT1275"/>
      <c r="AHU1275"/>
      <c r="AHV1275"/>
      <c r="AHW1275"/>
      <c r="AHX1275"/>
      <c r="AHY1275"/>
      <c r="AHZ1275"/>
      <c r="AIA1275"/>
      <c r="AIB1275"/>
      <c r="AIC1275"/>
      <c r="AID1275"/>
      <c r="AIE1275"/>
      <c r="AIF1275"/>
      <c r="AIG1275"/>
      <c r="AIH1275"/>
      <c r="AII1275"/>
      <c r="AIJ1275"/>
      <c r="AIK1275"/>
      <c r="AIL1275"/>
      <c r="AIM1275"/>
      <c r="AIN1275"/>
      <c r="AIO1275"/>
      <c r="AIP1275"/>
      <c r="AIQ1275"/>
      <c r="AIR1275"/>
      <c r="AIS1275"/>
      <c r="AIT1275"/>
      <c r="AIU1275"/>
      <c r="AIV1275"/>
      <c r="AIW1275"/>
      <c r="AIX1275"/>
      <c r="AIY1275"/>
      <c r="AIZ1275"/>
      <c r="AJA1275"/>
      <c r="AJB1275"/>
      <c r="AJC1275"/>
      <c r="AJD1275"/>
      <c r="AJE1275"/>
      <c r="AJF1275"/>
      <c r="AJG1275"/>
      <c r="AJH1275"/>
      <c r="AJI1275"/>
      <c r="AJJ1275"/>
      <c r="AJK1275"/>
      <c r="AJL1275"/>
      <c r="AJM1275"/>
      <c r="AJN1275"/>
      <c r="AJO1275"/>
      <c r="AJP1275"/>
      <c r="AJQ1275"/>
      <c r="AJR1275"/>
      <c r="AJS1275"/>
      <c r="AJT1275"/>
      <c r="AJU1275"/>
      <c r="AJV1275"/>
      <c r="AJW1275"/>
      <c r="AJX1275"/>
      <c r="AJY1275"/>
      <c r="AJZ1275"/>
      <c r="AKA1275"/>
      <c r="AKB1275"/>
      <c r="AKC1275"/>
      <c r="AKD1275"/>
      <c r="AKE1275"/>
      <c r="AKF1275"/>
      <c r="AKG1275"/>
      <c r="AKH1275"/>
      <c r="AKI1275"/>
      <c r="AKJ1275"/>
      <c r="AKK1275"/>
      <c r="AKL1275"/>
      <c r="AKM1275"/>
      <c r="AKN1275"/>
      <c r="AKO1275"/>
      <c r="AKP1275"/>
      <c r="AKQ1275"/>
      <c r="AKR1275"/>
      <c r="AKS1275"/>
      <c r="AKT1275"/>
      <c r="AKU1275"/>
      <c r="AKV1275"/>
      <c r="AKW1275"/>
      <c r="AKX1275"/>
      <c r="AKY1275"/>
      <c r="AKZ1275"/>
      <c r="ALA1275"/>
      <c r="ALB1275"/>
      <c r="ALC1275"/>
      <c r="ALD1275"/>
      <c r="ALE1275"/>
      <c r="ALF1275"/>
      <c r="ALG1275"/>
      <c r="ALH1275"/>
      <c r="ALI1275"/>
      <c r="ALJ1275"/>
      <c r="ALK1275"/>
      <c r="ALL1275"/>
      <c r="ALM1275"/>
      <c r="ALN1275"/>
      <c r="ALO1275"/>
      <c r="ALP1275"/>
      <c r="ALQ1275"/>
      <c r="ALR1275"/>
      <c r="ALS1275"/>
      <c r="ALT1275"/>
    </row>
    <row r="1276" spans="1:1008" x14ac:dyDescent="0.15">
      <c r="A1276" t="s">
        <v>4018</v>
      </c>
      <c r="B1276" s="8" t="s">
        <v>4077</v>
      </c>
      <c r="C1276" t="s">
        <v>4018</v>
      </c>
      <c r="D1276" s="8" t="s">
        <v>15</v>
      </c>
      <c r="E1276" t="s">
        <v>4018</v>
      </c>
      <c r="F1276" t="s">
        <v>4019</v>
      </c>
      <c r="G1276">
        <v>500</v>
      </c>
      <c r="H1276"/>
      <c r="I1276"/>
      <c r="J1276"/>
      <c r="K1276"/>
      <c r="L1276"/>
      <c r="M1276"/>
      <c r="N1276"/>
      <c r="O1276"/>
      <c r="P1276"/>
      <c r="Q1276"/>
      <c r="R1276"/>
      <c r="S1276"/>
      <c r="T1276"/>
      <c r="U1276"/>
      <c r="V1276"/>
      <c r="W1276"/>
      <c r="X1276"/>
      <c r="Y1276"/>
      <c r="Z1276"/>
      <c r="AA1276"/>
      <c r="AB1276"/>
      <c r="AC1276"/>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c r="BM1276"/>
      <c r="BN1276"/>
      <c r="BO1276"/>
      <c r="BP1276"/>
      <c r="BQ1276"/>
      <c r="BR1276"/>
      <c r="BS1276"/>
      <c r="BT1276"/>
      <c r="BU1276"/>
      <c r="BV1276"/>
      <c r="BW1276"/>
      <c r="BX1276"/>
      <c r="BY1276"/>
      <c r="BZ1276"/>
      <c r="CA1276"/>
      <c r="CB1276"/>
      <c r="CC1276"/>
      <c r="CD1276"/>
      <c r="CE1276"/>
      <c r="CF1276"/>
      <c r="CG1276"/>
      <c r="CH1276"/>
      <c r="CI1276"/>
      <c r="CJ1276"/>
      <c r="CK1276"/>
      <c r="CL1276"/>
      <c r="CM1276"/>
      <c r="CN1276"/>
      <c r="CO1276"/>
      <c r="CP1276"/>
      <c r="CQ1276"/>
      <c r="CR1276"/>
      <c r="CS1276"/>
      <c r="CT1276"/>
      <c r="CU1276"/>
      <c r="CV1276"/>
      <c r="CW1276"/>
      <c r="CX1276"/>
      <c r="CY1276"/>
      <c r="CZ1276"/>
      <c r="DA1276"/>
      <c r="DB1276"/>
      <c r="DC1276"/>
      <c r="DD1276"/>
      <c r="DE1276"/>
      <c r="DF1276"/>
      <c r="DG1276"/>
      <c r="DH1276"/>
      <c r="DI1276"/>
      <c r="DJ1276"/>
      <c r="DK1276"/>
      <c r="DL1276"/>
      <c r="DM1276"/>
      <c r="DN1276"/>
      <c r="DO1276"/>
      <c r="DP1276"/>
      <c r="DQ1276"/>
      <c r="DR1276"/>
      <c r="DS1276"/>
      <c r="DT1276"/>
      <c r="DU1276"/>
      <c r="DV1276"/>
      <c r="DW1276"/>
      <c r="DX1276"/>
      <c r="DY1276"/>
      <c r="DZ1276"/>
      <c r="EA1276"/>
      <c r="EB1276"/>
      <c r="EC1276"/>
      <c r="ED1276"/>
      <c r="EE1276"/>
      <c r="EF1276"/>
      <c r="EG1276"/>
      <c r="EH1276"/>
      <c r="EI1276"/>
      <c r="EJ1276"/>
      <c r="EK1276"/>
      <c r="EL1276"/>
      <c r="EM1276"/>
      <c r="EN1276"/>
      <c r="EO1276"/>
      <c r="EP1276"/>
      <c r="EQ1276"/>
      <c r="ER1276"/>
      <c r="ES1276"/>
      <c r="ET1276"/>
      <c r="EU1276"/>
      <c r="EV1276"/>
      <c r="EW1276"/>
      <c r="EX1276"/>
      <c r="EY1276"/>
      <c r="EZ1276"/>
      <c r="FA1276"/>
      <c r="FB1276"/>
      <c r="FC1276"/>
      <c r="FD1276"/>
      <c r="FE1276"/>
      <c r="FF1276"/>
      <c r="FG1276"/>
      <c r="FH1276"/>
      <c r="FI1276"/>
      <c r="FJ1276"/>
      <c r="FK1276"/>
      <c r="FL1276"/>
      <c r="FM1276"/>
      <c r="FN1276"/>
      <c r="FO1276"/>
      <c r="FP1276"/>
      <c r="FQ1276"/>
      <c r="FR1276"/>
      <c r="FS1276"/>
      <c r="FT1276"/>
      <c r="FU1276"/>
      <c r="FV1276"/>
      <c r="FW1276"/>
      <c r="FX1276"/>
      <c r="FY1276"/>
      <c r="FZ1276"/>
      <c r="GA1276"/>
      <c r="GB1276"/>
      <c r="GC1276"/>
      <c r="GD1276"/>
      <c r="GE1276"/>
      <c r="GF1276"/>
      <c r="GG1276"/>
      <c r="GH1276"/>
      <c r="GI1276"/>
      <c r="GJ1276"/>
      <c r="GK1276"/>
      <c r="GL1276"/>
      <c r="GM1276"/>
      <c r="GN1276"/>
      <c r="GO1276"/>
      <c r="GP1276"/>
      <c r="GQ1276"/>
      <c r="GR1276"/>
      <c r="GS1276"/>
      <c r="GT1276"/>
      <c r="GU1276"/>
      <c r="GV1276"/>
      <c r="GW1276"/>
      <c r="GX1276"/>
      <c r="GY1276"/>
      <c r="GZ1276"/>
      <c r="HA1276"/>
      <c r="HB1276"/>
      <c r="HC1276"/>
      <c r="HD1276"/>
      <c r="HE1276"/>
      <c r="HF1276"/>
      <c r="HG1276"/>
      <c r="HH1276"/>
      <c r="HI1276"/>
      <c r="HJ1276"/>
      <c r="HK1276"/>
      <c r="HL1276"/>
      <c r="HM1276"/>
      <c r="HN1276"/>
      <c r="HO1276"/>
      <c r="HP1276"/>
      <c r="HQ1276"/>
      <c r="HR1276"/>
      <c r="HS1276"/>
      <c r="HT1276"/>
      <c r="HU1276"/>
      <c r="HV1276"/>
      <c r="HW1276"/>
      <c r="HX1276"/>
      <c r="HY1276"/>
      <c r="HZ1276"/>
      <c r="IA1276"/>
      <c r="IB1276"/>
      <c r="IC1276"/>
      <c r="ID1276"/>
      <c r="IE1276"/>
      <c r="IF1276"/>
      <c r="IG1276"/>
      <c r="IH1276"/>
      <c r="II1276"/>
      <c r="IJ1276"/>
      <c r="IK1276"/>
      <c r="IL1276"/>
      <c r="IM1276"/>
      <c r="IN1276"/>
      <c r="IO1276"/>
      <c r="IP1276"/>
      <c r="IQ1276"/>
      <c r="IR1276"/>
      <c r="IS1276"/>
      <c r="IT1276"/>
      <c r="IU1276"/>
      <c r="IV1276"/>
      <c r="IW1276"/>
      <c r="IX1276"/>
      <c r="IY1276"/>
      <c r="IZ1276"/>
      <c r="JA1276"/>
      <c r="JB1276"/>
      <c r="JC1276"/>
      <c r="JD1276"/>
      <c r="JE1276"/>
      <c r="JF1276"/>
      <c r="JG1276"/>
      <c r="JH1276"/>
      <c r="JI1276"/>
      <c r="JJ1276"/>
      <c r="JK1276"/>
      <c r="JL1276"/>
      <c r="JM1276"/>
      <c r="JN1276"/>
      <c r="JO1276"/>
      <c r="JP1276"/>
      <c r="JQ1276"/>
      <c r="JR1276"/>
      <c r="JS1276"/>
      <c r="JT1276"/>
      <c r="JU1276"/>
      <c r="JV1276"/>
      <c r="JW1276"/>
      <c r="JX1276"/>
      <c r="JY1276"/>
      <c r="JZ1276"/>
      <c r="KA1276"/>
      <c r="KB1276"/>
      <c r="KC1276"/>
      <c r="KD1276"/>
      <c r="KE1276"/>
      <c r="KF1276"/>
      <c r="KG1276"/>
      <c r="KH1276"/>
      <c r="KI1276"/>
      <c r="KJ1276"/>
      <c r="KK1276"/>
      <c r="KL1276"/>
      <c r="KM1276"/>
      <c r="KN1276"/>
      <c r="KO1276"/>
      <c r="KP1276"/>
      <c r="KQ1276"/>
      <c r="KR1276"/>
      <c r="KS1276"/>
      <c r="KT1276"/>
      <c r="KU1276"/>
      <c r="KV1276"/>
      <c r="KW1276"/>
      <c r="KX1276"/>
      <c r="KY1276"/>
      <c r="KZ1276"/>
      <c r="LA1276"/>
      <c r="LB1276"/>
      <c r="LC1276"/>
      <c r="LD1276"/>
      <c r="LE1276"/>
      <c r="LF1276"/>
      <c r="LG1276"/>
      <c r="LH1276"/>
      <c r="LI1276"/>
      <c r="LJ1276"/>
      <c r="LK1276"/>
      <c r="LL1276"/>
      <c r="LM1276"/>
      <c r="LN1276"/>
      <c r="LO1276"/>
      <c r="LP1276"/>
      <c r="LQ1276"/>
      <c r="LR1276"/>
      <c r="LS1276"/>
      <c r="LT1276"/>
      <c r="LU1276"/>
      <c r="LV1276"/>
      <c r="LW1276"/>
      <c r="LX1276"/>
      <c r="LY1276"/>
      <c r="LZ1276"/>
      <c r="MA1276"/>
      <c r="MB1276"/>
      <c r="MC1276"/>
      <c r="MD1276"/>
      <c r="ME1276"/>
      <c r="MF1276"/>
      <c r="MG1276"/>
      <c r="MH1276"/>
      <c r="MI1276"/>
      <c r="MJ1276"/>
      <c r="MK1276"/>
      <c r="ML1276"/>
      <c r="MM1276"/>
      <c r="MN1276"/>
      <c r="MO1276"/>
      <c r="MP1276"/>
      <c r="MQ1276"/>
      <c r="MR1276"/>
      <c r="MS1276"/>
      <c r="MT1276"/>
      <c r="MU1276"/>
      <c r="MV1276"/>
      <c r="MW1276"/>
      <c r="MX1276"/>
      <c r="MY1276"/>
      <c r="MZ1276"/>
      <c r="NA1276"/>
      <c r="NB1276"/>
      <c r="NC1276"/>
      <c r="ND1276"/>
      <c r="NE1276"/>
      <c r="NF1276"/>
      <c r="NG1276"/>
      <c r="NH1276"/>
      <c r="NI1276"/>
      <c r="NJ1276"/>
      <c r="NK1276"/>
      <c r="NL1276"/>
      <c r="NM1276"/>
      <c r="NN1276"/>
      <c r="NO1276"/>
      <c r="NP1276"/>
      <c r="NQ1276"/>
      <c r="NR1276"/>
      <c r="NS1276"/>
      <c r="NT1276"/>
      <c r="NU1276"/>
      <c r="NV1276"/>
      <c r="NW1276"/>
      <c r="NX1276"/>
      <c r="NY1276"/>
      <c r="NZ1276"/>
      <c r="OA1276"/>
      <c r="OB1276"/>
      <c r="OC1276"/>
      <c r="OD1276"/>
      <c r="OE1276"/>
      <c r="OF1276"/>
      <c r="OG1276"/>
      <c r="OH1276"/>
      <c r="OI1276"/>
      <c r="OJ1276"/>
      <c r="OK1276"/>
      <c r="OL1276"/>
      <c r="OM1276"/>
      <c r="ON1276"/>
      <c r="OO1276"/>
      <c r="OP1276"/>
      <c r="OQ1276"/>
      <c r="OR1276"/>
      <c r="OS1276"/>
      <c r="OT1276"/>
      <c r="OU1276"/>
      <c r="OV1276"/>
      <c r="OW1276"/>
      <c r="OX1276"/>
      <c r="OY1276"/>
      <c r="OZ1276"/>
      <c r="PA1276"/>
      <c r="PB1276"/>
      <c r="PC1276"/>
      <c r="PD1276"/>
      <c r="PE1276"/>
      <c r="PF1276"/>
      <c r="PG1276"/>
      <c r="PH1276"/>
      <c r="PI1276"/>
      <c r="PJ1276"/>
      <c r="PK1276"/>
      <c r="PL1276"/>
      <c r="PM1276"/>
      <c r="PN1276"/>
      <c r="PO1276"/>
      <c r="PP1276"/>
      <c r="PQ1276"/>
      <c r="PR1276"/>
      <c r="PS1276"/>
      <c r="PT1276"/>
      <c r="PU1276"/>
      <c r="PV1276"/>
      <c r="PW1276"/>
      <c r="PX1276"/>
      <c r="PY1276"/>
      <c r="PZ1276"/>
      <c r="QA1276"/>
      <c r="QB1276"/>
      <c r="QC1276"/>
      <c r="QD1276"/>
      <c r="QE1276"/>
      <c r="QF1276"/>
      <c r="QG1276"/>
      <c r="QH1276"/>
      <c r="QI1276"/>
      <c r="QJ1276"/>
      <c r="QK1276"/>
      <c r="QL1276"/>
      <c r="QM1276"/>
      <c r="QN1276"/>
      <c r="QO1276"/>
      <c r="QP1276"/>
      <c r="QQ1276"/>
      <c r="QR1276"/>
      <c r="QS1276"/>
      <c r="QT1276"/>
      <c r="QU1276"/>
      <c r="QV1276"/>
      <c r="QW1276"/>
      <c r="QX1276"/>
      <c r="QY1276"/>
      <c r="QZ1276"/>
      <c r="RA1276"/>
      <c r="RB1276"/>
      <c r="RC1276"/>
      <c r="RD1276"/>
      <c r="RE1276"/>
      <c r="RF1276"/>
      <c r="RG1276"/>
      <c r="RH1276"/>
      <c r="RI1276"/>
      <c r="RJ1276"/>
      <c r="RK1276"/>
      <c r="RL1276"/>
      <c r="RM1276"/>
      <c r="RN1276"/>
      <c r="RO1276"/>
      <c r="RP1276"/>
      <c r="RQ1276"/>
      <c r="RR1276"/>
      <c r="RS1276"/>
      <c r="RT1276"/>
      <c r="RU1276"/>
      <c r="RV1276"/>
      <c r="RW1276"/>
      <c r="RX1276"/>
      <c r="RY1276"/>
      <c r="RZ1276"/>
      <c r="SA1276"/>
      <c r="SB1276"/>
      <c r="SC1276"/>
      <c r="SD1276"/>
      <c r="SE1276"/>
      <c r="SF1276"/>
      <c r="SG1276"/>
      <c r="SH1276"/>
      <c r="SI1276"/>
      <c r="SJ1276"/>
      <c r="SK1276"/>
      <c r="SL1276"/>
      <c r="SM1276"/>
      <c r="SN1276"/>
      <c r="SO1276"/>
      <c r="SP1276"/>
      <c r="SQ1276"/>
      <c r="SR1276"/>
      <c r="SS1276"/>
      <c r="ST1276"/>
      <c r="SU1276"/>
      <c r="SV1276"/>
      <c r="SW1276"/>
      <c r="SX1276"/>
      <c r="SY1276"/>
      <c r="SZ1276"/>
      <c r="TA1276"/>
      <c r="TB1276"/>
      <c r="TC1276"/>
      <c r="TD1276"/>
      <c r="TE1276"/>
      <c r="TF1276"/>
      <c r="TG1276"/>
      <c r="TH1276"/>
      <c r="TI1276"/>
      <c r="TJ1276"/>
      <c r="TK1276"/>
      <c r="TL1276"/>
      <c r="TM1276"/>
      <c r="TN1276"/>
      <c r="TO1276"/>
      <c r="TP1276"/>
      <c r="TQ1276"/>
      <c r="TR1276"/>
      <c r="TS1276"/>
      <c r="TT1276"/>
      <c r="TU1276"/>
      <c r="TV1276"/>
      <c r="TW1276"/>
      <c r="TX1276"/>
      <c r="TY1276"/>
      <c r="TZ1276"/>
      <c r="UA1276"/>
      <c r="UB1276"/>
      <c r="UC1276"/>
      <c r="UD1276"/>
      <c r="UE1276"/>
      <c r="UF1276"/>
      <c r="UG1276"/>
      <c r="UH1276"/>
      <c r="UI1276"/>
      <c r="UJ1276"/>
      <c r="UK1276"/>
      <c r="UL1276"/>
      <c r="UM1276"/>
      <c r="UN1276"/>
      <c r="UO1276"/>
      <c r="UP1276"/>
      <c r="UQ1276"/>
      <c r="UR1276"/>
      <c r="US1276"/>
      <c r="UT1276"/>
      <c r="UU1276"/>
      <c r="UV1276"/>
      <c r="UW1276"/>
      <c r="UX1276"/>
      <c r="UY1276"/>
      <c r="UZ1276"/>
      <c r="VA1276"/>
      <c r="VB1276"/>
      <c r="VC1276"/>
      <c r="VD1276"/>
      <c r="VE1276"/>
      <c r="VF1276"/>
      <c r="VG1276"/>
      <c r="VH1276"/>
      <c r="VI1276"/>
      <c r="VJ1276"/>
      <c r="VK1276"/>
      <c r="VL1276"/>
      <c r="VM1276"/>
      <c r="VN1276"/>
      <c r="VO1276"/>
      <c r="VP1276"/>
      <c r="VQ1276"/>
      <c r="VR1276"/>
      <c r="VS1276"/>
      <c r="VT1276"/>
      <c r="VU1276"/>
      <c r="VV1276"/>
      <c r="VW1276"/>
      <c r="VX1276"/>
      <c r="VY1276"/>
      <c r="VZ1276"/>
      <c r="WA1276"/>
      <c r="WB1276"/>
      <c r="WC1276"/>
      <c r="WD1276"/>
      <c r="WE1276"/>
      <c r="WF1276"/>
      <c r="WG1276"/>
      <c r="WH1276"/>
      <c r="WI1276"/>
      <c r="WJ1276"/>
      <c r="WK1276"/>
      <c r="WL1276"/>
      <c r="WM1276"/>
      <c r="WN1276"/>
      <c r="WO1276"/>
      <c r="WP1276"/>
      <c r="WQ1276"/>
      <c r="WR1276"/>
      <c r="WS1276"/>
      <c r="WT1276"/>
      <c r="WU1276"/>
      <c r="WV1276"/>
      <c r="WW1276"/>
      <c r="WX1276"/>
      <c r="WY1276"/>
      <c r="WZ1276"/>
      <c r="XA1276"/>
      <c r="XB1276"/>
      <c r="XC1276"/>
      <c r="XD1276"/>
      <c r="XE1276"/>
      <c r="XF1276"/>
      <c r="XG1276"/>
      <c r="XH1276"/>
      <c r="XI1276"/>
      <c r="XJ1276"/>
      <c r="XK1276"/>
      <c r="XL1276"/>
      <c r="XM1276"/>
      <c r="XN1276"/>
      <c r="XO1276"/>
      <c r="XP1276"/>
      <c r="XQ1276"/>
      <c r="XR1276"/>
      <c r="XS1276"/>
      <c r="XT1276"/>
      <c r="XU1276"/>
      <c r="XV1276"/>
      <c r="XW1276"/>
      <c r="XX1276"/>
      <c r="XY1276"/>
      <c r="XZ1276"/>
      <c r="YA1276"/>
      <c r="YB1276"/>
      <c r="YC1276"/>
      <c r="YD1276"/>
      <c r="YE1276"/>
      <c r="YF1276"/>
      <c r="YG1276"/>
      <c r="YH1276"/>
      <c r="YI1276"/>
      <c r="YJ1276"/>
      <c r="YK1276"/>
      <c r="YL1276"/>
      <c r="YM1276"/>
      <c r="YN1276"/>
      <c r="YO1276"/>
      <c r="YP1276"/>
      <c r="YQ1276"/>
      <c r="YR1276"/>
      <c r="YS1276"/>
      <c r="YT1276"/>
      <c r="YU1276"/>
      <c r="YV1276"/>
      <c r="YW1276"/>
      <c r="YX1276"/>
      <c r="YY1276"/>
      <c r="YZ1276"/>
      <c r="ZA1276"/>
      <c r="ZB1276"/>
      <c r="ZC1276"/>
      <c r="ZD1276"/>
      <c r="ZE1276"/>
      <c r="ZF1276"/>
      <c r="ZG1276"/>
      <c r="ZH1276"/>
      <c r="ZI1276"/>
      <c r="ZJ1276"/>
      <c r="ZK1276"/>
      <c r="ZL1276"/>
      <c r="ZM1276"/>
      <c r="ZN1276"/>
      <c r="ZO1276"/>
      <c r="ZP1276"/>
      <c r="ZQ1276"/>
      <c r="ZR1276"/>
      <c r="ZS1276"/>
      <c r="ZT1276"/>
      <c r="ZU1276"/>
      <c r="ZV1276"/>
      <c r="ZW1276"/>
      <c r="ZX1276"/>
      <c r="ZY1276"/>
      <c r="ZZ1276"/>
      <c r="AAA1276"/>
      <c r="AAB1276"/>
      <c r="AAC1276"/>
      <c r="AAD1276"/>
      <c r="AAE1276"/>
      <c r="AAF1276"/>
      <c r="AAG1276"/>
      <c r="AAH1276"/>
      <c r="AAI1276"/>
      <c r="AAJ1276"/>
      <c r="AAK1276"/>
      <c r="AAL1276"/>
      <c r="AAM1276"/>
      <c r="AAN1276"/>
      <c r="AAO1276"/>
      <c r="AAP1276"/>
      <c r="AAQ1276"/>
      <c r="AAR1276"/>
      <c r="AAS1276"/>
      <c r="AAT1276"/>
      <c r="AAU1276"/>
      <c r="AAV1276"/>
      <c r="AAW1276"/>
      <c r="AAX1276"/>
      <c r="AAY1276"/>
      <c r="AAZ1276"/>
      <c r="ABA1276"/>
      <c r="ABB1276"/>
      <c r="ABC1276"/>
      <c r="ABD1276"/>
      <c r="ABE1276"/>
      <c r="ABF1276"/>
      <c r="ABG1276"/>
      <c r="ABH1276"/>
      <c r="ABI1276"/>
      <c r="ABJ1276"/>
      <c r="ABK1276"/>
      <c r="ABL1276"/>
      <c r="ABM1276"/>
      <c r="ABN1276"/>
      <c r="ABO1276"/>
      <c r="ABP1276"/>
      <c r="ABQ1276"/>
      <c r="ABR1276"/>
      <c r="ABS1276"/>
      <c r="ABT1276"/>
      <c r="ABU1276"/>
      <c r="ABV1276"/>
      <c r="ABW1276"/>
      <c r="ABX1276"/>
      <c r="ABY1276"/>
      <c r="ABZ1276"/>
      <c r="ACA1276"/>
      <c r="ACB1276"/>
      <c r="ACC1276"/>
      <c r="ACD1276"/>
      <c r="ACE1276"/>
      <c r="ACF1276"/>
      <c r="ACG1276"/>
      <c r="ACH1276"/>
      <c r="ACI1276"/>
      <c r="ACJ1276"/>
      <c r="ACK1276"/>
      <c r="ACL1276"/>
      <c r="ACM1276"/>
      <c r="ACN1276"/>
      <c r="ACO1276"/>
      <c r="ACP1276"/>
      <c r="ACQ1276"/>
      <c r="ACR1276"/>
      <c r="ACS1276"/>
      <c r="ACT1276"/>
      <c r="ACU1276"/>
      <c r="ACV1276"/>
      <c r="ACW1276"/>
      <c r="ACX1276"/>
      <c r="ACY1276"/>
      <c r="ACZ1276"/>
      <c r="ADA1276"/>
      <c r="ADB1276"/>
      <c r="ADC1276"/>
      <c r="ADD1276"/>
      <c r="ADE1276"/>
      <c r="ADF1276"/>
      <c r="ADG1276"/>
      <c r="ADH1276"/>
      <c r="ADI1276"/>
      <c r="ADJ1276"/>
      <c r="ADK1276"/>
      <c r="ADL1276"/>
      <c r="ADM1276"/>
      <c r="ADN1276"/>
      <c r="ADO1276"/>
      <c r="ADP1276"/>
      <c r="ADQ1276"/>
      <c r="ADR1276"/>
      <c r="ADS1276"/>
      <c r="ADT1276"/>
      <c r="ADU1276"/>
      <c r="ADV1276"/>
      <c r="ADW1276"/>
      <c r="ADX1276"/>
      <c r="ADY1276"/>
      <c r="ADZ1276"/>
      <c r="AEA1276"/>
      <c r="AEB1276"/>
      <c r="AEC1276"/>
      <c r="AED1276"/>
      <c r="AEE1276"/>
      <c r="AEF1276"/>
      <c r="AEG1276"/>
      <c r="AEH1276"/>
      <c r="AEI1276"/>
      <c r="AEJ1276"/>
      <c r="AEK1276"/>
      <c r="AEL1276"/>
      <c r="AEM1276"/>
      <c r="AEN1276"/>
      <c r="AEO1276"/>
      <c r="AEP1276"/>
      <c r="AEQ1276"/>
      <c r="AER1276"/>
      <c r="AES1276"/>
      <c r="AET1276"/>
      <c r="AEU1276"/>
      <c r="AEV1276"/>
      <c r="AEW1276"/>
      <c r="AEX1276"/>
      <c r="AEY1276"/>
      <c r="AEZ1276"/>
      <c r="AFA1276"/>
      <c r="AFB1276"/>
      <c r="AFC1276"/>
      <c r="AFD1276"/>
      <c r="AFE1276"/>
      <c r="AFF1276"/>
      <c r="AFG1276"/>
      <c r="AFH1276"/>
      <c r="AFI1276"/>
      <c r="AFJ1276"/>
      <c r="AFK1276"/>
      <c r="AFL1276"/>
      <c r="AFM1276"/>
      <c r="AFN1276"/>
      <c r="AFO1276"/>
      <c r="AFP1276"/>
      <c r="AFQ1276"/>
      <c r="AFR1276"/>
      <c r="AFS1276"/>
      <c r="AFT1276"/>
      <c r="AFU1276"/>
      <c r="AFV1276"/>
      <c r="AFW1276"/>
      <c r="AFX1276"/>
      <c r="AFY1276"/>
      <c r="AFZ1276"/>
      <c r="AGA1276"/>
      <c r="AGB1276"/>
      <c r="AGC1276"/>
      <c r="AGD1276"/>
      <c r="AGE1276"/>
      <c r="AGF1276"/>
      <c r="AGG1276"/>
      <c r="AGH1276"/>
      <c r="AGI1276"/>
      <c r="AGJ1276"/>
      <c r="AGK1276"/>
      <c r="AGL1276"/>
      <c r="AGM1276"/>
      <c r="AGN1276"/>
      <c r="AGO1276"/>
      <c r="AGP1276"/>
      <c r="AGQ1276"/>
      <c r="AGR1276"/>
      <c r="AGS1276"/>
      <c r="AGT1276"/>
      <c r="AGU1276"/>
      <c r="AGV1276"/>
      <c r="AGW1276"/>
      <c r="AGX1276"/>
      <c r="AGY1276"/>
      <c r="AGZ1276"/>
      <c r="AHA1276"/>
      <c r="AHB1276"/>
      <c r="AHC1276"/>
      <c r="AHD1276"/>
      <c r="AHE1276"/>
      <c r="AHF1276"/>
      <c r="AHG1276"/>
      <c r="AHH1276"/>
      <c r="AHI1276"/>
      <c r="AHJ1276"/>
      <c r="AHK1276"/>
      <c r="AHL1276"/>
      <c r="AHM1276"/>
      <c r="AHN1276"/>
      <c r="AHO1276"/>
      <c r="AHP1276"/>
      <c r="AHQ1276"/>
      <c r="AHR1276"/>
      <c r="AHS1276"/>
      <c r="AHT1276"/>
      <c r="AHU1276"/>
      <c r="AHV1276"/>
      <c r="AHW1276"/>
      <c r="AHX1276"/>
      <c r="AHY1276"/>
      <c r="AHZ1276"/>
      <c r="AIA1276"/>
      <c r="AIB1276"/>
      <c r="AIC1276"/>
      <c r="AID1276"/>
      <c r="AIE1276"/>
      <c r="AIF1276"/>
      <c r="AIG1276"/>
      <c r="AIH1276"/>
      <c r="AII1276"/>
      <c r="AIJ1276"/>
      <c r="AIK1276"/>
      <c r="AIL1276"/>
      <c r="AIM1276"/>
      <c r="AIN1276"/>
      <c r="AIO1276"/>
      <c r="AIP1276"/>
      <c r="AIQ1276"/>
      <c r="AIR1276"/>
      <c r="AIS1276"/>
      <c r="AIT1276"/>
      <c r="AIU1276"/>
      <c r="AIV1276"/>
      <c r="AIW1276"/>
      <c r="AIX1276"/>
      <c r="AIY1276"/>
      <c r="AIZ1276"/>
      <c r="AJA1276"/>
      <c r="AJB1276"/>
      <c r="AJC1276"/>
      <c r="AJD1276"/>
      <c r="AJE1276"/>
      <c r="AJF1276"/>
      <c r="AJG1276"/>
      <c r="AJH1276"/>
      <c r="AJI1276"/>
      <c r="AJJ1276"/>
      <c r="AJK1276"/>
      <c r="AJL1276"/>
      <c r="AJM1276"/>
      <c r="AJN1276"/>
      <c r="AJO1276"/>
      <c r="AJP1276"/>
      <c r="AJQ1276"/>
      <c r="AJR1276"/>
      <c r="AJS1276"/>
      <c r="AJT1276"/>
      <c r="AJU1276"/>
      <c r="AJV1276"/>
      <c r="AJW1276"/>
      <c r="AJX1276"/>
      <c r="AJY1276"/>
      <c r="AJZ1276"/>
      <c r="AKA1276"/>
      <c r="AKB1276"/>
      <c r="AKC1276"/>
      <c r="AKD1276"/>
      <c r="AKE1276"/>
      <c r="AKF1276"/>
      <c r="AKG1276"/>
      <c r="AKH1276"/>
      <c r="AKI1276"/>
      <c r="AKJ1276"/>
      <c r="AKK1276"/>
      <c r="AKL1276"/>
      <c r="AKM1276"/>
      <c r="AKN1276"/>
      <c r="AKO1276"/>
      <c r="AKP1276"/>
      <c r="AKQ1276"/>
      <c r="AKR1276"/>
      <c r="AKS1276"/>
      <c r="AKT1276"/>
      <c r="AKU1276"/>
      <c r="AKV1276"/>
      <c r="AKW1276"/>
      <c r="AKX1276"/>
      <c r="AKY1276"/>
      <c r="AKZ1276"/>
      <c r="ALA1276"/>
      <c r="ALB1276"/>
      <c r="ALC1276"/>
      <c r="ALD1276"/>
      <c r="ALE1276"/>
      <c r="ALF1276"/>
      <c r="ALG1276"/>
      <c r="ALH1276"/>
      <c r="ALI1276"/>
      <c r="ALJ1276"/>
      <c r="ALK1276"/>
      <c r="ALL1276"/>
      <c r="ALM1276"/>
      <c r="ALN1276"/>
      <c r="ALO1276"/>
      <c r="ALP1276"/>
      <c r="ALQ1276"/>
      <c r="ALR1276"/>
      <c r="ALS1276"/>
      <c r="ALT1276"/>
    </row>
    <row r="1277" spans="1:1008" x14ac:dyDescent="0.15">
      <c r="A1277" t="s">
        <v>4020</v>
      </c>
      <c r="B1277" s="8" t="s">
        <v>4077</v>
      </c>
      <c r="C1277" t="s">
        <v>4020</v>
      </c>
      <c r="D1277" s="8" t="s">
        <v>15</v>
      </c>
      <c r="E1277" t="s">
        <v>4020</v>
      </c>
      <c r="F1277" t="s">
        <v>4021</v>
      </c>
      <c r="G1277">
        <v>550</v>
      </c>
      <c r="H1277"/>
      <c r="I1277"/>
      <c r="J1277"/>
      <c r="K1277"/>
      <c r="L1277"/>
      <c r="M1277"/>
      <c r="N1277"/>
      <c r="O1277"/>
      <c r="P1277"/>
      <c r="Q1277"/>
      <c r="R1277"/>
      <c r="S1277"/>
      <c r="T1277"/>
      <c r="U1277"/>
      <c r="V1277"/>
      <c r="W1277"/>
      <c r="X1277"/>
      <c r="Y1277"/>
      <c r="Z1277"/>
      <c r="AA1277"/>
      <c r="AB1277"/>
      <c r="AC1277"/>
      <c r="AD1277"/>
      <c r="AE1277"/>
      <c r="AF1277"/>
      <c r="AG1277"/>
      <c r="AH1277"/>
      <c r="AI1277"/>
      <c r="AJ1277"/>
      <c r="AK1277"/>
      <c r="AL1277"/>
      <c r="AM1277"/>
      <c r="AN1277"/>
      <c r="AO1277"/>
      <c r="AP1277"/>
      <c r="AQ1277"/>
      <c r="AR1277"/>
      <c r="AS1277"/>
      <c r="AT1277"/>
      <c r="AU1277"/>
      <c r="AV1277"/>
      <c r="AW1277"/>
      <c r="AX1277"/>
      <c r="AY1277"/>
      <c r="AZ1277"/>
      <c r="BA1277"/>
      <c r="BB1277"/>
      <c r="BC1277"/>
      <c r="BD1277"/>
      <c r="BE1277"/>
      <c r="BF1277"/>
      <c r="BG1277"/>
      <c r="BH1277"/>
      <c r="BI1277"/>
      <c r="BJ1277"/>
      <c r="BK1277"/>
      <c r="BL1277"/>
      <c r="BM1277"/>
      <c r="BN1277"/>
      <c r="BO1277"/>
      <c r="BP1277"/>
      <c r="BQ1277"/>
      <c r="BR1277"/>
      <c r="BS1277"/>
      <c r="BT1277"/>
      <c r="BU1277"/>
      <c r="BV1277"/>
      <c r="BW1277"/>
      <c r="BX1277"/>
      <c r="BY1277"/>
      <c r="BZ1277"/>
      <c r="CA1277"/>
      <c r="CB1277"/>
      <c r="CC1277"/>
      <c r="CD1277"/>
      <c r="CE1277"/>
      <c r="CF1277"/>
      <c r="CG1277"/>
      <c r="CH1277"/>
      <c r="CI1277"/>
      <c r="CJ1277"/>
      <c r="CK1277"/>
      <c r="CL1277"/>
      <c r="CM1277"/>
      <c r="CN1277"/>
      <c r="CO1277"/>
      <c r="CP1277"/>
      <c r="CQ1277"/>
      <c r="CR1277"/>
      <c r="CS1277"/>
      <c r="CT1277"/>
      <c r="CU1277"/>
      <c r="CV1277"/>
      <c r="CW1277"/>
      <c r="CX1277"/>
      <c r="CY1277"/>
      <c r="CZ1277"/>
      <c r="DA1277"/>
      <c r="DB1277"/>
      <c r="DC1277"/>
      <c r="DD1277"/>
      <c r="DE1277"/>
      <c r="DF1277"/>
      <c r="DG1277"/>
      <c r="DH1277"/>
      <c r="DI1277"/>
      <c r="DJ1277"/>
      <c r="DK1277"/>
      <c r="DL1277"/>
      <c r="DM1277"/>
      <c r="DN1277"/>
      <c r="DO1277"/>
      <c r="DP1277"/>
      <c r="DQ1277"/>
      <c r="DR1277"/>
      <c r="DS1277"/>
      <c r="DT1277"/>
      <c r="DU1277"/>
      <c r="DV1277"/>
      <c r="DW1277"/>
      <c r="DX1277"/>
      <c r="DY1277"/>
      <c r="DZ1277"/>
      <c r="EA1277"/>
      <c r="EB1277"/>
      <c r="EC1277"/>
      <c r="ED1277"/>
      <c r="EE1277"/>
      <c r="EF1277"/>
      <c r="EG1277"/>
      <c r="EH1277"/>
      <c r="EI1277"/>
      <c r="EJ1277"/>
      <c r="EK1277"/>
      <c r="EL1277"/>
      <c r="EM1277"/>
      <c r="EN1277"/>
      <c r="EO1277"/>
      <c r="EP1277"/>
      <c r="EQ1277"/>
      <c r="ER1277"/>
      <c r="ES1277"/>
      <c r="ET1277"/>
      <c r="EU1277"/>
      <c r="EV1277"/>
      <c r="EW1277"/>
      <c r="EX1277"/>
      <c r="EY1277"/>
      <c r="EZ1277"/>
      <c r="FA1277"/>
      <c r="FB1277"/>
      <c r="FC1277"/>
      <c r="FD1277"/>
      <c r="FE1277"/>
      <c r="FF1277"/>
      <c r="FG1277"/>
      <c r="FH1277"/>
      <c r="FI1277"/>
      <c r="FJ1277"/>
      <c r="FK1277"/>
      <c r="FL1277"/>
      <c r="FM1277"/>
      <c r="FN1277"/>
      <c r="FO1277"/>
      <c r="FP1277"/>
      <c r="FQ1277"/>
      <c r="FR1277"/>
      <c r="FS1277"/>
      <c r="FT1277"/>
      <c r="FU1277"/>
      <c r="FV1277"/>
      <c r="FW1277"/>
      <c r="FX1277"/>
      <c r="FY1277"/>
      <c r="FZ1277"/>
      <c r="GA1277"/>
      <c r="GB1277"/>
      <c r="GC1277"/>
      <c r="GD1277"/>
      <c r="GE1277"/>
      <c r="GF1277"/>
      <c r="GG1277"/>
      <c r="GH1277"/>
      <c r="GI1277"/>
      <c r="GJ1277"/>
      <c r="GK1277"/>
      <c r="GL1277"/>
      <c r="GM1277"/>
      <c r="GN1277"/>
      <c r="GO1277"/>
      <c r="GP1277"/>
      <c r="GQ1277"/>
      <c r="GR1277"/>
      <c r="GS1277"/>
      <c r="GT1277"/>
      <c r="GU1277"/>
      <c r="GV1277"/>
      <c r="GW1277"/>
      <c r="GX1277"/>
      <c r="GY1277"/>
      <c r="GZ1277"/>
      <c r="HA1277"/>
      <c r="HB1277"/>
      <c r="HC1277"/>
      <c r="HD1277"/>
      <c r="HE1277"/>
      <c r="HF1277"/>
      <c r="HG1277"/>
      <c r="HH1277"/>
      <c r="HI1277"/>
      <c r="HJ1277"/>
      <c r="HK1277"/>
      <c r="HL1277"/>
      <c r="HM1277"/>
      <c r="HN1277"/>
      <c r="HO1277"/>
      <c r="HP1277"/>
      <c r="HQ1277"/>
      <c r="HR1277"/>
      <c r="HS1277"/>
      <c r="HT1277"/>
      <c r="HU1277"/>
      <c r="HV1277"/>
      <c r="HW1277"/>
      <c r="HX1277"/>
      <c r="HY1277"/>
      <c r="HZ1277"/>
      <c r="IA1277"/>
      <c r="IB1277"/>
      <c r="IC1277"/>
      <c r="ID1277"/>
      <c r="IE1277"/>
      <c r="IF1277"/>
      <c r="IG1277"/>
      <c r="IH1277"/>
      <c r="II1277"/>
      <c r="IJ1277"/>
      <c r="IK1277"/>
      <c r="IL1277"/>
      <c r="IM1277"/>
      <c r="IN1277"/>
      <c r="IO1277"/>
      <c r="IP1277"/>
      <c r="IQ1277"/>
      <c r="IR1277"/>
      <c r="IS1277"/>
      <c r="IT1277"/>
      <c r="IU1277"/>
      <c r="IV1277"/>
      <c r="IW1277"/>
      <c r="IX1277"/>
      <c r="IY1277"/>
      <c r="IZ1277"/>
      <c r="JA1277"/>
      <c r="JB1277"/>
      <c r="JC1277"/>
      <c r="JD1277"/>
      <c r="JE1277"/>
      <c r="JF1277"/>
      <c r="JG1277"/>
      <c r="JH1277"/>
      <c r="JI1277"/>
      <c r="JJ1277"/>
      <c r="JK1277"/>
      <c r="JL1277"/>
      <c r="JM1277"/>
      <c r="JN1277"/>
      <c r="JO1277"/>
      <c r="JP1277"/>
      <c r="JQ1277"/>
      <c r="JR1277"/>
      <c r="JS1277"/>
      <c r="JT1277"/>
      <c r="JU1277"/>
      <c r="JV1277"/>
      <c r="JW1277"/>
      <c r="JX1277"/>
      <c r="JY1277"/>
      <c r="JZ1277"/>
      <c r="KA1277"/>
      <c r="KB1277"/>
      <c r="KC1277"/>
      <c r="KD1277"/>
      <c r="KE1277"/>
      <c r="KF1277"/>
      <c r="KG1277"/>
      <c r="KH1277"/>
      <c r="KI1277"/>
      <c r="KJ1277"/>
      <c r="KK1277"/>
      <c r="KL1277"/>
      <c r="KM1277"/>
      <c r="KN1277"/>
      <c r="KO1277"/>
      <c r="KP1277"/>
      <c r="KQ1277"/>
      <c r="KR1277"/>
      <c r="KS1277"/>
      <c r="KT1277"/>
      <c r="KU1277"/>
      <c r="KV1277"/>
      <c r="KW1277"/>
      <c r="KX1277"/>
      <c r="KY1277"/>
      <c r="KZ1277"/>
      <c r="LA1277"/>
      <c r="LB1277"/>
      <c r="LC1277"/>
      <c r="LD1277"/>
      <c r="LE1277"/>
      <c r="LF1277"/>
      <c r="LG1277"/>
      <c r="LH1277"/>
      <c r="LI1277"/>
      <c r="LJ1277"/>
      <c r="LK1277"/>
      <c r="LL1277"/>
      <c r="LM1277"/>
      <c r="LN1277"/>
      <c r="LO1277"/>
      <c r="LP1277"/>
      <c r="LQ1277"/>
      <c r="LR1277"/>
      <c r="LS1277"/>
      <c r="LT1277"/>
      <c r="LU1277"/>
      <c r="LV1277"/>
      <c r="LW1277"/>
      <c r="LX1277"/>
      <c r="LY1277"/>
      <c r="LZ1277"/>
      <c r="MA1277"/>
      <c r="MB1277"/>
      <c r="MC1277"/>
      <c r="MD1277"/>
      <c r="ME1277"/>
      <c r="MF1277"/>
      <c r="MG1277"/>
      <c r="MH1277"/>
      <c r="MI1277"/>
      <c r="MJ1277"/>
      <c r="MK1277"/>
      <c r="ML1277"/>
      <c r="MM1277"/>
      <c r="MN1277"/>
      <c r="MO1277"/>
      <c r="MP1277"/>
      <c r="MQ1277"/>
      <c r="MR1277"/>
      <c r="MS1277"/>
      <c r="MT1277"/>
      <c r="MU1277"/>
      <c r="MV1277"/>
      <c r="MW1277"/>
      <c r="MX1277"/>
      <c r="MY1277"/>
      <c r="MZ1277"/>
      <c r="NA1277"/>
      <c r="NB1277"/>
      <c r="NC1277"/>
      <c r="ND1277"/>
      <c r="NE1277"/>
      <c r="NF1277"/>
      <c r="NG1277"/>
      <c r="NH1277"/>
      <c r="NI1277"/>
      <c r="NJ1277"/>
      <c r="NK1277"/>
      <c r="NL1277"/>
      <c r="NM1277"/>
      <c r="NN1277"/>
      <c r="NO1277"/>
      <c r="NP1277"/>
      <c r="NQ1277"/>
      <c r="NR1277"/>
      <c r="NS1277"/>
      <c r="NT1277"/>
      <c r="NU1277"/>
      <c r="NV1277"/>
      <c r="NW1277"/>
      <c r="NX1277"/>
      <c r="NY1277"/>
      <c r="NZ1277"/>
      <c r="OA1277"/>
      <c r="OB1277"/>
      <c r="OC1277"/>
      <c r="OD1277"/>
      <c r="OE1277"/>
      <c r="OF1277"/>
      <c r="OG1277"/>
      <c r="OH1277"/>
      <c r="OI1277"/>
      <c r="OJ1277"/>
      <c r="OK1277"/>
      <c r="OL1277"/>
      <c r="OM1277"/>
      <c r="ON1277"/>
      <c r="OO1277"/>
      <c r="OP1277"/>
      <c r="OQ1277"/>
      <c r="OR1277"/>
      <c r="OS1277"/>
      <c r="OT1277"/>
      <c r="OU1277"/>
      <c r="OV1277"/>
      <c r="OW1277"/>
      <c r="OX1277"/>
      <c r="OY1277"/>
      <c r="OZ1277"/>
      <c r="PA1277"/>
      <c r="PB1277"/>
      <c r="PC1277"/>
      <c r="PD1277"/>
      <c r="PE1277"/>
      <c r="PF1277"/>
      <c r="PG1277"/>
      <c r="PH1277"/>
      <c r="PI1277"/>
      <c r="PJ1277"/>
      <c r="PK1277"/>
      <c r="PL1277"/>
      <c r="PM1277"/>
      <c r="PN1277"/>
      <c r="PO1277"/>
      <c r="PP1277"/>
      <c r="PQ1277"/>
      <c r="PR1277"/>
      <c r="PS1277"/>
      <c r="PT1277"/>
      <c r="PU1277"/>
      <c r="PV1277"/>
      <c r="PW1277"/>
      <c r="PX1277"/>
      <c r="PY1277"/>
      <c r="PZ1277"/>
      <c r="QA1277"/>
      <c r="QB1277"/>
      <c r="QC1277"/>
      <c r="QD1277"/>
      <c r="QE1277"/>
      <c r="QF1277"/>
      <c r="QG1277"/>
      <c r="QH1277"/>
      <c r="QI1277"/>
      <c r="QJ1277"/>
      <c r="QK1277"/>
      <c r="QL1277"/>
      <c r="QM1277"/>
      <c r="QN1277"/>
      <c r="QO1277"/>
      <c r="QP1277"/>
      <c r="QQ1277"/>
      <c r="QR1277"/>
      <c r="QS1277"/>
      <c r="QT1277"/>
      <c r="QU1277"/>
      <c r="QV1277"/>
      <c r="QW1277"/>
      <c r="QX1277"/>
      <c r="QY1277"/>
      <c r="QZ1277"/>
      <c r="RA1277"/>
      <c r="RB1277"/>
      <c r="RC1277"/>
      <c r="RD1277"/>
      <c r="RE1277"/>
      <c r="RF1277"/>
      <c r="RG1277"/>
      <c r="RH1277"/>
      <c r="RI1277"/>
      <c r="RJ1277"/>
      <c r="RK1277"/>
      <c r="RL1277"/>
      <c r="RM1277"/>
      <c r="RN1277"/>
      <c r="RO1277"/>
      <c r="RP1277"/>
      <c r="RQ1277"/>
      <c r="RR1277"/>
      <c r="RS1277"/>
      <c r="RT1277"/>
      <c r="RU1277"/>
      <c r="RV1277"/>
      <c r="RW1277"/>
      <c r="RX1277"/>
      <c r="RY1277"/>
      <c r="RZ1277"/>
      <c r="SA1277"/>
      <c r="SB1277"/>
      <c r="SC1277"/>
      <c r="SD1277"/>
      <c r="SE1277"/>
      <c r="SF1277"/>
      <c r="SG1277"/>
      <c r="SH1277"/>
      <c r="SI1277"/>
      <c r="SJ1277"/>
      <c r="SK1277"/>
      <c r="SL1277"/>
      <c r="SM1277"/>
      <c r="SN1277"/>
      <c r="SO1277"/>
      <c r="SP1277"/>
      <c r="SQ1277"/>
      <c r="SR1277"/>
      <c r="SS1277"/>
      <c r="ST1277"/>
      <c r="SU1277"/>
      <c r="SV1277"/>
      <c r="SW1277"/>
      <c r="SX1277"/>
      <c r="SY1277"/>
      <c r="SZ1277"/>
      <c r="TA1277"/>
      <c r="TB1277"/>
      <c r="TC1277"/>
      <c r="TD1277"/>
      <c r="TE1277"/>
      <c r="TF1277"/>
      <c r="TG1277"/>
      <c r="TH1277"/>
      <c r="TI1277"/>
      <c r="TJ1277"/>
      <c r="TK1277"/>
      <c r="TL1277"/>
      <c r="TM1277"/>
      <c r="TN1277"/>
      <c r="TO1277"/>
      <c r="TP1277"/>
      <c r="TQ1277"/>
      <c r="TR1277"/>
      <c r="TS1277"/>
      <c r="TT1277"/>
      <c r="TU1277"/>
      <c r="TV1277"/>
      <c r="TW1277"/>
      <c r="TX1277"/>
      <c r="TY1277"/>
      <c r="TZ1277"/>
      <c r="UA1277"/>
      <c r="UB1277"/>
      <c r="UC1277"/>
      <c r="UD1277"/>
      <c r="UE1277"/>
      <c r="UF1277"/>
      <c r="UG1277"/>
      <c r="UH1277"/>
      <c r="UI1277"/>
      <c r="UJ1277"/>
      <c r="UK1277"/>
      <c r="UL1277"/>
      <c r="UM1277"/>
      <c r="UN1277"/>
      <c r="UO1277"/>
      <c r="UP1277"/>
      <c r="UQ1277"/>
      <c r="UR1277"/>
      <c r="US1277"/>
      <c r="UT1277"/>
      <c r="UU1277"/>
      <c r="UV1277"/>
      <c r="UW1277"/>
      <c r="UX1277"/>
      <c r="UY1277"/>
      <c r="UZ1277"/>
      <c r="VA1277"/>
      <c r="VB1277"/>
      <c r="VC1277"/>
      <c r="VD1277"/>
      <c r="VE1277"/>
      <c r="VF1277"/>
      <c r="VG1277"/>
      <c r="VH1277"/>
      <c r="VI1277"/>
      <c r="VJ1277"/>
      <c r="VK1277"/>
      <c r="VL1277"/>
      <c r="VM1277"/>
      <c r="VN1277"/>
      <c r="VO1277"/>
      <c r="VP1277"/>
      <c r="VQ1277"/>
      <c r="VR1277"/>
      <c r="VS1277"/>
      <c r="VT1277"/>
      <c r="VU1277"/>
      <c r="VV1277"/>
      <c r="VW1277"/>
      <c r="VX1277"/>
      <c r="VY1277"/>
      <c r="VZ1277"/>
      <c r="WA1277"/>
      <c r="WB1277"/>
      <c r="WC1277"/>
      <c r="WD1277"/>
      <c r="WE1277"/>
      <c r="WF1277"/>
      <c r="WG1277"/>
      <c r="WH1277"/>
      <c r="WI1277"/>
      <c r="WJ1277"/>
      <c r="WK1277"/>
      <c r="WL1277"/>
      <c r="WM1277"/>
      <c r="WN1277"/>
      <c r="WO1277"/>
      <c r="WP1277"/>
      <c r="WQ1277"/>
      <c r="WR1277"/>
      <c r="WS1277"/>
      <c r="WT1277"/>
      <c r="WU1277"/>
      <c r="WV1277"/>
      <c r="WW1277"/>
      <c r="WX1277"/>
      <c r="WY1277"/>
      <c r="WZ1277"/>
      <c r="XA1277"/>
      <c r="XB1277"/>
      <c r="XC1277"/>
      <c r="XD1277"/>
      <c r="XE1277"/>
      <c r="XF1277"/>
      <c r="XG1277"/>
      <c r="XH1277"/>
      <c r="XI1277"/>
      <c r="XJ1277"/>
      <c r="XK1277"/>
      <c r="XL1277"/>
      <c r="XM1277"/>
      <c r="XN1277"/>
      <c r="XO1277"/>
      <c r="XP1277"/>
      <c r="XQ1277"/>
      <c r="XR1277"/>
      <c r="XS1277"/>
      <c r="XT1277"/>
      <c r="XU1277"/>
      <c r="XV1277"/>
      <c r="XW1277"/>
      <c r="XX1277"/>
      <c r="XY1277"/>
      <c r="XZ1277"/>
      <c r="YA1277"/>
      <c r="YB1277"/>
      <c r="YC1277"/>
      <c r="YD1277"/>
      <c r="YE1277"/>
      <c r="YF1277"/>
      <c r="YG1277"/>
      <c r="YH1277"/>
      <c r="YI1277"/>
      <c r="YJ1277"/>
      <c r="YK1277"/>
      <c r="YL1277"/>
      <c r="YM1277"/>
      <c r="YN1277"/>
      <c r="YO1277"/>
      <c r="YP1277"/>
      <c r="YQ1277"/>
      <c r="YR1277"/>
      <c r="YS1277"/>
      <c r="YT1277"/>
      <c r="YU1277"/>
      <c r="YV1277"/>
      <c r="YW1277"/>
      <c r="YX1277"/>
      <c r="YY1277"/>
      <c r="YZ1277"/>
      <c r="ZA1277"/>
      <c r="ZB1277"/>
      <c r="ZC1277"/>
      <c r="ZD1277"/>
      <c r="ZE1277"/>
      <c r="ZF1277"/>
      <c r="ZG1277"/>
      <c r="ZH1277"/>
      <c r="ZI1277"/>
      <c r="ZJ1277"/>
      <c r="ZK1277"/>
      <c r="ZL1277"/>
      <c r="ZM1277"/>
      <c r="ZN1277"/>
      <c r="ZO1277"/>
      <c r="ZP1277"/>
      <c r="ZQ1277"/>
      <c r="ZR1277"/>
      <c r="ZS1277"/>
      <c r="ZT1277"/>
      <c r="ZU1277"/>
      <c r="ZV1277"/>
      <c r="ZW1277"/>
      <c r="ZX1277"/>
      <c r="ZY1277"/>
      <c r="ZZ1277"/>
      <c r="AAA1277"/>
      <c r="AAB1277"/>
      <c r="AAC1277"/>
      <c r="AAD1277"/>
      <c r="AAE1277"/>
      <c r="AAF1277"/>
      <c r="AAG1277"/>
      <c r="AAH1277"/>
      <c r="AAI1277"/>
      <c r="AAJ1277"/>
      <c r="AAK1277"/>
      <c r="AAL1277"/>
      <c r="AAM1277"/>
      <c r="AAN1277"/>
      <c r="AAO1277"/>
      <c r="AAP1277"/>
      <c r="AAQ1277"/>
      <c r="AAR1277"/>
      <c r="AAS1277"/>
      <c r="AAT1277"/>
      <c r="AAU1277"/>
      <c r="AAV1277"/>
      <c r="AAW1277"/>
      <c r="AAX1277"/>
      <c r="AAY1277"/>
      <c r="AAZ1277"/>
      <c r="ABA1277"/>
      <c r="ABB1277"/>
      <c r="ABC1277"/>
      <c r="ABD1277"/>
      <c r="ABE1277"/>
      <c r="ABF1277"/>
      <c r="ABG1277"/>
      <c r="ABH1277"/>
      <c r="ABI1277"/>
      <c r="ABJ1277"/>
      <c r="ABK1277"/>
      <c r="ABL1277"/>
      <c r="ABM1277"/>
      <c r="ABN1277"/>
      <c r="ABO1277"/>
      <c r="ABP1277"/>
      <c r="ABQ1277"/>
      <c r="ABR1277"/>
      <c r="ABS1277"/>
      <c r="ABT1277"/>
      <c r="ABU1277"/>
      <c r="ABV1277"/>
      <c r="ABW1277"/>
      <c r="ABX1277"/>
      <c r="ABY1277"/>
      <c r="ABZ1277"/>
      <c r="ACA1277"/>
      <c r="ACB1277"/>
      <c r="ACC1277"/>
      <c r="ACD1277"/>
      <c r="ACE1277"/>
      <c r="ACF1277"/>
      <c r="ACG1277"/>
      <c r="ACH1277"/>
      <c r="ACI1277"/>
      <c r="ACJ1277"/>
      <c r="ACK1277"/>
      <c r="ACL1277"/>
      <c r="ACM1277"/>
      <c r="ACN1277"/>
      <c r="ACO1277"/>
      <c r="ACP1277"/>
      <c r="ACQ1277"/>
      <c r="ACR1277"/>
      <c r="ACS1277"/>
      <c r="ACT1277"/>
      <c r="ACU1277"/>
      <c r="ACV1277"/>
      <c r="ACW1277"/>
      <c r="ACX1277"/>
      <c r="ACY1277"/>
      <c r="ACZ1277"/>
      <c r="ADA1277"/>
      <c r="ADB1277"/>
      <c r="ADC1277"/>
      <c r="ADD1277"/>
      <c r="ADE1277"/>
      <c r="ADF1277"/>
      <c r="ADG1277"/>
      <c r="ADH1277"/>
      <c r="ADI1277"/>
      <c r="ADJ1277"/>
      <c r="ADK1277"/>
      <c r="ADL1277"/>
      <c r="ADM1277"/>
      <c r="ADN1277"/>
      <c r="ADO1277"/>
      <c r="ADP1277"/>
      <c r="ADQ1277"/>
      <c r="ADR1277"/>
      <c r="ADS1277"/>
      <c r="ADT1277"/>
      <c r="ADU1277"/>
      <c r="ADV1277"/>
      <c r="ADW1277"/>
      <c r="ADX1277"/>
      <c r="ADY1277"/>
      <c r="ADZ1277"/>
      <c r="AEA1277"/>
      <c r="AEB1277"/>
      <c r="AEC1277"/>
      <c r="AED1277"/>
      <c r="AEE1277"/>
      <c r="AEF1277"/>
      <c r="AEG1277"/>
      <c r="AEH1277"/>
      <c r="AEI1277"/>
      <c r="AEJ1277"/>
      <c r="AEK1277"/>
      <c r="AEL1277"/>
      <c r="AEM1277"/>
      <c r="AEN1277"/>
      <c r="AEO1277"/>
      <c r="AEP1277"/>
      <c r="AEQ1277"/>
      <c r="AER1277"/>
      <c r="AES1277"/>
      <c r="AET1277"/>
      <c r="AEU1277"/>
      <c r="AEV1277"/>
      <c r="AEW1277"/>
      <c r="AEX1277"/>
      <c r="AEY1277"/>
      <c r="AEZ1277"/>
      <c r="AFA1277"/>
      <c r="AFB1277"/>
      <c r="AFC1277"/>
      <c r="AFD1277"/>
      <c r="AFE1277"/>
      <c r="AFF1277"/>
      <c r="AFG1277"/>
      <c r="AFH1277"/>
      <c r="AFI1277"/>
      <c r="AFJ1277"/>
      <c r="AFK1277"/>
      <c r="AFL1277"/>
      <c r="AFM1277"/>
      <c r="AFN1277"/>
      <c r="AFO1277"/>
      <c r="AFP1277"/>
      <c r="AFQ1277"/>
      <c r="AFR1277"/>
      <c r="AFS1277"/>
      <c r="AFT1277"/>
      <c r="AFU1277"/>
      <c r="AFV1277"/>
      <c r="AFW1277"/>
      <c r="AFX1277"/>
      <c r="AFY1277"/>
      <c r="AFZ1277"/>
      <c r="AGA1277"/>
      <c r="AGB1277"/>
      <c r="AGC1277"/>
      <c r="AGD1277"/>
      <c r="AGE1277"/>
      <c r="AGF1277"/>
      <c r="AGG1277"/>
      <c r="AGH1277"/>
      <c r="AGI1277"/>
      <c r="AGJ1277"/>
      <c r="AGK1277"/>
      <c r="AGL1277"/>
      <c r="AGM1277"/>
      <c r="AGN1277"/>
      <c r="AGO1277"/>
      <c r="AGP1277"/>
      <c r="AGQ1277"/>
      <c r="AGR1277"/>
      <c r="AGS1277"/>
      <c r="AGT1277"/>
      <c r="AGU1277"/>
      <c r="AGV1277"/>
      <c r="AGW1277"/>
      <c r="AGX1277"/>
      <c r="AGY1277"/>
      <c r="AGZ1277"/>
      <c r="AHA1277"/>
      <c r="AHB1277"/>
      <c r="AHC1277"/>
      <c r="AHD1277"/>
      <c r="AHE1277"/>
      <c r="AHF1277"/>
      <c r="AHG1277"/>
      <c r="AHH1277"/>
      <c r="AHI1277"/>
      <c r="AHJ1277"/>
      <c r="AHK1277"/>
      <c r="AHL1277"/>
      <c r="AHM1277"/>
      <c r="AHN1277"/>
      <c r="AHO1277"/>
      <c r="AHP1277"/>
      <c r="AHQ1277"/>
      <c r="AHR1277"/>
      <c r="AHS1277"/>
      <c r="AHT1277"/>
      <c r="AHU1277"/>
      <c r="AHV1277"/>
      <c r="AHW1277"/>
      <c r="AHX1277"/>
      <c r="AHY1277"/>
      <c r="AHZ1277"/>
      <c r="AIA1277"/>
      <c r="AIB1277"/>
      <c r="AIC1277"/>
      <c r="AID1277"/>
      <c r="AIE1277"/>
      <c r="AIF1277"/>
      <c r="AIG1277"/>
      <c r="AIH1277"/>
      <c r="AII1277"/>
      <c r="AIJ1277"/>
      <c r="AIK1277"/>
      <c r="AIL1277"/>
      <c r="AIM1277"/>
      <c r="AIN1277"/>
      <c r="AIO1277"/>
      <c r="AIP1277"/>
      <c r="AIQ1277"/>
      <c r="AIR1277"/>
      <c r="AIS1277"/>
      <c r="AIT1277"/>
      <c r="AIU1277"/>
      <c r="AIV1277"/>
      <c r="AIW1277"/>
      <c r="AIX1277"/>
      <c r="AIY1277"/>
      <c r="AIZ1277"/>
      <c r="AJA1277"/>
      <c r="AJB1277"/>
      <c r="AJC1277"/>
      <c r="AJD1277"/>
      <c r="AJE1277"/>
      <c r="AJF1277"/>
      <c r="AJG1277"/>
      <c r="AJH1277"/>
      <c r="AJI1277"/>
      <c r="AJJ1277"/>
      <c r="AJK1277"/>
      <c r="AJL1277"/>
      <c r="AJM1277"/>
      <c r="AJN1277"/>
      <c r="AJO1277"/>
      <c r="AJP1277"/>
      <c r="AJQ1277"/>
      <c r="AJR1277"/>
      <c r="AJS1277"/>
      <c r="AJT1277"/>
      <c r="AJU1277"/>
      <c r="AJV1277"/>
      <c r="AJW1277"/>
      <c r="AJX1277"/>
      <c r="AJY1277"/>
      <c r="AJZ1277"/>
      <c r="AKA1277"/>
      <c r="AKB1277"/>
      <c r="AKC1277"/>
      <c r="AKD1277"/>
      <c r="AKE1277"/>
      <c r="AKF1277"/>
      <c r="AKG1277"/>
      <c r="AKH1277"/>
      <c r="AKI1277"/>
      <c r="AKJ1277"/>
      <c r="AKK1277"/>
      <c r="AKL1277"/>
      <c r="AKM1277"/>
      <c r="AKN1277"/>
      <c r="AKO1277"/>
      <c r="AKP1277"/>
      <c r="AKQ1277"/>
      <c r="AKR1277"/>
      <c r="AKS1277"/>
      <c r="AKT1277"/>
      <c r="AKU1277"/>
      <c r="AKV1277"/>
      <c r="AKW1277"/>
      <c r="AKX1277"/>
      <c r="AKY1277"/>
      <c r="AKZ1277"/>
      <c r="ALA1277"/>
      <c r="ALB1277"/>
      <c r="ALC1277"/>
      <c r="ALD1277"/>
      <c r="ALE1277"/>
      <c r="ALF1277"/>
      <c r="ALG1277"/>
      <c r="ALH1277"/>
      <c r="ALI1277"/>
      <c r="ALJ1277"/>
      <c r="ALK1277"/>
      <c r="ALL1277"/>
      <c r="ALM1277"/>
      <c r="ALN1277"/>
      <c r="ALO1277"/>
      <c r="ALP1277"/>
      <c r="ALQ1277"/>
      <c r="ALR1277"/>
      <c r="ALS1277"/>
      <c r="ALT1277"/>
    </row>
    <row r="1278" spans="1:1008" x14ac:dyDescent="0.15">
      <c r="A1278" t="s">
        <v>4022</v>
      </c>
      <c r="B1278" s="8" t="s">
        <v>4077</v>
      </c>
      <c r="C1278" t="s">
        <v>4022</v>
      </c>
      <c r="D1278" s="8" t="s">
        <v>15</v>
      </c>
      <c r="E1278" t="s">
        <v>4022</v>
      </c>
      <c r="F1278" t="s">
        <v>4023</v>
      </c>
      <c r="G1278">
        <v>500</v>
      </c>
      <c r="H1278"/>
      <c r="I1278"/>
      <c r="J1278"/>
      <c r="K1278"/>
      <c r="L1278"/>
      <c r="M1278"/>
      <c r="N1278"/>
      <c r="O1278"/>
      <c r="P1278"/>
      <c r="Q1278"/>
      <c r="R1278"/>
      <c r="S1278"/>
      <c r="T1278"/>
      <c r="U1278"/>
      <c r="V1278"/>
      <c r="W1278"/>
      <c r="X1278"/>
      <c r="Y1278"/>
      <c r="Z1278"/>
      <c r="AA1278"/>
      <c r="AB1278"/>
      <c r="AC1278"/>
      <c r="AD1278"/>
      <c r="AE1278"/>
      <c r="AF1278"/>
      <c r="AG1278"/>
      <c r="AH1278"/>
      <c r="AI1278"/>
      <c r="AJ1278"/>
      <c r="AK1278"/>
      <c r="AL1278"/>
      <c r="AM1278"/>
      <c r="AN1278"/>
      <c r="AO1278"/>
      <c r="AP1278"/>
      <c r="AQ1278"/>
      <c r="AR1278"/>
      <c r="AS1278"/>
      <c r="AT1278"/>
      <c r="AU1278"/>
      <c r="AV1278"/>
      <c r="AW1278"/>
      <c r="AX1278"/>
      <c r="AY1278"/>
      <c r="AZ1278"/>
      <c r="BA1278"/>
      <c r="BB1278"/>
      <c r="BC1278"/>
      <c r="BD1278"/>
      <c r="BE1278"/>
      <c r="BF1278"/>
      <c r="BG1278"/>
      <c r="BH1278"/>
      <c r="BI1278"/>
      <c r="BJ1278"/>
      <c r="BK1278"/>
      <c r="BL1278"/>
      <c r="BM1278"/>
      <c r="BN1278"/>
      <c r="BO1278"/>
      <c r="BP1278"/>
      <c r="BQ1278"/>
      <c r="BR1278"/>
      <c r="BS1278"/>
      <c r="BT1278"/>
      <c r="BU1278"/>
      <c r="BV1278"/>
      <c r="BW1278"/>
      <c r="BX1278"/>
      <c r="BY1278"/>
      <c r="BZ1278"/>
      <c r="CA1278"/>
      <c r="CB1278"/>
      <c r="CC1278"/>
      <c r="CD1278"/>
      <c r="CE1278"/>
      <c r="CF1278"/>
      <c r="CG1278"/>
      <c r="CH1278"/>
      <c r="CI1278"/>
      <c r="CJ1278"/>
      <c r="CK1278"/>
      <c r="CL1278"/>
      <c r="CM1278"/>
      <c r="CN1278"/>
      <c r="CO1278"/>
      <c r="CP1278"/>
      <c r="CQ1278"/>
      <c r="CR1278"/>
      <c r="CS1278"/>
      <c r="CT1278"/>
      <c r="CU1278"/>
      <c r="CV1278"/>
      <c r="CW1278"/>
      <c r="CX1278"/>
      <c r="CY1278"/>
      <c r="CZ1278"/>
      <c r="DA1278"/>
      <c r="DB1278"/>
      <c r="DC1278"/>
      <c r="DD1278"/>
      <c r="DE1278"/>
      <c r="DF1278"/>
      <c r="DG1278"/>
      <c r="DH1278"/>
      <c r="DI1278"/>
      <c r="DJ1278"/>
      <c r="DK1278"/>
      <c r="DL1278"/>
      <c r="DM1278"/>
      <c r="DN1278"/>
      <c r="DO1278"/>
      <c r="DP1278"/>
      <c r="DQ1278"/>
      <c r="DR1278"/>
      <c r="DS1278"/>
      <c r="DT1278"/>
      <c r="DU1278"/>
      <c r="DV1278"/>
      <c r="DW1278"/>
      <c r="DX1278"/>
      <c r="DY1278"/>
      <c r="DZ1278"/>
      <c r="EA1278"/>
      <c r="EB1278"/>
      <c r="EC1278"/>
      <c r="ED1278"/>
      <c r="EE1278"/>
      <c r="EF1278"/>
      <c r="EG1278"/>
      <c r="EH1278"/>
      <c r="EI1278"/>
      <c r="EJ1278"/>
      <c r="EK1278"/>
      <c r="EL1278"/>
      <c r="EM1278"/>
      <c r="EN1278"/>
      <c r="EO1278"/>
      <c r="EP1278"/>
      <c r="EQ1278"/>
      <c r="ER1278"/>
      <c r="ES1278"/>
      <c r="ET1278"/>
      <c r="EU1278"/>
      <c r="EV1278"/>
      <c r="EW1278"/>
      <c r="EX1278"/>
      <c r="EY1278"/>
      <c r="EZ1278"/>
      <c r="FA1278"/>
      <c r="FB1278"/>
      <c r="FC1278"/>
      <c r="FD1278"/>
      <c r="FE1278"/>
      <c r="FF1278"/>
      <c r="FG1278"/>
      <c r="FH1278"/>
      <c r="FI1278"/>
      <c r="FJ1278"/>
      <c r="FK1278"/>
      <c r="FL1278"/>
      <c r="FM1278"/>
      <c r="FN1278"/>
      <c r="FO1278"/>
      <c r="FP1278"/>
      <c r="FQ1278"/>
      <c r="FR1278"/>
      <c r="FS1278"/>
      <c r="FT1278"/>
      <c r="FU1278"/>
      <c r="FV1278"/>
      <c r="FW1278"/>
      <c r="FX1278"/>
      <c r="FY1278"/>
      <c r="FZ1278"/>
      <c r="GA1278"/>
      <c r="GB1278"/>
      <c r="GC1278"/>
      <c r="GD1278"/>
      <c r="GE1278"/>
      <c r="GF1278"/>
      <c r="GG1278"/>
      <c r="GH1278"/>
      <c r="GI1278"/>
      <c r="GJ1278"/>
      <c r="GK1278"/>
      <c r="GL1278"/>
      <c r="GM1278"/>
      <c r="GN1278"/>
      <c r="GO1278"/>
      <c r="GP1278"/>
      <c r="GQ1278"/>
      <c r="GR1278"/>
      <c r="GS1278"/>
      <c r="GT1278"/>
      <c r="GU1278"/>
      <c r="GV1278"/>
      <c r="GW1278"/>
      <c r="GX1278"/>
      <c r="GY1278"/>
      <c r="GZ1278"/>
      <c r="HA1278"/>
      <c r="HB1278"/>
      <c r="HC1278"/>
      <c r="HD1278"/>
      <c r="HE1278"/>
      <c r="HF1278"/>
      <c r="HG1278"/>
      <c r="HH1278"/>
      <c r="HI1278"/>
      <c r="HJ1278"/>
      <c r="HK1278"/>
      <c r="HL1278"/>
      <c r="HM1278"/>
      <c r="HN1278"/>
      <c r="HO1278"/>
      <c r="HP1278"/>
      <c r="HQ1278"/>
      <c r="HR1278"/>
      <c r="HS1278"/>
      <c r="HT1278"/>
      <c r="HU1278"/>
      <c r="HV1278"/>
      <c r="HW1278"/>
      <c r="HX1278"/>
      <c r="HY1278"/>
      <c r="HZ1278"/>
      <c r="IA1278"/>
      <c r="IB1278"/>
      <c r="IC1278"/>
      <c r="ID1278"/>
      <c r="IE1278"/>
      <c r="IF1278"/>
      <c r="IG1278"/>
      <c r="IH1278"/>
      <c r="II1278"/>
      <c r="IJ1278"/>
      <c r="IK1278"/>
      <c r="IL1278"/>
      <c r="IM1278"/>
      <c r="IN1278"/>
      <c r="IO1278"/>
      <c r="IP1278"/>
      <c r="IQ1278"/>
      <c r="IR1278"/>
      <c r="IS1278"/>
      <c r="IT1278"/>
      <c r="IU1278"/>
      <c r="IV1278"/>
      <c r="IW1278"/>
      <c r="IX1278"/>
      <c r="IY1278"/>
      <c r="IZ1278"/>
      <c r="JA1278"/>
      <c r="JB1278"/>
      <c r="JC1278"/>
      <c r="JD1278"/>
      <c r="JE1278"/>
      <c r="JF1278"/>
      <c r="JG1278"/>
      <c r="JH1278"/>
      <c r="JI1278"/>
      <c r="JJ1278"/>
      <c r="JK1278"/>
      <c r="JL1278"/>
      <c r="JM1278"/>
      <c r="JN1278"/>
      <c r="JO1278"/>
      <c r="JP1278"/>
      <c r="JQ1278"/>
      <c r="JR1278"/>
      <c r="JS1278"/>
      <c r="JT1278"/>
      <c r="JU1278"/>
      <c r="JV1278"/>
      <c r="JW1278"/>
      <c r="JX1278"/>
      <c r="JY1278"/>
      <c r="JZ1278"/>
      <c r="KA1278"/>
      <c r="KB1278"/>
      <c r="KC1278"/>
      <c r="KD1278"/>
      <c r="KE1278"/>
      <c r="KF1278"/>
      <c r="KG1278"/>
      <c r="KH1278"/>
      <c r="KI1278"/>
      <c r="KJ1278"/>
      <c r="KK1278"/>
      <c r="KL1278"/>
      <c r="KM1278"/>
      <c r="KN1278"/>
      <c r="KO1278"/>
      <c r="KP1278"/>
      <c r="KQ1278"/>
      <c r="KR1278"/>
      <c r="KS1278"/>
      <c r="KT1278"/>
      <c r="KU1278"/>
      <c r="KV1278"/>
      <c r="KW1278"/>
      <c r="KX1278"/>
      <c r="KY1278"/>
      <c r="KZ1278"/>
      <c r="LA1278"/>
      <c r="LB1278"/>
      <c r="LC1278"/>
      <c r="LD1278"/>
      <c r="LE1278"/>
      <c r="LF1278"/>
      <c r="LG1278"/>
      <c r="LH1278"/>
      <c r="LI1278"/>
      <c r="LJ1278"/>
      <c r="LK1278"/>
      <c r="LL1278"/>
      <c r="LM1278"/>
      <c r="LN1278"/>
      <c r="LO1278"/>
      <c r="LP1278"/>
      <c r="LQ1278"/>
      <c r="LR1278"/>
      <c r="LS1278"/>
      <c r="LT1278"/>
      <c r="LU1278"/>
      <c r="LV1278"/>
      <c r="LW1278"/>
      <c r="LX1278"/>
      <c r="LY1278"/>
      <c r="LZ1278"/>
      <c r="MA1278"/>
      <c r="MB1278"/>
      <c r="MC1278"/>
      <c r="MD1278"/>
      <c r="ME1278"/>
      <c r="MF1278"/>
      <c r="MG1278"/>
      <c r="MH1278"/>
      <c r="MI1278"/>
      <c r="MJ1278"/>
      <c r="MK1278"/>
      <c r="ML1278"/>
      <c r="MM1278"/>
      <c r="MN1278"/>
      <c r="MO1278"/>
      <c r="MP1278"/>
      <c r="MQ1278"/>
      <c r="MR1278"/>
      <c r="MS1278"/>
      <c r="MT1278"/>
      <c r="MU1278"/>
      <c r="MV1278"/>
      <c r="MW1278"/>
      <c r="MX1278"/>
      <c r="MY1278"/>
      <c r="MZ1278"/>
      <c r="NA1278"/>
      <c r="NB1278"/>
      <c r="NC1278"/>
      <c r="ND1278"/>
      <c r="NE1278"/>
      <c r="NF1278"/>
      <c r="NG1278"/>
      <c r="NH1278"/>
      <c r="NI1278"/>
      <c r="NJ1278"/>
      <c r="NK1278"/>
      <c r="NL1278"/>
      <c r="NM1278"/>
      <c r="NN1278"/>
      <c r="NO1278"/>
      <c r="NP1278"/>
      <c r="NQ1278"/>
      <c r="NR1278"/>
      <c r="NS1278"/>
      <c r="NT1278"/>
      <c r="NU1278"/>
      <c r="NV1278"/>
      <c r="NW1278"/>
      <c r="NX1278"/>
      <c r="NY1278"/>
      <c r="NZ1278"/>
      <c r="OA1278"/>
      <c r="OB1278"/>
      <c r="OC1278"/>
      <c r="OD1278"/>
      <c r="OE1278"/>
      <c r="OF1278"/>
      <c r="OG1278"/>
      <c r="OH1278"/>
      <c r="OI1278"/>
      <c r="OJ1278"/>
      <c r="OK1278"/>
      <c r="OL1278"/>
      <c r="OM1278"/>
      <c r="ON1278"/>
      <c r="OO1278"/>
      <c r="OP1278"/>
      <c r="OQ1278"/>
      <c r="OR1278"/>
      <c r="OS1278"/>
      <c r="OT1278"/>
      <c r="OU1278"/>
      <c r="OV1278"/>
      <c r="OW1278"/>
      <c r="OX1278"/>
      <c r="OY1278"/>
      <c r="OZ1278"/>
      <c r="PA1278"/>
      <c r="PB1278"/>
      <c r="PC1278"/>
      <c r="PD1278"/>
      <c r="PE1278"/>
      <c r="PF1278"/>
      <c r="PG1278"/>
      <c r="PH1278"/>
      <c r="PI1278"/>
      <c r="PJ1278"/>
      <c r="PK1278"/>
      <c r="PL1278"/>
      <c r="PM1278"/>
      <c r="PN1278"/>
      <c r="PO1278"/>
      <c r="PP1278"/>
      <c r="PQ1278"/>
      <c r="PR1278"/>
      <c r="PS1278"/>
      <c r="PT1278"/>
      <c r="PU1278"/>
      <c r="PV1278"/>
      <c r="PW1278"/>
      <c r="PX1278"/>
      <c r="PY1278"/>
      <c r="PZ1278"/>
      <c r="QA1278"/>
      <c r="QB1278"/>
      <c r="QC1278"/>
      <c r="QD1278"/>
      <c r="QE1278"/>
      <c r="QF1278"/>
      <c r="QG1278"/>
      <c r="QH1278"/>
      <c r="QI1278"/>
      <c r="QJ1278"/>
      <c r="QK1278"/>
      <c r="QL1278"/>
      <c r="QM1278"/>
      <c r="QN1278"/>
      <c r="QO1278"/>
      <c r="QP1278"/>
      <c r="QQ1278"/>
      <c r="QR1278"/>
      <c r="QS1278"/>
      <c r="QT1278"/>
      <c r="QU1278"/>
      <c r="QV1278"/>
      <c r="QW1278"/>
      <c r="QX1278"/>
      <c r="QY1278"/>
      <c r="QZ1278"/>
      <c r="RA1278"/>
      <c r="RB1278"/>
      <c r="RC1278"/>
      <c r="RD1278"/>
      <c r="RE1278"/>
      <c r="RF1278"/>
      <c r="RG1278"/>
      <c r="RH1278"/>
      <c r="RI1278"/>
      <c r="RJ1278"/>
      <c r="RK1278"/>
      <c r="RL1278"/>
      <c r="RM1278"/>
      <c r="RN1278"/>
      <c r="RO1278"/>
      <c r="RP1278"/>
      <c r="RQ1278"/>
      <c r="RR1278"/>
      <c r="RS1278"/>
      <c r="RT1278"/>
      <c r="RU1278"/>
      <c r="RV1278"/>
      <c r="RW1278"/>
      <c r="RX1278"/>
      <c r="RY1278"/>
      <c r="RZ1278"/>
      <c r="SA1278"/>
      <c r="SB1278"/>
      <c r="SC1278"/>
      <c r="SD1278"/>
      <c r="SE1278"/>
      <c r="SF1278"/>
      <c r="SG1278"/>
      <c r="SH1278"/>
      <c r="SI1278"/>
      <c r="SJ1278"/>
      <c r="SK1278"/>
      <c r="SL1278"/>
      <c r="SM1278"/>
      <c r="SN1278"/>
      <c r="SO1278"/>
      <c r="SP1278"/>
      <c r="SQ1278"/>
      <c r="SR1278"/>
      <c r="SS1278"/>
      <c r="ST1278"/>
      <c r="SU1278"/>
      <c r="SV1278"/>
      <c r="SW1278"/>
      <c r="SX1278"/>
      <c r="SY1278"/>
      <c r="SZ1278"/>
      <c r="TA1278"/>
      <c r="TB1278"/>
      <c r="TC1278"/>
      <c r="TD1278"/>
      <c r="TE1278"/>
      <c r="TF1278"/>
      <c r="TG1278"/>
      <c r="TH1278"/>
      <c r="TI1278"/>
      <c r="TJ1278"/>
      <c r="TK1278"/>
      <c r="TL1278"/>
      <c r="TM1278"/>
      <c r="TN1278"/>
      <c r="TO1278"/>
      <c r="TP1278"/>
      <c r="TQ1278"/>
      <c r="TR1278"/>
      <c r="TS1278"/>
      <c r="TT1278"/>
      <c r="TU1278"/>
      <c r="TV1278"/>
      <c r="TW1278"/>
      <c r="TX1278"/>
      <c r="TY1278"/>
      <c r="TZ1278"/>
      <c r="UA1278"/>
      <c r="UB1278"/>
      <c r="UC1278"/>
      <c r="UD1278"/>
      <c r="UE1278"/>
      <c r="UF1278"/>
      <c r="UG1278"/>
      <c r="UH1278"/>
      <c r="UI1278"/>
      <c r="UJ1278"/>
      <c r="UK1278"/>
      <c r="UL1278"/>
      <c r="UM1278"/>
      <c r="UN1278"/>
      <c r="UO1278"/>
      <c r="UP1278"/>
      <c r="UQ1278"/>
      <c r="UR1278"/>
      <c r="US1278"/>
      <c r="UT1278"/>
      <c r="UU1278"/>
      <c r="UV1278"/>
      <c r="UW1278"/>
      <c r="UX1278"/>
      <c r="UY1278"/>
      <c r="UZ1278"/>
      <c r="VA1278"/>
      <c r="VB1278"/>
      <c r="VC1278"/>
      <c r="VD1278"/>
      <c r="VE1278"/>
      <c r="VF1278"/>
      <c r="VG1278"/>
      <c r="VH1278"/>
      <c r="VI1278"/>
      <c r="VJ1278"/>
      <c r="VK1278"/>
      <c r="VL1278"/>
      <c r="VM1278"/>
      <c r="VN1278"/>
      <c r="VO1278"/>
      <c r="VP1278"/>
      <c r="VQ1278"/>
      <c r="VR1278"/>
      <c r="VS1278"/>
      <c r="VT1278"/>
      <c r="VU1278"/>
      <c r="VV1278"/>
      <c r="VW1278"/>
      <c r="VX1278"/>
      <c r="VY1278"/>
      <c r="VZ1278"/>
      <c r="WA1278"/>
      <c r="WB1278"/>
      <c r="WC1278"/>
      <c r="WD1278"/>
      <c r="WE1278"/>
      <c r="WF1278"/>
      <c r="WG1278"/>
      <c r="WH1278"/>
      <c r="WI1278"/>
      <c r="WJ1278"/>
      <c r="WK1278"/>
      <c r="WL1278"/>
      <c r="WM1278"/>
      <c r="WN1278"/>
      <c r="WO1278"/>
      <c r="WP1278"/>
      <c r="WQ1278"/>
      <c r="WR1278"/>
      <c r="WS1278"/>
      <c r="WT1278"/>
      <c r="WU1278"/>
      <c r="WV1278"/>
      <c r="WW1278"/>
      <c r="WX1278"/>
      <c r="WY1278"/>
      <c r="WZ1278"/>
      <c r="XA1278"/>
      <c r="XB1278"/>
      <c r="XC1278"/>
      <c r="XD1278"/>
      <c r="XE1278"/>
      <c r="XF1278"/>
      <c r="XG1278"/>
      <c r="XH1278"/>
      <c r="XI1278"/>
      <c r="XJ1278"/>
      <c r="XK1278"/>
      <c r="XL1278"/>
      <c r="XM1278"/>
      <c r="XN1278"/>
      <c r="XO1278"/>
      <c r="XP1278"/>
      <c r="XQ1278"/>
      <c r="XR1278"/>
      <c r="XS1278"/>
      <c r="XT1278"/>
      <c r="XU1278"/>
      <c r="XV1278"/>
      <c r="XW1278"/>
      <c r="XX1278"/>
      <c r="XY1278"/>
      <c r="XZ1278"/>
      <c r="YA1278"/>
      <c r="YB1278"/>
      <c r="YC1278"/>
      <c r="YD1278"/>
      <c r="YE1278"/>
      <c r="YF1278"/>
      <c r="YG1278"/>
      <c r="YH1278"/>
      <c r="YI1278"/>
      <c r="YJ1278"/>
      <c r="YK1278"/>
      <c r="YL1278"/>
      <c r="YM1278"/>
      <c r="YN1278"/>
      <c r="YO1278"/>
      <c r="YP1278"/>
      <c r="YQ1278"/>
      <c r="YR1278"/>
      <c r="YS1278"/>
      <c r="YT1278"/>
      <c r="YU1278"/>
      <c r="YV1278"/>
      <c r="YW1278"/>
      <c r="YX1278"/>
      <c r="YY1278"/>
      <c r="YZ1278"/>
      <c r="ZA1278"/>
      <c r="ZB1278"/>
      <c r="ZC1278"/>
      <c r="ZD1278"/>
      <c r="ZE1278"/>
      <c r="ZF1278"/>
      <c r="ZG1278"/>
      <c r="ZH1278"/>
      <c r="ZI1278"/>
      <c r="ZJ1278"/>
      <c r="ZK1278"/>
      <c r="ZL1278"/>
      <c r="ZM1278"/>
      <c r="ZN1278"/>
      <c r="ZO1278"/>
      <c r="ZP1278"/>
      <c r="ZQ1278"/>
      <c r="ZR1278"/>
      <c r="ZS1278"/>
      <c r="ZT1278"/>
      <c r="ZU1278"/>
      <c r="ZV1278"/>
      <c r="ZW1278"/>
      <c r="ZX1278"/>
      <c r="ZY1278"/>
      <c r="ZZ1278"/>
      <c r="AAA1278"/>
      <c r="AAB1278"/>
      <c r="AAC1278"/>
      <c r="AAD1278"/>
      <c r="AAE1278"/>
      <c r="AAF1278"/>
      <c r="AAG1278"/>
      <c r="AAH1278"/>
      <c r="AAI1278"/>
      <c r="AAJ1278"/>
      <c r="AAK1278"/>
      <c r="AAL1278"/>
      <c r="AAM1278"/>
      <c r="AAN1278"/>
      <c r="AAO1278"/>
      <c r="AAP1278"/>
      <c r="AAQ1278"/>
      <c r="AAR1278"/>
      <c r="AAS1278"/>
      <c r="AAT1278"/>
      <c r="AAU1278"/>
      <c r="AAV1278"/>
      <c r="AAW1278"/>
      <c r="AAX1278"/>
      <c r="AAY1278"/>
      <c r="AAZ1278"/>
      <c r="ABA1278"/>
      <c r="ABB1278"/>
      <c r="ABC1278"/>
      <c r="ABD1278"/>
      <c r="ABE1278"/>
      <c r="ABF1278"/>
      <c r="ABG1278"/>
      <c r="ABH1278"/>
      <c r="ABI1278"/>
      <c r="ABJ1278"/>
      <c r="ABK1278"/>
      <c r="ABL1278"/>
      <c r="ABM1278"/>
      <c r="ABN1278"/>
      <c r="ABO1278"/>
      <c r="ABP1278"/>
      <c r="ABQ1278"/>
      <c r="ABR1278"/>
      <c r="ABS1278"/>
      <c r="ABT1278"/>
      <c r="ABU1278"/>
      <c r="ABV1278"/>
      <c r="ABW1278"/>
      <c r="ABX1278"/>
      <c r="ABY1278"/>
      <c r="ABZ1278"/>
      <c r="ACA1278"/>
      <c r="ACB1278"/>
      <c r="ACC1278"/>
      <c r="ACD1278"/>
      <c r="ACE1278"/>
      <c r="ACF1278"/>
      <c r="ACG1278"/>
      <c r="ACH1278"/>
      <c r="ACI1278"/>
      <c r="ACJ1278"/>
      <c r="ACK1278"/>
      <c r="ACL1278"/>
      <c r="ACM1278"/>
      <c r="ACN1278"/>
      <c r="ACO1278"/>
      <c r="ACP1278"/>
      <c r="ACQ1278"/>
      <c r="ACR1278"/>
      <c r="ACS1278"/>
      <c r="ACT1278"/>
      <c r="ACU1278"/>
      <c r="ACV1278"/>
      <c r="ACW1278"/>
      <c r="ACX1278"/>
      <c r="ACY1278"/>
      <c r="ACZ1278"/>
      <c r="ADA1278"/>
      <c r="ADB1278"/>
      <c r="ADC1278"/>
      <c r="ADD1278"/>
      <c r="ADE1278"/>
      <c r="ADF1278"/>
      <c r="ADG1278"/>
      <c r="ADH1278"/>
      <c r="ADI1278"/>
      <c r="ADJ1278"/>
      <c r="ADK1278"/>
      <c r="ADL1278"/>
      <c r="ADM1278"/>
      <c r="ADN1278"/>
      <c r="ADO1278"/>
      <c r="ADP1278"/>
      <c r="ADQ1278"/>
      <c r="ADR1278"/>
      <c r="ADS1278"/>
      <c r="ADT1278"/>
      <c r="ADU1278"/>
      <c r="ADV1278"/>
      <c r="ADW1278"/>
      <c r="ADX1278"/>
      <c r="ADY1278"/>
      <c r="ADZ1278"/>
      <c r="AEA1278"/>
      <c r="AEB1278"/>
      <c r="AEC1278"/>
      <c r="AED1278"/>
      <c r="AEE1278"/>
      <c r="AEF1278"/>
      <c r="AEG1278"/>
      <c r="AEH1278"/>
      <c r="AEI1278"/>
      <c r="AEJ1278"/>
      <c r="AEK1278"/>
      <c r="AEL1278"/>
      <c r="AEM1278"/>
      <c r="AEN1278"/>
      <c r="AEO1278"/>
      <c r="AEP1278"/>
      <c r="AEQ1278"/>
      <c r="AER1278"/>
      <c r="AES1278"/>
      <c r="AET1278"/>
      <c r="AEU1278"/>
      <c r="AEV1278"/>
      <c r="AEW1278"/>
      <c r="AEX1278"/>
      <c r="AEY1278"/>
      <c r="AEZ1278"/>
      <c r="AFA1278"/>
      <c r="AFB1278"/>
      <c r="AFC1278"/>
      <c r="AFD1278"/>
      <c r="AFE1278"/>
      <c r="AFF1278"/>
      <c r="AFG1278"/>
      <c r="AFH1278"/>
      <c r="AFI1278"/>
      <c r="AFJ1278"/>
      <c r="AFK1278"/>
      <c r="AFL1278"/>
      <c r="AFM1278"/>
      <c r="AFN1278"/>
      <c r="AFO1278"/>
      <c r="AFP1278"/>
      <c r="AFQ1278"/>
      <c r="AFR1278"/>
      <c r="AFS1278"/>
      <c r="AFT1278"/>
      <c r="AFU1278"/>
      <c r="AFV1278"/>
      <c r="AFW1278"/>
      <c r="AFX1278"/>
      <c r="AFY1278"/>
      <c r="AFZ1278"/>
      <c r="AGA1278"/>
      <c r="AGB1278"/>
      <c r="AGC1278"/>
      <c r="AGD1278"/>
      <c r="AGE1278"/>
      <c r="AGF1278"/>
      <c r="AGG1278"/>
      <c r="AGH1278"/>
      <c r="AGI1278"/>
      <c r="AGJ1278"/>
      <c r="AGK1278"/>
      <c r="AGL1278"/>
      <c r="AGM1278"/>
      <c r="AGN1278"/>
      <c r="AGO1278"/>
      <c r="AGP1278"/>
      <c r="AGQ1278"/>
      <c r="AGR1278"/>
      <c r="AGS1278"/>
      <c r="AGT1278"/>
      <c r="AGU1278"/>
      <c r="AGV1278"/>
      <c r="AGW1278"/>
      <c r="AGX1278"/>
      <c r="AGY1278"/>
      <c r="AGZ1278"/>
      <c r="AHA1278"/>
      <c r="AHB1278"/>
      <c r="AHC1278"/>
      <c r="AHD1278"/>
      <c r="AHE1278"/>
      <c r="AHF1278"/>
      <c r="AHG1278"/>
      <c r="AHH1278"/>
      <c r="AHI1278"/>
      <c r="AHJ1278"/>
      <c r="AHK1278"/>
      <c r="AHL1278"/>
      <c r="AHM1278"/>
      <c r="AHN1278"/>
      <c r="AHO1278"/>
      <c r="AHP1278"/>
      <c r="AHQ1278"/>
      <c r="AHR1278"/>
      <c r="AHS1278"/>
      <c r="AHT1278"/>
      <c r="AHU1278"/>
      <c r="AHV1278"/>
      <c r="AHW1278"/>
      <c r="AHX1278"/>
      <c r="AHY1278"/>
      <c r="AHZ1278"/>
      <c r="AIA1278"/>
      <c r="AIB1278"/>
      <c r="AIC1278"/>
      <c r="AID1278"/>
      <c r="AIE1278"/>
      <c r="AIF1278"/>
      <c r="AIG1278"/>
      <c r="AIH1278"/>
      <c r="AII1278"/>
      <c r="AIJ1278"/>
      <c r="AIK1278"/>
      <c r="AIL1278"/>
      <c r="AIM1278"/>
      <c r="AIN1278"/>
      <c r="AIO1278"/>
      <c r="AIP1278"/>
      <c r="AIQ1278"/>
      <c r="AIR1278"/>
      <c r="AIS1278"/>
      <c r="AIT1278"/>
      <c r="AIU1278"/>
      <c r="AIV1278"/>
      <c r="AIW1278"/>
      <c r="AIX1278"/>
      <c r="AIY1278"/>
      <c r="AIZ1278"/>
      <c r="AJA1278"/>
      <c r="AJB1278"/>
      <c r="AJC1278"/>
      <c r="AJD1278"/>
      <c r="AJE1278"/>
      <c r="AJF1278"/>
      <c r="AJG1278"/>
      <c r="AJH1278"/>
      <c r="AJI1278"/>
      <c r="AJJ1278"/>
      <c r="AJK1278"/>
      <c r="AJL1278"/>
      <c r="AJM1278"/>
      <c r="AJN1278"/>
      <c r="AJO1278"/>
      <c r="AJP1278"/>
      <c r="AJQ1278"/>
      <c r="AJR1278"/>
      <c r="AJS1278"/>
      <c r="AJT1278"/>
      <c r="AJU1278"/>
      <c r="AJV1278"/>
      <c r="AJW1278"/>
      <c r="AJX1278"/>
      <c r="AJY1278"/>
      <c r="AJZ1278"/>
      <c r="AKA1278"/>
      <c r="AKB1278"/>
      <c r="AKC1278"/>
      <c r="AKD1278"/>
      <c r="AKE1278"/>
      <c r="AKF1278"/>
      <c r="AKG1278"/>
      <c r="AKH1278"/>
      <c r="AKI1278"/>
      <c r="AKJ1278"/>
      <c r="AKK1278"/>
      <c r="AKL1278"/>
      <c r="AKM1278"/>
      <c r="AKN1278"/>
      <c r="AKO1278"/>
      <c r="AKP1278"/>
      <c r="AKQ1278"/>
      <c r="AKR1278"/>
      <c r="AKS1278"/>
      <c r="AKT1278"/>
      <c r="AKU1278"/>
      <c r="AKV1278"/>
      <c r="AKW1278"/>
      <c r="AKX1278"/>
      <c r="AKY1278"/>
      <c r="AKZ1278"/>
      <c r="ALA1278"/>
      <c r="ALB1278"/>
      <c r="ALC1278"/>
      <c r="ALD1278"/>
      <c r="ALE1278"/>
      <c r="ALF1278"/>
      <c r="ALG1278"/>
      <c r="ALH1278"/>
      <c r="ALI1278"/>
      <c r="ALJ1278"/>
      <c r="ALK1278"/>
      <c r="ALL1278"/>
      <c r="ALM1278"/>
      <c r="ALN1278"/>
      <c r="ALO1278"/>
      <c r="ALP1278"/>
      <c r="ALQ1278"/>
      <c r="ALR1278"/>
      <c r="ALS1278"/>
      <c r="ALT1278"/>
    </row>
    <row r="1279" spans="1:1008" x14ac:dyDescent="0.15">
      <c r="A1279" t="s">
        <v>4024</v>
      </c>
      <c r="B1279" s="8" t="s">
        <v>4078</v>
      </c>
      <c r="C1279" t="s">
        <v>4155</v>
      </c>
      <c r="D1279" s="8" t="s">
        <v>15</v>
      </c>
      <c r="E1279" t="s">
        <v>4155</v>
      </c>
      <c r="F1279" t="s">
        <v>4025</v>
      </c>
      <c r="G1279">
        <v>500</v>
      </c>
      <c r="H1279"/>
      <c r="I1279"/>
      <c r="J1279"/>
      <c r="K1279"/>
      <c r="L1279"/>
      <c r="M1279"/>
      <c r="N1279"/>
      <c r="O1279"/>
      <c r="P1279"/>
      <c r="Q1279"/>
      <c r="R1279"/>
      <c r="S1279"/>
      <c r="T1279"/>
      <c r="U1279"/>
      <c r="V1279"/>
      <c r="W1279"/>
      <c r="X1279"/>
      <c r="Y1279"/>
      <c r="Z1279"/>
      <c r="AA1279"/>
      <c r="AB1279"/>
      <c r="AC1279"/>
      <c r="AD1279"/>
      <c r="AE1279"/>
      <c r="AF1279"/>
      <c r="AG1279"/>
      <c r="AH1279"/>
      <c r="AI1279"/>
      <c r="AJ1279"/>
      <c r="AK1279"/>
      <c r="AL1279"/>
      <c r="AM1279"/>
      <c r="AN1279"/>
      <c r="AO1279"/>
      <c r="AP1279"/>
      <c r="AQ1279"/>
      <c r="AR1279"/>
      <c r="AS1279"/>
      <c r="AT1279"/>
      <c r="AU1279"/>
      <c r="AV1279"/>
      <c r="AW1279"/>
      <c r="AX1279"/>
      <c r="AY1279"/>
      <c r="AZ1279"/>
      <c r="BA1279"/>
      <c r="BB1279"/>
      <c r="BC1279"/>
      <c r="BD1279"/>
      <c r="BE1279"/>
      <c r="BF1279"/>
      <c r="BG1279"/>
      <c r="BH1279"/>
      <c r="BI1279"/>
      <c r="BJ1279"/>
      <c r="BK1279"/>
      <c r="BL1279"/>
      <c r="BM1279"/>
      <c r="BN1279"/>
      <c r="BO1279"/>
      <c r="BP1279"/>
      <c r="BQ1279"/>
      <c r="BR1279"/>
      <c r="BS1279"/>
      <c r="BT1279"/>
      <c r="BU1279"/>
      <c r="BV1279"/>
      <c r="BW1279"/>
      <c r="BX1279"/>
      <c r="BY1279"/>
      <c r="BZ1279"/>
      <c r="CA1279"/>
      <c r="CB1279"/>
      <c r="CC1279"/>
      <c r="CD1279"/>
      <c r="CE1279"/>
      <c r="CF1279"/>
      <c r="CG1279"/>
      <c r="CH1279"/>
      <c r="CI1279"/>
      <c r="CJ1279"/>
      <c r="CK1279"/>
      <c r="CL1279"/>
      <c r="CM1279"/>
      <c r="CN1279"/>
      <c r="CO1279"/>
      <c r="CP1279"/>
      <c r="CQ1279"/>
      <c r="CR1279"/>
      <c r="CS1279"/>
      <c r="CT1279"/>
      <c r="CU1279"/>
      <c r="CV1279"/>
      <c r="CW1279"/>
      <c r="CX1279"/>
      <c r="CY1279"/>
      <c r="CZ1279"/>
      <c r="DA1279"/>
      <c r="DB1279"/>
      <c r="DC1279"/>
      <c r="DD1279"/>
      <c r="DE1279"/>
      <c r="DF1279"/>
      <c r="DG1279"/>
      <c r="DH1279"/>
      <c r="DI1279"/>
      <c r="DJ1279"/>
      <c r="DK1279"/>
      <c r="DL1279"/>
      <c r="DM1279"/>
      <c r="DN1279"/>
      <c r="DO1279"/>
      <c r="DP1279"/>
      <c r="DQ1279"/>
      <c r="DR1279"/>
      <c r="DS1279"/>
      <c r="DT1279"/>
      <c r="DU1279"/>
      <c r="DV1279"/>
      <c r="DW1279"/>
      <c r="DX1279"/>
      <c r="DY1279"/>
      <c r="DZ1279"/>
      <c r="EA1279"/>
      <c r="EB1279"/>
      <c r="EC1279"/>
      <c r="ED1279"/>
      <c r="EE1279"/>
      <c r="EF1279"/>
      <c r="EG1279"/>
      <c r="EH1279"/>
      <c r="EI1279"/>
      <c r="EJ1279"/>
      <c r="EK1279"/>
      <c r="EL1279"/>
      <c r="EM1279"/>
      <c r="EN1279"/>
      <c r="EO1279"/>
      <c r="EP1279"/>
      <c r="EQ1279"/>
      <c r="ER1279"/>
      <c r="ES1279"/>
      <c r="ET1279"/>
      <c r="EU1279"/>
      <c r="EV1279"/>
      <c r="EW1279"/>
      <c r="EX1279"/>
      <c r="EY1279"/>
      <c r="EZ1279"/>
      <c r="FA1279"/>
      <c r="FB1279"/>
      <c r="FC1279"/>
      <c r="FD1279"/>
      <c r="FE1279"/>
      <c r="FF1279"/>
      <c r="FG1279"/>
      <c r="FH1279"/>
      <c r="FI1279"/>
      <c r="FJ1279"/>
      <c r="FK1279"/>
      <c r="FL1279"/>
      <c r="FM1279"/>
      <c r="FN1279"/>
      <c r="FO1279"/>
      <c r="FP1279"/>
      <c r="FQ1279"/>
      <c r="FR1279"/>
      <c r="FS1279"/>
      <c r="FT1279"/>
      <c r="FU1279"/>
      <c r="FV1279"/>
      <c r="FW1279"/>
      <c r="FX1279"/>
      <c r="FY1279"/>
      <c r="FZ1279"/>
      <c r="GA1279"/>
      <c r="GB1279"/>
      <c r="GC1279"/>
      <c r="GD1279"/>
      <c r="GE1279"/>
      <c r="GF1279"/>
      <c r="GG1279"/>
      <c r="GH1279"/>
      <c r="GI1279"/>
      <c r="GJ1279"/>
      <c r="GK1279"/>
      <c r="GL1279"/>
      <c r="GM1279"/>
      <c r="GN1279"/>
      <c r="GO1279"/>
      <c r="GP1279"/>
      <c r="GQ1279"/>
      <c r="GR1279"/>
      <c r="GS1279"/>
      <c r="GT1279"/>
      <c r="GU1279"/>
      <c r="GV1279"/>
      <c r="GW1279"/>
      <c r="GX1279"/>
      <c r="GY1279"/>
      <c r="GZ1279"/>
      <c r="HA1279"/>
      <c r="HB1279"/>
      <c r="HC1279"/>
      <c r="HD1279"/>
      <c r="HE1279"/>
      <c r="HF1279"/>
      <c r="HG1279"/>
      <c r="HH1279"/>
      <c r="HI1279"/>
      <c r="HJ1279"/>
      <c r="HK1279"/>
      <c r="HL1279"/>
      <c r="HM1279"/>
      <c r="HN1279"/>
      <c r="HO1279"/>
      <c r="HP1279"/>
      <c r="HQ1279"/>
      <c r="HR1279"/>
      <c r="HS1279"/>
      <c r="HT1279"/>
      <c r="HU1279"/>
      <c r="HV1279"/>
      <c r="HW1279"/>
      <c r="HX1279"/>
      <c r="HY1279"/>
      <c r="HZ1279"/>
      <c r="IA1279"/>
      <c r="IB1279"/>
      <c r="IC1279"/>
      <c r="ID1279"/>
      <c r="IE1279"/>
      <c r="IF1279"/>
      <c r="IG1279"/>
      <c r="IH1279"/>
      <c r="II1279"/>
      <c r="IJ1279"/>
      <c r="IK1279"/>
      <c r="IL1279"/>
      <c r="IM1279"/>
      <c r="IN1279"/>
      <c r="IO1279"/>
      <c r="IP1279"/>
      <c r="IQ1279"/>
      <c r="IR1279"/>
      <c r="IS1279"/>
      <c r="IT1279"/>
      <c r="IU1279"/>
      <c r="IV1279"/>
      <c r="IW1279"/>
      <c r="IX1279"/>
      <c r="IY1279"/>
      <c r="IZ1279"/>
      <c r="JA1279"/>
      <c r="JB1279"/>
      <c r="JC1279"/>
      <c r="JD1279"/>
      <c r="JE1279"/>
      <c r="JF1279"/>
      <c r="JG1279"/>
      <c r="JH1279"/>
      <c r="JI1279"/>
      <c r="JJ1279"/>
      <c r="JK1279"/>
      <c r="JL1279"/>
      <c r="JM1279"/>
      <c r="JN1279"/>
      <c r="JO1279"/>
      <c r="JP1279"/>
      <c r="JQ1279"/>
      <c r="JR1279"/>
      <c r="JS1279"/>
      <c r="JT1279"/>
      <c r="JU1279"/>
      <c r="JV1279"/>
      <c r="JW1279"/>
      <c r="JX1279"/>
      <c r="JY1279"/>
      <c r="JZ1279"/>
      <c r="KA1279"/>
      <c r="KB1279"/>
      <c r="KC1279"/>
      <c r="KD1279"/>
      <c r="KE1279"/>
      <c r="KF1279"/>
      <c r="KG1279"/>
      <c r="KH1279"/>
      <c r="KI1279"/>
      <c r="KJ1279"/>
      <c r="KK1279"/>
      <c r="KL1279"/>
      <c r="KM1279"/>
      <c r="KN1279"/>
      <c r="KO1279"/>
      <c r="KP1279"/>
      <c r="KQ1279"/>
      <c r="KR1279"/>
      <c r="KS1279"/>
      <c r="KT1279"/>
      <c r="KU1279"/>
      <c r="KV1279"/>
      <c r="KW1279"/>
      <c r="KX1279"/>
      <c r="KY1279"/>
      <c r="KZ1279"/>
      <c r="LA1279"/>
      <c r="LB1279"/>
      <c r="LC1279"/>
      <c r="LD1279"/>
      <c r="LE1279"/>
      <c r="LF1279"/>
      <c r="LG1279"/>
      <c r="LH1279"/>
      <c r="LI1279"/>
      <c r="LJ1279"/>
      <c r="LK1279"/>
      <c r="LL1279"/>
      <c r="LM1279"/>
      <c r="LN1279"/>
      <c r="LO1279"/>
      <c r="LP1279"/>
      <c r="LQ1279"/>
      <c r="LR1279"/>
      <c r="LS1279"/>
      <c r="LT1279"/>
      <c r="LU1279"/>
      <c r="LV1279"/>
      <c r="LW1279"/>
      <c r="LX1279"/>
      <c r="LY1279"/>
      <c r="LZ1279"/>
      <c r="MA1279"/>
      <c r="MB1279"/>
      <c r="MC1279"/>
      <c r="MD1279"/>
      <c r="ME1279"/>
      <c r="MF1279"/>
      <c r="MG1279"/>
      <c r="MH1279"/>
      <c r="MI1279"/>
      <c r="MJ1279"/>
      <c r="MK1279"/>
      <c r="ML1279"/>
      <c r="MM1279"/>
      <c r="MN1279"/>
      <c r="MO1279"/>
      <c r="MP1279"/>
      <c r="MQ1279"/>
      <c r="MR1279"/>
      <c r="MS1279"/>
      <c r="MT1279"/>
      <c r="MU1279"/>
      <c r="MV1279"/>
      <c r="MW1279"/>
      <c r="MX1279"/>
      <c r="MY1279"/>
      <c r="MZ1279"/>
      <c r="NA1279"/>
      <c r="NB1279"/>
      <c r="NC1279"/>
      <c r="ND1279"/>
      <c r="NE1279"/>
      <c r="NF1279"/>
      <c r="NG1279"/>
      <c r="NH1279"/>
      <c r="NI1279"/>
      <c r="NJ1279"/>
      <c r="NK1279"/>
      <c r="NL1279"/>
      <c r="NM1279"/>
      <c r="NN1279"/>
      <c r="NO1279"/>
      <c r="NP1279"/>
      <c r="NQ1279"/>
      <c r="NR1279"/>
      <c r="NS1279"/>
      <c r="NT1279"/>
      <c r="NU1279"/>
      <c r="NV1279"/>
      <c r="NW1279"/>
      <c r="NX1279"/>
      <c r="NY1279"/>
      <c r="NZ1279"/>
      <c r="OA1279"/>
      <c r="OB1279"/>
      <c r="OC1279"/>
      <c r="OD1279"/>
      <c r="OE1279"/>
      <c r="OF1279"/>
      <c r="OG1279"/>
      <c r="OH1279"/>
      <c r="OI1279"/>
      <c r="OJ1279"/>
      <c r="OK1279"/>
      <c r="OL1279"/>
      <c r="OM1279"/>
      <c r="ON1279"/>
      <c r="OO1279"/>
      <c r="OP1279"/>
      <c r="OQ1279"/>
      <c r="OR1279"/>
      <c r="OS1279"/>
      <c r="OT1279"/>
      <c r="OU1279"/>
      <c r="OV1279"/>
      <c r="OW1279"/>
      <c r="OX1279"/>
      <c r="OY1279"/>
      <c r="OZ1279"/>
      <c r="PA1279"/>
      <c r="PB1279"/>
      <c r="PC1279"/>
      <c r="PD1279"/>
      <c r="PE1279"/>
      <c r="PF1279"/>
      <c r="PG1279"/>
      <c r="PH1279"/>
      <c r="PI1279"/>
      <c r="PJ1279"/>
      <c r="PK1279"/>
      <c r="PL1279"/>
      <c r="PM1279"/>
      <c r="PN1279"/>
      <c r="PO1279"/>
      <c r="PP1279"/>
      <c r="PQ1279"/>
      <c r="PR1279"/>
      <c r="PS1279"/>
      <c r="PT1279"/>
      <c r="PU1279"/>
      <c r="PV1279"/>
      <c r="PW1279"/>
      <c r="PX1279"/>
      <c r="PY1279"/>
      <c r="PZ1279"/>
      <c r="QA1279"/>
      <c r="QB1279"/>
      <c r="QC1279"/>
      <c r="QD1279"/>
      <c r="QE1279"/>
      <c r="QF1279"/>
      <c r="QG1279"/>
      <c r="QH1279"/>
      <c r="QI1279"/>
      <c r="QJ1279"/>
      <c r="QK1279"/>
      <c r="QL1279"/>
      <c r="QM1279"/>
      <c r="QN1279"/>
      <c r="QO1279"/>
      <c r="QP1279"/>
      <c r="QQ1279"/>
      <c r="QR1279"/>
      <c r="QS1279"/>
      <c r="QT1279"/>
      <c r="QU1279"/>
      <c r="QV1279"/>
      <c r="QW1279"/>
      <c r="QX1279"/>
      <c r="QY1279"/>
      <c r="QZ1279"/>
      <c r="RA1279"/>
      <c r="RB1279"/>
      <c r="RC1279"/>
      <c r="RD1279"/>
      <c r="RE1279"/>
      <c r="RF1279"/>
      <c r="RG1279"/>
      <c r="RH1279"/>
      <c r="RI1279"/>
      <c r="RJ1279"/>
      <c r="RK1279"/>
      <c r="RL1279"/>
      <c r="RM1279"/>
      <c r="RN1279"/>
      <c r="RO1279"/>
      <c r="RP1279"/>
      <c r="RQ1279"/>
      <c r="RR1279"/>
      <c r="RS1279"/>
      <c r="RT1279"/>
      <c r="RU1279"/>
      <c r="RV1279"/>
      <c r="RW1279"/>
      <c r="RX1279"/>
      <c r="RY1279"/>
      <c r="RZ1279"/>
      <c r="SA1279"/>
      <c r="SB1279"/>
      <c r="SC1279"/>
      <c r="SD1279"/>
      <c r="SE1279"/>
      <c r="SF1279"/>
      <c r="SG1279"/>
      <c r="SH1279"/>
      <c r="SI1279"/>
      <c r="SJ1279"/>
      <c r="SK1279"/>
      <c r="SL1279"/>
      <c r="SM1279"/>
      <c r="SN1279"/>
      <c r="SO1279"/>
      <c r="SP1279"/>
      <c r="SQ1279"/>
      <c r="SR1279"/>
      <c r="SS1279"/>
      <c r="ST1279"/>
      <c r="SU1279"/>
      <c r="SV1279"/>
      <c r="SW1279"/>
      <c r="SX1279"/>
      <c r="SY1279"/>
      <c r="SZ1279"/>
      <c r="TA1279"/>
      <c r="TB1279"/>
      <c r="TC1279"/>
      <c r="TD1279"/>
      <c r="TE1279"/>
      <c r="TF1279"/>
      <c r="TG1279"/>
      <c r="TH1279"/>
      <c r="TI1279"/>
      <c r="TJ1279"/>
      <c r="TK1279"/>
      <c r="TL1279"/>
      <c r="TM1279"/>
      <c r="TN1279"/>
      <c r="TO1279"/>
      <c r="TP1279"/>
      <c r="TQ1279"/>
      <c r="TR1279"/>
      <c r="TS1279"/>
      <c r="TT1279"/>
      <c r="TU1279"/>
      <c r="TV1279"/>
      <c r="TW1279"/>
      <c r="TX1279"/>
      <c r="TY1279"/>
      <c r="TZ1279"/>
      <c r="UA1279"/>
      <c r="UB1279"/>
      <c r="UC1279"/>
      <c r="UD1279"/>
      <c r="UE1279"/>
      <c r="UF1279"/>
      <c r="UG1279"/>
      <c r="UH1279"/>
      <c r="UI1279"/>
      <c r="UJ1279"/>
      <c r="UK1279"/>
      <c r="UL1279"/>
      <c r="UM1279"/>
      <c r="UN1279"/>
      <c r="UO1279"/>
      <c r="UP1279"/>
      <c r="UQ1279"/>
      <c r="UR1279"/>
      <c r="US1279"/>
      <c r="UT1279"/>
      <c r="UU1279"/>
      <c r="UV1279"/>
      <c r="UW1279"/>
      <c r="UX1279"/>
      <c r="UY1279"/>
      <c r="UZ1279"/>
      <c r="VA1279"/>
      <c r="VB1279"/>
      <c r="VC1279"/>
      <c r="VD1279"/>
      <c r="VE1279"/>
      <c r="VF1279"/>
      <c r="VG1279"/>
      <c r="VH1279"/>
      <c r="VI1279"/>
      <c r="VJ1279"/>
      <c r="VK1279"/>
      <c r="VL1279"/>
      <c r="VM1279"/>
      <c r="VN1279"/>
      <c r="VO1279"/>
      <c r="VP1279"/>
      <c r="VQ1279"/>
      <c r="VR1279"/>
      <c r="VS1279"/>
      <c r="VT1279"/>
      <c r="VU1279"/>
      <c r="VV1279"/>
      <c r="VW1279"/>
      <c r="VX1279"/>
      <c r="VY1279"/>
      <c r="VZ1279"/>
      <c r="WA1279"/>
      <c r="WB1279"/>
      <c r="WC1279"/>
      <c r="WD1279"/>
      <c r="WE1279"/>
      <c r="WF1279"/>
      <c r="WG1279"/>
      <c r="WH1279"/>
      <c r="WI1279"/>
      <c r="WJ1279"/>
      <c r="WK1279"/>
      <c r="WL1279"/>
      <c r="WM1279"/>
      <c r="WN1279"/>
      <c r="WO1279"/>
      <c r="WP1279"/>
      <c r="WQ1279"/>
      <c r="WR1279"/>
      <c r="WS1279"/>
      <c r="WT1279"/>
      <c r="WU1279"/>
      <c r="WV1279"/>
      <c r="WW1279"/>
      <c r="WX1279"/>
      <c r="WY1279"/>
      <c r="WZ1279"/>
      <c r="XA1279"/>
      <c r="XB1279"/>
      <c r="XC1279"/>
      <c r="XD1279"/>
      <c r="XE1279"/>
      <c r="XF1279"/>
      <c r="XG1279"/>
      <c r="XH1279"/>
      <c r="XI1279"/>
      <c r="XJ1279"/>
      <c r="XK1279"/>
      <c r="XL1279"/>
      <c r="XM1279"/>
      <c r="XN1279"/>
      <c r="XO1279"/>
      <c r="XP1279"/>
      <c r="XQ1279"/>
      <c r="XR1279"/>
      <c r="XS1279"/>
      <c r="XT1279"/>
      <c r="XU1279"/>
      <c r="XV1279"/>
      <c r="XW1279"/>
      <c r="XX1279"/>
      <c r="XY1279"/>
      <c r="XZ1279"/>
      <c r="YA1279"/>
      <c r="YB1279"/>
      <c r="YC1279"/>
      <c r="YD1279"/>
      <c r="YE1279"/>
      <c r="YF1279"/>
      <c r="YG1279"/>
      <c r="YH1279"/>
      <c r="YI1279"/>
      <c r="YJ1279"/>
      <c r="YK1279"/>
      <c r="YL1279"/>
      <c r="YM1279"/>
      <c r="YN1279"/>
      <c r="YO1279"/>
      <c r="YP1279"/>
      <c r="YQ1279"/>
      <c r="YR1279"/>
      <c r="YS1279"/>
      <c r="YT1279"/>
      <c r="YU1279"/>
      <c r="YV1279"/>
      <c r="YW1279"/>
      <c r="YX1279"/>
      <c r="YY1279"/>
      <c r="YZ1279"/>
      <c r="ZA1279"/>
      <c r="ZB1279"/>
      <c r="ZC1279"/>
      <c r="ZD1279"/>
      <c r="ZE1279"/>
      <c r="ZF1279"/>
      <c r="ZG1279"/>
      <c r="ZH1279"/>
      <c r="ZI1279"/>
      <c r="ZJ1279"/>
      <c r="ZK1279"/>
      <c r="ZL1279"/>
      <c r="ZM1279"/>
      <c r="ZN1279"/>
      <c r="ZO1279"/>
      <c r="ZP1279"/>
      <c r="ZQ1279"/>
      <c r="ZR1279"/>
      <c r="ZS1279"/>
      <c r="ZT1279"/>
      <c r="ZU1279"/>
      <c r="ZV1279"/>
      <c r="ZW1279"/>
      <c r="ZX1279"/>
      <c r="ZY1279"/>
      <c r="ZZ1279"/>
      <c r="AAA1279"/>
      <c r="AAB1279"/>
      <c r="AAC1279"/>
      <c r="AAD1279"/>
      <c r="AAE1279"/>
      <c r="AAF1279"/>
      <c r="AAG1279"/>
      <c r="AAH1279"/>
      <c r="AAI1279"/>
      <c r="AAJ1279"/>
      <c r="AAK1279"/>
      <c r="AAL1279"/>
      <c r="AAM1279"/>
      <c r="AAN1279"/>
      <c r="AAO1279"/>
      <c r="AAP1279"/>
      <c r="AAQ1279"/>
      <c r="AAR1279"/>
      <c r="AAS1279"/>
      <c r="AAT1279"/>
      <c r="AAU1279"/>
      <c r="AAV1279"/>
      <c r="AAW1279"/>
      <c r="AAX1279"/>
      <c r="AAY1279"/>
      <c r="AAZ1279"/>
      <c r="ABA1279"/>
      <c r="ABB1279"/>
      <c r="ABC1279"/>
      <c r="ABD1279"/>
      <c r="ABE1279"/>
      <c r="ABF1279"/>
      <c r="ABG1279"/>
      <c r="ABH1279"/>
      <c r="ABI1279"/>
      <c r="ABJ1279"/>
      <c r="ABK1279"/>
      <c r="ABL1279"/>
      <c r="ABM1279"/>
      <c r="ABN1279"/>
      <c r="ABO1279"/>
      <c r="ABP1279"/>
      <c r="ABQ1279"/>
      <c r="ABR1279"/>
      <c r="ABS1279"/>
      <c r="ABT1279"/>
      <c r="ABU1279"/>
      <c r="ABV1279"/>
      <c r="ABW1279"/>
      <c r="ABX1279"/>
      <c r="ABY1279"/>
      <c r="ABZ1279"/>
      <c r="ACA1279"/>
      <c r="ACB1279"/>
      <c r="ACC1279"/>
      <c r="ACD1279"/>
      <c r="ACE1279"/>
      <c r="ACF1279"/>
      <c r="ACG1279"/>
      <c r="ACH1279"/>
      <c r="ACI1279"/>
      <c r="ACJ1279"/>
      <c r="ACK1279"/>
      <c r="ACL1279"/>
      <c r="ACM1279"/>
      <c r="ACN1279"/>
      <c r="ACO1279"/>
      <c r="ACP1279"/>
      <c r="ACQ1279"/>
      <c r="ACR1279"/>
      <c r="ACS1279"/>
      <c r="ACT1279"/>
      <c r="ACU1279"/>
      <c r="ACV1279"/>
      <c r="ACW1279"/>
      <c r="ACX1279"/>
      <c r="ACY1279"/>
      <c r="ACZ1279"/>
      <c r="ADA1279"/>
      <c r="ADB1279"/>
      <c r="ADC1279"/>
      <c r="ADD1279"/>
      <c r="ADE1279"/>
      <c r="ADF1279"/>
      <c r="ADG1279"/>
      <c r="ADH1279"/>
      <c r="ADI1279"/>
      <c r="ADJ1279"/>
      <c r="ADK1279"/>
      <c r="ADL1279"/>
      <c r="ADM1279"/>
      <c r="ADN1279"/>
      <c r="ADO1279"/>
      <c r="ADP1279"/>
      <c r="ADQ1279"/>
      <c r="ADR1279"/>
      <c r="ADS1279"/>
      <c r="ADT1279"/>
      <c r="ADU1279"/>
      <c r="ADV1279"/>
      <c r="ADW1279"/>
      <c r="ADX1279"/>
      <c r="ADY1279"/>
      <c r="ADZ1279"/>
      <c r="AEA1279"/>
      <c r="AEB1279"/>
      <c r="AEC1279"/>
      <c r="AED1279"/>
      <c r="AEE1279"/>
      <c r="AEF1279"/>
      <c r="AEG1279"/>
      <c r="AEH1279"/>
      <c r="AEI1279"/>
      <c r="AEJ1279"/>
      <c r="AEK1279"/>
      <c r="AEL1279"/>
      <c r="AEM1279"/>
      <c r="AEN1279"/>
      <c r="AEO1279"/>
      <c r="AEP1279"/>
      <c r="AEQ1279"/>
      <c r="AER1279"/>
      <c r="AES1279"/>
      <c r="AET1279"/>
      <c r="AEU1279"/>
      <c r="AEV1279"/>
      <c r="AEW1279"/>
      <c r="AEX1279"/>
      <c r="AEY1279"/>
      <c r="AEZ1279"/>
      <c r="AFA1279"/>
      <c r="AFB1279"/>
      <c r="AFC1279"/>
      <c r="AFD1279"/>
      <c r="AFE1279"/>
      <c r="AFF1279"/>
      <c r="AFG1279"/>
      <c r="AFH1279"/>
      <c r="AFI1279"/>
      <c r="AFJ1279"/>
      <c r="AFK1279"/>
      <c r="AFL1279"/>
      <c r="AFM1279"/>
      <c r="AFN1279"/>
      <c r="AFO1279"/>
      <c r="AFP1279"/>
      <c r="AFQ1279"/>
      <c r="AFR1279"/>
      <c r="AFS1279"/>
      <c r="AFT1279"/>
      <c r="AFU1279"/>
      <c r="AFV1279"/>
      <c r="AFW1279"/>
      <c r="AFX1279"/>
      <c r="AFY1279"/>
      <c r="AFZ1279"/>
      <c r="AGA1279"/>
      <c r="AGB1279"/>
      <c r="AGC1279"/>
      <c r="AGD1279"/>
      <c r="AGE1279"/>
      <c r="AGF1279"/>
      <c r="AGG1279"/>
      <c r="AGH1279"/>
      <c r="AGI1279"/>
      <c r="AGJ1279"/>
      <c r="AGK1279"/>
      <c r="AGL1279"/>
      <c r="AGM1279"/>
      <c r="AGN1279"/>
      <c r="AGO1279"/>
      <c r="AGP1279"/>
      <c r="AGQ1279"/>
      <c r="AGR1279"/>
      <c r="AGS1279"/>
      <c r="AGT1279"/>
      <c r="AGU1279"/>
      <c r="AGV1279"/>
      <c r="AGW1279"/>
      <c r="AGX1279"/>
      <c r="AGY1279"/>
      <c r="AGZ1279"/>
      <c r="AHA1279"/>
      <c r="AHB1279"/>
      <c r="AHC1279"/>
      <c r="AHD1279"/>
      <c r="AHE1279"/>
      <c r="AHF1279"/>
      <c r="AHG1279"/>
      <c r="AHH1279"/>
      <c r="AHI1279"/>
      <c r="AHJ1279"/>
      <c r="AHK1279"/>
      <c r="AHL1279"/>
      <c r="AHM1279"/>
      <c r="AHN1279"/>
      <c r="AHO1279"/>
      <c r="AHP1279"/>
      <c r="AHQ1279"/>
      <c r="AHR1279"/>
      <c r="AHS1279"/>
      <c r="AHT1279"/>
      <c r="AHU1279"/>
      <c r="AHV1279"/>
      <c r="AHW1279"/>
      <c r="AHX1279"/>
      <c r="AHY1279"/>
      <c r="AHZ1279"/>
      <c r="AIA1279"/>
      <c r="AIB1279"/>
      <c r="AIC1279"/>
      <c r="AID1279"/>
      <c r="AIE1279"/>
      <c r="AIF1279"/>
      <c r="AIG1279"/>
      <c r="AIH1279"/>
      <c r="AII1279"/>
      <c r="AIJ1279"/>
      <c r="AIK1279"/>
      <c r="AIL1279"/>
      <c r="AIM1279"/>
      <c r="AIN1279"/>
      <c r="AIO1279"/>
      <c r="AIP1279"/>
      <c r="AIQ1279"/>
      <c r="AIR1279"/>
      <c r="AIS1279"/>
      <c r="AIT1279"/>
      <c r="AIU1279"/>
      <c r="AIV1279"/>
      <c r="AIW1279"/>
      <c r="AIX1279"/>
      <c r="AIY1279"/>
      <c r="AIZ1279"/>
      <c r="AJA1279"/>
      <c r="AJB1279"/>
      <c r="AJC1279"/>
      <c r="AJD1279"/>
      <c r="AJE1279"/>
      <c r="AJF1279"/>
      <c r="AJG1279"/>
      <c r="AJH1279"/>
      <c r="AJI1279"/>
      <c r="AJJ1279"/>
      <c r="AJK1279"/>
      <c r="AJL1279"/>
      <c r="AJM1279"/>
      <c r="AJN1279"/>
      <c r="AJO1279"/>
      <c r="AJP1279"/>
      <c r="AJQ1279"/>
      <c r="AJR1279"/>
      <c r="AJS1279"/>
      <c r="AJT1279"/>
      <c r="AJU1279"/>
      <c r="AJV1279"/>
      <c r="AJW1279"/>
      <c r="AJX1279"/>
      <c r="AJY1279"/>
      <c r="AJZ1279"/>
      <c r="AKA1279"/>
      <c r="AKB1279"/>
      <c r="AKC1279"/>
      <c r="AKD1279"/>
      <c r="AKE1279"/>
      <c r="AKF1279"/>
      <c r="AKG1279"/>
      <c r="AKH1279"/>
      <c r="AKI1279"/>
      <c r="AKJ1279"/>
      <c r="AKK1279"/>
      <c r="AKL1279"/>
      <c r="AKM1279"/>
      <c r="AKN1279"/>
      <c r="AKO1279"/>
      <c r="AKP1279"/>
      <c r="AKQ1279"/>
      <c r="AKR1279"/>
      <c r="AKS1279"/>
      <c r="AKT1279"/>
      <c r="AKU1279"/>
      <c r="AKV1279"/>
      <c r="AKW1279"/>
      <c r="AKX1279"/>
      <c r="AKY1279"/>
      <c r="AKZ1279"/>
      <c r="ALA1279"/>
      <c r="ALB1279"/>
      <c r="ALC1279"/>
      <c r="ALD1279"/>
      <c r="ALE1279"/>
      <c r="ALF1279"/>
      <c r="ALG1279"/>
      <c r="ALH1279"/>
      <c r="ALI1279"/>
      <c r="ALJ1279"/>
      <c r="ALK1279"/>
      <c r="ALL1279"/>
      <c r="ALM1279"/>
      <c r="ALN1279"/>
      <c r="ALO1279"/>
      <c r="ALP1279"/>
      <c r="ALQ1279"/>
      <c r="ALR1279"/>
      <c r="ALS1279"/>
      <c r="ALT1279"/>
    </row>
    <row r="1280" spans="1:1008" x14ac:dyDescent="0.15">
      <c r="A1280" t="s">
        <v>4087</v>
      </c>
      <c r="B1280" s="8" t="s">
        <v>4078</v>
      </c>
      <c r="C1280" t="s">
        <v>4087</v>
      </c>
      <c r="D1280" s="8" t="s">
        <v>15</v>
      </c>
      <c r="E1280" t="s">
        <v>4088</v>
      </c>
      <c r="F1280" s="8" t="s">
        <v>4089</v>
      </c>
      <c r="G1280"/>
      <c r="H1280"/>
      <c r="I1280"/>
      <c r="J1280"/>
      <c r="K1280"/>
      <c r="L1280"/>
      <c r="M1280"/>
      <c r="N1280"/>
      <c r="O1280"/>
      <c r="P1280"/>
      <c r="Q1280"/>
      <c r="R1280"/>
      <c r="S1280"/>
      <c r="T1280"/>
      <c r="U1280"/>
      <c r="V1280"/>
      <c r="W1280"/>
      <c r="X1280"/>
      <c r="Y1280"/>
      <c r="Z1280"/>
      <c r="AA1280"/>
      <c r="AB1280"/>
      <c r="AC1280"/>
      <c r="AD1280"/>
      <c r="AE1280"/>
      <c r="AF1280"/>
      <c r="AG1280"/>
      <c r="AH1280"/>
      <c r="AI1280"/>
      <c r="AJ1280"/>
      <c r="AK1280"/>
      <c r="AL1280"/>
      <c r="AM1280"/>
      <c r="AN1280"/>
      <c r="AO1280"/>
      <c r="AP1280"/>
      <c r="AQ1280"/>
      <c r="AR1280"/>
      <c r="AS1280"/>
      <c r="AT1280"/>
      <c r="AU1280"/>
      <c r="AV1280"/>
      <c r="AW1280"/>
      <c r="AX1280"/>
      <c r="AY1280"/>
      <c r="AZ1280"/>
      <c r="BA1280"/>
      <c r="BB1280"/>
      <c r="BC1280"/>
      <c r="BD1280"/>
      <c r="BE1280"/>
      <c r="BF1280"/>
      <c r="BG1280"/>
      <c r="BH1280"/>
      <c r="BI1280"/>
      <c r="BJ1280"/>
      <c r="BK1280"/>
      <c r="BL1280"/>
      <c r="BM1280"/>
      <c r="BN1280"/>
      <c r="BO1280"/>
      <c r="BP1280"/>
      <c r="BQ1280"/>
      <c r="BR1280"/>
      <c r="BS1280"/>
      <c r="BT1280"/>
      <c r="BU1280"/>
      <c r="BV1280"/>
      <c r="BW1280"/>
      <c r="BX1280"/>
      <c r="BY1280"/>
      <c r="BZ1280"/>
      <c r="CA1280"/>
      <c r="CB1280"/>
      <c r="CC1280"/>
      <c r="CD1280"/>
      <c r="CE1280"/>
      <c r="CF1280"/>
      <c r="CG1280"/>
      <c r="CH1280"/>
      <c r="CI1280"/>
      <c r="CJ1280"/>
      <c r="CK1280"/>
      <c r="CL1280"/>
      <c r="CM1280"/>
      <c r="CN1280"/>
      <c r="CO1280"/>
      <c r="CP1280"/>
      <c r="CQ1280"/>
      <c r="CR1280"/>
      <c r="CS1280"/>
      <c r="CT1280"/>
      <c r="CU1280"/>
      <c r="CV1280"/>
      <c r="CW1280"/>
      <c r="CX1280"/>
      <c r="CY1280"/>
      <c r="CZ1280"/>
      <c r="DA1280"/>
      <c r="DB1280"/>
      <c r="DC1280"/>
      <c r="DD1280"/>
      <c r="DE1280"/>
      <c r="DF1280"/>
      <c r="DG1280"/>
      <c r="DH1280"/>
      <c r="DI1280"/>
      <c r="DJ1280"/>
      <c r="DK1280"/>
      <c r="DL1280"/>
      <c r="DM1280"/>
      <c r="DN1280"/>
      <c r="DO1280"/>
      <c r="DP1280"/>
      <c r="DQ1280"/>
      <c r="DR1280"/>
      <c r="DS1280"/>
      <c r="DT1280"/>
      <c r="DU1280"/>
      <c r="DV1280"/>
      <c r="DW1280"/>
      <c r="DX1280"/>
      <c r="DY1280"/>
      <c r="DZ1280"/>
      <c r="EA1280"/>
      <c r="EB1280"/>
      <c r="EC1280"/>
      <c r="ED1280"/>
      <c r="EE1280"/>
      <c r="EF1280"/>
      <c r="EG1280"/>
      <c r="EH1280"/>
      <c r="EI1280"/>
      <c r="EJ1280"/>
      <c r="EK1280"/>
      <c r="EL1280"/>
      <c r="EM1280"/>
      <c r="EN1280"/>
      <c r="EO1280"/>
      <c r="EP1280"/>
      <c r="EQ1280"/>
      <c r="ER1280"/>
      <c r="ES1280"/>
      <c r="ET1280"/>
      <c r="EU1280"/>
      <c r="EV1280"/>
      <c r="EW1280"/>
      <c r="EX1280"/>
      <c r="EY1280"/>
      <c r="EZ1280"/>
      <c r="FA1280"/>
      <c r="FB1280"/>
      <c r="FC1280"/>
      <c r="FD1280"/>
      <c r="FE1280"/>
      <c r="FF1280"/>
      <c r="FG1280"/>
      <c r="FH1280"/>
      <c r="FI1280"/>
      <c r="FJ1280"/>
      <c r="FK1280"/>
      <c r="FL1280"/>
      <c r="FM1280"/>
      <c r="FN1280"/>
      <c r="FO1280"/>
      <c r="FP1280"/>
      <c r="FQ1280"/>
      <c r="FR1280"/>
      <c r="FS1280"/>
      <c r="FT1280"/>
      <c r="FU1280"/>
      <c r="FV1280"/>
      <c r="FW1280"/>
      <c r="FX1280"/>
      <c r="FY1280"/>
      <c r="FZ1280"/>
      <c r="GA1280"/>
      <c r="GB1280"/>
      <c r="GC1280"/>
      <c r="GD1280"/>
      <c r="GE1280"/>
      <c r="GF1280"/>
      <c r="GG1280"/>
      <c r="GH1280"/>
      <c r="GI1280"/>
      <c r="GJ1280"/>
      <c r="GK1280"/>
      <c r="GL1280"/>
      <c r="GM1280"/>
      <c r="GN1280"/>
      <c r="GO1280"/>
      <c r="GP1280"/>
      <c r="GQ1280"/>
      <c r="GR1280"/>
      <c r="GS1280"/>
      <c r="GT1280"/>
      <c r="GU1280"/>
      <c r="GV1280"/>
      <c r="GW1280"/>
      <c r="GX1280"/>
      <c r="GY1280"/>
      <c r="GZ1280"/>
      <c r="HA1280"/>
      <c r="HB1280"/>
      <c r="HC1280"/>
      <c r="HD1280"/>
      <c r="HE1280"/>
      <c r="HF1280"/>
      <c r="HG1280"/>
      <c r="HH1280"/>
      <c r="HI1280"/>
      <c r="HJ1280"/>
      <c r="HK1280"/>
      <c r="HL1280"/>
      <c r="HM1280"/>
      <c r="HN1280"/>
      <c r="HO1280"/>
      <c r="HP1280"/>
      <c r="HQ1280"/>
      <c r="HR1280"/>
      <c r="HS1280"/>
      <c r="HT1280"/>
      <c r="HU1280"/>
      <c r="HV1280"/>
      <c r="HW1280"/>
      <c r="HX1280"/>
      <c r="HY1280"/>
      <c r="HZ1280"/>
      <c r="IA1280"/>
      <c r="IB1280"/>
      <c r="IC1280"/>
      <c r="ID1280"/>
      <c r="IE1280"/>
      <c r="IF1280"/>
      <c r="IG1280"/>
      <c r="IH1280"/>
      <c r="II1280"/>
      <c r="IJ1280"/>
      <c r="IK1280"/>
      <c r="IL1280"/>
      <c r="IM1280"/>
      <c r="IN1280"/>
      <c r="IO1280"/>
      <c r="IP1280"/>
      <c r="IQ1280"/>
      <c r="IR1280"/>
      <c r="IS1280"/>
      <c r="IT1280"/>
      <c r="IU1280"/>
      <c r="IV1280"/>
      <c r="IW1280"/>
      <c r="IX1280"/>
      <c r="IY1280"/>
      <c r="IZ1280"/>
      <c r="JA1280"/>
      <c r="JB1280"/>
      <c r="JC1280"/>
      <c r="JD1280"/>
      <c r="JE1280"/>
      <c r="JF1280"/>
      <c r="JG1280"/>
      <c r="JH1280"/>
      <c r="JI1280"/>
      <c r="JJ1280"/>
      <c r="JK1280"/>
      <c r="JL1280"/>
      <c r="JM1280"/>
      <c r="JN1280"/>
      <c r="JO1280"/>
      <c r="JP1280"/>
      <c r="JQ1280"/>
      <c r="JR1280"/>
      <c r="JS1280"/>
      <c r="JT1280"/>
      <c r="JU1280"/>
      <c r="JV1280"/>
      <c r="JW1280"/>
      <c r="JX1280"/>
      <c r="JY1280"/>
      <c r="JZ1280"/>
      <c r="KA1280"/>
      <c r="KB1280"/>
      <c r="KC1280"/>
      <c r="KD1280"/>
      <c r="KE1280"/>
      <c r="KF1280"/>
      <c r="KG1280"/>
      <c r="KH1280"/>
      <c r="KI1280"/>
      <c r="KJ1280"/>
      <c r="KK1280"/>
      <c r="KL1280"/>
      <c r="KM1280"/>
      <c r="KN1280"/>
      <c r="KO1280"/>
      <c r="KP1280"/>
      <c r="KQ1280"/>
      <c r="KR1280"/>
      <c r="KS1280"/>
      <c r="KT1280"/>
      <c r="KU1280"/>
      <c r="KV1280"/>
      <c r="KW1280"/>
      <c r="KX1280"/>
      <c r="KY1280"/>
      <c r="KZ1280"/>
      <c r="LA1280"/>
      <c r="LB1280"/>
      <c r="LC1280"/>
      <c r="LD1280"/>
      <c r="LE1280"/>
      <c r="LF1280"/>
      <c r="LG1280"/>
      <c r="LH1280"/>
      <c r="LI1280"/>
      <c r="LJ1280"/>
      <c r="LK1280"/>
      <c r="LL1280"/>
      <c r="LM1280"/>
      <c r="LN1280"/>
      <c r="LO1280"/>
      <c r="LP1280"/>
      <c r="LQ1280"/>
      <c r="LR1280"/>
      <c r="LS1280"/>
      <c r="LT1280"/>
      <c r="LU1280"/>
      <c r="LV1280"/>
      <c r="LW1280"/>
      <c r="LX1280"/>
      <c r="LY1280"/>
      <c r="LZ1280"/>
      <c r="MA1280"/>
      <c r="MB1280"/>
      <c r="MC1280"/>
      <c r="MD1280"/>
      <c r="ME1280"/>
      <c r="MF1280"/>
      <c r="MG1280"/>
      <c r="MH1280"/>
      <c r="MI1280"/>
      <c r="MJ1280"/>
      <c r="MK1280"/>
      <c r="ML1280"/>
      <c r="MM1280"/>
      <c r="MN1280"/>
      <c r="MO1280"/>
      <c r="MP1280"/>
      <c r="MQ1280"/>
      <c r="MR1280"/>
      <c r="MS1280"/>
      <c r="MT1280"/>
      <c r="MU1280"/>
      <c r="MV1280"/>
      <c r="MW1280"/>
      <c r="MX1280"/>
      <c r="MY1280"/>
      <c r="MZ1280"/>
      <c r="NA1280"/>
      <c r="NB1280"/>
      <c r="NC1280"/>
      <c r="ND1280"/>
      <c r="NE1280"/>
      <c r="NF1280"/>
      <c r="NG1280"/>
      <c r="NH1280"/>
      <c r="NI1280"/>
      <c r="NJ1280"/>
      <c r="NK1280"/>
      <c r="NL1280"/>
      <c r="NM1280"/>
      <c r="NN1280"/>
      <c r="NO1280"/>
      <c r="NP1280"/>
      <c r="NQ1280"/>
      <c r="NR1280"/>
      <c r="NS1280"/>
      <c r="NT1280"/>
      <c r="NU1280"/>
      <c r="NV1280"/>
      <c r="NW1280"/>
      <c r="NX1280"/>
      <c r="NY1280"/>
      <c r="NZ1280"/>
      <c r="OA1280"/>
      <c r="OB1280"/>
      <c r="OC1280"/>
      <c r="OD1280"/>
      <c r="OE1280"/>
      <c r="OF1280"/>
      <c r="OG1280"/>
      <c r="OH1280"/>
      <c r="OI1280"/>
      <c r="OJ1280"/>
      <c r="OK1280"/>
      <c r="OL1280"/>
      <c r="OM1280"/>
      <c r="ON1280"/>
      <c r="OO1280"/>
      <c r="OP1280"/>
      <c r="OQ1280"/>
      <c r="OR1280"/>
      <c r="OS1280"/>
      <c r="OT1280"/>
      <c r="OU1280"/>
      <c r="OV1280"/>
      <c r="OW1280"/>
      <c r="OX1280"/>
      <c r="OY1280"/>
      <c r="OZ1280"/>
      <c r="PA1280"/>
      <c r="PB1280"/>
      <c r="PC1280"/>
      <c r="PD1280"/>
      <c r="PE1280"/>
      <c r="PF1280"/>
      <c r="PG1280"/>
      <c r="PH1280"/>
      <c r="PI1280"/>
      <c r="PJ1280"/>
      <c r="PK1280"/>
      <c r="PL1280"/>
      <c r="PM1280"/>
      <c r="PN1280"/>
      <c r="PO1280"/>
      <c r="PP1280"/>
      <c r="PQ1280"/>
      <c r="PR1280"/>
      <c r="PS1280"/>
      <c r="PT1280"/>
      <c r="PU1280"/>
      <c r="PV1280"/>
      <c r="PW1280"/>
      <c r="PX1280"/>
      <c r="PY1280"/>
      <c r="PZ1280"/>
      <c r="QA1280"/>
      <c r="QB1280"/>
      <c r="QC1280"/>
      <c r="QD1280"/>
      <c r="QE1280"/>
      <c r="QF1280"/>
      <c r="QG1280"/>
      <c r="QH1280"/>
      <c r="QI1280"/>
      <c r="QJ1280"/>
      <c r="QK1280"/>
      <c r="QL1280"/>
      <c r="QM1280"/>
      <c r="QN1280"/>
      <c r="QO1280"/>
      <c r="QP1280"/>
      <c r="QQ1280"/>
      <c r="QR1280"/>
      <c r="QS1280"/>
      <c r="QT1280"/>
      <c r="QU1280"/>
      <c r="QV1280"/>
      <c r="QW1280"/>
      <c r="QX1280"/>
      <c r="QY1280"/>
      <c r="QZ1280"/>
      <c r="RA1280"/>
      <c r="RB1280"/>
      <c r="RC1280"/>
      <c r="RD1280"/>
      <c r="RE1280"/>
      <c r="RF1280"/>
      <c r="RG1280"/>
      <c r="RH1280"/>
      <c r="RI1280"/>
      <c r="RJ1280"/>
      <c r="RK1280"/>
      <c r="RL1280"/>
      <c r="RM1280"/>
      <c r="RN1280"/>
      <c r="RO1280"/>
      <c r="RP1280"/>
      <c r="RQ1280"/>
      <c r="RR1280"/>
      <c r="RS1280"/>
      <c r="RT1280"/>
      <c r="RU1280"/>
      <c r="RV1280"/>
      <c r="RW1280"/>
      <c r="RX1280"/>
      <c r="RY1280"/>
      <c r="RZ1280"/>
      <c r="SA1280"/>
      <c r="SB1280"/>
      <c r="SC1280"/>
      <c r="SD1280"/>
      <c r="SE1280"/>
      <c r="SF1280"/>
      <c r="SG1280"/>
      <c r="SH1280"/>
      <c r="SI1280"/>
      <c r="SJ1280"/>
      <c r="SK1280"/>
      <c r="SL1280"/>
      <c r="SM1280"/>
      <c r="SN1280"/>
      <c r="SO1280"/>
      <c r="SP1280"/>
      <c r="SQ1280"/>
      <c r="SR1280"/>
      <c r="SS1280"/>
      <c r="ST1280"/>
      <c r="SU1280"/>
      <c r="SV1280"/>
      <c r="SW1280"/>
      <c r="SX1280"/>
      <c r="SY1280"/>
      <c r="SZ1280"/>
      <c r="TA1280"/>
      <c r="TB1280"/>
      <c r="TC1280"/>
      <c r="TD1280"/>
      <c r="TE1280"/>
      <c r="TF1280"/>
      <c r="TG1280"/>
      <c r="TH1280"/>
      <c r="TI1280"/>
      <c r="TJ1280"/>
      <c r="TK1280"/>
      <c r="TL1280"/>
      <c r="TM1280"/>
      <c r="TN1280"/>
      <c r="TO1280"/>
      <c r="TP1280"/>
      <c r="TQ1280"/>
      <c r="TR1280"/>
      <c r="TS1280"/>
      <c r="TT1280"/>
      <c r="TU1280"/>
      <c r="TV1280"/>
      <c r="TW1280"/>
      <c r="TX1280"/>
      <c r="TY1280"/>
      <c r="TZ1280"/>
      <c r="UA1280"/>
      <c r="UB1280"/>
      <c r="UC1280"/>
      <c r="UD1280"/>
      <c r="UE1280"/>
      <c r="UF1280"/>
      <c r="UG1280"/>
      <c r="UH1280"/>
      <c r="UI1280"/>
      <c r="UJ1280"/>
      <c r="UK1280"/>
      <c r="UL1280"/>
      <c r="UM1280"/>
      <c r="UN1280"/>
      <c r="UO1280"/>
      <c r="UP1280"/>
      <c r="UQ1280"/>
      <c r="UR1280"/>
      <c r="US1280"/>
      <c r="UT1280"/>
      <c r="UU1280"/>
      <c r="UV1280"/>
      <c r="UW1280"/>
      <c r="UX1280"/>
      <c r="UY1280"/>
      <c r="UZ1280"/>
      <c r="VA1280"/>
      <c r="VB1280"/>
      <c r="VC1280"/>
      <c r="VD1280"/>
      <c r="VE1280"/>
      <c r="VF1280"/>
      <c r="VG1280"/>
      <c r="VH1280"/>
      <c r="VI1280"/>
      <c r="VJ1280"/>
      <c r="VK1280"/>
      <c r="VL1280"/>
      <c r="VM1280"/>
      <c r="VN1280"/>
      <c r="VO1280"/>
      <c r="VP1280"/>
      <c r="VQ1280"/>
      <c r="VR1280"/>
      <c r="VS1280"/>
      <c r="VT1280"/>
      <c r="VU1280"/>
      <c r="VV1280"/>
      <c r="VW1280"/>
      <c r="VX1280"/>
      <c r="VY1280"/>
      <c r="VZ1280"/>
      <c r="WA1280"/>
      <c r="WB1280"/>
      <c r="WC1280"/>
      <c r="WD1280"/>
      <c r="WE1280"/>
      <c r="WF1280"/>
      <c r="WG1280"/>
      <c r="WH1280"/>
      <c r="WI1280"/>
      <c r="WJ1280"/>
      <c r="WK1280"/>
      <c r="WL1280"/>
      <c r="WM1280"/>
      <c r="WN1280"/>
      <c r="WO1280"/>
      <c r="WP1280"/>
      <c r="WQ1280"/>
      <c r="WR1280"/>
      <c r="WS1280"/>
      <c r="WT1280"/>
      <c r="WU1280"/>
      <c r="WV1280"/>
      <c r="WW1280"/>
      <c r="WX1280"/>
      <c r="WY1280"/>
      <c r="WZ1280"/>
      <c r="XA1280"/>
      <c r="XB1280"/>
      <c r="XC1280"/>
      <c r="XD1280"/>
      <c r="XE1280"/>
      <c r="XF1280"/>
      <c r="XG1280"/>
      <c r="XH1280"/>
      <c r="XI1280"/>
      <c r="XJ1280"/>
      <c r="XK1280"/>
      <c r="XL1280"/>
      <c r="XM1280"/>
      <c r="XN1280"/>
      <c r="XO1280"/>
      <c r="XP1280"/>
      <c r="XQ1280"/>
      <c r="XR1280"/>
      <c r="XS1280"/>
      <c r="XT1280"/>
      <c r="XU1280"/>
      <c r="XV1280"/>
      <c r="XW1280"/>
      <c r="XX1280"/>
      <c r="XY1280"/>
      <c r="XZ1280"/>
      <c r="YA1280"/>
      <c r="YB1280"/>
      <c r="YC1280"/>
      <c r="YD1280"/>
      <c r="YE1280"/>
      <c r="YF1280"/>
      <c r="YG1280"/>
      <c r="YH1280"/>
      <c r="YI1280"/>
      <c r="YJ1280"/>
      <c r="YK1280"/>
      <c r="YL1280"/>
      <c r="YM1280"/>
      <c r="YN1280"/>
      <c r="YO1280"/>
      <c r="YP1280"/>
      <c r="YQ1280"/>
      <c r="YR1280"/>
      <c r="YS1280"/>
      <c r="YT1280"/>
      <c r="YU1280"/>
      <c r="YV1280"/>
      <c r="YW1280"/>
      <c r="YX1280"/>
      <c r="YY1280"/>
      <c r="YZ1280"/>
      <c r="ZA1280"/>
      <c r="ZB1280"/>
      <c r="ZC1280"/>
      <c r="ZD1280"/>
      <c r="ZE1280"/>
      <c r="ZF1280"/>
      <c r="ZG1280"/>
      <c r="ZH1280"/>
      <c r="ZI1280"/>
      <c r="ZJ1280"/>
      <c r="ZK1280"/>
      <c r="ZL1280"/>
      <c r="ZM1280"/>
      <c r="ZN1280"/>
      <c r="ZO1280"/>
      <c r="ZP1280"/>
      <c r="ZQ1280"/>
      <c r="ZR1280"/>
      <c r="ZS1280"/>
      <c r="ZT1280"/>
      <c r="ZU1280"/>
      <c r="ZV1280"/>
      <c r="ZW1280"/>
      <c r="ZX1280"/>
      <c r="ZY1280"/>
      <c r="ZZ1280"/>
      <c r="AAA1280"/>
      <c r="AAB1280"/>
      <c r="AAC1280"/>
      <c r="AAD1280"/>
      <c r="AAE1280"/>
      <c r="AAF1280"/>
      <c r="AAG1280"/>
      <c r="AAH1280"/>
      <c r="AAI1280"/>
      <c r="AAJ1280"/>
      <c r="AAK1280"/>
      <c r="AAL1280"/>
      <c r="AAM1280"/>
      <c r="AAN1280"/>
      <c r="AAO1280"/>
      <c r="AAP1280"/>
      <c r="AAQ1280"/>
      <c r="AAR1280"/>
      <c r="AAS1280"/>
      <c r="AAT1280"/>
      <c r="AAU1280"/>
      <c r="AAV1280"/>
      <c r="AAW1280"/>
      <c r="AAX1280"/>
      <c r="AAY1280"/>
      <c r="AAZ1280"/>
      <c r="ABA1280"/>
      <c r="ABB1280"/>
      <c r="ABC1280"/>
      <c r="ABD1280"/>
      <c r="ABE1280"/>
      <c r="ABF1280"/>
      <c r="ABG1280"/>
      <c r="ABH1280"/>
      <c r="ABI1280"/>
      <c r="ABJ1280"/>
      <c r="ABK1280"/>
      <c r="ABL1280"/>
      <c r="ABM1280"/>
      <c r="ABN1280"/>
      <c r="ABO1280"/>
      <c r="ABP1280"/>
      <c r="ABQ1280"/>
      <c r="ABR1280"/>
      <c r="ABS1280"/>
      <c r="ABT1280"/>
      <c r="ABU1280"/>
      <c r="ABV1280"/>
      <c r="ABW1280"/>
      <c r="ABX1280"/>
      <c r="ABY1280"/>
      <c r="ABZ1280"/>
      <c r="ACA1280"/>
      <c r="ACB1280"/>
      <c r="ACC1280"/>
      <c r="ACD1280"/>
      <c r="ACE1280"/>
      <c r="ACF1280"/>
      <c r="ACG1280"/>
      <c r="ACH1280"/>
      <c r="ACI1280"/>
      <c r="ACJ1280"/>
      <c r="ACK1280"/>
      <c r="ACL1280"/>
      <c r="ACM1280"/>
      <c r="ACN1280"/>
      <c r="ACO1280"/>
      <c r="ACP1280"/>
      <c r="ACQ1280"/>
      <c r="ACR1280"/>
      <c r="ACS1280"/>
      <c r="ACT1280"/>
      <c r="ACU1280"/>
      <c r="ACV1280"/>
      <c r="ACW1280"/>
      <c r="ACX1280"/>
      <c r="ACY1280"/>
      <c r="ACZ1280"/>
      <c r="ADA1280"/>
      <c r="ADB1280"/>
      <c r="ADC1280"/>
      <c r="ADD1280"/>
      <c r="ADE1280"/>
      <c r="ADF1280"/>
      <c r="ADG1280"/>
      <c r="ADH1280"/>
      <c r="ADI1280"/>
      <c r="ADJ1280"/>
      <c r="ADK1280"/>
      <c r="ADL1280"/>
      <c r="ADM1280"/>
      <c r="ADN1280"/>
      <c r="ADO1280"/>
      <c r="ADP1280"/>
      <c r="ADQ1280"/>
      <c r="ADR1280"/>
      <c r="ADS1280"/>
      <c r="ADT1280"/>
      <c r="ADU1280"/>
      <c r="ADV1280"/>
      <c r="ADW1280"/>
      <c r="ADX1280"/>
      <c r="ADY1280"/>
      <c r="ADZ1280"/>
      <c r="AEA1280"/>
      <c r="AEB1280"/>
      <c r="AEC1280"/>
      <c r="AED1280"/>
      <c r="AEE1280"/>
      <c r="AEF1280"/>
      <c r="AEG1280"/>
      <c r="AEH1280"/>
      <c r="AEI1280"/>
      <c r="AEJ1280"/>
      <c r="AEK1280"/>
      <c r="AEL1280"/>
      <c r="AEM1280"/>
      <c r="AEN1280"/>
      <c r="AEO1280"/>
      <c r="AEP1280"/>
      <c r="AEQ1280"/>
      <c r="AER1280"/>
      <c r="AES1280"/>
      <c r="AET1280"/>
      <c r="AEU1280"/>
      <c r="AEV1280"/>
      <c r="AEW1280"/>
      <c r="AEX1280"/>
      <c r="AEY1280"/>
      <c r="AEZ1280"/>
      <c r="AFA1280"/>
      <c r="AFB1280"/>
      <c r="AFC1280"/>
      <c r="AFD1280"/>
      <c r="AFE1280"/>
      <c r="AFF1280"/>
      <c r="AFG1280"/>
      <c r="AFH1280"/>
      <c r="AFI1280"/>
      <c r="AFJ1280"/>
      <c r="AFK1280"/>
      <c r="AFL1280"/>
      <c r="AFM1280"/>
      <c r="AFN1280"/>
      <c r="AFO1280"/>
      <c r="AFP1280"/>
      <c r="AFQ1280"/>
      <c r="AFR1280"/>
      <c r="AFS1280"/>
      <c r="AFT1280"/>
      <c r="AFU1280"/>
      <c r="AFV1280"/>
      <c r="AFW1280"/>
      <c r="AFX1280"/>
      <c r="AFY1280"/>
      <c r="AFZ1280"/>
      <c r="AGA1280"/>
      <c r="AGB1280"/>
      <c r="AGC1280"/>
      <c r="AGD1280"/>
      <c r="AGE1280"/>
      <c r="AGF1280"/>
      <c r="AGG1280"/>
      <c r="AGH1280"/>
      <c r="AGI1280"/>
      <c r="AGJ1280"/>
      <c r="AGK1280"/>
      <c r="AGL1280"/>
      <c r="AGM1280"/>
      <c r="AGN1280"/>
      <c r="AGO1280"/>
      <c r="AGP1280"/>
      <c r="AGQ1280"/>
      <c r="AGR1280"/>
      <c r="AGS1280"/>
      <c r="AGT1280"/>
      <c r="AGU1280"/>
      <c r="AGV1280"/>
      <c r="AGW1280"/>
      <c r="AGX1280"/>
      <c r="AGY1280"/>
      <c r="AGZ1280"/>
      <c r="AHA1280"/>
      <c r="AHB1280"/>
      <c r="AHC1280"/>
      <c r="AHD1280"/>
      <c r="AHE1280"/>
      <c r="AHF1280"/>
      <c r="AHG1280"/>
      <c r="AHH1280"/>
      <c r="AHI1280"/>
      <c r="AHJ1280"/>
      <c r="AHK1280"/>
      <c r="AHL1280"/>
      <c r="AHM1280"/>
      <c r="AHN1280"/>
      <c r="AHO1280"/>
      <c r="AHP1280"/>
      <c r="AHQ1280"/>
      <c r="AHR1280"/>
      <c r="AHS1280"/>
      <c r="AHT1280"/>
      <c r="AHU1280"/>
      <c r="AHV1280"/>
      <c r="AHW1280"/>
      <c r="AHX1280"/>
      <c r="AHY1280"/>
      <c r="AHZ1280"/>
      <c r="AIA1280"/>
      <c r="AIB1280"/>
      <c r="AIC1280"/>
      <c r="AID1280"/>
      <c r="AIE1280"/>
      <c r="AIF1280"/>
      <c r="AIG1280"/>
      <c r="AIH1280"/>
      <c r="AII1280"/>
      <c r="AIJ1280"/>
      <c r="AIK1280"/>
      <c r="AIL1280"/>
      <c r="AIM1280"/>
      <c r="AIN1280"/>
      <c r="AIO1280"/>
      <c r="AIP1280"/>
      <c r="AIQ1280"/>
      <c r="AIR1280"/>
      <c r="AIS1280"/>
      <c r="AIT1280"/>
      <c r="AIU1280"/>
      <c r="AIV1280"/>
      <c r="AIW1280"/>
      <c r="AIX1280"/>
      <c r="AIY1280"/>
      <c r="AIZ1280"/>
      <c r="AJA1280"/>
      <c r="AJB1280"/>
      <c r="AJC1280"/>
      <c r="AJD1280"/>
      <c r="AJE1280"/>
      <c r="AJF1280"/>
      <c r="AJG1280"/>
      <c r="AJH1280"/>
      <c r="AJI1280"/>
      <c r="AJJ1280"/>
      <c r="AJK1280"/>
      <c r="AJL1280"/>
      <c r="AJM1280"/>
      <c r="AJN1280"/>
      <c r="AJO1280"/>
      <c r="AJP1280"/>
      <c r="AJQ1280"/>
      <c r="AJR1280"/>
      <c r="AJS1280"/>
      <c r="AJT1280"/>
      <c r="AJU1280"/>
      <c r="AJV1280"/>
      <c r="AJW1280"/>
      <c r="AJX1280"/>
      <c r="AJY1280"/>
      <c r="AJZ1280"/>
      <c r="AKA1280"/>
      <c r="AKB1280"/>
      <c r="AKC1280"/>
      <c r="AKD1280"/>
      <c r="AKE1280"/>
      <c r="AKF1280"/>
      <c r="AKG1280"/>
      <c r="AKH1280"/>
      <c r="AKI1280"/>
      <c r="AKJ1280"/>
      <c r="AKK1280"/>
      <c r="AKL1280"/>
      <c r="AKM1280"/>
      <c r="AKN1280"/>
      <c r="AKO1280"/>
      <c r="AKP1280"/>
      <c r="AKQ1280"/>
      <c r="AKR1280"/>
      <c r="AKS1280"/>
      <c r="AKT1280"/>
      <c r="AKU1280"/>
      <c r="AKV1280"/>
      <c r="AKW1280"/>
      <c r="AKX1280"/>
      <c r="AKY1280"/>
      <c r="AKZ1280"/>
      <c r="ALA1280"/>
      <c r="ALB1280"/>
      <c r="ALC1280"/>
      <c r="ALD1280"/>
      <c r="ALE1280"/>
      <c r="ALF1280"/>
      <c r="ALG1280"/>
      <c r="ALH1280"/>
      <c r="ALI1280"/>
      <c r="ALJ1280"/>
      <c r="ALK1280"/>
      <c r="ALL1280"/>
      <c r="ALM1280"/>
      <c r="ALN1280"/>
      <c r="ALO1280"/>
      <c r="ALP1280"/>
      <c r="ALQ1280"/>
      <c r="ALR1280"/>
      <c r="ALS1280"/>
      <c r="ALT1280"/>
    </row>
    <row r="1281" spans="1:1008" x14ac:dyDescent="0.15">
      <c r="A1281" t="s">
        <v>4026</v>
      </c>
      <c r="B1281" s="8" t="s">
        <v>3977</v>
      </c>
      <c r="C1281" t="s">
        <v>4026</v>
      </c>
      <c r="D1281" s="8" t="s">
        <v>15</v>
      </c>
      <c r="E1281" t="s">
        <v>4026</v>
      </c>
      <c r="F1281" t="s">
        <v>4027</v>
      </c>
      <c r="G1281">
        <v>500</v>
      </c>
      <c r="H1281"/>
      <c r="I1281"/>
      <c r="J1281"/>
      <c r="K1281"/>
      <c r="L1281"/>
      <c r="M1281"/>
      <c r="N1281"/>
      <c r="O1281"/>
      <c r="P1281"/>
      <c r="Q1281"/>
      <c r="R1281"/>
      <c r="S1281"/>
      <c r="T1281"/>
      <c r="U1281"/>
      <c r="V1281"/>
      <c r="W1281"/>
      <c r="X1281"/>
      <c r="Y1281"/>
      <c r="Z1281"/>
      <c r="AA1281"/>
      <c r="AB1281"/>
      <c r="AC1281"/>
      <c r="AD1281"/>
      <c r="AE1281"/>
      <c r="AF1281"/>
      <c r="AG1281"/>
      <c r="AH1281"/>
      <c r="AI1281"/>
      <c r="AJ1281"/>
      <c r="AK1281"/>
      <c r="AL1281"/>
      <c r="AM1281"/>
      <c r="AN1281"/>
      <c r="AO1281"/>
      <c r="AP1281"/>
      <c r="AQ1281"/>
      <c r="AR1281"/>
      <c r="AS1281"/>
      <c r="AT1281"/>
      <c r="AU1281"/>
      <c r="AV1281"/>
      <c r="AW1281"/>
      <c r="AX1281"/>
      <c r="AY1281"/>
      <c r="AZ1281"/>
      <c r="BA1281"/>
      <c r="BB1281"/>
      <c r="BC1281"/>
      <c r="BD1281"/>
      <c r="BE1281"/>
      <c r="BF1281"/>
      <c r="BG1281"/>
      <c r="BH1281"/>
      <c r="BI1281"/>
      <c r="BJ1281"/>
      <c r="BK1281"/>
      <c r="BL1281"/>
      <c r="BM1281"/>
      <c r="BN1281"/>
      <c r="BO1281"/>
      <c r="BP1281"/>
      <c r="BQ1281"/>
      <c r="BR1281"/>
      <c r="BS1281"/>
      <c r="BT1281"/>
      <c r="BU1281"/>
      <c r="BV1281"/>
      <c r="BW1281"/>
      <c r="BX1281"/>
      <c r="BY1281"/>
      <c r="BZ1281"/>
      <c r="CA1281"/>
      <c r="CB1281"/>
      <c r="CC1281"/>
      <c r="CD1281"/>
      <c r="CE1281"/>
      <c r="CF1281"/>
      <c r="CG1281"/>
      <c r="CH1281"/>
      <c r="CI1281"/>
      <c r="CJ1281"/>
      <c r="CK1281"/>
      <c r="CL1281"/>
      <c r="CM1281"/>
      <c r="CN1281"/>
      <c r="CO1281"/>
      <c r="CP1281"/>
      <c r="CQ1281"/>
      <c r="CR1281"/>
      <c r="CS1281"/>
      <c r="CT1281"/>
      <c r="CU1281"/>
      <c r="CV1281"/>
      <c r="CW1281"/>
      <c r="CX1281"/>
      <c r="CY1281"/>
      <c r="CZ1281"/>
      <c r="DA1281"/>
      <c r="DB1281"/>
      <c r="DC1281"/>
      <c r="DD1281"/>
      <c r="DE1281"/>
      <c r="DF1281"/>
      <c r="DG1281"/>
      <c r="DH1281"/>
      <c r="DI1281"/>
      <c r="DJ1281"/>
      <c r="DK1281"/>
      <c r="DL1281"/>
      <c r="DM1281"/>
      <c r="DN1281"/>
      <c r="DO1281"/>
      <c r="DP1281"/>
      <c r="DQ1281"/>
      <c r="DR1281"/>
      <c r="DS1281"/>
      <c r="DT1281"/>
      <c r="DU1281"/>
      <c r="DV1281"/>
      <c r="DW1281"/>
      <c r="DX1281"/>
      <c r="DY1281"/>
      <c r="DZ1281"/>
      <c r="EA1281"/>
      <c r="EB1281"/>
      <c r="EC1281"/>
      <c r="ED1281"/>
      <c r="EE1281"/>
      <c r="EF1281"/>
      <c r="EG1281"/>
      <c r="EH1281"/>
      <c r="EI1281"/>
      <c r="EJ1281"/>
      <c r="EK1281"/>
      <c r="EL1281"/>
      <c r="EM1281"/>
      <c r="EN1281"/>
      <c r="EO1281"/>
      <c r="EP1281"/>
      <c r="EQ1281"/>
      <c r="ER1281"/>
      <c r="ES1281"/>
      <c r="ET1281"/>
      <c r="EU1281"/>
      <c r="EV1281"/>
      <c r="EW1281"/>
      <c r="EX1281"/>
      <c r="EY1281"/>
      <c r="EZ1281"/>
      <c r="FA1281"/>
      <c r="FB1281"/>
      <c r="FC1281"/>
      <c r="FD1281"/>
      <c r="FE1281"/>
      <c r="FF1281"/>
      <c r="FG1281"/>
      <c r="FH1281"/>
      <c r="FI1281"/>
      <c r="FJ1281"/>
      <c r="FK1281"/>
      <c r="FL1281"/>
      <c r="FM1281"/>
      <c r="FN1281"/>
      <c r="FO1281"/>
      <c r="FP1281"/>
      <c r="FQ1281"/>
      <c r="FR1281"/>
      <c r="FS1281"/>
      <c r="FT1281"/>
      <c r="FU1281"/>
      <c r="FV1281"/>
      <c r="FW1281"/>
      <c r="FX1281"/>
      <c r="FY1281"/>
      <c r="FZ1281"/>
      <c r="GA1281"/>
      <c r="GB1281"/>
      <c r="GC1281"/>
      <c r="GD1281"/>
      <c r="GE1281"/>
      <c r="GF1281"/>
      <c r="GG1281"/>
      <c r="GH1281"/>
      <c r="GI1281"/>
      <c r="GJ1281"/>
      <c r="GK1281"/>
      <c r="GL1281"/>
      <c r="GM1281"/>
      <c r="GN1281"/>
      <c r="GO1281"/>
      <c r="GP1281"/>
      <c r="GQ1281"/>
      <c r="GR1281"/>
      <c r="GS1281"/>
      <c r="GT1281"/>
      <c r="GU1281"/>
      <c r="GV1281"/>
      <c r="GW1281"/>
      <c r="GX1281"/>
      <c r="GY1281"/>
      <c r="GZ1281"/>
      <c r="HA1281"/>
      <c r="HB1281"/>
      <c r="HC1281"/>
      <c r="HD1281"/>
      <c r="HE1281"/>
      <c r="HF1281"/>
      <c r="HG1281"/>
      <c r="HH1281"/>
      <c r="HI1281"/>
      <c r="HJ1281"/>
      <c r="HK1281"/>
      <c r="HL1281"/>
      <c r="HM1281"/>
      <c r="HN1281"/>
      <c r="HO1281"/>
      <c r="HP1281"/>
      <c r="HQ1281"/>
      <c r="HR1281"/>
      <c r="HS1281"/>
      <c r="HT1281"/>
      <c r="HU1281"/>
      <c r="HV1281"/>
      <c r="HW1281"/>
      <c r="HX1281"/>
      <c r="HY1281"/>
      <c r="HZ1281"/>
      <c r="IA1281"/>
      <c r="IB1281"/>
      <c r="IC1281"/>
      <c r="ID1281"/>
      <c r="IE1281"/>
      <c r="IF1281"/>
      <c r="IG1281"/>
      <c r="IH1281"/>
      <c r="II1281"/>
      <c r="IJ1281"/>
      <c r="IK1281"/>
      <c r="IL1281"/>
      <c r="IM1281"/>
      <c r="IN1281"/>
      <c r="IO1281"/>
      <c r="IP1281"/>
      <c r="IQ1281"/>
      <c r="IR1281"/>
      <c r="IS1281"/>
      <c r="IT1281"/>
      <c r="IU1281"/>
      <c r="IV1281"/>
      <c r="IW1281"/>
      <c r="IX1281"/>
      <c r="IY1281"/>
      <c r="IZ1281"/>
      <c r="JA1281"/>
      <c r="JB1281"/>
      <c r="JC1281"/>
      <c r="JD1281"/>
      <c r="JE1281"/>
      <c r="JF1281"/>
      <c r="JG1281"/>
      <c r="JH1281"/>
      <c r="JI1281"/>
      <c r="JJ1281"/>
      <c r="JK1281"/>
      <c r="JL1281"/>
      <c r="JM1281"/>
      <c r="JN1281"/>
      <c r="JO1281"/>
      <c r="JP1281"/>
      <c r="JQ1281"/>
      <c r="JR1281"/>
      <c r="JS1281"/>
      <c r="JT1281"/>
      <c r="JU1281"/>
      <c r="JV1281"/>
      <c r="JW1281"/>
      <c r="JX1281"/>
      <c r="JY1281"/>
      <c r="JZ1281"/>
      <c r="KA1281"/>
      <c r="KB1281"/>
      <c r="KC1281"/>
      <c r="KD1281"/>
      <c r="KE1281"/>
      <c r="KF1281"/>
      <c r="KG1281"/>
      <c r="KH1281"/>
      <c r="KI1281"/>
      <c r="KJ1281"/>
      <c r="KK1281"/>
      <c r="KL1281"/>
      <c r="KM1281"/>
      <c r="KN1281"/>
      <c r="KO1281"/>
      <c r="KP1281"/>
      <c r="KQ1281"/>
      <c r="KR1281"/>
      <c r="KS1281"/>
      <c r="KT1281"/>
      <c r="KU1281"/>
      <c r="KV1281"/>
      <c r="KW1281"/>
      <c r="KX1281"/>
      <c r="KY1281"/>
      <c r="KZ1281"/>
      <c r="LA1281"/>
      <c r="LB1281"/>
      <c r="LC1281"/>
      <c r="LD1281"/>
      <c r="LE1281"/>
      <c r="LF1281"/>
      <c r="LG1281"/>
      <c r="LH1281"/>
      <c r="LI1281"/>
      <c r="LJ1281"/>
      <c r="LK1281"/>
      <c r="LL1281"/>
      <c r="LM1281"/>
      <c r="LN1281"/>
      <c r="LO1281"/>
      <c r="LP1281"/>
      <c r="LQ1281"/>
      <c r="LR1281"/>
      <c r="LS1281"/>
      <c r="LT1281"/>
      <c r="LU1281"/>
      <c r="LV1281"/>
      <c r="LW1281"/>
      <c r="LX1281"/>
      <c r="LY1281"/>
      <c r="LZ1281"/>
      <c r="MA1281"/>
      <c r="MB1281"/>
      <c r="MC1281"/>
      <c r="MD1281"/>
      <c r="ME1281"/>
      <c r="MF1281"/>
      <c r="MG1281"/>
      <c r="MH1281"/>
      <c r="MI1281"/>
      <c r="MJ1281"/>
      <c r="MK1281"/>
      <c r="ML1281"/>
      <c r="MM1281"/>
      <c r="MN1281"/>
      <c r="MO1281"/>
      <c r="MP1281"/>
      <c r="MQ1281"/>
      <c r="MR1281"/>
      <c r="MS1281"/>
      <c r="MT1281"/>
      <c r="MU1281"/>
      <c r="MV1281"/>
      <c r="MW1281"/>
      <c r="MX1281"/>
      <c r="MY1281"/>
      <c r="MZ1281"/>
      <c r="NA1281"/>
      <c r="NB1281"/>
      <c r="NC1281"/>
      <c r="ND1281"/>
      <c r="NE1281"/>
      <c r="NF1281"/>
      <c r="NG1281"/>
      <c r="NH1281"/>
      <c r="NI1281"/>
      <c r="NJ1281"/>
      <c r="NK1281"/>
      <c r="NL1281"/>
      <c r="NM1281"/>
      <c r="NN1281"/>
      <c r="NO1281"/>
      <c r="NP1281"/>
      <c r="NQ1281"/>
      <c r="NR1281"/>
      <c r="NS1281"/>
      <c r="NT1281"/>
      <c r="NU1281"/>
      <c r="NV1281"/>
      <c r="NW1281"/>
      <c r="NX1281"/>
      <c r="NY1281"/>
      <c r="NZ1281"/>
      <c r="OA1281"/>
      <c r="OB1281"/>
      <c r="OC1281"/>
      <c r="OD1281"/>
      <c r="OE1281"/>
      <c r="OF1281"/>
      <c r="OG1281"/>
      <c r="OH1281"/>
      <c r="OI1281"/>
      <c r="OJ1281"/>
      <c r="OK1281"/>
      <c r="OL1281"/>
      <c r="OM1281"/>
      <c r="ON1281"/>
      <c r="OO1281"/>
      <c r="OP1281"/>
      <c r="OQ1281"/>
      <c r="OR1281"/>
      <c r="OS1281"/>
      <c r="OT1281"/>
      <c r="OU1281"/>
      <c r="OV1281"/>
      <c r="OW1281"/>
      <c r="OX1281"/>
      <c r="OY1281"/>
      <c r="OZ1281"/>
      <c r="PA1281"/>
      <c r="PB1281"/>
      <c r="PC1281"/>
      <c r="PD1281"/>
      <c r="PE1281"/>
      <c r="PF1281"/>
      <c r="PG1281"/>
      <c r="PH1281"/>
      <c r="PI1281"/>
      <c r="PJ1281"/>
      <c r="PK1281"/>
      <c r="PL1281"/>
      <c r="PM1281"/>
      <c r="PN1281"/>
      <c r="PO1281"/>
      <c r="PP1281"/>
      <c r="PQ1281"/>
      <c r="PR1281"/>
      <c r="PS1281"/>
      <c r="PT1281"/>
      <c r="PU1281"/>
      <c r="PV1281"/>
      <c r="PW1281"/>
      <c r="PX1281"/>
      <c r="PY1281"/>
      <c r="PZ1281"/>
      <c r="QA1281"/>
      <c r="QB1281"/>
      <c r="QC1281"/>
      <c r="QD1281"/>
      <c r="QE1281"/>
      <c r="QF1281"/>
      <c r="QG1281"/>
      <c r="QH1281"/>
      <c r="QI1281"/>
      <c r="QJ1281"/>
      <c r="QK1281"/>
      <c r="QL1281"/>
      <c r="QM1281"/>
      <c r="QN1281"/>
      <c r="QO1281"/>
      <c r="QP1281"/>
      <c r="QQ1281"/>
      <c r="QR1281"/>
      <c r="QS1281"/>
      <c r="QT1281"/>
      <c r="QU1281"/>
      <c r="QV1281"/>
      <c r="QW1281"/>
      <c r="QX1281"/>
      <c r="QY1281"/>
      <c r="QZ1281"/>
      <c r="RA1281"/>
      <c r="RB1281"/>
      <c r="RC1281"/>
      <c r="RD1281"/>
      <c r="RE1281"/>
      <c r="RF1281"/>
      <c r="RG1281"/>
      <c r="RH1281"/>
      <c r="RI1281"/>
      <c r="RJ1281"/>
      <c r="RK1281"/>
      <c r="RL1281"/>
      <c r="RM1281"/>
      <c r="RN1281"/>
      <c r="RO1281"/>
      <c r="RP1281"/>
      <c r="RQ1281"/>
      <c r="RR1281"/>
      <c r="RS1281"/>
      <c r="RT1281"/>
      <c r="RU1281"/>
      <c r="RV1281"/>
      <c r="RW1281"/>
      <c r="RX1281"/>
      <c r="RY1281"/>
      <c r="RZ1281"/>
      <c r="SA1281"/>
      <c r="SB1281"/>
      <c r="SC1281"/>
      <c r="SD1281"/>
      <c r="SE1281"/>
      <c r="SF1281"/>
      <c r="SG1281"/>
      <c r="SH1281"/>
      <c r="SI1281"/>
      <c r="SJ1281"/>
      <c r="SK1281"/>
      <c r="SL1281"/>
      <c r="SM1281"/>
      <c r="SN1281"/>
      <c r="SO1281"/>
      <c r="SP1281"/>
      <c r="SQ1281"/>
      <c r="SR1281"/>
      <c r="SS1281"/>
      <c r="ST1281"/>
      <c r="SU1281"/>
      <c r="SV1281"/>
      <c r="SW1281"/>
      <c r="SX1281"/>
      <c r="SY1281"/>
      <c r="SZ1281"/>
      <c r="TA1281"/>
      <c r="TB1281"/>
      <c r="TC1281"/>
      <c r="TD1281"/>
      <c r="TE1281"/>
      <c r="TF1281"/>
      <c r="TG1281"/>
      <c r="TH1281"/>
      <c r="TI1281"/>
      <c r="TJ1281"/>
      <c r="TK1281"/>
      <c r="TL1281"/>
      <c r="TM1281"/>
      <c r="TN1281"/>
      <c r="TO1281"/>
      <c r="TP1281"/>
      <c r="TQ1281"/>
      <c r="TR1281"/>
      <c r="TS1281"/>
      <c r="TT1281"/>
      <c r="TU1281"/>
      <c r="TV1281"/>
      <c r="TW1281"/>
      <c r="TX1281"/>
      <c r="TY1281"/>
      <c r="TZ1281"/>
      <c r="UA1281"/>
      <c r="UB1281"/>
      <c r="UC1281"/>
      <c r="UD1281"/>
      <c r="UE1281"/>
      <c r="UF1281"/>
      <c r="UG1281"/>
      <c r="UH1281"/>
      <c r="UI1281"/>
      <c r="UJ1281"/>
      <c r="UK1281"/>
      <c r="UL1281"/>
      <c r="UM1281"/>
      <c r="UN1281"/>
      <c r="UO1281"/>
      <c r="UP1281"/>
      <c r="UQ1281"/>
      <c r="UR1281"/>
      <c r="US1281"/>
      <c r="UT1281"/>
      <c r="UU1281"/>
      <c r="UV1281"/>
      <c r="UW1281"/>
      <c r="UX1281"/>
      <c r="UY1281"/>
      <c r="UZ1281"/>
      <c r="VA1281"/>
      <c r="VB1281"/>
      <c r="VC1281"/>
      <c r="VD1281"/>
      <c r="VE1281"/>
      <c r="VF1281"/>
      <c r="VG1281"/>
      <c r="VH1281"/>
      <c r="VI1281"/>
      <c r="VJ1281"/>
      <c r="VK1281"/>
      <c r="VL1281"/>
      <c r="VM1281"/>
      <c r="VN1281"/>
      <c r="VO1281"/>
      <c r="VP1281"/>
      <c r="VQ1281"/>
      <c r="VR1281"/>
      <c r="VS1281"/>
      <c r="VT1281"/>
      <c r="VU1281"/>
      <c r="VV1281"/>
      <c r="VW1281"/>
      <c r="VX1281"/>
      <c r="VY1281"/>
      <c r="VZ1281"/>
      <c r="WA1281"/>
      <c r="WB1281"/>
      <c r="WC1281"/>
      <c r="WD1281"/>
      <c r="WE1281"/>
      <c r="WF1281"/>
      <c r="WG1281"/>
      <c r="WH1281"/>
      <c r="WI1281"/>
      <c r="WJ1281"/>
      <c r="WK1281"/>
      <c r="WL1281"/>
      <c r="WM1281"/>
      <c r="WN1281"/>
      <c r="WO1281"/>
      <c r="WP1281"/>
      <c r="WQ1281"/>
      <c r="WR1281"/>
      <c r="WS1281"/>
      <c r="WT1281"/>
      <c r="WU1281"/>
      <c r="WV1281"/>
      <c r="WW1281"/>
      <c r="WX1281"/>
      <c r="WY1281"/>
      <c r="WZ1281"/>
      <c r="XA1281"/>
      <c r="XB1281"/>
      <c r="XC1281"/>
      <c r="XD1281"/>
      <c r="XE1281"/>
      <c r="XF1281"/>
      <c r="XG1281"/>
      <c r="XH1281"/>
      <c r="XI1281"/>
      <c r="XJ1281"/>
      <c r="XK1281"/>
      <c r="XL1281"/>
      <c r="XM1281"/>
      <c r="XN1281"/>
      <c r="XO1281"/>
      <c r="XP1281"/>
      <c r="XQ1281"/>
      <c r="XR1281"/>
      <c r="XS1281"/>
      <c r="XT1281"/>
      <c r="XU1281"/>
      <c r="XV1281"/>
      <c r="XW1281"/>
      <c r="XX1281"/>
      <c r="XY1281"/>
      <c r="XZ1281"/>
      <c r="YA1281"/>
      <c r="YB1281"/>
      <c r="YC1281"/>
      <c r="YD1281"/>
      <c r="YE1281"/>
      <c r="YF1281"/>
      <c r="YG1281"/>
      <c r="YH1281"/>
      <c r="YI1281"/>
      <c r="YJ1281"/>
      <c r="YK1281"/>
      <c r="YL1281"/>
      <c r="YM1281"/>
      <c r="YN1281"/>
      <c r="YO1281"/>
      <c r="YP1281"/>
      <c r="YQ1281"/>
      <c r="YR1281"/>
      <c r="YS1281"/>
      <c r="YT1281"/>
      <c r="YU1281"/>
      <c r="YV1281"/>
      <c r="YW1281"/>
      <c r="YX1281"/>
      <c r="YY1281"/>
      <c r="YZ1281"/>
      <c r="ZA1281"/>
      <c r="ZB1281"/>
      <c r="ZC1281"/>
      <c r="ZD1281"/>
      <c r="ZE1281"/>
      <c r="ZF1281"/>
      <c r="ZG1281"/>
      <c r="ZH1281"/>
      <c r="ZI1281"/>
      <c r="ZJ1281"/>
      <c r="ZK1281"/>
      <c r="ZL1281"/>
      <c r="ZM1281"/>
      <c r="ZN1281"/>
      <c r="ZO1281"/>
      <c r="ZP1281"/>
      <c r="ZQ1281"/>
      <c r="ZR1281"/>
      <c r="ZS1281"/>
      <c r="ZT1281"/>
      <c r="ZU1281"/>
      <c r="ZV1281"/>
      <c r="ZW1281"/>
      <c r="ZX1281"/>
      <c r="ZY1281"/>
      <c r="ZZ1281"/>
      <c r="AAA1281"/>
      <c r="AAB1281"/>
      <c r="AAC1281"/>
      <c r="AAD1281"/>
      <c r="AAE1281"/>
      <c r="AAF1281"/>
      <c r="AAG1281"/>
      <c r="AAH1281"/>
      <c r="AAI1281"/>
      <c r="AAJ1281"/>
      <c r="AAK1281"/>
      <c r="AAL1281"/>
      <c r="AAM1281"/>
      <c r="AAN1281"/>
      <c r="AAO1281"/>
      <c r="AAP1281"/>
      <c r="AAQ1281"/>
      <c r="AAR1281"/>
      <c r="AAS1281"/>
      <c r="AAT1281"/>
      <c r="AAU1281"/>
      <c r="AAV1281"/>
      <c r="AAW1281"/>
      <c r="AAX1281"/>
      <c r="AAY1281"/>
      <c r="AAZ1281"/>
      <c r="ABA1281"/>
      <c r="ABB1281"/>
      <c r="ABC1281"/>
      <c r="ABD1281"/>
      <c r="ABE1281"/>
      <c r="ABF1281"/>
      <c r="ABG1281"/>
      <c r="ABH1281"/>
      <c r="ABI1281"/>
      <c r="ABJ1281"/>
      <c r="ABK1281"/>
      <c r="ABL1281"/>
      <c r="ABM1281"/>
      <c r="ABN1281"/>
      <c r="ABO1281"/>
      <c r="ABP1281"/>
      <c r="ABQ1281"/>
      <c r="ABR1281"/>
      <c r="ABS1281"/>
      <c r="ABT1281"/>
      <c r="ABU1281"/>
      <c r="ABV1281"/>
      <c r="ABW1281"/>
      <c r="ABX1281"/>
      <c r="ABY1281"/>
      <c r="ABZ1281"/>
      <c r="ACA1281"/>
      <c r="ACB1281"/>
      <c r="ACC1281"/>
      <c r="ACD1281"/>
      <c r="ACE1281"/>
      <c r="ACF1281"/>
      <c r="ACG1281"/>
      <c r="ACH1281"/>
      <c r="ACI1281"/>
      <c r="ACJ1281"/>
      <c r="ACK1281"/>
      <c r="ACL1281"/>
      <c r="ACM1281"/>
      <c r="ACN1281"/>
      <c r="ACO1281"/>
      <c r="ACP1281"/>
      <c r="ACQ1281"/>
      <c r="ACR1281"/>
      <c r="ACS1281"/>
      <c r="ACT1281"/>
      <c r="ACU1281"/>
      <c r="ACV1281"/>
      <c r="ACW1281"/>
      <c r="ACX1281"/>
      <c r="ACY1281"/>
      <c r="ACZ1281"/>
      <c r="ADA1281"/>
      <c r="ADB1281"/>
      <c r="ADC1281"/>
      <c r="ADD1281"/>
      <c r="ADE1281"/>
      <c r="ADF1281"/>
      <c r="ADG1281"/>
      <c r="ADH1281"/>
      <c r="ADI1281"/>
      <c r="ADJ1281"/>
      <c r="ADK1281"/>
      <c r="ADL1281"/>
      <c r="ADM1281"/>
      <c r="ADN1281"/>
      <c r="ADO1281"/>
      <c r="ADP1281"/>
      <c r="ADQ1281"/>
      <c r="ADR1281"/>
      <c r="ADS1281"/>
      <c r="ADT1281"/>
      <c r="ADU1281"/>
      <c r="ADV1281"/>
      <c r="ADW1281"/>
      <c r="ADX1281"/>
      <c r="ADY1281"/>
      <c r="ADZ1281"/>
      <c r="AEA1281"/>
      <c r="AEB1281"/>
      <c r="AEC1281"/>
      <c r="AED1281"/>
      <c r="AEE1281"/>
      <c r="AEF1281"/>
      <c r="AEG1281"/>
      <c r="AEH1281"/>
      <c r="AEI1281"/>
      <c r="AEJ1281"/>
      <c r="AEK1281"/>
      <c r="AEL1281"/>
      <c r="AEM1281"/>
      <c r="AEN1281"/>
      <c r="AEO1281"/>
      <c r="AEP1281"/>
      <c r="AEQ1281"/>
      <c r="AER1281"/>
      <c r="AES1281"/>
      <c r="AET1281"/>
      <c r="AEU1281"/>
      <c r="AEV1281"/>
      <c r="AEW1281"/>
      <c r="AEX1281"/>
      <c r="AEY1281"/>
      <c r="AEZ1281"/>
      <c r="AFA1281"/>
      <c r="AFB1281"/>
      <c r="AFC1281"/>
      <c r="AFD1281"/>
      <c r="AFE1281"/>
      <c r="AFF1281"/>
      <c r="AFG1281"/>
      <c r="AFH1281"/>
      <c r="AFI1281"/>
      <c r="AFJ1281"/>
      <c r="AFK1281"/>
      <c r="AFL1281"/>
      <c r="AFM1281"/>
      <c r="AFN1281"/>
      <c r="AFO1281"/>
      <c r="AFP1281"/>
      <c r="AFQ1281"/>
      <c r="AFR1281"/>
      <c r="AFS1281"/>
      <c r="AFT1281"/>
      <c r="AFU1281"/>
      <c r="AFV1281"/>
      <c r="AFW1281"/>
      <c r="AFX1281"/>
      <c r="AFY1281"/>
      <c r="AFZ1281"/>
      <c r="AGA1281"/>
      <c r="AGB1281"/>
      <c r="AGC1281"/>
      <c r="AGD1281"/>
      <c r="AGE1281"/>
      <c r="AGF1281"/>
      <c r="AGG1281"/>
      <c r="AGH1281"/>
      <c r="AGI1281"/>
      <c r="AGJ1281"/>
      <c r="AGK1281"/>
      <c r="AGL1281"/>
      <c r="AGM1281"/>
      <c r="AGN1281"/>
      <c r="AGO1281"/>
      <c r="AGP1281"/>
      <c r="AGQ1281"/>
      <c r="AGR1281"/>
      <c r="AGS1281"/>
      <c r="AGT1281"/>
      <c r="AGU1281"/>
      <c r="AGV1281"/>
      <c r="AGW1281"/>
      <c r="AGX1281"/>
      <c r="AGY1281"/>
      <c r="AGZ1281"/>
      <c r="AHA1281"/>
      <c r="AHB1281"/>
      <c r="AHC1281"/>
      <c r="AHD1281"/>
      <c r="AHE1281"/>
      <c r="AHF1281"/>
      <c r="AHG1281"/>
      <c r="AHH1281"/>
      <c r="AHI1281"/>
      <c r="AHJ1281"/>
      <c r="AHK1281"/>
      <c r="AHL1281"/>
      <c r="AHM1281"/>
      <c r="AHN1281"/>
      <c r="AHO1281"/>
      <c r="AHP1281"/>
      <c r="AHQ1281"/>
      <c r="AHR1281"/>
      <c r="AHS1281"/>
      <c r="AHT1281"/>
      <c r="AHU1281"/>
      <c r="AHV1281"/>
      <c r="AHW1281"/>
      <c r="AHX1281"/>
      <c r="AHY1281"/>
      <c r="AHZ1281"/>
      <c r="AIA1281"/>
      <c r="AIB1281"/>
      <c r="AIC1281"/>
      <c r="AID1281"/>
      <c r="AIE1281"/>
      <c r="AIF1281"/>
      <c r="AIG1281"/>
      <c r="AIH1281"/>
      <c r="AII1281"/>
      <c r="AIJ1281"/>
      <c r="AIK1281"/>
      <c r="AIL1281"/>
      <c r="AIM1281"/>
      <c r="AIN1281"/>
      <c r="AIO1281"/>
      <c r="AIP1281"/>
      <c r="AIQ1281"/>
      <c r="AIR1281"/>
      <c r="AIS1281"/>
      <c r="AIT1281"/>
      <c r="AIU1281"/>
      <c r="AIV1281"/>
      <c r="AIW1281"/>
      <c r="AIX1281"/>
      <c r="AIY1281"/>
      <c r="AIZ1281"/>
      <c r="AJA1281"/>
      <c r="AJB1281"/>
      <c r="AJC1281"/>
      <c r="AJD1281"/>
      <c r="AJE1281"/>
      <c r="AJF1281"/>
      <c r="AJG1281"/>
      <c r="AJH1281"/>
      <c r="AJI1281"/>
      <c r="AJJ1281"/>
      <c r="AJK1281"/>
      <c r="AJL1281"/>
      <c r="AJM1281"/>
      <c r="AJN1281"/>
      <c r="AJO1281"/>
      <c r="AJP1281"/>
      <c r="AJQ1281"/>
      <c r="AJR1281"/>
      <c r="AJS1281"/>
      <c r="AJT1281"/>
      <c r="AJU1281"/>
      <c r="AJV1281"/>
      <c r="AJW1281"/>
      <c r="AJX1281"/>
      <c r="AJY1281"/>
      <c r="AJZ1281"/>
      <c r="AKA1281"/>
      <c r="AKB1281"/>
      <c r="AKC1281"/>
      <c r="AKD1281"/>
      <c r="AKE1281"/>
      <c r="AKF1281"/>
      <c r="AKG1281"/>
      <c r="AKH1281"/>
      <c r="AKI1281"/>
      <c r="AKJ1281"/>
      <c r="AKK1281"/>
      <c r="AKL1281"/>
      <c r="AKM1281"/>
      <c r="AKN1281"/>
      <c r="AKO1281"/>
      <c r="AKP1281"/>
      <c r="AKQ1281"/>
      <c r="AKR1281"/>
      <c r="AKS1281"/>
      <c r="AKT1281"/>
      <c r="AKU1281"/>
      <c r="AKV1281"/>
      <c r="AKW1281"/>
      <c r="AKX1281"/>
      <c r="AKY1281"/>
      <c r="AKZ1281"/>
      <c r="ALA1281"/>
      <c r="ALB1281"/>
      <c r="ALC1281"/>
      <c r="ALD1281"/>
      <c r="ALE1281"/>
      <c r="ALF1281"/>
      <c r="ALG1281"/>
      <c r="ALH1281"/>
      <c r="ALI1281"/>
      <c r="ALJ1281"/>
      <c r="ALK1281"/>
      <c r="ALL1281"/>
      <c r="ALM1281"/>
      <c r="ALN1281"/>
      <c r="ALO1281"/>
      <c r="ALP1281"/>
      <c r="ALQ1281"/>
      <c r="ALR1281"/>
      <c r="ALS1281"/>
      <c r="ALT1281"/>
    </row>
    <row r="1282" spans="1:1008" x14ac:dyDescent="0.15">
      <c r="A1282" t="s">
        <v>4137</v>
      </c>
      <c r="B1282" s="8" t="s">
        <v>3977</v>
      </c>
      <c r="C1282" t="s">
        <v>4028</v>
      </c>
      <c r="D1282" s="8" t="s">
        <v>15</v>
      </c>
      <c r="E1282" t="s">
        <v>4028</v>
      </c>
      <c r="F1282" t="s">
        <v>4029</v>
      </c>
      <c r="G1282">
        <v>700</v>
      </c>
      <c r="H1282"/>
      <c r="I1282"/>
      <c r="J1282"/>
      <c r="K1282"/>
      <c r="L1282"/>
      <c r="M1282"/>
      <c r="N1282"/>
      <c r="O1282"/>
      <c r="P1282"/>
      <c r="Q1282"/>
      <c r="R1282"/>
      <c r="S1282"/>
      <c r="T1282"/>
      <c r="U1282"/>
      <c r="V1282"/>
      <c r="W1282"/>
      <c r="X1282"/>
      <c r="Y1282"/>
      <c r="Z1282"/>
      <c r="AA1282"/>
      <c r="AB1282"/>
      <c r="AC1282"/>
      <c r="AD1282"/>
      <c r="AE1282"/>
      <c r="AF1282"/>
      <c r="AG1282"/>
      <c r="AH1282"/>
      <c r="AI1282"/>
      <c r="AJ1282"/>
      <c r="AK1282"/>
      <c r="AL1282"/>
      <c r="AM1282"/>
      <c r="AN1282"/>
      <c r="AO1282"/>
      <c r="AP1282"/>
      <c r="AQ1282"/>
      <c r="AR1282"/>
      <c r="AS1282"/>
      <c r="AT1282"/>
      <c r="AU1282"/>
      <c r="AV1282"/>
      <c r="AW1282"/>
      <c r="AX1282"/>
      <c r="AY1282"/>
      <c r="AZ1282"/>
      <c r="BA1282"/>
      <c r="BB1282"/>
      <c r="BC1282"/>
      <c r="BD1282"/>
      <c r="BE1282"/>
      <c r="BF1282"/>
      <c r="BG1282"/>
      <c r="BH1282"/>
      <c r="BI1282"/>
      <c r="BJ1282"/>
      <c r="BK1282"/>
      <c r="BL1282"/>
      <c r="BM1282"/>
      <c r="BN1282"/>
      <c r="BO1282"/>
      <c r="BP1282"/>
      <c r="BQ1282"/>
      <c r="BR1282"/>
      <c r="BS1282"/>
      <c r="BT1282"/>
      <c r="BU1282"/>
      <c r="BV1282"/>
      <c r="BW1282"/>
      <c r="BX1282"/>
      <c r="BY1282"/>
      <c r="BZ1282"/>
      <c r="CA1282"/>
      <c r="CB1282"/>
      <c r="CC1282"/>
      <c r="CD1282"/>
      <c r="CE1282"/>
      <c r="CF1282"/>
      <c r="CG1282"/>
      <c r="CH1282"/>
      <c r="CI1282"/>
      <c r="CJ1282"/>
      <c r="CK1282"/>
      <c r="CL1282"/>
      <c r="CM1282"/>
      <c r="CN1282"/>
      <c r="CO1282"/>
      <c r="CP1282"/>
      <c r="CQ1282"/>
      <c r="CR1282"/>
      <c r="CS1282"/>
      <c r="CT1282"/>
      <c r="CU1282"/>
      <c r="CV1282"/>
      <c r="CW1282"/>
      <c r="CX1282"/>
      <c r="CY1282"/>
      <c r="CZ1282"/>
      <c r="DA1282"/>
      <c r="DB1282"/>
      <c r="DC1282"/>
      <c r="DD1282"/>
      <c r="DE1282"/>
      <c r="DF1282"/>
      <c r="DG1282"/>
      <c r="DH1282"/>
      <c r="DI1282"/>
      <c r="DJ1282"/>
      <c r="DK1282"/>
      <c r="DL1282"/>
      <c r="DM1282"/>
      <c r="DN1282"/>
      <c r="DO1282"/>
      <c r="DP1282"/>
      <c r="DQ1282"/>
      <c r="DR1282"/>
      <c r="DS1282"/>
      <c r="DT1282"/>
      <c r="DU1282"/>
      <c r="DV1282"/>
      <c r="DW1282"/>
      <c r="DX1282"/>
      <c r="DY1282"/>
      <c r="DZ1282"/>
      <c r="EA1282"/>
      <c r="EB1282"/>
      <c r="EC1282"/>
      <c r="ED1282"/>
      <c r="EE1282"/>
      <c r="EF1282"/>
      <c r="EG1282"/>
      <c r="EH1282"/>
      <c r="EI1282"/>
      <c r="EJ1282"/>
      <c r="EK1282"/>
      <c r="EL1282"/>
      <c r="EM1282"/>
      <c r="EN1282"/>
      <c r="EO1282"/>
      <c r="EP1282"/>
      <c r="EQ1282"/>
      <c r="ER1282"/>
      <c r="ES1282"/>
      <c r="ET1282"/>
      <c r="EU1282"/>
      <c r="EV1282"/>
      <c r="EW1282"/>
      <c r="EX1282"/>
      <c r="EY1282"/>
      <c r="EZ1282"/>
      <c r="FA1282"/>
      <c r="FB1282"/>
      <c r="FC1282"/>
      <c r="FD1282"/>
      <c r="FE1282"/>
      <c r="FF1282"/>
      <c r="FG1282"/>
      <c r="FH1282"/>
      <c r="FI1282"/>
      <c r="FJ1282"/>
      <c r="FK1282"/>
      <c r="FL1282"/>
      <c r="FM1282"/>
      <c r="FN1282"/>
      <c r="FO1282"/>
      <c r="FP1282"/>
      <c r="FQ1282"/>
      <c r="FR1282"/>
      <c r="FS1282"/>
      <c r="FT1282"/>
      <c r="FU1282"/>
      <c r="FV1282"/>
      <c r="FW1282"/>
      <c r="FX1282"/>
      <c r="FY1282"/>
      <c r="FZ1282"/>
      <c r="GA1282"/>
      <c r="GB1282"/>
      <c r="GC1282"/>
      <c r="GD1282"/>
      <c r="GE1282"/>
      <c r="GF1282"/>
      <c r="GG1282"/>
      <c r="GH1282"/>
      <c r="GI1282"/>
      <c r="GJ1282"/>
      <c r="GK1282"/>
      <c r="GL1282"/>
      <c r="GM1282"/>
      <c r="GN1282"/>
      <c r="GO1282"/>
      <c r="GP1282"/>
      <c r="GQ1282"/>
      <c r="GR1282"/>
      <c r="GS1282"/>
      <c r="GT1282"/>
      <c r="GU1282"/>
      <c r="GV1282"/>
      <c r="GW1282"/>
      <c r="GX1282"/>
      <c r="GY1282"/>
      <c r="GZ1282"/>
      <c r="HA1282"/>
      <c r="HB1282"/>
      <c r="HC1282"/>
      <c r="HD1282"/>
      <c r="HE1282"/>
      <c r="HF1282"/>
      <c r="HG1282"/>
      <c r="HH1282"/>
      <c r="HI1282"/>
      <c r="HJ1282"/>
      <c r="HK1282"/>
      <c r="HL1282"/>
      <c r="HM1282"/>
      <c r="HN1282"/>
      <c r="HO1282"/>
      <c r="HP1282"/>
      <c r="HQ1282"/>
      <c r="HR1282"/>
      <c r="HS1282"/>
      <c r="HT1282"/>
      <c r="HU1282"/>
      <c r="HV1282"/>
      <c r="HW1282"/>
      <c r="HX1282"/>
      <c r="HY1282"/>
      <c r="HZ1282"/>
      <c r="IA1282"/>
      <c r="IB1282"/>
      <c r="IC1282"/>
      <c r="ID1282"/>
      <c r="IE1282"/>
      <c r="IF1282"/>
      <c r="IG1282"/>
      <c r="IH1282"/>
      <c r="II1282"/>
      <c r="IJ1282"/>
      <c r="IK1282"/>
      <c r="IL1282"/>
      <c r="IM1282"/>
      <c r="IN1282"/>
      <c r="IO1282"/>
      <c r="IP1282"/>
      <c r="IQ1282"/>
      <c r="IR1282"/>
      <c r="IS1282"/>
      <c r="IT1282"/>
      <c r="IU1282"/>
      <c r="IV1282"/>
      <c r="IW1282"/>
      <c r="IX1282"/>
      <c r="IY1282"/>
      <c r="IZ1282"/>
      <c r="JA1282"/>
      <c r="JB1282"/>
      <c r="JC1282"/>
      <c r="JD1282"/>
      <c r="JE1282"/>
      <c r="JF1282"/>
      <c r="JG1282"/>
      <c r="JH1282"/>
      <c r="JI1282"/>
      <c r="JJ1282"/>
      <c r="JK1282"/>
      <c r="JL1282"/>
      <c r="JM1282"/>
      <c r="JN1282"/>
      <c r="JO1282"/>
      <c r="JP1282"/>
      <c r="JQ1282"/>
      <c r="JR1282"/>
      <c r="JS1282"/>
      <c r="JT1282"/>
      <c r="JU1282"/>
      <c r="JV1282"/>
      <c r="JW1282"/>
      <c r="JX1282"/>
      <c r="JY1282"/>
      <c r="JZ1282"/>
      <c r="KA1282"/>
      <c r="KB1282"/>
      <c r="KC1282"/>
      <c r="KD1282"/>
      <c r="KE1282"/>
      <c r="KF1282"/>
      <c r="KG1282"/>
      <c r="KH1282"/>
      <c r="KI1282"/>
      <c r="KJ1282"/>
      <c r="KK1282"/>
      <c r="KL1282"/>
      <c r="KM1282"/>
      <c r="KN1282"/>
      <c r="KO1282"/>
      <c r="KP1282"/>
      <c r="KQ1282"/>
      <c r="KR1282"/>
      <c r="KS1282"/>
      <c r="KT1282"/>
      <c r="KU1282"/>
      <c r="KV1282"/>
      <c r="KW1282"/>
      <c r="KX1282"/>
      <c r="KY1282"/>
      <c r="KZ1282"/>
      <c r="LA1282"/>
      <c r="LB1282"/>
      <c r="LC1282"/>
      <c r="LD1282"/>
      <c r="LE1282"/>
      <c r="LF1282"/>
      <c r="LG1282"/>
      <c r="LH1282"/>
      <c r="LI1282"/>
      <c r="LJ1282"/>
      <c r="LK1282"/>
      <c r="LL1282"/>
      <c r="LM1282"/>
      <c r="LN1282"/>
      <c r="LO1282"/>
      <c r="LP1282"/>
      <c r="LQ1282"/>
      <c r="LR1282"/>
      <c r="LS1282"/>
      <c r="LT1282"/>
      <c r="LU1282"/>
      <c r="LV1282"/>
      <c r="LW1282"/>
      <c r="LX1282"/>
      <c r="LY1282"/>
      <c r="LZ1282"/>
      <c r="MA1282"/>
      <c r="MB1282"/>
      <c r="MC1282"/>
      <c r="MD1282"/>
      <c r="ME1282"/>
      <c r="MF1282"/>
      <c r="MG1282"/>
      <c r="MH1282"/>
      <c r="MI1282"/>
      <c r="MJ1282"/>
      <c r="MK1282"/>
      <c r="ML1282"/>
      <c r="MM1282"/>
      <c r="MN1282"/>
      <c r="MO1282"/>
      <c r="MP1282"/>
      <c r="MQ1282"/>
      <c r="MR1282"/>
      <c r="MS1282"/>
      <c r="MT1282"/>
      <c r="MU1282"/>
      <c r="MV1282"/>
      <c r="MW1282"/>
      <c r="MX1282"/>
      <c r="MY1282"/>
      <c r="MZ1282"/>
      <c r="NA1282"/>
      <c r="NB1282"/>
      <c r="NC1282"/>
      <c r="ND1282"/>
      <c r="NE1282"/>
      <c r="NF1282"/>
      <c r="NG1282"/>
      <c r="NH1282"/>
      <c r="NI1282"/>
      <c r="NJ1282"/>
      <c r="NK1282"/>
      <c r="NL1282"/>
      <c r="NM1282"/>
      <c r="NN1282"/>
      <c r="NO1282"/>
      <c r="NP1282"/>
      <c r="NQ1282"/>
      <c r="NR1282"/>
      <c r="NS1282"/>
      <c r="NT1282"/>
      <c r="NU1282"/>
      <c r="NV1282"/>
      <c r="NW1282"/>
      <c r="NX1282"/>
      <c r="NY1282"/>
      <c r="NZ1282"/>
      <c r="OA1282"/>
      <c r="OB1282"/>
      <c r="OC1282"/>
      <c r="OD1282"/>
      <c r="OE1282"/>
      <c r="OF1282"/>
      <c r="OG1282"/>
      <c r="OH1282"/>
      <c r="OI1282"/>
      <c r="OJ1282"/>
      <c r="OK1282"/>
      <c r="OL1282"/>
      <c r="OM1282"/>
      <c r="ON1282"/>
      <c r="OO1282"/>
      <c r="OP1282"/>
      <c r="OQ1282"/>
      <c r="OR1282"/>
      <c r="OS1282"/>
      <c r="OT1282"/>
      <c r="OU1282"/>
      <c r="OV1282"/>
      <c r="OW1282"/>
      <c r="OX1282"/>
      <c r="OY1282"/>
      <c r="OZ1282"/>
      <c r="PA1282"/>
      <c r="PB1282"/>
      <c r="PC1282"/>
      <c r="PD1282"/>
      <c r="PE1282"/>
      <c r="PF1282"/>
      <c r="PG1282"/>
      <c r="PH1282"/>
      <c r="PI1282"/>
      <c r="PJ1282"/>
      <c r="PK1282"/>
      <c r="PL1282"/>
      <c r="PM1282"/>
      <c r="PN1282"/>
      <c r="PO1282"/>
      <c r="PP1282"/>
      <c r="PQ1282"/>
      <c r="PR1282"/>
      <c r="PS1282"/>
      <c r="PT1282"/>
      <c r="PU1282"/>
      <c r="PV1282"/>
      <c r="PW1282"/>
      <c r="PX1282"/>
      <c r="PY1282"/>
      <c r="PZ1282"/>
      <c r="QA1282"/>
      <c r="QB1282"/>
      <c r="QC1282"/>
      <c r="QD1282"/>
      <c r="QE1282"/>
      <c r="QF1282"/>
      <c r="QG1282"/>
      <c r="QH1282"/>
      <c r="QI1282"/>
      <c r="QJ1282"/>
      <c r="QK1282"/>
      <c r="QL1282"/>
      <c r="QM1282"/>
      <c r="QN1282"/>
      <c r="QO1282"/>
      <c r="QP1282"/>
      <c r="QQ1282"/>
      <c r="QR1282"/>
      <c r="QS1282"/>
      <c r="QT1282"/>
      <c r="QU1282"/>
      <c r="QV1282"/>
      <c r="QW1282"/>
      <c r="QX1282"/>
      <c r="QY1282"/>
      <c r="QZ1282"/>
      <c r="RA1282"/>
      <c r="RB1282"/>
      <c r="RC1282"/>
      <c r="RD1282"/>
      <c r="RE1282"/>
      <c r="RF1282"/>
      <c r="RG1282"/>
      <c r="RH1282"/>
      <c r="RI1282"/>
      <c r="RJ1282"/>
      <c r="RK1282"/>
      <c r="RL1282"/>
      <c r="RM1282"/>
      <c r="RN1282"/>
      <c r="RO1282"/>
      <c r="RP1282"/>
      <c r="RQ1282"/>
      <c r="RR1282"/>
      <c r="RS1282"/>
      <c r="RT1282"/>
      <c r="RU1282"/>
      <c r="RV1282"/>
      <c r="RW1282"/>
      <c r="RX1282"/>
      <c r="RY1282"/>
      <c r="RZ1282"/>
      <c r="SA1282"/>
      <c r="SB1282"/>
      <c r="SC1282"/>
      <c r="SD1282"/>
      <c r="SE1282"/>
      <c r="SF1282"/>
      <c r="SG1282"/>
      <c r="SH1282"/>
      <c r="SI1282"/>
      <c r="SJ1282"/>
      <c r="SK1282"/>
      <c r="SL1282"/>
      <c r="SM1282"/>
      <c r="SN1282"/>
      <c r="SO1282"/>
      <c r="SP1282"/>
      <c r="SQ1282"/>
      <c r="SR1282"/>
      <c r="SS1282"/>
      <c r="ST1282"/>
      <c r="SU1282"/>
      <c r="SV1282"/>
      <c r="SW1282"/>
      <c r="SX1282"/>
      <c r="SY1282"/>
      <c r="SZ1282"/>
      <c r="TA1282"/>
      <c r="TB1282"/>
      <c r="TC1282"/>
      <c r="TD1282"/>
      <c r="TE1282"/>
      <c r="TF1282"/>
      <c r="TG1282"/>
      <c r="TH1282"/>
      <c r="TI1282"/>
      <c r="TJ1282"/>
      <c r="TK1282"/>
      <c r="TL1282"/>
      <c r="TM1282"/>
      <c r="TN1282"/>
      <c r="TO1282"/>
      <c r="TP1282"/>
      <c r="TQ1282"/>
      <c r="TR1282"/>
      <c r="TS1282"/>
      <c r="TT1282"/>
      <c r="TU1282"/>
      <c r="TV1282"/>
      <c r="TW1282"/>
      <c r="TX1282"/>
      <c r="TY1282"/>
      <c r="TZ1282"/>
      <c r="UA1282"/>
      <c r="UB1282"/>
      <c r="UC1282"/>
      <c r="UD1282"/>
      <c r="UE1282"/>
      <c r="UF1282"/>
      <c r="UG1282"/>
      <c r="UH1282"/>
      <c r="UI1282"/>
      <c r="UJ1282"/>
      <c r="UK1282"/>
      <c r="UL1282"/>
      <c r="UM1282"/>
      <c r="UN1282"/>
      <c r="UO1282"/>
      <c r="UP1282"/>
      <c r="UQ1282"/>
      <c r="UR1282"/>
      <c r="US1282"/>
      <c r="UT1282"/>
      <c r="UU1282"/>
      <c r="UV1282"/>
      <c r="UW1282"/>
      <c r="UX1282"/>
      <c r="UY1282"/>
      <c r="UZ1282"/>
      <c r="VA1282"/>
      <c r="VB1282"/>
      <c r="VC1282"/>
      <c r="VD1282"/>
      <c r="VE1282"/>
      <c r="VF1282"/>
      <c r="VG1282"/>
      <c r="VH1282"/>
      <c r="VI1282"/>
      <c r="VJ1282"/>
      <c r="VK1282"/>
      <c r="VL1282"/>
      <c r="VM1282"/>
      <c r="VN1282"/>
      <c r="VO1282"/>
      <c r="VP1282"/>
      <c r="VQ1282"/>
      <c r="VR1282"/>
      <c r="VS1282"/>
      <c r="VT1282"/>
      <c r="VU1282"/>
      <c r="VV1282"/>
      <c r="VW1282"/>
      <c r="VX1282"/>
      <c r="VY1282"/>
      <c r="VZ1282"/>
      <c r="WA1282"/>
      <c r="WB1282"/>
      <c r="WC1282"/>
      <c r="WD1282"/>
      <c r="WE1282"/>
      <c r="WF1282"/>
      <c r="WG1282"/>
      <c r="WH1282"/>
      <c r="WI1282"/>
      <c r="WJ1282"/>
      <c r="WK1282"/>
      <c r="WL1282"/>
      <c r="WM1282"/>
      <c r="WN1282"/>
      <c r="WO1282"/>
      <c r="WP1282"/>
      <c r="WQ1282"/>
      <c r="WR1282"/>
      <c r="WS1282"/>
      <c r="WT1282"/>
      <c r="WU1282"/>
      <c r="WV1282"/>
      <c r="WW1282"/>
      <c r="WX1282"/>
      <c r="WY1282"/>
      <c r="WZ1282"/>
      <c r="XA1282"/>
      <c r="XB1282"/>
      <c r="XC1282"/>
      <c r="XD1282"/>
      <c r="XE1282"/>
      <c r="XF1282"/>
      <c r="XG1282"/>
      <c r="XH1282"/>
      <c r="XI1282"/>
      <c r="XJ1282"/>
      <c r="XK1282"/>
      <c r="XL1282"/>
      <c r="XM1282"/>
      <c r="XN1282"/>
      <c r="XO1282"/>
      <c r="XP1282"/>
      <c r="XQ1282"/>
      <c r="XR1282"/>
      <c r="XS1282"/>
      <c r="XT1282"/>
      <c r="XU1282"/>
      <c r="XV1282"/>
      <c r="XW1282"/>
      <c r="XX1282"/>
      <c r="XY1282"/>
      <c r="XZ1282"/>
      <c r="YA1282"/>
      <c r="YB1282"/>
      <c r="YC1282"/>
      <c r="YD1282"/>
      <c r="YE1282"/>
      <c r="YF1282"/>
      <c r="YG1282"/>
      <c r="YH1282"/>
      <c r="YI1282"/>
      <c r="YJ1282"/>
      <c r="YK1282"/>
      <c r="YL1282"/>
      <c r="YM1282"/>
      <c r="YN1282"/>
      <c r="YO1282"/>
      <c r="YP1282"/>
      <c r="YQ1282"/>
      <c r="YR1282"/>
      <c r="YS1282"/>
      <c r="YT1282"/>
      <c r="YU1282"/>
      <c r="YV1282"/>
      <c r="YW1282"/>
      <c r="YX1282"/>
      <c r="YY1282"/>
      <c r="YZ1282"/>
      <c r="ZA1282"/>
      <c r="ZB1282"/>
      <c r="ZC1282"/>
      <c r="ZD1282"/>
      <c r="ZE1282"/>
      <c r="ZF1282"/>
      <c r="ZG1282"/>
      <c r="ZH1282"/>
      <c r="ZI1282"/>
      <c r="ZJ1282"/>
      <c r="ZK1282"/>
      <c r="ZL1282"/>
      <c r="ZM1282"/>
      <c r="ZN1282"/>
      <c r="ZO1282"/>
      <c r="ZP1282"/>
      <c r="ZQ1282"/>
      <c r="ZR1282"/>
      <c r="ZS1282"/>
      <c r="ZT1282"/>
      <c r="ZU1282"/>
      <c r="ZV1282"/>
      <c r="ZW1282"/>
      <c r="ZX1282"/>
      <c r="ZY1282"/>
      <c r="ZZ1282"/>
      <c r="AAA1282"/>
      <c r="AAB1282"/>
      <c r="AAC1282"/>
      <c r="AAD1282"/>
      <c r="AAE1282"/>
      <c r="AAF1282"/>
      <c r="AAG1282"/>
      <c r="AAH1282"/>
      <c r="AAI1282"/>
      <c r="AAJ1282"/>
      <c r="AAK1282"/>
      <c r="AAL1282"/>
      <c r="AAM1282"/>
      <c r="AAN1282"/>
      <c r="AAO1282"/>
      <c r="AAP1282"/>
      <c r="AAQ1282"/>
      <c r="AAR1282"/>
      <c r="AAS1282"/>
      <c r="AAT1282"/>
      <c r="AAU1282"/>
      <c r="AAV1282"/>
      <c r="AAW1282"/>
      <c r="AAX1282"/>
      <c r="AAY1282"/>
      <c r="AAZ1282"/>
      <c r="ABA1282"/>
      <c r="ABB1282"/>
      <c r="ABC1282"/>
      <c r="ABD1282"/>
      <c r="ABE1282"/>
      <c r="ABF1282"/>
      <c r="ABG1282"/>
      <c r="ABH1282"/>
      <c r="ABI1282"/>
      <c r="ABJ1282"/>
      <c r="ABK1282"/>
      <c r="ABL1282"/>
      <c r="ABM1282"/>
      <c r="ABN1282"/>
      <c r="ABO1282"/>
      <c r="ABP1282"/>
      <c r="ABQ1282"/>
      <c r="ABR1282"/>
      <c r="ABS1282"/>
      <c r="ABT1282"/>
      <c r="ABU1282"/>
      <c r="ABV1282"/>
      <c r="ABW1282"/>
      <c r="ABX1282"/>
      <c r="ABY1282"/>
      <c r="ABZ1282"/>
      <c r="ACA1282"/>
      <c r="ACB1282"/>
      <c r="ACC1282"/>
      <c r="ACD1282"/>
      <c r="ACE1282"/>
      <c r="ACF1282"/>
      <c r="ACG1282"/>
      <c r="ACH1282"/>
      <c r="ACI1282"/>
      <c r="ACJ1282"/>
      <c r="ACK1282"/>
      <c r="ACL1282"/>
      <c r="ACM1282"/>
      <c r="ACN1282"/>
      <c r="ACO1282"/>
      <c r="ACP1282"/>
      <c r="ACQ1282"/>
      <c r="ACR1282"/>
      <c r="ACS1282"/>
      <c r="ACT1282"/>
      <c r="ACU1282"/>
      <c r="ACV1282"/>
      <c r="ACW1282"/>
      <c r="ACX1282"/>
      <c r="ACY1282"/>
      <c r="ACZ1282"/>
      <c r="ADA1282"/>
      <c r="ADB1282"/>
      <c r="ADC1282"/>
      <c r="ADD1282"/>
      <c r="ADE1282"/>
      <c r="ADF1282"/>
      <c r="ADG1282"/>
      <c r="ADH1282"/>
      <c r="ADI1282"/>
      <c r="ADJ1282"/>
      <c r="ADK1282"/>
      <c r="ADL1282"/>
      <c r="ADM1282"/>
      <c r="ADN1282"/>
      <c r="ADO1282"/>
      <c r="ADP1282"/>
      <c r="ADQ1282"/>
      <c r="ADR1282"/>
      <c r="ADS1282"/>
      <c r="ADT1282"/>
      <c r="ADU1282"/>
      <c r="ADV1282"/>
      <c r="ADW1282"/>
      <c r="ADX1282"/>
      <c r="ADY1282"/>
      <c r="ADZ1282"/>
      <c r="AEA1282"/>
      <c r="AEB1282"/>
      <c r="AEC1282"/>
      <c r="AED1282"/>
      <c r="AEE1282"/>
      <c r="AEF1282"/>
      <c r="AEG1282"/>
      <c r="AEH1282"/>
      <c r="AEI1282"/>
      <c r="AEJ1282"/>
      <c r="AEK1282"/>
      <c r="AEL1282"/>
      <c r="AEM1282"/>
      <c r="AEN1282"/>
      <c r="AEO1282"/>
      <c r="AEP1282"/>
      <c r="AEQ1282"/>
      <c r="AER1282"/>
      <c r="AES1282"/>
      <c r="AET1282"/>
      <c r="AEU1282"/>
      <c r="AEV1282"/>
      <c r="AEW1282"/>
      <c r="AEX1282"/>
      <c r="AEY1282"/>
      <c r="AEZ1282"/>
      <c r="AFA1282"/>
      <c r="AFB1282"/>
      <c r="AFC1282"/>
      <c r="AFD1282"/>
      <c r="AFE1282"/>
      <c r="AFF1282"/>
      <c r="AFG1282"/>
      <c r="AFH1282"/>
      <c r="AFI1282"/>
      <c r="AFJ1282"/>
      <c r="AFK1282"/>
      <c r="AFL1282"/>
      <c r="AFM1282"/>
      <c r="AFN1282"/>
      <c r="AFO1282"/>
      <c r="AFP1282"/>
      <c r="AFQ1282"/>
      <c r="AFR1282"/>
      <c r="AFS1282"/>
      <c r="AFT1282"/>
      <c r="AFU1282"/>
      <c r="AFV1282"/>
      <c r="AFW1282"/>
      <c r="AFX1282"/>
      <c r="AFY1282"/>
      <c r="AFZ1282"/>
      <c r="AGA1282"/>
      <c r="AGB1282"/>
      <c r="AGC1282"/>
      <c r="AGD1282"/>
      <c r="AGE1282"/>
      <c r="AGF1282"/>
      <c r="AGG1282"/>
      <c r="AGH1282"/>
      <c r="AGI1282"/>
      <c r="AGJ1282"/>
      <c r="AGK1282"/>
      <c r="AGL1282"/>
      <c r="AGM1282"/>
      <c r="AGN1282"/>
      <c r="AGO1282"/>
      <c r="AGP1282"/>
      <c r="AGQ1282"/>
      <c r="AGR1282"/>
      <c r="AGS1282"/>
      <c r="AGT1282"/>
      <c r="AGU1282"/>
      <c r="AGV1282"/>
      <c r="AGW1282"/>
      <c r="AGX1282"/>
      <c r="AGY1282"/>
      <c r="AGZ1282"/>
      <c r="AHA1282"/>
      <c r="AHB1282"/>
      <c r="AHC1282"/>
      <c r="AHD1282"/>
      <c r="AHE1282"/>
      <c r="AHF1282"/>
      <c r="AHG1282"/>
      <c r="AHH1282"/>
      <c r="AHI1282"/>
      <c r="AHJ1282"/>
      <c r="AHK1282"/>
      <c r="AHL1282"/>
      <c r="AHM1282"/>
      <c r="AHN1282"/>
      <c r="AHO1282"/>
      <c r="AHP1282"/>
      <c r="AHQ1282"/>
      <c r="AHR1282"/>
      <c r="AHS1282"/>
      <c r="AHT1282"/>
      <c r="AHU1282"/>
      <c r="AHV1282"/>
      <c r="AHW1282"/>
      <c r="AHX1282"/>
      <c r="AHY1282"/>
      <c r="AHZ1282"/>
      <c r="AIA1282"/>
      <c r="AIB1282"/>
      <c r="AIC1282"/>
      <c r="AID1282"/>
      <c r="AIE1282"/>
      <c r="AIF1282"/>
      <c r="AIG1282"/>
      <c r="AIH1282"/>
      <c r="AII1282"/>
      <c r="AIJ1282"/>
      <c r="AIK1282"/>
      <c r="AIL1282"/>
      <c r="AIM1282"/>
      <c r="AIN1282"/>
      <c r="AIO1282"/>
      <c r="AIP1282"/>
      <c r="AIQ1282"/>
      <c r="AIR1282"/>
      <c r="AIS1282"/>
      <c r="AIT1282"/>
      <c r="AIU1282"/>
      <c r="AIV1282"/>
      <c r="AIW1282"/>
      <c r="AIX1282"/>
      <c r="AIY1282"/>
      <c r="AIZ1282"/>
      <c r="AJA1282"/>
      <c r="AJB1282"/>
      <c r="AJC1282"/>
      <c r="AJD1282"/>
      <c r="AJE1282"/>
      <c r="AJF1282"/>
      <c r="AJG1282"/>
      <c r="AJH1282"/>
      <c r="AJI1282"/>
      <c r="AJJ1282"/>
      <c r="AJK1282"/>
      <c r="AJL1282"/>
      <c r="AJM1282"/>
      <c r="AJN1282"/>
      <c r="AJO1282"/>
      <c r="AJP1282"/>
      <c r="AJQ1282"/>
      <c r="AJR1282"/>
      <c r="AJS1282"/>
      <c r="AJT1282"/>
      <c r="AJU1282"/>
      <c r="AJV1282"/>
      <c r="AJW1282"/>
      <c r="AJX1282"/>
      <c r="AJY1282"/>
      <c r="AJZ1282"/>
      <c r="AKA1282"/>
      <c r="AKB1282"/>
      <c r="AKC1282"/>
      <c r="AKD1282"/>
      <c r="AKE1282"/>
      <c r="AKF1282"/>
      <c r="AKG1282"/>
      <c r="AKH1282"/>
      <c r="AKI1282"/>
      <c r="AKJ1282"/>
      <c r="AKK1282"/>
      <c r="AKL1282"/>
      <c r="AKM1282"/>
      <c r="AKN1282"/>
      <c r="AKO1282"/>
      <c r="AKP1282"/>
      <c r="AKQ1282"/>
      <c r="AKR1282"/>
      <c r="AKS1282"/>
      <c r="AKT1282"/>
      <c r="AKU1282"/>
      <c r="AKV1282"/>
      <c r="AKW1282"/>
      <c r="AKX1282"/>
      <c r="AKY1282"/>
      <c r="AKZ1282"/>
      <c r="ALA1282"/>
      <c r="ALB1282"/>
      <c r="ALC1282"/>
      <c r="ALD1282"/>
      <c r="ALE1282"/>
      <c r="ALF1282"/>
      <c r="ALG1282"/>
      <c r="ALH1282"/>
      <c r="ALI1282"/>
      <c r="ALJ1282"/>
      <c r="ALK1282"/>
      <c r="ALL1282"/>
      <c r="ALM1282"/>
      <c r="ALN1282"/>
      <c r="ALO1282"/>
      <c r="ALP1282"/>
      <c r="ALQ1282"/>
      <c r="ALR1282"/>
      <c r="ALS1282"/>
      <c r="ALT1282"/>
    </row>
    <row r="1283" spans="1:1008" x14ac:dyDescent="0.15">
      <c r="A1283" t="s">
        <v>4031</v>
      </c>
      <c r="B1283" s="8" t="s">
        <v>3975</v>
      </c>
      <c r="C1283" t="s">
        <v>4031</v>
      </c>
      <c r="D1283" s="8" t="s">
        <v>15</v>
      </c>
      <c r="E1283" t="s">
        <v>4031</v>
      </c>
      <c r="F1283" t="s">
        <v>4032</v>
      </c>
      <c r="G1283">
        <v>500</v>
      </c>
      <c r="H1283"/>
      <c r="I1283"/>
      <c r="J1283"/>
      <c r="K1283"/>
      <c r="L1283"/>
      <c r="M1283"/>
      <c r="N1283"/>
      <c r="O1283"/>
      <c r="P1283"/>
      <c r="Q1283"/>
      <c r="R1283"/>
      <c r="S1283"/>
      <c r="T1283"/>
      <c r="U1283"/>
      <c r="V1283"/>
      <c r="W1283"/>
      <c r="X1283"/>
      <c r="Y1283"/>
      <c r="Z1283"/>
      <c r="AA1283"/>
      <c r="AB1283"/>
      <c r="AC1283"/>
      <c r="AD1283"/>
      <c r="AE1283"/>
      <c r="AF1283"/>
      <c r="AG1283"/>
      <c r="AH1283"/>
      <c r="AI1283"/>
      <c r="AJ1283"/>
      <c r="AK1283"/>
      <c r="AL1283"/>
      <c r="AM1283"/>
      <c r="AN1283"/>
      <c r="AO1283"/>
      <c r="AP1283"/>
      <c r="AQ1283"/>
      <c r="AR1283"/>
      <c r="AS1283"/>
      <c r="AT1283"/>
      <c r="AU1283"/>
      <c r="AV1283"/>
      <c r="AW1283"/>
      <c r="AX1283"/>
      <c r="AY1283"/>
      <c r="AZ1283"/>
      <c r="BA1283"/>
      <c r="BB1283"/>
      <c r="BC1283"/>
      <c r="BD1283"/>
      <c r="BE1283"/>
      <c r="BF1283"/>
      <c r="BG1283"/>
      <c r="BH1283"/>
      <c r="BI1283"/>
      <c r="BJ1283"/>
      <c r="BK1283"/>
      <c r="BL1283"/>
      <c r="BM1283"/>
      <c r="BN1283"/>
      <c r="BO1283"/>
      <c r="BP1283"/>
      <c r="BQ1283"/>
      <c r="BR1283"/>
      <c r="BS1283"/>
      <c r="BT1283"/>
      <c r="BU1283"/>
      <c r="BV1283"/>
      <c r="BW1283"/>
      <c r="BX1283"/>
      <c r="BY1283"/>
      <c r="BZ1283"/>
      <c r="CA1283"/>
      <c r="CB1283"/>
      <c r="CC1283"/>
      <c r="CD1283"/>
      <c r="CE1283"/>
      <c r="CF1283"/>
      <c r="CG1283"/>
      <c r="CH1283"/>
      <c r="CI1283"/>
      <c r="CJ1283"/>
      <c r="CK1283"/>
      <c r="CL1283"/>
      <c r="CM1283"/>
      <c r="CN1283"/>
      <c r="CO1283"/>
      <c r="CP1283"/>
      <c r="CQ1283"/>
      <c r="CR1283"/>
      <c r="CS1283"/>
      <c r="CT1283"/>
      <c r="CU1283"/>
      <c r="CV1283"/>
      <c r="CW1283"/>
      <c r="CX1283"/>
      <c r="CY1283"/>
      <c r="CZ1283"/>
      <c r="DA1283"/>
      <c r="DB1283"/>
      <c r="DC1283"/>
      <c r="DD1283"/>
      <c r="DE1283"/>
      <c r="DF1283"/>
      <c r="DG1283"/>
      <c r="DH1283"/>
      <c r="DI1283"/>
      <c r="DJ1283"/>
      <c r="DK1283"/>
      <c r="DL1283"/>
      <c r="DM1283"/>
      <c r="DN1283"/>
      <c r="DO1283"/>
      <c r="DP1283"/>
      <c r="DQ1283"/>
      <c r="DR1283"/>
      <c r="DS1283"/>
      <c r="DT1283"/>
      <c r="DU1283"/>
      <c r="DV1283"/>
      <c r="DW1283"/>
      <c r="DX1283"/>
      <c r="DY1283"/>
      <c r="DZ1283"/>
      <c r="EA1283"/>
      <c r="EB1283"/>
      <c r="EC1283"/>
      <c r="ED1283"/>
      <c r="EE1283"/>
      <c r="EF1283"/>
      <c r="EG1283"/>
      <c r="EH1283"/>
      <c r="EI1283"/>
      <c r="EJ1283"/>
      <c r="EK1283"/>
      <c r="EL1283"/>
      <c r="EM1283"/>
      <c r="EN1283"/>
      <c r="EO1283"/>
      <c r="EP1283"/>
      <c r="EQ1283"/>
      <c r="ER1283"/>
      <c r="ES1283"/>
      <c r="ET1283"/>
      <c r="EU1283"/>
      <c r="EV1283"/>
      <c r="EW1283"/>
      <c r="EX1283"/>
      <c r="EY1283"/>
      <c r="EZ1283"/>
      <c r="FA1283"/>
      <c r="FB1283"/>
      <c r="FC1283"/>
      <c r="FD1283"/>
      <c r="FE1283"/>
      <c r="FF1283"/>
      <c r="FG1283"/>
      <c r="FH1283"/>
      <c r="FI1283"/>
      <c r="FJ1283"/>
      <c r="FK1283"/>
      <c r="FL1283"/>
      <c r="FM1283"/>
      <c r="FN1283"/>
      <c r="FO1283"/>
      <c r="FP1283"/>
      <c r="FQ1283"/>
      <c r="FR1283"/>
      <c r="FS1283"/>
      <c r="FT1283"/>
      <c r="FU1283"/>
      <c r="FV1283"/>
      <c r="FW1283"/>
      <c r="FX1283"/>
      <c r="FY1283"/>
      <c r="FZ1283"/>
      <c r="GA1283"/>
      <c r="GB1283"/>
      <c r="GC1283"/>
      <c r="GD1283"/>
      <c r="GE1283"/>
      <c r="GF1283"/>
      <c r="GG1283"/>
      <c r="GH1283"/>
      <c r="GI1283"/>
      <c r="GJ1283"/>
      <c r="GK1283"/>
      <c r="GL1283"/>
      <c r="GM1283"/>
      <c r="GN1283"/>
      <c r="GO1283"/>
      <c r="GP1283"/>
      <c r="GQ1283"/>
      <c r="GR1283"/>
      <c r="GS1283"/>
      <c r="GT1283"/>
      <c r="GU1283"/>
      <c r="GV1283"/>
      <c r="GW1283"/>
      <c r="GX1283"/>
      <c r="GY1283"/>
      <c r="GZ1283"/>
      <c r="HA1283"/>
      <c r="HB1283"/>
      <c r="HC1283"/>
      <c r="HD1283"/>
      <c r="HE1283"/>
      <c r="HF1283"/>
      <c r="HG1283"/>
      <c r="HH1283"/>
      <c r="HI1283"/>
      <c r="HJ1283"/>
      <c r="HK1283"/>
      <c r="HL1283"/>
      <c r="HM1283"/>
      <c r="HN1283"/>
      <c r="HO1283"/>
      <c r="HP1283"/>
      <c r="HQ1283"/>
      <c r="HR1283"/>
      <c r="HS1283"/>
      <c r="HT1283"/>
      <c r="HU1283"/>
      <c r="HV1283"/>
      <c r="HW1283"/>
      <c r="HX1283"/>
      <c r="HY1283"/>
      <c r="HZ1283"/>
      <c r="IA1283"/>
      <c r="IB1283"/>
      <c r="IC1283"/>
      <c r="ID1283"/>
      <c r="IE1283"/>
      <c r="IF1283"/>
      <c r="IG1283"/>
      <c r="IH1283"/>
      <c r="II1283"/>
      <c r="IJ1283"/>
      <c r="IK1283"/>
      <c r="IL1283"/>
      <c r="IM1283"/>
      <c r="IN1283"/>
      <c r="IO1283"/>
      <c r="IP1283"/>
      <c r="IQ1283"/>
      <c r="IR1283"/>
      <c r="IS1283"/>
      <c r="IT1283"/>
      <c r="IU1283"/>
      <c r="IV1283"/>
      <c r="IW1283"/>
      <c r="IX1283"/>
      <c r="IY1283"/>
      <c r="IZ1283"/>
      <c r="JA1283"/>
      <c r="JB1283"/>
      <c r="JC1283"/>
      <c r="JD1283"/>
      <c r="JE1283"/>
      <c r="JF1283"/>
      <c r="JG1283"/>
      <c r="JH1283"/>
      <c r="JI1283"/>
      <c r="JJ1283"/>
      <c r="JK1283"/>
      <c r="JL1283"/>
      <c r="JM1283"/>
      <c r="JN1283"/>
      <c r="JO1283"/>
      <c r="JP1283"/>
      <c r="JQ1283"/>
      <c r="JR1283"/>
      <c r="JS1283"/>
      <c r="JT1283"/>
      <c r="JU1283"/>
      <c r="JV1283"/>
      <c r="JW1283"/>
      <c r="JX1283"/>
      <c r="JY1283"/>
      <c r="JZ1283"/>
      <c r="KA1283"/>
      <c r="KB1283"/>
      <c r="KC1283"/>
      <c r="KD1283"/>
      <c r="KE1283"/>
      <c r="KF1283"/>
      <c r="KG1283"/>
      <c r="KH1283"/>
      <c r="KI1283"/>
      <c r="KJ1283"/>
      <c r="KK1283"/>
      <c r="KL1283"/>
      <c r="KM1283"/>
      <c r="KN1283"/>
      <c r="KO1283"/>
      <c r="KP1283"/>
      <c r="KQ1283"/>
      <c r="KR1283"/>
      <c r="KS1283"/>
      <c r="KT1283"/>
      <c r="KU1283"/>
      <c r="KV1283"/>
      <c r="KW1283"/>
      <c r="KX1283"/>
      <c r="KY1283"/>
      <c r="KZ1283"/>
      <c r="LA1283"/>
      <c r="LB1283"/>
      <c r="LC1283"/>
      <c r="LD1283"/>
      <c r="LE1283"/>
      <c r="LF1283"/>
      <c r="LG1283"/>
      <c r="LH1283"/>
      <c r="LI1283"/>
      <c r="LJ1283"/>
      <c r="LK1283"/>
      <c r="LL1283"/>
      <c r="LM1283"/>
      <c r="LN1283"/>
      <c r="LO1283"/>
      <c r="LP1283"/>
      <c r="LQ1283"/>
      <c r="LR1283"/>
      <c r="LS1283"/>
      <c r="LT1283"/>
      <c r="LU1283"/>
      <c r="LV1283"/>
      <c r="LW1283"/>
      <c r="LX1283"/>
      <c r="LY1283"/>
      <c r="LZ1283"/>
      <c r="MA1283"/>
      <c r="MB1283"/>
      <c r="MC1283"/>
      <c r="MD1283"/>
      <c r="ME1283"/>
      <c r="MF1283"/>
      <c r="MG1283"/>
      <c r="MH1283"/>
      <c r="MI1283"/>
      <c r="MJ1283"/>
      <c r="MK1283"/>
      <c r="ML1283"/>
      <c r="MM1283"/>
      <c r="MN1283"/>
      <c r="MO1283"/>
      <c r="MP1283"/>
      <c r="MQ1283"/>
      <c r="MR1283"/>
      <c r="MS1283"/>
      <c r="MT1283"/>
      <c r="MU1283"/>
      <c r="MV1283"/>
      <c r="MW1283"/>
      <c r="MX1283"/>
      <c r="MY1283"/>
      <c r="MZ1283"/>
      <c r="NA1283"/>
      <c r="NB1283"/>
      <c r="NC1283"/>
      <c r="ND1283"/>
      <c r="NE1283"/>
      <c r="NF1283"/>
      <c r="NG1283"/>
      <c r="NH1283"/>
      <c r="NI1283"/>
      <c r="NJ1283"/>
      <c r="NK1283"/>
      <c r="NL1283"/>
      <c r="NM1283"/>
      <c r="NN1283"/>
      <c r="NO1283"/>
      <c r="NP1283"/>
      <c r="NQ1283"/>
      <c r="NR1283"/>
      <c r="NS1283"/>
      <c r="NT1283"/>
      <c r="NU1283"/>
      <c r="NV1283"/>
      <c r="NW1283"/>
      <c r="NX1283"/>
      <c r="NY1283"/>
      <c r="NZ1283"/>
      <c r="OA1283"/>
      <c r="OB1283"/>
      <c r="OC1283"/>
      <c r="OD1283"/>
      <c r="OE1283"/>
      <c r="OF1283"/>
      <c r="OG1283"/>
      <c r="OH1283"/>
      <c r="OI1283"/>
      <c r="OJ1283"/>
      <c r="OK1283"/>
      <c r="OL1283"/>
      <c r="OM1283"/>
      <c r="ON1283"/>
      <c r="OO1283"/>
      <c r="OP1283"/>
      <c r="OQ1283"/>
      <c r="OR1283"/>
      <c r="OS1283"/>
      <c r="OT1283"/>
      <c r="OU1283"/>
      <c r="OV1283"/>
      <c r="OW1283"/>
      <c r="OX1283"/>
      <c r="OY1283"/>
      <c r="OZ1283"/>
      <c r="PA1283"/>
      <c r="PB1283"/>
      <c r="PC1283"/>
      <c r="PD1283"/>
      <c r="PE1283"/>
      <c r="PF1283"/>
      <c r="PG1283"/>
      <c r="PH1283"/>
      <c r="PI1283"/>
      <c r="PJ1283"/>
      <c r="PK1283"/>
      <c r="PL1283"/>
      <c r="PM1283"/>
      <c r="PN1283"/>
      <c r="PO1283"/>
      <c r="PP1283"/>
      <c r="PQ1283"/>
      <c r="PR1283"/>
      <c r="PS1283"/>
      <c r="PT1283"/>
      <c r="PU1283"/>
      <c r="PV1283"/>
      <c r="PW1283"/>
      <c r="PX1283"/>
      <c r="PY1283"/>
      <c r="PZ1283"/>
      <c r="QA1283"/>
      <c r="QB1283"/>
      <c r="QC1283"/>
      <c r="QD1283"/>
      <c r="QE1283"/>
      <c r="QF1283"/>
      <c r="QG1283"/>
      <c r="QH1283"/>
      <c r="QI1283"/>
      <c r="QJ1283"/>
      <c r="QK1283"/>
      <c r="QL1283"/>
      <c r="QM1283"/>
      <c r="QN1283"/>
      <c r="QO1283"/>
      <c r="QP1283"/>
      <c r="QQ1283"/>
      <c r="QR1283"/>
      <c r="QS1283"/>
      <c r="QT1283"/>
      <c r="QU1283"/>
      <c r="QV1283"/>
      <c r="QW1283"/>
      <c r="QX1283"/>
      <c r="QY1283"/>
      <c r="QZ1283"/>
      <c r="RA1283"/>
      <c r="RB1283"/>
      <c r="RC1283"/>
      <c r="RD1283"/>
      <c r="RE1283"/>
      <c r="RF1283"/>
      <c r="RG1283"/>
      <c r="RH1283"/>
      <c r="RI1283"/>
      <c r="RJ1283"/>
      <c r="RK1283"/>
      <c r="RL1283"/>
      <c r="RM1283"/>
      <c r="RN1283"/>
      <c r="RO1283"/>
      <c r="RP1283"/>
      <c r="RQ1283"/>
      <c r="RR1283"/>
      <c r="RS1283"/>
      <c r="RT1283"/>
      <c r="RU1283"/>
      <c r="RV1283"/>
      <c r="RW1283"/>
      <c r="RX1283"/>
      <c r="RY1283"/>
      <c r="RZ1283"/>
      <c r="SA1283"/>
      <c r="SB1283"/>
      <c r="SC1283"/>
      <c r="SD1283"/>
      <c r="SE1283"/>
      <c r="SF1283"/>
      <c r="SG1283"/>
      <c r="SH1283"/>
      <c r="SI1283"/>
      <c r="SJ1283"/>
      <c r="SK1283"/>
      <c r="SL1283"/>
      <c r="SM1283"/>
      <c r="SN1283"/>
      <c r="SO1283"/>
      <c r="SP1283"/>
      <c r="SQ1283"/>
      <c r="SR1283"/>
      <c r="SS1283"/>
      <c r="ST1283"/>
      <c r="SU1283"/>
      <c r="SV1283"/>
      <c r="SW1283"/>
      <c r="SX1283"/>
      <c r="SY1283"/>
      <c r="SZ1283"/>
      <c r="TA1283"/>
      <c r="TB1283"/>
      <c r="TC1283"/>
      <c r="TD1283"/>
      <c r="TE1283"/>
      <c r="TF1283"/>
      <c r="TG1283"/>
      <c r="TH1283"/>
      <c r="TI1283"/>
      <c r="TJ1283"/>
      <c r="TK1283"/>
      <c r="TL1283"/>
      <c r="TM1283"/>
      <c r="TN1283"/>
      <c r="TO1283"/>
      <c r="TP1283"/>
      <c r="TQ1283"/>
      <c r="TR1283"/>
      <c r="TS1283"/>
      <c r="TT1283"/>
      <c r="TU1283"/>
      <c r="TV1283"/>
      <c r="TW1283"/>
      <c r="TX1283"/>
      <c r="TY1283"/>
      <c r="TZ1283"/>
      <c r="UA1283"/>
      <c r="UB1283"/>
      <c r="UC1283"/>
      <c r="UD1283"/>
      <c r="UE1283"/>
      <c r="UF1283"/>
      <c r="UG1283"/>
      <c r="UH1283"/>
      <c r="UI1283"/>
      <c r="UJ1283"/>
      <c r="UK1283"/>
      <c r="UL1283"/>
      <c r="UM1283"/>
      <c r="UN1283"/>
      <c r="UO1283"/>
      <c r="UP1283"/>
      <c r="UQ1283"/>
      <c r="UR1283"/>
      <c r="US1283"/>
      <c r="UT1283"/>
      <c r="UU1283"/>
      <c r="UV1283"/>
      <c r="UW1283"/>
      <c r="UX1283"/>
      <c r="UY1283"/>
      <c r="UZ1283"/>
      <c r="VA1283"/>
      <c r="VB1283"/>
      <c r="VC1283"/>
      <c r="VD1283"/>
      <c r="VE1283"/>
      <c r="VF1283"/>
      <c r="VG1283"/>
      <c r="VH1283"/>
      <c r="VI1283"/>
      <c r="VJ1283"/>
      <c r="VK1283"/>
      <c r="VL1283"/>
      <c r="VM1283"/>
      <c r="VN1283"/>
      <c r="VO1283"/>
      <c r="VP1283"/>
      <c r="VQ1283"/>
      <c r="VR1283"/>
      <c r="VS1283"/>
      <c r="VT1283"/>
      <c r="VU1283"/>
      <c r="VV1283"/>
      <c r="VW1283"/>
      <c r="VX1283"/>
      <c r="VY1283"/>
      <c r="VZ1283"/>
      <c r="WA1283"/>
      <c r="WB1283"/>
      <c r="WC1283"/>
      <c r="WD1283"/>
      <c r="WE1283"/>
      <c r="WF1283"/>
      <c r="WG1283"/>
      <c r="WH1283"/>
      <c r="WI1283"/>
      <c r="WJ1283"/>
      <c r="WK1283"/>
      <c r="WL1283"/>
      <c r="WM1283"/>
      <c r="WN1283"/>
      <c r="WO1283"/>
      <c r="WP1283"/>
      <c r="WQ1283"/>
      <c r="WR1283"/>
      <c r="WS1283"/>
      <c r="WT1283"/>
      <c r="WU1283"/>
      <c r="WV1283"/>
      <c r="WW1283"/>
      <c r="WX1283"/>
      <c r="WY1283"/>
      <c r="WZ1283"/>
      <c r="XA1283"/>
      <c r="XB1283"/>
      <c r="XC1283"/>
      <c r="XD1283"/>
      <c r="XE1283"/>
      <c r="XF1283"/>
      <c r="XG1283"/>
      <c r="XH1283"/>
      <c r="XI1283"/>
      <c r="XJ1283"/>
      <c r="XK1283"/>
      <c r="XL1283"/>
      <c r="XM1283"/>
      <c r="XN1283"/>
      <c r="XO1283"/>
      <c r="XP1283"/>
      <c r="XQ1283"/>
      <c r="XR1283"/>
      <c r="XS1283"/>
      <c r="XT1283"/>
      <c r="XU1283"/>
      <c r="XV1283"/>
      <c r="XW1283"/>
      <c r="XX1283"/>
      <c r="XY1283"/>
      <c r="XZ1283"/>
      <c r="YA1283"/>
      <c r="YB1283"/>
      <c r="YC1283"/>
      <c r="YD1283"/>
      <c r="YE1283"/>
      <c r="YF1283"/>
      <c r="YG1283"/>
      <c r="YH1283"/>
      <c r="YI1283"/>
      <c r="YJ1283"/>
      <c r="YK1283"/>
      <c r="YL1283"/>
      <c r="YM1283"/>
      <c r="YN1283"/>
      <c r="YO1283"/>
      <c r="YP1283"/>
      <c r="YQ1283"/>
      <c r="YR1283"/>
      <c r="YS1283"/>
      <c r="YT1283"/>
      <c r="YU1283"/>
      <c r="YV1283"/>
      <c r="YW1283"/>
      <c r="YX1283"/>
      <c r="YY1283"/>
      <c r="YZ1283"/>
      <c r="ZA1283"/>
      <c r="ZB1283"/>
      <c r="ZC1283"/>
      <c r="ZD1283"/>
      <c r="ZE1283"/>
      <c r="ZF1283"/>
      <c r="ZG1283"/>
      <c r="ZH1283"/>
      <c r="ZI1283"/>
      <c r="ZJ1283"/>
      <c r="ZK1283"/>
      <c r="ZL1283"/>
      <c r="ZM1283"/>
      <c r="ZN1283"/>
      <c r="ZO1283"/>
      <c r="ZP1283"/>
      <c r="ZQ1283"/>
      <c r="ZR1283"/>
      <c r="ZS1283"/>
      <c r="ZT1283"/>
      <c r="ZU1283"/>
      <c r="ZV1283"/>
      <c r="ZW1283"/>
      <c r="ZX1283"/>
      <c r="ZY1283"/>
      <c r="ZZ1283"/>
      <c r="AAA1283"/>
      <c r="AAB1283"/>
      <c r="AAC1283"/>
      <c r="AAD1283"/>
      <c r="AAE1283"/>
      <c r="AAF1283"/>
      <c r="AAG1283"/>
      <c r="AAH1283"/>
      <c r="AAI1283"/>
      <c r="AAJ1283"/>
      <c r="AAK1283"/>
      <c r="AAL1283"/>
      <c r="AAM1283"/>
      <c r="AAN1283"/>
      <c r="AAO1283"/>
      <c r="AAP1283"/>
      <c r="AAQ1283"/>
      <c r="AAR1283"/>
      <c r="AAS1283"/>
      <c r="AAT1283"/>
      <c r="AAU1283"/>
      <c r="AAV1283"/>
      <c r="AAW1283"/>
      <c r="AAX1283"/>
      <c r="AAY1283"/>
      <c r="AAZ1283"/>
      <c r="ABA1283"/>
      <c r="ABB1283"/>
      <c r="ABC1283"/>
      <c r="ABD1283"/>
      <c r="ABE1283"/>
      <c r="ABF1283"/>
      <c r="ABG1283"/>
      <c r="ABH1283"/>
      <c r="ABI1283"/>
      <c r="ABJ1283"/>
      <c r="ABK1283"/>
      <c r="ABL1283"/>
      <c r="ABM1283"/>
      <c r="ABN1283"/>
      <c r="ABO1283"/>
      <c r="ABP1283"/>
      <c r="ABQ1283"/>
      <c r="ABR1283"/>
      <c r="ABS1283"/>
      <c r="ABT1283"/>
      <c r="ABU1283"/>
      <c r="ABV1283"/>
      <c r="ABW1283"/>
      <c r="ABX1283"/>
      <c r="ABY1283"/>
      <c r="ABZ1283"/>
      <c r="ACA1283"/>
      <c r="ACB1283"/>
      <c r="ACC1283"/>
      <c r="ACD1283"/>
      <c r="ACE1283"/>
      <c r="ACF1283"/>
      <c r="ACG1283"/>
      <c r="ACH1283"/>
      <c r="ACI1283"/>
      <c r="ACJ1283"/>
      <c r="ACK1283"/>
      <c r="ACL1283"/>
      <c r="ACM1283"/>
      <c r="ACN1283"/>
      <c r="ACO1283"/>
      <c r="ACP1283"/>
      <c r="ACQ1283"/>
      <c r="ACR1283"/>
      <c r="ACS1283"/>
      <c r="ACT1283"/>
      <c r="ACU1283"/>
      <c r="ACV1283"/>
      <c r="ACW1283"/>
      <c r="ACX1283"/>
      <c r="ACY1283"/>
      <c r="ACZ1283"/>
      <c r="ADA1283"/>
      <c r="ADB1283"/>
      <c r="ADC1283"/>
      <c r="ADD1283"/>
      <c r="ADE1283"/>
      <c r="ADF1283"/>
      <c r="ADG1283"/>
      <c r="ADH1283"/>
      <c r="ADI1283"/>
      <c r="ADJ1283"/>
      <c r="ADK1283"/>
      <c r="ADL1283"/>
      <c r="ADM1283"/>
      <c r="ADN1283"/>
      <c r="ADO1283"/>
      <c r="ADP1283"/>
      <c r="ADQ1283"/>
      <c r="ADR1283"/>
      <c r="ADS1283"/>
      <c r="ADT1283"/>
      <c r="ADU1283"/>
      <c r="ADV1283"/>
      <c r="ADW1283"/>
      <c r="ADX1283"/>
      <c r="ADY1283"/>
      <c r="ADZ1283"/>
      <c r="AEA1283"/>
      <c r="AEB1283"/>
      <c r="AEC1283"/>
      <c r="AED1283"/>
      <c r="AEE1283"/>
      <c r="AEF1283"/>
      <c r="AEG1283"/>
      <c r="AEH1283"/>
      <c r="AEI1283"/>
      <c r="AEJ1283"/>
      <c r="AEK1283"/>
      <c r="AEL1283"/>
      <c r="AEM1283"/>
      <c r="AEN1283"/>
      <c r="AEO1283"/>
      <c r="AEP1283"/>
      <c r="AEQ1283"/>
      <c r="AER1283"/>
      <c r="AES1283"/>
      <c r="AET1283"/>
      <c r="AEU1283"/>
      <c r="AEV1283"/>
      <c r="AEW1283"/>
      <c r="AEX1283"/>
      <c r="AEY1283"/>
      <c r="AEZ1283"/>
      <c r="AFA1283"/>
      <c r="AFB1283"/>
      <c r="AFC1283"/>
      <c r="AFD1283"/>
      <c r="AFE1283"/>
      <c r="AFF1283"/>
      <c r="AFG1283"/>
      <c r="AFH1283"/>
      <c r="AFI1283"/>
      <c r="AFJ1283"/>
      <c r="AFK1283"/>
      <c r="AFL1283"/>
      <c r="AFM1283"/>
      <c r="AFN1283"/>
      <c r="AFO1283"/>
      <c r="AFP1283"/>
      <c r="AFQ1283"/>
      <c r="AFR1283"/>
      <c r="AFS1283"/>
      <c r="AFT1283"/>
      <c r="AFU1283"/>
      <c r="AFV1283"/>
      <c r="AFW1283"/>
      <c r="AFX1283"/>
      <c r="AFY1283"/>
      <c r="AFZ1283"/>
      <c r="AGA1283"/>
      <c r="AGB1283"/>
      <c r="AGC1283"/>
      <c r="AGD1283"/>
      <c r="AGE1283"/>
      <c r="AGF1283"/>
      <c r="AGG1283"/>
      <c r="AGH1283"/>
      <c r="AGI1283"/>
      <c r="AGJ1283"/>
      <c r="AGK1283"/>
      <c r="AGL1283"/>
      <c r="AGM1283"/>
      <c r="AGN1283"/>
      <c r="AGO1283"/>
      <c r="AGP1283"/>
      <c r="AGQ1283"/>
      <c r="AGR1283"/>
      <c r="AGS1283"/>
      <c r="AGT1283"/>
      <c r="AGU1283"/>
      <c r="AGV1283"/>
      <c r="AGW1283"/>
      <c r="AGX1283"/>
      <c r="AGY1283"/>
      <c r="AGZ1283"/>
      <c r="AHA1283"/>
      <c r="AHB1283"/>
      <c r="AHC1283"/>
      <c r="AHD1283"/>
      <c r="AHE1283"/>
      <c r="AHF1283"/>
      <c r="AHG1283"/>
      <c r="AHH1283"/>
      <c r="AHI1283"/>
      <c r="AHJ1283"/>
      <c r="AHK1283"/>
      <c r="AHL1283"/>
      <c r="AHM1283"/>
      <c r="AHN1283"/>
      <c r="AHO1283"/>
      <c r="AHP1283"/>
      <c r="AHQ1283"/>
      <c r="AHR1283"/>
      <c r="AHS1283"/>
      <c r="AHT1283"/>
      <c r="AHU1283"/>
      <c r="AHV1283"/>
      <c r="AHW1283"/>
      <c r="AHX1283"/>
      <c r="AHY1283"/>
      <c r="AHZ1283"/>
      <c r="AIA1283"/>
      <c r="AIB1283"/>
      <c r="AIC1283"/>
      <c r="AID1283"/>
      <c r="AIE1283"/>
      <c r="AIF1283"/>
      <c r="AIG1283"/>
      <c r="AIH1283"/>
      <c r="AII1283"/>
      <c r="AIJ1283"/>
      <c r="AIK1283"/>
      <c r="AIL1283"/>
      <c r="AIM1283"/>
      <c r="AIN1283"/>
      <c r="AIO1283"/>
      <c r="AIP1283"/>
      <c r="AIQ1283"/>
      <c r="AIR1283"/>
      <c r="AIS1283"/>
      <c r="AIT1283"/>
      <c r="AIU1283"/>
      <c r="AIV1283"/>
      <c r="AIW1283"/>
      <c r="AIX1283"/>
      <c r="AIY1283"/>
      <c r="AIZ1283"/>
      <c r="AJA1283"/>
      <c r="AJB1283"/>
      <c r="AJC1283"/>
      <c r="AJD1283"/>
      <c r="AJE1283"/>
      <c r="AJF1283"/>
      <c r="AJG1283"/>
      <c r="AJH1283"/>
      <c r="AJI1283"/>
      <c r="AJJ1283"/>
      <c r="AJK1283"/>
      <c r="AJL1283"/>
      <c r="AJM1283"/>
      <c r="AJN1283"/>
      <c r="AJO1283"/>
      <c r="AJP1283"/>
      <c r="AJQ1283"/>
      <c r="AJR1283"/>
      <c r="AJS1283"/>
      <c r="AJT1283"/>
      <c r="AJU1283"/>
      <c r="AJV1283"/>
      <c r="AJW1283"/>
      <c r="AJX1283"/>
      <c r="AJY1283"/>
      <c r="AJZ1283"/>
      <c r="AKA1283"/>
      <c r="AKB1283"/>
      <c r="AKC1283"/>
      <c r="AKD1283"/>
      <c r="AKE1283"/>
      <c r="AKF1283"/>
      <c r="AKG1283"/>
      <c r="AKH1283"/>
      <c r="AKI1283"/>
      <c r="AKJ1283"/>
      <c r="AKK1283"/>
      <c r="AKL1283"/>
      <c r="AKM1283"/>
      <c r="AKN1283"/>
      <c r="AKO1283"/>
      <c r="AKP1283"/>
      <c r="AKQ1283"/>
      <c r="AKR1283"/>
      <c r="AKS1283"/>
      <c r="AKT1283"/>
      <c r="AKU1283"/>
      <c r="AKV1283"/>
      <c r="AKW1283"/>
      <c r="AKX1283"/>
      <c r="AKY1283"/>
      <c r="AKZ1283"/>
      <c r="ALA1283"/>
      <c r="ALB1283"/>
      <c r="ALC1283"/>
      <c r="ALD1283"/>
      <c r="ALE1283"/>
      <c r="ALF1283"/>
      <c r="ALG1283"/>
      <c r="ALH1283"/>
      <c r="ALI1283"/>
      <c r="ALJ1283"/>
      <c r="ALK1283"/>
      <c r="ALL1283"/>
      <c r="ALM1283"/>
      <c r="ALN1283"/>
      <c r="ALO1283"/>
      <c r="ALP1283"/>
      <c r="ALQ1283"/>
      <c r="ALR1283"/>
      <c r="ALS1283"/>
      <c r="ALT1283"/>
    </row>
    <row r="1284" spans="1:1008" x14ac:dyDescent="0.15">
      <c r="A1284" t="s">
        <v>4033</v>
      </c>
      <c r="B1284" s="8" t="s">
        <v>3975</v>
      </c>
      <c r="C1284" t="s">
        <v>4033</v>
      </c>
      <c r="D1284" s="8" t="s">
        <v>15</v>
      </c>
      <c r="E1284" t="s">
        <v>4033</v>
      </c>
      <c r="F1284" t="s">
        <v>4034</v>
      </c>
      <c r="G1284">
        <v>550</v>
      </c>
      <c r="H1284"/>
      <c r="I1284"/>
      <c r="J1284"/>
      <c r="K1284"/>
      <c r="L1284"/>
      <c r="M1284"/>
      <c r="N1284"/>
      <c r="O1284"/>
      <c r="P1284"/>
      <c r="Q1284"/>
      <c r="R1284"/>
      <c r="S1284"/>
      <c r="T1284"/>
      <c r="U1284"/>
      <c r="V1284"/>
      <c r="W1284"/>
      <c r="X1284"/>
      <c r="Y1284"/>
      <c r="Z1284"/>
      <c r="AA1284"/>
      <c r="AB1284"/>
      <c r="AC1284"/>
      <c r="AD1284"/>
      <c r="AE1284"/>
      <c r="AF1284"/>
      <c r="AG1284"/>
      <c r="AH1284"/>
      <c r="AI1284"/>
      <c r="AJ1284"/>
      <c r="AK1284"/>
      <c r="AL1284"/>
      <c r="AM1284"/>
      <c r="AN1284"/>
      <c r="AO1284"/>
      <c r="AP1284"/>
      <c r="AQ1284"/>
      <c r="AR1284"/>
      <c r="AS1284"/>
      <c r="AT1284"/>
      <c r="AU1284"/>
      <c r="AV1284"/>
      <c r="AW1284"/>
      <c r="AX1284"/>
      <c r="AY1284"/>
      <c r="AZ1284"/>
      <c r="BA1284"/>
      <c r="BB1284"/>
      <c r="BC1284"/>
      <c r="BD1284"/>
      <c r="BE1284"/>
      <c r="BF1284"/>
      <c r="BG1284"/>
      <c r="BH1284"/>
      <c r="BI1284"/>
      <c r="BJ1284"/>
      <c r="BK1284"/>
      <c r="BL1284"/>
      <c r="BM1284"/>
      <c r="BN1284"/>
      <c r="BO1284"/>
      <c r="BP1284"/>
      <c r="BQ1284"/>
      <c r="BR1284"/>
      <c r="BS1284"/>
      <c r="BT1284"/>
      <c r="BU1284"/>
      <c r="BV1284"/>
      <c r="BW1284"/>
      <c r="BX1284"/>
      <c r="BY1284"/>
      <c r="BZ1284"/>
      <c r="CA1284"/>
      <c r="CB1284"/>
      <c r="CC1284"/>
      <c r="CD1284"/>
      <c r="CE1284"/>
      <c r="CF1284"/>
      <c r="CG1284"/>
      <c r="CH1284"/>
      <c r="CI1284"/>
      <c r="CJ1284"/>
      <c r="CK1284"/>
      <c r="CL1284"/>
      <c r="CM1284"/>
      <c r="CN1284"/>
      <c r="CO1284"/>
      <c r="CP1284"/>
      <c r="CQ1284"/>
      <c r="CR1284"/>
      <c r="CS1284"/>
      <c r="CT1284"/>
      <c r="CU1284"/>
      <c r="CV1284"/>
      <c r="CW1284"/>
      <c r="CX1284"/>
      <c r="CY1284"/>
      <c r="CZ1284"/>
      <c r="DA1284"/>
      <c r="DB1284"/>
      <c r="DC1284"/>
      <c r="DD1284"/>
      <c r="DE1284"/>
      <c r="DF1284"/>
      <c r="DG1284"/>
      <c r="DH1284"/>
      <c r="DI1284"/>
      <c r="DJ1284"/>
      <c r="DK1284"/>
      <c r="DL1284"/>
      <c r="DM1284"/>
      <c r="DN1284"/>
      <c r="DO1284"/>
      <c r="DP1284"/>
      <c r="DQ1284"/>
      <c r="DR1284"/>
      <c r="DS1284"/>
      <c r="DT1284"/>
      <c r="DU1284"/>
      <c r="DV1284"/>
      <c r="DW1284"/>
      <c r="DX1284"/>
      <c r="DY1284"/>
      <c r="DZ1284"/>
      <c r="EA1284"/>
      <c r="EB1284"/>
      <c r="EC1284"/>
      <c r="ED1284"/>
      <c r="EE1284"/>
      <c r="EF1284"/>
      <c r="EG1284"/>
      <c r="EH1284"/>
      <c r="EI1284"/>
      <c r="EJ1284"/>
      <c r="EK1284"/>
      <c r="EL1284"/>
      <c r="EM1284"/>
      <c r="EN1284"/>
      <c r="EO1284"/>
      <c r="EP1284"/>
      <c r="EQ1284"/>
      <c r="ER1284"/>
      <c r="ES1284"/>
      <c r="ET1284"/>
      <c r="EU1284"/>
      <c r="EV1284"/>
      <c r="EW1284"/>
      <c r="EX1284"/>
      <c r="EY1284"/>
      <c r="EZ1284"/>
      <c r="FA1284"/>
      <c r="FB1284"/>
      <c r="FC1284"/>
      <c r="FD1284"/>
      <c r="FE1284"/>
      <c r="FF1284"/>
      <c r="FG1284"/>
      <c r="FH1284"/>
      <c r="FI1284"/>
      <c r="FJ1284"/>
      <c r="FK1284"/>
      <c r="FL1284"/>
      <c r="FM1284"/>
      <c r="FN1284"/>
      <c r="FO1284"/>
      <c r="FP1284"/>
      <c r="FQ1284"/>
      <c r="FR1284"/>
      <c r="FS1284"/>
      <c r="FT1284"/>
      <c r="FU1284"/>
      <c r="FV1284"/>
      <c r="FW1284"/>
      <c r="FX1284"/>
      <c r="FY1284"/>
      <c r="FZ1284"/>
      <c r="GA1284"/>
      <c r="GB1284"/>
      <c r="GC1284"/>
      <c r="GD1284"/>
      <c r="GE1284"/>
      <c r="GF1284"/>
      <c r="GG1284"/>
      <c r="GH1284"/>
      <c r="GI1284"/>
      <c r="GJ1284"/>
      <c r="GK1284"/>
      <c r="GL1284"/>
      <c r="GM1284"/>
      <c r="GN1284"/>
      <c r="GO1284"/>
      <c r="GP1284"/>
      <c r="GQ1284"/>
      <c r="GR1284"/>
      <c r="GS1284"/>
      <c r="GT1284"/>
      <c r="GU1284"/>
      <c r="GV1284"/>
      <c r="GW1284"/>
      <c r="GX1284"/>
      <c r="GY1284"/>
      <c r="GZ1284"/>
      <c r="HA1284"/>
      <c r="HB1284"/>
      <c r="HC1284"/>
      <c r="HD1284"/>
      <c r="HE1284"/>
      <c r="HF1284"/>
      <c r="HG1284"/>
      <c r="HH1284"/>
      <c r="HI1284"/>
      <c r="HJ1284"/>
      <c r="HK1284"/>
      <c r="HL1284"/>
      <c r="HM1284"/>
      <c r="HN1284"/>
      <c r="HO1284"/>
      <c r="HP1284"/>
      <c r="HQ1284"/>
      <c r="HR1284"/>
      <c r="HS1284"/>
      <c r="HT1284"/>
      <c r="HU1284"/>
      <c r="HV1284"/>
      <c r="HW1284"/>
      <c r="HX1284"/>
      <c r="HY1284"/>
      <c r="HZ1284"/>
      <c r="IA1284"/>
      <c r="IB1284"/>
      <c r="IC1284"/>
      <c r="ID1284"/>
      <c r="IE1284"/>
      <c r="IF1284"/>
      <c r="IG1284"/>
      <c r="IH1284"/>
      <c r="II1284"/>
      <c r="IJ1284"/>
      <c r="IK1284"/>
      <c r="IL1284"/>
      <c r="IM1284"/>
      <c r="IN1284"/>
      <c r="IO1284"/>
      <c r="IP1284"/>
      <c r="IQ1284"/>
      <c r="IR1284"/>
      <c r="IS1284"/>
      <c r="IT1284"/>
      <c r="IU1284"/>
      <c r="IV1284"/>
      <c r="IW1284"/>
      <c r="IX1284"/>
      <c r="IY1284"/>
      <c r="IZ1284"/>
      <c r="JA1284"/>
      <c r="JB1284"/>
      <c r="JC1284"/>
      <c r="JD1284"/>
      <c r="JE1284"/>
      <c r="JF1284"/>
      <c r="JG1284"/>
      <c r="JH1284"/>
      <c r="JI1284"/>
      <c r="JJ1284"/>
      <c r="JK1284"/>
      <c r="JL1284"/>
      <c r="JM1284"/>
      <c r="JN1284"/>
      <c r="JO1284"/>
      <c r="JP1284"/>
      <c r="JQ1284"/>
      <c r="JR1284"/>
      <c r="JS1284"/>
      <c r="JT1284"/>
      <c r="JU1284"/>
      <c r="JV1284"/>
      <c r="JW1284"/>
      <c r="JX1284"/>
      <c r="JY1284"/>
      <c r="JZ1284"/>
      <c r="KA1284"/>
      <c r="KB1284"/>
      <c r="KC1284"/>
      <c r="KD1284"/>
      <c r="KE1284"/>
      <c r="KF1284"/>
      <c r="KG1284"/>
      <c r="KH1284"/>
      <c r="KI1284"/>
      <c r="KJ1284"/>
      <c r="KK1284"/>
      <c r="KL1284"/>
      <c r="KM1284"/>
      <c r="KN1284"/>
      <c r="KO1284"/>
      <c r="KP1284"/>
      <c r="KQ1284"/>
      <c r="KR1284"/>
      <c r="KS1284"/>
      <c r="KT1284"/>
      <c r="KU1284"/>
      <c r="KV1284"/>
      <c r="KW1284"/>
      <c r="KX1284"/>
      <c r="KY1284"/>
      <c r="KZ1284"/>
      <c r="LA1284"/>
      <c r="LB1284"/>
      <c r="LC1284"/>
      <c r="LD1284"/>
      <c r="LE1284"/>
      <c r="LF1284"/>
      <c r="LG1284"/>
      <c r="LH1284"/>
      <c r="LI1284"/>
      <c r="LJ1284"/>
      <c r="LK1284"/>
      <c r="LL1284"/>
      <c r="LM1284"/>
      <c r="LN1284"/>
      <c r="LO1284"/>
      <c r="LP1284"/>
      <c r="LQ1284"/>
      <c r="LR1284"/>
      <c r="LS1284"/>
      <c r="LT1284"/>
      <c r="LU1284"/>
      <c r="LV1284"/>
      <c r="LW1284"/>
      <c r="LX1284"/>
      <c r="LY1284"/>
      <c r="LZ1284"/>
      <c r="MA1284"/>
      <c r="MB1284"/>
      <c r="MC1284"/>
      <c r="MD1284"/>
      <c r="ME1284"/>
      <c r="MF1284"/>
      <c r="MG1284"/>
      <c r="MH1284"/>
      <c r="MI1284"/>
      <c r="MJ1284"/>
      <c r="MK1284"/>
      <c r="ML1284"/>
      <c r="MM1284"/>
      <c r="MN1284"/>
      <c r="MO1284"/>
      <c r="MP1284"/>
      <c r="MQ1284"/>
      <c r="MR1284"/>
      <c r="MS1284"/>
      <c r="MT1284"/>
      <c r="MU1284"/>
      <c r="MV1284"/>
      <c r="MW1284"/>
      <c r="MX1284"/>
      <c r="MY1284"/>
      <c r="MZ1284"/>
      <c r="NA1284"/>
      <c r="NB1284"/>
      <c r="NC1284"/>
      <c r="ND1284"/>
      <c r="NE1284"/>
      <c r="NF1284"/>
      <c r="NG1284"/>
      <c r="NH1284"/>
      <c r="NI1284"/>
      <c r="NJ1284"/>
      <c r="NK1284"/>
      <c r="NL1284"/>
      <c r="NM1284"/>
      <c r="NN1284"/>
      <c r="NO1284"/>
      <c r="NP1284"/>
      <c r="NQ1284"/>
      <c r="NR1284"/>
      <c r="NS1284"/>
      <c r="NT1284"/>
      <c r="NU1284"/>
      <c r="NV1284"/>
      <c r="NW1284"/>
      <c r="NX1284"/>
      <c r="NY1284"/>
      <c r="NZ1284"/>
      <c r="OA1284"/>
      <c r="OB1284"/>
      <c r="OC1284"/>
      <c r="OD1284"/>
      <c r="OE1284"/>
      <c r="OF1284"/>
      <c r="OG1284"/>
      <c r="OH1284"/>
      <c r="OI1284"/>
      <c r="OJ1284"/>
      <c r="OK1284"/>
      <c r="OL1284"/>
      <c r="OM1284"/>
      <c r="ON1284"/>
      <c r="OO1284"/>
      <c r="OP1284"/>
      <c r="OQ1284"/>
      <c r="OR1284"/>
      <c r="OS1284"/>
      <c r="OT1284"/>
      <c r="OU1284"/>
      <c r="OV1284"/>
      <c r="OW1284"/>
      <c r="OX1284"/>
      <c r="OY1284"/>
      <c r="OZ1284"/>
      <c r="PA1284"/>
      <c r="PB1284"/>
      <c r="PC1284"/>
      <c r="PD1284"/>
      <c r="PE1284"/>
      <c r="PF1284"/>
      <c r="PG1284"/>
      <c r="PH1284"/>
      <c r="PI1284"/>
      <c r="PJ1284"/>
      <c r="PK1284"/>
      <c r="PL1284"/>
      <c r="PM1284"/>
      <c r="PN1284"/>
      <c r="PO1284"/>
      <c r="PP1284"/>
      <c r="PQ1284"/>
      <c r="PR1284"/>
      <c r="PS1284"/>
      <c r="PT1284"/>
      <c r="PU1284"/>
      <c r="PV1284"/>
      <c r="PW1284"/>
      <c r="PX1284"/>
      <c r="PY1284"/>
      <c r="PZ1284"/>
      <c r="QA1284"/>
      <c r="QB1284"/>
      <c r="QC1284"/>
      <c r="QD1284"/>
      <c r="QE1284"/>
      <c r="QF1284"/>
      <c r="QG1284"/>
      <c r="QH1284"/>
      <c r="QI1284"/>
      <c r="QJ1284"/>
      <c r="QK1284"/>
      <c r="QL1284"/>
      <c r="QM1284"/>
      <c r="QN1284"/>
      <c r="QO1284"/>
      <c r="QP1284"/>
      <c r="QQ1284"/>
      <c r="QR1284"/>
      <c r="QS1284"/>
      <c r="QT1284"/>
      <c r="QU1284"/>
      <c r="QV1284"/>
      <c r="QW1284"/>
      <c r="QX1284"/>
      <c r="QY1284"/>
      <c r="QZ1284"/>
      <c r="RA1284"/>
      <c r="RB1284"/>
      <c r="RC1284"/>
      <c r="RD1284"/>
      <c r="RE1284"/>
      <c r="RF1284"/>
      <c r="RG1284"/>
      <c r="RH1284"/>
      <c r="RI1284"/>
      <c r="RJ1284"/>
      <c r="RK1284"/>
      <c r="RL1284"/>
      <c r="RM1284"/>
      <c r="RN1284"/>
      <c r="RO1284"/>
      <c r="RP1284"/>
      <c r="RQ1284"/>
      <c r="RR1284"/>
      <c r="RS1284"/>
      <c r="RT1284"/>
      <c r="RU1284"/>
      <c r="RV1284"/>
      <c r="RW1284"/>
      <c r="RX1284"/>
      <c r="RY1284"/>
      <c r="RZ1284"/>
      <c r="SA1284"/>
      <c r="SB1284"/>
      <c r="SC1284"/>
      <c r="SD1284"/>
      <c r="SE1284"/>
      <c r="SF1284"/>
      <c r="SG1284"/>
      <c r="SH1284"/>
      <c r="SI1284"/>
      <c r="SJ1284"/>
      <c r="SK1284"/>
      <c r="SL1284"/>
      <c r="SM1284"/>
      <c r="SN1284"/>
      <c r="SO1284"/>
      <c r="SP1284"/>
      <c r="SQ1284"/>
      <c r="SR1284"/>
      <c r="SS1284"/>
      <c r="ST1284"/>
      <c r="SU1284"/>
      <c r="SV1284"/>
      <c r="SW1284"/>
      <c r="SX1284"/>
      <c r="SY1284"/>
      <c r="SZ1284"/>
      <c r="TA1284"/>
      <c r="TB1284"/>
      <c r="TC1284"/>
      <c r="TD1284"/>
      <c r="TE1284"/>
      <c r="TF1284"/>
      <c r="TG1284"/>
      <c r="TH1284"/>
      <c r="TI1284"/>
      <c r="TJ1284"/>
      <c r="TK1284"/>
      <c r="TL1284"/>
      <c r="TM1284"/>
      <c r="TN1284"/>
      <c r="TO1284"/>
      <c r="TP1284"/>
      <c r="TQ1284"/>
      <c r="TR1284"/>
      <c r="TS1284"/>
      <c r="TT1284"/>
      <c r="TU1284"/>
      <c r="TV1284"/>
      <c r="TW1284"/>
      <c r="TX1284"/>
      <c r="TY1284"/>
      <c r="TZ1284"/>
      <c r="UA1284"/>
      <c r="UB1284"/>
      <c r="UC1284"/>
      <c r="UD1284"/>
      <c r="UE1284"/>
      <c r="UF1284"/>
      <c r="UG1284"/>
      <c r="UH1284"/>
      <c r="UI1284"/>
      <c r="UJ1284"/>
      <c r="UK1284"/>
      <c r="UL1284"/>
      <c r="UM1284"/>
      <c r="UN1284"/>
      <c r="UO1284"/>
      <c r="UP1284"/>
      <c r="UQ1284"/>
      <c r="UR1284"/>
      <c r="US1284"/>
      <c r="UT1284"/>
      <c r="UU1284"/>
      <c r="UV1284"/>
      <c r="UW1284"/>
      <c r="UX1284"/>
      <c r="UY1284"/>
      <c r="UZ1284"/>
      <c r="VA1284"/>
      <c r="VB1284"/>
      <c r="VC1284"/>
      <c r="VD1284"/>
      <c r="VE1284"/>
      <c r="VF1284"/>
      <c r="VG1284"/>
      <c r="VH1284"/>
      <c r="VI1284"/>
      <c r="VJ1284"/>
      <c r="VK1284"/>
      <c r="VL1284"/>
      <c r="VM1284"/>
      <c r="VN1284"/>
      <c r="VO1284"/>
      <c r="VP1284"/>
      <c r="VQ1284"/>
      <c r="VR1284"/>
      <c r="VS1284"/>
      <c r="VT1284"/>
      <c r="VU1284"/>
      <c r="VV1284"/>
      <c r="VW1284"/>
      <c r="VX1284"/>
      <c r="VY1284"/>
      <c r="VZ1284"/>
      <c r="WA1284"/>
      <c r="WB1284"/>
      <c r="WC1284"/>
      <c r="WD1284"/>
      <c r="WE1284"/>
      <c r="WF1284"/>
      <c r="WG1284"/>
      <c r="WH1284"/>
      <c r="WI1284"/>
      <c r="WJ1284"/>
      <c r="WK1284"/>
      <c r="WL1284"/>
      <c r="WM1284"/>
      <c r="WN1284"/>
      <c r="WO1284"/>
      <c r="WP1284"/>
      <c r="WQ1284"/>
      <c r="WR1284"/>
      <c r="WS1284"/>
      <c r="WT1284"/>
      <c r="WU1284"/>
      <c r="WV1284"/>
      <c r="WW1284"/>
      <c r="WX1284"/>
      <c r="WY1284"/>
      <c r="WZ1284"/>
      <c r="XA1284"/>
      <c r="XB1284"/>
      <c r="XC1284"/>
      <c r="XD1284"/>
      <c r="XE1284"/>
      <c r="XF1284"/>
      <c r="XG1284"/>
      <c r="XH1284"/>
      <c r="XI1284"/>
      <c r="XJ1284"/>
      <c r="XK1284"/>
      <c r="XL1284"/>
      <c r="XM1284"/>
      <c r="XN1284"/>
      <c r="XO1284"/>
      <c r="XP1284"/>
      <c r="XQ1284"/>
      <c r="XR1284"/>
      <c r="XS1284"/>
      <c r="XT1284"/>
      <c r="XU1284"/>
      <c r="XV1284"/>
      <c r="XW1284"/>
      <c r="XX1284"/>
      <c r="XY1284"/>
      <c r="XZ1284"/>
      <c r="YA1284"/>
      <c r="YB1284"/>
      <c r="YC1284"/>
      <c r="YD1284"/>
      <c r="YE1284"/>
      <c r="YF1284"/>
      <c r="YG1284"/>
      <c r="YH1284"/>
      <c r="YI1284"/>
      <c r="YJ1284"/>
      <c r="YK1284"/>
      <c r="YL1284"/>
      <c r="YM1284"/>
      <c r="YN1284"/>
      <c r="YO1284"/>
      <c r="YP1284"/>
      <c r="YQ1284"/>
      <c r="YR1284"/>
      <c r="YS1284"/>
      <c r="YT1284"/>
      <c r="YU1284"/>
      <c r="YV1284"/>
      <c r="YW1284"/>
      <c r="YX1284"/>
      <c r="YY1284"/>
      <c r="YZ1284"/>
      <c r="ZA1284"/>
      <c r="ZB1284"/>
      <c r="ZC1284"/>
      <c r="ZD1284"/>
      <c r="ZE1284"/>
      <c r="ZF1284"/>
      <c r="ZG1284"/>
      <c r="ZH1284"/>
      <c r="ZI1284"/>
      <c r="ZJ1284"/>
      <c r="ZK1284"/>
      <c r="ZL1284"/>
      <c r="ZM1284"/>
      <c r="ZN1284"/>
      <c r="ZO1284"/>
      <c r="ZP1284"/>
      <c r="ZQ1284"/>
      <c r="ZR1284"/>
      <c r="ZS1284"/>
      <c r="ZT1284"/>
      <c r="ZU1284"/>
      <c r="ZV1284"/>
      <c r="ZW1284"/>
      <c r="ZX1284"/>
      <c r="ZY1284"/>
      <c r="ZZ1284"/>
      <c r="AAA1284"/>
      <c r="AAB1284"/>
      <c r="AAC1284"/>
      <c r="AAD1284"/>
      <c r="AAE1284"/>
      <c r="AAF1284"/>
      <c r="AAG1284"/>
      <c r="AAH1284"/>
      <c r="AAI1284"/>
      <c r="AAJ1284"/>
      <c r="AAK1284"/>
      <c r="AAL1284"/>
      <c r="AAM1284"/>
      <c r="AAN1284"/>
      <c r="AAO1284"/>
      <c r="AAP1284"/>
      <c r="AAQ1284"/>
      <c r="AAR1284"/>
      <c r="AAS1284"/>
      <c r="AAT1284"/>
      <c r="AAU1284"/>
      <c r="AAV1284"/>
      <c r="AAW1284"/>
      <c r="AAX1284"/>
      <c r="AAY1284"/>
      <c r="AAZ1284"/>
      <c r="ABA1284"/>
      <c r="ABB1284"/>
      <c r="ABC1284"/>
      <c r="ABD1284"/>
      <c r="ABE1284"/>
      <c r="ABF1284"/>
      <c r="ABG1284"/>
      <c r="ABH1284"/>
      <c r="ABI1284"/>
      <c r="ABJ1284"/>
      <c r="ABK1284"/>
      <c r="ABL1284"/>
      <c r="ABM1284"/>
      <c r="ABN1284"/>
      <c r="ABO1284"/>
      <c r="ABP1284"/>
      <c r="ABQ1284"/>
      <c r="ABR1284"/>
      <c r="ABS1284"/>
      <c r="ABT1284"/>
      <c r="ABU1284"/>
      <c r="ABV1284"/>
      <c r="ABW1284"/>
      <c r="ABX1284"/>
      <c r="ABY1284"/>
      <c r="ABZ1284"/>
      <c r="ACA1284"/>
      <c r="ACB1284"/>
      <c r="ACC1284"/>
      <c r="ACD1284"/>
      <c r="ACE1284"/>
      <c r="ACF1284"/>
      <c r="ACG1284"/>
      <c r="ACH1284"/>
      <c r="ACI1284"/>
      <c r="ACJ1284"/>
      <c r="ACK1284"/>
      <c r="ACL1284"/>
      <c r="ACM1284"/>
      <c r="ACN1284"/>
      <c r="ACO1284"/>
      <c r="ACP1284"/>
      <c r="ACQ1284"/>
      <c r="ACR1284"/>
      <c r="ACS1284"/>
      <c r="ACT1284"/>
      <c r="ACU1284"/>
      <c r="ACV1284"/>
      <c r="ACW1284"/>
      <c r="ACX1284"/>
      <c r="ACY1284"/>
      <c r="ACZ1284"/>
      <c r="ADA1284"/>
      <c r="ADB1284"/>
      <c r="ADC1284"/>
      <c r="ADD1284"/>
      <c r="ADE1284"/>
      <c r="ADF1284"/>
      <c r="ADG1284"/>
      <c r="ADH1284"/>
      <c r="ADI1284"/>
      <c r="ADJ1284"/>
      <c r="ADK1284"/>
      <c r="ADL1284"/>
      <c r="ADM1284"/>
      <c r="ADN1284"/>
      <c r="ADO1284"/>
      <c r="ADP1284"/>
      <c r="ADQ1284"/>
      <c r="ADR1284"/>
      <c r="ADS1284"/>
      <c r="ADT1284"/>
      <c r="ADU1284"/>
      <c r="ADV1284"/>
      <c r="ADW1284"/>
      <c r="ADX1284"/>
      <c r="ADY1284"/>
      <c r="ADZ1284"/>
      <c r="AEA1284"/>
      <c r="AEB1284"/>
      <c r="AEC1284"/>
      <c r="AED1284"/>
      <c r="AEE1284"/>
      <c r="AEF1284"/>
      <c r="AEG1284"/>
      <c r="AEH1284"/>
      <c r="AEI1284"/>
      <c r="AEJ1284"/>
      <c r="AEK1284"/>
      <c r="AEL1284"/>
      <c r="AEM1284"/>
      <c r="AEN1284"/>
      <c r="AEO1284"/>
      <c r="AEP1284"/>
      <c r="AEQ1284"/>
      <c r="AER1284"/>
      <c r="AES1284"/>
      <c r="AET1284"/>
      <c r="AEU1284"/>
      <c r="AEV1284"/>
      <c r="AEW1284"/>
      <c r="AEX1284"/>
      <c r="AEY1284"/>
      <c r="AEZ1284"/>
      <c r="AFA1284"/>
      <c r="AFB1284"/>
      <c r="AFC1284"/>
      <c r="AFD1284"/>
      <c r="AFE1284"/>
      <c r="AFF1284"/>
      <c r="AFG1284"/>
      <c r="AFH1284"/>
      <c r="AFI1284"/>
      <c r="AFJ1284"/>
      <c r="AFK1284"/>
      <c r="AFL1284"/>
      <c r="AFM1284"/>
      <c r="AFN1284"/>
      <c r="AFO1284"/>
      <c r="AFP1284"/>
      <c r="AFQ1284"/>
      <c r="AFR1284"/>
      <c r="AFS1284"/>
      <c r="AFT1284"/>
      <c r="AFU1284"/>
      <c r="AFV1284"/>
      <c r="AFW1284"/>
      <c r="AFX1284"/>
      <c r="AFY1284"/>
      <c r="AFZ1284"/>
      <c r="AGA1284"/>
      <c r="AGB1284"/>
      <c r="AGC1284"/>
      <c r="AGD1284"/>
      <c r="AGE1284"/>
      <c r="AGF1284"/>
      <c r="AGG1284"/>
      <c r="AGH1284"/>
      <c r="AGI1284"/>
      <c r="AGJ1284"/>
      <c r="AGK1284"/>
      <c r="AGL1284"/>
      <c r="AGM1284"/>
      <c r="AGN1284"/>
      <c r="AGO1284"/>
      <c r="AGP1284"/>
      <c r="AGQ1284"/>
      <c r="AGR1284"/>
      <c r="AGS1284"/>
      <c r="AGT1284"/>
      <c r="AGU1284"/>
      <c r="AGV1284"/>
      <c r="AGW1284"/>
      <c r="AGX1284"/>
      <c r="AGY1284"/>
      <c r="AGZ1284"/>
      <c r="AHA1284"/>
      <c r="AHB1284"/>
      <c r="AHC1284"/>
      <c r="AHD1284"/>
      <c r="AHE1284"/>
      <c r="AHF1284"/>
      <c r="AHG1284"/>
      <c r="AHH1284"/>
      <c r="AHI1284"/>
      <c r="AHJ1284"/>
      <c r="AHK1284"/>
      <c r="AHL1284"/>
      <c r="AHM1284"/>
      <c r="AHN1284"/>
      <c r="AHO1284"/>
      <c r="AHP1284"/>
      <c r="AHQ1284"/>
      <c r="AHR1284"/>
      <c r="AHS1284"/>
      <c r="AHT1284"/>
      <c r="AHU1284"/>
      <c r="AHV1284"/>
      <c r="AHW1284"/>
      <c r="AHX1284"/>
      <c r="AHY1284"/>
      <c r="AHZ1284"/>
      <c r="AIA1284"/>
      <c r="AIB1284"/>
      <c r="AIC1284"/>
      <c r="AID1284"/>
      <c r="AIE1284"/>
      <c r="AIF1284"/>
      <c r="AIG1284"/>
      <c r="AIH1284"/>
      <c r="AII1284"/>
      <c r="AIJ1284"/>
      <c r="AIK1284"/>
      <c r="AIL1284"/>
      <c r="AIM1284"/>
      <c r="AIN1284"/>
      <c r="AIO1284"/>
      <c r="AIP1284"/>
      <c r="AIQ1284"/>
      <c r="AIR1284"/>
      <c r="AIS1284"/>
      <c r="AIT1284"/>
      <c r="AIU1284"/>
      <c r="AIV1284"/>
      <c r="AIW1284"/>
      <c r="AIX1284"/>
      <c r="AIY1284"/>
      <c r="AIZ1284"/>
      <c r="AJA1284"/>
      <c r="AJB1284"/>
      <c r="AJC1284"/>
      <c r="AJD1284"/>
      <c r="AJE1284"/>
      <c r="AJF1284"/>
      <c r="AJG1284"/>
      <c r="AJH1284"/>
      <c r="AJI1284"/>
      <c r="AJJ1284"/>
      <c r="AJK1284"/>
      <c r="AJL1284"/>
      <c r="AJM1284"/>
      <c r="AJN1284"/>
      <c r="AJO1284"/>
      <c r="AJP1284"/>
      <c r="AJQ1284"/>
      <c r="AJR1284"/>
      <c r="AJS1284"/>
      <c r="AJT1284"/>
      <c r="AJU1284"/>
      <c r="AJV1284"/>
      <c r="AJW1284"/>
      <c r="AJX1284"/>
      <c r="AJY1284"/>
      <c r="AJZ1284"/>
      <c r="AKA1284"/>
      <c r="AKB1284"/>
      <c r="AKC1284"/>
      <c r="AKD1284"/>
      <c r="AKE1284"/>
      <c r="AKF1284"/>
      <c r="AKG1284"/>
      <c r="AKH1284"/>
      <c r="AKI1284"/>
      <c r="AKJ1284"/>
      <c r="AKK1284"/>
      <c r="AKL1284"/>
      <c r="AKM1284"/>
      <c r="AKN1284"/>
      <c r="AKO1284"/>
      <c r="AKP1284"/>
      <c r="AKQ1284"/>
      <c r="AKR1284"/>
      <c r="AKS1284"/>
      <c r="AKT1284"/>
      <c r="AKU1284"/>
      <c r="AKV1284"/>
      <c r="AKW1284"/>
      <c r="AKX1284"/>
      <c r="AKY1284"/>
      <c r="AKZ1284"/>
      <c r="ALA1284"/>
      <c r="ALB1284"/>
      <c r="ALC1284"/>
      <c r="ALD1284"/>
      <c r="ALE1284"/>
      <c r="ALF1284"/>
      <c r="ALG1284"/>
      <c r="ALH1284"/>
      <c r="ALI1284"/>
      <c r="ALJ1284"/>
      <c r="ALK1284"/>
      <c r="ALL1284"/>
      <c r="ALM1284"/>
      <c r="ALN1284"/>
      <c r="ALO1284"/>
      <c r="ALP1284"/>
      <c r="ALQ1284"/>
      <c r="ALR1284"/>
      <c r="ALS1284"/>
      <c r="ALT1284"/>
    </row>
    <row r="1285" spans="1:1008" x14ac:dyDescent="0.15">
      <c r="A1285" t="s">
        <v>4035</v>
      </c>
      <c r="B1285" s="8" t="s">
        <v>3980</v>
      </c>
      <c r="C1285" t="s">
        <v>4035</v>
      </c>
      <c r="D1285" s="8" t="s">
        <v>15</v>
      </c>
      <c r="E1285" t="s">
        <v>4035</v>
      </c>
      <c r="F1285" t="s">
        <v>4036</v>
      </c>
      <c r="G1285">
        <v>500</v>
      </c>
      <c r="H1285"/>
      <c r="I1285"/>
      <c r="J1285"/>
      <c r="K1285"/>
      <c r="L1285"/>
      <c r="M1285"/>
      <c r="N1285"/>
      <c r="O1285"/>
      <c r="P1285"/>
      <c r="Q1285"/>
      <c r="R1285"/>
      <c r="S1285"/>
      <c r="T1285"/>
      <c r="U1285"/>
      <c r="V1285"/>
      <c r="W1285"/>
      <c r="X1285"/>
      <c r="Y1285"/>
      <c r="Z1285"/>
      <c r="AA1285"/>
      <c r="AB1285"/>
      <c r="AC1285"/>
      <c r="AD1285"/>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c r="BR1285"/>
      <c r="BS1285"/>
      <c r="BT1285"/>
      <c r="BU1285"/>
      <c r="BV1285"/>
      <c r="BW1285"/>
      <c r="BX1285"/>
      <c r="BY1285"/>
      <c r="BZ1285"/>
      <c r="CA1285"/>
      <c r="CB1285"/>
      <c r="CC1285"/>
      <c r="CD1285"/>
      <c r="CE1285"/>
      <c r="CF1285"/>
      <c r="CG1285"/>
      <c r="CH1285"/>
      <c r="CI1285"/>
      <c r="CJ1285"/>
      <c r="CK1285"/>
      <c r="CL1285"/>
      <c r="CM1285"/>
      <c r="CN1285"/>
      <c r="CO1285"/>
      <c r="CP1285"/>
      <c r="CQ1285"/>
      <c r="CR1285"/>
      <c r="CS1285"/>
      <c r="CT1285"/>
      <c r="CU1285"/>
      <c r="CV1285"/>
      <c r="CW1285"/>
      <c r="CX1285"/>
      <c r="CY1285"/>
      <c r="CZ1285"/>
      <c r="DA1285"/>
      <c r="DB1285"/>
      <c r="DC1285"/>
      <c r="DD1285"/>
      <c r="DE1285"/>
      <c r="DF1285"/>
      <c r="DG1285"/>
      <c r="DH1285"/>
      <c r="DI1285"/>
      <c r="DJ1285"/>
      <c r="DK1285"/>
      <c r="DL1285"/>
      <c r="DM1285"/>
      <c r="DN1285"/>
      <c r="DO1285"/>
      <c r="DP1285"/>
      <c r="DQ1285"/>
      <c r="DR1285"/>
      <c r="DS1285"/>
      <c r="DT1285"/>
      <c r="DU1285"/>
      <c r="DV1285"/>
      <c r="DW1285"/>
      <c r="DX1285"/>
      <c r="DY1285"/>
      <c r="DZ1285"/>
      <c r="EA1285"/>
      <c r="EB1285"/>
      <c r="EC1285"/>
      <c r="ED1285"/>
      <c r="EE1285"/>
      <c r="EF1285"/>
      <c r="EG1285"/>
      <c r="EH1285"/>
      <c r="EI1285"/>
      <c r="EJ1285"/>
      <c r="EK1285"/>
      <c r="EL1285"/>
      <c r="EM1285"/>
      <c r="EN1285"/>
      <c r="EO1285"/>
      <c r="EP1285"/>
      <c r="EQ1285"/>
      <c r="ER1285"/>
      <c r="ES1285"/>
      <c r="ET1285"/>
      <c r="EU1285"/>
      <c r="EV1285"/>
      <c r="EW1285"/>
      <c r="EX1285"/>
      <c r="EY1285"/>
      <c r="EZ1285"/>
      <c r="FA1285"/>
      <c r="FB1285"/>
      <c r="FC1285"/>
      <c r="FD1285"/>
      <c r="FE1285"/>
      <c r="FF1285"/>
      <c r="FG1285"/>
      <c r="FH1285"/>
      <c r="FI1285"/>
      <c r="FJ1285"/>
      <c r="FK1285"/>
      <c r="FL1285"/>
      <c r="FM1285"/>
      <c r="FN1285"/>
      <c r="FO1285"/>
      <c r="FP1285"/>
      <c r="FQ1285"/>
      <c r="FR1285"/>
      <c r="FS1285"/>
      <c r="FT1285"/>
      <c r="FU1285"/>
      <c r="FV1285"/>
      <c r="FW1285"/>
      <c r="FX1285"/>
      <c r="FY1285"/>
      <c r="FZ1285"/>
      <c r="GA1285"/>
      <c r="GB1285"/>
      <c r="GC1285"/>
      <c r="GD1285"/>
      <c r="GE1285"/>
      <c r="GF1285"/>
      <c r="GG1285"/>
      <c r="GH1285"/>
      <c r="GI1285"/>
      <c r="GJ1285"/>
      <c r="GK1285"/>
      <c r="GL1285"/>
      <c r="GM1285"/>
      <c r="GN1285"/>
      <c r="GO1285"/>
      <c r="GP1285"/>
      <c r="GQ1285"/>
      <c r="GR1285"/>
      <c r="GS1285"/>
      <c r="GT1285"/>
      <c r="GU1285"/>
      <c r="GV1285"/>
      <c r="GW1285"/>
      <c r="GX1285"/>
      <c r="GY1285"/>
      <c r="GZ1285"/>
      <c r="HA1285"/>
      <c r="HB1285"/>
      <c r="HC1285"/>
      <c r="HD1285"/>
      <c r="HE1285"/>
      <c r="HF1285"/>
      <c r="HG1285"/>
      <c r="HH1285"/>
      <c r="HI1285"/>
      <c r="HJ1285"/>
      <c r="HK1285"/>
      <c r="HL1285"/>
      <c r="HM1285"/>
      <c r="HN1285"/>
      <c r="HO1285"/>
      <c r="HP1285"/>
      <c r="HQ1285"/>
      <c r="HR1285"/>
      <c r="HS1285"/>
      <c r="HT1285"/>
      <c r="HU1285"/>
      <c r="HV1285"/>
      <c r="HW1285"/>
      <c r="HX1285"/>
      <c r="HY1285"/>
      <c r="HZ1285"/>
      <c r="IA1285"/>
      <c r="IB1285"/>
      <c r="IC1285"/>
      <c r="ID1285"/>
      <c r="IE1285"/>
      <c r="IF1285"/>
      <c r="IG1285"/>
      <c r="IH1285"/>
      <c r="II1285"/>
      <c r="IJ1285"/>
      <c r="IK1285"/>
      <c r="IL1285"/>
      <c r="IM1285"/>
      <c r="IN1285"/>
      <c r="IO1285"/>
      <c r="IP1285"/>
      <c r="IQ1285"/>
      <c r="IR1285"/>
      <c r="IS1285"/>
      <c r="IT1285"/>
      <c r="IU1285"/>
      <c r="IV1285"/>
      <c r="IW1285"/>
      <c r="IX1285"/>
      <c r="IY1285"/>
      <c r="IZ1285"/>
      <c r="JA1285"/>
      <c r="JB1285"/>
      <c r="JC1285"/>
      <c r="JD1285"/>
      <c r="JE1285"/>
      <c r="JF1285"/>
      <c r="JG1285"/>
      <c r="JH1285"/>
      <c r="JI1285"/>
      <c r="JJ1285"/>
      <c r="JK1285"/>
      <c r="JL1285"/>
      <c r="JM1285"/>
      <c r="JN1285"/>
      <c r="JO1285"/>
      <c r="JP1285"/>
      <c r="JQ1285"/>
      <c r="JR1285"/>
      <c r="JS1285"/>
      <c r="JT1285"/>
      <c r="JU1285"/>
      <c r="JV1285"/>
      <c r="JW1285"/>
      <c r="JX1285"/>
      <c r="JY1285"/>
      <c r="JZ1285"/>
      <c r="KA1285"/>
      <c r="KB1285"/>
      <c r="KC1285"/>
      <c r="KD1285"/>
      <c r="KE1285"/>
      <c r="KF1285"/>
      <c r="KG1285"/>
      <c r="KH1285"/>
      <c r="KI1285"/>
      <c r="KJ1285"/>
      <c r="KK1285"/>
      <c r="KL1285"/>
      <c r="KM1285"/>
      <c r="KN1285"/>
      <c r="KO1285"/>
      <c r="KP1285"/>
      <c r="KQ1285"/>
      <c r="KR1285"/>
      <c r="KS1285"/>
      <c r="KT1285"/>
      <c r="KU1285"/>
      <c r="KV1285"/>
      <c r="KW1285"/>
      <c r="KX1285"/>
      <c r="KY1285"/>
      <c r="KZ1285"/>
      <c r="LA1285"/>
      <c r="LB1285"/>
      <c r="LC1285"/>
      <c r="LD1285"/>
      <c r="LE1285"/>
      <c r="LF1285"/>
      <c r="LG1285"/>
      <c r="LH1285"/>
      <c r="LI1285"/>
      <c r="LJ1285"/>
      <c r="LK1285"/>
      <c r="LL1285"/>
      <c r="LM1285"/>
      <c r="LN1285"/>
      <c r="LO1285"/>
      <c r="LP1285"/>
      <c r="LQ1285"/>
      <c r="LR1285"/>
      <c r="LS1285"/>
      <c r="LT1285"/>
      <c r="LU1285"/>
      <c r="LV1285"/>
      <c r="LW1285"/>
      <c r="LX1285"/>
      <c r="LY1285"/>
      <c r="LZ1285"/>
      <c r="MA1285"/>
      <c r="MB1285"/>
      <c r="MC1285"/>
      <c r="MD1285"/>
      <c r="ME1285"/>
      <c r="MF1285"/>
      <c r="MG1285"/>
      <c r="MH1285"/>
      <c r="MI1285"/>
      <c r="MJ1285"/>
      <c r="MK1285"/>
      <c r="ML1285"/>
      <c r="MM1285"/>
      <c r="MN1285"/>
      <c r="MO1285"/>
      <c r="MP1285"/>
      <c r="MQ1285"/>
      <c r="MR1285"/>
      <c r="MS1285"/>
      <c r="MT1285"/>
      <c r="MU1285"/>
      <c r="MV1285"/>
      <c r="MW1285"/>
      <c r="MX1285"/>
      <c r="MY1285"/>
      <c r="MZ1285"/>
      <c r="NA1285"/>
      <c r="NB1285"/>
      <c r="NC1285"/>
      <c r="ND1285"/>
      <c r="NE1285"/>
      <c r="NF1285"/>
      <c r="NG1285"/>
      <c r="NH1285"/>
      <c r="NI1285"/>
      <c r="NJ1285"/>
      <c r="NK1285"/>
      <c r="NL1285"/>
      <c r="NM1285"/>
      <c r="NN1285"/>
      <c r="NO1285"/>
      <c r="NP1285"/>
      <c r="NQ1285"/>
      <c r="NR1285"/>
      <c r="NS1285"/>
      <c r="NT1285"/>
      <c r="NU1285"/>
      <c r="NV1285"/>
      <c r="NW1285"/>
      <c r="NX1285"/>
      <c r="NY1285"/>
      <c r="NZ1285"/>
      <c r="OA1285"/>
      <c r="OB1285"/>
      <c r="OC1285"/>
      <c r="OD1285"/>
      <c r="OE1285"/>
      <c r="OF1285"/>
      <c r="OG1285"/>
      <c r="OH1285"/>
      <c r="OI1285"/>
      <c r="OJ1285"/>
      <c r="OK1285"/>
      <c r="OL1285"/>
      <c r="OM1285"/>
      <c r="ON1285"/>
      <c r="OO1285"/>
      <c r="OP1285"/>
      <c r="OQ1285"/>
      <c r="OR1285"/>
      <c r="OS1285"/>
      <c r="OT1285"/>
      <c r="OU1285"/>
      <c r="OV1285"/>
      <c r="OW1285"/>
      <c r="OX1285"/>
      <c r="OY1285"/>
      <c r="OZ1285"/>
      <c r="PA1285"/>
      <c r="PB1285"/>
      <c r="PC1285"/>
      <c r="PD1285"/>
      <c r="PE1285"/>
      <c r="PF1285"/>
      <c r="PG1285"/>
      <c r="PH1285"/>
      <c r="PI1285"/>
      <c r="PJ1285"/>
      <c r="PK1285"/>
      <c r="PL1285"/>
      <c r="PM1285"/>
      <c r="PN1285"/>
      <c r="PO1285"/>
      <c r="PP1285"/>
      <c r="PQ1285"/>
      <c r="PR1285"/>
      <c r="PS1285"/>
      <c r="PT1285"/>
      <c r="PU1285"/>
      <c r="PV1285"/>
      <c r="PW1285"/>
      <c r="PX1285"/>
      <c r="PY1285"/>
      <c r="PZ1285"/>
      <c r="QA1285"/>
      <c r="QB1285"/>
      <c r="QC1285"/>
      <c r="QD1285"/>
      <c r="QE1285"/>
      <c r="QF1285"/>
      <c r="QG1285"/>
      <c r="QH1285"/>
      <c r="QI1285"/>
      <c r="QJ1285"/>
      <c r="QK1285"/>
      <c r="QL1285"/>
      <c r="QM1285"/>
      <c r="QN1285"/>
      <c r="QO1285"/>
      <c r="QP1285"/>
      <c r="QQ1285"/>
      <c r="QR1285"/>
      <c r="QS1285"/>
      <c r="QT1285"/>
      <c r="QU1285"/>
      <c r="QV1285"/>
      <c r="QW1285"/>
      <c r="QX1285"/>
      <c r="QY1285"/>
      <c r="QZ1285"/>
      <c r="RA1285"/>
      <c r="RB1285"/>
      <c r="RC1285"/>
      <c r="RD1285"/>
      <c r="RE1285"/>
      <c r="RF1285"/>
      <c r="RG1285"/>
      <c r="RH1285"/>
      <c r="RI1285"/>
      <c r="RJ1285"/>
      <c r="RK1285"/>
      <c r="RL1285"/>
      <c r="RM1285"/>
      <c r="RN1285"/>
      <c r="RO1285"/>
      <c r="RP1285"/>
      <c r="RQ1285"/>
      <c r="RR1285"/>
      <c r="RS1285"/>
      <c r="RT1285"/>
      <c r="RU1285"/>
      <c r="RV1285"/>
      <c r="RW1285"/>
      <c r="RX1285"/>
      <c r="RY1285"/>
      <c r="RZ1285"/>
      <c r="SA1285"/>
      <c r="SB1285"/>
      <c r="SC1285"/>
      <c r="SD1285"/>
      <c r="SE1285"/>
      <c r="SF1285"/>
      <c r="SG1285"/>
      <c r="SH1285"/>
      <c r="SI1285"/>
      <c r="SJ1285"/>
      <c r="SK1285"/>
      <c r="SL1285"/>
      <c r="SM1285"/>
      <c r="SN1285"/>
      <c r="SO1285"/>
      <c r="SP1285"/>
      <c r="SQ1285"/>
      <c r="SR1285"/>
      <c r="SS1285"/>
      <c r="ST1285"/>
      <c r="SU1285"/>
      <c r="SV1285"/>
      <c r="SW1285"/>
      <c r="SX1285"/>
      <c r="SY1285"/>
      <c r="SZ1285"/>
      <c r="TA1285"/>
      <c r="TB1285"/>
      <c r="TC1285"/>
      <c r="TD1285"/>
      <c r="TE1285"/>
      <c r="TF1285"/>
      <c r="TG1285"/>
      <c r="TH1285"/>
      <c r="TI1285"/>
      <c r="TJ1285"/>
      <c r="TK1285"/>
      <c r="TL1285"/>
      <c r="TM1285"/>
      <c r="TN1285"/>
      <c r="TO1285"/>
      <c r="TP1285"/>
      <c r="TQ1285"/>
      <c r="TR1285"/>
      <c r="TS1285"/>
      <c r="TT1285"/>
      <c r="TU1285"/>
      <c r="TV1285"/>
      <c r="TW1285"/>
      <c r="TX1285"/>
      <c r="TY1285"/>
      <c r="TZ1285"/>
      <c r="UA1285"/>
      <c r="UB1285"/>
      <c r="UC1285"/>
      <c r="UD1285"/>
      <c r="UE1285"/>
      <c r="UF1285"/>
      <c r="UG1285"/>
      <c r="UH1285"/>
      <c r="UI1285"/>
      <c r="UJ1285"/>
      <c r="UK1285"/>
      <c r="UL1285"/>
      <c r="UM1285"/>
      <c r="UN1285"/>
      <c r="UO1285"/>
      <c r="UP1285"/>
      <c r="UQ1285"/>
      <c r="UR1285"/>
      <c r="US1285"/>
      <c r="UT1285"/>
      <c r="UU1285"/>
      <c r="UV1285"/>
      <c r="UW1285"/>
      <c r="UX1285"/>
      <c r="UY1285"/>
      <c r="UZ1285"/>
      <c r="VA1285"/>
      <c r="VB1285"/>
      <c r="VC1285"/>
      <c r="VD1285"/>
      <c r="VE1285"/>
      <c r="VF1285"/>
      <c r="VG1285"/>
      <c r="VH1285"/>
      <c r="VI1285"/>
      <c r="VJ1285"/>
      <c r="VK1285"/>
      <c r="VL1285"/>
      <c r="VM1285"/>
      <c r="VN1285"/>
      <c r="VO1285"/>
      <c r="VP1285"/>
      <c r="VQ1285"/>
      <c r="VR1285"/>
      <c r="VS1285"/>
      <c r="VT1285"/>
      <c r="VU1285"/>
      <c r="VV1285"/>
      <c r="VW1285"/>
      <c r="VX1285"/>
      <c r="VY1285"/>
      <c r="VZ1285"/>
      <c r="WA1285"/>
      <c r="WB1285"/>
      <c r="WC1285"/>
      <c r="WD1285"/>
      <c r="WE1285"/>
      <c r="WF1285"/>
      <c r="WG1285"/>
      <c r="WH1285"/>
      <c r="WI1285"/>
      <c r="WJ1285"/>
      <c r="WK1285"/>
      <c r="WL1285"/>
      <c r="WM1285"/>
      <c r="WN1285"/>
      <c r="WO1285"/>
      <c r="WP1285"/>
      <c r="WQ1285"/>
      <c r="WR1285"/>
      <c r="WS1285"/>
      <c r="WT1285"/>
      <c r="WU1285"/>
      <c r="WV1285"/>
      <c r="WW1285"/>
      <c r="WX1285"/>
      <c r="WY1285"/>
      <c r="WZ1285"/>
      <c r="XA1285"/>
      <c r="XB1285"/>
      <c r="XC1285"/>
      <c r="XD1285"/>
      <c r="XE1285"/>
      <c r="XF1285"/>
      <c r="XG1285"/>
      <c r="XH1285"/>
      <c r="XI1285"/>
      <c r="XJ1285"/>
      <c r="XK1285"/>
      <c r="XL1285"/>
      <c r="XM1285"/>
      <c r="XN1285"/>
      <c r="XO1285"/>
      <c r="XP1285"/>
      <c r="XQ1285"/>
      <c r="XR1285"/>
      <c r="XS1285"/>
      <c r="XT1285"/>
      <c r="XU1285"/>
      <c r="XV1285"/>
      <c r="XW1285"/>
      <c r="XX1285"/>
      <c r="XY1285"/>
      <c r="XZ1285"/>
      <c r="YA1285"/>
      <c r="YB1285"/>
      <c r="YC1285"/>
      <c r="YD1285"/>
      <c r="YE1285"/>
      <c r="YF1285"/>
      <c r="YG1285"/>
      <c r="YH1285"/>
      <c r="YI1285"/>
      <c r="YJ1285"/>
      <c r="YK1285"/>
      <c r="YL1285"/>
      <c r="YM1285"/>
      <c r="YN1285"/>
      <c r="YO1285"/>
      <c r="YP1285"/>
      <c r="YQ1285"/>
      <c r="YR1285"/>
      <c r="YS1285"/>
      <c r="YT1285"/>
      <c r="YU1285"/>
      <c r="YV1285"/>
      <c r="YW1285"/>
      <c r="YX1285"/>
      <c r="YY1285"/>
      <c r="YZ1285"/>
      <c r="ZA1285"/>
      <c r="ZB1285"/>
      <c r="ZC1285"/>
      <c r="ZD1285"/>
      <c r="ZE1285"/>
      <c r="ZF1285"/>
      <c r="ZG1285"/>
      <c r="ZH1285"/>
      <c r="ZI1285"/>
      <c r="ZJ1285"/>
      <c r="ZK1285"/>
      <c r="ZL1285"/>
      <c r="ZM1285"/>
      <c r="ZN1285"/>
      <c r="ZO1285"/>
      <c r="ZP1285"/>
      <c r="ZQ1285"/>
      <c r="ZR1285"/>
      <c r="ZS1285"/>
      <c r="ZT1285"/>
      <c r="ZU1285"/>
      <c r="ZV1285"/>
      <c r="ZW1285"/>
      <c r="ZX1285"/>
      <c r="ZY1285"/>
      <c r="ZZ1285"/>
      <c r="AAA1285"/>
      <c r="AAB1285"/>
      <c r="AAC1285"/>
      <c r="AAD1285"/>
      <c r="AAE1285"/>
      <c r="AAF1285"/>
      <c r="AAG1285"/>
      <c r="AAH1285"/>
      <c r="AAI1285"/>
      <c r="AAJ1285"/>
      <c r="AAK1285"/>
      <c r="AAL1285"/>
      <c r="AAM1285"/>
      <c r="AAN1285"/>
      <c r="AAO1285"/>
      <c r="AAP1285"/>
      <c r="AAQ1285"/>
      <c r="AAR1285"/>
      <c r="AAS1285"/>
      <c r="AAT1285"/>
      <c r="AAU1285"/>
      <c r="AAV1285"/>
      <c r="AAW1285"/>
      <c r="AAX1285"/>
      <c r="AAY1285"/>
      <c r="AAZ1285"/>
      <c r="ABA1285"/>
      <c r="ABB1285"/>
      <c r="ABC1285"/>
      <c r="ABD1285"/>
      <c r="ABE1285"/>
      <c r="ABF1285"/>
      <c r="ABG1285"/>
      <c r="ABH1285"/>
      <c r="ABI1285"/>
      <c r="ABJ1285"/>
      <c r="ABK1285"/>
      <c r="ABL1285"/>
      <c r="ABM1285"/>
      <c r="ABN1285"/>
      <c r="ABO1285"/>
      <c r="ABP1285"/>
      <c r="ABQ1285"/>
      <c r="ABR1285"/>
      <c r="ABS1285"/>
      <c r="ABT1285"/>
      <c r="ABU1285"/>
      <c r="ABV1285"/>
      <c r="ABW1285"/>
      <c r="ABX1285"/>
      <c r="ABY1285"/>
      <c r="ABZ1285"/>
      <c r="ACA1285"/>
      <c r="ACB1285"/>
      <c r="ACC1285"/>
      <c r="ACD1285"/>
      <c r="ACE1285"/>
      <c r="ACF1285"/>
      <c r="ACG1285"/>
      <c r="ACH1285"/>
      <c r="ACI1285"/>
      <c r="ACJ1285"/>
      <c r="ACK1285"/>
      <c r="ACL1285"/>
      <c r="ACM1285"/>
      <c r="ACN1285"/>
      <c r="ACO1285"/>
      <c r="ACP1285"/>
      <c r="ACQ1285"/>
      <c r="ACR1285"/>
      <c r="ACS1285"/>
      <c r="ACT1285"/>
      <c r="ACU1285"/>
      <c r="ACV1285"/>
      <c r="ACW1285"/>
      <c r="ACX1285"/>
      <c r="ACY1285"/>
      <c r="ACZ1285"/>
      <c r="ADA1285"/>
      <c r="ADB1285"/>
      <c r="ADC1285"/>
      <c r="ADD1285"/>
      <c r="ADE1285"/>
      <c r="ADF1285"/>
      <c r="ADG1285"/>
      <c r="ADH1285"/>
      <c r="ADI1285"/>
      <c r="ADJ1285"/>
      <c r="ADK1285"/>
      <c r="ADL1285"/>
      <c r="ADM1285"/>
      <c r="ADN1285"/>
      <c r="ADO1285"/>
      <c r="ADP1285"/>
      <c r="ADQ1285"/>
      <c r="ADR1285"/>
      <c r="ADS1285"/>
      <c r="ADT1285"/>
      <c r="ADU1285"/>
      <c r="ADV1285"/>
      <c r="ADW1285"/>
      <c r="ADX1285"/>
      <c r="ADY1285"/>
      <c r="ADZ1285"/>
      <c r="AEA1285"/>
      <c r="AEB1285"/>
      <c r="AEC1285"/>
      <c r="AED1285"/>
      <c r="AEE1285"/>
      <c r="AEF1285"/>
      <c r="AEG1285"/>
      <c r="AEH1285"/>
      <c r="AEI1285"/>
      <c r="AEJ1285"/>
      <c r="AEK1285"/>
      <c r="AEL1285"/>
      <c r="AEM1285"/>
      <c r="AEN1285"/>
      <c r="AEO1285"/>
      <c r="AEP1285"/>
      <c r="AEQ1285"/>
      <c r="AER1285"/>
      <c r="AES1285"/>
      <c r="AET1285"/>
      <c r="AEU1285"/>
      <c r="AEV1285"/>
      <c r="AEW1285"/>
      <c r="AEX1285"/>
      <c r="AEY1285"/>
      <c r="AEZ1285"/>
      <c r="AFA1285"/>
      <c r="AFB1285"/>
      <c r="AFC1285"/>
      <c r="AFD1285"/>
      <c r="AFE1285"/>
      <c r="AFF1285"/>
      <c r="AFG1285"/>
      <c r="AFH1285"/>
      <c r="AFI1285"/>
      <c r="AFJ1285"/>
      <c r="AFK1285"/>
      <c r="AFL1285"/>
      <c r="AFM1285"/>
      <c r="AFN1285"/>
      <c r="AFO1285"/>
      <c r="AFP1285"/>
      <c r="AFQ1285"/>
      <c r="AFR1285"/>
      <c r="AFS1285"/>
      <c r="AFT1285"/>
      <c r="AFU1285"/>
      <c r="AFV1285"/>
      <c r="AFW1285"/>
      <c r="AFX1285"/>
      <c r="AFY1285"/>
      <c r="AFZ1285"/>
      <c r="AGA1285"/>
      <c r="AGB1285"/>
      <c r="AGC1285"/>
      <c r="AGD1285"/>
      <c r="AGE1285"/>
      <c r="AGF1285"/>
      <c r="AGG1285"/>
      <c r="AGH1285"/>
      <c r="AGI1285"/>
      <c r="AGJ1285"/>
      <c r="AGK1285"/>
      <c r="AGL1285"/>
      <c r="AGM1285"/>
      <c r="AGN1285"/>
      <c r="AGO1285"/>
      <c r="AGP1285"/>
      <c r="AGQ1285"/>
      <c r="AGR1285"/>
      <c r="AGS1285"/>
      <c r="AGT1285"/>
      <c r="AGU1285"/>
      <c r="AGV1285"/>
      <c r="AGW1285"/>
      <c r="AGX1285"/>
      <c r="AGY1285"/>
      <c r="AGZ1285"/>
      <c r="AHA1285"/>
      <c r="AHB1285"/>
      <c r="AHC1285"/>
      <c r="AHD1285"/>
      <c r="AHE1285"/>
      <c r="AHF1285"/>
      <c r="AHG1285"/>
      <c r="AHH1285"/>
      <c r="AHI1285"/>
      <c r="AHJ1285"/>
      <c r="AHK1285"/>
      <c r="AHL1285"/>
      <c r="AHM1285"/>
      <c r="AHN1285"/>
      <c r="AHO1285"/>
      <c r="AHP1285"/>
      <c r="AHQ1285"/>
      <c r="AHR1285"/>
      <c r="AHS1285"/>
      <c r="AHT1285"/>
      <c r="AHU1285"/>
      <c r="AHV1285"/>
      <c r="AHW1285"/>
      <c r="AHX1285"/>
      <c r="AHY1285"/>
      <c r="AHZ1285"/>
      <c r="AIA1285"/>
      <c r="AIB1285"/>
      <c r="AIC1285"/>
      <c r="AID1285"/>
      <c r="AIE1285"/>
      <c r="AIF1285"/>
      <c r="AIG1285"/>
      <c r="AIH1285"/>
      <c r="AII1285"/>
      <c r="AIJ1285"/>
      <c r="AIK1285"/>
      <c r="AIL1285"/>
      <c r="AIM1285"/>
      <c r="AIN1285"/>
      <c r="AIO1285"/>
      <c r="AIP1285"/>
      <c r="AIQ1285"/>
      <c r="AIR1285"/>
      <c r="AIS1285"/>
      <c r="AIT1285"/>
      <c r="AIU1285"/>
      <c r="AIV1285"/>
      <c r="AIW1285"/>
      <c r="AIX1285"/>
      <c r="AIY1285"/>
      <c r="AIZ1285"/>
      <c r="AJA1285"/>
      <c r="AJB1285"/>
      <c r="AJC1285"/>
      <c r="AJD1285"/>
      <c r="AJE1285"/>
      <c r="AJF1285"/>
      <c r="AJG1285"/>
      <c r="AJH1285"/>
      <c r="AJI1285"/>
      <c r="AJJ1285"/>
      <c r="AJK1285"/>
      <c r="AJL1285"/>
      <c r="AJM1285"/>
      <c r="AJN1285"/>
      <c r="AJO1285"/>
      <c r="AJP1285"/>
      <c r="AJQ1285"/>
      <c r="AJR1285"/>
      <c r="AJS1285"/>
      <c r="AJT1285"/>
      <c r="AJU1285"/>
      <c r="AJV1285"/>
      <c r="AJW1285"/>
      <c r="AJX1285"/>
      <c r="AJY1285"/>
      <c r="AJZ1285"/>
      <c r="AKA1285"/>
      <c r="AKB1285"/>
      <c r="AKC1285"/>
      <c r="AKD1285"/>
      <c r="AKE1285"/>
      <c r="AKF1285"/>
      <c r="AKG1285"/>
      <c r="AKH1285"/>
      <c r="AKI1285"/>
      <c r="AKJ1285"/>
      <c r="AKK1285"/>
      <c r="AKL1285"/>
      <c r="AKM1285"/>
      <c r="AKN1285"/>
      <c r="AKO1285"/>
      <c r="AKP1285"/>
      <c r="AKQ1285"/>
      <c r="AKR1285"/>
      <c r="AKS1285"/>
      <c r="AKT1285"/>
      <c r="AKU1285"/>
      <c r="AKV1285"/>
      <c r="AKW1285"/>
      <c r="AKX1285"/>
      <c r="AKY1285"/>
      <c r="AKZ1285"/>
      <c r="ALA1285"/>
      <c r="ALB1285"/>
      <c r="ALC1285"/>
      <c r="ALD1285"/>
      <c r="ALE1285"/>
      <c r="ALF1285"/>
      <c r="ALG1285"/>
      <c r="ALH1285"/>
      <c r="ALI1285"/>
      <c r="ALJ1285"/>
      <c r="ALK1285"/>
      <c r="ALL1285"/>
      <c r="ALM1285"/>
      <c r="ALN1285"/>
      <c r="ALO1285"/>
      <c r="ALP1285"/>
      <c r="ALQ1285"/>
      <c r="ALR1285"/>
      <c r="ALS1285"/>
      <c r="ALT1285"/>
    </row>
    <row r="1286" spans="1:1008" x14ac:dyDescent="0.15">
      <c r="A1286" t="s">
        <v>4037</v>
      </c>
      <c r="B1286" s="8" t="s">
        <v>3980</v>
      </c>
      <c r="C1286" t="s">
        <v>4037</v>
      </c>
      <c r="D1286" s="8" t="s">
        <v>15</v>
      </c>
      <c r="E1286" t="s">
        <v>4037</v>
      </c>
      <c r="F1286" t="s">
        <v>4038</v>
      </c>
      <c r="G1286">
        <v>700</v>
      </c>
      <c r="H1286"/>
      <c r="I1286"/>
      <c r="J1286"/>
      <c r="K1286"/>
      <c r="L1286"/>
      <c r="M1286"/>
      <c r="N1286"/>
      <c r="O1286"/>
      <c r="P1286"/>
      <c r="Q1286"/>
      <c r="R1286"/>
      <c r="S1286"/>
      <c r="T1286"/>
      <c r="U1286"/>
      <c r="V1286"/>
      <c r="W1286"/>
      <c r="X1286"/>
      <c r="Y1286"/>
      <c r="Z1286"/>
      <c r="AA1286"/>
      <c r="AB1286"/>
      <c r="AC1286"/>
      <c r="AD1286"/>
      <c r="AE1286"/>
      <c r="AF1286"/>
      <c r="AG1286"/>
      <c r="AH1286"/>
      <c r="AI1286"/>
      <c r="AJ1286"/>
      <c r="AK1286"/>
      <c r="AL1286"/>
      <c r="AM1286"/>
      <c r="AN1286"/>
      <c r="AO1286"/>
      <c r="AP1286"/>
      <c r="AQ1286"/>
      <c r="AR1286"/>
      <c r="AS1286"/>
      <c r="AT1286"/>
      <c r="AU1286"/>
      <c r="AV1286"/>
      <c r="AW1286"/>
      <c r="AX1286"/>
      <c r="AY1286"/>
      <c r="AZ1286"/>
      <c r="BA1286"/>
      <c r="BB1286"/>
      <c r="BC1286"/>
      <c r="BD1286"/>
      <c r="BE1286"/>
      <c r="BF1286"/>
      <c r="BG1286"/>
      <c r="BH1286"/>
      <c r="BI1286"/>
      <c r="BJ1286"/>
      <c r="BK1286"/>
      <c r="BL1286"/>
      <c r="BM1286"/>
      <c r="BN1286"/>
      <c r="BO1286"/>
      <c r="BP1286"/>
      <c r="BQ1286"/>
      <c r="BR1286"/>
      <c r="BS1286"/>
      <c r="BT1286"/>
      <c r="BU1286"/>
      <c r="BV1286"/>
      <c r="BW1286"/>
      <c r="BX1286"/>
      <c r="BY1286"/>
      <c r="BZ1286"/>
      <c r="CA1286"/>
      <c r="CB1286"/>
      <c r="CC1286"/>
      <c r="CD1286"/>
      <c r="CE1286"/>
      <c r="CF1286"/>
      <c r="CG1286"/>
      <c r="CH1286"/>
      <c r="CI1286"/>
      <c r="CJ1286"/>
      <c r="CK1286"/>
      <c r="CL1286"/>
      <c r="CM1286"/>
      <c r="CN1286"/>
      <c r="CO1286"/>
      <c r="CP1286"/>
      <c r="CQ1286"/>
      <c r="CR1286"/>
      <c r="CS1286"/>
      <c r="CT1286"/>
      <c r="CU1286"/>
      <c r="CV1286"/>
      <c r="CW1286"/>
      <c r="CX1286"/>
      <c r="CY1286"/>
      <c r="CZ1286"/>
      <c r="DA1286"/>
      <c r="DB1286"/>
      <c r="DC1286"/>
      <c r="DD1286"/>
      <c r="DE1286"/>
      <c r="DF1286"/>
      <c r="DG1286"/>
      <c r="DH1286"/>
      <c r="DI1286"/>
      <c r="DJ1286"/>
      <c r="DK1286"/>
      <c r="DL1286"/>
      <c r="DM1286"/>
      <c r="DN1286"/>
      <c r="DO1286"/>
      <c r="DP1286"/>
      <c r="DQ1286"/>
      <c r="DR1286"/>
      <c r="DS1286"/>
      <c r="DT1286"/>
      <c r="DU1286"/>
      <c r="DV1286"/>
      <c r="DW1286"/>
      <c r="DX1286"/>
      <c r="DY1286"/>
      <c r="DZ1286"/>
      <c r="EA1286"/>
      <c r="EB1286"/>
      <c r="EC1286"/>
      <c r="ED1286"/>
      <c r="EE1286"/>
      <c r="EF1286"/>
      <c r="EG1286"/>
      <c r="EH1286"/>
      <c r="EI1286"/>
      <c r="EJ1286"/>
      <c r="EK1286"/>
      <c r="EL1286"/>
      <c r="EM1286"/>
      <c r="EN1286"/>
      <c r="EO1286"/>
      <c r="EP1286"/>
      <c r="EQ1286"/>
      <c r="ER1286"/>
      <c r="ES1286"/>
      <c r="ET1286"/>
      <c r="EU1286"/>
      <c r="EV1286"/>
      <c r="EW1286"/>
      <c r="EX1286"/>
      <c r="EY1286"/>
      <c r="EZ1286"/>
      <c r="FA1286"/>
      <c r="FB1286"/>
      <c r="FC1286"/>
      <c r="FD1286"/>
      <c r="FE1286"/>
      <c r="FF1286"/>
      <c r="FG1286"/>
      <c r="FH1286"/>
      <c r="FI1286"/>
      <c r="FJ1286"/>
      <c r="FK1286"/>
      <c r="FL1286"/>
      <c r="FM1286"/>
      <c r="FN1286"/>
      <c r="FO1286"/>
      <c r="FP1286"/>
      <c r="FQ1286"/>
      <c r="FR1286"/>
      <c r="FS1286"/>
      <c r="FT1286"/>
      <c r="FU1286"/>
      <c r="FV1286"/>
      <c r="FW1286"/>
      <c r="FX1286"/>
      <c r="FY1286"/>
      <c r="FZ1286"/>
      <c r="GA1286"/>
      <c r="GB1286"/>
      <c r="GC1286"/>
      <c r="GD1286"/>
      <c r="GE1286"/>
      <c r="GF1286"/>
      <c r="GG1286"/>
      <c r="GH1286"/>
      <c r="GI1286"/>
      <c r="GJ1286"/>
      <c r="GK1286"/>
      <c r="GL1286"/>
      <c r="GM1286"/>
      <c r="GN1286"/>
      <c r="GO1286"/>
      <c r="GP1286"/>
      <c r="GQ1286"/>
      <c r="GR1286"/>
      <c r="GS1286"/>
      <c r="GT1286"/>
      <c r="GU1286"/>
      <c r="GV1286"/>
      <c r="GW1286"/>
      <c r="GX1286"/>
      <c r="GY1286"/>
      <c r="GZ1286"/>
      <c r="HA1286"/>
      <c r="HB1286"/>
      <c r="HC1286"/>
      <c r="HD1286"/>
      <c r="HE1286"/>
      <c r="HF1286"/>
      <c r="HG1286"/>
      <c r="HH1286"/>
      <c r="HI1286"/>
      <c r="HJ1286"/>
      <c r="HK1286"/>
      <c r="HL1286"/>
      <c r="HM1286"/>
      <c r="HN1286"/>
      <c r="HO1286"/>
      <c r="HP1286"/>
      <c r="HQ1286"/>
      <c r="HR1286"/>
      <c r="HS1286"/>
      <c r="HT1286"/>
      <c r="HU1286"/>
      <c r="HV1286"/>
      <c r="HW1286"/>
      <c r="HX1286"/>
      <c r="HY1286"/>
      <c r="HZ1286"/>
      <c r="IA1286"/>
      <c r="IB1286"/>
      <c r="IC1286"/>
      <c r="ID1286"/>
      <c r="IE1286"/>
      <c r="IF1286"/>
      <c r="IG1286"/>
      <c r="IH1286"/>
      <c r="II1286"/>
      <c r="IJ1286"/>
      <c r="IK1286"/>
      <c r="IL1286"/>
      <c r="IM1286"/>
      <c r="IN1286"/>
      <c r="IO1286"/>
      <c r="IP1286"/>
      <c r="IQ1286"/>
      <c r="IR1286"/>
      <c r="IS1286"/>
      <c r="IT1286"/>
      <c r="IU1286"/>
      <c r="IV1286"/>
      <c r="IW1286"/>
      <c r="IX1286"/>
      <c r="IY1286"/>
      <c r="IZ1286"/>
      <c r="JA1286"/>
      <c r="JB1286"/>
      <c r="JC1286"/>
      <c r="JD1286"/>
      <c r="JE1286"/>
      <c r="JF1286"/>
      <c r="JG1286"/>
      <c r="JH1286"/>
      <c r="JI1286"/>
      <c r="JJ1286"/>
      <c r="JK1286"/>
      <c r="JL1286"/>
      <c r="JM1286"/>
      <c r="JN1286"/>
      <c r="JO1286"/>
      <c r="JP1286"/>
      <c r="JQ1286"/>
      <c r="JR1286"/>
      <c r="JS1286"/>
      <c r="JT1286"/>
      <c r="JU1286"/>
      <c r="JV1286"/>
      <c r="JW1286"/>
      <c r="JX1286"/>
      <c r="JY1286"/>
      <c r="JZ1286"/>
      <c r="KA1286"/>
      <c r="KB1286"/>
      <c r="KC1286"/>
      <c r="KD1286"/>
      <c r="KE1286"/>
      <c r="KF1286"/>
      <c r="KG1286"/>
      <c r="KH1286"/>
      <c r="KI1286"/>
      <c r="KJ1286"/>
      <c r="KK1286"/>
      <c r="KL1286"/>
      <c r="KM1286"/>
      <c r="KN1286"/>
      <c r="KO1286"/>
      <c r="KP1286"/>
      <c r="KQ1286"/>
      <c r="KR1286"/>
      <c r="KS1286"/>
      <c r="KT1286"/>
      <c r="KU1286"/>
      <c r="KV1286"/>
      <c r="KW1286"/>
      <c r="KX1286"/>
      <c r="KY1286"/>
      <c r="KZ1286"/>
      <c r="LA1286"/>
      <c r="LB1286"/>
      <c r="LC1286"/>
      <c r="LD1286"/>
      <c r="LE1286"/>
      <c r="LF1286"/>
      <c r="LG1286"/>
      <c r="LH1286"/>
      <c r="LI1286"/>
      <c r="LJ1286"/>
      <c r="LK1286"/>
      <c r="LL1286"/>
      <c r="LM1286"/>
      <c r="LN1286"/>
      <c r="LO1286"/>
      <c r="LP1286"/>
      <c r="LQ1286"/>
      <c r="LR1286"/>
      <c r="LS1286"/>
      <c r="LT1286"/>
      <c r="LU1286"/>
      <c r="LV1286"/>
      <c r="LW1286"/>
      <c r="LX1286"/>
      <c r="LY1286"/>
      <c r="LZ1286"/>
      <c r="MA1286"/>
      <c r="MB1286"/>
      <c r="MC1286"/>
      <c r="MD1286"/>
      <c r="ME1286"/>
      <c r="MF1286"/>
      <c r="MG1286"/>
      <c r="MH1286"/>
      <c r="MI1286"/>
      <c r="MJ1286"/>
      <c r="MK1286"/>
      <c r="ML1286"/>
      <c r="MM1286"/>
      <c r="MN1286"/>
      <c r="MO1286"/>
      <c r="MP1286"/>
      <c r="MQ1286"/>
      <c r="MR1286"/>
      <c r="MS1286"/>
      <c r="MT1286"/>
      <c r="MU1286"/>
      <c r="MV1286"/>
      <c r="MW1286"/>
      <c r="MX1286"/>
      <c r="MY1286"/>
      <c r="MZ1286"/>
      <c r="NA1286"/>
      <c r="NB1286"/>
      <c r="NC1286"/>
      <c r="ND1286"/>
      <c r="NE1286"/>
      <c r="NF1286"/>
      <c r="NG1286"/>
      <c r="NH1286"/>
      <c r="NI1286"/>
      <c r="NJ1286"/>
      <c r="NK1286"/>
      <c r="NL1286"/>
      <c r="NM1286"/>
      <c r="NN1286"/>
      <c r="NO1286"/>
      <c r="NP1286"/>
      <c r="NQ1286"/>
      <c r="NR1286"/>
      <c r="NS1286"/>
      <c r="NT1286"/>
      <c r="NU1286"/>
      <c r="NV1286"/>
      <c r="NW1286"/>
      <c r="NX1286"/>
      <c r="NY1286"/>
      <c r="NZ1286"/>
      <c r="OA1286"/>
      <c r="OB1286"/>
      <c r="OC1286"/>
      <c r="OD1286"/>
      <c r="OE1286"/>
      <c r="OF1286"/>
      <c r="OG1286"/>
      <c r="OH1286"/>
      <c r="OI1286"/>
      <c r="OJ1286"/>
      <c r="OK1286"/>
      <c r="OL1286"/>
      <c r="OM1286"/>
      <c r="ON1286"/>
      <c r="OO1286"/>
      <c r="OP1286"/>
      <c r="OQ1286"/>
      <c r="OR1286"/>
      <c r="OS1286"/>
      <c r="OT1286"/>
      <c r="OU1286"/>
      <c r="OV1286"/>
      <c r="OW1286"/>
      <c r="OX1286"/>
      <c r="OY1286"/>
      <c r="OZ1286"/>
      <c r="PA1286"/>
      <c r="PB1286"/>
      <c r="PC1286"/>
      <c r="PD1286"/>
      <c r="PE1286"/>
      <c r="PF1286"/>
      <c r="PG1286"/>
      <c r="PH1286"/>
      <c r="PI1286"/>
      <c r="PJ1286"/>
      <c r="PK1286"/>
      <c r="PL1286"/>
      <c r="PM1286"/>
      <c r="PN1286"/>
      <c r="PO1286"/>
      <c r="PP1286"/>
      <c r="PQ1286"/>
      <c r="PR1286"/>
      <c r="PS1286"/>
      <c r="PT1286"/>
      <c r="PU1286"/>
      <c r="PV1286"/>
      <c r="PW1286"/>
      <c r="PX1286"/>
      <c r="PY1286"/>
      <c r="PZ1286"/>
      <c r="QA1286"/>
      <c r="QB1286"/>
      <c r="QC1286"/>
      <c r="QD1286"/>
      <c r="QE1286"/>
      <c r="QF1286"/>
      <c r="QG1286"/>
      <c r="QH1286"/>
      <c r="QI1286"/>
      <c r="QJ1286"/>
      <c r="QK1286"/>
      <c r="QL1286"/>
      <c r="QM1286"/>
      <c r="QN1286"/>
      <c r="QO1286"/>
      <c r="QP1286"/>
      <c r="QQ1286"/>
      <c r="QR1286"/>
      <c r="QS1286"/>
      <c r="QT1286"/>
      <c r="QU1286"/>
      <c r="QV1286"/>
      <c r="QW1286"/>
      <c r="QX1286"/>
      <c r="QY1286"/>
      <c r="QZ1286"/>
      <c r="RA1286"/>
      <c r="RB1286"/>
      <c r="RC1286"/>
      <c r="RD1286"/>
      <c r="RE1286"/>
      <c r="RF1286"/>
      <c r="RG1286"/>
      <c r="RH1286"/>
      <c r="RI1286"/>
      <c r="RJ1286"/>
      <c r="RK1286"/>
      <c r="RL1286"/>
      <c r="RM1286"/>
      <c r="RN1286"/>
      <c r="RO1286"/>
      <c r="RP1286"/>
      <c r="RQ1286"/>
      <c r="RR1286"/>
      <c r="RS1286"/>
      <c r="RT1286"/>
      <c r="RU1286"/>
      <c r="RV1286"/>
      <c r="RW1286"/>
      <c r="RX1286"/>
      <c r="RY1286"/>
      <c r="RZ1286"/>
      <c r="SA1286"/>
      <c r="SB1286"/>
      <c r="SC1286"/>
      <c r="SD1286"/>
      <c r="SE1286"/>
      <c r="SF1286"/>
      <c r="SG1286"/>
      <c r="SH1286"/>
      <c r="SI1286"/>
      <c r="SJ1286"/>
      <c r="SK1286"/>
      <c r="SL1286"/>
      <c r="SM1286"/>
      <c r="SN1286"/>
      <c r="SO1286"/>
      <c r="SP1286"/>
      <c r="SQ1286"/>
      <c r="SR1286"/>
      <c r="SS1286"/>
      <c r="ST1286"/>
      <c r="SU1286"/>
      <c r="SV1286"/>
      <c r="SW1286"/>
      <c r="SX1286"/>
      <c r="SY1286"/>
      <c r="SZ1286"/>
      <c r="TA1286"/>
      <c r="TB1286"/>
      <c r="TC1286"/>
      <c r="TD1286"/>
      <c r="TE1286"/>
      <c r="TF1286"/>
      <c r="TG1286"/>
      <c r="TH1286"/>
      <c r="TI1286"/>
      <c r="TJ1286"/>
      <c r="TK1286"/>
      <c r="TL1286"/>
      <c r="TM1286"/>
      <c r="TN1286"/>
      <c r="TO1286"/>
      <c r="TP1286"/>
      <c r="TQ1286"/>
      <c r="TR1286"/>
      <c r="TS1286"/>
      <c r="TT1286"/>
      <c r="TU1286"/>
      <c r="TV1286"/>
      <c r="TW1286"/>
      <c r="TX1286"/>
      <c r="TY1286"/>
      <c r="TZ1286"/>
      <c r="UA1286"/>
      <c r="UB1286"/>
      <c r="UC1286"/>
      <c r="UD1286"/>
      <c r="UE1286"/>
      <c r="UF1286"/>
      <c r="UG1286"/>
      <c r="UH1286"/>
      <c r="UI1286"/>
      <c r="UJ1286"/>
      <c r="UK1286"/>
      <c r="UL1286"/>
      <c r="UM1286"/>
      <c r="UN1286"/>
      <c r="UO1286"/>
      <c r="UP1286"/>
      <c r="UQ1286"/>
      <c r="UR1286"/>
      <c r="US1286"/>
      <c r="UT1286"/>
      <c r="UU1286"/>
      <c r="UV1286"/>
      <c r="UW1286"/>
      <c r="UX1286"/>
      <c r="UY1286"/>
      <c r="UZ1286"/>
      <c r="VA1286"/>
      <c r="VB1286"/>
      <c r="VC1286"/>
      <c r="VD1286"/>
      <c r="VE1286"/>
      <c r="VF1286"/>
      <c r="VG1286"/>
      <c r="VH1286"/>
      <c r="VI1286"/>
      <c r="VJ1286"/>
      <c r="VK1286"/>
      <c r="VL1286"/>
      <c r="VM1286"/>
      <c r="VN1286"/>
      <c r="VO1286"/>
      <c r="VP1286"/>
      <c r="VQ1286"/>
      <c r="VR1286"/>
      <c r="VS1286"/>
      <c r="VT1286"/>
      <c r="VU1286"/>
      <c r="VV1286"/>
      <c r="VW1286"/>
      <c r="VX1286"/>
      <c r="VY1286"/>
      <c r="VZ1286"/>
      <c r="WA1286"/>
      <c r="WB1286"/>
      <c r="WC1286"/>
      <c r="WD1286"/>
      <c r="WE1286"/>
      <c r="WF1286"/>
      <c r="WG1286"/>
      <c r="WH1286"/>
      <c r="WI1286"/>
      <c r="WJ1286"/>
      <c r="WK1286"/>
      <c r="WL1286"/>
      <c r="WM1286"/>
      <c r="WN1286"/>
      <c r="WO1286"/>
      <c r="WP1286"/>
      <c r="WQ1286"/>
      <c r="WR1286"/>
      <c r="WS1286"/>
      <c r="WT1286"/>
      <c r="WU1286"/>
      <c r="WV1286"/>
      <c r="WW1286"/>
      <c r="WX1286"/>
      <c r="WY1286"/>
      <c r="WZ1286"/>
      <c r="XA1286"/>
      <c r="XB1286"/>
      <c r="XC1286"/>
      <c r="XD1286"/>
      <c r="XE1286"/>
      <c r="XF1286"/>
      <c r="XG1286"/>
      <c r="XH1286"/>
      <c r="XI1286"/>
      <c r="XJ1286"/>
      <c r="XK1286"/>
      <c r="XL1286"/>
      <c r="XM1286"/>
      <c r="XN1286"/>
      <c r="XO1286"/>
      <c r="XP1286"/>
      <c r="XQ1286"/>
      <c r="XR1286"/>
      <c r="XS1286"/>
      <c r="XT1286"/>
      <c r="XU1286"/>
      <c r="XV1286"/>
      <c r="XW1286"/>
      <c r="XX1286"/>
      <c r="XY1286"/>
      <c r="XZ1286"/>
      <c r="YA1286"/>
      <c r="YB1286"/>
      <c r="YC1286"/>
      <c r="YD1286"/>
      <c r="YE1286"/>
      <c r="YF1286"/>
      <c r="YG1286"/>
      <c r="YH1286"/>
      <c r="YI1286"/>
      <c r="YJ1286"/>
      <c r="YK1286"/>
      <c r="YL1286"/>
      <c r="YM1286"/>
      <c r="YN1286"/>
      <c r="YO1286"/>
      <c r="YP1286"/>
      <c r="YQ1286"/>
      <c r="YR1286"/>
      <c r="YS1286"/>
      <c r="YT1286"/>
      <c r="YU1286"/>
      <c r="YV1286"/>
      <c r="YW1286"/>
      <c r="YX1286"/>
      <c r="YY1286"/>
      <c r="YZ1286"/>
      <c r="ZA1286"/>
      <c r="ZB1286"/>
      <c r="ZC1286"/>
      <c r="ZD1286"/>
      <c r="ZE1286"/>
      <c r="ZF1286"/>
      <c r="ZG1286"/>
      <c r="ZH1286"/>
      <c r="ZI1286"/>
      <c r="ZJ1286"/>
      <c r="ZK1286"/>
      <c r="ZL1286"/>
      <c r="ZM1286"/>
      <c r="ZN1286"/>
      <c r="ZO1286"/>
      <c r="ZP1286"/>
      <c r="ZQ1286"/>
      <c r="ZR1286"/>
      <c r="ZS1286"/>
      <c r="ZT1286"/>
      <c r="ZU1286"/>
      <c r="ZV1286"/>
      <c r="ZW1286"/>
      <c r="ZX1286"/>
      <c r="ZY1286"/>
      <c r="ZZ1286"/>
      <c r="AAA1286"/>
      <c r="AAB1286"/>
      <c r="AAC1286"/>
      <c r="AAD1286"/>
      <c r="AAE1286"/>
      <c r="AAF1286"/>
      <c r="AAG1286"/>
      <c r="AAH1286"/>
      <c r="AAI1286"/>
      <c r="AAJ1286"/>
      <c r="AAK1286"/>
      <c r="AAL1286"/>
      <c r="AAM1286"/>
      <c r="AAN1286"/>
      <c r="AAO1286"/>
      <c r="AAP1286"/>
      <c r="AAQ1286"/>
      <c r="AAR1286"/>
      <c r="AAS1286"/>
      <c r="AAT1286"/>
      <c r="AAU1286"/>
      <c r="AAV1286"/>
      <c r="AAW1286"/>
      <c r="AAX1286"/>
      <c r="AAY1286"/>
      <c r="AAZ1286"/>
      <c r="ABA1286"/>
      <c r="ABB1286"/>
      <c r="ABC1286"/>
      <c r="ABD1286"/>
      <c r="ABE1286"/>
      <c r="ABF1286"/>
      <c r="ABG1286"/>
      <c r="ABH1286"/>
      <c r="ABI1286"/>
      <c r="ABJ1286"/>
      <c r="ABK1286"/>
      <c r="ABL1286"/>
      <c r="ABM1286"/>
      <c r="ABN1286"/>
      <c r="ABO1286"/>
      <c r="ABP1286"/>
      <c r="ABQ1286"/>
      <c r="ABR1286"/>
      <c r="ABS1286"/>
      <c r="ABT1286"/>
      <c r="ABU1286"/>
      <c r="ABV1286"/>
      <c r="ABW1286"/>
      <c r="ABX1286"/>
      <c r="ABY1286"/>
      <c r="ABZ1286"/>
      <c r="ACA1286"/>
      <c r="ACB1286"/>
      <c r="ACC1286"/>
      <c r="ACD1286"/>
      <c r="ACE1286"/>
      <c r="ACF1286"/>
      <c r="ACG1286"/>
      <c r="ACH1286"/>
      <c r="ACI1286"/>
      <c r="ACJ1286"/>
      <c r="ACK1286"/>
      <c r="ACL1286"/>
      <c r="ACM1286"/>
      <c r="ACN1286"/>
      <c r="ACO1286"/>
      <c r="ACP1286"/>
      <c r="ACQ1286"/>
      <c r="ACR1286"/>
      <c r="ACS1286"/>
      <c r="ACT1286"/>
      <c r="ACU1286"/>
      <c r="ACV1286"/>
      <c r="ACW1286"/>
      <c r="ACX1286"/>
      <c r="ACY1286"/>
      <c r="ACZ1286"/>
      <c r="ADA1286"/>
      <c r="ADB1286"/>
      <c r="ADC1286"/>
      <c r="ADD1286"/>
      <c r="ADE1286"/>
      <c r="ADF1286"/>
      <c r="ADG1286"/>
      <c r="ADH1286"/>
      <c r="ADI1286"/>
      <c r="ADJ1286"/>
      <c r="ADK1286"/>
      <c r="ADL1286"/>
      <c r="ADM1286"/>
      <c r="ADN1286"/>
      <c r="ADO1286"/>
      <c r="ADP1286"/>
      <c r="ADQ1286"/>
      <c r="ADR1286"/>
      <c r="ADS1286"/>
      <c r="ADT1286"/>
      <c r="ADU1286"/>
      <c r="ADV1286"/>
      <c r="ADW1286"/>
      <c r="ADX1286"/>
      <c r="ADY1286"/>
      <c r="ADZ1286"/>
      <c r="AEA1286"/>
      <c r="AEB1286"/>
      <c r="AEC1286"/>
      <c r="AED1286"/>
      <c r="AEE1286"/>
      <c r="AEF1286"/>
      <c r="AEG1286"/>
      <c r="AEH1286"/>
      <c r="AEI1286"/>
      <c r="AEJ1286"/>
      <c r="AEK1286"/>
      <c r="AEL1286"/>
      <c r="AEM1286"/>
      <c r="AEN1286"/>
      <c r="AEO1286"/>
      <c r="AEP1286"/>
      <c r="AEQ1286"/>
      <c r="AER1286"/>
      <c r="AES1286"/>
      <c r="AET1286"/>
      <c r="AEU1286"/>
      <c r="AEV1286"/>
      <c r="AEW1286"/>
      <c r="AEX1286"/>
      <c r="AEY1286"/>
      <c r="AEZ1286"/>
      <c r="AFA1286"/>
      <c r="AFB1286"/>
      <c r="AFC1286"/>
      <c r="AFD1286"/>
      <c r="AFE1286"/>
      <c r="AFF1286"/>
      <c r="AFG1286"/>
      <c r="AFH1286"/>
      <c r="AFI1286"/>
      <c r="AFJ1286"/>
      <c r="AFK1286"/>
      <c r="AFL1286"/>
      <c r="AFM1286"/>
      <c r="AFN1286"/>
      <c r="AFO1286"/>
      <c r="AFP1286"/>
      <c r="AFQ1286"/>
      <c r="AFR1286"/>
      <c r="AFS1286"/>
      <c r="AFT1286"/>
      <c r="AFU1286"/>
      <c r="AFV1286"/>
      <c r="AFW1286"/>
      <c r="AFX1286"/>
      <c r="AFY1286"/>
      <c r="AFZ1286"/>
      <c r="AGA1286"/>
      <c r="AGB1286"/>
      <c r="AGC1286"/>
      <c r="AGD1286"/>
      <c r="AGE1286"/>
      <c r="AGF1286"/>
      <c r="AGG1286"/>
      <c r="AGH1286"/>
      <c r="AGI1286"/>
      <c r="AGJ1286"/>
      <c r="AGK1286"/>
      <c r="AGL1286"/>
      <c r="AGM1286"/>
      <c r="AGN1286"/>
      <c r="AGO1286"/>
      <c r="AGP1286"/>
      <c r="AGQ1286"/>
      <c r="AGR1286"/>
      <c r="AGS1286"/>
      <c r="AGT1286"/>
      <c r="AGU1286"/>
      <c r="AGV1286"/>
      <c r="AGW1286"/>
      <c r="AGX1286"/>
      <c r="AGY1286"/>
      <c r="AGZ1286"/>
      <c r="AHA1286"/>
      <c r="AHB1286"/>
      <c r="AHC1286"/>
      <c r="AHD1286"/>
      <c r="AHE1286"/>
      <c r="AHF1286"/>
      <c r="AHG1286"/>
      <c r="AHH1286"/>
      <c r="AHI1286"/>
      <c r="AHJ1286"/>
      <c r="AHK1286"/>
      <c r="AHL1286"/>
      <c r="AHM1286"/>
      <c r="AHN1286"/>
      <c r="AHO1286"/>
      <c r="AHP1286"/>
      <c r="AHQ1286"/>
      <c r="AHR1286"/>
      <c r="AHS1286"/>
      <c r="AHT1286"/>
      <c r="AHU1286"/>
      <c r="AHV1286"/>
      <c r="AHW1286"/>
      <c r="AHX1286"/>
      <c r="AHY1286"/>
      <c r="AHZ1286"/>
      <c r="AIA1286"/>
      <c r="AIB1286"/>
      <c r="AIC1286"/>
      <c r="AID1286"/>
      <c r="AIE1286"/>
      <c r="AIF1286"/>
      <c r="AIG1286"/>
      <c r="AIH1286"/>
      <c r="AII1286"/>
      <c r="AIJ1286"/>
      <c r="AIK1286"/>
      <c r="AIL1286"/>
      <c r="AIM1286"/>
      <c r="AIN1286"/>
      <c r="AIO1286"/>
      <c r="AIP1286"/>
      <c r="AIQ1286"/>
      <c r="AIR1286"/>
      <c r="AIS1286"/>
      <c r="AIT1286"/>
      <c r="AIU1286"/>
      <c r="AIV1286"/>
      <c r="AIW1286"/>
      <c r="AIX1286"/>
      <c r="AIY1286"/>
      <c r="AIZ1286"/>
      <c r="AJA1286"/>
      <c r="AJB1286"/>
      <c r="AJC1286"/>
      <c r="AJD1286"/>
      <c r="AJE1286"/>
      <c r="AJF1286"/>
      <c r="AJG1286"/>
      <c r="AJH1286"/>
      <c r="AJI1286"/>
      <c r="AJJ1286"/>
      <c r="AJK1286"/>
      <c r="AJL1286"/>
      <c r="AJM1286"/>
      <c r="AJN1286"/>
      <c r="AJO1286"/>
      <c r="AJP1286"/>
      <c r="AJQ1286"/>
      <c r="AJR1286"/>
      <c r="AJS1286"/>
      <c r="AJT1286"/>
      <c r="AJU1286"/>
      <c r="AJV1286"/>
      <c r="AJW1286"/>
      <c r="AJX1286"/>
      <c r="AJY1286"/>
      <c r="AJZ1286"/>
      <c r="AKA1286"/>
      <c r="AKB1286"/>
      <c r="AKC1286"/>
      <c r="AKD1286"/>
      <c r="AKE1286"/>
      <c r="AKF1286"/>
      <c r="AKG1286"/>
      <c r="AKH1286"/>
      <c r="AKI1286"/>
      <c r="AKJ1286"/>
      <c r="AKK1286"/>
      <c r="AKL1286"/>
      <c r="AKM1286"/>
      <c r="AKN1286"/>
      <c r="AKO1286"/>
      <c r="AKP1286"/>
      <c r="AKQ1286"/>
      <c r="AKR1286"/>
      <c r="AKS1286"/>
      <c r="AKT1286"/>
      <c r="AKU1286"/>
      <c r="AKV1286"/>
      <c r="AKW1286"/>
      <c r="AKX1286"/>
      <c r="AKY1286"/>
      <c r="AKZ1286"/>
      <c r="ALA1286"/>
      <c r="ALB1286"/>
      <c r="ALC1286"/>
      <c r="ALD1286"/>
      <c r="ALE1286"/>
      <c r="ALF1286"/>
      <c r="ALG1286"/>
      <c r="ALH1286"/>
      <c r="ALI1286"/>
      <c r="ALJ1286"/>
      <c r="ALK1286"/>
      <c r="ALL1286"/>
      <c r="ALM1286"/>
      <c r="ALN1286"/>
      <c r="ALO1286"/>
      <c r="ALP1286"/>
      <c r="ALQ1286"/>
      <c r="ALR1286"/>
      <c r="ALS1286"/>
      <c r="ALT1286"/>
    </row>
    <row r="1287" spans="1:1008" x14ac:dyDescent="0.15">
      <c r="A1287" t="s">
        <v>4039</v>
      </c>
      <c r="B1287" s="8" t="s">
        <v>3980</v>
      </c>
      <c r="C1287" t="s">
        <v>4039</v>
      </c>
      <c r="D1287" s="8" t="s">
        <v>15</v>
      </c>
      <c r="E1287" t="s">
        <v>4039</v>
      </c>
      <c r="F1287" t="s">
        <v>4040</v>
      </c>
      <c r="G1287">
        <v>800</v>
      </c>
      <c r="H1287"/>
      <c r="I1287"/>
      <c r="J1287"/>
      <c r="K1287"/>
      <c r="L1287"/>
      <c r="M1287"/>
      <c r="N1287"/>
      <c r="O1287"/>
      <c r="P1287"/>
      <c r="Q1287"/>
      <c r="R1287"/>
      <c r="S1287"/>
      <c r="T1287"/>
      <c r="U1287"/>
      <c r="V1287"/>
      <c r="W1287"/>
      <c r="X1287"/>
      <c r="Y1287"/>
      <c r="Z1287"/>
      <c r="AA1287"/>
      <c r="AB1287"/>
      <c r="AC1287"/>
      <c r="AD1287"/>
      <c r="AE1287"/>
      <c r="AF1287"/>
      <c r="AG1287"/>
      <c r="AH1287"/>
      <c r="AI1287"/>
      <c r="AJ1287"/>
      <c r="AK1287"/>
      <c r="AL1287"/>
      <c r="AM1287"/>
      <c r="AN1287"/>
      <c r="AO1287"/>
      <c r="AP1287"/>
      <c r="AQ1287"/>
      <c r="AR1287"/>
      <c r="AS1287"/>
      <c r="AT1287"/>
      <c r="AU1287"/>
      <c r="AV1287"/>
      <c r="AW1287"/>
      <c r="AX1287"/>
      <c r="AY1287"/>
      <c r="AZ1287"/>
      <c r="BA1287"/>
      <c r="BB1287"/>
      <c r="BC1287"/>
      <c r="BD1287"/>
      <c r="BE1287"/>
      <c r="BF1287"/>
      <c r="BG1287"/>
      <c r="BH1287"/>
      <c r="BI1287"/>
      <c r="BJ1287"/>
      <c r="BK1287"/>
      <c r="BL1287"/>
      <c r="BM1287"/>
      <c r="BN1287"/>
      <c r="BO1287"/>
      <c r="BP1287"/>
      <c r="BQ1287"/>
      <c r="BR1287"/>
      <c r="BS1287"/>
      <c r="BT1287"/>
      <c r="BU1287"/>
      <c r="BV1287"/>
      <c r="BW1287"/>
      <c r="BX1287"/>
      <c r="BY1287"/>
      <c r="BZ1287"/>
      <c r="CA1287"/>
      <c r="CB1287"/>
      <c r="CC1287"/>
      <c r="CD1287"/>
      <c r="CE1287"/>
      <c r="CF1287"/>
      <c r="CG1287"/>
      <c r="CH1287"/>
      <c r="CI1287"/>
      <c r="CJ1287"/>
      <c r="CK1287"/>
      <c r="CL1287"/>
      <c r="CM1287"/>
      <c r="CN1287"/>
      <c r="CO1287"/>
      <c r="CP1287"/>
      <c r="CQ1287"/>
      <c r="CR1287"/>
      <c r="CS1287"/>
      <c r="CT1287"/>
      <c r="CU1287"/>
      <c r="CV1287"/>
      <c r="CW1287"/>
      <c r="CX1287"/>
      <c r="CY1287"/>
      <c r="CZ1287"/>
      <c r="DA1287"/>
      <c r="DB1287"/>
      <c r="DC1287"/>
      <c r="DD1287"/>
      <c r="DE1287"/>
      <c r="DF1287"/>
      <c r="DG1287"/>
      <c r="DH1287"/>
      <c r="DI1287"/>
      <c r="DJ1287"/>
      <c r="DK1287"/>
      <c r="DL1287"/>
      <c r="DM1287"/>
      <c r="DN1287"/>
      <c r="DO1287"/>
      <c r="DP1287"/>
      <c r="DQ1287"/>
      <c r="DR1287"/>
      <c r="DS1287"/>
      <c r="DT1287"/>
      <c r="DU1287"/>
      <c r="DV1287"/>
      <c r="DW1287"/>
      <c r="DX1287"/>
      <c r="DY1287"/>
      <c r="DZ1287"/>
      <c r="EA1287"/>
      <c r="EB1287"/>
      <c r="EC1287"/>
      <c r="ED1287"/>
      <c r="EE1287"/>
      <c r="EF1287"/>
      <c r="EG1287"/>
      <c r="EH1287"/>
      <c r="EI1287"/>
      <c r="EJ1287"/>
      <c r="EK1287"/>
      <c r="EL1287"/>
      <c r="EM1287"/>
      <c r="EN1287"/>
      <c r="EO1287"/>
      <c r="EP1287"/>
      <c r="EQ1287"/>
      <c r="ER1287"/>
      <c r="ES1287"/>
      <c r="ET1287"/>
      <c r="EU1287"/>
      <c r="EV1287"/>
      <c r="EW1287"/>
      <c r="EX1287"/>
      <c r="EY1287"/>
      <c r="EZ1287"/>
      <c r="FA1287"/>
      <c r="FB1287"/>
      <c r="FC1287"/>
      <c r="FD1287"/>
      <c r="FE1287"/>
      <c r="FF1287"/>
      <c r="FG1287"/>
      <c r="FH1287"/>
      <c r="FI1287"/>
      <c r="FJ1287"/>
      <c r="FK1287"/>
      <c r="FL1287"/>
      <c r="FM1287"/>
      <c r="FN1287"/>
      <c r="FO1287"/>
      <c r="FP1287"/>
      <c r="FQ1287"/>
      <c r="FR1287"/>
      <c r="FS1287"/>
      <c r="FT1287"/>
      <c r="FU1287"/>
      <c r="FV1287"/>
      <c r="FW1287"/>
      <c r="FX1287"/>
      <c r="FY1287"/>
      <c r="FZ1287"/>
      <c r="GA1287"/>
      <c r="GB1287"/>
      <c r="GC1287"/>
      <c r="GD1287"/>
      <c r="GE1287"/>
      <c r="GF1287"/>
      <c r="GG1287"/>
      <c r="GH1287"/>
      <c r="GI1287"/>
      <c r="GJ1287"/>
      <c r="GK1287"/>
      <c r="GL1287"/>
      <c r="GM1287"/>
      <c r="GN1287"/>
      <c r="GO1287"/>
      <c r="GP1287"/>
      <c r="GQ1287"/>
      <c r="GR1287"/>
      <c r="GS1287"/>
      <c r="GT1287"/>
      <c r="GU1287"/>
      <c r="GV1287"/>
      <c r="GW1287"/>
      <c r="GX1287"/>
      <c r="GY1287"/>
      <c r="GZ1287"/>
      <c r="HA1287"/>
      <c r="HB1287"/>
      <c r="HC1287"/>
      <c r="HD1287"/>
      <c r="HE1287"/>
      <c r="HF1287"/>
      <c r="HG1287"/>
      <c r="HH1287"/>
      <c r="HI1287"/>
      <c r="HJ1287"/>
      <c r="HK1287"/>
      <c r="HL1287"/>
      <c r="HM1287"/>
      <c r="HN1287"/>
      <c r="HO1287"/>
      <c r="HP1287"/>
      <c r="HQ1287"/>
      <c r="HR1287"/>
      <c r="HS1287"/>
      <c r="HT1287"/>
      <c r="HU1287"/>
      <c r="HV1287"/>
      <c r="HW1287"/>
      <c r="HX1287"/>
      <c r="HY1287"/>
      <c r="HZ1287"/>
      <c r="IA1287"/>
      <c r="IB1287"/>
      <c r="IC1287"/>
      <c r="ID1287"/>
      <c r="IE1287"/>
      <c r="IF1287"/>
      <c r="IG1287"/>
      <c r="IH1287"/>
      <c r="II1287"/>
      <c r="IJ1287"/>
      <c r="IK1287"/>
      <c r="IL1287"/>
      <c r="IM1287"/>
      <c r="IN1287"/>
      <c r="IO1287"/>
      <c r="IP1287"/>
      <c r="IQ1287"/>
      <c r="IR1287"/>
      <c r="IS1287"/>
      <c r="IT1287"/>
      <c r="IU1287"/>
      <c r="IV1287"/>
      <c r="IW1287"/>
      <c r="IX1287"/>
      <c r="IY1287"/>
      <c r="IZ1287"/>
      <c r="JA1287"/>
      <c r="JB1287"/>
      <c r="JC1287"/>
      <c r="JD1287"/>
      <c r="JE1287"/>
      <c r="JF1287"/>
      <c r="JG1287"/>
      <c r="JH1287"/>
      <c r="JI1287"/>
      <c r="JJ1287"/>
      <c r="JK1287"/>
      <c r="JL1287"/>
      <c r="JM1287"/>
      <c r="JN1287"/>
      <c r="JO1287"/>
      <c r="JP1287"/>
      <c r="JQ1287"/>
      <c r="JR1287"/>
      <c r="JS1287"/>
      <c r="JT1287"/>
      <c r="JU1287"/>
      <c r="JV1287"/>
      <c r="JW1287"/>
      <c r="JX1287"/>
      <c r="JY1287"/>
      <c r="JZ1287"/>
      <c r="KA1287"/>
      <c r="KB1287"/>
      <c r="KC1287"/>
      <c r="KD1287"/>
      <c r="KE1287"/>
      <c r="KF1287"/>
      <c r="KG1287"/>
      <c r="KH1287"/>
      <c r="KI1287"/>
      <c r="KJ1287"/>
      <c r="KK1287"/>
      <c r="KL1287"/>
      <c r="KM1287"/>
      <c r="KN1287"/>
      <c r="KO1287"/>
      <c r="KP1287"/>
      <c r="KQ1287"/>
      <c r="KR1287"/>
      <c r="KS1287"/>
      <c r="KT1287"/>
      <c r="KU1287"/>
      <c r="KV1287"/>
      <c r="KW1287"/>
      <c r="KX1287"/>
      <c r="KY1287"/>
      <c r="KZ1287"/>
      <c r="LA1287"/>
      <c r="LB1287"/>
      <c r="LC1287"/>
      <c r="LD1287"/>
      <c r="LE1287"/>
      <c r="LF1287"/>
      <c r="LG1287"/>
      <c r="LH1287"/>
      <c r="LI1287"/>
      <c r="LJ1287"/>
      <c r="LK1287"/>
      <c r="LL1287"/>
      <c r="LM1287"/>
      <c r="LN1287"/>
      <c r="LO1287"/>
      <c r="LP1287"/>
      <c r="LQ1287"/>
      <c r="LR1287"/>
      <c r="LS1287"/>
      <c r="LT1287"/>
      <c r="LU1287"/>
      <c r="LV1287"/>
      <c r="LW1287"/>
      <c r="LX1287"/>
      <c r="LY1287"/>
      <c r="LZ1287"/>
      <c r="MA1287"/>
      <c r="MB1287"/>
      <c r="MC1287"/>
      <c r="MD1287"/>
      <c r="ME1287"/>
      <c r="MF1287"/>
      <c r="MG1287"/>
      <c r="MH1287"/>
      <c r="MI1287"/>
      <c r="MJ1287"/>
      <c r="MK1287"/>
      <c r="ML1287"/>
      <c r="MM1287"/>
      <c r="MN1287"/>
      <c r="MO1287"/>
      <c r="MP1287"/>
      <c r="MQ1287"/>
      <c r="MR1287"/>
      <c r="MS1287"/>
      <c r="MT1287"/>
      <c r="MU1287"/>
      <c r="MV1287"/>
      <c r="MW1287"/>
      <c r="MX1287"/>
      <c r="MY1287"/>
      <c r="MZ1287"/>
      <c r="NA1287"/>
      <c r="NB1287"/>
      <c r="NC1287"/>
      <c r="ND1287"/>
      <c r="NE1287"/>
      <c r="NF1287"/>
      <c r="NG1287"/>
      <c r="NH1287"/>
      <c r="NI1287"/>
      <c r="NJ1287"/>
      <c r="NK1287"/>
      <c r="NL1287"/>
      <c r="NM1287"/>
      <c r="NN1287"/>
      <c r="NO1287"/>
      <c r="NP1287"/>
      <c r="NQ1287"/>
      <c r="NR1287"/>
      <c r="NS1287"/>
      <c r="NT1287"/>
      <c r="NU1287"/>
      <c r="NV1287"/>
      <c r="NW1287"/>
      <c r="NX1287"/>
      <c r="NY1287"/>
      <c r="NZ1287"/>
      <c r="OA1287"/>
      <c r="OB1287"/>
      <c r="OC1287"/>
      <c r="OD1287"/>
      <c r="OE1287"/>
      <c r="OF1287"/>
      <c r="OG1287"/>
      <c r="OH1287"/>
      <c r="OI1287"/>
      <c r="OJ1287"/>
      <c r="OK1287"/>
      <c r="OL1287"/>
      <c r="OM1287"/>
      <c r="ON1287"/>
      <c r="OO1287"/>
      <c r="OP1287"/>
      <c r="OQ1287"/>
      <c r="OR1287"/>
      <c r="OS1287"/>
      <c r="OT1287"/>
      <c r="OU1287"/>
      <c r="OV1287"/>
      <c r="OW1287"/>
      <c r="OX1287"/>
      <c r="OY1287"/>
      <c r="OZ1287"/>
      <c r="PA1287"/>
      <c r="PB1287"/>
      <c r="PC1287"/>
      <c r="PD1287"/>
      <c r="PE1287"/>
      <c r="PF1287"/>
      <c r="PG1287"/>
      <c r="PH1287"/>
      <c r="PI1287"/>
      <c r="PJ1287"/>
      <c r="PK1287"/>
      <c r="PL1287"/>
      <c r="PM1287"/>
      <c r="PN1287"/>
      <c r="PO1287"/>
      <c r="PP1287"/>
      <c r="PQ1287"/>
      <c r="PR1287"/>
      <c r="PS1287"/>
      <c r="PT1287"/>
      <c r="PU1287"/>
      <c r="PV1287"/>
      <c r="PW1287"/>
      <c r="PX1287"/>
      <c r="PY1287"/>
      <c r="PZ1287"/>
      <c r="QA1287"/>
      <c r="QB1287"/>
      <c r="QC1287"/>
      <c r="QD1287"/>
      <c r="QE1287"/>
      <c r="QF1287"/>
      <c r="QG1287"/>
      <c r="QH1287"/>
      <c r="QI1287"/>
      <c r="QJ1287"/>
      <c r="QK1287"/>
      <c r="QL1287"/>
      <c r="QM1287"/>
      <c r="QN1287"/>
      <c r="QO1287"/>
      <c r="QP1287"/>
      <c r="QQ1287"/>
      <c r="QR1287"/>
      <c r="QS1287"/>
      <c r="QT1287"/>
      <c r="QU1287"/>
      <c r="QV1287"/>
      <c r="QW1287"/>
      <c r="QX1287"/>
      <c r="QY1287"/>
      <c r="QZ1287"/>
      <c r="RA1287"/>
      <c r="RB1287"/>
      <c r="RC1287"/>
      <c r="RD1287"/>
      <c r="RE1287"/>
      <c r="RF1287"/>
      <c r="RG1287"/>
      <c r="RH1287"/>
      <c r="RI1287"/>
      <c r="RJ1287"/>
      <c r="RK1287"/>
      <c r="RL1287"/>
      <c r="RM1287"/>
      <c r="RN1287"/>
      <c r="RO1287"/>
      <c r="RP1287"/>
      <c r="RQ1287"/>
      <c r="RR1287"/>
      <c r="RS1287"/>
      <c r="RT1287"/>
      <c r="RU1287"/>
      <c r="RV1287"/>
      <c r="RW1287"/>
      <c r="RX1287"/>
      <c r="RY1287"/>
      <c r="RZ1287"/>
      <c r="SA1287"/>
      <c r="SB1287"/>
      <c r="SC1287"/>
      <c r="SD1287"/>
      <c r="SE1287"/>
      <c r="SF1287"/>
      <c r="SG1287"/>
      <c r="SH1287"/>
      <c r="SI1287"/>
      <c r="SJ1287"/>
      <c r="SK1287"/>
      <c r="SL1287"/>
      <c r="SM1287"/>
      <c r="SN1287"/>
      <c r="SO1287"/>
      <c r="SP1287"/>
      <c r="SQ1287"/>
      <c r="SR1287"/>
      <c r="SS1287"/>
      <c r="ST1287"/>
      <c r="SU1287"/>
      <c r="SV1287"/>
      <c r="SW1287"/>
      <c r="SX1287"/>
      <c r="SY1287"/>
      <c r="SZ1287"/>
      <c r="TA1287"/>
      <c r="TB1287"/>
      <c r="TC1287"/>
      <c r="TD1287"/>
      <c r="TE1287"/>
      <c r="TF1287"/>
      <c r="TG1287"/>
      <c r="TH1287"/>
      <c r="TI1287"/>
      <c r="TJ1287"/>
      <c r="TK1287"/>
      <c r="TL1287"/>
      <c r="TM1287"/>
      <c r="TN1287"/>
      <c r="TO1287"/>
      <c r="TP1287"/>
      <c r="TQ1287"/>
      <c r="TR1287"/>
      <c r="TS1287"/>
      <c r="TT1287"/>
      <c r="TU1287"/>
      <c r="TV1287"/>
      <c r="TW1287"/>
      <c r="TX1287"/>
      <c r="TY1287"/>
      <c r="TZ1287"/>
      <c r="UA1287"/>
      <c r="UB1287"/>
      <c r="UC1287"/>
      <c r="UD1287"/>
      <c r="UE1287"/>
      <c r="UF1287"/>
      <c r="UG1287"/>
      <c r="UH1287"/>
      <c r="UI1287"/>
      <c r="UJ1287"/>
      <c r="UK1287"/>
      <c r="UL1287"/>
      <c r="UM1287"/>
      <c r="UN1287"/>
      <c r="UO1287"/>
      <c r="UP1287"/>
      <c r="UQ1287"/>
      <c r="UR1287"/>
      <c r="US1287"/>
      <c r="UT1287"/>
      <c r="UU1287"/>
      <c r="UV1287"/>
      <c r="UW1287"/>
      <c r="UX1287"/>
      <c r="UY1287"/>
      <c r="UZ1287"/>
      <c r="VA1287"/>
      <c r="VB1287"/>
      <c r="VC1287"/>
      <c r="VD1287"/>
      <c r="VE1287"/>
      <c r="VF1287"/>
      <c r="VG1287"/>
      <c r="VH1287"/>
      <c r="VI1287"/>
      <c r="VJ1287"/>
      <c r="VK1287"/>
      <c r="VL1287"/>
      <c r="VM1287"/>
      <c r="VN1287"/>
      <c r="VO1287"/>
      <c r="VP1287"/>
      <c r="VQ1287"/>
      <c r="VR1287"/>
      <c r="VS1287"/>
      <c r="VT1287"/>
      <c r="VU1287"/>
      <c r="VV1287"/>
      <c r="VW1287"/>
      <c r="VX1287"/>
      <c r="VY1287"/>
      <c r="VZ1287"/>
      <c r="WA1287"/>
      <c r="WB1287"/>
      <c r="WC1287"/>
      <c r="WD1287"/>
      <c r="WE1287"/>
      <c r="WF1287"/>
      <c r="WG1287"/>
      <c r="WH1287"/>
      <c r="WI1287"/>
      <c r="WJ1287"/>
      <c r="WK1287"/>
      <c r="WL1287"/>
      <c r="WM1287"/>
      <c r="WN1287"/>
      <c r="WO1287"/>
      <c r="WP1287"/>
      <c r="WQ1287"/>
      <c r="WR1287"/>
      <c r="WS1287"/>
      <c r="WT1287"/>
      <c r="WU1287"/>
      <c r="WV1287"/>
      <c r="WW1287"/>
      <c r="WX1287"/>
      <c r="WY1287"/>
      <c r="WZ1287"/>
      <c r="XA1287"/>
      <c r="XB1287"/>
      <c r="XC1287"/>
      <c r="XD1287"/>
      <c r="XE1287"/>
      <c r="XF1287"/>
      <c r="XG1287"/>
      <c r="XH1287"/>
      <c r="XI1287"/>
      <c r="XJ1287"/>
      <c r="XK1287"/>
      <c r="XL1287"/>
      <c r="XM1287"/>
      <c r="XN1287"/>
      <c r="XO1287"/>
      <c r="XP1287"/>
      <c r="XQ1287"/>
      <c r="XR1287"/>
      <c r="XS1287"/>
      <c r="XT1287"/>
      <c r="XU1287"/>
      <c r="XV1287"/>
      <c r="XW1287"/>
      <c r="XX1287"/>
      <c r="XY1287"/>
      <c r="XZ1287"/>
      <c r="YA1287"/>
      <c r="YB1287"/>
      <c r="YC1287"/>
      <c r="YD1287"/>
      <c r="YE1287"/>
      <c r="YF1287"/>
      <c r="YG1287"/>
      <c r="YH1287"/>
      <c r="YI1287"/>
      <c r="YJ1287"/>
      <c r="YK1287"/>
      <c r="YL1287"/>
      <c r="YM1287"/>
      <c r="YN1287"/>
      <c r="YO1287"/>
      <c r="YP1287"/>
      <c r="YQ1287"/>
      <c r="YR1287"/>
      <c r="YS1287"/>
      <c r="YT1287"/>
      <c r="YU1287"/>
      <c r="YV1287"/>
      <c r="YW1287"/>
      <c r="YX1287"/>
      <c r="YY1287"/>
      <c r="YZ1287"/>
      <c r="ZA1287"/>
      <c r="ZB1287"/>
      <c r="ZC1287"/>
      <c r="ZD1287"/>
      <c r="ZE1287"/>
      <c r="ZF1287"/>
      <c r="ZG1287"/>
      <c r="ZH1287"/>
      <c r="ZI1287"/>
      <c r="ZJ1287"/>
      <c r="ZK1287"/>
      <c r="ZL1287"/>
      <c r="ZM1287"/>
      <c r="ZN1287"/>
      <c r="ZO1287"/>
      <c r="ZP1287"/>
      <c r="ZQ1287"/>
      <c r="ZR1287"/>
      <c r="ZS1287"/>
      <c r="ZT1287"/>
      <c r="ZU1287"/>
      <c r="ZV1287"/>
      <c r="ZW1287"/>
      <c r="ZX1287"/>
      <c r="ZY1287"/>
      <c r="ZZ1287"/>
      <c r="AAA1287"/>
      <c r="AAB1287"/>
      <c r="AAC1287"/>
      <c r="AAD1287"/>
      <c r="AAE1287"/>
      <c r="AAF1287"/>
      <c r="AAG1287"/>
      <c r="AAH1287"/>
      <c r="AAI1287"/>
      <c r="AAJ1287"/>
      <c r="AAK1287"/>
      <c r="AAL1287"/>
      <c r="AAM1287"/>
      <c r="AAN1287"/>
      <c r="AAO1287"/>
      <c r="AAP1287"/>
      <c r="AAQ1287"/>
      <c r="AAR1287"/>
      <c r="AAS1287"/>
      <c r="AAT1287"/>
      <c r="AAU1287"/>
      <c r="AAV1287"/>
      <c r="AAW1287"/>
      <c r="AAX1287"/>
      <c r="AAY1287"/>
      <c r="AAZ1287"/>
      <c r="ABA1287"/>
      <c r="ABB1287"/>
      <c r="ABC1287"/>
      <c r="ABD1287"/>
      <c r="ABE1287"/>
      <c r="ABF1287"/>
      <c r="ABG1287"/>
      <c r="ABH1287"/>
      <c r="ABI1287"/>
      <c r="ABJ1287"/>
      <c r="ABK1287"/>
      <c r="ABL1287"/>
      <c r="ABM1287"/>
      <c r="ABN1287"/>
      <c r="ABO1287"/>
      <c r="ABP1287"/>
      <c r="ABQ1287"/>
      <c r="ABR1287"/>
      <c r="ABS1287"/>
      <c r="ABT1287"/>
      <c r="ABU1287"/>
      <c r="ABV1287"/>
      <c r="ABW1287"/>
      <c r="ABX1287"/>
      <c r="ABY1287"/>
      <c r="ABZ1287"/>
      <c r="ACA1287"/>
      <c r="ACB1287"/>
      <c r="ACC1287"/>
      <c r="ACD1287"/>
      <c r="ACE1287"/>
      <c r="ACF1287"/>
      <c r="ACG1287"/>
      <c r="ACH1287"/>
      <c r="ACI1287"/>
      <c r="ACJ1287"/>
      <c r="ACK1287"/>
      <c r="ACL1287"/>
      <c r="ACM1287"/>
      <c r="ACN1287"/>
      <c r="ACO1287"/>
      <c r="ACP1287"/>
      <c r="ACQ1287"/>
      <c r="ACR1287"/>
      <c r="ACS1287"/>
      <c r="ACT1287"/>
      <c r="ACU1287"/>
      <c r="ACV1287"/>
      <c r="ACW1287"/>
      <c r="ACX1287"/>
      <c r="ACY1287"/>
      <c r="ACZ1287"/>
      <c r="ADA1287"/>
      <c r="ADB1287"/>
      <c r="ADC1287"/>
      <c r="ADD1287"/>
      <c r="ADE1287"/>
      <c r="ADF1287"/>
      <c r="ADG1287"/>
      <c r="ADH1287"/>
      <c r="ADI1287"/>
      <c r="ADJ1287"/>
      <c r="ADK1287"/>
      <c r="ADL1287"/>
      <c r="ADM1287"/>
      <c r="ADN1287"/>
      <c r="ADO1287"/>
      <c r="ADP1287"/>
      <c r="ADQ1287"/>
      <c r="ADR1287"/>
      <c r="ADS1287"/>
      <c r="ADT1287"/>
      <c r="ADU1287"/>
      <c r="ADV1287"/>
      <c r="ADW1287"/>
      <c r="ADX1287"/>
      <c r="ADY1287"/>
      <c r="ADZ1287"/>
      <c r="AEA1287"/>
      <c r="AEB1287"/>
      <c r="AEC1287"/>
      <c r="AED1287"/>
      <c r="AEE1287"/>
      <c r="AEF1287"/>
      <c r="AEG1287"/>
      <c r="AEH1287"/>
      <c r="AEI1287"/>
      <c r="AEJ1287"/>
      <c r="AEK1287"/>
      <c r="AEL1287"/>
      <c r="AEM1287"/>
      <c r="AEN1287"/>
      <c r="AEO1287"/>
      <c r="AEP1287"/>
      <c r="AEQ1287"/>
      <c r="AER1287"/>
      <c r="AES1287"/>
      <c r="AET1287"/>
      <c r="AEU1287"/>
      <c r="AEV1287"/>
      <c r="AEW1287"/>
      <c r="AEX1287"/>
      <c r="AEY1287"/>
      <c r="AEZ1287"/>
      <c r="AFA1287"/>
      <c r="AFB1287"/>
      <c r="AFC1287"/>
      <c r="AFD1287"/>
      <c r="AFE1287"/>
      <c r="AFF1287"/>
      <c r="AFG1287"/>
      <c r="AFH1287"/>
      <c r="AFI1287"/>
      <c r="AFJ1287"/>
      <c r="AFK1287"/>
      <c r="AFL1287"/>
      <c r="AFM1287"/>
      <c r="AFN1287"/>
      <c r="AFO1287"/>
      <c r="AFP1287"/>
      <c r="AFQ1287"/>
      <c r="AFR1287"/>
      <c r="AFS1287"/>
      <c r="AFT1287"/>
      <c r="AFU1287"/>
      <c r="AFV1287"/>
      <c r="AFW1287"/>
      <c r="AFX1287"/>
      <c r="AFY1287"/>
      <c r="AFZ1287"/>
      <c r="AGA1287"/>
      <c r="AGB1287"/>
      <c r="AGC1287"/>
      <c r="AGD1287"/>
      <c r="AGE1287"/>
      <c r="AGF1287"/>
      <c r="AGG1287"/>
      <c r="AGH1287"/>
      <c r="AGI1287"/>
      <c r="AGJ1287"/>
      <c r="AGK1287"/>
      <c r="AGL1287"/>
      <c r="AGM1287"/>
      <c r="AGN1287"/>
      <c r="AGO1287"/>
      <c r="AGP1287"/>
      <c r="AGQ1287"/>
      <c r="AGR1287"/>
      <c r="AGS1287"/>
      <c r="AGT1287"/>
      <c r="AGU1287"/>
      <c r="AGV1287"/>
      <c r="AGW1287"/>
      <c r="AGX1287"/>
      <c r="AGY1287"/>
      <c r="AGZ1287"/>
      <c r="AHA1287"/>
      <c r="AHB1287"/>
      <c r="AHC1287"/>
      <c r="AHD1287"/>
      <c r="AHE1287"/>
      <c r="AHF1287"/>
      <c r="AHG1287"/>
      <c r="AHH1287"/>
      <c r="AHI1287"/>
      <c r="AHJ1287"/>
      <c r="AHK1287"/>
      <c r="AHL1287"/>
      <c r="AHM1287"/>
      <c r="AHN1287"/>
      <c r="AHO1287"/>
      <c r="AHP1287"/>
      <c r="AHQ1287"/>
      <c r="AHR1287"/>
      <c r="AHS1287"/>
      <c r="AHT1287"/>
      <c r="AHU1287"/>
      <c r="AHV1287"/>
      <c r="AHW1287"/>
      <c r="AHX1287"/>
      <c r="AHY1287"/>
      <c r="AHZ1287"/>
      <c r="AIA1287"/>
      <c r="AIB1287"/>
      <c r="AIC1287"/>
      <c r="AID1287"/>
      <c r="AIE1287"/>
      <c r="AIF1287"/>
      <c r="AIG1287"/>
      <c r="AIH1287"/>
      <c r="AII1287"/>
      <c r="AIJ1287"/>
      <c r="AIK1287"/>
      <c r="AIL1287"/>
      <c r="AIM1287"/>
      <c r="AIN1287"/>
      <c r="AIO1287"/>
      <c r="AIP1287"/>
      <c r="AIQ1287"/>
      <c r="AIR1287"/>
      <c r="AIS1287"/>
      <c r="AIT1287"/>
      <c r="AIU1287"/>
      <c r="AIV1287"/>
      <c r="AIW1287"/>
      <c r="AIX1287"/>
      <c r="AIY1287"/>
      <c r="AIZ1287"/>
      <c r="AJA1287"/>
      <c r="AJB1287"/>
      <c r="AJC1287"/>
      <c r="AJD1287"/>
      <c r="AJE1287"/>
      <c r="AJF1287"/>
      <c r="AJG1287"/>
      <c r="AJH1287"/>
      <c r="AJI1287"/>
      <c r="AJJ1287"/>
      <c r="AJK1287"/>
      <c r="AJL1287"/>
      <c r="AJM1287"/>
      <c r="AJN1287"/>
      <c r="AJO1287"/>
      <c r="AJP1287"/>
      <c r="AJQ1287"/>
      <c r="AJR1287"/>
      <c r="AJS1287"/>
      <c r="AJT1287"/>
      <c r="AJU1287"/>
      <c r="AJV1287"/>
      <c r="AJW1287"/>
      <c r="AJX1287"/>
      <c r="AJY1287"/>
      <c r="AJZ1287"/>
      <c r="AKA1287"/>
      <c r="AKB1287"/>
      <c r="AKC1287"/>
      <c r="AKD1287"/>
      <c r="AKE1287"/>
      <c r="AKF1287"/>
      <c r="AKG1287"/>
      <c r="AKH1287"/>
      <c r="AKI1287"/>
      <c r="AKJ1287"/>
      <c r="AKK1287"/>
      <c r="AKL1287"/>
      <c r="AKM1287"/>
      <c r="AKN1287"/>
      <c r="AKO1287"/>
      <c r="AKP1287"/>
      <c r="AKQ1287"/>
      <c r="AKR1287"/>
      <c r="AKS1287"/>
      <c r="AKT1287"/>
      <c r="AKU1287"/>
      <c r="AKV1287"/>
      <c r="AKW1287"/>
      <c r="AKX1287"/>
      <c r="AKY1287"/>
      <c r="AKZ1287"/>
      <c r="ALA1287"/>
      <c r="ALB1287"/>
      <c r="ALC1287"/>
      <c r="ALD1287"/>
      <c r="ALE1287"/>
      <c r="ALF1287"/>
      <c r="ALG1287"/>
      <c r="ALH1287"/>
      <c r="ALI1287"/>
      <c r="ALJ1287"/>
      <c r="ALK1287"/>
      <c r="ALL1287"/>
      <c r="ALM1287"/>
      <c r="ALN1287"/>
      <c r="ALO1287"/>
      <c r="ALP1287"/>
      <c r="ALQ1287"/>
      <c r="ALR1287"/>
      <c r="ALS1287"/>
      <c r="ALT1287"/>
    </row>
    <row r="1288" spans="1:1008" x14ac:dyDescent="0.15">
      <c r="A1288" t="s">
        <v>4041</v>
      </c>
      <c r="B1288" s="8" t="s">
        <v>3980</v>
      </c>
      <c r="C1288" t="s">
        <v>4041</v>
      </c>
      <c r="D1288" s="8" t="s">
        <v>15</v>
      </c>
      <c r="E1288" t="s">
        <v>4041</v>
      </c>
      <c r="F1288" t="s">
        <v>4042</v>
      </c>
      <c r="G1288">
        <v>500</v>
      </c>
      <c r="H1288"/>
      <c r="I1288"/>
      <c r="J1288"/>
      <c r="K1288"/>
      <c r="L1288"/>
      <c r="M1288"/>
      <c r="N1288"/>
      <c r="O1288"/>
      <c r="P1288"/>
      <c r="Q1288"/>
      <c r="R1288"/>
      <c r="S1288"/>
      <c r="T1288"/>
      <c r="U1288"/>
      <c r="V1288"/>
      <c r="W1288"/>
      <c r="X1288"/>
      <c r="Y1288"/>
      <c r="Z1288"/>
      <c r="AA1288"/>
      <c r="AB1288"/>
      <c r="AC1288"/>
      <c r="AD1288"/>
      <c r="AE1288"/>
      <c r="AF1288"/>
      <c r="AG1288"/>
      <c r="AH1288"/>
      <c r="AI1288"/>
      <c r="AJ1288"/>
      <c r="AK1288"/>
      <c r="AL1288"/>
      <c r="AM1288"/>
      <c r="AN1288"/>
      <c r="AO1288"/>
      <c r="AP1288"/>
      <c r="AQ1288"/>
      <c r="AR1288"/>
      <c r="AS1288"/>
      <c r="AT1288"/>
      <c r="AU1288"/>
      <c r="AV1288"/>
      <c r="AW1288"/>
      <c r="AX1288"/>
      <c r="AY1288"/>
      <c r="AZ1288"/>
      <c r="BA1288"/>
      <c r="BB1288"/>
      <c r="BC1288"/>
      <c r="BD1288"/>
      <c r="BE1288"/>
      <c r="BF1288"/>
      <c r="BG1288"/>
      <c r="BH1288"/>
      <c r="BI1288"/>
      <c r="BJ1288"/>
      <c r="BK1288"/>
      <c r="BL1288"/>
      <c r="BM1288"/>
      <c r="BN1288"/>
      <c r="BO1288"/>
      <c r="BP1288"/>
      <c r="BQ1288"/>
      <c r="BR1288"/>
      <c r="BS1288"/>
      <c r="BT1288"/>
      <c r="BU1288"/>
      <c r="BV1288"/>
      <c r="BW1288"/>
      <c r="BX1288"/>
      <c r="BY1288"/>
      <c r="BZ1288"/>
      <c r="CA1288"/>
      <c r="CB1288"/>
      <c r="CC1288"/>
      <c r="CD1288"/>
      <c r="CE1288"/>
      <c r="CF1288"/>
      <c r="CG1288"/>
      <c r="CH1288"/>
      <c r="CI1288"/>
      <c r="CJ1288"/>
      <c r="CK1288"/>
      <c r="CL1288"/>
      <c r="CM1288"/>
      <c r="CN1288"/>
      <c r="CO1288"/>
      <c r="CP1288"/>
      <c r="CQ1288"/>
      <c r="CR1288"/>
      <c r="CS1288"/>
      <c r="CT1288"/>
      <c r="CU1288"/>
      <c r="CV1288"/>
      <c r="CW1288"/>
      <c r="CX1288"/>
      <c r="CY1288"/>
      <c r="CZ1288"/>
      <c r="DA1288"/>
      <c r="DB1288"/>
      <c r="DC1288"/>
      <c r="DD1288"/>
      <c r="DE1288"/>
      <c r="DF1288"/>
      <c r="DG1288"/>
      <c r="DH1288"/>
      <c r="DI1288"/>
      <c r="DJ1288"/>
      <c r="DK1288"/>
      <c r="DL1288"/>
      <c r="DM1288"/>
      <c r="DN1288"/>
      <c r="DO1288"/>
      <c r="DP1288"/>
      <c r="DQ1288"/>
      <c r="DR1288"/>
      <c r="DS1288"/>
      <c r="DT1288"/>
      <c r="DU1288"/>
      <c r="DV1288"/>
      <c r="DW1288"/>
      <c r="DX1288"/>
      <c r="DY1288"/>
      <c r="DZ1288"/>
      <c r="EA1288"/>
      <c r="EB1288"/>
      <c r="EC1288"/>
      <c r="ED1288"/>
      <c r="EE1288"/>
      <c r="EF1288"/>
      <c r="EG1288"/>
      <c r="EH1288"/>
      <c r="EI1288"/>
      <c r="EJ1288"/>
      <c r="EK1288"/>
      <c r="EL1288"/>
      <c r="EM1288"/>
      <c r="EN1288"/>
      <c r="EO1288"/>
      <c r="EP1288"/>
      <c r="EQ1288"/>
      <c r="ER1288"/>
      <c r="ES1288"/>
      <c r="ET1288"/>
      <c r="EU1288"/>
      <c r="EV1288"/>
      <c r="EW1288"/>
      <c r="EX1288"/>
      <c r="EY1288"/>
      <c r="EZ1288"/>
      <c r="FA1288"/>
      <c r="FB1288"/>
      <c r="FC1288"/>
      <c r="FD1288"/>
      <c r="FE1288"/>
      <c r="FF1288"/>
      <c r="FG1288"/>
      <c r="FH1288"/>
      <c r="FI1288"/>
      <c r="FJ1288"/>
      <c r="FK1288"/>
      <c r="FL1288"/>
      <c r="FM1288"/>
      <c r="FN1288"/>
      <c r="FO1288"/>
      <c r="FP1288"/>
      <c r="FQ1288"/>
      <c r="FR1288"/>
      <c r="FS1288"/>
      <c r="FT1288"/>
      <c r="FU1288"/>
      <c r="FV1288"/>
      <c r="FW1288"/>
      <c r="FX1288"/>
      <c r="FY1288"/>
      <c r="FZ1288"/>
      <c r="GA1288"/>
      <c r="GB1288"/>
      <c r="GC1288"/>
      <c r="GD1288"/>
      <c r="GE1288"/>
      <c r="GF1288"/>
      <c r="GG1288"/>
      <c r="GH1288"/>
      <c r="GI1288"/>
      <c r="GJ1288"/>
      <c r="GK1288"/>
      <c r="GL1288"/>
      <c r="GM1288"/>
      <c r="GN1288"/>
      <c r="GO1288"/>
      <c r="GP1288"/>
      <c r="GQ1288"/>
      <c r="GR1288"/>
      <c r="GS1288"/>
      <c r="GT1288"/>
      <c r="GU1288"/>
      <c r="GV1288"/>
      <c r="GW1288"/>
      <c r="GX1288"/>
      <c r="GY1288"/>
      <c r="GZ1288"/>
      <c r="HA1288"/>
      <c r="HB1288"/>
      <c r="HC1288"/>
      <c r="HD1288"/>
      <c r="HE1288"/>
      <c r="HF1288"/>
      <c r="HG1288"/>
      <c r="HH1288"/>
      <c r="HI1288"/>
      <c r="HJ1288"/>
      <c r="HK1288"/>
      <c r="HL1288"/>
      <c r="HM1288"/>
      <c r="HN1288"/>
      <c r="HO1288"/>
      <c r="HP1288"/>
      <c r="HQ1288"/>
      <c r="HR1288"/>
      <c r="HS1288"/>
      <c r="HT1288"/>
      <c r="HU1288"/>
      <c r="HV1288"/>
      <c r="HW1288"/>
      <c r="HX1288"/>
      <c r="HY1288"/>
      <c r="HZ1288"/>
      <c r="IA1288"/>
      <c r="IB1288"/>
      <c r="IC1288"/>
      <c r="ID1288"/>
      <c r="IE1288"/>
      <c r="IF1288"/>
      <c r="IG1288"/>
      <c r="IH1288"/>
      <c r="II1288"/>
      <c r="IJ1288"/>
      <c r="IK1288"/>
      <c r="IL1288"/>
      <c r="IM1288"/>
      <c r="IN1288"/>
      <c r="IO1288"/>
      <c r="IP1288"/>
      <c r="IQ1288"/>
      <c r="IR1288"/>
      <c r="IS1288"/>
      <c r="IT1288"/>
      <c r="IU1288"/>
      <c r="IV1288"/>
      <c r="IW1288"/>
      <c r="IX1288"/>
      <c r="IY1288"/>
      <c r="IZ1288"/>
      <c r="JA1288"/>
      <c r="JB1288"/>
      <c r="JC1288"/>
      <c r="JD1288"/>
      <c r="JE1288"/>
      <c r="JF1288"/>
      <c r="JG1288"/>
      <c r="JH1288"/>
      <c r="JI1288"/>
      <c r="JJ1288"/>
      <c r="JK1288"/>
      <c r="JL1288"/>
      <c r="JM1288"/>
      <c r="JN1288"/>
      <c r="JO1288"/>
      <c r="JP1288"/>
      <c r="JQ1288"/>
      <c r="JR1288"/>
      <c r="JS1288"/>
      <c r="JT1288"/>
      <c r="JU1288"/>
      <c r="JV1288"/>
      <c r="JW1288"/>
      <c r="JX1288"/>
      <c r="JY1288"/>
      <c r="JZ1288"/>
      <c r="KA1288"/>
      <c r="KB1288"/>
      <c r="KC1288"/>
      <c r="KD1288"/>
      <c r="KE1288"/>
      <c r="KF1288"/>
      <c r="KG1288"/>
      <c r="KH1288"/>
      <c r="KI1288"/>
      <c r="KJ1288"/>
      <c r="KK1288"/>
      <c r="KL1288"/>
      <c r="KM1288"/>
      <c r="KN1288"/>
      <c r="KO1288"/>
      <c r="KP1288"/>
      <c r="KQ1288"/>
      <c r="KR1288"/>
      <c r="KS1288"/>
      <c r="KT1288"/>
      <c r="KU1288"/>
      <c r="KV1288"/>
      <c r="KW1288"/>
      <c r="KX1288"/>
      <c r="KY1288"/>
      <c r="KZ1288"/>
      <c r="LA1288"/>
      <c r="LB1288"/>
      <c r="LC1288"/>
      <c r="LD1288"/>
      <c r="LE1288"/>
      <c r="LF1288"/>
      <c r="LG1288"/>
      <c r="LH1288"/>
      <c r="LI1288"/>
      <c r="LJ1288"/>
      <c r="LK1288"/>
      <c r="LL1288"/>
      <c r="LM1288"/>
      <c r="LN1288"/>
      <c r="LO1288"/>
      <c r="LP1288"/>
      <c r="LQ1288"/>
      <c r="LR1288"/>
      <c r="LS1288"/>
      <c r="LT1288"/>
      <c r="LU1288"/>
      <c r="LV1288"/>
      <c r="LW1288"/>
      <c r="LX1288"/>
      <c r="LY1288"/>
      <c r="LZ1288"/>
      <c r="MA1288"/>
      <c r="MB1288"/>
      <c r="MC1288"/>
      <c r="MD1288"/>
      <c r="ME1288"/>
      <c r="MF1288"/>
      <c r="MG1288"/>
      <c r="MH1288"/>
      <c r="MI1288"/>
      <c r="MJ1288"/>
      <c r="MK1288"/>
      <c r="ML1288"/>
      <c r="MM1288"/>
      <c r="MN1288"/>
      <c r="MO1288"/>
      <c r="MP1288"/>
      <c r="MQ1288"/>
      <c r="MR1288"/>
      <c r="MS1288"/>
      <c r="MT1288"/>
      <c r="MU1288"/>
      <c r="MV1288"/>
      <c r="MW1288"/>
      <c r="MX1288"/>
      <c r="MY1288"/>
      <c r="MZ1288"/>
      <c r="NA1288"/>
      <c r="NB1288"/>
      <c r="NC1288"/>
      <c r="ND1288"/>
      <c r="NE1288"/>
      <c r="NF1288"/>
      <c r="NG1288"/>
      <c r="NH1288"/>
      <c r="NI1288"/>
      <c r="NJ1288"/>
      <c r="NK1288"/>
      <c r="NL1288"/>
      <c r="NM1288"/>
      <c r="NN1288"/>
      <c r="NO1288"/>
      <c r="NP1288"/>
      <c r="NQ1288"/>
      <c r="NR1288"/>
      <c r="NS1288"/>
      <c r="NT1288"/>
      <c r="NU1288"/>
      <c r="NV1288"/>
      <c r="NW1288"/>
      <c r="NX1288"/>
      <c r="NY1288"/>
      <c r="NZ1288"/>
      <c r="OA1288"/>
      <c r="OB1288"/>
      <c r="OC1288"/>
      <c r="OD1288"/>
      <c r="OE1288"/>
      <c r="OF1288"/>
      <c r="OG1288"/>
      <c r="OH1288"/>
      <c r="OI1288"/>
      <c r="OJ1288"/>
      <c r="OK1288"/>
      <c r="OL1288"/>
      <c r="OM1288"/>
      <c r="ON1288"/>
      <c r="OO1288"/>
      <c r="OP1288"/>
      <c r="OQ1288"/>
      <c r="OR1288"/>
      <c r="OS1288"/>
      <c r="OT1288"/>
      <c r="OU1288"/>
      <c r="OV1288"/>
      <c r="OW1288"/>
      <c r="OX1288"/>
      <c r="OY1288"/>
      <c r="OZ1288"/>
      <c r="PA1288"/>
      <c r="PB1288"/>
      <c r="PC1288"/>
      <c r="PD1288"/>
      <c r="PE1288"/>
      <c r="PF1288"/>
      <c r="PG1288"/>
      <c r="PH1288"/>
      <c r="PI1288"/>
      <c r="PJ1288"/>
      <c r="PK1288"/>
      <c r="PL1288"/>
      <c r="PM1288"/>
      <c r="PN1288"/>
      <c r="PO1288"/>
      <c r="PP1288"/>
      <c r="PQ1288"/>
      <c r="PR1288"/>
      <c r="PS1288"/>
      <c r="PT1288"/>
      <c r="PU1288"/>
      <c r="PV1288"/>
      <c r="PW1288"/>
      <c r="PX1288"/>
      <c r="PY1288"/>
      <c r="PZ1288"/>
      <c r="QA1288"/>
      <c r="QB1288"/>
      <c r="QC1288"/>
      <c r="QD1288"/>
      <c r="QE1288"/>
      <c r="QF1288"/>
      <c r="QG1288"/>
      <c r="QH1288"/>
      <c r="QI1288"/>
      <c r="QJ1288"/>
      <c r="QK1288"/>
      <c r="QL1288"/>
      <c r="QM1288"/>
      <c r="QN1288"/>
      <c r="QO1288"/>
      <c r="QP1288"/>
      <c r="QQ1288"/>
      <c r="QR1288"/>
      <c r="QS1288"/>
      <c r="QT1288"/>
      <c r="QU1288"/>
      <c r="QV1288"/>
      <c r="QW1288"/>
      <c r="QX1288"/>
      <c r="QY1288"/>
      <c r="QZ1288"/>
      <c r="RA1288"/>
      <c r="RB1288"/>
      <c r="RC1288"/>
      <c r="RD1288"/>
      <c r="RE1288"/>
      <c r="RF1288"/>
      <c r="RG1288"/>
      <c r="RH1288"/>
      <c r="RI1288"/>
      <c r="RJ1288"/>
      <c r="RK1288"/>
      <c r="RL1288"/>
      <c r="RM1288"/>
      <c r="RN1288"/>
      <c r="RO1288"/>
      <c r="RP1288"/>
      <c r="RQ1288"/>
      <c r="RR1288"/>
      <c r="RS1288"/>
      <c r="RT1288"/>
      <c r="RU1288"/>
      <c r="RV1288"/>
      <c r="RW1288"/>
      <c r="RX1288"/>
      <c r="RY1288"/>
      <c r="RZ1288"/>
      <c r="SA1288"/>
      <c r="SB1288"/>
      <c r="SC1288"/>
      <c r="SD1288"/>
      <c r="SE1288"/>
      <c r="SF1288"/>
      <c r="SG1288"/>
      <c r="SH1288"/>
      <c r="SI1288"/>
      <c r="SJ1288"/>
      <c r="SK1288"/>
      <c r="SL1288"/>
      <c r="SM1288"/>
      <c r="SN1288"/>
      <c r="SO1288"/>
      <c r="SP1288"/>
      <c r="SQ1288"/>
      <c r="SR1288"/>
      <c r="SS1288"/>
      <c r="ST1288"/>
      <c r="SU1288"/>
      <c r="SV1288"/>
      <c r="SW1288"/>
      <c r="SX1288"/>
      <c r="SY1288"/>
      <c r="SZ1288"/>
      <c r="TA1288"/>
      <c r="TB1288"/>
      <c r="TC1288"/>
      <c r="TD1288"/>
      <c r="TE1288"/>
      <c r="TF1288"/>
      <c r="TG1288"/>
      <c r="TH1288"/>
      <c r="TI1288"/>
      <c r="TJ1288"/>
      <c r="TK1288"/>
      <c r="TL1288"/>
      <c r="TM1288"/>
      <c r="TN1288"/>
      <c r="TO1288"/>
      <c r="TP1288"/>
      <c r="TQ1288"/>
      <c r="TR1288"/>
      <c r="TS1288"/>
      <c r="TT1288"/>
      <c r="TU1288"/>
      <c r="TV1288"/>
      <c r="TW1288"/>
      <c r="TX1288"/>
      <c r="TY1288"/>
      <c r="TZ1288"/>
      <c r="UA1288"/>
      <c r="UB1288"/>
      <c r="UC1288"/>
      <c r="UD1288"/>
      <c r="UE1288"/>
      <c r="UF1288"/>
      <c r="UG1288"/>
      <c r="UH1288"/>
      <c r="UI1288"/>
      <c r="UJ1288"/>
      <c r="UK1288"/>
      <c r="UL1288"/>
      <c r="UM1288"/>
      <c r="UN1288"/>
      <c r="UO1288"/>
      <c r="UP1288"/>
      <c r="UQ1288"/>
      <c r="UR1288"/>
      <c r="US1288"/>
      <c r="UT1288"/>
      <c r="UU1288"/>
      <c r="UV1288"/>
      <c r="UW1288"/>
      <c r="UX1288"/>
      <c r="UY1288"/>
      <c r="UZ1288"/>
      <c r="VA1288"/>
      <c r="VB1288"/>
      <c r="VC1288"/>
      <c r="VD1288"/>
      <c r="VE1288"/>
      <c r="VF1288"/>
      <c r="VG1288"/>
      <c r="VH1288"/>
      <c r="VI1288"/>
      <c r="VJ1288"/>
      <c r="VK1288"/>
      <c r="VL1288"/>
      <c r="VM1288"/>
      <c r="VN1288"/>
      <c r="VO1288"/>
      <c r="VP1288"/>
      <c r="VQ1288"/>
      <c r="VR1288"/>
      <c r="VS1288"/>
      <c r="VT1288"/>
      <c r="VU1288"/>
      <c r="VV1288"/>
      <c r="VW1288"/>
      <c r="VX1288"/>
      <c r="VY1288"/>
      <c r="VZ1288"/>
      <c r="WA1288"/>
      <c r="WB1288"/>
      <c r="WC1288"/>
      <c r="WD1288"/>
      <c r="WE1288"/>
      <c r="WF1288"/>
      <c r="WG1288"/>
      <c r="WH1288"/>
      <c r="WI1288"/>
      <c r="WJ1288"/>
      <c r="WK1288"/>
      <c r="WL1288"/>
      <c r="WM1288"/>
      <c r="WN1288"/>
      <c r="WO1288"/>
      <c r="WP1288"/>
      <c r="WQ1288"/>
      <c r="WR1288"/>
      <c r="WS1288"/>
      <c r="WT1288"/>
      <c r="WU1288"/>
      <c r="WV1288"/>
      <c r="WW1288"/>
      <c r="WX1288"/>
      <c r="WY1288"/>
      <c r="WZ1288"/>
      <c r="XA1288"/>
      <c r="XB1288"/>
      <c r="XC1288"/>
      <c r="XD1288"/>
      <c r="XE1288"/>
      <c r="XF1288"/>
      <c r="XG1288"/>
      <c r="XH1288"/>
      <c r="XI1288"/>
      <c r="XJ1288"/>
      <c r="XK1288"/>
      <c r="XL1288"/>
      <c r="XM1288"/>
      <c r="XN1288"/>
      <c r="XO1288"/>
      <c r="XP1288"/>
      <c r="XQ1288"/>
      <c r="XR1288"/>
      <c r="XS1288"/>
      <c r="XT1288"/>
      <c r="XU1288"/>
      <c r="XV1288"/>
      <c r="XW1288"/>
      <c r="XX1288"/>
      <c r="XY1288"/>
      <c r="XZ1288"/>
      <c r="YA1288"/>
      <c r="YB1288"/>
      <c r="YC1288"/>
      <c r="YD1288"/>
      <c r="YE1288"/>
      <c r="YF1288"/>
      <c r="YG1288"/>
      <c r="YH1288"/>
      <c r="YI1288"/>
      <c r="YJ1288"/>
      <c r="YK1288"/>
      <c r="YL1288"/>
      <c r="YM1288"/>
      <c r="YN1288"/>
      <c r="YO1288"/>
      <c r="YP1288"/>
      <c r="YQ1288"/>
      <c r="YR1288"/>
      <c r="YS1288"/>
      <c r="YT1288"/>
      <c r="YU1288"/>
      <c r="YV1288"/>
      <c r="YW1288"/>
      <c r="YX1288"/>
      <c r="YY1288"/>
      <c r="YZ1288"/>
      <c r="ZA1288"/>
      <c r="ZB1288"/>
      <c r="ZC1288"/>
      <c r="ZD1288"/>
      <c r="ZE1288"/>
      <c r="ZF1288"/>
      <c r="ZG1288"/>
      <c r="ZH1288"/>
      <c r="ZI1288"/>
      <c r="ZJ1288"/>
      <c r="ZK1288"/>
      <c r="ZL1288"/>
      <c r="ZM1288"/>
      <c r="ZN1288"/>
      <c r="ZO1288"/>
      <c r="ZP1288"/>
      <c r="ZQ1288"/>
      <c r="ZR1288"/>
      <c r="ZS1288"/>
      <c r="ZT1288"/>
      <c r="ZU1288"/>
      <c r="ZV1288"/>
      <c r="ZW1288"/>
      <c r="ZX1288"/>
      <c r="ZY1288"/>
      <c r="ZZ1288"/>
      <c r="AAA1288"/>
      <c r="AAB1288"/>
      <c r="AAC1288"/>
      <c r="AAD1288"/>
      <c r="AAE1288"/>
      <c r="AAF1288"/>
      <c r="AAG1288"/>
      <c r="AAH1288"/>
      <c r="AAI1288"/>
      <c r="AAJ1288"/>
      <c r="AAK1288"/>
      <c r="AAL1288"/>
      <c r="AAM1288"/>
      <c r="AAN1288"/>
      <c r="AAO1288"/>
      <c r="AAP1288"/>
      <c r="AAQ1288"/>
      <c r="AAR1288"/>
      <c r="AAS1288"/>
      <c r="AAT1288"/>
      <c r="AAU1288"/>
      <c r="AAV1288"/>
      <c r="AAW1288"/>
      <c r="AAX1288"/>
      <c r="AAY1288"/>
      <c r="AAZ1288"/>
      <c r="ABA1288"/>
      <c r="ABB1288"/>
      <c r="ABC1288"/>
      <c r="ABD1288"/>
      <c r="ABE1288"/>
      <c r="ABF1288"/>
      <c r="ABG1288"/>
      <c r="ABH1288"/>
      <c r="ABI1288"/>
      <c r="ABJ1288"/>
      <c r="ABK1288"/>
      <c r="ABL1288"/>
      <c r="ABM1288"/>
      <c r="ABN1288"/>
      <c r="ABO1288"/>
      <c r="ABP1288"/>
      <c r="ABQ1288"/>
      <c r="ABR1288"/>
      <c r="ABS1288"/>
      <c r="ABT1288"/>
      <c r="ABU1288"/>
      <c r="ABV1288"/>
      <c r="ABW1288"/>
      <c r="ABX1288"/>
      <c r="ABY1288"/>
      <c r="ABZ1288"/>
      <c r="ACA1288"/>
      <c r="ACB1288"/>
      <c r="ACC1288"/>
      <c r="ACD1288"/>
      <c r="ACE1288"/>
      <c r="ACF1288"/>
      <c r="ACG1288"/>
      <c r="ACH1288"/>
      <c r="ACI1288"/>
      <c r="ACJ1288"/>
      <c r="ACK1288"/>
      <c r="ACL1288"/>
      <c r="ACM1288"/>
      <c r="ACN1288"/>
      <c r="ACO1288"/>
      <c r="ACP1288"/>
      <c r="ACQ1288"/>
      <c r="ACR1288"/>
      <c r="ACS1288"/>
      <c r="ACT1288"/>
      <c r="ACU1288"/>
      <c r="ACV1288"/>
      <c r="ACW1288"/>
      <c r="ACX1288"/>
      <c r="ACY1288"/>
      <c r="ACZ1288"/>
      <c r="ADA1288"/>
      <c r="ADB1288"/>
      <c r="ADC1288"/>
      <c r="ADD1288"/>
      <c r="ADE1288"/>
      <c r="ADF1288"/>
      <c r="ADG1288"/>
      <c r="ADH1288"/>
      <c r="ADI1288"/>
      <c r="ADJ1288"/>
      <c r="ADK1288"/>
      <c r="ADL1288"/>
      <c r="ADM1288"/>
      <c r="ADN1288"/>
      <c r="ADO1288"/>
      <c r="ADP1288"/>
      <c r="ADQ1288"/>
      <c r="ADR1288"/>
      <c r="ADS1288"/>
      <c r="ADT1288"/>
      <c r="ADU1288"/>
      <c r="ADV1288"/>
      <c r="ADW1288"/>
      <c r="ADX1288"/>
      <c r="ADY1288"/>
      <c r="ADZ1288"/>
      <c r="AEA1288"/>
      <c r="AEB1288"/>
      <c r="AEC1288"/>
      <c r="AED1288"/>
      <c r="AEE1288"/>
      <c r="AEF1288"/>
      <c r="AEG1288"/>
      <c r="AEH1288"/>
      <c r="AEI1288"/>
      <c r="AEJ1288"/>
      <c r="AEK1288"/>
      <c r="AEL1288"/>
      <c r="AEM1288"/>
      <c r="AEN1288"/>
      <c r="AEO1288"/>
      <c r="AEP1288"/>
      <c r="AEQ1288"/>
      <c r="AER1288"/>
      <c r="AES1288"/>
      <c r="AET1288"/>
      <c r="AEU1288"/>
      <c r="AEV1288"/>
      <c r="AEW1288"/>
      <c r="AEX1288"/>
      <c r="AEY1288"/>
      <c r="AEZ1288"/>
      <c r="AFA1288"/>
      <c r="AFB1288"/>
      <c r="AFC1288"/>
      <c r="AFD1288"/>
      <c r="AFE1288"/>
      <c r="AFF1288"/>
      <c r="AFG1288"/>
      <c r="AFH1288"/>
      <c r="AFI1288"/>
      <c r="AFJ1288"/>
      <c r="AFK1288"/>
      <c r="AFL1288"/>
      <c r="AFM1288"/>
      <c r="AFN1288"/>
      <c r="AFO1288"/>
      <c r="AFP1288"/>
      <c r="AFQ1288"/>
      <c r="AFR1288"/>
      <c r="AFS1288"/>
      <c r="AFT1288"/>
      <c r="AFU1288"/>
      <c r="AFV1288"/>
      <c r="AFW1288"/>
      <c r="AFX1288"/>
      <c r="AFY1288"/>
      <c r="AFZ1288"/>
      <c r="AGA1288"/>
      <c r="AGB1288"/>
      <c r="AGC1288"/>
      <c r="AGD1288"/>
      <c r="AGE1288"/>
      <c r="AGF1288"/>
      <c r="AGG1288"/>
      <c r="AGH1288"/>
      <c r="AGI1288"/>
      <c r="AGJ1288"/>
      <c r="AGK1288"/>
      <c r="AGL1288"/>
      <c r="AGM1288"/>
      <c r="AGN1288"/>
      <c r="AGO1288"/>
      <c r="AGP1288"/>
      <c r="AGQ1288"/>
      <c r="AGR1288"/>
      <c r="AGS1288"/>
      <c r="AGT1288"/>
      <c r="AGU1288"/>
      <c r="AGV1288"/>
      <c r="AGW1288"/>
      <c r="AGX1288"/>
      <c r="AGY1288"/>
      <c r="AGZ1288"/>
      <c r="AHA1288"/>
      <c r="AHB1288"/>
      <c r="AHC1288"/>
      <c r="AHD1288"/>
      <c r="AHE1288"/>
      <c r="AHF1288"/>
      <c r="AHG1288"/>
      <c r="AHH1288"/>
      <c r="AHI1288"/>
      <c r="AHJ1288"/>
      <c r="AHK1288"/>
      <c r="AHL1288"/>
      <c r="AHM1288"/>
      <c r="AHN1288"/>
      <c r="AHO1288"/>
      <c r="AHP1288"/>
      <c r="AHQ1288"/>
      <c r="AHR1288"/>
      <c r="AHS1288"/>
      <c r="AHT1288"/>
      <c r="AHU1288"/>
      <c r="AHV1288"/>
      <c r="AHW1288"/>
      <c r="AHX1288"/>
      <c r="AHY1288"/>
      <c r="AHZ1288"/>
      <c r="AIA1288"/>
      <c r="AIB1288"/>
      <c r="AIC1288"/>
      <c r="AID1288"/>
      <c r="AIE1288"/>
      <c r="AIF1288"/>
      <c r="AIG1288"/>
      <c r="AIH1288"/>
      <c r="AII1288"/>
      <c r="AIJ1288"/>
      <c r="AIK1288"/>
      <c r="AIL1288"/>
      <c r="AIM1288"/>
      <c r="AIN1288"/>
      <c r="AIO1288"/>
      <c r="AIP1288"/>
      <c r="AIQ1288"/>
      <c r="AIR1288"/>
      <c r="AIS1288"/>
      <c r="AIT1288"/>
      <c r="AIU1288"/>
      <c r="AIV1288"/>
      <c r="AIW1288"/>
      <c r="AIX1288"/>
      <c r="AIY1288"/>
      <c r="AIZ1288"/>
      <c r="AJA1288"/>
      <c r="AJB1288"/>
      <c r="AJC1288"/>
      <c r="AJD1288"/>
      <c r="AJE1288"/>
      <c r="AJF1288"/>
      <c r="AJG1288"/>
      <c r="AJH1288"/>
      <c r="AJI1288"/>
      <c r="AJJ1288"/>
      <c r="AJK1288"/>
      <c r="AJL1288"/>
      <c r="AJM1288"/>
      <c r="AJN1288"/>
      <c r="AJO1288"/>
      <c r="AJP1288"/>
      <c r="AJQ1288"/>
      <c r="AJR1288"/>
      <c r="AJS1288"/>
      <c r="AJT1288"/>
      <c r="AJU1288"/>
      <c r="AJV1288"/>
      <c r="AJW1288"/>
      <c r="AJX1288"/>
      <c r="AJY1288"/>
      <c r="AJZ1288"/>
      <c r="AKA1288"/>
      <c r="AKB1288"/>
      <c r="AKC1288"/>
      <c r="AKD1288"/>
      <c r="AKE1288"/>
      <c r="AKF1288"/>
      <c r="AKG1288"/>
      <c r="AKH1288"/>
      <c r="AKI1288"/>
      <c r="AKJ1288"/>
      <c r="AKK1288"/>
      <c r="AKL1288"/>
      <c r="AKM1288"/>
      <c r="AKN1288"/>
      <c r="AKO1288"/>
      <c r="AKP1288"/>
      <c r="AKQ1288"/>
      <c r="AKR1288"/>
      <c r="AKS1288"/>
      <c r="AKT1288"/>
      <c r="AKU1288"/>
      <c r="AKV1288"/>
      <c r="AKW1288"/>
      <c r="AKX1288"/>
      <c r="AKY1288"/>
      <c r="AKZ1288"/>
      <c r="ALA1288"/>
      <c r="ALB1288"/>
      <c r="ALC1288"/>
      <c r="ALD1288"/>
      <c r="ALE1288"/>
      <c r="ALF1288"/>
      <c r="ALG1288"/>
      <c r="ALH1288"/>
      <c r="ALI1288"/>
      <c r="ALJ1288"/>
      <c r="ALK1288"/>
      <c r="ALL1288"/>
      <c r="ALM1288"/>
      <c r="ALN1288"/>
      <c r="ALO1288"/>
      <c r="ALP1288"/>
      <c r="ALQ1288"/>
      <c r="ALR1288"/>
      <c r="ALS1288"/>
      <c r="ALT1288"/>
    </row>
    <row r="1289" spans="1:1008" x14ac:dyDescent="0.15">
      <c r="A1289" t="s">
        <v>2250</v>
      </c>
      <c r="B1289" s="8" t="s">
        <v>3980</v>
      </c>
      <c r="C1289" t="s">
        <v>2250</v>
      </c>
      <c r="D1289" s="8" t="s">
        <v>15</v>
      </c>
      <c r="E1289" t="s">
        <v>2250</v>
      </c>
      <c r="F1289" t="s">
        <v>4043</v>
      </c>
      <c r="G1289">
        <v>500</v>
      </c>
      <c r="H1289"/>
      <c r="I1289"/>
      <c r="J1289"/>
      <c r="K1289"/>
      <c r="L1289"/>
      <c r="M1289"/>
      <c r="N1289"/>
      <c r="O1289"/>
      <c r="P1289"/>
      <c r="Q1289"/>
      <c r="R1289"/>
      <c r="S1289"/>
      <c r="T1289"/>
      <c r="U1289"/>
      <c r="V1289"/>
      <c r="W1289"/>
      <c r="X1289"/>
      <c r="Y1289"/>
      <c r="Z1289"/>
      <c r="AA1289"/>
      <c r="AB1289"/>
      <c r="AC1289"/>
      <c r="AD1289"/>
      <c r="AE1289"/>
      <c r="AF1289"/>
      <c r="AG1289"/>
      <c r="AH1289"/>
      <c r="AI1289"/>
      <c r="AJ1289"/>
      <c r="AK1289"/>
      <c r="AL1289"/>
      <c r="AM1289"/>
      <c r="AN1289"/>
      <c r="AO1289"/>
      <c r="AP1289"/>
      <c r="AQ1289"/>
      <c r="AR1289"/>
      <c r="AS1289"/>
      <c r="AT1289"/>
      <c r="AU1289"/>
      <c r="AV1289"/>
      <c r="AW1289"/>
      <c r="AX1289"/>
      <c r="AY1289"/>
      <c r="AZ1289"/>
      <c r="BA1289"/>
      <c r="BB1289"/>
      <c r="BC1289"/>
      <c r="BD1289"/>
      <c r="BE1289"/>
      <c r="BF1289"/>
      <c r="BG1289"/>
      <c r="BH1289"/>
      <c r="BI1289"/>
      <c r="BJ1289"/>
      <c r="BK1289"/>
      <c r="BL1289"/>
      <c r="BM1289"/>
      <c r="BN1289"/>
      <c r="BO1289"/>
      <c r="BP1289"/>
      <c r="BQ1289"/>
      <c r="BR1289"/>
      <c r="BS1289"/>
      <c r="BT1289"/>
      <c r="BU1289"/>
      <c r="BV1289"/>
      <c r="BW1289"/>
      <c r="BX1289"/>
      <c r="BY1289"/>
      <c r="BZ1289"/>
      <c r="CA1289"/>
      <c r="CB1289"/>
      <c r="CC1289"/>
      <c r="CD1289"/>
      <c r="CE1289"/>
      <c r="CF1289"/>
      <c r="CG1289"/>
      <c r="CH1289"/>
      <c r="CI1289"/>
      <c r="CJ1289"/>
      <c r="CK1289"/>
      <c r="CL1289"/>
      <c r="CM1289"/>
      <c r="CN1289"/>
      <c r="CO1289"/>
      <c r="CP1289"/>
      <c r="CQ1289"/>
      <c r="CR1289"/>
      <c r="CS1289"/>
      <c r="CT1289"/>
      <c r="CU1289"/>
      <c r="CV1289"/>
      <c r="CW1289"/>
      <c r="CX1289"/>
      <c r="CY1289"/>
      <c r="CZ1289"/>
      <c r="DA1289"/>
      <c r="DB1289"/>
      <c r="DC1289"/>
      <c r="DD1289"/>
      <c r="DE1289"/>
      <c r="DF1289"/>
      <c r="DG1289"/>
      <c r="DH1289"/>
      <c r="DI1289"/>
      <c r="DJ1289"/>
      <c r="DK1289"/>
      <c r="DL1289"/>
      <c r="DM1289"/>
      <c r="DN1289"/>
      <c r="DO1289"/>
      <c r="DP1289"/>
      <c r="DQ1289"/>
      <c r="DR1289"/>
      <c r="DS1289"/>
      <c r="DT1289"/>
      <c r="DU1289"/>
      <c r="DV1289"/>
      <c r="DW1289"/>
      <c r="DX1289"/>
      <c r="DY1289"/>
      <c r="DZ1289"/>
      <c r="EA1289"/>
      <c r="EB1289"/>
      <c r="EC1289"/>
      <c r="ED1289"/>
      <c r="EE1289"/>
      <c r="EF1289"/>
      <c r="EG1289"/>
      <c r="EH1289"/>
      <c r="EI1289"/>
      <c r="EJ1289"/>
      <c r="EK1289"/>
      <c r="EL1289"/>
      <c r="EM1289"/>
      <c r="EN1289"/>
      <c r="EO1289"/>
      <c r="EP1289"/>
      <c r="EQ1289"/>
      <c r="ER1289"/>
      <c r="ES1289"/>
      <c r="ET1289"/>
      <c r="EU1289"/>
      <c r="EV1289"/>
      <c r="EW1289"/>
      <c r="EX1289"/>
      <c r="EY1289"/>
      <c r="EZ1289"/>
      <c r="FA1289"/>
      <c r="FB1289"/>
      <c r="FC1289"/>
      <c r="FD1289"/>
      <c r="FE1289"/>
      <c r="FF1289"/>
      <c r="FG1289"/>
      <c r="FH1289"/>
      <c r="FI1289"/>
      <c r="FJ1289"/>
      <c r="FK1289"/>
      <c r="FL1289"/>
      <c r="FM1289"/>
      <c r="FN1289"/>
      <c r="FO1289"/>
      <c r="FP1289"/>
      <c r="FQ1289"/>
      <c r="FR1289"/>
      <c r="FS1289"/>
      <c r="FT1289"/>
      <c r="FU1289"/>
      <c r="FV1289"/>
      <c r="FW1289"/>
      <c r="FX1289"/>
      <c r="FY1289"/>
      <c r="FZ1289"/>
      <c r="GA1289"/>
      <c r="GB1289"/>
      <c r="GC1289"/>
      <c r="GD1289"/>
      <c r="GE1289"/>
      <c r="GF1289"/>
      <c r="GG1289"/>
      <c r="GH1289"/>
      <c r="GI1289"/>
      <c r="GJ1289"/>
      <c r="GK1289"/>
      <c r="GL1289"/>
      <c r="GM1289"/>
      <c r="GN1289"/>
      <c r="GO1289"/>
      <c r="GP1289"/>
      <c r="GQ1289"/>
      <c r="GR1289"/>
      <c r="GS1289"/>
      <c r="GT1289"/>
      <c r="GU1289"/>
      <c r="GV1289"/>
      <c r="GW1289"/>
      <c r="GX1289"/>
      <c r="GY1289"/>
      <c r="GZ1289"/>
      <c r="HA1289"/>
      <c r="HB1289"/>
      <c r="HC1289"/>
      <c r="HD1289"/>
      <c r="HE1289"/>
      <c r="HF1289"/>
      <c r="HG1289"/>
      <c r="HH1289"/>
      <c r="HI1289"/>
      <c r="HJ1289"/>
      <c r="HK1289"/>
      <c r="HL1289"/>
      <c r="HM1289"/>
      <c r="HN1289"/>
      <c r="HO1289"/>
      <c r="HP1289"/>
      <c r="HQ1289"/>
      <c r="HR1289"/>
      <c r="HS1289"/>
      <c r="HT1289"/>
      <c r="HU1289"/>
      <c r="HV1289"/>
      <c r="HW1289"/>
      <c r="HX1289"/>
      <c r="HY1289"/>
      <c r="HZ1289"/>
      <c r="IA1289"/>
      <c r="IB1289"/>
      <c r="IC1289"/>
      <c r="ID1289"/>
      <c r="IE1289"/>
      <c r="IF1289"/>
      <c r="IG1289"/>
      <c r="IH1289"/>
      <c r="II1289"/>
      <c r="IJ1289"/>
      <c r="IK1289"/>
      <c r="IL1289"/>
      <c r="IM1289"/>
      <c r="IN1289"/>
      <c r="IO1289"/>
      <c r="IP1289"/>
      <c r="IQ1289"/>
      <c r="IR1289"/>
      <c r="IS1289"/>
      <c r="IT1289"/>
      <c r="IU1289"/>
      <c r="IV1289"/>
      <c r="IW1289"/>
      <c r="IX1289"/>
      <c r="IY1289"/>
      <c r="IZ1289"/>
      <c r="JA1289"/>
      <c r="JB1289"/>
      <c r="JC1289"/>
      <c r="JD1289"/>
      <c r="JE1289"/>
      <c r="JF1289"/>
      <c r="JG1289"/>
      <c r="JH1289"/>
      <c r="JI1289"/>
      <c r="JJ1289"/>
      <c r="JK1289"/>
      <c r="JL1289"/>
      <c r="JM1289"/>
      <c r="JN1289"/>
      <c r="JO1289"/>
      <c r="JP1289"/>
      <c r="JQ1289"/>
      <c r="JR1289"/>
      <c r="JS1289"/>
      <c r="JT1289"/>
      <c r="JU1289"/>
      <c r="JV1289"/>
      <c r="JW1289"/>
      <c r="JX1289"/>
      <c r="JY1289"/>
      <c r="JZ1289"/>
      <c r="KA1289"/>
      <c r="KB1289"/>
      <c r="KC1289"/>
      <c r="KD1289"/>
      <c r="KE1289"/>
      <c r="KF1289"/>
      <c r="KG1289"/>
      <c r="KH1289"/>
      <c r="KI1289"/>
      <c r="KJ1289"/>
      <c r="KK1289"/>
      <c r="KL1289"/>
      <c r="KM1289"/>
      <c r="KN1289"/>
      <c r="KO1289"/>
      <c r="KP1289"/>
      <c r="KQ1289"/>
      <c r="KR1289"/>
      <c r="KS1289"/>
      <c r="KT1289"/>
      <c r="KU1289"/>
      <c r="KV1289"/>
      <c r="KW1289"/>
      <c r="KX1289"/>
      <c r="KY1289"/>
      <c r="KZ1289"/>
      <c r="LA1289"/>
      <c r="LB1289"/>
      <c r="LC1289"/>
      <c r="LD1289"/>
      <c r="LE1289"/>
      <c r="LF1289"/>
      <c r="LG1289"/>
      <c r="LH1289"/>
      <c r="LI1289"/>
      <c r="LJ1289"/>
      <c r="LK1289"/>
      <c r="LL1289"/>
      <c r="LM1289"/>
      <c r="LN1289"/>
      <c r="LO1289"/>
      <c r="LP1289"/>
      <c r="LQ1289"/>
      <c r="LR1289"/>
      <c r="LS1289"/>
      <c r="LT1289"/>
      <c r="LU1289"/>
      <c r="LV1289"/>
      <c r="LW1289"/>
      <c r="LX1289"/>
      <c r="LY1289"/>
      <c r="LZ1289"/>
      <c r="MA1289"/>
      <c r="MB1289"/>
      <c r="MC1289"/>
      <c r="MD1289"/>
      <c r="ME1289"/>
      <c r="MF1289"/>
      <c r="MG1289"/>
      <c r="MH1289"/>
      <c r="MI1289"/>
      <c r="MJ1289"/>
      <c r="MK1289"/>
      <c r="ML1289"/>
      <c r="MM1289"/>
      <c r="MN1289"/>
      <c r="MO1289"/>
      <c r="MP1289"/>
      <c r="MQ1289"/>
      <c r="MR1289"/>
      <c r="MS1289"/>
      <c r="MT1289"/>
      <c r="MU1289"/>
      <c r="MV1289"/>
      <c r="MW1289"/>
      <c r="MX1289"/>
      <c r="MY1289"/>
      <c r="MZ1289"/>
      <c r="NA1289"/>
      <c r="NB1289"/>
      <c r="NC1289"/>
      <c r="ND1289"/>
      <c r="NE1289"/>
      <c r="NF1289"/>
      <c r="NG1289"/>
      <c r="NH1289"/>
      <c r="NI1289"/>
      <c r="NJ1289"/>
      <c r="NK1289"/>
      <c r="NL1289"/>
      <c r="NM1289"/>
      <c r="NN1289"/>
      <c r="NO1289"/>
      <c r="NP1289"/>
      <c r="NQ1289"/>
      <c r="NR1289"/>
      <c r="NS1289"/>
      <c r="NT1289"/>
      <c r="NU1289"/>
      <c r="NV1289"/>
      <c r="NW1289"/>
      <c r="NX1289"/>
      <c r="NY1289"/>
      <c r="NZ1289"/>
      <c r="OA1289"/>
      <c r="OB1289"/>
      <c r="OC1289"/>
      <c r="OD1289"/>
      <c r="OE1289"/>
      <c r="OF1289"/>
      <c r="OG1289"/>
      <c r="OH1289"/>
      <c r="OI1289"/>
      <c r="OJ1289"/>
      <c r="OK1289"/>
      <c r="OL1289"/>
      <c r="OM1289"/>
      <c r="ON1289"/>
      <c r="OO1289"/>
      <c r="OP1289"/>
      <c r="OQ1289"/>
      <c r="OR1289"/>
      <c r="OS1289"/>
      <c r="OT1289"/>
      <c r="OU1289"/>
      <c r="OV1289"/>
      <c r="OW1289"/>
      <c r="OX1289"/>
      <c r="OY1289"/>
      <c r="OZ1289"/>
      <c r="PA1289"/>
      <c r="PB1289"/>
      <c r="PC1289"/>
      <c r="PD1289"/>
      <c r="PE1289"/>
      <c r="PF1289"/>
      <c r="PG1289"/>
      <c r="PH1289"/>
      <c r="PI1289"/>
      <c r="PJ1289"/>
      <c r="PK1289"/>
      <c r="PL1289"/>
      <c r="PM1289"/>
      <c r="PN1289"/>
      <c r="PO1289"/>
      <c r="PP1289"/>
      <c r="PQ1289"/>
      <c r="PR1289"/>
      <c r="PS1289"/>
      <c r="PT1289"/>
      <c r="PU1289"/>
      <c r="PV1289"/>
      <c r="PW1289"/>
      <c r="PX1289"/>
      <c r="PY1289"/>
      <c r="PZ1289"/>
      <c r="QA1289"/>
      <c r="QB1289"/>
      <c r="QC1289"/>
      <c r="QD1289"/>
      <c r="QE1289"/>
      <c r="QF1289"/>
      <c r="QG1289"/>
      <c r="QH1289"/>
      <c r="QI1289"/>
      <c r="QJ1289"/>
      <c r="QK1289"/>
      <c r="QL1289"/>
      <c r="QM1289"/>
      <c r="QN1289"/>
      <c r="QO1289"/>
      <c r="QP1289"/>
      <c r="QQ1289"/>
      <c r="QR1289"/>
      <c r="QS1289"/>
      <c r="QT1289"/>
      <c r="QU1289"/>
      <c r="QV1289"/>
      <c r="QW1289"/>
      <c r="QX1289"/>
      <c r="QY1289"/>
      <c r="QZ1289"/>
      <c r="RA1289"/>
      <c r="RB1289"/>
      <c r="RC1289"/>
      <c r="RD1289"/>
      <c r="RE1289"/>
      <c r="RF1289"/>
      <c r="RG1289"/>
      <c r="RH1289"/>
      <c r="RI1289"/>
      <c r="RJ1289"/>
      <c r="RK1289"/>
      <c r="RL1289"/>
      <c r="RM1289"/>
      <c r="RN1289"/>
      <c r="RO1289"/>
      <c r="RP1289"/>
      <c r="RQ1289"/>
      <c r="RR1289"/>
      <c r="RS1289"/>
      <c r="RT1289"/>
      <c r="RU1289"/>
      <c r="RV1289"/>
      <c r="RW1289"/>
      <c r="RX1289"/>
      <c r="RY1289"/>
      <c r="RZ1289"/>
      <c r="SA1289"/>
      <c r="SB1289"/>
      <c r="SC1289"/>
      <c r="SD1289"/>
      <c r="SE1289"/>
      <c r="SF1289"/>
      <c r="SG1289"/>
      <c r="SH1289"/>
      <c r="SI1289"/>
      <c r="SJ1289"/>
      <c r="SK1289"/>
      <c r="SL1289"/>
      <c r="SM1289"/>
      <c r="SN1289"/>
      <c r="SO1289"/>
      <c r="SP1289"/>
      <c r="SQ1289"/>
      <c r="SR1289"/>
      <c r="SS1289"/>
      <c r="ST1289"/>
      <c r="SU1289"/>
      <c r="SV1289"/>
      <c r="SW1289"/>
      <c r="SX1289"/>
      <c r="SY1289"/>
      <c r="SZ1289"/>
      <c r="TA1289"/>
      <c r="TB1289"/>
      <c r="TC1289"/>
      <c r="TD1289"/>
      <c r="TE1289"/>
      <c r="TF1289"/>
      <c r="TG1289"/>
      <c r="TH1289"/>
      <c r="TI1289"/>
      <c r="TJ1289"/>
      <c r="TK1289"/>
      <c r="TL1289"/>
      <c r="TM1289"/>
      <c r="TN1289"/>
      <c r="TO1289"/>
      <c r="TP1289"/>
      <c r="TQ1289"/>
      <c r="TR1289"/>
      <c r="TS1289"/>
      <c r="TT1289"/>
      <c r="TU1289"/>
      <c r="TV1289"/>
      <c r="TW1289"/>
      <c r="TX1289"/>
      <c r="TY1289"/>
      <c r="TZ1289"/>
      <c r="UA1289"/>
      <c r="UB1289"/>
      <c r="UC1289"/>
      <c r="UD1289"/>
      <c r="UE1289"/>
      <c r="UF1289"/>
      <c r="UG1289"/>
      <c r="UH1289"/>
      <c r="UI1289"/>
      <c r="UJ1289"/>
      <c r="UK1289"/>
      <c r="UL1289"/>
      <c r="UM1289"/>
      <c r="UN1289"/>
      <c r="UO1289"/>
      <c r="UP1289"/>
      <c r="UQ1289"/>
      <c r="UR1289"/>
      <c r="US1289"/>
      <c r="UT1289"/>
      <c r="UU1289"/>
      <c r="UV1289"/>
      <c r="UW1289"/>
      <c r="UX1289"/>
      <c r="UY1289"/>
      <c r="UZ1289"/>
      <c r="VA1289"/>
      <c r="VB1289"/>
      <c r="VC1289"/>
      <c r="VD1289"/>
      <c r="VE1289"/>
      <c r="VF1289"/>
      <c r="VG1289"/>
      <c r="VH1289"/>
      <c r="VI1289"/>
      <c r="VJ1289"/>
      <c r="VK1289"/>
      <c r="VL1289"/>
      <c r="VM1289"/>
      <c r="VN1289"/>
      <c r="VO1289"/>
      <c r="VP1289"/>
      <c r="VQ1289"/>
      <c r="VR1289"/>
      <c r="VS1289"/>
      <c r="VT1289"/>
      <c r="VU1289"/>
      <c r="VV1289"/>
      <c r="VW1289"/>
      <c r="VX1289"/>
      <c r="VY1289"/>
      <c r="VZ1289"/>
      <c r="WA1289"/>
      <c r="WB1289"/>
      <c r="WC1289"/>
      <c r="WD1289"/>
      <c r="WE1289"/>
      <c r="WF1289"/>
      <c r="WG1289"/>
      <c r="WH1289"/>
      <c r="WI1289"/>
      <c r="WJ1289"/>
      <c r="WK1289"/>
      <c r="WL1289"/>
      <c r="WM1289"/>
      <c r="WN1289"/>
      <c r="WO1289"/>
      <c r="WP1289"/>
      <c r="WQ1289"/>
      <c r="WR1289"/>
      <c r="WS1289"/>
      <c r="WT1289"/>
      <c r="WU1289"/>
      <c r="WV1289"/>
      <c r="WW1289"/>
      <c r="WX1289"/>
      <c r="WY1289"/>
      <c r="WZ1289"/>
      <c r="XA1289"/>
      <c r="XB1289"/>
      <c r="XC1289"/>
      <c r="XD1289"/>
      <c r="XE1289"/>
      <c r="XF1289"/>
      <c r="XG1289"/>
      <c r="XH1289"/>
      <c r="XI1289"/>
      <c r="XJ1289"/>
      <c r="XK1289"/>
      <c r="XL1289"/>
      <c r="XM1289"/>
      <c r="XN1289"/>
      <c r="XO1289"/>
      <c r="XP1289"/>
      <c r="XQ1289"/>
      <c r="XR1289"/>
      <c r="XS1289"/>
      <c r="XT1289"/>
      <c r="XU1289"/>
      <c r="XV1289"/>
      <c r="XW1289"/>
      <c r="XX1289"/>
      <c r="XY1289"/>
      <c r="XZ1289"/>
      <c r="YA1289"/>
      <c r="YB1289"/>
      <c r="YC1289"/>
      <c r="YD1289"/>
      <c r="YE1289"/>
      <c r="YF1289"/>
      <c r="YG1289"/>
      <c r="YH1289"/>
      <c r="YI1289"/>
      <c r="YJ1289"/>
      <c r="YK1289"/>
      <c r="YL1289"/>
      <c r="YM1289"/>
      <c r="YN1289"/>
      <c r="YO1289"/>
      <c r="YP1289"/>
      <c r="YQ1289"/>
      <c r="YR1289"/>
      <c r="YS1289"/>
      <c r="YT1289"/>
      <c r="YU1289"/>
      <c r="YV1289"/>
      <c r="YW1289"/>
      <c r="YX1289"/>
      <c r="YY1289"/>
      <c r="YZ1289"/>
      <c r="ZA1289"/>
      <c r="ZB1289"/>
      <c r="ZC1289"/>
      <c r="ZD1289"/>
      <c r="ZE1289"/>
      <c r="ZF1289"/>
      <c r="ZG1289"/>
      <c r="ZH1289"/>
      <c r="ZI1289"/>
      <c r="ZJ1289"/>
      <c r="ZK1289"/>
      <c r="ZL1289"/>
      <c r="ZM1289"/>
      <c r="ZN1289"/>
      <c r="ZO1289"/>
      <c r="ZP1289"/>
      <c r="ZQ1289"/>
      <c r="ZR1289"/>
      <c r="ZS1289"/>
      <c r="ZT1289"/>
      <c r="ZU1289"/>
      <c r="ZV1289"/>
      <c r="ZW1289"/>
      <c r="ZX1289"/>
      <c r="ZY1289"/>
      <c r="ZZ1289"/>
      <c r="AAA1289"/>
      <c r="AAB1289"/>
      <c r="AAC1289"/>
      <c r="AAD1289"/>
      <c r="AAE1289"/>
      <c r="AAF1289"/>
      <c r="AAG1289"/>
      <c r="AAH1289"/>
      <c r="AAI1289"/>
      <c r="AAJ1289"/>
      <c r="AAK1289"/>
      <c r="AAL1289"/>
      <c r="AAM1289"/>
      <c r="AAN1289"/>
      <c r="AAO1289"/>
      <c r="AAP1289"/>
      <c r="AAQ1289"/>
      <c r="AAR1289"/>
      <c r="AAS1289"/>
      <c r="AAT1289"/>
      <c r="AAU1289"/>
      <c r="AAV1289"/>
      <c r="AAW1289"/>
      <c r="AAX1289"/>
      <c r="AAY1289"/>
      <c r="AAZ1289"/>
      <c r="ABA1289"/>
      <c r="ABB1289"/>
      <c r="ABC1289"/>
      <c r="ABD1289"/>
      <c r="ABE1289"/>
      <c r="ABF1289"/>
      <c r="ABG1289"/>
      <c r="ABH1289"/>
      <c r="ABI1289"/>
      <c r="ABJ1289"/>
      <c r="ABK1289"/>
      <c r="ABL1289"/>
      <c r="ABM1289"/>
      <c r="ABN1289"/>
      <c r="ABO1289"/>
      <c r="ABP1289"/>
      <c r="ABQ1289"/>
      <c r="ABR1289"/>
      <c r="ABS1289"/>
      <c r="ABT1289"/>
      <c r="ABU1289"/>
      <c r="ABV1289"/>
      <c r="ABW1289"/>
      <c r="ABX1289"/>
      <c r="ABY1289"/>
      <c r="ABZ1289"/>
      <c r="ACA1289"/>
      <c r="ACB1289"/>
      <c r="ACC1289"/>
      <c r="ACD1289"/>
      <c r="ACE1289"/>
      <c r="ACF1289"/>
      <c r="ACG1289"/>
      <c r="ACH1289"/>
      <c r="ACI1289"/>
      <c r="ACJ1289"/>
      <c r="ACK1289"/>
      <c r="ACL1289"/>
      <c r="ACM1289"/>
      <c r="ACN1289"/>
      <c r="ACO1289"/>
      <c r="ACP1289"/>
      <c r="ACQ1289"/>
      <c r="ACR1289"/>
      <c r="ACS1289"/>
      <c r="ACT1289"/>
      <c r="ACU1289"/>
      <c r="ACV1289"/>
      <c r="ACW1289"/>
      <c r="ACX1289"/>
      <c r="ACY1289"/>
      <c r="ACZ1289"/>
      <c r="ADA1289"/>
      <c r="ADB1289"/>
      <c r="ADC1289"/>
      <c r="ADD1289"/>
      <c r="ADE1289"/>
      <c r="ADF1289"/>
      <c r="ADG1289"/>
      <c r="ADH1289"/>
      <c r="ADI1289"/>
      <c r="ADJ1289"/>
      <c r="ADK1289"/>
      <c r="ADL1289"/>
      <c r="ADM1289"/>
      <c r="ADN1289"/>
      <c r="ADO1289"/>
      <c r="ADP1289"/>
      <c r="ADQ1289"/>
      <c r="ADR1289"/>
      <c r="ADS1289"/>
      <c r="ADT1289"/>
      <c r="ADU1289"/>
      <c r="ADV1289"/>
      <c r="ADW1289"/>
      <c r="ADX1289"/>
      <c r="ADY1289"/>
      <c r="ADZ1289"/>
      <c r="AEA1289"/>
      <c r="AEB1289"/>
      <c r="AEC1289"/>
      <c r="AED1289"/>
      <c r="AEE1289"/>
      <c r="AEF1289"/>
      <c r="AEG1289"/>
      <c r="AEH1289"/>
      <c r="AEI1289"/>
      <c r="AEJ1289"/>
      <c r="AEK1289"/>
      <c r="AEL1289"/>
      <c r="AEM1289"/>
      <c r="AEN1289"/>
      <c r="AEO1289"/>
      <c r="AEP1289"/>
      <c r="AEQ1289"/>
      <c r="AER1289"/>
      <c r="AES1289"/>
      <c r="AET1289"/>
      <c r="AEU1289"/>
      <c r="AEV1289"/>
      <c r="AEW1289"/>
      <c r="AEX1289"/>
      <c r="AEY1289"/>
      <c r="AEZ1289"/>
      <c r="AFA1289"/>
      <c r="AFB1289"/>
      <c r="AFC1289"/>
      <c r="AFD1289"/>
      <c r="AFE1289"/>
      <c r="AFF1289"/>
      <c r="AFG1289"/>
      <c r="AFH1289"/>
      <c r="AFI1289"/>
      <c r="AFJ1289"/>
      <c r="AFK1289"/>
      <c r="AFL1289"/>
      <c r="AFM1289"/>
      <c r="AFN1289"/>
      <c r="AFO1289"/>
      <c r="AFP1289"/>
      <c r="AFQ1289"/>
      <c r="AFR1289"/>
      <c r="AFS1289"/>
      <c r="AFT1289"/>
      <c r="AFU1289"/>
      <c r="AFV1289"/>
      <c r="AFW1289"/>
      <c r="AFX1289"/>
      <c r="AFY1289"/>
      <c r="AFZ1289"/>
      <c r="AGA1289"/>
      <c r="AGB1289"/>
      <c r="AGC1289"/>
      <c r="AGD1289"/>
      <c r="AGE1289"/>
      <c r="AGF1289"/>
      <c r="AGG1289"/>
      <c r="AGH1289"/>
      <c r="AGI1289"/>
      <c r="AGJ1289"/>
      <c r="AGK1289"/>
      <c r="AGL1289"/>
      <c r="AGM1289"/>
      <c r="AGN1289"/>
      <c r="AGO1289"/>
      <c r="AGP1289"/>
      <c r="AGQ1289"/>
      <c r="AGR1289"/>
      <c r="AGS1289"/>
      <c r="AGT1289"/>
      <c r="AGU1289"/>
      <c r="AGV1289"/>
      <c r="AGW1289"/>
      <c r="AGX1289"/>
      <c r="AGY1289"/>
      <c r="AGZ1289"/>
      <c r="AHA1289"/>
      <c r="AHB1289"/>
      <c r="AHC1289"/>
      <c r="AHD1289"/>
      <c r="AHE1289"/>
      <c r="AHF1289"/>
      <c r="AHG1289"/>
      <c r="AHH1289"/>
      <c r="AHI1289"/>
      <c r="AHJ1289"/>
      <c r="AHK1289"/>
      <c r="AHL1289"/>
      <c r="AHM1289"/>
      <c r="AHN1289"/>
      <c r="AHO1289"/>
      <c r="AHP1289"/>
      <c r="AHQ1289"/>
      <c r="AHR1289"/>
      <c r="AHS1289"/>
      <c r="AHT1289"/>
      <c r="AHU1289"/>
      <c r="AHV1289"/>
      <c r="AHW1289"/>
      <c r="AHX1289"/>
      <c r="AHY1289"/>
      <c r="AHZ1289"/>
      <c r="AIA1289"/>
      <c r="AIB1289"/>
      <c r="AIC1289"/>
      <c r="AID1289"/>
      <c r="AIE1289"/>
      <c r="AIF1289"/>
      <c r="AIG1289"/>
      <c r="AIH1289"/>
      <c r="AII1289"/>
      <c r="AIJ1289"/>
      <c r="AIK1289"/>
      <c r="AIL1289"/>
      <c r="AIM1289"/>
      <c r="AIN1289"/>
      <c r="AIO1289"/>
      <c r="AIP1289"/>
      <c r="AIQ1289"/>
      <c r="AIR1289"/>
      <c r="AIS1289"/>
      <c r="AIT1289"/>
      <c r="AIU1289"/>
      <c r="AIV1289"/>
      <c r="AIW1289"/>
      <c r="AIX1289"/>
      <c r="AIY1289"/>
      <c r="AIZ1289"/>
      <c r="AJA1289"/>
      <c r="AJB1289"/>
      <c r="AJC1289"/>
      <c r="AJD1289"/>
      <c r="AJE1289"/>
      <c r="AJF1289"/>
      <c r="AJG1289"/>
      <c r="AJH1289"/>
      <c r="AJI1289"/>
      <c r="AJJ1289"/>
      <c r="AJK1289"/>
      <c r="AJL1289"/>
      <c r="AJM1289"/>
      <c r="AJN1289"/>
      <c r="AJO1289"/>
      <c r="AJP1289"/>
      <c r="AJQ1289"/>
      <c r="AJR1289"/>
      <c r="AJS1289"/>
      <c r="AJT1289"/>
      <c r="AJU1289"/>
      <c r="AJV1289"/>
      <c r="AJW1289"/>
      <c r="AJX1289"/>
      <c r="AJY1289"/>
      <c r="AJZ1289"/>
      <c r="AKA1289"/>
      <c r="AKB1289"/>
      <c r="AKC1289"/>
      <c r="AKD1289"/>
      <c r="AKE1289"/>
      <c r="AKF1289"/>
      <c r="AKG1289"/>
      <c r="AKH1289"/>
      <c r="AKI1289"/>
      <c r="AKJ1289"/>
      <c r="AKK1289"/>
      <c r="AKL1289"/>
      <c r="AKM1289"/>
      <c r="AKN1289"/>
      <c r="AKO1289"/>
      <c r="AKP1289"/>
      <c r="AKQ1289"/>
      <c r="AKR1289"/>
      <c r="AKS1289"/>
      <c r="AKT1289"/>
      <c r="AKU1289"/>
      <c r="AKV1289"/>
      <c r="AKW1289"/>
      <c r="AKX1289"/>
      <c r="AKY1289"/>
      <c r="AKZ1289"/>
      <c r="ALA1289"/>
      <c r="ALB1289"/>
      <c r="ALC1289"/>
      <c r="ALD1289"/>
      <c r="ALE1289"/>
      <c r="ALF1289"/>
      <c r="ALG1289"/>
      <c r="ALH1289"/>
      <c r="ALI1289"/>
      <c r="ALJ1289"/>
      <c r="ALK1289"/>
      <c r="ALL1289"/>
      <c r="ALM1289"/>
      <c r="ALN1289"/>
      <c r="ALO1289"/>
      <c r="ALP1289"/>
      <c r="ALQ1289"/>
      <c r="ALR1289"/>
      <c r="ALS1289"/>
      <c r="ALT1289"/>
    </row>
    <row r="1290" spans="1:1008" x14ac:dyDescent="0.15">
      <c r="A1290" t="s">
        <v>4071</v>
      </c>
      <c r="B1290" s="8" t="s">
        <v>3980</v>
      </c>
      <c r="C1290" t="s">
        <v>4071</v>
      </c>
      <c r="D1290" s="8" t="s">
        <v>15</v>
      </c>
      <c r="E1290" t="s">
        <v>4071</v>
      </c>
      <c r="F1290" t="s">
        <v>4072</v>
      </c>
      <c r="G1290">
        <v>500</v>
      </c>
      <c r="H1290"/>
      <c r="I1290"/>
      <c r="J1290"/>
      <c r="K1290"/>
      <c r="L1290"/>
      <c r="M1290"/>
      <c r="N1290"/>
      <c r="O1290"/>
      <c r="P1290"/>
      <c r="Q1290"/>
      <c r="R1290"/>
      <c r="S1290"/>
      <c r="T1290"/>
      <c r="U1290"/>
      <c r="V1290"/>
      <c r="W1290"/>
      <c r="X1290"/>
      <c r="Y1290"/>
      <c r="Z1290"/>
      <c r="AA1290"/>
      <c r="AB1290"/>
      <c r="AC1290"/>
      <c r="AD1290"/>
      <c r="AE1290"/>
      <c r="AF1290"/>
      <c r="AG1290"/>
      <c r="AH1290"/>
      <c r="AI1290"/>
      <c r="AJ1290"/>
      <c r="AK1290"/>
      <c r="AL1290"/>
      <c r="AM1290"/>
      <c r="AN1290"/>
      <c r="AO1290"/>
      <c r="AP1290"/>
      <c r="AQ1290"/>
      <c r="AR1290"/>
      <c r="AS1290"/>
      <c r="AT1290"/>
      <c r="AU1290"/>
      <c r="AV1290"/>
      <c r="AW1290"/>
      <c r="AX1290"/>
      <c r="AY1290"/>
      <c r="AZ1290"/>
      <c r="BA1290"/>
      <c r="BB1290"/>
      <c r="BC1290"/>
      <c r="BD1290"/>
      <c r="BE1290"/>
      <c r="BF1290"/>
      <c r="BG1290"/>
      <c r="BH1290"/>
      <c r="BI1290"/>
      <c r="BJ1290"/>
      <c r="BK1290"/>
      <c r="BL1290"/>
      <c r="BM1290"/>
      <c r="BN1290"/>
      <c r="BO1290"/>
      <c r="BP1290"/>
      <c r="BQ1290"/>
      <c r="BR1290"/>
      <c r="BS1290"/>
      <c r="BT1290"/>
      <c r="BU1290"/>
      <c r="BV1290"/>
      <c r="BW1290"/>
      <c r="BX1290"/>
      <c r="BY1290"/>
      <c r="BZ1290"/>
      <c r="CA1290"/>
      <c r="CB1290"/>
      <c r="CC1290"/>
      <c r="CD1290"/>
      <c r="CE1290"/>
      <c r="CF1290"/>
      <c r="CG1290"/>
      <c r="CH1290"/>
      <c r="CI1290"/>
      <c r="CJ1290"/>
      <c r="CK1290"/>
      <c r="CL1290"/>
      <c r="CM1290"/>
      <c r="CN1290"/>
      <c r="CO1290"/>
      <c r="CP1290"/>
      <c r="CQ1290"/>
      <c r="CR1290"/>
      <c r="CS1290"/>
      <c r="CT1290"/>
      <c r="CU1290"/>
      <c r="CV1290"/>
      <c r="CW1290"/>
      <c r="CX1290"/>
      <c r="CY1290"/>
      <c r="CZ1290"/>
      <c r="DA1290"/>
      <c r="DB1290"/>
      <c r="DC1290"/>
      <c r="DD1290"/>
      <c r="DE1290"/>
      <c r="DF1290"/>
      <c r="DG1290"/>
      <c r="DH1290"/>
      <c r="DI1290"/>
      <c r="DJ1290"/>
      <c r="DK1290"/>
      <c r="DL1290"/>
      <c r="DM1290"/>
      <c r="DN1290"/>
      <c r="DO1290"/>
      <c r="DP1290"/>
      <c r="DQ1290"/>
      <c r="DR1290"/>
      <c r="DS1290"/>
      <c r="DT1290"/>
      <c r="DU1290"/>
      <c r="DV1290"/>
      <c r="DW1290"/>
      <c r="DX1290"/>
      <c r="DY1290"/>
      <c r="DZ1290"/>
      <c r="EA1290"/>
      <c r="EB1290"/>
      <c r="EC1290"/>
      <c r="ED1290"/>
      <c r="EE1290"/>
      <c r="EF1290"/>
      <c r="EG1290"/>
      <c r="EH1290"/>
      <c r="EI1290"/>
      <c r="EJ1290"/>
      <c r="EK1290"/>
      <c r="EL1290"/>
      <c r="EM1290"/>
      <c r="EN1290"/>
      <c r="EO1290"/>
      <c r="EP1290"/>
      <c r="EQ1290"/>
      <c r="ER1290"/>
      <c r="ES1290"/>
      <c r="ET1290"/>
      <c r="EU1290"/>
      <c r="EV1290"/>
      <c r="EW1290"/>
      <c r="EX1290"/>
      <c r="EY1290"/>
      <c r="EZ1290"/>
      <c r="FA1290"/>
      <c r="FB1290"/>
      <c r="FC1290"/>
      <c r="FD1290"/>
      <c r="FE1290"/>
      <c r="FF1290"/>
      <c r="FG1290"/>
      <c r="FH1290"/>
      <c r="FI1290"/>
      <c r="FJ1290"/>
      <c r="FK1290"/>
      <c r="FL1290"/>
      <c r="FM1290"/>
      <c r="FN1290"/>
      <c r="FO1290"/>
      <c r="FP1290"/>
      <c r="FQ1290"/>
      <c r="FR1290"/>
      <c r="FS1290"/>
      <c r="FT1290"/>
      <c r="FU1290"/>
      <c r="FV1290"/>
      <c r="FW1290"/>
      <c r="FX1290"/>
      <c r="FY1290"/>
      <c r="FZ1290"/>
      <c r="GA1290"/>
      <c r="GB1290"/>
      <c r="GC1290"/>
      <c r="GD1290"/>
      <c r="GE1290"/>
      <c r="GF1290"/>
      <c r="GG1290"/>
      <c r="GH1290"/>
      <c r="GI1290"/>
      <c r="GJ1290"/>
      <c r="GK1290"/>
      <c r="GL1290"/>
      <c r="GM1290"/>
      <c r="GN1290"/>
      <c r="GO1290"/>
      <c r="GP1290"/>
      <c r="GQ1290"/>
      <c r="GR1290"/>
      <c r="GS1290"/>
      <c r="GT1290"/>
      <c r="GU1290"/>
      <c r="GV1290"/>
      <c r="GW1290"/>
      <c r="GX1290"/>
      <c r="GY1290"/>
      <c r="GZ1290"/>
      <c r="HA1290"/>
      <c r="HB1290"/>
      <c r="HC1290"/>
      <c r="HD1290"/>
      <c r="HE1290"/>
      <c r="HF1290"/>
      <c r="HG1290"/>
      <c r="HH1290"/>
      <c r="HI1290"/>
      <c r="HJ1290"/>
      <c r="HK1290"/>
      <c r="HL1290"/>
      <c r="HM1290"/>
      <c r="HN1290"/>
      <c r="HO1290"/>
      <c r="HP1290"/>
      <c r="HQ1290"/>
      <c r="HR1290"/>
      <c r="HS1290"/>
      <c r="HT1290"/>
      <c r="HU1290"/>
      <c r="HV1290"/>
      <c r="HW1290"/>
      <c r="HX1290"/>
      <c r="HY1290"/>
      <c r="HZ1290"/>
      <c r="IA1290"/>
      <c r="IB1290"/>
      <c r="IC1290"/>
      <c r="ID1290"/>
      <c r="IE1290"/>
      <c r="IF1290"/>
      <c r="IG1290"/>
      <c r="IH1290"/>
      <c r="II1290"/>
      <c r="IJ1290"/>
      <c r="IK1290"/>
      <c r="IL1290"/>
      <c r="IM1290"/>
      <c r="IN1290"/>
      <c r="IO1290"/>
      <c r="IP1290"/>
      <c r="IQ1290"/>
      <c r="IR1290"/>
      <c r="IS1290"/>
      <c r="IT1290"/>
      <c r="IU1290"/>
      <c r="IV1290"/>
      <c r="IW1290"/>
      <c r="IX1290"/>
      <c r="IY1290"/>
      <c r="IZ1290"/>
      <c r="JA1290"/>
      <c r="JB1290"/>
      <c r="JC1290"/>
      <c r="JD1290"/>
      <c r="JE1290"/>
      <c r="JF1290"/>
      <c r="JG1290"/>
      <c r="JH1290"/>
      <c r="JI1290"/>
      <c r="JJ1290"/>
      <c r="JK1290"/>
      <c r="JL1290"/>
      <c r="JM1290"/>
      <c r="JN1290"/>
      <c r="JO1290"/>
      <c r="JP1290"/>
      <c r="JQ1290"/>
      <c r="JR1290"/>
      <c r="JS1290"/>
      <c r="JT1290"/>
      <c r="JU1290"/>
      <c r="JV1290"/>
      <c r="JW1290"/>
      <c r="JX1290"/>
      <c r="JY1290"/>
      <c r="JZ1290"/>
      <c r="KA1290"/>
      <c r="KB1290"/>
      <c r="KC1290"/>
      <c r="KD1290"/>
      <c r="KE1290"/>
      <c r="KF1290"/>
      <c r="KG1290"/>
      <c r="KH1290"/>
      <c r="KI1290"/>
      <c r="KJ1290"/>
      <c r="KK1290"/>
      <c r="KL1290"/>
      <c r="KM1290"/>
      <c r="KN1290"/>
      <c r="KO1290"/>
      <c r="KP1290"/>
      <c r="KQ1290"/>
      <c r="KR1290"/>
      <c r="KS1290"/>
      <c r="KT1290"/>
      <c r="KU1290"/>
      <c r="KV1290"/>
      <c r="KW1290"/>
      <c r="KX1290"/>
      <c r="KY1290"/>
      <c r="KZ1290"/>
      <c r="LA1290"/>
      <c r="LB1290"/>
      <c r="LC1290"/>
      <c r="LD1290"/>
      <c r="LE1290"/>
      <c r="LF1290"/>
      <c r="LG1290"/>
      <c r="LH1290"/>
      <c r="LI1290"/>
      <c r="LJ1290"/>
      <c r="LK1290"/>
      <c r="LL1290"/>
      <c r="LM1290"/>
      <c r="LN1290"/>
      <c r="LO1290"/>
      <c r="LP1290"/>
      <c r="LQ1290"/>
      <c r="LR1290"/>
      <c r="LS1290"/>
      <c r="LT1290"/>
      <c r="LU1290"/>
      <c r="LV1290"/>
      <c r="LW1290"/>
      <c r="LX1290"/>
      <c r="LY1290"/>
      <c r="LZ1290"/>
      <c r="MA1290"/>
      <c r="MB1290"/>
      <c r="MC1290"/>
      <c r="MD1290"/>
      <c r="ME1290"/>
      <c r="MF1290"/>
      <c r="MG1290"/>
      <c r="MH1290"/>
      <c r="MI1290"/>
      <c r="MJ1290"/>
      <c r="MK1290"/>
      <c r="ML1290"/>
      <c r="MM1290"/>
      <c r="MN1290"/>
      <c r="MO1290"/>
      <c r="MP1290"/>
      <c r="MQ1290"/>
      <c r="MR1290"/>
      <c r="MS1290"/>
      <c r="MT1290"/>
      <c r="MU1290"/>
      <c r="MV1290"/>
      <c r="MW1290"/>
      <c r="MX1290"/>
      <c r="MY1290"/>
      <c r="MZ1290"/>
      <c r="NA1290"/>
      <c r="NB1290"/>
      <c r="NC1290"/>
      <c r="ND1290"/>
      <c r="NE1290"/>
      <c r="NF1290"/>
      <c r="NG1290"/>
      <c r="NH1290"/>
      <c r="NI1290"/>
      <c r="NJ1290"/>
      <c r="NK1290"/>
      <c r="NL1290"/>
      <c r="NM1290"/>
      <c r="NN1290"/>
      <c r="NO1290"/>
      <c r="NP1290"/>
      <c r="NQ1290"/>
      <c r="NR1290"/>
      <c r="NS1290"/>
      <c r="NT1290"/>
      <c r="NU1290"/>
      <c r="NV1290"/>
      <c r="NW1290"/>
      <c r="NX1290"/>
      <c r="NY1290"/>
      <c r="NZ1290"/>
      <c r="OA1290"/>
      <c r="OB1290"/>
      <c r="OC1290"/>
      <c r="OD1290"/>
      <c r="OE1290"/>
      <c r="OF1290"/>
      <c r="OG1290"/>
      <c r="OH1290"/>
      <c r="OI1290"/>
      <c r="OJ1290"/>
      <c r="OK1290"/>
      <c r="OL1290"/>
      <c r="OM1290"/>
      <c r="ON1290"/>
      <c r="OO1290"/>
      <c r="OP1290"/>
      <c r="OQ1290"/>
      <c r="OR1290"/>
      <c r="OS1290"/>
      <c r="OT1290"/>
      <c r="OU1290"/>
      <c r="OV1290"/>
      <c r="OW1290"/>
      <c r="OX1290"/>
      <c r="OY1290"/>
      <c r="OZ1290"/>
      <c r="PA1290"/>
      <c r="PB1290"/>
      <c r="PC1290"/>
      <c r="PD1290"/>
      <c r="PE1290"/>
      <c r="PF1290"/>
      <c r="PG1290"/>
      <c r="PH1290"/>
      <c r="PI1290"/>
      <c r="PJ1290"/>
      <c r="PK1290"/>
      <c r="PL1290"/>
      <c r="PM1290"/>
      <c r="PN1290"/>
      <c r="PO1290"/>
      <c r="PP1290"/>
      <c r="PQ1290"/>
      <c r="PR1290"/>
      <c r="PS1290"/>
      <c r="PT1290"/>
      <c r="PU1290"/>
      <c r="PV1290"/>
      <c r="PW1290"/>
      <c r="PX1290"/>
      <c r="PY1290"/>
      <c r="PZ1290"/>
      <c r="QA1290"/>
      <c r="QB1290"/>
      <c r="QC1290"/>
      <c r="QD1290"/>
      <c r="QE1290"/>
      <c r="QF1290"/>
      <c r="QG1290"/>
      <c r="QH1290"/>
      <c r="QI1290"/>
      <c r="QJ1290"/>
      <c r="QK1290"/>
      <c r="QL1290"/>
      <c r="QM1290"/>
      <c r="QN1290"/>
      <c r="QO1290"/>
      <c r="QP1290"/>
      <c r="QQ1290"/>
      <c r="QR1290"/>
      <c r="QS1290"/>
      <c r="QT1290"/>
      <c r="QU1290"/>
      <c r="QV1290"/>
      <c r="QW1290"/>
      <c r="QX1290"/>
      <c r="QY1290"/>
      <c r="QZ1290"/>
      <c r="RA1290"/>
      <c r="RB1290"/>
      <c r="RC1290"/>
      <c r="RD1290"/>
      <c r="RE1290"/>
      <c r="RF1290"/>
      <c r="RG1290"/>
      <c r="RH1290"/>
      <c r="RI1290"/>
      <c r="RJ1290"/>
      <c r="RK1290"/>
      <c r="RL1290"/>
      <c r="RM1290"/>
      <c r="RN1290"/>
      <c r="RO1290"/>
      <c r="RP1290"/>
      <c r="RQ1290"/>
      <c r="RR1290"/>
      <c r="RS1290"/>
      <c r="RT1290"/>
      <c r="RU1290"/>
      <c r="RV1290"/>
      <c r="RW1290"/>
      <c r="RX1290"/>
      <c r="RY1290"/>
      <c r="RZ1290"/>
      <c r="SA1290"/>
      <c r="SB1290"/>
      <c r="SC1290"/>
      <c r="SD1290"/>
      <c r="SE1290"/>
      <c r="SF1290"/>
      <c r="SG1290"/>
      <c r="SH1290"/>
      <c r="SI1290"/>
      <c r="SJ1290"/>
      <c r="SK1290"/>
      <c r="SL1290"/>
      <c r="SM1290"/>
      <c r="SN1290"/>
      <c r="SO1290"/>
      <c r="SP1290"/>
      <c r="SQ1290"/>
      <c r="SR1290"/>
      <c r="SS1290"/>
      <c r="ST1290"/>
      <c r="SU1290"/>
      <c r="SV1290"/>
      <c r="SW1290"/>
      <c r="SX1290"/>
      <c r="SY1290"/>
      <c r="SZ1290"/>
      <c r="TA1290"/>
      <c r="TB1290"/>
      <c r="TC1290"/>
      <c r="TD1290"/>
      <c r="TE1290"/>
      <c r="TF1290"/>
      <c r="TG1290"/>
      <c r="TH1290"/>
      <c r="TI1290"/>
      <c r="TJ1290"/>
      <c r="TK1290"/>
      <c r="TL1290"/>
      <c r="TM1290"/>
      <c r="TN1290"/>
      <c r="TO1290"/>
      <c r="TP1290"/>
      <c r="TQ1290"/>
      <c r="TR1290"/>
      <c r="TS1290"/>
      <c r="TT1290"/>
      <c r="TU1290"/>
      <c r="TV1290"/>
      <c r="TW1290"/>
      <c r="TX1290"/>
      <c r="TY1290"/>
      <c r="TZ1290"/>
      <c r="UA1290"/>
      <c r="UB1290"/>
      <c r="UC1290"/>
      <c r="UD1290"/>
      <c r="UE1290"/>
      <c r="UF1290"/>
      <c r="UG1290"/>
      <c r="UH1290"/>
      <c r="UI1290"/>
      <c r="UJ1290"/>
      <c r="UK1290"/>
      <c r="UL1290"/>
      <c r="UM1290"/>
      <c r="UN1290"/>
      <c r="UO1290"/>
      <c r="UP1290"/>
      <c r="UQ1290"/>
      <c r="UR1290"/>
      <c r="US1290"/>
      <c r="UT1290"/>
      <c r="UU1290"/>
      <c r="UV1290"/>
      <c r="UW1290"/>
      <c r="UX1290"/>
      <c r="UY1290"/>
      <c r="UZ1290"/>
      <c r="VA1290"/>
      <c r="VB1290"/>
      <c r="VC1290"/>
      <c r="VD1290"/>
      <c r="VE1290"/>
      <c r="VF1290"/>
      <c r="VG1290"/>
      <c r="VH1290"/>
      <c r="VI1290"/>
      <c r="VJ1290"/>
      <c r="VK1290"/>
      <c r="VL1290"/>
      <c r="VM1290"/>
      <c r="VN1290"/>
      <c r="VO1290"/>
      <c r="VP1290"/>
      <c r="VQ1290"/>
      <c r="VR1290"/>
      <c r="VS1290"/>
      <c r="VT1290"/>
      <c r="VU1290"/>
      <c r="VV1290"/>
      <c r="VW1290"/>
      <c r="VX1290"/>
      <c r="VY1290"/>
      <c r="VZ1290"/>
      <c r="WA1290"/>
      <c r="WB1290"/>
      <c r="WC1290"/>
      <c r="WD1290"/>
      <c r="WE1290"/>
      <c r="WF1290"/>
      <c r="WG1290"/>
      <c r="WH1290"/>
      <c r="WI1290"/>
      <c r="WJ1290"/>
      <c r="WK1290"/>
      <c r="WL1290"/>
      <c r="WM1290"/>
      <c r="WN1290"/>
      <c r="WO1290"/>
      <c r="WP1290"/>
      <c r="WQ1290"/>
      <c r="WR1290"/>
      <c r="WS1290"/>
      <c r="WT1290"/>
      <c r="WU1290"/>
      <c r="WV1290"/>
      <c r="WW1290"/>
      <c r="WX1290"/>
      <c r="WY1290"/>
      <c r="WZ1290"/>
      <c r="XA1290"/>
      <c r="XB1290"/>
      <c r="XC1290"/>
      <c r="XD1290"/>
      <c r="XE1290"/>
      <c r="XF1290"/>
      <c r="XG1290"/>
      <c r="XH1290"/>
      <c r="XI1290"/>
      <c r="XJ1290"/>
      <c r="XK1290"/>
      <c r="XL1290"/>
      <c r="XM1290"/>
      <c r="XN1290"/>
      <c r="XO1290"/>
      <c r="XP1290"/>
      <c r="XQ1290"/>
      <c r="XR1290"/>
      <c r="XS1290"/>
      <c r="XT1290"/>
      <c r="XU1290"/>
      <c r="XV1290"/>
      <c r="XW1290"/>
      <c r="XX1290"/>
      <c r="XY1290"/>
      <c r="XZ1290"/>
      <c r="YA1290"/>
      <c r="YB1290"/>
      <c r="YC1290"/>
      <c r="YD1290"/>
      <c r="YE1290"/>
      <c r="YF1290"/>
      <c r="YG1290"/>
      <c r="YH1290"/>
      <c r="YI1290"/>
      <c r="YJ1290"/>
      <c r="YK1290"/>
      <c r="YL1290"/>
      <c r="YM1290"/>
      <c r="YN1290"/>
      <c r="YO1290"/>
      <c r="YP1290"/>
      <c r="YQ1290"/>
      <c r="YR1290"/>
      <c r="YS1290"/>
      <c r="YT1290"/>
      <c r="YU1290"/>
      <c r="YV1290"/>
      <c r="YW1290"/>
      <c r="YX1290"/>
      <c r="YY1290"/>
      <c r="YZ1290"/>
      <c r="ZA1290"/>
      <c r="ZB1290"/>
      <c r="ZC1290"/>
      <c r="ZD1290"/>
      <c r="ZE1290"/>
      <c r="ZF1290"/>
      <c r="ZG1290"/>
      <c r="ZH1290"/>
      <c r="ZI1290"/>
      <c r="ZJ1290"/>
      <c r="ZK1290"/>
      <c r="ZL1290"/>
      <c r="ZM1290"/>
      <c r="ZN1290"/>
      <c r="ZO1290"/>
      <c r="ZP1290"/>
      <c r="ZQ1290"/>
      <c r="ZR1290"/>
      <c r="ZS1290"/>
      <c r="ZT1290"/>
      <c r="ZU1290"/>
      <c r="ZV1290"/>
      <c r="ZW1290"/>
      <c r="ZX1290"/>
      <c r="ZY1290"/>
      <c r="ZZ1290"/>
      <c r="AAA1290"/>
      <c r="AAB1290"/>
      <c r="AAC1290"/>
      <c r="AAD1290"/>
      <c r="AAE1290"/>
      <c r="AAF1290"/>
      <c r="AAG1290"/>
      <c r="AAH1290"/>
      <c r="AAI1290"/>
      <c r="AAJ1290"/>
      <c r="AAK1290"/>
      <c r="AAL1290"/>
      <c r="AAM1290"/>
      <c r="AAN1290"/>
      <c r="AAO1290"/>
      <c r="AAP1290"/>
      <c r="AAQ1290"/>
      <c r="AAR1290"/>
      <c r="AAS1290"/>
      <c r="AAT1290"/>
      <c r="AAU1290"/>
      <c r="AAV1290"/>
      <c r="AAW1290"/>
      <c r="AAX1290"/>
      <c r="AAY1290"/>
      <c r="AAZ1290"/>
      <c r="ABA1290"/>
      <c r="ABB1290"/>
      <c r="ABC1290"/>
      <c r="ABD1290"/>
      <c r="ABE1290"/>
      <c r="ABF1290"/>
      <c r="ABG1290"/>
      <c r="ABH1290"/>
      <c r="ABI1290"/>
      <c r="ABJ1290"/>
      <c r="ABK1290"/>
      <c r="ABL1290"/>
      <c r="ABM1290"/>
      <c r="ABN1290"/>
      <c r="ABO1290"/>
      <c r="ABP1290"/>
      <c r="ABQ1290"/>
      <c r="ABR1290"/>
      <c r="ABS1290"/>
      <c r="ABT1290"/>
      <c r="ABU1290"/>
      <c r="ABV1290"/>
      <c r="ABW1290"/>
      <c r="ABX1290"/>
      <c r="ABY1290"/>
      <c r="ABZ1290"/>
      <c r="ACA1290"/>
      <c r="ACB1290"/>
      <c r="ACC1290"/>
      <c r="ACD1290"/>
      <c r="ACE1290"/>
      <c r="ACF1290"/>
      <c r="ACG1290"/>
      <c r="ACH1290"/>
      <c r="ACI1290"/>
      <c r="ACJ1290"/>
      <c r="ACK1290"/>
      <c r="ACL1290"/>
      <c r="ACM1290"/>
      <c r="ACN1290"/>
      <c r="ACO1290"/>
      <c r="ACP1290"/>
      <c r="ACQ1290"/>
      <c r="ACR1290"/>
      <c r="ACS1290"/>
      <c r="ACT1290"/>
      <c r="ACU1290"/>
      <c r="ACV1290"/>
      <c r="ACW1290"/>
      <c r="ACX1290"/>
      <c r="ACY1290"/>
      <c r="ACZ1290"/>
      <c r="ADA1290"/>
      <c r="ADB1290"/>
      <c r="ADC1290"/>
      <c r="ADD1290"/>
      <c r="ADE1290"/>
      <c r="ADF1290"/>
      <c r="ADG1290"/>
      <c r="ADH1290"/>
      <c r="ADI1290"/>
      <c r="ADJ1290"/>
      <c r="ADK1290"/>
      <c r="ADL1290"/>
      <c r="ADM1290"/>
      <c r="ADN1290"/>
      <c r="ADO1290"/>
      <c r="ADP1290"/>
      <c r="ADQ1290"/>
      <c r="ADR1290"/>
      <c r="ADS1290"/>
      <c r="ADT1290"/>
      <c r="ADU1290"/>
      <c r="ADV1290"/>
      <c r="ADW1290"/>
      <c r="ADX1290"/>
      <c r="ADY1290"/>
      <c r="ADZ1290"/>
      <c r="AEA1290"/>
      <c r="AEB1290"/>
      <c r="AEC1290"/>
      <c r="AED1290"/>
      <c r="AEE1290"/>
      <c r="AEF1290"/>
      <c r="AEG1290"/>
      <c r="AEH1290"/>
      <c r="AEI1290"/>
      <c r="AEJ1290"/>
      <c r="AEK1290"/>
      <c r="AEL1290"/>
      <c r="AEM1290"/>
      <c r="AEN1290"/>
      <c r="AEO1290"/>
      <c r="AEP1290"/>
      <c r="AEQ1290"/>
      <c r="AER1290"/>
      <c r="AES1290"/>
      <c r="AET1290"/>
      <c r="AEU1290"/>
      <c r="AEV1290"/>
      <c r="AEW1290"/>
      <c r="AEX1290"/>
      <c r="AEY1290"/>
      <c r="AEZ1290"/>
      <c r="AFA1290"/>
      <c r="AFB1290"/>
      <c r="AFC1290"/>
      <c r="AFD1290"/>
      <c r="AFE1290"/>
      <c r="AFF1290"/>
      <c r="AFG1290"/>
      <c r="AFH1290"/>
      <c r="AFI1290"/>
      <c r="AFJ1290"/>
      <c r="AFK1290"/>
      <c r="AFL1290"/>
      <c r="AFM1290"/>
      <c r="AFN1290"/>
      <c r="AFO1290"/>
      <c r="AFP1290"/>
      <c r="AFQ1290"/>
      <c r="AFR1290"/>
      <c r="AFS1290"/>
      <c r="AFT1290"/>
      <c r="AFU1290"/>
      <c r="AFV1290"/>
      <c r="AFW1290"/>
      <c r="AFX1290"/>
      <c r="AFY1290"/>
      <c r="AFZ1290"/>
      <c r="AGA1290"/>
      <c r="AGB1290"/>
      <c r="AGC1290"/>
      <c r="AGD1290"/>
      <c r="AGE1290"/>
      <c r="AGF1290"/>
      <c r="AGG1290"/>
      <c r="AGH1290"/>
      <c r="AGI1290"/>
      <c r="AGJ1290"/>
      <c r="AGK1290"/>
      <c r="AGL1290"/>
      <c r="AGM1290"/>
      <c r="AGN1290"/>
      <c r="AGO1290"/>
      <c r="AGP1290"/>
      <c r="AGQ1290"/>
      <c r="AGR1290"/>
      <c r="AGS1290"/>
      <c r="AGT1290"/>
      <c r="AGU1290"/>
      <c r="AGV1290"/>
      <c r="AGW1290"/>
      <c r="AGX1290"/>
      <c r="AGY1290"/>
      <c r="AGZ1290"/>
      <c r="AHA1290"/>
      <c r="AHB1290"/>
      <c r="AHC1290"/>
      <c r="AHD1290"/>
      <c r="AHE1290"/>
      <c r="AHF1290"/>
      <c r="AHG1290"/>
      <c r="AHH1290"/>
      <c r="AHI1290"/>
      <c r="AHJ1290"/>
      <c r="AHK1290"/>
      <c r="AHL1290"/>
      <c r="AHM1290"/>
      <c r="AHN1290"/>
      <c r="AHO1290"/>
      <c r="AHP1290"/>
      <c r="AHQ1290"/>
      <c r="AHR1290"/>
      <c r="AHS1290"/>
      <c r="AHT1290"/>
      <c r="AHU1290"/>
      <c r="AHV1290"/>
      <c r="AHW1290"/>
      <c r="AHX1290"/>
      <c r="AHY1290"/>
      <c r="AHZ1290"/>
      <c r="AIA1290"/>
      <c r="AIB1290"/>
      <c r="AIC1290"/>
      <c r="AID1290"/>
      <c r="AIE1290"/>
      <c r="AIF1290"/>
      <c r="AIG1290"/>
      <c r="AIH1290"/>
      <c r="AII1290"/>
      <c r="AIJ1290"/>
      <c r="AIK1290"/>
      <c r="AIL1290"/>
      <c r="AIM1290"/>
      <c r="AIN1290"/>
      <c r="AIO1290"/>
      <c r="AIP1290"/>
      <c r="AIQ1290"/>
      <c r="AIR1290"/>
      <c r="AIS1290"/>
      <c r="AIT1290"/>
      <c r="AIU1290"/>
      <c r="AIV1290"/>
      <c r="AIW1290"/>
      <c r="AIX1290"/>
      <c r="AIY1290"/>
      <c r="AIZ1290"/>
      <c r="AJA1290"/>
      <c r="AJB1290"/>
      <c r="AJC1290"/>
      <c r="AJD1290"/>
      <c r="AJE1290"/>
      <c r="AJF1290"/>
      <c r="AJG1290"/>
      <c r="AJH1290"/>
      <c r="AJI1290"/>
      <c r="AJJ1290"/>
      <c r="AJK1290"/>
      <c r="AJL1290"/>
      <c r="AJM1290"/>
      <c r="AJN1290"/>
      <c r="AJO1290"/>
      <c r="AJP1290"/>
      <c r="AJQ1290"/>
      <c r="AJR1290"/>
      <c r="AJS1290"/>
      <c r="AJT1290"/>
      <c r="AJU1290"/>
      <c r="AJV1290"/>
      <c r="AJW1290"/>
      <c r="AJX1290"/>
      <c r="AJY1290"/>
      <c r="AJZ1290"/>
      <c r="AKA1290"/>
      <c r="AKB1290"/>
      <c r="AKC1290"/>
      <c r="AKD1290"/>
      <c r="AKE1290"/>
      <c r="AKF1290"/>
      <c r="AKG1290"/>
      <c r="AKH1290"/>
      <c r="AKI1290"/>
      <c r="AKJ1290"/>
      <c r="AKK1290"/>
      <c r="AKL1290"/>
      <c r="AKM1290"/>
      <c r="AKN1290"/>
      <c r="AKO1290"/>
      <c r="AKP1290"/>
      <c r="AKQ1290"/>
      <c r="AKR1290"/>
      <c r="AKS1290"/>
      <c r="AKT1290"/>
      <c r="AKU1290"/>
      <c r="AKV1290"/>
      <c r="AKW1290"/>
      <c r="AKX1290"/>
      <c r="AKY1290"/>
      <c r="AKZ1290"/>
      <c r="ALA1290"/>
      <c r="ALB1290"/>
      <c r="ALC1290"/>
      <c r="ALD1290"/>
      <c r="ALE1290"/>
      <c r="ALF1290"/>
      <c r="ALG1290"/>
      <c r="ALH1290"/>
      <c r="ALI1290"/>
      <c r="ALJ1290"/>
      <c r="ALK1290"/>
      <c r="ALL1290"/>
      <c r="ALM1290"/>
      <c r="ALN1290"/>
      <c r="ALO1290"/>
      <c r="ALP1290"/>
      <c r="ALQ1290"/>
      <c r="ALR1290"/>
      <c r="ALS1290"/>
      <c r="ALT1290"/>
    </row>
    <row r="1291" spans="1:1008" x14ac:dyDescent="0.15">
      <c r="A1291" t="s">
        <v>4045</v>
      </c>
      <c r="B1291" s="8" t="s">
        <v>4079</v>
      </c>
      <c r="C1291" t="s">
        <v>4045</v>
      </c>
      <c r="D1291" s="8" t="s">
        <v>15</v>
      </c>
      <c r="E1291" t="s">
        <v>4045</v>
      </c>
      <c r="F1291" t="s">
        <v>4046</v>
      </c>
      <c r="G1291">
        <v>500</v>
      </c>
      <c r="H1291"/>
      <c r="I1291"/>
      <c r="J1291"/>
      <c r="K1291"/>
      <c r="L1291"/>
      <c r="M1291"/>
      <c r="N1291"/>
      <c r="O1291"/>
      <c r="P1291"/>
      <c r="Q1291"/>
      <c r="R1291"/>
      <c r="S1291"/>
      <c r="T1291"/>
      <c r="U1291"/>
      <c r="V1291"/>
      <c r="W1291"/>
      <c r="X1291"/>
      <c r="Y1291"/>
      <c r="Z1291"/>
      <c r="AA1291"/>
      <c r="AB1291"/>
      <c r="AC1291"/>
      <c r="AD1291"/>
      <c r="AE1291"/>
      <c r="AF1291"/>
      <c r="AG1291"/>
      <c r="AH1291"/>
      <c r="AI1291"/>
      <c r="AJ1291"/>
      <c r="AK1291"/>
      <c r="AL1291"/>
      <c r="AM1291"/>
      <c r="AN1291"/>
      <c r="AO1291"/>
      <c r="AP1291"/>
      <c r="AQ1291"/>
      <c r="AR1291"/>
      <c r="AS1291"/>
      <c r="AT1291"/>
      <c r="AU1291"/>
      <c r="AV1291"/>
      <c r="AW1291"/>
      <c r="AX1291"/>
      <c r="AY1291"/>
      <c r="AZ1291"/>
      <c r="BA1291"/>
      <c r="BB1291"/>
      <c r="BC1291"/>
      <c r="BD1291"/>
      <c r="BE1291"/>
      <c r="BF1291"/>
      <c r="BG1291"/>
      <c r="BH1291"/>
      <c r="BI1291"/>
      <c r="BJ1291"/>
      <c r="BK1291"/>
      <c r="BL1291"/>
      <c r="BM1291"/>
      <c r="BN1291"/>
      <c r="BO1291"/>
      <c r="BP1291"/>
      <c r="BQ1291"/>
      <c r="BR1291"/>
      <c r="BS1291"/>
      <c r="BT1291"/>
      <c r="BU1291"/>
      <c r="BV1291"/>
      <c r="BW1291"/>
      <c r="BX1291"/>
      <c r="BY1291"/>
      <c r="BZ1291"/>
      <c r="CA1291"/>
      <c r="CB1291"/>
      <c r="CC1291"/>
      <c r="CD1291"/>
      <c r="CE1291"/>
      <c r="CF1291"/>
      <c r="CG1291"/>
      <c r="CH1291"/>
      <c r="CI1291"/>
      <c r="CJ1291"/>
      <c r="CK1291"/>
      <c r="CL1291"/>
      <c r="CM1291"/>
      <c r="CN1291"/>
      <c r="CO1291"/>
      <c r="CP1291"/>
      <c r="CQ1291"/>
      <c r="CR1291"/>
      <c r="CS1291"/>
      <c r="CT1291"/>
      <c r="CU1291"/>
      <c r="CV1291"/>
      <c r="CW1291"/>
      <c r="CX1291"/>
      <c r="CY1291"/>
      <c r="CZ1291"/>
      <c r="DA1291"/>
      <c r="DB1291"/>
      <c r="DC1291"/>
      <c r="DD1291"/>
      <c r="DE1291"/>
      <c r="DF1291"/>
      <c r="DG1291"/>
      <c r="DH1291"/>
      <c r="DI1291"/>
      <c r="DJ1291"/>
      <c r="DK1291"/>
      <c r="DL1291"/>
      <c r="DM1291"/>
      <c r="DN1291"/>
      <c r="DO1291"/>
      <c r="DP1291"/>
      <c r="DQ1291"/>
      <c r="DR1291"/>
      <c r="DS1291"/>
      <c r="DT1291"/>
      <c r="DU1291"/>
      <c r="DV1291"/>
      <c r="DW1291"/>
      <c r="DX1291"/>
      <c r="DY1291"/>
      <c r="DZ1291"/>
      <c r="EA1291"/>
      <c r="EB1291"/>
      <c r="EC1291"/>
      <c r="ED1291"/>
      <c r="EE1291"/>
      <c r="EF1291"/>
      <c r="EG1291"/>
      <c r="EH1291"/>
      <c r="EI1291"/>
      <c r="EJ1291"/>
      <c r="EK1291"/>
      <c r="EL1291"/>
      <c r="EM1291"/>
      <c r="EN1291"/>
      <c r="EO1291"/>
      <c r="EP1291"/>
      <c r="EQ1291"/>
      <c r="ER1291"/>
      <c r="ES1291"/>
      <c r="ET1291"/>
      <c r="EU1291"/>
      <c r="EV1291"/>
      <c r="EW1291"/>
      <c r="EX1291"/>
      <c r="EY1291"/>
      <c r="EZ1291"/>
      <c r="FA1291"/>
      <c r="FB1291"/>
      <c r="FC1291"/>
      <c r="FD1291"/>
      <c r="FE1291"/>
      <c r="FF1291"/>
      <c r="FG1291"/>
      <c r="FH1291"/>
      <c r="FI1291"/>
      <c r="FJ1291"/>
      <c r="FK1291"/>
      <c r="FL1291"/>
      <c r="FM1291"/>
      <c r="FN1291"/>
      <c r="FO1291"/>
      <c r="FP1291"/>
      <c r="FQ1291"/>
      <c r="FR1291"/>
      <c r="FS1291"/>
      <c r="FT1291"/>
      <c r="FU1291"/>
      <c r="FV1291"/>
      <c r="FW1291"/>
      <c r="FX1291"/>
      <c r="FY1291"/>
      <c r="FZ1291"/>
      <c r="GA1291"/>
      <c r="GB1291"/>
      <c r="GC1291"/>
      <c r="GD1291"/>
      <c r="GE1291"/>
      <c r="GF1291"/>
      <c r="GG1291"/>
      <c r="GH1291"/>
      <c r="GI1291"/>
      <c r="GJ1291"/>
      <c r="GK1291"/>
      <c r="GL1291"/>
      <c r="GM1291"/>
      <c r="GN1291"/>
      <c r="GO1291"/>
      <c r="GP1291"/>
      <c r="GQ1291"/>
      <c r="GR1291"/>
      <c r="GS1291"/>
      <c r="GT1291"/>
      <c r="GU1291"/>
      <c r="GV1291"/>
      <c r="GW1291"/>
      <c r="GX1291"/>
      <c r="GY1291"/>
      <c r="GZ1291"/>
      <c r="HA1291"/>
      <c r="HB1291"/>
      <c r="HC1291"/>
      <c r="HD1291"/>
      <c r="HE1291"/>
      <c r="HF1291"/>
      <c r="HG1291"/>
      <c r="HH1291"/>
      <c r="HI1291"/>
      <c r="HJ1291"/>
      <c r="HK1291"/>
      <c r="HL1291"/>
      <c r="HM1291"/>
      <c r="HN1291"/>
      <c r="HO1291"/>
      <c r="HP1291"/>
      <c r="HQ1291"/>
      <c r="HR1291"/>
      <c r="HS1291"/>
      <c r="HT1291"/>
      <c r="HU1291"/>
      <c r="HV1291"/>
      <c r="HW1291"/>
      <c r="HX1291"/>
      <c r="HY1291"/>
      <c r="HZ1291"/>
      <c r="IA1291"/>
      <c r="IB1291"/>
      <c r="IC1291"/>
      <c r="ID1291"/>
      <c r="IE1291"/>
      <c r="IF1291"/>
      <c r="IG1291"/>
      <c r="IH1291"/>
      <c r="II1291"/>
      <c r="IJ1291"/>
      <c r="IK1291"/>
      <c r="IL1291"/>
      <c r="IM1291"/>
      <c r="IN1291"/>
      <c r="IO1291"/>
      <c r="IP1291"/>
      <c r="IQ1291"/>
      <c r="IR1291"/>
      <c r="IS1291"/>
      <c r="IT1291"/>
      <c r="IU1291"/>
      <c r="IV1291"/>
      <c r="IW1291"/>
      <c r="IX1291"/>
      <c r="IY1291"/>
      <c r="IZ1291"/>
      <c r="JA1291"/>
      <c r="JB1291"/>
      <c r="JC1291"/>
      <c r="JD1291"/>
      <c r="JE1291"/>
      <c r="JF1291"/>
      <c r="JG1291"/>
      <c r="JH1291"/>
      <c r="JI1291"/>
      <c r="JJ1291"/>
      <c r="JK1291"/>
      <c r="JL1291"/>
      <c r="JM1291"/>
      <c r="JN1291"/>
      <c r="JO1291"/>
      <c r="JP1291"/>
      <c r="JQ1291"/>
      <c r="JR1291"/>
      <c r="JS1291"/>
      <c r="JT1291"/>
      <c r="JU1291"/>
      <c r="JV1291"/>
      <c r="JW1291"/>
      <c r="JX1291"/>
      <c r="JY1291"/>
      <c r="JZ1291"/>
      <c r="KA1291"/>
      <c r="KB1291"/>
      <c r="KC1291"/>
      <c r="KD1291"/>
      <c r="KE1291"/>
      <c r="KF1291"/>
      <c r="KG1291"/>
      <c r="KH1291"/>
      <c r="KI1291"/>
      <c r="KJ1291"/>
      <c r="KK1291"/>
      <c r="KL1291"/>
      <c r="KM1291"/>
      <c r="KN1291"/>
      <c r="KO1291"/>
      <c r="KP1291"/>
      <c r="KQ1291"/>
      <c r="KR1291"/>
      <c r="KS1291"/>
      <c r="KT1291"/>
      <c r="KU1291"/>
      <c r="KV1291"/>
      <c r="KW1291"/>
      <c r="KX1291"/>
      <c r="KY1291"/>
      <c r="KZ1291"/>
      <c r="LA1291"/>
      <c r="LB1291"/>
      <c r="LC1291"/>
      <c r="LD1291"/>
      <c r="LE1291"/>
      <c r="LF1291"/>
      <c r="LG1291"/>
      <c r="LH1291"/>
      <c r="LI1291"/>
      <c r="LJ1291"/>
      <c r="LK1291"/>
      <c r="LL1291"/>
      <c r="LM1291"/>
      <c r="LN1291"/>
      <c r="LO1291"/>
      <c r="LP1291"/>
      <c r="LQ1291"/>
      <c r="LR1291"/>
      <c r="LS1291"/>
      <c r="LT1291"/>
      <c r="LU1291"/>
      <c r="LV1291"/>
      <c r="LW1291"/>
      <c r="LX1291"/>
      <c r="LY1291"/>
      <c r="LZ1291"/>
      <c r="MA1291"/>
      <c r="MB1291"/>
      <c r="MC1291"/>
      <c r="MD1291"/>
      <c r="ME1291"/>
      <c r="MF1291"/>
      <c r="MG1291"/>
      <c r="MH1291"/>
      <c r="MI1291"/>
      <c r="MJ1291"/>
      <c r="MK1291"/>
      <c r="ML1291"/>
      <c r="MM1291"/>
      <c r="MN1291"/>
      <c r="MO1291"/>
      <c r="MP1291"/>
      <c r="MQ1291"/>
      <c r="MR1291"/>
      <c r="MS1291"/>
      <c r="MT1291"/>
      <c r="MU1291"/>
      <c r="MV1291"/>
      <c r="MW1291"/>
      <c r="MX1291"/>
      <c r="MY1291"/>
      <c r="MZ1291"/>
      <c r="NA1291"/>
      <c r="NB1291"/>
      <c r="NC1291"/>
      <c r="ND1291"/>
      <c r="NE1291"/>
      <c r="NF1291"/>
      <c r="NG1291"/>
      <c r="NH1291"/>
      <c r="NI1291"/>
      <c r="NJ1291"/>
      <c r="NK1291"/>
      <c r="NL1291"/>
      <c r="NM1291"/>
      <c r="NN1291"/>
      <c r="NO1291"/>
      <c r="NP1291"/>
      <c r="NQ1291"/>
      <c r="NR1291"/>
      <c r="NS1291"/>
      <c r="NT1291"/>
      <c r="NU1291"/>
      <c r="NV1291"/>
      <c r="NW1291"/>
      <c r="NX1291"/>
      <c r="NY1291"/>
      <c r="NZ1291"/>
      <c r="OA1291"/>
      <c r="OB1291"/>
      <c r="OC1291"/>
      <c r="OD1291"/>
      <c r="OE1291"/>
      <c r="OF1291"/>
      <c r="OG1291"/>
      <c r="OH1291"/>
      <c r="OI1291"/>
      <c r="OJ1291"/>
      <c r="OK1291"/>
      <c r="OL1291"/>
      <c r="OM1291"/>
      <c r="ON1291"/>
      <c r="OO1291"/>
      <c r="OP1291"/>
      <c r="OQ1291"/>
      <c r="OR1291"/>
      <c r="OS1291"/>
      <c r="OT1291"/>
      <c r="OU1291"/>
      <c r="OV1291"/>
      <c r="OW1291"/>
      <c r="OX1291"/>
      <c r="OY1291"/>
      <c r="OZ1291"/>
      <c r="PA1291"/>
      <c r="PB1291"/>
      <c r="PC1291"/>
      <c r="PD1291"/>
      <c r="PE1291"/>
      <c r="PF1291"/>
      <c r="PG1291"/>
      <c r="PH1291"/>
      <c r="PI1291"/>
      <c r="PJ1291"/>
      <c r="PK1291"/>
      <c r="PL1291"/>
      <c r="PM1291"/>
      <c r="PN1291"/>
      <c r="PO1291"/>
      <c r="PP1291"/>
      <c r="PQ1291"/>
      <c r="PR1291"/>
      <c r="PS1291"/>
      <c r="PT1291"/>
      <c r="PU1291"/>
      <c r="PV1291"/>
      <c r="PW1291"/>
      <c r="PX1291"/>
      <c r="PY1291"/>
      <c r="PZ1291"/>
      <c r="QA1291"/>
      <c r="QB1291"/>
      <c r="QC1291"/>
      <c r="QD1291"/>
      <c r="QE1291"/>
      <c r="QF1291"/>
      <c r="QG1291"/>
      <c r="QH1291"/>
      <c r="QI1291"/>
      <c r="QJ1291"/>
      <c r="QK1291"/>
      <c r="QL1291"/>
      <c r="QM1291"/>
      <c r="QN1291"/>
      <c r="QO1291"/>
      <c r="QP1291"/>
      <c r="QQ1291"/>
      <c r="QR1291"/>
      <c r="QS1291"/>
      <c r="QT1291"/>
      <c r="QU1291"/>
      <c r="QV1291"/>
      <c r="QW1291"/>
      <c r="QX1291"/>
      <c r="QY1291"/>
      <c r="QZ1291"/>
      <c r="RA1291"/>
      <c r="RB1291"/>
      <c r="RC1291"/>
      <c r="RD1291"/>
      <c r="RE1291"/>
      <c r="RF1291"/>
      <c r="RG1291"/>
      <c r="RH1291"/>
      <c r="RI1291"/>
      <c r="RJ1291"/>
      <c r="RK1291"/>
      <c r="RL1291"/>
      <c r="RM1291"/>
      <c r="RN1291"/>
      <c r="RO1291"/>
      <c r="RP1291"/>
      <c r="RQ1291"/>
      <c r="RR1291"/>
      <c r="RS1291"/>
      <c r="RT1291"/>
      <c r="RU1291"/>
      <c r="RV1291"/>
      <c r="RW1291"/>
      <c r="RX1291"/>
      <c r="RY1291"/>
      <c r="RZ1291"/>
      <c r="SA1291"/>
      <c r="SB1291"/>
      <c r="SC1291"/>
      <c r="SD1291"/>
      <c r="SE1291"/>
      <c r="SF1291"/>
      <c r="SG1291"/>
      <c r="SH1291"/>
      <c r="SI1291"/>
      <c r="SJ1291"/>
      <c r="SK1291"/>
      <c r="SL1291"/>
      <c r="SM1291"/>
      <c r="SN1291"/>
      <c r="SO1291"/>
      <c r="SP1291"/>
      <c r="SQ1291"/>
      <c r="SR1291"/>
      <c r="SS1291"/>
      <c r="ST1291"/>
      <c r="SU1291"/>
      <c r="SV1291"/>
      <c r="SW1291"/>
      <c r="SX1291"/>
      <c r="SY1291"/>
      <c r="SZ1291"/>
      <c r="TA1291"/>
      <c r="TB1291"/>
      <c r="TC1291"/>
      <c r="TD1291"/>
      <c r="TE1291"/>
      <c r="TF1291"/>
      <c r="TG1291"/>
      <c r="TH1291"/>
      <c r="TI1291"/>
      <c r="TJ1291"/>
      <c r="TK1291"/>
      <c r="TL1291"/>
      <c r="TM1291"/>
      <c r="TN1291"/>
      <c r="TO1291"/>
      <c r="TP1291"/>
      <c r="TQ1291"/>
      <c r="TR1291"/>
      <c r="TS1291"/>
      <c r="TT1291"/>
      <c r="TU1291"/>
      <c r="TV1291"/>
      <c r="TW1291"/>
      <c r="TX1291"/>
      <c r="TY1291"/>
      <c r="TZ1291"/>
      <c r="UA1291"/>
      <c r="UB1291"/>
      <c r="UC1291"/>
      <c r="UD1291"/>
      <c r="UE1291"/>
      <c r="UF1291"/>
      <c r="UG1291"/>
      <c r="UH1291"/>
      <c r="UI1291"/>
      <c r="UJ1291"/>
      <c r="UK1291"/>
      <c r="UL1291"/>
      <c r="UM1291"/>
      <c r="UN1291"/>
      <c r="UO1291"/>
      <c r="UP1291"/>
      <c r="UQ1291"/>
      <c r="UR1291"/>
      <c r="US1291"/>
      <c r="UT1291"/>
      <c r="UU1291"/>
      <c r="UV1291"/>
      <c r="UW1291"/>
      <c r="UX1291"/>
      <c r="UY1291"/>
      <c r="UZ1291"/>
      <c r="VA1291"/>
      <c r="VB1291"/>
      <c r="VC1291"/>
      <c r="VD1291"/>
      <c r="VE1291"/>
      <c r="VF1291"/>
      <c r="VG1291"/>
      <c r="VH1291"/>
      <c r="VI1291"/>
      <c r="VJ1291"/>
      <c r="VK1291"/>
      <c r="VL1291"/>
      <c r="VM1291"/>
      <c r="VN1291"/>
      <c r="VO1291"/>
      <c r="VP1291"/>
      <c r="VQ1291"/>
      <c r="VR1291"/>
      <c r="VS1291"/>
      <c r="VT1291"/>
      <c r="VU1291"/>
      <c r="VV1291"/>
      <c r="VW1291"/>
      <c r="VX1291"/>
      <c r="VY1291"/>
      <c r="VZ1291"/>
      <c r="WA1291"/>
      <c r="WB1291"/>
      <c r="WC1291"/>
      <c r="WD1291"/>
      <c r="WE1291"/>
      <c r="WF1291"/>
      <c r="WG1291"/>
      <c r="WH1291"/>
      <c r="WI1291"/>
      <c r="WJ1291"/>
      <c r="WK1291"/>
      <c r="WL1291"/>
      <c r="WM1291"/>
      <c r="WN1291"/>
      <c r="WO1291"/>
      <c r="WP1291"/>
      <c r="WQ1291"/>
      <c r="WR1291"/>
      <c r="WS1291"/>
      <c r="WT1291"/>
      <c r="WU1291"/>
      <c r="WV1291"/>
      <c r="WW1291"/>
      <c r="WX1291"/>
      <c r="WY1291"/>
      <c r="WZ1291"/>
      <c r="XA1291"/>
      <c r="XB1291"/>
      <c r="XC1291"/>
      <c r="XD1291"/>
      <c r="XE1291"/>
      <c r="XF1291"/>
      <c r="XG1291"/>
      <c r="XH1291"/>
      <c r="XI1291"/>
      <c r="XJ1291"/>
      <c r="XK1291"/>
      <c r="XL1291"/>
      <c r="XM1291"/>
      <c r="XN1291"/>
      <c r="XO1291"/>
      <c r="XP1291"/>
      <c r="XQ1291"/>
      <c r="XR1291"/>
      <c r="XS1291"/>
      <c r="XT1291"/>
      <c r="XU1291"/>
      <c r="XV1291"/>
      <c r="XW1291"/>
      <c r="XX1291"/>
      <c r="XY1291"/>
      <c r="XZ1291"/>
      <c r="YA1291"/>
      <c r="YB1291"/>
      <c r="YC1291"/>
      <c r="YD1291"/>
      <c r="YE1291"/>
      <c r="YF1291"/>
      <c r="YG1291"/>
      <c r="YH1291"/>
      <c r="YI1291"/>
      <c r="YJ1291"/>
      <c r="YK1291"/>
      <c r="YL1291"/>
      <c r="YM1291"/>
      <c r="YN1291"/>
      <c r="YO1291"/>
      <c r="YP1291"/>
      <c r="YQ1291"/>
      <c r="YR1291"/>
      <c r="YS1291"/>
      <c r="YT1291"/>
      <c r="YU1291"/>
      <c r="YV1291"/>
      <c r="YW1291"/>
      <c r="YX1291"/>
      <c r="YY1291"/>
      <c r="YZ1291"/>
      <c r="ZA1291"/>
      <c r="ZB1291"/>
      <c r="ZC1291"/>
      <c r="ZD1291"/>
      <c r="ZE1291"/>
      <c r="ZF1291"/>
      <c r="ZG1291"/>
      <c r="ZH1291"/>
      <c r="ZI1291"/>
      <c r="ZJ1291"/>
      <c r="ZK1291"/>
      <c r="ZL1291"/>
      <c r="ZM1291"/>
      <c r="ZN1291"/>
      <c r="ZO1291"/>
      <c r="ZP1291"/>
      <c r="ZQ1291"/>
      <c r="ZR1291"/>
      <c r="ZS1291"/>
      <c r="ZT1291"/>
      <c r="ZU1291"/>
      <c r="ZV1291"/>
      <c r="ZW1291"/>
      <c r="ZX1291"/>
      <c r="ZY1291"/>
      <c r="ZZ1291"/>
      <c r="AAA1291"/>
      <c r="AAB1291"/>
      <c r="AAC1291"/>
      <c r="AAD1291"/>
      <c r="AAE1291"/>
      <c r="AAF1291"/>
      <c r="AAG1291"/>
      <c r="AAH1291"/>
      <c r="AAI1291"/>
      <c r="AAJ1291"/>
      <c r="AAK1291"/>
      <c r="AAL1291"/>
      <c r="AAM1291"/>
      <c r="AAN1291"/>
      <c r="AAO1291"/>
      <c r="AAP1291"/>
      <c r="AAQ1291"/>
      <c r="AAR1291"/>
      <c r="AAS1291"/>
      <c r="AAT1291"/>
      <c r="AAU1291"/>
      <c r="AAV1291"/>
      <c r="AAW1291"/>
      <c r="AAX1291"/>
      <c r="AAY1291"/>
      <c r="AAZ1291"/>
      <c r="ABA1291"/>
      <c r="ABB1291"/>
      <c r="ABC1291"/>
      <c r="ABD1291"/>
      <c r="ABE1291"/>
      <c r="ABF1291"/>
      <c r="ABG1291"/>
      <c r="ABH1291"/>
      <c r="ABI1291"/>
      <c r="ABJ1291"/>
      <c r="ABK1291"/>
      <c r="ABL1291"/>
      <c r="ABM1291"/>
      <c r="ABN1291"/>
      <c r="ABO1291"/>
      <c r="ABP1291"/>
      <c r="ABQ1291"/>
      <c r="ABR1291"/>
      <c r="ABS1291"/>
      <c r="ABT1291"/>
      <c r="ABU1291"/>
      <c r="ABV1291"/>
      <c r="ABW1291"/>
      <c r="ABX1291"/>
      <c r="ABY1291"/>
      <c r="ABZ1291"/>
      <c r="ACA1291"/>
      <c r="ACB1291"/>
      <c r="ACC1291"/>
      <c r="ACD1291"/>
      <c r="ACE1291"/>
      <c r="ACF1291"/>
      <c r="ACG1291"/>
      <c r="ACH1291"/>
      <c r="ACI1291"/>
      <c r="ACJ1291"/>
      <c r="ACK1291"/>
      <c r="ACL1291"/>
      <c r="ACM1291"/>
      <c r="ACN1291"/>
      <c r="ACO1291"/>
      <c r="ACP1291"/>
      <c r="ACQ1291"/>
      <c r="ACR1291"/>
      <c r="ACS1291"/>
      <c r="ACT1291"/>
      <c r="ACU1291"/>
      <c r="ACV1291"/>
      <c r="ACW1291"/>
      <c r="ACX1291"/>
      <c r="ACY1291"/>
      <c r="ACZ1291"/>
      <c r="ADA1291"/>
      <c r="ADB1291"/>
      <c r="ADC1291"/>
      <c r="ADD1291"/>
      <c r="ADE1291"/>
      <c r="ADF1291"/>
      <c r="ADG1291"/>
      <c r="ADH1291"/>
      <c r="ADI1291"/>
      <c r="ADJ1291"/>
      <c r="ADK1291"/>
      <c r="ADL1291"/>
      <c r="ADM1291"/>
      <c r="ADN1291"/>
      <c r="ADO1291"/>
      <c r="ADP1291"/>
      <c r="ADQ1291"/>
      <c r="ADR1291"/>
      <c r="ADS1291"/>
      <c r="ADT1291"/>
      <c r="ADU1291"/>
      <c r="ADV1291"/>
      <c r="ADW1291"/>
      <c r="ADX1291"/>
      <c r="ADY1291"/>
      <c r="ADZ1291"/>
      <c r="AEA1291"/>
      <c r="AEB1291"/>
      <c r="AEC1291"/>
      <c r="AED1291"/>
      <c r="AEE1291"/>
      <c r="AEF1291"/>
      <c r="AEG1291"/>
      <c r="AEH1291"/>
      <c r="AEI1291"/>
      <c r="AEJ1291"/>
      <c r="AEK1291"/>
      <c r="AEL1291"/>
      <c r="AEM1291"/>
      <c r="AEN1291"/>
      <c r="AEO1291"/>
      <c r="AEP1291"/>
      <c r="AEQ1291"/>
      <c r="AER1291"/>
      <c r="AES1291"/>
      <c r="AET1291"/>
      <c r="AEU1291"/>
      <c r="AEV1291"/>
      <c r="AEW1291"/>
      <c r="AEX1291"/>
      <c r="AEY1291"/>
      <c r="AEZ1291"/>
      <c r="AFA1291"/>
      <c r="AFB1291"/>
      <c r="AFC1291"/>
      <c r="AFD1291"/>
      <c r="AFE1291"/>
      <c r="AFF1291"/>
      <c r="AFG1291"/>
      <c r="AFH1291"/>
      <c r="AFI1291"/>
      <c r="AFJ1291"/>
      <c r="AFK1291"/>
      <c r="AFL1291"/>
      <c r="AFM1291"/>
      <c r="AFN1291"/>
      <c r="AFO1291"/>
      <c r="AFP1291"/>
      <c r="AFQ1291"/>
      <c r="AFR1291"/>
      <c r="AFS1291"/>
      <c r="AFT1291"/>
      <c r="AFU1291"/>
      <c r="AFV1291"/>
      <c r="AFW1291"/>
      <c r="AFX1291"/>
      <c r="AFY1291"/>
      <c r="AFZ1291"/>
      <c r="AGA1291"/>
      <c r="AGB1291"/>
      <c r="AGC1291"/>
      <c r="AGD1291"/>
      <c r="AGE1291"/>
      <c r="AGF1291"/>
      <c r="AGG1291"/>
      <c r="AGH1291"/>
      <c r="AGI1291"/>
      <c r="AGJ1291"/>
      <c r="AGK1291"/>
      <c r="AGL1291"/>
      <c r="AGM1291"/>
      <c r="AGN1291"/>
      <c r="AGO1291"/>
      <c r="AGP1291"/>
      <c r="AGQ1291"/>
      <c r="AGR1291"/>
      <c r="AGS1291"/>
      <c r="AGT1291"/>
      <c r="AGU1291"/>
      <c r="AGV1291"/>
      <c r="AGW1291"/>
      <c r="AGX1291"/>
      <c r="AGY1291"/>
      <c r="AGZ1291"/>
      <c r="AHA1291"/>
      <c r="AHB1291"/>
      <c r="AHC1291"/>
      <c r="AHD1291"/>
      <c r="AHE1291"/>
      <c r="AHF1291"/>
      <c r="AHG1291"/>
      <c r="AHH1291"/>
      <c r="AHI1291"/>
      <c r="AHJ1291"/>
      <c r="AHK1291"/>
      <c r="AHL1291"/>
      <c r="AHM1291"/>
      <c r="AHN1291"/>
      <c r="AHO1291"/>
      <c r="AHP1291"/>
      <c r="AHQ1291"/>
      <c r="AHR1291"/>
      <c r="AHS1291"/>
      <c r="AHT1291"/>
      <c r="AHU1291"/>
      <c r="AHV1291"/>
      <c r="AHW1291"/>
      <c r="AHX1291"/>
      <c r="AHY1291"/>
      <c r="AHZ1291"/>
      <c r="AIA1291"/>
      <c r="AIB1291"/>
      <c r="AIC1291"/>
      <c r="AID1291"/>
      <c r="AIE1291"/>
      <c r="AIF1291"/>
      <c r="AIG1291"/>
      <c r="AIH1291"/>
      <c r="AII1291"/>
      <c r="AIJ1291"/>
      <c r="AIK1291"/>
      <c r="AIL1291"/>
      <c r="AIM1291"/>
      <c r="AIN1291"/>
      <c r="AIO1291"/>
      <c r="AIP1291"/>
      <c r="AIQ1291"/>
      <c r="AIR1291"/>
      <c r="AIS1291"/>
      <c r="AIT1291"/>
      <c r="AIU1291"/>
      <c r="AIV1291"/>
      <c r="AIW1291"/>
      <c r="AIX1291"/>
      <c r="AIY1291"/>
      <c r="AIZ1291"/>
      <c r="AJA1291"/>
      <c r="AJB1291"/>
      <c r="AJC1291"/>
      <c r="AJD1291"/>
      <c r="AJE1291"/>
      <c r="AJF1291"/>
      <c r="AJG1291"/>
      <c r="AJH1291"/>
      <c r="AJI1291"/>
      <c r="AJJ1291"/>
      <c r="AJK1291"/>
      <c r="AJL1291"/>
      <c r="AJM1291"/>
      <c r="AJN1291"/>
      <c r="AJO1291"/>
      <c r="AJP1291"/>
      <c r="AJQ1291"/>
      <c r="AJR1291"/>
      <c r="AJS1291"/>
      <c r="AJT1291"/>
      <c r="AJU1291"/>
      <c r="AJV1291"/>
      <c r="AJW1291"/>
      <c r="AJX1291"/>
      <c r="AJY1291"/>
      <c r="AJZ1291"/>
      <c r="AKA1291"/>
      <c r="AKB1291"/>
      <c r="AKC1291"/>
      <c r="AKD1291"/>
      <c r="AKE1291"/>
      <c r="AKF1291"/>
      <c r="AKG1291"/>
      <c r="AKH1291"/>
      <c r="AKI1291"/>
      <c r="AKJ1291"/>
      <c r="AKK1291"/>
      <c r="AKL1291"/>
      <c r="AKM1291"/>
      <c r="AKN1291"/>
      <c r="AKO1291"/>
      <c r="AKP1291"/>
      <c r="AKQ1291"/>
      <c r="AKR1291"/>
      <c r="AKS1291"/>
      <c r="AKT1291"/>
      <c r="AKU1291"/>
      <c r="AKV1291"/>
      <c r="AKW1291"/>
      <c r="AKX1291"/>
      <c r="AKY1291"/>
      <c r="AKZ1291"/>
      <c r="ALA1291"/>
      <c r="ALB1291"/>
      <c r="ALC1291"/>
      <c r="ALD1291"/>
      <c r="ALE1291"/>
      <c r="ALF1291"/>
      <c r="ALG1291"/>
      <c r="ALH1291"/>
      <c r="ALI1291"/>
      <c r="ALJ1291"/>
      <c r="ALK1291"/>
      <c r="ALL1291"/>
      <c r="ALM1291"/>
      <c r="ALN1291"/>
      <c r="ALO1291"/>
      <c r="ALP1291"/>
      <c r="ALQ1291"/>
      <c r="ALR1291"/>
      <c r="ALS1291"/>
      <c r="ALT1291"/>
    </row>
    <row r="1292" spans="1:1008" x14ac:dyDescent="0.15">
      <c r="A1292" t="s">
        <v>4047</v>
      </c>
      <c r="B1292" s="8" t="s">
        <v>4079</v>
      </c>
      <c r="C1292" t="s">
        <v>4047</v>
      </c>
      <c r="D1292" s="8" t="s">
        <v>15</v>
      </c>
      <c r="E1292" t="s">
        <v>4047</v>
      </c>
      <c r="F1292" t="s">
        <v>4048</v>
      </c>
      <c r="G1292">
        <v>600</v>
      </c>
      <c r="H1292"/>
      <c r="I1292"/>
      <c r="J1292"/>
      <c r="K1292"/>
      <c r="L1292"/>
      <c r="M1292"/>
      <c r="N1292"/>
      <c r="O1292"/>
      <c r="P1292"/>
      <c r="Q1292"/>
      <c r="R1292"/>
      <c r="S1292"/>
      <c r="T1292"/>
      <c r="U1292"/>
      <c r="V1292"/>
      <c r="W1292"/>
      <c r="X1292"/>
      <c r="Y1292"/>
      <c r="Z1292"/>
      <c r="AA1292"/>
      <c r="AB1292"/>
      <c r="AC1292"/>
      <c r="AD1292"/>
      <c r="AE1292"/>
      <c r="AF1292"/>
      <c r="AG1292"/>
      <c r="AH1292"/>
      <c r="AI1292"/>
      <c r="AJ1292"/>
      <c r="AK1292"/>
      <c r="AL1292"/>
      <c r="AM1292"/>
      <c r="AN1292"/>
      <c r="AO1292"/>
      <c r="AP1292"/>
      <c r="AQ1292"/>
      <c r="AR1292"/>
      <c r="AS1292"/>
      <c r="AT1292"/>
      <c r="AU1292"/>
      <c r="AV1292"/>
      <c r="AW1292"/>
      <c r="AX1292"/>
      <c r="AY1292"/>
      <c r="AZ1292"/>
      <c r="BA1292"/>
      <c r="BB1292"/>
      <c r="BC1292"/>
      <c r="BD1292"/>
      <c r="BE1292"/>
      <c r="BF1292"/>
      <c r="BG1292"/>
      <c r="BH1292"/>
      <c r="BI1292"/>
      <c r="BJ1292"/>
      <c r="BK1292"/>
      <c r="BL1292"/>
      <c r="BM1292"/>
      <c r="BN1292"/>
      <c r="BO1292"/>
      <c r="BP1292"/>
      <c r="BQ1292"/>
      <c r="BR1292"/>
      <c r="BS1292"/>
      <c r="BT1292"/>
      <c r="BU1292"/>
      <c r="BV1292"/>
      <c r="BW1292"/>
      <c r="BX1292"/>
      <c r="BY1292"/>
      <c r="BZ1292"/>
      <c r="CA1292"/>
      <c r="CB1292"/>
      <c r="CC1292"/>
      <c r="CD1292"/>
      <c r="CE1292"/>
      <c r="CF1292"/>
      <c r="CG1292"/>
      <c r="CH1292"/>
      <c r="CI1292"/>
      <c r="CJ1292"/>
      <c r="CK1292"/>
      <c r="CL1292"/>
      <c r="CM1292"/>
      <c r="CN1292"/>
      <c r="CO1292"/>
      <c r="CP1292"/>
      <c r="CQ1292"/>
      <c r="CR1292"/>
      <c r="CS1292"/>
      <c r="CT1292"/>
      <c r="CU1292"/>
      <c r="CV1292"/>
      <c r="CW1292"/>
      <c r="CX1292"/>
      <c r="CY1292"/>
      <c r="CZ1292"/>
      <c r="DA1292"/>
      <c r="DB1292"/>
      <c r="DC1292"/>
      <c r="DD1292"/>
      <c r="DE1292"/>
      <c r="DF1292"/>
      <c r="DG1292"/>
      <c r="DH1292"/>
      <c r="DI1292"/>
      <c r="DJ1292"/>
      <c r="DK1292"/>
      <c r="DL1292"/>
      <c r="DM1292"/>
      <c r="DN1292"/>
      <c r="DO1292"/>
      <c r="DP1292"/>
      <c r="DQ1292"/>
      <c r="DR1292"/>
      <c r="DS1292"/>
      <c r="DT1292"/>
      <c r="DU1292"/>
      <c r="DV1292"/>
      <c r="DW1292"/>
      <c r="DX1292"/>
      <c r="DY1292"/>
      <c r="DZ1292"/>
      <c r="EA1292"/>
      <c r="EB1292"/>
      <c r="EC1292"/>
      <c r="ED1292"/>
      <c r="EE1292"/>
      <c r="EF1292"/>
      <c r="EG1292"/>
      <c r="EH1292"/>
      <c r="EI1292"/>
      <c r="EJ1292"/>
      <c r="EK1292"/>
      <c r="EL1292"/>
      <c r="EM1292"/>
      <c r="EN1292"/>
      <c r="EO1292"/>
      <c r="EP1292"/>
      <c r="EQ1292"/>
      <c r="ER1292"/>
      <c r="ES1292"/>
      <c r="ET1292"/>
      <c r="EU1292"/>
      <c r="EV1292"/>
      <c r="EW1292"/>
      <c r="EX1292"/>
      <c r="EY1292"/>
      <c r="EZ1292"/>
      <c r="FA1292"/>
      <c r="FB1292"/>
      <c r="FC1292"/>
      <c r="FD1292"/>
      <c r="FE1292"/>
      <c r="FF1292"/>
      <c r="FG1292"/>
      <c r="FH1292"/>
      <c r="FI1292"/>
      <c r="FJ1292"/>
      <c r="FK1292"/>
      <c r="FL1292"/>
      <c r="FM1292"/>
      <c r="FN1292"/>
      <c r="FO1292"/>
      <c r="FP1292"/>
      <c r="FQ1292"/>
      <c r="FR1292"/>
      <c r="FS1292"/>
      <c r="FT1292"/>
      <c r="FU1292"/>
      <c r="FV1292"/>
      <c r="FW1292"/>
      <c r="FX1292"/>
      <c r="FY1292"/>
      <c r="FZ1292"/>
      <c r="GA1292"/>
      <c r="GB1292"/>
      <c r="GC1292"/>
      <c r="GD1292"/>
      <c r="GE1292"/>
      <c r="GF1292"/>
      <c r="GG1292"/>
      <c r="GH1292"/>
      <c r="GI1292"/>
      <c r="GJ1292"/>
      <c r="GK1292"/>
      <c r="GL1292"/>
      <c r="GM1292"/>
      <c r="GN1292"/>
      <c r="GO1292"/>
      <c r="GP1292"/>
      <c r="GQ1292"/>
      <c r="GR1292"/>
      <c r="GS1292"/>
      <c r="GT1292"/>
      <c r="GU1292"/>
      <c r="GV1292"/>
      <c r="GW1292"/>
      <c r="GX1292"/>
      <c r="GY1292"/>
      <c r="GZ1292"/>
      <c r="HA1292"/>
      <c r="HB1292"/>
      <c r="HC1292"/>
      <c r="HD1292"/>
      <c r="HE1292"/>
      <c r="HF1292"/>
      <c r="HG1292"/>
      <c r="HH1292"/>
      <c r="HI1292"/>
      <c r="HJ1292"/>
      <c r="HK1292"/>
      <c r="HL1292"/>
      <c r="HM1292"/>
      <c r="HN1292"/>
      <c r="HO1292"/>
      <c r="HP1292"/>
      <c r="HQ1292"/>
      <c r="HR1292"/>
      <c r="HS1292"/>
      <c r="HT1292"/>
      <c r="HU1292"/>
      <c r="HV1292"/>
      <c r="HW1292"/>
      <c r="HX1292"/>
      <c r="HY1292"/>
      <c r="HZ1292"/>
      <c r="IA1292"/>
      <c r="IB1292"/>
      <c r="IC1292"/>
      <c r="ID1292"/>
      <c r="IE1292"/>
      <c r="IF1292"/>
      <c r="IG1292"/>
      <c r="IH1292"/>
      <c r="II1292"/>
      <c r="IJ1292"/>
      <c r="IK1292"/>
      <c r="IL1292"/>
      <c r="IM1292"/>
      <c r="IN1292"/>
      <c r="IO1292"/>
      <c r="IP1292"/>
      <c r="IQ1292"/>
      <c r="IR1292"/>
      <c r="IS1292"/>
      <c r="IT1292"/>
      <c r="IU1292"/>
      <c r="IV1292"/>
      <c r="IW1292"/>
      <c r="IX1292"/>
      <c r="IY1292"/>
      <c r="IZ1292"/>
      <c r="JA1292"/>
      <c r="JB1292"/>
      <c r="JC1292"/>
      <c r="JD1292"/>
      <c r="JE1292"/>
      <c r="JF1292"/>
      <c r="JG1292"/>
      <c r="JH1292"/>
      <c r="JI1292"/>
      <c r="JJ1292"/>
      <c r="JK1292"/>
      <c r="JL1292"/>
      <c r="JM1292"/>
      <c r="JN1292"/>
      <c r="JO1292"/>
      <c r="JP1292"/>
      <c r="JQ1292"/>
      <c r="JR1292"/>
      <c r="JS1292"/>
      <c r="JT1292"/>
      <c r="JU1292"/>
      <c r="JV1292"/>
      <c r="JW1292"/>
      <c r="JX1292"/>
      <c r="JY1292"/>
      <c r="JZ1292"/>
      <c r="KA1292"/>
      <c r="KB1292"/>
      <c r="KC1292"/>
      <c r="KD1292"/>
      <c r="KE1292"/>
      <c r="KF1292"/>
      <c r="KG1292"/>
      <c r="KH1292"/>
      <c r="KI1292"/>
      <c r="KJ1292"/>
      <c r="KK1292"/>
      <c r="KL1292"/>
      <c r="KM1292"/>
      <c r="KN1292"/>
      <c r="KO1292"/>
      <c r="KP1292"/>
      <c r="KQ1292"/>
      <c r="KR1292"/>
      <c r="KS1292"/>
      <c r="KT1292"/>
      <c r="KU1292"/>
      <c r="KV1292"/>
      <c r="KW1292"/>
      <c r="KX1292"/>
      <c r="KY1292"/>
      <c r="KZ1292"/>
      <c r="LA1292"/>
      <c r="LB1292"/>
      <c r="LC1292"/>
      <c r="LD1292"/>
      <c r="LE1292"/>
      <c r="LF1292"/>
      <c r="LG1292"/>
      <c r="LH1292"/>
      <c r="LI1292"/>
      <c r="LJ1292"/>
      <c r="LK1292"/>
      <c r="LL1292"/>
      <c r="LM1292"/>
      <c r="LN1292"/>
      <c r="LO1292"/>
      <c r="LP1292"/>
      <c r="LQ1292"/>
      <c r="LR1292"/>
      <c r="LS1292"/>
      <c r="LT1292"/>
      <c r="LU1292"/>
      <c r="LV1292"/>
      <c r="LW1292"/>
      <c r="LX1292"/>
      <c r="LY1292"/>
      <c r="LZ1292"/>
      <c r="MA1292"/>
      <c r="MB1292"/>
      <c r="MC1292"/>
      <c r="MD1292"/>
      <c r="ME1292"/>
      <c r="MF1292"/>
      <c r="MG1292"/>
      <c r="MH1292"/>
      <c r="MI1292"/>
      <c r="MJ1292"/>
      <c r="MK1292"/>
      <c r="ML1292"/>
      <c r="MM1292"/>
      <c r="MN1292"/>
      <c r="MO1292"/>
      <c r="MP1292"/>
      <c r="MQ1292"/>
      <c r="MR1292"/>
      <c r="MS1292"/>
      <c r="MT1292"/>
      <c r="MU1292"/>
      <c r="MV1292"/>
      <c r="MW1292"/>
      <c r="MX1292"/>
      <c r="MY1292"/>
      <c r="MZ1292"/>
      <c r="NA1292"/>
      <c r="NB1292"/>
      <c r="NC1292"/>
      <c r="ND1292"/>
      <c r="NE1292"/>
      <c r="NF1292"/>
      <c r="NG1292"/>
      <c r="NH1292"/>
      <c r="NI1292"/>
      <c r="NJ1292"/>
      <c r="NK1292"/>
      <c r="NL1292"/>
      <c r="NM1292"/>
      <c r="NN1292"/>
      <c r="NO1292"/>
      <c r="NP1292"/>
      <c r="NQ1292"/>
      <c r="NR1292"/>
      <c r="NS1292"/>
      <c r="NT1292"/>
      <c r="NU1292"/>
      <c r="NV1292"/>
      <c r="NW1292"/>
      <c r="NX1292"/>
      <c r="NY1292"/>
      <c r="NZ1292"/>
      <c r="OA1292"/>
      <c r="OB1292"/>
      <c r="OC1292"/>
      <c r="OD1292"/>
      <c r="OE1292"/>
      <c r="OF1292"/>
      <c r="OG1292"/>
      <c r="OH1292"/>
      <c r="OI1292"/>
      <c r="OJ1292"/>
      <c r="OK1292"/>
      <c r="OL1292"/>
      <c r="OM1292"/>
      <c r="ON1292"/>
      <c r="OO1292"/>
      <c r="OP1292"/>
      <c r="OQ1292"/>
      <c r="OR1292"/>
      <c r="OS1292"/>
      <c r="OT1292"/>
      <c r="OU1292"/>
      <c r="OV1292"/>
      <c r="OW1292"/>
      <c r="OX1292"/>
      <c r="OY1292"/>
      <c r="OZ1292"/>
      <c r="PA1292"/>
      <c r="PB1292"/>
      <c r="PC1292"/>
      <c r="PD1292"/>
      <c r="PE1292"/>
      <c r="PF1292"/>
      <c r="PG1292"/>
      <c r="PH1292"/>
      <c r="PI1292"/>
      <c r="PJ1292"/>
      <c r="PK1292"/>
      <c r="PL1292"/>
      <c r="PM1292"/>
      <c r="PN1292"/>
      <c r="PO1292"/>
      <c r="PP1292"/>
      <c r="PQ1292"/>
      <c r="PR1292"/>
      <c r="PS1292"/>
      <c r="PT1292"/>
      <c r="PU1292"/>
      <c r="PV1292"/>
      <c r="PW1292"/>
      <c r="PX1292"/>
      <c r="PY1292"/>
      <c r="PZ1292"/>
      <c r="QA1292"/>
      <c r="QB1292"/>
      <c r="QC1292"/>
      <c r="QD1292"/>
      <c r="QE1292"/>
      <c r="QF1292"/>
      <c r="QG1292"/>
      <c r="QH1292"/>
      <c r="QI1292"/>
      <c r="QJ1292"/>
      <c r="QK1292"/>
      <c r="QL1292"/>
      <c r="QM1292"/>
      <c r="QN1292"/>
      <c r="QO1292"/>
      <c r="QP1292"/>
      <c r="QQ1292"/>
      <c r="QR1292"/>
      <c r="QS1292"/>
      <c r="QT1292"/>
      <c r="QU1292"/>
      <c r="QV1292"/>
      <c r="QW1292"/>
      <c r="QX1292"/>
      <c r="QY1292"/>
      <c r="QZ1292"/>
      <c r="RA1292"/>
      <c r="RB1292"/>
      <c r="RC1292"/>
      <c r="RD1292"/>
      <c r="RE1292"/>
      <c r="RF1292"/>
      <c r="RG1292"/>
      <c r="RH1292"/>
      <c r="RI1292"/>
      <c r="RJ1292"/>
      <c r="RK1292"/>
      <c r="RL1292"/>
      <c r="RM1292"/>
      <c r="RN1292"/>
      <c r="RO1292"/>
      <c r="RP1292"/>
      <c r="RQ1292"/>
      <c r="RR1292"/>
      <c r="RS1292"/>
      <c r="RT1292"/>
      <c r="RU1292"/>
      <c r="RV1292"/>
      <c r="RW1292"/>
      <c r="RX1292"/>
      <c r="RY1292"/>
      <c r="RZ1292"/>
      <c r="SA1292"/>
      <c r="SB1292"/>
      <c r="SC1292"/>
      <c r="SD1292"/>
      <c r="SE1292"/>
      <c r="SF1292"/>
      <c r="SG1292"/>
      <c r="SH1292"/>
      <c r="SI1292"/>
      <c r="SJ1292"/>
      <c r="SK1292"/>
      <c r="SL1292"/>
      <c r="SM1292"/>
      <c r="SN1292"/>
      <c r="SO1292"/>
      <c r="SP1292"/>
      <c r="SQ1292"/>
      <c r="SR1292"/>
      <c r="SS1292"/>
      <c r="ST1292"/>
      <c r="SU1292"/>
      <c r="SV1292"/>
      <c r="SW1292"/>
      <c r="SX1292"/>
      <c r="SY1292"/>
      <c r="SZ1292"/>
      <c r="TA1292"/>
      <c r="TB1292"/>
      <c r="TC1292"/>
      <c r="TD1292"/>
      <c r="TE1292"/>
      <c r="TF1292"/>
      <c r="TG1292"/>
      <c r="TH1292"/>
      <c r="TI1292"/>
      <c r="TJ1292"/>
      <c r="TK1292"/>
      <c r="TL1292"/>
      <c r="TM1292"/>
      <c r="TN1292"/>
      <c r="TO1292"/>
      <c r="TP1292"/>
      <c r="TQ1292"/>
      <c r="TR1292"/>
      <c r="TS1292"/>
      <c r="TT1292"/>
      <c r="TU1292"/>
      <c r="TV1292"/>
      <c r="TW1292"/>
      <c r="TX1292"/>
      <c r="TY1292"/>
      <c r="TZ1292"/>
      <c r="UA1292"/>
      <c r="UB1292"/>
      <c r="UC1292"/>
      <c r="UD1292"/>
      <c r="UE1292"/>
      <c r="UF1292"/>
      <c r="UG1292"/>
      <c r="UH1292"/>
      <c r="UI1292"/>
      <c r="UJ1292"/>
      <c r="UK1292"/>
      <c r="UL1292"/>
      <c r="UM1292"/>
      <c r="UN1292"/>
      <c r="UO1292"/>
      <c r="UP1292"/>
      <c r="UQ1292"/>
      <c r="UR1292"/>
      <c r="US1292"/>
      <c r="UT1292"/>
      <c r="UU1292"/>
      <c r="UV1292"/>
      <c r="UW1292"/>
      <c r="UX1292"/>
      <c r="UY1292"/>
      <c r="UZ1292"/>
      <c r="VA1292"/>
      <c r="VB1292"/>
      <c r="VC1292"/>
      <c r="VD1292"/>
      <c r="VE1292"/>
      <c r="VF1292"/>
      <c r="VG1292"/>
      <c r="VH1292"/>
      <c r="VI1292"/>
      <c r="VJ1292"/>
      <c r="VK1292"/>
      <c r="VL1292"/>
      <c r="VM1292"/>
      <c r="VN1292"/>
      <c r="VO1292"/>
      <c r="VP1292"/>
      <c r="VQ1292"/>
      <c r="VR1292"/>
      <c r="VS1292"/>
      <c r="VT1292"/>
      <c r="VU1292"/>
      <c r="VV1292"/>
      <c r="VW1292"/>
      <c r="VX1292"/>
      <c r="VY1292"/>
      <c r="VZ1292"/>
      <c r="WA1292"/>
      <c r="WB1292"/>
      <c r="WC1292"/>
      <c r="WD1292"/>
      <c r="WE1292"/>
      <c r="WF1292"/>
      <c r="WG1292"/>
      <c r="WH1292"/>
      <c r="WI1292"/>
      <c r="WJ1292"/>
      <c r="WK1292"/>
      <c r="WL1292"/>
      <c r="WM1292"/>
      <c r="WN1292"/>
      <c r="WO1292"/>
      <c r="WP1292"/>
      <c r="WQ1292"/>
      <c r="WR1292"/>
      <c r="WS1292"/>
      <c r="WT1292"/>
      <c r="WU1292"/>
      <c r="WV1292"/>
      <c r="WW1292"/>
      <c r="WX1292"/>
      <c r="WY1292"/>
      <c r="WZ1292"/>
      <c r="XA1292"/>
      <c r="XB1292"/>
      <c r="XC1292"/>
      <c r="XD1292"/>
      <c r="XE1292"/>
      <c r="XF1292"/>
      <c r="XG1292"/>
      <c r="XH1292"/>
      <c r="XI1292"/>
      <c r="XJ1292"/>
      <c r="XK1292"/>
      <c r="XL1292"/>
      <c r="XM1292"/>
      <c r="XN1292"/>
      <c r="XO1292"/>
      <c r="XP1292"/>
      <c r="XQ1292"/>
      <c r="XR1292"/>
      <c r="XS1292"/>
      <c r="XT1292"/>
      <c r="XU1292"/>
      <c r="XV1292"/>
      <c r="XW1292"/>
      <c r="XX1292"/>
      <c r="XY1292"/>
      <c r="XZ1292"/>
      <c r="YA1292"/>
      <c r="YB1292"/>
      <c r="YC1292"/>
      <c r="YD1292"/>
      <c r="YE1292"/>
      <c r="YF1292"/>
      <c r="YG1292"/>
      <c r="YH1292"/>
      <c r="YI1292"/>
      <c r="YJ1292"/>
      <c r="YK1292"/>
      <c r="YL1292"/>
      <c r="YM1292"/>
      <c r="YN1292"/>
      <c r="YO1292"/>
      <c r="YP1292"/>
      <c r="YQ1292"/>
      <c r="YR1292"/>
      <c r="YS1292"/>
      <c r="YT1292"/>
      <c r="YU1292"/>
      <c r="YV1292"/>
      <c r="YW1292"/>
      <c r="YX1292"/>
      <c r="YY1292"/>
      <c r="YZ1292"/>
      <c r="ZA1292"/>
      <c r="ZB1292"/>
      <c r="ZC1292"/>
      <c r="ZD1292"/>
      <c r="ZE1292"/>
      <c r="ZF1292"/>
      <c r="ZG1292"/>
      <c r="ZH1292"/>
      <c r="ZI1292"/>
      <c r="ZJ1292"/>
      <c r="ZK1292"/>
      <c r="ZL1292"/>
      <c r="ZM1292"/>
      <c r="ZN1292"/>
      <c r="ZO1292"/>
      <c r="ZP1292"/>
      <c r="ZQ1292"/>
      <c r="ZR1292"/>
      <c r="ZS1292"/>
      <c r="ZT1292"/>
      <c r="ZU1292"/>
      <c r="ZV1292"/>
      <c r="ZW1292"/>
      <c r="ZX1292"/>
      <c r="ZY1292"/>
      <c r="ZZ1292"/>
      <c r="AAA1292"/>
      <c r="AAB1292"/>
      <c r="AAC1292"/>
      <c r="AAD1292"/>
      <c r="AAE1292"/>
      <c r="AAF1292"/>
      <c r="AAG1292"/>
      <c r="AAH1292"/>
      <c r="AAI1292"/>
      <c r="AAJ1292"/>
      <c r="AAK1292"/>
      <c r="AAL1292"/>
      <c r="AAM1292"/>
      <c r="AAN1292"/>
      <c r="AAO1292"/>
      <c r="AAP1292"/>
      <c r="AAQ1292"/>
      <c r="AAR1292"/>
      <c r="AAS1292"/>
      <c r="AAT1292"/>
      <c r="AAU1292"/>
      <c r="AAV1292"/>
      <c r="AAW1292"/>
      <c r="AAX1292"/>
      <c r="AAY1292"/>
      <c r="AAZ1292"/>
      <c r="ABA1292"/>
      <c r="ABB1292"/>
      <c r="ABC1292"/>
      <c r="ABD1292"/>
      <c r="ABE1292"/>
      <c r="ABF1292"/>
      <c r="ABG1292"/>
      <c r="ABH1292"/>
      <c r="ABI1292"/>
      <c r="ABJ1292"/>
      <c r="ABK1292"/>
      <c r="ABL1292"/>
      <c r="ABM1292"/>
      <c r="ABN1292"/>
      <c r="ABO1292"/>
      <c r="ABP1292"/>
      <c r="ABQ1292"/>
      <c r="ABR1292"/>
      <c r="ABS1292"/>
      <c r="ABT1292"/>
      <c r="ABU1292"/>
      <c r="ABV1292"/>
      <c r="ABW1292"/>
      <c r="ABX1292"/>
      <c r="ABY1292"/>
      <c r="ABZ1292"/>
      <c r="ACA1292"/>
      <c r="ACB1292"/>
      <c r="ACC1292"/>
      <c r="ACD1292"/>
      <c r="ACE1292"/>
      <c r="ACF1292"/>
      <c r="ACG1292"/>
      <c r="ACH1292"/>
      <c r="ACI1292"/>
      <c r="ACJ1292"/>
      <c r="ACK1292"/>
      <c r="ACL1292"/>
      <c r="ACM1292"/>
      <c r="ACN1292"/>
      <c r="ACO1292"/>
      <c r="ACP1292"/>
      <c r="ACQ1292"/>
      <c r="ACR1292"/>
      <c r="ACS1292"/>
      <c r="ACT1292"/>
      <c r="ACU1292"/>
      <c r="ACV1292"/>
      <c r="ACW1292"/>
      <c r="ACX1292"/>
      <c r="ACY1292"/>
      <c r="ACZ1292"/>
      <c r="ADA1292"/>
      <c r="ADB1292"/>
      <c r="ADC1292"/>
      <c r="ADD1292"/>
      <c r="ADE1292"/>
      <c r="ADF1292"/>
      <c r="ADG1292"/>
      <c r="ADH1292"/>
      <c r="ADI1292"/>
      <c r="ADJ1292"/>
      <c r="ADK1292"/>
      <c r="ADL1292"/>
      <c r="ADM1292"/>
      <c r="ADN1292"/>
      <c r="ADO1292"/>
      <c r="ADP1292"/>
      <c r="ADQ1292"/>
      <c r="ADR1292"/>
      <c r="ADS1292"/>
      <c r="ADT1292"/>
      <c r="ADU1292"/>
      <c r="ADV1292"/>
      <c r="ADW1292"/>
      <c r="ADX1292"/>
      <c r="ADY1292"/>
      <c r="ADZ1292"/>
      <c r="AEA1292"/>
      <c r="AEB1292"/>
      <c r="AEC1292"/>
      <c r="AED1292"/>
      <c r="AEE1292"/>
      <c r="AEF1292"/>
      <c r="AEG1292"/>
      <c r="AEH1292"/>
      <c r="AEI1292"/>
      <c r="AEJ1292"/>
      <c r="AEK1292"/>
      <c r="AEL1292"/>
      <c r="AEM1292"/>
      <c r="AEN1292"/>
      <c r="AEO1292"/>
      <c r="AEP1292"/>
      <c r="AEQ1292"/>
      <c r="AER1292"/>
      <c r="AES1292"/>
      <c r="AET1292"/>
      <c r="AEU1292"/>
      <c r="AEV1292"/>
      <c r="AEW1292"/>
      <c r="AEX1292"/>
      <c r="AEY1292"/>
      <c r="AEZ1292"/>
      <c r="AFA1292"/>
      <c r="AFB1292"/>
      <c r="AFC1292"/>
      <c r="AFD1292"/>
      <c r="AFE1292"/>
      <c r="AFF1292"/>
      <c r="AFG1292"/>
      <c r="AFH1292"/>
      <c r="AFI1292"/>
      <c r="AFJ1292"/>
      <c r="AFK1292"/>
      <c r="AFL1292"/>
      <c r="AFM1292"/>
      <c r="AFN1292"/>
      <c r="AFO1292"/>
      <c r="AFP1292"/>
      <c r="AFQ1292"/>
      <c r="AFR1292"/>
      <c r="AFS1292"/>
      <c r="AFT1292"/>
      <c r="AFU1292"/>
      <c r="AFV1292"/>
      <c r="AFW1292"/>
      <c r="AFX1292"/>
      <c r="AFY1292"/>
      <c r="AFZ1292"/>
      <c r="AGA1292"/>
      <c r="AGB1292"/>
      <c r="AGC1292"/>
      <c r="AGD1292"/>
      <c r="AGE1292"/>
      <c r="AGF1292"/>
      <c r="AGG1292"/>
      <c r="AGH1292"/>
      <c r="AGI1292"/>
      <c r="AGJ1292"/>
      <c r="AGK1292"/>
      <c r="AGL1292"/>
      <c r="AGM1292"/>
      <c r="AGN1292"/>
      <c r="AGO1292"/>
      <c r="AGP1292"/>
      <c r="AGQ1292"/>
      <c r="AGR1292"/>
      <c r="AGS1292"/>
      <c r="AGT1292"/>
      <c r="AGU1292"/>
      <c r="AGV1292"/>
      <c r="AGW1292"/>
      <c r="AGX1292"/>
      <c r="AGY1292"/>
      <c r="AGZ1292"/>
      <c r="AHA1292"/>
      <c r="AHB1292"/>
      <c r="AHC1292"/>
      <c r="AHD1292"/>
      <c r="AHE1292"/>
      <c r="AHF1292"/>
      <c r="AHG1292"/>
      <c r="AHH1292"/>
      <c r="AHI1292"/>
      <c r="AHJ1292"/>
      <c r="AHK1292"/>
      <c r="AHL1292"/>
      <c r="AHM1292"/>
      <c r="AHN1292"/>
      <c r="AHO1292"/>
      <c r="AHP1292"/>
      <c r="AHQ1292"/>
      <c r="AHR1292"/>
      <c r="AHS1292"/>
      <c r="AHT1292"/>
      <c r="AHU1292"/>
      <c r="AHV1292"/>
      <c r="AHW1292"/>
      <c r="AHX1292"/>
      <c r="AHY1292"/>
      <c r="AHZ1292"/>
      <c r="AIA1292"/>
      <c r="AIB1292"/>
      <c r="AIC1292"/>
      <c r="AID1292"/>
      <c r="AIE1292"/>
      <c r="AIF1292"/>
      <c r="AIG1292"/>
      <c r="AIH1292"/>
      <c r="AII1292"/>
      <c r="AIJ1292"/>
      <c r="AIK1292"/>
      <c r="AIL1292"/>
      <c r="AIM1292"/>
      <c r="AIN1292"/>
      <c r="AIO1292"/>
      <c r="AIP1292"/>
      <c r="AIQ1292"/>
      <c r="AIR1292"/>
      <c r="AIS1292"/>
      <c r="AIT1292"/>
      <c r="AIU1292"/>
      <c r="AIV1292"/>
      <c r="AIW1292"/>
      <c r="AIX1292"/>
      <c r="AIY1292"/>
      <c r="AIZ1292"/>
      <c r="AJA1292"/>
      <c r="AJB1292"/>
      <c r="AJC1292"/>
      <c r="AJD1292"/>
      <c r="AJE1292"/>
      <c r="AJF1292"/>
      <c r="AJG1292"/>
      <c r="AJH1292"/>
      <c r="AJI1292"/>
      <c r="AJJ1292"/>
      <c r="AJK1292"/>
      <c r="AJL1292"/>
      <c r="AJM1292"/>
      <c r="AJN1292"/>
      <c r="AJO1292"/>
      <c r="AJP1292"/>
      <c r="AJQ1292"/>
      <c r="AJR1292"/>
      <c r="AJS1292"/>
      <c r="AJT1292"/>
      <c r="AJU1292"/>
      <c r="AJV1292"/>
      <c r="AJW1292"/>
      <c r="AJX1292"/>
      <c r="AJY1292"/>
      <c r="AJZ1292"/>
      <c r="AKA1292"/>
      <c r="AKB1292"/>
      <c r="AKC1292"/>
      <c r="AKD1292"/>
      <c r="AKE1292"/>
      <c r="AKF1292"/>
      <c r="AKG1292"/>
      <c r="AKH1292"/>
      <c r="AKI1292"/>
      <c r="AKJ1292"/>
      <c r="AKK1292"/>
      <c r="AKL1292"/>
      <c r="AKM1292"/>
      <c r="AKN1292"/>
      <c r="AKO1292"/>
      <c r="AKP1292"/>
      <c r="AKQ1292"/>
      <c r="AKR1292"/>
      <c r="AKS1292"/>
      <c r="AKT1292"/>
      <c r="AKU1292"/>
      <c r="AKV1292"/>
      <c r="AKW1292"/>
      <c r="AKX1292"/>
      <c r="AKY1292"/>
      <c r="AKZ1292"/>
      <c r="ALA1292"/>
      <c r="ALB1292"/>
      <c r="ALC1292"/>
      <c r="ALD1292"/>
      <c r="ALE1292"/>
      <c r="ALF1292"/>
      <c r="ALG1292"/>
      <c r="ALH1292"/>
      <c r="ALI1292"/>
      <c r="ALJ1292"/>
      <c r="ALK1292"/>
      <c r="ALL1292"/>
      <c r="ALM1292"/>
      <c r="ALN1292"/>
      <c r="ALO1292"/>
      <c r="ALP1292"/>
      <c r="ALQ1292"/>
      <c r="ALR1292"/>
      <c r="ALS1292"/>
      <c r="ALT1292"/>
    </row>
    <row r="1293" spans="1:1008" x14ac:dyDescent="0.15">
      <c r="A1293" t="s">
        <v>4049</v>
      </c>
      <c r="B1293" s="8" t="s">
        <v>4079</v>
      </c>
      <c r="C1293" t="s">
        <v>4049</v>
      </c>
      <c r="D1293" s="8" t="s">
        <v>15</v>
      </c>
      <c r="E1293" t="s">
        <v>4049</v>
      </c>
      <c r="F1293" t="s">
        <v>4050</v>
      </c>
      <c r="G1293">
        <v>550</v>
      </c>
      <c r="H1293"/>
      <c r="I1293"/>
      <c r="J1293"/>
      <c r="K1293"/>
      <c r="L1293"/>
      <c r="M1293"/>
      <c r="N1293"/>
      <c r="O1293"/>
      <c r="P1293"/>
      <c r="Q1293"/>
      <c r="R1293"/>
      <c r="S1293"/>
      <c r="T1293"/>
      <c r="U1293"/>
      <c r="V1293"/>
      <c r="W1293"/>
      <c r="X1293"/>
      <c r="Y1293"/>
      <c r="Z1293"/>
      <c r="AA1293"/>
      <c r="AB1293"/>
      <c r="AC1293"/>
      <c r="AD1293"/>
      <c r="AE1293"/>
      <c r="AF1293"/>
      <c r="AG1293"/>
      <c r="AH1293"/>
      <c r="AI1293"/>
      <c r="AJ1293"/>
      <c r="AK1293"/>
      <c r="AL1293"/>
      <c r="AM1293"/>
      <c r="AN1293"/>
      <c r="AO1293"/>
      <c r="AP1293"/>
      <c r="AQ1293"/>
      <c r="AR1293"/>
      <c r="AS1293"/>
      <c r="AT1293"/>
      <c r="AU1293"/>
      <c r="AV1293"/>
      <c r="AW1293"/>
      <c r="AX1293"/>
      <c r="AY1293"/>
      <c r="AZ1293"/>
      <c r="BA1293"/>
      <c r="BB1293"/>
      <c r="BC1293"/>
      <c r="BD1293"/>
      <c r="BE1293"/>
      <c r="BF1293"/>
      <c r="BG1293"/>
      <c r="BH1293"/>
      <c r="BI1293"/>
      <c r="BJ1293"/>
      <c r="BK1293"/>
      <c r="BL1293"/>
      <c r="BM1293"/>
      <c r="BN1293"/>
      <c r="BO1293"/>
      <c r="BP1293"/>
      <c r="BQ1293"/>
      <c r="BR1293"/>
      <c r="BS1293"/>
      <c r="BT1293"/>
      <c r="BU1293"/>
      <c r="BV1293"/>
      <c r="BW1293"/>
      <c r="BX1293"/>
      <c r="BY1293"/>
      <c r="BZ1293"/>
      <c r="CA1293"/>
      <c r="CB1293"/>
      <c r="CC1293"/>
      <c r="CD1293"/>
      <c r="CE1293"/>
      <c r="CF1293"/>
      <c r="CG1293"/>
      <c r="CH1293"/>
      <c r="CI1293"/>
      <c r="CJ1293"/>
      <c r="CK1293"/>
      <c r="CL1293"/>
      <c r="CM1293"/>
      <c r="CN1293"/>
      <c r="CO1293"/>
      <c r="CP1293"/>
      <c r="CQ1293"/>
      <c r="CR1293"/>
      <c r="CS1293"/>
      <c r="CT1293"/>
      <c r="CU1293"/>
      <c r="CV1293"/>
      <c r="CW1293"/>
      <c r="CX1293"/>
      <c r="CY1293"/>
      <c r="CZ1293"/>
      <c r="DA1293"/>
      <c r="DB1293"/>
      <c r="DC1293"/>
      <c r="DD1293"/>
      <c r="DE1293"/>
      <c r="DF1293"/>
      <c r="DG1293"/>
      <c r="DH1293"/>
      <c r="DI1293"/>
      <c r="DJ1293"/>
      <c r="DK1293"/>
      <c r="DL1293"/>
      <c r="DM1293"/>
      <c r="DN1293"/>
      <c r="DO1293"/>
      <c r="DP1293"/>
      <c r="DQ1293"/>
      <c r="DR1293"/>
      <c r="DS1293"/>
      <c r="DT1293"/>
      <c r="DU1293"/>
      <c r="DV1293"/>
      <c r="DW1293"/>
      <c r="DX1293"/>
      <c r="DY1293"/>
      <c r="DZ1293"/>
      <c r="EA1293"/>
      <c r="EB1293"/>
      <c r="EC1293"/>
      <c r="ED1293"/>
      <c r="EE1293"/>
      <c r="EF1293"/>
      <c r="EG1293"/>
      <c r="EH1293"/>
      <c r="EI1293"/>
      <c r="EJ1293"/>
      <c r="EK1293"/>
      <c r="EL1293"/>
      <c r="EM1293"/>
      <c r="EN1293"/>
      <c r="EO1293"/>
      <c r="EP1293"/>
      <c r="EQ1293"/>
      <c r="ER1293"/>
      <c r="ES1293"/>
      <c r="ET1293"/>
      <c r="EU1293"/>
      <c r="EV1293"/>
      <c r="EW1293"/>
      <c r="EX1293"/>
      <c r="EY1293"/>
      <c r="EZ1293"/>
      <c r="FA1293"/>
      <c r="FB1293"/>
      <c r="FC1293"/>
      <c r="FD1293"/>
      <c r="FE1293"/>
      <c r="FF1293"/>
      <c r="FG1293"/>
      <c r="FH1293"/>
      <c r="FI1293"/>
      <c r="FJ1293"/>
      <c r="FK1293"/>
      <c r="FL1293"/>
      <c r="FM1293"/>
      <c r="FN1293"/>
      <c r="FO1293"/>
      <c r="FP1293"/>
      <c r="FQ1293"/>
      <c r="FR1293"/>
      <c r="FS1293"/>
      <c r="FT1293"/>
      <c r="FU1293"/>
      <c r="FV1293"/>
      <c r="FW1293"/>
      <c r="FX1293"/>
      <c r="FY1293"/>
      <c r="FZ1293"/>
      <c r="GA1293"/>
      <c r="GB1293"/>
      <c r="GC1293"/>
      <c r="GD1293"/>
      <c r="GE1293"/>
      <c r="GF1293"/>
      <c r="GG1293"/>
      <c r="GH1293"/>
      <c r="GI1293"/>
      <c r="GJ1293"/>
      <c r="GK1293"/>
      <c r="GL1293"/>
      <c r="GM1293"/>
      <c r="GN1293"/>
      <c r="GO1293"/>
      <c r="GP1293"/>
      <c r="GQ1293"/>
      <c r="GR1293"/>
      <c r="GS1293"/>
      <c r="GT1293"/>
      <c r="GU1293"/>
      <c r="GV1293"/>
      <c r="GW1293"/>
      <c r="GX1293"/>
      <c r="GY1293"/>
      <c r="GZ1293"/>
      <c r="HA1293"/>
      <c r="HB1293"/>
      <c r="HC1293"/>
      <c r="HD1293"/>
      <c r="HE1293"/>
      <c r="HF1293"/>
      <c r="HG1293"/>
      <c r="HH1293"/>
      <c r="HI1293"/>
      <c r="HJ1293"/>
      <c r="HK1293"/>
      <c r="HL1293"/>
      <c r="HM1293"/>
      <c r="HN1293"/>
      <c r="HO1293"/>
      <c r="HP1293"/>
      <c r="HQ1293"/>
      <c r="HR1293"/>
      <c r="HS1293"/>
      <c r="HT1293"/>
      <c r="HU1293"/>
      <c r="HV1293"/>
      <c r="HW1293"/>
      <c r="HX1293"/>
      <c r="HY1293"/>
      <c r="HZ1293"/>
      <c r="IA1293"/>
      <c r="IB1293"/>
      <c r="IC1293"/>
      <c r="ID1293"/>
      <c r="IE1293"/>
      <c r="IF1293"/>
      <c r="IG1293"/>
      <c r="IH1293"/>
      <c r="II1293"/>
      <c r="IJ1293"/>
      <c r="IK1293"/>
      <c r="IL1293"/>
      <c r="IM1293"/>
      <c r="IN1293"/>
      <c r="IO1293"/>
      <c r="IP1293"/>
      <c r="IQ1293"/>
      <c r="IR1293"/>
      <c r="IS1293"/>
      <c r="IT1293"/>
      <c r="IU1293"/>
      <c r="IV1293"/>
      <c r="IW1293"/>
      <c r="IX1293"/>
      <c r="IY1293"/>
      <c r="IZ1293"/>
      <c r="JA1293"/>
      <c r="JB1293"/>
      <c r="JC1293"/>
      <c r="JD1293"/>
      <c r="JE1293"/>
      <c r="JF1293"/>
      <c r="JG1293"/>
      <c r="JH1293"/>
      <c r="JI1293"/>
      <c r="JJ1293"/>
      <c r="JK1293"/>
      <c r="JL1293"/>
      <c r="JM1293"/>
      <c r="JN1293"/>
      <c r="JO1293"/>
      <c r="JP1293"/>
      <c r="JQ1293"/>
      <c r="JR1293"/>
      <c r="JS1293"/>
      <c r="JT1293"/>
      <c r="JU1293"/>
      <c r="JV1293"/>
      <c r="JW1293"/>
      <c r="JX1293"/>
      <c r="JY1293"/>
      <c r="JZ1293"/>
      <c r="KA1293"/>
      <c r="KB1293"/>
      <c r="KC1293"/>
      <c r="KD1293"/>
      <c r="KE1293"/>
      <c r="KF1293"/>
      <c r="KG1293"/>
      <c r="KH1293"/>
      <c r="KI1293"/>
      <c r="KJ1293"/>
      <c r="KK1293"/>
      <c r="KL1293"/>
      <c r="KM1293"/>
      <c r="KN1293"/>
      <c r="KO1293"/>
      <c r="KP1293"/>
      <c r="KQ1293"/>
      <c r="KR1293"/>
      <c r="KS1293"/>
      <c r="KT1293"/>
      <c r="KU1293"/>
      <c r="KV1293"/>
      <c r="KW1293"/>
      <c r="KX1293"/>
      <c r="KY1293"/>
      <c r="KZ1293"/>
      <c r="LA1293"/>
      <c r="LB1293"/>
      <c r="LC1293"/>
      <c r="LD1293"/>
      <c r="LE1293"/>
      <c r="LF1293"/>
      <c r="LG1293"/>
      <c r="LH1293"/>
      <c r="LI1293"/>
      <c r="LJ1293"/>
      <c r="LK1293"/>
      <c r="LL1293"/>
      <c r="LM1293"/>
      <c r="LN1293"/>
      <c r="LO1293"/>
      <c r="LP1293"/>
      <c r="LQ1293"/>
      <c r="LR1293"/>
      <c r="LS1293"/>
      <c r="LT1293"/>
      <c r="LU1293"/>
      <c r="LV1293"/>
      <c r="LW1293"/>
      <c r="LX1293"/>
      <c r="LY1293"/>
      <c r="LZ1293"/>
      <c r="MA1293"/>
      <c r="MB1293"/>
      <c r="MC1293"/>
      <c r="MD1293"/>
      <c r="ME1293"/>
      <c r="MF1293"/>
      <c r="MG1293"/>
      <c r="MH1293"/>
      <c r="MI1293"/>
      <c r="MJ1293"/>
      <c r="MK1293"/>
      <c r="ML1293"/>
      <c r="MM1293"/>
      <c r="MN1293"/>
      <c r="MO1293"/>
      <c r="MP1293"/>
      <c r="MQ1293"/>
      <c r="MR1293"/>
      <c r="MS1293"/>
      <c r="MT1293"/>
      <c r="MU1293"/>
      <c r="MV1293"/>
      <c r="MW1293"/>
      <c r="MX1293"/>
      <c r="MY1293"/>
      <c r="MZ1293"/>
      <c r="NA1293"/>
      <c r="NB1293"/>
      <c r="NC1293"/>
      <c r="ND1293"/>
      <c r="NE1293"/>
      <c r="NF1293"/>
      <c r="NG1293"/>
      <c r="NH1293"/>
      <c r="NI1293"/>
      <c r="NJ1293"/>
      <c r="NK1293"/>
      <c r="NL1293"/>
      <c r="NM1293"/>
      <c r="NN1293"/>
      <c r="NO1293"/>
      <c r="NP1293"/>
      <c r="NQ1293"/>
      <c r="NR1293"/>
      <c r="NS1293"/>
      <c r="NT1293"/>
      <c r="NU1293"/>
      <c r="NV1293"/>
      <c r="NW1293"/>
      <c r="NX1293"/>
      <c r="NY1293"/>
      <c r="NZ1293"/>
      <c r="OA1293"/>
      <c r="OB1293"/>
      <c r="OC1293"/>
      <c r="OD1293"/>
      <c r="OE1293"/>
      <c r="OF1293"/>
      <c r="OG1293"/>
      <c r="OH1293"/>
      <c r="OI1293"/>
      <c r="OJ1293"/>
      <c r="OK1293"/>
      <c r="OL1293"/>
      <c r="OM1293"/>
      <c r="ON1293"/>
      <c r="OO1293"/>
      <c r="OP1293"/>
      <c r="OQ1293"/>
      <c r="OR1293"/>
      <c r="OS1293"/>
      <c r="OT1293"/>
      <c r="OU1293"/>
      <c r="OV1293"/>
      <c r="OW1293"/>
      <c r="OX1293"/>
      <c r="OY1293"/>
      <c r="OZ1293"/>
      <c r="PA1293"/>
      <c r="PB1293"/>
      <c r="PC1293"/>
      <c r="PD1293"/>
      <c r="PE1293"/>
      <c r="PF1293"/>
      <c r="PG1293"/>
      <c r="PH1293"/>
      <c r="PI1293"/>
      <c r="PJ1293"/>
      <c r="PK1293"/>
      <c r="PL1293"/>
      <c r="PM1293"/>
      <c r="PN1293"/>
      <c r="PO1293"/>
      <c r="PP1293"/>
      <c r="PQ1293"/>
      <c r="PR1293"/>
      <c r="PS1293"/>
      <c r="PT1293"/>
      <c r="PU1293"/>
      <c r="PV1293"/>
      <c r="PW1293"/>
      <c r="PX1293"/>
      <c r="PY1293"/>
      <c r="PZ1293"/>
      <c r="QA1293"/>
      <c r="QB1293"/>
      <c r="QC1293"/>
      <c r="QD1293"/>
      <c r="QE1293"/>
      <c r="QF1293"/>
      <c r="QG1293"/>
      <c r="QH1293"/>
      <c r="QI1293"/>
      <c r="QJ1293"/>
      <c r="QK1293"/>
      <c r="QL1293"/>
      <c r="QM1293"/>
      <c r="QN1293"/>
      <c r="QO1293"/>
      <c r="QP1293"/>
      <c r="QQ1293"/>
      <c r="QR1293"/>
      <c r="QS1293"/>
      <c r="QT1293"/>
      <c r="QU1293"/>
      <c r="QV1293"/>
      <c r="QW1293"/>
      <c r="QX1293"/>
      <c r="QY1293"/>
      <c r="QZ1293"/>
      <c r="RA1293"/>
      <c r="RB1293"/>
      <c r="RC1293"/>
      <c r="RD1293"/>
      <c r="RE1293"/>
      <c r="RF1293"/>
      <c r="RG1293"/>
      <c r="RH1293"/>
      <c r="RI1293"/>
      <c r="RJ1293"/>
      <c r="RK1293"/>
      <c r="RL1293"/>
      <c r="RM1293"/>
      <c r="RN1293"/>
      <c r="RO1293"/>
      <c r="RP1293"/>
      <c r="RQ1293"/>
      <c r="RR1293"/>
      <c r="RS1293"/>
      <c r="RT1293"/>
      <c r="RU1293"/>
      <c r="RV1293"/>
      <c r="RW1293"/>
      <c r="RX1293"/>
      <c r="RY1293"/>
      <c r="RZ1293"/>
      <c r="SA1293"/>
      <c r="SB1293"/>
      <c r="SC1293"/>
      <c r="SD1293"/>
      <c r="SE1293"/>
      <c r="SF1293"/>
      <c r="SG1293"/>
      <c r="SH1293"/>
      <c r="SI1293"/>
      <c r="SJ1293"/>
      <c r="SK1293"/>
      <c r="SL1293"/>
      <c r="SM1293"/>
      <c r="SN1293"/>
      <c r="SO1293"/>
      <c r="SP1293"/>
      <c r="SQ1293"/>
      <c r="SR1293"/>
      <c r="SS1293"/>
      <c r="ST1293"/>
      <c r="SU1293"/>
      <c r="SV1293"/>
      <c r="SW1293"/>
      <c r="SX1293"/>
      <c r="SY1293"/>
      <c r="SZ1293"/>
      <c r="TA1293"/>
      <c r="TB1293"/>
      <c r="TC1293"/>
      <c r="TD1293"/>
      <c r="TE1293"/>
      <c r="TF1293"/>
      <c r="TG1293"/>
      <c r="TH1293"/>
      <c r="TI1293"/>
      <c r="TJ1293"/>
      <c r="TK1293"/>
      <c r="TL1293"/>
      <c r="TM1293"/>
      <c r="TN1293"/>
      <c r="TO1293"/>
      <c r="TP1293"/>
      <c r="TQ1293"/>
      <c r="TR1293"/>
      <c r="TS1293"/>
      <c r="TT1293"/>
      <c r="TU1293"/>
      <c r="TV1293"/>
      <c r="TW1293"/>
      <c r="TX1293"/>
      <c r="TY1293"/>
      <c r="TZ1293"/>
      <c r="UA1293"/>
      <c r="UB1293"/>
      <c r="UC1293"/>
      <c r="UD1293"/>
      <c r="UE1293"/>
      <c r="UF1293"/>
      <c r="UG1293"/>
      <c r="UH1293"/>
      <c r="UI1293"/>
      <c r="UJ1293"/>
      <c r="UK1293"/>
      <c r="UL1293"/>
      <c r="UM1293"/>
      <c r="UN1293"/>
      <c r="UO1293"/>
      <c r="UP1293"/>
      <c r="UQ1293"/>
      <c r="UR1293"/>
      <c r="US1293"/>
      <c r="UT1293"/>
      <c r="UU1293"/>
      <c r="UV1293"/>
      <c r="UW1293"/>
      <c r="UX1293"/>
      <c r="UY1293"/>
      <c r="UZ1293"/>
      <c r="VA1293"/>
      <c r="VB1293"/>
      <c r="VC1293"/>
      <c r="VD1293"/>
      <c r="VE1293"/>
      <c r="VF1293"/>
      <c r="VG1293"/>
      <c r="VH1293"/>
      <c r="VI1293"/>
      <c r="VJ1293"/>
      <c r="VK1293"/>
      <c r="VL1293"/>
      <c r="VM1293"/>
      <c r="VN1293"/>
      <c r="VO1293"/>
      <c r="VP1293"/>
      <c r="VQ1293"/>
      <c r="VR1293"/>
      <c r="VS1293"/>
      <c r="VT1293"/>
      <c r="VU1293"/>
      <c r="VV1293"/>
      <c r="VW1293"/>
      <c r="VX1293"/>
      <c r="VY1293"/>
      <c r="VZ1293"/>
      <c r="WA1293"/>
      <c r="WB1293"/>
      <c r="WC1293"/>
      <c r="WD1293"/>
      <c r="WE1293"/>
      <c r="WF1293"/>
      <c r="WG1293"/>
      <c r="WH1293"/>
      <c r="WI1293"/>
      <c r="WJ1293"/>
      <c r="WK1293"/>
      <c r="WL1293"/>
      <c r="WM1293"/>
      <c r="WN1293"/>
      <c r="WO1293"/>
      <c r="WP1293"/>
      <c r="WQ1293"/>
      <c r="WR1293"/>
      <c r="WS1293"/>
      <c r="WT1293"/>
      <c r="WU1293"/>
      <c r="WV1293"/>
      <c r="WW1293"/>
      <c r="WX1293"/>
      <c r="WY1293"/>
      <c r="WZ1293"/>
      <c r="XA1293"/>
      <c r="XB1293"/>
      <c r="XC1293"/>
      <c r="XD1293"/>
      <c r="XE1293"/>
      <c r="XF1293"/>
      <c r="XG1293"/>
      <c r="XH1293"/>
      <c r="XI1293"/>
      <c r="XJ1293"/>
      <c r="XK1293"/>
      <c r="XL1293"/>
      <c r="XM1293"/>
      <c r="XN1293"/>
      <c r="XO1293"/>
      <c r="XP1293"/>
      <c r="XQ1293"/>
      <c r="XR1293"/>
      <c r="XS1293"/>
      <c r="XT1293"/>
      <c r="XU1293"/>
      <c r="XV1293"/>
      <c r="XW1293"/>
      <c r="XX1293"/>
      <c r="XY1293"/>
      <c r="XZ1293"/>
      <c r="YA1293"/>
      <c r="YB1293"/>
      <c r="YC1293"/>
      <c r="YD1293"/>
      <c r="YE1293"/>
      <c r="YF1293"/>
      <c r="YG1293"/>
      <c r="YH1293"/>
      <c r="YI1293"/>
      <c r="YJ1293"/>
      <c r="YK1293"/>
      <c r="YL1293"/>
      <c r="YM1293"/>
      <c r="YN1293"/>
      <c r="YO1293"/>
      <c r="YP1293"/>
      <c r="YQ1293"/>
      <c r="YR1293"/>
      <c r="YS1293"/>
      <c r="YT1293"/>
      <c r="YU1293"/>
      <c r="YV1293"/>
      <c r="YW1293"/>
      <c r="YX1293"/>
      <c r="YY1293"/>
      <c r="YZ1293"/>
      <c r="ZA1293"/>
      <c r="ZB1293"/>
      <c r="ZC1293"/>
      <c r="ZD1293"/>
      <c r="ZE1293"/>
      <c r="ZF1293"/>
      <c r="ZG1293"/>
      <c r="ZH1293"/>
      <c r="ZI1293"/>
      <c r="ZJ1293"/>
      <c r="ZK1293"/>
      <c r="ZL1293"/>
      <c r="ZM1293"/>
      <c r="ZN1293"/>
      <c r="ZO1293"/>
      <c r="ZP1293"/>
      <c r="ZQ1293"/>
      <c r="ZR1293"/>
      <c r="ZS1293"/>
      <c r="ZT1293"/>
      <c r="ZU1293"/>
      <c r="ZV1293"/>
      <c r="ZW1293"/>
      <c r="ZX1293"/>
      <c r="ZY1293"/>
      <c r="ZZ1293"/>
      <c r="AAA1293"/>
      <c r="AAB1293"/>
      <c r="AAC1293"/>
      <c r="AAD1293"/>
      <c r="AAE1293"/>
      <c r="AAF1293"/>
      <c r="AAG1293"/>
      <c r="AAH1293"/>
      <c r="AAI1293"/>
      <c r="AAJ1293"/>
      <c r="AAK1293"/>
      <c r="AAL1293"/>
      <c r="AAM1293"/>
      <c r="AAN1293"/>
      <c r="AAO1293"/>
      <c r="AAP1293"/>
      <c r="AAQ1293"/>
      <c r="AAR1293"/>
      <c r="AAS1293"/>
      <c r="AAT1293"/>
      <c r="AAU1293"/>
      <c r="AAV1293"/>
      <c r="AAW1293"/>
      <c r="AAX1293"/>
      <c r="AAY1293"/>
      <c r="AAZ1293"/>
      <c r="ABA1293"/>
      <c r="ABB1293"/>
      <c r="ABC1293"/>
      <c r="ABD1293"/>
      <c r="ABE1293"/>
      <c r="ABF1293"/>
      <c r="ABG1293"/>
      <c r="ABH1293"/>
      <c r="ABI1293"/>
      <c r="ABJ1293"/>
      <c r="ABK1293"/>
      <c r="ABL1293"/>
      <c r="ABM1293"/>
      <c r="ABN1293"/>
      <c r="ABO1293"/>
      <c r="ABP1293"/>
      <c r="ABQ1293"/>
      <c r="ABR1293"/>
      <c r="ABS1293"/>
      <c r="ABT1293"/>
      <c r="ABU1293"/>
      <c r="ABV1293"/>
      <c r="ABW1293"/>
      <c r="ABX1293"/>
      <c r="ABY1293"/>
      <c r="ABZ1293"/>
      <c r="ACA1293"/>
      <c r="ACB1293"/>
      <c r="ACC1293"/>
      <c r="ACD1293"/>
      <c r="ACE1293"/>
      <c r="ACF1293"/>
      <c r="ACG1293"/>
      <c r="ACH1293"/>
      <c r="ACI1293"/>
      <c r="ACJ1293"/>
      <c r="ACK1293"/>
      <c r="ACL1293"/>
      <c r="ACM1293"/>
      <c r="ACN1293"/>
      <c r="ACO1293"/>
      <c r="ACP1293"/>
      <c r="ACQ1293"/>
      <c r="ACR1293"/>
      <c r="ACS1293"/>
      <c r="ACT1293"/>
      <c r="ACU1293"/>
      <c r="ACV1293"/>
      <c r="ACW1293"/>
      <c r="ACX1293"/>
      <c r="ACY1293"/>
      <c r="ACZ1293"/>
      <c r="ADA1293"/>
      <c r="ADB1293"/>
      <c r="ADC1293"/>
      <c r="ADD1293"/>
      <c r="ADE1293"/>
      <c r="ADF1293"/>
      <c r="ADG1293"/>
      <c r="ADH1293"/>
      <c r="ADI1293"/>
      <c r="ADJ1293"/>
      <c r="ADK1293"/>
      <c r="ADL1293"/>
      <c r="ADM1293"/>
      <c r="ADN1293"/>
      <c r="ADO1293"/>
      <c r="ADP1293"/>
      <c r="ADQ1293"/>
      <c r="ADR1293"/>
      <c r="ADS1293"/>
      <c r="ADT1293"/>
      <c r="ADU1293"/>
      <c r="ADV1293"/>
      <c r="ADW1293"/>
      <c r="ADX1293"/>
      <c r="ADY1293"/>
      <c r="ADZ1293"/>
      <c r="AEA1293"/>
      <c r="AEB1293"/>
      <c r="AEC1293"/>
      <c r="AED1293"/>
      <c r="AEE1293"/>
      <c r="AEF1293"/>
      <c r="AEG1293"/>
      <c r="AEH1293"/>
      <c r="AEI1293"/>
      <c r="AEJ1293"/>
      <c r="AEK1293"/>
      <c r="AEL1293"/>
      <c r="AEM1293"/>
      <c r="AEN1293"/>
      <c r="AEO1293"/>
      <c r="AEP1293"/>
      <c r="AEQ1293"/>
      <c r="AER1293"/>
      <c r="AES1293"/>
      <c r="AET1293"/>
      <c r="AEU1293"/>
      <c r="AEV1293"/>
      <c r="AEW1293"/>
      <c r="AEX1293"/>
      <c r="AEY1293"/>
      <c r="AEZ1293"/>
      <c r="AFA1293"/>
      <c r="AFB1293"/>
      <c r="AFC1293"/>
      <c r="AFD1293"/>
      <c r="AFE1293"/>
      <c r="AFF1293"/>
      <c r="AFG1293"/>
      <c r="AFH1293"/>
      <c r="AFI1293"/>
      <c r="AFJ1293"/>
      <c r="AFK1293"/>
      <c r="AFL1293"/>
      <c r="AFM1293"/>
      <c r="AFN1293"/>
      <c r="AFO1293"/>
      <c r="AFP1293"/>
      <c r="AFQ1293"/>
      <c r="AFR1293"/>
      <c r="AFS1293"/>
      <c r="AFT1293"/>
      <c r="AFU1293"/>
      <c r="AFV1293"/>
      <c r="AFW1293"/>
      <c r="AFX1293"/>
      <c r="AFY1293"/>
      <c r="AFZ1293"/>
      <c r="AGA1293"/>
      <c r="AGB1293"/>
      <c r="AGC1293"/>
      <c r="AGD1293"/>
      <c r="AGE1293"/>
      <c r="AGF1293"/>
      <c r="AGG1293"/>
      <c r="AGH1293"/>
      <c r="AGI1293"/>
      <c r="AGJ1293"/>
      <c r="AGK1293"/>
      <c r="AGL1293"/>
      <c r="AGM1293"/>
      <c r="AGN1293"/>
      <c r="AGO1293"/>
      <c r="AGP1293"/>
      <c r="AGQ1293"/>
      <c r="AGR1293"/>
      <c r="AGS1293"/>
      <c r="AGT1293"/>
      <c r="AGU1293"/>
      <c r="AGV1293"/>
      <c r="AGW1293"/>
      <c r="AGX1293"/>
      <c r="AGY1293"/>
      <c r="AGZ1293"/>
      <c r="AHA1293"/>
      <c r="AHB1293"/>
      <c r="AHC1293"/>
      <c r="AHD1293"/>
      <c r="AHE1293"/>
      <c r="AHF1293"/>
      <c r="AHG1293"/>
      <c r="AHH1293"/>
      <c r="AHI1293"/>
      <c r="AHJ1293"/>
      <c r="AHK1293"/>
      <c r="AHL1293"/>
      <c r="AHM1293"/>
      <c r="AHN1293"/>
      <c r="AHO1293"/>
      <c r="AHP1293"/>
      <c r="AHQ1293"/>
      <c r="AHR1293"/>
      <c r="AHS1293"/>
      <c r="AHT1293"/>
      <c r="AHU1293"/>
      <c r="AHV1293"/>
      <c r="AHW1293"/>
      <c r="AHX1293"/>
      <c r="AHY1293"/>
      <c r="AHZ1293"/>
      <c r="AIA1293"/>
      <c r="AIB1293"/>
      <c r="AIC1293"/>
      <c r="AID1293"/>
      <c r="AIE1293"/>
      <c r="AIF1293"/>
      <c r="AIG1293"/>
      <c r="AIH1293"/>
      <c r="AII1293"/>
      <c r="AIJ1293"/>
      <c r="AIK1293"/>
      <c r="AIL1293"/>
      <c r="AIM1293"/>
      <c r="AIN1293"/>
      <c r="AIO1293"/>
      <c r="AIP1293"/>
      <c r="AIQ1293"/>
      <c r="AIR1293"/>
      <c r="AIS1293"/>
      <c r="AIT1293"/>
      <c r="AIU1293"/>
      <c r="AIV1293"/>
      <c r="AIW1293"/>
      <c r="AIX1293"/>
      <c r="AIY1293"/>
      <c r="AIZ1293"/>
      <c r="AJA1293"/>
      <c r="AJB1293"/>
      <c r="AJC1293"/>
      <c r="AJD1293"/>
      <c r="AJE1293"/>
      <c r="AJF1293"/>
      <c r="AJG1293"/>
      <c r="AJH1293"/>
      <c r="AJI1293"/>
      <c r="AJJ1293"/>
      <c r="AJK1293"/>
      <c r="AJL1293"/>
      <c r="AJM1293"/>
      <c r="AJN1293"/>
      <c r="AJO1293"/>
      <c r="AJP1293"/>
      <c r="AJQ1293"/>
      <c r="AJR1293"/>
      <c r="AJS1293"/>
      <c r="AJT1293"/>
      <c r="AJU1293"/>
      <c r="AJV1293"/>
      <c r="AJW1293"/>
      <c r="AJX1293"/>
      <c r="AJY1293"/>
      <c r="AJZ1293"/>
      <c r="AKA1293"/>
      <c r="AKB1293"/>
      <c r="AKC1293"/>
      <c r="AKD1293"/>
      <c r="AKE1293"/>
      <c r="AKF1293"/>
      <c r="AKG1293"/>
      <c r="AKH1293"/>
      <c r="AKI1293"/>
      <c r="AKJ1293"/>
      <c r="AKK1293"/>
      <c r="AKL1293"/>
      <c r="AKM1293"/>
      <c r="AKN1293"/>
      <c r="AKO1293"/>
      <c r="AKP1293"/>
      <c r="AKQ1293"/>
      <c r="AKR1293"/>
      <c r="AKS1293"/>
      <c r="AKT1293"/>
      <c r="AKU1293"/>
      <c r="AKV1293"/>
      <c r="AKW1293"/>
      <c r="AKX1293"/>
      <c r="AKY1293"/>
      <c r="AKZ1293"/>
      <c r="ALA1293"/>
      <c r="ALB1293"/>
      <c r="ALC1293"/>
      <c r="ALD1293"/>
      <c r="ALE1293"/>
      <c r="ALF1293"/>
      <c r="ALG1293"/>
      <c r="ALH1293"/>
      <c r="ALI1293"/>
      <c r="ALJ1293"/>
      <c r="ALK1293"/>
      <c r="ALL1293"/>
      <c r="ALM1293"/>
      <c r="ALN1293"/>
      <c r="ALO1293"/>
      <c r="ALP1293"/>
      <c r="ALQ1293"/>
      <c r="ALR1293"/>
      <c r="ALS1293"/>
      <c r="ALT1293"/>
    </row>
    <row r="1294" spans="1:1008" x14ac:dyDescent="0.15">
      <c r="A1294" t="s">
        <v>4051</v>
      </c>
      <c r="B1294" s="8" t="s">
        <v>4080</v>
      </c>
      <c r="C1294" t="s">
        <v>4051</v>
      </c>
      <c r="D1294" s="8" t="s">
        <v>15</v>
      </c>
      <c r="E1294" t="s">
        <v>4051</v>
      </c>
      <c r="F1294" t="s">
        <v>4052</v>
      </c>
      <c r="G1294">
        <v>550</v>
      </c>
      <c r="H1294"/>
      <c r="I1294"/>
      <c r="J1294"/>
      <c r="K1294"/>
      <c r="L1294"/>
      <c r="M1294"/>
      <c r="N1294"/>
      <c r="O1294"/>
      <c r="P1294"/>
      <c r="Q1294"/>
      <c r="R1294"/>
      <c r="S1294"/>
      <c r="T1294"/>
      <c r="U1294"/>
      <c r="V1294"/>
      <c r="W1294"/>
      <c r="X1294"/>
      <c r="Y1294"/>
      <c r="Z1294"/>
      <c r="AA1294"/>
      <c r="AB1294"/>
      <c r="AC1294"/>
      <c r="AD1294"/>
      <c r="AE1294"/>
      <c r="AF1294"/>
      <c r="AG1294"/>
      <c r="AH1294"/>
      <c r="AI1294"/>
      <c r="AJ1294"/>
      <c r="AK1294"/>
      <c r="AL1294"/>
      <c r="AM1294"/>
      <c r="AN1294"/>
      <c r="AO1294"/>
      <c r="AP1294"/>
      <c r="AQ1294"/>
      <c r="AR1294"/>
      <c r="AS1294"/>
      <c r="AT1294"/>
      <c r="AU1294"/>
      <c r="AV1294"/>
      <c r="AW1294"/>
      <c r="AX1294"/>
      <c r="AY1294"/>
      <c r="AZ1294"/>
      <c r="BA1294"/>
      <c r="BB1294"/>
      <c r="BC1294"/>
      <c r="BD1294"/>
      <c r="BE1294"/>
      <c r="BF1294"/>
      <c r="BG1294"/>
      <c r="BH1294"/>
      <c r="BI1294"/>
      <c r="BJ1294"/>
      <c r="BK1294"/>
      <c r="BL1294"/>
      <c r="BM1294"/>
      <c r="BN1294"/>
      <c r="BO1294"/>
      <c r="BP1294"/>
      <c r="BQ1294"/>
      <c r="BR1294"/>
      <c r="BS1294"/>
      <c r="BT1294"/>
      <c r="BU1294"/>
      <c r="BV1294"/>
      <c r="BW1294"/>
      <c r="BX1294"/>
      <c r="BY1294"/>
      <c r="BZ1294"/>
      <c r="CA1294"/>
      <c r="CB1294"/>
      <c r="CC1294"/>
      <c r="CD1294"/>
      <c r="CE1294"/>
      <c r="CF1294"/>
      <c r="CG1294"/>
      <c r="CH1294"/>
      <c r="CI1294"/>
      <c r="CJ1294"/>
      <c r="CK1294"/>
      <c r="CL1294"/>
      <c r="CM1294"/>
      <c r="CN1294"/>
      <c r="CO1294"/>
      <c r="CP1294"/>
      <c r="CQ1294"/>
      <c r="CR1294"/>
      <c r="CS1294"/>
      <c r="CT1294"/>
      <c r="CU1294"/>
      <c r="CV1294"/>
      <c r="CW1294"/>
      <c r="CX1294"/>
      <c r="CY1294"/>
      <c r="CZ1294"/>
      <c r="DA1294"/>
      <c r="DB1294"/>
      <c r="DC1294"/>
      <c r="DD1294"/>
      <c r="DE1294"/>
      <c r="DF1294"/>
      <c r="DG1294"/>
      <c r="DH1294"/>
      <c r="DI1294"/>
      <c r="DJ1294"/>
      <c r="DK1294"/>
      <c r="DL1294"/>
      <c r="DM1294"/>
      <c r="DN1294"/>
      <c r="DO1294"/>
      <c r="DP1294"/>
      <c r="DQ1294"/>
      <c r="DR1294"/>
      <c r="DS1294"/>
      <c r="DT1294"/>
      <c r="DU1294"/>
      <c r="DV1294"/>
      <c r="DW1294"/>
      <c r="DX1294"/>
      <c r="DY1294"/>
      <c r="DZ1294"/>
      <c r="EA1294"/>
      <c r="EB1294"/>
      <c r="EC1294"/>
      <c r="ED1294"/>
      <c r="EE1294"/>
      <c r="EF1294"/>
      <c r="EG1294"/>
      <c r="EH1294"/>
      <c r="EI1294"/>
      <c r="EJ1294"/>
      <c r="EK1294"/>
      <c r="EL1294"/>
      <c r="EM1294"/>
      <c r="EN1294"/>
      <c r="EO1294"/>
      <c r="EP1294"/>
      <c r="EQ1294"/>
      <c r="ER1294"/>
      <c r="ES1294"/>
      <c r="ET1294"/>
      <c r="EU1294"/>
      <c r="EV1294"/>
      <c r="EW1294"/>
      <c r="EX1294"/>
      <c r="EY1294"/>
      <c r="EZ1294"/>
      <c r="FA1294"/>
      <c r="FB1294"/>
      <c r="FC1294"/>
      <c r="FD1294"/>
      <c r="FE1294"/>
      <c r="FF1294"/>
      <c r="FG1294"/>
      <c r="FH1294"/>
      <c r="FI1294"/>
      <c r="FJ1294"/>
      <c r="FK1294"/>
      <c r="FL1294"/>
      <c r="FM1294"/>
      <c r="FN1294"/>
      <c r="FO1294"/>
      <c r="FP1294"/>
      <c r="FQ1294"/>
      <c r="FR1294"/>
      <c r="FS1294"/>
      <c r="FT1294"/>
      <c r="FU1294"/>
      <c r="FV1294"/>
      <c r="FW1294"/>
      <c r="FX1294"/>
      <c r="FY1294"/>
      <c r="FZ1294"/>
      <c r="GA1294"/>
      <c r="GB1294"/>
      <c r="GC1294"/>
      <c r="GD1294"/>
      <c r="GE1294"/>
      <c r="GF1294"/>
      <c r="GG1294"/>
      <c r="GH1294"/>
      <c r="GI1294"/>
      <c r="GJ1294"/>
      <c r="GK1294"/>
      <c r="GL1294"/>
      <c r="GM1294"/>
      <c r="GN1294"/>
      <c r="GO1294"/>
      <c r="GP1294"/>
      <c r="GQ1294"/>
      <c r="GR1294"/>
      <c r="GS1294"/>
      <c r="GT1294"/>
      <c r="GU1294"/>
      <c r="GV1294"/>
      <c r="GW1294"/>
      <c r="GX1294"/>
      <c r="GY1294"/>
      <c r="GZ1294"/>
      <c r="HA1294"/>
      <c r="HB1294"/>
      <c r="HC1294"/>
      <c r="HD1294"/>
      <c r="HE1294"/>
      <c r="HF1294"/>
      <c r="HG1294"/>
      <c r="HH1294"/>
      <c r="HI1294"/>
      <c r="HJ1294"/>
      <c r="HK1294"/>
      <c r="HL1294"/>
      <c r="HM1294"/>
      <c r="HN1294"/>
      <c r="HO1294"/>
      <c r="HP1294"/>
      <c r="HQ1294"/>
      <c r="HR1294"/>
      <c r="HS1294"/>
      <c r="HT1294"/>
      <c r="HU1294"/>
      <c r="HV1294"/>
      <c r="HW1294"/>
      <c r="HX1294"/>
      <c r="HY1294"/>
      <c r="HZ1294"/>
      <c r="IA1294"/>
      <c r="IB1294"/>
      <c r="IC1294"/>
      <c r="ID1294"/>
      <c r="IE1294"/>
      <c r="IF1294"/>
      <c r="IG1294"/>
      <c r="IH1294"/>
      <c r="II1294"/>
      <c r="IJ1294"/>
      <c r="IK1294"/>
      <c r="IL1294"/>
      <c r="IM1294"/>
      <c r="IN1294"/>
      <c r="IO1294"/>
      <c r="IP1294"/>
      <c r="IQ1294"/>
      <c r="IR1294"/>
      <c r="IS1294"/>
      <c r="IT1294"/>
      <c r="IU1294"/>
      <c r="IV1294"/>
      <c r="IW1294"/>
      <c r="IX1294"/>
      <c r="IY1294"/>
      <c r="IZ1294"/>
      <c r="JA1294"/>
      <c r="JB1294"/>
      <c r="JC1294"/>
      <c r="JD1294"/>
      <c r="JE1294"/>
      <c r="JF1294"/>
      <c r="JG1294"/>
      <c r="JH1294"/>
      <c r="JI1294"/>
      <c r="JJ1294"/>
      <c r="JK1294"/>
      <c r="JL1294"/>
      <c r="JM1294"/>
      <c r="JN1294"/>
      <c r="JO1294"/>
      <c r="JP1294"/>
      <c r="JQ1294"/>
      <c r="JR1294"/>
      <c r="JS1294"/>
      <c r="JT1294"/>
      <c r="JU1294"/>
      <c r="JV1294"/>
      <c r="JW1294"/>
      <c r="JX1294"/>
      <c r="JY1294"/>
      <c r="JZ1294"/>
      <c r="KA1294"/>
      <c r="KB1294"/>
      <c r="KC1294"/>
      <c r="KD1294"/>
      <c r="KE1294"/>
      <c r="KF1294"/>
      <c r="KG1294"/>
      <c r="KH1294"/>
      <c r="KI1294"/>
      <c r="KJ1294"/>
      <c r="KK1294"/>
      <c r="KL1294"/>
      <c r="KM1294"/>
      <c r="KN1294"/>
      <c r="KO1294"/>
      <c r="KP1294"/>
      <c r="KQ1294"/>
      <c r="KR1294"/>
      <c r="KS1294"/>
      <c r="KT1294"/>
      <c r="KU1294"/>
      <c r="KV1294"/>
      <c r="KW1294"/>
      <c r="KX1294"/>
      <c r="KY1294"/>
      <c r="KZ1294"/>
      <c r="LA1294"/>
      <c r="LB1294"/>
      <c r="LC1294"/>
      <c r="LD1294"/>
      <c r="LE1294"/>
      <c r="LF1294"/>
      <c r="LG1294"/>
      <c r="LH1294"/>
      <c r="LI1294"/>
      <c r="LJ1294"/>
      <c r="LK1294"/>
      <c r="LL1294"/>
      <c r="LM1294"/>
      <c r="LN1294"/>
      <c r="LO1294"/>
      <c r="LP1294"/>
      <c r="LQ1294"/>
      <c r="LR1294"/>
      <c r="LS1294"/>
      <c r="LT1294"/>
      <c r="LU1294"/>
      <c r="LV1294"/>
      <c r="LW1294"/>
      <c r="LX1294"/>
      <c r="LY1294"/>
      <c r="LZ1294"/>
      <c r="MA1294"/>
      <c r="MB1294"/>
      <c r="MC1294"/>
      <c r="MD1294"/>
      <c r="ME1294"/>
      <c r="MF1294"/>
      <c r="MG1294"/>
      <c r="MH1294"/>
      <c r="MI1294"/>
      <c r="MJ1294"/>
      <c r="MK1294"/>
      <c r="ML1294"/>
      <c r="MM1294"/>
      <c r="MN1294"/>
      <c r="MO1294"/>
      <c r="MP1294"/>
      <c r="MQ1294"/>
      <c r="MR1294"/>
      <c r="MS1294"/>
      <c r="MT1294"/>
      <c r="MU1294"/>
      <c r="MV1294"/>
      <c r="MW1294"/>
      <c r="MX1294"/>
      <c r="MY1294"/>
      <c r="MZ1294"/>
      <c r="NA1294"/>
      <c r="NB1294"/>
      <c r="NC1294"/>
      <c r="ND1294"/>
      <c r="NE1294"/>
      <c r="NF1294"/>
      <c r="NG1294"/>
      <c r="NH1294"/>
      <c r="NI1294"/>
      <c r="NJ1294"/>
      <c r="NK1294"/>
      <c r="NL1294"/>
      <c r="NM1294"/>
      <c r="NN1294"/>
      <c r="NO1294"/>
      <c r="NP1294"/>
      <c r="NQ1294"/>
      <c r="NR1294"/>
      <c r="NS1294"/>
      <c r="NT1294"/>
      <c r="NU1294"/>
      <c r="NV1294"/>
      <c r="NW1294"/>
      <c r="NX1294"/>
      <c r="NY1294"/>
      <c r="NZ1294"/>
      <c r="OA1294"/>
      <c r="OB1294"/>
      <c r="OC1294"/>
      <c r="OD1294"/>
      <c r="OE1294"/>
      <c r="OF1294"/>
      <c r="OG1294"/>
      <c r="OH1294"/>
      <c r="OI1294"/>
      <c r="OJ1294"/>
      <c r="OK1294"/>
      <c r="OL1294"/>
      <c r="OM1294"/>
      <c r="ON1294"/>
      <c r="OO1294"/>
      <c r="OP1294"/>
      <c r="OQ1294"/>
      <c r="OR1294"/>
      <c r="OS1294"/>
      <c r="OT1294"/>
      <c r="OU1294"/>
      <c r="OV1294"/>
      <c r="OW1294"/>
      <c r="OX1294"/>
      <c r="OY1294"/>
      <c r="OZ1294"/>
      <c r="PA1294"/>
      <c r="PB1294"/>
      <c r="PC1294"/>
      <c r="PD1294"/>
      <c r="PE1294"/>
      <c r="PF1294"/>
      <c r="PG1294"/>
      <c r="PH1294"/>
      <c r="PI1294"/>
      <c r="PJ1294"/>
      <c r="PK1294"/>
      <c r="PL1294"/>
      <c r="PM1294"/>
      <c r="PN1294"/>
      <c r="PO1294"/>
      <c r="PP1294"/>
      <c r="PQ1294"/>
      <c r="PR1294"/>
      <c r="PS1294"/>
      <c r="PT1294"/>
      <c r="PU1294"/>
      <c r="PV1294"/>
      <c r="PW1294"/>
      <c r="PX1294"/>
      <c r="PY1294"/>
      <c r="PZ1294"/>
      <c r="QA1294"/>
      <c r="QB1294"/>
      <c r="QC1294"/>
      <c r="QD1294"/>
      <c r="QE1294"/>
      <c r="QF1294"/>
      <c r="QG1294"/>
      <c r="QH1294"/>
      <c r="QI1294"/>
      <c r="QJ1294"/>
      <c r="QK1294"/>
      <c r="QL1294"/>
      <c r="QM1294"/>
      <c r="QN1294"/>
      <c r="QO1294"/>
      <c r="QP1294"/>
      <c r="QQ1294"/>
      <c r="QR1294"/>
      <c r="QS1294"/>
      <c r="QT1294"/>
      <c r="QU1294"/>
      <c r="QV1294"/>
      <c r="QW1294"/>
      <c r="QX1294"/>
      <c r="QY1294"/>
      <c r="QZ1294"/>
      <c r="RA1294"/>
      <c r="RB1294"/>
      <c r="RC1294"/>
      <c r="RD1294"/>
      <c r="RE1294"/>
      <c r="RF1294"/>
      <c r="RG1294"/>
      <c r="RH1294"/>
      <c r="RI1294"/>
      <c r="RJ1294"/>
      <c r="RK1294"/>
      <c r="RL1294"/>
      <c r="RM1294"/>
      <c r="RN1294"/>
      <c r="RO1294"/>
      <c r="RP1294"/>
      <c r="RQ1294"/>
      <c r="RR1294"/>
      <c r="RS1294"/>
      <c r="RT1294"/>
      <c r="RU1294"/>
      <c r="RV1294"/>
      <c r="RW1294"/>
      <c r="RX1294"/>
      <c r="RY1294"/>
      <c r="RZ1294"/>
      <c r="SA1294"/>
      <c r="SB1294"/>
      <c r="SC1294"/>
      <c r="SD1294"/>
      <c r="SE1294"/>
      <c r="SF1294"/>
      <c r="SG1294"/>
      <c r="SH1294"/>
      <c r="SI1294"/>
      <c r="SJ1294"/>
      <c r="SK1294"/>
      <c r="SL1294"/>
      <c r="SM1294"/>
      <c r="SN1294"/>
      <c r="SO1294"/>
      <c r="SP1294"/>
      <c r="SQ1294"/>
      <c r="SR1294"/>
      <c r="SS1294"/>
      <c r="ST1294"/>
      <c r="SU1294"/>
      <c r="SV1294"/>
      <c r="SW1294"/>
      <c r="SX1294"/>
      <c r="SY1294"/>
      <c r="SZ1294"/>
      <c r="TA1294"/>
      <c r="TB1294"/>
      <c r="TC1294"/>
      <c r="TD1294"/>
      <c r="TE1294"/>
      <c r="TF1294"/>
      <c r="TG1294"/>
      <c r="TH1294"/>
      <c r="TI1294"/>
      <c r="TJ1294"/>
      <c r="TK1294"/>
      <c r="TL1294"/>
      <c r="TM1294"/>
      <c r="TN1294"/>
      <c r="TO1294"/>
      <c r="TP1294"/>
      <c r="TQ1294"/>
      <c r="TR1294"/>
      <c r="TS1294"/>
      <c r="TT1294"/>
      <c r="TU1294"/>
      <c r="TV1294"/>
      <c r="TW1294"/>
      <c r="TX1294"/>
      <c r="TY1294"/>
      <c r="TZ1294"/>
      <c r="UA1294"/>
      <c r="UB1294"/>
      <c r="UC1294"/>
      <c r="UD1294"/>
      <c r="UE1294"/>
      <c r="UF1294"/>
      <c r="UG1294"/>
      <c r="UH1294"/>
      <c r="UI1294"/>
      <c r="UJ1294"/>
      <c r="UK1294"/>
      <c r="UL1294"/>
      <c r="UM1294"/>
      <c r="UN1294"/>
      <c r="UO1294"/>
      <c r="UP1294"/>
      <c r="UQ1294"/>
      <c r="UR1294"/>
      <c r="US1294"/>
      <c r="UT1294"/>
      <c r="UU1294"/>
      <c r="UV1294"/>
      <c r="UW1294"/>
      <c r="UX1294"/>
      <c r="UY1294"/>
      <c r="UZ1294"/>
      <c r="VA1294"/>
      <c r="VB1294"/>
      <c r="VC1294"/>
      <c r="VD1294"/>
      <c r="VE1294"/>
      <c r="VF1294"/>
      <c r="VG1294"/>
      <c r="VH1294"/>
      <c r="VI1294"/>
      <c r="VJ1294"/>
      <c r="VK1294"/>
      <c r="VL1294"/>
      <c r="VM1294"/>
      <c r="VN1294"/>
      <c r="VO1294"/>
      <c r="VP1294"/>
      <c r="VQ1294"/>
      <c r="VR1294"/>
      <c r="VS1294"/>
      <c r="VT1294"/>
      <c r="VU1294"/>
      <c r="VV1294"/>
      <c r="VW1294"/>
      <c r="VX1294"/>
      <c r="VY1294"/>
      <c r="VZ1294"/>
      <c r="WA1294"/>
      <c r="WB1294"/>
      <c r="WC1294"/>
      <c r="WD1294"/>
      <c r="WE1294"/>
      <c r="WF1294"/>
      <c r="WG1294"/>
      <c r="WH1294"/>
      <c r="WI1294"/>
      <c r="WJ1294"/>
      <c r="WK1294"/>
      <c r="WL1294"/>
      <c r="WM1294"/>
      <c r="WN1294"/>
      <c r="WO1294"/>
      <c r="WP1294"/>
      <c r="WQ1294"/>
      <c r="WR1294"/>
      <c r="WS1294"/>
      <c r="WT1294"/>
      <c r="WU1294"/>
      <c r="WV1294"/>
      <c r="WW1294"/>
      <c r="WX1294"/>
      <c r="WY1294"/>
      <c r="WZ1294"/>
      <c r="XA1294"/>
      <c r="XB1294"/>
      <c r="XC1294"/>
      <c r="XD1294"/>
      <c r="XE1294"/>
      <c r="XF1294"/>
      <c r="XG1294"/>
      <c r="XH1294"/>
      <c r="XI1294"/>
      <c r="XJ1294"/>
      <c r="XK1294"/>
      <c r="XL1294"/>
      <c r="XM1294"/>
      <c r="XN1294"/>
      <c r="XO1294"/>
      <c r="XP1294"/>
      <c r="XQ1294"/>
      <c r="XR1294"/>
      <c r="XS1294"/>
      <c r="XT1294"/>
      <c r="XU1294"/>
      <c r="XV1294"/>
      <c r="XW1294"/>
      <c r="XX1294"/>
      <c r="XY1294"/>
      <c r="XZ1294"/>
      <c r="YA1294"/>
      <c r="YB1294"/>
      <c r="YC1294"/>
      <c r="YD1294"/>
      <c r="YE1294"/>
      <c r="YF1294"/>
      <c r="YG1294"/>
      <c r="YH1294"/>
      <c r="YI1294"/>
      <c r="YJ1294"/>
      <c r="YK1294"/>
      <c r="YL1294"/>
      <c r="YM1294"/>
      <c r="YN1294"/>
      <c r="YO1294"/>
      <c r="YP1294"/>
      <c r="YQ1294"/>
      <c r="YR1294"/>
      <c r="YS1294"/>
      <c r="YT1294"/>
      <c r="YU1294"/>
      <c r="YV1294"/>
      <c r="YW1294"/>
      <c r="YX1294"/>
      <c r="YY1294"/>
      <c r="YZ1294"/>
      <c r="ZA1294"/>
      <c r="ZB1294"/>
      <c r="ZC1294"/>
      <c r="ZD1294"/>
      <c r="ZE1294"/>
      <c r="ZF1294"/>
      <c r="ZG1294"/>
      <c r="ZH1294"/>
      <c r="ZI1294"/>
      <c r="ZJ1294"/>
      <c r="ZK1294"/>
      <c r="ZL1294"/>
      <c r="ZM1294"/>
      <c r="ZN1294"/>
      <c r="ZO1294"/>
      <c r="ZP1294"/>
      <c r="ZQ1294"/>
      <c r="ZR1294"/>
      <c r="ZS1294"/>
      <c r="ZT1294"/>
      <c r="ZU1294"/>
      <c r="ZV1294"/>
      <c r="ZW1294"/>
      <c r="ZX1294"/>
      <c r="ZY1294"/>
      <c r="ZZ1294"/>
      <c r="AAA1294"/>
      <c r="AAB1294"/>
      <c r="AAC1294"/>
      <c r="AAD1294"/>
      <c r="AAE1294"/>
      <c r="AAF1294"/>
      <c r="AAG1294"/>
      <c r="AAH1294"/>
      <c r="AAI1294"/>
      <c r="AAJ1294"/>
      <c r="AAK1294"/>
      <c r="AAL1294"/>
      <c r="AAM1294"/>
      <c r="AAN1294"/>
      <c r="AAO1294"/>
      <c r="AAP1294"/>
      <c r="AAQ1294"/>
      <c r="AAR1294"/>
      <c r="AAS1294"/>
      <c r="AAT1294"/>
      <c r="AAU1294"/>
      <c r="AAV1294"/>
      <c r="AAW1294"/>
      <c r="AAX1294"/>
      <c r="AAY1294"/>
      <c r="AAZ1294"/>
      <c r="ABA1294"/>
      <c r="ABB1294"/>
      <c r="ABC1294"/>
      <c r="ABD1294"/>
      <c r="ABE1294"/>
      <c r="ABF1294"/>
      <c r="ABG1294"/>
      <c r="ABH1294"/>
      <c r="ABI1294"/>
      <c r="ABJ1294"/>
      <c r="ABK1294"/>
      <c r="ABL1294"/>
      <c r="ABM1294"/>
      <c r="ABN1294"/>
      <c r="ABO1294"/>
      <c r="ABP1294"/>
      <c r="ABQ1294"/>
      <c r="ABR1294"/>
      <c r="ABS1294"/>
      <c r="ABT1294"/>
      <c r="ABU1294"/>
      <c r="ABV1294"/>
      <c r="ABW1294"/>
      <c r="ABX1294"/>
      <c r="ABY1294"/>
      <c r="ABZ1294"/>
      <c r="ACA1294"/>
      <c r="ACB1294"/>
      <c r="ACC1294"/>
      <c r="ACD1294"/>
      <c r="ACE1294"/>
      <c r="ACF1294"/>
      <c r="ACG1294"/>
      <c r="ACH1294"/>
      <c r="ACI1294"/>
      <c r="ACJ1294"/>
      <c r="ACK1294"/>
      <c r="ACL1294"/>
      <c r="ACM1294"/>
      <c r="ACN1294"/>
      <c r="ACO1294"/>
      <c r="ACP1294"/>
      <c r="ACQ1294"/>
      <c r="ACR1294"/>
      <c r="ACS1294"/>
      <c r="ACT1294"/>
      <c r="ACU1294"/>
      <c r="ACV1294"/>
      <c r="ACW1294"/>
      <c r="ACX1294"/>
      <c r="ACY1294"/>
      <c r="ACZ1294"/>
      <c r="ADA1294"/>
      <c r="ADB1294"/>
      <c r="ADC1294"/>
      <c r="ADD1294"/>
      <c r="ADE1294"/>
      <c r="ADF1294"/>
      <c r="ADG1294"/>
      <c r="ADH1294"/>
      <c r="ADI1294"/>
      <c r="ADJ1294"/>
      <c r="ADK1294"/>
      <c r="ADL1294"/>
      <c r="ADM1294"/>
      <c r="ADN1294"/>
      <c r="ADO1294"/>
      <c r="ADP1294"/>
      <c r="ADQ1294"/>
      <c r="ADR1294"/>
      <c r="ADS1294"/>
      <c r="ADT1294"/>
      <c r="ADU1294"/>
      <c r="ADV1294"/>
      <c r="ADW1294"/>
      <c r="ADX1294"/>
      <c r="ADY1294"/>
      <c r="ADZ1294"/>
      <c r="AEA1294"/>
      <c r="AEB1294"/>
      <c r="AEC1294"/>
      <c r="AED1294"/>
      <c r="AEE1294"/>
      <c r="AEF1294"/>
      <c r="AEG1294"/>
      <c r="AEH1294"/>
      <c r="AEI1294"/>
      <c r="AEJ1294"/>
      <c r="AEK1294"/>
      <c r="AEL1294"/>
      <c r="AEM1294"/>
      <c r="AEN1294"/>
      <c r="AEO1294"/>
      <c r="AEP1294"/>
      <c r="AEQ1294"/>
      <c r="AER1294"/>
      <c r="AES1294"/>
      <c r="AET1294"/>
      <c r="AEU1294"/>
      <c r="AEV1294"/>
      <c r="AEW1294"/>
      <c r="AEX1294"/>
      <c r="AEY1294"/>
      <c r="AEZ1294"/>
      <c r="AFA1294"/>
      <c r="AFB1294"/>
      <c r="AFC1294"/>
      <c r="AFD1294"/>
      <c r="AFE1294"/>
      <c r="AFF1294"/>
      <c r="AFG1294"/>
      <c r="AFH1294"/>
      <c r="AFI1294"/>
      <c r="AFJ1294"/>
      <c r="AFK1294"/>
      <c r="AFL1294"/>
      <c r="AFM1294"/>
      <c r="AFN1294"/>
      <c r="AFO1294"/>
      <c r="AFP1294"/>
      <c r="AFQ1294"/>
      <c r="AFR1294"/>
      <c r="AFS1294"/>
      <c r="AFT1294"/>
      <c r="AFU1294"/>
      <c r="AFV1294"/>
      <c r="AFW1294"/>
      <c r="AFX1294"/>
      <c r="AFY1294"/>
      <c r="AFZ1294"/>
      <c r="AGA1294"/>
      <c r="AGB1294"/>
      <c r="AGC1294"/>
      <c r="AGD1294"/>
      <c r="AGE1294"/>
      <c r="AGF1294"/>
      <c r="AGG1294"/>
      <c r="AGH1294"/>
      <c r="AGI1294"/>
      <c r="AGJ1294"/>
      <c r="AGK1294"/>
      <c r="AGL1294"/>
      <c r="AGM1294"/>
      <c r="AGN1294"/>
      <c r="AGO1294"/>
      <c r="AGP1294"/>
      <c r="AGQ1294"/>
      <c r="AGR1294"/>
      <c r="AGS1294"/>
      <c r="AGT1294"/>
      <c r="AGU1294"/>
      <c r="AGV1294"/>
      <c r="AGW1294"/>
      <c r="AGX1294"/>
      <c r="AGY1294"/>
      <c r="AGZ1294"/>
      <c r="AHA1294"/>
      <c r="AHB1294"/>
      <c r="AHC1294"/>
      <c r="AHD1294"/>
      <c r="AHE1294"/>
      <c r="AHF1294"/>
      <c r="AHG1294"/>
      <c r="AHH1294"/>
      <c r="AHI1294"/>
      <c r="AHJ1294"/>
      <c r="AHK1294"/>
      <c r="AHL1294"/>
      <c r="AHM1294"/>
      <c r="AHN1294"/>
      <c r="AHO1294"/>
      <c r="AHP1294"/>
      <c r="AHQ1294"/>
      <c r="AHR1294"/>
      <c r="AHS1294"/>
      <c r="AHT1294"/>
      <c r="AHU1294"/>
      <c r="AHV1294"/>
      <c r="AHW1294"/>
      <c r="AHX1294"/>
      <c r="AHY1294"/>
      <c r="AHZ1294"/>
      <c r="AIA1294"/>
      <c r="AIB1294"/>
      <c r="AIC1294"/>
      <c r="AID1294"/>
      <c r="AIE1294"/>
      <c r="AIF1294"/>
      <c r="AIG1294"/>
      <c r="AIH1294"/>
      <c r="AII1294"/>
      <c r="AIJ1294"/>
      <c r="AIK1294"/>
      <c r="AIL1294"/>
      <c r="AIM1294"/>
      <c r="AIN1294"/>
      <c r="AIO1294"/>
      <c r="AIP1294"/>
      <c r="AIQ1294"/>
      <c r="AIR1294"/>
      <c r="AIS1294"/>
      <c r="AIT1294"/>
      <c r="AIU1294"/>
      <c r="AIV1294"/>
      <c r="AIW1294"/>
      <c r="AIX1294"/>
      <c r="AIY1294"/>
      <c r="AIZ1294"/>
      <c r="AJA1294"/>
      <c r="AJB1294"/>
      <c r="AJC1294"/>
      <c r="AJD1294"/>
      <c r="AJE1294"/>
      <c r="AJF1294"/>
      <c r="AJG1294"/>
      <c r="AJH1294"/>
      <c r="AJI1294"/>
      <c r="AJJ1294"/>
      <c r="AJK1294"/>
      <c r="AJL1294"/>
      <c r="AJM1294"/>
      <c r="AJN1294"/>
      <c r="AJO1294"/>
      <c r="AJP1294"/>
      <c r="AJQ1294"/>
      <c r="AJR1294"/>
      <c r="AJS1294"/>
      <c r="AJT1294"/>
      <c r="AJU1294"/>
      <c r="AJV1294"/>
      <c r="AJW1294"/>
      <c r="AJX1294"/>
      <c r="AJY1294"/>
      <c r="AJZ1294"/>
      <c r="AKA1294"/>
      <c r="AKB1294"/>
      <c r="AKC1294"/>
      <c r="AKD1294"/>
      <c r="AKE1294"/>
      <c r="AKF1294"/>
      <c r="AKG1294"/>
      <c r="AKH1294"/>
      <c r="AKI1294"/>
      <c r="AKJ1294"/>
      <c r="AKK1294"/>
      <c r="AKL1294"/>
      <c r="AKM1294"/>
      <c r="AKN1294"/>
      <c r="AKO1294"/>
      <c r="AKP1294"/>
      <c r="AKQ1294"/>
      <c r="AKR1294"/>
      <c r="AKS1294"/>
      <c r="AKT1294"/>
      <c r="AKU1294"/>
      <c r="AKV1294"/>
      <c r="AKW1294"/>
      <c r="AKX1294"/>
      <c r="AKY1294"/>
      <c r="AKZ1294"/>
      <c r="ALA1294"/>
      <c r="ALB1294"/>
      <c r="ALC1294"/>
      <c r="ALD1294"/>
      <c r="ALE1294"/>
      <c r="ALF1294"/>
      <c r="ALG1294"/>
      <c r="ALH1294"/>
      <c r="ALI1294"/>
      <c r="ALJ1294"/>
      <c r="ALK1294"/>
      <c r="ALL1294"/>
      <c r="ALM1294"/>
      <c r="ALN1294"/>
      <c r="ALO1294"/>
      <c r="ALP1294"/>
      <c r="ALQ1294"/>
      <c r="ALR1294"/>
      <c r="ALS1294"/>
      <c r="ALT1294"/>
    </row>
    <row r="1295" spans="1:1008" x14ac:dyDescent="0.15">
      <c r="A1295" t="s">
        <v>4053</v>
      </c>
      <c r="B1295" s="8" t="s">
        <v>4080</v>
      </c>
      <c r="C1295" t="s">
        <v>4053</v>
      </c>
      <c r="D1295" s="8" t="s">
        <v>15</v>
      </c>
      <c r="E1295" t="s">
        <v>4053</v>
      </c>
      <c r="F1295" t="s">
        <v>4054</v>
      </c>
      <c r="G1295">
        <v>500</v>
      </c>
      <c r="H1295"/>
      <c r="I1295"/>
      <c r="J1295"/>
      <c r="K1295"/>
      <c r="L1295"/>
      <c r="M1295"/>
      <c r="N1295"/>
      <c r="O1295"/>
      <c r="P1295"/>
      <c r="Q1295"/>
      <c r="R1295"/>
      <c r="S1295"/>
      <c r="T1295"/>
      <c r="U1295"/>
      <c r="V1295"/>
      <c r="W1295"/>
      <c r="X1295"/>
      <c r="Y1295"/>
      <c r="Z1295"/>
      <c r="AA1295"/>
      <c r="AB1295"/>
      <c r="AC1295"/>
      <c r="AD1295"/>
      <c r="AE1295"/>
      <c r="AF1295"/>
      <c r="AG1295"/>
      <c r="AH1295"/>
      <c r="AI1295"/>
      <c r="AJ1295"/>
      <c r="AK1295"/>
      <c r="AL1295"/>
      <c r="AM1295"/>
      <c r="AN1295"/>
      <c r="AO1295"/>
      <c r="AP1295"/>
      <c r="AQ1295"/>
      <c r="AR1295"/>
      <c r="AS1295"/>
      <c r="AT1295"/>
      <c r="AU1295"/>
      <c r="AV1295"/>
      <c r="AW1295"/>
      <c r="AX1295"/>
      <c r="AY1295"/>
      <c r="AZ1295"/>
      <c r="BA1295"/>
      <c r="BB1295"/>
      <c r="BC1295"/>
      <c r="BD1295"/>
      <c r="BE1295"/>
      <c r="BF1295"/>
      <c r="BG1295"/>
      <c r="BH1295"/>
      <c r="BI1295"/>
      <c r="BJ1295"/>
      <c r="BK1295"/>
      <c r="BL1295"/>
      <c r="BM1295"/>
      <c r="BN1295"/>
      <c r="BO1295"/>
      <c r="BP1295"/>
      <c r="BQ1295"/>
      <c r="BR1295"/>
      <c r="BS1295"/>
      <c r="BT1295"/>
      <c r="BU1295"/>
      <c r="BV1295"/>
      <c r="BW1295"/>
      <c r="BX1295"/>
      <c r="BY1295"/>
      <c r="BZ1295"/>
      <c r="CA1295"/>
      <c r="CB1295"/>
      <c r="CC1295"/>
      <c r="CD1295"/>
      <c r="CE1295"/>
      <c r="CF1295"/>
      <c r="CG1295"/>
      <c r="CH1295"/>
      <c r="CI1295"/>
      <c r="CJ1295"/>
      <c r="CK1295"/>
      <c r="CL1295"/>
      <c r="CM1295"/>
      <c r="CN1295"/>
      <c r="CO1295"/>
      <c r="CP1295"/>
      <c r="CQ1295"/>
      <c r="CR1295"/>
      <c r="CS1295"/>
      <c r="CT1295"/>
      <c r="CU1295"/>
      <c r="CV1295"/>
      <c r="CW1295"/>
      <c r="CX1295"/>
      <c r="CY1295"/>
      <c r="CZ1295"/>
      <c r="DA1295"/>
      <c r="DB1295"/>
      <c r="DC1295"/>
      <c r="DD1295"/>
      <c r="DE1295"/>
      <c r="DF1295"/>
      <c r="DG1295"/>
      <c r="DH1295"/>
      <c r="DI1295"/>
      <c r="DJ1295"/>
      <c r="DK1295"/>
      <c r="DL1295"/>
      <c r="DM1295"/>
      <c r="DN1295"/>
      <c r="DO1295"/>
      <c r="DP1295"/>
      <c r="DQ1295"/>
      <c r="DR1295"/>
      <c r="DS1295"/>
      <c r="DT1295"/>
      <c r="DU1295"/>
      <c r="DV1295"/>
      <c r="DW1295"/>
      <c r="DX1295"/>
      <c r="DY1295"/>
      <c r="DZ1295"/>
      <c r="EA1295"/>
      <c r="EB1295"/>
      <c r="EC1295"/>
      <c r="ED1295"/>
      <c r="EE1295"/>
      <c r="EF1295"/>
      <c r="EG1295"/>
      <c r="EH1295"/>
      <c r="EI1295"/>
      <c r="EJ1295"/>
      <c r="EK1295"/>
      <c r="EL1295"/>
      <c r="EM1295"/>
      <c r="EN1295"/>
      <c r="EO1295"/>
      <c r="EP1295"/>
      <c r="EQ1295"/>
      <c r="ER1295"/>
      <c r="ES1295"/>
      <c r="ET1295"/>
      <c r="EU1295"/>
      <c r="EV1295"/>
      <c r="EW1295"/>
      <c r="EX1295"/>
      <c r="EY1295"/>
      <c r="EZ1295"/>
      <c r="FA1295"/>
      <c r="FB1295"/>
      <c r="FC1295"/>
      <c r="FD1295"/>
      <c r="FE1295"/>
      <c r="FF1295"/>
      <c r="FG1295"/>
      <c r="FH1295"/>
      <c r="FI1295"/>
      <c r="FJ1295"/>
      <c r="FK1295"/>
      <c r="FL1295"/>
      <c r="FM1295"/>
      <c r="FN1295"/>
      <c r="FO1295"/>
      <c r="FP1295"/>
      <c r="FQ1295"/>
      <c r="FR1295"/>
      <c r="FS1295"/>
      <c r="FT1295"/>
      <c r="FU1295"/>
      <c r="FV1295"/>
      <c r="FW1295"/>
      <c r="FX1295"/>
      <c r="FY1295"/>
      <c r="FZ1295"/>
      <c r="GA1295"/>
      <c r="GB1295"/>
      <c r="GC1295"/>
      <c r="GD1295"/>
      <c r="GE1295"/>
      <c r="GF1295"/>
      <c r="GG1295"/>
      <c r="GH1295"/>
      <c r="GI1295"/>
      <c r="GJ1295"/>
      <c r="GK1295"/>
      <c r="GL1295"/>
      <c r="GM1295"/>
      <c r="GN1295"/>
      <c r="GO1295"/>
      <c r="GP1295"/>
      <c r="GQ1295"/>
      <c r="GR1295"/>
      <c r="GS1295"/>
      <c r="GT1295"/>
      <c r="GU1295"/>
      <c r="GV1295"/>
      <c r="GW1295"/>
      <c r="GX1295"/>
      <c r="GY1295"/>
      <c r="GZ1295"/>
      <c r="HA1295"/>
      <c r="HB1295"/>
      <c r="HC1295"/>
      <c r="HD1295"/>
      <c r="HE1295"/>
      <c r="HF1295"/>
      <c r="HG1295"/>
      <c r="HH1295"/>
      <c r="HI1295"/>
      <c r="HJ1295"/>
      <c r="HK1295"/>
      <c r="HL1295"/>
      <c r="HM1295"/>
      <c r="HN1295"/>
      <c r="HO1295"/>
      <c r="HP1295"/>
      <c r="HQ1295"/>
      <c r="HR1295"/>
      <c r="HS1295"/>
      <c r="HT1295"/>
      <c r="HU1295"/>
      <c r="HV1295"/>
      <c r="HW1295"/>
      <c r="HX1295"/>
      <c r="HY1295"/>
      <c r="HZ1295"/>
      <c r="IA1295"/>
      <c r="IB1295"/>
      <c r="IC1295"/>
      <c r="ID1295"/>
      <c r="IE1295"/>
      <c r="IF1295"/>
      <c r="IG1295"/>
      <c r="IH1295"/>
      <c r="II1295"/>
      <c r="IJ1295"/>
      <c r="IK1295"/>
      <c r="IL1295"/>
      <c r="IM1295"/>
      <c r="IN1295"/>
      <c r="IO1295"/>
      <c r="IP1295"/>
      <c r="IQ1295"/>
      <c r="IR1295"/>
      <c r="IS1295"/>
      <c r="IT1295"/>
      <c r="IU1295"/>
      <c r="IV1295"/>
      <c r="IW1295"/>
      <c r="IX1295"/>
      <c r="IY1295"/>
      <c r="IZ1295"/>
      <c r="JA1295"/>
      <c r="JB1295"/>
      <c r="JC1295"/>
      <c r="JD1295"/>
      <c r="JE1295"/>
      <c r="JF1295"/>
      <c r="JG1295"/>
      <c r="JH1295"/>
      <c r="JI1295"/>
      <c r="JJ1295"/>
      <c r="JK1295"/>
      <c r="JL1295"/>
      <c r="JM1295"/>
      <c r="JN1295"/>
      <c r="JO1295"/>
      <c r="JP1295"/>
      <c r="JQ1295"/>
      <c r="JR1295"/>
      <c r="JS1295"/>
      <c r="JT1295"/>
      <c r="JU1295"/>
      <c r="JV1295"/>
      <c r="JW1295"/>
      <c r="JX1295"/>
      <c r="JY1295"/>
      <c r="JZ1295"/>
      <c r="KA1295"/>
      <c r="KB1295"/>
      <c r="KC1295"/>
      <c r="KD1295"/>
      <c r="KE1295"/>
      <c r="KF1295"/>
      <c r="KG1295"/>
      <c r="KH1295"/>
      <c r="KI1295"/>
      <c r="KJ1295"/>
      <c r="KK1295"/>
      <c r="KL1295"/>
      <c r="KM1295"/>
      <c r="KN1295"/>
      <c r="KO1295"/>
      <c r="KP1295"/>
      <c r="KQ1295"/>
      <c r="KR1295"/>
      <c r="KS1295"/>
      <c r="KT1295"/>
      <c r="KU1295"/>
      <c r="KV1295"/>
      <c r="KW1295"/>
      <c r="KX1295"/>
      <c r="KY1295"/>
      <c r="KZ1295"/>
      <c r="LA1295"/>
      <c r="LB1295"/>
      <c r="LC1295"/>
      <c r="LD1295"/>
      <c r="LE1295"/>
      <c r="LF1295"/>
      <c r="LG1295"/>
      <c r="LH1295"/>
      <c r="LI1295"/>
      <c r="LJ1295"/>
      <c r="LK1295"/>
      <c r="LL1295"/>
      <c r="LM1295"/>
      <c r="LN1295"/>
      <c r="LO1295"/>
      <c r="LP1295"/>
      <c r="LQ1295"/>
      <c r="LR1295"/>
      <c r="LS1295"/>
      <c r="LT1295"/>
      <c r="LU1295"/>
      <c r="LV1295"/>
      <c r="LW1295"/>
      <c r="LX1295"/>
      <c r="LY1295"/>
      <c r="LZ1295"/>
      <c r="MA1295"/>
      <c r="MB1295"/>
      <c r="MC1295"/>
      <c r="MD1295"/>
      <c r="ME1295"/>
      <c r="MF1295"/>
      <c r="MG1295"/>
      <c r="MH1295"/>
      <c r="MI1295"/>
      <c r="MJ1295"/>
      <c r="MK1295"/>
      <c r="ML1295"/>
      <c r="MM1295"/>
      <c r="MN1295"/>
      <c r="MO1295"/>
      <c r="MP1295"/>
      <c r="MQ1295"/>
      <c r="MR1295"/>
      <c r="MS1295"/>
      <c r="MT1295"/>
      <c r="MU1295"/>
      <c r="MV1295"/>
      <c r="MW1295"/>
      <c r="MX1295"/>
      <c r="MY1295"/>
      <c r="MZ1295"/>
      <c r="NA1295"/>
      <c r="NB1295"/>
      <c r="NC1295"/>
      <c r="ND1295"/>
      <c r="NE1295"/>
      <c r="NF1295"/>
      <c r="NG1295"/>
      <c r="NH1295"/>
      <c r="NI1295"/>
      <c r="NJ1295"/>
      <c r="NK1295"/>
      <c r="NL1295"/>
      <c r="NM1295"/>
      <c r="NN1295"/>
      <c r="NO1295"/>
      <c r="NP1295"/>
      <c r="NQ1295"/>
      <c r="NR1295"/>
      <c r="NS1295"/>
      <c r="NT1295"/>
      <c r="NU1295"/>
      <c r="NV1295"/>
      <c r="NW1295"/>
      <c r="NX1295"/>
      <c r="NY1295"/>
      <c r="NZ1295"/>
      <c r="OA1295"/>
      <c r="OB1295"/>
      <c r="OC1295"/>
      <c r="OD1295"/>
      <c r="OE1295"/>
      <c r="OF1295"/>
      <c r="OG1295"/>
      <c r="OH1295"/>
      <c r="OI1295"/>
      <c r="OJ1295"/>
      <c r="OK1295"/>
      <c r="OL1295"/>
      <c r="OM1295"/>
      <c r="ON1295"/>
      <c r="OO1295"/>
      <c r="OP1295"/>
      <c r="OQ1295"/>
      <c r="OR1295"/>
      <c r="OS1295"/>
      <c r="OT1295"/>
      <c r="OU1295"/>
      <c r="OV1295"/>
      <c r="OW1295"/>
      <c r="OX1295"/>
      <c r="OY1295"/>
      <c r="OZ1295"/>
      <c r="PA1295"/>
      <c r="PB1295"/>
      <c r="PC1295"/>
      <c r="PD1295"/>
      <c r="PE1295"/>
      <c r="PF1295"/>
      <c r="PG1295"/>
      <c r="PH1295"/>
      <c r="PI1295"/>
      <c r="PJ1295"/>
      <c r="PK1295"/>
      <c r="PL1295"/>
      <c r="PM1295"/>
      <c r="PN1295"/>
      <c r="PO1295"/>
      <c r="PP1295"/>
      <c r="PQ1295"/>
      <c r="PR1295"/>
      <c r="PS1295"/>
      <c r="PT1295"/>
      <c r="PU1295"/>
      <c r="PV1295"/>
      <c r="PW1295"/>
      <c r="PX1295"/>
      <c r="PY1295"/>
      <c r="PZ1295"/>
      <c r="QA1295"/>
      <c r="QB1295"/>
      <c r="QC1295"/>
      <c r="QD1295"/>
      <c r="QE1295"/>
      <c r="QF1295"/>
      <c r="QG1295"/>
      <c r="QH1295"/>
      <c r="QI1295"/>
      <c r="QJ1295"/>
      <c r="QK1295"/>
      <c r="QL1295"/>
      <c r="QM1295"/>
      <c r="QN1295"/>
      <c r="QO1295"/>
      <c r="QP1295"/>
      <c r="QQ1295"/>
      <c r="QR1295"/>
      <c r="QS1295"/>
      <c r="QT1295"/>
      <c r="QU1295"/>
      <c r="QV1295"/>
      <c r="QW1295"/>
      <c r="QX1295"/>
      <c r="QY1295"/>
      <c r="QZ1295"/>
      <c r="RA1295"/>
      <c r="RB1295"/>
      <c r="RC1295"/>
      <c r="RD1295"/>
      <c r="RE1295"/>
      <c r="RF1295"/>
      <c r="RG1295"/>
      <c r="RH1295"/>
      <c r="RI1295"/>
      <c r="RJ1295"/>
      <c r="RK1295"/>
      <c r="RL1295"/>
      <c r="RM1295"/>
      <c r="RN1295"/>
      <c r="RO1295"/>
      <c r="RP1295"/>
      <c r="RQ1295"/>
      <c r="RR1295"/>
      <c r="RS1295"/>
      <c r="RT1295"/>
      <c r="RU1295"/>
      <c r="RV1295"/>
      <c r="RW1295"/>
      <c r="RX1295"/>
      <c r="RY1295"/>
      <c r="RZ1295"/>
      <c r="SA1295"/>
      <c r="SB1295"/>
      <c r="SC1295"/>
      <c r="SD1295"/>
      <c r="SE1295"/>
      <c r="SF1295"/>
      <c r="SG1295"/>
      <c r="SH1295"/>
      <c r="SI1295"/>
      <c r="SJ1295"/>
      <c r="SK1295"/>
      <c r="SL1295"/>
      <c r="SM1295"/>
      <c r="SN1295"/>
      <c r="SO1295"/>
      <c r="SP1295"/>
      <c r="SQ1295"/>
      <c r="SR1295"/>
      <c r="SS1295"/>
      <c r="ST1295"/>
      <c r="SU1295"/>
      <c r="SV1295"/>
      <c r="SW1295"/>
      <c r="SX1295"/>
      <c r="SY1295"/>
      <c r="SZ1295"/>
      <c r="TA1295"/>
      <c r="TB1295"/>
      <c r="TC1295"/>
      <c r="TD1295"/>
      <c r="TE1295"/>
      <c r="TF1295"/>
      <c r="TG1295"/>
      <c r="TH1295"/>
      <c r="TI1295"/>
      <c r="TJ1295"/>
      <c r="TK1295"/>
      <c r="TL1295"/>
      <c r="TM1295"/>
      <c r="TN1295"/>
      <c r="TO1295"/>
      <c r="TP1295"/>
      <c r="TQ1295"/>
      <c r="TR1295"/>
      <c r="TS1295"/>
      <c r="TT1295"/>
      <c r="TU1295"/>
      <c r="TV1295"/>
      <c r="TW1295"/>
      <c r="TX1295"/>
      <c r="TY1295"/>
      <c r="TZ1295"/>
      <c r="UA1295"/>
      <c r="UB1295"/>
      <c r="UC1295"/>
      <c r="UD1295"/>
      <c r="UE1295"/>
      <c r="UF1295"/>
      <c r="UG1295"/>
      <c r="UH1295"/>
      <c r="UI1295"/>
      <c r="UJ1295"/>
      <c r="UK1295"/>
      <c r="UL1295"/>
      <c r="UM1295"/>
      <c r="UN1295"/>
      <c r="UO1295"/>
      <c r="UP1295"/>
      <c r="UQ1295"/>
      <c r="UR1295"/>
      <c r="US1295"/>
      <c r="UT1295"/>
      <c r="UU1295"/>
      <c r="UV1295"/>
      <c r="UW1295"/>
      <c r="UX1295"/>
      <c r="UY1295"/>
      <c r="UZ1295"/>
      <c r="VA1295"/>
      <c r="VB1295"/>
      <c r="VC1295"/>
      <c r="VD1295"/>
      <c r="VE1295"/>
      <c r="VF1295"/>
      <c r="VG1295"/>
      <c r="VH1295"/>
      <c r="VI1295"/>
      <c r="VJ1295"/>
      <c r="VK1295"/>
      <c r="VL1295"/>
      <c r="VM1295"/>
      <c r="VN1295"/>
      <c r="VO1295"/>
      <c r="VP1295"/>
      <c r="VQ1295"/>
      <c r="VR1295"/>
      <c r="VS1295"/>
      <c r="VT1295"/>
      <c r="VU1295"/>
      <c r="VV1295"/>
      <c r="VW1295"/>
      <c r="VX1295"/>
      <c r="VY1295"/>
      <c r="VZ1295"/>
      <c r="WA1295"/>
      <c r="WB1295"/>
      <c r="WC1295"/>
      <c r="WD1295"/>
      <c r="WE1295"/>
      <c r="WF1295"/>
      <c r="WG1295"/>
      <c r="WH1295"/>
      <c r="WI1295"/>
      <c r="WJ1295"/>
      <c r="WK1295"/>
      <c r="WL1295"/>
      <c r="WM1295"/>
      <c r="WN1295"/>
      <c r="WO1295"/>
      <c r="WP1295"/>
      <c r="WQ1295"/>
      <c r="WR1295"/>
      <c r="WS1295"/>
      <c r="WT1295"/>
      <c r="WU1295"/>
      <c r="WV1295"/>
      <c r="WW1295"/>
      <c r="WX1295"/>
      <c r="WY1295"/>
      <c r="WZ1295"/>
      <c r="XA1295"/>
      <c r="XB1295"/>
      <c r="XC1295"/>
      <c r="XD1295"/>
      <c r="XE1295"/>
      <c r="XF1295"/>
      <c r="XG1295"/>
      <c r="XH1295"/>
      <c r="XI1295"/>
      <c r="XJ1295"/>
      <c r="XK1295"/>
      <c r="XL1295"/>
      <c r="XM1295"/>
      <c r="XN1295"/>
      <c r="XO1295"/>
      <c r="XP1295"/>
      <c r="XQ1295"/>
      <c r="XR1295"/>
      <c r="XS1295"/>
      <c r="XT1295"/>
      <c r="XU1295"/>
      <c r="XV1295"/>
      <c r="XW1295"/>
      <c r="XX1295"/>
      <c r="XY1295"/>
      <c r="XZ1295"/>
      <c r="YA1295"/>
      <c r="YB1295"/>
      <c r="YC1295"/>
      <c r="YD1295"/>
      <c r="YE1295"/>
      <c r="YF1295"/>
      <c r="YG1295"/>
      <c r="YH1295"/>
      <c r="YI1295"/>
      <c r="YJ1295"/>
      <c r="YK1295"/>
      <c r="YL1295"/>
      <c r="YM1295"/>
      <c r="YN1295"/>
      <c r="YO1295"/>
      <c r="YP1295"/>
      <c r="YQ1295"/>
      <c r="YR1295"/>
      <c r="YS1295"/>
      <c r="YT1295"/>
      <c r="YU1295"/>
      <c r="YV1295"/>
      <c r="YW1295"/>
      <c r="YX1295"/>
      <c r="YY1295"/>
      <c r="YZ1295"/>
      <c r="ZA1295"/>
      <c r="ZB1295"/>
      <c r="ZC1295"/>
      <c r="ZD1295"/>
      <c r="ZE1295"/>
      <c r="ZF1295"/>
      <c r="ZG1295"/>
      <c r="ZH1295"/>
      <c r="ZI1295"/>
      <c r="ZJ1295"/>
      <c r="ZK1295"/>
      <c r="ZL1295"/>
      <c r="ZM1295"/>
      <c r="ZN1295"/>
      <c r="ZO1295"/>
      <c r="ZP1295"/>
      <c r="ZQ1295"/>
      <c r="ZR1295"/>
      <c r="ZS1295"/>
      <c r="ZT1295"/>
      <c r="ZU1295"/>
      <c r="ZV1295"/>
      <c r="ZW1295"/>
      <c r="ZX1295"/>
      <c r="ZY1295"/>
      <c r="ZZ1295"/>
      <c r="AAA1295"/>
      <c r="AAB1295"/>
      <c r="AAC1295"/>
      <c r="AAD1295"/>
      <c r="AAE1295"/>
      <c r="AAF1295"/>
      <c r="AAG1295"/>
      <c r="AAH1295"/>
      <c r="AAI1295"/>
      <c r="AAJ1295"/>
      <c r="AAK1295"/>
      <c r="AAL1295"/>
      <c r="AAM1295"/>
      <c r="AAN1295"/>
      <c r="AAO1295"/>
      <c r="AAP1295"/>
      <c r="AAQ1295"/>
      <c r="AAR1295"/>
      <c r="AAS1295"/>
      <c r="AAT1295"/>
      <c r="AAU1295"/>
      <c r="AAV1295"/>
      <c r="AAW1295"/>
      <c r="AAX1295"/>
      <c r="AAY1295"/>
      <c r="AAZ1295"/>
      <c r="ABA1295"/>
      <c r="ABB1295"/>
      <c r="ABC1295"/>
      <c r="ABD1295"/>
      <c r="ABE1295"/>
      <c r="ABF1295"/>
      <c r="ABG1295"/>
      <c r="ABH1295"/>
      <c r="ABI1295"/>
      <c r="ABJ1295"/>
      <c r="ABK1295"/>
      <c r="ABL1295"/>
      <c r="ABM1295"/>
      <c r="ABN1295"/>
      <c r="ABO1295"/>
      <c r="ABP1295"/>
      <c r="ABQ1295"/>
      <c r="ABR1295"/>
      <c r="ABS1295"/>
      <c r="ABT1295"/>
      <c r="ABU1295"/>
      <c r="ABV1295"/>
      <c r="ABW1295"/>
      <c r="ABX1295"/>
      <c r="ABY1295"/>
      <c r="ABZ1295"/>
      <c r="ACA1295"/>
      <c r="ACB1295"/>
      <c r="ACC1295"/>
      <c r="ACD1295"/>
      <c r="ACE1295"/>
      <c r="ACF1295"/>
      <c r="ACG1295"/>
      <c r="ACH1295"/>
      <c r="ACI1295"/>
      <c r="ACJ1295"/>
      <c r="ACK1295"/>
      <c r="ACL1295"/>
      <c r="ACM1295"/>
      <c r="ACN1295"/>
      <c r="ACO1295"/>
      <c r="ACP1295"/>
      <c r="ACQ1295"/>
      <c r="ACR1295"/>
      <c r="ACS1295"/>
      <c r="ACT1295"/>
      <c r="ACU1295"/>
      <c r="ACV1295"/>
      <c r="ACW1295"/>
      <c r="ACX1295"/>
      <c r="ACY1295"/>
      <c r="ACZ1295"/>
      <c r="ADA1295"/>
      <c r="ADB1295"/>
      <c r="ADC1295"/>
      <c r="ADD1295"/>
      <c r="ADE1295"/>
      <c r="ADF1295"/>
      <c r="ADG1295"/>
      <c r="ADH1295"/>
      <c r="ADI1295"/>
      <c r="ADJ1295"/>
      <c r="ADK1295"/>
      <c r="ADL1295"/>
      <c r="ADM1295"/>
      <c r="ADN1295"/>
      <c r="ADO1295"/>
      <c r="ADP1295"/>
      <c r="ADQ1295"/>
      <c r="ADR1295"/>
      <c r="ADS1295"/>
      <c r="ADT1295"/>
      <c r="ADU1295"/>
      <c r="ADV1295"/>
      <c r="ADW1295"/>
      <c r="ADX1295"/>
      <c r="ADY1295"/>
      <c r="ADZ1295"/>
      <c r="AEA1295"/>
      <c r="AEB1295"/>
      <c r="AEC1295"/>
      <c r="AED1295"/>
      <c r="AEE1295"/>
      <c r="AEF1295"/>
      <c r="AEG1295"/>
      <c r="AEH1295"/>
      <c r="AEI1295"/>
      <c r="AEJ1295"/>
      <c r="AEK1295"/>
      <c r="AEL1295"/>
      <c r="AEM1295"/>
      <c r="AEN1295"/>
      <c r="AEO1295"/>
      <c r="AEP1295"/>
      <c r="AEQ1295"/>
      <c r="AER1295"/>
      <c r="AES1295"/>
      <c r="AET1295"/>
      <c r="AEU1295"/>
      <c r="AEV1295"/>
      <c r="AEW1295"/>
      <c r="AEX1295"/>
      <c r="AEY1295"/>
      <c r="AEZ1295"/>
      <c r="AFA1295"/>
      <c r="AFB1295"/>
      <c r="AFC1295"/>
      <c r="AFD1295"/>
      <c r="AFE1295"/>
      <c r="AFF1295"/>
      <c r="AFG1295"/>
      <c r="AFH1295"/>
      <c r="AFI1295"/>
      <c r="AFJ1295"/>
      <c r="AFK1295"/>
      <c r="AFL1295"/>
      <c r="AFM1295"/>
      <c r="AFN1295"/>
      <c r="AFO1295"/>
      <c r="AFP1295"/>
      <c r="AFQ1295"/>
      <c r="AFR1295"/>
      <c r="AFS1295"/>
      <c r="AFT1295"/>
      <c r="AFU1295"/>
      <c r="AFV1295"/>
      <c r="AFW1295"/>
      <c r="AFX1295"/>
      <c r="AFY1295"/>
      <c r="AFZ1295"/>
      <c r="AGA1295"/>
      <c r="AGB1295"/>
      <c r="AGC1295"/>
      <c r="AGD1295"/>
      <c r="AGE1295"/>
      <c r="AGF1295"/>
      <c r="AGG1295"/>
      <c r="AGH1295"/>
      <c r="AGI1295"/>
      <c r="AGJ1295"/>
      <c r="AGK1295"/>
      <c r="AGL1295"/>
      <c r="AGM1295"/>
      <c r="AGN1295"/>
      <c r="AGO1295"/>
      <c r="AGP1295"/>
      <c r="AGQ1295"/>
      <c r="AGR1295"/>
      <c r="AGS1295"/>
      <c r="AGT1295"/>
      <c r="AGU1295"/>
      <c r="AGV1295"/>
      <c r="AGW1295"/>
      <c r="AGX1295"/>
      <c r="AGY1295"/>
      <c r="AGZ1295"/>
      <c r="AHA1295"/>
      <c r="AHB1295"/>
      <c r="AHC1295"/>
      <c r="AHD1295"/>
      <c r="AHE1295"/>
      <c r="AHF1295"/>
      <c r="AHG1295"/>
      <c r="AHH1295"/>
      <c r="AHI1295"/>
      <c r="AHJ1295"/>
      <c r="AHK1295"/>
      <c r="AHL1295"/>
      <c r="AHM1295"/>
      <c r="AHN1295"/>
      <c r="AHO1295"/>
      <c r="AHP1295"/>
      <c r="AHQ1295"/>
      <c r="AHR1295"/>
      <c r="AHS1295"/>
      <c r="AHT1295"/>
      <c r="AHU1295"/>
      <c r="AHV1295"/>
      <c r="AHW1295"/>
      <c r="AHX1295"/>
      <c r="AHY1295"/>
      <c r="AHZ1295"/>
      <c r="AIA1295"/>
      <c r="AIB1295"/>
      <c r="AIC1295"/>
      <c r="AID1295"/>
      <c r="AIE1295"/>
      <c r="AIF1295"/>
      <c r="AIG1295"/>
      <c r="AIH1295"/>
      <c r="AII1295"/>
      <c r="AIJ1295"/>
      <c r="AIK1295"/>
      <c r="AIL1295"/>
      <c r="AIM1295"/>
      <c r="AIN1295"/>
      <c r="AIO1295"/>
      <c r="AIP1295"/>
      <c r="AIQ1295"/>
      <c r="AIR1295"/>
      <c r="AIS1295"/>
      <c r="AIT1295"/>
      <c r="AIU1295"/>
      <c r="AIV1295"/>
      <c r="AIW1295"/>
      <c r="AIX1295"/>
      <c r="AIY1295"/>
      <c r="AIZ1295"/>
      <c r="AJA1295"/>
      <c r="AJB1295"/>
      <c r="AJC1295"/>
      <c r="AJD1295"/>
      <c r="AJE1295"/>
      <c r="AJF1295"/>
      <c r="AJG1295"/>
      <c r="AJH1295"/>
      <c r="AJI1295"/>
      <c r="AJJ1295"/>
      <c r="AJK1295"/>
      <c r="AJL1295"/>
      <c r="AJM1295"/>
      <c r="AJN1295"/>
      <c r="AJO1295"/>
      <c r="AJP1295"/>
      <c r="AJQ1295"/>
      <c r="AJR1295"/>
      <c r="AJS1295"/>
      <c r="AJT1295"/>
      <c r="AJU1295"/>
      <c r="AJV1295"/>
      <c r="AJW1295"/>
      <c r="AJX1295"/>
      <c r="AJY1295"/>
      <c r="AJZ1295"/>
      <c r="AKA1295"/>
      <c r="AKB1295"/>
      <c r="AKC1295"/>
      <c r="AKD1295"/>
      <c r="AKE1295"/>
      <c r="AKF1295"/>
      <c r="AKG1295"/>
      <c r="AKH1295"/>
      <c r="AKI1295"/>
      <c r="AKJ1295"/>
      <c r="AKK1295"/>
      <c r="AKL1295"/>
      <c r="AKM1295"/>
      <c r="AKN1295"/>
      <c r="AKO1295"/>
      <c r="AKP1295"/>
      <c r="AKQ1295"/>
      <c r="AKR1295"/>
      <c r="AKS1295"/>
      <c r="AKT1295"/>
      <c r="AKU1295"/>
      <c r="AKV1295"/>
      <c r="AKW1295"/>
      <c r="AKX1295"/>
      <c r="AKY1295"/>
      <c r="AKZ1295"/>
      <c r="ALA1295"/>
      <c r="ALB1295"/>
      <c r="ALC1295"/>
      <c r="ALD1295"/>
      <c r="ALE1295"/>
      <c r="ALF1295"/>
      <c r="ALG1295"/>
      <c r="ALH1295"/>
      <c r="ALI1295"/>
      <c r="ALJ1295"/>
      <c r="ALK1295"/>
      <c r="ALL1295"/>
      <c r="ALM1295"/>
      <c r="ALN1295"/>
      <c r="ALO1295"/>
      <c r="ALP1295"/>
      <c r="ALQ1295"/>
      <c r="ALR1295"/>
      <c r="ALS1295"/>
      <c r="ALT1295"/>
    </row>
    <row r="1296" spans="1:1008" x14ac:dyDescent="0.15">
      <c r="A1296" t="s">
        <v>4145</v>
      </c>
      <c r="B1296" s="8" t="s">
        <v>4080</v>
      </c>
      <c r="C1296" t="s">
        <v>4145</v>
      </c>
      <c r="D1296" s="8" t="s">
        <v>15</v>
      </c>
      <c r="E1296" t="s">
        <v>4055</v>
      </c>
      <c r="F1296" t="s">
        <v>4056</v>
      </c>
      <c r="G1296">
        <v>520</v>
      </c>
      <c r="H1296"/>
      <c r="I1296"/>
      <c r="J1296"/>
      <c r="K1296"/>
      <c r="L1296"/>
      <c r="M1296"/>
      <c r="N1296"/>
      <c r="O1296"/>
      <c r="P1296"/>
      <c r="Q1296"/>
      <c r="R1296"/>
      <c r="S1296"/>
      <c r="T1296"/>
      <c r="U1296"/>
      <c r="V1296"/>
      <c r="W1296"/>
      <c r="X1296"/>
      <c r="Y1296"/>
      <c r="Z1296"/>
      <c r="AA1296"/>
      <c r="AB1296"/>
      <c r="AC1296"/>
      <c r="AD1296"/>
      <c r="AE1296"/>
      <c r="AF1296"/>
      <c r="AG1296"/>
      <c r="AH1296"/>
      <c r="AI1296"/>
      <c r="AJ1296"/>
      <c r="AK1296"/>
      <c r="AL1296"/>
      <c r="AM1296"/>
      <c r="AN1296"/>
      <c r="AO1296"/>
      <c r="AP1296"/>
      <c r="AQ1296"/>
      <c r="AR1296"/>
      <c r="AS1296"/>
      <c r="AT1296"/>
      <c r="AU1296"/>
      <c r="AV1296"/>
      <c r="AW1296"/>
      <c r="AX1296"/>
      <c r="AY1296"/>
      <c r="AZ1296"/>
      <c r="BA1296"/>
      <c r="BB1296"/>
      <c r="BC1296"/>
      <c r="BD1296"/>
      <c r="BE1296"/>
      <c r="BF1296"/>
      <c r="BG1296"/>
      <c r="BH1296"/>
      <c r="BI1296"/>
      <c r="BJ1296"/>
      <c r="BK1296"/>
      <c r="BL1296"/>
      <c r="BM1296"/>
      <c r="BN1296"/>
      <c r="BO1296"/>
      <c r="BP1296"/>
      <c r="BQ1296"/>
      <c r="BR1296"/>
      <c r="BS1296"/>
      <c r="BT1296"/>
      <c r="BU1296"/>
      <c r="BV1296"/>
      <c r="BW1296"/>
      <c r="BX1296"/>
      <c r="BY1296"/>
      <c r="BZ1296"/>
      <c r="CA1296"/>
      <c r="CB1296"/>
      <c r="CC1296"/>
      <c r="CD1296"/>
      <c r="CE1296"/>
      <c r="CF1296"/>
      <c r="CG1296"/>
      <c r="CH1296"/>
      <c r="CI1296"/>
      <c r="CJ1296"/>
      <c r="CK1296"/>
      <c r="CL1296"/>
      <c r="CM1296"/>
      <c r="CN1296"/>
      <c r="CO1296"/>
      <c r="CP1296"/>
      <c r="CQ1296"/>
      <c r="CR1296"/>
      <c r="CS1296"/>
      <c r="CT1296"/>
      <c r="CU1296"/>
      <c r="CV1296"/>
      <c r="CW1296"/>
      <c r="CX1296"/>
      <c r="CY1296"/>
      <c r="CZ1296"/>
      <c r="DA1296"/>
      <c r="DB1296"/>
      <c r="DC1296"/>
      <c r="DD1296"/>
      <c r="DE1296"/>
      <c r="DF1296"/>
      <c r="DG1296"/>
      <c r="DH1296"/>
      <c r="DI1296"/>
      <c r="DJ1296"/>
      <c r="DK1296"/>
      <c r="DL1296"/>
      <c r="DM1296"/>
      <c r="DN1296"/>
      <c r="DO1296"/>
      <c r="DP1296"/>
      <c r="DQ1296"/>
      <c r="DR1296"/>
      <c r="DS1296"/>
      <c r="DT1296"/>
      <c r="DU1296"/>
      <c r="DV1296"/>
      <c r="DW1296"/>
      <c r="DX1296"/>
      <c r="DY1296"/>
      <c r="DZ1296"/>
      <c r="EA1296"/>
      <c r="EB1296"/>
      <c r="EC1296"/>
      <c r="ED1296"/>
      <c r="EE1296"/>
      <c r="EF1296"/>
      <c r="EG1296"/>
      <c r="EH1296"/>
      <c r="EI1296"/>
      <c r="EJ1296"/>
      <c r="EK1296"/>
      <c r="EL1296"/>
      <c r="EM1296"/>
      <c r="EN1296"/>
      <c r="EO1296"/>
      <c r="EP1296"/>
      <c r="EQ1296"/>
      <c r="ER1296"/>
      <c r="ES1296"/>
      <c r="ET1296"/>
      <c r="EU1296"/>
      <c r="EV1296"/>
      <c r="EW1296"/>
      <c r="EX1296"/>
      <c r="EY1296"/>
      <c r="EZ1296"/>
      <c r="FA1296"/>
      <c r="FB1296"/>
      <c r="FC1296"/>
      <c r="FD1296"/>
      <c r="FE1296"/>
      <c r="FF1296"/>
      <c r="FG1296"/>
      <c r="FH1296"/>
      <c r="FI1296"/>
      <c r="FJ1296"/>
      <c r="FK1296"/>
      <c r="FL1296"/>
      <c r="FM1296"/>
      <c r="FN1296"/>
      <c r="FO1296"/>
      <c r="FP1296"/>
      <c r="FQ1296"/>
      <c r="FR1296"/>
      <c r="FS1296"/>
      <c r="FT1296"/>
      <c r="FU1296"/>
      <c r="FV1296"/>
      <c r="FW1296"/>
      <c r="FX1296"/>
      <c r="FY1296"/>
      <c r="FZ1296"/>
      <c r="GA1296"/>
      <c r="GB1296"/>
      <c r="GC1296"/>
      <c r="GD1296"/>
      <c r="GE1296"/>
      <c r="GF1296"/>
      <c r="GG1296"/>
      <c r="GH1296"/>
      <c r="GI1296"/>
      <c r="GJ1296"/>
      <c r="GK1296"/>
      <c r="GL1296"/>
      <c r="GM1296"/>
      <c r="GN1296"/>
      <c r="GO1296"/>
      <c r="GP1296"/>
      <c r="GQ1296"/>
      <c r="GR1296"/>
      <c r="GS1296"/>
      <c r="GT1296"/>
      <c r="GU1296"/>
      <c r="GV1296"/>
      <c r="GW1296"/>
      <c r="GX1296"/>
      <c r="GY1296"/>
      <c r="GZ1296"/>
      <c r="HA1296"/>
      <c r="HB1296"/>
      <c r="HC1296"/>
      <c r="HD1296"/>
      <c r="HE1296"/>
      <c r="HF1296"/>
      <c r="HG1296"/>
      <c r="HH1296"/>
      <c r="HI1296"/>
      <c r="HJ1296"/>
      <c r="HK1296"/>
      <c r="HL1296"/>
      <c r="HM1296"/>
      <c r="HN1296"/>
      <c r="HO1296"/>
      <c r="HP1296"/>
      <c r="HQ1296"/>
      <c r="HR1296"/>
      <c r="HS1296"/>
      <c r="HT1296"/>
      <c r="HU1296"/>
      <c r="HV1296"/>
      <c r="HW1296"/>
      <c r="HX1296"/>
      <c r="HY1296"/>
      <c r="HZ1296"/>
      <c r="IA1296"/>
      <c r="IB1296"/>
      <c r="IC1296"/>
      <c r="ID1296"/>
      <c r="IE1296"/>
      <c r="IF1296"/>
      <c r="IG1296"/>
      <c r="IH1296"/>
      <c r="II1296"/>
      <c r="IJ1296"/>
      <c r="IK1296"/>
      <c r="IL1296"/>
      <c r="IM1296"/>
      <c r="IN1296"/>
      <c r="IO1296"/>
      <c r="IP1296"/>
      <c r="IQ1296"/>
      <c r="IR1296"/>
      <c r="IS1296"/>
      <c r="IT1296"/>
      <c r="IU1296"/>
      <c r="IV1296"/>
      <c r="IW1296"/>
      <c r="IX1296"/>
      <c r="IY1296"/>
      <c r="IZ1296"/>
      <c r="JA1296"/>
      <c r="JB1296"/>
      <c r="JC1296"/>
      <c r="JD1296"/>
      <c r="JE1296"/>
      <c r="JF1296"/>
      <c r="JG1296"/>
      <c r="JH1296"/>
      <c r="JI1296"/>
      <c r="JJ1296"/>
      <c r="JK1296"/>
      <c r="JL1296"/>
      <c r="JM1296"/>
      <c r="JN1296"/>
      <c r="JO1296"/>
      <c r="JP1296"/>
      <c r="JQ1296"/>
      <c r="JR1296"/>
      <c r="JS1296"/>
      <c r="JT1296"/>
      <c r="JU1296"/>
      <c r="JV1296"/>
      <c r="JW1296"/>
      <c r="JX1296"/>
      <c r="JY1296"/>
      <c r="JZ1296"/>
      <c r="KA1296"/>
      <c r="KB1296"/>
      <c r="KC1296"/>
      <c r="KD1296"/>
      <c r="KE1296"/>
      <c r="KF1296"/>
      <c r="KG1296"/>
      <c r="KH1296"/>
      <c r="KI1296"/>
      <c r="KJ1296"/>
      <c r="KK1296"/>
      <c r="KL1296"/>
      <c r="KM1296"/>
      <c r="KN1296"/>
      <c r="KO1296"/>
      <c r="KP1296"/>
      <c r="KQ1296"/>
      <c r="KR1296"/>
      <c r="KS1296"/>
      <c r="KT1296"/>
      <c r="KU1296"/>
      <c r="KV1296"/>
      <c r="KW1296"/>
      <c r="KX1296"/>
      <c r="KY1296"/>
      <c r="KZ1296"/>
      <c r="LA1296"/>
      <c r="LB1296"/>
      <c r="LC1296"/>
      <c r="LD1296"/>
      <c r="LE1296"/>
      <c r="LF1296"/>
      <c r="LG1296"/>
      <c r="LH1296"/>
      <c r="LI1296"/>
      <c r="LJ1296"/>
      <c r="LK1296"/>
      <c r="LL1296"/>
      <c r="LM1296"/>
      <c r="LN1296"/>
      <c r="LO1296"/>
      <c r="LP1296"/>
      <c r="LQ1296"/>
      <c r="LR1296"/>
      <c r="LS1296"/>
      <c r="LT1296"/>
      <c r="LU1296"/>
      <c r="LV1296"/>
      <c r="LW1296"/>
      <c r="LX1296"/>
      <c r="LY1296"/>
      <c r="LZ1296"/>
      <c r="MA1296"/>
      <c r="MB1296"/>
      <c r="MC1296"/>
      <c r="MD1296"/>
      <c r="ME1296"/>
      <c r="MF1296"/>
      <c r="MG1296"/>
      <c r="MH1296"/>
      <c r="MI1296"/>
      <c r="MJ1296"/>
      <c r="MK1296"/>
      <c r="ML1296"/>
      <c r="MM1296"/>
      <c r="MN1296"/>
      <c r="MO1296"/>
      <c r="MP1296"/>
      <c r="MQ1296"/>
      <c r="MR1296"/>
      <c r="MS1296"/>
      <c r="MT1296"/>
      <c r="MU1296"/>
      <c r="MV1296"/>
      <c r="MW1296"/>
      <c r="MX1296"/>
      <c r="MY1296"/>
      <c r="MZ1296"/>
      <c r="NA1296"/>
      <c r="NB1296"/>
      <c r="NC1296"/>
      <c r="ND1296"/>
      <c r="NE1296"/>
      <c r="NF1296"/>
      <c r="NG1296"/>
      <c r="NH1296"/>
      <c r="NI1296"/>
      <c r="NJ1296"/>
      <c r="NK1296"/>
      <c r="NL1296"/>
      <c r="NM1296"/>
      <c r="NN1296"/>
      <c r="NO1296"/>
      <c r="NP1296"/>
      <c r="NQ1296"/>
      <c r="NR1296"/>
      <c r="NS1296"/>
      <c r="NT1296"/>
      <c r="NU1296"/>
      <c r="NV1296"/>
      <c r="NW1296"/>
      <c r="NX1296"/>
      <c r="NY1296"/>
      <c r="NZ1296"/>
      <c r="OA1296"/>
      <c r="OB1296"/>
      <c r="OC1296"/>
      <c r="OD1296"/>
      <c r="OE1296"/>
      <c r="OF1296"/>
      <c r="OG1296"/>
      <c r="OH1296"/>
      <c r="OI1296"/>
      <c r="OJ1296"/>
      <c r="OK1296"/>
      <c r="OL1296"/>
      <c r="OM1296"/>
      <c r="ON1296"/>
      <c r="OO1296"/>
      <c r="OP1296"/>
      <c r="OQ1296"/>
      <c r="OR1296"/>
      <c r="OS1296"/>
      <c r="OT1296"/>
      <c r="OU1296"/>
      <c r="OV1296"/>
      <c r="OW1296"/>
      <c r="OX1296"/>
      <c r="OY1296"/>
      <c r="OZ1296"/>
      <c r="PA1296"/>
      <c r="PB1296"/>
      <c r="PC1296"/>
      <c r="PD1296"/>
      <c r="PE1296"/>
      <c r="PF1296"/>
      <c r="PG1296"/>
      <c r="PH1296"/>
      <c r="PI1296"/>
      <c r="PJ1296"/>
      <c r="PK1296"/>
      <c r="PL1296"/>
      <c r="PM1296"/>
      <c r="PN1296"/>
      <c r="PO1296"/>
      <c r="PP1296"/>
      <c r="PQ1296"/>
      <c r="PR1296"/>
      <c r="PS1296"/>
      <c r="PT1296"/>
      <c r="PU1296"/>
      <c r="PV1296"/>
      <c r="PW1296"/>
      <c r="PX1296"/>
      <c r="PY1296"/>
      <c r="PZ1296"/>
      <c r="QA1296"/>
      <c r="QB1296"/>
      <c r="QC1296"/>
      <c r="QD1296"/>
      <c r="QE1296"/>
      <c r="QF1296"/>
      <c r="QG1296"/>
      <c r="QH1296"/>
      <c r="QI1296"/>
      <c r="QJ1296"/>
      <c r="QK1296"/>
      <c r="QL1296"/>
      <c r="QM1296"/>
      <c r="QN1296"/>
      <c r="QO1296"/>
      <c r="QP1296"/>
      <c r="QQ1296"/>
      <c r="QR1296"/>
      <c r="QS1296"/>
      <c r="QT1296"/>
      <c r="QU1296"/>
      <c r="QV1296"/>
      <c r="QW1296"/>
      <c r="QX1296"/>
      <c r="QY1296"/>
      <c r="QZ1296"/>
      <c r="RA1296"/>
      <c r="RB1296"/>
      <c r="RC1296"/>
      <c r="RD1296"/>
      <c r="RE1296"/>
      <c r="RF1296"/>
      <c r="RG1296"/>
      <c r="RH1296"/>
      <c r="RI1296"/>
      <c r="RJ1296"/>
      <c r="RK1296"/>
      <c r="RL1296"/>
      <c r="RM1296"/>
      <c r="RN1296"/>
      <c r="RO1296"/>
      <c r="RP1296"/>
      <c r="RQ1296"/>
      <c r="RR1296"/>
      <c r="RS1296"/>
      <c r="RT1296"/>
      <c r="RU1296"/>
      <c r="RV1296"/>
      <c r="RW1296"/>
      <c r="RX1296"/>
      <c r="RY1296"/>
      <c r="RZ1296"/>
      <c r="SA1296"/>
      <c r="SB1296"/>
      <c r="SC1296"/>
      <c r="SD1296"/>
      <c r="SE1296"/>
      <c r="SF1296"/>
      <c r="SG1296"/>
      <c r="SH1296"/>
      <c r="SI1296"/>
      <c r="SJ1296"/>
      <c r="SK1296"/>
      <c r="SL1296"/>
      <c r="SM1296"/>
      <c r="SN1296"/>
      <c r="SO1296"/>
      <c r="SP1296"/>
      <c r="SQ1296"/>
      <c r="SR1296"/>
      <c r="SS1296"/>
      <c r="ST1296"/>
      <c r="SU1296"/>
      <c r="SV1296"/>
      <c r="SW1296"/>
      <c r="SX1296"/>
      <c r="SY1296"/>
      <c r="SZ1296"/>
      <c r="TA1296"/>
      <c r="TB1296"/>
      <c r="TC1296"/>
      <c r="TD1296"/>
      <c r="TE1296"/>
      <c r="TF1296"/>
      <c r="TG1296"/>
      <c r="TH1296"/>
      <c r="TI1296"/>
      <c r="TJ1296"/>
      <c r="TK1296"/>
      <c r="TL1296"/>
      <c r="TM1296"/>
      <c r="TN1296"/>
      <c r="TO1296"/>
      <c r="TP1296"/>
      <c r="TQ1296"/>
      <c r="TR1296"/>
      <c r="TS1296"/>
      <c r="TT1296"/>
      <c r="TU1296"/>
      <c r="TV1296"/>
      <c r="TW1296"/>
      <c r="TX1296"/>
      <c r="TY1296"/>
      <c r="TZ1296"/>
      <c r="UA1296"/>
      <c r="UB1296"/>
      <c r="UC1296"/>
      <c r="UD1296"/>
      <c r="UE1296"/>
      <c r="UF1296"/>
      <c r="UG1296"/>
      <c r="UH1296"/>
      <c r="UI1296"/>
      <c r="UJ1296"/>
      <c r="UK1296"/>
      <c r="UL1296"/>
      <c r="UM1296"/>
      <c r="UN1296"/>
      <c r="UO1296"/>
      <c r="UP1296"/>
      <c r="UQ1296"/>
      <c r="UR1296"/>
      <c r="US1296"/>
      <c r="UT1296"/>
      <c r="UU1296"/>
      <c r="UV1296"/>
      <c r="UW1296"/>
      <c r="UX1296"/>
      <c r="UY1296"/>
      <c r="UZ1296"/>
      <c r="VA1296"/>
      <c r="VB1296"/>
      <c r="VC1296"/>
      <c r="VD1296"/>
      <c r="VE1296"/>
      <c r="VF1296"/>
      <c r="VG1296"/>
      <c r="VH1296"/>
      <c r="VI1296"/>
      <c r="VJ1296"/>
      <c r="VK1296"/>
      <c r="VL1296"/>
      <c r="VM1296"/>
      <c r="VN1296"/>
      <c r="VO1296"/>
      <c r="VP1296"/>
      <c r="VQ1296"/>
      <c r="VR1296"/>
      <c r="VS1296"/>
      <c r="VT1296"/>
      <c r="VU1296"/>
      <c r="VV1296"/>
      <c r="VW1296"/>
      <c r="VX1296"/>
      <c r="VY1296"/>
      <c r="VZ1296"/>
      <c r="WA1296"/>
      <c r="WB1296"/>
      <c r="WC1296"/>
      <c r="WD1296"/>
      <c r="WE1296"/>
      <c r="WF1296"/>
      <c r="WG1296"/>
      <c r="WH1296"/>
      <c r="WI1296"/>
      <c r="WJ1296"/>
      <c r="WK1296"/>
      <c r="WL1296"/>
      <c r="WM1296"/>
      <c r="WN1296"/>
      <c r="WO1296"/>
      <c r="WP1296"/>
      <c r="WQ1296"/>
      <c r="WR1296"/>
      <c r="WS1296"/>
      <c r="WT1296"/>
      <c r="WU1296"/>
      <c r="WV1296"/>
      <c r="WW1296"/>
      <c r="WX1296"/>
      <c r="WY1296"/>
      <c r="WZ1296"/>
      <c r="XA1296"/>
      <c r="XB1296"/>
      <c r="XC1296"/>
      <c r="XD1296"/>
      <c r="XE1296"/>
      <c r="XF1296"/>
      <c r="XG1296"/>
      <c r="XH1296"/>
      <c r="XI1296"/>
      <c r="XJ1296"/>
      <c r="XK1296"/>
      <c r="XL1296"/>
      <c r="XM1296"/>
      <c r="XN1296"/>
      <c r="XO1296"/>
      <c r="XP1296"/>
      <c r="XQ1296"/>
      <c r="XR1296"/>
      <c r="XS1296"/>
      <c r="XT1296"/>
      <c r="XU1296"/>
      <c r="XV1296"/>
      <c r="XW1296"/>
      <c r="XX1296"/>
      <c r="XY1296"/>
      <c r="XZ1296"/>
      <c r="YA1296"/>
      <c r="YB1296"/>
      <c r="YC1296"/>
      <c r="YD1296"/>
      <c r="YE1296"/>
      <c r="YF1296"/>
      <c r="YG1296"/>
      <c r="YH1296"/>
      <c r="YI1296"/>
      <c r="YJ1296"/>
      <c r="YK1296"/>
      <c r="YL1296"/>
      <c r="YM1296"/>
      <c r="YN1296"/>
      <c r="YO1296"/>
      <c r="YP1296"/>
      <c r="YQ1296"/>
      <c r="YR1296"/>
      <c r="YS1296"/>
      <c r="YT1296"/>
      <c r="YU1296"/>
      <c r="YV1296"/>
      <c r="YW1296"/>
      <c r="YX1296"/>
      <c r="YY1296"/>
      <c r="YZ1296"/>
      <c r="ZA1296"/>
      <c r="ZB1296"/>
      <c r="ZC1296"/>
      <c r="ZD1296"/>
      <c r="ZE1296"/>
      <c r="ZF1296"/>
      <c r="ZG1296"/>
      <c r="ZH1296"/>
      <c r="ZI1296"/>
      <c r="ZJ1296"/>
      <c r="ZK1296"/>
      <c r="ZL1296"/>
      <c r="ZM1296"/>
      <c r="ZN1296"/>
      <c r="ZO1296"/>
      <c r="ZP1296"/>
      <c r="ZQ1296"/>
      <c r="ZR1296"/>
      <c r="ZS1296"/>
      <c r="ZT1296"/>
      <c r="ZU1296"/>
      <c r="ZV1296"/>
      <c r="ZW1296"/>
      <c r="ZX1296"/>
      <c r="ZY1296"/>
      <c r="ZZ1296"/>
      <c r="AAA1296"/>
      <c r="AAB1296"/>
      <c r="AAC1296"/>
      <c r="AAD1296"/>
      <c r="AAE1296"/>
      <c r="AAF1296"/>
      <c r="AAG1296"/>
      <c r="AAH1296"/>
      <c r="AAI1296"/>
      <c r="AAJ1296"/>
      <c r="AAK1296"/>
      <c r="AAL1296"/>
      <c r="AAM1296"/>
      <c r="AAN1296"/>
      <c r="AAO1296"/>
      <c r="AAP1296"/>
      <c r="AAQ1296"/>
      <c r="AAR1296"/>
      <c r="AAS1296"/>
      <c r="AAT1296"/>
      <c r="AAU1296"/>
      <c r="AAV1296"/>
      <c r="AAW1296"/>
      <c r="AAX1296"/>
      <c r="AAY1296"/>
      <c r="AAZ1296"/>
      <c r="ABA1296"/>
      <c r="ABB1296"/>
      <c r="ABC1296"/>
      <c r="ABD1296"/>
      <c r="ABE1296"/>
      <c r="ABF1296"/>
      <c r="ABG1296"/>
      <c r="ABH1296"/>
      <c r="ABI1296"/>
      <c r="ABJ1296"/>
      <c r="ABK1296"/>
      <c r="ABL1296"/>
      <c r="ABM1296"/>
      <c r="ABN1296"/>
      <c r="ABO1296"/>
      <c r="ABP1296"/>
      <c r="ABQ1296"/>
      <c r="ABR1296"/>
      <c r="ABS1296"/>
      <c r="ABT1296"/>
      <c r="ABU1296"/>
      <c r="ABV1296"/>
      <c r="ABW1296"/>
      <c r="ABX1296"/>
      <c r="ABY1296"/>
      <c r="ABZ1296"/>
      <c r="ACA1296"/>
      <c r="ACB1296"/>
      <c r="ACC1296"/>
      <c r="ACD1296"/>
      <c r="ACE1296"/>
      <c r="ACF1296"/>
      <c r="ACG1296"/>
      <c r="ACH1296"/>
      <c r="ACI1296"/>
      <c r="ACJ1296"/>
      <c r="ACK1296"/>
      <c r="ACL1296"/>
      <c r="ACM1296"/>
      <c r="ACN1296"/>
      <c r="ACO1296"/>
      <c r="ACP1296"/>
      <c r="ACQ1296"/>
      <c r="ACR1296"/>
      <c r="ACS1296"/>
      <c r="ACT1296"/>
      <c r="ACU1296"/>
      <c r="ACV1296"/>
      <c r="ACW1296"/>
      <c r="ACX1296"/>
      <c r="ACY1296"/>
      <c r="ACZ1296"/>
      <c r="ADA1296"/>
      <c r="ADB1296"/>
      <c r="ADC1296"/>
      <c r="ADD1296"/>
      <c r="ADE1296"/>
      <c r="ADF1296"/>
      <c r="ADG1296"/>
      <c r="ADH1296"/>
      <c r="ADI1296"/>
      <c r="ADJ1296"/>
      <c r="ADK1296"/>
      <c r="ADL1296"/>
      <c r="ADM1296"/>
      <c r="ADN1296"/>
      <c r="ADO1296"/>
      <c r="ADP1296"/>
      <c r="ADQ1296"/>
      <c r="ADR1296"/>
      <c r="ADS1296"/>
      <c r="ADT1296"/>
      <c r="ADU1296"/>
      <c r="ADV1296"/>
      <c r="ADW1296"/>
      <c r="ADX1296"/>
      <c r="ADY1296"/>
      <c r="ADZ1296"/>
      <c r="AEA1296"/>
      <c r="AEB1296"/>
      <c r="AEC1296"/>
      <c r="AED1296"/>
      <c r="AEE1296"/>
      <c r="AEF1296"/>
      <c r="AEG1296"/>
      <c r="AEH1296"/>
      <c r="AEI1296"/>
      <c r="AEJ1296"/>
      <c r="AEK1296"/>
      <c r="AEL1296"/>
      <c r="AEM1296"/>
      <c r="AEN1296"/>
      <c r="AEO1296"/>
      <c r="AEP1296"/>
      <c r="AEQ1296"/>
      <c r="AER1296"/>
      <c r="AES1296"/>
      <c r="AET1296"/>
      <c r="AEU1296"/>
      <c r="AEV1296"/>
      <c r="AEW1296"/>
      <c r="AEX1296"/>
      <c r="AEY1296"/>
      <c r="AEZ1296"/>
      <c r="AFA1296"/>
      <c r="AFB1296"/>
      <c r="AFC1296"/>
      <c r="AFD1296"/>
      <c r="AFE1296"/>
      <c r="AFF1296"/>
      <c r="AFG1296"/>
      <c r="AFH1296"/>
      <c r="AFI1296"/>
      <c r="AFJ1296"/>
      <c r="AFK1296"/>
      <c r="AFL1296"/>
      <c r="AFM1296"/>
      <c r="AFN1296"/>
      <c r="AFO1296"/>
      <c r="AFP1296"/>
      <c r="AFQ1296"/>
      <c r="AFR1296"/>
      <c r="AFS1296"/>
      <c r="AFT1296"/>
      <c r="AFU1296"/>
      <c r="AFV1296"/>
      <c r="AFW1296"/>
      <c r="AFX1296"/>
      <c r="AFY1296"/>
      <c r="AFZ1296"/>
      <c r="AGA1296"/>
      <c r="AGB1296"/>
      <c r="AGC1296"/>
      <c r="AGD1296"/>
      <c r="AGE1296"/>
      <c r="AGF1296"/>
      <c r="AGG1296"/>
      <c r="AGH1296"/>
      <c r="AGI1296"/>
      <c r="AGJ1296"/>
      <c r="AGK1296"/>
      <c r="AGL1296"/>
      <c r="AGM1296"/>
      <c r="AGN1296"/>
      <c r="AGO1296"/>
      <c r="AGP1296"/>
      <c r="AGQ1296"/>
      <c r="AGR1296"/>
      <c r="AGS1296"/>
      <c r="AGT1296"/>
      <c r="AGU1296"/>
      <c r="AGV1296"/>
      <c r="AGW1296"/>
      <c r="AGX1296"/>
      <c r="AGY1296"/>
      <c r="AGZ1296"/>
      <c r="AHA1296"/>
      <c r="AHB1296"/>
      <c r="AHC1296"/>
      <c r="AHD1296"/>
      <c r="AHE1296"/>
      <c r="AHF1296"/>
      <c r="AHG1296"/>
      <c r="AHH1296"/>
      <c r="AHI1296"/>
      <c r="AHJ1296"/>
      <c r="AHK1296"/>
      <c r="AHL1296"/>
      <c r="AHM1296"/>
      <c r="AHN1296"/>
      <c r="AHO1296"/>
      <c r="AHP1296"/>
      <c r="AHQ1296"/>
      <c r="AHR1296"/>
      <c r="AHS1296"/>
      <c r="AHT1296"/>
      <c r="AHU1296"/>
      <c r="AHV1296"/>
      <c r="AHW1296"/>
      <c r="AHX1296"/>
      <c r="AHY1296"/>
      <c r="AHZ1296"/>
      <c r="AIA1296"/>
      <c r="AIB1296"/>
      <c r="AIC1296"/>
      <c r="AID1296"/>
      <c r="AIE1296"/>
      <c r="AIF1296"/>
      <c r="AIG1296"/>
      <c r="AIH1296"/>
      <c r="AII1296"/>
      <c r="AIJ1296"/>
      <c r="AIK1296"/>
      <c r="AIL1296"/>
      <c r="AIM1296"/>
      <c r="AIN1296"/>
      <c r="AIO1296"/>
      <c r="AIP1296"/>
      <c r="AIQ1296"/>
      <c r="AIR1296"/>
      <c r="AIS1296"/>
      <c r="AIT1296"/>
      <c r="AIU1296"/>
      <c r="AIV1296"/>
      <c r="AIW1296"/>
      <c r="AIX1296"/>
      <c r="AIY1296"/>
      <c r="AIZ1296"/>
      <c r="AJA1296"/>
      <c r="AJB1296"/>
      <c r="AJC1296"/>
      <c r="AJD1296"/>
      <c r="AJE1296"/>
      <c r="AJF1296"/>
      <c r="AJG1296"/>
      <c r="AJH1296"/>
      <c r="AJI1296"/>
      <c r="AJJ1296"/>
      <c r="AJK1296"/>
      <c r="AJL1296"/>
      <c r="AJM1296"/>
      <c r="AJN1296"/>
      <c r="AJO1296"/>
      <c r="AJP1296"/>
      <c r="AJQ1296"/>
      <c r="AJR1296"/>
      <c r="AJS1296"/>
      <c r="AJT1296"/>
      <c r="AJU1296"/>
      <c r="AJV1296"/>
      <c r="AJW1296"/>
      <c r="AJX1296"/>
      <c r="AJY1296"/>
      <c r="AJZ1296"/>
      <c r="AKA1296"/>
      <c r="AKB1296"/>
      <c r="AKC1296"/>
      <c r="AKD1296"/>
      <c r="AKE1296"/>
      <c r="AKF1296"/>
      <c r="AKG1296"/>
      <c r="AKH1296"/>
      <c r="AKI1296"/>
      <c r="AKJ1296"/>
      <c r="AKK1296"/>
      <c r="AKL1296"/>
      <c r="AKM1296"/>
      <c r="AKN1296"/>
      <c r="AKO1296"/>
      <c r="AKP1296"/>
      <c r="AKQ1296"/>
      <c r="AKR1296"/>
      <c r="AKS1296"/>
      <c r="AKT1296"/>
      <c r="AKU1296"/>
      <c r="AKV1296"/>
      <c r="AKW1296"/>
      <c r="AKX1296"/>
      <c r="AKY1296"/>
      <c r="AKZ1296"/>
      <c r="ALA1296"/>
      <c r="ALB1296"/>
      <c r="ALC1296"/>
      <c r="ALD1296"/>
      <c r="ALE1296"/>
      <c r="ALF1296"/>
      <c r="ALG1296"/>
      <c r="ALH1296"/>
      <c r="ALI1296"/>
      <c r="ALJ1296"/>
      <c r="ALK1296"/>
      <c r="ALL1296"/>
      <c r="ALM1296"/>
      <c r="ALN1296"/>
      <c r="ALO1296"/>
      <c r="ALP1296"/>
      <c r="ALQ1296"/>
      <c r="ALR1296"/>
      <c r="ALS1296"/>
      <c r="ALT1296"/>
    </row>
    <row r="1297" spans="1:1008" x14ac:dyDescent="0.15">
      <c r="A1297" t="s">
        <v>4146</v>
      </c>
      <c r="B1297" s="8" t="s">
        <v>4080</v>
      </c>
      <c r="C1297" t="s">
        <v>4146</v>
      </c>
      <c r="D1297" s="8" t="s">
        <v>15</v>
      </c>
      <c r="E1297" t="s">
        <v>4057</v>
      </c>
      <c r="F1297" t="s">
        <v>4058</v>
      </c>
      <c r="G1297">
        <v>500</v>
      </c>
      <c r="H1297"/>
      <c r="I1297"/>
      <c r="J1297"/>
      <c r="K1297"/>
      <c r="L1297"/>
      <c r="M1297"/>
      <c r="N1297"/>
      <c r="O1297"/>
      <c r="P1297"/>
      <c r="Q1297"/>
      <c r="R1297"/>
      <c r="S1297"/>
      <c r="T1297"/>
      <c r="U1297"/>
      <c r="V1297"/>
      <c r="W1297"/>
      <c r="X1297"/>
      <c r="Y1297"/>
      <c r="Z1297"/>
      <c r="AA1297"/>
      <c r="AB1297"/>
      <c r="AC1297"/>
      <c r="AD1297"/>
      <c r="AE1297"/>
      <c r="AF1297"/>
      <c r="AG1297"/>
      <c r="AH1297"/>
      <c r="AI1297"/>
      <c r="AJ1297"/>
      <c r="AK1297"/>
      <c r="AL1297"/>
      <c r="AM1297"/>
      <c r="AN1297"/>
      <c r="AO1297"/>
      <c r="AP1297"/>
      <c r="AQ1297"/>
      <c r="AR1297"/>
      <c r="AS1297"/>
      <c r="AT1297"/>
      <c r="AU1297"/>
      <c r="AV1297"/>
      <c r="AW1297"/>
      <c r="AX1297"/>
      <c r="AY1297"/>
      <c r="AZ1297"/>
      <c r="BA1297"/>
      <c r="BB1297"/>
      <c r="BC1297"/>
      <c r="BD1297"/>
      <c r="BE1297"/>
      <c r="BF1297"/>
      <c r="BG1297"/>
      <c r="BH1297"/>
      <c r="BI1297"/>
      <c r="BJ1297"/>
      <c r="BK1297"/>
      <c r="BL1297"/>
      <c r="BM1297"/>
      <c r="BN1297"/>
      <c r="BO1297"/>
      <c r="BP1297"/>
      <c r="BQ1297"/>
      <c r="BR1297"/>
      <c r="BS1297"/>
      <c r="BT1297"/>
      <c r="BU1297"/>
      <c r="BV1297"/>
      <c r="BW1297"/>
      <c r="BX1297"/>
      <c r="BY1297"/>
      <c r="BZ1297"/>
      <c r="CA1297"/>
      <c r="CB1297"/>
      <c r="CC1297"/>
      <c r="CD1297"/>
      <c r="CE1297"/>
      <c r="CF1297"/>
      <c r="CG1297"/>
      <c r="CH1297"/>
      <c r="CI1297"/>
      <c r="CJ1297"/>
      <c r="CK1297"/>
      <c r="CL1297"/>
      <c r="CM1297"/>
      <c r="CN1297"/>
      <c r="CO1297"/>
      <c r="CP1297"/>
      <c r="CQ1297"/>
      <c r="CR1297"/>
      <c r="CS1297"/>
      <c r="CT1297"/>
      <c r="CU1297"/>
      <c r="CV1297"/>
      <c r="CW1297"/>
      <c r="CX1297"/>
      <c r="CY1297"/>
      <c r="CZ1297"/>
      <c r="DA1297"/>
      <c r="DB1297"/>
      <c r="DC1297"/>
      <c r="DD1297"/>
      <c r="DE1297"/>
      <c r="DF1297"/>
      <c r="DG1297"/>
      <c r="DH1297"/>
      <c r="DI1297"/>
      <c r="DJ1297"/>
      <c r="DK1297"/>
      <c r="DL1297"/>
      <c r="DM1297"/>
      <c r="DN1297"/>
      <c r="DO1297"/>
      <c r="DP1297"/>
      <c r="DQ1297"/>
      <c r="DR1297"/>
      <c r="DS1297"/>
      <c r="DT1297"/>
      <c r="DU1297"/>
      <c r="DV1297"/>
      <c r="DW1297"/>
      <c r="DX1297"/>
      <c r="DY1297"/>
      <c r="DZ1297"/>
      <c r="EA1297"/>
      <c r="EB1297"/>
      <c r="EC1297"/>
      <c r="ED1297"/>
      <c r="EE1297"/>
      <c r="EF1297"/>
      <c r="EG1297"/>
      <c r="EH1297"/>
      <c r="EI1297"/>
      <c r="EJ1297"/>
      <c r="EK1297"/>
      <c r="EL1297"/>
      <c r="EM1297"/>
      <c r="EN1297"/>
      <c r="EO1297"/>
      <c r="EP1297"/>
      <c r="EQ1297"/>
      <c r="ER1297"/>
      <c r="ES1297"/>
      <c r="ET1297"/>
      <c r="EU1297"/>
      <c r="EV1297"/>
      <c r="EW1297"/>
      <c r="EX1297"/>
      <c r="EY1297"/>
      <c r="EZ1297"/>
      <c r="FA1297"/>
      <c r="FB1297"/>
      <c r="FC1297"/>
      <c r="FD1297"/>
      <c r="FE1297"/>
      <c r="FF1297"/>
      <c r="FG1297"/>
      <c r="FH1297"/>
      <c r="FI1297"/>
      <c r="FJ1297"/>
      <c r="FK1297"/>
      <c r="FL1297"/>
      <c r="FM1297"/>
      <c r="FN1297"/>
      <c r="FO1297"/>
      <c r="FP1297"/>
      <c r="FQ1297"/>
      <c r="FR1297"/>
      <c r="FS1297"/>
      <c r="FT1297"/>
      <c r="FU1297"/>
      <c r="FV1297"/>
      <c r="FW1297"/>
      <c r="FX1297"/>
      <c r="FY1297"/>
      <c r="FZ1297"/>
      <c r="GA1297"/>
      <c r="GB1297"/>
      <c r="GC1297"/>
      <c r="GD1297"/>
      <c r="GE1297"/>
      <c r="GF1297"/>
      <c r="GG1297"/>
      <c r="GH1297"/>
      <c r="GI1297"/>
      <c r="GJ1297"/>
      <c r="GK1297"/>
      <c r="GL1297"/>
      <c r="GM1297"/>
      <c r="GN1297"/>
      <c r="GO1297"/>
      <c r="GP1297"/>
      <c r="GQ1297"/>
      <c r="GR1297"/>
      <c r="GS1297"/>
      <c r="GT1297"/>
      <c r="GU1297"/>
      <c r="GV1297"/>
      <c r="GW1297"/>
      <c r="GX1297"/>
      <c r="GY1297"/>
      <c r="GZ1297"/>
      <c r="HA1297"/>
      <c r="HB1297"/>
      <c r="HC1297"/>
      <c r="HD1297"/>
      <c r="HE1297"/>
      <c r="HF1297"/>
      <c r="HG1297"/>
      <c r="HH1297"/>
      <c r="HI1297"/>
      <c r="HJ1297"/>
      <c r="HK1297"/>
      <c r="HL1297"/>
      <c r="HM1297"/>
      <c r="HN1297"/>
      <c r="HO1297"/>
      <c r="HP1297"/>
      <c r="HQ1297"/>
      <c r="HR1297"/>
      <c r="HS1297"/>
      <c r="HT1297"/>
      <c r="HU1297"/>
      <c r="HV1297"/>
      <c r="HW1297"/>
      <c r="HX1297"/>
      <c r="HY1297"/>
      <c r="HZ1297"/>
      <c r="IA1297"/>
      <c r="IB1297"/>
      <c r="IC1297"/>
      <c r="ID1297"/>
      <c r="IE1297"/>
      <c r="IF1297"/>
      <c r="IG1297"/>
      <c r="IH1297"/>
      <c r="II1297"/>
      <c r="IJ1297"/>
      <c r="IK1297"/>
      <c r="IL1297"/>
      <c r="IM1297"/>
      <c r="IN1297"/>
      <c r="IO1297"/>
      <c r="IP1297"/>
      <c r="IQ1297"/>
      <c r="IR1297"/>
      <c r="IS1297"/>
      <c r="IT1297"/>
      <c r="IU1297"/>
      <c r="IV1297"/>
      <c r="IW1297"/>
      <c r="IX1297"/>
      <c r="IY1297"/>
      <c r="IZ1297"/>
      <c r="JA1297"/>
      <c r="JB1297"/>
      <c r="JC1297"/>
      <c r="JD1297"/>
      <c r="JE1297"/>
      <c r="JF1297"/>
      <c r="JG1297"/>
      <c r="JH1297"/>
      <c r="JI1297"/>
      <c r="JJ1297"/>
      <c r="JK1297"/>
      <c r="JL1297"/>
      <c r="JM1297"/>
      <c r="JN1297"/>
      <c r="JO1297"/>
      <c r="JP1297"/>
      <c r="JQ1297"/>
      <c r="JR1297"/>
      <c r="JS1297"/>
      <c r="JT1297"/>
      <c r="JU1297"/>
      <c r="JV1297"/>
      <c r="JW1297"/>
      <c r="JX1297"/>
      <c r="JY1297"/>
      <c r="JZ1297"/>
      <c r="KA1297"/>
      <c r="KB1297"/>
      <c r="KC1297"/>
      <c r="KD1297"/>
      <c r="KE1297"/>
      <c r="KF1297"/>
      <c r="KG1297"/>
      <c r="KH1297"/>
      <c r="KI1297"/>
      <c r="KJ1297"/>
      <c r="KK1297"/>
      <c r="KL1297"/>
      <c r="KM1297"/>
      <c r="KN1297"/>
      <c r="KO1297"/>
      <c r="KP1297"/>
      <c r="KQ1297"/>
      <c r="KR1297"/>
      <c r="KS1297"/>
      <c r="KT1297"/>
      <c r="KU1297"/>
      <c r="KV1297"/>
      <c r="KW1297"/>
      <c r="KX1297"/>
      <c r="KY1297"/>
      <c r="KZ1297"/>
      <c r="LA1297"/>
      <c r="LB1297"/>
      <c r="LC1297"/>
      <c r="LD1297"/>
      <c r="LE1297"/>
      <c r="LF1297"/>
      <c r="LG1297"/>
      <c r="LH1297"/>
      <c r="LI1297"/>
      <c r="LJ1297"/>
      <c r="LK1297"/>
      <c r="LL1297"/>
      <c r="LM1297"/>
      <c r="LN1297"/>
      <c r="LO1297"/>
      <c r="LP1297"/>
      <c r="LQ1297"/>
      <c r="LR1297"/>
      <c r="LS1297"/>
      <c r="LT1297"/>
      <c r="LU1297"/>
      <c r="LV1297"/>
      <c r="LW1297"/>
      <c r="LX1297"/>
      <c r="LY1297"/>
      <c r="LZ1297"/>
      <c r="MA1297"/>
      <c r="MB1297"/>
      <c r="MC1297"/>
      <c r="MD1297"/>
      <c r="ME1297"/>
      <c r="MF1297"/>
      <c r="MG1297"/>
      <c r="MH1297"/>
      <c r="MI1297"/>
      <c r="MJ1297"/>
      <c r="MK1297"/>
      <c r="ML1297"/>
      <c r="MM1297"/>
      <c r="MN1297"/>
      <c r="MO1297"/>
      <c r="MP1297"/>
      <c r="MQ1297"/>
      <c r="MR1297"/>
      <c r="MS1297"/>
      <c r="MT1297"/>
      <c r="MU1297"/>
      <c r="MV1297"/>
      <c r="MW1297"/>
      <c r="MX1297"/>
      <c r="MY1297"/>
      <c r="MZ1297"/>
      <c r="NA1297"/>
      <c r="NB1297"/>
      <c r="NC1297"/>
      <c r="ND1297"/>
      <c r="NE1297"/>
      <c r="NF1297"/>
      <c r="NG1297"/>
      <c r="NH1297"/>
      <c r="NI1297"/>
      <c r="NJ1297"/>
      <c r="NK1297"/>
      <c r="NL1297"/>
      <c r="NM1297"/>
      <c r="NN1297"/>
      <c r="NO1297"/>
      <c r="NP1297"/>
      <c r="NQ1297"/>
      <c r="NR1297"/>
      <c r="NS1297"/>
      <c r="NT1297"/>
      <c r="NU1297"/>
      <c r="NV1297"/>
      <c r="NW1297"/>
      <c r="NX1297"/>
      <c r="NY1297"/>
      <c r="NZ1297"/>
      <c r="OA1297"/>
      <c r="OB1297"/>
      <c r="OC1297"/>
      <c r="OD1297"/>
      <c r="OE1297"/>
      <c r="OF1297"/>
      <c r="OG1297"/>
      <c r="OH1297"/>
      <c r="OI1297"/>
      <c r="OJ1297"/>
      <c r="OK1297"/>
      <c r="OL1297"/>
      <c r="OM1297"/>
      <c r="ON1297"/>
      <c r="OO1297"/>
      <c r="OP1297"/>
      <c r="OQ1297"/>
      <c r="OR1297"/>
      <c r="OS1297"/>
      <c r="OT1297"/>
      <c r="OU1297"/>
      <c r="OV1297"/>
      <c r="OW1297"/>
      <c r="OX1297"/>
      <c r="OY1297"/>
      <c r="OZ1297"/>
      <c r="PA1297"/>
      <c r="PB1297"/>
      <c r="PC1297"/>
      <c r="PD1297"/>
      <c r="PE1297"/>
      <c r="PF1297"/>
      <c r="PG1297"/>
      <c r="PH1297"/>
      <c r="PI1297"/>
      <c r="PJ1297"/>
      <c r="PK1297"/>
      <c r="PL1297"/>
      <c r="PM1297"/>
      <c r="PN1297"/>
      <c r="PO1297"/>
      <c r="PP1297"/>
      <c r="PQ1297"/>
      <c r="PR1297"/>
      <c r="PS1297"/>
      <c r="PT1297"/>
      <c r="PU1297"/>
      <c r="PV1297"/>
      <c r="PW1297"/>
      <c r="PX1297"/>
      <c r="PY1297"/>
      <c r="PZ1297"/>
      <c r="QA1297"/>
      <c r="QB1297"/>
      <c r="QC1297"/>
      <c r="QD1297"/>
      <c r="QE1297"/>
      <c r="QF1297"/>
      <c r="QG1297"/>
      <c r="QH1297"/>
      <c r="QI1297"/>
      <c r="QJ1297"/>
      <c r="QK1297"/>
      <c r="QL1297"/>
      <c r="QM1297"/>
      <c r="QN1297"/>
      <c r="QO1297"/>
      <c r="QP1297"/>
      <c r="QQ1297"/>
      <c r="QR1297"/>
      <c r="QS1297"/>
      <c r="QT1297"/>
      <c r="QU1297"/>
      <c r="QV1297"/>
      <c r="QW1297"/>
      <c r="QX1297"/>
      <c r="QY1297"/>
      <c r="QZ1297"/>
      <c r="RA1297"/>
      <c r="RB1297"/>
      <c r="RC1297"/>
      <c r="RD1297"/>
      <c r="RE1297"/>
      <c r="RF1297"/>
      <c r="RG1297"/>
      <c r="RH1297"/>
      <c r="RI1297"/>
      <c r="RJ1297"/>
      <c r="RK1297"/>
      <c r="RL1297"/>
      <c r="RM1297"/>
      <c r="RN1297"/>
      <c r="RO1297"/>
      <c r="RP1297"/>
      <c r="RQ1297"/>
      <c r="RR1297"/>
      <c r="RS1297"/>
      <c r="RT1297"/>
      <c r="RU1297"/>
      <c r="RV1297"/>
      <c r="RW1297"/>
      <c r="RX1297"/>
      <c r="RY1297"/>
      <c r="RZ1297"/>
      <c r="SA1297"/>
      <c r="SB1297"/>
      <c r="SC1297"/>
      <c r="SD1297"/>
      <c r="SE1297"/>
      <c r="SF1297"/>
      <c r="SG1297"/>
      <c r="SH1297"/>
      <c r="SI1297"/>
      <c r="SJ1297"/>
      <c r="SK1297"/>
      <c r="SL1297"/>
      <c r="SM1297"/>
      <c r="SN1297"/>
      <c r="SO1297"/>
      <c r="SP1297"/>
      <c r="SQ1297"/>
      <c r="SR1297"/>
      <c r="SS1297"/>
      <c r="ST1297"/>
      <c r="SU1297"/>
      <c r="SV1297"/>
      <c r="SW1297"/>
      <c r="SX1297"/>
      <c r="SY1297"/>
      <c r="SZ1297"/>
      <c r="TA1297"/>
      <c r="TB1297"/>
      <c r="TC1297"/>
      <c r="TD1297"/>
      <c r="TE1297"/>
      <c r="TF1297"/>
      <c r="TG1297"/>
      <c r="TH1297"/>
      <c r="TI1297"/>
      <c r="TJ1297"/>
      <c r="TK1297"/>
      <c r="TL1297"/>
      <c r="TM1297"/>
      <c r="TN1297"/>
      <c r="TO1297"/>
      <c r="TP1297"/>
      <c r="TQ1297"/>
      <c r="TR1297"/>
      <c r="TS1297"/>
      <c r="TT1297"/>
      <c r="TU1297"/>
      <c r="TV1297"/>
      <c r="TW1297"/>
      <c r="TX1297"/>
      <c r="TY1297"/>
      <c r="TZ1297"/>
      <c r="UA1297"/>
      <c r="UB1297"/>
      <c r="UC1297"/>
      <c r="UD1297"/>
      <c r="UE1297"/>
      <c r="UF1297"/>
      <c r="UG1297"/>
      <c r="UH1297"/>
      <c r="UI1297"/>
      <c r="UJ1297"/>
      <c r="UK1297"/>
      <c r="UL1297"/>
      <c r="UM1297"/>
      <c r="UN1297"/>
      <c r="UO1297"/>
      <c r="UP1297"/>
      <c r="UQ1297"/>
      <c r="UR1297"/>
      <c r="US1297"/>
      <c r="UT1297"/>
      <c r="UU1297"/>
      <c r="UV1297"/>
      <c r="UW1297"/>
      <c r="UX1297"/>
      <c r="UY1297"/>
      <c r="UZ1297"/>
      <c r="VA1297"/>
      <c r="VB1297"/>
      <c r="VC1297"/>
      <c r="VD1297"/>
      <c r="VE1297"/>
      <c r="VF1297"/>
      <c r="VG1297"/>
      <c r="VH1297"/>
      <c r="VI1297"/>
      <c r="VJ1297"/>
      <c r="VK1297"/>
      <c r="VL1297"/>
      <c r="VM1297"/>
      <c r="VN1297"/>
      <c r="VO1297"/>
      <c r="VP1297"/>
      <c r="VQ1297"/>
      <c r="VR1297"/>
      <c r="VS1297"/>
      <c r="VT1297"/>
      <c r="VU1297"/>
      <c r="VV1297"/>
      <c r="VW1297"/>
      <c r="VX1297"/>
      <c r="VY1297"/>
      <c r="VZ1297"/>
      <c r="WA1297"/>
      <c r="WB1297"/>
      <c r="WC1297"/>
      <c r="WD1297"/>
      <c r="WE1297"/>
      <c r="WF1297"/>
      <c r="WG1297"/>
      <c r="WH1297"/>
      <c r="WI1297"/>
      <c r="WJ1297"/>
      <c r="WK1297"/>
      <c r="WL1297"/>
      <c r="WM1297"/>
      <c r="WN1297"/>
      <c r="WO1297"/>
      <c r="WP1297"/>
      <c r="WQ1297"/>
      <c r="WR1297"/>
      <c r="WS1297"/>
      <c r="WT1297"/>
      <c r="WU1297"/>
      <c r="WV1297"/>
      <c r="WW1297"/>
      <c r="WX1297"/>
      <c r="WY1297"/>
      <c r="WZ1297"/>
      <c r="XA1297"/>
      <c r="XB1297"/>
      <c r="XC1297"/>
      <c r="XD1297"/>
      <c r="XE1297"/>
      <c r="XF1297"/>
      <c r="XG1297"/>
      <c r="XH1297"/>
      <c r="XI1297"/>
      <c r="XJ1297"/>
      <c r="XK1297"/>
      <c r="XL1297"/>
      <c r="XM1297"/>
      <c r="XN1297"/>
      <c r="XO1297"/>
      <c r="XP1297"/>
      <c r="XQ1297"/>
      <c r="XR1297"/>
      <c r="XS1297"/>
      <c r="XT1297"/>
      <c r="XU1297"/>
      <c r="XV1297"/>
      <c r="XW1297"/>
      <c r="XX1297"/>
      <c r="XY1297"/>
      <c r="XZ1297"/>
      <c r="YA1297"/>
      <c r="YB1297"/>
      <c r="YC1297"/>
      <c r="YD1297"/>
      <c r="YE1297"/>
      <c r="YF1297"/>
      <c r="YG1297"/>
      <c r="YH1297"/>
      <c r="YI1297"/>
      <c r="YJ1297"/>
      <c r="YK1297"/>
      <c r="YL1297"/>
      <c r="YM1297"/>
      <c r="YN1297"/>
      <c r="YO1297"/>
      <c r="YP1297"/>
      <c r="YQ1297"/>
      <c r="YR1297"/>
      <c r="YS1297"/>
      <c r="YT1297"/>
      <c r="YU1297"/>
      <c r="YV1297"/>
      <c r="YW1297"/>
      <c r="YX1297"/>
      <c r="YY1297"/>
      <c r="YZ1297"/>
      <c r="ZA1297"/>
      <c r="ZB1297"/>
      <c r="ZC1297"/>
      <c r="ZD1297"/>
      <c r="ZE1297"/>
      <c r="ZF1297"/>
      <c r="ZG1297"/>
      <c r="ZH1297"/>
      <c r="ZI1297"/>
      <c r="ZJ1297"/>
      <c r="ZK1297"/>
      <c r="ZL1297"/>
      <c r="ZM1297"/>
      <c r="ZN1297"/>
      <c r="ZO1297"/>
      <c r="ZP1297"/>
      <c r="ZQ1297"/>
      <c r="ZR1297"/>
      <c r="ZS1297"/>
      <c r="ZT1297"/>
      <c r="ZU1297"/>
      <c r="ZV1297"/>
      <c r="ZW1297"/>
      <c r="ZX1297"/>
      <c r="ZY1297"/>
      <c r="ZZ1297"/>
      <c r="AAA1297"/>
      <c r="AAB1297"/>
      <c r="AAC1297"/>
      <c r="AAD1297"/>
      <c r="AAE1297"/>
      <c r="AAF1297"/>
      <c r="AAG1297"/>
      <c r="AAH1297"/>
      <c r="AAI1297"/>
      <c r="AAJ1297"/>
      <c r="AAK1297"/>
      <c r="AAL1297"/>
      <c r="AAM1297"/>
      <c r="AAN1297"/>
      <c r="AAO1297"/>
      <c r="AAP1297"/>
      <c r="AAQ1297"/>
      <c r="AAR1297"/>
      <c r="AAS1297"/>
      <c r="AAT1297"/>
      <c r="AAU1297"/>
      <c r="AAV1297"/>
      <c r="AAW1297"/>
      <c r="AAX1297"/>
      <c r="AAY1297"/>
      <c r="AAZ1297"/>
      <c r="ABA1297"/>
      <c r="ABB1297"/>
      <c r="ABC1297"/>
      <c r="ABD1297"/>
      <c r="ABE1297"/>
      <c r="ABF1297"/>
      <c r="ABG1297"/>
      <c r="ABH1297"/>
      <c r="ABI1297"/>
      <c r="ABJ1297"/>
      <c r="ABK1297"/>
      <c r="ABL1297"/>
      <c r="ABM1297"/>
      <c r="ABN1297"/>
      <c r="ABO1297"/>
      <c r="ABP1297"/>
      <c r="ABQ1297"/>
      <c r="ABR1297"/>
      <c r="ABS1297"/>
      <c r="ABT1297"/>
      <c r="ABU1297"/>
      <c r="ABV1297"/>
      <c r="ABW1297"/>
      <c r="ABX1297"/>
      <c r="ABY1297"/>
      <c r="ABZ1297"/>
      <c r="ACA1297"/>
      <c r="ACB1297"/>
      <c r="ACC1297"/>
      <c r="ACD1297"/>
      <c r="ACE1297"/>
      <c r="ACF1297"/>
      <c r="ACG1297"/>
      <c r="ACH1297"/>
      <c r="ACI1297"/>
      <c r="ACJ1297"/>
      <c r="ACK1297"/>
      <c r="ACL1297"/>
      <c r="ACM1297"/>
      <c r="ACN1297"/>
      <c r="ACO1297"/>
      <c r="ACP1297"/>
      <c r="ACQ1297"/>
      <c r="ACR1297"/>
      <c r="ACS1297"/>
      <c r="ACT1297"/>
      <c r="ACU1297"/>
      <c r="ACV1297"/>
      <c r="ACW1297"/>
      <c r="ACX1297"/>
      <c r="ACY1297"/>
      <c r="ACZ1297"/>
      <c r="ADA1297"/>
      <c r="ADB1297"/>
      <c r="ADC1297"/>
      <c r="ADD1297"/>
      <c r="ADE1297"/>
      <c r="ADF1297"/>
      <c r="ADG1297"/>
      <c r="ADH1297"/>
      <c r="ADI1297"/>
      <c r="ADJ1297"/>
      <c r="ADK1297"/>
      <c r="ADL1297"/>
      <c r="ADM1297"/>
      <c r="ADN1297"/>
      <c r="ADO1297"/>
      <c r="ADP1297"/>
      <c r="ADQ1297"/>
      <c r="ADR1297"/>
      <c r="ADS1297"/>
      <c r="ADT1297"/>
      <c r="ADU1297"/>
      <c r="ADV1297"/>
      <c r="ADW1297"/>
      <c r="ADX1297"/>
      <c r="ADY1297"/>
      <c r="ADZ1297"/>
      <c r="AEA1297"/>
      <c r="AEB1297"/>
      <c r="AEC1297"/>
      <c r="AED1297"/>
      <c r="AEE1297"/>
      <c r="AEF1297"/>
      <c r="AEG1297"/>
      <c r="AEH1297"/>
      <c r="AEI1297"/>
      <c r="AEJ1297"/>
      <c r="AEK1297"/>
      <c r="AEL1297"/>
      <c r="AEM1297"/>
      <c r="AEN1297"/>
      <c r="AEO1297"/>
      <c r="AEP1297"/>
      <c r="AEQ1297"/>
      <c r="AER1297"/>
      <c r="AES1297"/>
      <c r="AET1297"/>
      <c r="AEU1297"/>
      <c r="AEV1297"/>
      <c r="AEW1297"/>
      <c r="AEX1297"/>
      <c r="AEY1297"/>
      <c r="AEZ1297"/>
      <c r="AFA1297"/>
      <c r="AFB1297"/>
      <c r="AFC1297"/>
      <c r="AFD1297"/>
      <c r="AFE1297"/>
      <c r="AFF1297"/>
      <c r="AFG1297"/>
      <c r="AFH1297"/>
      <c r="AFI1297"/>
      <c r="AFJ1297"/>
      <c r="AFK1297"/>
      <c r="AFL1297"/>
      <c r="AFM1297"/>
      <c r="AFN1297"/>
      <c r="AFO1297"/>
      <c r="AFP1297"/>
      <c r="AFQ1297"/>
      <c r="AFR1297"/>
      <c r="AFS1297"/>
      <c r="AFT1297"/>
      <c r="AFU1297"/>
      <c r="AFV1297"/>
      <c r="AFW1297"/>
      <c r="AFX1297"/>
      <c r="AFY1297"/>
      <c r="AFZ1297"/>
      <c r="AGA1297"/>
      <c r="AGB1297"/>
      <c r="AGC1297"/>
      <c r="AGD1297"/>
      <c r="AGE1297"/>
      <c r="AGF1297"/>
      <c r="AGG1297"/>
      <c r="AGH1297"/>
      <c r="AGI1297"/>
      <c r="AGJ1297"/>
      <c r="AGK1297"/>
      <c r="AGL1297"/>
      <c r="AGM1297"/>
      <c r="AGN1297"/>
      <c r="AGO1297"/>
      <c r="AGP1297"/>
      <c r="AGQ1297"/>
      <c r="AGR1297"/>
      <c r="AGS1297"/>
      <c r="AGT1297"/>
      <c r="AGU1297"/>
      <c r="AGV1297"/>
      <c r="AGW1297"/>
      <c r="AGX1297"/>
      <c r="AGY1297"/>
      <c r="AGZ1297"/>
      <c r="AHA1297"/>
      <c r="AHB1297"/>
      <c r="AHC1297"/>
      <c r="AHD1297"/>
      <c r="AHE1297"/>
      <c r="AHF1297"/>
      <c r="AHG1297"/>
      <c r="AHH1297"/>
      <c r="AHI1297"/>
      <c r="AHJ1297"/>
      <c r="AHK1297"/>
      <c r="AHL1297"/>
      <c r="AHM1297"/>
      <c r="AHN1297"/>
      <c r="AHO1297"/>
      <c r="AHP1297"/>
      <c r="AHQ1297"/>
      <c r="AHR1297"/>
      <c r="AHS1297"/>
      <c r="AHT1297"/>
      <c r="AHU1297"/>
      <c r="AHV1297"/>
      <c r="AHW1297"/>
      <c r="AHX1297"/>
      <c r="AHY1297"/>
      <c r="AHZ1297"/>
      <c r="AIA1297"/>
      <c r="AIB1297"/>
      <c r="AIC1297"/>
      <c r="AID1297"/>
      <c r="AIE1297"/>
      <c r="AIF1297"/>
      <c r="AIG1297"/>
      <c r="AIH1297"/>
      <c r="AII1297"/>
      <c r="AIJ1297"/>
      <c r="AIK1297"/>
      <c r="AIL1297"/>
      <c r="AIM1297"/>
      <c r="AIN1297"/>
      <c r="AIO1297"/>
      <c r="AIP1297"/>
      <c r="AIQ1297"/>
      <c r="AIR1297"/>
      <c r="AIS1297"/>
      <c r="AIT1297"/>
      <c r="AIU1297"/>
      <c r="AIV1297"/>
      <c r="AIW1297"/>
      <c r="AIX1297"/>
      <c r="AIY1297"/>
      <c r="AIZ1297"/>
      <c r="AJA1297"/>
      <c r="AJB1297"/>
      <c r="AJC1297"/>
      <c r="AJD1297"/>
      <c r="AJE1297"/>
      <c r="AJF1297"/>
      <c r="AJG1297"/>
      <c r="AJH1297"/>
      <c r="AJI1297"/>
      <c r="AJJ1297"/>
      <c r="AJK1297"/>
      <c r="AJL1297"/>
      <c r="AJM1297"/>
      <c r="AJN1297"/>
      <c r="AJO1297"/>
      <c r="AJP1297"/>
      <c r="AJQ1297"/>
      <c r="AJR1297"/>
      <c r="AJS1297"/>
      <c r="AJT1297"/>
      <c r="AJU1297"/>
      <c r="AJV1297"/>
      <c r="AJW1297"/>
      <c r="AJX1297"/>
      <c r="AJY1297"/>
      <c r="AJZ1297"/>
      <c r="AKA1297"/>
      <c r="AKB1297"/>
      <c r="AKC1297"/>
      <c r="AKD1297"/>
      <c r="AKE1297"/>
      <c r="AKF1297"/>
      <c r="AKG1297"/>
      <c r="AKH1297"/>
      <c r="AKI1297"/>
      <c r="AKJ1297"/>
      <c r="AKK1297"/>
      <c r="AKL1297"/>
      <c r="AKM1297"/>
      <c r="AKN1297"/>
      <c r="AKO1297"/>
      <c r="AKP1297"/>
      <c r="AKQ1297"/>
      <c r="AKR1297"/>
      <c r="AKS1297"/>
      <c r="AKT1297"/>
      <c r="AKU1297"/>
      <c r="AKV1297"/>
      <c r="AKW1297"/>
      <c r="AKX1297"/>
      <c r="AKY1297"/>
      <c r="AKZ1297"/>
      <c r="ALA1297"/>
      <c r="ALB1297"/>
      <c r="ALC1297"/>
      <c r="ALD1297"/>
      <c r="ALE1297"/>
      <c r="ALF1297"/>
      <c r="ALG1297"/>
      <c r="ALH1297"/>
      <c r="ALI1297"/>
      <c r="ALJ1297"/>
      <c r="ALK1297"/>
      <c r="ALL1297"/>
      <c r="ALM1297"/>
      <c r="ALN1297"/>
      <c r="ALO1297"/>
      <c r="ALP1297"/>
      <c r="ALQ1297"/>
      <c r="ALR1297"/>
      <c r="ALS1297"/>
      <c r="ALT1297"/>
    </row>
    <row r="1298" spans="1:1008" x14ac:dyDescent="0.15">
      <c r="A1298" t="s">
        <v>4132</v>
      </c>
      <c r="B1298" s="8" t="s">
        <v>1170</v>
      </c>
      <c r="C1298" t="s">
        <v>4132</v>
      </c>
      <c r="D1298" s="8" t="s">
        <v>15</v>
      </c>
      <c r="E1298" t="s">
        <v>3991</v>
      </c>
      <c r="F1298" t="s">
        <v>3992</v>
      </c>
      <c r="G1298">
        <v>600</v>
      </c>
      <c r="H1298"/>
      <c r="I1298"/>
      <c r="J1298"/>
      <c r="K1298"/>
      <c r="L1298"/>
      <c r="M1298"/>
      <c r="N1298"/>
      <c r="O1298"/>
      <c r="P1298"/>
      <c r="Q1298"/>
      <c r="R1298"/>
      <c r="S1298"/>
      <c r="T1298"/>
      <c r="U1298"/>
      <c r="V1298"/>
      <c r="W1298"/>
      <c r="X1298"/>
      <c r="Y1298"/>
      <c r="Z1298"/>
      <c r="AA1298"/>
      <c r="AB1298"/>
      <c r="AC1298"/>
      <c r="AD1298"/>
      <c r="AE1298"/>
      <c r="AF1298"/>
      <c r="AG1298"/>
      <c r="AH1298"/>
      <c r="AI1298"/>
      <c r="AJ1298"/>
      <c r="AK1298"/>
      <c r="AL1298"/>
      <c r="AM1298"/>
      <c r="AN1298"/>
      <c r="AO1298"/>
      <c r="AP1298"/>
      <c r="AQ1298"/>
      <c r="AR1298"/>
      <c r="AS1298"/>
      <c r="AT1298"/>
      <c r="AU1298"/>
      <c r="AV1298"/>
      <c r="AW1298"/>
      <c r="AX1298"/>
      <c r="AY1298"/>
      <c r="AZ1298"/>
      <c r="BA1298"/>
      <c r="BB1298"/>
      <c r="BC1298"/>
      <c r="BD1298"/>
      <c r="BE1298"/>
      <c r="BF1298"/>
      <c r="BG1298"/>
      <c r="BH1298"/>
      <c r="BI1298"/>
      <c r="BJ1298"/>
      <c r="BK1298"/>
      <c r="BL1298"/>
      <c r="BM1298"/>
      <c r="BN1298"/>
      <c r="BO1298"/>
      <c r="BP1298"/>
      <c r="BQ1298"/>
      <c r="BR1298"/>
      <c r="BS1298"/>
      <c r="BT1298"/>
      <c r="BU1298"/>
      <c r="BV1298"/>
      <c r="BW1298"/>
      <c r="BX1298"/>
      <c r="BY1298"/>
      <c r="BZ1298"/>
      <c r="CA1298"/>
      <c r="CB1298"/>
      <c r="CC1298"/>
      <c r="CD1298"/>
      <c r="CE1298"/>
      <c r="CF1298"/>
      <c r="CG1298"/>
      <c r="CH1298"/>
      <c r="CI1298"/>
      <c r="CJ1298"/>
      <c r="CK1298"/>
      <c r="CL1298"/>
      <c r="CM1298"/>
      <c r="CN1298"/>
      <c r="CO1298"/>
      <c r="CP1298"/>
      <c r="CQ1298"/>
      <c r="CR1298"/>
      <c r="CS1298"/>
      <c r="CT1298"/>
      <c r="CU1298"/>
      <c r="CV1298"/>
      <c r="CW1298"/>
      <c r="CX1298"/>
      <c r="CY1298"/>
      <c r="CZ1298"/>
      <c r="DA1298"/>
      <c r="DB1298"/>
      <c r="DC1298"/>
      <c r="DD1298"/>
      <c r="DE1298"/>
      <c r="DF1298"/>
      <c r="DG1298"/>
      <c r="DH1298"/>
      <c r="DI1298"/>
      <c r="DJ1298"/>
      <c r="DK1298"/>
      <c r="DL1298"/>
      <c r="DM1298"/>
      <c r="DN1298"/>
      <c r="DO1298"/>
      <c r="DP1298"/>
      <c r="DQ1298"/>
      <c r="DR1298"/>
      <c r="DS1298"/>
      <c r="DT1298"/>
      <c r="DU1298"/>
      <c r="DV1298"/>
      <c r="DW1298"/>
      <c r="DX1298"/>
      <c r="DY1298"/>
      <c r="DZ1298"/>
      <c r="EA1298"/>
      <c r="EB1298"/>
      <c r="EC1298"/>
      <c r="ED1298"/>
      <c r="EE1298"/>
      <c r="EF1298"/>
      <c r="EG1298"/>
      <c r="EH1298"/>
      <c r="EI1298"/>
      <c r="EJ1298"/>
      <c r="EK1298"/>
      <c r="EL1298"/>
      <c r="EM1298"/>
      <c r="EN1298"/>
      <c r="EO1298"/>
      <c r="EP1298"/>
      <c r="EQ1298"/>
      <c r="ER1298"/>
      <c r="ES1298"/>
      <c r="ET1298"/>
      <c r="EU1298"/>
      <c r="EV1298"/>
      <c r="EW1298"/>
      <c r="EX1298"/>
      <c r="EY1298"/>
      <c r="EZ1298"/>
      <c r="FA1298"/>
      <c r="FB1298"/>
      <c r="FC1298"/>
      <c r="FD1298"/>
      <c r="FE1298"/>
      <c r="FF1298"/>
      <c r="FG1298"/>
      <c r="FH1298"/>
      <c r="FI1298"/>
      <c r="FJ1298"/>
      <c r="FK1298"/>
      <c r="FL1298"/>
      <c r="FM1298"/>
      <c r="FN1298"/>
      <c r="FO1298"/>
      <c r="FP1298"/>
      <c r="FQ1298"/>
      <c r="FR1298"/>
      <c r="FS1298"/>
      <c r="FT1298"/>
      <c r="FU1298"/>
      <c r="FV1298"/>
      <c r="FW1298"/>
      <c r="FX1298"/>
      <c r="FY1298"/>
      <c r="FZ1298"/>
      <c r="GA1298"/>
      <c r="GB1298"/>
      <c r="GC1298"/>
      <c r="GD1298"/>
      <c r="GE1298"/>
      <c r="GF1298"/>
      <c r="GG1298"/>
      <c r="GH1298"/>
      <c r="GI1298"/>
      <c r="GJ1298"/>
      <c r="GK1298"/>
      <c r="GL1298"/>
      <c r="GM1298"/>
      <c r="GN1298"/>
      <c r="GO1298"/>
      <c r="GP1298"/>
      <c r="GQ1298"/>
      <c r="GR1298"/>
      <c r="GS1298"/>
      <c r="GT1298"/>
      <c r="GU1298"/>
      <c r="GV1298"/>
      <c r="GW1298"/>
      <c r="GX1298"/>
      <c r="GY1298"/>
      <c r="GZ1298"/>
      <c r="HA1298"/>
      <c r="HB1298"/>
      <c r="HC1298"/>
      <c r="HD1298"/>
      <c r="HE1298"/>
      <c r="HF1298"/>
      <c r="HG1298"/>
      <c r="HH1298"/>
      <c r="HI1298"/>
      <c r="HJ1298"/>
      <c r="HK1298"/>
      <c r="HL1298"/>
      <c r="HM1298"/>
      <c r="HN1298"/>
      <c r="HO1298"/>
      <c r="HP1298"/>
      <c r="HQ1298"/>
      <c r="HR1298"/>
      <c r="HS1298"/>
      <c r="HT1298"/>
      <c r="HU1298"/>
      <c r="HV1298"/>
      <c r="HW1298"/>
      <c r="HX1298"/>
      <c r="HY1298"/>
      <c r="HZ1298"/>
      <c r="IA1298"/>
      <c r="IB1298"/>
      <c r="IC1298"/>
      <c r="ID1298"/>
      <c r="IE1298"/>
      <c r="IF1298"/>
      <c r="IG1298"/>
      <c r="IH1298"/>
      <c r="II1298"/>
      <c r="IJ1298"/>
      <c r="IK1298"/>
      <c r="IL1298"/>
      <c r="IM1298"/>
      <c r="IN1298"/>
      <c r="IO1298"/>
      <c r="IP1298"/>
      <c r="IQ1298"/>
      <c r="IR1298"/>
      <c r="IS1298"/>
      <c r="IT1298"/>
      <c r="IU1298"/>
      <c r="IV1298"/>
      <c r="IW1298"/>
      <c r="IX1298"/>
      <c r="IY1298"/>
      <c r="IZ1298"/>
      <c r="JA1298"/>
      <c r="JB1298"/>
      <c r="JC1298"/>
      <c r="JD1298"/>
      <c r="JE1298"/>
      <c r="JF1298"/>
      <c r="JG1298"/>
      <c r="JH1298"/>
      <c r="JI1298"/>
      <c r="JJ1298"/>
      <c r="JK1298"/>
      <c r="JL1298"/>
      <c r="JM1298"/>
      <c r="JN1298"/>
      <c r="JO1298"/>
      <c r="JP1298"/>
      <c r="JQ1298"/>
      <c r="JR1298"/>
      <c r="JS1298"/>
      <c r="JT1298"/>
      <c r="JU1298"/>
      <c r="JV1298"/>
      <c r="JW1298"/>
      <c r="JX1298"/>
      <c r="JY1298"/>
      <c r="JZ1298"/>
      <c r="KA1298"/>
      <c r="KB1298"/>
      <c r="KC1298"/>
      <c r="KD1298"/>
      <c r="KE1298"/>
      <c r="KF1298"/>
      <c r="KG1298"/>
      <c r="KH1298"/>
      <c r="KI1298"/>
      <c r="KJ1298"/>
      <c r="KK1298"/>
      <c r="KL1298"/>
      <c r="KM1298"/>
      <c r="KN1298"/>
      <c r="KO1298"/>
      <c r="KP1298"/>
      <c r="KQ1298"/>
      <c r="KR1298"/>
      <c r="KS1298"/>
      <c r="KT1298"/>
      <c r="KU1298"/>
      <c r="KV1298"/>
      <c r="KW1298"/>
      <c r="KX1298"/>
      <c r="KY1298"/>
      <c r="KZ1298"/>
      <c r="LA1298"/>
      <c r="LB1298"/>
      <c r="LC1298"/>
      <c r="LD1298"/>
      <c r="LE1298"/>
      <c r="LF1298"/>
      <c r="LG1298"/>
      <c r="LH1298"/>
      <c r="LI1298"/>
      <c r="LJ1298"/>
      <c r="LK1298"/>
      <c r="LL1298"/>
      <c r="LM1298"/>
      <c r="LN1298"/>
      <c r="LO1298"/>
      <c r="LP1298"/>
      <c r="LQ1298"/>
      <c r="LR1298"/>
      <c r="LS1298"/>
      <c r="LT1298"/>
      <c r="LU1298"/>
      <c r="LV1298"/>
      <c r="LW1298"/>
      <c r="LX1298"/>
      <c r="LY1298"/>
      <c r="LZ1298"/>
      <c r="MA1298"/>
      <c r="MB1298"/>
      <c r="MC1298"/>
      <c r="MD1298"/>
      <c r="ME1298"/>
      <c r="MF1298"/>
      <c r="MG1298"/>
      <c r="MH1298"/>
      <c r="MI1298"/>
      <c r="MJ1298"/>
      <c r="MK1298"/>
      <c r="ML1298"/>
      <c r="MM1298"/>
      <c r="MN1298"/>
      <c r="MO1298"/>
      <c r="MP1298"/>
      <c r="MQ1298"/>
      <c r="MR1298"/>
      <c r="MS1298"/>
      <c r="MT1298"/>
      <c r="MU1298"/>
      <c r="MV1298"/>
      <c r="MW1298"/>
      <c r="MX1298"/>
      <c r="MY1298"/>
      <c r="MZ1298"/>
      <c r="NA1298"/>
      <c r="NB1298"/>
      <c r="NC1298"/>
      <c r="ND1298"/>
      <c r="NE1298"/>
      <c r="NF1298"/>
      <c r="NG1298"/>
      <c r="NH1298"/>
      <c r="NI1298"/>
      <c r="NJ1298"/>
      <c r="NK1298"/>
      <c r="NL1298"/>
      <c r="NM1298"/>
      <c r="NN1298"/>
      <c r="NO1298"/>
      <c r="NP1298"/>
      <c r="NQ1298"/>
      <c r="NR1298"/>
      <c r="NS1298"/>
      <c r="NT1298"/>
      <c r="NU1298"/>
      <c r="NV1298"/>
      <c r="NW1298"/>
      <c r="NX1298"/>
      <c r="NY1298"/>
      <c r="NZ1298"/>
      <c r="OA1298"/>
      <c r="OB1298"/>
      <c r="OC1298"/>
      <c r="OD1298"/>
      <c r="OE1298"/>
      <c r="OF1298"/>
      <c r="OG1298"/>
      <c r="OH1298"/>
      <c r="OI1298"/>
      <c r="OJ1298"/>
      <c r="OK1298"/>
      <c r="OL1298"/>
      <c r="OM1298"/>
      <c r="ON1298"/>
      <c r="OO1298"/>
      <c r="OP1298"/>
      <c r="OQ1298"/>
      <c r="OR1298"/>
      <c r="OS1298"/>
      <c r="OT1298"/>
      <c r="OU1298"/>
      <c r="OV1298"/>
      <c r="OW1298"/>
      <c r="OX1298"/>
      <c r="OY1298"/>
      <c r="OZ1298"/>
      <c r="PA1298"/>
      <c r="PB1298"/>
      <c r="PC1298"/>
      <c r="PD1298"/>
      <c r="PE1298"/>
      <c r="PF1298"/>
      <c r="PG1298"/>
      <c r="PH1298"/>
      <c r="PI1298"/>
      <c r="PJ1298"/>
      <c r="PK1298"/>
      <c r="PL1298"/>
      <c r="PM1298"/>
      <c r="PN1298"/>
      <c r="PO1298"/>
      <c r="PP1298"/>
      <c r="PQ1298"/>
      <c r="PR1298"/>
      <c r="PS1298"/>
      <c r="PT1298"/>
      <c r="PU1298"/>
      <c r="PV1298"/>
      <c r="PW1298"/>
      <c r="PX1298"/>
      <c r="PY1298"/>
      <c r="PZ1298"/>
      <c r="QA1298"/>
      <c r="QB1298"/>
      <c r="QC1298"/>
      <c r="QD1298"/>
      <c r="QE1298"/>
      <c r="QF1298"/>
      <c r="QG1298"/>
      <c r="QH1298"/>
      <c r="QI1298"/>
      <c r="QJ1298"/>
      <c r="QK1298"/>
      <c r="QL1298"/>
      <c r="QM1298"/>
      <c r="QN1298"/>
      <c r="QO1298"/>
      <c r="QP1298"/>
      <c r="QQ1298"/>
      <c r="QR1298"/>
      <c r="QS1298"/>
      <c r="QT1298"/>
      <c r="QU1298"/>
      <c r="QV1298"/>
      <c r="QW1298"/>
      <c r="QX1298"/>
      <c r="QY1298"/>
      <c r="QZ1298"/>
      <c r="RA1298"/>
      <c r="RB1298"/>
      <c r="RC1298"/>
      <c r="RD1298"/>
      <c r="RE1298"/>
      <c r="RF1298"/>
      <c r="RG1298"/>
      <c r="RH1298"/>
      <c r="RI1298"/>
      <c r="RJ1298"/>
      <c r="RK1298"/>
      <c r="RL1298"/>
      <c r="RM1298"/>
      <c r="RN1298"/>
      <c r="RO1298"/>
      <c r="RP1298"/>
      <c r="RQ1298"/>
      <c r="RR1298"/>
      <c r="RS1298"/>
      <c r="RT1298"/>
      <c r="RU1298"/>
      <c r="RV1298"/>
      <c r="RW1298"/>
      <c r="RX1298"/>
      <c r="RY1298"/>
      <c r="RZ1298"/>
      <c r="SA1298"/>
      <c r="SB1298"/>
      <c r="SC1298"/>
      <c r="SD1298"/>
      <c r="SE1298"/>
      <c r="SF1298"/>
      <c r="SG1298"/>
      <c r="SH1298"/>
      <c r="SI1298"/>
      <c r="SJ1298"/>
      <c r="SK1298"/>
      <c r="SL1298"/>
      <c r="SM1298"/>
      <c r="SN1298"/>
      <c r="SO1298"/>
      <c r="SP1298"/>
      <c r="SQ1298"/>
      <c r="SR1298"/>
      <c r="SS1298"/>
      <c r="ST1298"/>
      <c r="SU1298"/>
      <c r="SV1298"/>
      <c r="SW1298"/>
      <c r="SX1298"/>
      <c r="SY1298"/>
      <c r="SZ1298"/>
      <c r="TA1298"/>
      <c r="TB1298"/>
      <c r="TC1298"/>
      <c r="TD1298"/>
      <c r="TE1298"/>
      <c r="TF1298"/>
      <c r="TG1298"/>
      <c r="TH1298"/>
      <c r="TI1298"/>
      <c r="TJ1298"/>
      <c r="TK1298"/>
      <c r="TL1298"/>
      <c r="TM1298"/>
      <c r="TN1298"/>
      <c r="TO1298"/>
      <c r="TP1298"/>
      <c r="TQ1298"/>
      <c r="TR1298"/>
      <c r="TS1298"/>
      <c r="TT1298"/>
      <c r="TU1298"/>
      <c r="TV1298"/>
      <c r="TW1298"/>
      <c r="TX1298"/>
      <c r="TY1298"/>
      <c r="TZ1298"/>
      <c r="UA1298"/>
      <c r="UB1298"/>
      <c r="UC1298"/>
      <c r="UD1298"/>
      <c r="UE1298"/>
      <c r="UF1298"/>
      <c r="UG1298"/>
      <c r="UH1298"/>
      <c r="UI1298"/>
      <c r="UJ1298"/>
      <c r="UK1298"/>
      <c r="UL1298"/>
      <c r="UM1298"/>
      <c r="UN1298"/>
      <c r="UO1298"/>
      <c r="UP1298"/>
      <c r="UQ1298"/>
      <c r="UR1298"/>
      <c r="US1298"/>
      <c r="UT1298"/>
      <c r="UU1298"/>
      <c r="UV1298"/>
      <c r="UW1298"/>
      <c r="UX1298"/>
      <c r="UY1298"/>
      <c r="UZ1298"/>
      <c r="VA1298"/>
      <c r="VB1298"/>
      <c r="VC1298"/>
      <c r="VD1298"/>
      <c r="VE1298"/>
      <c r="VF1298"/>
      <c r="VG1298"/>
      <c r="VH1298"/>
      <c r="VI1298"/>
      <c r="VJ1298"/>
      <c r="VK1298"/>
      <c r="VL1298"/>
      <c r="VM1298"/>
      <c r="VN1298"/>
      <c r="VO1298"/>
      <c r="VP1298"/>
      <c r="VQ1298"/>
      <c r="VR1298"/>
      <c r="VS1298"/>
      <c r="VT1298"/>
      <c r="VU1298"/>
      <c r="VV1298"/>
      <c r="VW1298"/>
      <c r="VX1298"/>
      <c r="VY1298"/>
      <c r="VZ1298"/>
      <c r="WA1298"/>
      <c r="WB1298"/>
      <c r="WC1298"/>
      <c r="WD1298"/>
      <c r="WE1298"/>
      <c r="WF1298"/>
      <c r="WG1298"/>
      <c r="WH1298"/>
      <c r="WI1298"/>
      <c r="WJ1298"/>
      <c r="WK1298"/>
      <c r="WL1298"/>
      <c r="WM1298"/>
      <c r="WN1298"/>
      <c r="WO1298"/>
      <c r="WP1298"/>
      <c r="WQ1298"/>
      <c r="WR1298"/>
      <c r="WS1298"/>
      <c r="WT1298"/>
      <c r="WU1298"/>
      <c r="WV1298"/>
      <c r="WW1298"/>
      <c r="WX1298"/>
      <c r="WY1298"/>
      <c r="WZ1298"/>
      <c r="XA1298"/>
      <c r="XB1298"/>
      <c r="XC1298"/>
      <c r="XD1298"/>
      <c r="XE1298"/>
      <c r="XF1298"/>
      <c r="XG1298"/>
      <c r="XH1298"/>
      <c r="XI1298"/>
      <c r="XJ1298"/>
      <c r="XK1298"/>
      <c r="XL1298"/>
      <c r="XM1298"/>
      <c r="XN1298"/>
      <c r="XO1298"/>
      <c r="XP1298"/>
      <c r="XQ1298"/>
      <c r="XR1298"/>
      <c r="XS1298"/>
      <c r="XT1298"/>
      <c r="XU1298"/>
      <c r="XV1298"/>
      <c r="XW1298"/>
      <c r="XX1298"/>
      <c r="XY1298"/>
      <c r="XZ1298"/>
      <c r="YA1298"/>
      <c r="YB1298"/>
      <c r="YC1298"/>
      <c r="YD1298"/>
      <c r="YE1298"/>
      <c r="YF1298"/>
      <c r="YG1298"/>
      <c r="YH1298"/>
      <c r="YI1298"/>
      <c r="YJ1298"/>
      <c r="YK1298"/>
      <c r="YL1298"/>
      <c r="YM1298"/>
      <c r="YN1298"/>
      <c r="YO1298"/>
      <c r="YP1298"/>
      <c r="YQ1298"/>
      <c r="YR1298"/>
      <c r="YS1298"/>
      <c r="YT1298"/>
      <c r="YU1298"/>
      <c r="YV1298"/>
      <c r="YW1298"/>
      <c r="YX1298"/>
      <c r="YY1298"/>
      <c r="YZ1298"/>
      <c r="ZA1298"/>
      <c r="ZB1298"/>
      <c r="ZC1298"/>
      <c r="ZD1298"/>
      <c r="ZE1298"/>
      <c r="ZF1298"/>
      <c r="ZG1298"/>
      <c r="ZH1298"/>
      <c r="ZI1298"/>
      <c r="ZJ1298"/>
      <c r="ZK1298"/>
      <c r="ZL1298"/>
      <c r="ZM1298"/>
      <c r="ZN1298"/>
      <c r="ZO1298"/>
      <c r="ZP1298"/>
      <c r="ZQ1298"/>
      <c r="ZR1298"/>
      <c r="ZS1298"/>
      <c r="ZT1298"/>
      <c r="ZU1298"/>
      <c r="ZV1298"/>
      <c r="ZW1298"/>
      <c r="ZX1298"/>
      <c r="ZY1298"/>
      <c r="ZZ1298"/>
      <c r="AAA1298"/>
      <c r="AAB1298"/>
      <c r="AAC1298"/>
      <c r="AAD1298"/>
      <c r="AAE1298"/>
      <c r="AAF1298"/>
      <c r="AAG1298"/>
      <c r="AAH1298"/>
      <c r="AAI1298"/>
      <c r="AAJ1298"/>
      <c r="AAK1298"/>
      <c r="AAL1298"/>
      <c r="AAM1298"/>
      <c r="AAN1298"/>
      <c r="AAO1298"/>
      <c r="AAP1298"/>
      <c r="AAQ1298"/>
      <c r="AAR1298"/>
      <c r="AAS1298"/>
      <c r="AAT1298"/>
      <c r="AAU1298"/>
      <c r="AAV1298"/>
      <c r="AAW1298"/>
      <c r="AAX1298"/>
      <c r="AAY1298"/>
      <c r="AAZ1298"/>
      <c r="ABA1298"/>
      <c r="ABB1298"/>
      <c r="ABC1298"/>
      <c r="ABD1298"/>
      <c r="ABE1298"/>
      <c r="ABF1298"/>
      <c r="ABG1298"/>
      <c r="ABH1298"/>
      <c r="ABI1298"/>
      <c r="ABJ1298"/>
      <c r="ABK1298"/>
      <c r="ABL1298"/>
      <c r="ABM1298"/>
      <c r="ABN1298"/>
      <c r="ABO1298"/>
      <c r="ABP1298"/>
      <c r="ABQ1298"/>
      <c r="ABR1298"/>
      <c r="ABS1298"/>
      <c r="ABT1298"/>
      <c r="ABU1298"/>
      <c r="ABV1298"/>
      <c r="ABW1298"/>
      <c r="ABX1298"/>
      <c r="ABY1298"/>
      <c r="ABZ1298"/>
      <c r="ACA1298"/>
      <c r="ACB1298"/>
      <c r="ACC1298"/>
      <c r="ACD1298"/>
      <c r="ACE1298"/>
      <c r="ACF1298"/>
      <c r="ACG1298"/>
      <c r="ACH1298"/>
      <c r="ACI1298"/>
      <c r="ACJ1298"/>
      <c r="ACK1298"/>
      <c r="ACL1298"/>
      <c r="ACM1298"/>
      <c r="ACN1298"/>
      <c r="ACO1298"/>
      <c r="ACP1298"/>
      <c r="ACQ1298"/>
      <c r="ACR1298"/>
      <c r="ACS1298"/>
      <c r="ACT1298"/>
      <c r="ACU1298"/>
      <c r="ACV1298"/>
      <c r="ACW1298"/>
      <c r="ACX1298"/>
      <c r="ACY1298"/>
      <c r="ACZ1298"/>
      <c r="ADA1298"/>
      <c r="ADB1298"/>
      <c r="ADC1298"/>
      <c r="ADD1298"/>
      <c r="ADE1298"/>
      <c r="ADF1298"/>
      <c r="ADG1298"/>
      <c r="ADH1298"/>
      <c r="ADI1298"/>
      <c r="ADJ1298"/>
      <c r="ADK1298"/>
      <c r="ADL1298"/>
      <c r="ADM1298"/>
      <c r="ADN1298"/>
      <c r="ADO1298"/>
      <c r="ADP1298"/>
      <c r="ADQ1298"/>
      <c r="ADR1298"/>
      <c r="ADS1298"/>
      <c r="ADT1298"/>
      <c r="ADU1298"/>
      <c r="ADV1298"/>
      <c r="ADW1298"/>
      <c r="ADX1298"/>
      <c r="ADY1298"/>
      <c r="ADZ1298"/>
      <c r="AEA1298"/>
      <c r="AEB1298"/>
      <c r="AEC1298"/>
      <c r="AED1298"/>
      <c r="AEE1298"/>
      <c r="AEF1298"/>
      <c r="AEG1298"/>
      <c r="AEH1298"/>
      <c r="AEI1298"/>
      <c r="AEJ1298"/>
      <c r="AEK1298"/>
      <c r="AEL1298"/>
      <c r="AEM1298"/>
      <c r="AEN1298"/>
      <c r="AEO1298"/>
      <c r="AEP1298"/>
      <c r="AEQ1298"/>
      <c r="AER1298"/>
      <c r="AES1298"/>
      <c r="AET1298"/>
      <c r="AEU1298"/>
      <c r="AEV1298"/>
      <c r="AEW1298"/>
      <c r="AEX1298"/>
      <c r="AEY1298"/>
      <c r="AEZ1298"/>
      <c r="AFA1298"/>
      <c r="AFB1298"/>
      <c r="AFC1298"/>
      <c r="AFD1298"/>
      <c r="AFE1298"/>
      <c r="AFF1298"/>
      <c r="AFG1298"/>
      <c r="AFH1298"/>
      <c r="AFI1298"/>
      <c r="AFJ1298"/>
      <c r="AFK1298"/>
      <c r="AFL1298"/>
      <c r="AFM1298"/>
      <c r="AFN1298"/>
      <c r="AFO1298"/>
      <c r="AFP1298"/>
      <c r="AFQ1298"/>
      <c r="AFR1298"/>
      <c r="AFS1298"/>
      <c r="AFT1298"/>
      <c r="AFU1298"/>
      <c r="AFV1298"/>
      <c r="AFW1298"/>
      <c r="AFX1298"/>
      <c r="AFY1298"/>
      <c r="AFZ1298"/>
      <c r="AGA1298"/>
      <c r="AGB1298"/>
      <c r="AGC1298"/>
      <c r="AGD1298"/>
      <c r="AGE1298"/>
      <c r="AGF1298"/>
      <c r="AGG1298"/>
      <c r="AGH1298"/>
      <c r="AGI1298"/>
      <c r="AGJ1298"/>
      <c r="AGK1298"/>
      <c r="AGL1298"/>
      <c r="AGM1298"/>
      <c r="AGN1298"/>
      <c r="AGO1298"/>
      <c r="AGP1298"/>
      <c r="AGQ1298"/>
      <c r="AGR1298"/>
      <c r="AGS1298"/>
      <c r="AGT1298"/>
      <c r="AGU1298"/>
      <c r="AGV1298"/>
      <c r="AGW1298"/>
      <c r="AGX1298"/>
      <c r="AGY1298"/>
      <c r="AGZ1298"/>
      <c r="AHA1298"/>
      <c r="AHB1298"/>
      <c r="AHC1298"/>
      <c r="AHD1298"/>
      <c r="AHE1298"/>
      <c r="AHF1298"/>
      <c r="AHG1298"/>
      <c r="AHH1298"/>
      <c r="AHI1298"/>
      <c r="AHJ1298"/>
      <c r="AHK1298"/>
      <c r="AHL1298"/>
      <c r="AHM1298"/>
      <c r="AHN1298"/>
      <c r="AHO1298"/>
      <c r="AHP1298"/>
      <c r="AHQ1298"/>
      <c r="AHR1298"/>
      <c r="AHS1298"/>
      <c r="AHT1298"/>
      <c r="AHU1298"/>
      <c r="AHV1298"/>
      <c r="AHW1298"/>
      <c r="AHX1298"/>
      <c r="AHY1298"/>
      <c r="AHZ1298"/>
      <c r="AIA1298"/>
      <c r="AIB1298"/>
      <c r="AIC1298"/>
      <c r="AID1298"/>
      <c r="AIE1298"/>
      <c r="AIF1298"/>
      <c r="AIG1298"/>
      <c r="AIH1298"/>
      <c r="AII1298"/>
      <c r="AIJ1298"/>
      <c r="AIK1298"/>
      <c r="AIL1298"/>
      <c r="AIM1298"/>
      <c r="AIN1298"/>
      <c r="AIO1298"/>
      <c r="AIP1298"/>
      <c r="AIQ1298"/>
      <c r="AIR1298"/>
      <c r="AIS1298"/>
      <c r="AIT1298"/>
      <c r="AIU1298"/>
      <c r="AIV1298"/>
      <c r="AIW1298"/>
      <c r="AIX1298"/>
      <c r="AIY1298"/>
      <c r="AIZ1298"/>
      <c r="AJA1298"/>
      <c r="AJB1298"/>
      <c r="AJC1298"/>
      <c r="AJD1298"/>
      <c r="AJE1298"/>
      <c r="AJF1298"/>
      <c r="AJG1298"/>
      <c r="AJH1298"/>
      <c r="AJI1298"/>
      <c r="AJJ1298"/>
      <c r="AJK1298"/>
      <c r="AJL1298"/>
      <c r="AJM1298"/>
      <c r="AJN1298"/>
      <c r="AJO1298"/>
      <c r="AJP1298"/>
      <c r="AJQ1298"/>
      <c r="AJR1298"/>
      <c r="AJS1298"/>
      <c r="AJT1298"/>
      <c r="AJU1298"/>
      <c r="AJV1298"/>
      <c r="AJW1298"/>
      <c r="AJX1298"/>
      <c r="AJY1298"/>
      <c r="AJZ1298"/>
      <c r="AKA1298"/>
      <c r="AKB1298"/>
      <c r="AKC1298"/>
      <c r="AKD1298"/>
      <c r="AKE1298"/>
      <c r="AKF1298"/>
      <c r="AKG1298"/>
      <c r="AKH1298"/>
      <c r="AKI1298"/>
      <c r="AKJ1298"/>
      <c r="AKK1298"/>
      <c r="AKL1298"/>
      <c r="AKM1298"/>
      <c r="AKN1298"/>
      <c r="AKO1298"/>
      <c r="AKP1298"/>
      <c r="AKQ1298"/>
      <c r="AKR1298"/>
      <c r="AKS1298"/>
      <c r="AKT1298"/>
      <c r="AKU1298"/>
      <c r="AKV1298"/>
      <c r="AKW1298"/>
      <c r="AKX1298"/>
      <c r="AKY1298"/>
      <c r="AKZ1298"/>
      <c r="ALA1298"/>
      <c r="ALB1298"/>
      <c r="ALC1298"/>
      <c r="ALD1298"/>
      <c r="ALE1298"/>
      <c r="ALF1298"/>
      <c r="ALG1298"/>
      <c r="ALH1298"/>
      <c r="ALI1298"/>
      <c r="ALJ1298"/>
      <c r="ALK1298"/>
      <c r="ALL1298"/>
      <c r="ALM1298"/>
      <c r="ALN1298"/>
      <c r="ALO1298"/>
      <c r="ALP1298"/>
      <c r="ALQ1298"/>
      <c r="ALR1298"/>
      <c r="ALS1298"/>
      <c r="ALT1298"/>
    </row>
    <row r="1299" spans="1:1008" x14ac:dyDescent="0.15">
      <c r="A1299" t="s">
        <v>4138</v>
      </c>
      <c r="B1299" s="8" t="s">
        <v>1170</v>
      </c>
      <c r="C1299" t="s">
        <v>4138</v>
      </c>
      <c r="D1299" s="8" t="s">
        <v>15</v>
      </c>
      <c r="E1299" t="s">
        <v>4060</v>
      </c>
      <c r="F1299" t="s">
        <v>4061</v>
      </c>
      <c r="G1299">
        <v>500</v>
      </c>
      <c r="H1299"/>
      <c r="I1299"/>
      <c r="J1299"/>
      <c r="K1299"/>
      <c r="L1299"/>
      <c r="M1299"/>
      <c r="N1299"/>
      <c r="O1299"/>
      <c r="P1299"/>
      <c r="Q1299"/>
      <c r="R1299"/>
      <c r="S1299"/>
      <c r="T1299"/>
      <c r="U1299"/>
      <c r="V1299"/>
      <c r="W1299"/>
      <c r="X1299"/>
      <c r="Y1299"/>
      <c r="Z1299"/>
      <c r="AA1299"/>
      <c r="AB1299"/>
      <c r="AC1299"/>
      <c r="AD1299"/>
      <c r="AE1299"/>
      <c r="AF1299"/>
      <c r="AG1299"/>
      <c r="AH1299"/>
      <c r="AI1299"/>
      <c r="AJ1299"/>
      <c r="AK1299"/>
      <c r="AL1299"/>
      <c r="AM1299"/>
      <c r="AN1299"/>
      <c r="AO1299"/>
      <c r="AP1299"/>
      <c r="AQ1299"/>
      <c r="AR1299"/>
      <c r="AS1299"/>
      <c r="AT1299"/>
      <c r="AU1299"/>
      <c r="AV1299"/>
      <c r="AW1299"/>
      <c r="AX1299"/>
      <c r="AY1299"/>
      <c r="AZ1299"/>
      <c r="BA1299"/>
      <c r="BB1299"/>
      <c r="BC1299"/>
      <c r="BD1299"/>
      <c r="BE1299"/>
      <c r="BF1299"/>
      <c r="BG1299"/>
      <c r="BH1299"/>
      <c r="BI1299"/>
      <c r="BJ1299"/>
      <c r="BK1299"/>
      <c r="BL1299"/>
      <c r="BM1299"/>
      <c r="BN1299"/>
      <c r="BO1299"/>
      <c r="BP1299"/>
      <c r="BQ1299"/>
      <c r="BR1299"/>
      <c r="BS1299"/>
      <c r="BT1299"/>
      <c r="BU1299"/>
      <c r="BV1299"/>
      <c r="BW1299"/>
      <c r="BX1299"/>
      <c r="BY1299"/>
      <c r="BZ1299"/>
      <c r="CA1299"/>
      <c r="CB1299"/>
      <c r="CC1299"/>
      <c r="CD1299"/>
      <c r="CE1299"/>
      <c r="CF1299"/>
      <c r="CG1299"/>
      <c r="CH1299"/>
      <c r="CI1299"/>
      <c r="CJ1299"/>
      <c r="CK1299"/>
      <c r="CL1299"/>
      <c r="CM1299"/>
      <c r="CN1299"/>
      <c r="CO1299"/>
      <c r="CP1299"/>
      <c r="CQ1299"/>
      <c r="CR1299"/>
      <c r="CS1299"/>
      <c r="CT1299"/>
      <c r="CU1299"/>
      <c r="CV1299"/>
      <c r="CW1299"/>
      <c r="CX1299"/>
      <c r="CY1299"/>
      <c r="CZ1299"/>
      <c r="DA1299"/>
      <c r="DB1299"/>
      <c r="DC1299"/>
      <c r="DD1299"/>
      <c r="DE1299"/>
      <c r="DF1299"/>
      <c r="DG1299"/>
      <c r="DH1299"/>
      <c r="DI1299"/>
      <c r="DJ1299"/>
      <c r="DK1299"/>
      <c r="DL1299"/>
      <c r="DM1299"/>
      <c r="DN1299"/>
      <c r="DO1299"/>
      <c r="DP1299"/>
      <c r="DQ1299"/>
      <c r="DR1299"/>
      <c r="DS1299"/>
      <c r="DT1299"/>
      <c r="DU1299"/>
      <c r="DV1299"/>
      <c r="DW1299"/>
      <c r="DX1299"/>
      <c r="DY1299"/>
      <c r="DZ1299"/>
      <c r="EA1299"/>
      <c r="EB1299"/>
      <c r="EC1299"/>
      <c r="ED1299"/>
      <c r="EE1299"/>
      <c r="EF1299"/>
      <c r="EG1299"/>
      <c r="EH1299"/>
      <c r="EI1299"/>
      <c r="EJ1299"/>
      <c r="EK1299"/>
      <c r="EL1299"/>
      <c r="EM1299"/>
      <c r="EN1299"/>
      <c r="EO1299"/>
      <c r="EP1299"/>
      <c r="EQ1299"/>
      <c r="ER1299"/>
      <c r="ES1299"/>
      <c r="ET1299"/>
      <c r="EU1299"/>
      <c r="EV1299"/>
      <c r="EW1299"/>
      <c r="EX1299"/>
      <c r="EY1299"/>
      <c r="EZ1299"/>
      <c r="FA1299"/>
      <c r="FB1299"/>
      <c r="FC1299"/>
      <c r="FD1299"/>
      <c r="FE1299"/>
      <c r="FF1299"/>
      <c r="FG1299"/>
      <c r="FH1299"/>
      <c r="FI1299"/>
      <c r="FJ1299"/>
      <c r="FK1299"/>
      <c r="FL1299"/>
      <c r="FM1299"/>
      <c r="FN1299"/>
      <c r="FO1299"/>
      <c r="FP1299"/>
      <c r="FQ1299"/>
      <c r="FR1299"/>
      <c r="FS1299"/>
      <c r="FT1299"/>
      <c r="FU1299"/>
      <c r="FV1299"/>
      <c r="FW1299"/>
      <c r="FX1299"/>
      <c r="FY1299"/>
      <c r="FZ1299"/>
      <c r="GA1299"/>
      <c r="GB1299"/>
      <c r="GC1299"/>
      <c r="GD1299"/>
      <c r="GE1299"/>
      <c r="GF1299"/>
      <c r="GG1299"/>
      <c r="GH1299"/>
      <c r="GI1299"/>
      <c r="GJ1299"/>
      <c r="GK1299"/>
      <c r="GL1299"/>
      <c r="GM1299"/>
      <c r="GN1299"/>
      <c r="GO1299"/>
      <c r="GP1299"/>
      <c r="GQ1299"/>
      <c r="GR1299"/>
      <c r="GS1299"/>
      <c r="GT1299"/>
      <c r="GU1299"/>
      <c r="GV1299"/>
      <c r="GW1299"/>
      <c r="GX1299"/>
      <c r="GY1299"/>
      <c r="GZ1299"/>
      <c r="HA1299"/>
      <c r="HB1299"/>
      <c r="HC1299"/>
      <c r="HD1299"/>
      <c r="HE1299"/>
      <c r="HF1299"/>
      <c r="HG1299"/>
      <c r="HH1299"/>
      <c r="HI1299"/>
      <c r="HJ1299"/>
      <c r="HK1299"/>
      <c r="HL1299"/>
      <c r="HM1299"/>
      <c r="HN1299"/>
      <c r="HO1299"/>
      <c r="HP1299"/>
      <c r="HQ1299"/>
      <c r="HR1299"/>
      <c r="HS1299"/>
      <c r="HT1299"/>
      <c r="HU1299"/>
      <c r="HV1299"/>
      <c r="HW1299"/>
      <c r="HX1299"/>
      <c r="HY1299"/>
      <c r="HZ1299"/>
      <c r="IA1299"/>
      <c r="IB1299"/>
      <c r="IC1299"/>
      <c r="ID1299"/>
      <c r="IE1299"/>
      <c r="IF1299"/>
      <c r="IG1299"/>
      <c r="IH1299"/>
      <c r="II1299"/>
      <c r="IJ1299"/>
      <c r="IK1299"/>
      <c r="IL1299"/>
      <c r="IM1299"/>
      <c r="IN1299"/>
      <c r="IO1299"/>
      <c r="IP1299"/>
      <c r="IQ1299"/>
      <c r="IR1299"/>
      <c r="IS1299"/>
      <c r="IT1299"/>
      <c r="IU1299"/>
      <c r="IV1299"/>
      <c r="IW1299"/>
      <c r="IX1299"/>
      <c r="IY1299"/>
      <c r="IZ1299"/>
      <c r="JA1299"/>
      <c r="JB1299"/>
      <c r="JC1299"/>
      <c r="JD1299"/>
      <c r="JE1299"/>
      <c r="JF1299"/>
      <c r="JG1299"/>
      <c r="JH1299"/>
      <c r="JI1299"/>
      <c r="JJ1299"/>
      <c r="JK1299"/>
      <c r="JL1299"/>
      <c r="JM1299"/>
      <c r="JN1299"/>
      <c r="JO1299"/>
      <c r="JP1299"/>
      <c r="JQ1299"/>
      <c r="JR1299"/>
      <c r="JS1299"/>
      <c r="JT1299"/>
      <c r="JU1299"/>
      <c r="JV1299"/>
      <c r="JW1299"/>
      <c r="JX1299"/>
      <c r="JY1299"/>
      <c r="JZ1299"/>
      <c r="KA1299"/>
      <c r="KB1299"/>
      <c r="KC1299"/>
      <c r="KD1299"/>
      <c r="KE1299"/>
      <c r="KF1299"/>
      <c r="KG1299"/>
      <c r="KH1299"/>
      <c r="KI1299"/>
      <c r="KJ1299"/>
      <c r="KK1299"/>
      <c r="KL1299"/>
      <c r="KM1299"/>
      <c r="KN1299"/>
      <c r="KO1299"/>
      <c r="KP1299"/>
      <c r="KQ1299"/>
      <c r="KR1299"/>
      <c r="KS1299"/>
      <c r="KT1299"/>
      <c r="KU1299"/>
      <c r="KV1299"/>
      <c r="KW1299"/>
      <c r="KX1299"/>
      <c r="KY1299"/>
      <c r="KZ1299"/>
      <c r="LA1299"/>
      <c r="LB1299"/>
      <c r="LC1299"/>
      <c r="LD1299"/>
      <c r="LE1299"/>
      <c r="LF1299"/>
      <c r="LG1299"/>
      <c r="LH1299"/>
      <c r="LI1299"/>
      <c r="LJ1299"/>
      <c r="LK1299"/>
      <c r="LL1299"/>
      <c r="LM1299"/>
      <c r="LN1299"/>
      <c r="LO1299"/>
      <c r="LP1299"/>
      <c r="LQ1299"/>
      <c r="LR1299"/>
      <c r="LS1299"/>
      <c r="LT1299"/>
      <c r="LU1299"/>
      <c r="LV1299"/>
      <c r="LW1299"/>
      <c r="LX1299"/>
      <c r="LY1299"/>
      <c r="LZ1299"/>
      <c r="MA1299"/>
      <c r="MB1299"/>
      <c r="MC1299"/>
      <c r="MD1299"/>
      <c r="ME1299"/>
      <c r="MF1299"/>
      <c r="MG1299"/>
      <c r="MH1299"/>
      <c r="MI1299"/>
      <c r="MJ1299"/>
      <c r="MK1299"/>
      <c r="ML1299"/>
      <c r="MM1299"/>
      <c r="MN1299"/>
      <c r="MO1299"/>
      <c r="MP1299"/>
      <c r="MQ1299"/>
      <c r="MR1299"/>
      <c r="MS1299"/>
      <c r="MT1299"/>
      <c r="MU1299"/>
      <c r="MV1299"/>
      <c r="MW1299"/>
      <c r="MX1299"/>
      <c r="MY1299"/>
      <c r="MZ1299"/>
      <c r="NA1299"/>
      <c r="NB1299"/>
      <c r="NC1299"/>
      <c r="ND1299"/>
      <c r="NE1299"/>
      <c r="NF1299"/>
      <c r="NG1299"/>
      <c r="NH1299"/>
      <c r="NI1299"/>
      <c r="NJ1299"/>
      <c r="NK1299"/>
      <c r="NL1299"/>
      <c r="NM1299"/>
      <c r="NN1299"/>
      <c r="NO1299"/>
      <c r="NP1299"/>
      <c r="NQ1299"/>
      <c r="NR1299"/>
      <c r="NS1299"/>
      <c r="NT1299"/>
      <c r="NU1299"/>
      <c r="NV1299"/>
      <c r="NW1299"/>
      <c r="NX1299"/>
      <c r="NY1299"/>
      <c r="NZ1299"/>
      <c r="OA1299"/>
      <c r="OB1299"/>
      <c r="OC1299"/>
      <c r="OD1299"/>
      <c r="OE1299"/>
      <c r="OF1299"/>
      <c r="OG1299"/>
      <c r="OH1299"/>
      <c r="OI1299"/>
      <c r="OJ1299"/>
      <c r="OK1299"/>
      <c r="OL1299"/>
      <c r="OM1299"/>
      <c r="ON1299"/>
      <c r="OO1299"/>
      <c r="OP1299"/>
      <c r="OQ1299"/>
      <c r="OR1299"/>
      <c r="OS1299"/>
      <c r="OT1299"/>
      <c r="OU1299"/>
      <c r="OV1299"/>
      <c r="OW1299"/>
      <c r="OX1299"/>
      <c r="OY1299"/>
      <c r="OZ1299"/>
      <c r="PA1299"/>
      <c r="PB1299"/>
      <c r="PC1299"/>
      <c r="PD1299"/>
      <c r="PE1299"/>
      <c r="PF1299"/>
      <c r="PG1299"/>
      <c r="PH1299"/>
      <c r="PI1299"/>
      <c r="PJ1299"/>
      <c r="PK1299"/>
      <c r="PL1299"/>
      <c r="PM1299"/>
      <c r="PN1299"/>
      <c r="PO1299"/>
      <c r="PP1299"/>
      <c r="PQ1299"/>
      <c r="PR1299"/>
      <c r="PS1299"/>
      <c r="PT1299"/>
      <c r="PU1299"/>
      <c r="PV1299"/>
      <c r="PW1299"/>
      <c r="PX1299"/>
      <c r="PY1299"/>
      <c r="PZ1299"/>
      <c r="QA1299"/>
      <c r="QB1299"/>
      <c r="QC1299"/>
      <c r="QD1299"/>
      <c r="QE1299"/>
      <c r="QF1299"/>
      <c r="QG1299"/>
      <c r="QH1299"/>
      <c r="QI1299"/>
      <c r="QJ1299"/>
      <c r="QK1299"/>
      <c r="QL1299"/>
      <c r="QM1299"/>
      <c r="QN1299"/>
      <c r="QO1299"/>
      <c r="QP1299"/>
      <c r="QQ1299"/>
      <c r="QR1299"/>
      <c r="QS1299"/>
      <c r="QT1299"/>
      <c r="QU1299"/>
      <c r="QV1299"/>
      <c r="QW1299"/>
      <c r="QX1299"/>
      <c r="QY1299"/>
      <c r="QZ1299"/>
      <c r="RA1299"/>
      <c r="RB1299"/>
      <c r="RC1299"/>
      <c r="RD1299"/>
      <c r="RE1299"/>
      <c r="RF1299"/>
      <c r="RG1299"/>
      <c r="RH1299"/>
      <c r="RI1299"/>
      <c r="RJ1299"/>
      <c r="RK1299"/>
      <c r="RL1299"/>
      <c r="RM1299"/>
      <c r="RN1299"/>
      <c r="RO1299"/>
      <c r="RP1299"/>
      <c r="RQ1299"/>
      <c r="RR1299"/>
      <c r="RS1299"/>
      <c r="RT1299"/>
      <c r="RU1299"/>
      <c r="RV1299"/>
      <c r="RW1299"/>
      <c r="RX1299"/>
      <c r="RY1299"/>
      <c r="RZ1299"/>
      <c r="SA1299"/>
      <c r="SB1299"/>
      <c r="SC1299"/>
      <c r="SD1299"/>
      <c r="SE1299"/>
      <c r="SF1299"/>
      <c r="SG1299"/>
      <c r="SH1299"/>
      <c r="SI1299"/>
      <c r="SJ1299"/>
      <c r="SK1299"/>
      <c r="SL1299"/>
      <c r="SM1299"/>
      <c r="SN1299"/>
      <c r="SO1299"/>
      <c r="SP1299"/>
      <c r="SQ1299"/>
      <c r="SR1299"/>
      <c r="SS1299"/>
      <c r="ST1299"/>
      <c r="SU1299"/>
      <c r="SV1299"/>
      <c r="SW1299"/>
      <c r="SX1299"/>
      <c r="SY1299"/>
      <c r="SZ1299"/>
      <c r="TA1299"/>
      <c r="TB1299"/>
      <c r="TC1299"/>
      <c r="TD1299"/>
      <c r="TE1299"/>
      <c r="TF1299"/>
      <c r="TG1299"/>
      <c r="TH1299"/>
      <c r="TI1299"/>
      <c r="TJ1299"/>
      <c r="TK1299"/>
      <c r="TL1299"/>
      <c r="TM1299"/>
      <c r="TN1299"/>
      <c r="TO1299"/>
      <c r="TP1299"/>
      <c r="TQ1299"/>
      <c r="TR1299"/>
      <c r="TS1299"/>
      <c r="TT1299"/>
      <c r="TU1299"/>
      <c r="TV1299"/>
      <c r="TW1299"/>
      <c r="TX1299"/>
      <c r="TY1299"/>
      <c r="TZ1299"/>
      <c r="UA1299"/>
      <c r="UB1299"/>
      <c r="UC1299"/>
      <c r="UD1299"/>
      <c r="UE1299"/>
      <c r="UF1299"/>
      <c r="UG1299"/>
      <c r="UH1299"/>
      <c r="UI1299"/>
      <c r="UJ1299"/>
      <c r="UK1299"/>
      <c r="UL1299"/>
      <c r="UM1299"/>
      <c r="UN1299"/>
      <c r="UO1299"/>
      <c r="UP1299"/>
      <c r="UQ1299"/>
      <c r="UR1299"/>
      <c r="US1299"/>
      <c r="UT1299"/>
      <c r="UU1299"/>
      <c r="UV1299"/>
      <c r="UW1299"/>
      <c r="UX1299"/>
      <c r="UY1299"/>
      <c r="UZ1299"/>
      <c r="VA1299"/>
      <c r="VB1299"/>
      <c r="VC1299"/>
      <c r="VD1299"/>
      <c r="VE1299"/>
      <c r="VF1299"/>
      <c r="VG1299"/>
      <c r="VH1299"/>
      <c r="VI1299"/>
      <c r="VJ1299"/>
      <c r="VK1299"/>
      <c r="VL1299"/>
      <c r="VM1299"/>
      <c r="VN1299"/>
      <c r="VO1299"/>
      <c r="VP1299"/>
      <c r="VQ1299"/>
      <c r="VR1299"/>
      <c r="VS1299"/>
      <c r="VT1299"/>
      <c r="VU1299"/>
      <c r="VV1299"/>
      <c r="VW1299"/>
      <c r="VX1299"/>
      <c r="VY1299"/>
      <c r="VZ1299"/>
      <c r="WA1299"/>
      <c r="WB1299"/>
      <c r="WC1299"/>
      <c r="WD1299"/>
      <c r="WE1299"/>
      <c r="WF1299"/>
      <c r="WG1299"/>
      <c r="WH1299"/>
      <c r="WI1299"/>
      <c r="WJ1299"/>
      <c r="WK1299"/>
      <c r="WL1299"/>
      <c r="WM1299"/>
      <c r="WN1299"/>
      <c r="WO1299"/>
      <c r="WP1299"/>
      <c r="WQ1299"/>
      <c r="WR1299"/>
      <c r="WS1299"/>
      <c r="WT1299"/>
      <c r="WU1299"/>
      <c r="WV1299"/>
      <c r="WW1299"/>
      <c r="WX1299"/>
      <c r="WY1299"/>
      <c r="WZ1299"/>
      <c r="XA1299"/>
      <c r="XB1299"/>
      <c r="XC1299"/>
      <c r="XD1299"/>
      <c r="XE1299"/>
      <c r="XF1299"/>
      <c r="XG1299"/>
      <c r="XH1299"/>
      <c r="XI1299"/>
      <c r="XJ1299"/>
      <c r="XK1299"/>
      <c r="XL1299"/>
      <c r="XM1299"/>
      <c r="XN1299"/>
      <c r="XO1299"/>
      <c r="XP1299"/>
      <c r="XQ1299"/>
      <c r="XR1299"/>
      <c r="XS1299"/>
      <c r="XT1299"/>
      <c r="XU1299"/>
      <c r="XV1299"/>
      <c r="XW1299"/>
      <c r="XX1299"/>
      <c r="XY1299"/>
      <c r="XZ1299"/>
      <c r="YA1299"/>
      <c r="YB1299"/>
      <c r="YC1299"/>
      <c r="YD1299"/>
      <c r="YE1299"/>
      <c r="YF1299"/>
      <c r="YG1299"/>
      <c r="YH1299"/>
      <c r="YI1299"/>
      <c r="YJ1299"/>
      <c r="YK1299"/>
      <c r="YL1299"/>
      <c r="YM1299"/>
      <c r="YN1299"/>
      <c r="YO1299"/>
      <c r="YP1299"/>
      <c r="YQ1299"/>
      <c r="YR1299"/>
      <c r="YS1299"/>
      <c r="YT1299"/>
      <c r="YU1299"/>
      <c r="YV1299"/>
      <c r="YW1299"/>
      <c r="YX1299"/>
      <c r="YY1299"/>
      <c r="YZ1299"/>
      <c r="ZA1299"/>
      <c r="ZB1299"/>
      <c r="ZC1299"/>
      <c r="ZD1299"/>
      <c r="ZE1299"/>
      <c r="ZF1299"/>
      <c r="ZG1299"/>
      <c r="ZH1299"/>
      <c r="ZI1299"/>
      <c r="ZJ1299"/>
      <c r="ZK1299"/>
      <c r="ZL1299"/>
      <c r="ZM1299"/>
      <c r="ZN1299"/>
      <c r="ZO1299"/>
      <c r="ZP1299"/>
      <c r="ZQ1299"/>
      <c r="ZR1299"/>
      <c r="ZS1299"/>
      <c r="ZT1299"/>
      <c r="ZU1299"/>
      <c r="ZV1299"/>
      <c r="ZW1299"/>
      <c r="ZX1299"/>
      <c r="ZY1299"/>
      <c r="ZZ1299"/>
      <c r="AAA1299"/>
      <c r="AAB1299"/>
      <c r="AAC1299"/>
      <c r="AAD1299"/>
      <c r="AAE1299"/>
      <c r="AAF1299"/>
      <c r="AAG1299"/>
      <c r="AAH1299"/>
      <c r="AAI1299"/>
      <c r="AAJ1299"/>
      <c r="AAK1299"/>
      <c r="AAL1299"/>
      <c r="AAM1299"/>
      <c r="AAN1299"/>
      <c r="AAO1299"/>
      <c r="AAP1299"/>
      <c r="AAQ1299"/>
      <c r="AAR1299"/>
      <c r="AAS1299"/>
      <c r="AAT1299"/>
      <c r="AAU1299"/>
      <c r="AAV1299"/>
      <c r="AAW1299"/>
      <c r="AAX1299"/>
      <c r="AAY1299"/>
      <c r="AAZ1299"/>
      <c r="ABA1299"/>
      <c r="ABB1299"/>
      <c r="ABC1299"/>
      <c r="ABD1299"/>
      <c r="ABE1299"/>
      <c r="ABF1299"/>
      <c r="ABG1299"/>
      <c r="ABH1299"/>
      <c r="ABI1299"/>
      <c r="ABJ1299"/>
      <c r="ABK1299"/>
      <c r="ABL1299"/>
      <c r="ABM1299"/>
      <c r="ABN1299"/>
      <c r="ABO1299"/>
      <c r="ABP1299"/>
      <c r="ABQ1299"/>
      <c r="ABR1299"/>
      <c r="ABS1299"/>
      <c r="ABT1299"/>
      <c r="ABU1299"/>
      <c r="ABV1299"/>
      <c r="ABW1299"/>
      <c r="ABX1299"/>
      <c r="ABY1299"/>
      <c r="ABZ1299"/>
      <c r="ACA1299"/>
      <c r="ACB1299"/>
      <c r="ACC1299"/>
      <c r="ACD1299"/>
      <c r="ACE1299"/>
      <c r="ACF1299"/>
      <c r="ACG1299"/>
      <c r="ACH1299"/>
      <c r="ACI1299"/>
      <c r="ACJ1299"/>
      <c r="ACK1299"/>
      <c r="ACL1299"/>
      <c r="ACM1299"/>
      <c r="ACN1299"/>
      <c r="ACO1299"/>
      <c r="ACP1299"/>
      <c r="ACQ1299"/>
      <c r="ACR1299"/>
      <c r="ACS1299"/>
      <c r="ACT1299"/>
      <c r="ACU1299"/>
      <c r="ACV1299"/>
      <c r="ACW1299"/>
      <c r="ACX1299"/>
      <c r="ACY1299"/>
      <c r="ACZ1299"/>
      <c r="ADA1299"/>
      <c r="ADB1299"/>
      <c r="ADC1299"/>
      <c r="ADD1299"/>
      <c r="ADE1299"/>
      <c r="ADF1299"/>
      <c r="ADG1299"/>
      <c r="ADH1299"/>
      <c r="ADI1299"/>
      <c r="ADJ1299"/>
      <c r="ADK1299"/>
      <c r="ADL1299"/>
      <c r="ADM1299"/>
      <c r="ADN1299"/>
      <c r="ADO1299"/>
      <c r="ADP1299"/>
      <c r="ADQ1299"/>
      <c r="ADR1299"/>
      <c r="ADS1299"/>
      <c r="ADT1299"/>
      <c r="ADU1299"/>
      <c r="ADV1299"/>
      <c r="ADW1299"/>
      <c r="ADX1299"/>
      <c r="ADY1299"/>
      <c r="ADZ1299"/>
      <c r="AEA1299"/>
      <c r="AEB1299"/>
      <c r="AEC1299"/>
      <c r="AED1299"/>
      <c r="AEE1299"/>
      <c r="AEF1299"/>
      <c r="AEG1299"/>
      <c r="AEH1299"/>
      <c r="AEI1299"/>
      <c r="AEJ1299"/>
      <c r="AEK1299"/>
      <c r="AEL1299"/>
      <c r="AEM1299"/>
      <c r="AEN1299"/>
      <c r="AEO1299"/>
      <c r="AEP1299"/>
      <c r="AEQ1299"/>
      <c r="AER1299"/>
      <c r="AES1299"/>
      <c r="AET1299"/>
      <c r="AEU1299"/>
      <c r="AEV1299"/>
      <c r="AEW1299"/>
      <c r="AEX1299"/>
      <c r="AEY1299"/>
      <c r="AEZ1299"/>
      <c r="AFA1299"/>
      <c r="AFB1299"/>
      <c r="AFC1299"/>
      <c r="AFD1299"/>
      <c r="AFE1299"/>
      <c r="AFF1299"/>
      <c r="AFG1299"/>
      <c r="AFH1299"/>
      <c r="AFI1299"/>
      <c r="AFJ1299"/>
      <c r="AFK1299"/>
      <c r="AFL1299"/>
      <c r="AFM1299"/>
      <c r="AFN1299"/>
      <c r="AFO1299"/>
      <c r="AFP1299"/>
      <c r="AFQ1299"/>
      <c r="AFR1299"/>
      <c r="AFS1299"/>
      <c r="AFT1299"/>
      <c r="AFU1299"/>
      <c r="AFV1299"/>
      <c r="AFW1299"/>
      <c r="AFX1299"/>
      <c r="AFY1299"/>
      <c r="AFZ1299"/>
      <c r="AGA1299"/>
      <c r="AGB1299"/>
      <c r="AGC1299"/>
      <c r="AGD1299"/>
      <c r="AGE1299"/>
      <c r="AGF1299"/>
      <c r="AGG1299"/>
      <c r="AGH1299"/>
      <c r="AGI1299"/>
      <c r="AGJ1299"/>
      <c r="AGK1299"/>
      <c r="AGL1299"/>
      <c r="AGM1299"/>
      <c r="AGN1299"/>
      <c r="AGO1299"/>
      <c r="AGP1299"/>
      <c r="AGQ1299"/>
      <c r="AGR1299"/>
      <c r="AGS1299"/>
      <c r="AGT1299"/>
      <c r="AGU1299"/>
      <c r="AGV1299"/>
      <c r="AGW1299"/>
      <c r="AGX1299"/>
      <c r="AGY1299"/>
      <c r="AGZ1299"/>
      <c r="AHA1299"/>
      <c r="AHB1299"/>
      <c r="AHC1299"/>
      <c r="AHD1299"/>
      <c r="AHE1299"/>
      <c r="AHF1299"/>
      <c r="AHG1299"/>
      <c r="AHH1299"/>
      <c r="AHI1299"/>
      <c r="AHJ1299"/>
      <c r="AHK1299"/>
      <c r="AHL1299"/>
      <c r="AHM1299"/>
      <c r="AHN1299"/>
      <c r="AHO1299"/>
      <c r="AHP1299"/>
      <c r="AHQ1299"/>
      <c r="AHR1299"/>
      <c r="AHS1299"/>
      <c r="AHT1299"/>
      <c r="AHU1299"/>
      <c r="AHV1299"/>
      <c r="AHW1299"/>
      <c r="AHX1299"/>
      <c r="AHY1299"/>
      <c r="AHZ1299"/>
      <c r="AIA1299"/>
      <c r="AIB1299"/>
      <c r="AIC1299"/>
      <c r="AID1299"/>
      <c r="AIE1299"/>
      <c r="AIF1299"/>
      <c r="AIG1299"/>
      <c r="AIH1299"/>
      <c r="AII1299"/>
      <c r="AIJ1299"/>
      <c r="AIK1299"/>
      <c r="AIL1299"/>
      <c r="AIM1299"/>
      <c r="AIN1299"/>
      <c r="AIO1299"/>
      <c r="AIP1299"/>
      <c r="AIQ1299"/>
      <c r="AIR1299"/>
      <c r="AIS1299"/>
      <c r="AIT1299"/>
      <c r="AIU1299"/>
      <c r="AIV1299"/>
      <c r="AIW1299"/>
      <c r="AIX1299"/>
      <c r="AIY1299"/>
      <c r="AIZ1299"/>
      <c r="AJA1299"/>
      <c r="AJB1299"/>
      <c r="AJC1299"/>
      <c r="AJD1299"/>
      <c r="AJE1299"/>
      <c r="AJF1299"/>
      <c r="AJG1299"/>
      <c r="AJH1299"/>
      <c r="AJI1299"/>
      <c r="AJJ1299"/>
      <c r="AJK1299"/>
      <c r="AJL1299"/>
      <c r="AJM1299"/>
      <c r="AJN1299"/>
      <c r="AJO1299"/>
      <c r="AJP1299"/>
      <c r="AJQ1299"/>
      <c r="AJR1299"/>
      <c r="AJS1299"/>
      <c r="AJT1299"/>
      <c r="AJU1299"/>
      <c r="AJV1299"/>
      <c r="AJW1299"/>
      <c r="AJX1299"/>
      <c r="AJY1299"/>
      <c r="AJZ1299"/>
      <c r="AKA1299"/>
      <c r="AKB1299"/>
      <c r="AKC1299"/>
      <c r="AKD1299"/>
      <c r="AKE1299"/>
      <c r="AKF1299"/>
      <c r="AKG1299"/>
      <c r="AKH1299"/>
      <c r="AKI1299"/>
      <c r="AKJ1299"/>
      <c r="AKK1299"/>
      <c r="AKL1299"/>
      <c r="AKM1299"/>
      <c r="AKN1299"/>
      <c r="AKO1299"/>
      <c r="AKP1299"/>
      <c r="AKQ1299"/>
      <c r="AKR1299"/>
      <c r="AKS1299"/>
      <c r="AKT1299"/>
      <c r="AKU1299"/>
      <c r="AKV1299"/>
      <c r="AKW1299"/>
      <c r="AKX1299"/>
      <c r="AKY1299"/>
      <c r="AKZ1299"/>
      <c r="ALA1299"/>
      <c r="ALB1299"/>
      <c r="ALC1299"/>
      <c r="ALD1299"/>
      <c r="ALE1299"/>
      <c r="ALF1299"/>
      <c r="ALG1299"/>
      <c r="ALH1299"/>
      <c r="ALI1299"/>
      <c r="ALJ1299"/>
      <c r="ALK1299"/>
      <c r="ALL1299"/>
      <c r="ALM1299"/>
      <c r="ALN1299"/>
      <c r="ALO1299"/>
      <c r="ALP1299"/>
      <c r="ALQ1299"/>
      <c r="ALR1299"/>
      <c r="ALS1299"/>
      <c r="ALT1299"/>
    </row>
    <row r="1300" spans="1:1008" x14ac:dyDescent="0.15">
      <c r="A1300" t="s">
        <v>4139</v>
      </c>
      <c r="B1300" s="8" t="s">
        <v>1170</v>
      </c>
      <c r="C1300" t="s">
        <v>4139</v>
      </c>
      <c r="D1300" s="8" t="s">
        <v>15</v>
      </c>
      <c r="E1300" t="s">
        <v>4140</v>
      </c>
      <c r="F1300" t="s">
        <v>4062</v>
      </c>
      <c r="G1300">
        <v>550</v>
      </c>
      <c r="H1300"/>
      <c r="I1300"/>
      <c r="J1300"/>
      <c r="K1300"/>
      <c r="L1300"/>
      <c r="M1300"/>
      <c r="N1300"/>
      <c r="O1300"/>
      <c r="P1300"/>
      <c r="Q1300"/>
      <c r="R1300"/>
      <c r="S1300"/>
      <c r="T1300"/>
      <c r="U1300"/>
      <c r="V1300"/>
      <c r="W1300"/>
      <c r="X1300"/>
      <c r="Y1300"/>
      <c r="Z1300"/>
      <c r="AA1300"/>
      <c r="AB1300"/>
      <c r="AC1300"/>
      <c r="AD1300"/>
      <c r="AE1300"/>
      <c r="AF1300"/>
      <c r="AG1300"/>
      <c r="AH1300"/>
      <c r="AI1300"/>
      <c r="AJ1300"/>
      <c r="AK1300"/>
      <c r="AL1300"/>
      <c r="AM1300"/>
      <c r="AN1300"/>
      <c r="AO1300"/>
      <c r="AP1300"/>
      <c r="AQ1300"/>
      <c r="AR1300"/>
      <c r="AS1300"/>
      <c r="AT1300"/>
      <c r="AU1300"/>
      <c r="AV1300"/>
      <c r="AW1300"/>
      <c r="AX1300"/>
      <c r="AY1300"/>
      <c r="AZ1300"/>
      <c r="BA1300"/>
      <c r="BB1300"/>
      <c r="BC1300"/>
      <c r="BD1300"/>
      <c r="BE1300"/>
      <c r="BF1300"/>
      <c r="BG1300"/>
      <c r="BH1300"/>
      <c r="BI1300"/>
      <c r="BJ1300"/>
      <c r="BK1300"/>
      <c r="BL1300"/>
      <c r="BM1300"/>
      <c r="BN1300"/>
      <c r="BO1300"/>
      <c r="BP1300"/>
      <c r="BQ1300"/>
      <c r="BR1300"/>
      <c r="BS1300"/>
      <c r="BT1300"/>
      <c r="BU1300"/>
      <c r="BV1300"/>
      <c r="BW1300"/>
      <c r="BX1300"/>
      <c r="BY1300"/>
      <c r="BZ1300"/>
      <c r="CA1300"/>
      <c r="CB1300"/>
      <c r="CC1300"/>
      <c r="CD1300"/>
      <c r="CE1300"/>
      <c r="CF1300"/>
      <c r="CG1300"/>
      <c r="CH1300"/>
      <c r="CI1300"/>
      <c r="CJ1300"/>
      <c r="CK1300"/>
      <c r="CL1300"/>
      <c r="CM1300"/>
      <c r="CN1300"/>
      <c r="CO1300"/>
      <c r="CP1300"/>
      <c r="CQ1300"/>
      <c r="CR1300"/>
      <c r="CS1300"/>
      <c r="CT1300"/>
      <c r="CU1300"/>
      <c r="CV1300"/>
      <c r="CW1300"/>
      <c r="CX1300"/>
      <c r="CY1300"/>
      <c r="CZ1300"/>
      <c r="DA1300"/>
      <c r="DB1300"/>
      <c r="DC1300"/>
      <c r="DD1300"/>
      <c r="DE1300"/>
      <c r="DF1300"/>
      <c r="DG1300"/>
      <c r="DH1300"/>
      <c r="DI1300"/>
      <c r="DJ1300"/>
      <c r="DK1300"/>
      <c r="DL1300"/>
      <c r="DM1300"/>
      <c r="DN1300"/>
      <c r="DO1300"/>
      <c r="DP1300"/>
      <c r="DQ1300"/>
      <c r="DR1300"/>
      <c r="DS1300"/>
      <c r="DT1300"/>
      <c r="DU1300"/>
      <c r="DV1300"/>
      <c r="DW1300"/>
      <c r="DX1300"/>
      <c r="DY1300"/>
      <c r="DZ1300"/>
      <c r="EA1300"/>
      <c r="EB1300"/>
      <c r="EC1300"/>
      <c r="ED1300"/>
      <c r="EE1300"/>
      <c r="EF1300"/>
      <c r="EG1300"/>
      <c r="EH1300"/>
      <c r="EI1300"/>
      <c r="EJ1300"/>
      <c r="EK1300"/>
      <c r="EL1300"/>
      <c r="EM1300"/>
      <c r="EN1300"/>
      <c r="EO1300"/>
      <c r="EP1300"/>
      <c r="EQ1300"/>
      <c r="ER1300"/>
      <c r="ES1300"/>
      <c r="ET1300"/>
      <c r="EU1300"/>
      <c r="EV1300"/>
      <c r="EW1300"/>
      <c r="EX1300"/>
      <c r="EY1300"/>
      <c r="EZ1300"/>
      <c r="FA1300"/>
      <c r="FB1300"/>
      <c r="FC1300"/>
      <c r="FD1300"/>
      <c r="FE1300"/>
      <c r="FF1300"/>
      <c r="FG1300"/>
      <c r="FH1300"/>
      <c r="FI1300"/>
      <c r="FJ1300"/>
      <c r="FK1300"/>
      <c r="FL1300"/>
      <c r="FM1300"/>
      <c r="FN1300"/>
      <c r="FO1300"/>
      <c r="FP1300"/>
      <c r="FQ1300"/>
      <c r="FR1300"/>
      <c r="FS1300"/>
      <c r="FT1300"/>
      <c r="FU1300"/>
      <c r="FV1300"/>
      <c r="FW1300"/>
      <c r="FX1300"/>
      <c r="FY1300"/>
      <c r="FZ1300"/>
      <c r="GA1300"/>
      <c r="GB1300"/>
      <c r="GC1300"/>
      <c r="GD1300"/>
      <c r="GE1300"/>
      <c r="GF1300"/>
      <c r="GG1300"/>
      <c r="GH1300"/>
      <c r="GI1300"/>
      <c r="GJ1300"/>
      <c r="GK1300"/>
      <c r="GL1300"/>
      <c r="GM1300"/>
      <c r="GN1300"/>
      <c r="GO1300"/>
      <c r="GP1300"/>
      <c r="GQ1300"/>
      <c r="GR1300"/>
      <c r="GS1300"/>
      <c r="GT1300"/>
      <c r="GU1300"/>
      <c r="GV1300"/>
      <c r="GW1300"/>
      <c r="GX1300"/>
      <c r="GY1300"/>
      <c r="GZ1300"/>
      <c r="HA1300"/>
      <c r="HB1300"/>
      <c r="HC1300"/>
      <c r="HD1300"/>
      <c r="HE1300"/>
      <c r="HF1300"/>
      <c r="HG1300"/>
      <c r="HH1300"/>
      <c r="HI1300"/>
      <c r="HJ1300"/>
      <c r="HK1300"/>
      <c r="HL1300"/>
      <c r="HM1300"/>
      <c r="HN1300"/>
      <c r="HO1300"/>
      <c r="HP1300"/>
      <c r="HQ1300"/>
      <c r="HR1300"/>
      <c r="HS1300"/>
      <c r="HT1300"/>
      <c r="HU1300"/>
      <c r="HV1300"/>
      <c r="HW1300"/>
      <c r="HX1300"/>
      <c r="HY1300"/>
      <c r="HZ1300"/>
      <c r="IA1300"/>
      <c r="IB1300"/>
      <c r="IC1300"/>
      <c r="ID1300"/>
      <c r="IE1300"/>
      <c r="IF1300"/>
      <c r="IG1300"/>
      <c r="IH1300"/>
      <c r="II1300"/>
      <c r="IJ1300"/>
      <c r="IK1300"/>
      <c r="IL1300"/>
      <c r="IM1300"/>
      <c r="IN1300"/>
      <c r="IO1300"/>
      <c r="IP1300"/>
      <c r="IQ1300"/>
      <c r="IR1300"/>
      <c r="IS1300"/>
      <c r="IT1300"/>
      <c r="IU1300"/>
      <c r="IV1300"/>
      <c r="IW1300"/>
      <c r="IX1300"/>
      <c r="IY1300"/>
      <c r="IZ1300"/>
      <c r="JA1300"/>
      <c r="JB1300"/>
      <c r="JC1300"/>
      <c r="JD1300"/>
      <c r="JE1300"/>
      <c r="JF1300"/>
      <c r="JG1300"/>
      <c r="JH1300"/>
      <c r="JI1300"/>
      <c r="JJ1300"/>
      <c r="JK1300"/>
      <c r="JL1300"/>
      <c r="JM1300"/>
      <c r="JN1300"/>
      <c r="JO1300"/>
      <c r="JP1300"/>
      <c r="JQ1300"/>
      <c r="JR1300"/>
      <c r="JS1300"/>
      <c r="JT1300"/>
      <c r="JU1300"/>
      <c r="JV1300"/>
      <c r="JW1300"/>
      <c r="JX1300"/>
      <c r="JY1300"/>
      <c r="JZ1300"/>
      <c r="KA1300"/>
      <c r="KB1300"/>
      <c r="KC1300"/>
      <c r="KD1300"/>
      <c r="KE1300"/>
      <c r="KF1300"/>
      <c r="KG1300"/>
      <c r="KH1300"/>
      <c r="KI1300"/>
      <c r="KJ1300"/>
      <c r="KK1300"/>
      <c r="KL1300"/>
      <c r="KM1300"/>
      <c r="KN1300"/>
      <c r="KO1300"/>
      <c r="KP1300"/>
      <c r="KQ1300"/>
      <c r="KR1300"/>
      <c r="KS1300"/>
      <c r="KT1300"/>
      <c r="KU1300"/>
      <c r="KV1300"/>
      <c r="KW1300"/>
      <c r="KX1300"/>
      <c r="KY1300"/>
      <c r="KZ1300"/>
      <c r="LA1300"/>
      <c r="LB1300"/>
      <c r="LC1300"/>
      <c r="LD1300"/>
      <c r="LE1300"/>
      <c r="LF1300"/>
      <c r="LG1300"/>
      <c r="LH1300"/>
      <c r="LI1300"/>
      <c r="LJ1300"/>
      <c r="LK1300"/>
      <c r="LL1300"/>
      <c r="LM1300"/>
      <c r="LN1300"/>
      <c r="LO1300"/>
      <c r="LP1300"/>
      <c r="LQ1300"/>
      <c r="LR1300"/>
      <c r="LS1300"/>
      <c r="LT1300"/>
      <c r="LU1300"/>
      <c r="LV1300"/>
      <c r="LW1300"/>
      <c r="LX1300"/>
      <c r="LY1300"/>
      <c r="LZ1300"/>
      <c r="MA1300"/>
      <c r="MB1300"/>
      <c r="MC1300"/>
      <c r="MD1300"/>
      <c r="ME1300"/>
      <c r="MF1300"/>
      <c r="MG1300"/>
      <c r="MH1300"/>
      <c r="MI1300"/>
      <c r="MJ1300"/>
      <c r="MK1300"/>
      <c r="ML1300"/>
      <c r="MM1300"/>
      <c r="MN1300"/>
      <c r="MO1300"/>
      <c r="MP1300"/>
      <c r="MQ1300"/>
      <c r="MR1300"/>
      <c r="MS1300"/>
      <c r="MT1300"/>
      <c r="MU1300"/>
      <c r="MV1300"/>
      <c r="MW1300"/>
      <c r="MX1300"/>
      <c r="MY1300"/>
      <c r="MZ1300"/>
      <c r="NA1300"/>
      <c r="NB1300"/>
      <c r="NC1300"/>
      <c r="ND1300"/>
      <c r="NE1300"/>
      <c r="NF1300"/>
      <c r="NG1300"/>
      <c r="NH1300"/>
      <c r="NI1300"/>
      <c r="NJ1300"/>
      <c r="NK1300"/>
      <c r="NL1300"/>
      <c r="NM1300"/>
      <c r="NN1300"/>
      <c r="NO1300"/>
      <c r="NP1300"/>
      <c r="NQ1300"/>
      <c r="NR1300"/>
      <c r="NS1300"/>
      <c r="NT1300"/>
      <c r="NU1300"/>
      <c r="NV1300"/>
      <c r="NW1300"/>
      <c r="NX1300"/>
      <c r="NY1300"/>
      <c r="NZ1300"/>
      <c r="OA1300"/>
      <c r="OB1300"/>
      <c r="OC1300"/>
      <c r="OD1300"/>
      <c r="OE1300"/>
      <c r="OF1300"/>
      <c r="OG1300"/>
      <c r="OH1300"/>
      <c r="OI1300"/>
      <c r="OJ1300"/>
      <c r="OK1300"/>
      <c r="OL1300"/>
      <c r="OM1300"/>
      <c r="ON1300"/>
      <c r="OO1300"/>
      <c r="OP1300"/>
      <c r="OQ1300"/>
      <c r="OR1300"/>
      <c r="OS1300"/>
      <c r="OT1300"/>
      <c r="OU1300"/>
      <c r="OV1300"/>
      <c r="OW1300"/>
      <c r="OX1300"/>
      <c r="OY1300"/>
      <c r="OZ1300"/>
      <c r="PA1300"/>
      <c r="PB1300"/>
      <c r="PC1300"/>
      <c r="PD1300"/>
      <c r="PE1300"/>
      <c r="PF1300"/>
      <c r="PG1300"/>
      <c r="PH1300"/>
      <c r="PI1300"/>
      <c r="PJ1300"/>
      <c r="PK1300"/>
      <c r="PL1300"/>
      <c r="PM1300"/>
      <c r="PN1300"/>
      <c r="PO1300"/>
      <c r="PP1300"/>
      <c r="PQ1300"/>
      <c r="PR1300"/>
      <c r="PS1300"/>
      <c r="PT1300"/>
      <c r="PU1300"/>
      <c r="PV1300"/>
      <c r="PW1300"/>
      <c r="PX1300"/>
      <c r="PY1300"/>
      <c r="PZ1300"/>
      <c r="QA1300"/>
      <c r="QB1300"/>
      <c r="QC1300"/>
      <c r="QD1300"/>
      <c r="QE1300"/>
      <c r="QF1300"/>
      <c r="QG1300"/>
      <c r="QH1300"/>
      <c r="QI1300"/>
      <c r="QJ1300"/>
      <c r="QK1300"/>
      <c r="QL1300"/>
      <c r="QM1300"/>
      <c r="QN1300"/>
      <c r="QO1300"/>
      <c r="QP1300"/>
      <c r="QQ1300"/>
      <c r="QR1300"/>
      <c r="QS1300"/>
      <c r="QT1300"/>
      <c r="QU1300"/>
      <c r="QV1300"/>
      <c r="QW1300"/>
      <c r="QX1300"/>
      <c r="QY1300"/>
      <c r="QZ1300"/>
      <c r="RA1300"/>
      <c r="RB1300"/>
      <c r="RC1300"/>
      <c r="RD1300"/>
      <c r="RE1300"/>
      <c r="RF1300"/>
      <c r="RG1300"/>
      <c r="RH1300"/>
      <c r="RI1300"/>
      <c r="RJ1300"/>
      <c r="RK1300"/>
      <c r="RL1300"/>
      <c r="RM1300"/>
      <c r="RN1300"/>
      <c r="RO1300"/>
      <c r="RP1300"/>
      <c r="RQ1300"/>
      <c r="RR1300"/>
      <c r="RS1300"/>
      <c r="RT1300"/>
      <c r="RU1300"/>
      <c r="RV1300"/>
      <c r="RW1300"/>
      <c r="RX1300"/>
      <c r="RY1300"/>
      <c r="RZ1300"/>
      <c r="SA1300"/>
      <c r="SB1300"/>
      <c r="SC1300"/>
      <c r="SD1300"/>
      <c r="SE1300"/>
      <c r="SF1300"/>
      <c r="SG1300"/>
      <c r="SH1300"/>
      <c r="SI1300"/>
      <c r="SJ1300"/>
      <c r="SK1300"/>
      <c r="SL1300"/>
      <c r="SM1300"/>
      <c r="SN1300"/>
      <c r="SO1300"/>
      <c r="SP1300"/>
      <c r="SQ1300"/>
      <c r="SR1300"/>
      <c r="SS1300"/>
      <c r="ST1300"/>
      <c r="SU1300"/>
      <c r="SV1300"/>
      <c r="SW1300"/>
      <c r="SX1300"/>
      <c r="SY1300"/>
      <c r="SZ1300"/>
      <c r="TA1300"/>
      <c r="TB1300"/>
      <c r="TC1300"/>
      <c r="TD1300"/>
      <c r="TE1300"/>
      <c r="TF1300"/>
      <c r="TG1300"/>
      <c r="TH1300"/>
      <c r="TI1300"/>
      <c r="TJ1300"/>
      <c r="TK1300"/>
      <c r="TL1300"/>
      <c r="TM1300"/>
      <c r="TN1300"/>
      <c r="TO1300"/>
      <c r="TP1300"/>
      <c r="TQ1300"/>
      <c r="TR1300"/>
      <c r="TS1300"/>
      <c r="TT1300"/>
      <c r="TU1300"/>
      <c r="TV1300"/>
      <c r="TW1300"/>
      <c r="TX1300"/>
      <c r="TY1300"/>
      <c r="TZ1300"/>
      <c r="UA1300"/>
      <c r="UB1300"/>
      <c r="UC1300"/>
      <c r="UD1300"/>
      <c r="UE1300"/>
      <c r="UF1300"/>
      <c r="UG1300"/>
      <c r="UH1300"/>
      <c r="UI1300"/>
      <c r="UJ1300"/>
      <c r="UK1300"/>
      <c r="UL1300"/>
      <c r="UM1300"/>
      <c r="UN1300"/>
      <c r="UO1300"/>
      <c r="UP1300"/>
      <c r="UQ1300"/>
      <c r="UR1300"/>
      <c r="US1300"/>
      <c r="UT1300"/>
      <c r="UU1300"/>
      <c r="UV1300"/>
      <c r="UW1300"/>
      <c r="UX1300"/>
      <c r="UY1300"/>
      <c r="UZ1300"/>
      <c r="VA1300"/>
      <c r="VB1300"/>
      <c r="VC1300"/>
      <c r="VD1300"/>
      <c r="VE1300"/>
      <c r="VF1300"/>
      <c r="VG1300"/>
      <c r="VH1300"/>
      <c r="VI1300"/>
      <c r="VJ1300"/>
      <c r="VK1300"/>
      <c r="VL1300"/>
      <c r="VM1300"/>
      <c r="VN1300"/>
      <c r="VO1300"/>
      <c r="VP1300"/>
      <c r="VQ1300"/>
      <c r="VR1300"/>
      <c r="VS1300"/>
      <c r="VT1300"/>
      <c r="VU1300"/>
      <c r="VV1300"/>
      <c r="VW1300"/>
      <c r="VX1300"/>
      <c r="VY1300"/>
      <c r="VZ1300"/>
      <c r="WA1300"/>
      <c r="WB1300"/>
      <c r="WC1300"/>
      <c r="WD1300"/>
      <c r="WE1300"/>
      <c r="WF1300"/>
      <c r="WG1300"/>
      <c r="WH1300"/>
      <c r="WI1300"/>
      <c r="WJ1300"/>
      <c r="WK1300"/>
      <c r="WL1300"/>
      <c r="WM1300"/>
      <c r="WN1300"/>
      <c r="WO1300"/>
      <c r="WP1300"/>
      <c r="WQ1300"/>
      <c r="WR1300"/>
      <c r="WS1300"/>
      <c r="WT1300"/>
      <c r="WU1300"/>
      <c r="WV1300"/>
      <c r="WW1300"/>
      <c r="WX1300"/>
      <c r="WY1300"/>
      <c r="WZ1300"/>
      <c r="XA1300"/>
      <c r="XB1300"/>
      <c r="XC1300"/>
      <c r="XD1300"/>
      <c r="XE1300"/>
      <c r="XF1300"/>
      <c r="XG1300"/>
      <c r="XH1300"/>
      <c r="XI1300"/>
      <c r="XJ1300"/>
      <c r="XK1300"/>
      <c r="XL1300"/>
      <c r="XM1300"/>
      <c r="XN1300"/>
      <c r="XO1300"/>
      <c r="XP1300"/>
      <c r="XQ1300"/>
      <c r="XR1300"/>
      <c r="XS1300"/>
      <c r="XT1300"/>
      <c r="XU1300"/>
      <c r="XV1300"/>
      <c r="XW1300"/>
      <c r="XX1300"/>
      <c r="XY1300"/>
      <c r="XZ1300"/>
      <c r="YA1300"/>
      <c r="YB1300"/>
      <c r="YC1300"/>
      <c r="YD1300"/>
      <c r="YE1300"/>
      <c r="YF1300"/>
      <c r="YG1300"/>
      <c r="YH1300"/>
      <c r="YI1300"/>
      <c r="YJ1300"/>
      <c r="YK1300"/>
      <c r="YL1300"/>
      <c r="YM1300"/>
      <c r="YN1300"/>
      <c r="YO1300"/>
      <c r="YP1300"/>
      <c r="YQ1300"/>
      <c r="YR1300"/>
      <c r="YS1300"/>
      <c r="YT1300"/>
      <c r="YU1300"/>
      <c r="YV1300"/>
      <c r="YW1300"/>
      <c r="YX1300"/>
      <c r="YY1300"/>
      <c r="YZ1300"/>
      <c r="ZA1300"/>
      <c r="ZB1300"/>
      <c r="ZC1300"/>
      <c r="ZD1300"/>
      <c r="ZE1300"/>
      <c r="ZF1300"/>
      <c r="ZG1300"/>
      <c r="ZH1300"/>
      <c r="ZI1300"/>
      <c r="ZJ1300"/>
      <c r="ZK1300"/>
      <c r="ZL1300"/>
      <c r="ZM1300"/>
      <c r="ZN1300"/>
      <c r="ZO1300"/>
      <c r="ZP1300"/>
      <c r="ZQ1300"/>
      <c r="ZR1300"/>
      <c r="ZS1300"/>
      <c r="ZT1300"/>
      <c r="ZU1300"/>
      <c r="ZV1300"/>
      <c r="ZW1300"/>
      <c r="ZX1300"/>
      <c r="ZY1300"/>
      <c r="ZZ1300"/>
      <c r="AAA1300"/>
      <c r="AAB1300"/>
      <c r="AAC1300"/>
      <c r="AAD1300"/>
      <c r="AAE1300"/>
      <c r="AAF1300"/>
      <c r="AAG1300"/>
      <c r="AAH1300"/>
      <c r="AAI1300"/>
      <c r="AAJ1300"/>
      <c r="AAK1300"/>
      <c r="AAL1300"/>
      <c r="AAM1300"/>
      <c r="AAN1300"/>
      <c r="AAO1300"/>
      <c r="AAP1300"/>
      <c r="AAQ1300"/>
      <c r="AAR1300"/>
      <c r="AAS1300"/>
      <c r="AAT1300"/>
      <c r="AAU1300"/>
      <c r="AAV1300"/>
      <c r="AAW1300"/>
      <c r="AAX1300"/>
      <c r="AAY1300"/>
      <c r="AAZ1300"/>
      <c r="ABA1300"/>
      <c r="ABB1300"/>
      <c r="ABC1300"/>
      <c r="ABD1300"/>
      <c r="ABE1300"/>
      <c r="ABF1300"/>
      <c r="ABG1300"/>
      <c r="ABH1300"/>
      <c r="ABI1300"/>
      <c r="ABJ1300"/>
      <c r="ABK1300"/>
      <c r="ABL1300"/>
      <c r="ABM1300"/>
      <c r="ABN1300"/>
      <c r="ABO1300"/>
      <c r="ABP1300"/>
      <c r="ABQ1300"/>
      <c r="ABR1300"/>
      <c r="ABS1300"/>
      <c r="ABT1300"/>
      <c r="ABU1300"/>
      <c r="ABV1300"/>
      <c r="ABW1300"/>
      <c r="ABX1300"/>
      <c r="ABY1300"/>
      <c r="ABZ1300"/>
      <c r="ACA1300"/>
      <c r="ACB1300"/>
      <c r="ACC1300"/>
      <c r="ACD1300"/>
      <c r="ACE1300"/>
      <c r="ACF1300"/>
      <c r="ACG1300"/>
      <c r="ACH1300"/>
      <c r="ACI1300"/>
      <c r="ACJ1300"/>
      <c r="ACK1300"/>
      <c r="ACL1300"/>
      <c r="ACM1300"/>
      <c r="ACN1300"/>
      <c r="ACO1300"/>
      <c r="ACP1300"/>
      <c r="ACQ1300"/>
      <c r="ACR1300"/>
      <c r="ACS1300"/>
      <c r="ACT1300"/>
      <c r="ACU1300"/>
      <c r="ACV1300"/>
      <c r="ACW1300"/>
      <c r="ACX1300"/>
      <c r="ACY1300"/>
      <c r="ACZ1300"/>
      <c r="ADA1300"/>
      <c r="ADB1300"/>
      <c r="ADC1300"/>
      <c r="ADD1300"/>
      <c r="ADE1300"/>
      <c r="ADF1300"/>
      <c r="ADG1300"/>
      <c r="ADH1300"/>
      <c r="ADI1300"/>
      <c r="ADJ1300"/>
      <c r="ADK1300"/>
      <c r="ADL1300"/>
      <c r="ADM1300"/>
      <c r="ADN1300"/>
      <c r="ADO1300"/>
      <c r="ADP1300"/>
      <c r="ADQ1300"/>
      <c r="ADR1300"/>
      <c r="ADS1300"/>
      <c r="ADT1300"/>
      <c r="ADU1300"/>
      <c r="ADV1300"/>
      <c r="ADW1300"/>
      <c r="ADX1300"/>
      <c r="ADY1300"/>
      <c r="ADZ1300"/>
      <c r="AEA1300"/>
      <c r="AEB1300"/>
      <c r="AEC1300"/>
      <c r="AED1300"/>
      <c r="AEE1300"/>
      <c r="AEF1300"/>
      <c r="AEG1300"/>
      <c r="AEH1300"/>
      <c r="AEI1300"/>
      <c r="AEJ1300"/>
      <c r="AEK1300"/>
      <c r="AEL1300"/>
      <c r="AEM1300"/>
      <c r="AEN1300"/>
      <c r="AEO1300"/>
      <c r="AEP1300"/>
      <c r="AEQ1300"/>
      <c r="AER1300"/>
      <c r="AES1300"/>
      <c r="AET1300"/>
      <c r="AEU1300"/>
      <c r="AEV1300"/>
      <c r="AEW1300"/>
      <c r="AEX1300"/>
      <c r="AEY1300"/>
      <c r="AEZ1300"/>
      <c r="AFA1300"/>
      <c r="AFB1300"/>
      <c r="AFC1300"/>
      <c r="AFD1300"/>
      <c r="AFE1300"/>
      <c r="AFF1300"/>
      <c r="AFG1300"/>
      <c r="AFH1300"/>
      <c r="AFI1300"/>
      <c r="AFJ1300"/>
      <c r="AFK1300"/>
      <c r="AFL1300"/>
      <c r="AFM1300"/>
      <c r="AFN1300"/>
      <c r="AFO1300"/>
      <c r="AFP1300"/>
      <c r="AFQ1300"/>
      <c r="AFR1300"/>
      <c r="AFS1300"/>
      <c r="AFT1300"/>
      <c r="AFU1300"/>
      <c r="AFV1300"/>
      <c r="AFW1300"/>
      <c r="AFX1300"/>
      <c r="AFY1300"/>
      <c r="AFZ1300"/>
      <c r="AGA1300"/>
      <c r="AGB1300"/>
      <c r="AGC1300"/>
      <c r="AGD1300"/>
      <c r="AGE1300"/>
      <c r="AGF1300"/>
      <c r="AGG1300"/>
      <c r="AGH1300"/>
      <c r="AGI1300"/>
      <c r="AGJ1300"/>
      <c r="AGK1300"/>
      <c r="AGL1300"/>
      <c r="AGM1300"/>
      <c r="AGN1300"/>
      <c r="AGO1300"/>
      <c r="AGP1300"/>
      <c r="AGQ1300"/>
      <c r="AGR1300"/>
      <c r="AGS1300"/>
      <c r="AGT1300"/>
      <c r="AGU1300"/>
      <c r="AGV1300"/>
      <c r="AGW1300"/>
      <c r="AGX1300"/>
      <c r="AGY1300"/>
      <c r="AGZ1300"/>
      <c r="AHA1300"/>
      <c r="AHB1300"/>
      <c r="AHC1300"/>
      <c r="AHD1300"/>
      <c r="AHE1300"/>
      <c r="AHF1300"/>
      <c r="AHG1300"/>
      <c r="AHH1300"/>
      <c r="AHI1300"/>
      <c r="AHJ1300"/>
      <c r="AHK1300"/>
      <c r="AHL1300"/>
      <c r="AHM1300"/>
      <c r="AHN1300"/>
      <c r="AHO1300"/>
      <c r="AHP1300"/>
      <c r="AHQ1300"/>
      <c r="AHR1300"/>
      <c r="AHS1300"/>
      <c r="AHT1300"/>
      <c r="AHU1300"/>
      <c r="AHV1300"/>
      <c r="AHW1300"/>
      <c r="AHX1300"/>
      <c r="AHY1300"/>
      <c r="AHZ1300"/>
      <c r="AIA1300"/>
      <c r="AIB1300"/>
      <c r="AIC1300"/>
      <c r="AID1300"/>
      <c r="AIE1300"/>
      <c r="AIF1300"/>
      <c r="AIG1300"/>
      <c r="AIH1300"/>
      <c r="AII1300"/>
      <c r="AIJ1300"/>
      <c r="AIK1300"/>
      <c r="AIL1300"/>
      <c r="AIM1300"/>
      <c r="AIN1300"/>
      <c r="AIO1300"/>
      <c r="AIP1300"/>
      <c r="AIQ1300"/>
      <c r="AIR1300"/>
      <c r="AIS1300"/>
      <c r="AIT1300"/>
      <c r="AIU1300"/>
      <c r="AIV1300"/>
      <c r="AIW1300"/>
      <c r="AIX1300"/>
      <c r="AIY1300"/>
      <c r="AIZ1300"/>
      <c r="AJA1300"/>
      <c r="AJB1300"/>
      <c r="AJC1300"/>
      <c r="AJD1300"/>
      <c r="AJE1300"/>
      <c r="AJF1300"/>
      <c r="AJG1300"/>
      <c r="AJH1300"/>
      <c r="AJI1300"/>
      <c r="AJJ1300"/>
      <c r="AJK1300"/>
      <c r="AJL1300"/>
      <c r="AJM1300"/>
      <c r="AJN1300"/>
      <c r="AJO1300"/>
      <c r="AJP1300"/>
      <c r="AJQ1300"/>
      <c r="AJR1300"/>
      <c r="AJS1300"/>
      <c r="AJT1300"/>
      <c r="AJU1300"/>
      <c r="AJV1300"/>
      <c r="AJW1300"/>
      <c r="AJX1300"/>
      <c r="AJY1300"/>
      <c r="AJZ1300"/>
      <c r="AKA1300"/>
      <c r="AKB1300"/>
      <c r="AKC1300"/>
      <c r="AKD1300"/>
      <c r="AKE1300"/>
      <c r="AKF1300"/>
      <c r="AKG1300"/>
      <c r="AKH1300"/>
      <c r="AKI1300"/>
      <c r="AKJ1300"/>
      <c r="AKK1300"/>
      <c r="AKL1300"/>
      <c r="AKM1300"/>
      <c r="AKN1300"/>
      <c r="AKO1300"/>
      <c r="AKP1300"/>
      <c r="AKQ1300"/>
      <c r="AKR1300"/>
      <c r="AKS1300"/>
      <c r="AKT1300"/>
      <c r="AKU1300"/>
      <c r="AKV1300"/>
      <c r="AKW1300"/>
      <c r="AKX1300"/>
      <c r="AKY1300"/>
      <c r="AKZ1300"/>
      <c r="ALA1300"/>
      <c r="ALB1300"/>
      <c r="ALC1300"/>
      <c r="ALD1300"/>
      <c r="ALE1300"/>
      <c r="ALF1300"/>
      <c r="ALG1300"/>
      <c r="ALH1300"/>
      <c r="ALI1300"/>
      <c r="ALJ1300"/>
      <c r="ALK1300"/>
      <c r="ALL1300"/>
      <c r="ALM1300"/>
      <c r="ALN1300"/>
      <c r="ALO1300"/>
      <c r="ALP1300"/>
      <c r="ALQ1300"/>
      <c r="ALR1300"/>
      <c r="ALS1300"/>
      <c r="ALT1300"/>
    </row>
    <row r="1301" spans="1:1008" x14ac:dyDescent="0.15">
      <c r="A1301" t="s">
        <v>4064</v>
      </c>
      <c r="B1301" s="8" t="s">
        <v>4081</v>
      </c>
      <c r="C1301" t="s">
        <v>4064</v>
      </c>
      <c r="D1301" s="8" t="s">
        <v>15</v>
      </c>
      <c r="E1301" t="s">
        <v>4064</v>
      </c>
      <c r="F1301" t="s">
        <v>4065</v>
      </c>
      <c r="G1301">
        <v>500</v>
      </c>
      <c r="H1301"/>
      <c r="I1301"/>
      <c r="J1301"/>
      <c r="K1301"/>
      <c r="L1301"/>
      <c r="M1301"/>
      <c r="N1301"/>
      <c r="O1301"/>
      <c r="P1301"/>
      <c r="Q1301"/>
      <c r="R1301"/>
      <c r="S1301"/>
      <c r="T1301"/>
      <c r="U1301"/>
      <c r="V1301"/>
      <c r="W1301"/>
      <c r="X1301"/>
      <c r="Y1301"/>
      <c r="Z1301"/>
      <c r="AA1301"/>
      <c r="AB1301"/>
      <c r="AC1301"/>
      <c r="AD1301"/>
      <c r="AE1301"/>
      <c r="AF1301"/>
      <c r="AG1301"/>
      <c r="AH1301"/>
      <c r="AI1301"/>
      <c r="AJ1301"/>
      <c r="AK1301"/>
      <c r="AL1301"/>
      <c r="AM1301"/>
      <c r="AN1301"/>
      <c r="AO1301"/>
      <c r="AP1301"/>
      <c r="AQ1301"/>
      <c r="AR1301"/>
      <c r="AS1301"/>
      <c r="AT1301"/>
      <c r="AU1301"/>
      <c r="AV1301"/>
      <c r="AW1301"/>
      <c r="AX1301"/>
      <c r="AY1301"/>
      <c r="AZ1301"/>
      <c r="BA1301"/>
      <c r="BB1301"/>
      <c r="BC1301"/>
      <c r="BD1301"/>
      <c r="BE1301"/>
      <c r="BF1301"/>
      <c r="BG1301"/>
      <c r="BH1301"/>
      <c r="BI1301"/>
      <c r="BJ1301"/>
      <c r="BK1301"/>
      <c r="BL1301"/>
      <c r="BM1301"/>
      <c r="BN1301"/>
      <c r="BO1301"/>
      <c r="BP1301"/>
      <c r="BQ1301"/>
      <c r="BR1301"/>
      <c r="BS1301"/>
      <c r="BT1301"/>
      <c r="BU1301"/>
      <c r="BV1301"/>
      <c r="BW1301"/>
      <c r="BX1301"/>
      <c r="BY1301"/>
      <c r="BZ1301"/>
      <c r="CA1301"/>
      <c r="CB1301"/>
      <c r="CC1301"/>
      <c r="CD1301"/>
      <c r="CE1301"/>
      <c r="CF1301"/>
      <c r="CG1301"/>
      <c r="CH1301"/>
      <c r="CI1301"/>
      <c r="CJ1301"/>
      <c r="CK1301"/>
      <c r="CL1301"/>
      <c r="CM1301"/>
      <c r="CN1301"/>
      <c r="CO1301"/>
      <c r="CP1301"/>
      <c r="CQ1301"/>
      <c r="CR1301"/>
      <c r="CS1301"/>
      <c r="CT1301"/>
      <c r="CU1301"/>
      <c r="CV1301"/>
      <c r="CW1301"/>
      <c r="CX1301"/>
      <c r="CY1301"/>
      <c r="CZ1301"/>
      <c r="DA1301"/>
      <c r="DB1301"/>
      <c r="DC1301"/>
      <c r="DD1301"/>
      <c r="DE1301"/>
      <c r="DF1301"/>
      <c r="DG1301"/>
      <c r="DH1301"/>
      <c r="DI1301"/>
      <c r="DJ1301"/>
      <c r="DK1301"/>
      <c r="DL1301"/>
      <c r="DM1301"/>
      <c r="DN1301"/>
      <c r="DO1301"/>
      <c r="DP1301"/>
      <c r="DQ1301"/>
      <c r="DR1301"/>
      <c r="DS1301"/>
      <c r="DT1301"/>
      <c r="DU1301"/>
      <c r="DV1301"/>
      <c r="DW1301"/>
      <c r="DX1301"/>
      <c r="DY1301"/>
      <c r="DZ1301"/>
      <c r="EA1301"/>
      <c r="EB1301"/>
      <c r="EC1301"/>
      <c r="ED1301"/>
      <c r="EE1301"/>
      <c r="EF1301"/>
      <c r="EG1301"/>
      <c r="EH1301"/>
      <c r="EI1301"/>
      <c r="EJ1301"/>
      <c r="EK1301"/>
      <c r="EL1301"/>
      <c r="EM1301"/>
      <c r="EN1301"/>
      <c r="EO1301"/>
      <c r="EP1301"/>
      <c r="EQ1301"/>
      <c r="ER1301"/>
      <c r="ES1301"/>
      <c r="ET1301"/>
      <c r="EU1301"/>
      <c r="EV1301"/>
      <c r="EW1301"/>
      <c r="EX1301"/>
      <c r="EY1301"/>
      <c r="EZ1301"/>
      <c r="FA1301"/>
      <c r="FB1301"/>
      <c r="FC1301"/>
      <c r="FD1301"/>
      <c r="FE1301"/>
      <c r="FF1301"/>
      <c r="FG1301"/>
      <c r="FH1301"/>
      <c r="FI1301"/>
      <c r="FJ1301"/>
      <c r="FK1301"/>
      <c r="FL1301"/>
      <c r="FM1301"/>
      <c r="FN1301"/>
      <c r="FO1301"/>
      <c r="FP1301"/>
      <c r="FQ1301"/>
      <c r="FR1301"/>
      <c r="FS1301"/>
      <c r="FT1301"/>
      <c r="FU1301"/>
      <c r="FV1301"/>
      <c r="FW1301"/>
      <c r="FX1301"/>
      <c r="FY1301"/>
      <c r="FZ1301"/>
      <c r="GA1301"/>
      <c r="GB1301"/>
      <c r="GC1301"/>
      <c r="GD1301"/>
      <c r="GE1301"/>
      <c r="GF1301"/>
      <c r="GG1301"/>
      <c r="GH1301"/>
      <c r="GI1301"/>
      <c r="GJ1301"/>
      <c r="GK1301"/>
      <c r="GL1301"/>
      <c r="GM1301"/>
      <c r="GN1301"/>
      <c r="GO1301"/>
      <c r="GP1301"/>
      <c r="GQ1301"/>
      <c r="GR1301"/>
      <c r="GS1301"/>
      <c r="GT1301"/>
      <c r="GU1301"/>
      <c r="GV1301"/>
      <c r="GW1301"/>
      <c r="GX1301"/>
      <c r="GY1301"/>
      <c r="GZ1301"/>
      <c r="HA1301"/>
      <c r="HB1301"/>
      <c r="HC1301"/>
      <c r="HD1301"/>
      <c r="HE1301"/>
      <c r="HF1301"/>
      <c r="HG1301"/>
      <c r="HH1301"/>
      <c r="HI1301"/>
      <c r="HJ1301"/>
      <c r="HK1301"/>
      <c r="HL1301"/>
      <c r="HM1301"/>
      <c r="HN1301"/>
      <c r="HO1301"/>
      <c r="HP1301"/>
      <c r="HQ1301"/>
      <c r="HR1301"/>
      <c r="HS1301"/>
      <c r="HT1301"/>
      <c r="HU1301"/>
      <c r="HV1301"/>
      <c r="HW1301"/>
      <c r="HX1301"/>
      <c r="HY1301"/>
      <c r="HZ1301"/>
      <c r="IA1301"/>
      <c r="IB1301"/>
      <c r="IC1301"/>
      <c r="ID1301"/>
      <c r="IE1301"/>
      <c r="IF1301"/>
      <c r="IG1301"/>
      <c r="IH1301"/>
      <c r="II1301"/>
      <c r="IJ1301"/>
      <c r="IK1301"/>
      <c r="IL1301"/>
      <c r="IM1301"/>
      <c r="IN1301"/>
      <c r="IO1301"/>
      <c r="IP1301"/>
      <c r="IQ1301"/>
      <c r="IR1301"/>
      <c r="IS1301"/>
      <c r="IT1301"/>
      <c r="IU1301"/>
      <c r="IV1301"/>
      <c r="IW1301"/>
      <c r="IX1301"/>
      <c r="IY1301"/>
      <c r="IZ1301"/>
      <c r="JA1301"/>
      <c r="JB1301"/>
      <c r="JC1301"/>
      <c r="JD1301"/>
      <c r="JE1301"/>
      <c r="JF1301"/>
      <c r="JG1301"/>
      <c r="JH1301"/>
      <c r="JI1301"/>
      <c r="JJ1301"/>
      <c r="JK1301"/>
      <c r="JL1301"/>
      <c r="JM1301"/>
      <c r="JN1301"/>
      <c r="JO1301"/>
      <c r="JP1301"/>
      <c r="JQ1301"/>
      <c r="JR1301"/>
      <c r="JS1301"/>
      <c r="JT1301"/>
      <c r="JU1301"/>
      <c r="JV1301"/>
      <c r="JW1301"/>
      <c r="JX1301"/>
      <c r="JY1301"/>
      <c r="JZ1301"/>
      <c r="KA1301"/>
      <c r="KB1301"/>
      <c r="KC1301"/>
      <c r="KD1301"/>
      <c r="KE1301"/>
      <c r="KF1301"/>
      <c r="KG1301"/>
      <c r="KH1301"/>
      <c r="KI1301"/>
      <c r="KJ1301"/>
      <c r="KK1301"/>
      <c r="KL1301"/>
      <c r="KM1301"/>
      <c r="KN1301"/>
      <c r="KO1301"/>
      <c r="KP1301"/>
      <c r="KQ1301"/>
      <c r="KR1301"/>
      <c r="KS1301"/>
      <c r="KT1301"/>
      <c r="KU1301"/>
      <c r="KV1301"/>
      <c r="KW1301"/>
      <c r="KX1301"/>
      <c r="KY1301"/>
      <c r="KZ1301"/>
      <c r="LA1301"/>
      <c r="LB1301"/>
      <c r="LC1301"/>
      <c r="LD1301"/>
      <c r="LE1301"/>
      <c r="LF1301"/>
      <c r="LG1301"/>
      <c r="LH1301"/>
      <c r="LI1301"/>
      <c r="LJ1301"/>
      <c r="LK1301"/>
      <c r="LL1301"/>
      <c r="LM1301"/>
      <c r="LN1301"/>
      <c r="LO1301"/>
      <c r="LP1301"/>
      <c r="LQ1301"/>
      <c r="LR1301"/>
      <c r="LS1301"/>
      <c r="LT1301"/>
      <c r="LU1301"/>
      <c r="LV1301"/>
      <c r="LW1301"/>
      <c r="LX1301"/>
      <c r="LY1301"/>
      <c r="LZ1301"/>
      <c r="MA1301"/>
      <c r="MB1301"/>
      <c r="MC1301"/>
      <c r="MD1301"/>
      <c r="ME1301"/>
      <c r="MF1301"/>
      <c r="MG1301"/>
      <c r="MH1301"/>
      <c r="MI1301"/>
      <c r="MJ1301"/>
      <c r="MK1301"/>
      <c r="ML1301"/>
      <c r="MM1301"/>
      <c r="MN1301"/>
      <c r="MO1301"/>
      <c r="MP1301"/>
      <c r="MQ1301"/>
      <c r="MR1301"/>
      <c r="MS1301"/>
      <c r="MT1301"/>
      <c r="MU1301"/>
      <c r="MV1301"/>
      <c r="MW1301"/>
      <c r="MX1301"/>
      <c r="MY1301"/>
      <c r="MZ1301"/>
      <c r="NA1301"/>
      <c r="NB1301"/>
      <c r="NC1301"/>
      <c r="ND1301"/>
      <c r="NE1301"/>
      <c r="NF1301"/>
      <c r="NG1301"/>
      <c r="NH1301"/>
      <c r="NI1301"/>
      <c r="NJ1301"/>
      <c r="NK1301"/>
      <c r="NL1301"/>
      <c r="NM1301"/>
      <c r="NN1301"/>
      <c r="NO1301"/>
      <c r="NP1301"/>
      <c r="NQ1301"/>
      <c r="NR1301"/>
      <c r="NS1301"/>
      <c r="NT1301"/>
      <c r="NU1301"/>
      <c r="NV1301"/>
      <c r="NW1301"/>
      <c r="NX1301"/>
      <c r="NY1301"/>
      <c r="NZ1301"/>
      <c r="OA1301"/>
      <c r="OB1301"/>
      <c r="OC1301"/>
      <c r="OD1301"/>
      <c r="OE1301"/>
      <c r="OF1301"/>
      <c r="OG1301"/>
      <c r="OH1301"/>
      <c r="OI1301"/>
      <c r="OJ1301"/>
      <c r="OK1301"/>
      <c r="OL1301"/>
      <c r="OM1301"/>
      <c r="ON1301"/>
      <c r="OO1301"/>
      <c r="OP1301"/>
      <c r="OQ1301"/>
      <c r="OR1301"/>
      <c r="OS1301"/>
      <c r="OT1301"/>
      <c r="OU1301"/>
      <c r="OV1301"/>
      <c r="OW1301"/>
      <c r="OX1301"/>
      <c r="OY1301"/>
      <c r="OZ1301"/>
      <c r="PA1301"/>
      <c r="PB1301"/>
      <c r="PC1301"/>
      <c r="PD1301"/>
      <c r="PE1301"/>
      <c r="PF1301"/>
      <c r="PG1301"/>
      <c r="PH1301"/>
      <c r="PI1301"/>
      <c r="PJ1301"/>
      <c r="PK1301"/>
      <c r="PL1301"/>
      <c r="PM1301"/>
      <c r="PN1301"/>
      <c r="PO1301"/>
      <c r="PP1301"/>
      <c r="PQ1301"/>
      <c r="PR1301"/>
      <c r="PS1301"/>
      <c r="PT1301"/>
      <c r="PU1301"/>
      <c r="PV1301"/>
      <c r="PW1301"/>
      <c r="PX1301"/>
      <c r="PY1301"/>
      <c r="PZ1301"/>
      <c r="QA1301"/>
      <c r="QB1301"/>
      <c r="QC1301"/>
      <c r="QD1301"/>
      <c r="QE1301"/>
      <c r="QF1301"/>
      <c r="QG1301"/>
      <c r="QH1301"/>
      <c r="QI1301"/>
      <c r="QJ1301"/>
      <c r="QK1301"/>
      <c r="QL1301"/>
      <c r="QM1301"/>
      <c r="QN1301"/>
      <c r="QO1301"/>
      <c r="QP1301"/>
      <c r="QQ1301"/>
      <c r="QR1301"/>
      <c r="QS1301"/>
      <c r="QT1301"/>
      <c r="QU1301"/>
      <c r="QV1301"/>
      <c r="QW1301"/>
      <c r="QX1301"/>
      <c r="QY1301"/>
      <c r="QZ1301"/>
      <c r="RA1301"/>
      <c r="RB1301"/>
      <c r="RC1301"/>
      <c r="RD1301"/>
      <c r="RE1301"/>
      <c r="RF1301"/>
      <c r="RG1301"/>
      <c r="RH1301"/>
      <c r="RI1301"/>
      <c r="RJ1301"/>
      <c r="RK1301"/>
      <c r="RL1301"/>
      <c r="RM1301"/>
      <c r="RN1301"/>
      <c r="RO1301"/>
      <c r="RP1301"/>
      <c r="RQ1301"/>
      <c r="RR1301"/>
      <c r="RS1301"/>
      <c r="RT1301"/>
      <c r="RU1301"/>
      <c r="RV1301"/>
      <c r="RW1301"/>
      <c r="RX1301"/>
      <c r="RY1301"/>
      <c r="RZ1301"/>
      <c r="SA1301"/>
      <c r="SB1301"/>
      <c r="SC1301"/>
      <c r="SD1301"/>
      <c r="SE1301"/>
      <c r="SF1301"/>
      <c r="SG1301"/>
      <c r="SH1301"/>
      <c r="SI1301"/>
      <c r="SJ1301"/>
      <c r="SK1301"/>
      <c r="SL1301"/>
      <c r="SM1301"/>
      <c r="SN1301"/>
      <c r="SO1301"/>
      <c r="SP1301"/>
      <c r="SQ1301"/>
      <c r="SR1301"/>
      <c r="SS1301"/>
      <c r="ST1301"/>
      <c r="SU1301"/>
      <c r="SV1301"/>
      <c r="SW1301"/>
      <c r="SX1301"/>
      <c r="SY1301"/>
      <c r="SZ1301"/>
      <c r="TA1301"/>
      <c r="TB1301"/>
      <c r="TC1301"/>
      <c r="TD1301"/>
      <c r="TE1301"/>
      <c r="TF1301"/>
      <c r="TG1301"/>
      <c r="TH1301"/>
      <c r="TI1301"/>
      <c r="TJ1301"/>
      <c r="TK1301"/>
      <c r="TL1301"/>
      <c r="TM1301"/>
      <c r="TN1301"/>
      <c r="TO1301"/>
      <c r="TP1301"/>
      <c r="TQ1301"/>
      <c r="TR1301"/>
      <c r="TS1301"/>
      <c r="TT1301"/>
      <c r="TU1301"/>
      <c r="TV1301"/>
      <c r="TW1301"/>
      <c r="TX1301"/>
      <c r="TY1301"/>
      <c r="TZ1301"/>
      <c r="UA1301"/>
      <c r="UB1301"/>
      <c r="UC1301"/>
      <c r="UD1301"/>
      <c r="UE1301"/>
      <c r="UF1301"/>
      <c r="UG1301"/>
      <c r="UH1301"/>
      <c r="UI1301"/>
      <c r="UJ1301"/>
      <c r="UK1301"/>
      <c r="UL1301"/>
      <c r="UM1301"/>
      <c r="UN1301"/>
      <c r="UO1301"/>
      <c r="UP1301"/>
      <c r="UQ1301"/>
      <c r="UR1301"/>
      <c r="US1301"/>
      <c r="UT1301"/>
      <c r="UU1301"/>
      <c r="UV1301"/>
      <c r="UW1301"/>
      <c r="UX1301"/>
      <c r="UY1301"/>
      <c r="UZ1301"/>
      <c r="VA1301"/>
      <c r="VB1301"/>
      <c r="VC1301"/>
      <c r="VD1301"/>
      <c r="VE1301"/>
      <c r="VF1301"/>
      <c r="VG1301"/>
      <c r="VH1301"/>
      <c r="VI1301"/>
      <c r="VJ1301"/>
      <c r="VK1301"/>
      <c r="VL1301"/>
      <c r="VM1301"/>
      <c r="VN1301"/>
      <c r="VO1301"/>
      <c r="VP1301"/>
      <c r="VQ1301"/>
      <c r="VR1301"/>
      <c r="VS1301"/>
      <c r="VT1301"/>
      <c r="VU1301"/>
      <c r="VV1301"/>
      <c r="VW1301"/>
      <c r="VX1301"/>
      <c r="VY1301"/>
      <c r="VZ1301"/>
      <c r="WA1301"/>
      <c r="WB1301"/>
      <c r="WC1301"/>
      <c r="WD1301"/>
      <c r="WE1301"/>
      <c r="WF1301"/>
      <c r="WG1301"/>
      <c r="WH1301"/>
      <c r="WI1301"/>
      <c r="WJ1301"/>
      <c r="WK1301"/>
      <c r="WL1301"/>
      <c r="WM1301"/>
      <c r="WN1301"/>
      <c r="WO1301"/>
      <c r="WP1301"/>
      <c r="WQ1301"/>
      <c r="WR1301"/>
      <c r="WS1301"/>
      <c r="WT1301"/>
      <c r="WU1301"/>
      <c r="WV1301"/>
      <c r="WW1301"/>
      <c r="WX1301"/>
      <c r="WY1301"/>
      <c r="WZ1301"/>
      <c r="XA1301"/>
      <c r="XB1301"/>
      <c r="XC1301"/>
      <c r="XD1301"/>
      <c r="XE1301"/>
      <c r="XF1301"/>
      <c r="XG1301"/>
      <c r="XH1301"/>
      <c r="XI1301"/>
      <c r="XJ1301"/>
      <c r="XK1301"/>
      <c r="XL1301"/>
      <c r="XM1301"/>
      <c r="XN1301"/>
      <c r="XO1301"/>
      <c r="XP1301"/>
      <c r="XQ1301"/>
      <c r="XR1301"/>
      <c r="XS1301"/>
      <c r="XT1301"/>
      <c r="XU1301"/>
      <c r="XV1301"/>
      <c r="XW1301"/>
      <c r="XX1301"/>
      <c r="XY1301"/>
      <c r="XZ1301"/>
      <c r="YA1301"/>
      <c r="YB1301"/>
      <c r="YC1301"/>
      <c r="YD1301"/>
      <c r="YE1301"/>
      <c r="YF1301"/>
      <c r="YG1301"/>
      <c r="YH1301"/>
      <c r="YI1301"/>
      <c r="YJ1301"/>
      <c r="YK1301"/>
      <c r="YL1301"/>
      <c r="YM1301"/>
      <c r="YN1301"/>
      <c r="YO1301"/>
      <c r="YP1301"/>
      <c r="YQ1301"/>
      <c r="YR1301"/>
      <c r="YS1301"/>
      <c r="YT1301"/>
      <c r="YU1301"/>
      <c r="YV1301"/>
      <c r="YW1301"/>
      <c r="YX1301"/>
      <c r="YY1301"/>
      <c r="YZ1301"/>
      <c r="ZA1301"/>
      <c r="ZB1301"/>
      <c r="ZC1301"/>
      <c r="ZD1301"/>
      <c r="ZE1301"/>
      <c r="ZF1301"/>
      <c r="ZG1301"/>
      <c r="ZH1301"/>
      <c r="ZI1301"/>
      <c r="ZJ1301"/>
      <c r="ZK1301"/>
      <c r="ZL1301"/>
      <c r="ZM1301"/>
      <c r="ZN1301"/>
      <c r="ZO1301"/>
      <c r="ZP1301"/>
      <c r="ZQ1301"/>
      <c r="ZR1301"/>
      <c r="ZS1301"/>
      <c r="ZT1301"/>
      <c r="ZU1301"/>
      <c r="ZV1301"/>
      <c r="ZW1301"/>
      <c r="ZX1301"/>
      <c r="ZY1301"/>
      <c r="ZZ1301"/>
      <c r="AAA1301"/>
      <c r="AAB1301"/>
      <c r="AAC1301"/>
      <c r="AAD1301"/>
      <c r="AAE1301"/>
      <c r="AAF1301"/>
      <c r="AAG1301"/>
      <c r="AAH1301"/>
      <c r="AAI1301"/>
      <c r="AAJ1301"/>
      <c r="AAK1301"/>
      <c r="AAL1301"/>
      <c r="AAM1301"/>
      <c r="AAN1301"/>
      <c r="AAO1301"/>
      <c r="AAP1301"/>
      <c r="AAQ1301"/>
      <c r="AAR1301"/>
      <c r="AAS1301"/>
      <c r="AAT1301"/>
      <c r="AAU1301"/>
      <c r="AAV1301"/>
      <c r="AAW1301"/>
      <c r="AAX1301"/>
      <c r="AAY1301"/>
      <c r="AAZ1301"/>
      <c r="ABA1301"/>
      <c r="ABB1301"/>
      <c r="ABC1301"/>
      <c r="ABD1301"/>
      <c r="ABE1301"/>
      <c r="ABF1301"/>
      <c r="ABG1301"/>
      <c r="ABH1301"/>
      <c r="ABI1301"/>
      <c r="ABJ1301"/>
      <c r="ABK1301"/>
      <c r="ABL1301"/>
      <c r="ABM1301"/>
      <c r="ABN1301"/>
      <c r="ABO1301"/>
      <c r="ABP1301"/>
      <c r="ABQ1301"/>
      <c r="ABR1301"/>
      <c r="ABS1301"/>
      <c r="ABT1301"/>
      <c r="ABU1301"/>
      <c r="ABV1301"/>
      <c r="ABW1301"/>
      <c r="ABX1301"/>
      <c r="ABY1301"/>
      <c r="ABZ1301"/>
      <c r="ACA1301"/>
      <c r="ACB1301"/>
      <c r="ACC1301"/>
      <c r="ACD1301"/>
      <c r="ACE1301"/>
      <c r="ACF1301"/>
      <c r="ACG1301"/>
      <c r="ACH1301"/>
      <c r="ACI1301"/>
      <c r="ACJ1301"/>
      <c r="ACK1301"/>
      <c r="ACL1301"/>
      <c r="ACM1301"/>
      <c r="ACN1301"/>
      <c r="ACO1301"/>
      <c r="ACP1301"/>
      <c r="ACQ1301"/>
      <c r="ACR1301"/>
      <c r="ACS1301"/>
      <c r="ACT1301"/>
      <c r="ACU1301"/>
      <c r="ACV1301"/>
      <c r="ACW1301"/>
      <c r="ACX1301"/>
      <c r="ACY1301"/>
      <c r="ACZ1301"/>
      <c r="ADA1301"/>
      <c r="ADB1301"/>
      <c r="ADC1301"/>
      <c r="ADD1301"/>
      <c r="ADE1301"/>
      <c r="ADF1301"/>
      <c r="ADG1301"/>
      <c r="ADH1301"/>
      <c r="ADI1301"/>
      <c r="ADJ1301"/>
      <c r="ADK1301"/>
      <c r="ADL1301"/>
      <c r="ADM1301"/>
      <c r="ADN1301"/>
      <c r="ADO1301"/>
      <c r="ADP1301"/>
      <c r="ADQ1301"/>
      <c r="ADR1301"/>
      <c r="ADS1301"/>
      <c r="ADT1301"/>
      <c r="ADU1301"/>
      <c r="ADV1301"/>
      <c r="ADW1301"/>
      <c r="ADX1301"/>
      <c r="ADY1301"/>
      <c r="ADZ1301"/>
      <c r="AEA1301"/>
      <c r="AEB1301"/>
      <c r="AEC1301"/>
      <c r="AED1301"/>
      <c r="AEE1301"/>
      <c r="AEF1301"/>
      <c r="AEG1301"/>
      <c r="AEH1301"/>
      <c r="AEI1301"/>
      <c r="AEJ1301"/>
      <c r="AEK1301"/>
      <c r="AEL1301"/>
      <c r="AEM1301"/>
      <c r="AEN1301"/>
      <c r="AEO1301"/>
      <c r="AEP1301"/>
      <c r="AEQ1301"/>
      <c r="AER1301"/>
      <c r="AES1301"/>
      <c r="AET1301"/>
      <c r="AEU1301"/>
      <c r="AEV1301"/>
      <c r="AEW1301"/>
      <c r="AEX1301"/>
      <c r="AEY1301"/>
      <c r="AEZ1301"/>
      <c r="AFA1301"/>
      <c r="AFB1301"/>
      <c r="AFC1301"/>
      <c r="AFD1301"/>
      <c r="AFE1301"/>
      <c r="AFF1301"/>
      <c r="AFG1301"/>
      <c r="AFH1301"/>
      <c r="AFI1301"/>
      <c r="AFJ1301"/>
      <c r="AFK1301"/>
      <c r="AFL1301"/>
      <c r="AFM1301"/>
      <c r="AFN1301"/>
      <c r="AFO1301"/>
      <c r="AFP1301"/>
      <c r="AFQ1301"/>
      <c r="AFR1301"/>
      <c r="AFS1301"/>
      <c r="AFT1301"/>
      <c r="AFU1301"/>
      <c r="AFV1301"/>
      <c r="AFW1301"/>
      <c r="AFX1301"/>
      <c r="AFY1301"/>
      <c r="AFZ1301"/>
      <c r="AGA1301"/>
      <c r="AGB1301"/>
      <c r="AGC1301"/>
      <c r="AGD1301"/>
      <c r="AGE1301"/>
      <c r="AGF1301"/>
      <c r="AGG1301"/>
      <c r="AGH1301"/>
      <c r="AGI1301"/>
      <c r="AGJ1301"/>
      <c r="AGK1301"/>
      <c r="AGL1301"/>
      <c r="AGM1301"/>
      <c r="AGN1301"/>
      <c r="AGO1301"/>
      <c r="AGP1301"/>
      <c r="AGQ1301"/>
      <c r="AGR1301"/>
      <c r="AGS1301"/>
      <c r="AGT1301"/>
      <c r="AGU1301"/>
      <c r="AGV1301"/>
      <c r="AGW1301"/>
      <c r="AGX1301"/>
      <c r="AGY1301"/>
      <c r="AGZ1301"/>
      <c r="AHA1301"/>
      <c r="AHB1301"/>
      <c r="AHC1301"/>
      <c r="AHD1301"/>
      <c r="AHE1301"/>
      <c r="AHF1301"/>
      <c r="AHG1301"/>
      <c r="AHH1301"/>
      <c r="AHI1301"/>
      <c r="AHJ1301"/>
      <c r="AHK1301"/>
      <c r="AHL1301"/>
      <c r="AHM1301"/>
      <c r="AHN1301"/>
      <c r="AHO1301"/>
      <c r="AHP1301"/>
      <c r="AHQ1301"/>
      <c r="AHR1301"/>
      <c r="AHS1301"/>
      <c r="AHT1301"/>
      <c r="AHU1301"/>
      <c r="AHV1301"/>
      <c r="AHW1301"/>
      <c r="AHX1301"/>
      <c r="AHY1301"/>
      <c r="AHZ1301"/>
      <c r="AIA1301"/>
      <c r="AIB1301"/>
      <c r="AIC1301"/>
      <c r="AID1301"/>
      <c r="AIE1301"/>
      <c r="AIF1301"/>
      <c r="AIG1301"/>
      <c r="AIH1301"/>
      <c r="AII1301"/>
      <c r="AIJ1301"/>
      <c r="AIK1301"/>
      <c r="AIL1301"/>
      <c r="AIM1301"/>
      <c r="AIN1301"/>
      <c r="AIO1301"/>
      <c r="AIP1301"/>
      <c r="AIQ1301"/>
      <c r="AIR1301"/>
      <c r="AIS1301"/>
      <c r="AIT1301"/>
      <c r="AIU1301"/>
      <c r="AIV1301"/>
      <c r="AIW1301"/>
      <c r="AIX1301"/>
      <c r="AIY1301"/>
      <c r="AIZ1301"/>
      <c r="AJA1301"/>
      <c r="AJB1301"/>
      <c r="AJC1301"/>
      <c r="AJD1301"/>
      <c r="AJE1301"/>
      <c r="AJF1301"/>
      <c r="AJG1301"/>
      <c r="AJH1301"/>
      <c r="AJI1301"/>
      <c r="AJJ1301"/>
      <c r="AJK1301"/>
      <c r="AJL1301"/>
      <c r="AJM1301"/>
      <c r="AJN1301"/>
      <c r="AJO1301"/>
      <c r="AJP1301"/>
      <c r="AJQ1301"/>
      <c r="AJR1301"/>
      <c r="AJS1301"/>
      <c r="AJT1301"/>
      <c r="AJU1301"/>
      <c r="AJV1301"/>
      <c r="AJW1301"/>
      <c r="AJX1301"/>
      <c r="AJY1301"/>
      <c r="AJZ1301"/>
      <c r="AKA1301"/>
      <c r="AKB1301"/>
      <c r="AKC1301"/>
      <c r="AKD1301"/>
      <c r="AKE1301"/>
      <c r="AKF1301"/>
      <c r="AKG1301"/>
      <c r="AKH1301"/>
      <c r="AKI1301"/>
      <c r="AKJ1301"/>
      <c r="AKK1301"/>
      <c r="AKL1301"/>
      <c r="AKM1301"/>
      <c r="AKN1301"/>
      <c r="AKO1301"/>
      <c r="AKP1301"/>
      <c r="AKQ1301"/>
      <c r="AKR1301"/>
      <c r="AKS1301"/>
      <c r="AKT1301"/>
      <c r="AKU1301"/>
      <c r="AKV1301"/>
      <c r="AKW1301"/>
      <c r="AKX1301"/>
      <c r="AKY1301"/>
      <c r="AKZ1301"/>
      <c r="ALA1301"/>
      <c r="ALB1301"/>
      <c r="ALC1301"/>
      <c r="ALD1301"/>
      <c r="ALE1301"/>
      <c r="ALF1301"/>
      <c r="ALG1301"/>
      <c r="ALH1301"/>
      <c r="ALI1301"/>
      <c r="ALJ1301"/>
      <c r="ALK1301"/>
      <c r="ALL1301"/>
      <c r="ALM1301"/>
      <c r="ALN1301"/>
      <c r="ALO1301"/>
      <c r="ALP1301"/>
      <c r="ALQ1301"/>
      <c r="ALR1301"/>
      <c r="ALS1301"/>
      <c r="ALT1301"/>
    </row>
    <row r="1302" spans="1:1008" x14ac:dyDescent="0.15">
      <c r="A1302" t="s">
        <v>4003</v>
      </c>
      <c r="B1302" s="8" t="s">
        <v>4082</v>
      </c>
      <c r="C1302" t="s">
        <v>4003</v>
      </c>
      <c r="D1302" s="8" t="s">
        <v>15</v>
      </c>
      <c r="E1302" t="s">
        <v>4003</v>
      </c>
      <c r="F1302" t="s">
        <v>4004</v>
      </c>
      <c r="G1302">
        <v>500</v>
      </c>
      <c r="H1302"/>
      <c r="I1302"/>
      <c r="J1302"/>
      <c r="K1302"/>
      <c r="L1302"/>
      <c r="M1302"/>
      <c r="N1302"/>
      <c r="O1302"/>
      <c r="P1302"/>
      <c r="Q1302"/>
      <c r="R1302"/>
      <c r="S1302"/>
      <c r="T1302"/>
      <c r="U1302"/>
      <c r="V1302"/>
      <c r="W1302"/>
      <c r="X1302"/>
      <c r="Y1302"/>
      <c r="Z1302"/>
      <c r="AA1302"/>
      <c r="AB1302"/>
      <c r="AC1302"/>
      <c r="AD1302"/>
      <c r="AE1302"/>
      <c r="AF1302"/>
      <c r="AG1302"/>
      <c r="AH1302"/>
      <c r="AI1302"/>
      <c r="AJ1302"/>
      <c r="AK1302"/>
      <c r="AL1302"/>
      <c r="AM1302"/>
      <c r="AN1302"/>
      <c r="AO1302"/>
      <c r="AP1302"/>
      <c r="AQ1302"/>
      <c r="AR1302"/>
      <c r="AS1302"/>
      <c r="AT1302"/>
      <c r="AU1302"/>
      <c r="AV1302"/>
      <c r="AW1302"/>
      <c r="AX1302"/>
      <c r="AY1302"/>
      <c r="AZ1302"/>
      <c r="BA1302"/>
      <c r="BB1302"/>
      <c r="BC1302"/>
      <c r="BD1302"/>
      <c r="BE1302"/>
      <c r="BF1302"/>
      <c r="BG1302"/>
      <c r="BH1302"/>
      <c r="BI1302"/>
      <c r="BJ1302"/>
      <c r="BK1302"/>
      <c r="BL1302"/>
      <c r="BM1302"/>
      <c r="BN1302"/>
      <c r="BO1302"/>
      <c r="BP1302"/>
      <c r="BQ1302"/>
      <c r="BR1302"/>
      <c r="BS1302"/>
      <c r="BT1302"/>
      <c r="BU1302"/>
      <c r="BV1302"/>
      <c r="BW1302"/>
      <c r="BX1302"/>
      <c r="BY1302"/>
      <c r="BZ1302"/>
      <c r="CA1302"/>
      <c r="CB1302"/>
      <c r="CC1302"/>
      <c r="CD1302"/>
      <c r="CE1302"/>
      <c r="CF1302"/>
      <c r="CG1302"/>
      <c r="CH1302"/>
      <c r="CI1302"/>
      <c r="CJ1302"/>
      <c r="CK1302"/>
      <c r="CL1302"/>
      <c r="CM1302"/>
      <c r="CN1302"/>
      <c r="CO1302"/>
      <c r="CP1302"/>
      <c r="CQ1302"/>
      <c r="CR1302"/>
      <c r="CS1302"/>
      <c r="CT1302"/>
      <c r="CU1302"/>
      <c r="CV1302"/>
      <c r="CW1302"/>
      <c r="CX1302"/>
      <c r="CY1302"/>
      <c r="CZ1302"/>
      <c r="DA1302"/>
      <c r="DB1302"/>
      <c r="DC1302"/>
      <c r="DD1302"/>
      <c r="DE1302"/>
      <c r="DF1302"/>
      <c r="DG1302"/>
      <c r="DH1302"/>
      <c r="DI1302"/>
      <c r="DJ1302"/>
      <c r="DK1302"/>
      <c r="DL1302"/>
      <c r="DM1302"/>
      <c r="DN1302"/>
      <c r="DO1302"/>
      <c r="DP1302"/>
      <c r="DQ1302"/>
      <c r="DR1302"/>
      <c r="DS1302"/>
      <c r="DT1302"/>
      <c r="DU1302"/>
      <c r="DV1302"/>
      <c r="DW1302"/>
      <c r="DX1302"/>
      <c r="DY1302"/>
      <c r="DZ1302"/>
      <c r="EA1302"/>
      <c r="EB1302"/>
      <c r="EC1302"/>
      <c r="ED1302"/>
      <c r="EE1302"/>
      <c r="EF1302"/>
      <c r="EG1302"/>
      <c r="EH1302"/>
      <c r="EI1302"/>
      <c r="EJ1302"/>
      <c r="EK1302"/>
      <c r="EL1302"/>
      <c r="EM1302"/>
      <c r="EN1302"/>
      <c r="EO1302"/>
      <c r="EP1302"/>
      <c r="EQ1302"/>
      <c r="ER1302"/>
      <c r="ES1302"/>
      <c r="ET1302"/>
      <c r="EU1302"/>
      <c r="EV1302"/>
      <c r="EW1302"/>
      <c r="EX1302"/>
      <c r="EY1302"/>
      <c r="EZ1302"/>
      <c r="FA1302"/>
      <c r="FB1302"/>
      <c r="FC1302"/>
      <c r="FD1302"/>
      <c r="FE1302"/>
      <c r="FF1302"/>
      <c r="FG1302"/>
      <c r="FH1302"/>
      <c r="FI1302"/>
      <c r="FJ1302"/>
      <c r="FK1302"/>
      <c r="FL1302"/>
      <c r="FM1302"/>
      <c r="FN1302"/>
      <c r="FO1302"/>
      <c r="FP1302"/>
      <c r="FQ1302"/>
      <c r="FR1302"/>
      <c r="FS1302"/>
      <c r="FT1302"/>
      <c r="FU1302"/>
      <c r="FV1302"/>
      <c r="FW1302"/>
      <c r="FX1302"/>
      <c r="FY1302"/>
      <c r="FZ1302"/>
      <c r="GA1302"/>
      <c r="GB1302"/>
      <c r="GC1302"/>
      <c r="GD1302"/>
      <c r="GE1302"/>
      <c r="GF1302"/>
      <c r="GG1302"/>
      <c r="GH1302"/>
      <c r="GI1302"/>
      <c r="GJ1302"/>
      <c r="GK1302"/>
      <c r="GL1302"/>
      <c r="GM1302"/>
      <c r="GN1302"/>
      <c r="GO1302"/>
      <c r="GP1302"/>
      <c r="GQ1302"/>
      <c r="GR1302"/>
      <c r="GS1302"/>
      <c r="GT1302"/>
      <c r="GU1302"/>
      <c r="GV1302"/>
      <c r="GW1302"/>
      <c r="GX1302"/>
      <c r="GY1302"/>
      <c r="GZ1302"/>
      <c r="HA1302"/>
      <c r="HB1302"/>
      <c r="HC1302"/>
      <c r="HD1302"/>
      <c r="HE1302"/>
      <c r="HF1302"/>
      <c r="HG1302"/>
      <c r="HH1302"/>
      <c r="HI1302"/>
      <c r="HJ1302"/>
      <c r="HK1302"/>
      <c r="HL1302"/>
      <c r="HM1302"/>
      <c r="HN1302"/>
      <c r="HO1302"/>
      <c r="HP1302"/>
      <c r="HQ1302"/>
      <c r="HR1302"/>
      <c r="HS1302"/>
      <c r="HT1302"/>
      <c r="HU1302"/>
      <c r="HV1302"/>
      <c r="HW1302"/>
      <c r="HX1302"/>
      <c r="HY1302"/>
      <c r="HZ1302"/>
      <c r="IA1302"/>
      <c r="IB1302"/>
      <c r="IC1302"/>
      <c r="ID1302"/>
      <c r="IE1302"/>
      <c r="IF1302"/>
      <c r="IG1302"/>
      <c r="IH1302"/>
      <c r="II1302"/>
      <c r="IJ1302"/>
      <c r="IK1302"/>
      <c r="IL1302"/>
      <c r="IM1302"/>
      <c r="IN1302"/>
      <c r="IO1302"/>
      <c r="IP1302"/>
      <c r="IQ1302"/>
      <c r="IR1302"/>
      <c r="IS1302"/>
      <c r="IT1302"/>
      <c r="IU1302"/>
      <c r="IV1302"/>
      <c r="IW1302"/>
      <c r="IX1302"/>
      <c r="IY1302"/>
      <c r="IZ1302"/>
      <c r="JA1302"/>
      <c r="JB1302"/>
      <c r="JC1302"/>
      <c r="JD1302"/>
      <c r="JE1302"/>
      <c r="JF1302"/>
      <c r="JG1302"/>
      <c r="JH1302"/>
      <c r="JI1302"/>
      <c r="JJ1302"/>
      <c r="JK1302"/>
      <c r="JL1302"/>
      <c r="JM1302"/>
      <c r="JN1302"/>
      <c r="JO1302"/>
      <c r="JP1302"/>
      <c r="JQ1302"/>
      <c r="JR1302"/>
      <c r="JS1302"/>
      <c r="JT1302"/>
      <c r="JU1302"/>
      <c r="JV1302"/>
      <c r="JW1302"/>
      <c r="JX1302"/>
      <c r="JY1302"/>
      <c r="JZ1302"/>
      <c r="KA1302"/>
      <c r="KB1302"/>
      <c r="KC1302"/>
      <c r="KD1302"/>
      <c r="KE1302"/>
      <c r="KF1302"/>
      <c r="KG1302"/>
      <c r="KH1302"/>
      <c r="KI1302"/>
      <c r="KJ1302"/>
      <c r="KK1302"/>
      <c r="KL1302"/>
      <c r="KM1302"/>
      <c r="KN1302"/>
      <c r="KO1302"/>
      <c r="KP1302"/>
      <c r="KQ1302"/>
      <c r="KR1302"/>
      <c r="KS1302"/>
      <c r="KT1302"/>
      <c r="KU1302"/>
      <c r="KV1302"/>
      <c r="KW1302"/>
      <c r="KX1302"/>
      <c r="KY1302"/>
      <c r="KZ1302"/>
      <c r="LA1302"/>
      <c r="LB1302"/>
      <c r="LC1302"/>
      <c r="LD1302"/>
      <c r="LE1302"/>
      <c r="LF1302"/>
      <c r="LG1302"/>
      <c r="LH1302"/>
      <c r="LI1302"/>
      <c r="LJ1302"/>
      <c r="LK1302"/>
      <c r="LL1302"/>
      <c r="LM1302"/>
      <c r="LN1302"/>
      <c r="LO1302"/>
      <c r="LP1302"/>
      <c r="LQ1302"/>
      <c r="LR1302"/>
      <c r="LS1302"/>
      <c r="LT1302"/>
      <c r="LU1302"/>
      <c r="LV1302"/>
      <c r="LW1302"/>
      <c r="LX1302"/>
      <c r="LY1302"/>
      <c r="LZ1302"/>
      <c r="MA1302"/>
      <c r="MB1302"/>
      <c r="MC1302"/>
      <c r="MD1302"/>
      <c r="ME1302"/>
      <c r="MF1302"/>
      <c r="MG1302"/>
      <c r="MH1302"/>
      <c r="MI1302"/>
      <c r="MJ1302"/>
      <c r="MK1302"/>
      <c r="ML1302"/>
      <c r="MM1302"/>
      <c r="MN1302"/>
      <c r="MO1302"/>
      <c r="MP1302"/>
      <c r="MQ1302"/>
      <c r="MR1302"/>
      <c r="MS1302"/>
      <c r="MT1302"/>
      <c r="MU1302"/>
      <c r="MV1302"/>
      <c r="MW1302"/>
      <c r="MX1302"/>
      <c r="MY1302"/>
      <c r="MZ1302"/>
      <c r="NA1302"/>
      <c r="NB1302"/>
      <c r="NC1302"/>
      <c r="ND1302"/>
      <c r="NE1302"/>
      <c r="NF1302"/>
      <c r="NG1302"/>
      <c r="NH1302"/>
      <c r="NI1302"/>
      <c r="NJ1302"/>
      <c r="NK1302"/>
      <c r="NL1302"/>
      <c r="NM1302"/>
      <c r="NN1302"/>
      <c r="NO1302"/>
      <c r="NP1302"/>
      <c r="NQ1302"/>
      <c r="NR1302"/>
      <c r="NS1302"/>
      <c r="NT1302"/>
      <c r="NU1302"/>
      <c r="NV1302"/>
      <c r="NW1302"/>
      <c r="NX1302"/>
      <c r="NY1302"/>
      <c r="NZ1302"/>
      <c r="OA1302"/>
      <c r="OB1302"/>
      <c r="OC1302"/>
      <c r="OD1302"/>
      <c r="OE1302"/>
      <c r="OF1302"/>
      <c r="OG1302"/>
      <c r="OH1302"/>
      <c r="OI1302"/>
      <c r="OJ1302"/>
      <c r="OK1302"/>
      <c r="OL1302"/>
      <c r="OM1302"/>
      <c r="ON1302"/>
      <c r="OO1302"/>
      <c r="OP1302"/>
      <c r="OQ1302"/>
      <c r="OR1302"/>
      <c r="OS1302"/>
      <c r="OT1302"/>
      <c r="OU1302"/>
      <c r="OV1302"/>
      <c r="OW1302"/>
      <c r="OX1302"/>
      <c r="OY1302"/>
      <c r="OZ1302"/>
      <c r="PA1302"/>
      <c r="PB1302"/>
      <c r="PC1302"/>
      <c r="PD1302"/>
      <c r="PE1302"/>
      <c r="PF1302"/>
      <c r="PG1302"/>
      <c r="PH1302"/>
      <c r="PI1302"/>
      <c r="PJ1302"/>
      <c r="PK1302"/>
      <c r="PL1302"/>
      <c r="PM1302"/>
      <c r="PN1302"/>
      <c r="PO1302"/>
      <c r="PP1302"/>
      <c r="PQ1302"/>
      <c r="PR1302"/>
      <c r="PS1302"/>
      <c r="PT1302"/>
      <c r="PU1302"/>
      <c r="PV1302"/>
      <c r="PW1302"/>
      <c r="PX1302"/>
      <c r="PY1302"/>
      <c r="PZ1302"/>
      <c r="QA1302"/>
      <c r="QB1302"/>
      <c r="QC1302"/>
      <c r="QD1302"/>
      <c r="QE1302"/>
      <c r="QF1302"/>
      <c r="QG1302"/>
      <c r="QH1302"/>
      <c r="QI1302"/>
      <c r="QJ1302"/>
      <c r="QK1302"/>
      <c r="QL1302"/>
      <c r="QM1302"/>
      <c r="QN1302"/>
      <c r="QO1302"/>
      <c r="QP1302"/>
      <c r="QQ1302"/>
      <c r="QR1302"/>
      <c r="QS1302"/>
      <c r="QT1302"/>
      <c r="QU1302"/>
      <c r="QV1302"/>
      <c r="QW1302"/>
      <c r="QX1302"/>
      <c r="QY1302"/>
      <c r="QZ1302"/>
      <c r="RA1302"/>
      <c r="RB1302"/>
      <c r="RC1302"/>
      <c r="RD1302"/>
      <c r="RE1302"/>
      <c r="RF1302"/>
      <c r="RG1302"/>
      <c r="RH1302"/>
      <c r="RI1302"/>
      <c r="RJ1302"/>
      <c r="RK1302"/>
      <c r="RL1302"/>
      <c r="RM1302"/>
      <c r="RN1302"/>
      <c r="RO1302"/>
      <c r="RP1302"/>
      <c r="RQ1302"/>
      <c r="RR1302"/>
      <c r="RS1302"/>
      <c r="RT1302"/>
      <c r="RU1302"/>
      <c r="RV1302"/>
      <c r="RW1302"/>
      <c r="RX1302"/>
      <c r="RY1302"/>
      <c r="RZ1302"/>
      <c r="SA1302"/>
      <c r="SB1302"/>
      <c r="SC1302"/>
      <c r="SD1302"/>
      <c r="SE1302"/>
      <c r="SF1302"/>
      <c r="SG1302"/>
      <c r="SH1302"/>
      <c r="SI1302"/>
      <c r="SJ1302"/>
      <c r="SK1302"/>
      <c r="SL1302"/>
      <c r="SM1302"/>
      <c r="SN1302"/>
      <c r="SO1302"/>
      <c r="SP1302"/>
      <c r="SQ1302"/>
      <c r="SR1302"/>
      <c r="SS1302"/>
      <c r="ST1302"/>
      <c r="SU1302"/>
      <c r="SV1302"/>
      <c r="SW1302"/>
      <c r="SX1302"/>
      <c r="SY1302"/>
      <c r="SZ1302"/>
      <c r="TA1302"/>
      <c r="TB1302"/>
      <c r="TC1302"/>
      <c r="TD1302"/>
      <c r="TE1302"/>
      <c r="TF1302"/>
      <c r="TG1302"/>
      <c r="TH1302"/>
      <c r="TI1302"/>
      <c r="TJ1302"/>
      <c r="TK1302"/>
      <c r="TL1302"/>
      <c r="TM1302"/>
      <c r="TN1302"/>
      <c r="TO1302"/>
      <c r="TP1302"/>
      <c r="TQ1302"/>
      <c r="TR1302"/>
      <c r="TS1302"/>
      <c r="TT1302"/>
      <c r="TU1302"/>
      <c r="TV1302"/>
      <c r="TW1302"/>
      <c r="TX1302"/>
      <c r="TY1302"/>
      <c r="TZ1302"/>
      <c r="UA1302"/>
      <c r="UB1302"/>
      <c r="UC1302"/>
      <c r="UD1302"/>
      <c r="UE1302"/>
      <c r="UF1302"/>
      <c r="UG1302"/>
      <c r="UH1302"/>
      <c r="UI1302"/>
      <c r="UJ1302"/>
      <c r="UK1302"/>
      <c r="UL1302"/>
      <c r="UM1302"/>
      <c r="UN1302"/>
      <c r="UO1302"/>
      <c r="UP1302"/>
      <c r="UQ1302"/>
      <c r="UR1302"/>
      <c r="US1302"/>
      <c r="UT1302"/>
      <c r="UU1302"/>
      <c r="UV1302"/>
      <c r="UW1302"/>
      <c r="UX1302"/>
      <c r="UY1302"/>
      <c r="UZ1302"/>
      <c r="VA1302"/>
      <c r="VB1302"/>
      <c r="VC1302"/>
      <c r="VD1302"/>
      <c r="VE1302"/>
      <c r="VF1302"/>
      <c r="VG1302"/>
      <c r="VH1302"/>
      <c r="VI1302"/>
      <c r="VJ1302"/>
      <c r="VK1302"/>
      <c r="VL1302"/>
      <c r="VM1302"/>
      <c r="VN1302"/>
      <c r="VO1302"/>
      <c r="VP1302"/>
      <c r="VQ1302"/>
      <c r="VR1302"/>
      <c r="VS1302"/>
      <c r="VT1302"/>
      <c r="VU1302"/>
      <c r="VV1302"/>
      <c r="VW1302"/>
      <c r="VX1302"/>
      <c r="VY1302"/>
      <c r="VZ1302"/>
      <c r="WA1302"/>
      <c r="WB1302"/>
      <c r="WC1302"/>
      <c r="WD1302"/>
      <c r="WE1302"/>
      <c r="WF1302"/>
      <c r="WG1302"/>
      <c r="WH1302"/>
      <c r="WI1302"/>
      <c r="WJ1302"/>
      <c r="WK1302"/>
      <c r="WL1302"/>
      <c r="WM1302"/>
      <c r="WN1302"/>
      <c r="WO1302"/>
      <c r="WP1302"/>
      <c r="WQ1302"/>
      <c r="WR1302"/>
      <c r="WS1302"/>
      <c r="WT1302"/>
      <c r="WU1302"/>
      <c r="WV1302"/>
      <c r="WW1302"/>
      <c r="WX1302"/>
      <c r="WY1302"/>
      <c r="WZ1302"/>
      <c r="XA1302"/>
      <c r="XB1302"/>
      <c r="XC1302"/>
      <c r="XD1302"/>
      <c r="XE1302"/>
      <c r="XF1302"/>
      <c r="XG1302"/>
      <c r="XH1302"/>
      <c r="XI1302"/>
      <c r="XJ1302"/>
      <c r="XK1302"/>
      <c r="XL1302"/>
      <c r="XM1302"/>
      <c r="XN1302"/>
      <c r="XO1302"/>
      <c r="XP1302"/>
      <c r="XQ1302"/>
      <c r="XR1302"/>
      <c r="XS1302"/>
      <c r="XT1302"/>
      <c r="XU1302"/>
      <c r="XV1302"/>
      <c r="XW1302"/>
      <c r="XX1302"/>
      <c r="XY1302"/>
      <c r="XZ1302"/>
      <c r="YA1302"/>
      <c r="YB1302"/>
      <c r="YC1302"/>
      <c r="YD1302"/>
      <c r="YE1302"/>
      <c r="YF1302"/>
      <c r="YG1302"/>
      <c r="YH1302"/>
      <c r="YI1302"/>
      <c r="YJ1302"/>
      <c r="YK1302"/>
      <c r="YL1302"/>
      <c r="YM1302"/>
      <c r="YN1302"/>
      <c r="YO1302"/>
      <c r="YP1302"/>
      <c r="YQ1302"/>
      <c r="YR1302"/>
      <c r="YS1302"/>
      <c r="YT1302"/>
      <c r="YU1302"/>
      <c r="YV1302"/>
      <c r="YW1302"/>
      <c r="YX1302"/>
      <c r="YY1302"/>
      <c r="YZ1302"/>
      <c r="ZA1302"/>
      <c r="ZB1302"/>
      <c r="ZC1302"/>
      <c r="ZD1302"/>
      <c r="ZE1302"/>
      <c r="ZF1302"/>
      <c r="ZG1302"/>
      <c r="ZH1302"/>
      <c r="ZI1302"/>
      <c r="ZJ1302"/>
      <c r="ZK1302"/>
      <c r="ZL1302"/>
      <c r="ZM1302"/>
      <c r="ZN1302"/>
      <c r="ZO1302"/>
      <c r="ZP1302"/>
      <c r="ZQ1302"/>
      <c r="ZR1302"/>
      <c r="ZS1302"/>
      <c r="ZT1302"/>
      <c r="ZU1302"/>
      <c r="ZV1302"/>
      <c r="ZW1302"/>
      <c r="ZX1302"/>
      <c r="ZY1302"/>
      <c r="ZZ1302"/>
      <c r="AAA1302"/>
      <c r="AAB1302"/>
      <c r="AAC1302"/>
      <c r="AAD1302"/>
      <c r="AAE1302"/>
      <c r="AAF1302"/>
      <c r="AAG1302"/>
      <c r="AAH1302"/>
      <c r="AAI1302"/>
      <c r="AAJ1302"/>
      <c r="AAK1302"/>
      <c r="AAL1302"/>
      <c r="AAM1302"/>
      <c r="AAN1302"/>
      <c r="AAO1302"/>
      <c r="AAP1302"/>
      <c r="AAQ1302"/>
      <c r="AAR1302"/>
      <c r="AAS1302"/>
      <c r="AAT1302"/>
      <c r="AAU1302"/>
      <c r="AAV1302"/>
      <c r="AAW1302"/>
      <c r="AAX1302"/>
      <c r="AAY1302"/>
      <c r="AAZ1302"/>
      <c r="ABA1302"/>
      <c r="ABB1302"/>
      <c r="ABC1302"/>
      <c r="ABD1302"/>
      <c r="ABE1302"/>
      <c r="ABF1302"/>
      <c r="ABG1302"/>
      <c r="ABH1302"/>
      <c r="ABI1302"/>
      <c r="ABJ1302"/>
      <c r="ABK1302"/>
      <c r="ABL1302"/>
      <c r="ABM1302"/>
      <c r="ABN1302"/>
      <c r="ABO1302"/>
      <c r="ABP1302"/>
      <c r="ABQ1302"/>
      <c r="ABR1302"/>
      <c r="ABS1302"/>
      <c r="ABT1302"/>
      <c r="ABU1302"/>
      <c r="ABV1302"/>
      <c r="ABW1302"/>
      <c r="ABX1302"/>
      <c r="ABY1302"/>
      <c r="ABZ1302"/>
      <c r="ACA1302"/>
      <c r="ACB1302"/>
      <c r="ACC1302"/>
      <c r="ACD1302"/>
      <c r="ACE1302"/>
      <c r="ACF1302"/>
      <c r="ACG1302"/>
      <c r="ACH1302"/>
      <c r="ACI1302"/>
      <c r="ACJ1302"/>
      <c r="ACK1302"/>
      <c r="ACL1302"/>
      <c r="ACM1302"/>
      <c r="ACN1302"/>
      <c r="ACO1302"/>
      <c r="ACP1302"/>
      <c r="ACQ1302"/>
      <c r="ACR1302"/>
      <c r="ACS1302"/>
      <c r="ACT1302"/>
      <c r="ACU1302"/>
      <c r="ACV1302"/>
      <c r="ACW1302"/>
      <c r="ACX1302"/>
      <c r="ACY1302"/>
      <c r="ACZ1302"/>
      <c r="ADA1302"/>
      <c r="ADB1302"/>
      <c r="ADC1302"/>
      <c r="ADD1302"/>
      <c r="ADE1302"/>
      <c r="ADF1302"/>
      <c r="ADG1302"/>
      <c r="ADH1302"/>
      <c r="ADI1302"/>
      <c r="ADJ1302"/>
      <c r="ADK1302"/>
      <c r="ADL1302"/>
      <c r="ADM1302"/>
      <c r="ADN1302"/>
      <c r="ADO1302"/>
      <c r="ADP1302"/>
      <c r="ADQ1302"/>
      <c r="ADR1302"/>
      <c r="ADS1302"/>
      <c r="ADT1302"/>
      <c r="ADU1302"/>
      <c r="ADV1302"/>
      <c r="ADW1302"/>
      <c r="ADX1302"/>
      <c r="ADY1302"/>
      <c r="ADZ1302"/>
      <c r="AEA1302"/>
      <c r="AEB1302"/>
      <c r="AEC1302"/>
      <c r="AED1302"/>
      <c r="AEE1302"/>
      <c r="AEF1302"/>
      <c r="AEG1302"/>
      <c r="AEH1302"/>
      <c r="AEI1302"/>
      <c r="AEJ1302"/>
      <c r="AEK1302"/>
      <c r="AEL1302"/>
      <c r="AEM1302"/>
      <c r="AEN1302"/>
      <c r="AEO1302"/>
      <c r="AEP1302"/>
      <c r="AEQ1302"/>
      <c r="AER1302"/>
      <c r="AES1302"/>
      <c r="AET1302"/>
      <c r="AEU1302"/>
      <c r="AEV1302"/>
      <c r="AEW1302"/>
      <c r="AEX1302"/>
      <c r="AEY1302"/>
      <c r="AEZ1302"/>
      <c r="AFA1302"/>
      <c r="AFB1302"/>
      <c r="AFC1302"/>
      <c r="AFD1302"/>
      <c r="AFE1302"/>
      <c r="AFF1302"/>
      <c r="AFG1302"/>
      <c r="AFH1302"/>
      <c r="AFI1302"/>
      <c r="AFJ1302"/>
      <c r="AFK1302"/>
      <c r="AFL1302"/>
      <c r="AFM1302"/>
      <c r="AFN1302"/>
      <c r="AFO1302"/>
      <c r="AFP1302"/>
      <c r="AFQ1302"/>
      <c r="AFR1302"/>
      <c r="AFS1302"/>
      <c r="AFT1302"/>
      <c r="AFU1302"/>
      <c r="AFV1302"/>
      <c r="AFW1302"/>
      <c r="AFX1302"/>
      <c r="AFY1302"/>
      <c r="AFZ1302"/>
      <c r="AGA1302"/>
      <c r="AGB1302"/>
      <c r="AGC1302"/>
      <c r="AGD1302"/>
      <c r="AGE1302"/>
      <c r="AGF1302"/>
      <c r="AGG1302"/>
      <c r="AGH1302"/>
      <c r="AGI1302"/>
      <c r="AGJ1302"/>
      <c r="AGK1302"/>
      <c r="AGL1302"/>
      <c r="AGM1302"/>
      <c r="AGN1302"/>
      <c r="AGO1302"/>
      <c r="AGP1302"/>
      <c r="AGQ1302"/>
      <c r="AGR1302"/>
      <c r="AGS1302"/>
      <c r="AGT1302"/>
      <c r="AGU1302"/>
      <c r="AGV1302"/>
      <c r="AGW1302"/>
      <c r="AGX1302"/>
      <c r="AGY1302"/>
      <c r="AGZ1302"/>
      <c r="AHA1302"/>
      <c r="AHB1302"/>
      <c r="AHC1302"/>
      <c r="AHD1302"/>
      <c r="AHE1302"/>
      <c r="AHF1302"/>
      <c r="AHG1302"/>
      <c r="AHH1302"/>
      <c r="AHI1302"/>
      <c r="AHJ1302"/>
      <c r="AHK1302"/>
      <c r="AHL1302"/>
      <c r="AHM1302"/>
      <c r="AHN1302"/>
      <c r="AHO1302"/>
      <c r="AHP1302"/>
      <c r="AHQ1302"/>
      <c r="AHR1302"/>
      <c r="AHS1302"/>
      <c r="AHT1302"/>
      <c r="AHU1302"/>
      <c r="AHV1302"/>
      <c r="AHW1302"/>
      <c r="AHX1302"/>
      <c r="AHY1302"/>
      <c r="AHZ1302"/>
      <c r="AIA1302"/>
      <c r="AIB1302"/>
      <c r="AIC1302"/>
      <c r="AID1302"/>
      <c r="AIE1302"/>
      <c r="AIF1302"/>
      <c r="AIG1302"/>
      <c r="AIH1302"/>
      <c r="AII1302"/>
      <c r="AIJ1302"/>
      <c r="AIK1302"/>
      <c r="AIL1302"/>
      <c r="AIM1302"/>
      <c r="AIN1302"/>
      <c r="AIO1302"/>
      <c r="AIP1302"/>
      <c r="AIQ1302"/>
      <c r="AIR1302"/>
      <c r="AIS1302"/>
      <c r="AIT1302"/>
      <c r="AIU1302"/>
      <c r="AIV1302"/>
      <c r="AIW1302"/>
      <c r="AIX1302"/>
      <c r="AIY1302"/>
      <c r="AIZ1302"/>
      <c r="AJA1302"/>
      <c r="AJB1302"/>
      <c r="AJC1302"/>
      <c r="AJD1302"/>
      <c r="AJE1302"/>
      <c r="AJF1302"/>
      <c r="AJG1302"/>
      <c r="AJH1302"/>
      <c r="AJI1302"/>
      <c r="AJJ1302"/>
      <c r="AJK1302"/>
      <c r="AJL1302"/>
      <c r="AJM1302"/>
      <c r="AJN1302"/>
      <c r="AJO1302"/>
      <c r="AJP1302"/>
      <c r="AJQ1302"/>
      <c r="AJR1302"/>
      <c r="AJS1302"/>
      <c r="AJT1302"/>
      <c r="AJU1302"/>
      <c r="AJV1302"/>
      <c r="AJW1302"/>
      <c r="AJX1302"/>
      <c r="AJY1302"/>
      <c r="AJZ1302"/>
      <c r="AKA1302"/>
      <c r="AKB1302"/>
      <c r="AKC1302"/>
      <c r="AKD1302"/>
      <c r="AKE1302"/>
      <c r="AKF1302"/>
      <c r="AKG1302"/>
      <c r="AKH1302"/>
      <c r="AKI1302"/>
      <c r="AKJ1302"/>
      <c r="AKK1302"/>
      <c r="AKL1302"/>
      <c r="AKM1302"/>
      <c r="AKN1302"/>
      <c r="AKO1302"/>
      <c r="AKP1302"/>
      <c r="AKQ1302"/>
      <c r="AKR1302"/>
      <c r="AKS1302"/>
      <c r="AKT1302"/>
      <c r="AKU1302"/>
      <c r="AKV1302"/>
      <c r="AKW1302"/>
      <c r="AKX1302"/>
      <c r="AKY1302"/>
      <c r="AKZ1302"/>
      <c r="ALA1302"/>
      <c r="ALB1302"/>
      <c r="ALC1302"/>
      <c r="ALD1302"/>
      <c r="ALE1302"/>
      <c r="ALF1302"/>
      <c r="ALG1302"/>
      <c r="ALH1302"/>
      <c r="ALI1302"/>
      <c r="ALJ1302"/>
      <c r="ALK1302"/>
      <c r="ALL1302"/>
      <c r="ALM1302"/>
      <c r="ALN1302"/>
      <c r="ALO1302"/>
      <c r="ALP1302"/>
      <c r="ALQ1302"/>
      <c r="ALR1302"/>
      <c r="ALS1302"/>
      <c r="ALT1302"/>
    </row>
    <row r="1303" spans="1:1008" x14ac:dyDescent="0.15">
      <c r="A1303" t="s">
        <v>4005</v>
      </c>
      <c r="B1303" s="8" t="s">
        <v>4082</v>
      </c>
      <c r="C1303" t="s">
        <v>4005</v>
      </c>
      <c r="D1303" s="8" t="s">
        <v>15</v>
      </c>
      <c r="E1303" t="s">
        <v>4005</v>
      </c>
      <c r="F1303" t="s">
        <v>4006</v>
      </c>
      <c r="G1303">
        <v>200</v>
      </c>
      <c r="H1303"/>
      <c r="I1303"/>
      <c r="J1303"/>
      <c r="K1303"/>
      <c r="L1303"/>
      <c r="M1303"/>
      <c r="N1303"/>
      <c r="O1303"/>
      <c r="P1303"/>
      <c r="Q1303"/>
      <c r="R1303"/>
      <c r="S1303"/>
      <c r="T1303"/>
      <c r="U1303"/>
      <c r="V1303"/>
      <c r="W1303"/>
      <c r="X1303"/>
      <c r="Y1303"/>
      <c r="Z1303"/>
      <c r="AA1303"/>
      <c r="AB1303"/>
      <c r="AC1303"/>
      <c r="AD1303"/>
      <c r="AE1303"/>
      <c r="AF1303"/>
      <c r="AG1303"/>
      <c r="AH1303"/>
      <c r="AI1303"/>
      <c r="AJ1303"/>
      <c r="AK1303"/>
      <c r="AL1303"/>
      <c r="AM1303"/>
      <c r="AN1303"/>
      <c r="AO1303"/>
      <c r="AP1303"/>
      <c r="AQ1303"/>
      <c r="AR1303"/>
      <c r="AS1303"/>
      <c r="AT1303"/>
      <c r="AU1303"/>
      <c r="AV1303"/>
      <c r="AW1303"/>
      <c r="AX1303"/>
      <c r="AY1303"/>
      <c r="AZ1303"/>
      <c r="BA1303"/>
      <c r="BB1303"/>
      <c r="BC1303"/>
      <c r="BD1303"/>
      <c r="BE1303"/>
      <c r="BF1303"/>
      <c r="BG1303"/>
      <c r="BH1303"/>
      <c r="BI1303"/>
      <c r="BJ1303"/>
      <c r="BK1303"/>
      <c r="BL1303"/>
      <c r="BM1303"/>
      <c r="BN1303"/>
      <c r="BO1303"/>
      <c r="BP1303"/>
      <c r="BQ1303"/>
      <c r="BR1303"/>
      <c r="BS1303"/>
      <c r="BT1303"/>
      <c r="BU1303"/>
      <c r="BV1303"/>
      <c r="BW1303"/>
      <c r="BX1303"/>
      <c r="BY1303"/>
      <c r="BZ1303"/>
      <c r="CA1303"/>
      <c r="CB1303"/>
      <c r="CC1303"/>
      <c r="CD1303"/>
      <c r="CE1303"/>
      <c r="CF1303"/>
      <c r="CG1303"/>
      <c r="CH1303"/>
      <c r="CI1303"/>
      <c r="CJ1303"/>
      <c r="CK1303"/>
      <c r="CL1303"/>
      <c r="CM1303"/>
      <c r="CN1303"/>
      <c r="CO1303"/>
      <c r="CP1303"/>
      <c r="CQ1303"/>
      <c r="CR1303"/>
      <c r="CS1303"/>
      <c r="CT1303"/>
      <c r="CU1303"/>
      <c r="CV1303"/>
      <c r="CW1303"/>
      <c r="CX1303"/>
      <c r="CY1303"/>
      <c r="CZ1303"/>
      <c r="DA1303"/>
      <c r="DB1303"/>
      <c r="DC1303"/>
      <c r="DD1303"/>
      <c r="DE1303"/>
      <c r="DF1303"/>
      <c r="DG1303"/>
      <c r="DH1303"/>
      <c r="DI1303"/>
      <c r="DJ1303"/>
      <c r="DK1303"/>
      <c r="DL1303"/>
      <c r="DM1303"/>
      <c r="DN1303"/>
      <c r="DO1303"/>
      <c r="DP1303"/>
      <c r="DQ1303"/>
      <c r="DR1303"/>
      <c r="DS1303"/>
      <c r="DT1303"/>
      <c r="DU1303"/>
      <c r="DV1303"/>
      <c r="DW1303"/>
      <c r="DX1303"/>
      <c r="DY1303"/>
      <c r="DZ1303"/>
      <c r="EA1303"/>
      <c r="EB1303"/>
      <c r="EC1303"/>
      <c r="ED1303"/>
      <c r="EE1303"/>
      <c r="EF1303"/>
      <c r="EG1303"/>
      <c r="EH1303"/>
      <c r="EI1303"/>
      <c r="EJ1303"/>
      <c r="EK1303"/>
      <c r="EL1303"/>
      <c r="EM1303"/>
      <c r="EN1303"/>
      <c r="EO1303"/>
      <c r="EP1303"/>
      <c r="EQ1303"/>
      <c r="ER1303"/>
      <c r="ES1303"/>
      <c r="ET1303"/>
      <c r="EU1303"/>
      <c r="EV1303"/>
      <c r="EW1303"/>
      <c r="EX1303"/>
      <c r="EY1303"/>
      <c r="EZ1303"/>
      <c r="FA1303"/>
      <c r="FB1303"/>
      <c r="FC1303"/>
      <c r="FD1303"/>
      <c r="FE1303"/>
      <c r="FF1303"/>
      <c r="FG1303"/>
      <c r="FH1303"/>
      <c r="FI1303"/>
      <c r="FJ1303"/>
      <c r="FK1303"/>
      <c r="FL1303"/>
      <c r="FM1303"/>
      <c r="FN1303"/>
      <c r="FO1303"/>
      <c r="FP1303"/>
      <c r="FQ1303"/>
      <c r="FR1303"/>
      <c r="FS1303"/>
      <c r="FT1303"/>
      <c r="FU1303"/>
      <c r="FV1303"/>
      <c r="FW1303"/>
      <c r="FX1303"/>
      <c r="FY1303"/>
      <c r="FZ1303"/>
      <c r="GA1303"/>
      <c r="GB1303"/>
      <c r="GC1303"/>
      <c r="GD1303"/>
      <c r="GE1303"/>
      <c r="GF1303"/>
      <c r="GG1303"/>
      <c r="GH1303"/>
      <c r="GI1303"/>
      <c r="GJ1303"/>
      <c r="GK1303"/>
      <c r="GL1303"/>
      <c r="GM1303"/>
      <c r="GN1303"/>
      <c r="GO1303"/>
      <c r="GP1303"/>
      <c r="GQ1303"/>
      <c r="GR1303"/>
      <c r="GS1303"/>
      <c r="GT1303"/>
      <c r="GU1303"/>
      <c r="GV1303"/>
      <c r="GW1303"/>
      <c r="GX1303"/>
      <c r="GY1303"/>
      <c r="GZ1303"/>
      <c r="HA1303"/>
      <c r="HB1303"/>
      <c r="HC1303"/>
      <c r="HD1303"/>
      <c r="HE1303"/>
      <c r="HF1303"/>
      <c r="HG1303"/>
      <c r="HH1303"/>
      <c r="HI1303"/>
      <c r="HJ1303"/>
      <c r="HK1303"/>
      <c r="HL1303"/>
      <c r="HM1303"/>
      <c r="HN1303"/>
      <c r="HO1303"/>
      <c r="HP1303"/>
      <c r="HQ1303"/>
      <c r="HR1303"/>
      <c r="HS1303"/>
      <c r="HT1303"/>
      <c r="HU1303"/>
      <c r="HV1303"/>
      <c r="HW1303"/>
      <c r="HX1303"/>
      <c r="HY1303"/>
      <c r="HZ1303"/>
      <c r="IA1303"/>
      <c r="IB1303"/>
      <c r="IC1303"/>
      <c r="ID1303"/>
      <c r="IE1303"/>
      <c r="IF1303"/>
      <c r="IG1303"/>
      <c r="IH1303"/>
      <c r="II1303"/>
      <c r="IJ1303"/>
      <c r="IK1303"/>
      <c r="IL1303"/>
      <c r="IM1303"/>
      <c r="IN1303"/>
      <c r="IO1303"/>
      <c r="IP1303"/>
      <c r="IQ1303"/>
      <c r="IR1303"/>
      <c r="IS1303"/>
      <c r="IT1303"/>
      <c r="IU1303"/>
      <c r="IV1303"/>
      <c r="IW1303"/>
      <c r="IX1303"/>
      <c r="IY1303"/>
      <c r="IZ1303"/>
      <c r="JA1303"/>
      <c r="JB1303"/>
      <c r="JC1303"/>
      <c r="JD1303"/>
      <c r="JE1303"/>
      <c r="JF1303"/>
      <c r="JG1303"/>
      <c r="JH1303"/>
      <c r="JI1303"/>
      <c r="JJ1303"/>
      <c r="JK1303"/>
      <c r="JL1303"/>
      <c r="JM1303"/>
      <c r="JN1303"/>
      <c r="JO1303"/>
      <c r="JP1303"/>
      <c r="JQ1303"/>
      <c r="JR1303"/>
      <c r="JS1303"/>
      <c r="JT1303"/>
      <c r="JU1303"/>
      <c r="JV1303"/>
      <c r="JW1303"/>
      <c r="JX1303"/>
      <c r="JY1303"/>
      <c r="JZ1303"/>
      <c r="KA1303"/>
      <c r="KB1303"/>
      <c r="KC1303"/>
      <c r="KD1303"/>
      <c r="KE1303"/>
      <c r="KF1303"/>
      <c r="KG1303"/>
      <c r="KH1303"/>
      <c r="KI1303"/>
      <c r="KJ1303"/>
      <c r="KK1303"/>
      <c r="KL1303"/>
      <c r="KM1303"/>
      <c r="KN1303"/>
      <c r="KO1303"/>
      <c r="KP1303"/>
      <c r="KQ1303"/>
      <c r="KR1303"/>
      <c r="KS1303"/>
      <c r="KT1303"/>
      <c r="KU1303"/>
      <c r="KV1303"/>
      <c r="KW1303"/>
      <c r="KX1303"/>
      <c r="KY1303"/>
      <c r="KZ1303"/>
      <c r="LA1303"/>
      <c r="LB1303"/>
      <c r="LC1303"/>
      <c r="LD1303"/>
      <c r="LE1303"/>
      <c r="LF1303"/>
      <c r="LG1303"/>
      <c r="LH1303"/>
      <c r="LI1303"/>
      <c r="LJ1303"/>
      <c r="LK1303"/>
      <c r="LL1303"/>
      <c r="LM1303"/>
      <c r="LN1303"/>
      <c r="LO1303"/>
      <c r="LP1303"/>
      <c r="LQ1303"/>
      <c r="LR1303"/>
      <c r="LS1303"/>
      <c r="LT1303"/>
      <c r="LU1303"/>
      <c r="LV1303"/>
      <c r="LW1303"/>
      <c r="LX1303"/>
      <c r="LY1303"/>
      <c r="LZ1303"/>
      <c r="MA1303"/>
      <c r="MB1303"/>
      <c r="MC1303"/>
      <c r="MD1303"/>
      <c r="ME1303"/>
      <c r="MF1303"/>
      <c r="MG1303"/>
      <c r="MH1303"/>
      <c r="MI1303"/>
      <c r="MJ1303"/>
      <c r="MK1303"/>
      <c r="ML1303"/>
      <c r="MM1303"/>
      <c r="MN1303"/>
      <c r="MO1303"/>
      <c r="MP1303"/>
      <c r="MQ1303"/>
      <c r="MR1303"/>
      <c r="MS1303"/>
      <c r="MT1303"/>
      <c r="MU1303"/>
      <c r="MV1303"/>
      <c r="MW1303"/>
      <c r="MX1303"/>
      <c r="MY1303"/>
      <c r="MZ1303"/>
      <c r="NA1303"/>
      <c r="NB1303"/>
      <c r="NC1303"/>
      <c r="ND1303"/>
      <c r="NE1303"/>
      <c r="NF1303"/>
      <c r="NG1303"/>
      <c r="NH1303"/>
      <c r="NI1303"/>
      <c r="NJ1303"/>
      <c r="NK1303"/>
      <c r="NL1303"/>
      <c r="NM1303"/>
      <c r="NN1303"/>
      <c r="NO1303"/>
      <c r="NP1303"/>
      <c r="NQ1303"/>
      <c r="NR1303"/>
      <c r="NS1303"/>
      <c r="NT1303"/>
      <c r="NU1303"/>
      <c r="NV1303"/>
      <c r="NW1303"/>
      <c r="NX1303"/>
      <c r="NY1303"/>
      <c r="NZ1303"/>
      <c r="OA1303"/>
      <c r="OB1303"/>
      <c r="OC1303"/>
      <c r="OD1303"/>
      <c r="OE1303"/>
      <c r="OF1303"/>
      <c r="OG1303"/>
      <c r="OH1303"/>
      <c r="OI1303"/>
      <c r="OJ1303"/>
      <c r="OK1303"/>
      <c r="OL1303"/>
      <c r="OM1303"/>
      <c r="ON1303"/>
      <c r="OO1303"/>
      <c r="OP1303"/>
      <c r="OQ1303"/>
      <c r="OR1303"/>
      <c r="OS1303"/>
      <c r="OT1303"/>
      <c r="OU1303"/>
      <c r="OV1303"/>
      <c r="OW1303"/>
      <c r="OX1303"/>
      <c r="OY1303"/>
      <c r="OZ1303"/>
      <c r="PA1303"/>
      <c r="PB1303"/>
      <c r="PC1303"/>
      <c r="PD1303"/>
      <c r="PE1303"/>
      <c r="PF1303"/>
      <c r="PG1303"/>
      <c r="PH1303"/>
      <c r="PI1303"/>
      <c r="PJ1303"/>
      <c r="PK1303"/>
      <c r="PL1303"/>
      <c r="PM1303"/>
      <c r="PN1303"/>
      <c r="PO1303"/>
      <c r="PP1303"/>
      <c r="PQ1303"/>
      <c r="PR1303"/>
      <c r="PS1303"/>
      <c r="PT1303"/>
      <c r="PU1303"/>
      <c r="PV1303"/>
      <c r="PW1303"/>
      <c r="PX1303"/>
      <c r="PY1303"/>
      <c r="PZ1303"/>
      <c r="QA1303"/>
      <c r="QB1303"/>
      <c r="QC1303"/>
      <c r="QD1303"/>
      <c r="QE1303"/>
      <c r="QF1303"/>
      <c r="QG1303"/>
      <c r="QH1303"/>
      <c r="QI1303"/>
      <c r="QJ1303"/>
      <c r="QK1303"/>
      <c r="QL1303"/>
      <c r="QM1303"/>
      <c r="QN1303"/>
      <c r="QO1303"/>
      <c r="QP1303"/>
      <c r="QQ1303"/>
      <c r="QR1303"/>
      <c r="QS1303"/>
      <c r="QT1303"/>
      <c r="QU1303"/>
      <c r="QV1303"/>
      <c r="QW1303"/>
      <c r="QX1303"/>
      <c r="QY1303"/>
      <c r="QZ1303"/>
      <c r="RA1303"/>
      <c r="RB1303"/>
      <c r="RC1303"/>
      <c r="RD1303"/>
      <c r="RE1303"/>
      <c r="RF1303"/>
      <c r="RG1303"/>
      <c r="RH1303"/>
      <c r="RI1303"/>
      <c r="RJ1303"/>
      <c r="RK1303"/>
      <c r="RL1303"/>
      <c r="RM1303"/>
      <c r="RN1303"/>
      <c r="RO1303"/>
      <c r="RP1303"/>
      <c r="RQ1303"/>
      <c r="RR1303"/>
      <c r="RS1303"/>
      <c r="RT1303"/>
      <c r="RU1303"/>
      <c r="RV1303"/>
      <c r="RW1303"/>
      <c r="RX1303"/>
      <c r="RY1303"/>
      <c r="RZ1303"/>
      <c r="SA1303"/>
      <c r="SB1303"/>
      <c r="SC1303"/>
      <c r="SD1303"/>
      <c r="SE1303"/>
      <c r="SF1303"/>
      <c r="SG1303"/>
      <c r="SH1303"/>
      <c r="SI1303"/>
      <c r="SJ1303"/>
      <c r="SK1303"/>
      <c r="SL1303"/>
      <c r="SM1303"/>
      <c r="SN1303"/>
      <c r="SO1303"/>
      <c r="SP1303"/>
      <c r="SQ1303"/>
      <c r="SR1303"/>
      <c r="SS1303"/>
      <c r="ST1303"/>
      <c r="SU1303"/>
      <c r="SV1303"/>
      <c r="SW1303"/>
      <c r="SX1303"/>
      <c r="SY1303"/>
      <c r="SZ1303"/>
      <c r="TA1303"/>
      <c r="TB1303"/>
      <c r="TC1303"/>
      <c r="TD1303"/>
      <c r="TE1303"/>
      <c r="TF1303"/>
      <c r="TG1303"/>
      <c r="TH1303"/>
      <c r="TI1303"/>
      <c r="TJ1303"/>
      <c r="TK1303"/>
      <c r="TL1303"/>
      <c r="TM1303"/>
      <c r="TN1303"/>
      <c r="TO1303"/>
      <c r="TP1303"/>
      <c r="TQ1303"/>
      <c r="TR1303"/>
      <c r="TS1303"/>
      <c r="TT1303"/>
      <c r="TU1303"/>
      <c r="TV1303"/>
      <c r="TW1303"/>
      <c r="TX1303"/>
      <c r="TY1303"/>
      <c r="TZ1303"/>
      <c r="UA1303"/>
      <c r="UB1303"/>
      <c r="UC1303"/>
      <c r="UD1303"/>
      <c r="UE1303"/>
      <c r="UF1303"/>
      <c r="UG1303"/>
      <c r="UH1303"/>
      <c r="UI1303"/>
      <c r="UJ1303"/>
      <c r="UK1303"/>
      <c r="UL1303"/>
      <c r="UM1303"/>
      <c r="UN1303"/>
      <c r="UO1303"/>
      <c r="UP1303"/>
      <c r="UQ1303"/>
      <c r="UR1303"/>
      <c r="US1303"/>
      <c r="UT1303"/>
      <c r="UU1303"/>
      <c r="UV1303"/>
      <c r="UW1303"/>
      <c r="UX1303"/>
      <c r="UY1303"/>
      <c r="UZ1303"/>
      <c r="VA1303"/>
      <c r="VB1303"/>
      <c r="VC1303"/>
      <c r="VD1303"/>
      <c r="VE1303"/>
      <c r="VF1303"/>
      <c r="VG1303"/>
      <c r="VH1303"/>
      <c r="VI1303"/>
      <c r="VJ1303"/>
      <c r="VK1303"/>
      <c r="VL1303"/>
      <c r="VM1303"/>
      <c r="VN1303"/>
      <c r="VO1303"/>
      <c r="VP1303"/>
      <c r="VQ1303"/>
      <c r="VR1303"/>
      <c r="VS1303"/>
      <c r="VT1303"/>
      <c r="VU1303"/>
      <c r="VV1303"/>
      <c r="VW1303"/>
      <c r="VX1303"/>
      <c r="VY1303"/>
      <c r="VZ1303"/>
      <c r="WA1303"/>
      <c r="WB1303"/>
      <c r="WC1303"/>
      <c r="WD1303"/>
      <c r="WE1303"/>
      <c r="WF1303"/>
      <c r="WG1303"/>
      <c r="WH1303"/>
      <c r="WI1303"/>
      <c r="WJ1303"/>
      <c r="WK1303"/>
      <c r="WL1303"/>
      <c r="WM1303"/>
      <c r="WN1303"/>
      <c r="WO1303"/>
      <c r="WP1303"/>
      <c r="WQ1303"/>
      <c r="WR1303"/>
      <c r="WS1303"/>
      <c r="WT1303"/>
      <c r="WU1303"/>
      <c r="WV1303"/>
      <c r="WW1303"/>
      <c r="WX1303"/>
      <c r="WY1303"/>
      <c r="WZ1303"/>
      <c r="XA1303"/>
      <c r="XB1303"/>
      <c r="XC1303"/>
      <c r="XD1303"/>
      <c r="XE1303"/>
      <c r="XF1303"/>
      <c r="XG1303"/>
      <c r="XH1303"/>
      <c r="XI1303"/>
      <c r="XJ1303"/>
      <c r="XK1303"/>
      <c r="XL1303"/>
      <c r="XM1303"/>
      <c r="XN1303"/>
      <c r="XO1303"/>
      <c r="XP1303"/>
      <c r="XQ1303"/>
      <c r="XR1303"/>
      <c r="XS1303"/>
      <c r="XT1303"/>
      <c r="XU1303"/>
      <c r="XV1303"/>
      <c r="XW1303"/>
      <c r="XX1303"/>
      <c r="XY1303"/>
      <c r="XZ1303"/>
      <c r="YA1303"/>
      <c r="YB1303"/>
      <c r="YC1303"/>
      <c r="YD1303"/>
      <c r="YE1303"/>
      <c r="YF1303"/>
      <c r="YG1303"/>
      <c r="YH1303"/>
      <c r="YI1303"/>
      <c r="YJ1303"/>
      <c r="YK1303"/>
      <c r="YL1303"/>
      <c r="YM1303"/>
      <c r="YN1303"/>
      <c r="YO1303"/>
      <c r="YP1303"/>
      <c r="YQ1303"/>
      <c r="YR1303"/>
      <c r="YS1303"/>
      <c r="YT1303"/>
      <c r="YU1303"/>
      <c r="YV1303"/>
      <c r="YW1303"/>
      <c r="YX1303"/>
      <c r="YY1303"/>
      <c r="YZ1303"/>
      <c r="ZA1303"/>
      <c r="ZB1303"/>
      <c r="ZC1303"/>
      <c r="ZD1303"/>
      <c r="ZE1303"/>
      <c r="ZF1303"/>
      <c r="ZG1303"/>
      <c r="ZH1303"/>
      <c r="ZI1303"/>
      <c r="ZJ1303"/>
      <c r="ZK1303"/>
      <c r="ZL1303"/>
      <c r="ZM1303"/>
      <c r="ZN1303"/>
      <c r="ZO1303"/>
      <c r="ZP1303"/>
      <c r="ZQ1303"/>
      <c r="ZR1303"/>
      <c r="ZS1303"/>
      <c r="ZT1303"/>
      <c r="ZU1303"/>
      <c r="ZV1303"/>
      <c r="ZW1303"/>
      <c r="ZX1303"/>
      <c r="ZY1303"/>
      <c r="ZZ1303"/>
      <c r="AAA1303"/>
      <c r="AAB1303"/>
      <c r="AAC1303"/>
      <c r="AAD1303"/>
      <c r="AAE1303"/>
      <c r="AAF1303"/>
      <c r="AAG1303"/>
      <c r="AAH1303"/>
      <c r="AAI1303"/>
      <c r="AAJ1303"/>
      <c r="AAK1303"/>
      <c r="AAL1303"/>
      <c r="AAM1303"/>
      <c r="AAN1303"/>
      <c r="AAO1303"/>
      <c r="AAP1303"/>
      <c r="AAQ1303"/>
      <c r="AAR1303"/>
      <c r="AAS1303"/>
      <c r="AAT1303"/>
      <c r="AAU1303"/>
      <c r="AAV1303"/>
      <c r="AAW1303"/>
      <c r="AAX1303"/>
      <c r="AAY1303"/>
      <c r="AAZ1303"/>
      <c r="ABA1303"/>
      <c r="ABB1303"/>
      <c r="ABC1303"/>
      <c r="ABD1303"/>
      <c r="ABE1303"/>
      <c r="ABF1303"/>
      <c r="ABG1303"/>
      <c r="ABH1303"/>
      <c r="ABI1303"/>
      <c r="ABJ1303"/>
      <c r="ABK1303"/>
      <c r="ABL1303"/>
      <c r="ABM1303"/>
      <c r="ABN1303"/>
      <c r="ABO1303"/>
      <c r="ABP1303"/>
      <c r="ABQ1303"/>
      <c r="ABR1303"/>
      <c r="ABS1303"/>
      <c r="ABT1303"/>
      <c r="ABU1303"/>
      <c r="ABV1303"/>
      <c r="ABW1303"/>
      <c r="ABX1303"/>
      <c r="ABY1303"/>
      <c r="ABZ1303"/>
      <c r="ACA1303"/>
      <c r="ACB1303"/>
      <c r="ACC1303"/>
      <c r="ACD1303"/>
      <c r="ACE1303"/>
      <c r="ACF1303"/>
      <c r="ACG1303"/>
      <c r="ACH1303"/>
      <c r="ACI1303"/>
      <c r="ACJ1303"/>
      <c r="ACK1303"/>
      <c r="ACL1303"/>
      <c r="ACM1303"/>
      <c r="ACN1303"/>
      <c r="ACO1303"/>
      <c r="ACP1303"/>
      <c r="ACQ1303"/>
      <c r="ACR1303"/>
      <c r="ACS1303"/>
      <c r="ACT1303"/>
      <c r="ACU1303"/>
      <c r="ACV1303"/>
      <c r="ACW1303"/>
      <c r="ACX1303"/>
      <c r="ACY1303"/>
      <c r="ACZ1303"/>
      <c r="ADA1303"/>
      <c r="ADB1303"/>
      <c r="ADC1303"/>
      <c r="ADD1303"/>
      <c r="ADE1303"/>
      <c r="ADF1303"/>
      <c r="ADG1303"/>
      <c r="ADH1303"/>
      <c r="ADI1303"/>
      <c r="ADJ1303"/>
      <c r="ADK1303"/>
      <c r="ADL1303"/>
      <c r="ADM1303"/>
      <c r="ADN1303"/>
      <c r="ADO1303"/>
      <c r="ADP1303"/>
      <c r="ADQ1303"/>
      <c r="ADR1303"/>
      <c r="ADS1303"/>
      <c r="ADT1303"/>
      <c r="ADU1303"/>
      <c r="ADV1303"/>
      <c r="ADW1303"/>
      <c r="ADX1303"/>
      <c r="ADY1303"/>
      <c r="ADZ1303"/>
      <c r="AEA1303"/>
      <c r="AEB1303"/>
      <c r="AEC1303"/>
      <c r="AED1303"/>
      <c r="AEE1303"/>
      <c r="AEF1303"/>
      <c r="AEG1303"/>
      <c r="AEH1303"/>
      <c r="AEI1303"/>
      <c r="AEJ1303"/>
      <c r="AEK1303"/>
      <c r="AEL1303"/>
      <c r="AEM1303"/>
      <c r="AEN1303"/>
      <c r="AEO1303"/>
      <c r="AEP1303"/>
      <c r="AEQ1303"/>
      <c r="AER1303"/>
      <c r="AES1303"/>
      <c r="AET1303"/>
      <c r="AEU1303"/>
      <c r="AEV1303"/>
      <c r="AEW1303"/>
      <c r="AEX1303"/>
      <c r="AEY1303"/>
      <c r="AEZ1303"/>
      <c r="AFA1303"/>
      <c r="AFB1303"/>
      <c r="AFC1303"/>
      <c r="AFD1303"/>
      <c r="AFE1303"/>
      <c r="AFF1303"/>
      <c r="AFG1303"/>
      <c r="AFH1303"/>
      <c r="AFI1303"/>
      <c r="AFJ1303"/>
      <c r="AFK1303"/>
      <c r="AFL1303"/>
      <c r="AFM1303"/>
      <c r="AFN1303"/>
      <c r="AFO1303"/>
      <c r="AFP1303"/>
      <c r="AFQ1303"/>
      <c r="AFR1303"/>
      <c r="AFS1303"/>
      <c r="AFT1303"/>
      <c r="AFU1303"/>
      <c r="AFV1303"/>
      <c r="AFW1303"/>
      <c r="AFX1303"/>
      <c r="AFY1303"/>
      <c r="AFZ1303"/>
      <c r="AGA1303"/>
      <c r="AGB1303"/>
      <c r="AGC1303"/>
      <c r="AGD1303"/>
      <c r="AGE1303"/>
      <c r="AGF1303"/>
      <c r="AGG1303"/>
      <c r="AGH1303"/>
      <c r="AGI1303"/>
      <c r="AGJ1303"/>
      <c r="AGK1303"/>
      <c r="AGL1303"/>
      <c r="AGM1303"/>
      <c r="AGN1303"/>
      <c r="AGO1303"/>
      <c r="AGP1303"/>
      <c r="AGQ1303"/>
      <c r="AGR1303"/>
      <c r="AGS1303"/>
      <c r="AGT1303"/>
      <c r="AGU1303"/>
      <c r="AGV1303"/>
      <c r="AGW1303"/>
      <c r="AGX1303"/>
      <c r="AGY1303"/>
      <c r="AGZ1303"/>
      <c r="AHA1303"/>
      <c r="AHB1303"/>
      <c r="AHC1303"/>
      <c r="AHD1303"/>
      <c r="AHE1303"/>
      <c r="AHF1303"/>
      <c r="AHG1303"/>
      <c r="AHH1303"/>
      <c r="AHI1303"/>
      <c r="AHJ1303"/>
      <c r="AHK1303"/>
      <c r="AHL1303"/>
      <c r="AHM1303"/>
      <c r="AHN1303"/>
      <c r="AHO1303"/>
      <c r="AHP1303"/>
      <c r="AHQ1303"/>
      <c r="AHR1303"/>
      <c r="AHS1303"/>
      <c r="AHT1303"/>
      <c r="AHU1303"/>
      <c r="AHV1303"/>
      <c r="AHW1303"/>
      <c r="AHX1303"/>
      <c r="AHY1303"/>
      <c r="AHZ1303"/>
      <c r="AIA1303"/>
      <c r="AIB1303"/>
      <c r="AIC1303"/>
      <c r="AID1303"/>
      <c r="AIE1303"/>
      <c r="AIF1303"/>
      <c r="AIG1303"/>
      <c r="AIH1303"/>
      <c r="AII1303"/>
      <c r="AIJ1303"/>
      <c r="AIK1303"/>
      <c r="AIL1303"/>
      <c r="AIM1303"/>
      <c r="AIN1303"/>
      <c r="AIO1303"/>
      <c r="AIP1303"/>
      <c r="AIQ1303"/>
      <c r="AIR1303"/>
      <c r="AIS1303"/>
      <c r="AIT1303"/>
      <c r="AIU1303"/>
      <c r="AIV1303"/>
      <c r="AIW1303"/>
      <c r="AIX1303"/>
      <c r="AIY1303"/>
      <c r="AIZ1303"/>
      <c r="AJA1303"/>
      <c r="AJB1303"/>
      <c r="AJC1303"/>
      <c r="AJD1303"/>
      <c r="AJE1303"/>
      <c r="AJF1303"/>
      <c r="AJG1303"/>
      <c r="AJH1303"/>
      <c r="AJI1303"/>
      <c r="AJJ1303"/>
      <c r="AJK1303"/>
      <c r="AJL1303"/>
      <c r="AJM1303"/>
      <c r="AJN1303"/>
      <c r="AJO1303"/>
      <c r="AJP1303"/>
      <c r="AJQ1303"/>
      <c r="AJR1303"/>
      <c r="AJS1303"/>
      <c r="AJT1303"/>
      <c r="AJU1303"/>
      <c r="AJV1303"/>
      <c r="AJW1303"/>
      <c r="AJX1303"/>
      <c r="AJY1303"/>
      <c r="AJZ1303"/>
      <c r="AKA1303"/>
      <c r="AKB1303"/>
      <c r="AKC1303"/>
      <c r="AKD1303"/>
      <c r="AKE1303"/>
      <c r="AKF1303"/>
      <c r="AKG1303"/>
      <c r="AKH1303"/>
      <c r="AKI1303"/>
      <c r="AKJ1303"/>
      <c r="AKK1303"/>
      <c r="AKL1303"/>
      <c r="AKM1303"/>
      <c r="AKN1303"/>
      <c r="AKO1303"/>
      <c r="AKP1303"/>
      <c r="AKQ1303"/>
      <c r="AKR1303"/>
      <c r="AKS1303"/>
      <c r="AKT1303"/>
      <c r="AKU1303"/>
      <c r="AKV1303"/>
      <c r="AKW1303"/>
      <c r="AKX1303"/>
      <c r="AKY1303"/>
      <c r="AKZ1303"/>
      <c r="ALA1303"/>
      <c r="ALB1303"/>
      <c r="ALC1303"/>
      <c r="ALD1303"/>
      <c r="ALE1303"/>
      <c r="ALF1303"/>
      <c r="ALG1303"/>
      <c r="ALH1303"/>
      <c r="ALI1303"/>
      <c r="ALJ1303"/>
      <c r="ALK1303"/>
      <c r="ALL1303"/>
      <c r="ALM1303"/>
      <c r="ALN1303"/>
      <c r="ALO1303"/>
      <c r="ALP1303"/>
      <c r="ALQ1303"/>
      <c r="ALR1303"/>
      <c r="ALS1303"/>
      <c r="ALT1303"/>
    </row>
    <row r="1304" spans="1:1008" x14ac:dyDescent="0.15">
      <c r="A1304" t="s">
        <v>4009</v>
      </c>
      <c r="B1304" s="8" t="s">
        <v>4082</v>
      </c>
      <c r="C1304" t="s">
        <v>4009</v>
      </c>
      <c r="D1304" s="8" t="s">
        <v>15</v>
      </c>
      <c r="E1304" t="s">
        <v>4009</v>
      </c>
      <c r="F1304" t="s">
        <v>4010</v>
      </c>
      <c r="G1304">
        <v>750</v>
      </c>
      <c r="H1304"/>
      <c r="I1304"/>
      <c r="J1304"/>
      <c r="K1304"/>
      <c r="L1304"/>
      <c r="M1304"/>
      <c r="N1304"/>
      <c r="O1304"/>
      <c r="P1304"/>
      <c r="Q1304"/>
      <c r="R1304"/>
      <c r="S1304"/>
      <c r="T1304"/>
      <c r="U1304"/>
      <c r="V1304"/>
      <c r="W1304"/>
      <c r="X1304"/>
      <c r="Y1304"/>
      <c r="Z1304"/>
      <c r="AA1304"/>
      <c r="AB1304"/>
      <c r="AC1304"/>
      <c r="AD1304"/>
      <c r="AE1304"/>
      <c r="AF1304"/>
      <c r="AG1304"/>
      <c r="AH1304"/>
      <c r="AI1304"/>
      <c r="AJ1304"/>
      <c r="AK1304"/>
      <c r="AL1304"/>
      <c r="AM1304"/>
      <c r="AN1304"/>
      <c r="AO1304"/>
      <c r="AP1304"/>
      <c r="AQ1304"/>
      <c r="AR1304"/>
      <c r="AS1304"/>
      <c r="AT1304"/>
      <c r="AU1304"/>
      <c r="AV1304"/>
      <c r="AW1304"/>
      <c r="AX1304"/>
      <c r="AY1304"/>
      <c r="AZ1304"/>
      <c r="BA1304"/>
      <c r="BB1304"/>
      <c r="BC1304"/>
      <c r="BD1304"/>
      <c r="BE1304"/>
      <c r="BF1304"/>
      <c r="BG1304"/>
      <c r="BH1304"/>
      <c r="BI1304"/>
      <c r="BJ1304"/>
      <c r="BK1304"/>
      <c r="BL1304"/>
      <c r="BM1304"/>
      <c r="BN1304"/>
      <c r="BO1304"/>
      <c r="BP1304"/>
      <c r="BQ1304"/>
      <c r="BR1304"/>
      <c r="BS1304"/>
      <c r="BT1304"/>
      <c r="BU1304"/>
      <c r="BV1304"/>
      <c r="BW1304"/>
      <c r="BX1304"/>
      <c r="BY1304"/>
      <c r="BZ1304"/>
      <c r="CA1304"/>
      <c r="CB1304"/>
      <c r="CC1304"/>
      <c r="CD1304"/>
      <c r="CE1304"/>
      <c r="CF1304"/>
      <c r="CG1304"/>
      <c r="CH1304"/>
      <c r="CI1304"/>
      <c r="CJ1304"/>
      <c r="CK1304"/>
      <c r="CL1304"/>
      <c r="CM1304"/>
      <c r="CN1304"/>
      <c r="CO1304"/>
      <c r="CP1304"/>
      <c r="CQ1304"/>
      <c r="CR1304"/>
      <c r="CS1304"/>
      <c r="CT1304"/>
      <c r="CU1304"/>
      <c r="CV1304"/>
      <c r="CW1304"/>
      <c r="CX1304"/>
      <c r="CY1304"/>
      <c r="CZ1304"/>
      <c r="DA1304"/>
      <c r="DB1304"/>
      <c r="DC1304"/>
      <c r="DD1304"/>
      <c r="DE1304"/>
      <c r="DF1304"/>
      <c r="DG1304"/>
      <c r="DH1304"/>
      <c r="DI1304"/>
      <c r="DJ1304"/>
      <c r="DK1304"/>
      <c r="DL1304"/>
      <c r="DM1304"/>
      <c r="DN1304"/>
      <c r="DO1304"/>
      <c r="DP1304"/>
      <c r="DQ1304"/>
      <c r="DR1304"/>
      <c r="DS1304"/>
      <c r="DT1304"/>
      <c r="DU1304"/>
      <c r="DV1304"/>
      <c r="DW1304"/>
      <c r="DX1304"/>
      <c r="DY1304"/>
      <c r="DZ1304"/>
      <c r="EA1304"/>
      <c r="EB1304"/>
      <c r="EC1304"/>
      <c r="ED1304"/>
      <c r="EE1304"/>
      <c r="EF1304"/>
      <c r="EG1304"/>
      <c r="EH1304"/>
      <c r="EI1304"/>
      <c r="EJ1304"/>
      <c r="EK1304"/>
      <c r="EL1304"/>
      <c r="EM1304"/>
      <c r="EN1304"/>
      <c r="EO1304"/>
      <c r="EP1304"/>
      <c r="EQ1304"/>
      <c r="ER1304"/>
      <c r="ES1304"/>
      <c r="ET1304"/>
      <c r="EU1304"/>
      <c r="EV1304"/>
      <c r="EW1304"/>
      <c r="EX1304"/>
      <c r="EY1304"/>
      <c r="EZ1304"/>
      <c r="FA1304"/>
      <c r="FB1304"/>
      <c r="FC1304"/>
      <c r="FD1304"/>
      <c r="FE1304"/>
      <c r="FF1304"/>
      <c r="FG1304"/>
      <c r="FH1304"/>
      <c r="FI1304"/>
      <c r="FJ1304"/>
      <c r="FK1304"/>
      <c r="FL1304"/>
      <c r="FM1304"/>
      <c r="FN1304"/>
      <c r="FO1304"/>
      <c r="FP1304"/>
      <c r="FQ1304"/>
      <c r="FR1304"/>
      <c r="FS1304"/>
      <c r="FT1304"/>
      <c r="FU1304"/>
      <c r="FV1304"/>
      <c r="FW1304"/>
      <c r="FX1304"/>
      <c r="FY1304"/>
      <c r="FZ1304"/>
      <c r="GA1304"/>
      <c r="GB1304"/>
      <c r="GC1304"/>
      <c r="GD1304"/>
      <c r="GE1304"/>
      <c r="GF1304"/>
      <c r="GG1304"/>
      <c r="GH1304"/>
      <c r="GI1304"/>
      <c r="GJ1304"/>
      <c r="GK1304"/>
      <c r="GL1304"/>
      <c r="GM1304"/>
      <c r="GN1304"/>
      <c r="GO1304"/>
      <c r="GP1304"/>
      <c r="GQ1304"/>
      <c r="GR1304"/>
      <c r="GS1304"/>
      <c r="GT1304"/>
      <c r="GU1304"/>
      <c r="GV1304"/>
      <c r="GW1304"/>
      <c r="GX1304"/>
      <c r="GY1304"/>
      <c r="GZ1304"/>
      <c r="HA1304"/>
      <c r="HB1304"/>
      <c r="HC1304"/>
      <c r="HD1304"/>
      <c r="HE1304"/>
      <c r="HF1304"/>
      <c r="HG1304"/>
      <c r="HH1304"/>
      <c r="HI1304"/>
      <c r="HJ1304"/>
      <c r="HK1304"/>
      <c r="HL1304"/>
      <c r="HM1304"/>
      <c r="HN1304"/>
      <c r="HO1304"/>
      <c r="HP1304"/>
      <c r="HQ1304"/>
      <c r="HR1304"/>
      <c r="HS1304"/>
      <c r="HT1304"/>
      <c r="HU1304"/>
      <c r="HV1304"/>
      <c r="HW1304"/>
      <c r="HX1304"/>
      <c r="HY1304"/>
      <c r="HZ1304"/>
      <c r="IA1304"/>
      <c r="IB1304"/>
      <c r="IC1304"/>
      <c r="ID1304"/>
      <c r="IE1304"/>
      <c r="IF1304"/>
      <c r="IG1304"/>
      <c r="IH1304"/>
      <c r="II1304"/>
      <c r="IJ1304"/>
      <c r="IK1304"/>
      <c r="IL1304"/>
      <c r="IM1304"/>
      <c r="IN1304"/>
      <c r="IO1304"/>
      <c r="IP1304"/>
      <c r="IQ1304"/>
      <c r="IR1304"/>
      <c r="IS1304"/>
      <c r="IT1304"/>
      <c r="IU1304"/>
      <c r="IV1304"/>
      <c r="IW1304"/>
      <c r="IX1304"/>
      <c r="IY1304"/>
      <c r="IZ1304"/>
      <c r="JA1304"/>
      <c r="JB1304"/>
      <c r="JC1304"/>
      <c r="JD1304"/>
      <c r="JE1304"/>
      <c r="JF1304"/>
      <c r="JG1304"/>
      <c r="JH1304"/>
      <c r="JI1304"/>
      <c r="JJ1304"/>
      <c r="JK1304"/>
      <c r="JL1304"/>
      <c r="JM1304"/>
      <c r="JN1304"/>
      <c r="JO1304"/>
      <c r="JP1304"/>
      <c r="JQ1304"/>
      <c r="JR1304"/>
      <c r="JS1304"/>
      <c r="JT1304"/>
      <c r="JU1304"/>
      <c r="JV1304"/>
      <c r="JW1304"/>
      <c r="JX1304"/>
      <c r="JY1304"/>
      <c r="JZ1304"/>
      <c r="KA1304"/>
      <c r="KB1304"/>
      <c r="KC1304"/>
      <c r="KD1304"/>
      <c r="KE1304"/>
      <c r="KF1304"/>
      <c r="KG1304"/>
      <c r="KH1304"/>
      <c r="KI1304"/>
      <c r="KJ1304"/>
      <c r="KK1304"/>
      <c r="KL1304"/>
      <c r="KM1304"/>
      <c r="KN1304"/>
      <c r="KO1304"/>
      <c r="KP1304"/>
      <c r="KQ1304"/>
      <c r="KR1304"/>
      <c r="KS1304"/>
      <c r="KT1304"/>
      <c r="KU1304"/>
      <c r="KV1304"/>
      <c r="KW1304"/>
      <c r="KX1304"/>
      <c r="KY1304"/>
      <c r="KZ1304"/>
      <c r="LA1304"/>
      <c r="LB1304"/>
      <c r="LC1304"/>
      <c r="LD1304"/>
      <c r="LE1304"/>
      <c r="LF1304"/>
      <c r="LG1304"/>
      <c r="LH1304"/>
      <c r="LI1304"/>
      <c r="LJ1304"/>
      <c r="LK1304"/>
      <c r="LL1304"/>
      <c r="LM1304"/>
      <c r="LN1304"/>
      <c r="LO1304"/>
      <c r="LP1304"/>
      <c r="LQ1304"/>
      <c r="LR1304"/>
      <c r="LS1304"/>
      <c r="LT1304"/>
      <c r="LU1304"/>
      <c r="LV1304"/>
      <c r="LW1304"/>
      <c r="LX1304"/>
      <c r="LY1304"/>
      <c r="LZ1304"/>
      <c r="MA1304"/>
      <c r="MB1304"/>
      <c r="MC1304"/>
      <c r="MD1304"/>
      <c r="ME1304"/>
      <c r="MF1304"/>
      <c r="MG1304"/>
      <c r="MH1304"/>
      <c r="MI1304"/>
      <c r="MJ1304"/>
      <c r="MK1304"/>
      <c r="ML1304"/>
      <c r="MM1304"/>
      <c r="MN1304"/>
      <c r="MO1304"/>
      <c r="MP1304"/>
      <c r="MQ1304"/>
      <c r="MR1304"/>
      <c r="MS1304"/>
      <c r="MT1304"/>
      <c r="MU1304"/>
      <c r="MV1304"/>
      <c r="MW1304"/>
      <c r="MX1304"/>
      <c r="MY1304"/>
      <c r="MZ1304"/>
      <c r="NA1304"/>
      <c r="NB1304"/>
      <c r="NC1304"/>
      <c r="ND1304"/>
      <c r="NE1304"/>
      <c r="NF1304"/>
      <c r="NG1304"/>
      <c r="NH1304"/>
      <c r="NI1304"/>
      <c r="NJ1304"/>
      <c r="NK1304"/>
      <c r="NL1304"/>
      <c r="NM1304"/>
      <c r="NN1304"/>
      <c r="NO1304"/>
      <c r="NP1304"/>
      <c r="NQ1304"/>
      <c r="NR1304"/>
      <c r="NS1304"/>
      <c r="NT1304"/>
      <c r="NU1304"/>
      <c r="NV1304"/>
      <c r="NW1304"/>
      <c r="NX1304"/>
      <c r="NY1304"/>
      <c r="NZ1304"/>
      <c r="OA1304"/>
      <c r="OB1304"/>
      <c r="OC1304"/>
      <c r="OD1304"/>
      <c r="OE1304"/>
      <c r="OF1304"/>
      <c r="OG1304"/>
      <c r="OH1304"/>
      <c r="OI1304"/>
      <c r="OJ1304"/>
      <c r="OK1304"/>
      <c r="OL1304"/>
      <c r="OM1304"/>
      <c r="ON1304"/>
      <c r="OO1304"/>
      <c r="OP1304"/>
      <c r="OQ1304"/>
      <c r="OR1304"/>
      <c r="OS1304"/>
      <c r="OT1304"/>
      <c r="OU1304"/>
      <c r="OV1304"/>
      <c r="OW1304"/>
      <c r="OX1304"/>
      <c r="OY1304"/>
      <c r="OZ1304"/>
      <c r="PA1304"/>
      <c r="PB1304"/>
      <c r="PC1304"/>
      <c r="PD1304"/>
      <c r="PE1304"/>
      <c r="PF1304"/>
      <c r="PG1304"/>
      <c r="PH1304"/>
      <c r="PI1304"/>
      <c r="PJ1304"/>
      <c r="PK1304"/>
      <c r="PL1304"/>
      <c r="PM1304"/>
      <c r="PN1304"/>
      <c r="PO1304"/>
      <c r="PP1304"/>
      <c r="PQ1304"/>
      <c r="PR1304"/>
      <c r="PS1304"/>
      <c r="PT1304"/>
      <c r="PU1304"/>
      <c r="PV1304"/>
      <c r="PW1304"/>
      <c r="PX1304"/>
      <c r="PY1304"/>
      <c r="PZ1304"/>
      <c r="QA1304"/>
      <c r="QB1304"/>
      <c r="QC1304"/>
      <c r="QD1304"/>
      <c r="QE1304"/>
      <c r="QF1304"/>
      <c r="QG1304"/>
      <c r="QH1304"/>
      <c r="QI1304"/>
      <c r="QJ1304"/>
      <c r="QK1304"/>
      <c r="QL1304"/>
      <c r="QM1304"/>
      <c r="QN1304"/>
      <c r="QO1304"/>
      <c r="QP1304"/>
      <c r="QQ1304"/>
      <c r="QR1304"/>
      <c r="QS1304"/>
      <c r="QT1304"/>
      <c r="QU1304"/>
      <c r="QV1304"/>
      <c r="QW1304"/>
      <c r="QX1304"/>
      <c r="QY1304"/>
      <c r="QZ1304"/>
      <c r="RA1304"/>
      <c r="RB1304"/>
      <c r="RC1304"/>
      <c r="RD1304"/>
      <c r="RE1304"/>
      <c r="RF1304"/>
      <c r="RG1304"/>
      <c r="RH1304"/>
      <c r="RI1304"/>
      <c r="RJ1304"/>
      <c r="RK1304"/>
      <c r="RL1304"/>
      <c r="RM1304"/>
      <c r="RN1304"/>
      <c r="RO1304"/>
      <c r="RP1304"/>
      <c r="RQ1304"/>
      <c r="RR1304"/>
      <c r="RS1304"/>
      <c r="RT1304"/>
      <c r="RU1304"/>
      <c r="RV1304"/>
      <c r="RW1304"/>
      <c r="RX1304"/>
      <c r="RY1304"/>
      <c r="RZ1304"/>
      <c r="SA1304"/>
      <c r="SB1304"/>
      <c r="SC1304"/>
      <c r="SD1304"/>
      <c r="SE1304"/>
      <c r="SF1304"/>
      <c r="SG1304"/>
      <c r="SH1304"/>
      <c r="SI1304"/>
      <c r="SJ1304"/>
      <c r="SK1304"/>
      <c r="SL1304"/>
      <c r="SM1304"/>
      <c r="SN1304"/>
      <c r="SO1304"/>
      <c r="SP1304"/>
      <c r="SQ1304"/>
      <c r="SR1304"/>
      <c r="SS1304"/>
      <c r="ST1304"/>
      <c r="SU1304"/>
      <c r="SV1304"/>
      <c r="SW1304"/>
      <c r="SX1304"/>
      <c r="SY1304"/>
      <c r="SZ1304"/>
      <c r="TA1304"/>
      <c r="TB1304"/>
      <c r="TC1304"/>
      <c r="TD1304"/>
      <c r="TE1304"/>
      <c r="TF1304"/>
      <c r="TG1304"/>
      <c r="TH1304"/>
      <c r="TI1304"/>
      <c r="TJ1304"/>
      <c r="TK1304"/>
      <c r="TL1304"/>
      <c r="TM1304"/>
      <c r="TN1304"/>
      <c r="TO1304"/>
      <c r="TP1304"/>
      <c r="TQ1304"/>
      <c r="TR1304"/>
      <c r="TS1304"/>
      <c r="TT1304"/>
      <c r="TU1304"/>
      <c r="TV1304"/>
      <c r="TW1304"/>
      <c r="TX1304"/>
      <c r="TY1304"/>
      <c r="TZ1304"/>
      <c r="UA1304"/>
      <c r="UB1304"/>
      <c r="UC1304"/>
      <c r="UD1304"/>
      <c r="UE1304"/>
      <c r="UF1304"/>
      <c r="UG1304"/>
      <c r="UH1304"/>
      <c r="UI1304"/>
      <c r="UJ1304"/>
      <c r="UK1304"/>
      <c r="UL1304"/>
      <c r="UM1304"/>
      <c r="UN1304"/>
      <c r="UO1304"/>
      <c r="UP1304"/>
      <c r="UQ1304"/>
      <c r="UR1304"/>
      <c r="US1304"/>
      <c r="UT1304"/>
      <c r="UU1304"/>
      <c r="UV1304"/>
      <c r="UW1304"/>
      <c r="UX1304"/>
      <c r="UY1304"/>
      <c r="UZ1304"/>
      <c r="VA1304"/>
      <c r="VB1304"/>
      <c r="VC1304"/>
      <c r="VD1304"/>
      <c r="VE1304"/>
      <c r="VF1304"/>
      <c r="VG1304"/>
      <c r="VH1304"/>
      <c r="VI1304"/>
      <c r="VJ1304"/>
      <c r="VK1304"/>
      <c r="VL1304"/>
      <c r="VM1304"/>
      <c r="VN1304"/>
      <c r="VO1304"/>
      <c r="VP1304"/>
      <c r="VQ1304"/>
      <c r="VR1304"/>
      <c r="VS1304"/>
      <c r="VT1304"/>
      <c r="VU1304"/>
      <c r="VV1304"/>
      <c r="VW1304"/>
      <c r="VX1304"/>
      <c r="VY1304"/>
      <c r="VZ1304"/>
      <c r="WA1304"/>
      <c r="WB1304"/>
      <c r="WC1304"/>
      <c r="WD1304"/>
      <c r="WE1304"/>
      <c r="WF1304"/>
      <c r="WG1304"/>
      <c r="WH1304"/>
      <c r="WI1304"/>
      <c r="WJ1304"/>
      <c r="WK1304"/>
      <c r="WL1304"/>
      <c r="WM1304"/>
      <c r="WN1304"/>
      <c r="WO1304"/>
      <c r="WP1304"/>
      <c r="WQ1304"/>
      <c r="WR1304"/>
      <c r="WS1304"/>
      <c r="WT1304"/>
      <c r="WU1304"/>
      <c r="WV1304"/>
      <c r="WW1304"/>
      <c r="WX1304"/>
      <c r="WY1304"/>
      <c r="WZ1304"/>
      <c r="XA1304"/>
      <c r="XB1304"/>
      <c r="XC1304"/>
      <c r="XD1304"/>
      <c r="XE1304"/>
      <c r="XF1304"/>
      <c r="XG1304"/>
      <c r="XH1304"/>
      <c r="XI1304"/>
      <c r="XJ1304"/>
      <c r="XK1304"/>
      <c r="XL1304"/>
      <c r="XM1304"/>
      <c r="XN1304"/>
      <c r="XO1304"/>
      <c r="XP1304"/>
      <c r="XQ1304"/>
      <c r="XR1304"/>
      <c r="XS1304"/>
      <c r="XT1304"/>
      <c r="XU1304"/>
      <c r="XV1304"/>
      <c r="XW1304"/>
      <c r="XX1304"/>
      <c r="XY1304"/>
      <c r="XZ1304"/>
      <c r="YA1304"/>
      <c r="YB1304"/>
      <c r="YC1304"/>
      <c r="YD1304"/>
      <c r="YE1304"/>
      <c r="YF1304"/>
      <c r="YG1304"/>
      <c r="YH1304"/>
      <c r="YI1304"/>
      <c r="YJ1304"/>
      <c r="YK1304"/>
      <c r="YL1304"/>
      <c r="YM1304"/>
      <c r="YN1304"/>
      <c r="YO1304"/>
      <c r="YP1304"/>
      <c r="YQ1304"/>
      <c r="YR1304"/>
      <c r="YS1304"/>
      <c r="YT1304"/>
      <c r="YU1304"/>
      <c r="YV1304"/>
      <c r="YW1304"/>
      <c r="YX1304"/>
      <c r="YY1304"/>
      <c r="YZ1304"/>
      <c r="ZA1304"/>
      <c r="ZB1304"/>
      <c r="ZC1304"/>
      <c r="ZD1304"/>
      <c r="ZE1304"/>
      <c r="ZF1304"/>
      <c r="ZG1304"/>
      <c r="ZH1304"/>
      <c r="ZI1304"/>
      <c r="ZJ1304"/>
      <c r="ZK1304"/>
      <c r="ZL1304"/>
      <c r="ZM1304"/>
      <c r="ZN1304"/>
      <c r="ZO1304"/>
      <c r="ZP1304"/>
      <c r="ZQ1304"/>
      <c r="ZR1304"/>
      <c r="ZS1304"/>
      <c r="ZT1304"/>
      <c r="ZU1304"/>
      <c r="ZV1304"/>
      <c r="ZW1304"/>
      <c r="ZX1304"/>
      <c r="ZY1304"/>
      <c r="ZZ1304"/>
      <c r="AAA1304"/>
      <c r="AAB1304"/>
      <c r="AAC1304"/>
      <c r="AAD1304"/>
      <c r="AAE1304"/>
      <c r="AAF1304"/>
      <c r="AAG1304"/>
      <c r="AAH1304"/>
      <c r="AAI1304"/>
      <c r="AAJ1304"/>
      <c r="AAK1304"/>
      <c r="AAL1304"/>
      <c r="AAM1304"/>
      <c r="AAN1304"/>
      <c r="AAO1304"/>
      <c r="AAP1304"/>
      <c r="AAQ1304"/>
      <c r="AAR1304"/>
      <c r="AAS1304"/>
      <c r="AAT1304"/>
      <c r="AAU1304"/>
      <c r="AAV1304"/>
      <c r="AAW1304"/>
      <c r="AAX1304"/>
      <c r="AAY1304"/>
      <c r="AAZ1304"/>
      <c r="ABA1304"/>
      <c r="ABB1304"/>
      <c r="ABC1304"/>
      <c r="ABD1304"/>
      <c r="ABE1304"/>
      <c r="ABF1304"/>
      <c r="ABG1304"/>
      <c r="ABH1304"/>
      <c r="ABI1304"/>
      <c r="ABJ1304"/>
      <c r="ABK1304"/>
      <c r="ABL1304"/>
      <c r="ABM1304"/>
      <c r="ABN1304"/>
      <c r="ABO1304"/>
      <c r="ABP1304"/>
      <c r="ABQ1304"/>
      <c r="ABR1304"/>
      <c r="ABS1304"/>
      <c r="ABT1304"/>
      <c r="ABU1304"/>
      <c r="ABV1304"/>
      <c r="ABW1304"/>
      <c r="ABX1304"/>
      <c r="ABY1304"/>
      <c r="ABZ1304"/>
      <c r="ACA1304"/>
      <c r="ACB1304"/>
      <c r="ACC1304"/>
      <c r="ACD1304"/>
      <c r="ACE1304"/>
      <c r="ACF1304"/>
      <c r="ACG1304"/>
      <c r="ACH1304"/>
      <c r="ACI1304"/>
      <c r="ACJ1304"/>
      <c r="ACK1304"/>
      <c r="ACL1304"/>
      <c r="ACM1304"/>
      <c r="ACN1304"/>
      <c r="ACO1304"/>
      <c r="ACP1304"/>
      <c r="ACQ1304"/>
      <c r="ACR1304"/>
      <c r="ACS1304"/>
      <c r="ACT1304"/>
      <c r="ACU1304"/>
      <c r="ACV1304"/>
      <c r="ACW1304"/>
      <c r="ACX1304"/>
      <c r="ACY1304"/>
      <c r="ACZ1304"/>
      <c r="ADA1304"/>
      <c r="ADB1304"/>
      <c r="ADC1304"/>
      <c r="ADD1304"/>
      <c r="ADE1304"/>
      <c r="ADF1304"/>
      <c r="ADG1304"/>
      <c r="ADH1304"/>
      <c r="ADI1304"/>
      <c r="ADJ1304"/>
      <c r="ADK1304"/>
      <c r="ADL1304"/>
      <c r="ADM1304"/>
      <c r="ADN1304"/>
      <c r="ADO1304"/>
      <c r="ADP1304"/>
      <c r="ADQ1304"/>
      <c r="ADR1304"/>
      <c r="ADS1304"/>
      <c r="ADT1304"/>
      <c r="ADU1304"/>
      <c r="ADV1304"/>
      <c r="ADW1304"/>
      <c r="ADX1304"/>
      <c r="ADY1304"/>
      <c r="ADZ1304"/>
      <c r="AEA1304"/>
      <c r="AEB1304"/>
      <c r="AEC1304"/>
      <c r="AED1304"/>
      <c r="AEE1304"/>
      <c r="AEF1304"/>
      <c r="AEG1304"/>
      <c r="AEH1304"/>
      <c r="AEI1304"/>
      <c r="AEJ1304"/>
      <c r="AEK1304"/>
      <c r="AEL1304"/>
      <c r="AEM1304"/>
      <c r="AEN1304"/>
      <c r="AEO1304"/>
      <c r="AEP1304"/>
      <c r="AEQ1304"/>
      <c r="AER1304"/>
      <c r="AES1304"/>
      <c r="AET1304"/>
      <c r="AEU1304"/>
      <c r="AEV1304"/>
      <c r="AEW1304"/>
      <c r="AEX1304"/>
      <c r="AEY1304"/>
      <c r="AEZ1304"/>
      <c r="AFA1304"/>
      <c r="AFB1304"/>
      <c r="AFC1304"/>
      <c r="AFD1304"/>
      <c r="AFE1304"/>
      <c r="AFF1304"/>
      <c r="AFG1304"/>
      <c r="AFH1304"/>
      <c r="AFI1304"/>
      <c r="AFJ1304"/>
      <c r="AFK1304"/>
      <c r="AFL1304"/>
      <c r="AFM1304"/>
      <c r="AFN1304"/>
      <c r="AFO1304"/>
      <c r="AFP1304"/>
      <c r="AFQ1304"/>
      <c r="AFR1304"/>
      <c r="AFS1304"/>
      <c r="AFT1304"/>
      <c r="AFU1304"/>
      <c r="AFV1304"/>
      <c r="AFW1304"/>
      <c r="AFX1304"/>
      <c r="AFY1304"/>
      <c r="AFZ1304"/>
      <c r="AGA1304"/>
      <c r="AGB1304"/>
      <c r="AGC1304"/>
      <c r="AGD1304"/>
      <c r="AGE1304"/>
      <c r="AGF1304"/>
      <c r="AGG1304"/>
      <c r="AGH1304"/>
      <c r="AGI1304"/>
      <c r="AGJ1304"/>
      <c r="AGK1304"/>
      <c r="AGL1304"/>
      <c r="AGM1304"/>
      <c r="AGN1304"/>
      <c r="AGO1304"/>
      <c r="AGP1304"/>
      <c r="AGQ1304"/>
      <c r="AGR1304"/>
      <c r="AGS1304"/>
      <c r="AGT1304"/>
      <c r="AGU1304"/>
      <c r="AGV1304"/>
      <c r="AGW1304"/>
      <c r="AGX1304"/>
      <c r="AGY1304"/>
      <c r="AGZ1304"/>
      <c r="AHA1304"/>
      <c r="AHB1304"/>
      <c r="AHC1304"/>
      <c r="AHD1304"/>
      <c r="AHE1304"/>
      <c r="AHF1304"/>
      <c r="AHG1304"/>
      <c r="AHH1304"/>
      <c r="AHI1304"/>
      <c r="AHJ1304"/>
      <c r="AHK1304"/>
      <c r="AHL1304"/>
      <c r="AHM1304"/>
      <c r="AHN1304"/>
      <c r="AHO1304"/>
      <c r="AHP1304"/>
      <c r="AHQ1304"/>
      <c r="AHR1304"/>
      <c r="AHS1304"/>
      <c r="AHT1304"/>
      <c r="AHU1304"/>
      <c r="AHV1304"/>
      <c r="AHW1304"/>
      <c r="AHX1304"/>
      <c r="AHY1304"/>
      <c r="AHZ1304"/>
      <c r="AIA1304"/>
      <c r="AIB1304"/>
      <c r="AIC1304"/>
      <c r="AID1304"/>
      <c r="AIE1304"/>
      <c r="AIF1304"/>
      <c r="AIG1304"/>
      <c r="AIH1304"/>
      <c r="AII1304"/>
      <c r="AIJ1304"/>
      <c r="AIK1304"/>
      <c r="AIL1304"/>
      <c r="AIM1304"/>
      <c r="AIN1304"/>
      <c r="AIO1304"/>
      <c r="AIP1304"/>
      <c r="AIQ1304"/>
      <c r="AIR1304"/>
      <c r="AIS1304"/>
      <c r="AIT1304"/>
      <c r="AIU1304"/>
      <c r="AIV1304"/>
      <c r="AIW1304"/>
      <c r="AIX1304"/>
      <c r="AIY1304"/>
      <c r="AIZ1304"/>
      <c r="AJA1304"/>
      <c r="AJB1304"/>
      <c r="AJC1304"/>
      <c r="AJD1304"/>
      <c r="AJE1304"/>
      <c r="AJF1304"/>
      <c r="AJG1304"/>
      <c r="AJH1304"/>
      <c r="AJI1304"/>
      <c r="AJJ1304"/>
      <c r="AJK1304"/>
      <c r="AJL1304"/>
      <c r="AJM1304"/>
      <c r="AJN1304"/>
      <c r="AJO1304"/>
      <c r="AJP1304"/>
      <c r="AJQ1304"/>
      <c r="AJR1304"/>
      <c r="AJS1304"/>
      <c r="AJT1304"/>
      <c r="AJU1304"/>
      <c r="AJV1304"/>
      <c r="AJW1304"/>
      <c r="AJX1304"/>
      <c r="AJY1304"/>
      <c r="AJZ1304"/>
      <c r="AKA1304"/>
      <c r="AKB1304"/>
      <c r="AKC1304"/>
      <c r="AKD1304"/>
      <c r="AKE1304"/>
      <c r="AKF1304"/>
      <c r="AKG1304"/>
      <c r="AKH1304"/>
      <c r="AKI1304"/>
      <c r="AKJ1304"/>
      <c r="AKK1304"/>
      <c r="AKL1304"/>
      <c r="AKM1304"/>
      <c r="AKN1304"/>
      <c r="AKO1304"/>
      <c r="AKP1304"/>
      <c r="AKQ1304"/>
      <c r="AKR1304"/>
      <c r="AKS1304"/>
      <c r="AKT1304"/>
      <c r="AKU1304"/>
      <c r="AKV1304"/>
      <c r="AKW1304"/>
      <c r="AKX1304"/>
      <c r="AKY1304"/>
      <c r="AKZ1304"/>
      <c r="ALA1304"/>
      <c r="ALB1304"/>
      <c r="ALC1304"/>
      <c r="ALD1304"/>
      <c r="ALE1304"/>
      <c r="ALF1304"/>
      <c r="ALG1304"/>
      <c r="ALH1304"/>
      <c r="ALI1304"/>
      <c r="ALJ1304"/>
      <c r="ALK1304"/>
      <c r="ALL1304"/>
      <c r="ALM1304"/>
      <c r="ALN1304"/>
      <c r="ALO1304"/>
      <c r="ALP1304"/>
      <c r="ALQ1304"/>
      <c r="ALR1304"/>
      <c r="ALS1304"/>
      <c r="ALT1304"/>
    </row>
    <row r="1305" spans="1:1008" x14ac:dyDescent="0.15">
      <c r="A1305" t="s">
        <v>4011</v>
      </c>
      <c r="B1305" s="8" t="s">
        <v>4082</v>
      </c>
      <c r="C1305" t="s">
        <v>4011</v>
      </c>
      <c r="D1305" s="8" t="s">
        <v>15</v>
      </c>
      <c r="E1305" t="s">
        <v>4011</v>
      </c>
      <c r="F1305" t="s">
        <v>4012</v>
      </c>
      <c r="G1305">
        <v>600</v>
      </c>
      <c r="H1305"/>
      <c r="I1305"/>
      <c r="J1305"/>
      <c r="K1305"/>
      <c r="L1305"/>
      <c r="M1305"/>
      <c r="N1305"/>
      <c r="O1305"/>
      <c r="P1305"/>
      <c r="Q1305"/>
      <c r="R1305"/>
      <c r="S1305"/>
      <c r="T1305"/>
      <c r="U1305"/>
      <c r="V1305"/>
      <c r="W1305"/>
      <c r="X1305"/>
      <c r="Y1305"/>
      <c r="Z1305"/>
      <c r="AA1305"/>
      <c r="AB1305"/>
      <c r="AC1305"/>
      <c r="AD1305"/>
      <c r="AE1305"/>
      <c r="AF1305"/>
      <c r="AG1305"/>
      <c r="AH1305"/>
      <c r="AI1305"/>
      <c r="AJ1305"/>
      <c r="AK1305"/>
      <c r="AL1305"/>
      <c r="AM1305"/>
      <c r="AN1305"/>
      <c r="AO1305"/>
      <c r="AP1305"/>
      <c r="AQ1305"/>
      <c r="AR1305"/>
      <c r="AS1305"/>
      <c r="AT1305"/>
      <c r="AU1305"/>
      <c r="AV1305"/>
      <c r="AW1305"/>
      <c r="AX1305"/>
      <c r="AY1305"/>
      <c r="AZ1305"/>
      <c r="BA1305"/>
      <c r="BB1305"/>
      <c r="BC1305"/>
      <c r="BD1305"/>
      <c r="BE1305"/>
      <c r="BF1305"/>
      <c r="BG1305"/>
      <c r="BH1305"/>
      <c r="BI1305"/>
      <c r="BJ1305"/>
      <c r="BK1305"/>
      <c r="BL1305"/>
      <c r="BM1305"/>
      <c r="BN1305"/>
      <c r="BO1305"/>
      <c r="BP1305"/>
      <c r="BQ1305"/>
      <c r="BR1305"/>
      <c r="BS1305"/>
      <c r="BT1305"/>
      <c r="BU1305"/>
      <c r="BV1305"/>
      <c r="BW1305"/>
      <c r="BX1305"/>
      <c r="BY1305"/>
      <c r="BZ1305"/>
      <c r="CA1305"/>
      <c r="CB1305"/>
      <c r="CC1305"/>
      <c r="CD1305"/>
      <c r="CE1305"/>
      <c r="CF1305"/>
      <c r="CG1305"/>
      <c r="CH1305"/>
      <c r="CI1305"/>
      <c r="CJ1305"/>
      <c r="CK1305"/>
      <c r="CL1305"/>
      <c r="CM1305"/>
      <c r="CN1305"/>
      <c r="CO1305"/>
      <c r="CP1305"/>
      <c r="CQ1305"/>
      <c r="CR1305"/>
      <c r="CS1305"/>
      <c r="CT1305"/>
      <c r="CU1305"/>
      <c r="CV1305"/>
      <c r="CW1305"/>
      <c r="CX1305"/>
      <c r="CY1305"/>
      <c r="CZ1305"/>
      <c r="DA1305"/>
      <c r="DB1305"/>
      <c r="DC1305"/>
      <c r="DD1305"/>
      <c r="DE1305"/>
      <c r="DF1305"/>
      <c r="DG1305"/>
      <c r="DH1305"/>
      <c r="DI1305"/>
      <c r="DJ1305"/>
      <c r="DK1305"/>
      <c r="DL1305"/>
      <c r="DM1305"/>
      <c r="DN1305"/>
      <c r="DO1305"/>
      <c r="DP1305"/>
      <c r="DQ1305"/>
      <c r="DR1305"/>
      <c r="DS1305"/>
      <c r="DT1305"/>
      <c r="DU1305"/>
      <c r="DV1305"/>
      <c r="DW1305"/>
      <c r="DX1305"/>
      <c r="DY1305"/>
      <c r="DZ1305"/>
      <c r="EA1305"/>
      <c r="EB1305"/>
      <c r="EC1305"/>
      <c r="ED1305"/>
      <c r="EE1305"/>
      <c r="EF1305"/>
      <c r="EG1305"/>
      <c r="EH1305"/>
      <c r="EI1305"/>
      <c r="EJ1305"/>
      <c r="EK1305"/>
      <c r="EL1305"/>
      <c r="EM1305"/>
      <c r="EN1305"/>
      <c r="EO1305"/>
      <c r="EP1305"/>
      <c r="EQ1305"/>
      <c r="ER1305"/>
      <c r="ES1305"/>
      <c r="ET1305"/>
      <c r="EU1305"/>
      <c r="EV1305"/>
      <c r="EW1305"/>
      <c r="EX1305"/>
      <c r="EY1305"/>
      <c r="EZ1305"/>
      <c r="FA1305"/>
      <c r="FB1305"/>
      <c r="FC1305"/>
      <c r="FD1305"/>
      <c r="FE1305"/>
      <c r="FF1305"/>
      <c r="FG1305"/>
      <c r="FH1305"/>
      <c r="FI1305"/>
      <c r="FJ1305"/>
      <c r="FK1305"/>
      <c r="FL1305"/>
      <c r="FM1305"/>
      <c r="FN1305"/>
      <c r="FO1305"/>
      <c r="FP1305"/>
      <c r="FQ1305"/>
      <c r="FR1305"/>
      <c r="FS1305"/>
      <c r="FT1305"/>
      <c r="FU1305"/>
      <c r="FV1305"/>
      <c r="FW1305"/>
      <c r="FX1305"/>
      <c r="FY1305"/>
      <c r="FZ1305"/>
      <c r="GA1305"/>
      <c r="GB1305"/>
      <c r="GC1305"/>
      <c r="GD1305"/>
      <c r="GE1305"/>
      <c r="GF1305"/>
      <c r="GG1305"/>
      <c r="GH1305"/>
      <c r="GI1305"/>
      <c r="GJ1305"/>
      <c r="GK1305"/>
      <c r="GL1305"/>
      <c r="GM1305"/>
      <c r="GN1305"/>
      <c r="GO1305"/>
      <c r="GP1305"/>
      <c r="GQ1305"/>
      <c r="GR1305"/>
      <c r="GS1305"/>
      <c r="GT1305"/>
      <c r="GU1305"/>
      <c r="GV1305"/>
      <c r="GW1305"/>
      <c r="GX1305"/>
      <c r="GY1305"/>
      <c r="GZ1305"/>
      <c r="HA1305"/>
      <c r="HB1305"/>
      <c r="HC1305"/>
      <c r="HD1305"/>
      <c r="HE1305"/>
      <c r="HF1305"/>
      <c r="HG1305"/>
      <c r="HH1305"/>
      <c r="HI1305"/>
      <c r="HJ1305"/>
      <c r="HK1305"/>
      <c r="HL1305"/>
      <c r="HM1305"/>
      <c r="HN1305"/>
      <c r="HO1305"/>
      <c r="HP1305"/>
      <c r="HQ1305"/>
      <c r="HR1305"/>
      <c r="HS1305"/>
      <c r="HT1305"/>
      <c r="HU1305"/>
      <c r="HV1305"/>
      <c r="HW1305"/>
      <c r="HX1305"/>
      <c r="HY1305"/>
      <c r="HZ1305"/>
      <c r="IA1305"/>
      <c r="IB1305"/>
      <c r="IC1305"/>
      <c r="ID1305"/>
      <c r="IE1305"/>
      <c r="IF1305"/>
      <c r="IG1305"/>
      <c r="IH1305"/>
      <c r="II1305"/>
      <c r="IJ1305"/>
      <c r="IK1305"/>
      <c r="IL1305"/>
      <c r="IM1305"/>
      <c r="IN1305"/>
      <c r="IO1305"/>
      <c r="IP1305"/>
      <c r="IQ1305"/>
      <c r="IR1305"/>
      <c r="IS1305"/>
      <c r="IT1305"/>
      <c r="IU1305"/>
      <c r="IV1305"/>
      <c r="IW1305"/>
      <c r="IX1305"/>
      <c r="IY1305"/>
      <c r="IZ1305"/>
      <c r="JA1305"/>
      <c r="JB1305"/>
      <c r="JC1305"/>
      <c r="JD1305"/>
      <c r="JE1305"/>
      <c r="JF1305"/>
      <c r="JG1305"/>
      <c r="JH1305"/>
      <c r="JI1305"/>
      <c r="JJ1305"/>
      <c r="JK1305"/>
      <c r="JL1305"/>
      <c r="JM1305"/>
      <c r="JN1305"/>
      <c r="JO1305"/>
      <c r="JP1305"/>
      <c r="JQ1305"/>
      <c r="JR1305"/>
      <c r="JS1305"/>
      <c r="JT1305"/>
      <c r="JU1305"/>
      <c r="JV1305"/>
      <c r="JW1305"/>
      <c r="JX1305"/>
      <c r="JY1305"/>
      <c r="JZ1305"/>
      <c r="KA1305"/>
      <c r="KB1305"/>
      <c r="KC1305"/>
      <c r="KD1305"/>
      <c r="KE1305"/>
      <c r="KF1305"/>
      <c r="KG1305"/>
      <c r="KH1305"/>
      <c r="KI1305"/>
      <c r="KJ1305"/>
      <c r="KK1305"/>
      <c r="KL1305"/>
      <c r="KM1305"/>
      <c r="KN1305"/>
      <c r="KO1305"/>
      <c r="KP1305"/>
      <c r="KQ1305"/>
      <c r="KR1305"/>
      <c r="KS1305"/>
      <c r="KT1305"/>
      <c r="KU1305"/>
      <c r="KV1305"/>
      <c r="KW1305"/>
      <c r="KX1305"/>
      <c r="KY1305"/>
      <c r="KZ1305"/>
      <c r="LA1305"/>
      <c r="LB1305"/>
      <c r="LC1305"/>
      <c r="LD1305"/>
      <c r="LE1305"/>
      <c r="LF1305"/>
      <c r="LG1305"/>
      <c r="LH1305"/>
      <c r="LI1305"/>
      <c r="LJ1305"/>
      <c r="LK1305"/>
      <c r="LL1305"/>
      <c r="LM1305"/>
      <c r="LN1305"/>
      <c r="LO1305"/>
      <c r="LP1305"/>
      <c r="LQ1305"/>
      <c r="LR1305"/>
      <c r="LS1305"/>
      <c r="LT1305"/>
      <c r="LU1305"/>
      <c r="LV1305"/>
      <c r="LW1305"/>
      <c r="LX1305"/>
      <c r="LY1305"/>
      <c r="LZ1305"/>
      <c r="MA1305"/>
      <c r="MB1305"/>
      <c r="MC1305"/>
      <c r="MD1305"/>
      <c r="ME1305"/>
      <c r="MF1305"/>
      <c r="MG1305"/>
      <c r="MH1305"/>
      <c r="MI1305"/>
      <c r="MJ1305"/>
      <c r="MK1305"/>
      <c r="ML1305"/>
      <c r="MM1305"/>
      <c r="MN1305"/>
      <c r="MO1305"/>
      <c r="MP1305"/>
      <c r="MQ1305"/>
      <c r="MR1305"/>
      <c r="MS1305"/>
      <c r="MT1305"/>
      <c r="MU1305"/>
      <c r="MV1305"/>
      <c r="MW1305"/>
      <c r="MX1305"/>
      <c r="MY1305"/>
      <c r="MZ1305"/>
      <c r="NA1305"/>
      <c r="NB1305"/>
      <c r="NC1305"/>
      <c r="ND1305"/>
      <c r="NE1305"/>
      <c r="NF1305"/>
      <c r="NG1305"/>
      <c r="NH1305"/>
      <c r="NI1305"/>
      <c r="NJ1305"/>
      <c r="NK1305"/>
      <c r="NL1305"/>
      <c r="NM1305"/>
      <c r="NN1305"/>
      <c r="NO1305"/>
      <c r="NP1305"/>
      <c r="NQ1305"/>
      <c r="NR1305"/>
      <c r="NS1305"/>
      <c r="NT1305"/>
      <c r="NU1305"/>
      <c r="NV1305"/>
      <c r="NW1305"/>
      <c r="NX1305"/>
      <c r="NY1305"/>
      <c r="NZ1305"/>
      <c r="OA1305"/>
      <c r="OB1305"/>
      <c r="OC1305"/>
      <c r="OD1305"/>
      <c r="OE1305"/>
      <c r="OF1305"/>
      <c r="OG1305"/>
      <c r="OH1305"/>
      <c r="OI1305"/>
      <c r="OJ1305"/>
      <c r="OK1305"/>
      <c r="OL1305"/>
      <c r="OM1305"/>
      <c r="ON1305"/>
      <c r="OO1305"/>
      <c r="OP1305"/>
      <c r="OQ1305"/>
      <c r="OR1305"/>
      <c r="OS1305"/>
      <c r="OT1305"/>
      <c r="OU1305"/>
      <c r="OV1305"/>
      <c r="OW1305"/>
      <c r="OX1305"/>
      <c r="OY1305"/>
      <c r="OZ1305"/>
      <c r="PA1305"/>
      <c r="PB1305"/>
      <c r="PC1305"/>
      <c r="PD1305"/>
      <c r="PE1305"/>
      <c r="PF1305"/>
      <c r="PG1305"/>
      <c r="PH1305"/>
      <c r="PI1305"/>
      <c r="PJ1305"/>
      <c r="PK1305"/>
      <c r="PL1305"/>
      <c r="PM1305"/>
      <c r="PN1305"/>
      <c r="PO1305"/>
      <c r="PP1305"/>
      <c r="PQ1305"/>
      <c r="PR1305"/>
      <c r="PS1305"/>
      <c r="PT1305"/>
      <c r="PU1305"/>
      <c r="PV1305"/>
      <c r="PW1305"/>
      <c r="PX1305"/>
      <c r="PY1305"/>
      <c r="PZ1305"/>
      <c r="QA1305"/>
      <c r="QB1305"/>
      <c r="QC1305"/>
      <c r="QD1305"/>
      <c r="QE1305"/>
      <c r="QF1305"/>
      <c r="QG1305"/>
      <c r="QH1305"/>
      <c r="QI1305"/>
      <c r="QJ1305"/>
      <c r="QK1305"/>
      <c r="QL1305"/>
      <c r="QM1305"/>
      <c r="QN1305"/>
      <c r="QO1305"/>
      <c r="QP1305"/>
      <c r="QQ1305"/>
      <c r="QR1305"/>
      <c r="QS1305"/>
      <c r="QT1305"/>
      <c r="QU1305"/>
      <c r="QV1305"/>
      <c r="QW1305"/>
      <c r="QX1305"/>
      <c r="QY1305"/>
      <c r="QZ1305"/>
      <c r="RA1305"/>
      <c r="RB1305"/>
      <c r="RC1305"/>
      <c r="RD1305"/>
      <c r="RE1305"/>
      <c r="RF1305"/>
      <c r="RG1305"/>
      <c r="RH1305"/>
      <c r="RI1305"/>
      <c r="RJ1305"/>
      <c r="RK1305"/>
      <c r="RL1305"/>
      <c r="RM1305"/>
      <c r="RN1305"/>
      <c r="RO1305"/>
      <c r="RP1305"/>
      <c r="RQ1305"/>
      <c r="RR1305"/>
      <c r="RS1305"/>
      <c r="RT1305"/>
      <c r="RU1305"/>
      <c r="RV1305"/>
      <c r="RW1305"/>
      <c r="RX1305"/>
      <c r="RY1305"/>
      <c r="RZ1305"/>
      <c r="SA1305"/>
      <c r="SB1305"/>
      <c r="SC1305"/>
      <c r="SD1305"/>
      <c r="SE1305"/>
      <c r="SF1305"/>
      <c r="SG1305"/>
      <c r="SH1305"/>
      <c r="SI1305"/>
      <c r="SJ1305"/>
      <c r="SK1305"/>
      <c r="SL1305"/>
      <c r="SM1305"/>
      <c r="SN1305"/>
      <c r="SO1305"/>
      <c r="SP1305"/>
      <c r="SQ1305"/>
      <c r="SR1305"/>
      <c r="SS1305"/>
      <c r="ST1305"/>
      <c r="SU1305"/>
      <c r="SV1305"/>
      <c r="SW1305"/>
      <c r="SX1305"/>
      <c r="SY1305"/>
      <c r="SZ1305"/>
      <c r="TA1305"/>
      <c r="TB1305"/>
      <c r="TC1305"/>
      <c r="TD1305"/>
      <c r="TE1305"/>
      <c r="TF1305"/>
      <c r="TG1305"/>
      <c r="TH1305"/>
      <c r="TI1305"/>
      <c r="TJ1305"/>
      <c r="TK1305"/>
      <c r="TL1305"/>
      <c r="TM1305"/>
      <c r="TN1305"/>
      <c r="TO1305"/>
      <c r="TP1305"/>
      <c r="TQ1305"/>
      <c r="TR1305"/>
      <c r="TS1305"/>
      <c r="TT1305"/>
      <c r="TU1305"/>
      <c r="TV1305"/>
      <c r="TW1305"/>
      <c r="TX1305"/>
      <c r="TY1305"/>
      <c r="TZ1305"/>
      <c r="UA1305"/>
      <c r="UB1305"/>
      <c r="UC1305"/>
      <c r="UD1305"/>
      <c r="UE1305"/>
      <c r="UF1305"/>
      <c r="UG1305"/>
      <c r="UH1305"/>
      <c r="UI1305"/>
      <c r="UJ1305"/>
      <c r="UK1305"/>
      <c r="UL1305"/>
      <c r="UM1305"/>
      <c r="UN1305"/>
      <c r="UO1305"/>
      <c r="UP1305"/>
      <c r="UQ1305"/>
      <c r="UR1305"/>
      <c r="US1305"/>
      <c r="UT1305"/>
      <c r="UU1305"/>
      <c r="UV1305"/>
      <c r="UW1305"/>
      <c r="UX1305"/>
      <c r="UY1305"/>
      <c r="UZ1305"/>
      <c r="VA1305"/>
      <c r="VB1305"/>
      <c r="VC1305"/>
      <c r="VD1305"/>
      <c r="VE1305"/>
      <c r="VF1305"/>
      <c r="VG1305"/>
      <c r="VH1305"/>
      <c r="VI1305"/>
      <c r="VJ1305"/>
      <c r="VK1305"/>
      <c r="VL1305"/>
      <c r="VM1305"/>
      <c r="VN1305"/>
      <c r="VO1305"/>
      <c r="VP1305"/>
      <c r="VQ1305"/>
      <c r="VR1305"/>
      <c r="VS1305"/>
      <c r="VT1305"/>
      <c r="VU1305"/>
      <c r="VV1305"/>
      <c r="VW1305"/>
      <c r="VX1305"/>
      <c r="VY1305"/>
      <c r="VZ1305"/>
      <c r="WA1305"/>
      <c r="WB1305"/>
      <c r="WC1305"/>
      <c r="WD1305"/>
      <c r="WE1305"/>
      <c r="WF1305"/>
      <c r="WG1305"/>
      <c r="WH1305"/>
      <c r="WI1305"/>
      <c r="WJ1305"/>
      <c r="WK1305"/>
      <c r="WL1305"/>
      <c r="WM1305"/>
      <c r="WN1305"/>
      <c r="WO1305"/>
      <c r="WP1305"/>
      <c r="WQ1305"/>
      <c r="WR1305"/>
      <c r="WS1305"/>
      <c r="WT1305"/>
      <c r="WU1305"/>
      <c r="WV1305"/>
      <c r="WW1305"/>
      <c r="WX1305"/>
      <c r="WY1305"/>
      <c r="WZ1305"/>
      <c r="XA1305"/>
      <c r="XB1305"/>
      <c r="XC1305"/>
      <c r="XD1305"/>
      <c r="XE1305"/>
      <c r="XF1305"/>
      <c r="XG1305"/>
      <c r="XH1305"/>
      <c r="XI1305"/>
      <c r="XJ1305"/>
      <c r="XK1305"/>
      <c r="XL1305"/>
      <c r="XM1305"/>
      <c r="XN1305"/>
      <c r="XO1305"/>
      <c r="XP1305"/>
      <c r="XQ1305"/>
      <c r="XR1305"/>
      <c r="XS1305"/>
      <c r="XT1305"/>
      <c r="XU1305"/>
      <c r="XV1305"/>
      <c r="XW1305"/>
      <c r="XX1305"/>
      <c r="XY1305"/>
      <c r="XZ1305"/>
      <c r="YA1305"/>
      <c r="YB1305"/>
      <c r="YC1305"/>
      <c r="YD1305"/>
      <c r="YE1305"/>
      <c r="YF1305"/>
      <c r="YG1305"/>
      <c r="YH1305"/>
      <c r="YI1305"/>
      <c r="YJ1305"/>
      <c r="YK1305"/>
      <c r="YL1305"/>
      <c r="YM1305"/>
      <c r="YN1305"/>
      <c r="YO1305"/>
      <c r="YP1305"/>
      <c r="YQ1305"/>
      <c r="YR1305"/>
      <c r="YS1305"/>
      <c r="YT1305"/>
      <c r="YU1305"/>
      <c r="YV1305"/>
      <c r="YW1305"/>
      <c r="YX1305"/>
      <c r="YY1305"/>
      <c r="YZ1305"/>
      <c r="ZA1305"/>
      <c r="ZB1305"/>
      <c r="ZC1305"/>
      <c r="ZD1305"/>
      <c r="ZE1305"/>
      <c r="ZF1305"/>
      <c r="ZG1305"/>
      <c r="ZH1305"/>
      <c r="ZI1305"/>
      <c r="ZJ1305"/>
      <c r="ZK1305"/>
      <c r="ZL1305"/>
      <c r="ZM1305"/>
      <c r="ZN1305"/>
      <c r="ZO1305"/>
      <c r="ZP1305"/>
      <c r="ZQ1305"/>
      <c r="ZR1305"/>
      <c r="ZS1305"/>
      <c r="ZT1305"/>
      <c r="ZU1305"/>
      <c r="ZV1305"/>
      <c r="ZW1305"/>
      <c r="ZX1305"/>
      <c r="ZY1305"/>
      <c r="ZZ1305"/>
      <c r="AAA1305"/>
      <c r="AAB1305"/>
      <c r="AAC1305"/>
      <c r="AAD1305"/>
      <c r="AAE1305"/>
      <c r="AAF1305"/>
      <c r="AAG1305"/>
      <c r="AAH1305"/>
      <c r="AAI1305"/>
      <c r="AAJ1305"/>
      <c r="AAK1305"/>
      <c r="AAL1305"/>
      <c r="AAM1305"/>
      <c r="AAN1305"/>
      <c r="AAO1305"/>
      <c r="AAP1305"/>
      <c r="AAQ1305"/>
      <c r="AAR1305"/>
      <c r="AAS1305"/>
      <c r="AAT1305"/>
      <c r="AAU1305"/>
      <c r="AAV1305"/>
      <c r="AAW1305"/>
      <c r="AAX1305"/>
      <c r="AAY1305"/>
      <c r="AAZ1305"/>
      <c r="ABA1305"/>
      <c r="ABB1305"/>
      <c r="ABC1305"/>
      <c r="ABD1305"/>
      <c r="ABE1305"/>
      <c r="ABF1305"/>
      <c r="ABG1305"/>
      <c r="ABH1305"/>
      <c r="ABI1305"/>
      <c r="ABJ1305"/>
      <c r="ABK1305"/>
      <c r="ABL1305"/>
      <c r="ABM1305"/>
      <c r="ABN1305"/>
      <c r="ABO1305"/>
      <c r="ABP1305"/>
      <c r="ABQ1305"/>
      <c r="ABR1305"/>
      <c r="ABS1305"/>
      <c r="ABT1305"/>
      <c r="ABU1305"/>
      <c r="ABV1305"/>
      <c r="ABW1305"/>
      <c r="ABX1305"/>
      <c r="ABY1305"/>
      <c r="ABZ1305"/>
      <c r="ACA1305"/>
      <c r="ACB1305"/>
      <c r="ACC1305"/>
      <c r="ACD1305"/>
      <c r="ACE1305"/>
      <c r="ACF1305"/>
      <c r="ACG1305"/>
      <c r="ACH1305"/>
      <c r="ACI1305"/>
      <c r="ACJ1305"/>
      <c r="ACK1305"/>
      <c r="ACL1305"/>
      <c r="ACM1305"/>
      <c r="ACN1305"/>
      <c r="ACO1305"/>
      <c r="ACP1305"/>
      <c r="ACQ1305"/>
      <c r="ACR1305"/>
      <c r="ACS1305"/>
      <c r="ACT1305"/>
      <c r="ACU1305"/>
      <c r="ACV1305"/>
      <c r="ACW1305"/>
      <c r="ACX1305"/>
      <c r="ACY1305"/>
      <c r="ACZ1305"/>
      <c r="ADA1305"/>
      <c r="ADB1305"/>
      <c r="ADC1305"/>
      <c r="ADD1305"/>
      <c r="ADE1305"/>
      <c r="ADF1305"/>
      <c r="ADG1305"/>
      <c r="ADH1305"/>
      <c r="ADI1305"/>
      <c r="ADJ1305"/>
      <c r="ADK1305"/>
      <c r="ADL1305"/>
      <c r="ADM1305"/>
      <c r="ADN1305"/>
      <c r="ADO1305"/>
      <c r="ADP1305"/>
      <c r="ADQ1305"/>
      <c r="ADR1305"/>
      <c r="ADS1305"/>
      <c r="ADT1305"/>
      <c r="ADU1305"/>
      <c r="ADV1305"/>
      <c r="ADW1305"/>
      <c r="ADX1305"/>
      <c r="ADY1305"/>
      <c r="ADZ1305"/>
      <c r="AEA1305"/>
      <c r="AEB1305"/>
      <c r="AEC1305"/>
      <c r="AED1305"/>
      <c r="AEE1305"/>
      <c r="AEF1305"/>
      <c r="AEG1305"/>
      <c r="AEH1305"/>
      <c r="AEI1305"/>
      <c r="AEJ1305"/>
      <c r="AEK1305"/>
      <c r="AEL1305"/>
      <c r="AEM1305"/>
      <c r="AEN1305"/>
      <c r="AEO1305"/>
      <c r="AEP1305"/>
      <c r="AEQ1305"/>
      <c r="AER1305"/>
      <c r="AES1305"/>
      <c r="AET1305"/>
      <c r="AEU1305"/>
      <c r="AEV1305"/>
      <c r="AEW1305"/>
      <c r="AEX1305"/>
      <c r="AEY1305"/>
      <c r="AEZ1305"/>
      <c r="AFA1305"/>
      <c r="AFB1305"/>
      <c r="AFC1305"/>
      <c r="AFD1305"/>
      <c r="AFE1305"/>
      <c r="AFF1305"/>
      <c r="AFG1305"/>
      <c r="AFH1305"/>
      <c r="AFI1305"/>
      <c r="AFJ1305"/>
      <c r="AFK1305"/>
      <c r="AFL1305"/>
      <c r="AFM1305"/>
      <c r="AFN1305"/>
      <c r="AFO1305"/>
      <c r="AFP1305"/>
      <c r="AFQ1305"/>
      <c r="AFR1305"/>
      <c r="AFS1305"/>
      <c r="AFT1305"/>
      <c r="AFU1305"/>
      <c r="AFV1305"/>
      <c r="AFW1305"/>
      <c r="AFX1305"/>
      <c r="AFY1305"/>
      <c r="AFZ1305"/>
      <c r="AGA1305"/>
      <c r="AGB1305"/>
      <c r="AGC1305"/>
      <c r="AGD1305"/>
      <c r="AGE1305"/>
      <c r="AGF1305"/>
      <c r="AGG1305"/>
      <c r="AGH1305"/>
      <c r="AGI1305"/>
      <c r="AGJ1305"/>
      <c r="AGK1305"/>
      <c r="AGL1305"/>
      <c r="AGM1305"/>
      <c r="AGN1305"/>
      <c r="AGO1305"/>
      <c r="AGP1305"/>
      <c r="AGQ1305"/>
      <c r="AGR1305"/>
      <c r="AGS1305"/>
      <c r="AGT1305"/>
      <c r="AGU1305"/>
      <c r="AGV1305"/>
      <c r="AGW1305"/>
      <c r="AGX1305"/>
      <c r="AGY1305"/>
      <c r="AGZ1305"/>
      <c r="AHA1305"/>
      <c r="AHB1305"/>
      <c r="AHC1305"/>
      <c r="AHD1305"/>
      <c r="AHE1305"/>
      <c r="AHF1305"/>
      <c r="AHG1305"/>
      <c r="AHH1305"/>
      <c r="AHI1305"/>
      <c r="AHJ1305"/>
      <c r="AHK1305"/>
      <c r="AHL1305"/>
      <c r="AHM1305"/>
      <c r="AHN1305"/>
      <c r="AHO1305"/>
      <c r="AHP1305"/>
      <c r="AHQ1305"/>
      <c r="AHR1305"/>
      <c r="AHS1305"/>
      <c r="AHT1305"/>
      <c r="AHU1305"/>
      <c r="AHV1305"/>
      <c r="AHW1305"/>
      <c r="AHX1305"/>
      <c r="AHY1305"/>
      <c r="AHZ1305"/>
      <c r="AIA1305"/>
      <c r="AIB1305"/>
      <c r="AIC1305"/>
      <c r="AID1305"/>
      <c r="AIE1305"/>
      <c r="AIF1305"/>
      <c r="AIG1305"/>
      <c r="AIH1305"/>
      <c r="AII1305"/>
      <c r="AIJ1305"/>
      <c r="AIK1305"/>
      <c r="AIL1305"/>
      <c r="AIM1305"/>
      <c r="AIN1305"/>
      <c r="AIO1305"/>
      <c r="AIP1305"/>
      <c r="AIQ1305"/>
      <c r="AIR1305"/>
      <c r="AIS1305"/>
      <c r="AIT1305"/>
      <c r="AIU1305"/>
      <c r="AIV1305"/>
      <c r="AIW1305"/>
      <c r="AIX1305"/>
      <c r="AIY1305"/>
      <c r="AIZ1305"/>
      <c r="AJA1305"/>
      <c r="AJB1305"/>
      <c r="AJC1305"/>
      <c r="AJD1305"/>
      <c r="AJE1305"/>
      <c r="AJF1305"/>
      <c r="AJG1305"/>
      <c r="AJH1305"/>
      <c r="AJI1305"/>
      <c r="AJJ1305"/>
      <c r="AJK1305"/>
      <c r="AJL1305"/>
      <c r="AJM1305"/>
      <c r="AJN1305"/>
      <c r="AJO1305"/>
      <c r="AJP1305"/>
      <c r="AJQ1305"/>
      <c r="AJR1305"/>
      <c r="AJS1305"/>
      <c r="AJT1305"/>
      <c r="AJU1305"/>
      <c r="AJV1305"/>
      <c r="AJW1305"/>
      <c r="AJX1305"/>
      <c r="AJY1305"/>
      <c r="AJZ1305"/>
      <c r="AKA1305"/>
      <c r="AKB1305"/>
      <c r="AKC1305"/>
      <c r="AKD1305"/>
      <c r="AKE1305"/>
      <c r="AKF1305"/>
      <c r="AKG1305"/>
      <c r="AKH1305"/>
      <c r="AKI1305"/>
      <c r="AKJ1305"/>
      <c r="AKK1305"/>
      <c r="AKL1305"/>
      <c r="AKM1305"/>
      <c r="AKN1305"/>
      <c r="AKO1305"/>
      <c r="AKP1305"/>
      <c r="AKQ1305"/>
      <c r="AKR1305"/>
      <c r="AKS1305"/>
      <c r="AKT1305"/>
      <c r="AKU1305"/>
      <c r="AKV1305"/>
      <c r="AKW1305"/>
      <c r="AKX1305"/>
      <c r="AKY1305"/>
      <c r="AKZ1305"/>
      <c r="ALA1305"/>
      <c r="ALB1305"/>
      <c r="ALC1305"/>
      <c r="ALD1305"/>
      <c r="ALE1305"/>
      <c r="ALF1305"/>
      <c r="ALG1305"/>
      <c r="ALH1305"/>
      <c r="ALI1305"/>
      <c r="ALJ1305"/>
      <c r="ALK1305"/>
      <c r="ALL1305"/>
      <c r="ALM1305"/>
      <c r="ALN1305"/>
      <c r="ALO1305"/>
      <c r="ALP1305"/>
      <c r="ALQ1305"/>
      <c r="ALR1305"/>
      <c r="ALS1305"/>
      <c r="ALT1305"/>
    </row>
    <row r="1306" spans="1:1008" x14ac:dyDescent="0.15">
      <c r="A1306" t="s">
        <v>4084</v>
      </c>
      <c r="B1306" s="8" t="s">
        <v>4082</v>
      </c>
      <c r="C1306"/>
      <c r="D1306" s="8" t="s">
        <v>15</v>
      </c>
      <c r="E1306" t="s">
        <v>4084</v>
      </c>
      <c r="F1306" s="8" t="s">
        <v>4085</v>
      </c>
      <c r="G1306">
        <v>730</v>
      </c>
      <c r="H1306"/>
      <c r="I1306"/>
      <c r="J1306"/>
      <c r="K1306"/>
      <c r="L1306"/>
      <c r="M1306"/>
      <c r="N1306"/>
      <c r="O1306"/>
      <c r="P1306"/>
      <c r="Q1306"/>
      <c r="R1306"/>
      <c r="S1306"/>
      <c r="T1306"/>
      <c r="U1306"/>
      <c r="V1306"/>
      <c r="W1306"/>
      <c r="X1306"/>
      <c r="Y1306"/>
      <c r="Z1306"/>
      <c r="AA1306"/>
      <c r="AB1306"/>
      <c r="AC1306"/>
      <c r="AD1306"/>
      <c r="AE1306"/>
      <c r="AF1306"/>
      <c r="AG1306"/>
      <c r="AH1306"/>
      <c r="AI1306"/>
      <c r="AJ1306"/>
      <c r="AK1306"/>
      <c r="AL1306"/>
      <c r="AM1306"/>
      <c r="AN1306"/>
      <c r="AO1306"/>
      <c r="AP1306"/>
      <c r="AQ1306"/>
      <c r="AR1306"/>
      <c r="AS1306"/>
      <c r="AT1306"/>
      <c r="AU1306"/>
      <c r="AV1306"/>
      <c r="AW1306"/>
      <c r="AX1306"/>
      <c r="AY1306"/>
      <c r="AZ1306"/>
      <c r="BA1306"/>
      <c r="BB1306"/>
      <c r="BC1306"/>
      <c r="BD1306"/>
      <c r="BE1306"/>
      <c r="BF1306"/>
      <c r="BG1306"/>
      <c r="BH1306"/>
      <c r="BI1306"/>
      <c r="BJ1306"/>
      <c r="BK1306"/>
      <c r="BL1306"/>
      <c r="BM1306"/>
      <c r="BN1306"/>
      <c r="BO1306"/>
      <c r="BP1306"/>
      <c r="BQ1306"/>
      <c r="BR1306"/>
      <c r="BS1306"/>
      <c r="BT1306"/>
      <c r="BU1306"/>
      <c r="BV1306"/>
      <c r="BW1306"/>
      <c r="BX1306"/>
      <c r="BY1306"/>
      <c r="BZ1306"/>
      <c r="CA1306"/>
      <c r="CB1306"/>
      <c r="CC1306"/>
      <c r="CD1306"/>
      <c r="CE1306"/>
      <c r="CF1306"/>
      <c r="CG1306"/>
      <c r="CH1306"/>
      <c r="CI1306"/>
      <c r="CJ1306"/>
      <c r="CK1306"/>
      <c r="CL1306"/>
      <c r="CM1306"/>
      <c r="CN1306"/>
      <c r="CO1306"/>
      <c r="CP1306"/>
      <c r="CQ1306"/>
      <c r="CR1306"/>
      <c r="CS1306"/>
      <c r="CT1306"/>
      <c r="CU1306"/>
      <c r="CV1306"/>
      <c r="CW1306"/>
      <c r="CX1306"/>
      <c r="CY1306"/>
      <c r="CZ1306"/>
      <c r="DA1306"/>
      <c r="DB1306"/>
      <c r="DC1306"/>
      <c r="DD1306"/>
      <c r="DE1306"/>
      <c r="DF1306"/>
      <c r="DG1306"/>
      <c r="DH1306"/>
      <c r="DI1306"/>
      <c r="DJ1306"/>
      <c r="DK1306"/>
      <c r="DL1306"/>
      <c r="DM1306"/>
      <c r="DN1306"/>
      <c r="DO1306"/>
      <c r="DP1306"/>
      <c r="DQ1306"/>
      <c r="DR1306"/>
      <c r="DS1306"/>
      <c r="DT1306"/>
      <c r="DU1306"/>
      <c r="DV1306"/>
      <c r="DW1306"/>
      <c r="DX1306"/>
      <c r="DY1306"/>
      <c r="DZ1306"/>
      <c r="EA1306"/>
      <c r="EB1306"/>
      <c r="EC1306"/>
      <c r="ED1306"/>
      <c r="EE1306"/>
      <c r="EF1306"/>
      <c r="EG1306"/>
      <c r="EH1306"/>
      <c r="EI1306"/>
      <c r="EJ1306"/>
      <c r="EK1306"/>
      <c r="EL1306"/>
      <c r="EM1306"/>
      <c r="EN1306"/>
      <c r="EO1306"/>
      <c r="EP1306"/>
      <c r="EQ1306"/>
      <c r="ER1306"/>
      <c r="ES1306"/>
      <c r="ET1306"/>
      <c r="EU1306"/>
      <c r="EV1306"/>
      <c r="EW1306"/>
      <c r="EX1306"/>
      <c r="EY1306"/>
      <c r="EZ1306"/>
      <c r="FA1306"/>
      <c r="FB1306"/>
      <c r="FC1306"/>
      <c r="FD1306"/>
      <c r="FE1306"/>
      <c r="FF1306"/>
      <c r="FG1306"/>
      <c r="FH1306"/>
      <c r="FI1306"/>
      <c r="FJ1306"/>
      <c r="FK1306"/>
      <c r="FL1306"/>
      <c r="FM1306"/>
      <c r="FN1306"/>
      <c r="FO1306"/>
      <c r="FP1306"/>
      <c r="FQ1306"/>
      <c r="FR1306"/>
      <c r="FS1306"/>
      <c r="FT1306"/>
      <c r="FU1306"/>
      <c r="FV1306"/>
      <c r="FW1306"/>
      <c r="FX1306"/>
      <c r="FY1306"/>
      <c r="FZ1306"/>
      <c r="GA1306"/>
      <c r="GB1306"/>
      <c r="GC1306"/>
      <c r="GD1306"/>
      <c r="GE1306"/>
      <c r="GF1306"/>
      <c r="GG1306"/>
      <c r="GH1306"/>
      <c r="GI1306"/>
      <c r="GJ1306"/>
      <c r="GK1306"/>
      <c r="GL1306"/>
      <c r="GM1306"/>
      <c r="GN1306"/>
      <c r="GO1306"/>
      <c r="GP1306"/>
      <c r="GQ1306"/>
      <c r="GR1306"/>
      <c r="GS1306"/>
      <c r="GT1306"/>
      <c r="GU1306"/>
      <c r="GV1306"/>
      <c r="GW1306"/>
      <c r="GX1306"/>
      <c r="GY1306"/>
      <c r="GZ1306"/>
      <c r="HA1306"/>
      <c r="HB1306"/>
      <c r="HC1306"/>
      <c r="HD1306"/>
      <c r="HE1306"/>
      <c r="HF1306"/>
      <c r="HG1306"/>
      <c r="HH1306"/>
      <c r="HI1306"/>
      <c r="HJ1306"/>
      <c r="HK1306"/>
      <c r="HL1306"/>
      <c r="HM1306"/>
      <c r="HN1306"/>
      <c r="HO1306"/>
      <c r="HP1306"/>
      <c r="HQ1306"/>
      <c r="HR1306"/>
      <c r="HS1306"/>
      <c r="HT1306"/>
      <c r="HU1306"/>
      <c r="HV1306"/>
      <c r="HW1306"/>
      <c r="HX1306"/>
      <c r="HY1306"/>
      <c r="HZ1306"/>
      <c r="IA1306"/>
      <c r="IB1306"/>
      <c r="IC1306"/>
      <c r="ID1306"/>
      <c r="IE1306"/>
      <c r="IF1306"/>
      <c r="IG1306"/>
      <c r="IH1306"/>
      <c r="II1306"/>
      <c r="IJ1306"/>
      <c r="IK1306"/>
      <c r="IL1306"/>
      <c r="IM1306"/>
      <c r="IN1306"/>
      <c r="IO1306"/>
      <c r="IP1306"/>
      <c r="IQ1306"/>
      <c r="IR1306"/>
      <c r="IS1306"/>
      <c r="IT1306"/>
      <c r="IU1306"/>
      <c r="IV1306"/>
      <c r="IW1306"/>
      <c r="IX1306"/>
      <c r="IY1306"/>
      <c r="IZ1306"/>
      <c r="JA1306"/>
      <c r="JB1306"/>
      <c r="JC1306"/>
      <c r="JD1306"/>
      <c r="JE1306"/>
      <c r="JF1306"/>
      <c r="JG1306"/>
      <c r="JH1306"/>
      <c r="JI1306"/>
      <c r="JJ1306"/>
      <c r="JK1306"/>
      <c r="JL1306"/>
      <c r="JM1306"/>
      <c r="JN1306"/>
      <c r="JO1306"/>
      <c r="JP1306"/>
      <c r="JQ1306"/>
      <c r="JR1306"/>
      <c r="JS1306"/>
      <c r="JT1306"/>
      <c r="JU1306"/>
      <c r="JV1306"/>
      <c r="JW1306"/>
      <c r="JX1306"/>
      <c r="JY1306"/>
      <c r="JZ1306"/>
      <c r="KA1306"/>
      <c r="KB1306"/>
      <c r="KC1306"/>
      <c r="KD1306"/>
      <c r="KE1306"/>
      <c r="KF1306"/>
      <c r="KG1306"/>
      <c r="KH1306"/>
      <c r="KI1306"/>
      <c r="KJ1306"/>
      <c r="KK1306"/>
      <c r="KL1306"/>
      <c r="KM1306"/>
      <c r="KN1306"/>
      <c r="KO1306"/>
      <c r="KP1306"/>
      <c r="KQ1306"/>
      <c r="KR1306"/>
      <c r="KS1306"/>
      <c r="KT1306"/>
      <c r="KU1306"/>
      <c r="KV1306"/>
      <c r="KW1306"/>
      <c r="KX1306"/>
      <c r="KY1306"/>
      <c r="KZ1306"/>
      <c r="LA1306"/>
      <c r="LB1306"/>
      <c r="LC1306"/>
      <c r="LD1306"/>
      <c r="LE1306"/>
      <c r="LF1306"/>
      <c r="LG1306"/>
      <c r="LH1306"/>
      <c r="LI1306"/>
      <c r="LJ1306"/>
      <c r="LK1306"/>
      <c r="LL1306"/>
      <c r="LM1306"/>
      <c r="LN1306"/>
      <c r="LO1306"/>
      <c r="LP1306"/>
      <c r="LQ1306"/>
      <c r="LR1306"/>
      <c r="LS1306"/>
      <c r="LT1306"/>
      <c r="LU1306"/>
      <c r="LV1306"/>
      <c r="LW1306"/>
      <c r="LX1306"/>
      <c r="LY1306"/>
      <c r="LZ1306"/>
      <c r="MA1306"/>
      <c r="MB1306"/>
      <c r="MC1306"/>
      <c r="MD1306"/>
      <c r="ME1306"/>
      <c r="MF1306"/>
      <c r="MG1306"/>
      <c r="MH1306"/>
      <c r="MI1306"/>
      <c r="MJ1306"/>
      <c r="MK1306"/>
      <c r="ML1306"/>
      <c r="MM1306"/>
      <c r="MN1306"/>
      <c r="MO1306"/>
      <c r="MP1306"/>
      <c r="MQ1306"/>
      <c r="MR1306"/>
      <c r="MS1306"/>
      <c r="MT1306"/>
      <c r="MU1306"/>
      <c r="MV1306"/>
      <c r="MW1306"/>
      <c r="MX1306"/>
      <c r="MY1306"/>
      <c r="MZ1306"/>
      <c r="NA1306"/>
      <c r="NB1306"/>
      <c r="NC1306"/>
      <c r="ND1306"/>
      <c r="NE1306"/>
      <c r="NF1306"/>
      <c r="NG1306"/>
      <c r="NH1306"/>
      <c r="NI1306"/>
      <c r="NJ1306"/>
      <c r="NK1306"/>
      <c r="NL1306"/>
      <c r="NM1306"/>
      <c r="NN1306"/>
      <c r="NO1306"/>
      <c r="NP1306"/>
      <c r="NQ1306"/>
      <c r="NR1306"/>
      <c r="NS1306"/>
      <c r="NT1306"/>
      <c r="NU1306"/>
      <c r="NV1306"/>
      <c r="NW1306"/>
      <c r="NX1306"/>
      <c r="NY1306"/>
      <c r="NZ1306"/>
      <c r="OA1306"/>
      <c r="OB1306"/>
      <c r="OC1306"/>
      <c r="OD1306"/>
      <c r="OE1306"/>
      <c r="OF1306"/>
      <c r="OG1306"/>
      <c r="OH1306"/>
      <c r="OI1306"/>
      <c r="OJ1306"/>
      <c r="OK1306"/>
      <c r="OL1306"/>
      <c r="OM1306"/>
      <c r="ON1306"/>
      <c r="OO1306"/>
      <c r="OP1306"/>
      <c r="OQ1306"/>
      <c r="OR1306"/>
      <c r="OS1306"/>
      <c r="OT1306"/>
      <c r="OU1306"/>
      <c r="OV1306"/>
      <c r="OW1306"/>
      <c r="OX1306"/>
      <c r="OY1306"/>
      <c r="OZ1306"/>
      <c r="PA1306"/>
      <c r="PB1306"/>
      <c r="PC1306"/>
      <c r="PD1306"/>
      <c r="PE1306"/>
      <c r="PF1306"/>
      <c r="PG1306"/>
      <c r="PH1306"/>
      <c r="PI1306"/>
      <c r="PJ1306"/>
      <c r="PK1306"/>
      <c r="PL1306"/>
      <c r="PM1306"/>
      <c r="PN1306"/>
      <c r="PO1306"/>
      <c r="PP1306"/>
      <c r="PQ1306"/>
      <c r="PR1306"/>
      <c r="PS1306"/>
      <c r="PT1306"/>
      <c r="PU1306"/>
      <c r="PV1306"/>
      <c r="PW1306"/>
      <c r="PX1306"/>
      <c r="PY1306"/>
      <c r="PZ1306"/>
      <c r="QA1306"/>
      <c r="QB1306"/>
      <c r="QC1306"/>
      <c r="QD1306"/>
      <c r="QE1306"/>
      <c r="QF1306"/>
      <c r="QG1306"/>
      <c r="QH1306"/>
      <c r="QI1306"/>
      <c r="QJ1306"/>
      <c r="QK1306"/>
      <c r="QL1306"/>
      <c r="QM1306"/>
      <c r="QN1306"/>
      <c r="QO1306"/>
      <c r="QP1306"/>
      <c r="QQ1306"/>
      <c r="QR1306"/>
      <c r="QS1306"/>
      <c r="QT1306"/>
      <c r="QU1306"/>
      <c r="QV1306"/>
      <c r="QW1306"/>
      <c r="QX1306"/>
      <c r="QY1306"/>
      <c r="QZ1306"/>
      <c r="RA1306"/>
      <c r="RB1306"/>
      <c r="RC1306"/>
      <c r="RD1306"/>
      <c r="RE1306"/>
      <c r="RF1306"/>
      <c r="RG1306"/>
      <c r="RH1306"/>
      <c r="RI1306"/>
      <c r="RJ1306"/>
      <c r="RK1306"/>
      <c r="RL1306"/>
      <c r="RM1306"/>
      <c r="RN1306"/>
      <c r="RO1306"/>
      <c r="RP1306"/>
      <c r="RQ1306"/>
      <c r="RR1306"/>
      <c r="RS1306"/>
      <c r="RT1306"/>
      <c r="RU1306"/>
      <c r="RV1306"/>
      <c r="RW1306"/>
      <c r="RX1306"/>
      <c r="RY1306"/>
      <c r="RZ1306"/>
      <c r="SA1306"/>
      <c r="SB1306"/>
      <c r="SC1306"/>
      <c r="SD1306"/>
      <c r="SE1306"/>
      <c r="SF1306"/>
      <c r="SG1306"/>
      <c r="SH1306"/>
      <c r="SI1306"/>
      <c r="SJ1306"/>
      <c r="SK1306"/>
      <c r="SL1306"/>
      <c r="SM1306"/>
      <c r="SN1306"/>
      <c r="SO1306"/>
      <c r="SP1306"/>
      <c r="SQ1306"/>
      <c r="SR1306"/>
      <c r="SS1306"/>
      <c r="ST1306"/>
      <c r="SU1306"/>
      <c r="SV1306"/>
      <c r="SW1306"/>
      <c r="SX1306"/>
      <c r="SY1306"/>
      <c r="SZ1306"/>
      <c r="TA1306"/>
      <c r="TB1306"/>
      <c r="TC1306"/>
      <c r="TD1306"/>
      <c r="TE1306"/>
      <c r="TF1306"/>
      <c r="TG1306"/>
      <c r="TH1306"/>
      <c r="TI1306"/>
      <c r="TJ1306"/>
      <c r="TK1306"/>
      <c r="TL1306"/>
      <c r="TM1306"/>
      <c r="TN1306"/>
      <c r="TO1306"/>
      <c r="TP1306"/>
      <c r="TQ1306"/>
      <c r="TR1306"/>
      <c r="TS1306"/>
      <c r="TT1306"/>
      <c r="TU1306"/>
      <c r="TV1306"/>
      <c r="TW1306"/>
      <c r="TX1306"/>
      <c r="TY1306"/>
      <c r="TZ1306"/>
      <c r="UA1306"/>
      <c r="UB1306"/>
      <c r="UC1306"/>
      <c r="UD1306"/>
      <c r="UE1306"/>
      <c r="UF1306"/>
      <c r="UG1306"/>
      <c r="UH1306"/>
      <c r="UI1306"/>
      <c r="UJ1306"/>
      <c r="UK1306"/>
      <c r="UL1306"/>
      <c r="UM1306"/>
      <c r="UN1306"/>
      <c r="UO1306"/>
      <c r="UP1306"/>
      <c r="UQ1306"/>
      <c r="UR1306"/>
      <c r="US1306"/>
      <c r="UT1306"/>
      <c r="UU1306"/>
      <c r="UV1306"/>
      <c r="UW1306"/>
      <c r="UX1306"/>
      <c r="UY1306"/>
      <c r="UZ1306"/>
      <c r="VA1306"/>
      <c r="VB1306"/>
      <c r="VC1306"/>
      <c r="VD1306"/>
      <c r="VE1306"/>
      <c r="VF1306"/>
      <c r="VG1306"/>
      <c r="VH1306"/>
      <c r="VI1306"/>
      <c r="VJ1306"/>
      <c r="VK1306"/>
      <c r="VL1306"/>
      <c r="VM1306"/>
      <c r="VN1306"/>
      <c r="VO1306"/>
      <c r="VP1306"/>
      <c r="VQ1306"/>
      <c r="VR1306"/>
      <c r="VS1306"/>
      <c r="VT1306"/>
      <c r="VU1306"/>
      <c r="VV1306"/>
      <c r="VW1306"/>
      <c r="VX1306"/>
      <c r="VY1306"/>
      <c r="VZ1306"/>
      <c r="WA1306"/>
      <c r="WB1306"/>
      <c r="WC1306"/>
      <c r="WD1306"/>
      <c r="WE1306"/>
      <c r="WF1306"/>
      <c r="WG1306"/>
      <c r="WH1306"/>
      <c r="WI1306"/>
      <c r="WJ1306"/>
      <c r="WK1306"/>
      <c r="WL1306"/>
      <c r="WM1306"/>
      <c r="WN1306"/>
      <c r="WO1306"/>
      <c r="WP1306"/>
      <c r="WQ1306"/>
      <c r="WR1306"/>
      <c r="WS1306"/>
      <c r="WT1306"/>
      <c r="WU1306"/>
      <c r="WV1306"/>
      <c r="WW1306"/>
      <c r="WX1306"/>
      <c r="WY1306"/>
      <c r="WZ1306"/>
      <c r="XA1306"/>
      <c r="XB1306"/>
      <c r="XC1306"/>
      <c r="XD1306"/>
      <c r="XE1306"/>
      <c r="XF1306"/>
      <c r="XG1306"/>
      <c r="XH1306"/>
      <c r="XI1306"/>
      <c r="XJ1306"/>
      <c r="XK1306"/>
      <c r="XL1306"/>
      <c r="XM1306"/>
      <c r="XN1306"/>
      <c r="XO1306"/>
      <c r="XP1306"/>
      <c r="XQ1306"/>
      <c r="XR1306"/>
      <c r="XS1306"/>
      <c r="XT1306"/>
      <c r="XU1306"/>
      <c r="XV1306"/>
      <c r="XW1306"/>
      <c r="XX1306"/>
      <c r="XY1306"/>
      <c r="XZ1306"/>
      <c r="YA1306"/>
      <c r="YB1306"/>
      <c r="YC1306"/>
      <c r="YD1306"/>
      <c r="YE1306"/>
      <c r="YF1306"/>
      <c r="YG1306"/>
      <c r="YH1306"/>
      <c r="YI1306"/>
      <c r="YJ1306"/>
      <c r="YK1306"/>
      <c r="YL1306"/>
      <c r="YM1306"/>
      <c r="YN1306"/>
      <c r="YO1306"/>
      <c r="YP1306"/>
      <c r="YQ1306"/>
      <c r="YR1306"/>
      <c r="YS1306"/>
      <c r="YT1306"/>
      <c r="YU1306"/>
      <c r="YV1306"/>
      <c r="YW1306"/>
      <c r="YX1306"/>
      <c r="YY1306"/>
      <c r="YZ1306"/>
      <c r="ZA1306"/>
      <c r="ZB1306"/>
      <c r="ZC1306"/>
      <c r="ZD1306"/>
      <c r="ZE1306"/>
      <c r="ZF1306"/>
      <c r="ZG1306"/>
      <c r="ZH1306"/>
      <c r="ZI1306"/>
      <c r="ZJ1306"/>
      <c r="ZK1306"/>
      <c r="ZL1306"/>
      <c r="ZM1306"/>
      <c r="ZN1306"/>
      <c r="ZO1306"/>
      <c r="ZP1306"/>
      <c r="ZQ1306"/>
      <c r="ZR1306"/>
      <c r="ZS1306"/>
      <c r="ZT1306"/>
      <c r="ZU1306"/>
      <c r="ZV1306"/>
      <c r="ZW1306"/>
      <c r="ZX1306"/>
      <c r="ZY1306"/>
      <c r="ZZ1306"/>
      <c r="AAA1306"/>
      <c r="AAB1306"/>
      <c r="AAC1306"/>
      <c r="AAD1306"/>
      <c r="AAE1306"/>
      <c r="AAF1306"/>
      <c r="AAG1306"/>
      <c r="AAH1306"/>
      <c r="AAI1306"/>
      <c r="AAJ1306"/>
      <c r="AAK1306"/>
      <c r="AAL1306"/>
      <c r="AAM1306"/>
      <c r="AAN1306"/>
      <c r="AAO1306"/>
      <c r="AAP1306"/>
      <c r="AAQ1306"/>
      <c r="AAR1306"/>
      <c r="AAS1306"/>
      <c r="AAT1306"/>
      <c r="AAU1306"/>
      <c r="AAV1306"/>
      <c r="AAW1306"/>
      <c r="AAX1306"/>
      <c r="AAY1306"/>
      <c r="AAZ1306"/>
      <c r="ABA1306"/>
      <c r="ABB1306"/>
      <c r="ABC1306"/>
      <c r="ABD1306"/>
      <c r="ABE1306"/>
      <c r="ABF1306"/>
      <c r="ABG1306"/>
      <c r="ABH1306"/>
      <c r="ABI1306"/>
      <c r="ABJ1306"/>
      <c r="ABK1306"/>
      <c r="ABL1306"/>
      <c r="ABM1306"/>
      <c r="ABN1306"/>
      <c r="ABO1306"/>
      <c r="ABP1306"/>
      <c r="ABQ1306"/>
      <c r="ABR1306"/>
      <c r="ABS1306"/>
      <c r="ABT1306"/>
      <c r="ABU1306"/>
      <c r="ABV1306"/>
      <c r="ABW1306"/>
      <c r="ABX1306"/>
      <c r="ABY1306"/>
      <c r="ABZ1306"/>
      <c r="ACA1306"/>
      <c r="ACB1306"/>
      <c r="ACC1306"/>
      <c r="ACD1306"/>
      <c r="ACE1306"/>
      <c r="ACF1306"/>
      <c r="ACG1306"/>
      <c r="ACH1306"/>
      <c r="ACI1306"/>
      <c r="ACJ1306"/>
      <c r="ACK1306"/>
      <c r="ACL1306"/>
      <c r="ACM1306"/>
      <c r="ACN1306"/>
      <c r="ACO1306"/>
      <c r="ACP1306"/>
      <c r="ACQ1306"/>
      <c r="ACR1306"/>
      <c r="ACS1306"/>
      <c r="ACT1306"/>
      <c r="ACU1306"/>
      <c r="ACV1306"/>
      <c r="ACW1306"/>
      <c r="ACX1306"/>
      <c r="ACY1306"/>
      <c r="ACZ1306"/>
      <c r="ADA1306"/>
      <c r="ADB1306"/>
      <c r="ADC1306"/>
      <c r="ADD1306"/>
      <c r="ADE1306"/>
      <c r="ADF1306"/>
      <c r="ADG1306"/>
      <c r="ADH1306"/>
      <c r="ADI1306"/>
      <c r="ADJ1306"/>
      <c r="ADK1306"/>
      <c r="ADL1306"/>
      <c r="ADM1306"/>
      <c r="ADN1306"/>
      <c r="ADO1306"/>
      <c r="ADP1306"/>
      <c r="ADQ1306"/>
      <c r="ADR1306"/>
      <c r="ADS1306"/>
      <c r="ADT1306"/>
      <c r="ADU1306"/>
      <c r="ADV1306"/>
      <c r="ADW1306"/>
      <c r="ADX1306"/>
      <c r="ADY1306"/>
      <c r="ADZ1306"/>
      <c r="AEA1306"/>
      <c r="AEB1306"/>
      <c r="AEC1306"/>
      <c r="AED1306"/>
      <c r="AEE1306"/>
      <c r="AEF1306"/>
      <c r="AEG1306"/>
      <c r="AEH1306"/>
      <c r="AEI1306"/>
      <c r="AEJ1306"/>
      <c r="AEK1306"/>
      <c r="AEL1306"/>
      <c r="AEM1306"/>
      <c r="AEN1306"/>
      <c r="AEO1306"/>
      <c r="AEP1306"/>
      <c r="AEQ1306"/>
      <c r="AER1306"/>
      <c r="AES1306"/>
      <c r="AET1306"/>
      <c r="AEU1306"/>
      <c r="AEV1306"/>
      <c r="AEW1306"/>
      <c r="AEX1306"/>
      <c r="AEY1306"/>
      <c r="AEZ1306"/>
      <c r="AFA1306"/>
      <c r="AFB1306"/>
      <c r="AFC1306"/>
      <c r="AFD1306"/>
      <c r="AFE1306"/>
      <c r="AFF1306"/>
      <c r="AFG1306"/>
      <c r="AFH1306"/>
      <c r="AFI1306"/>
      <c r="AFJ1306"/>
      <c r="AFK1306"/>
      <c r="AFL1306"/>
      <c r="AFM1306"/>
      <c r="AFN1306"/>
      <c r="AFO1306"/>
      <c r="AFP1306"/>
      <c r="AFQ1306"/>
      <c r="AFR1306"/>
      <c r="AFS1306"/>
      <c r="AFT1306"/>
      <c r="AFU1306"/>
      <c r="AFV1306"/>
      <c r="AFW1306"/>
      <c r="AFX1306"/>
      <c r="AFY1306"/>
      <c r="AFZ1306"/>
      <c r="AGA1306"/>
      <c r="AGB1306"/>
      <c r="AGC1306"/>
      <c r="AGD1306"/>
      <c r="AGE1306"/>
      <c r="AGF1306"/>
      <c r="AGG1306"/>
      <c r="AGH1306"/>
      <c r="AGI1306"/>
      <c r="AGJ1306"/>
      <c r="AGK1306"/>
      <c r="AGL1306"/>
      <c r="AGM1306"/>
      <c r="AGN1306"/>
      <c r="AGO1306"/>
      <c r="AGP1306"/>
      <c r="AGQ1306"/>
      <c r="AGR1306"/>
      <c r="AGS1306"/>
      <c r="AGT1306"/>
      <c r="AGU1306"/>
      <c r="AGV1306"/>
      <c r="AGW1306"/>
      <c r="AGX1306"/>
      <c r="AGY1306"/>
      <c r="AGZ1306"/>
      <c r="AHA1306"/>
      <c r="AHB1306"/>
      <c r="AHC1306"/>
      <c r="AHD1306"/>
      <c r="AHE1306"/>
      <c r="AHF1306"/>
      <c r="AHG1306"/>
      <c r="AHH1306"/>
      <c r="AHI1306"/>
      <c r="AHJ1306"/>
      <c r="AHK1306"/>
      <c r="AHL1306"/>
      <c r="AHM1306"/>
      <c r="AHN1306"/>
      <c r="AHO1306"/>
      <c r="AHP1306"/>
      <c r="AHQ1306"/>
      <c r="AHR1306"/>
      <c r="AHS1306"/>
      <c r="AHT1306"/>
      <c r="AHU1306"/>
      <c r="AHV1306"/>
      <c r="AHW1306"/>
      <c r="AHX1306"/>
      <c r="AHY1306"/>
      <c r="AHZ1306"/>
      <c r="AIA1306"/>
      <c r="AIB1306"/>
      <c r="AIC1306"/>
      <c r="AID1306"/>
      <c r="AIE1306"/>
      <c r="AIF1306"/>
      <c r="AIG1306"/>
      <c r="AIH1306"/>
      <c r="AII1306"/>
      <c r="AIJ1306"/>
      <c r="AIK1306"/>
      <c r="AIL1306"/>
      <c r="AIM1306"/>
      <c r="AIN1306"/>
      <c r="AIO1306"/>
      <c r="AIP1306"/>
      <c r="AIQ1306"/>
      <c r="AIR1306"/>
      <c r="AIS1306"/>
      <c r="AIT1306"/>
      <c r="AIU1306"/>
      <c r="AIV1306"/>
      <c r="AIW1306"/>
      <c r="AIX1306"/>
      <c r="AIY1306"/>
      <c r="AIZ1306"/>
      <c r="AJA1306"/>
      <c r="AJB1306"/>
      <c r="AJC1306"/>
      <c r="AJD1306"/>
      <c r="AJE1306"/>
      <c r="AJF1306"/>
      <c r="AJG1306"/>
      <c r="AJH1306"/>
      <c r="AJI1306"/>
      <c r="AJJ1306"/>
      <c r="AJK1306"/>
      <c r="AJL1306"/>
      <c r="AJM1306"/>
      <c r="AJN1306"/>
      <c r="AJO1306"/>
      <c r="AJP1306"/>
      <c r="AJQ1306"/>
      <c r="AJR1306"/>
      <c r="AJS1306"/>
      <c r="AJT1306"/>
      <c r="AJU1306"/>
      <c r="AJV1306"/>
      <c r="AJW1306"/>
      <c r="AJX1306"/>
      <c r="AJY1306"/>
      <c r="AJZ1306"/>
      <c r="AKA1306"/>
      <c r="AKB1306"/>
      <c r="AKC1306"/>
      <c r="AKD1306"/>
      <c r="AKE1306"/>
      <c r="AKF1306"/>
      <c r="AKG1306"/>
      <c r="AKH1306"/>
      <c r="AKI1306"/>
      <c r="AKJ1306"/>
      <c r="AKK1306"/>
      <c r="AKL1306"/>
      <c r="AKM1306"/>
      <c r="AKN1306"/>
      <c r="AKO1306"/>
      <c r="AKP1306"/>
      <c r="AKQ1306"/>
      <c r="AKR1306"/>
      <c r="AKS1306"/>
      <c r="AKT1306"/>
      <c r="AKU1306"/>
      <c r="AKV1306"/>
      <c r="AKW1306"/>
      <c r="AKX1306"/>
      <c r="AKY1306"/>
      <c r="AKZ1306"/>
      <c r="ALA1306"/>
      <c r="ALB1306"/>
      <c r="ALC1306"/>
      <c r="ALD1306"/>
      <c r="ALE1306"/>
      <c r="ALF1306"/>
      <c r="ALG1306"/>
      <c r="ALH1306"/>
      <c r="ALI1306"/>
      <c r="ALJ1306"/>
      <c r="ALK1306"/>
      <c r="ALL1306"/>
      <c r="ALM1306"/>
      <c r="ALN1306"/>
      <c r="ALO1306"/>
      <c r="ALP1306"/>
      <c r="ALQ1306"/>
      <c r="ALR1306"/>
      <c r="ALS1306"/>
      <c r="ALT1306"/>
    </row>
    <row r="1307" spans="1:1008" x14ac:dyDescent="0.15">
      <c r="A1307" t="s">
        <v>2250</v>
      </c>
      <c r="B1307" s="8" t="s">
        <v>4083</v>
      </c>
      <c r="C1307" t="s">
        <v>2250</v>
      </c>
      <c r="D1307" s="8" t="s">
        <v>15</v>
      </c>
      <c r="E1307" t="s">
        <v>2250</v>
      </c>
      <c r="F1307" t="s">
        <v>4068</v>
      </c>
      <c r="G1307">
        <v>600</v>
      </c>
      <c r="H1307"/>
      <c r="I1307"/>
      <c r="J1307"/>
      <c r="K1307"/>
      <c r="L1307"/>
      <c r="M1307"/>
      <c r="N1307"/>
      <c r="O1307"/>
      <c r="P1307"/>
      <c r="Q1307"/>
      <c r="R1307"/>
      <c r="S1307"/>
      <c r="T1307"/>
      <c r="U1307"/>
      <c r="V1307"/>
      <c r="W1307"/>
      <c r="X1307"/>
      <c r="Y1307"/>
      <c r="Z1307"/>
      <c r="AA1307"/>
      <c r="AB1307"/>
      <c r="AC1307"/>
      <c r="AD1307"/>
      <c r="AE1307"/>
      <c r="AF1307"/>
      <c r="AG1307"/>
      <c r="AH1307"/>
      <c r="AI1307"/>
      <c r="AJ1307"/>
      <c r="AK1307"/>
      <c r="AL1307"/>
      <c r="AM1307"/>
      <c r="AN1307"/>
      <c r="AO1307"/>
      <c r="AP1307"/>
      <c r="AQ1307"/>
      <c r="AR1307"/>
      <c r="AS1307"/>
      <c r="AT1307"/>
      <c r="AU1307"/>
      <c r="AV1307"/>
      <c r="AW1307"/>
      <c r="AX1307"/>
      <c r="AY1307"/>
      <c r="AZ1307"/>
      <c r="BA1307"/>
      <c r="BB1307"/>
      <c r="BC1307"/>
      <c r="BD1307"/>
      <c r="BE1307"/>
      <c r="BF1307"/>
      <c r="BG1307"/>
      <c r="BH1307"/>
      <c r="BI1307"/>
      <c r="BJ1307"/>
      <c r="BK1307"/>
      <c r="BL1307"/>
      <c r="BM1307"/>
      <c r="BN1307"/>
      <c r="BO1307"/>
      <c r="BP1307"/>
      <c r="BQ1307"/>
      <c r="BR1307"/>
      <c r="BS1307"/>
      <c r="BT1307"/>
      <c r="BU1307"/>
      <c r="BV1307"/>
      <c r="BW1307"/>
      <c r="BX1307"/>
      <c r="BY1307"/>
      <c r="BZ1307"/>
      <c r="CA1307"/>
      <c r="CB1307"/>
      <c r="CC1307"/>
      <c r="CD1307"/>
      <c r="CE1307"/>
      <c r="CF1307"/>
      <c r="CG1307"/>
      <c r="CH1307"/>
      <c r="CI1307"/>
      <c r="CJ1307"/>
      <c r="CK1307"/>
      <c r="CL1307"/>
      <c r="CM1307"/>
      <c r="CN1307"/>
      <c r="CO1307"/>
      <c r="CP1307"/>
      <c r="CQ1307"/>
      <c r="CR1307"/>
      <c r="CS1307"/>
      <c r="CT1307"/>
      <c r="CU1307"/>
      <c r="CV1307"/>
      <c r="CW1307"/>
      <c r="CX1307"/>
      <c r="CY1307"/>
      <c r="CZ1307"/>
      <c r="DA1307"/>
      <c r="DB1307"/>
      <c r="DC1307"/>
      <c r="DD1307"/>
      <c r="DE1307"/>
      <c r="DF1307"/>
      <c r="DG1307"/>
      <c r="DH1307"/>
      <c r="DI1307"/>
      <c r="DJ1307"/>
      <c r="DK1307"/>
      <c r="DL1307"/>
      <c r="DM1307"/>
      <c r="DN1307"/>
      <c r="DO1307"/>
      <c r="DP1307"/>
      <c r="DQ1307"/>
      <c r="DR1307"/>
      <c r="DS1307"/>
      <c r="DT1307"/>
      <c r="DU1307"/>
      <c r="DV1307"/>
      <c r="DW1307"/>
      <c r="DX1307"/>
      <c r="DY1307"/>
      <c r="DZ1307"/>
      <c r="EA1307"/>
      <c r="EB1307"/>
      <c r="EC1307"/>
      <c r="ED1307"/>
      <c r="EE1307"/>
      <c r="EF1307"/>
      <c r="EG1307"/>
      <c r="EH1307"/>
      <c r="EI1307"/>
      <c r="EJ1307"/>
      <c r="EK1307"/>
      <c r="EL1307"/>
      <c r="EM1307"/>
      <c r="EN1307"/>
      <c r="EO1307"/>
      <c r="EP1307"/>
      <c r="EQ1307"/>
      <c r="ER1307"/>
      <c r="ES1307"/>
      <c r="ET1307"/>
      <c r="EU1307"/>
      <c r="EV1307"/>
      <c r="EW1307"/>
      <c r="EX1307"/>
      <c r="EY1307"/>
      <c r="EZ1307"/>
      <c r="FA1307"/>
      <c r="FB1307"/>
      <c r="FC1307"/>
      <c r="FD1307"/>
      <c r="FE1307"/>
      <c r="FF1307"/>
      <c r="FG1307"/>
      <c r="FH1307"/>
      <c r="FI1307"/>
      <c r="FJ1307"/>
      <c r="FK1307"/>
      <c r="FL1307"/>
      <c r="FM1307"/>
      <c r="FN1307"/>
      <c r="FO1307"/>
      <c r="FP1307"/>
      <c r="FQ1307"/>
      <c r="FR1307"/>
      <c r="FS1307"/>
      <c r="FT1307"/>
      <c r="FU1307"/>
      <c r="FV1307"/>
      <c r="FW1307"/>
      <c r="FX1307"/>
      <c r="FY1307"/>
      <c r="FZ1307"/>
      <c r="GA1307"/>
      <c r="GB1307"/>
      <c r="GC1307"/>
      <c r="GD1307"/>
      <c r="GE1307"/>
      <c r="GF1307"/>
      <c r="GG1307"/>
      <c r="GH1307"/>
      <c r="GI1307"/>
      <c r="GJ1307"/>
      <c r="GK1307"/>
      <c r="GL1307"/>
      <c r="GM1307"/>
      <c r="GN1307"/>
      <c r="GO1307"/>
      <c r="GP1307"/>
      <c r="GQ1307"/>
      <c r="GR1307"/>
      <c r="GS1307"/>
      <c r="GT1307"/>
      <c r="GU1307"/>
      <c r="GV1307"/>
      <c r="GW1307"/>
      <c r="GX1307"/>
      <c r="GY1307"/>
      <c r="GZ1307"/>
      <c r="HA1307"/>
      <c r="HB1307"/>
      <c r="HC1307"/>
      <c r="HD1307"/>
      <c r="HE1307"/>
      <c r="HF1307"/>
      <c r="HG1307"/>
      <c r="HH1307"/>
      <c r="HI1307"/>
      <c r="HJ1307"/>
      <c r="HK1307"/>
      <c r="HL1307"/>
      <c r="HM1307"/>
      <c r="HN1307"/>
      <c r="HO1307"/>
      <c r="HP1307"/>
      <c r="HQ1307"/>
      <c r="HR1307"/>
      <c r="HS1307"/>
      <c r="HT1307"/>
      <c r="HU1307"/>
      <c r="HV1307"/>
      <c r="HW1307"/>
      <c r="HX1307"/>
      <c r="HY1307"/>
      <c r="HZ1307"/>
      <c r="IA1307"/>
      <c r="IB1307"/>
      <c r="IC1307"/>
      <c r="ID1307"/>
      <c r="IE1307"/>
      <c r="IF1307"/>
      <c r="IG1307"/>
      <c r="IH1307"/>
      <c r="II1307"/>
      <c r="IJ1307"/>
      <c r="IK1307"/>
      <c r="IL1307"/>
      <c r="IM1307"/>
      <c r="IN1307"/>
      <c r="IO1307"/>
      <c r="IP1307"/>
      <c r="IQ1307"/>
      <c r="IR1307"/>
      <c r="IS1307"/>
      <c r="IT1307"/>
      <c r="IU1307"/>
      <c r="IV1307"/>
      <c r="IW1307"/>
      <c r="IX1307"/>
      <c r="IY1307"/>
      <c r="IZ1307"/>
      <c r="JA1307"/>
      <c r="JB1307"/>
      <c r="JC1307"/>
      <c r="JD1307"/>
      <c r="JE1307"/>
      <c r="JF1307"/>
      <c r="JG1307"/>
      <c r="JH1307"/>
      <c r="JI1307"/>
      <c r="JJ1307"/>
      <c r="JK1307"/>
      <c r="JL1307"/>
      <c r="JM1307"/>
      <c r="JN1307"/>
      <c r="JO1307"/>
      <c r="JP1307"/>
      <c r="JQ1307"/>
      <c r="JR1307"/>
      <c r="JS1307"/>
      <c r="JT1307"/>
      <c r="JU1307"/>
      <c r="JV1307"/>
      <c r="JW1307"/>
      <c r="JX1307"/>
      <c r="JY1307"/>
      <c r="JZ1307"/>
      <c r="KA1307"/>
      <c r="KB1307"/>
      <c r="KC1307"/>
      <c r="KD1307"/>
      <c r="KE1307"/>
      <c r="KF1307"/>
      <c r="KG1307"/>
      <c r="KH1307"/>
      <c r="KI1307"/>
      <c r="KJ1307"/>
      <c r="KK1307"/>
      <c r="KL1307"/>
      <c r="KM1307"/>
      <c r="KN1307"/>
      <c r="KO1307"/>
      <c r="KP1307"/>
      <c r="KQ1307"/>
      <c r="KR1307"/>
      <c r="KS1307"/>
      <c r="KT1307"/>
      <c r="KU1307"/>
      <c r="KV1307"/>
      <c r="KW1307"/>
      <c r="KX1307"/>
      <c r="KY1307"/>
      <c r="KZ1307"/>
      <c r="LA1307"/>
      <c r="LB1307"/>
      <c r="LC1307"/>
      <c r="LD1307"/>
      <c r="LE1307"/>
      <c r="LF1307"/>
      <c r="LG1307"/>
      <c r="LH1307"/>
      <c r="LI1307"/>
      <c r="LJ1307"/>
      <c r="LK1307"/>
      <c r="LL1307"/>
      <c r="LM1307"/>
      <c r="LN1307"/>
      <c r="LO1307"/>
      <c r="LP1307"/>
      <c r="LQ1307"/>
      <c r="LR1307"/>
      <c r="LS1307"/>
      <c r="LT1307"/>
      <c r="LU1307"/>
      <c r="LV1307"/>
      <c r="LW1307"/>
      <c r="LX1307"/>
      <c r="LY1307"/>
      <c r="LZ1307"/>
      <c r="MA1307"/>
      <c r="MB1307"/>
      <c r="MC1307"/>
      <c r="MD1307"/>
      <c r="ME1307"/>
      <c r="MF1307"/>
      <c r="MG1307"/>
      <c r="MH1307"/>
      <c r="MI1307"/>
      <c r="MJ1307"/>
      <c r="MK1307"/>
      <c r="ML1307"/>
      <c r="MM1307"/>
      <c r="MN1307"/>
      <c r="MO1307"/>
      <c r="MP1307"/>
      <c r="MQ1307"/>
      <c r="MR1307"/>
      <c r="MS1307"/>
      <c r="MT1307"/>
      <c r="MU1307"/>
      <c r="MV1307"/>
      <c r="MW1307"/>
      <c r="MX1307"/>
      <c r="MY1307"/>
      <c r="MZ1307"/>
      <c r="NA1307"/>
      <c r="NB1307"/>
      <c r="NC1307"/>
      <c r="ND1307"/>
      <c r="NE1307"/>
      <c r="NF1307"/>
      <c r="NG1307"/>
      <c r="NH1307"/>
      <c r="NI1307"/>
      <c r="NJ1307"/>
      <c r="NK1307"/>
      <c r="NL1307"/>
      <c r="NM1307"/>
      <c r="NN1307"/>
      <c r="NO1307"/>
      <c r="NP1307"/>
      <c r="NQ1307"/>
      <c r="NR1307"/>
      <c r="NS1307"/>
      <c r="NT1307"/>
      <c r="NU1307"/>
      <c r="NV1307"/>
      <c r="NW1307"/>
      <c r="NX1307"/>
      <c r="NY1307"/>
      <c r="NZ1307"/>
      <c r="OA1307"/>
      <c r="OB1307"/>
      <c r="OC1307"/>
      <c r="OD1307"/>
      <c r="OE1307"/>
      <c r="OF1307"/>
      <c r="OG1307"/>
      <c r="OH1307"/>
      <c r="OI1307"/>
      <c r="OJ1307"/>
      <c r="OK1307"/>
      <c r="OL1307"/>
      <c r="OM1307"/>
      <c r="ON1307"/>
      <c r="OO1307"/>
      <c r="OP1307"/>
      <c r="OQ1307"/>
      <c r="OR1307"/>
      <c r="OS1307"/>
      <c r="OT1307"/>
      <c r="OU1307"/>
      <c r="OV1307"/>
      <c r="OW1307"/>
      <c r="OX1307"/>
      <c r="OY1307"/>
      <c r="OZ1307"/>
      <c r="PA1307"/>
      <c r="PB1307"/>
      <c r="PC1307"/>
      <c r="PD1307"/>
      <c r="PE1307"/>
      <c r="PF1307"/>
      <c r="PG1307"/>
      <c r="PH1307"/>
      <c r="PI1307"/>
      <c r="PJ1307"/>
      <c r="PK1307"/>
      <c r="PL1307"/>
      <c r="PM1307"/>
      <c r="PN1307"/>
      <c r="PO1307"/>
      <c r="PP1307"/>
      <c r="PQ1307"/>
      <c r="PR1307"/>
      <c r="PS1307"/>
      <c r="PT1307"/>
      <c r="PU1307"/>
      <c r="PV1307"/>
      <c r="PW1307"/>
      <c r="PX1307"/>
      <c r="PY1307"/>
      <c r="PZ1307"/>
      <c r="QA1307"/>
      <c r="QB1307"/>
      <c r="QC1307"/>
      <c r="QD1307"/>
      <c r="QE1307"/>
      <c r="QF1307"/>
      <c r="QG1307"/>
      <c r="QH1307"/>
      <c r="QI1307"/>
      <c r="QJ1307"/>
      <c r="QK1307"/>
      <c r="QL1307"/>
      <c r="QM1307"/>
      <c r="QN1307"/>
      <c r="QO1307"/>
      <c r="QP1307"/>
      <c r="QQ1307"/>
      <c r="QR1307"/>
      <c r="QS1307"/>
      <c r="QT1307"/>
      <c r="QU1307"/>
      <c r="QV1307"/>
      <c r="QW1307"/>
      <c r="QX1307"/>
      <c r="QY1307"/>
      <c r="QZ1307"/>
      <c r="RA1307"/>
      <c r="RB1307"/>
      <c r="RC1307"/>
      <c r="RD1307"/>
      <c r="RE1307"/>
      <c r="RF1307"/>
      <c r="RG1307"/>
      <c r="RH1307"/>
      <c r="RI1307"/>
      <c r="RJ1307"/>
      <c r="RK1307"/>
      <c r="RL1307"/>
      <c r="RM1307"/>
      <c r="RN1307"/>
      <c r="RO1307"/>
      <c r="RP1307"/>
      <c r="RQ1307"/>
      <c r="RR1307"/>
      <c r="RS1307"/>
      <c r="RT1307"/>
      <c r="RU1307"/>
      <c r="RV1307"/>
      <c r="RW1307"/>
      <c r="RX1307"/>
      <c r="RY1307"/>
      <c r="RZ1307"/>
      <c r="SA1307"/>
      <c r="SB1307"/>
      <c r="SC1307"/>
      <c r="SD1307"/>
      <c r="SE1307"/>
      <c r="SF1307"/>
      <c r="SG1307"/>
      <c r="SH1307"/>
      <c r="SI1307"/>
      <c r="SJ1307"/>
      <c r="SK1307"/>
      <c r="SL1307"/>
      <c r="SM1307"/>
      <c r="SN1307"/>
      <c r="SO1307"/>
      <c r="SP1307"/>
      <c r="SQ1307"/>
      <c r="SR1307"/>
      <c r="SS1307"/>
      <c r="ST1307"/>
      <c r="SU1307"/>
      <c r="SV1307"/>
      <c r="SW1307"/>
      <c r="SX1307"/>
      <c r="SY1307"/>
      <c r="SZ1307"/>
      <c r="TA1307"/>
      <c r="TB1307"/>
      <c r="TC1307"/>
      <c r="TD1307"/>
      <c r="TE1307"/>
      <c r="TF1307"/>
      <c r="TG1307"/>
      <c r="TH1307"/>
      <c r="TI1307"/>
      <c r="TJ1307"/>
      <c r="TK1307"/>
      <c r="TL1307"/>
      <c r="TM1307"/>
      <c r="TN1307"/>
      <c r="TO1307"/>
      <c r="TP1307"/>
      <c r="TQ1307"/>
      <c r="TR1307"/>
      <c r="TS1307"/>
      <c r="TT1307"/>
      <c r="TU1307"/>
      <c r="TV1307"/>
      <c r="TW1307"/>
      <c r="TX1307"/>
      <c r="TY1307"/>
      <c r="TZ1307"/>
      <c r="UA1307"/>
      <c r="UB1307"/>
      <c r="UC1307"/>
      <c r="UD1307"/>
      <c r="UE1307"/>
      <c r="UF1307"/>
      <c r="UG1307"/>
      <c r="UH1307"/>
      <c r="UI1307"/>
      <c r="UJ1307"/>
      <c r="UK1307"/>
      <c r="UL1307"/>
      <c r="UM1307"/>
      <c r="UN1307"/>
      <c r="UO1307"/>
      <c r="UP1307"/>
      <c r="UQ1307"/>
      <c r="UR1307"/>
      <c r="US1307"/>
      <c r="UT1307"/>
      <c r="UU1307"/>
      <c r="UV1307"/>
      <c r="UW1307"/>
      <c r="UX1307"/>
      <c r="UY1307"/>
      <c r="UZ1307"/>
      <c r="VA1307"/>
      <c r="VB1307"/>
      <c r="VC1307"/>
      <c r="VD1307"/>
      <c r="VE1307"/>
      <c r="VF1307"/>
      <c r="VG1307"/>
      <c r="VH1307"/>
      <c r="VI1307"/>
      <c r="VJ1307"/>
      <c r="VK1307"/>
      <c r="VL1307"/>
      <c r="VM1307"/>
      <c r="VN1307"/>
      <c r="VO1307"/>
      <c r="VP1307"/>
      <c r="VQ1307"/>
      <c r="VR1307"/>
      <c r="VS1307"/>
      <c r="VT1307"/>
      <c r="VU1307"/>
      <c r="VV1307"/>
      <c r="VW1307"/>
      <c r="VX1307"/>
      <c r="VY1307"/>
      <c r="VZ1307"/>
      <c r="WA1307"/>
      <c r="WB1307"/>
      <c r="WC1307"/>
      <c r="WD1307"/>
      <c r="WE1307"/>
      <c r="WF1307"/>
      <c r="WG1307"/>
      <c r="WH1307"/>
      <c r="WI1307"/>
      <c r="WJ1307"/>
      <c r="WK1307"/>
      <c r="WL1307"/>
      <c r="WM1307"/>
      <c r="WN1307"/>
      <c r="WO1307"/>
      <c r="WP1307"/>
      <c r="WQ1307"/>
      <c r="WR1307"/>
      <c r="WS1307"/>
      <c r="WT1307"/>
      <c r="WU1307"/>
      <c r="WV1307"/>
      <c r="WW1307"/>
      <c r="WX1307"/>
      <c r="WY1307"/>
      <c r="WZ1307"/>
      <c r="XA1307"/>
      <c r="XB1307"/>
      <c r="XC1307"/>
      <c r="XD1307"/>
      <c r="XE1307"/>
      <c r="XF1307"/>
      <c r="XG1307"/>
      <c r="XH1307"/>
      <c r="XI1307"/>
      <c r="XJ1307"/>
      <c r="XK1307"/>
      <c r="XL1307"/>
      <c r="XM1307"/>
      <c r="XN1307"/>
      <c r="XO1307"/>
      <c r="XP1307"/>
      <c r="XQ1307"/>
      <c r="XR1307"/>
      <c r="XS1307"/>
      <c r="XT1307"/>
      <c r="XU1307"/>
      <c r="XV1307"/>
      <c r="XW1307"/>
      <c r="XX1307"/>
      <c r="XY1307"/>
      <c r="XZ1307"/>
      <c r="YA1307"/>
      <c r="YB1307"/>
      <c r="YC1307"/>
      <c r="YD1307"/>
      <c r="YE1307"/>
      <c r="YF1307"/>
      <c r="YG1307"/>
      <c r="YH1307"/>
      <c r="YI1307"/>
      <c r="YJ1307"/>
      <c r="YK1307"/>
      <c r="YL1307"/>
      <c r="YM1307"/>
      <c r="YN1307"/>
      <c r="YO1307"/>
      <c r="YP1307"/>
      <c r="YQ1307"/>
      <c r="YR1307"/>
      <c r="YS1307"/>
      <c r="YT1307"/>
      <c r="YU1307"/>
      <c r="YV1307"/>
      <c r="YW1307"/>
      <c r="YX1307"/>
      <c r="YY1307"/>
      <c r="YZ1307"/>
      <c r="ZA1307"/>
      <c r="ZB1307"/>
      <c r="ZC1307"/>
      <c r="ZD1307"/>
      <c r="ZE1307"/>
      <c r="ZF1307"/>
      <c r="ZG1307"/>
      <c r="ZH1307"/>
      <c r="ZI1307"/>
      <c r="ZJ1307"/>
      <c r="ZK1307"/>
      <c r="ZL1307"/>
      <c r="ZM1307"/>
      <c r="ZN1307"/>
      <c r="ZO1307"/>
      <c r="ZP1307"/>
      <c r="ZQ1307"/>
      <c r="ZR1307"/>
      <c r="ZS1307"/>
      <c r="ZT1307"/>
      <c r="ZU1307"/>
      <c r="ZV1307"/>
      <c r="ZW1307"/>
      <c r="ZX1307"/>
      <c r="ZY1307"/>
      <c r="ZZ1307"/>
      <c r="AAA1307"/>
      <c r="AAB1307"/>
      <c r="AAC1307"/>
      <c r="AAD1307"/>
      <c r="AAE1307"/>
      <c r="AAF1307"/>
      <c r="AAG1307"/>
      <c r="AAH1307"/>
      <c r="AAI1307"/>
      <c r="AAJ1307"/>
      <c r="AAK1307"/>
      <c r="AAL1307"/>
      <c r="AAM1307"/>
      <c r="AAN1307"/>
      <c r="AAO1307"/>
      <c r="AAP1307"/>
      <c r="AAQ1307"/>
      <c r="AAR1307"/>
      <c r="AAS1307"/>
      <c r="AAT1307"/>
      <c r="AAU1307"/>
      <c r="AAV1307"/>
      <c r="AAW1307"/>
      <c r="AAX1307"/>
      <c r="AAY1307"/>
      <c r="AAZ1307"/>
      <c r="ABA1307"/>
      <c r="ABB1307"/>
      <c r="ABC1307"/>
      <c r="ABD1307"/>
      <c r="ABE1307"/>
      <c r="ABF1307"/>
      <c r="ABG1307"/>
      <c r="ABH1307"/>
      <c r="ABI1307"/>
      <c r="ABJ1307"/>
      <c r="ABK1307"/>
      <c r="ABL1307"/>
      <c r="ABM1307"/>
      <c r="ABN1307"/>
      <c r="ABO1307"/>
      <c r="ABP1307"/>
      <c r="ABQ1307"/>
      <c r="ABR1307"/>
      <c r="ABS1307"/>
      <c r="ABT1307"/>
      <c r="ABU1307"/>
      <c r="ABV1307"/>
      <c r="ABW1307"/>
      <c r="ABX1307"/>
      <c r="ABY1307"/>
      <c r="ABZ1307"/>
      <c r="ACA1307"/>
      <c r="ACB1307"/>
      <c r="ACC1307"/>
      <c r="ACD1307"/>
      <c r="ACE1307"/>
      <c r="ACF1307"/>
      <c r="ACG1307"/>
      <c r="ACH1307"/>
      <c r="ACI1307"/>
      <c r="ACJ1307"/>
      <c r="ACK1307"/>
      <c r="ACL1307"/>
      <c r="ACM1307"/>
      <c r="ACN1307"/>
      <c r="ACO1307"/>
      <c r="ACP1307"/>
      <c r="ACQ1307"/>
      <c r="ACR1307"/>
      <c r="ACS1307"/>
      <c r="ACT1307"/>
      <c r="ACU1307"/>
      <c r="ACV1307"/>
      <c r="ACW1307"/>
      <c r="ACX1307"/>
      <c r="ACY1307"/>
      <c r="ACZ1307"/>
      <c r="ADA1307"/>
      <c r="ADB1307"/>
      <c r="ADC1307"/>
      <c r="ADD1307"/>
      <c r="ADE1307"/>
      <c r="ADF1307"/>
      <c r="ADG1307"/>
      <c r="ADH1307"/>
      <c r="ADI1307"/>
      <c r="ADJ1307"/>
      <c r="ADK1307"/>
      <c r="ADL1307"/>
      <c r="ADM1307"/>
      <c r="ADN1307"/>
      <c r="ADO1307"/>
      <c r="ADP1307"/>
      <c r="ADQ1307"/>
      <c r="ADR1307"/>
      <c r="ADS1307"/>
      <c r="ADT1307"/>
      <c r="ADU1307"/>
      <c r="ADV1307"/>
      <c r="ADW1307"/>
      <c r="ADX1307"/>
      <c r="ADY1307"/>
      <c r="ADZ1307"/>
      <c r="AEA1307"/>
      <c r="AEB1307"/>
      <c r="AEC1307"/>
      <c r="AED1307"/>
      <c r="AEE1307"/>
      <c r="AEF1307"/>
      <c r="AEG1307"/>
      <c r="AEH1307"/>
      <c r="AEI1307"/>
      <c r="AEJ1307"/>
      <c r="AEK1307"/>
      <c r="AEL1307"/>
      <c r="AEM1307"/>
      <c r="AEN1307"/>
      <c r="AEO1307"/>
      <c r="AEP1307"/>
      <c r="AEQ1307"/>
      <c r="AER1307"/>
      <c r="AES1307"/>
      <c r="AET1307"/>
      <c r="AEU1307"/>
      <c r="AEV1307"/>
      <c r="AEW1307"/>
      <c r="AEX1307"/>
      <c r="AEY1307"/>
      <c r="AEZ1307"/>
      <c r="AFA1307"/>
      <c r="AFB1307"/>
      <c r="AFC1307"/>
      <c r="AFD1307"/>
      <c r="AFE1307"/>
      <c r="AFF1307"/>
      <c r="AFG1307"/>
      <c r="AFH1307"/>
      <c r="AFI1307"/>
      <c r="AFJ1307"/>
      <c r="AFK1307"/>
      <c r="AFL1307"/>
      <c r="AFM1307"/>
      <c r="AFN1307"/>
      <c r="AFO1307"/>
      <c r="AFP1307"/>
      <c r="AFQ1307"/>
      <c r="AFR1307"/>
      <c r="AFS1307"/>
      <c r="AFT1307"/>
      <c r="AFU1307"/>
      <c r="AFV1307"/>
      <c r="AFW1307"/>
      <c r="AFX1307"/>
      <c r="AFY1307"/>
      <c r="AFZ1307"/>
      <c r="AGA1307"/>
      <c r="AGB1307"/>
      <c r="AGC1307"/>
      <c r="AGD1307"/>
      <c r="AGE1307"/>
      <c r="AGF1307"/>
      <c r="AGG1307"/>
      <c r="AGH1307"/>
      <c r="AGI1307"/>
      <c r="AGJ1307"/>
      <c r="AGK1307"/>
      <c r="AGL1307"/>
      <c r="AGM1307"/>
      <c r="AGN1307"/>
      <c r="AGO1307"/>
      <c r="AGP1307"/>
      <c r="AGQ1307"/>
      <c r="AGR1307"/>
      <c r="AGS1307"/>
      <c r="AGT1307"/>
      <c r="AGU1307"/>
      <c r="AGV1307"/>
      <c r="AGW1307"/>
      <c r="AGX1307"/>
      <c r="AGY1307"/>
      <c r="AGZ1307"/>
      <c r="AHA1307"/>
      <c r="AHB1307"/>
      <c r="AHC1307"/>
      <c r="AHD1307"/>
      <c r="AHE1307"/>
      <c r="AHF1307"/>
      <c r="AHG1307"/>
      <c r="AHH1307"/>
      <c r="AHI1307"/>
      <c r="AHJ1307"/>
      <c r="AHK1307"/>
      <c r="AHL1307"/>
      <c r="AHM1307"/>
      <c r="AHN1307"/>
      <c r="AHO1307"/>
      <c r="AHP1307"/>
      <c r="AHQ1307"/>
      <c r="AHR1307"/>
      <c r="AHS1307"/>
      <c r="AHT1307"/>
      <c r="AHU1307"/>
      <c r="AHV1307"/>
      <c r="AHW1307"/>
      <c r="AHX1307"/>
      <c r="AHY1307"/>
      <c r="AHZ1307"/>
      <c r="AIA1307"/>
      <c r="AIB1307"/>
      <c r="AIC1307"/>
      <c r="AID1307"/>
      <c r="AIE1307"/>
      <c r="AIF1307"/>
      <c r="AIG1307"/>
      <c r="AIH1307"/>
      <c r="AII1307"/>
      <c r="AIJ1307"/>
      <c r="AIK1307"/>
      <c r="AIL1307"/>
      <c r="AIM1307"/>
      <c r="AIN1307"/>
      <c r="AIO1307"/>
      <c r="AIP1307"/>
      <c r="AIQ1307"/>
      <c r="AIR1307"/>
      <c r="AIS1307"/>
      <c r="AIT1307"/>
      <c r="AIU1307"/>
      <c r="AIV1307"/>
      <c r="AIW1307"/>
      <c r="AIX1307"/>
      <c r="AIY1307"/>
      <c r="AIZ1307"/>
      <c r="AJA1307"/>
      <c r="AJB1307"/>
      <c r="AJC1307"/>
      <c r="AJD1307"/>
      <c r="AJE1307"/>
      <c r="AJF1307"/>
      <c r="AJG1307"/>
      <c r="AJH1307"/>
      <c r="AJI1307"/>
      <c r="AJJ1307"/>
      <c r="AJK1307"/>
      <c r="AJL1307"/>
      <c r="AJM1307"/>
      <c r="AJN1307"/>
      <c r="AJO1307"/>
      <c r="AJP1307"/>
      <c r="AJQ1307"/>
      <c r="AJR1307"/>
      <c r="AJS1307"/>
      <c r="AJT1307"/>
      <c r="AJU1307"/>
      <c r="AJV1307"/>
      <c r="AJW1307"/>
      <c r="AJX1307"/>
      <c r="AJY1307"/>
      <c r="AJZ1307"/>
      <c r="AKA1307"/>
      <c r="AKB1307"/>
      <c r="AKC1307"/>
      <c r="AKD1307"/>
      <c r="AKE1307"/>
      <c r="AKF1307"/>
      <c r="AKG1307"/>
      <c r="AKH1307"/>
      <c r="AKI1307"/>
      <c r="AKJ1307"/>
      <c r="AKK1307"/>
      <c r="AKL1307"/>
      <c r="AKM1307"/>
      <c r="AKN1307"/>
      <c r="AKO1307"/>
      <c r="AKP1307"/>
      <c r="AKQ1307"/>
      <c r="AKR1307"/>
      <c r="AKS1307"/>
      <c r="AKT1307"/>
      <c r="AKU1307"/>
      <c r="AKV1307"/>
      <c r="AKW1307"/>
      <c r="AKX1307"/>
      <c r="AKY1307"/>
      <c r="AKZ1307"/>
      <c r="ALA1307"/>
      <c r="ALB1307"/>
      <c r="ALC1307"/>
      <c r="ALD1307"/>
      <c r="ALE1307"/>
      <c r="ALF1307"/>
      <c r="ALG1307"/>
      <c r="ALH1307"/>
      <c r="ALI1307"/>
      <c r="ALJ1307"/>
      <c r="ALK1307"/>
      <c r="ALL1307"/>
      <c r="ALM1307"/>
      <c r="ALN1307"/>
      <c r="ALO1307"/>
      <c r="ALP1307"/>
      <c r="ALQ1307"/>
      <c r="ALR1307"/>
      <c r="ALS1307"/>
      <c r="ALT1307"/>
    </row>
    <row r="1308" spans="1:1008" x14ac:dyDescent="0.15">
      <c r="A1308" t="s">
        <v>4069</v>
      </c>
      <c r="B1308" s="8" t="s">
        <v>4083</v>
      </c>
      <c r="C1308" t="s">
        <v>4069</v>
      </c>
      <c r="D1308" s="8" t="s">
        <v>15</v>
      </c>
      <c r="E1308" t="s">
        <v>4069</v>
      </c>
      <c r="F1308" t="s">
        <v>4070</v>
      </c>
      <c r="G1308">
        <v>550</v>
      </c>
      <c r="H1308"/>
      <c r="I1308"/>
      <c r="J1308"/>
      <c r="K1308"/>
      <c r="L1308"/>
      <c r="M1308"/>
      <c r="N1308"/>
      <c r="O1308"/>
      <c r="P1308"/>
      <c r="Q1308"/>
      <c r="R1308"/>
      <c r="S1308"/>
      <c r="T1308"/>
      <c r="U1308"/>
      <c r="V1308"/>
      <c r="W1308"/>
      <c r="X1308"/>
      <c r="Y1308"/>
      <c r="Z1308"/>
      <c r="AA1308"/>
      <c r="AB1308"/>
      <c r="AC1308"/>
      <c r="AD1308"/>
      <c r="AE1308"/>
      <c r="AF1308"/>
      <c r="AG1308"/>
      <c r="AH1308"/>
      <c r="AI1308"/>
      <c r="AJ1308"/>
      <c r="AK1308"/>
      <c r="AL1308"/>
      <c r="AM1308"/>
      <c r="AN1308"/>
      <c r="AO1308"/>
      <c r="AP1308"/>
      <c r="AQ1308"/>
      <c r="AR1308"/>
      <c r="AS1308"/>
      <c r="AT1308"/>
      <c r="AU1308"/>
      <c r="AV1308"/>
      <c r="AW1308"/>
      <c r="AX1308"/>
      <c r="AY1308"/>
      <c r="AZ1308"/>
      <c r="BA1308"/>
      <c r="BB1308"/>
      <c r="BC1308"/>
      <c r="BD1308"/>
      <c r="BE1308"/>
      <c r="BF1308"/>
      <c r="BG1308"/>
      <c r="BH1308"/>
      <c r="BI1308"/>
      <c r="BJ1308"/>
      <c r="BK1308"/>
      <c r="BL1308"/>
      <c r="BM1308"/>
      <c r="BN1308"/>
      <c r="BO1308"/>
      <c r="BP1308"/>
      <c r="BQ1308"/>
      <c r="BR1308"/>
      <c r="BS1308"/>
      <c r="BT1308"/>
      <c r="BU1308"/>
      <c r="BV1308"/>
      <c r="BW1308"/>
      <c r="BX1308"/>
      <c r="BY1308"/>
      <c r="BZ1308"/>
      <c r="CA1308"/>
      <c r="CB1308"/>
      <c r="CC1308"/>
      <c r="CD1308"/>
      <c r="CE1308"/>
      <c r="CF1308"/>
      <c r="CG1308"/>
      <c r="CH1308"/>
      <c r="CI1308"/>
      <c r="CJ1308"/>
      <c r="CK1308"/>
      <c r="CL1308"/>
      <c r="CM1308"/>
      <c r="CN1308"/>
      <c r="CO1308"/>
      <c r="CP1308"/>
      <c r="CQ1308"/>
      <c r="CR1308"/>
      <c r="CS1308"/>
      <c r="CT1308"/>
      <c r="CU1308"/>
      <c r="CV1308"/>
      <c r="CW1308"/>
      <c r="CX1308"/>
      <c r="CY1308"/>
      <c r="CZ1308"/>
      <c r="DA1308"/>
      <c r="DB1308"/>
      <c r="DC1308"/>
      <c r="DD1308"/>
      <c r="DE1308"/>
      <c r="DF1308"/>
      <c r="DG1308"/>
      <c r="DH1308"/>
      <c r="DI1308"/>
      <c r="DJ1308"/>
      <c r="DK1308"/>
      <c r="DL1308"/>
      <c r="DM1308"/>
      <c r="DN1308"/>
      <c r="DO1308"/>
      <c r="DP1308"/>
      <c r="DQ1308"/>
      <c r="DR1308"/>
      <c r="DS1308"/>
      <c r="DT1308"/>
      <c r="DU1308"/>
      <c r="DV1308"/>
      <c r="DW1308"/>
      <c r="DX1308"/>
      <c r="DY1308"/>
      <c r="DZ1308"/>
      <c r="EA1308"/>
      <c r="EB1308"/>
      <c r="EC1308"/>
      <c r="ED1308"/>
      <c r="EE1308"/>
      <c r="EF1308"/>
      <c r="EG1308"/>
      <c r="EH1308"/>
      <c r="EI1308"/>
      <c r="EJ1308"/>
      <c r="EK1308"/>
      <c r="EL1308"/>
      <c r="EM1308"/>
      <c r="EN1308"/>
      <c r="EO1308"/>
      <c r="EP1308"/>
      <c r="EQ1308"/>
      <c r="ER1308"/>
      <c r="ES1308"/>
      <c r="ET1308"/>
      <c r="EU1308"/>
      <c r="EV1308"/>
      <c r="EW1308"/>
      <c r="EX1308"/>
      <c r="EY1308"/>
      <c r="EZ1308"/>
      <c r="FA1308"/>
      <c r="FB1308"/>
      <c r="FC1308"/>
      <c r="FD1308"/>
      <c r="FE1308"/>
      <c r="FF1308"/>
      <c r="FG1308"/>
      <c r="FH1308"/>
      <c r="FI1308"/>
      <c r="FJ1308"/>
      <c r="FK1308"/>
      <c r="FL1308"/>
      <c r="FM1308"/>
      <c r="FN1308"/>
      <c r="FO1308"/>
      <c r="FP1308"/>
      <c r="FQ1308"/>
      <c r="FR1308"/>
      <c r="FS1308"/>
      <c r="FT1308"/>
      <c r="FU1308"/>
      <c r="FV1308"/>
      <c r="FW1308"/>
      <c r="FX1308"/>
      <c r="FY1308"/>
      <c r="FZ1308"/>
      <c r="GA1308"/>
      <c r="GB1308"/>
      <c r="GC1308"/>
      <c r="GD1308"/>
      <c r="GE1308"/>
      <c r="GF1308"/>
      <c r="GG1308"/>
      <c r="GH1308"/>
      <c r="GI1308"/>
      <c r="GJ1308"/>
      <c r="GK1308"/>
      <c r="GL1308"/>
      <c r="GM1308"/>
      <c r="GN1308"/>
      <c r="GO1308"/>
      <c r="GP1308"/>
      <c r="GQ1308"/>
      <c r="GR1308"/>
      <c r="GS1308"/>
      <c r="GT1308"/>
      <c r="GU1308"/>
      <c r="GV1308"/>
      <c r="GW1308"/>
      <c r="GX1308"/>
      <c r="GY1308"/>
      <c r="GZ1308"/>
      <c r="HA1308"/>
      <c r="HB1308"/>
      <c r="HC1308"/>
      <c r="HD1308"/>
      <c r="HE1308"/>
      <c r="HF1308"/>
      <c r="HG1308"/>
      <c r="HH1308"/>
      <c r="HI1308"/>
      <c r="HJ1308"/>
      <c r="HK1308"/>
      <c r="HL1308"/>
      <c r="HM1308"/>
      <c r="HN1308"/>
      <c r="HO1308"/>
      <c r="HP1308"/>
      <c r="HQ1308"/>
      <c r="HR1308"/>
      <c r="HS1308"/>
      <c r="HT1308"/>
      <c r="HU1308"/>
      <c r="HV1308"/>
      <c r="HW1308"/>
      <c r="HX1308"/>
      <c r="HY1308"/>
      <c r="HZ1308"/>
      <c r="IA1308"/>
      <c r="IB1308"/>
      <c r="IC1308"/>
      <c r="ID1308"/>
      <c r="IE1308"/>
      <c r="IF1308"/>
      <c r="IG1308"/>
      <c r="IH1308"/>
      <c r="II1308"/>
      <c r="IJ1308"/>
      <c r="IK1308"/>
      <c r="IL1308"/>
      <c r="IM1308"/>
      <c r="IN1308"/>
      <c r="IO1308"/>
      <c r="IP1308"/>
      <c r="IQ1308"/>
      <c r="IR1308"/>
      <c r="IS1308"/>
      <c r="IT1308"/>
      <c r="IU1308"/>
      <c r="IV1308"/>
      <c r="IW1308"/>
      <c r="IX1308"/>
      <c r="IY1308"/>
      <c r="IZ1308"/>
      <c r="JA1308"/>
      <c r="JB1308"/>
      <c r="JC1308"/>
      <c r="JD1308"/>
      <c r="JE1308"/>
      <c r="JF1308"/>
      <c r="JG1308"/>
      <c r="JH1308"/>
      <c r="JI1308"/>
      <c r="JJ1308"/>
      <c r="JK1308"/>
      <c r="JL1308"/>
      <c r="JM1308"/>
      <c r="JN1308"/>
      <c r="JO1308"/>
      <c r="JP1308"/>
      <c r="JQ1308"/>
      <c r="JR1308"/>
      <c r="JS1308"/>
      <c r="JT1308"/>
      <c r="JU1308"/>
      <c r="JV1308"/>
      <c r="JW1308"/>
      <c r="JX1308"/>
      <c r="JY1308"/>
      <c r="JZ1308"/>
      <c r="KA1308"/>
      <c r="KB1308"/>
      <c r="KC1308"/>
      <c r="KD1308"/>
      <c r="KE1308"/>
      <c r="KF1308"/>
      <c r="KG1308"/>
      <c r="KH1308"/>
      <c r="KI1308"/>
      <c r="KJ1308"/>
      <c r="KK1308"/>
      <c r="KL1308"/>
      <c r="KM1308"/>
      <c r="KN1308"/>
      <c r="KO1308"/>
      <c r="KP1308"/>
      <c r="KQ1308"/>
      <c r="KR1308"/>
      <c r="KS1308"/>
      <c r="KT1308"/>
      <c r="KU1308"/>
      <c r="KV1308"/>
      <c r="KW1308"/>
      <c r="KX1308"/>
      <c r="KY1308"/>
      <c r="KZ1308"/>
      <c r="LA1308"/>
      <c r="LB1308"/>
      <c r="LC1308"/>
      <c r="LD1308"/>
      <c r="LE1308"/>
      <c r="LF1308"/>
      <c r="LG1308"/>
      <c r="LH1308"/>
      <c r="LI1308"/>
      <c r="LJ1308"/>
      <c r="LK1308"/>
      <c r="LL1308"/>
      <c r="LM1308"/>
      <c r="LN1308"/>
      <c r="LO1308"/>
      <c r="LP1308"/>
      <c r="LQ1308"/>
      <c r="LR1308"/>
      <c r="LS1308"/>
      <c r="LT1308"/>
      <c r="LU1308"/>
      <c r="LV1308"/>
      <c r="LW1308"/>
      <c r="LX1308"/>
      <c r="LY1308"/>
      <c r="LZ1308"/>
      <c r="MA1308"/>
      <c r="MB1308"/>
      <c r="MC1308"/>
      <c r="MD1308"/>
      <c r="ME1308"/>
      <c r="MF1308"/>
      <c r="MG1308"/>
      <c r="MH1308"/>
      <c r="MI1308"/>
      <c r="MJ1308"/>
      <c r="MK1308"/>
      <c r="ML1308"/>
      <c r="MM1308"/>
      <c r="MN1308"/>
      <c r="MO1308"/>
      <c r="MP1308"/>
      <c r="MQ1308"/>
      <c r="MR1308"/>
      <c r="MS1308"/>
      <c r="MT1308"/>
      <c r="MU1308"/>
      <c r="MV1308"/>
      <c r="MW1308"/>
      <c r="MX1308"/>
      <c r="MY1308"/>
      <c r="MZ1308"/>
      <c r="NA1308"/>
      <c r="NB1308"/>
      <c r="NC1308"/>
      <c r="ND1308"/>
      <c r="NE1308"/>
      <c r="NF1308"/>
      <c r="NG1308"/>
      <c r="NH1308"/>
      <c r="NI1308"/>
      <c r="NJ1308"/>
      <c r="NK1308"/>
      <c r="NL1308"/>
      <c r="NM1308"/>
      <c r="NN1308"/>
      <c r="NO1308"/>
      <c r="NP1308"/>
      <c r="NQ1308"/>
      <c r="NR1308"/>
      <c r="NS1308"/>
      <c r="NT1308"/>
      <c r="NU1308"/>
      <c r="NV1308"/>
      <c r="NW1308"/>
      <c r="NX1308"/>
      <c r="NY1308"/>
      <c r="NZ1308"/>
      <c r="OA1308"/>
      <c r="OB1308"/>
      <c r="OC1308"/>
      <c r="OD1308"/>
      <c r="OE1308"/>
      <c r="OF1308"/>
      <c r="OG1308"/>
      <c r="OH1308"/>
      <c r="OI1308"/>
      <c r="OJ1308"/>
      <c r="OK1308"/>
      <c r="OL1308"/>
      <c r="OM1308"/>
      <c r="ON1308"/>
      <c r="OO1308"/>
      <c r="OP1308"/>
      <c r="OQ1308"/>
      <c r="OR1308"/>
      <c r="OS1308"/>
      <c r="OT1308"/>
      <c r="OU1308"/>
      <c r="OV1308"/>
      <c r="OW1308"/>
      <c r="OX1308"/>
      <c r="OY1308"/>
      <c r="OZ1308"/>
      <c r="PA1308"/>
      <c r="PB1308"/>
      <c r="PC1308"/>
      <c r="PD1308"/>
      <c r="PE1308"/>
      <c r="PF1308"/>
      <c r="PG1308"/>
      <c r="PH1308"/>
      <c r="PI1308"/>
      <c r="PJ1308"/>
      <c r="PK1308"/>
      <c r="PL1308"/>
      <c r="PM1308"/>
      <c r="PN1308"/>
      <c r="PO1308"/>
      <c r="PP1308"/>
      <c r="PQ1308"/>
      <c r="PR1308"/>
      <c r="PS1308"/>
      <c r="PT1308"/>
      <c r="PU1308"/>
      <c r="PV1308"/>
      <c r="PW1308"/>
      <c r="PX1308"/>
      <c r="PY1308"/>
      <c r="PZ1308"/>
      <c r="QA1308"/>
      <c r="QB1308"/>
      <c r="QC1308"/>
      <c r="QD1308"/>
      <c r="QE1308"/>
      <c r="QF1308"/>
      <c r="QG1308"/>
      <c r="QH1308"/>
      <c r="QI1308"/>
      <c r="QJ1308"/>
      <c r="QK1308"/>
      <c r="QL1308"/>
      <c r="QM1308"/>
      <c r="QN1308"/>
      <c r="QO1308"/>
      <c r="QP1308"/>
      <c r="QQ1308"/>
      <c r="QR1308"/>
      <c r="QS1308"/>
      <c r="QT1308"/>
      <c r="QU1308"/>
      <c r="QV1308"/>
      <c r="QW1308"/>
      <c r="QX1308"/>
      <c r="QY1308"/>
      <c r="QZ1308"/>
      <c r="RA1308"/>
      <c r="RB1308"/>
      <c r="RC1308"/>
      <c r="RD1308"/>
      <c r="RE1308"/>
      <c r="RF1308"/>
      <c r="RG1308"/>
      <c r="RH1308"/>
      <c r="RI1308"/>
      <c r="RJ1308"/>
      <c r="RK1308"/>
      <c r="RL1308"/>
      <c r="RM1308"/>
      <c r="RN1308"/>
      <c r="RO1308"/>
      <c r="RP1308"/>
      <c r="RQ1308"/>
      <c r="RR1308"/>
      <c r="RS1308"/>
      <c r="RT1308"/>
      <c r="RU1308"/>
      <c r="RV1308"/>
      <c r="RW1308"/>
      <c r="RX1308"/>
      <c r="RY1308"/>
      <c r="RZ1308"/>
      <c r="SA1308"/>
      <c r="SB1308"/>
      <c r="SC1308"/>
      <c r="SD1308"/>
      <c r="SE1308"/>
      <c r="SF1308"/>
      <c r="SG1308"/>
      <c r="SH1308"/>
      <c r="SI1308"/>
      <c r="SJ1308"/>
      <c r="SK1308"/>
      <c r="SL1308"/>
      <c r="SM1308"/>
      <c r="SN1308"/>
      <c r="SO1308"/>
      <c r="SP1308"/>
      <c r="SQ1308"/>
      <c r="SR1308"/>
      <c r="SS1308"/>
      <c r="ST1308"/>
      <c r="SU1308"/>
      <c r="SV1308"/>
      <c r="SW1308"/>
      <c r="SX1308"/>
      <c r="SY1308"/>
      <c r="SZ1308"/>
      <c r="TA1308"/>
      <c r="TB1308"/>
      <c r="TC1308"/>
      <c r="TD1308"/>
      <c r="TE1308"/>
      <c r="TF1308"/>
      <c r="TG1308"/>
      <c r="TH1308"/>
      <c r="TI1308"/>
      <c r="TJ1308"/>
      <c r="TK1308"/>
      <c r="TL1308"/>
      <c r="TM1308"/>
      <c r="TN1308"/>
      <c r="TO1308"/>
      <c r="TP1308"/>
      <c r="TQ1308"/>
      <c r="TR1308"/>
      <c r="TS1308"/>
      <c r="TT1308"/>
      <c r="TU1308"/>
      <c r="TV1308"/>
      <c r="TW1308"/>
      <c r="TX1308"/>
      <c r="TY1308"/>
      <c r="TZ1308"/>
      <c r="UA1308"/>
      <c r="UB1308"/>
      <c r="UC1308"/>
      <c r="UD1308"/>
      <c r="UE1308"/>
      <c r="UF1308"/>
      <c r="UG1308"/>
      <c r="UH1308"/>
      <c r="UI1308"/>
      <c r="UJ1308"/>
      <c r="UK1308"/>
      <c r="UL1308"/>
      <c r="UM1308"/>
      <c r="UN1308"/>
      <c r="UO1308"/>
      <c r="UP1308"/>
      <c r="UQ1308"/>
      <c r="UR1308"/>
      <c r="US1308"/>
      <c r="UT1308"/>
      <c r="UU1308"/>
      <c r="UV1308"/>
      <c r="UW1308"/>
      <c r="UX1308"/>
      <c r="UY1308"/>
      <c r="UZ1308"/>
      <c r="VA1308"/>
      <c r="VB1308"/>
      <c r="VC1308"/>
      <c r="VD1308"/>
      <c r="VE1308"/>
      <c r="VF1308"/>
      <c r="VG1308"/>
      <c r="VH1308"/>
      <c r="VI1308"/>
      <c r="VJ1308"/>
      <c r="VK1308"/>
      <c r="VL1308"/>
      <c r="VM1308"/>
      <c r="VN1308"/>
      <c r="VO1308"/>
      <c r="VP1308"/>
      <c r="VQ1308"/>
      <c r="VR1308"/>
      <c r="VS1308"/>
      <c r="VT1308"/>
      <c r="VU1308"/>
      <c r="VV1308"/>
      <c r="VW1308"/>
      <c r="VX1308"/>
      <c r="VY1308"/>
      <c r="VZ1308"/>
      <c r="WA1308"/>
      <c r="WB1308"/>
      <c r="WC1308"/>
      <c r="WD1308"/>
      <c r="WE1308"/>
      <c r="WF1308"/>
      <c r="WG1308"/>
      <c r="WH1308"/>
      <c r="WI1308"/>
      <c r="WJ1308"/>
      <c r="WK1308"/>
      <c r="WL1308"/>
      <c r="WM1308"/>
      <c r="WN1308"/>
      <c r="WO1308"/>
      <c r="WP1308"/>
      <c r="WQ1308"/>
      <c r="WR1308"/>
      <c r="WS1308"/>
      <c r="WT1308"/>
      <c r="WU1308"/>
      <c r="WV1308"/>
      <c r="WW1308"/>
      <c r="WX1308"/>
      <c r="WY1308"/>
      <c r="WZ1308"/>
      <c r="XA1308"/>
      <c r="XB1308"/>
      <c r="XC1308"/>
      <c r="XD1308"/>
      <c r="XE1308"/>
      <c r="XF1308"/>
      <c r="XG1308"/>
      <c r="XH1308"/>
      <c r="XI1308"/>
      <c r="XJ1308"/>
      <c r="XK1308"/>
      <c r="XL1308"/>
      <c r="XM1308"/>
      <c r="XN1308"/>
      <c r="XO1308"/>
      <c r="XP1308"/>
      <c r="XQ1308"/>
      <c r="XR1308"/>
      <c r="XS1308"/>
      <c r="XT1308"/>
      <c r="XU1308"/>
      <c r="XV1308"/>
      <c r="XW1308"/>
      <c r="XX1308"/>
      <c r="XY1308"/>
      <c r="XZ1308"/>
      <c r="YA1308"/>
      <c r="YB1308"/>
      <c r="YC1308"/>
      <c r="YD1308"/>
      <c r="YE1308"/>
      <c r="YF1308"/>
      <c r="YG1308"/>
      <c r="YH1308"/>
      <c r="YI1308"/>
      <c r="YJ1308"/>
      <c r="YK1308"/>
      <c r="YL1308"/>
      <c r="YM1308"/>
      <c r="YN1308"/>
      <c r="YO1308"/>
      <c r="YP1308"/>
      <c r="YQ1308"/>
      <c r="YR1308"/>
      <c r="YS1308"/>
      <c r="YT1308"/>
      <c r="YU1308"/>
      <c r="YV1308"/>
      <c r="YW1308"/>
      <c r="YX1308"/>
      <c r="YY1308"/>
      <c r="YZ1308"/>
      <c r="ZA1308"/>
      <c r="ZB1308"/>
      <c r="ZC1308"/>
      <c r="ZD1308"/>
      <c r="ZE1308"/>
      <c r="ZF1308"/>
      <c r="ZG1308"/>
      <c r="ZH1308"/>
      <c r="ZI1308"/>
      <c r="ZJ1308"/>
      <c r="ZK1308"/>
      <c r="ZL1308"/>
      <c r="ZM1308"/>
      <c r="ZN1308"/>
      <c r="ZO1308"/>
      <c r="ZP1308"/>
      <c r="ZQ1308"/>
      <c r="ZR1308"/>
      <c r="ZS1308"/>
      <c r="ZT1308"/>
      <c r="ZU1308"/>
      <c r="ZV1308"/>
      <c r="ZW1308"/>
      <c r="ZX1308"/>
      <c r="ZY1308"/>
      <c r="ZZ1308"/>
      <c r="AAA1308"/>
      <c r="AAB1308"/>
      <c r="AAC1308"/>
      <c r="AAD1308"/>
      <c r="AAE1308"/>
      <c r="AAF1308"/>
      <c r="AAG1308"/>
      <c r="AAH1308"/>
      <c r="AAI1308"/>
      <c r="AAJ1308"/>
      <c r="AAK1308"/>
      <c r="AAL1308"/>
      <c r="AAM1308"/>
      <c r="AAN1308"/>
      <c r="AAO1308"/>
      <c r="AAP1308"/>
      <c r="AAQ1308"/>
      <c r="AAR1308"/>
      <c r="AAS1308"/>
      <c r="AAT1308"/>
      <c r="AAU1308"/>
      <c r="AAV1308"/>
      <c r="AAW1308"/>
      <c r="AAX1308"/>
      <c r="AAY1308"/>
      <c r="AAZ1308"/>
      <c r="ABA1308"/>
      <c r="ABB1308"/>
      <c r="ABC1308"/>
      <c r="ABD1308"/>
      <c r="ABE1308"/>
      <c r="ABF1308"/>
      <c r="ABG1308"/>
      <c r="ABH1308"/>
      <c r="ABI1308"/>
      <c r="ABJ1308"/>
      <c r="ABK1308"/>
      <c r="ABL1308"/>
      <c r="ABM1308"/>
      <c r="ABN1308"/>
      <c r="ABO1308"/>
      <c r="ABP1308"/>
      <c r="ABQ1308"/>
      <c r="ABR1308"/>
      <c r="ABS1308"/>
      <c r="ABT1308"/>
      <c r="ABU1308"/>
      <c r="ABV1308"/>
      <c r="ABW1308"/>
      <c r="ABX1308"/>
      <c r="ABY1308"/>
      <c r="ABZ1308"/>
      <c r="ACA1308"/>
      <c r="ACB1308"/>
      <c r="ACC1308"/>
      <c r="ACD1308"/>
      <c r="ACE1308"/>
      <c r="ACF1308"/>
      <c r="ACG1308"/>
      <c r="ACH1308"/>
      <c r="ACI1308"/>
      <c r="ACJ1308"/>
      <c r="ACK1308"/>
      <c r="ACL1308"/>
      <c r="ACM1308"/>
      <c r="ACN1308"/>
      <c r="ACO1308"/>
      <c r="ACP1308"/>
      <c r="ACQ1308"/>
      <c r="ACR1308"/>
      <c r="ACS1308"/>
      <c r="ACT1308"/>
      <c r="ACU1308"/>
      <c r="ACV1308"/>
      <c r="ACW1308"/>
      <c r="ACX1308"/>
      <c r="ACY1308"/>
      <c r="ACZ1308"/>
      <c r="ADA1308"/>
      <c r="ADB1308"/>
      <c r="ADC1308"/>
      <c r="ADD1308"/>
      <c r="ADE1308"/>
      <c r="ADF1308"/>
      <c r="ADG1308"/>
      <c r="ADH1308"/>
      <c r="ADI1308"/>
      <c r="ADJ1308"/>
      <c r="ADK1308"/>
      <c r="ADL1308"/>
      <c r="ADM1308"/>
      <c r="ADN1308"/>
      <c r="ADO1308"/>
      <c r="ADP1308"/>
      <c r="ADQ1308"/>
      <c r="ADR1308"/>
      <c r="ADS1308"/>
      <c r="ADT1308"/>
      <c r="ADU1308"/>
      <c r="ADV1308"/>
      <c r="ADW1308"/>
      <c r="ADX1308"/>
      <c r="ADY1308"/>
      <c r="ADZ1308"/>
      <c r="AEA1308"/>
      <c r="AEB1308"/>
      <c r="AEC1308"/>
      <c r="AED1308"/>
      <c r="AEE1308"/>
      <c r="AEF1308"/>
      <c r="AEG1308"/>
      <c r="AEH1308"/>
      <c r="AEI1308"/>
      <c r="AEJ1308"/>
      <c r="AEK1308"/>
      <c r="AEL1308"/>
      <c r="AEM1308"/>
      <c r="AEN1308"/>
      <c r="AEO1308"/>
      <c r="AEP1308"/>
      <c r="AEQ1308"/>
      <c r="AER1308"/>
      <c r="AES1308"/>
      <c r="AET1308"/>
      <c r="AEU1308"/>
      <c r="AEV1308"/>
      <c r="AEW1308"/>
      <c r="AEX1308"/>
      <c r="AEY1308"/>
      <c r="AEZ1308"/>
      <c r="AFA1308"/>
      <c r="AFB1308"/>
      <c r="AFC1308"/>
      <c r="AFD1308"/>
      <c r="AFE1308"/>
      <c r="AFF1308"/>
      <c r="AFG1308"/>
      <c r="AFH1308"/>
      <c r="AFI1308"/>
      <c r="AFJ1308"/>
      <c r="AFK1308"/>
      <c r="AFL1308"/>
      <c r="AFM1308"/>
      <c r="AFN1308"/>
      <c r="AFO1308"/>
      <c r="AFP1308"/>
      <c r="AFQ1308"/>
      <c r="AFR1308"/>
      <c r="AFS1308"/>
      <c r="AFT1308"/>
      <c r="AFU1308"/>
      <c r="AFV1308"/>
      <c r="AFW1308"/>
      <c r="AFX1308"/>
      <c r="AFY1308"/>
      <c r="AFZ1308"/>
      <c r="AGA1308"/>
      <c r="AGB1308"/>
      <c r="AGC1308"/>
      <c r="AGD1308"/>
      <c r="AGE1308"/>
      <c r="AGF1308"/>
      <c r="AGG1308"/>
      <c r="AGH1308"/>
      <c r="AGI1308"/>
      <c r="AGJ1308"/>
      <c r="AGK1308"/>
      <c r="AGL1308"/>
      <c r="AGM1308"/>
      <c r="AGN1308"/>
      <c r="AGO1308"/>
      <c r="AGP1308"/>
      <c r="AGQ1308"/>
      <c r="AGR1308"/>
      <c r="AGS1308"/>
      <c r="AGT1308"/>
      <c r="AGU1308"/>
      <c r="AGV1308"/>
      <c r="AGW1308"/>
      <c r="AGX1308"/>
      <c r="AGY1308"/>
      <c r="AGZ1308"/>
      <c r="AHA1308"/>
      <c r="AHB1308"/>
      <c r="AHC1308"/>
      <c r="AHD1308"/>
      <c r="AHE1308"/>
      <c r="AHF1308"/>
      <c r="AHG1308"/>
      <c r="AHH1308"/>
      <c r="AHI1308"/>
      <c r="AHJ1308"/>
      <c r="AHK1308"/>
      <c r="AHL1308"/>
      <c r="AHM1308"/>
      <c r="AHN1308"/>
      <c r="AHO1308"/>
      <c r="AHP1308"/>
      <c r="AHQ1308"/>
      <c r="AHR1308"/>
      <c r="AHS1308"/>
      <c r="AHT1308"/>
      <c r="AHU1308"/>
      <c r="AHV1308"/>
      <c r="AHW1308"/>
      <c r="AHX1308"/>
      <c r="AHY1308"/>
      <c r="AHZ1308"/>
      <c r="AIA1308"/>
      <c r="AIB1308"/>
      <c r="AIC1308"/>
      <c r="AID1308"/>
      <c r="AIE1308"/>
      <c r="AIF1308"/>
      <c r="AIG1308"/>
      <c r="AIH1308"/>
      <c r="AII1308"/>
      <c r="AIJ1308"/>
      <c r="AIK1308"/>
      <c r="AIL1308"/>
      <c r="AIM1308"/>
      <c r="AIN1308"/>
      <c r="AIO1308"/>
      <c r="AIP1308"/>
      <c r="AIQ1308"/>
      <c r="AIR1308"/>
      <c r="AIS1308"/>
      <c r="AIT1308"/>
      <c r="AIU1308"/>
      <c r="AIV1308"/>
      <c r="AIW1308"/>
      <c r="AIX1308"/>
      <c r="AIY1308"/>
      <c r="AIZ1308"/>
      <c r="AJA1308"/>
      <c r="AJB1308"/>
      <c r="AJC1308"/>
      <c r="AJD1308"/>
      <c r="AJE1308"/>
      <c r="AJF1308"/>
      <c r="AJG1308"/>
      <c r="AJH1308"/>
      <c r="AJI1308"/>
      <c r="AJJ1308"/>
      <c r="AJK1308"/>
      <c r="AJL1308"/>
      <c r="AJM1308"/>
      <c r="AJN1308"/>
      <c r="AJO1308"/>
      <c r="AJP1308"/>
      <c r="AJQ1308"/>
      <c r="AJR1308"/>
      <c r="AJS1308"/>
      <c r="AJT1308"/>
      <c r="AJU1308"/>
      <c r="AJV1308"/>
      <c r="AJW1308"/>
      <c r="AJX1308"/>
      <c r="AJY1308"/>
      <c r="AJZ1308"/>
      <c r="AKA1308"/>
      <c r="AKB1308"/>
      <c r="AKC1308"/>
      <c r="AKD1308"/>
      <c r="AKE1308"/>
      <c r="AKF1308"/>
      <c r="AKG1308"/>
      <c r="AKH1308"/>
      <c r="AKI1308"/>
      <c r="AKJ1308"/>
      <c r="AKK1308"/>
      <c r="AKL1308"/>
      <c r="AKM1308"/>
      <c r="AKN1308"/>
      <c r="AKO1308"/>
      <c r="AKP1308"/>
      <c r="AKQ1308"/>
      <c r="AKR1308"/>
      <c r="AKS1308"/>
      <c r="AKT1308"/>
      <c r="AKU1308"/>
      <c r="AKV1308"/>
      <c r="AKW1308"/>
      <c r="AKX1308"/>
      <c r="AKY1308"/>
      <c r="AKZ1308"/>
      <c r="ALA1308"/>
      <c r="ALB1308"/>
      <c r="ALC1308"/>
      <c r="ALD1308"/>
      <c r="ALE1308"/>
      <c r="ALF1308"/>
      <c r="ALG1308"/>
      <c r="ALH1308"/>
      <c r="ALI1308"/>
      <c r="ALJ1308"/>
      <c r="ALK1308"/>
      <c r="ALL1308"/>
      <c r="ALM1308"/>
      <c r="ALN1308"/>
      <c r="ALO1308"/>
      <c r="ALP1308"/>
      <c r="ALQ1308"/>
      <c r="ALR1308"/>
      <c r="ALS1308"/>
      <c r="ALT1308"/>
    </row>
    <row r="1309" spans="1:1008" x14ac:dyDescent="0.15">
      <c r="A1309" t="s">
        <v>2253</v>
      </c>
      <c r="B1309" s="8" t="s">
        <v>4083</v>
      </c>
      <c r="C1309" t="s">
        <v>2253</v>
      </c>
      <c r="D1309" s="8" t="s">
        <v>15</v>
      </c>
      <c r="E1309" t="s">
        <v>2253</v>
      </c>
      <c r="F1309" t="s">
        <v>2254</v>
      </c>
      <c r="G1309">
        <v>650</v>
      </c>
      <c r="H1309"/>
      <c r="I1309"/>
      <c r="J1309"/>
      <c r="K1309"/>
      <c r="L1309"/>
      <c r="M1309"/>
      <c r="N1309"/>
      <c r="O1309"/>
      <c r="P1309"/>
      <c r="Q1309"/>
      <c r="R1309"/>
      <c r="S1309"/>
      <c r="T1309"/>
      <c r="U1309"/>
      <c r="V1309"/>
      <c r="W1309"/>
      <c r="X1309"/>
      <c r="Y1309"/>
      <c r="Z1309"/>
      <c r="AA1309"/>
      <c r="AB1309"/>
      <c r="AC1309"/>
      <c r="AD1309"/>
      <c r="AE1309"/>
      <c r="AF1309"/>
      <c r="AG1309"/>
      <c r="AH1309"/>
      <c r="AI1309"/>
      <c r="AJ1309"/>
      <c r="AK1309"/>
      <c r="AL1309"/>
      <c r="AM1309"/>
      <c r="AN1309"/>
      <c r="AO1309"/>
      <c r="AP1309"/>
      <c r="AQ1309"/>
      <c r="AR1309"/>
      <c r="AS1309"/>
      <c r="AT1309"/>
      <c r="AU1309"/>
      <c r="AV1309"/>
      <c r="AW1309"/>
      <c r="AX1309"/>
      <c r="AY1309"/>
      <c r="AZ1309"/>
      <c r="BA1309"/>
      <c r="BB1309"/>
      <c r="BC1309"/>
      <c r="BD1309"/>
      <c r="BE1309"/>
      <c r="BF1309"/>
      <c r="BG1309"/>
      <c r="BH1309"/>
      <c r="BI1309"/>
      <c r="BJ1309"/>
      <c r="BK1309"/>
      <c r="BL1309"/>
      <c r="BM1309"/>
      <c r="BN1309"/>
      <c r="BO1309"/>
      <c r="BP1309"/>
      <c r="BQ1309"/>
      <c r="BR1309"/>
      <c r="BS1309"/>
      <c r="BT1309"/>
      <c r="BU1309"/>
      <c r="BV1309"/>
      <c r="BW1309"/>
      <c r="BX1309"/>
      <c r="BY1309"/>
      <c r="BZ1309"/>
      <c r="CA1309"/>
      <c r="CB1309"/>
      <c r="CC1309"/>
      <c r="CD1309"/>
      <c r="CE1309"/>
      <c r="CF1309"/>
      <c r="CG1309"/>
      <c r="CH1309"/>
      <c r="CI1309"/>
      <c r="CJ1309"/>
      <c r="CK1309"/>
      <c r="CL1309"/>
      <c r="CM1309"/>
      <c r="CN1309"/>
      <c r="CO1309"/>
      <c r="CP1309"/>
      <c r="CQ1309"/>
      <c r="CR1309"/>
      <c r="CS1309"/>
      <c r="CT1309"/>
      <c r="CU1309"/>
      <c r="CV1309"/>
      <c r="CW1309"/>
      <c r="CX1309"/>
      <c r="CY1309"/>
      <c r="CZ1309"/>
      <c r="DA1309"/>
      <c r="DB1309"/>
      <c r="DC1309"/>
      <c r="DD1309"/>
      <c r="DE1309"/>
      <c r="DF1309"/>
      <c r="DG1309"/>
      <c r="DH1309"/>
      <c r="DI1309"/>
      <c r="DJ1309"/>
      <c r="DK1309"/>
      <c r="DL1309"/>
      <c r="DM1309"/>
      <c r="DN1309"/>
      <c r="DO1309"/>
      <c r="DP1309"/>
      <c r="DQ1309"/>
      <c r="DR1309"/>
      <c r="DS1309"/>
      <c r="DT1309"/>
      <c r="DU1309"/>
      <c r="DV1309"/>
      <c r="DW1309"/>
      <c r="DX1309"/>
      <c r="DY1309"/>
      <c r="DZ1309"/>
      <c r="EA1309"/>
      <c r="EB1309"/>
      <c r="EC1309"/>
      <c r="ED1309"/>
      <c r="EE1309"/>
      <c r="EF1309"/>
      <c r="EG1309"/>
      <c r="EH1309"/>
      <c r="EI1309"/>
      <c r="EJ1309"/>
      <c r="EK1309"/>
      <c r="EL1309"/>
      <c r="EM1309"/>
      <c r="EN1309"/>
      <c r="EO1309"/>
      <c r="EP1309"/>
      <c r="EQ1309"/>
      <c r="ER1309"/>
      <c r="ES1309"/>
      <c r="ET1309"/>
      <c r="EU1309"/>
      <c r="EV1309"/>
      <c r="EW1309"/>
      <c r="EX1309"/>
      <c r="EY1309"/>
      <c r="EZ1309"/>
      <c r="FA1309"/>
      <c r="FB1309"/>
      <c r="FC1309"/>
      <c r="FD1309"/>
      <c r="FE1309"/>
      <c r="FF1309"/>
      <c r="FG1309"/>
      <c r="FH1309"/>
      <c r="FI1309"/>
      <c r="FJ1309"/>
      <c r="FK1309"/>
      <c r="FL1309"/>
      <c r="FM1309"/>
      <c r="FN1309"/>
      <c r="FO1309"/>
      <c r="FP1309"/>
      <c r="FQ1309"/>
      <c r="FR1309"/>
      <c r="FS1309"/>
      <c r="FT1309"/>
      <c r="FU1309"/>
      <c r="FV1309"/>
      <c r="FW1309"/>
      <c r="FX1309"/>
      <c r="FY1309"/>
      <c r="FZ1309"/>
      <c r="GA1309"/>
      <c r="GB1309"/>
      <c r="GC1309"/>
      <c r="GD1309"/>
      <c r="GE1309"/>
      <c r="GF1309"/>
      <c r="GG1309"/>
      <c r="GH1309"/>
      <c r="GI1309"/>
      <c r="GJ1309"/>
      <c r="GK1309"/>
      <c r="GL1309"/>
      <c r="GM1309"/>
      <c r="GN1309"/>
      <c r="GO1309"/>
      <c r="GP1309"/>
      <c r="GQ1309"/>
      <c r="GR1309"/>
      <c r="GS1309"/>
      <c r="GT1309"/>
      <c r="GU1309"/>
      <c r="GV1309"/>
      <c r="GW1309"/>
      <c r="GX1309"/>
      <c r="GY1309"/>
      <c r="GZ1309"/>
      <c r="HA1309"/>
      <c r="HB1309"/>
      <c r="HC1309"/>
      <c r="HD1309"/>
      <c r="HE1309"/>
      <c r="HF1309"/>
      <c r="HG1309"/>
      <c r="HH1309"/>
      <c r="HI1309"/>
      <c r="HJ1309"/>
      <c r="HK1309"/>
      <c r="HL1309"/>
      <c r="HM1309"/>
      <c r="HN1309"/>
      <c r="HO1309"/>
      <c r="HP1309"/>
      <c r="HQ1309"/>
      <c r="HR1309"/>
      <c r="HS1309"/>
      <c r="HT1309"/>
      <c r="HU1309"/>
      <c r="HV1309"/>
      <c r="HW1309"/>
      <c r="HX1309"/>
      <c r="HY1309"/>
      <c r="HZ1309"/>
      <c r="IA1309"/>
      <c r="IB1309"/>
      <c r="IC1309"/>
      <c r="ID1309"/>
      <c r="IE1309"/>
      <c r="IF1309"/>
      <c r="IG1309"/>
      <c r="IH1309"/>
      <c r="II1309"/>
      <c r="IJ1309"/>
      <c r="IK1309"/>
      <c r="IL1309"/>
      <c r="IM1309"/>
      <c r="IN1309"/>
      <c r="IO1309"/>
      <c r="IP1309"/>
      <c r="IQ1309"/>
      <c r="IR1309"/>
      <c r="IS1309"/>
      <c r="IT1309"/>
      <c r="IU1309"/>
      <c r="IV1309"/>
      <c r="IW1309"/>
      <c r="IX1309"/>
      <c r="IY1309"/>
      <c r="IZ1309"/>
      <c r="JA1309"/>
      <c r="JB1309"/>
      <c r="JC1309"/>
      <c r="JD1309"/>
      <c r="JE1309"/>
      <c r="JF1309"/>
      <c r="JG1309"/>
      <c r="JH1309"/>
      <c r="JI1309"/>
      <c r="JJ1309"/>
      <c r="JK1309"/>
      <c r="JL1309"/>
      <c r="JM1309"/>
      <c r="JN1309"/>
      <c r="JO1309"/>
      <c r="JP1309"/>
      <c r="JQ1309"/>
      <c r="JR1309"/>
      <c r="JS1309"/>
      <c r="JT1309"/>
      <c r="JU1309"/>
      <c r="JV1309"/>
      <c r="JW1309"/>
      <c r="JX1309"/>
      <c r="JY1309"/>
      <c r="JZ1309"/>
      <c r="KA1309"/>
      <c r="KB1309"/>
      <c r="KC1309"/>
      <c r="KD1309"/>
      <c r="KE1309"/>
      <c r="KF1309"/>
      <c r="KG1309"/>
      <c r="KH1309"/>
      <c r="KI1309"/>
      <c r="KJ1309"/>
      <c r="KK1309"/>
      <c r="KL1309"/>
      <c r="KM1309"/>
      <c r="KN1309"/>
      <c r="KO1309"/>
      <c r="KP1309"/>
      <c r="KQ1309"/>
      <c r="KR1309"/>
      <c r="KS1309"/>
      <c r="KT1309"/>
      <c r="KU1309"/>
      <c r="KV1309"/>
      <c r="KW1309"/>
      <c r="KX1309"/>
      <c r="KY1309"/>
      <c r="KZ1309"/>
      <c r="LA1309"/>
      <c r="LB1309"/>
      <c r="LC1309"/>
      <c r="LD1309"/>
      <c r="LE1309"/>
      <c r="LF1309"/>
      <c r="LG1309"/>
      <c r="LH1309"/>
      <c r="LI1309"/>
      <c r="LJ1309"/>
      <c r="LK1309"/>
      <c r="LL1309"/>
      <c r="LM1309"/>
      <c r="LN1309"/>
      <c r="LO1309"/>
      <c r="LP1309"/>
      <c r="LQ1309"/>
      <c r="LR1309"/>
      <c r="LS1309"/>
      <c r="LT1309"/>
      <c r="LU1309"/>
      <c r="LV1309"/>
      <c r="LW1309"/>
      <c r="LX1309"/>
      <c r="LY1309"/>
      <c r="LZ1309"/>
      <c r="MA1309"/>
      <c r="MB1309"/>
      <c r="MC1309"/>
      <c r="MD1309"/>
      <c r="ME1309"/>
      <c r="MF1309"/>
      <c r="MG1309"/>
      <c r="MH1309"/>
      <c r="MI1309"/>
      <c r="MJ1309"/>
      <c r="MK1309"/>
      <c r="ML1309"/>
      <c r="MM1309"/>
      <c r="MN1309"/>
      <c r="MO1309"/>
      <c r="MP1309"/>
      <c r="MQ1309"/>
      <c r="MR1309"/>
      <c r="MS1309"/>
      <c r="MT1309"/>
      <c r="MU1309"/>
      <c r="MV1309"/>
      <c r="MW1309"/>
      <c r="MX1309"/>
      <c r="MY1309"/>
      <c r="MZ1309"/>
      <c r="NA1309"/>
      <c r="NB1309"/>
      <c r="NC1309"/>
      <c r="ND1309"/>
      <c r="NE1309"/>
      <c r="NF1309"/>
      <c r="NG1309"/>
      <c r="NH1309"/>
      <c r="NI1309"/>
      <c r="NJ1309"/>
      <c r="NK1309"/>
      <c r="NL1309"/>
      <c r="NM1309"/>
      <c r="NN1309"/>
      <c r="NO1309"/>
      <c r="NP1309"/>
      <c r="NQ1309"/>
      <c r="NR1309"/>
      <c r="NS1309"/>
      <c r="NT1309"/>
      <c r="NU1309"/>
      <c r="NV1309"/>
      <c r="NW1309"/>
      <c r="NX1309"/>
      <c r="NY1309"/>
      <c r="NZ1309"/>
      <c r="OA1309"/>
      <c r="OB1309"/>
      <c r="OC1309"/>
      <c r="OD1309"/>
      <c r="OE1309"/>
      <c r="OF1309"/>
      <c r="OG1309"/>
      <c r="OH1309"/>
      <c r="OI1309"/>
      <c r="OJ1309"/>
      <c r="OK1309"/>
      <c r="OL1309"/>
      <c r="OM1309"/>
      <c r="ON1309"/>
      <c r="OO1309"/>
      <c r="OP1309"/>
      <c r="OQ1309"/>
      <c r="OR1309"/>
      <c r="OS1309"/>
      <c r="OT1309"/>
      <c r="OU1309"/>
      <c r="OV1309"/>
      <c r="OW1309"/>
      <c r="OX1309"/>
      <c r="OY1309"/>
      <c r="OZ1309"/>
      <c r="PA1309"/>
      <c r="PB1309"/>
      <c r="PC1309"/>
      <c r="PD1309"/>
      <c r="PE1309"/>
      <c r="PF1309"/>
      <c r="PG1309"/>
      <c r="PH1309"/>
      <c r="PI1309"/>
      <c r="PJ1309"/>
      <c r="PK1309"/>
      <c r="PL1309"/>
      <c r="PM1309"/>
      <c r="PN1309"/>
      <c r="PO1309"/>
      <c r="PP1309"/>
      <c r="PQ1309"/>
      <c r="PR1309"/>
      <c r="PS1309"/>
      <c r="PT1309"/>
      <c r="PU1309"/>
      <c r="PV1309"/>
      <c r="PW1309"/>
      <c r="PX1309"/>
      <c r="PY1309"/>
      <c r="PZ1309"/>
      <c r="QA1309"/>
      <c r="QB1309"/>
      <c r="QC1309"/>
      <c r="QD1309"/>
      <c r="QE1309"/>
      <c r="QF1309"/>
      <c r="QG1309"/>
      <c r="QH1309"/>
      <c r="QI1309"/>
      <c r="QJ1309"/>
      <c r="QK1309"/>
      <c r="QL1309"/>
      <c r="QM1309"/>
      <c r="QN1309"/>
      <c r="QO1309"/>
      <c r="QP1309"/>
      <c r="QQ1309"/>
      <c r="QR1309"/>
      <c r="QS1309"/>
      <c r="QT1309"/>
      <c r="QU1309"/>
      <c r="QV1309"/>
      <c r="QW1309"/>
      <c r="QX1309"/>
      <c r="QY1309"/>
      <c r="QZ1309"/>
      <c r="RA1309"/>
      <c r="RB1309"/>
      <c r="RC1309"/>
      <c r="RD1309"/>
      <c r="RE1309"/>
      <c r="RF1309"/>
      <c r="RG1309"/>
      <c r="RH1309"/>
      <c r="RI1309"/>
      <c r="RJ1309"/>
      <c r="RK1309"/>
      <c r="RL1309"/>
      <c r="RM1309"/>
      <c r="RN1309"/>
      <c r="RO1309"/>
      <c r="RP1309"/>
      <c r="RQ1309"/>
      <c r="RR1309"/>
      <c r="RS1309"/>
      <c r="RT1309"/>
      <c r="RU1309"/>
      <c r="RV1309"/>
      <c r="RW1309"/>
      <c r="RX1309"/>
      <c r="RY1309"/>
      <c r="RZ1309"/>
      <c r="SA1309"/>
      <c r="SB1309"/>
      <c r="SC1309"/>
      <c r="SD1309"/>
      <c r="SE1309"/>
      <c r="SF1309"/>
      <c r="SG1309"/>
      <c r="SH1309"/>
      <c r="SI1309"/>
      <c r="SJ1309"/>
      <c r="SK1309"/>
      <c r="SL1309"/>
      <c r="SM1309"/>
      <c r="SN1309"/>
      <c r="SO1309"/>
      <c r="SP1309"/>
      <c r="SQ1309"/>
      <c r="SR1309"/>
      <c r="SS1309"/>
      <c r="ST1309"/>
      <c r="SU1309"/>
      <c r="SV1309"/>
      <c r="SW1309"/>
      <c r="SX1309"/>
      <c r="SY1309"/>
      <c r="SZ1309"/>
      <c r="TA1309"/>
      <c r="TB1309"/>
      <c r="TC1309"/>
      <c r="TD1309"/>
      <c r="TE1309"/>
      <c r="TF1309"/>
      <c r="TG1309"/>
      <c r="TH1309"/>
      <c r="TI1309"/>
      <c r="TJ1309"/>
      <c r="TK1309"/>
      <c r="TL1309"/>
      <c r="TM1309"/>
      <c r="TN1309"/>
      <c r="TO1309"/>
      <c r="TP1309"/>
      <c r="TQ1309"/>
      <c r="TR1309"/>
      <c r="TS1309"/>
      <c r="TT1309"/>
      <c r="TU1309"/>
      <c r="TV1309"/>
      <c r="TW1309"/>
      <c r="TX1309"/>
      <c r="TY1309"/>
      <c r="TZ1309"/>
      <c r="UA1309"/>
      <c r="UB1309"/>
      <c r="UC1309"/>
      <c r="UD1309"/>
      <c r="UE1309"/>
      <c r="UF1309"/>
      <c r="UG1309"/>
      <c r="UH1309"/>
      <c r="UI1309"/>
      <c r="UJ1309"/>
      <c r="UK1309"/>
      <c r="UL1309"/>
      <c r="UM1309"/>
      <c r="UN1309"/>
      <c r="UO1309"/>
      <c r="UP1309"/>
      <c r="UQ1309"/>
      <c r="UR1309"/>
      <c r="US1309"/>
      <c r="UT1309"/>
      <c r="UU1309"/>
      <c r="UV1309"/>
      <c r="UW1309"/>
      <c r="UX1309"/>
      <c r="UY1309"/>
      <c r="UZ1309"/>
      <c r="VA1309"/>
      <c r="VB1309"/>
      <c r="VC1309"/>
      <c r="VD1309"/>
      <c r="VE1309"/>
      <c r="VF1309"/>
      <c r="VG1309"/>
      <c r="VH1309"/>
      <c r="VI1309"/>
      <c r="VJ1309"/>
      <c r="VK1309"/>
      <c r="VL1309"/>
      <c r="VM1309"/>
      <c r="VN1309"/>
      <c r="VO1309"/>
      <c r="VP1309"/>
      <c r="VQ1309"/>
      <c r="VR1309"/>
      <c r="VS1309"/>
      <c r="VT1309"/>
      <c r="VU1309"/>
      <c r="VV1309"/>
      <c r="VW1309"/>
      <c r="VX1309"/>
      <c r="VY1309"/>
      <c r="VZ1309"/>
      <c r="WA1309"/>
      <c r="WB1309"/>
      <c r="WC1309"/>
      <c r="WD1309"/>
      <c r="WE1309"/>
      <c r="WF1309"/>
      <c r="WG1309"/>
      <c r="WH1309"/>
      <c r="WI1309"/>
      <c r="WJ1309"/>
      <c r="WK1309"/>
      <c r="WL1309"/>
      <c r="WM1309"/>
      <c r="WN1309"/>
      <c r="WO1309"/>
      <c r="WP1309"/>
      <c r="WQ1309"/>
      <c r="WR1309"/>
      <c r="WS1309"/>
      <c r="WT1309"/>
      <c r="WU1309"/>
      <c r="WV1309"/>
      <c r="WW1309"/>
      <c r="WX1309"/>
      <c r="WY1309"/>
      <c r="WZ1309"/>
      <c r="XA1309"/>
      <c r="XB1309"/>
      <c r="XC1309"/>
      <c r="XD1309"/>
      <c r="XE1309"/>
      <c r="XF1309"/>
      <c r="XG1309"/>
      <c r="XH1309"/>
      <c r="XI1309"/>
      <c r="XJ1309"/>
      <c r="XK1309"/>
      <c r="XL1309"/>
      <c r="XM1309"/>
      <c r="XN1309"/>
      <c r="XO1309"/>
      <c r="XP1309"/>
      <c r="XQ1309"/>
      <c r="XR1309"/>
      <c r="XS1309"/>
      <c r="XT1309"/>
      <c r="XU1309"/>
      <c r="XV1309"/>
      <c r="XW1309"/>
      <c r="XX1309"/>
      <c r="XY1309"/>
      <c r="XZ1309"/>
      <c r="YA1309"/>
      <c r="YB1309"/>
      <c r="YC1309"/>
      <c r="YD1309"/>
      <c r="YE1309"/>
      <c r="YF1309"/>
      <c r="YG1309"/>
      <c r="YH1309"/>
      <c r="YI1309"/>
      <c r="YJ1309"/>
      <c r="YK1309"/>
      <c r="YL1309"/>
      <c r="YM1309"/>
      <c r="YN1309"/>
      <c r="YO1309"/>
      <c r="YP1309"/>
      <c r="YQ1309"/>
      <c r="YR1309"/>
      <c r="YS1309"/>
      <c r="YT1309"/>
      <c r="YU1309"/>
      <c r="YV1309"/>
      <c r="YW1309"/>
      <c r="YX1309"/>
      <c r="YY1309"/>
      <c r="YZ1309"/>
      <c r="ZA1309"/>
      <c r="ZB1309"/>
      <c r="ZC1309"/>
      <c r="ZD1309"/>
      <c r="ZE1309"/>
      <c r="ZF1309"/>
      <c r="ZG1309"/>
      <c r="ZH1309"/>
      <c r="ZI1309"/>
      <c r="ZJ1309"/>
      <c r="ZK1309"/>
      <c r="ZL1309"/>
      <c r="ZM1309"/>
      <c r="ZN1309"/>
      <c r="ZO1309"/>
      <c r="ZP1309"/>
      <c r="ZQ1309"/>
      <c r="ZR1309"/>
      <c r="ZS1309"/>
      <c r="ZT1309"/>
      <c r="ZU1309"/>
      <c r="ZV1309"/>
      <c r="ZW1309"/>
      <c r="ZX1309"/>
      <c r="ZY1309"/>
      <c r="ZZ1309"/>
      <c r="AAA1309"/>
      <c r="AAB1309"/>
      <c r="AAC1309"/>
      <c r="AAD1309"/>
      <c r="AAE1309"/>
      <c r="AAF1309"/>
      <c r="AAG1309"/>
      <c r="AAH1309"/>
      <c r="AAI1309"/>
      <c r="AAJ1309"/>
      <c r="AAK1309"/>
      <c r="AAL1309"/>
      <c r="AAM1309"/>
      <c r="AAN1309"/>
      <c r="AAO1309"/>
      <c r="AAP1309"/>
      <c r="AAQ1309"/>
      <c r="AAR1309"/>
      <c r="AAS1309"/>
      <c r="AAT1309"/>
      <c r="AAU1309"/>
      <c r="AAV1309"/>
      <c r="AAW1309"/>
      <c r="AAX1309"/>
      <c r="AAY1309"/>
      <c r="AAZ1309"/>
      <c r="ABA1309"/>
      <c r="ABB1309"/>
      <c r="ABC1309"/>
      <c r="ABD1309"/>
      <c r="ABE1309"/>
      <c r="ABF1309"/>
      <c r="ABG1309"/>
      <c r="ABH1309"/>
      <c r="ABI1309"/>
      <c r="ABJ1309"/>
      <c r="ABK1309"/>
      <c r="ABL1309"/>
      <c r="ABM1309"/>
      <c r="ABN1309"/>
      <c r="ABO1309"/>
      <c r="ABP1309"/>
      <c r="ABQ1309"/>
      <c r="ABR1309"/>
      <c r="ABS1309"/>
      <c r="ABT1309"/>
      <c r="ABU1309"/>
      <c r="ABV1309"/>
      <c r="ABW1309"/>
      <c r="ABX1309"/>
      <c r="ABY1309"/>
      <c r="ABZ1309"/>
      <c r="ACA1309"/>
      <c r="ACB1309"/>
      <c r="ACC1309"/>
      <c r="ACD1309"/>
      <c r="ACE1309"/>
      <c r="ACF1309"/>
      <c r="ACG1309"/>
      <c r="ACH1309"/>
      <c r="ACI1309"/>
      <c r="ACJ1309"/>
      <c r="ACK1309"/>
      <c r="ACL1309"/>
      <c r="ACM1309"/>
      <c r="ACN1309"/>
      <c r="ACO1309"/>
      <c r="ACP1309"/>
      <c r="ACQ1309"/>
      <c r="ACR1309"/>
      <c r="ACS1309"/>
      <c r="ACT1309"/>
      <c r="ACU1309"/>
      <c r="ACV1309"/>
      <c r="ACW1309"/>
      <c r="ACX1309"/>
      <c r="ACY1309"/>
      <c r="ACZ1309"/>
      <c r="ADA1309"/>
      <c r="ADB1309"/>
      <c r="ADC1309"/>
      <c r="ADD1309"/>
      <c r="ADE1309"/>
      <c r="ADF1309"/>
      <c r="ADG1309"/>
      <c r="ADH1309"/>
      <c r="ADI1309"/>
      <c r="ADJ1309"/>
      <c r="ADK1309"/>
      <c r="ADL1309"/>
      <c r="ADM1309"/>
      <c r="ADN1309"/>
      <c r="ADO1309"/>
      <c r="ADP1309"/>
      <c r="ADQ1309"/>
      <c r="ADR1309"/>
      <c r="ADS1309"/>
      <c r="ADT1309"/>
      <c r="ADU1309"/>
      <c r="ADV1309"/>
      <c r="ADW1309"/>
      <c r="ADX1309"/>
      <c r="ADY1309"/>
      <c r="ADZ1309"/>
      <c r="AEA1309"/>
      <c r="AEB1309"/>
      <c r="AEC1309"/>
      <c r="AED1309"/>
      <c r="AEE1309"/>
      <c r="AEF1309"/>
      <c r="AEG1309"/>
      <c r="AEH1309"/>
      <c r="AEI1309"/>
      <c r="AEJ1309"/>
      <c r="AEK1309"/>
      <c r="AEL1309"/>
      <c r="AEM1309"/>
      <c r="AEN1309"/>
      <c r="AEO1309"/>
      <c r="AEP1309"/>
      <c r="AEQ1309"/>
      <c r="AER1309"/>
      <c r="AES1309"/>
      <c r="AET1309"/>
      <c r="AEU1309"/>
      <c r="AEV1309"/>
      <c r="AEW1309"/>
      <c r="AEX1309"/>
      <c r="AEY1309"/>
      <c r="AEZ1309"/>
      <c r="AFA1309"/>
      <c r="AFB1309"/>
      <c r="AFC1309"/>
      <c r="AFD1309"/>
      <c r="AFE1309"/>
      <c r="AFF1309"/>
      <c r="AFG1309"/>
      <c r="AFH1309"/>
      <c r="AFI1309"/>
      <c r="AFJ1309"/>
      <c r="AFK1309"/>
      <c r="AFL1309"/>
      <c r="AFM1309"/>
      <c r="AFN1309"/>
      <c r="AFO1309"/>
      <c r="AFP1309"/>
      <c r="AFQ1309"/>
      <c r="AFR1309"/>
      <c r="AFS1309"/>
      <c r="AFT1309"/>
      <c r="AFU1309"/>
      <c r="AFV1309"/>
      <c r="AFW1309"/>
      <c r="AFX1309"/>
      <c r="AFY1309"/>
      <c r="AFZ1309"/>
      <c r="AGA1309"/>
      <c r="AGB1309"/>
      <c r="AGC1309"/>
      <c r="AGD1309"/>
      <c r="AGE1309"/>
      <c r="AGF1309"/>
      <c r="AGG1309"/>
      <c r="AGH1309"/>
      <c r="AGI1309"/>
      <c r="AGJ1309"/>
      <c r="AGK1309"/>
      <c r="AGL1309"/>
      <c r="AGM1309"/>
      <c r="AGN1309"/>
      <c r="AGO1309"/>
      <c r="AGP1309"/>
      <c r="AGQ1309"/>
      <c r="AGR1309"/>
      <c r="AGS1309"/>
      <c r="AGT1309"/>
      <c r="AGU1309"/>
      <c r="AGV1309"/>
      <c r="AGW1309"/>
      <c r="AGX1309"/>
      <c r="AGY1309"/>
      <c r="AGZ1309"/>
      <c r="AHA1309"/>
      <c r="AHB1309"/>
      <c r="AHC1309"/>
      <c r="AHD1309"/>
      <c r="AHE1309"/>
      <c r="AHF1309"/>
      <c r="AHG1309"/>
      <c r="AHH1309"/>
      <c r="AHI1309"/>
      <c r="AHJ1309"/>
      <c r="AHK1309"/>
      <c r="AHL1309"/>
      <c r="AHM1309"/>
      <c r="AHN1309"/>
      <c r="AHO1309"/>
      <c r="AHP1309"/>
      <c r="AHQ1309"/>
      <c r="AHR1309"/>
      <c r="AHS1309"/>
      <c r="AHT1309"/>
      <c r="AHU1309"/>
      <c r="AHV1309"/>
      <c r="AHW1309"/>
      <c r="AHX1309"/>
      <c r="AHY1309"/>
      <c r="AHZ1309"/>
      <c r="AIA1309"/>
      <c r="AIB1309"/>
      <c r="AIC1309"/>
      <c r="AID1309"/>
      <c r="AIE1309"/>
      <c r="AIF1309"/>
      <c r="AIG1309"/>
      <c r="AIH1309"/>
      <c r="AII1309"/>
      <c r="AIJ1309"/>
      <c r="AIK1309"/>
      <c r="AIL1309"/>
      <c r="AIM1309"/>
      <c r="AIN1309"/>
      <c r="AIO1309"/>
      <c r="AIP1309"/>
      <c r="AIQ1309"/>
      <c r="AIR1309"/>
      <c r="AIS1309"/>
      <c r="AIT1309"/>
      <c r="AIU1309"/>
      <c r="AIV1309"/>
      <c r="AIW1309"/>
      <c r="AIX1309"/>
      <c r="AIY1309"/>
      <c r="AIZ1309"/>
      <c r="AJA1309"/>
      <c r="AJB1309"/>
      <c r="AJC1309"/>
      <c r="AJD1309"/>
      <c r="AJE1309"/>
      <c r="AJF1309"/>
      <c r="AJG1309"/>
      <c r="AJH1309"/>
      <c r="AJI1309"/>
      <c r="AJJ1309"/>
      <c r="AJK1309"/>
      <c r="AJL1309"/>
      <c r="AJM1309"/>
      <c r="AJN1309"/>
      <c r="AJO1309"/>
      <c r="AJP1309"/>
      <c r="AJQ1309"/>
      <c r="AJR1309"/>
      <c r="AJS1309"/>
      <c r="AJT1309"/>
      <c r="AJU1309"/>
      <c r="AJV1309"/>
      <c r="AJW1309"/>
      <c r="AJX1309"/>
      <c r="AJY1309"/>
      <c r="AJZ1309"/>
      <c r="AKA1309"/>
      <c r="AKB1309"/>
      <c r="AKC1309"/>
      <c r="AKD1309"/>
      <c r="AKE1309"/>
      <c r="AKF1309"/>
      <c r="AKG1309"/>
      <c r="AKH1309"/>
      <c r="AKI1309"/>
      <c r="AKJ1309"/>
      <c r="AKK1309"/>
      <c r="AKL1309"/>
      <c r="AKM1309"/>
      <c r="AKN1309"/>
      <c r="AKO1309"/>
      <c r="AKP1309"/>
      <c r="AKQ1309"/>
      <c r="AKR1309"/>
      <c r="AKS1309"/>
      <c r="AKT1309"/>
      <c r="AKU1309"/>
      <c r="AKV1309"/>
      <c r="AKW1309"/>
      <c r="AKX1309"/>
      <c r="AKY1309"/>
      <c r="AKZ1309"/>
      <c r="ALA1309"/>
      <c r="ALB1309"/>
      <c r="ALC1309"/>
      <c r="ALD1309"/>
      <c r="ALE1309"/>
      <c r="ALF1309"/>
      <c r="ALG1309"/>
      <c r="ALH1309"/>
      <c r="ALI1309"/>
      <c r="ALJ1309"/>
      <c r="ALK1309"/>
      <c r="ALL1309"/>
      <c r="ALM1309"/>
      <c r="ALN1309"/>
      <c r="ALO1309"/>
      <c r="ALP1309"/>
      <c r="ALQ1309"/>
      <c r="ALR1309"/>
      <c r="ALS1309"/>
      <c r="ALT1309"/>
    </row>
    <row r="1310" spans="1:1008" x14ac:dyDescent="0.15">
      <c r="A1310" t="s">
        <v>2256</v>
      </c>
      <c r="B1310" s="8" t="s">
        <v>4083</v>
      </c>
      <c r="C1310" t="s">
        <v>2256</v>
      </c>
      <c r="D1310" s="8" t="s">
        <v>15</v>
      </c>
      <c r="E1310" t="s">
        <v>2256</v>
      </c>
      <c r="F1310" t="s">
        <v>2257</v>
      </c>
      <c r="G1310">
        <v>700</v>
      </c>
      <c r="H1310"/>
      <c r="I1310"/>
      <c r="J1310"/>
      <c r="K1310"/>
      <c r="L1310"/>
      <c r="M1310"/>
      <c r="N1310"/>
      <c r="O1310"/>
      <c r="P1310"/>
      <c r="Q1310"/>
      <c r="R1310"/>
      <c r="S1310"/>
      <c r="T1310"/>
      <c r="U1310"/>
      <c r="V1310"/>
      <c r="W1310"/>
      <c r="X1310"/>
      <c r="Y1310"/>
      <c r="Z1310"/>
      <c r="AA1310"/>
      <c r="AB1310"/>
      <c r="AC1310"/>
      <c r="AD1310"/>
      <c r="AE1310"/>
      <c r="AF1310"/>
      <c r="AG1310"/>
      <c r="AH1310"/>
      <c r="AI1310"/>
      <c r="AJ1310"/>
      <c r="AK1310"/>
      <c r="AL1310"/>
      <c r="AM1310"/>
      <c r="AN1310"/>
      <c r="AO1310"/>
      <c r="AP1310"/>
      <c r="AQ1310"/>
      <c r="AR1310"/>
      <c r="AS1310"/>
      <c r="AT1310"/>
      <c r="AU1310"/>
      <c r="AV1310"/>
      <c r="AW1310"/>
      <c r="AX1310"/>
      <c r="AY1310"/>
      <c r="AZ1310"/>
      <c r="BA1310"/>
      <c r="BB1310"/>
      <c r="BC1310"/>
      <c r="BD1310"/>
      <c r="BE1310"/>
      <c r="BF1310"/>
      <c r="BG1310"/>
      <c r="BH1310"/>
      <c r="BI1310"/>
      <c r="BJ1310"/>
      <c r="BK1310"/>
      <c r="BL1310"/>
      <c r="BM1310"/>
      <c r="BN1310"/>
      <c r="BO1310"/>
      <c r="BP1310"/>
      <c r="BQ1310"/>
      <c r="BR1310"/>
      <c r="BS1310"/>
      <c r="BT1310"/>
      <c r="BU1310"/>
      <c r="BV1310"/>
      <c r="BW1310"/>
      <c r="BX1310"/>
      <c r="BY1310"/>
      <c r="BZ1310"/>
      <c r="CA1310"/>
      <c r="CB1310"/>
      <c r="CC1310"/>
      <c r="CD1310"/>
      <c r="CE1310"/>
      <c r="CF1310"/>
      <c r="CG1310"/>
      <c r="CH1310"/>
      <c r="CI1310"/>
      <c r="CJ1310"/>
      <c r="CK1310"/>
      <c r="CL1310"/>
      <c r="CM1310"/>
      <c r="CN1310"/>
      <c r="CO1310"/>
      <c r="CP1310"/>
      <c r="CQ1310"/>
      <c r="CR1310"/>
      <c r="CS1310"/>
      <c r="CT1310"/>
      <c r="CU1310"/>
      <c r="CV1310"/>
      <c r="CW1310"/>
      <c r="CX1310"/>
      <c r="CY1310"/>
      <c r="CZ1310"/>
      <c r="DA1310"/>
      <c r="DB1310"/>
      <c r="DC1310"/>
      <c r="DD1310"/>
      <c r="DE1310"/>
      <c r="DF1310"/>
      <c r="DG1310"/>
      <c r="DH1310"/>
      <c r="DI1310"/>
      <c r="DJ1310"/>
      <c r="DK1310"/>
      <c r="DL1310"/>
      <c r="DM1310"/>
      <c r="DN1310"/>
      <c r="DO1310"/>
      <c r="DP1310"/>
      <c r="DQ1310"/>
      <c r="DR1310"/>
      <c r="DS1310"/>
      <c r="DT1310"/>
      <c r="DU1310"/>
      <c r="DV1310"/>
      <c r="DW1310"/>
      <c r="DX1310"/>
      <c r="DY1310"/>
      <c r="DZ1310"/>
      <c r="EA1310"/>
      <c r="EB1310"/>
      <c r="EC1310"/>
      <c r="ED1310"/>
      <c r="EE1310"/>
      <c r="EF1310"/>
      <c r="EG1310"/>
      <c r="EH1310"/>
      <c r="EI1310"/>
      <c r="EJ1310"/>
      <c r="EK1310"/>
      <c r="EL1310"/>
      <c r="EM1310"/>
      <c r="EN1310"/>
      <c r="EO1310"/>
      <c r="EP1310"/>
      <c r="EQ1310"/>
      <c r="ER1310"/>
      <c r="ES1310"/>
      <c r="ET1310"/>
      <c r="EU1310"/>
      <c r="EV1310"/>
      <c r="EW1310"/>
      <c r="EX1310"/>
      <c r="EY1310"/>
      <c r="EZ1310"/>
      <c r="FA1310"/>
      <c r="FB1310"/>
      <c r="FC1310"/>
      <c r="FD1310"/>
      <c r="FE1310"/>
      <c r="FF1310"/>
      <c r="FG1310"/>
      <c r="FH1310"/>
      <c r="FI1310"/>
      <c r="FJ1310"/>
      <c r="FK1310"/>
      <c r="FL1310"/>
      <c r="FM1310"/>
      <c r="FN1310"/>
      <c r="FO1310"/>
      <c r="FP1310"/>
      <c r="FQ1310"/>
      <c r="FR1310"/>
      <c r="FS1310"/>
      <c r="FT1310"/>
      <c r="FU1310"/>
      <c r="FV1310"/>
      <c r="FW1310"/>
      <c r="FX1310"/>
      <c r="FY1310"/>
      <c r="FZ1310"/>
      <c r="GA1310"/>
      <c r="GB1310"/>
      <c r="GC1310"/>
      <c r="GD1310"/>
      <c r="GE1310"/>
      <c r="GF1310"/>
      <c r="GG1310"/>
      <c r="GH1310"/>
      <c r="GI1310"/>
      <c r="GJ1310"/>
      <c r="GK1310"/>
      <c r="GL1310"/>
      <c r="GM1310"/>
      <c r="GN1310"/>
      <c r="GO1310"/>
      <c r="GP1310"/>
      <c r="GQ1310"/>
      <c r="GR1310"/>
      <c r="GS1310"/>
      <c r="GT1310"/>
      <c r="GU1310"/>
      <c r="GV1310"/>
      <c r="GW1310"/>
      <c r="GX1310"/>
      <c r="GY1310"/>
      <c r="GZ1310"/>
      <c r="HA1310"/>
      <c r="HB1310"/>
      <c r="HC1310"/>
      <c r="HD1310"/>
      <c r="HE1310"/>
      <c r="HF1310"/>
      <c r="HG1310"/>
      <c r="HH1310"/>
      <c r="HI1310"/>
      <c r="HJ1310"/>
      <c r="HK1310"/>
      <c r="HL1310"/>
      <c r="HM1310"/>
      <c r="HN1310"/>
      <c r="HO1310"/>
      <c r="HP1310"/>
      <c r="HQ1310"/>
      <c r="HR1310"/>
      <c r="HS1310"/>
      <c r="HT1310"/>
      <c r="HU1310"/>
      <c r="HV1310"/>
      <c r="HW1310"/>
      <c r="HX1310"/>
      <c r="HY1310"/>
      <c r="HZ1310"/>
      <c r="IA1310"/>
      <c r="IB1310"/>
      <c r="IC1310"/>
      <c r="ID1310"/>
      <c r="IE1310"/>
      <c r="IF1310"/>
      <c r="IG1310"/>
      <c r="IH1310"/>
      <c r="II1310"/>
      <c r="IJ1310"/>
      <c r="IK1310"/>
      <c r="IL1310"/>
      <c r="IM1310"/>
      <c r="IN1310"/>
      <c r="IO1310"/>
      <c r="IP1310"/>
      <c r="IQ1310"/>
      <c r="IR1310"/>
      <c r="IS1310"/>
      <c r="IT1310"/>
      <c r="IU1310"/>
      <c r="IV1310"/>
      <c r="IW1310"/>
      <c r="IX1310"/>
      <c r="IY1310"/>
      <c r="IZ1310"/>
      <c r="JA1310"/>
      <c r="JB1310"/>
      <c r="JC1310"/>
      <c r="JD1310"/>
      <c r="JE1310"/>
      <c r="JF1310"/>
      <c r="JG1310"/>
      <c r="JH1310"/>
      <c r="JI1310"/>
      <c r="JJ1310"/>
      <c r="JK1310"/>
      <c r="JL1310"/>
      <c r="JM1310"/>
      <c r="JN1310"/>
      <c r="JO1310"/>
      <c r="JP1310"/>
      <c r="JQ1310"/>
      <c r="JR1310"/>
      <c r="JS1310"/>
      <c r="JT1310"/>
      <c r="JU1310"/>
      <c r="JV1310"/>
      <c r="JW1310"/>
      <c r="JX1310"/>
      <c r="JY1310"/>
      <c r="JZ1310"/>
      <c r="KA1310"/>
      <c r="KB1310"/>
      <c r="KC1310"/>
      <c r="KD1310"/>
      <c r="KE1310"/>
      <c r="KF1310"/>
      <c r="KG1310"/>
      <c r="KH1310"/>
      <c r="KI1310"/>
      <c r="KJ1310"/>
      <c r="KK1310"/>
      <c r="KL1310"/>
      <c r="KM1310"/>
      <c r="KN1310"/>
      <c r="KO1310"/>
      <c r="KP1310"/>
      <c r="KQ1310"/>
      <c r="KR1310"/>
      <c r="KS1310"/>
      <c r="KT1310"/>
      <c r="KU1310"/>
      <c r="KV1310"/>
      <c r="KW1310"/>
      <c r="KX1310"/>
      <c r="KY1310"/>
      <c r="KZ1310"/>
      <c r="LA1310"/>
      <c r="LB1310"/>
      <c r="LC1310"/>
      <c r="LD1310"/>
      <c r="LE1310"/>
      <c r="LF1310"/>
      <c r="LG1310"/>
      <c r="LH1310"/>
      <c r="LI1310"/>
      <c r="LJ1310"/>
      <c r="LK1310"/>
      <c r="LL1310"/>
      <c r="LM1310"/>
      <c r="LN1310"/>
      <c r="LO1310"/>
      <c r="LP1310"/>
      <c r="LQ1310"/>
      <c r="LR1310"/>
      <c r="LS1310"/>
      <c r="LT1310"/>
      <c r="LU1310"/>
      <c r="LV1310"/>
      <c r="LW1310"/>
      <c r="LX1310"/>
      <c r="LY1310"/>
      <c r="LZ1310"/>
      <c r="MA1310"/>
      <c r="MB1310"/>
      <c r="MC1310"/>
      <c r="MD1310"/>
      <c r="ME1310"/>
      <c r="MF1310"/>
      <c r="MG1310"/>
      <c r="MH1310"/>
      <c r="MI1310"/>
      <c r="MJ1310"/>
      <c r="MK1310"/>
      <c r="ML1310"/>
      <c r="MM1310"/>
      <c r="MN1310"/>
      <c r="MO1310"/>
      <c r="MP1310"/>
      <c r="MQ1310"/>
      <c r="MR1310"/>
      <c r="MS1310"/>
      <c r="MT1310"/>
      <c r="MU1310"/>
      <c r="MV1310"/>
      <c r="MW1310"/>
      <c r="MX1310"/>
      <c r="MY1310"/>
      <c r="MZ1310"/>
      <c r="NA1310"/>
      <c r="NB1310"/>
      <c r="NC1310"/>
      <c r="ND1310"/>
      <c r="NE1310"/>
      <c r="NF1310"/>
      <c r="NG1310"/>
      <c r="NH1310"/>
      <c r="NI1310"/>
      <c r="NJ1310"/>
      <c r="NK1310"/>
      <c r="NL1310"/>
      <c r="NM1310"/>
      <c r="NN1310"/>
      <c r="NO1310"/>
      <c r="NP1310"/>
      <c r="NQ1310"/>
      <c r="NR1310"/>
      <c r="NS1310"/>
      <c r="NT1310"/>
      <c r="NU1310"/>
      <c r="NV1310"/>
      <c r="NW1310"/>
      <c r="NX1310"/>
      <c r="NY1310"/>
      <c r="NZ1310"/>
      <c r="OA1310"/>
      <c r="OB1310"/>
      <c r="OC1310"/>
      <c r="OD1310"/>
      <c r="OE1310"/>
      <c r="OF1310"/>
      <c r="OG1310"/>
      <c r="OH1310"/>
      <c r="OI1310"/>
      <c r="OJ1310"/>
      <c r="OK1310"/>
      <c r="OL1310"/>
      <c r="OM1310"/>
      <c r="ON1310"/>
      <c r="OO1310"/>
      <c r="OP1310"/>
      <c r="OQ1310"/>
      <c r="OR1310"/>
      <c r="OS1310"/>
      <c r="OT1310"/>
      <c r="OU1310"/>
      <c r="OV1310"/>
      <c r="OW1310"/>
      <c r="OX1310"/>
      <c r="OY1310"/>
      <c r="OZ1310"/>
      <c r="PA1310"/>
      <c r="PB1310"/>
      <c r="PC1310"/>
      <c r="PD1310"/>
      <c r="PE1310"/>
      <c r="PF1310"/>
      <c r="PG1310"/>
      <c r="PH1310"/>
      <c r="PI1310"/>
      <c r="PJ1310"/>
      <c r="PK1310"/>
      <c r="PL1310"/>
      <c r="PM1310"/>
      <c r="PN1310"/>
      <c r="PO1310"/>
      <c r="PP1310"/>
      <c r="PQ1310"/>
      <c r="PR1310"/>
      <c r="PS1310"/>
      <c r="PT1310"/>
      <c r="PU1310"/>
      <c r="PV1310"/>
      <c r="PW1310"/>
      <c r="PX1310"/>
      <c r="PY1310"/>
      <c r="PZ1310"/>
      <c r="QA1310"/>
      <c r="QB1310"/>
      <c r="QC1310"/>
      <c r="QD1310"/>
      <c r="QE1310"/>
      <c r="QF1310"/>
      <c r="QG1310"/>
      <c r="QH1310"/>
      <c r="QI1310"/>
      <c r="QJ1310"/>
      <c r="QK1310"/>
      <c r="QL1310"/>
      <c r="QM1310"/>
      <c r="QN1310"/>
      <c r="QO1310"/>
      <c r="QP1310"/>
      <c r="QQ1310"/>
      <c r="QR1310"/>
      <c r="QS1310"/>
      <c r="QT1310"/>
      <c r="QU1310"/>
      <c r="QV1310"/>
      <c r="QW1310"/>
      <c r="QX1310"/>
      <c r="QY1310"/>
      <c r="QZ1310"/>
      <c r="RA1310"/>
      <c r="RB1310"/>
      <c r="RC1310"/>
      <c r="RD1310"/>
      <c r="RE1310"/>
      <c r="RF1310"/>
      <c r="RG1310"/>
      <c r="RH1310"/>
      <c r="RI1310"/>
      <c r="RJ1310"/>
      <c r="RK1310"/>
      <c r="RL1310"/>
      <c r="RM1310"/>
      <c r="RN1310"/>
      <c r="RO1310"/>
      <c r="RP1310"/>
      <c r="RQ1310"/>
      <c r="RR1310"/>
      <c r="RS1310"/>
      <c r="RT1310"/>
      <c r="RU1310"/>
      <c r="RV1310"/>
      <c r="RW1310"/>
      <c r="RX1310"/>
      <c r="RY1310"/>
      <c r="RZ1310"/>
      <c r="SA1310"/>
      <c r="SB1310"/>
      <c r="SC1310"/>
      <c r="SD1310"/>
      <c r="SE1310"/>
      <c r="SF1310"/>
      <c r="SG1310"/>
      <c r="SH1310"/>
      <c r="SI1310"/>
      <c r="SJ1310"/>
      <c r="SK1310"/>
      <c r="SL1310"/>
      <c r="SM1310"/>
      <c r="SN1310"/>
      <c r="SO1310"/>
      <c r="SP1310"/>
      <c r="SQ1310"/>
      <c r="SR1310"/>
      <c r="SS1310"/>
      <c r="ST1310"/>
      <c r="SU1310"/>
      <c r="SV1310"/>
      <c r="SW1310"/>
      <c r="SX1310"/>
      <c r="SY1310"/>
      <c r="SZ1310"/>
      <c r="TA1310"/>
      <c r="TB1310"/>
      <c r="TC1310"/>
      <c r="TD1310"/>
      <c r="TE1310"/>
      <c r="TF1310"/>
      <c r="TG1310"/>
      <c r="TH1310"/>
      <c r="TI1310"/>
      <c r="TJ1310"/>
      <c r="TK1310"/>
      <c r="TL1310"/>
      <c r="TM1310"/>
      <c r="TN1310"/>
      <c r="TO1310"/>
      <c r="TP1310"/>
      <c r="TQ1310"/>
      <c r="TR1310"/>
      <c r="TS1310"/>
      <c r="TT1310"/>
      <c r="TU1310"/>
      <c r="TV1310"/>
      <c r="TW1310"/>
      <c r="TX1310"/>
      <c r="TY1310"/>
      <c r="TZ1310"/>
      <c r="UA1310"/>
      <c r="UB1310"/>
      <c r="UC1310"/>
      <c r="UD1310"/>
      <c r="UE1310"/>
      <c r="UF1310"/>
      <c r="UG1310"/>
      <c r="UH1310"/>
      <c r="UI1310"/>
      <c r="UJ1310"/>
      <c r="UK1310"/>
      <c r="UL1310"/>
      <c r="UM1310"/>
      <c r="UN1310"/>
      <c r="UO1310"/>
      <c r="UP1310"/>
      <c r="UQ1310"/>
      <c r="UR1310"/>
      <c r="US1310"/>
      <c r="UT1310"/>
      <c r="UU1310"/>
      <c r="UV1310"/>
      <c r="UW1310"/>
      <c r="UX1310"/>
      <c r="UY1310"/>
      <c r="UZ1310"/>
      <c r="VA1310"/>
      <c r="VB1310"/>
      <c r="VC1310"/>
      <c r="VD1310"/>
      <c r="VE1310"/>
      <c r="VF1310"/>
      <c r="VG1310"/>
      <c r="VH1310"/>
      <c r="VI1310"/>
      <c r="VJ1310"/>
      <c r="VK1310"/>
      <c r="VL1310"/>
      <c r="VM1310"/>
      <c r="VN1310"/>
      <c r="VO1310"/>
      <c r="VP1310"/>
      <c r="VQ1310"/>
      <c r="VR1310"/>
      <c r="VS1310"/>
      <c r="VT1310"/>
      <c r="VU1310"/>
      <c r="VV1310"/>
      <c r="VW1310"/>
      <c r="VX1310"/>
      <c r="VY1310"/>
      <c r="VZ1310"/>
      <c r="WA1310"/>
      <c r="WB1310"/>
      <c r="WC1310"/>
      <c r="WD1310"/>
      <c r="WE1310"/>
      <c r="WF1310"/>
      <c r="WG1310"/>
      <c r="WH1310"/>
      <c r="WI1310"/>
      <c r="WJ1310"/>
      <c r="WK1310"/>
      <c r="WL1310"/>
      <c r="WM1310"/>
      <c r="WN1310"/>
      <c r="WO1310"/>
      <c r="WP1310"/>
      <c r="WQ1310"/>
      <c r="WR1310"/>
      <c r="WS1310"/>
      <c r="WT1310"/>
      <c r="WU1310"/>
      <c r="WV1310"/>
      <c r="WW1310"/>
      <c r="WX1310"/>
      <c r="WY1310"/>
      <c r="WZ1310"/>
      <c r="XA1310"/>
      <c r="XB1310"/>
      <c r="XC1310"/>
      <c r="XD1310"/>
      <c r="XE1310"/>
      <c r="XF1310"/>
      <c r="XG1310"/>
      <c r="XH1310"/>
      <c r="XI1310"/>
      <c r="XJ1310"/>
      <c r="XK1310"/>
      <c r="XL1310"/>
      <c r="XM1310"/>
      <c r="XN1310"/>
      <c r="XO1310"/>
      <c r="XP1310"/>
      <c r="XQ1310"/>
      <c r="XR1310"/>
      <c r="XS1310"/>
      <c r="XT1310"/>
      <c r="XU1310"/>
      <c r="XV1310"/>
      <c r="XW1310"/>
      <c r="XX1310"/>
      <c r="XY1310"/>
      <c r="XZ1310"/>
      <c r="YA1310"/>
      <c r="YB1310"/>
      <c r="YC1310"/>
      <c r="YD1310"/>
      <c r="YE1310"/>
      <c r="YF1310"/>
      <c r="YG1310"/>
      <c r="YH1310"/>
      <c r="YI1310"/>
      <c r="YJ1310"/>
      <c r="YK1310"/>
      <c r="YL1310"/>
      <c r="YM1310"/>
      <c r="YN1310"/>
      <c r="YO1310"/>
      <c r="YP1310"/>
      <c r="YQ1310"/>
      <c r="YR1310"/>
      <c r="YS1310"/>
      <c r="YT1310"/>
      <c r="YU1310"/>
      <c r="YV1310"/>
      <c r="YW1310"/>
      <c r="YX1310"/>
      <c r="YY1310"/>
      <c r="YZ1310"/>
      <c r="ZA1310"/>
      <c r="ZB1310"/>
      <c r="ZC1310"/>
      <c r="ZD1310"/>
      <c r="ZE1310"/>
      <c r="ZF1310"/>
      <c r="ZG1310"/>
      <c r="ZH1310"/>
      <c r="ZI1310"/>
      <c r="ZJ1310"/>
      <c r="ZK1310"/>
      <c r="ZL1310"/>
      <c r="ZM1310"/>
      <c r="ZN1310"/>
      <c r="ZO1310"/>
      <c r="ZP1310"/>
      <c r="ZQ1310"/>
      <c r="ZR1310"/>
      <c r="ZS1310"/>
      <c r="ZT1310"/>
      <c r="ZU1310"/>
      <c r="ZV1310"/>
      <c r="ZW1310"/>
      <c r="ZX1310"/>
      <c r="ZY1310"/>
      <c r="ZZ1310"/>
      <c r="AAA1310"/>
      <c r="AAB1310"/>
      <c r="AAC1310"/>
      <c r="AAD1310"/>
      <c r="AAE1310"/>
      <c r="AAF1310"/>
      <c r="AAG1310"/>
      <c r="AAH1310"/>
      <c r="AAI1310"/>
      <c r="AAJ1310"/>
      <c r="AAK1310"/>
      <c r="AAL1310"/>
      <c r="AAM1310"/>
      <c r="AAN1310"/>
      <c r="AAO1310"/>
      <c r="AAP1310"/>
      <c r="AAQ1310"/>
      <c r="AAR1310"/>
      <c r="AAS1310"/>
      <c r="AAT1310"/>
      <c r="AAU1310"/>
      <c r="AAV1310"/>
      <c r="AAW1310"/>
      <c r="AAX1310"/>
      <c r="AAY1310"/>
      <c r="AAZ1310"/>
      <c r="ABA1310"/>
      <c r="ABB1310"/>
      <c r="ABC1310"/>
      <c r="ABD1310"/>
      <c r="ABE1310"/>
      <c r="ABF1310"/>
      <c r="ABG1310"/>
      <c r="ABH1310"/>
      <c r="ABI1310"/>
      <c r="ABJ1310"/>
      <c r="ABK1310"/>
      <c r="ABL1310"/>
      <c r="ABM1310"/>
      <c r="ABN1310"/>
      <c r="ABO1310"/>
      <c r="ABP1310"/>
      <c r="ABQ1310"/>
      <c r="ABR1310"/>
      <c r="ABS1310"/>
      <c r="ABT1310"/>
      <c r="ABU1310"/>
      <c r="ABV1310"/>
      <c r="ABW1310"/>
      <c r="ABX1310"/>
      <c r="ABY1310"/>
      <c r="ABZ1310"/>
      <c r="ACA1310"/>
      <c r="ACB1310"/>
      <c r="ACC1310"/>
      <c r="ACD1310"/>
      <c r="ACE1310"/>
      <c r="ACF1310"/>
      <c r="ACG1310"/>
      <c r="ACH1310"/>
      <c r="ACI1310"/>
      <c r="ACJ1310"/>
      <c r="ACK1310"/>
      <c r="ACL1310"/>
      <c r="ACM1310"/>
      <c r="ACN1310"/>
      <c r="ACO1310"/>
      <c r="ACP1310"/>
      <c r="ACQ1310"/>
      <c r="ACR1310"/>
      <c r="ACS1310"/>
      <c r="ACT1310"/>
      <c r="ACU1310"/>
      <c r="ACV1310"/>
      <c r="ACW1310"/>
      <c r="ACX1310"/>
      <c r="ACY1310"/>
      <c r="ACZ1310"/>
      <c r="ADA1310"/>
      <c r="ADB1310"/>
      <c r="ADC1310"/>
      <c r="ADD1310"/>
      <c r="ADE1310"/>
      <c r="ADF1310"/>
      <c r="ADG1310"/>
      <c r="ADH1310"/>
      <c r="ADI1310"/>
      <c r="ADJ1310"/>
      <c r="ADK1310"/>
      <c r="ADL1310"/>
      <c r="ADM1310"/>
      <c r="ADN1310"/>
      <c r="ADO1310"/>
      <c r="ADP1310"/>
      <c r="ADQ1310"/>
      <c r="ADR1310"/>
      <c r="ADS1310"/>
      <c r="ADT1310"/>
      <c r="ADU1310"/>
      <c r="ADV1310"/>
      <c r="ADW1310"/>
      <c r="ADX1310"/>
      <c r="ADY1310"/>
      <c r="ADZ1310"/>
      <c r="AEA1310"/>
      <c r="AEB1310"/>
      <c r="AEC1310"/>
      <c r="AED1310"/>
      <c r="AEE1310"/>
      <c r="AEF1310"/>
      <c r="AEG1310"/>
      <c r="AEH1310"/>
      <c r="AEI1310"/>
      <c r="AEJ1310"/>
      <c r="AEK1310"/>
      <c r="AEL1310"/>
      <c r="AEM1310"/>
      <c r="AEN1310"/>
      <c r="AEO1310"/>
      <c r="AEP1310"/>
      <c r="AEQ1310"/>
      <c r="AER1310"/>
      <c r="AES1310"/>
      <c r="AET1310"/>
      <c r="AEU1310"/>
      <c r="AEV1310"/>
      <c r="AEW1310"/>
      <c r="AEX1310"/>
      <c r="AEY1310"/>
      <c r="AEZ1310"/>
      <c r="AFA1310"/>
      <c r="AFB1310"/>
      <c r="AFC1310"/>
      <c r="AFD1310"/>
      <c r="AFE1310"/>
      <c r="AFF1310"/>
      <c r="AFG1310"/>
      <c r="AFH1310"/>
      <c r="AFI1310"/>
      <c r="AFJ1310"/>
      <c r="AFK1310"/>
      <c r="AFL1310"/>
      <c r="AFM1310"/>
      <c r="AFN1310"/>
      <c r="AFO1310"/>
      <c r="AFP1310"/>
      <c r="AFQ1310"/>
      <c r="AFR1310"/>
      <c r="AFS1310"/>
      <c r="AFT1310"/>
      <c r="AFU1310"/>
      <c r="AFV1310"/>
      <c r="AFW1310"/>
      <c r="AFX1310"/>
      <c r="AFY1310"/>
      <c r="AFZ1310"/>
      <c r="AGA1310"/>
      <c r="AGB1310"/>
      <c r="AGC1310"/>
      <c r="AGD1310"/>
      <c r="AGE1310"/>
      <c r="AGF1310"/>
      <c r="AGG1310"/>
      <c r="AGH1310"/>
      <c r="AGI1310"/>
      <c r="AGJ1310"/>
      <c r="AGK1310"/>
      <c r="AGL1310"/>
      <c r="AGM1310"/>
      <c r="AGN1310"/>
      <c r="AGO1310"/>
      <c r="AGP1310"/>
      <c r="AGQ1310"/>
      <c r="AGR1310"/>
      <c r="AGS1310"/>
      <c r="AGT1310"/>
      <c r="AGU1310"/>
      <c r="AGV1310"/>
      <c r="AGW1310"/>
      <c r="AGX1310"/>
      <c r="AGY1310"/>
      <c r="AGZ1310"/>
      <c r="AHA1310"/>
      <c r="AHB1310"/>
      <c r="AHC1310"/>
      <c r="AHD1310"/>
      <c r="AHE1310"/>
      <c r="AHF1310"/>
      <c r="AHG1310"/>
      <c r="AHH1310"/>
      <c r="AHI1310"/>
      <c r="AHJ1310"/>
      <c r="AHK1310"/>
      <c r="AHL1310"/>
      <c r="AHM1310"/>
      <c r="AHN1310"/>
      <c r="AHO1310"/>
      <c r="AHP1310"/>
      <c r="AHQ1310"/>
      <c r="AHR1310"/>
      <c r="AHS1310"/>
      <c r="AHT1310"/>
      <c r="AHU1310"/>
      <c r="AHV1310"/>
      <c r="AHW1310"/>
      <c r="AHX1310"/>
      <c r="AHY1310"/>
      <c r="AHZ1310"/>
      <c r="AIA1310"/>
      <c r="AIB1310"/>
      <c r="AIC1310"/>
      <c r="AID1310"/>
      <c r="AIE1310"/>
      <c r="AIF1310"/>
      <c r="AIG1310"/>
      <c r="AIH1310"/>
      <c r="AII1310"/>
      <c r="AIJ1310"/>
      <c r="AIK1310"/>
      <c r="AIL1310"/>
      <c r="AIM1310"/>
      <c r="AIN1310"/>
      <c r="AIO1310"/>
      <c r="AIP1310"/>
      <c r="AIQ1310"/>
      <c r="AIR1310"/>
      <c r="AIS1310"/>
      <c r="AIT1310"/>
      <c r="AIU1310"/>
      <c r="AIV1310"/>
      <c r="AIW1310"/>
      <c r="AIX1310"/>
      <c r="AIY1310"/>
      <c r="AIZ1310"/>
      <c r="AJA1310"/>
      <c r="AJB1310"/>
      <c r="AJC1310"/>
      <c r="AJD1310"/>
      <c r="AJE1310"/>
      <c r="AJF1310"/>
      <c r="AJG1310"/>
      <c r="AJH1310"/>
      <c r="AJI1310"/>
      <c r="AJJ1310"/>
      <c r="AJK1310"/>
      <c r="AJL1310"/>
      <c r="AJM1310"/>
      <c r="AJN1310"/>
      <c r="AJO1310"/>
      <c r="AJP1310"/>
      <c r="AJQ1310"/>
      <c r="AJR1310"/>
      <c r="AJS1310"/>
      <c r="AJT1310"/>
      <c r="AJU1310"/>
      <c r="AJV1310"/>
      <c r="AJW1310"/>
      <c r="AJX1310"/>
      <c r="AJY1310"/>
      <c r="AJZ1310"/>
      <c r="AKA1310"/>
      <c r="AKB1310"/>
      <c r="AKC1310"/>
      <c r="AKD1310"/>
      <c r="AKE1310"/>
      <c r="AKF1310"/>
      <c r="AKG1310"/>
      <c r="AKH1310"/>
      <c r="AKI1310"/>
      <c r="AKJ1310"/>
      <c r="AKK1310"/>
      <c r="AKL1310"/>
      <c r="AKM1310"/>
      <c r="AKN1310"/>
      <c r="AKO1310"/>
      <c r="AKP1310"/>
      <c r="AKQ1310"/>
      <c r="AKR1310"/>
      <c r="AKS1310"/>
      <c r="AKT1310"/>
      <c r="AKU1310"/>
      <c r="AKV1310"/>
      <c r="AKW1310"/>
      <c r="AKX1310"/>
      <c r="AKY1310"/>
      <c r="AKZ1310"/>
      <c r="ALA1310"/>
      <c r="ALB1310"/>
      <c r="ALC1310"/>
      <c r="ALD1310"/>
      <c r="ALE1310"/>
      <c r="ALF1310"/>
      <c r="ALG1310"/>
      <c r="ALH1310"/>
      <c r="ALI1310"/>
      <c r="ALJ1310"/>
      <c r="ALK1310"/>
      <c r="ALL1310"/>
      <c r="ALM1310"/>
      <c r="ALN1310"/>
      <c r="ALO1310"/>
      <c r="ALP1310"/>
      <c r="ALQ1310"/>
      <c r="ALR1310"/>
      <c r="ALS1310"/>
      <c r="ALT1310"/>
    </row>
    <row r="1311" spans="1:1008" x14ac:dyDescent="0.15">
      <c r="A1311" s="8" t="s">
        <v>4092</v>
      </c>
      <c r="B1311" t="s">
        <v>4091</v>
      </c>
      <c r="C1311" s="8" t="s">
        <v>4092</v>
      </c>
      <c r="D1311" s="8" t="s">
        <v>15</v>
      </c>
      <c r="E1311" s="8" t="s">
        <v>4094</v>
      </c>
      <c r="F1311" s="8" t="s">
        <v>4095</v>
      </c>
      <c r="G1311" s="8">
        <v>750</v>
      </c>
      <c r="H1311"/>
      <c r="I1311"/>
      <c r="J1311"/>
      <c r="K1311"/>
      <c r="L1311"/>
      <c r="M1311"/>
      <c r="N1311"/>
      <c r="O1311"/>
      <c r="P1311"/>
      <c r="Q1311"/>
      <c r="R1311"/>
      <c r="S1311"/>
      <c r="T1311"/>
      <c r="U1311"/>
      <c r="V1311"/>
      <c r="W1311"/>
      <c r="X1311"/>
      <c r="Y1311"/>
      <c r="Z1311"/>
      <c r="AA1311"/>
      <c r="AB1311"/>
      <c r="AC1311"/>
      <c r="AD1311"/>
      <c r="AE1311"/>
      <c r="AF1311"/>
      <c r="AG1311"/>
      <c r="AH1311"/>
      <c r="AI1311"/>
      <c r="AJ1311"/>
      <c r="AK1311"/>
      <c r="AL1311"/>
      <c r="AM1311"/>
      <c r="AN1311"/>
      <c r="AO1311"/>
      <c r="AP1311"/>
      <c r="AQ1311"/>
      <c r="AR1311"/>
      <c r="AS1311"/>
      <c r="AT1311"/>
      <c r="AU1311"/>
      <c r="AV1311"/>
      <c r="AW1311"/>
      <c r="AX1311"/>
      <c r="AY1311"/>
      <c r="AZ1311"/>
      <c r="BA1311"/>
      <c r="BB1311"/>
      <c r="BC1311"/>
      <c r="BD1311"/>
      <c r="BE1311"/>
      <c r="BF1311"/>
      <c r="BG1311"/>
      <c r="BH1311"/>
      <c r="BI1311"/>
      <c r="BJ1311"/>
      <c r="BK1311"/>
      <c r="BL1311"/>
      <c r="BM1311"/>
      <c r="BN1311"/>
      <c r="BO1311"/>
      <c r="BP1311"/>
      <c r="BQ1311"/>
      <c r="BR1311"/>
      <c r="BS1311"/>
      <c r="BT1311"/>
      <c r="BU1311"/>
      <c r="BV1311"/>
      <c r="BW1311"/>
      <c r="BX1311"/>
      <c r="BY1311"/>
      <c r="BZ1311"/>
      <c r="CA1311"/>
      <c r="CB1311"/>
      <c r="CC1311"/>
      <c r="CD1311"/>
      <c r="CE1311"/>
      <c r="CF1311"/>
      <c r="CG1311"/>
      <c r="CH1311"/>
      <c r="CI1311"/>
      <c r="CJ1311"/>
      <c r="CK1311"/>
      <c r="CL1311"/>
      <c r="CM1311"/>
      <c r="CN1311"/>
      <c r="CO1311"/>
      <c r="CP1311"/>
      <c r="CQ1311"/>
      <c r="CR1311"/>
      <c r="CS1311"/>
      <c r="CT1311"/>
      <c r="CU1311"/>
      <c r="CV1311"/>
      <c r="CW1311"/>
      <c r="CX1311"/>
      <c r="CY1311"/>
      <c r="CZ1311"/>
      <c r="DA1311"/>
      <c r="DB1311"/>
      <c r="DC1311"/>
      <c r="DD1311"/>
      <c r="DE1311"/>
      <c r="DF1311"/>
      <c r="DG1311"/>
      <c r="DH1311"/>
      <c r="DI1311"/>
      <c r="DJ1311"/>
      <c r="DK1311"/>
      <c r="DL1311"/>
      <c r="DM1311"/>
      <c r="DN1311"/>
      <c r="DO1311"/>
      <c r="DP1311"/>
      <c r="DQ1311"/>
      <c r="DR1311"/>
      <c r="DS1311"/>
      <c r="DT1311"/>
      <c r="DU1311"/>
      <c r="DV1311"/>
      <c r="DW1311"/>
      <c r="DX1311"/>
      <c r="DY1311"/>
      <c r="DZ1311"/>
      <c r="EA1311"/>
      <c r="EB1311"/>
      <c r="EC1311"/>
      <c r="ED1311"/>
      <c r="EE1311"/>
      <c r="EF1311"/>
      <c r="EG1311"/>
      <c r="EH1311"/>
      <c r="EI1311"/>
      <c r="EJ1311"/>
      <c r="EK1311"/>
      <c r="EL1311"/>
      <c r="EM1311"/>
      <c r="EN1311"/>
      <c r="EO1311"/>
      <c r="EP1311"/>
      <c r="EQ1311"/>
      <c r="ER1311"/>
      <c r="ES1311"/>
      <c r="ET1311"/>
      <c r="EU1311"/>
      <c r="EV1311"/>
      <c r="EW1311"/>
      <c r="EX1311"/>
      <c r="EY1311"/>
      <c r="EZ1311"/>
      <c r="FA1311"/>
      <c r="FB1311"/>
      <c r="FC1311"/>
      <c r="FD1311"/>
      <c r="FE1311"/>
      <c r="FF1311"/>
      <c r="FG1311"/>
      <c r="FH1311"/>
      <c r="FI1311"/>
      <c r="FJ1311"/>
      <c r="FK1311"/>
      <c r="FL1311"/>
      <c r="FM1311"/>
      <c r="FN1311"/>
      <c r="FO1311"/>
      <c r="FP1311"/>
      <c r="FQ1311"/>
      <c r="FR1311"/>
      <c r="FS1311"/>
      <c r="FT1311"/>
      <c r="FU1311"/>
      <c r="FV1311"/>
      <c r="FW1311"/>
      <c r="FX1311"/>
      <c r="FY1311"/>
      <c r="FZ1311"/>
      <c r="GA1311"/>
      <c r="GB1311"/>
      <c r="GC1311"/>
      <c r="GD1311"/>
      <c r="GE1311"/>
      <c r="GF1311"/>
      <c r="GG1311"/>
      <c r="GH1311"/>
      <c r="GI1311"/>
      <c r="GJ1311"/>
      <c r="GK1311"/>
      <c r="GL1311"/>
      <c r="GM1311"/>
      <c r="GN1311"/>
      <c r="GO1311"/>
      <c r="GP1311"/>
      <c r="GQ1311"/>
      <c r="GR1311"/>
      <c r="GS1311"/>
      <c r="GT1311"/>
      <c r="GU1311"/>
      <c r="GV1311"/>
      <c r="GW1311"/>
      <c r="GX1311"/>
      <c r="GY1311"/>
      <c r="GZ1311"/>
      <c r="HA1311"/>
      <c r="HB1311"/>
      <c r="HC1311"/>
      <c r="HD1311"/>
      <c r="HE1311"/>
      <c r="HF1311"/>
      <c r="HG1311"/>
      <c r="HH1311"/>
      <c r="HI1311"/>
      <c r="HJ1311"/>
      <c r="HK1311"/>
      <c r="HL1311"/>
      <c r="HM1311"/>
      <c r="HN1311"/>
      <c r="HO1311"/>
      <c r="HP1311"/>
      <c r="HQ1311"/>
      <c r="HR1311"/>
      <c r="HS1311"/>
      <c r="HT1311"/>
      <c r="HU1311"/>
      <c r="HV1311"/>
      <c r="HW1311"/>
      <c r="HX1311"/>
      <c r="HY1311"/>
      <c r="HZ1311"/>
      <c r="IA1311"/>
      <c r="IB1311"/>
      <c r="IC1311"/>
      <c r="ID1311"/>
      <c r="IE1311"/>
      <c r="IF1311"/>
      <c r="IG1311"/>
      <c r="IH1311"/>
      <c r="II1311"/>
      <c r="IJ1311"/>
      <c r="IK1311"/>
      <c r="IL1311"/>
      <c r="IM1311"/>
      <c r="IN1311"/>
      <c r="IO1311"/>
      <c r="IP1311"/>
      <c r="IQ1311"/>
      <c r="IR1311"/>
      <c r="IS1311"/>
      <c r="IT1311"/>
      <c r="IU1311"/>
      <c r="IV1311"/>
      <c r="IW1311"/>
      <c r="IX1311"/>
      <c r="IY1311"/>
      <c r="IZ1311"/>
      <c r="JA1311"/>
      <c r="JB1311"/>
      <c r="JC1311"/>
      <c r="JD1311"/>
      <c r="JE1311"/>
      <c r="JF1311"/>
      <c r="JG1311"/>
      <c r="JH1311"/>
      <c r="JI1311"/>
      <c r="JJ1311"/>
      <c r="JK1311"/>
      <c r="JL1311"/>
      <c r="JM1311"/>
      <c r="JN1311"/>
      <c r="JO1311"/>
      <c r="JP1311"/>
      <c r="JQ1311"/>
      <c r="JR1311"/>
      <c r="JS1311"/>
      <c r="JT1311"/>
      <c r="JU1311"/>
      <c r="JV1311"/>
      <c r="JW1311"/>
      <c r="JX1311"/>
      <c r="JY1311"/>
      <c r="JZ1311"/>
      <c r="KA1311"/>
      <c r="KB1311"/>
      <c r="KC1311"/>
      <c r="KD1311"/>
      <c r="KE1311"/>
      <c r="KF1311"/>
      <c r="KG1311"/>
      <c r="KH1311"/>
      <c r="KI1311"/>
      <c r="KJ1311"/>
      <c r="KK1311"/>
      <c r="KL1311"/>
      <c r="KM1311"/>
      <c r="KN1311"/>
      <c r="KO1311"/>
      <c r="KP1311"/>
      <c r="KQ1311"/>
      <c r="KR1311"/>
      <c r="KS1311"/>
      <c r="KT1311"/>
      <c r="KU1311"/>
      <c r="KV1311"/>
      <c r="KW1311"/>
      <c r="KX1311"/>
      <c r="KY1311"/>
      <c r="KZ1311"/>
      <c r="LA1311"/>
      <c r="LB1311"/>
      <c r="LC1311"/>
      <c r="LD1311"/>
      <c r="LE1311"/>
      <c r="LF1311"/>
      <c r="LG1311"/>
      <c r="LH1311"/>
      <c r="LI1311"/>
      <c r="LJ1311"/>
      <c r="LK1311"/>
      <c r="LL1311"/>
      <c r="LM1311"/>
      <c r="LN1311"/>
      <c r="LO1311"/>
      <c r="LP1311"/>
      <c r="LQ1311"/>
      <c r="LR1311"/>
      <c r="LS1311"/>
      <c r="LT1311"/>
      <c r="LU1311"/>
      <c r="LV1311"/>
      <c r="LW1311"/>
      <c r="LX1311"/>
      <c r="LY1311"/>
      <c r="LZ1311"/>
      <c r="MA1311"/>
      <c r="MB1311"/>
      <c r="MC1311"/>
      <c r="MD1311"/>
      <c r="ME1311"/>
      <c r="MF1311"/>
      <c r="MG1311"/>
      <c r="MH1311"/>
      <c r="MI1311"/>
      <c r="MJ1311"/>
      <c r="MK1311"/>
      <c r="ML1311"/>
      <c r="MM1311"/>
      <c r="MN1311"/>
      <c r="MO1311"/>
      <c r="MP1311"/>
      <c r="MQ1311"/>
      <c r="MR1311"/>
      <c r="MS1311"/>
      <c r="MT1311"/>
      <c r="MU1311"/>
      <c r="MV1311"/>
      <c r="MW1311"/>
      <c r="MX1311"/>
      <c r="MY1311"/>
      <c r="MZ1311"/>
      <c r="NA1311"/>
      <c r="NB1311"/>
      <c r="NC1311"/>
      <c r="ND1311"/>
      <c r="NE1311"/>
      <c r="NF1311"/>
      <c r="NG1311"/>
      <c r="NH1311"/>
      <c r="NI1311"/>
      <c r="NJ1311"/>
      <c r="NK1311"/>
      <c r="NL1311"/>
      <c r="NM1311"/>
      <c r="NN1311"/>
      <c r="NO1311"/>
      <c r="NP1311"/>
      <c r="NQ1311"/>
      <c r="NR1311"/>
      <c r="NS1311"/>
      <c r="NT1311"/>
      <c r="NU1311"/>
      <c r="NV1311"/>
      <c r="NW1311"/>
      <c r="NX1311"/>
      <c r="NY1311"/>
      <c r="NZ1311"/>
      <c r="OA1311"/>
      <c r="OB1311"/>
      <c r="OC1311"/>
      <c r="OD1311"/>
      <c r="OE1311"/>
      <c r="OF1311"/>
      <c r="OG1311"/>
      <c r="OH1311"/>
      <c r="OI1311"/>
      <c r="OJ1311"/>
      <c r="OK1311"/>
      <c r="OL1311"/>
      <c r="OM1311"/>
      <c r="ON1311"/>
      <c r="OO1311"/>
      <c r="OP1311"/>
      <c r="OQ1311"/>
      <c r="OR1311"/>
      <c r="OS1311"/>
      <c r="OT1311"/>
      <c r="OU1311"/>
      <c r="OV1311"/>
      <c r="OW1311"/>
      <c r="OX1311"/>
      <c r="OY1311"/>
      <c r="OZ1311"/>
      <c r="PA1311"/>
      <c r="PB1311"/>
      <c r="PC1311"/>
      <c r="PD1311"/>
      <c r="PE1311"/>
      <c r="PF1311"/>
      <c r="PG1311"/>
      <c r="PH1311"/>
      <c r="PI1311"/>
      <c r="PJ1311"/>
      <c r="PK1311"/>
      <c r="PL1311"/>
      <c r="PM1311"/>
      <c r="PN1311"/>
      <c r="PO1311"/>
      <c r="PP1311"/>
      <c r="PQ1311"/>
      <c r="PR1311"/>
      <c r="PS1311"/>
      <c r="PT1311"/>
      <c r="PU1311"/>
      <c r="PV1311"/>
      <c r="PW1311"/>
      <c r="PX1311"/>
      <c r="PY1311"/>
      <c r="PZ1311"/>
      <c r="QA1311"/>
      <c r="QB1311"/>
      <c r="QC1311"/>
      <c r="QD1311"/>
      <c r="QE1311"/>
      <c r="QF1311"/>
      <c r="QG1311"/>
      <c r="QH1311"/>
      <c r="QI1311"/>
      <c r="QJ1311"/>
      <c r="QK1311"/>
      <c r="QL1311"/>
      <c r="QM1311"/>
      <c r="QN1311"/>
      <c r="QO1311"/>
      <c r="QP1311"/>
      <c r="QQ1311"/>
      <c r="QR1311"/>
      <c r="QS1311"/>
      <c r="QT1311"/>
      <c r="QU1311"/>
      <c r="QV1311"/>
      <c r="QW1311"/>
      <c r="QX1311"/>
      <c r="QY1311"/>
      <c r="QZ1311"/>
      <c r="RA1311"/>
      <c r="RB1311"/>
      <c r="RC1311"/>
      <c r="RD1311"/>
      <c r="RE1311"/>
      <c r="RF1311"/>
      <c r="RG1311"/>
      <c r="RH1311"/>
      <c r="RI1311"/>
      <c r="RJ1311"/>
      <c r="RK1311"/>
      <c r="RL1311"/>
      <c r="RM1311"/>
      <c r="RN1311"/>
      <c r="RO1311"/>
      <c r="RP1311"/>
      <c r="RQ1311"/>
      <c r="RR1311"/>
      <c r="RS1311"/>
      <c r="RT1311"/>
      <c r="RU1311"/>
      <c r="RV1311"/>
      <c r="RW1311"/>
      <c r="RX1311"/>
      <c r="RY1311"/>
      <c r="RZ1311"/>
      <c r="SA1311"/>
      <c r="SB1311"/>
      <c r="SC1311"/>
      <c r="SD1311"/>
      <c r="SE1311"/>
      <c r="SF1311"/>
      <c r="SG1311"/>
      <c r="SH1311"/>
      <c r="SI1311"/>
      <c r="SJ1311"/>
      <c r="SK1311"/>
      <c r="SL1311"/>
      <c r="SM1311"/>
      <c r="SN1311"/>
      <c r="SO1311"/>
      <c r="SP1311"/>
      <c r="SQ1311"/>
      <c r="SR1311"/>
      <c r="SS1311"/>
      <c r="ST1311"/>
      <c r="SU1311"/>
      <c r="SV1311"/>
      <c r="SW1311"/>
      <c r="SX1311"/>
      <c r="SY1311"/>
      <c r="SZ1311"/>
      <c r="TA1311"/>
      <c r="TB1311"/>
      <c r="TC1311"/>
      <c r="TD1311"/>
      <c r="TE1311"/>
      <c r="TF1311"/>
      <c r="TG1311"/>
      <c r="TH1311"/>
      <c r="TI1311"/>
      <c r="TJ1311"/>
      <c r="TK1311"/>
      <c r="TL1311"/>
      <c r="TM1311"/>
      <c r="TN1311"/>
      <c r="TO1311"/>
      <c r="TP1311"/>
      <c r="TQ1311"/>
      <c r="TR1311"/>
      <c r="TS1311"/>
      <c r="TT1311"/>
      <c r="TU1311"/>
      <c r="TV1311"/>
      <c r="TW1311"/>
      <c r="TX1311"/>
      <c r="TY1311"/>
      <c r="TZ1311"/>
      <c r="UA1311"/>
      <c r="UB1311"/>
      <c r="UC1311"/>
      <c r="UD1311"/>
      <c r="UE1311"/>
      <c r="UF1311"/>
      <c r="UG1311"/>
      <c r="UH1311"/>
      <c r="UI1311"/>
      <c r="UJ1311"/>
      <c r="UK1311"/>
      <c r="UL1311"/>
      <c r="UM1311"/>
      <c r="UN1311"/>
      <c r="UO1311"/>
      <c r="UP1311"/>
      <c r="UQ1311"/>
      <c r="UR1311"/>
      <c r="US1311"/>
      <c r="UT1311"/>
      <c r="UU1311"/>
      <c r="UV1311"/>
      <c r="UW1311"/>
      <c r="UX1311"/>
      <c r="UY1311"/>
      <c r="UZ1311"/>
      <c r="VA1311"/>
      <c r="VB1311"/>
      <c r="VC1311"/>
      <c r="VD1311"/>
      <c r="VE1311"/>
      <c r="VF1311"/>
      <c r="VG1311"/>
      <c r="VH1311"/>
      <c r="VI1311"/>
      <c r="VJ1311"/>
      <c r="VK1311"/>
      <c r="VL1311"/>
      <c r="VM1311"/>
      <c r="VN1311"/>
      <c r="VO1311"/>
      <c r="VP1311"/>
      <c r="VQ1311"/>
      <c r="VR1311"/>
      <c r="VS1311"/>
      <c r="VT1311"/>
      <c r="VU1311"/>
      <c r="VV1311"/>
      <c r="VW1311"/>
      <c r="VX1311"/>
      <c r="VY1311"/>
      <c r="VZ1311"/>
      <c r="WA1311"/>
      <c r="WB1311"/>
      <c r="WC1311"/>
      <c r="WD1311"/>
      <c r="WE1311"/>
      <c r="WF1311"/>
      <c r="WG1311"/>
      <c r="WH1311"/>
      <c r="WI1311"/>
      <c r="WJ1311"/>
      <c r="WK1311"/>
      <c r="WL1311"/>
      <c r="WM1311"/>
      <c r="WN1311"/>
      <c r="WO1311"/>
      <c r="WP1311"/>
      <c r="WQ1311"/>
      <c r="WR1311"/>
      <c r="WS1311"/>
      <c r="WT1311"/>
      <c r="WU1311"/>
      <c r="WV1311"/>
      <c r="WW1311"/>
      <c r="WX1311"/>
      <c r="WY1311"/>
      <c r="WZ1311"/>
      <c r="XA1311"/>
      <c r="XB1311"/>
      <c r="XC1311"/>
      <c r="XD1311"/>
      <c r="XE1311"/>
      <c r="XF1311"/>
      <c r="XG1311"/>
      <c r="XH1311"/>
      <c r="XI1311"/>
      <c r="XJ1311"/>
      <c r="XK1311"/>
      <c r="XL1311"/>
      <c r="XM1311"/>
      <c r="XN1311"/>
      <c r="XO1311"/>
      <c r="XP1311"/>
      <c r="XQ1311"/>
      <c r="XR1311"/>
      <c r="XS1311"/>
      <c r="XT1311"/>
      <c r="XU1311"/>
      <c r="XV1311"/>
      <c r="XW1311"/>
      <c r="XX1311"/>
      <c r="XY1311"/>
      <c r="XZ1311"/>
      <c r="YA1311"/>
      <c r="YB1311"/>
      <c r="YC1311"/>
      <c r="YD1311"/>
      <c r="YE1311"/>
      <c r="YF1311"/>
      <c r="YG1311"/>
      <c r="YH1311"/>
      <c r="YI1311"/>
      <c r="YJ1311"/>
      <c r="YK1311"/>
      <c r="YL1311"/>
      <c r="YM1311"/>
      <c r="YN1311"/>
      <c r="YO1311"/>
      <c r="YP1311"/>
      <c r="YQ1311"/>
      <c r="YR1311"/>
      <c r="YS1311"/>
      <c r="YT1311"/>
      <c r="YU1311"/>
      <c r="YV1311"/>
      <c r="YW1311"/>
      <c r="YX1311"/>
      <c r="YY1311"/>
      <c r="YZ1311"/>
      <c r="ZA1311"/>
      <c r="ZB1311"/>
      <c r="ZC1311"/>
      <c r="ZD1311"/>
      <c r="ZE1311"/>
      <c r="ZF1311"/>
      <c r="ZG1311"/>
      <c r="ZH1311"/>
      <c r="ZI1311"/>
      <c r="ZJ1311"/>
      <c r="ZK1311"/>
      <c r="ZL1311"/>
      <c r="ZM1311"/>
      <c r="ZN1311"/>
      <c r="ZO1311"/>
      <c r="ZP1311"/>
      <c r="ZQ1311"/>
      <c r="ZR1311"/>
      <c r="ZS1311"/>
      <c r="ZT1311"/>
      <c r="ZU1311"/>
      <c r="ZV1311"/>
      <c r="ZW1311"/>
      <c r="ZX1311"/>
      <c r="ZY1311"/>
      <c r="ZZ1311"/>
      <c r="AAA1311"/>
      <c r="AAB1311"/>
      <c r="AAC1311"/>
      <c r="AAD1311"/>
      <c r="AAE1311"/>
      <c r="AAF1311"/>
      <c r="AAG1311"/>
      <c r="AAH1311"/>
      <c r="AAI1311"/>
      <c r="AAJ1311"/>
      <c r="AAK1311"/>
      <c r="AAL1311"/>
      <c r="AAM1311"/>
      <c r="AAN1311"/>
      <c r="AAO1311"/>
      <c r="AAP1311"/>
      <c r="AAQ1311"/>
      <c r="AAR1311"/>
      <c r="AAS1311"/>
      <c r="AAT1311"/>
      <c r="AAU1311"/>
      <c r="AAV1311"/>
      <c r="AAW1311"/>
      <c r="AAX1311"/>
      <c r="AAY1311"/>
      <c r="AAZ1311"/>
      <c r="ABA1311"/>
      <c r="ABB1311"/>
      <c r="ABC1311"/>
      <c r="ABD1311"/>
      <c r="ABE1311"/>
      <c r="ABF1311"/>
      <c r="ABG1311"/>
      <c r="ABH1311"/>
      <c r="ABI1311"/>
      <c r="ABJ1311"/>
      <c r="ABK1311"/>
      <c r="ABL1311"/>
      <c r="ABM1311"/>
      <c r="ABN1311"/>
      <c r="ABO1311"/>
      <c r="ABP1311"/>
      <c r="ABQ1311"/>
      <c r="ABR1311"/>
      <c r="ABS1311"/>
      <c r="ABT1311"/>
      <c r="ABU1311"/>
      <c r="ABV1311"/>
      <c r="ABW1311"/>
      <c r="ABX1311"/>
      <c r="ABY1311"/>
      <c r="ABZ1311"/>
      <c r="ACA1311"/>
      <c r="ACB1311"/>
      <c r="ACC1311"/>
      <c r="ACD1311"/>
      <c r="ACE1311"/>
      <c r="ACF1311"/>
      <c r="ACG1311"/>
      <c r="ACH1311"/>
      <c r="ACI1311"/>
      <c r="ACJ1311"/>
      <c r="ACK1311"/>
      <c r="ACL1311"/>
      <c r="ACM1311"/>
      <c r="ACN1311"/>
      <c r="ACO1311"/>
      <c r="ACP1311"/>
      <c r="ACQ1311"/>
      <c r="ACR1311"/>
      <c r="ACS1311"/>
      <c r="ACT1311"/>
      <c r="ACU1311"/>
      <c r="ACV1311"/>
      <c r="ACW1311"/>
      <c r="ACX1311"/>
      <c r="ACY1311"/>
      <c r="ACZ1311"/>
      <c r="ADA1311"/>
      <c r="ADB1311"/>
      <c r="ADC1311"/>
      <c r="ADD1311"/>
      <c r="ADE1311"/>
      <c r="ADF1311"/>
      <c r="ADG1311"/>
      <c r="ADH1311"/>
      <c r="ADI1311"/>
      <c r="ADJ1311"/>
      <c r="ADK1311"/>
      <c r="ADL1311"/>
      <c r="ADM1311"/>
      <c r="ADN1311"/>
      <c r="ADO1311"/>
      <c r="ADP1311"/>
      <c r="ADQ1311"/>
      <c r="ADR1311"/>
      <c r="ADS1311"/>
      <c r="ADT1311"/>
      <c r="ADU1311"/>
      <c r="ADV1311"/>
      <c r="ADW1311"/>
      <c r="ADX1311"/>
      <c r="ADY1311"/>
      <c r="ADZ1311"/>
      <c r="AEA1311"/>
      <c r="AEB1311"/>
      <c r="AEC1311"/>
      <c r="AED1311"/>
      <c r="AEE1311"/>
      <c r="AEF1311"/>
      <c r="AEG1311"/>
      <c r="AEH1311"/>
      <c r="AEI1311"/>
      <c r="AEJ1311"/>
      <c r="AEK1311"/>
      <c r="AEL1311"/>
      <c r="AEM1311"/>
      <c r="AEN1311"/>
      <c r="AEO1311"/>
      <c r="AEP1311"/>
      <c r="AEQ1311"/>
      <c r="AER1311"/>
      <c r="AES1311"/>
      <c r="AET1311"/>
      <c r="AEU1311"/>
      <c r="AEV1311"/>
      <c r="AEW1311"/>
      <c r="AEX1311"/>
      <c r="AEY1311"/>
      <c r="AEZ1311"/>
      <c r="AFA1311"/>
      <c r="AFB1311"/>
      <c r="AFC1311"/>
      <c r="AFD1311"/>
      <c r="AFE1311"/>
      <c r="AFF1311"/>
      <c r="AFG1311"/>
      <c r="AFH1311"/>
      <c r="AFI1311"/>
      <c r="AFJ1311"/>
      <c r="AFK1311"/>
      <c r="AFL1311"/>
      <c r="AFM1311"/>
      <c r="AFN1311"/>
      <c r="AFO1311"/>
      <c r="AFP1311"/>
      <c r="AFQ1311"/>
      <c r="AFR1311"/>
      <c r="AFS1311"/>
      <c r="AFT1311"/>
      <c r="AFU1311"/>
      <c r="AFV1311"/>
      <c r="AFW1311"/>
      <c r="AFX1311"/>
      <c r="AFY1311"/>
      <c r="AFZ1311"/>
      <c r="AGA1311"/>
      <c r="AGB1311"/>
      <c r="AGC1311"/>
      <c r="AGD1311"/>
      <c r="AGE1311"/>
      <c r="AGF1311"/>
      <c r="AGG1311"/>
      <c r="AGH1311"/>
      <c r="AGI1311"/>
      <c r="AGJ1311"/>
      <c r="AGK1311"/>
      <c r="AGL1311"/>
      <c r="AGM1311"/>
      <c r="AGN1311"/>
      <c r="AGO1311"/>
      <c r="AGP1311"/>
      <c r="AGQ1311"/>
      <c r="AGR1311"/>
      <c r="AGS1311"/>
      <c r="AGT1311"/>
      <c r="AGU1311"/>
      <c r="AGV1311"/>
      <c r="AGW1311"/>
      <c r="AGX1311"/>
      <c r="AGY1311"/>
      <c r="AGZ1311"/>
      <c r="AHA1311"/>
      <c r="AHB1311"/>
      <c r="AHC1311"/>
      <c r="AHD1311"/>
      <c r="AHE1311"/>
      <c r="AHF1311"/>
      <c r="AHG1311"/>
      <c r="AHH1311"/>
      <c r="AHI1311"/>
      <c r="AHJ1311"/>
      <c r="AHK1311"/>
      <c r="AHL1311"/>
      <c r="AHM1311"/>
      <c r="AHN1311"/>
      <c r="AHO1311"/>
      <c r="AHP1311"/>
      <c r="AHQ1311"/>
      <c r="AHR1311"/>
      <c r="AHS1311"/>
      <c r="AHT1311"/>
      <c r="AHU1311"/>
      <c r="AHV1311"/>
      <c r="AHW1311"/>
      <c r="AHX1311"/>
      <c r="AHY1311"/>
      <c r="AHZ1311"/>
      <c r="AIA1311"/>
      <c r="AIB1311"/>
      <c r="AIC1311"/>
      <c r="AID1311"/>
      <c r="AIE1311"/>
      <c r="AIF1311"/>
      <c r="AIG1311"/>
      <c r="AIH1311"/>
      <c r="AII1311"/>
      <c r="AIJ1311"/>
      <c r="AIK1311"/>
      <c r="AIL1311"/>
      <c r="AIM1311"/>
      <c r="AIN1311"/>
      <c r="AIO1311"/>
      <c r="AIP1311"/>
      <c r="AIQ1311"/>
      <c r="AIR1311"/>
      <c r="AIS1311"/>
      <c r="AIT1311"/>
      <c r="AIU1311"/>
      <c r="AIV1311"/>
      <c r="AIW1311"/>
      <c r="AIX1311"/>
      <c r="AIY1311"/>
      <c r="AIZ1311"/>
      <c r="AJA1311"/>
      <c r="AJB1311"/>
      <c r="AJC1311"/>
      <c r="AJD1311"/>
      <c r="AJE1311"/>
      <c r="AJF1311"/>
      <c r="AJG1311"/>
      <c r="AJH1311"/>
      <c r="AJI1311"/>
      <c r="AJJ1311"/>
      <c r="AJK1311"/>
      <c r="AJL1311"/>
      <c r="AJM1311"/>
      <c r="AJN1311"/>
      <c r="AJO1311"/>
      <c r="AJP1311"/>
      <c r="AJQ1311"/>
      <c r="AJR1311"/>
      <c r="AJS1311"/>
      <c r="AJT1311"/>
      <c r="AJU1311"/>
      <c r="AJV1311"/>
      <c r="AJW1311"/>
      <c r="AJX1311"/>
      <c r="AJY1311"/>
      <c r="AJZ1311"/>
      <c r="AKA1311"/>
      <c r="AKB1311"/>
      <c r="AKC1311"/>
      <c r="AKD1311"/>
      <c r="AKE1311"/>
      <c r="AKF1311"/>
      <c r="AKG1311"/>
      <c r="AKH1311"/>
      <c r="AKI1311"/>
      <c r="AKJ1311"/>
      <c r="AKK1311"/>
      <c r="AKL1311"/>
      <c r="AKM1311"/>
      <c r="AKN1311"/>
      <c r="AKO1311"/>
      <c r="AKP1311"/>
      <c r="AKQ1311"/>
      <c r="AKR1311"/>
      <c r="AKS1311"/>
      <c r="AKT1311"/>
      <c r="AKU1311"/>
      <c r="AKV1311"/>
      <c r="AKW1311"/>
      <c r="AKX1311"/>
      <c r="AKY1311"/>
      <c r="AKZ1311"/>
      <c r="ALA1311"/>
      <c r="ALB1311"/>
      <c r="ALC1311"/>
      <c r="ALD1311"/>
      <c r="ALE1311"/>
      <c r="ALF1311"/>
      <c r="ALG1311"/>
      <c r="ALH1311"/>
      <c r="ALI1311"/>
      <c r="ALJ1311"/>
      <c r="ALK1311"/>
      <c r="ALL1311"/>
      <c r="ALM1311"/>
      <c r="ALN1311"/>
      <c r="ALO1311"/>
      <c r="ALP1311"/>
      <c r="ALQ1311"/>
      <c r="ALR1311"/>
      <c r="ALS1311"/>
      <c r="ALT1311"/>
    </row>
    <row r="1312" spans="1:1008" x14ac:dyDescent="0.15">
      <c r="A1312" s="8" t="s">
        <v>4093</v>
      </c>
      <c r="B1312" t="s">
        <v>4091</v>
      </c>
      <c r="C1312" s="8" t="s">
        <v>4093</v>
      </c>
      <c r="E1312" s="8" t="s">
        <v>182</v>
      </c>
      <c r="F1312" s="8" t="s">
        <v>4096</v>
      </c>
      <c r="G1312" s="8">
        <v>500</v>
      </c>
      <c r="H1312"/>
      <c r="I1312"/>
      <c r="J1312"/>
      <c r="K1312"/>
      <c r="L1312"/>
      <c r="M1312"/>
      <c r="N1312"/>
      <c r="O1312"/>
      <c r="P1312"/>
      <c r="Q1312"/>
      <c r="R1312"/>
      <c r="S1312"/>
      <c r="T1312"/>
      <c r="U1312"/>
      <c r="V1312"/>
      <c r="W1312"/>
      <c r="X1312"/>
      <c r="Y1312"/>
      <c r="Z1312"/>
      <c r="AA1312"/>
      <c r="AB1312"/>
      <c r="AC1312"/>
      <c r="AD1312"/>
      <c r="AE1312"/>
      <c r="AF1312"/>
      <c r="AG1312"/>
      <c r="AH1312"/>
      <c r="AI1312"/>
      <c r="AJ1312"/>
      <c r="AK1312"/>
      <c r="AL1312"/>
      <c r="AM1312"/>
      <c r="AN1312"/>
      <c r="AO1312"/>
      <c r="AP1312"/>
      <c r="AQ1312"/>
      <c r="AR1312"/>
      <c r="AS1312"/>
      <c r="AT1312"/>
      <c r="AU1312"/>
      <c r="AV1312"/>
      <c r="AW1312"/>
      <c r="AX1312"/>
      <c r="AY1312"/>
      <c r="AZ1312"/>
      <c r="BA1312"/>
      <c r="BB1312"/>
      <c r="BC1312"/>
      <c r="BD1312"/>
      <c r="BE1312"/>
      <c r="BF1312"/>
      <c r="BG1312"/>
      <c r="BH1312"/>
      <c r="BI1312"/>
      <c r="BJ1312"/>
      <c r="BK1312"/>
      <c r="BL1312"/>
      <c r="BM1312"/>
      <c r="BN1312"/>
      <c r="BO1312"/>
      <c r="BP1312"/>
      <c r="BQ1312"/>
      <c r="BR1312"/>
      <c r="BS1312"/>
      <c r="BT1312"/>
      <c r="BU1312"/>
      <c r="BV1312"/>
      <c r="BW1312"/>
      <c r="BX1312"/>
      <c r="BY1312"/>
      <c r="BZ1312"/>
      <c r="CA1312"/>
      <c r="CB1312"/>
      <c r="CC1312"/>
      <c r="CD1312"/>
      <c r="CE1312"/>
      <c r="CF1312"/>
      <c r="CG1312"/>
      <c r="CH1312"/>
      <c r="CI1312"/>
      <c r="CJ1312"/>
      <c r="CK1312"/>
      <c r="CL1312"/>
      <c r="CM1312"/>
      <c r="CN1312"/>
      <c r="CO1312"/>
      <c r="CP1312"/>
      <c r="CQ1312"/>
      <c r="CR1312"/>
      <c r="CS1312"/>
      <c r="CT1312"/>
      <c r="CU1312"/>
      <c r="CV1312"/>
      <c r="CW1312"/>
      <c r="CX1312"/>
      <c r="CY1312"/>
      <c r="CZ1312"/>
      <c r="DA1312"/>
      <c r="DB1312"/>
      <c r="DC1312"/>
      <c r="DD1312"/>
      <c r="DE1312"/>
      <c r="DF1312"/>
      <c r="DG1312"/>
      <c r="DH1312"/>
      <c r="DI1312"/>
      <c r="DJ1312"/>
      <c r="DK1312"/>
      <c r="DL1312"/>
      <c r="DM1312"/>
      <c r="DN1312"/>
      <c r="DO1312"/>
      <c r="DP1312"/>
      <c r="DQ1312"/>
      <c r="DR1312"/>
      <c r="DS1312"/>
      <c r="DT1312"/>
      <c r="DU1312"/>
      <c r="DV1312"/>
      <c r="DW1312"/>
      <c r="DX1312"/>
      <c r="DY1312"/>
      <c r="DZ1312"/>
      <c r="EA1312"/>
      <c r="EB1312"/>
      <c r="EC1312"/>
      <c r="ED1312"/>
      <c r="EE1312"/>
      <c r="EF1312"/>
      <c r="EG1312"/>
      <c r="EH1312"/>
      <c r="EI1312"/>
      <c r="EJ1312"/>
      <c r="EK1312"/>
      <c r="EL1312"/>
      <c r="EM1312"/>
      <c r="EN1312"/>
      <c r="EO1312"/>
      <c r="EP1312"/>
      <c r="EQ1312"/>
      <c r="ER1312"/>
      <c r="ES1312"/>
      <c r="ET1312"/>
      <c r="EU1312"/>
      <c r="EV1312"/>
      <c r="EW1312"/>
      <c r="EX1312"/>
      <c r="EY1312"/>
      <c r="EZ1312"/>
      <c r="FA1312"/>
      <c r="FB1312"/>
      <c r="FC1312"/>
      <c r="FD1312"/>
      <c r="FE1312"/>
      <c r="FF1312"/>
      <c r="FG1312"/>
      <c r="FH1312"/>
      <c r="FI1312"/>
      <c r="FJ1312"/>
      <c r="FK1312"/>
      <c r="FL1312"/>
      <c r="FM1312"/>
      <c r="FN1312"/>
      <c r="FO1312"/>
      <c r="FP1312"/>
      <c r="FQ1312"/>
      <c r="FR1312"/>
      <c r="FS1312"/>
      <c r="FT1312"/>
      <c r="FU1312"/>
      <c r="FV1312"/>
      <c r="FW1312"/>
      <c r="FX1312"/>
      <c r="FY1312"/>
      <c r="FZ1312"/>
      <c r="GA1312"/>
      <c r="GB1312"/>
      <c r="GC1312"/>
      <c r="GD1312"/>
      <c r="GE1312"/>
      <c r="GF1312"/>
      <c r="GG1312"/>
      <c r="GH1312"/>
      <c r="GI1312"/>
      <c r="GJ1312"/>
      <c r="GK1312"/>
      <c r="GL1312"/>
      <c r="GM1312"/>
      <c r="GN1312"/>
      <c r="GO1312"/>
      <c r="GP1312"/>
      <c r="GQ1312"/>
      <c r="GR1312"/>
      <c r="GS1312"/>
      <c r="GT1312"/>
      <c r="GU1312"/>
      <c r="GV1312"/>
      <c r="GW1312"/>
      <c r="GX1312"/>
      <c r="GY1312"/>
      <c r="GZ1312"/>
      <c r="HA1312"/>
      <c r="HB1312"/>
      <c r="HC1312"/>
      <c r="HD1312"/>
      <c r="HE1312"/>
      <c r="HF1312"/>
      <c r="HG1312"/>
      <c r="HH1312"/>
      <c r="HI1312"/>
      <c r="HJ1312"/>
      <c r="HK1312"/>
      <c r="HL1312"/>
      <c r="HM1312"/>
      <c r="HN1312"/>
      <c r="HO1312"/>
      <c r="HP1312"/>
      <c r="HQ1312"/>
      <c r="HR1312"/>
      <c r="HS1312"/>
      <c r="HT1312"/>
      <c r="HU1312"/>
      <c r="HV1312"/>
      <c r="HW1312"/>
      <c r="HX1312"/>
      <c r="HY1312"/>
      <c r="HZ1312"/>
      <c r="IA1312"/>
      <c r="IB1312"/>
      <c r="IC1312"/>
      <c r="ID1312"/>
      <c r="IE1312"/>
      <c r="IF1312"/>
      <c r="IG1312"/>
      <c r="IH1312"/>
      <c r="II1312"/>
      <c r="IJ1312"/>
      <c r="IK1312"/>
      <c r="IL1312"/>
      <c r="IM1312"/>
      <c r="IN1312"/>
      <c r="IO1312"/>
      <c r="IP1312"/>
      <c r="IQ1312"/>
      <c r="IR1312"/>
      <c r="IS1312"/>
      <c r="IT1312"/>
      <c r="IU1312"/>
      <c r="IV1312"/>
      <c r="IW1312"/>
      <c r="IX1312"/>
      <c r="IY1312"/>
      <c r="IZ1312"/>
      <c r="JA1312"/>
      <c r="JB1312"/>
      <c r="JC1312"/>
      <c r="JD1312"/>
      <c r="JE1312"/>
      <c r="JF1312"/>
      <c r="JG1312"/>
      <c r="JH1312"/>
      <c r="JI1312"/>
      <c r="JJ1312"/>
      <c r="JK1312"/>
      <c r="JL1312"/>
      <c r="JM1312"/>
      <c r="JN1312"/>
      <c r="JO1312"/>
      <c r="JP1312"/>
      <c r="JQ1312"/>
      <c r="JR1312"/>
      <c r="JS1312"/>
      <c r="JT1312"/>
      <c r="JU1312"/>
      <c r="JV1312"/>
      <c r="JW1312"/>
      <c r="JX1312"/>
      <c r="JY1312"/>
      <c r="JZ1312"/>
      <c r="KA1312"/>
      <c r="KB1312"/>
      <c r="KC1312"/>
      <c r="KD1312"/>
      <c r="KE1312"/>
      <c r="KF1312"/>
      <c r="KG1312"/>
      <c r="KH1312"/>
      <c r="KI1312"/>
      <c r="KJ1312"/>
      <c r="KK1312"/>
      <c r="KL1312"/>
      <c r="KM1312"/>
      <c r="KN1312"/>
      <c r="KO1312"/>
      <c r="KP1312"/>
      <c r="KQ1312"/>
      <c r="KR1312"/>
      <c r="KS1312"/>
      <c r="KT1312"/>
      <c r="KU1312"/>
      <c r="KV1312"/>
      <c r="KW1312"/>
      <c r="KX1312"/>
      <c r="KY1312"/>
      <c r="KZ1312"/>
      <c r="LA1312"/>
      <c r="LB1312"/>
      <c r="LC1312"/>
      <c r="LD1312"/>
      <c r="LE1312"/>
      <c r="LF1312"/>
      <c r="LG1312"/>
      <c r="LH1312"/>
      <c r="LI1312"/>
      <c r="LJ1312"/>
      <c r="LK1312"/>
      <c r="LL1312"/>
      <c r="LM1312"/>
      <c r="LN1312"/>
      <c r="LO1312"/>
      <c r="LP1312"/>
      <c r="LQ1312"/>
      <c r="LR1312"/>
      <c r="LS1312"/>
      <c r="LT1312"/>
      <c r="LU1312"/>
      <c r="LV1312"/>
      <c r="LW1312"/>
      <c r="LX1312"/>
      <c r="LY1312"/>
      <c r="LZ1312"/>
      <c r="MA1312"/>
      <c r="MB1312"/>
      <c r="MC1312"/>
      <c r="MD1312"/>
      <c r="ME1312"/>
      <c r="MF1312"/>
      <c r="MG1312"/>
      <c r="MH1312"/>
      <c r="MI1312"/>
      <c r="MJ1312"/>
      <c r="MK1312"/>
      <c r="ML1312"/>
      <c r="MM1312"/>
      <c r="MN1312"/>
      <c r="MO1312"/>
      <c r="MP1312"/>
      <c r="MQ1312"/>
      <c r="MR1312"/>
      <c r="MS1312"/>
      <c r="MT1312"/>
      <c r="MU1312"/>
      <c r="MV1312"/>
      <c r="MW1312"/>
      <c r="MX1312"/>
      <c r="MY1312"/>
      <c r="MZ1312"/>
      <c r="NA1312"/>
      <c r="NB1312"/>
      <c r="NC1312"/>
      <c r="ND1312"/>
      <c r="NE1312"/>
      <c r="NF1312"/>
      <c r="NG1312"/>
      <c r="NH1312"/>
      <c r="NI1312"/>
      <c r="NJ1312"/>
      <c r="NK1312"/>
      <c r="NL1312"/>
      <c r="NM1312"/>
      <c r="NN1312"/>
      <c r="NO1312"/>
      <c r="NP1312"/>
      <c r="NQ1312"/>
      <c r="NR1312"/>
      <c r="NS1312"/>
      <c r="NT1312"/>
      <c r="NU1312"/>
      <c r="NV1312"/>
      <c r="NW1312"/>
      <c r="NX1312"/>
      <c r="NY1312"/>
      <c r="NZ1312"/>
      <c r="OA1312"/>
      <c r="OB1312"/>
      <c r="OC1312"/>
      <c r="OD1312"/>
      <c r="OE1312"/>
      <c r="OF1312"/>
      <c r="OG1312"/>
      <c r="OH1312"/>
      <c r="OI1312"/>
      <c r="OJ1312"/>
      <c r="OK1312"/>
      <c r="OL1312"/>
      <c r="OM1312"/>
      <c r="ON1312"/>
      <c r="OO1312"/>
      <c r="OP1312"/>
      <c r="OQ1312"/>
      <c r="OR1312"/>
      <c r="OS1312"/>
      <c r="OT1312"/>
      <c r="OU1312"/>
      <c r="OV1312"/>
      <c r="OW1312"/>
      <c r="OX1312"/>
      <c r="OY1312"/>
      <c r="OZ1312"/>
      <c r="PA1312"/>
      <c r="PB1312"/>
      <c r="PC1312"/>
      <c r="PD1312"/>
      <c r="PE1312"/>
      <c r="PF1312"/>
      <c r="PG1312"/>
      <c r="PH1312"/>
      <c r="PI1312"/>
      <c r="PJ1312"/>
      <c r="PK1312"/>
      <c r="PL1312"/>
      <c r="PM1312"/>
      <c r="PN1312"/>
      <c r="PO1312"/>
      <c r="PP1312"/>
      <c r="PQ1312"/>
      <c r="PR1312"/>
      <c r="PS1312"/>
      <c r="PT1312"/>
      <c r="PU1312"/>
      <c r="PV1312"/>
      <c r="PW1312"/>
      <c r="PX1312"/>
      <c r="PY1312"/>
      <c r="PZ1312"/>
      <c r="QA1312"/>
      <c r="QB1312"/>
      <c r="QC1312"/>
      <c r="QD1312"/>
      <c r="QE1312"/>
      <c r="QF1312"/>
      <c r="QG1312"/>
      <c r="QH1312"/>
      <c r="QI1312"/>
      <c r="QJ1312"/>
      <c r="QK1312"/>
      <c r="QL1312"/>
      <c r="QM1312"/>
      <c r="QN1312"/>
      <c r="QO1312"/>
      <c r="QP1312"/>
      <c r="QQ1312"/>
      <c r="QR1312"/>
      <c r="QS1312"/>
      <c r="QT1312"/>
      <c r="QU1312"/>
      <c r="QV1312"/>
      <c r="QW1312"/>
      <c r="QX1312"/>
      <c r="QY1312"/>
      <c r="QZ1312"/>
      <c r="RA1312"/>
      <c r="RB1312"/>
      <c r="RC1312"/>
      <c r="RD1312"/>
      <c r="RE1312"/>
      <c r="RF1312"/>
      <c r="RG1312"/>
      <c r="RH1312"/>
      <c r="RI1312"/>
      <c r="RJ1312"/>
      <c r="RK1312"/>
      <c r="RL1312"/>
      <c r="RM1312"/>
      <c r="RN1312"/>
      <c r="RO1312"/>
      <c r="RP1312"/>
      <c r="RQ1312"/>
      <c r="RR1312"/>
      <c r="RS1312"/>
      <c r="RT1312"/>
      <c r="RU1312"/>
      <c r="RV1312"/>
      <c r="RW1312"/>
      <c r="RX1312"/>
      <c r="RY1312"/>
      <c r="RZ1312"/>
      <c r="SA1312"/>
      <c r="SB1312"/>
      <c r="SC1312"/>
      <c r="SD1312"/>
      <c r="SE1312"/>
      <c r="SF1312"/>
      <c r="SG1312"/>
      <c r="SH1312"/>
      <c r="SI1312"/>
      <c r="SJ1312"/>
      <c r="SK1312"/>
      <c r="SL1312"/>
      <c r="SM1312"/>
      <c r="SN1312"/>
      <c r="SO1312"/>
      <c r="SP1312"/>
      <c r="SQ1312"/>
      <c r="SR1312"/>
      <c r="SS1312"/>
      <c r="ST1312"/>
      <c r="SU1312"/>
      <c r="SV1312"/>
      <c r="SW1312"/>
      <c r="SX1312"/>
      <c r="SY1312"/>
      <c r="SZ1312"/>
      <c r="TA1312"/>
      <c r="TB1312"/>
      <c r="TC1312"/>
      <c r="TD1312"/>
      <c r="TE1312"/>
      <c r="TF1312"/>
      <c r="TG1312"/>
      <c r="TH1312"/>
      <c r="TI1312"/>
      <c r="TJ1312"/>
      <c r="TK1312"/>
      <c r="TL1312"/>
      <c r="TM1312"/>
      <c r="TN1312"/>
      <c r="TO1312"/>
      <c r="TP1312"/>
      <c r="TQ1312"/>
      <c r="TR1312"/>
      <c r="TS1312"/>
      <c r="TT1312"/>
      <c r="TU1312"/>
      <c r="TV1312"/>
      <c r="TW1312"/>
      <c r="TX1312"/>
      <c r="TY1312"/>
      <c r="TZ1312"/>
      <c r="UA1312"/>
      <c r="UB1312"/>
      <c r="UC1312"/>
      <c r="UD1312"/>
      <c r="UE1312"/>
      <c r="UF1312"/>
      <c r="UG1312"/>
      <c r="UH1312"/>
      <c r="UI1312"/>
      <c r="UJ1312"/>
      <c r="UK1312"/>
      <c r="UL1312"/>
      <c r="UM1312"/>
      <c r="UN1312"/>
      <c r="UO1312"/>
      <c r="UP1312"/>
      <c r="UQ1312"/>
      <c r="UR1312"/>
      <c r="US1312"/>
      <c r="UT1312"/>
      <c r="UU1312"/>
      <c r="UV1312"/>
      <c r="UW1312"/>
      <c r="UX1312"/>
      <c r="UY1312"/>
      <c r="UZ1312"/>
      <c r="VA1312"/>
      <c r="VB1312"/>
      <c r="VC1312"/>
      <c r="VD1312"/>
      <c r="VE1312"/>
      <c r="VF1312"/>
      <c r="VG1312"/>
      <c r="VH1312"/>
      <c r="VI1312"/>
      <c r="VJ1312"/>
      <c r="VK1312"/>
      <c r="VL1312"/>
      <c r="VM1312"/>
      <c r="VN1312"/>
      <c r="VO1312"/>
      <c r="VP1312"/>
      <c r="VQ1312"/>
      <c r="VR1312"/>
      <c r="VS1312"/>
      <c r="VT1312"/>
      <c r="VU1312"/>
      <c r="VV1312"/>
      <c r="VW1312"/>
      <c r="VX1312"/>
      <c r="VY1312"/>
      <c r="VZ1312"/>
      <c r="WA1312"/>
      <c r="WB1312"/>
      <c r="WC1312"/>
      <c r="WD1312"/>
      <c r="WE1312"/>
      <c r="WF1312"/>
      <c r="WG1312"/>
      <c r="WH1312"/>
      <c r="WI1312"/>
      <c r="WJ1312"/>
      <c r="WK1312"/>
      <c r="WL1312"/>
      <c r="WM1312"/>
      <c r="WN1312"/>
      <c r="WO1312"/>
      <c r="WP1312"/>
      <c r="WQ1312"/>
      <c r="WR1312"/>
      <c r="WS1312"/>
      <c r="WT1312"/>
      <c r="WU1312"/>
      <c r="WV1312"/>
      <c r="WW1312"/>
      <c r="WX1312"/>
      <c r="WY1312"/>
      <c r="WZ1312"/>
      <c r="XA1312"/>
      <c r="XB1312"/>
      <c r="XC1312"/>
      <c r="XD1312"/>
      <c r="XE1312"/>
      <c r="XF1312"/>
      <c r="XG1312"/>
      <c r="XH1312"/>
      <c r="XI1312"/>
      <c r="XJ1312"/>
      <c r="XK1312"/>
      <c r="XL1312"/>
      <c r="XM1312"/>
      <c r="XN1312"/>
      <c r="XO1312"/>
      <c r="XP1312"/>
      <c r="XQ1312"/>
      <c r="XR1312"/>
      <c r="XS1312"/>
      <c r="XT1312"/>
      <c r="XU1312"/>
      <c r="XV1312"/>
      <c r="XW1312"/>
      <c r="XX1312"/>
      <c r="XY1312"/>
      <c r="XZ1312"/>
      <c r="YA1312"/>
      <c r="YB1312"/>
      <c r="YC1312"/>
      <c r="YD1312"/>
      <c r="YE1312"/>
      <c r="YF1312"/>
      <c r="YG1312"/>
      <c r="YH1312"/>
      <c r="YI1312"/>
      <c r="YJ1312"/>
      <c r="YK1312"/>
      <c r="YL1312"/>
      <c r="YM1312"/>
      <c r="YN1312"/>
      <c r="YO1312"/>
      <c r="YP1312"/>
      <c r="YQ1312"/>
      <c r="YR1312"/>
      <c r="YS1312"/>
      <c r="YT1312"/>
      <c r="YU1312"/>
      <c r="YV1312"/>
      <c r="YW1312"/>
      <c r="YX1312"/>
      <c r="YY1312"/>
      <c r="YZ1312"/>
      <c r="ZA1312"/>
      <c r="ZB1312"/>
      <c r="ZC1312"/>
      <c r="ZD1312"/>
      <c r="ZE1312"/>
      <c r="ZF1312"/>
      <c r="ZG1312"/>
      <c r="ZH1312"/>
      <c r="ZI1312"/>
      <c r="ZJ1312"/>
      <c r="ZK1312"/>
      <c r="ZL1312"/>
      <c r="ZM1312"/>
      <c r="ZN1312"/>
      <c r="ZO1312"/>
      <c r="ZP1312"/>
      <c r="ZQ1312"/>
      <c r="ZR1312"/>
      <c r="ZS1312"/>
      <c r="ZT1312"/>
      <c r="ZU1312"/>
      <c r="ZV1312"/>
      <c r="ZW1312"/>
      <c r="ZX1312"/>
      <c r="ZY1312"/>
      <c r="ZZ1312"/>
      <c r="AAA1312"/>
      <c r="AAB1312"/>
      <c r="AAC1312"/>
      <c r="AAD1312"/>
      <c r="AAE1312"/>
      <c r="AAF1312"/>
      <c r="AAG1312"/>
      <c r="AAH1312"/>
      <c r="AAI1312"/>
      <c r="AAJ1312"/>
      <c r="AAK1312"/>
      <c r="AAL1312"/>
      <c r="AAM1312"/>
      <c r="AAN1312"/>
      <c r="AAO1312"/>
      <c r="AAP1312"/>
      <c r="AAQ1312"/>
      <c r="AAR1312"/>
      <c r="AAS1312"/>
      <c r="AAT1312"/>
      <c r="AAU1312"/>
      <c r="AAV1312"/>
      <c r="AAW1312"/>
      <c r="AAX1312"/>
      <c r="AAY1312"/>
      <c r="AAZ1312"/>
      <c r="ABA1312"/>
      <c r="ABB1312"/>
      <c r="ABC1312"/>
      <c r="ABD1312"/>
      <c r="ABE1312"/>
      <c r="ABF1312"/>
      <c r="ABG1312"/>
      <c r="ABH1312"/>
      <c r="ABI1312"/>
      <c r="ABJ1312"/>
      <c r="ABK1312"/>
      <c r="ABL1312"/>
      <c r="ABM1312"/>
      <c r="ABN1312"/>
      <c r="ABO1312"/>
      <c r="ABP1312"/>
      <c r="ABQ1312"/>
      <c r="ABR1312"/>
      <c r="ABS1312"/>
      <c r="ABT1312"/>
      <c r="ABU1312"/>
      <c r="ABV1312"/>
      <c r="ABW1312"/>
      <c r="ABX1312"/>
      <c r="ABY1312"/>
      <c r="ABZ1312"/>
      <c r="ACA1312"/>
      <c r="ACB1312"/>
      <c r="ACC1312"/>
      <c r="ACD1312"/>
      <c r="ACE1312"/>
      <c r="ACF1312"/>
      <c r="ACG1312"/>
      <c r="ACH1312"/>
      <c r="ACI1312"/>
      <c r="ACJ1312"/>
      <c r="ACK1312"/>
      <c r="ACL1312"/>
      <c r="ACM1312"/>
      <c r="ACN1312"/>
      <c r="ACO1312"/>
      <c r="ACP1312"/>
      <c r="ACQ1312"/>
      <c r="ACR1312"/>
      <c r="ACS1312"/>
      <c r="ACT1312"/>
      <c r="ACU1312"/>
      <c r="ACV1312"/>
      <c r="ACW1312"/>
      <c r="ACX1312"/>
      <c r="ACY1312"/>
      <c r="ACZ1312"/>
      <c r="ADA1312"/>
      <c r="ADB1312"/>
      <c r="ADC1312"/>
      <c r="ADD1312"/>
      <c r="ADE1312"/>
      <c r="ADF1312"/>
      <c r="ADG1312"/>
      <c r="ADH1312"/>
      <c r="ADI1312"/>
      <c r="ADJ1312"/>
      <c r="ADK1312"/>
      <c r="ADL1312"/>
      <c r="ADM1312"/>
      <c r="ADN1312"/>
      <c r="ADO1312"/>
      <c r="ADP1312"/>
      <c r="ADQ1312"/>
      <c r="ADR1312"/>
      <c r="ADS1312"/>
      <c r="ADT1312"/>
      <c r="ADU1312"/>
      <c r="ADV1312"/>
      <c r="ADW1312"/>
      <c r="ADX1312"/>
      <c r="ADY1312"/>
      <c r="ADZ1312"/>
      <c r="AEA1312"/>
      <c r="AEB1312"/>
      <c r="AEC1312"/>
      <c r="AED1312"/>
      <c r="AEE1312"/>
      <c r="AEF1312"/>
      <c r="AEG1312"/>
      <c r="AEH1312"/>
      <c r="AEI1312"/>
      <c r="AEJ1312"/>
      <c r="AEK1312"/>
      <c r="AEL1312"/>
      <c r="AEM1312"/>
      <c r="AEN1312"/>
      <c r="AEO1312"/>
      <c r="AEP1312"/>
      <c r="AEQ1312"/>
      <c r="AER1312"/>
      <c r="AES1312"/>
      <c r="AET1312"/>
      <c r="AEU1312"/>
      <c r="AEV1312"/>
      <c r="AEW1312"/>
      <c r="AEX1312"/>
      <c r="AEY1312"/>
      <c r="AEZ1312"/>
      <c r="AFA1312"/>
      <c r="AFB1312"/>
      <c r="AFC1312"/>
      <c r="AFD1312"/>
      <c r="AFE1312"/>
      <c r="AFF1312"/>
      <c r="AFG1312"/>
      <c r="AFH1312"/>
      <c r="AFI1312"/>
      <c r="AFJ1312"/>
      <c r="AFK1312"/>
      <c r="AFL1312"/>
      <c r="AFM1312"/>
      <c r="AFN1312"/>
      <c r="AFO1312"/>
      <c r="AFP1312"/>
      <c r="AFQ1312"/>
      <c r="AFR1312"/>
      <c r="AFS1312"/>
      <c r="AFT1312"/>
      <c r="AFU1312"/>
      <c r="AFV1312"/>
      <c r="AFW1312"/>
      <c r="AFX1312"/>
      <c r="AFY1312"/>
      <c r="AFZ1312"/>
      <c r="AGA1312"/>
      <c r="AGB1312"/>
      <c r="AGC1312"/>
      <c r="AGD1312"/>
      <c r="AGE1312"/>
      <c r="AGF1312"/>
      <c r="AGG1312"/>
      <c r="AGH1312"/>
      <c r="AGI1312"/>
      <c r="AGJ1312"/>
      <c r="AGK1312"/>
      <c r="AGL1312"/>
      <c r="AGM1312"/>
      <c r="AGN1312"/>
      <c r="AGO1312"/>
      <c r="AGP1312"/>
      <c r="AGQ1312"/>
      <c r="AGR1312"/>
      <c r="AGS1312"/>
      <c r="AGT1312"/>
      <c r="AGU1312"/>
      <c r="AGV1312"/>
      <c r="AGW1312"/>
      <c r="AGX1312"/>
      <c r="AGY1312"/>
      <c r="AGZ1312"/>
      <c r="AHA1312"/>
      <c r="AHB1312"/>
      <c r="AHC1312"/>
      <c r="AHD1312"/>
      <c r="AHE1312"/>
      <c r="AHF1312"/>
      <c r="AHG1312"/>
      <c r="AHH1312"/>
      <c r="AHI1312"/>
      <c r="AHJ1312"/>
      <c r="AHK1312"/>
      <c r="AHL1312"/>
      <c r="AHM1312"/>
      <c r="AHN1312"/>
      <c r="AHO1312"/>
      <c r="AHP1312"/>
      <c r="AHQ1312"/>
      <c r="AHR1312"/>
      <c r="AHS1312"/>
      <c r="AHT1312"/>
      <c r="AHU1312"/>
      <c r="AHV1312"/>
      <c r="AHW1312"/>
      <c r="AHX1312"/>
      <c r="AHY1312"/>
      <c r="AHZ1312"/>
      <c r="AIA1312"/>
      <c r="AIB1312"/>
      <c r="AIC1312"/>
      <c r="AID1312"/>
      <c r="AIE1312"/>
      <c r="AIF1312"/>
      <c r="AIG1312"/>
      <c r="AIH1312"/>
      <c r="AII1312"/>
      <c r="AIJ1312"/>
      <c r="AIK1312"/>
      <c r="AIL1312"/>
      <c r="AIM1312"/>
      <c r="AIN1312"/>
      <c r="AIO1312"/>
      <c r="AIP1312"/>
      <c r="AIQ1312"/>
      <c r="AIR1312"/>
      <c r="AIS1312"/>
      <c r="AIT1312"/>
      <c r="AIU1312"/>
      <c r="AIV1312"/>
      <c r="AIW1312"/>
      <c r="AIX1312"/>
      <c r="AIY1312"/>
      <c r="AIZ1312"/>
      <c r="AJA1312"/>
      <c r="AJB1312"/>
      <c r="AJC1312"/>
      <c r="AJD1312"/>
      <c r="AJE1312"/>
      <c r="AJF1312"/>
      <c r="AJG1312"/>
      <c r="AJH1312"/>
      <c r="AJI1312"/>
      <c r="AJJ1312"/>
      <c r="AJK1312"/>
      <c r="AJL1312"/>
      <c r="AJM1312"/>
      <c r="AJN1312"/>
      <c r="AJO1312"/>
      <c r="AJP1312"/>
      <c r="AJQ1312"/>
      <c r="AJR1312"/>
      <c r="AJS1312"/>
      <c r="AJT1312"/>
      <c r="AJU1312"/>
      <c r="AJV1312"/>
      <c r="AJW1312"/>
      <c r="AJX1312"/>
      <c r="AJY1312"/>
      <c r="AJZ1312"/>
      <c r="AKA1312"/>
      <c r="AKB1312"/>
      <c r="AKC1312"/>
      <c r="AKD1312"/>
      <c r="AKE1312"/>
      <c r="AKF1312"/>
      <c r="AKG1312"/>
      <c r="AKH1312"/>
      <c r="AKI1312"/>
      <c r="AKJ1312"/>
      <c r="AKK1312"/>
      <c r="AKL1312"/>
      <c r="AKM1312"/>
      <c r="AKN1312"/>
      <c r="AKO1312"/>
      <c r="AKP1312"/>
      <c r="AKQ1312"/>
      <c r="AKR1312"/>
      <c r="AKS1312"/>
      <c r="AKT1312"/>
      <c r="AKU1312"/>
      <c r="AKV1312"/>
      <c r="AKW1312"/>
      <c r="AKX1312"/>
      <c r="AKY1312"/>
      <c r="AKZ1312"/>
      <c r="ALA1312"/>
      <c r="ALB1312"/>
      <c r="ALC1312"/>
      <c r="ALD1312"/>
      <c r="ALE1312"/>
      <c r="ALF1312"/>
      <c r="ALG1312"/>
      <c r="ALH1312"/>
      <c r="ALI1312"/>
      <c r="ALJ1312"/>
      <c r="ALK1312"/>
      <c r="ALL1312"/>
      <c r="ALM1312"/>
      <c r="ALN1312"/>
      <c r="ALO1312"/>
      <c r="ALP1312"/>
      <c r="ALQ1312"/>
      <c r="ALR1312"/>
      <c r="ALS1312"/>
      <c r="ALT1312"/>
    </row>
    <row r="1313" spans="3:1008" x14ac:dyDescent="0.15">
      <c r="C1313"/>
      <c r="F1313"/>
      <c r="H1313"/>
      <c r="I1313"/>
      <c r="J1313"/>
      <c r="K1313"/>
      <c r="L1313"/>
      <c r="M1313"/>
      <c r="N1313"/>
      <c r="O1313"/>
      <c r="P1313"/>
      <c r="Q1313"/>
      <c r="R1313"/>
      <c r="S1313"/>
      <c r="T1313"/>
      <c r="U1313"/>
      <c r="V1313"/>
      <c r="W1313"/>
      <c r="X1313"/>
      <c r="Y1313"/>
      <c r="Z1313"/>
      <c r="AA1313"/>
      <c r="AB1313"/>
      <c r="AC1313"/>
      <c r="AD1313"/>
      <c r="AE1313"/>
      <c r="AF1313"/>
      <c r="AG1313"/>
      <c r="AH1313"/>
      <c r="AI1313"/>
      <c r="AJ1313"/>
      <c r="AK1313"/>
      <c r="AL1313"/>
      <c r="AM1313"/>
      <c r="AN1313"/>
      <c r="AO1313"/>
      <c r="AP1313"/>
      <c r="AQ1313"/>
      <c r="AR1313"/>
      <c r="AS1313"/>
      <c r="AT1313"/>
      <c r="AU1313"/>
      <c r="AV1313"/>
      <c r="AW1313"/>
      <c r="AX1313"/>
      <c r="AY1313"/>
      <c r="AZ1313"/>
      <c r="BA1313"/>
      <c r="BB1313"/>
      <c r="BC1313"/>
      <c r="BD1313"/>
      <c r="BE1313"/>
      <c r="BF1313"/>
      <c r="BG1313"/>
      <c r="BH1313"/>
      <c r="BI1313"/>
      <c r="BJ1313"/>
      <c r="BK1313"/>
      <c r="BL1313"/>
      <c r="BM1313"/>
      <c r="BN1313"/>
      <c r="BO1313"/>
      <c r="BP1313"/>
      <c r="BQ1313"/>
      <c r="BR1313"/>
      <c r="BS1313"/>
      <c r="BT1313"/>
      <c r="BU1313"/>
      <c r="BV1313"/>
      <c r="BW1313"/>
      <c r="BX1313"/>
      <c r="BY1313"/>
      <c r="BZ1313"/>
      <c r="CA1313"/>
      <c r="CB1313"/>
      <c r="CC1313"/>
      <c r="CD1313"/>
      <c r="CE1313"/>
      <c r="CF1313"/>
      <c r="CG1313"/>
      <c r="CH1313"/>
      <c r="CI1313"/>
      <c r="CJ1313"/>
      <c r="CK1313"/>
      <c r="CL1313"/>
      <c r="CM1313"/>
      <c r="CN1313"/>
      <c r="CO1313"/>
      <c r="CP1313"/>
      <c r="CQ1313"/>
      <c r="CR1313"/>
      <c r="CS1313"/>
      <c r="CT1313"/>
      <c r="CU1313"/>
      <c r="CV1313"/>
      <c r="CW1313"/>
      <c r="CX1313"/>
      <c r="CY1313"/>
      <c r="CZ1313"/>
      <c r="DA1313"/>
      <c r="DB1313"/>
      <c r="DC1313"/>
      <c r="DD1313"/>
      <c r="DE1313"/>
      <c r="DF1313"/>
      <c r="DG1313"/>
      <c r="DH1313"/>
      <c r="DI1313"/>
      <c r="DJ1313"/>
      <c r="DK1313"/>
      <c r="DL1313"/>
      <c r="DM1313"/>
      <c r="DN1313"/>
      <c r="DO1313"/>
      <c r="DP1313"/>
      <c r="DQ1313"/>
      <c r="DR1313"/>
      <c r="DS1313"/>
      <c r="DT1313"/>
      <c r="DU1313"/>
      <c r="DV1313"/>
      <c r="DW1313"/>
      <c r="DX1313"/>
      <c r="DY1313"/>
      <c r="DZ1313"/>
      <c r="EA1313"/>
      <c r="EB1313"/>
      <c r="EC1313"/>
      <c r="ED1313"/>
      <c r="EE1313"/>
      <c r="EF1313"/>
      <c r="EG1313"/>
      <c r="EH1313"/>
      <c r="EI1313"/>
      <c r="EJ1313"/>
      <c r="EK1313"/>
      <c r="EL1313"/>
      <c r="EM1313"/>
      <c r="EN1313"/>
      <c r="EO1313"/>
      <c r="EP1313"/>
      <c r="EQ1313"/>
      <c r="ER1313"/>
      <c r="ES1313"/>
      <c r="ET1313"/>
      <c r="EU1313"/>
      <c r="EV1313"/>
      <c r="EW1313"/>
      <c r="EX1313"/>
      <c r="EY1313"/>
      <c r="EZ1313"/>
      <c r="FA1313"/>
      <c r="FB1313"/>
      <c r="FC1313"/>
      <c r="FD1313"/>
      <c r="FE1313"/>
      <c r="FF1313"/>
      <c r="FG1313"/>
      <c r="FH1313"/>
      <c r="FI1313"/>
      <c r="FJ1313"/>
      <c r="FK1313"/>
      <c r="FL1313"/>
      <c r="FM1313"/>
      <c r="FN1313"/>
      <c r="FO1313"/>
      <c r="FP1313"/>
      <c r="FQ1313"/>
      <c r="FR1313"/>
      <c r="FS1313"/>
      <c r="FT1313"/>
      <c r="FU1313"/>
      <c r="FV1313"/>
      <c r="FW1313"/>
      <c r="FX1313"/>
      <c r="FY1313"/>
      <c r="FZ1313"/>
      <c r="GA1313"/>
      <c r="GB1313"/>
      <c r="GC1313"/>
      <c r="GD1313"/>
      <c r="GE1313"/>
      <c r="GF1313"/>
      <c r="GG1313"/>
      <c r="GH1313"/>
      <c r="GI1313"/>
      <c r="GJ1313"/>
      <c r="GK1313"/>
      <c r="GL1313"/>
      <c r="GM1313"/>
      <c r="GN1313"/>
      <c r="GO1313"/>
      <c r="GP1313"/>
      <c r="GQ1313"/>
      <c r="GR1313"/>
      <c r="GS1313"/>
      <c r="GT1313"/>
      <c r="GU1313"/>
      <c r="GV1313"/>
      <c r="GW1313"/>
      <c r="GX1313"/>
      <c r="GY1313"/>
      <c r="GZ1313"/>
      <c r="HA1313"/>
      <c r="HB1313"/>
      <c r="HC1313"/>
      <c r="HD1313"/>
      <c r="HE1313"/>
      <c r="HF1313"/>
      <c r="HG1313"/>
      <c r="HH1313"/>
      <c r="HI1313"/>
      <c r="HJ1313"/>
      <c r="HK1313"/>
      <c r="HL1313"/>
      <c r="HM1313"/>
      <c r="HN1313"/>
      <c r="HO1313"/>
      <c r="HP1313"/>
      <c r="HQ1313"/>
      <c r="HR1313"/>
      <c r="HS1313"/>
      <c r="HT1313"/>
      <c r="HU1313"/>
      <c r="HV1313"/>
      <c r="HW1313"/>
      <c r="HX1313"/>
      <c r="HY1313"/>
      <c r="HZ1313"/>
      <c r="IA1313"/>
      <c r="IB1313"/>
      <c r="IC1313"/>
      <c r="ID1313"/>
      <c r="IE1313"/>
      <c r="IF1313"/>
      <c r="IG1313"/>
      <c r="IH1313"/>
      <c r="II1313"/>
      <c r="IJ1313"/>
      <c r="IK1313"/>
      <c r="IL1313"/>
      <c r="IM1313"/>
      <c r="IN1313"/>
      <c r="IO1313"/>
      <c r="IP1313"/>
      <c r="IQ1313"/>
      <c r="IR1313"/>
      <c r="IS1313"/>
      <c r="IT1313"/>
      <c r="IU1313"/>
      <c r="IV1313"/>
      <c r="IW1313"/>
      <c r="IX1313"/>
      <c r="IY1313"/>
      <c r="IZ1313"/>
      <c r="JA1313"/>
      <c r="JB1313"/>
      <c r="JC1313"/>
      <c r="JD1313"/>
      <c r="JE1313"/>
      <c r="JF1313"/>
      <c r="JG1313"/>
      <c r="JH1313"/>
      <c r="JI1313"/>
      <c r="JJ1313"/>
      <c r="JK1313"/>
      <c r="JL1313"/>
      <c r="JM1313"/>
      <c r="JN1313"/>
      <c r="JO1313"/>
      <c r="JP1313"/>
      <c r="JQ1313"/>
      <c r="JR1313"/>
      <c r="JS1313"/>
      <c r="JT1313"/>
      <c r="JU1313"/>
      <c r="JV1313"/>
      <c r="JW1313"/>
      <c r="JX1313"/>
      <c r="JY1313"/>
      <c r="JZ1313"/>
      <c r="KA1313"/>
      <c r="KB1313"/>
      <c r="KC1313"/>
      <c r="KD1313"/>
      <c r="KE1313"/>
      <c r="KF1313"/>
      <c r="KG1313"/>
      <c r="KH1313"/>
      <c r="KI1313"/>
      <c r="KJ1313"/>
      <c r="KK1313"/>
      <c r="KL1313"/>
      <c r="KM1313"/>
      <c r="KN1313"/>
      <c r="KO1313"/>
      <c r="KP1313"/>
      <c r="KQ1313"/>
      <c r="KR1313"/>
      <c r="KS1313"/>
      <c r="KT1313"/>
      <c r="KU1313"/>
      <c r="KV1313"/>
      <c r="KW1313"/>
      <c r="KX1313"/>
      <c r="KY1313"/>
      <c r="KZ1313"/>
      <c r="LA1313"/>
      <c r="LB1313"/>
      <c r="LC1313"/>
      <c r="LD1313"/>
      <c r="LE1313"/>
      <c r="LF1313"/>
      <c r="LG1313"/>
      <c r="LH1313"/>
      <c r="LI1313"/>
      <c r="LJ1313"/>
      <c r="LK1313"/>
      <c r="LL1313"/>
      <c r="LM1313"/>
      <c r="LN1313"/>
      <c r="LO1313"/>
      <c r="LP1313"/>
      <c r="LQ1313"/>
      <c r="LR1313"/>
      <c r="LS1313"/>
      <c r="LT1313"/>
      <c r="LU1313"/>
      <c r="LV1313"/>
      <c r="LW1313"/>
      <c r="LX1313"/>
      <c r="LY1313"/>
      <c r="LZ1313"/>
      <c r="MA1313"/>
      <c r="MB1313"/>
      <c r="MC1313"/>
      <c r="MD1313"/>
      <c r="ME1313"/>
      <c r="MF1313"/>
      <c r="MG1313"/>
      <c r="MH1313"/>
      <c r="MI1313"/>
      <c r="MJ1313"/>
      <c r="MK1313"/>
      <c r="ML1313"/>
      <c r="MM1313"/>
      <c r="MN1313"/>
      <c r="MO1313"/>
      <c r="MP1313"/>
      <c r="MQ1313"/>
      <c r="MR1313"/>
      <c r="MS1313"/>
      <c r="MT1313"/>
      <c r="MU1313"/>
      <c r="MV1313"/>
      <c r="MW1313"/>
      <c r="MX1313"/>
      <c r="MY1313"/>
      <c r="MZ1313"/>
      <c r="NA1313"/>
      <c r="NB1313"/>
      <c r="NC1313"/>
      <c r="ND1313"/>
      <c r="NE1313"/>
      <c r="NF1313"/>
      <c r="NG1313"/>
      <c r="NH1313"/>
      <c r="NI1313"/>
      <c r="NJ1313"/>
      <c r="NK1313"/>
      <c r="NL1313"/>
      <c r="NM1313"/>
      <c r="NN1313"/>
      <c r="NO1313"/>
      <c r="NP1313"/>
      <c r="NQ1313"/>
      <c r="NR1313"/>
      <c r="NS1313"/>
      <c r="NT1313"/>
      <c r="NU1313"/>
      <c r="NV1313"/>
      <c r="NW1313"/>
      <c r="NX1313"/>
      <c r="NY1313"/>
      <c r="NZ1313"/>
      <c r="OA1313"/>
      <c r="OB1313"/>
      <c r="OC1313"/>
      <c r="OD1313"/>
      <c r="OE1313"/>
      <c r="OF1313"/>
      <c r="OG1313"/>
      <c r="OH1313"/>
      <c r="OI1313"/>
      <c r="OJ1313"/>
      <c r="OK1313"/>
      <c r="OL1313"/>
      <c r="OM1313"/>
      <c r="ON1313"/>
      <c r="OO1313"/>
      <c r="OP1313"/>
      <c r="OQ1313"/>
      <c r="OR1313"/>
      <c r="OS1313"/>
      <c r="OT1313"/>
      <c r="OU1313"/>
      <c r="OV1313"/>
      <c r="OW1313"/>
      <c r="OX1313"/>
      <c r="OY1313"/>
      <c r="OZ1313"/>
      <c r="PA1313"/>
      <c r="PB1313"/>
      <c r="PC1313"/>
      <c r="PD1313"/>
      <c r="PE1313"/>
      <c r="PF1313"/>
      <c r="PG1313"/>
      <c r="PH1313"/>
      <c r="PI1313"/>
      <c r="PJ1313"/>
      <c r="PK1313"/>
      <c r="PL1313"/>
      <c r="PM1313"/>
      <c r="PN1313"/>
      <c r="PO1313"/>
      <c r="PP1313"/>
      <c r="PQ1313"/>
      <c r="PR1313"/>
      <c r="PS1313"/>
      <c r="PT1313"/>
      <c r="PU1313"/>
      <c r="PV1313"/>
      <c r="PW1313"/>
      <c r="PX1313"/>
      <c r="PY1313"/>
      <c r="PZ1313"/>
      <c r="QA1313"/>
      <c r="QB1313"/>
      <c r="QC1313"/>
      <c r="QD1313"/>
      <c r="QE1313"/>
      <c r="QF1313"/>
      <c r="QG1313"/>
      <c r="QH1313"/>
      <c r="QI1313"/>
      <c r="QJ1313"/>
      <c r="QK1313"/>
      <c r="QL1313"/>
      <c r="QM1313"/>
      <c r="QN1313"/>
      <c r="QO1313"/>
      <c r="QP1313"/>
      <c r="QQ1313"/>
      <c r="QR1313"/>
      <c r="QS1313"/>
      <c r="QT1313"/>
      <c r="QU1313"/>
      <c r="QV1313"/>
      <c r="QW1313"/>
      <c r="QX1313"/>
      <c r="QY1313"/>
      <c r="QZ1313"/>
      <c r="RA1313"/>
      <c r="RB1313"/>
      <c r="RC1313"/>
      <c r="RD1313"/>
      <c r="RE1313"/>
      <c r="RF1313"/>
      <c r="RG1313"/>
      <c r="RH1313"/>
      <c r="RI1313"/>
      <c r="RJ1313"/>
      <c r="RK1313"/>
      <c r="RL1313"/>
      <c r="RM1313"/>
      <c r="RN1313"/>
      <c r="RO1313"/>
      <c r="RP1313"/>
      <c r="RQ1313"/>
      <c r="RR1313"/>
      <c r="RS1313"/>
      <c r="RT1313"/>
      <c r="RU1313"/>
      <c r="RV1313"/>
      <c r="RW1313"/>
      <c r="RX1313"/>
      <c r="RY1313"/>
      <c r="RZ1313"/>
      <c r="SA1313"/>
      <c r="SB1313"/>
      <c r="SC1313"/>
      <c r="SD1313"/>
      <c r="SE1313"/>
      <c r="SF1313"/>
      <c r="SG1313"/>
      <c r="SH1313"/>
      <c r="SI1313"/>
      <c r="SJ1313"/>
      <c r="SK1313"/>
      <c r="SL1313"/>
      <c r="SM1313"/>
      <c r="SN1313"/>
      <c r="SO1313"/>
      <c r="SP1313"/>
      <c r="SQ1313"/>
      <c r="SR1313"/>
      <c r="SS1313"/>
      <c r="ST1313"/>
      <c r="SU1313"/>
      <c r="SV1313"/>
      <c r="SW1313"/>
      <c r="SX1313"/>
      <c r="SY1313"/>
      <c r="SZ1313"/>
      <c r="TA1313"/>
      <c r="TB1313"/>
      <c r="TC1313"/>
      <c r="TD1313"/>
      <c r="TE1313"/>
      <c r="TF1313"/>
      <c r="TG1313"/>
      <c r="TH1313"/>
      <c r="TI1313"/>
      <c r="TJ1313"/>
      <c r="TK1313"/>
      <c r="TL1313"/>
      <c r="TM1313"/>
      <c r="TN1313"/>
      <c r="TO1313"/>
      <c r="TP1313"/>
      <c r="TQ1313"/>
      <c r="TR1313"/>
      <c r="TS1313"/>
      <c r="TT1313"/>
      <c r="TU1313"/>
      <c r="TV1313"/>
      <c r="TW1313"/>
      <c r="TX1313"/>
      <c r="TY1313"/>
      <c r="TZ1313"/>
      <c r="UA1313"/>
      <c r="UB1313"/>
      <c r="UC1313"/>
      <c r="UD1313"/>
      <c r="UE1313"/>
      <c r="UF1313"/>
      <c r="UG1313"/>
      <c r="UH1313"/>
      <c r="UI1313"/>
      <c r="UJ1313"/>
      <c r="UK1313"/>
      <c r="UL1313"/>
      <c r="UM1313"/>
      <c r="UN1313"/>
      <c r="UO1313"/>
      <c r="UP1313"/>
      <c r="UQ1313"/>
      <c r="UR1313"/>
      <c r="US1313"/>
      <c r="UT1313"/>
      <c r="UU1313"/>
      <c r="UV1313"/>
      <c r="UW1313"/>
      <c r="UX1313"/>
      <c r="UY1313"/>
      <c r="UZ1313"/>
      <c r="VA1313"/>
      <c r="VB1313"/>
      <c r="VC1313"/>
      <c r="VD1313"/>
      <c r="VE1313"/>
      <c r="VF1313"/>
      <c r="VG1313"/>
      <c r="VH1313"/>
      <c r="VI1313"/>
      <c r="VJ1313"/>
      <c r="VK1313"/>
      <c r="VL1313"/>
      <c r="VM1313"/>
      <c r="VN1313"/>
      <c r="VO1313"/>
      <c r="VP1313"/>
      <c r="VQ1313"/>
      <c r="VR1313"/>
      <c r="VS1313"/>
      <c r="VT1313"/>
      <c r="VU1313"/>
      <c r="VV1313"/>
      <c r="VW1313"/>
      <c r="VX1313"/>
      <c r="VY1313"/>
      <c r="VZ1313"/>
      <c r="WA1313"/>
      <c r="WB1313"/>
      <c r="WC1313"/>
      <c r="WD1313"/>
      <c r="WE1313"/>
      <c r="WF1313"/>
      <c r="WG1313"/>
      <c r="WH1313"/>
      <c r="WI1313"/>
      <c r="WJ1313"/>
      <c r="WK1313"/>
      <c r="WL1313"/>
      <c r="WM1313"/>
      <c r="WN1313"/>
      <c r="WO1313"/>
      <c r="WP1313"/>
      <c r="WQ1313"/>
      <c r="WR1313"/>
      <c r="WS1313"/>
      <c r="WT1313"/>
      <c r="WU1313"/>
      <c r="WV1313"/>
      <c r="WW1313"/>
      <c r="WX1313"/>
      <c r="WY1313"/>
      <c r="WZ1313"/>
      <c r="XA1313"/>
      <c r="XB1313"/>
      <c r="XC1313"/>
      <c r="XD1313"/>
      <c r="XE1313"/>
      <c r="XF1313"/>
      <c r="XG1313"/>
      <c r="XH1313"/>
      <c r="XI1313"/>
      <c r="XJ1313"/>
      <c r="XK1313"/>
      <c r="XL1313"/>
      <c r="XM1313"/>
      <c r="XN1313"/>
      <c r="XO1313"/>
      <c r="XP1313"/>
      <c r="XQ1313"/>
      <c r="XR1313"/>
      <c r="XS1313"/>
      <c r="XT1313"/>
      <c r="XU1313"/>
      <c r="XV1313"/>
      <c r="XW1313"/>
      <c r="XX1313"/>
      <c r="XY1313"/>
      <c r="XZ1313"/>
      <c r="YA1313"/>
      <c r="YB1313"/>
      <c r="YC1313"/>
      <c r="YD1313"/>
      <c r="YE1313"/>
      <c r="YF1313"/>
      <c r="YG1313"/>
      <c r="YH1313"/>
      <c r="YI1313"/>
      <c r="YJ1313"/>
      <c r="YK1313"/>
      <c r="YL1313"/>
      <c r="YM1313"/>
      <c r="YN1313"/>
      <c r="YO1313"/>
      <c r="YP1313"/>
      <c r="YQ1313"/>
      <c r="YR1313"/>
      <c r="YS1313"/>
      <c r="YT1313"/>
      <c r="YU1313"/>
      <c r="YV1313"/>
      <c r="YW1313"/>
      <c r="YX1313"/>
      <c r="YY1313"/>
      <c r="YZ1313"/>
      <c r="ZA1313"/>
      <c r="ZB1313"/>
      <c r="ZC1313"/>
      <c r="ZD1313"/>
      <c r="ZE1313"/>
      <c r="ZF1313"/>
      <c r="ZG1313"/>
      <c r="ZH1313"/>
      <c r="ZI1313"/>
      <c r="ZJ1313"/>
      <c r="ZK1313"/>
      <c r="ZL1313"/>
      <c r="ZM1313"/>
      <c r="ZN1313"/>
      <c r="ZO1313"/>
      <c r="ZP1313"/>
      <c r="ZQ1313"/>
      <c r="ZR1313"/>
      <c r="ZS1313"/>
      <c r="ZT1313"/>
      <c r="ZU1313"/>
      <c r="ZV1313"/>
      <c r="ZW1313"/>
      <c r="ZX1313"/>
      <c r="ZY1313"/>
      <c r="ZZ1313"/>
      <c r="AAA1313"/>
      <c r="AAB1313"/>
      <c r="AAC1313"/>
      <c r="AAD1313"/>
      <c r="AAE1313"/>
      <c r="AAF1313"/>
      <c r="AAG1313"/>
      <c r="AAH1313"/>
      <c r="AAI1313"/>
      <c r="AAJ1313"/>
      <c r="AAK1313"/>
      <c r="AAL1313"/>
      <c r="AAM1313"/>
      <c r="AAN1313"/>
      <c r="AAO1313"/>
      <c r="AAP1313"/>
      <c r="AAQ1313"/>
      <c r="AAR1313"/>
      <c r="AAS1313"/>
      <c r="AAT1313"/>
      <c r="AAU1313"/>
      <c r="AAV1313"/>
      <c r="AAW1313"/>
      <c r="AAX1313"/>
      <c r="AAY1313"/>
      <c r="AAZ1313"/>
      <c r="ABA1313"/>
      <c r="ABB1313"/>
      <c r="ABC1313"/>
      <c r="ABD1313"/>
      <c r="ABE1313"/>
      <c r="ABF1313"/>
      <c r="ABG1313"/>
      <c r="ABH1313"/>
      <c r="ABI1313"/>
      <c r="ABJ1313"/>
      <c r="ABK1313"/>
      <c r="ABL1313"/>
      <c r="ABM1313"/>
      <c r="ABN1313"/>
      <c r="ABO1313"/>
      <c r="ABP1313"/>
      <c r="ABQ1313"/>
      <c r="ABR1313"/>
      <c r="ABS1313"/>
      <c r="ABT1313"/>
      <c r="ABU1313"/>
      <c r="ABV1313"/>
      <c r="ABW1313"/>
      <c r="ABX1313"/>
      <c r="ABY1313"/>
      <c r="ABZ1313"/>
      <c r="ACA1313"/>
      <c r="ACB1313"/>
      <c r="ACC1313"/>
      <c r="ACD1313"/>
      <c r="ACE1313"/>
      <c r="ACF1313"/>
      <c r="ACG1313"/>
      <c r="ACH1313"/>
      <c r="ACI1313"/>
      <c r="ACJ1313"/>
      <c r="ACK1313"/>
      <c r="ACL1313"/>
      <c r="ACM1313"/>
      <c r="ACN1313"/>
      <c r="ACO1313"/>
      <c r="ACP1313"/>
      <c r="ACQ1313"/>
      <c r="ACR1313"/>
      <c r="ACS1313"/>
      <c r="ACT1313"/>
      <c r="ACU1313"/>
      <c r="ACV1313"/>
      <c r="ACW1313"/>
      <c r="ACX1313"/>
      <c r="ACY1313"/>
      <c r="ACZ1313"/>
      <c r="ADA1313"/>
      <c r="ADB1313"/>
      <c r="ADC1313"/>
      <c r="ADD1313"/>
      <c r="ADE1313"/>
      <c r="ADF1313"/>
      <c r="ADG1313"/>
      <c r="ADH1313"/>
      <c r="ADI1313"/>
      <c r="ADJ1313"/>
      <c r="ADK1313"/>
      <c r="ADL1313"/>
      <c r="ADM1313"/>
      <c r="ADN1313"/>
      <c r="ADO1313"/>
      <c r="ADP1313"/>
      <c r="ADQ1313"/>
      <c r="ADR1313"/>
      <c r="ADS1313"/>
      <c r="ADT1313"/>
      <c r="ADU1313"/>
      <c r="ADV1313"/>
      <c r="ADW1313"/>
      <c r="ADX1313"/>
      <c r="ADY1313"/>
      <c r="ADZ1313"/>
      <c r="AEA1313"/>
      <c r="AEB1313"/>
      <c r="AEC1313"/>
      <c r="AED1313"/>
      <c r="AEE1313"/>
      <c r="AEF1313"/>
      <c r="AEG1313"/>
      <c r="AEH1313"/>
      <c r="AEI1313"/>
      <c r="AEJ1313"/>
      <c r="AEK1313"/>
      <c r="AEL1313"/>
      <c r="AEM1313"/>
      <c r="AEN1313"/>
      <c r="AEO1313"/>
      <c r="AEP1313"/>
      <c r="AEQ1313"/>
      <c r="AER1313"/>
      <c r="AES1313"/>
      <c r="AET1313"/>
      <c r="AEU1313"/>
      <c r="AEV1313"/>
      <c r="AEW1313"/>
      <c r="AEX1313"/>
      <c r="AEY1313"/>
      <c r="AEZ1313"/>
      <c r="AFA1313"/>
      <c r="AFB1313"/>
      <c r="AFC1313"/>
      <c r="AFD1313"/>
      <c r="AFE1313"/>
      <c r="AFF1313"/>
      <c r="AFG1313"/>
      <c r="AFH1313"/>
      <c r="AFI1313"/>
      <c r="AFJ1313"/>
      <c r="AFK1313"/>
      <c r="AFL1313"/>
      <c r="AFM1313"/>
      <c r="AFN1313"/>
      <c r="AFO1313"/>
      <c r="AFP1313"/>
      <c r="AFQ1313"/>
      <c r="AFR1313"/>
      <c r="AFS1313"/>
      <c r="AFT1313"/>
      <c r="AFU1313"/>
      <c r="AFV1313"/>
      <c r="AFW1313"/>
      <c r="AFX1313"/>
      <c r="AFY1313"/>
      <c r="AFZ1313"/>
      <c r="AGA1313"/>
      <c r="AGB1313"/>
      <c r="AGC1313"/>
      <c r="AGD1313"/>
      <c r="AGE1313"/>
      <c r="AGF1313"/>
      <c r="AGG1313"/>
      <c r="AGH1313"/>
      <c r="AGI1313"/>
      <c r="AGJ1313"/>
      <c r="AGK1313"/>
      <c r="AGL1313"/>
      <c r="AGM1313"/>
      <c r="AGN1313"/>
      <c r="AGO1313"/>
      <c r="AGP1313"/>
      <c r="AGQ1313"/>
      <c r="AGR1313"/>
      <c r="AGS1313"/>
      <c r="AGT1313"/>
      <c r="AGU1313"/>
      <c r="AGV1313"/>
      <c r="AGW1313"/>
      <c r="AGX1313"/>
      <c r="AGY1313"/>
      <c r="AGZ1313"/>
      <c r="AHA1313"/>
      <c r="AHB1313"/>
      <c r="AHC1313"/>
      <c r="AHD1313"/>
      <c r="AHE1313"/>
      <c r="AHF1313"/>
      <c r="AHG1313"/>
      <c r="AHH1313"/>
      <c r="AHI1313"/>
      <c r="AHJ1313"/>
      <c r="AHK1313"/>
      <c r="AHL1313"/>
      <c r="AHM1313"/>
      <c r="AHN1313"/>
      <c r="AHO1313"/>
      <c r="AHP1313"/>
      <c r="AHQ1313"/>
      <c r="AHR1313"/>
      <c r="AHS1313"/>
      <c r="AHT1313"/>
      <c r="AHU1313"/>
      <c r="AHV1313"/>
      <c r="AHW1313"/>
      <c r="AHX1313"/>
      <c r="AHY1313"/>
      <c r="AHZ1313"/>
      <c r="AIA1313"/>
      <c r="AIB1313"/>
      <c r="AIC1313"/>
      <c r="AID1313"/>
      <c r="AIE1313"/>
      <c r="AIF1313"/>
      <c r="AIG1313"/>
      <c r="AIH1313"/>
      <c r="AII1313"/>
      <c r="AIJ1313"/>
      <c r="AIK1313"/>
      <c r="AIL1313"/>
      <c r="AIM1313"/>
      <c r="AIN1313"/>
      <c r="AIO1313"/>
      <c r="AIP1313"/>
      <c r="AIQ1313"/>
      <c r="AIR1313"/>
      <c r="AIS1313"/>
      <c r="AIT1313"/>
      <c r="AIU1313"/>
      <c r="AIV1313"/>
      <c r="AIW1313"/>
      <c r="AIX1313"/>
      <c r="AIY1313"/>
      <c r="AIZ1313"/>
      <c r="AJA1313"/>
      <c r="AJB1313"/>
      <c r="AJC1313"/>
      <c r="AJD1313"/>
      <c r="AJE1313"/>
      <c r="AJF1313"/>
      <c r="AJG1313"/>
      <c r="AJH1313"/>
      <c r="AJI1313"/>
      <c r="AJJ1313"/>
      <c r="AJK1313"/>
      <c r="AJL1313"/>
      <c r="AJM1313"/>
      <c r="AJN1313"/>
      <c r="AJO1313"/>
      <c r="AJP1313"/>
      <c r="AJQ1313"/>
      <c r="AJR1313"/>
      <c r="AJS1313"/>
      <c r="AJT1313"/>
      <c r="AJU1313"/>
      <c r="AJV1313"/>
      <c r="AJW1313"/>
      <c r="AJX1313"/>
      <c r="AJY1313"/>
      <c r="AJZ1313"/>
      <c r="AKA1313"/>
      <c r="AKB1313"/>
      <c r="AKC1313"/>
      <c r="AKD1313"/>
      <c r="AKE1313"/>
      <c r="AKF1313"/>
      <c r="AKG1313"/>
      <c r="AKH1313"/>
      <c r="AKI1313"/>
      <c r="AKJ1313"/>
      <c r="AKK1313"/>
      <c r="AKL1313"/>
      <c r="AKM1313"/>
      <c r="AKN1313"/>
      <c r="AKO1313"/>
      <c r="AKP1313"/>
      <c r="AKQ1313"/>
      <c r="AKR1313"/>
      <c r="AKS1313"/>
      <c r="AKT1313"/>
      <c r="AKU1313"/>
      <c r="AKV1313"/>
      <c r="AKW1313"/>
      <c r="AKX1313"/>
      <c r="AKY1313"/>
      <c r="AKZ1313"/>
      <c r="ALA1313"/>
      <c r="ALB1313"/>
      <c r="ALC1313"/>
      <c r="ALD1313"/>
      <c r="ALE1313"/>
      <c r="ALF1313"/>
      <c r="ALG1313"/>
      <c r="ALH1313"/>
      <c r="ALI1313"/>
      <c r="ALJ1313"/>
      <c r="ALK1313"/>
      <c r="ALL1313"/>
      <c r="ALM1313"/>
      <c r="ALN1313"/>
      <c r="ALO1313"/>
      <c r="ALP1313"/>
      <c r="ALQ1313"/>
      <c r="ALR1313"/>
      <c r="ALS1313"/>
      <c r="ALT1313"/>
    </row>
    <row r="1314" spans="3:1008" x14ac:dyDescent="0.15">
      <c r="C1314"/>
      <c r="F1314"/>
      <c r="H1314"/>
      <c r="I1314"/>
      <c r="J1314"/>
      <c r="K1314"/>
      <c r="L1314"/>
      <c r="M1314"/>
      <c r="N1314"/>
      <c r="O1314"/>
      <c r="P1314"/>
      <c r="Q1314"/>
      <c r="R1314"/>
      <c r="S1314"/>
      <c r="T1314"/>
      <c r="U1314"/>
      <c r="V1314"/>
      <c r="W1314"/>
      <c r="X1314"/>
      <c r="Y1314"/>
      <c r="Z1314"/>
      <c r="AA1314"/>
      <c r="AB1314"/>
      <c r="AC1314"/>
      <c r="AD1314"/>
      <c r="AE1314"/>
      <c r="AF1314"/>
      <c r="AG1314"/>
      <c r="AH1314"/>
      <c r="AI1314"/>
      <c r="AJ1314"/>
      <c r="AK1314"/>
      <c r="AL1314"/>
      <c r="AM1314"/>
      <c r="AN1314"/>
      <c r="AO1314"/>
      <c r="AP1314"/>
      <c r="AQ1314"/>
      <c r="AR1314"/>
      <c r="AS1314"/>
      <c r="AT1314"/>
      <c r="AU1314"/>
      <c r="AV1314"/>
      <c r="AW1314"/>
      <c r="AX1314"/>
      <c r="AY1314"/>
      <c r="AZ1314"/>
      <c r="BA1314"/>
      <c r="BB1314"/>
      <c r="BC1314"/>
      <c r="BD1314"/>
      <c r="BE1314"/>
      <c r="BF1314"/>
      <c r="BG1314"/>
      <c r="BH1314"/>
      <c r="BI1314"/>
      <c r="BJ1314"/>
      <c r="BK1314"/>
      <c r="BL1314"/>
      <c r="BM1314"/>
      <c r="BN1314"/>
      <c r="BO1314"/>
      <c r="BP1314"/>
      <c r="BQ1314"/>
      <c r="BR1314"/>
      <c r="BS1314"/>
      <c r="BT1314"/>
      <c r="BU1314"/>
      <c r="BV1314"/>
      <c r="BW1314"/>
      <c r="BX1314"/>
      <c r="BY1314"/>
      <c r="BZ1314"/>
      <c r="CA1314"/>
      <c r="CB1314"/>
      <c r="CC1314"/>
      <c r="CD1314"/>
      <c r="CE1314"/>
      <c r="CF1314"/>
      <c r="CG1314"/>
      <c r="CH1314"/>
      <c r="CI1314"/>
      <c r="CJ1314"/>
      <c r="CK1314"/>
      <c r="CL1314"/>
      <c r="CM1314"/>
      <c r="CN1314"/>
      <c r="CO1314"/>
      <c r="CP1314"/>
      <c r="CQ1314"/>
      <c r="CR1314"/>
      <c r="CS1314"/>
      <c r="CT1314"/>
      <c r="CU1314"/>
      <c r="CV1314"/>
      <c r="CW1314"/>
      <c r="CX1314"/>
      <c r="CY1314"/>
      <c r="CZ1314"/>
      <c r="DA1314"/>
      <c r="DB1314"/>
      <c r="DC1314"/>
      <c r="DD1314"/>
      <c r="DE1314"/>
      <c r="DF1314"/>
      <c r="DG1314"/>
      <c r="DH1314"/>
      <c r="DI1314"/>
      <c r="DJ1314"/>
      <c r="DK1314"/>
      <c r="DL1314"/>
      <c r="DM1314"/>
      <c r="DN1314"/>
      <c r="DO1314"/>
      <c r="DP1314"/>
      <c r="DQ1314"/>
      <c r="DR1314"/>
      <c r="DS1314"/>
      <c r="DT1314"/>
      <c r="DU1314"/>
      <c r="DV1314"/>
      <c r="DW1314"/>
      <c r="DX1314"/>
      <c r="DY1314"/>
      <c r="DZ1314"/>
      <c r="EA1314"/>
      <c r="EB1314"/>
      <c r="EC1314"/>
      <c r="ED1314"/>
      <c r="EE1314"/>
      <c r="EF1314"/>
      <c r="EG1314"/>
      <c r="EH1314"/>
      <c r="EI1314"/>
      <c r="EJ1314"/>
      <c r="EK1314"/>
      <c r="EL1314"/>
      <c r="EM1314"/>
      <c r="EN1314"/>
      <c r="EO1314"/>
      <c r="EP1314"/>
      <c r="EQ1314"/>
      <c r="ER1314"/>
      <c r="ES1314"/>
      <c r="ET1314"/>
      <c r="EU1314"/>
      <c r="EV1314"/>
      <c r="EW1314"/>
      <c r="EX1314"/>
      <c r="EY1314"/>
      <c r="EZ1314"/>
      <c r="FA1314"/>
      <c r="FB1314"/>
      <c r="FC1314"/>
      <c r="FD1314"/>
      <c r="FE1314"/>
      <c r="FF1314"/>
      <c r="FG1314"/>
      <c r="FH1314"/>
      <c r="FI1314"/>
      <c r="FJ1314"/>
      <c r="FK1314"/>
      <c r="FL1314"/>
      <c r="FM1314"/>
      <c r="FN1314"/>
      <c r="FO1314"/>
      <c r="FP1314"/>
      <c r="FQ1314"/>
      <c r="FR1314"/>
      <c r="FS1314"/>
      <c r="FT1314"/>
      <c r="FU1314"/>
      <c r="FV1314"/>
      <c r="FW1314"/>
      <c r="FX1314"/>
      <c r="FY1314"/>
      <c r="FZ1314"/>
      <c r="GA1314"/>
      <c r="GB1314"/>
      <c r="GC1314"/>
      <c r="GD1314"/>
      <c r="GE1314"/>
      <c r="GF1314"/>
      <c r="GG1314"/>
      <c r="GH1314"/>
      <c r="GI1314"/>
      <c r="GJ1314"/>
      <c r="GK1314"/>
      <c r="GL1314"/>
      <c r="GM1314"/>
      <c r="GN1314"/>
      <c r="GO1314"/>
      <c r="GP1314"/>
      <c r="GQ1314"/>
      <c r="GR1314"/>
      <c r="GS1314"/>
      <c r="GT1314"/>
      <c r="GU1314"/>
      <c r="GV1314"/>
      <c r="GW1314"/>
      <c r="GX1314"/>
      <c r="GY1314"/>
      <c r="GZ1314"/>
      <c r="HA1314"/>
      <c r="HB1314"/>
      <c r="HC1314"/>
      <c r="HD1314"/>
      <c r="HE1314"/>
      <c r="HF1314"/>
      <c r="HG1314"/>
      <c r="HH1314"/>
      <c r="HI1314"/>
      <c r="HJ1314"/>
      <c r="HK1314"/>
      <c r="HL1314"/>
      <c r="HM1314"/>
      <c r="HN1314"/>
      <c r="HO1314"/>
      <c r="HP1314"/>
      <c r="HQ1314"/>
      <c r="HR1314"/>
      <c r="HS1314"/>
      <c r="HT1314"/>
      <c r="HU1314"/>
      <c r="HV1314"/>
      <c r="HW1314"/>
      <c r="HX1314"/>
      <c r="HY1314"/>
      <c r="HZ1314"/>
      <c r="IA1314"/>
      <c r="IB1314"/>
      <c r="IC1314"/>
      <c r="ID1314"/>
      <c r="IE1314"/>
      <c r="IF1314"/>
      <c r="IG1314"/>
      <c r="IH1314"/>
      <c r="II1314"/>
      <c r="IJ1314"/>
      <c r="IK1314"/>
      <c r="IL1314"/>
      <c r="IM1314"/>
      <c r="IN1314"/>
      <c r="IO1314"/>
      <c r="IP1314"/>
      <c r="IQ1314"/>
      <c r="IR1314"/>
      <c r="IS1314"/>
      <c r="IT1314"/>
      <c r="IU1314"/>
      <c r="IV1314"/>
      <c r="IW1314"/>
      <c r="IX1314"/>
      <c r="IY1314"/>
      <c r="IZ1314"/>
      <c r="JA1314"/>
      <c r="JB1314"/>
      <c r="JC1314"/>
      <c r="JD1314"/>
      <c r="JE1314"/>
      <c r="JF1314"/>
      <c r="JG1314"/>
      <c r="JH1314"/>
      <c r="JI1314"/>
      <c r="JJ1314"/>
      <c r="JK1314"/>
      <c r="JL1314"/>
      <c r="JM1314"/>
      <c r="JN1314"/>
      <c r="JO1314"/>
      <c r="JP1314"/>
      <c r="JQ1314"/>
      <c r="JR1314"/>
      <c r="JS1314"/>
      <c r="JT1314"/>
      <c r="JU1314"/>
      <c r="JV1314"/>
      <c r="JW1314"/>
      <c r="JX1314"/>
      <c r="JY1314"/>
      <c r="JZ1314"/>
      <c r="KA1314"/>
      <c r="KB1314"/>
      <c r="KC1314"/>
      <c r="KD1314"/>
      <c r="KE1314"/>
      <c r="KF1314"/>
      <c r="KG1314"/>
      <c r="KH1314"/>
      <c r="KI1314"/>
      <c r="KJ1314"/>
      <c r="KK1314"/>
      <c r="KL1314"/>
      <c r="KM1314"/>
      <c r="KN1314"/>
      <c r="KO1314"/>
      <c r="KP1314"/>
      <c r="KQ1314"/>
      <c r="KR1314"/>
      <c r="KS1314"/>
      <c r="KT1314"/>
      <c r="KU1314"/>
      <c r="KV1314"/>
      <c r="KW1314"/>
      <c r="KX1314"/>
      <c r="KY1314"/>
      <c r="KZ1314"/>
      <c r="LA1314"/>
      <c r="LB1314"/>
      <c r="LC1314"/>
      <c r="LD1314"/>
      <c r="LE1314"/>
      <c r="LF1314"/>
      <c r="LG1314"/>
      <c r="LH1314"/>
      <c r="LI1314"/>
      <c r="LJ1314"/>
      <c r="LK1314"/>
      <c r="LL1314"/>
      <c r="LM1314"/>
      <c r="LN1314"/>
      <c r="LO1314"/>
      <c r="LP1314"/>
      <c r="LQ1314"/>
      <c r="LR1314"/>
      <c r="LS1314"/>
      <c r="LT1314"/>
      <c r="LU1314"/>
      <c r="LV1314"/>
      <c r="LW1314"/>
      <c r="LX1314"/>
      <c r="LY1314"/>
      <c r="LZ1314"/>
      <c r="MA1314"/>
      <c r="MB1314"/>
      <c r="MC1314"/>
      <c r="MD1314"/>
      <c r="ME1314"/>
      <c r="MF1314"/>
      <c r="MG1314"/>
      <c r="MH1314"/>
      <c r="MI1314"/>
      <c r="MJ1314"/>
      <c r="MK1314"/>
      <c r="ML1314"/>
      <c r="MM1314"/>
      <c r="MN1314"/>
      <c r="MO1314"/>
      <c r="MP1314"/>
      <c r="MQ1314"/>
      <c r="MR1314"/>
      <c r="MS1314"/>
      <c r="MT1314"/>
      <c r="MU1314"/>
      <c r="MV1314"/>
      <c r="MW1314"/>
      <c r="MX1314"/>
      <c r="MY1314"/>
      <c r="MZ1314"/>
      <c r="NA1314"/>
      <c r="NB1314"/>
      <c r="NC1314"/>
      <c r="ND1314"/>
      <c r="NE1314"/>
      <c r="NF1314"/>
      <c r="NG1314"/>
      <c r="NH1314"/>
      <c r="NI1314"/>
      <c r="NJ1314"/>
      <c r="NK1314"/>
      <c r="NL1314"/>
      <c r="NM1314"/>
      <c r="NN1314"/>
      <c r="NO1314"/>
      <c r="NP1314"/>
      <c r="NQ1314"/>
      <c r="NR1314"/>
      <c r="NS1314"/>
      <c r="NT1314"/>
      <c r="NU1314"/>
      <c r="NV1314"/>
      <c r="NW1314"/>
      <c r="NX1314"/>
      <c r="NY1314"/>
      <c r="NZ1314"/>
      <c r="OA1314"/>
      <c r="OB1314"/>
      <c r="OC1314"/>
      <c r="OD1314"/>
      <c r="OE1314"/>
      <c r="OF1314"/>
      <c r="OG1314"/>
      <c r="OH1314"/>
      <c r="OI1314"/>
      <c r="OJ1314"/>
      <c r="OK1314"/>
      <c r="OL1314"/>
      <c r="OM1314"/>
      <c r="ON1314"/>
      <c r="OO1314"/>
      <c r="OP1314"/>
      <c r="OQ1314"/>
      <c r="OR1314"/>
      <c r="OS1314"/>
      <c r="OT1314"/>
      <c r="OU1314"/>
      <c r="OV1314"/>
      <c r="OW1314"/>
      <c r="OX1314"/>
      <c r="OY1314"/>
      <c r="OZ1314"/>
      <c r="PA1314"/>
      <c r="PB1314"/>
      <c r="PC1314"/>
      <c r="PD1314"/>
      <c r="PE1314"/>
      <c r="PF1314"/>
      <c r="PG1314"/>
      <c r="PH1314"/>
      <c r="PI1314"/>
      <c r="PJ1314"/>
      <c r="PK1314"/>
      <c r="PL1314"/>
      <c r="PM1314"/>
      <c r="PN1314"/>
      <c r="PO1314"/>
      <c r="PP1314"/>
      <c r="PQ1314"/>
      <c r="PR1314"/>
      <c r="PS1314"/>
      <c r="PT1314"/>
      <c r="PU1314"/>
      <c r="PV1314"/>
      <c r="PW1314"/>
      <c r="PX1314"/>
      <c r="PY1314"/>
      <c r="PZ1314"/>
      <c r="QA1314"/>
      <c r="QB1314"/>
      <c r="QC1314"/>
      <c r="QD1314"/>
      <c r="QE1314"/>
      <c r="QF1314"/>
      <c r="QG1314"/>
      <c r="QH1314"/>
      <c r="QI1314"/>
      <c r="QJ1314"/>
      <c r="QK1314"/>
      <c r="QL1314"/>
      <c r="QM1314"/>
      <c r="QN1314"/>
      <c r="QO1314"/>
      <c r="QP1314"/>
      <c r="QQ1314"/>
      <c r="QR1314"/>
      <c r="QS1314"/>
      <c r="QT1314"/>
      <c r="QU1314"/>
      <c r="QV1314"/>
      <c r="QW1314"/>
      <c r="QX1314"/>
      <c r="QY1314"/>
      <c r="QZ1314"/>
      <c r="RA1314"/>
      <c r="RB1314"/>
      <c r="RC1314"/>
      <c r="RD1314"/>
      <c r="RE1314"/>
      <c r="RF1314"/>
      <c r="RG1314"/>
      <c r="RH1314"/>
      <c r="RI1314"/>
      <c r="RJ1314"/>
      <c r="RK1314"/>
      <c r="RL1314"/>
      <c r="RM1314"/>
      <c r="RN1314"/>
      <c r="RO1314"/>
      <c r="RP1314"/>
      <c r="RQ1314"/>
      <c r="RR1314"/>
      <c r="RS1314"/>
      <c r="RT1314"/>
      <c r="RU1314"/>
      <c r="RV1314"/>
      <c r="RW1314"/>
      <c r="RX1314"/>
      <c r="RY1314"/>
      <c r="RZ1314"/>
      <c r="SA1314"/>
      <c r="SB1314"/>
      <c r="SC1314"/>
      <c r="SD1314"/>
      <c r="SE1314"/>
      <c r="SF1314"/>
      <c r="SG1314"/>
      <c r="SH1314"/>
      <c r="SI1314"/>
      <c r="SJ1314"/>
      <c r="SK1314"/>
      <c r="SL1314"/>
      <c r="SM1314"/>
      <c r="SN1314"/>
      <c r="SO1314"/>
      <c r="SP1314"/>
      <c r="SQ1314"/>
      <c r="SR1314"/>
      <c r="SS1314"/>
      <c r="ST1314"/>
      <c r="SU1314"/>
      <c r="SV1314"/>
      <c r="SW1314"/>
      <c r="SX1314"/>
      <c r="SY1314"/>
      <c r="SZ1314"/>
      <c r="TA1314"/>
      <c r="TB1314"/>
      <c r="TC1314"/>
      <c r="TD1314"/>
      <c r="TE1314"/>
      <c r="TF1314"/>
      <c r="TG1314"/>
      <c r="TH1314"/>
      <c r="TI1314"/>
      <c r="TJ1314"/>
      <c r="TK1314"/>
      <c r="TL1314"/>
      <c r="TM1314"/>
      <c r="TN1314"/>
      <c r="TO1314"/>
      <c r="TP1314"/>
      <c r="TQ1314"/>
      <c r="TR1314"/>
      <c r="TS1314"/>
      <c r="TT1314"/>
      <c r="TU1314"/>
      <c r="TV1314"/>
      <c r="TW1314"/>
      <c r="TX1314"/>
      <c r="TY1314"/>
      <c r="TZ1314"/>
      <c r="UA1314"/>
      <c r="UB1314"/>
      <c r="UC1314"/>
      <c r="UD1314"/>
      <c r="UE1314"/>
      <c r="UF1314"/>
      <c r="UG1314"/>
      <c r="UH1314"/>
      <c r="UI1314"/>
      <c r="UJ1314"/>
      <c r="UK1314"/>
      <c r="UL1314"/>
      <c r="UM1314"/>
      <c r="UN1314"/>
      <c r="UO1314"/>
      <c r="UP1314"/>
      <c r="UQ1314"/>
      <c r="UR1314"/>
      <c r="US1314"/>
      <c r="UT1314"/>
      <c r="UU1314"/>
      <c r="UV1314"/>
      <c r="UW1314"/>
      <c r="UX1314"/>
      <c r="UY1314"/>
      <c r="UZ1314"/>
      <c r="VA1314"/>
      <c r="VB1314"/>
      <c r="VC1314"/>
      <c r="VD1314"/>
      <c r="VE1314"/>
      <c r="VF1314"/>
      <c r="VG1314"/>
      <c r="VH1314"/>
      <c r="VI1314"/>
      <c r="VJ1314"/>
      <c r="VK1314"/>
      <c r="VL1314"/>
      <c r="VM1314"/>
      <c r="VN1314"/>
      <c r="VO1314"/>
      <c r="VP1314"/>
      <c r="VQ1314"/>
      <c r="VR1314"/>
      <c r="VS1314"/>
      <c r="VT1314"/>
      <c r="VU1314"/>
      <c r="VV1314"/>
      <c r="VW1314"/>
      <c r="VX1314"/>
      <c r="VY1314"/>
      <c r="VZ1314"/>
      <c r="WA1314"/>
      <c r="WB1314"/>
      <c r="WC1314"/>
      <c r="WD1314"/>
      <c r="WE1314"/>
      <c r="WF1314"/>
      <c r="WG1314"/>
      <c r="WH1314"/>
      <c r="WI1314"/>
      <c r="WJ1314"/>
      <c r="WK1314"/>
      <c r="WL1314"/>
      <c r="WM1314"/>
      <c r="WN1314"/>
      <c r="WO1314"/>
      <c r="WP1314"/>
      <c r="WQ1314"/>
      <c r="WR1314"/>
      <c r="WS1314"/>
      <c r="WT1314"/>
      <c r="WU1314"/>
      <c r="WV1314"/>
      <c r="WW1314"/>
      <c r="WX1314"/>
      <c r="WY1314"/>
      <c r="WZ1314"/>
      <c r="XA1314"/>
      <c r="XB1314"/>
      <c r="XC1314"/>
      <c r="XD1314"/>
      <c r="XE1314"/>
      <c r="XF1314"/>
      <c r="XG1314"/>
      <c r="XH1314"/>
      <c r="XI1314"/>
      <c r="XJ1314"/>
      <c r="XK1314"/>
      <c r="XL1314"/>
      <c r="XM1314"/>
      <c r="XN1314"/>
      <c r="XO1314"/>
      <c r="XP1314"/>
      <c r="XQ1314"/>
      <c r="XR1314"/>
      <c r="XS1314"/>
      <c r="XT1314"/>
      <c r="XU1314"/>
      <c r="XV1314"/>
      <c r="XW1314"/>
      <c r="XX1314"/>
      <c r="XY1314"/>
      <c r="XZ1314"/>
      <c r="YA1314"/>
      <c r="YB1314"/>
      <c r="YC1314"/>
      <c r="YD1314"/>
      <c r="YE1314"/>
      <c r="YF1314"/>
      <c r="YG1314"/>
      <c r="YH1314"/>
      <c r="YI1314"/>
      <c r="YJ1314"/>
      <c r="YK1314"/>
      <c r="YL1314"/>
      <c r="YM1314"/>
      <c r="YN1314"/>
      <c r="YO1314"/>
      <c r="YP1314"/>
      <c r="YQ1314"/>
      <c r="YR1314"/>
      <c r="YS1314"/>
      <c r="YT1314"/>
      <c r="YU1314"/>
      <c r="YV1314"/>
      <c r="YW1314"/>
      <c r="YX1314"/>
      <c r="YY1314"/>
      <c r="YZ1314"/>
      <c r="ZA1314"/>
      <c r="ZB1314"/>
      <c r="ZC1314"/>
      <c r="ZD1314"/>
      <c r="ZE1314"/>
      <c r="ZF1314"/>
      <c r="ZG1314"/>
      <c r="ZH1314"/>
      <c r="ZI1314"/>
      <c r="ZJ1314"/>
      <c r="ZK1314"/>
      <c r="ZL1314"/>
      <c r="ZM1314"/>
      <c r="ZN1314"/>
      <c r="ZO1314"/>
      <c r="ZP1314"/>
      <c r="ZQ1314"/>
      <c r="ZR1314"/>
      <c r="ZS1314"/>
      <c r="ZT1314"/>
      <c r="ZU1314"/>
      <c r="ZV1314"/>
      <c r="ZW1314"/>
      <c r="ZX1314"/>
      <c r="ZY1314"/>
      <c r="ZZ1314"/>
      <c r="AAA1314"/>
      <c r="AAB1314"/>
      <c r="AAC1314"/>
      <c r="AAD1314"/>
      <c r="AAE1314"/>
      <c r="AAF1314"/>
      <c r="AAG1314"/>
      <c r="AAH1314"/>
      <c r="AAI1314"/>
      <c r="AAJ1314"/>
      <c r="AAK1314"/>
      <c r="AAL1314"/>
      <c r="AAM1314"/>
      <c r="AAN1314"/>
      <c r="AAO1314"/>
      <c r="AAP1314"/>
      <c r="AAQ1314"/>
      <c r="AAR1314"/>
      <c r="AAS1314"/>
      <c r="AAT1314"/>
      <c r="AAU1314"/>
      <c r="AAV1314"/>
      <c r="AAW1314"/>
      <c r="AAX1314"/>
      <c r="AAY1314"/>
      <c r="AAZ1314"/>
      <c r="ABA1314"/>
      <c r="ABB1314"/>
      <c r="ABC1314"/>
      <c r="ABD1314"/>
      <c r="ABE1314"/>
      <c r="ABF1314"/>
      <c r="ABG1314"/>
      <c r="ABH1314"/>
      <c r="ABI1314"/>
      <c r="ABJ1314"/>
      <c r="ABK1314"/>
      <c r="ABL1314"/>
      <c r="ABM1314"/>
      <c r="ABN1314"/>
      <c r="ABO1314"/>
      <c r="ABP1314"/>
      <c r="ABQ1314"/>
      <c r="ABR1314"/>
      <c r="ABS1314"/>
      <c r="ABT1314"/>
      <c r="ABU1314"/>
      <c r="ABV1314"/>
      <c r="ABW1314"/>
      <c r="ABX1314"/>
      <c r="ABY1314"/>
      <c r="ABZ1314"/>
      <c r="ACA1314"/>
      <c r="ACB1314"/>
      <c r="ACC1314"/>
      <c r="ACD1314"/>
      <c r="ACE1314"/>
      <c r="ACF1314"/>
      <c r="ACG1314"/>
      <c r="ACH1314"/>
      <c r="ACI1314"/>
      <c r="ACJ1314"/>
      <c r="ACK1314"/>
      <c r="ACL1314"/>
      <c r="ACM1314"/>
      <c r="ACN1314"/>
      <c r="ACO1314"/>
      <c r="ACP1314"/>
      <c r="ACQ1314"/>
      <c r="ACR1314"/>
      <c r="ACS1314"/>
      <c r="ACT1314"/>
      <c r="ACU1314"/>
      <c r="ACV1314"/>
      <c r="ACW1314"/>
      <c r="ACX1314"/>
      <c r="ACY1314"/>
      <c r="ACZ1314"/>
      <c r="ADA1314"/>
      <c r="ADB1314"/>
      <c r="ADC1314"/>
      <c r="ADD1314"/>
      <c r="ADE1314"/>
      <c r="ADF1314"/>
      <c r="ADG1314"/>
      <c r="ADH1314"/>
      <c r="ADI1314"/>
      <c r="ADJ1314"/>
      <c r="ADK1314"/>
      <c r="ADL1314"/>
      <c r="ADM1314"/>
      <c r="ADN1314"/>
      <c r="ADO1314"/>
      <c r="ADP1314"/>
      <c r="ADQ1314"/>
      <c r="ADR1314"/>
      <c r="ADS1314"/>
      <c r="ADT1314"/>
      <c r="ADU1314"/>
      <c r="ADV1314"/>
      <c r="ADW1314"/>
      <c r="ADX1314"/>
      <c r="ADY1314"/>
      <c r="ADZ1314"/>
      <c r="AEA1314"/>
      <c r="AEB1314"/>
      <c r="AEC1314"/>
      <c r="AED1314"/>
      <c r="AEE1314"/>
      <c r="AEF1314"/>
      <c r="AEG1314"/>
      <c r="AEH1314"/>
      <c r="AEI1314"/>
      <c r="AEJ1314"/>
      <c r="AEK1314"/>
      <c r="AEL1314"/>
      <c r="AEM1314"/>
      <c r="AEN1314"/>
      <c r="AEO1314"/>
      <c r="AEP1314"/>
      <c r="AEQ1314"/>
      <c r="AER1314"/>
      <c r="AES1314"/>
      <c r="AET1314"/>
      <c r="AEU1314"/>
      <c r="AEV1314"/>
      <c r="AEW1314"/>
      <c r="AEX1314"/>
      <c r="AEY1314"/>
      <c r="AEZ1314"/>
      <c r="AFA1314"/>
      <c r="AFB1314"/>
      <c r="AFC1314"/>
      <c r="AFD1314"/>
      <c r="AFE1314"/>
      <c r="AFF1314"/>
      <c r="AFG1314"/>
      <c r="AFH1314"/>
      <c r="AFI1314"/>
      <c r="AFJ1314"/>
      <c r="AFK1314"/>
      <c r="AFL1314"/>
      <c r="AFM1314"/>
      <c r="AFN1314"/>
      <c r="AFO1314"/>
      <c r="AFP1314"/>
      <c r="AFQ1314"/>
      <c r="AFR1314"/>
      <c r="AFS1314"/>
      <c r="AFT1314"/>
      <c r="AFU1314"/>
      <c r="AFV1314"/>
      <c r="AFW1314"/>
      <c r="AFX1314"/>
      <c r="AFY1314"/>
      <c r="AFZ1314"/>
      <c r="AGA1314"/>
      <c r="AGB1314"/>
      <c r="AGC1314"/>
      <c r="AGD1314"/>
      <c r="AGE1314"/>
      <c r="AGF1314"/>
      <c r="AGG1314"/>
      <c r="AGH1314"/>
      <c r="AGI1314"/>
      <c r="AGJ1314"/>
      <c r="AGK1314"/>
      <c r="AGL1314"/>
      <c r="AGM1314"/>
      <c r="AGN1314"/>
      <c r="AGO1314"/>
      <c r="AGP1314"/>
      <c r="AGQ1314"/>
      <c r="AGR1314"/>
      <c r="AGS1314"/>
      <c r="AGT1314"/>
      <c r="AGU1314"/>
      <c r="AGV1314"/>
      <c r="AGW1314"/>
      <c r="AGX1314"/>
      <c r="AGY1314"/>
      <c r="AGZ1314"/>
      <c r="AHA1314"/>
      <c r="AHB1314"/>
      <c r="AHC1314"/>
      <c r="AHD1314"/>
      <c r="AHE1314"/>
      <c r="AHF1314"/>
      <c r="AHG1314"/>
      <c r="AHH1314"/>
      <c r="AHI1314"/>
      <c r="AHJ1314"/>
      <c r="AHK1314"/>
      <c r="AHL1314"/>
      <c r="AHM1314"/>
      <c r="AHN1314"/>
      <c r="AHO1314"/>
      <c r="AHP1314"/>
      <c r="AHQ1314"/>
      <c r="AHR1314"/>
      <c r="AHS1314"/>
      <c r="AHT1314"/>
      <c r="AHU1314"/>
      <c r="AHV1314"/>
      <c r="AHW1314"/>
      <c r="AHX1314"/>
      <c r="AHY1314"/>
      <c r="AHZ1314"/>
      <c r="AIA1314"/>
      <c r="AIB1314"/>
      <c r="AIC1314"/>
      <c r="AID1314"/>
      <c r="AIE1314"/>
      <c r="AIF1314"/>
      <c r="AIG1314"/>
      <c r="AIH1314"/>
      <c r="AII1314"/>
      <c r="AIJ1314"/>
      <c r="AIK1314"/>
      <c r="AIL1314"/>
      <c r="AIM1314"/>
      <c r="AIN1314"/>
      <c r="AIO1314"/>
      <c r="AIP1314"/>
      <c r="AIQ1314"/>
      <c r="AIR1314"/>
      <c r="AIS1314"/>
      <c r="AIT1314"/>
      <c r="AIU1314"/>
      <c r="AIV1314"/>
      <c r="AIW1314"/>
      <c r="AIX1314"/>
      <c r="AIY1314"/>
      <c r="AIZ1314"/>
      <c r="AJA1314"/>
      <c r="AJB1314"/>
      <c r="AJC1314"/>
      <c r="AJD1314"/>
      <c r="AJE1314"/>
      <c r="AJF1314"/>
      <c r="AJG1314"/>
      <c r="AJH1314"/>
      <c r="AJI1314"/>
      <c r="AJJ1314"/>
      <c r="AJK1314"/>
      <c r="AJL1314"/>
      <c r="AJM1314"/>
      <c r="AJN1314"/>
      <c r="AJO1314"/>
      <c r="AJP1314"/>
      <c r="AJQ1314"/>
      <c r="AJR1314"/>
      <c r="AJS1314"/>
      <c r="AJT1314"/>
      <c r="AJU1314"/>
      <c r="AJV1314"/>
      <c r="AJW1314"/>
      <c r="AJX1314"/>
      <c r="AJY1314"/>
      <c r="AJZ1314"/>
      <c r="AKA1314"/>
      <c r="AKB1314"/>
      <c r="AKC1314"/>
      <c r="AKD1314"/>
      <c r="AKE1314"/>
      <c r="AKF1314"/>
      <c r="AKG1314"/>
      <c r="AKH1314"/>
      <c r="AKI1314"/>
      <c r="AKJ1314"/>
      <c r="AKK1314"/>
      <c r="AKL1314"/>
      <c r="AKM1314"/>
      <c r="AKN1314"/>
      <c r="AKO1314"/>
      <c r="AKP1314"/>
      <c r="AKQ1314"/>
      <c r="AKR1314"/>
      <c r="AKS1314"/>
      <c r="AKT1314"/>
      <c r="AKU1314"/>
      <c r="AKV1314"/>
      <c r="AKW1314"/>
      <c r="AKX1314"/>
      <c r="AKY1314"/>
      <c r="AKZ1314"/>
      <c r="ALA1314"/>
      <c r="ALB1314"/>
      <c r="ALC1314"/>
      <c r="ALD1314"/>
      <c r="ALE1314"/>
      <c r="ALF1314"/>
      <c r="ALG1314"/>
      <c r="ALH1314"/>
      <c r="ALI1314"/>
      <c r="ALJ1314"/>
      <c r="ALK1314"/>
      <c r="ALL1314"/>
      <c r="ALM1314"/>
      <c r="ALN1314"/>
      <c r="ALO1314"/>
      <c r="ALP1314"/>
      <c r="ALQ1314"/>
      <c r="ALR1314"/>
      <c r="ALS1314"/>
      <c r="ALT1314"/>
    </row>
    <row r="1315" spans="3:1008" x14ac:dyDescent="0.15">
      <c r="C1315"/>
      <c r="F1315"/>
      <c r="H1315"/>
      <c r="I1315"/>
      <c r="J1315"/>
      <c r="K1315"/>
      <c r="L1315"/>
      <c r="M1315"/>
      <c r="N1315"/>
      <c r="O1315"/>
      <c r="P1315"/>
      <c r="Q1315"/>
      <c r="R1315"/>
      <c r="S1315"/>
      <c r="T1315"/>
      <c r="U1315"/>
      <c r="V1315"/>
      <c r="W1315"/>
      <c r="X1315"/>
      <c r="Y1315"/>
      <c r="Z1315"/>
      <c r="AA1315"/>
      <c r="AB1315"/>
      <c r="AC1315"/>
      <c r="AD1315"/>
      <c r="AE1315"/>
      <c r="AF1315"/>
      <c r="AG1315"/>
      <c r="AH1315"/>
      <c r="AI1315"/>
      <c r="AJ1315"/>
      <c r="AK1315"/>
      <c r="AL1315"/>
      <c r="AM1315"/>
      <c r="AN1315"/>
      <c r="AO1315"/>
      <c r="AP1315"/>
      <c r="AQ1315"/>
      <c r="AR1315"/>
      <c r="AS1315"/>
      <c r="AT1315"/>
      <c r="AU1315"/>
      <c r="AV1315"/>
      <c r="AW1315"/>
      <c r="AX1315"/>
      <c r="AY1315"/>
      <c r="AZ1315"/>
      <c r="BA1315"/>
      <c r="BB1315"/>
      <c r="BC1315"/>
      <c r="BD1315"/>
      <c r="BE1315"/>
      <c r="BF1315"/>
      <c r="BG1315"/>
      <c r="BH1315"/>
      <c r="BI1315"/>
      <c r="BJ1315"/>
      <c r="BK1315"/>
      <c r="BL1315"/>
      <c r="BM1315"/>
      <c r="BN1315"/>
      <c r="BO1315"/>
      <c r="BP1315"/>
      <c r="BQ1315"/>
      <c r="BR1315"/>
      <c r="BS1315"/>
      <c r="BT1315"/>
      <c r="BU1315"/>
      <c r="BV1315"/>
      <c r="BW1315"/>
      <c r="BX1315"/>
      <c r="BY1315"/>
      <c r="BZ1315"/>
      <c r="CA1315"/>
      <c r="CB1315"/>
      <c r="CC1315"/>
      <c r="CD1315"/>
      <c r="CE1315"/>
      <c r="CF1315"/>
      <c r="CG1315"/>
      <c r="CH1315"/>
      <c r="CI1315"/>
      <c r="CJ1315"/>
      <c r="CK1315"/>
      <c r="CL1315"/>
      <c r="CM1315"/>
      <c r="CN1315"/>
      <c r="CO1315"/>
      <c r="CP1315"/>
      <c r="CQ1315"/>
      <c r="CR1315"/>
      <c r="CS1315"/>
      <c r="CT1315"/>
      <c r="CU1315"/>
      <c r="CV1315"/>
      <c r="CW1315"/>
      <c r="CX1315"/>
      <c r="CY1315"/>
      <c r="CZ1315"/>
      <c r="DA1315"/>
      <c r="DB1315"/>
      <c r="DC1315"/>
      <c r="DD1315"/>
      <c r="DE1315"/>
      <c r="DF1315"/>
      <c r="DG1315"/>
      <c r="DH1315"/>
      <c r="DI1315"/>
      <c r="DJ1315"/>
      <c r="DK1315"/>
      <c r="DL1315"/>
      <c r="DM1315"/>
      <c r="DN1315"/>
      <c r="DO1315"/>
      <c r="DP1315"/>
      <c r="DQ1315"/>
      <c r="DR1315"/>
      <c r="DS1315"/>
      <c r="DT1315"/>
      <c r="DU1315"/>
      <c r="DV1315"/>
      <c r="DW1315"/>
      <c r="DX1315"/>
      <c r="DY1315"/>
      <c r="DZ1315"/>
      <c r="EA1315"/>
      <c r="EB1315"/>
      <c r="EC1315"/>
      <c r="ED1315"/>
      <c r="EE1315"/>
      <c r="EF1315"/>
      <c r="EG1315"/>
      <c r="EH1315"/>
      <c r="EI1315"/>
      <c r="EJ1315"/>
      <c r="EK1315"/>
      <c r="EL1315"/>
      <c r="EM1315"/>
      <c r="EN1315"/>
      <c r="EO1315"/>
      <c r="EP1315"/>
      <c r="EQ1315"/>
      <c r="ER1315"/>
      <c r="ES1315"/>
      <c r="ET1315"/>
      <c r="EU1315"/>
      <c r="EV1315"/>
      <c r="EW1315"/>
      <c r="EX1315"/>
      <c r="EY1315"/>
      <c r="EZ1315"/>
      <c r="FA1315"/>
      <c r="FB1315"/>
      <c r="FC1315"/>
      <c r="FD1315"/>
      <c r="FE1315"/>
      <c r="FF1315"/>
      <c r="FG1315"/>
      <c r="FH1315"/>
      <c r="FI1315"/>
      <c r="FJ1315"/>
      <c r="FK1315"/>
      <c r="FL1315"/>
      <c r="FM1315"/>
      <c r="FN1315"/>
      <c r="FO1315"/>
      <c r="FP1315"/>
      <c r="FQ1315"/>
      <c r="FR1315"/>
      <c r="FS1315"/>
      <c r="FT1315"/>
      <c r="FU1315"/>
      <c r="FV1315"/>
      <c r="FW1315"/>
      <c r="FX1315"/>
      <c r="FY1315"/>
      <c r="FZ1315"/>
      <c r="GA1315"/>
      <c r="GB1315"/>
      <c r="GC1315"/>
      <c r="GD1315"/>
      <c r="GE1315"/>
      <c r="GF1315"/>
      <c r="GG1315"/>
      <c r="GH1315"/>
      <c r="GI1315"/>
      <c r="GJ1315"/>
      <c r="GK1315"/>
      <c r="GL1315"/>
      <c r="GM1315"/>
      <c r="GN1315"/>
      <c r="GO1315"/>
      <c r="GP1315"/>
      <c r="GQ1315"/>
      <c r="GR1315"/>
      <c r="GS1315"/>
      <c r="GT1315"/>
      <c r="GU1315"/>
      <c r="GV1315"/>
      <c r="GW1315"/>
      <c r="GX1315"/>
      <c r="GY1315"/>
      <c r="GZ1315"/>
      <c r="HA1315"/>
      <c r="HB1315"/>
      <c r="HC1315"/>
      <c r="HD1315"/>
      <c r="HE1315"/>
      <c r="HF1315"/>
      <c r="HG1315"/>
      <c r="HH1315"/>
      <c r="HI1315"/>
      <c r="HJ1315"/>
      <c r="HK1315"/>
      <c r="HL1315"/>
      <c r="HM1315"/>
      <c r="HN1315"/>
      <c r="HO1315"/>
      <c r="HP1315"/>
      <c r="HQ1315"/>
      <c r="HR1315"/>
      <c r="HS1315"/>
      <c r="HT1315"/>
      <c r="HU1315"/>
      <c r="HV1315"/>
      <c r="HW1315"/>
      <c r="HX1315"/>
      <c r="HY1315"/>
      <c r="HZ1315"/>
      <c r="IA1315"/>
      <c r="IB1315"/>
      <c r="IC1315"/>
      <c r="ID1315"/>
      <c r="IE1315"/>
      <c r="IF1315"/>
      <c r="IG1315"/>
      <c r="IH1315"/>
      <c r="II1315"/>
      <c r="IJ1315"/>
      <c r="IK1315"/>
      <c r="IL1315"/>
      <c r="IM1315"/>
      <c r="IN1315"/>
      <c r="IO1315"/>
      <c r="IP1315"/>
      <c r="IQ1315"/>
      <c r="IR1315"/>
      <c r="IS1315"/>
      <c r="IT1315"/>
      <c r="IU1315"/>
      <c r="IV1315"/>
      <c r="IW1315"/>
      <c r="IX1315"/>
      <c r="IY1315"/>
      <c r="IZ1315"/>
      <c r="JA1315"/>
      <c r="JB1315"/>
      <c r="JC1315"/>
      <c r="JD1315"/>
      <c r="JE1315"/>
      <c r="JF1315"/>
      <c r="JG1315"/>
      <c r="JH1315"/>
      <c r="JI1315"/>
      <c r="JJ1315"/>
      <c r="JK1315"/>
      <c r="JL1315"/>
      <c r="JM1315"/>
      <c r="JN1315"/>
      <c r="JO1315"/>
      <c r="JP1315"/>
      <c r="JQ1315"/>
      <c r="JR1315"/>
      <c r="JS1315"/>
      <c r="JT1315"/>
      <c r="JU1315"/>
      <c r="JV1315"/>
      <c r="JW1315"/>
      <c r="JX1315"/>
      <c r="JY1315"/>
      <c r="JZ1315"/>
      <c r="KA1315"/>
      <c r="KB1315"/>
      <c r="KC1315"/>
      <c r="KD1315"/>
      <c r="KE1315"/>
      <c r="KF1315"/>
      <c r="KG1315"/>
      <c r="KH1315"/>
      <c r="KI1315"/>
      <c r="KJ1315"/>
      <c r="KK1315"/>
      <c r="KL1315"/>
      <c r="KM1315"/>
      <c r="KN1315"/>
      <c r="KO1315"/>
      <c r="KP1315"/>
      <c r="KQ1315"/>
      <c r="KR1315"/>
      <c r="KS1315"/>
      <c r="KT1315"/>
      <c r="KU1315"/>
      <c r="KV1315"/>
      <c r="KW1315"/>
      <c r="KX1315"/>
      <c r="KY1315"/>
      <c r="KZ1315"/>
      <c r="LA1315"/>
      <c r="LB1315"/>
      <c r="LC1315"/>
      <c r="LD1315"/>
      <c r="LE1315"/>
      <c r="LF1315"/>
      <c r="LG1315"/>
      <c r="LH1315"/>
      <c r="LI1315"/>
      <c r="LJ1315"/>
      <c r="LK1315"/>
      <c r="LL1315"/>
      <c r="LM1315"/>
      <c r="LN1315"/>
      <c r="LO1315"/>
      <c r="LP1315"/>
      <c r="LQ1315"/>
      <c r="LR1315"/>
      <c r="LS1315"/>
      <c r="LT1315"/>
      <c r="LU1315"/>
      <c r="LV1315"/>
      <c r="LW1315"/>
      <c r="LX1315"/>
      <c r="LY1315"/>
      <c r="LZ1315"/>
      <c r="MA1315"/>
      <c r="MB1315"/>
      <c r="MC1315"/>
      <c r="MD1315"/>
      <c r="ME1315"/>
      <c r="MF1315"/>
      <c r="MG1315"/>
      <c r="MH1315"/>
      <c r="MI1315"/>
      <c r="MJ1315"/>
      <c r="MK1315"/>
      <c r="ML1315"/>
      <c r="MM1315"/>
      <c r="MN1315"/>
      <c r="MO1315"/>
      <c r="MP1315"/>
      <c r="MQ1315"/>
      <c r="MR1315"/>
      <c r="MS1315"/>
      <c r="MT1315"/>
      <c r="MU1315"/>
      <c r="MV1315"/>
      <c r="MW1315"/>
      <c r="MX1315"/>
      <c r="MY1315"/>
      <c r="MZ1315"/>
      <c r="NA1315"/>
      <c r="NB1315"/>
      <c r="NC1315"/>
      <c r="ND1315"/>
      <c r="NE1315"/>
      <c r="NF1315"/>
      <c r="NG1315"/>
      <c r="NH1315"/>
      <c r="NI1315"/>
      <c r="NJ1315"/>
      <c r="NK1315"/>
      <c r="NL1315"/>
      <c r="NM1315"/>
      <c r="NN1315"/>
      <c r="NO1315"/>
      <c r="NP1315"/>
      <c r="NQ1315"/>
      <c r="NR1315"/>
      <c r="NS1315"/>
      <c r="NT1315"/>
      <c r="NU1315"/>
      <c r="NV1315"/>
      <c r="NW1315"/>
      <c r="NX1315"/>
      <c r="NY1315"/>
      <c r="NZ1315"/>
      <c r="OA1315"/>
      <c r="OB1315"/>
      <c r="OC1315"/>
      <c r="OD1315"/>
      <c r="OE1315"/>
      <c r="OF1315"/>
      <c r="OG1315"/>
      <c r="OH1315"/>
      <c r="OI1315"/>
      <c r="OJ1315"/>
      <c r="OK1315"/>
      <c r="OL1315"/>
      <c r="OM1315"/>
      <c r="ON1315"/>
      <c r="OO1315"/>
      <c r="OP1315"/>
      <c r="OQ1315"/>
      <c r="OR1315"/>
      <c r="OS1315"/>
      <c r="OT1315"/>
      <c r="OU1315"/>
      <c r="OV1315"/>
      <c r="OW1315"/>
      <c r="OX1315"/>
      <c r="OY1315"/>
      <c r="OZ1315"/>
      <c r="PA1315"/>
      <c r="PB1315"/>
      <c r="PC1315"/>
      <c r="PD1315"/>
      <c r="PE1315"/>
      <c r="PF1315"/>
      <c r="PG1315"/>
      <c r="PH1315"/>
      <c r="PI1315"/>
      <c r="PJ1315"/>
      <c r="PK1315"/>
      <c r="PL1315"/>
      <c r="PM1315"/>
      <c r="PN1315"/>
      <c r="PO1315"/>
      <c r="PP1315"/>
      <c r="PQ1315"/>
      <c r="PR1315"/>
      <c r="PS1315"/>
      <c r="PT1315"/>
      <c r="PU1315"/>
      <c r="PV1315"/>
      <c r="PW1315"/>
      <c r="PX1315"/>
      <c r="PY1315"/>
      <c r="PZ1315"/>
      <c r="QA1315"/>
      <c r="QB1315"/>
      <c r="QC1315"/>
      <c r="QD1315"/>
      <c r="QE1315"/>
      <c r="QF1315"/>
      <c r="QG1315"/>
      <c r="QH1315"/>
      <c r="QI1315"/>
      <c r="QJ1315"/>
      <c r="QK1315"/>
      <c r="QL1315"/>
      <c r="QM1315"/>
      <c r="QN1315"/>
      <c r="QO1315"/>
      <c r="QP1315"/>
      <c r="QQ1315"/>
      <c r="QR1315"/>
      <c r="QS1315"/>
      <c r="QT1315"/>
      <c r="QU1315"/>
      <c r="QV1315"/>
      <c r="QW1315"/>
      <c r="QX1315"/>
      <c r="QY1315"/>
      <c r="QZ1315"/>
      <c r="RA1315"/>
      <c r="RB1315"/>
      <c r="RC1315"/>
      <c r="RD1315"/>
      <c r="RE1315"/>
      <c r="RF1315"/>
      <c r="RG1315"/>
      <c r="RH1315"/>
      <c r="RI1315"/>
      <c r="RJ1315"/>
      <c r="RK1315"/>
      <c r="RL1315"/>
      <c r="RM1315"/>
      <c r="RN1315"/>
      <c r="RO1315"/>
      <c r="RP1315"/>
      <c r="RQ1315"/>
      <c r="RR1315"/>
      <c r="RS1315"/>
      <c r="RT1315"/>
      <c r="RU1315"/>
      <c r="RV1315"/>
      <c r="RW1315"/>
      <c r="RX1315"/>
      <c r="RY1315"/>
      <c r="RZ1315"/>
      <c r="SA1315"/>
      <c r="SB1315"/>
      <c r="SC1315"/>
      <c r="SD1315"/>
      <c r="SE1315"/>
      <c r="SF1315"/>
      <c r="SG1315"/>
      <c r="SH1315"/>
      <c r="SI1315"/>
      <c r="SJ1315"/>
      <c r="SK1315"/>
      <c r="SL1315"/>
      <c r="SM1315"/>
      <c r="SN1315"/>
      <c r="SO1315"/>
      <c r="SP1315"/>
      <c r="SQ1315"/>
      <c r="SR1315"/>
      <c r="SS1315"/>
      <c r="ST1315"/>
      <c r="SU1315"/>
      <c r="SV1315"/>
      <c r="SW1315"/>
      <c r="SX1315"/>
      <c r="SY1315"/>
      <c r="SZ1315"/>
      <c r="TA1315"/>
      <c r="TB1315"/>
      <c r="TC1315"/>
      <c r="TD1315"/>
      <c r="TE1315"/>
      <c r="TF1315"/>
      <c r="TG1315"/>
      <c r="TH1315"/>
      <c r="TI1315"/>
      <c r="TJ1315"/>
      <c r="TK1315"/>
      <c r="TL1315"/>
      <c r="TM1315"/>
      <c r="TN1315"/>
      <c r="TO1315"/>
      <c r="TP1315"/>
      <c r="TQ1315"/>
      <c r="TR1315"/>
      <c r="TS1315"/>
      <c r="TT1315"/>
      <c r="TU1315"/>
      <c r="TV1315"/>
      <c r="TW1315"/>
      <c r="TX1315"/>
      <c r="TY1315"/>
      <c r="TZ1315"/>
      <c r="UA1315"/>
      <c r="UB1315"/>
      <c r="UC1315"/>
      <c r="UD1315"/>
      <c r="UE1315"/>
      <c r="UF1315"/>
      <c r="UG1315"/>
      <c r="UH1315"/>
      <c r="UI1315"/>
      <c r="UJ1315"/>
      <c r="UK1315"/>
      <c r="UL1315"/>
      <c r="UM1315"/>
      <c r="UN1315"/>
      <c r="UO1315"/>
      <c r="UP1315"/>
      <c r="UQ1315"/>
      <c r="UR1315"/>
      <c r="US1315"/>
      <c r="UT1315"/>
      <c r="UU1315"/>
      <c r="UV1315"/>
      <c r="UW1315"/>
      <c r="UX1315"/>
      <c r="UY1315"/>
      <c r="UZ1315"/>
      <c r="VA1315"/>
      <c r="VB1315"/>
      <c r="VC1315"/>
      <c r="VD1315"/>
      <c r="VE1315"/>
      <c r="VF1315"/>
      <c r="VG1315"/>
      <c r="VH1315"/>
      <c r="VI1315"/>
      <c r="VJ1315"/>
      <c r="VK1315"/>
      <c r="VL1315"/>
      <c r="VM1315"/>
      <c r="VN1315"/>
      <c r="VO1315"/>
      <c r="VP1315"/>
      <c r="VQ1315"/>
      <c r="VR1315"/>
      <c r="VS1315"/>
      <c r="VT1315"/>
      <c r="VU1315"/>
      <c r="VV1315"/>
      <c r="VW1315"/>
      <c r="VX1315"/>
      <c r="VY1315"/>
      <c r="VZ1315"/>
      <c r="WA1315"/>
      <c r="WB1315"/>
      <c r="WC1315"/>
      <c r="WD1315"/>
      <c r="WE1315"/>
      <c r="WF1315"/>
      <c r="WG1315"/>
      <c r="WH1315"/>
      <c r="WI1315"/>
      <c r="WJ1315"/>
      <c r="WK1315"/>
      <c r="WL1315"/>
      <c r="WM1315"/>
      <c r="WN1315"/>
      <c r="WO1315"/>
      <c r="WP1315"/>
      <c r="WQ1315"/>
      <c r="WR1315"/>
      <c r="WS1315"/>
      <c r="WT1315"/>
      <c r="WU1315"/>
      <c r="WV1315"/>
      <c r="WW1315"/>
      <c r="WX1315"/>
      <c r="WY1315"/>
      <c r="WZ1315"/>
      <c r="XA1315"/>
      <c r="XB1315"/>
      <c r="XC1315"/>
      <c r="XD1315"/>
      <c r="XE1315"/>
      <c r="XF1315"/>
      <c r="XG1315"/>
      <c r="XH1315"/>
      <c r="XI1315"/>
      <c r="XJ1315"/>
      <c r="XK1315"/>
      <c r="XL1315"/>
      <c r="XM1315"/>
      <c r="XN1315"/>
      <c r="XO1315"/>
      <c r="XP1315"/>
      <c r="XQ1315"/>
      <c r="XR1315"/>
      <c r="XS1315"/>
      <c r="XT1315"/>
      <c r="XU1315"/>
      <c r="XV1315"/>
      <c r="XW1315"/>
      <c r="XX1315"/>
      <c r="XY1315"/>
      <c r="XZ1315"/>
      <c r="YA1315"/>
      <c r="YB1315"/>
      <c r="YC1315"/>
      <c r="YD1315"/>
      <c r="YE1315"/>
      <c r="YF1315"/>
      <c r="YG1315"/>
      <c r="YH1315"/>
      <c r="YI1315"/>
      <c r="YJ1315"/>
      <c r="YK1315"/>
      <c r="YL1315"/>
      <c r="YM1315"/>
      <c r="YN1315"/>
      <c r="YO1315"/>
      <c r="YP1315"/>
      <c r="YQ1315"/>
      <c r="YR1315"/>
      <c r="YS1315"/>
      <c r="YT1315"/>
      <c r="YU1315"/>
      <c r="YV1315"/>
      <c r="YW1315"/>
      <c r="YX1315"/>
      <c r="YY1315"/>
      <c r="YZ1315"/>
      <c r="ZA1315"/>
      <c r="ZB1315"/>
      <c r="ZC1315"/>
      <c r="ZD1315"/>
      <c r="ZE1315"/>
      <c r="ZF1315"/>
      <c r="ZG1315"/>
      <c r="ZH1315"/>
      <c r="ZI1315"/>
      <c r="ZJ1315"/>
      <c r="ZK1315"/>
      <c r="ZL1315"/>
      <c r="ZM1315"/>
      <c r="ZN1315"/>
      <c r="ZO1315"/>
      <c r="ZP1315"/>
      <c r="ZQ1315"/>
      <c r="ZR1315"/>
      <c r="ZS1315"/>
      <c r="ZT1315"/>
      <c r="ZU1315"/>
      <c r="ZV1315"/>
      <c r="ZW1315"/>
      <c r="ZX1315"/>
      <c r="ZY1315"/>
      <c r="ZZ1315"/>
      <c r="AAA1315"/>
      <c r="AAB1315"/>
      <c r="AAC1315"/>
      <c r="AAD1315"/>
      <c r="AAE1315"/>
      <c r="AAF1315"/>
      <c r="AAG1315"/>
      <c r="AAH1315"/>
      <c r="AAI1315"/>
      <c r="AAJ1315"/>
      <c r="AAK1315"/>
      <c r="AAL1315"/>
      <c r="AAM1315"/>
      <c r="AAN1315"/>
      <c r="AAO1315"/>
      <c r="AAP1315"/>
      <c r="AAQ1315"/>
      <c r="AAR1315"/>
      <c r="AAS1315"/>
      <c r="AAT1315"/>
      <c r="AAU1315"/>
      <c r="AAV1315"/>
      <c r="AAW1315"/>
      <c r="AAX1315"/>
      <c r="AAY1315"/>
      <c r="AAZ1315"/>
      <c r="ABA1315"/>
      <c r="ABB1315"/>
      <c r="ABC1315"/>
      <c r="ABD1315"/>
      <c r="ABE1315"/>
      <c r="ABF1315"/>
      <c r="ABG1315"/>
      <c r="ABH1315"/>
      <c r="ABI1315"/>
      <c r="ABJ1315"/>
      <c r="ABK1315"/>
      <c r="ABL1315"/>
      <c r="ABM1315"/>
      <c r="ABN1315"/>
      <c r="ABO1315"/>
      <c r="ABP1315"/>
      <c r="ABQ1315"/>
      <c r="ABR1315"/>
      <c r="ABS1315"/>
      <c r="ABT1315"/>
      <c r="ABU1315"/>
      <c r="ABV1315"/>
      <c r="ABW1315"/>
      <c r="ABX1315"/>
      <c r="ABY1315"/>
      <c r="ABZ1315"/>
      <c r="ACA1315"/>
      <c r="ACB1315"/>
      <c r="ACC1315"/>
      <c r="ACD1315"/>
      <c r="ACE1315"/>
      <c r="ACF1315"/>
      <c r="ACG1315"/>
      <c r="ACH1315"/>
      <c r="ACI1315"/>
      <c r="ACJ1315"/>
      <c r="ACK1315"/>
      <c r="ACL1315"/>
      <c r="ACM1315"/>
      <c r="ACN1315"/>
      <c r="ACO1315"/>
      <c r="ACP1315"/>
      <c r="ACQ1315"/>
      <c r="ACR1315"/>
      <c r="ACS1315"/>
      <c r="ACT1315"/>
      <c r="ACU1315"/>
      <c r="ACV1315"/>
      <c r="ACW1315"/>
      <c r="ACX1315"/>
      <c r="ACY1315"/>
      <c r="ACZ1315"/>
      <c r="ADA1315"/>
      <c r="ADB1315"/>
      <c r="ADC1315"/>
      <c r="ADD1315"/>
      <c r="ADE1315"/>
      <c r="ADF1315"/>
      <c r="ADG1315"/>
      <c r="ADH1315"/>
      <c r="ADI1315"/>
      <c r="ADJ1315"/>
      <c r="ADK1315"/>
      <c r="ADL1315"/>
      <c r="ADM1315"/>
      <c r="ADN1315"/>
      <c r="ADO1315"/>
      <c r="ADP1315"/>
      <c r="ADQ1315"/>
      <c r="ADR1315"/>
      <c r="ADS1315"/>
      <c r="ADT1315"/>
      <c r="ADU1315"/>
      <c r="ADV1315"/>
      <c r="ADW1315"/>
      <c r="ADX1315"/>
      <c r="ADY1315"/>
      <c r="ADZ1315"/>
      <c r="AEA1315"/>
      <c r="AEB1315"/>
      <c r="AEC1315"/>
      <c r="AED1315"/>
      <c r="AEE1315"/>
      <c r="AEF1315"/>
      <c r="AEG1315"/>
      <c r="AEH1315"/>
      <c r="AEI1315"/>
      <c r="AEJ1315"/>
      <c r="AEK1315"/>
      <c r="AEL1315"/>
      <c r="AEM1315"/>
      <c r="AEN1315"/>
      <c r="AEO1315"/>
      <c r="AEP1315"/>
      <c r="AEQ1315"/>
      <c r="AER1315"/>
      <c r="AES1315"/>
      <c r="AET1315"/>
      <c r="AEU1315"/>
      <c r="AEV1315"/>
      <c r="AEW1315"/>
      <c r="AEX1315"/>
      <c r="AEY1315"/>
      <c r="AEZ1315"/>
      <c r="AFA1315"/>
      <c r="AFB1315"/>
      <c r="AFC1315"/>
      <c r="AFD1315"/>
      <c r="AFE1315"/>
      <c r="AFF1315"/>
      <c r="AFG1315"/>
      <c r="AFH1315"/>
      <c r="AFI1315"/>
      <c r="AFJ1315"/>
      <c r="AFK1315"/>
      <c r="AFL1315"/>
      <c r="AFM1315"/>
      <c r="AFN1315"/>
      <c r="AFO1315"/>
      <c r="AFP1315"/>
      <c r="AFQ1315"/>
      <c r="AFR1315"/>
      <c r="AFS1315"/>
      <c r="AFT1315"/>
      <c r="AFU1315"/>
      <c r="AFV1315"/>
      <c r="AFW1315"/>
      <c r="AFX1315"/>
      <c r="AFY1315"/>
      <c r="AFZ1315"/>
      <c r="AGA1315"/>
      <c r="AGB1315"/>
      <c r="AGC1315"/>
      <c r="AGD1315"/>
      <c r="AGE1315"/>
      <c r="AGF1315"/>
      <c r="AGG1315"/>
      <c r="AGH1315"/>
      <c r="AGI1315"/>
      <c r="AGJ1315"/>
      <c r="AGK1315"/>
      <c r="AGL1315"/>
      <c r="AGM1315"/>
      <c r="AGN1315"/>
      <c r="AGO1315"/>
      <c r="AGP1315"/>
      <c r="AGQ1315"/>
      <c r="AGR1315"/>
      <c r="AGS1315"/>
      <c r="AGT1315"/>
      <c r="AGU1315"/>
      <c r="AGV1315"/>
      <c r="AGW1315"/>
      <c r="AGX1315"/>
      <c r="AGY1315"/>
      <c r="AGZ1315"/>
      <c r="AHA1315"/>
      <c r="AHB1315"/>
      <c r="AHC1315"/>
      <c r="AHD1315"/>
      <c r="AHE1315"/>
      <c r="AHF1315"/>
      <c r="AHG1315"/>
      <c r="AHH1315"/>
      <c r="AHI1315"/>
      <c r="AHJ1315"/>
      <c r="AHK1315"/>
      <c r="AHL1315"/>
      <c r="AHM1315"/>
      <c r="AHN1315"/>
      <c r="AHO1315"/>
      <c r="AHP1315"/>
      <c r="AHQ1315"/>
      <c r="AHR1315"/>
      <c r="AHS1315"/>
      <c r="AHT1315"/>
      <c r="AHU1315"/>
      <c r="AHV1315"/>
      <c r="AHW1315"/>
      <c r="AHX1315"/>
      <c r="AHY1315"/>
      <c r="AHZ1315"/>
      <c r="AIA1315"/>
      <c r="AIB1315"/>
      <c r="AIC1315"/>
      <c r="AID1315"/>
      <c r="AIE1315"/>
      <c r="AIF1315"/>
      <c r="AIG1315"/>
      <c r="AIH1315"/>
      <c r="AII1315"/>
      <c r="AIJ1315"/>
      <c r="AIK1315"/>
      <c r="AIL1315"/>
      <c r="AIM1315"/>
      <c r="AIN1315"/>
      <c r="AIO1315"/>
      <c r="AIP1315"/>
      <c r="AIQ1315"/>
      <c r="AIR1315"/>
      <c r="AIS1315"/>
      <c r="AIT1315"/>
      <c r="AIU1315"/>
      <c r="AIV1315"/>
      <c r="AIW1315"/>
      <c r="AIX1315"/>
      <c r="AIY1315"/>
      <c r="AIZ1315"/>
      <c r="AJA1315"/>
      <c r="AJB1315"/>
      <c r="AJC1315"/>
      <c r="AJD1315"/>
      <c r="AJE1315"/>
      <c r="AJF1315"/>
      <c r="AJG1315"/>
      <c r="AJH1315"/>
      <c r="AJI1315"/>
      <c r="AJJ1315"/>
      <c r="AJK1315"/>
      <c r="AJL1315"/>
      <c r="AJM1315"/>
      <c r="AJN1315"/>
      <c r="AJO1315"/>
      <c r="AJP1315"/>
      <c r="AJQ1315"/>
      <c r="AJR1315"/>
      <c r="AJS1315"/>
      <c r="AJT1315"/>
      <c r="AJU1315"/>
      <c r="AJV1315"/>
      <c r="AJW1315"/>
      <c r="AJX1315"/>
      <c r="AJY1315"/>
      <c r="AJZ1315"/>
      <c r="AKA1315"/>
      <c r="AKB1315"/>
      <c r="AKC1315"/>
      <c r="AKD1315"/>
      <c r="AKE1315"/>
      <c r="AKF1315"/>
      <c r="AKG1315"/>
      <c r="AKH1315"/>
      <c r="AKI1315"/>
      <c r="AKJ1315"/>
      <c r="AKK1315"/>
      <c r="AKL1315"/>
      <c r="AKM1315"/>
      <c r="AKN1315"/>
      <c r="AKO1315"/>
      <c r="AKP1315"/>
      <c r="AKQ1315"/>
      <c r="AKR1315"/>
      <c r="AKS1315"/>
      <c r="AKT1315"/>
      <c r="AKU1315"/>
      <c r="AKV1315"/>
      <c r="AKW1315"/>
      <c r="AKX1315"/>
      <c r="AKY1315"/>
      <c r="AKZ1315"/>
      <c r="ALA1315"/>
      <c r="ALB1315"/>
      <c r="ALC1315"/>
      <c r="ALD1315"/>
      <c r="ALE1315"/>
      <c r="ALF1315"/>
      <c r="ALG1315"/>
      <c r="ALH1315"/>
      <c r="ALI1315"/>
      <c r="ALJ1315"/>
      <c r="ALK1315"/>
      <c r="ALL1315"/>
      <c r="ALM1315"/>
      <c r="ALN1315"/>
      <c r="ALO1315"/>
      <c r="ALP1315"/>
      <c r="ALQ1315"/>
      <c r="ALR1315"/>
      <c r="ALS1315"/>
      <c r="ALT1315"/>
    </row>
    <row r="1316" spans="3:1008" x14ac:dyDescent="0.15">
      <c r="C1316"/>
      <c r="F1316"/>
      <c r="H1316"/>
      <c r="I1316"/>
      <c r="J1316"/>
      <c r="K1316"/>
      <c r="L1316"/>
      <c r="M1316"/>
      <c r="N1316"/>
      <c r="O1316"/>
      <c r="P1316"/>
      <c r="Q1316"/>
      <c r="R1316"/>
      <c r="S1316"/>
      <c r="T1316"/>
      <c r="U1316"/>
      <c r="V1316"/>
      <c r="W1316"/>
      <c r="X1316"/>
      <c r="Y1316"/>
      <c r="Z1316"/>
      <c r="AA1316"/>
      <c r="AB1316"/>
      <c r="AC1316"/>
      <c r="AD1316"/>
      <c r="AE1316"/>
      <c r="AF1316"/>
      <c r="AG1316"/>
      <c r="AH1316"/>
      <c r="AI1316"/>
      <c r="AJ1316"/>
      <c r="AK1316"/>
      <c r="AL1316"/>
      <c r="AM1316"/>
      <c r="AN1316"/>
      <c r="AO1316"/>
      <c r="AP1316"/>
      <c r="AQ1316"/>
      <c r="AR1316"/>
      <c r="AS1316"/>
      <c r="AT1316"/>
      <c r="AU1316"/>
      <c r="AV1316"/>
      <c r="AW1316"/>
      <c r="AX1316"/>
      <c r="AY1316"/>
      <c r="AZ1316"/>
      <c r="BA1316"/>
      <c r="BB1316"/>
      <c r="BC1316"/>
      <c r="BD1316"/>
      <c r="BE1316"/>
      <c r="BF1316"/>
      <c r="BG1316"/>
      <c r="BH1316"/>
      <c r="BI1316"/>
      <c r="BJ1316"/>
      <c r="BK1316"/>
      <c r="BL1316"/>
      <c r="BM1316"/>
      <c r="BN1316"/>
      <c r="BO1316"/>
      <c r="BP1316"/>
      <c r="BQ1316"/>
      <c r="BR1316"/>
      <c r="BS1316"/>
      <c r="BT1316"/>
      <c r="BU1316"/>
      <c r="BV1316"/>
      <c r="BW1316"/>
      <c r="BX1316"/>
      <c r="BY1316"/>
      <c r="BZ1316"/>
      <c r="CA1316"/>
      <c r="CB1316"/>
      <c r="CC1316"/>
      <c r="CD1316"/>
      <c r="CE1316"/>
      <c r="CF1316"/>
      <c r="CG1316"/>
      <c r="CH1316"/>
      <c r="CI1316"/>
      <c r="CJ1316"/>
      <c r="CK1316"/>
      <c r="CL1316"/>
      <c r="CM1316"/>
      <c r="CN1316"/>
      <c r="CO1316"/>
      <c r="CP1316"/>
      <c r="CQ1316"/>
      <c r="CR1316"/>
      <c r="CS1316"/>
      <c r="CT1316"/>
      <c r="CU1316"/>
      <c r="CV1316"/>
      <c r="CW1316"/>
      <c r="CX1316"/>
      <c r="CY1316"/>
      <c r="CZ1316"/>
      <c r="DA1316"/>
      <c r="DB1316"/>
      <c r="DC1316"/>
      <c r="DD1316"/>
      <c r="DE1316"/>
      <c r="DF1316"/>
      <c r="DG1316"/>
      <c r="DH1316"/>
      <c r="DI1316"/>
      <c r="DJ1316"/>
      <c r="DK1316"/>
      <c r="DL1316"/>
      <c r="DM1316"/>
      <c r="DN1316"/>
      <c r="DO1316"/>
      <c r="DP1316"/>
      <c r="DQ1316"/>
      <c r="DR1316"/>
      <c r="DS1316"/>
      <c r="DT1316"/>
      <c r="DU1316"/>
      <c r="DV1316"/>
      <c r="DW1316"/>
      <c r="DX1316"/>
      <c r="DY1316"/>
      <c r="DZ1316"/>
      <c r="EA1316"/>
      <c r="EB1316"/>
      <c r="EC1316"/>
      <c r="ED1316"/>
      <c r="EE1316"/>
      <c r="EF1316"/>
      <c r="EG1316"/>
      <c r="EH1316"/>
      <c r="EI1316"/>
      <c r="EJ1316"/>
      <c r="EK1316"/>
      <c r="EL1316"/>
      <c r="EM1316"/>
      <c r="EN1316"/>
      <c r="EO1316"/>
      <c r="EP1316"/>
      <c r="EQ1316"/>
      <c r="ER1316"/>
      <c r="ES1316"/>
      <c r="ET1316"/>
      <c r="EU1316"/>
      <c r="EV1316"/>
      <c r="EW1316"/>
      <c r="EX1316"/>
      <c r="EY1316"/>
      <c r="EZ1316"/>
      <c r="FA1316"/>
      <c r="FB1316"/>
      <c r="FC1316"/>
      <c r="FD1316"/>
      <c r="FE1316"/>
      <c r="FF1316"/>
      <c r="FG1316"/>
      <c r="FH1316"/>
      <c r="FI1316"/>
      <c r="FJ1316"/>
      <c r="FK1316"/>
      <c r="FL1316"/>
      <c r="FM1316"/>
      <c r="FN1316"/>
      <c r="FO1316"/>
      <c r="FP1316"/>
      <c r="FQ1316"/>
      <c r="FR1316"/>
      <c r="FS1316"/>
      <c r="FT1316"/>
      <c r="FU1316"/>
      <c r="FV1316"/>
      <c r="FW1316"/>
      <c r="FX1316"/>
      <c r="FY1316"/>
      <c r="FZ1316"/>
      <c r="GA1316"/>
      <c r="GB1316"/>
      <c r="GC1316"/>
      <c r="GD1316"/>
      <c r="GE1316"/>
      <c r="GF1316"/>
      <c r="GG1316"/>
      <c r="GH1316"/>
      <c r="GI1316"/>
      <c r="GJ1316"/>
      <c r="GK1316"/>
      <c r="GL1316"/>
      <c r="GM1316"/>
      <c r="GN1316"/>
      <c r="GO1316"/>
      <c r="GP1316"/>
      <c r="GQ1316"/>
      <c r="GR1316"/>
      <c r="GS1316"/>
      <c r="GT1316"/>
      <c r="GU1316"/>
      <c r="GV1316"/>
      <c r="GW1316"/>
      <c r="GX1316"/>
      <c r="GY1316"/>
      <c r="GZ1316"/>
      <c r="HA1316"/>
      <c r="HB1316"/>
      <c r="HC1316"/>
      <c r="HD1316"/>
      <c r="HE1316"/>
      <c r="HF1316"/>
      <c r="HG1316"/>
      <c r="HH1316"/>
      <c r="HI1316"/>
      <c r="HJ1316"/>
      <c r="HK1316"/>
      <c r="HL1316"/>
      <c r="HM1316"/>
      <c r="HN1316"/>
      <c r="HO1316"/>
      <c r="HP1316"/>
      <c r="HQ1316"/>
      <c r="HR1316"/>
      <c r="HS1316"/>
      <c r="HT1316"/>
      <c r="HU1316"/>
      <c r="HV1316"/>
      <c r="HW1316"/>
      <c r="HX1316"/>
      <c r="HY1316"/>
      <c r="HZ1316"/>
      <c r="IA1316"/>
      <c r="IB1316"/>
      <c r="IC1316"/>
      <c r="ID1316"/>
      <c r="IE1316"/>
      <c r="IF1316"/>
      <c r="IG1316"/>
      <c r="IH1316"/>
      <c r="II1316"/>
      <c r="IJ1316"/>
      <c r="IK1316"/>
      <c r="IL1316"/>
      <c r="IM1316"/>
      <c r="IN1316"/>
      <c r="IO1316"/>
      <c r="IP1316"/>
      <c r="IQ1316"/>
      <c r="IR1316"/>
      <c r="IS1316"/>
      <c r="IT1316"/>
      <c r="IU1316"/>
      <c r="IV1316"/>
      <c r="IW1316"/>
      <c r="IX1316"/>
      <c r="IY1316"/>
      <c r="IZ1316"/>
      <c r="JA1316"/>
      <c r="JB1316"/>
      <c r="JC1316"/>
      <c r="JD1316"/>
      <c r="JE1316"/>
      <c r="JF1316"/>
      <c r="JG1316"/>
      <c r="JH1316"/>
      <c r="JI1316"/>
      <c r="JJ1316"/>
      <c r="JK1316"/>
      <c r="JL1316"/>
      <c r="JM1316"/>
      <c r="JN1316"/>
      <c r="JO1316"/>
      <c r="JP1316"/>
      <c r="JQ1316"/>
      <c r="JR1316"/>
      <c r="JS1316"/>
      <c r="JT1316"/>
      <c r="JU1316"/>
      <c r="JV1316"/>
      <c r="JW1316"/>
      <c r="JX1316"/>
      <c r="JY1316"/>
      <c r="JZ1316"/>
      <c r="KA1316"/>
      <c r="KB1316"/>
      <c r="KC1316"/>
      <c r="KD1316"/>
      <c r="KE1316"/>
      <c r="KF1316"/>
      <c r="KG1316"/>
      <c r="KH1316"/>
      <c r="KI1316"/>
      <c r="KJ1316"/>
      <c r="KK1316"/>
      <c r="KL1316"/>
      <c r="KM1316"/>
      <c r="KN1316"/>
      <c r="KO1316"/>
      <c r="KP1316"/>
      <c r="KQ1316"/>
      <c r="KR1316"/>
      <c r="KS1316"/>
      <c r="KT1316"/>
      <c r="KU1316"/>
      <c r="KV1316"/>
      <c r="KW1316"/>
      <c r="KX1316"/>
      <c r="KY1316"/>
      <c r="KZ1316"/>
      <c r="LA1316"/>
      <c r="LB1316"/>
      <c r="LC1316"/>
      <c r="LD1316"/>
      <c r="LE1316"/>
      <c r="LF1316"/>
      <c r="LG1316"/>
      <c r="LH1316"/>
      <c r="LI1316"/>
      <c r="LJ1316"/>
      <c r="LK1316"/>
      <c r="LL1316"/>
      <c r="LM1316"/>
      <c r="LN1316"/>
      <c r="LO1316"/>
      <c r="LP1316"/>
      <c r="LQ1316"/>
      <c r="LR1316"/>
      <c r="LS1316"/>
      <c r="LT1316"/>
      <c r="LU1316"/>
      <c r="LV1316"/>
      <c r="LW1316"/>
      <c r="LX1316"/>
      <c r="LY1316"/>
      <c r="LZ1316"/>
      <c r="MA1316"/>
      <c r="MB1316"/>
      <c r="MC1316"/>
      <c r="MD1316"/>
      <c r="ME1316"/>
      <c r="MF1316"/>
      <c r="MG1316"/>
      <c r="MH1316"/>
      <c r="MI1316"/>
      <c r="MJ1316"/>
      <c r="MK1316"/>
      <c r="ML1316"/>
      <c r="MM1316"/>
      <c r="MN1316"/>
      <c r="MO1316"/>
      <c r="MP1316"/>
      <c r="MQ1316"/>
      <c r="MR1316"/>
      <c r="MS1316"/>
      <c r="MT1316"/>
      <c r="MU1316"/>
      <c r="MV1316"/>
      <c r="MW1316"/>
      <c r="MX1316"/>
      <c r="MY1316"/>
      <c r="MZ1316"/>
      <c r="NA1316"/>
      <c r="NB1316"/>
      <c r="NC1316"/>
      <c r="ND1316"/>
      <c r="NE1316"/>
      <c r="NF1316"/>
      <c r="NG1316"/>
      <c r="NH1316"/>
      <c r="NI1316"/>
      <c r="NJ1316"/>
      <c r="NK1316"/>
      <c r="NL1316"/>
      <c r="NM1316"/>
      <c r="NN1316"/>
      <c r="NO1316"/>
      <c r="NP1316"/>
      <c r="NQ1316"/>
      <c r="NR1316"/>
      <c r="NS1316"/>
      <c r="NT1316"/>
      <c r="NU1316"/>
      <c r="NV1316"/>
      <c r="NW1316"/>
      <c r="NX1316"/>
      <c r="NY1316"/>
      <c r="NZ1316"/>
      <c r="OA1316"/>
      <c r="OB1316"/>
      <c r="OC1316"/>
      <c r="OD1316"/>
      <c r="OE1316"/>
      <c r="OF1316"/>
      <c r="OG1316"/>
      <c r="OH1316"/>
      <c r="OI1316"/>
      <c r="OJ1316"/>
      <c r="OK1316"/>
      <c r="OL1316"/>
      <c r="OM1316"/>
      <c r="ON1316"/>
      <c r="OO1316"/>
      <c r="OP1316"/>
      <c r="OQ1316"/>
      <c r="OR1316"/>
      <c r="OS1316"/>
      <c r="OT1316"/>
      <c r="OU1316"/>
      <c r="OV1316"/>
      <c r="OW1316"/>
      <c r="OX1316"/>
      <c r="OY1316"/>
      <c r="OZ1316"/>
      <c r="PA1316"/>
      <c r="PB1316"/>
      <c r="PC1316"/>
      <c r="PD1316"/>
      <c r="PE1316"/>
      <c r="PF1316"/>
      <c r="PG1316"/>
      <c r="PH1316"/>
      <c r="PI1316"/>
      <c r="PJ1316"/>
      <c r="PK1316"/>
      <c r="PL1316"/>
      <c r="PM1316"/>
      <c r="PN1316"/>
      <c r="PO1316"/>
      <c r="PP1316"/>
      <c r="PQ1316"/>
      <c r="PR1316"/>
      <c r="PS1316"/>
      <c r="PT1316"/>
      <c r="PU1316"/>
      <c r="PV1316"/>
      <c r="PW1316"/>
      <c r="PX1316"/>
      <c r="PY1316"/>
      <c r="PZ1316"/>
      <c r="QA1316"/>
      <c r="QB1316"/>
      <c r="QC1316"/>
      <c r="QD1316"/>
      <c r="QE1316"/>
      <c r="QF1316"/>
      <c r="QG1316"/>
      <c r="QH1316"/>
      <c r="QI1316"/>
      <c r="QJ1316"/>
      <c r="QK1316"/>
      <c r="QL1316"/>
      <c r="QM1316"/>
      <c r="QN1316"/>
      <c r="QO1316"/>
      <c r="QP1316"/>
      <c r="QQ1316"/>
      <c r="QR1316"/>
      <c r="QS1316"/>
      <c r="QT1316"/>
      <c r="QU1316"/>
      <c r="QV1316"/>
      <c r="QW1316"/>
      <c r="QX1316"/>
      <c r="QY1316"/>
      <c r="QZ1316"/>
      <c r="RA1316"/>
      <c r="RB1316"/>
      <c r="RC1316"/>
      <c r="RD1316"/>
      <c r="RE1316"/>
      <c r="RF1316"/>
      <c r="RG1316"/>
      <c r="RH1316"/>
      <c r="RI1316"/>
      <c r="RJ1316"/>
      <c r="RK1316"/>
      <c r="RL1316"/>
      <c r="RM1316"/>
      <c r="RN1316"/>
      <c r="RO1316"/>
      <c r="RP1316"/>
      <c r="RQ1316"/>
      <c r="RR1316"/>
      <c r="RS1316"/>
      <c r="RT1316"/>
      <c r="RU1316"/>
      <c r="RV1316"/>
      <c r="RW1316"/>
      <c r="RX1316"/>
      <c r="RY1316"/>
      <c r="RZ1316"/>
      <c r="SA1316"/>
      <c r="SB1316"/>
      <c r="SC1316"/>
      <c r="SD1316"/>
      <c r="SE1316"/>
      <c r="SF1316"/>
      <c r="SG1316"/>
      <c r="SH1316"/>
      <c r="SI1316"/>
      <c r="SJ1316"/>
      <c r="SK1316"/>
      <c r="SL1316"/>
      <c r="SM1316"/>
      <c r="SN1316"/>
      <c r="SO1316"/>
      <c r="SP1316"/>
      <c r="SQ1316"/>
      <c r="SR1316"/>
      <c r="SS1316"/>
      <c r="ST1316"/>
      <c r="SU1316"/>
      <c r="SV1316"/>
      <c r="SW1316"/>
      <c r="SX1316"/>
      <c r="SY1316"/>
      <c r="SZ1316"/>
      <c r="TA1316"/>
      <c r="TB1316"/>
      <c r="TC1316"/>
      <c r="TD1316"/>
      <c r="TE1316"/>
      <c r="TF1316"/>
      <c r="TG1316"/>
      <c r="TH1316"/>
      <c r="TI1316"/>
      <c r="TJ1316"/>
      <c r="TK1316"/>
      <c r="TL1316"/>
      <c r="TM1316"/>
      <c r="TN1316"/>
      <c r="TO1316"/>
      <c r="TP1316"/>
      <c r="TQ1316"/>
      <c r="TR1316"/>
      <c r="TS1316"/>
      <c r="TT1316"/>
      <c r="TU1316"/>
      <c r="TV1316"/>
      <c r="TW1316"/>
      <c r="TX1316"/>
      <c r="TY1316"/>
      <c r="TZ1316"/>
      <c r="UA1316"/>
      <c r="UB1316"/>
      <c r="UC1316"/>
      <c r="UD1316"/>
      <c r="UE1316"/>
      <c r="UF1316"/>
      <c r="UG1316"/>
      <c r="UH1316"/>
      <c r="UI1316"/>
      <c r="UJ1316"/>
      <c r="UK1316"/>
      <c r="UL1316"/>
      <c r="UM1316"/>
      <c r="UN1316"/>
      <c r="UO1316"/>
      <c r="UP1316"/>
      <c r="UQ1316"/>
      <c r="UR1316"/>
      <c r="US1316"/>
      <c r="UT1316"/>
      <c r="UU1316"/>
      <c r="UV1316"/>
      <c r="UW1316"/>
      <c r="UX1316"/>
      <c r="UY1316"/>
      <c r="UZ1316"/>
      <c r="VA1316"/>
      <c r="VB1316"/>
      <c r="VC1316"/>
      <c r="VD1316"/>
      <c r="VE1316"/>
      <c r="VF1316"/>
      <c r="VG1316"/>
      <c r="VH1316"/>
      <c r="VI1316"/>
      <c r="VJ1316"/>
      <c r="VK1316"/>
      <c r="VL1316"/>
      <c r="VM1316"/>
      <c r="VN1316"/>
      <c r="VO1316"/>
      <c r="VP1316"/>
      <c r="VQ1316"/>
      <c r="VR1316"/>
      <c r="VS1316"/>
      <c r="VT1316"/>
      <c r="VU1316"/>
      <c r="VV1316"/>
      <c r="VW1316"/>
      <c r="VX1316"/>
      <c r="VY1316"/>
      <c r="VZ1316"/>
      <c r="WA1316"/>
      <c r="WB1316"/>
      <c r="WC1316"/>
      <c r="WD1316"/>
      <c r="WE1316"/>
      <c r="WF1316"/>
      <c r="WG1316"/>
      <c r="WH1316"/>
      <c r="WI1316"/>
      <c r="WJ1316"/>
      <c r="WK1316"/>
      <c r="WL1316"/>
      <c r="WM1316"/>
      <c r="WN1316"/>
      <c r="WO1316"/>
      <c r="WP1316"/>
      <c r="WQ1316"/>
      <c r="WR1316"/>
      <c r="WS1316"/>
      <c r="WT1316"/>
      <c r="WU1316"/>
      <c r="WV1316"/>
      <c r="WW1316"/>
      <c r="WX1316"/>
      <c r="WY1316"/>
      <c r="WZ1316"/>
      <c r="XA1316"/>
      <c r="XB1316"/>
      <c r="XC1316"/>
      <c r="XD1316"/>
      <c r="XE1316"/>
      <c r="XF1316"/>
      <c r="XG1316"/>
      <c r="XH1316"/>
      <c r="XI1316"/>
      <c r="XJ1316"/>
      <c r="XK1316"/>
      <c r="XL1316"/>
      <c r="XM1316"/>
      <c r="XN1316"/>
      <c r="XO1316"/>
      <c r="XP1316"/>
      <c r="XQ1316"/>
      <c r="XR1316"/>
      <c r="XS1316"/>
      <c r="XT1316"/>
      <c r="XU1316"/>
      <c r="XV1316"/>
      <c r="XW1316"/>
      <c r="XX1316"/>
      <c r="XY1316"/>
      <c r="XZ1316"/>
      <c r="YA1316"/>
      <c r="YB1316"/>
      <c r="YC1316"/>
      <c r="YD1316"/>
      <c r="YE1316"/>
      <c r="YF1316"/>
      <c r="YG1316"/>
      <c r="YH1316"/>
      <c r="YI1316"/>
      <c r="YJ1316"/>
      <c r="YK1316"/>
      <c r="YL1316"/>
      <c r="YM1316"/>
      <c r="YN1316"/>
      <c r="YO1316"/>
      <c r="YP1316"/>
      <c r="YQ1316"/>
      <c r="YR1316"/>
      <c r="YS1316"/>
      <c r="YT1316"/>
      <c r="YU1316"/>
      <c r="YV1316"/>
      <c r="YW1316"/>
      <c r="YX1316"/>
      <c r="YY1316"/>
      <c r="YZ1316"/>
      <c r="ZA1316"/>
      <c r="ZB1316"/>
      <c r="ZC1316"/>
      <c r="ZD1316"/>
      <c r="ZE1316"/>
      <c r="ZF1316"/>
      <c r="ZG1316"/>
      <c r="ZH1316"/>
      <c r="ZI1316"/>
      <c r="ZJ1316"/>
      <c r="ZK1316"/>
      <c r="ZL1316"/>
      <c r="ZM1316"/>
      <c r="ZN1316"/>
      <c r="ZO1316"/>
      <c r="ZP1316"/>
      <c r="ZQ1316"/>
      <c r="ZR1316"/>
      <c r="ZS1316"/>
      <c r="ZT1316"/>
      <c r="ZU1316"/>
      <c r="ZV1316"/>
      <c r="ZW1316"/>
      <c r="ZX1316"/>
      <c r="ZY1316"/>
      <c r="ZZ1316"/>
      <c r="AAA1316"/>
      <c r="AAB1316"/>
      <c r="AAC1316"/>
      <c r="AAD1316"/>
      <c r="AAE1316"/>
      <c r="AAF1316"/>
      <c r="AAG1316"/>
      <c r="AAH1316"/>
      <c r="AAI1316"/>
      <c r="AAJ1316"/>
      <c r="AAK1316"/>
      <c r="AAL1316"/>
      <c r="AAM1316"/>
      <c r="AAN1316"/>
      <c r="AAO1316"/>
      <c r="AAP1316"/>
      <c r="AAQ1316"/>
      <c r="AAR1316"/>
      <c r="AAS1316"/>
      <c r="AAT1316"/>
      <c r="AAU1316"/>
      <c r="AAV1316"/>
      <c r="AAW1316"/>
      <c r="AAX1316"/>
      <c r="AAY1316"/>
      <c r="AAZ1316"/>
      <c r="ABA1316"/>
      <c r="ABB1316"/>
      <c r="ABC1316"/>
      <c r="ABD1316"/>
      <c r="ABE1316"/>
      <c r="ABF1316"/>
      <c r="ABG1316"/>
      <c r="ABH1316"/>
      <c r="ABI1316"/>
      <c r="ABJ1316"/>
      <c r="ABK1316"/>
      <c r="ABL1316"/>
      <c r="ABM1316"/>
      <c r="ABN1316"/>
      <c r="ABO1316"/>
      <c r="ABP1316"/>
      <c r="ABQ1316"/>
      <c r="ABR1316"/>
      <c r="ABS1316"/>
      <c r="ABT1316"/>
      <c r="ABU1316"/>
      <c r="ABV1316"/>
      <c r="ABW1316"/>
      <c r="ABX1316"/>
      <c r="ABY1316"/>
      <c r="ABZ1316"/>
      <c r="ACA1316"/>
      <c r="ACB1316"/>
      <c r="ACC1316"/>
      <c r="ACD1316"/>
      <c r="ACE1316"/>
      <c r="ACF1316"/>
      <c r="ACG1316"/>
      <c r="ACH1316"/>
      <c r="ACI1316"/>
      <c r="ACJ1316"/>
      <c r="ACK1316"/>
      <c r="ACL1316"/>
      <c r="ACM1316"/>
      <c r="ACN1316"/>
      <c r="ACO1316"/>
      <c r="ACP1316"/>
      <c r="ACQ1316"/>
      <c r="ACR1316"/>
      <c r="ACS1316"/>
      <c r="ACT1316"/>
      <c r="ACU1316"/>
      <c r="ACV1316"/>
      <c r="ACW1316"/>
      <c r="ACX1316"/>
      <c r="ACY1316"/>
      <c r="ACZ1316"/>
      <c r="ADA1316"/>
      <c r="ADB1316"/>
      <c r="ADC1316"/>
      <c r="ADD1316"/>
      <c r="ADE1316"/>
      <c r="ADF1316"/>
      <c r="ADG1316"/>
      <c r="ADH1316"/>
      <c r="ADI1316"/>
      <c r="ADJ1316"/>
      <c r="ADK1316"/>
      <c r="ADL1316"/>
      <c r="ADM1316"/>
      <c r="ADN1316"/>
      <c r="ADO1316"/>
      <c r="ADP1316"/>
      <c r="ADQ1316"/>
      <c r="ADR1316"/>
      <c r="ADS1316"/>
      <c r="ADT1316"/>
      <c r="ADU1316"/>
      <c r="ADV1316"/>
      <c r="ADW1316"/>
      <c r="ADX1316"/>
      <c r="ADY1316"/>
      <c r="ADZ1316"/>
      <c r="AEA1316"/>
      <c r="AEB1316"/>
      <c r="AEC1316"/>
      <c r="AED1316"/>
      <c r="AEE1316"/>
      <c r="AEF1316"/>
      <c r="AEG1316"/>
      <c r="AEH1316"/>
      <c r="AEI1316"/>
      <c r="AEJ1316"/>
      <c r="AEK1316"/>
      <c r="AEL1316"/>
      <c r="AEM1316"/>
      <c r="AEN1316"/>
      <c r="AEO1316"/>
      <c r="AEP1316"/>
      <c r="AEQ1316"/>
      <c r="AER1316"/>
      <c r="AES1316"/>
      <c r="AET1316"/>
      <c r="AEU1316"/>
      <c r="AEV1316"/>
      <c r="AEW1316"/>
      <c r="AEX1316"/>
      <c r="AEY1316"/>
      <c r="AEZ1316"/>
      <c r="AFA1316"/>
      <c r="AFB1316"/>
      <c r="AFC1316"/>
      <c r="AFD1316"/>
      <c r="AFE1316"/>
      <c r="AFF1316"/>
      <c r="AFG1316"/>
      <c r="AFH1316"/>
      <c r="AFI1316"/>
      <c r="AFJ1316"/>
      <c r="AFK1316"/>
      <c r="AFL1316"/>
      <c r="AFM1316"/>
      <c r="AFN1316"/>
      <c r="AFO1316"/>
      <c r="AFP1316"/>
      <c r="AFQ1316"/>
      <c r="AFR1316"/>
      <c r="AFS1316"/>
      <c r="AFT1316"/>
      <c r="AFU1316"/>
      <c r="AFV1316"/>
      <c r="AFW1316"/>
      <c r="AFX1316"/>
      <c r="AFY1316"/>
      <c r="AFZ1316"/>
      <c r="AGA1316"/>
      <c r="AGB1316"/>
      <c r="AGC1316"/>
      <c r="AGD1316"/>
      <c r="AGE1316"/>
      <c r="AGF1316"/>
      <c r="AGG1316"/>
      <c r="AGH1316"/>
      <c r="AGI1316"/>
      <c r="AGJ1316"/>
      <c r="AGK1316"/>
      <c r="AGL1316"/>
      <c r="AGM1316"/>
      <c r="AGN1316"/>
      <c r="AGO1316"/>
      <c r="AGP1316"/>
      <c r="AGQ1316"/>
      <c r="AGR1316"/>
      <c r="AGS1316"/>
      <c r="AGT1316"/>
      <c r="AGU1316"/>
      <c r="AGV1316"/>
      <c r="AGW1316"/>
      <c r="AGX1316"/>
      <c r="AGY1316"/>
      <c r="AGZ1316"/>
      <c r="AHA1316"/>
      <c r="AHB1316"/>
      <c r="AHC1316"/>
      <c r="AHD1316"/>
      <c r="AHE1316"/>
      <c r="AHF1316"/>
      <c r="AHG1316"/>
      <c r="AHH1316"/>
      <c r="AHI1316"/>
      <c r="AHJ1316"/>
      <c r="AHK1316"/>
      <c r="AHL1316"/>
      <c r="AHM1316"/>
      <c r="AHN1316"/>
      <c r="AHO1316"/>
      <c r="AHP1316"/>
      <c r="AHQ1316"/>
      <c r="AHR1316"/>
      <c r="AHS1316"/>
      <c r="AHT1316"/>
      <c r="AHU1316"/>
      <c r="AHV1316"/>
      <c r="AHW1316"/>
      <c r="AHX1316"/>
      <c r="AHY1316"/>
      <c r="AHZ1316"/>
      <c r="AIA1316"/>
      <c r="AIB1316"/>
      <c r="AIC1316"/>
      <c r="AID1316"/>
      <c r="AIE1316"/>
      <c r="AIF1316"/>
      <c r="AIG1316"/>
      <c r="AIH1316"/>
      <c r="AII1316"/>
      <c r="AIJ1316"/>
      <c r="AIK1316"/>
      <c r="AIL1316"/>
      <c r="AIM1316"/>
      <c r="AIN1316"/>
      <c r="AIO1316"/>
      <c r="AIP1316"/>
      <c r="AIQ1316"/>
      <c r="AIR1316"/>
      <c r="AIS1316"/>
      <c r="AIT1316"/>
      <c r="AIU1316"/>
      <c r="AIV1316"/>
      <c r="AIW1316"/>
      <c r="AIX1316"/>
      <c r="AIY1316"/>
      <c r="AIZ1316"/>
      <c r="AJA1316"/>
      <c r="AJB1316"/>
      <c r="AJC1316"/>
      <c r="AJD1316"/>
      <c r="AJE1316"/>
      <c r="AJF1316"/>
      <c r="AJG1316"/>
      <c r="AJH1316"/>
      <c r="AJI1316"/>
      <c r="AJJ1316"/>
      <c r="AJK1316"/>
      <c r="AJL1316"/>
      <c r="AJM1316"/>
      <c r="AJN1316"/>
      <c r="AJO1316"/>
      <c r="AJP1316"/>
      <c r="AJQ1316"/>
      <c r="AJR1316"/>
      <c r="AJS1316"/>
      <c r="AJT1316"/>
      <c r="AJU1316"/>
      <c r="AJV1316"/>
      <c r="AJW1316"/>
      <c r="AJX1316"/>
      <c r="AJY1316"/>
      <c r="AJZ1316"/>
      <c r="AKA1316"/>
      <c r="AKB1316"/>
      <c r="AKC1316"/>
      <c r="AKD1316"/>
      <c r="AKE1316"/>
      <c r="AKF1316"/>
      <c r="AKG1316"/>
      <c r="AKH1316"/>
      <c r="AKI1316"/>
      <c r="AKJ1316"/>
      <c r="AKK1316"/>
      <c r="AKL1316"/>
      <c r="AKM1316"/>
      <c r="AKN1316"/>
      <c r="AKO1316"/>
      <c r="AKP1316"/>
      <c r="AKQ1316"/>
      <c r="AKR1316"/>
      <c r="AKS1316"/>
      <c r="AKT1316"/>
      <c r="AKU1316"/>
      <c r="AKV1316"/>
      <c r="AKW1316"/>
      <c r="AKX1316"/>
      <c r="AKY1316"/>
      <c r="AKZ1316"/>
      <c r="ALA1316"/>
      <c r="ALB1316"/>
      <c r="ALC1316"/>
      <c r="ALD1316"/>
      <c r="ALE1316"/>
      <c r="ALF1316"/>
      <c r="ALG1316"/>
      <c r="ALH1316"/>
      <c r="ALI1316"/>
      <c r="ALJ1316"/>
      <c r="ALK1316"/>
      <c r="ALL1316"/>
      <c r="ALM1316"/>
      <c r="ALN1316"/>
      <c r="ALO1316"/>
      <c r="ALP1316"/>
      <c r="ALQ1316"/>
      <c r="ALR1316"/>
      <c r="ALS1316"/>
      <c r="ALT1316"/>
    </row>
    <row r="1317" spans="3:1008" x14ac:dyDescent="0.15">
      <c r="C1317"/>
      <c r="F1317"/>
      <c r="H1317"/>
      <c r="I1317"/>
      <c r="J1317"/>
      <c r="K1317"/>
      <c r="L1317"/>
      <c r="M1317"/>
      <c r="N1317"/>
      <c r="O1317"/>
      <c r="P1317"/>
      <c r="Q1317"/>
      <c r="R1317"/>
      <c r="S1317"/>
      <c r="T1317"/>
      <c r="U1317"/>
      <c r="V1317"/>
      <c r="W1317"/>
      <c r="X1317"/>
      <c r="Y1317"/>
      <c r="Z1317"/>
      <c r="AA1317"/>
      <c r="AB1317"/>
      <c r="AC1317"/>
      <c r="AD1317"/>
      <c r="AE1317"/>
      <c r="AF1317"/>
      <c r="AG1317"/>
      <c r="AH1317"/>
      <c r="AI1317"/>
      <c r="AJ1317"/>
      <c r="AK1317"/>
      <c r="AL1317"/>
      <c r="AM1317"/>
      <c r="AN1317"/>
      <c r="AO1317"/>
      <c r="AP1317"/>
      <c r="AQ1317"/>
      <c r="AR1317"/>
      <c r="AS1317"/>
      <c r="AT1317"/>
      <c r="AU1317"/>
      <c r="AV1317"/>
      <c r="AW1317"/>
      <c r="AX1317"/>
      <c r="AY1317"/>
      <c r="AZ1317"/>
      <c r="BA1317"/>
      <c r="BB1317"/>
      <c r="BC1317"/>
      <c r="BD1317"/>
      <c r="BE1317"/>
      <c r="BF1317"/>
      <c r="BG1317"/>
      <c r="BH1317"/>
      <c r="BI1317"/>
      <c r="BJ1317"/>
      <c r="BK1317"/>
      <c r="BL1317"/>
      <c r="BM1317"/>
      <c r="BN1317"/>
      <c r="BO1317"/>
      <c r="BP1317"/>
      <c r="BQ1317"/>
      <c r="BR1317"/>
      <c r="BS1317"/>
      <c r="BT1317"/>
      <c r="BU1317"/>
      <c r="BV1317"/>
      <c r="BW1317"/>
      <c r="BX1317"/>
      <c r="BY1317"/>
      <c r="BZ1317"/>
      <c r="CA1317"/>
      <c r="CB1317"/>
      <c r="CC1317"/>
      <c r="CD1317"/>
      <c r="CE1317"/>
      <c r="CF1317"/>
      <c r="CG1317"/>
      <c r="CH1317"/>
      <c r="CI1317"/>
      <c r="CJ1317"/>
      <c r="CK1317"/>
      <c r="CL1317"/>
      <c r="CM1317"/>
      <c r="CN1317"/>
      <c r="CO1317"/>
      <c r="CP1317"/>
      <c r="CQ1317"/>
      <c r="CR1317"/>
      <c r="CS1317"/>
      <c r="CT1317"/>
      <c r="CU1317"/>
      <c r="CV1317"/>
      <c r="CW1317"/>
      <c r="CX1317"/>
      <c r="CY1317"/>
      <c r="CZ1317"/>
      <c r="DA1317"/>
      <c r="DB1317"/>
      <c r="DC1317"/>
      <c r="DD1317"/>
      <c r="DE1317"/>
      <c r="DF1317"/>
      <c r="DG1317"/>
      <c r="DH1317"/>
      <c r="DI1317"/>
      <c r="DJ1317"/>
      <c r="DK1317"/>
      <c r="DL1317"/>
      <c r="DM1317"/>
      <c r="DN1317"/>
      <c r="DO1317"/>
      <c r="DP1317"/>
      <c r="DQ1317"/>
      <c r="DR1317"/>
      <c r="DS1317"/>
      <c r="DT1317"/>
      <c r="DU1317"/>
      <c r="DV1317"/>
      <c r="DW1317"/>
      <c r="DX1317"/>
      <c r="DY1317"/>
      <c r="DZ1317"/>
      <c r="EA1317"/>
      <c r="EB1317"/>
      <c r="EC1317"/>
      <c r="ED1317"/>
      <c r="EE1317"/>
      <c r="EF1317"/>
      <c r="EG1317"/>
      <c r="EH1317"/>
      <c r="EI1317"/>
      <c r="EJ1317"/>
      <c r="EK1317"/>
      <c r="EL1317"/>
      <c r="EM1317"/>
      <c r="EN1317"/>
      <c r="EO1317"/>
      <c r="EP1317"/>
      <c r="EQ1317"/>
      <c r="ER1317"/>
      <c r="ES1317"/>
      <c r="ET1317"/>
      <c r="EU1317"/>
      <c r="EV1317"/>
      <c r="EW1317"/>
      <c r="EX1317"/>
      <c r="EY1317"/>
      <c r="EZ1317"/>
      <c r="FA1317"/>
      <c r="FB1317"/>
      <c r="FC1317"/>
      <c r="FD1317"/>
      <c r="FE1317"/>
      <c r="FF1317"/>
      <c r="FG1317"/>
      <c r="FH1317"/>
      <c r="FI1317"/>
      <c r="FJ1317"/>
      <c r="FK1317"/>
      <c r="FL1317"/>
      <c r="FM1317"/>
      <c r="FN1317"/>
      <c r="FO1317"/>
      <c r="FP1317"/>
      <c r="FQ1317"/>
      <c r="FR1317"/>
      <c r="FS1317"/>
      <c r="FT1317"/>
      <c r="FU1317"/>
      <c r="FV1317"/>
      <c r="FW1317"/>
      <c r="FX1317"/>
      <c r="FY1317"/>
      <c r="FZ1317"/>
      <c r="GA1317"/>
      <c r="GB1317"/>
      <c r="GC1317"/>
      <c r="GD1317"/>
      <c r="GE1317"/>
      <c r="GF1317"/>
      <c r="GG1317"/>
      <c r="GH1317"/>
      <c r="GI1317"/>
      <c r="GJ1317"/>
      <c r="GK1317"/>
      <c r="GL1317"/>
      <c r="GM1317"/>
      <c r="GN1317"/>
      <c r="GO1317"/>
      <c r="GP1317"/>
      <c r="GQ1317"/>
      <c r="GR1317"/>
      <c r="GS1317"/>
      <c r="GT1317"/>
      <c r="GU1317"/>
      <c r="GV1317"/>
      <c r="GW1317"/>
      <c r="GX1317"/>
      <c r="GY1317"/>
      <c r="GZ1317"/>
      <c r="HA1317"/>
      <c r="HB1317"/>
      <c r="HC1317"/>
      <c r="HD1317"/>
      <c r="HE1317"/>
      <c r="HF1317"/>
      <c r="HG1317"/>
      <c r="HH1317"/>
      <c r="HI1317"/>
      <c r="HJ1317"/>
      <c r="HK1317"/>
      <c r="HL1317"/>
      <c r="HM1317"/>
      <c r="HN1317"/>
      <c r="HO1317"/>
      <c r="HP1317"/>
      <c r="HQ1317"/>
      <c r="HR1317"/>
      <c r="HS1317"/>
      <c r="HT1317"/>
      <c r="HU1317"/>
      <c r="HV1317"/>
      <c r="HW1317"/>
      <c r="HX1317"/>
      <c r="HY1317"/>
      <c r="HZ1317"/>
      <c r="IA1317"/>
      <c r="IB1317"/>
      <c r="IC1317"/>
      <c r="ID1317"/>
      <c r="IE1317"/>
      <c r="IF1317"/>
      <c r="IG1317"/>
      <c r="IH1317"/>
      <c r="II1317"/>
      <c r="IJ1317"/>
      <c r="IK1317"/>
      <c r="IL1317"/>
      <c r="IM1317"/>
      <c r="IN1317"/>
      <c r="IO1317"/>
      <c r="IP1317"/>
      <c r="IQ1317"/>
      <c r="IR1317"/>
      <c r="IS1317"/>
      <c r="IT1317"/>
      <c r="IU1317"/>
      <c r="IV1317"/>
      <c r="IW1317"/>
      <c r="IX1317"/>
      <c r="IY1317"/>
      <c r="IZ1317"/>
      <c r="JA1317"/>
      <c r="JB1317"/>
      <c r="JC1317"/>
      <c r="JD1317"/>
      <c r="JE1317"/>
      <c r="JF1317"/>
      <c r="JG1317"/>
      <c r="JH1317"/>
      <c r="JI1317"/>
      <c r="JJ1317"/>
      <c r="JK1317"/>
      <c r="JL1317"/>
      <c r="JM1317"/>
      <c r="JN1317"/>
      <c r="JO1317"/>
      <c r="JP1317"/>
      <c r="JQ1317"/>
      <c r="JR1317"/>
      <c r="JS1317"/>
      <c r="JT1317"/>
      <c r="JU1317"/>
      <c r="JV1317"/>
      <c r="JW1317"/>
      <c r="JX1317"/>
      <c r="JY1317"/>
      <c r="JZ1317"/>
      <c r="KA1317"/>
      <c r="KB1317"/>
      <c r="KC1317"/>
      <c r="KD1317"/>
      <c r="KE1317"/>
      <c r="KF1317"/>
      <c r="KG1317"/>
      <c r="KH1317"/>
      <c r="KI1317"/>
      <c r="KJ1317"/>
      <c r="KK1317"/>
      <c r="KL1317"/>
      <c r="KM1317"/>
      <c r="KN1317"/>
      <c r="KO1317"/>
      <c r="KP1317"/>
      <c r="KQ1317"/>
      <c r="KR1317"/>
      <c r="KS1317"/>
      <c r="KT1317"/>
      <c r="KU1317"/>
      <c r="KV1317"/>
      <c r="KW1317"/>
      <c r="KX1317"/>
      <c r="KY1317"/>
      <c r="KZ1317"/>
      <c r="LA1317"/>
      <c r="LB1317"/>
      <c r="LC1317"/>
      <c r="LD1317"/>
      <c r="LE1317"/>
      <c r="LF1317"/>
      <c r="LG1317"/>
      <c r="LH1317"/>
      <c r="LI1317"/>
      <c r="LJ1317"/>
      <c r="LK1317"/>
      <c r="LL1317"/>
      <c r="LM1317"/>
      <c r="LN1317"/>
      <c r="LO1317"/>
      <c r="LP1317"/>
      <c r="LQ1317"/>
      <c r="LR1317"/>
      <c r="LS1317"/>
      <c r="LT1317"/>
      <c r="LU1317"/>
      <c r="LV1317"/>
      <c r="LW1317"/>
      <c r="LX1317"/>
      <c r="LY1317"/>
      <c r="LZ1317"/>
      <c r="MA1317"/>
      <c r="MB1317"/>
      <c r="MC1317"/>
      <c r="MD1317"/>
      <c r="ME1317"/>
      <c r="MF1317"/>
      <c r="MG1317"/>
      <c r="MH1317"/>
      <c r="MI1317"/>
      <c r="MJ1317"/>
      <c r="MK1317"/>
      <c r="ML1317"/>
      <c r="MM1317"/>
      <c r="MN1317"/>
      <c r="MO1317"/>
      <c r="MP1317"/>
      <c r="MQ1317"/>
      <c r="MR1317"/>
      <c r="MS1317"/>
      <c r="MT1317"/>
      <c r="MU1317"/>
      <c r="MV1317"/>
      <c r="MW1317"/>
      <c r="MX1317"/>
      <c r="MY1317"/>
      <c r="MZ1317"/>
      <c r="NA1317"/>
      <c r="NB1317"/>
      <c r="NC1317"/>
      <c r="ND1317"/>
      <c r="NE1317"/>
      <c r="NF1317"/>
      <c r="NG1317"/>
      <c r="NH1317"/>
      <c r="NI1317"/>
      <c r="NJ1317"/>
      <c r="NK1317"/>
      <c r="NL1317"/>
      <c r="NM1317"/>
      <c r="NN1317"/>
      <c r="NO1317"/>
      <c r="NP1317"/>
      <c r="NQ1317"/>
      <c r="NR1317"/>
      <c r="NS1317"/>
      <c r="NT1317"/>
      <c r="NU1317"/>
      <c r="NV1317"/>
      <c r="NW1317"/>
      <c r="NX1317"/>
      <c r="NY1317"/>
      <c r="NZ1317"/>
      <c r="OA1317"/>
      <c r="OB1317"/>
      <c r="OC1317"/>
      <c r="OD1317"/>
      <c r="OE1317"/>
      <c r="OF1317"/>
      <c r="OG1317"/>
      <c r="OH1317"/>
      <c r="OI1317"/>
      <c r="OJ1317"/>
      <c r="OK1317"/>
      <c r="OL1317"/>
      <c r="OM1317"/>
      <c r="ON1317"/>
      <c r="OO1317"/>
      <c r="OP1317"/>
      <c r="OQ1317"/>
      <c r="OR1317"/>
      <c r="OS1317"/>
      <c r="OT1317"/>
      <c r="OU1317"/>
      <c r="OV1317"/>
      <c r="OW1317"/>
      <c r="OX1317"/>
      <c r="OY1317"/>
      <c r="OZ1317"/>
      <c r="PA1317"/>
      <c r="PB1317"/>
      <c r="PC1317"/>
      <c r="PD1317"/>
      <c r="PE1317"/>
      <c r="PF1317"/>
      <c r="PG1317"/>
      <c r="PH1317"/>
      <c r="PI1317"/>
      <c r="PJ1317"/>
      <c r="PK1317"/>
      <c r="PL1317"/>
      <c r="PM1317"/>
      <c r="PN1317"/>
      <c r="PO1317"/>
      <c r="PP1317"/>
      <c r="PQ1317"/>
      <c r="PR1317"/>
      <c r="PS1317"/>
      <c r="PT1317"/>
      <c r="PU1317"/>
      <c r="PV1317"/>
      <c r="PW1317"/>
      <c r="PX1317"/>
      <c r="PY1317"/>
      <c r="PZ1317"/>
      <c r="QA1317"/>
      <c r="QB1317"/>
      <c r="QC1317"/>
      <c r="QD1317"/>
      <c r="QE1317"/>
      <c r="QF1317"/>
      <c r="QG1317"/>
      <c r="QH1317"/>
      <c r="QI1317"/>
      <c r="QJ1317"/>
      <c r="QK1317"/>
      <c r="QL1317"/>
      <c r="QM1317"/>
      <c r="QN1317"/>
      <c r="QO1317"/>
      <c r="QP1317"/>
      <c r="QQ1317"/>
      <c r="QR1317"/>
      <c r="QS1317"/>
      <c r="QT1317"/>
      <c r="QU1317"/>
      <c r="QV1317"/>
      <c r="QW1317"/>
      <c r="QX1317"/>
      <c r="QY1317"/>
      <c r="QZ1317"/>
      <c r="RA1317"/>
      <c r="RB1317"/>
      <c r="RC1317"/>
      <c r="RD1317"/>
      <c r="RE1317"/>
      <c r="RF1317"/>
      <c r="RG1317"/>
      <c r="RH1317"/>
      <c r="RI1317"/>
      <c r="RJ1317"/>
      <c r="RK1317"/>
      <c r="RL1317"/>
      <c r="RM1317"/>
      <c r="RN1317"/>
      <c r="RO1317"/>
      <c r="RP1317"/>
      <c r="RQ1317"/>
      <c r="RR1317"/>
      <c r="RS1317"/>
      <c r="RT1317"/>
      <c r="RU1317"/>
      <c r="RV1317"/>
      <c r="RW1317"/>
      <c r="RX1317"/>
      <c r="RY1317"/>
      <c r="RZ1317"/>
      <c r="SA1317"/>
      <c r="SB1317"/>
      <c r="SC1317"/>
      <c r="SD1317"/>
      <c r="SE1317"/>
      <c r="SF1317"/>
      <c r="SG1317"/>
      <c r="SH1317"/>
      <c r="SI1317"/>
      <c r="SJ1317"/>
      <c r="SK1317"/>
      <c r="SL1317"/>
      <c r="SM1317"/>
      <c r="SN1317"/>
      <c r="SO1317"/>
      <c r="SP1317"/>
      <c r="SQ1317"/>
      <c r="SR1317"/>
      <c r="SS1317"/>
      <c r="ST1317"/>
      <c r="SU1317"/>
      <c r="SV1317"/>
      <c r="SW1317"/>
      <c r="SX1317"/>
      <c r="SY1317"/>
      <c r="SZ1317"/>
      <c r="TA1317"/>
      <c r="TB1317"/>
      <c r="TC1317"/>
      <c r="TD1317"/>
      <c r="TE1317"/>
      <c r="TF1317"/>
      <c r="TG1317"/>
      <c r="TH1317"/>
      <c r="TI1317"/>
      <c r="TJ1317"/>
      <c r="TK1317"/>
      <c r="TL1317"/>
      <c r="TM1317"/>
      <c r="TN1317"/>
      <c r="TO1317"/>
      <c r="TP1317"/>
      <c r="TQ1317"/>
      <c r="TR1317"/>
      <c r="TS1317"/>
      <c r="TT1317"/>
      <c r="TU1317"/>
      <c r="TV1317"/>
      <c r="TW1317"/>
      <c r="TX1317"/>
      <c r="TY1317"/>
      <c r="TZ1317"/>
      <c r="UA1317"/>
      <c r="UB1317"/>
      <c r="UC1317"/>
      <c r="UD1317"/>
      <c r="UE1317"/>
      <c r="UF1317"/>
      <c r="UG1317"/>
      <c r="UH1317"/>
      <c r="UI1317"/>
      <c r="UJ1317"/>
      <c r="UK1317"/>
      <c r="UL1317"/>
      <c r="UM1317"/>
      <c r="UN1317"/>
      <c r="UO1317"/>
      <c r="UP1317"/>
      <c r="UQ1317"/>
      <c r="UR1317"/>
      <c r="US1317"/>
      <c r="UT1317"/>
      <c r="UU1317"/>
      <c r="UV1317"/>
      <c r="UW1317"/>
      <c r="UX1317"/>
      <c r="UY1317"/>
      <c r="UZ1317"/>
      <c r="VA1317"/>
      <c r="VB1317"/>
      <c r="VC1317"/>
      <c r="VD1317"/>
      <c r="VE1317"/>
      <c r="VF1317"/>
      <c r="VG1317"/>
      <c r="VH1317"/>
      <c r="VI1317"/>
      <c r="VJ1317"/>
      <c r="VK1317"/>
      <c r="VL1317"/>
      <c r="VM1317"/>
      <c r="VN1317"/>
      <c r="VO1317"/>
      <c r="VP1317"/>
      <c r="VQ1317"/>
      <c r="VR1317"/>
      <c r="VS1317"/>
      <c r="VT1317"/>
      <c r="VU1317"/>
      <c r="VV1317"/>
      <c r="VW1317"/>
      <c r="VX1317"/>
      <c r="VY1317"/>
      <c r="VZ1317"/>
      <c r="WA1317"/>
      <c r="WB1317"/>
      <c r="WC1317"/>
      <c r="WD1317"/>
      <c r="WE1317"/>
      <c r="WF1317"/>
      <c r="WG1317"/>
      <c r="WH1317"/>
      <c r="WI1317"/>
      <c r="WJ1317"/>
      <c r="WK1317"/>
      <c r="WL1317"/>
      <c r="WM1317"/>
      <c r="WN1317"/>
      <c r="WO1317"/>
      <c r="WP1317"/>
      <c r="WQ1317"/>
      <c r="WR1317"/>
      <c r="WS1317"/>
      <c r="WT1317"/>
      <c r="WU1317"/>
      <c r="WV1317"/>
      <c r="WW1317"/>
      <c r="WX1317"/>
      <c r="WY1317"/>
      <c r="WZ1317"/>
      <c r="XA1317"/>
      <c r="XB1317"/>
      <c r="XC1317"/>
      <c r="XD1317"/>
      <c r="XE1317"/>
      <c r="XF1317"/>
      <c r="XG1317"/>
      <c r="XH1317"/>
      <c r="XI1317"/>
      <c r="XJ1317"/>
      <c r="XK1317"/>
      <c r="XL1317"/>
      <c r="XM1317"/>
      <c r="XN1317"/>
      <c r="XO1317"/>
      <c r="XP1317"/>
      <c r="XQ1317"/>
      <c r="XR1317"/>
      <c r="XS1317"/>
      <c r="XT1317"/>
      <c r="XU1317"/>
      <c r="XV1317"/>
      <c r="XW1317"/>
      <c r="XX1317"/>
      <c r="XY1317"/>
      <c r="XZ1317"/>
      <c r="YA1317"/>
      <c r="YB1317"/>
      <c r="YC1317"/>
      <c r="YD1317"/>
      <c r="YE1317"/>
      <c r="YF1317"/>
      <c r="YG1317"/>
      <c r="YH1317"/>
      <c r="YI1317"/>
      <c r="YJ1317"/>
      <c r="YK1317"/>
      <c r="YL1317"/>
      <c r="YM1317"/>
      <c r="YN1317"/>
      <c r="YO1317"/>
      <c r="YP1317"/>
      <c r="YQ1317"/>
      <c r="YR1317"/>
      <c r="YS1317"/>
      <c r="YT1317"/>
      <c r="YU1317"/>
      <c r="YV1317"/>
      <c r="YW1317"/>
      <c r="YX1317"/>
      <c r="YY1317"/>
      <c r="YZ1317"/>
      <c r="ZA1317"/>
      <c r="ZB1317"/>
      <c r="ZC1317"/>
      <c r="ZD1317"/>
      <c r="ZE1317"/>
      <c r="ZF1317"/>
      <c r="ZG1317"/>
      <c r="ZH1317"/>
      <c r="ZI1317"/>
      <c r="ZJ1317"/>
      <c r="ZK1317"/>
      <c r="ZL1317"/>
      <c r="ZM1317"/>
      <c r="ZN1317"/>
      <c r="ZO1317"/>
      <c r="ZP1317"/>
      <c r="ZQ1317"/>
      <c r="ZR1317"/>
      <c r="ZS1317"/>
      <c r="ZT1317"/>
      <c r="ZU1317"/>
      <c r="ZV1317"/>
      <c r="ZW1317"/>
      <c r="ZX1317"/>
      <c r="ZY1317"/>
      <c r="ZZ1317"/>
      <c r="AAA1317"/>
      <c r="AAB1317"/>
      <c r="AAC1317"/>
      <c r="AAD1317"/>
      <c r="AAE1317"/>
      <c r="AAF1317"/>
      <c r="AAG1317"/>
      <c r="AAH1317"/>
      <c r="AAI1317"/>
      <c r="AAJ1317"/>
      <c r="AAK1317"/>
      <c r="AAL1317"/>
      <c r="AAM1317"/>
      <c r="AAN1317"/>
      <c r="AAO1317"/>
      <c r="AAP1317"/>
      <c r="AAQ1317"/>
      <c r="AAR1317"/>
      <c r="AAS1317"/>
      <c r="AAT1317"/>
      <c r="AAU1317"/>
      <c r="AAV1317"/>
      <c r="AAW1317"/>
      <c r="AAX1317"/>
      <c r="AAY1317"/>
      <c r="AAZ1317"/>
      <c r="ABA1317"/>
      <c r="ABB1317"/>
      <c r="ABC1317"/>
      <c r="ABD1317"/>
      <c r="ABE1317"/>
      <c r="ABF1317"/>
      <c r="ABG1317"/>
      <c r="ABH1317"/>
      <c r="ABI1317"/>
      <c r="ABJ1317"/>
      <c r="ABK1317"/>
      <c r="ABL1317"/>
      <c r="ABM1317"/>
      <c r="ABN1317"/>
      <c r="ABO1317"/>
      <c r="ABP1317"/>
      <c r="ABQ1317"/>
      <c r="ABR1317"/>
      <c r="ABS1317"/>
      <c r="ABT1317"/>
      <c r="ABU1317"/>
      <c r="ABV1317"/>
      <c r="ABW1317"/>
      <c r="ABX1317"/>
      <c r="ABY1317"/>
      <c r="ABZ1317"/>
      <c r="ACA1317"/>
      <c r="ACB1317"/>
      <c r="ACC1317"/>
      <c r="ACD1317"/>
      <c r="ACE1317"/>
      <c r="ACF1317"/>
      <c r="ACG1317"/>
      <c r="ACH1317"/>
      <c r="ACI1317"/>
      <c r="ACJ1317"/>
      <c r="ACK1317"/>
      <c r="ACL1317"/>
      <c r="ACM1317"/>
      <c r="ACN1317"/>
      <c r="ACO1317"/>
      <c r="ACP1317"/>
      <c r="ACQ1317"/>
      <c r="ACR1317"/>
      <c r="ACS1317"/>
      <c r="ACT1317"/>
      <c r="ACU1317"/>
      <c r="ACV1317"/>
      <c r="ACW1317"/>
      <c r="ACX1317"/>
      <c r="ACY1317"/>
      <c r="ACZ1317"/>
      <c r="ADA1317"/>
      <c r="ADB1317"/>
      <c r="ADC1317"/>
      <c r="ADD1317"/>
      <c r="ADE1317"/>
      <c r="ADF1317"/>
      <c r="ADG1317"/>
      <c r="ADH1317"/>
      <c r="ADI1317"/>
      <c r="ADJ1317"/>
      <c r="ADK1317"/>
      <c r="ADL1317"/>
      <c r="ADM1317"/>
      <c r="ADN1317"/>
      <c r="ADO1317"/>
      <c r="ADP1317"/>
      <c r="ADQ1317"/>
      <c r="ADR1317"/>
      <c r="ADS1317"/>
      <c r="ADT1317"/>
      <c r="ADU1317"/>
      <c r="ADV1317"/>
      <c r="ADW1317"/>
      <c r="ADX1317"/>
      <c r="ADY1317"/>
      <c r="ADZ1317"/>
      <c r="AEA1317"/>
      <c r="AEB1317"/>
      <c r="AEC1317"/>
      <c r="AED1317"/>
      <c r="AEE1317"/>
      <c r="AEF1317"/>
      <c r="AEG1317"/>
      <c r="AEH1317"/>
      <c r="AEI1317"/>
      <c r="AEJ1317"/>
      <c r="AEK1317"/>
      <c r="AEL1317"/>
      <c r="AEM1317"/>
      <c r="AEN1317"/>
      <c r="AEO1317"/>
      <c r="AEP1317"/>
      <c r="AEQ1317"/>
      <c r="AER1317"/>
      <c r="AES1317"/>
      <c r="AET1317"/>
      <c r="AEU1317"/>
      <c r="AEV1317"/>
      <c r="AEW1317"/>
      <c r="AEX1317"/>
      <c r="AEY1317"/>
      <c r="AEZ1317"/>
      <c r="AFA1317"/>
      <c r="AFB1317"/>
      <c r="AFC1317"/>
      <c r="AFD1317"/>
      <c r="AFE1317"/>
      <c r="AFF1317"/>
      <c r="AFG1317"/>
      <c r="AFH1317"/>
      <c r="AFI1317"/>
      <c r="AFJ1317"/>
      <c r="AFK1317"/>
      <c r="AFL1317"/>
      <c r="AFM1317"/>
      <c r="AFN1317"/>
      <c r="AFO1317"/>
      <c r="AFP1317"/>
      <c r="AFQ1317"/>
      <c r="AFR1317"/>
      <c r="AFS1317"/>
      <c r="AFT1317"/>
      <c r="AFU1317"/>
      <c r="AFV1317"/>
      <c r="AFW1317"/>
      <c r="AFX1317"/>
      <c r="AFY1317"/>
      <c r="AFZ1317"/>
      <c r="AGA1317"/>
      <c r="AGB1317"/>
      <c r="AGC1317"/>
      <c r="AGD1317"/>
      <c r="AGE1317"/>
      <c r="AGF1317"/>
      <c r="AGG1317"/>
      <c r="AGH1317"/>
      <c r="AGI1317"/>
      <c r="AGJ1317"/>
      <c r="AGK1317"/>
      <c r="AGL1317"/>
      <c r="AGM1317"/>
      <c r="AGN1317"/>
      <c r="AGO1317"/>
      <c r="AGP1317"/>
      <c r="AGQ1317"/>
      <c r="AGR1317"/>
      <c r="AGS1317"/>
      <c r="AGT1317"/>
      <c r="AGU1317"/>
      <c r="AGV1317"/>
      <c r="AGW1317"/>
      <c r="AGX1317"/>
      <c r="AGY1317"/>
      <c r="AGZ1317"/>
      <c r="AHA1317"/>
      <c r="AHB1317"/>
      <c r="AHC1317"/>
      <c r="AHD1317"/>
      <c r="AHE1317"/>
      <c r="AHF1317"/>
      <c r="AHG1317"/>
      <c r="AHH1317"/>
      <c r="AHI1317"/>
      <c r="AHJ1317"/>
      <c r="AHK1317"/>
      <c r="AHL1317"/>
      <c r="AHM1317"/>
      <c r="AHN1317"/>
      <c r="AHO1317"/>
      <c r="AHP1317"/>
      <c r="AHQ1317"/>
      <c r="AHR1317"/>
      <c r="AHS1317"/>
      <c r="AHT1317"/>
      <c r="AHU1317"/>
      <c r="AHV1317"/>
      <c r="AHW1317"/>
      <c r="AHX1317"/>
      <c r="AHY1317"/>
      <c r="AHZ1317"/>
      <c r="AIA1317"/>
      <c r="AIB1317"/>
      <c r="AIC1317"/>
      <c r="AID1317"/>
      <c r="AIE1317"/>
      <c r="AIF1317"/>
      <c r="AIG1317"/>
      <c r="AIH1317"/>
      <c r="AII1317"/>
      <c r="AIJ1317"/>
      <c r="AIK1317"/>
      <c r="AIL1317"/>
      <c r="AIM1317"/>
      <c r="AIN1317"/>
      <c r="AIO1317"/>
      <c r="AIP1317"/>
      <c r="AIQ1317"/>
      <c r="AIR1317"/>
      <c r="AIS1317"/>
      <c r="AIT1317"/>
      <c r="AIU1317"/>
      <c r="AIV1317"/>
      <c r="AIW1317"/>
      <c r="AIX1317"/>
      <c r="AIY1317"/>
      <c r="AIZ1317"/>
      <c r="AJA1317"/>
      <c r="AJB1317"/>
      <c r="AJC1317"/>
      <c r="AJD1317"/>
      <c r="AJE1317"/>
      <c r="AJF1317"/>
      <c r="AJG1317"/>
      <c r="AJH1317"/>
      <c r="AJI1317"/>
      <c r="AJJ1317"/>
      <c r="AJK1317"/>
      <c r="AJL1317"/>
      <c r="AJM1317"/>
      <c r="AJN1317"/>
      <c r="AJO1317"/>
      <c r="AJP1317"/>
      <c r="AJQ1317"/>
      <c r="AJR1317"/>
      <c r="AJS1317"/>
      <c r="AJT1317"/>
      <c r="AJU1317"/>
      <c r="AJV1317"/>
      <c r="AJW1317"/>
      <c r="AJX1317"/>
      <c r="AJY1317"/>
      <c r="AJZ1317"/>
      <c r="AKA1317"/>
      <c r="AKB1317"/>
      <c r="AKC1317"/>
      <c r="AKD1317"/>
      <c r="AKE1317"/>
      <c r="AKF1317"/>
      <c r="AKG1317"/>
      <c r="AKH1317"/>
      <c r="AKI1317"/>
      <c r="AKJ1317"/>
      <c r="AKK1317"/>
      <c r="AKL1317"/>
      <c r="AKM1317"/>
      <c r="AKN1317"/>
      <c r="AKO1317"/>
      <c r="AKP1317"/>
      <c r="AKQ1317"/>
      <c r="AKR1317"/>
      <c r="AKS1317"/>
      <c r="AKT1317"/>
      <c r="AKU1317"/>
      <c r="AKV1317"/>
      <c r="AKW1317"/>
      <c r="AKX1317"/>
      <c r="AKY1317"/>
      <c r="AKZ1317"/>
      <c r="ALA1317"/>
      <c r="ALB1317"/>
      <c r="ALC1317"/>
      <c r="ALD1317"/>
      <c r="ALE1317"/>
      <c r="ALF1317"/>
      <c r="ALG1317"/>
      <c r="ALH1317"/>
      <c r="ALI1317"/>
      <c r="ALJ1317"/>
      <c r="ALK1317"/>
      <c r="ALL1317"/>
      <c r="ALM1317"/>
      <c r="ALN1317"/>
      <c r="ALO1317"/>
      <c r="ALP1317"/>
      <c r="ALQ1317"/>
      <c r="ALR1317"/>
      <c r="ALS1317"/>
      <c r="ALT1317"/>
    </row>
    <row r="1318" spans="3:1008" x14ac:dyDescent="0.15">
      <c r="C1318"/>
      <c r="F1318"/>
      <c r="H1318"/>
      <c r="I1318"/>
      <c r="J1318"/>
      <c r="K1318"/>
      <c r="L1318"/>
      <c r="M1318"/>
      <c r="N1318"/>
      <c r="O1318"/>
      <c r="P1318"/>
      <c r="Q1318"/>
      <c r="R1318"/>
      <c r="S1318"/>
      <c r="T1318"/>
      <c r="U1318"/>
      <c r="V1318"/>
      <c r="W1318"/>
      <c r="X1318"/>
      <c r="Y1318"/>
      <c r="Z1318"/>
      <c r="AA1318"/>
      <c r="AB1318"/>
      <c r="AC1318"/>
      <c r="AD1318"/>
      <c r="AE1318"/>
      <c r="AF1318"/>
      <c r="AG1318"/>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c r="BR1318"/>
      <c r="BS1318"/>
      <c r="BT1318"/>
      <c r="BU1318"/>
      <c r="BV1318"/>
      <c r="BW1318"/>
      <c r="BX1318"/>
      <c r="BY1318"/>
      <c r="BZ1318"/>
      <c r="CA1318"/>
      <c r="CB1318"/>
      <c r="CC1318"/>
      <c r="CD1318"/>
      <c r="CE1318"/>
      <c r="CF1318"/>
      <c r="CG1318"/>
      <c r="CH1318"/>
      <c r="CI1318"/>
      <c r="CJ1318"/>
      <c r="CK1318"/>
      <c r="CL1318"/>
      <c r="CM1318"/>
      <c r="CN1318"/>
      <c r="CO1318"/>
      <c r="CP1318"/>
      <c r="CQ1318"/>
      <c r="CR1318"/>
      <c r="CS1318"/>
      <c r="CT1318"/>
      <c r="CU1318"/>
      <c r="CV1318"/>
      <c r="CW1318"/>
      <c r="CX1318"/>
      <c r="CY1318"/>
      <c r="CZ1318"/>
      <c r="DA1318"/>
      <c r="DB1318"/>
      <c r="DC1318"/>
      <c r="DD1318"/>
      <c r="DE1318"/>
      <c r="DF1318"/>
      <c r="DG1318"/>
      <c r="DH1318"/>
      <c r="DI1318"/>
      <c r="DJ1318"/>
      <c r="DK1318"/>
      <c r="DL1318"/>
      <c r="DM1318"/>
      <c r="DN1318"/>
      <c r="DO1318"/>
      <c r="DP1318"/>
      <c r="DQ1318"/>
      <c r="DR1318"/>
      <c r="DS1318"/>
      <c r="DT1318"/>
      <c r="DU1318"/>
      <c r="DV1318"/>
      <c r="DW1318"/>
      <c r="DX1318"/>
      <c r="DY1318"/>
      <c r="DZ1318"/>
      <c r="EA1318"/>
      <c r="EB1318"/>
      <c r="EC1318"/>
      <c r="ED1318"/>
      <c r="EE1318"/>
      <c r="EF1318"/>
      <c r="EG1318"/>
      <c r="EH1318"/>
      <c r="EI1318"/>
      <c r="EJ1318"/>
      <c r="EK1318"/>
      <c r="EL1318"/>
      <c r="EM1318"/>
      <c r="EN1318"/>
      <c r="EO1318"/>
      <c r="EP1318"/>
      <c r="EQ1318"/>
      <c r="ER1318"/>
      <c r="ES1318"/>
      <c r="ET1318"/>
      <c r="EU1318"/>
      <c r="EV1318"/>
      <c r="EW1318"/>
      <c r="EX1318"/>
      <c r="EY1318"/>
      <c r="EZ1318"/>
      <c r="FA1318"/>
      <c r="FB1318"/>
      <c r="FC1318"/>
      <c r="FD1318"/>
      <c r="FE1318"/>
      <c r="FF1318"/>
      <c r="FG1318"/>
      <c r="FH1318"/>
      <c r="FI1318"/>
      <c r="FJ1318"/>
      <c r="FK1318"/>
      <c r="FL1318"/>
      <c r="FM1318"/>
      <c r="FN1318"/>
      <c r="FO1318"/>
      <c r="FP1318"/>
      <c r="FQ1318"/>
      <c r="FR1318"/>
      <c r="FS1318"/>
      <c r="FT1318"/>
      <c r="FU1318"/>
      <c r="FV1318"/>
      <c r="FW1318"/>
      <c r="FX1318"/>
      <c r="FY1318"/>
      <c r="FZ1318"/>
      <c r="GA1318"/>
      <c r="GB1318"/>
      <c r="GC1318"/>
      <c r="GD1318"/>
      <c r="GE1318"/>
      <c r="GF1318"/>
      <c r="GG1318"/>
      <c r="GH1318"/>
      <c r="GI1318"/>
      <c r="GJ1318"/>
      <c r="GK1318"/>
      <c r="GL1318"/>
      <c r="GM1318"/>
      <c r="GN1318"/>
      <c r="GO1318"/>
      <c r="GP1318"/>
      <c r="GQ1318"/>
      <c r="GR1318"/>
      <c r="GS1318"/>
      <c r="GT1318"/>
      <c r="GU1318"/>
      <c r="GV1318"/>
      <c r="GW1318"/>
      <c r="GX1318"/>
      <c r="GY1318"/>
      <c r="GZ1318"/>
      <c r="HA1318"/>
      <c r="HB1318"/>
      <c r="HC1318"/>
      <c r="HD1318"/>
      <c r="HE1318"/>
      <c r="HF1318"/>
      <c r="HG1318"/>
      <c r="HH1318"/>
      <c r="HI1318"/>
      <c r="HJ1318"/>
      <c r="HK1318"/>
      <c r="HL1318"/>
      <c r="HM1318"/>
      <c r="HN1318"/>
      <c r="HO1318"/>
      <c r="HP1318"/>
      <c r="HQ1318"/>
      <c r="HR1318"/>
      <c r="HS1318"/>
      <c r="HT1318"/>
      <c r="HU1318"/>
      <c r="HV1318"/>
      <c r="HW1318"/>
      <c r="HX1318"/>
      <c r="HY1318"/>
      <c r="HZ1318"/>
      <c r="IA1318"/>
      <c r="IB1318"/>
      <c r="IC1318"/>
      <c r="ID1318"/>
      <c r="IE1318"/>
      <c r="IF1318"/>
      <c r="IG1318"/>
      <c r="IH1318"/>
      <c r="II1318"/>
      <c r="IJ1318"/>
      <c r="IK1318"/>
      <c r="IL1318"/>
      <c r="IM1318"/>
      <c r="IN1318"/>
      <c r="IO1318"/>
      <c r="IP1318"/>
      <c r="IQ1318"/>
      <c r="IR1318"/>
      <c r="IS1318"/>
      <c r="IT1318"/>
      <c r="IU1318"/>
      <c r="IV1318"/>
      <c r="IW1318"/>
      <c r="IX1318"/>
      <c r="IY1318"/>
      <c r="IZ1318"/>
      <c r="JA1318"/>
      <c r="JB1318"/>
      <c r="JC1318"/>
      <c r="JD1318"/>
      <c r="JE1318"/>
      <c r="JF1318"/>
      <c r="JG1318"/>
      <c r="JH1318"/>
      <c r="JI1318"/>
      <c r="JJ1318"/>
      <c r="JK1318"/>
      <c r="JL1318"/>
      <c r="JM1318"/>
      <c r="JN1318"/>
      <c r="JO1318"/>
      <c r="JP1318"/>
      <c r="JQ1318"/>
      <c r="JR1318"/>
      <c r="JS1318"/>
      <c r="JT1318"/>
      <c r="JU1318"/>
      <c r="JV1318"/>
      <c r="JW1318"/>
      <c r="JX1318"/>
      <c r="JY1318"/>
      <c r="JZ1318"/>
      <c r="KA1318"/>
      <c r="KB1318"/>
      <c r="KC1318"/>
      <c r="KD1318"/>
      <c r="KE1318"/>
      <c r="KF1318"/>
      <c r="KG1318"/>
      <c r="KH1318"/>
      <c r="KI1318"/>
      <c r="KJ1318"/>
      <c r="KK1318"/>
      <c r="KL1318"/>
      <c r="KM1318"/>
      <c r="KN1318"/>
      <c r="KO1318"/>
      <c r="KP1318"/>
      <c r="KQ1318"/>
      <c r="KR1318"/>
      <c r="KS1318"/>
      <c r="KT1318"/>
      <c r="KU1318"/>
      <c r="KV1318"/>
      <c r="KW1318"/>
      <c r="KX1318"/>
      <c r="KY1318"/>
      <c r="KZ1318"/>
      <c r="LA1318"/>
      <c r="LB1318"/>
      <c r="LC1318"/>
      <c r="LD1318"/>
      <c r="LE1318"/>
      <c r="LF1318"/>
      <c r="LG1318"/>
      <c r="LH1318"/>
      <c r="LI1318"/>
      <c r="LJ1318"/>
      <c r="LK1318"/>
      <c r="LL1318"/>
      <c r="LM1318"/>
      <c r="LN1318"/>
      <c r="LO1318"/>
      <c r="LP1318"/>
      <c r="LQ1318"/>
      <c r="LR1318"/>
      <c r="LS1318"/>
      <c r="LT1318"/>
      <c r="LU1318"/>
      <c r="LV1318"/>
      <c r="LW1318"/>
      <c r="LX1318"/>
      <c r="LY1318"/>
      <c r="LZ1318"/>
      <c r="MA1318"/>
      <c r="MB1318"/>
      <c r="MC1318"/>
      <c r="MD1318"/>
      <c r="ME1318"/>
      <c r="MF1318"/>
      <c r="MG1318"/>
      <c r="MH1318"/>
      <c r="MI1318"/>
      <c r="MJ1318"/>
      <c r="MK1318"/>
      <c r="ML1318"/>
      <c r="MM1318"/>
      <c r="MN1318"/>
      <c r="MO1318"/>
      <c r="MP1318"/>
      <c r="MQ1318"/>
      <c r="MR1318"/>
      <c r="MS1318"/>
      <c r="MT1318"/>
      <c r="MU1318"/>
      <c r="MV1318"/>
      <c r="MW1318"/>
      <c r="MX1318"/>
      <c r="MY1318"/>
      <c r="MZ1318"/>
      <c r="NA1318"/>
      <c r="NB1318"/>
      <c r="NC1318"/>
      <c r="ND1318"/>
      <c r="NE1318"/>
      <c r="NF1318"/>
      <c r="NG1318"/>
      <c r="NH1318"/>
      <c r="NI1318"/>
      <c r="NJ1318"/>
      <c r="NK1318"/>
      <c r="NL1318"/>
      <c r="NM1318"/>
      <c r="NN1318"/>
      <c r="NO1318"/>
      <c r="NP1318"/>
      <c r="NQ1318"/>
      <c r="NR1318"/>
      <c r="NS1318"/>
      <c r="NT1318"/>
      <c r="NU1318"/>
      <c r="NV1318"/>
      <c r="NW1318"/>
      <c r="NX1318"/>
      <c r="NY1318"/>
      <c r="NZ1318"/>
      <c r="OA1318"/>
      <c r="OB1318"/>
      <c r="OC1318"/>
      <c r="OD1318"/>
      <c r="OE1318"/>
      <c r="OF1318"/>
      <c r="OG1318"/>
      <c r="OH1318"/>
      <c r="OI1318"/>
      <c r="OJ1318"/>
      <c r="OK1318"/>
      <c r="OL1318"/>
      <c r="OM1318"/>
      <c r="ON1318"/>
      <c r="OO1318"/>
      <c r="OP1318"/>
      <c r="OQ1318"/>
      <c r="OR1318"/>
      <c r="OS1318"/>
      <c r="OT1318"/>
      <c r="OU1318"/>
      <c r="OV1318"/>
      <c r="OW1318"/>
      <c r="OX1318"/>
      <c r="OY1318"/>
      <c r="OZ1318"/>
      <c r="PA1318"/>
      <c r="PB1318"/>
      <c r="PC1318"/>
      <c r="PD1318"/>
      <c r="PE1318"/>
      <c r="PF1318"/>
      <c r="PG1318"/>
      <c r="PH1318"/>
      <c r="PI1318"/>
      <c r="PJ1318"/>
      <c r="PK1318"/>
      <c r="PL1318"/>
      <c r="PM1318"/>
      <c r="PN1318"/>
      <c r="PO1318"/>
      <c r="PP1318"/>
      <c r="PQ1318"/>
      <c r="PR1318"/>
      <c r="PS1318"/>
      <c r="PT1318"/>
      <c r="PU1318"/>
      <c r="PV1318"/>
      <c r="PW1318"/>
      <c r="PX1318"/>
      <c r="PY1318"/>
      <c r="PZ1318"/>
      <c r="QA1318"/>
      <c r="QB1318"/>
      <c r="QC1318"/>
      <c r="QD1318"/>
      <c r="QE1318"/>
      <c r="QF1318"/>
      <c r="QG1318"/>
      <c r="QH1318"/>
      <c r="QI1318"/>
      <c r="QJ1318"/>
      <c r="QK1318"/>
      <c r="QL1318"/>
      <c r="QM1318"/>
      <c r="QN1318"/>
      <c r="QO1318"/>
      <c r="QP1318"/>
      <c r="QQ1318"/>
      <c r="QR1318"/>
      <c r="QS1318"/>
      <c r="QT1318"/>
      <c r="QU1318"/>
      <c r="QV1318"/>
      <c r="QW1318"/>
      <c r="QX1318"/>
      <c r="QY1318"/>
      <c r="QZ1318"/>
      <c r="RA1318"/>
      <c r="RB1318"/>
      <c r="RC1318"/>
      <c r="RD1318"/>
      <c r="RE1318"/>
      <c r="RF1318"/>
      <c r="RG1318"/>
      <c r="RH1318"/>
      <c r="RI1318"/>
      <c r="RJ1318"/>
      <c r="RK1318"/>
      <c r="RL1318"/>
      <c r="RM1318"/>
      <c r="RN1318"/>
      <c r="RO1318"/>
      <c r="RP1318"/>
      <c r="RQ1318"/>
      <c r="RR1318"/>
      <c r="RS1318"/>
      <c r="RT1318"/>
      <c r="RU1318"/>
      <c r="RV1318"/>
      <c r="RW1318"/>
      <c r="RX1318"/>
      <c r="RY1318"/>
      <c r="RZ1318"/>
      <c r="SA1318"/>
      <c r="SB1318"/>
      <c r="SC1318"/>
      <c r="SD1318"/>
      <c r="SE1318"/>
      <c r="SF1318"/>
      <c r="SG1318"/>
      <c r="SH1318"/>
      <c r="SI1318"/>
      <c r="SJ1318"/>
      <c r="SK1318"/>
      <c r="SL1318"/>
      <c r="SM1318"/>
      <c r="SN1318"/>
      <c r="SO1318"/>
      <c r="SP1318"/>
      <c r="SQ1318"/>
      <c r="SR1318"/>
      <c r="SS1318"/>
      <c r="ST1318"/>
      <c r="SU1318"/>
      <c r="SV1318"/>
      <c r="SW1318"/>
      <c r="SX1318"/>
      <c r="SY1318"/>
      <c r="SZ1318"/>
      <c r="TA1318"/>
      <c r="TB1318"/>
      <c r="TC1318"/>
      <c r="TD1318"/>
      <c r="TE1318"/>
      <c r="TF1318"/>
      <c r="TG1318"/>
      <c r="TH1318"/>
      <c r="TI1318"/>
      <c r="TJ1318"/>
      <c r="TK1318"/>
      <c r="TL1318"/>
      <c r="TM1318"/>
      <c r="TN1318"/>
      <c r="TO1318"/>
      <c r="TP1318"/>
      <c r="TQ1318"/>
      <c r="TR1318"/>
      <c r="TS1318"/>
      <c r="TT1318"/>
      <c r="TU1318"/>
      <c r="TV1318"/>
      <c r="TW1318"/>
      <c r="TX1318"/>
      <c r="TY1318"/>
      <c r="TZ1318"/>
      <c r="UA1318"/>
      <c r="UB1318"/>
      <c r="UC1318"/>
      <c r="UD1318"/>
      <c r="UE1318"/>
      <c r="UF1318"/>
      <c r="UG1318"/>
      <c r="UH1318"/>
      <c r="UI1318"/>
      <c r="UJ1318"/>
      <c r="UK1318"/>
      <c r="UL1318"/>
      <c r="UM1318"/>
      <c r="UN1318"/>
      <c r="UO1318"/>
      <c r="UP1318"/>
      <c r="UQ1318"/>
      <c r="UR1318"/>
      <c r="US1318"/>
      <c r="UT1318"/>
      <c r="UU1318"/>
      <c r="UV1318"/>
      <c r="UW1318"/>
      <c r="UX1318"/>
      <c r="UY1318"/>
      <c r="UZ1318"/>
      <c r="VA1318"/>
      <c r="VB1318"/>
      <c r="VC1318"/>
      <c r="VD1318"/>
      <c r="VE1318"/>
      <c r="VF1318"/>
      <c r="VG1318"/>
      <c r="VH1318"/>
      <c r="VI1318"/>
      <c r="VJ1318"/>
      <c r="VK1318"/>
      <c r="VL1318"/>
      <c r="VM1318"/>
      <c r="VN1318"/>
      <c r="VO1318"/>
      <c r="VP1318"/>
      <c r="VQ1318"/>
      <c r="VR1318"/>
      <c r="VS1318"/>
      <c r="VT1318"/>
      <c r="VU1318"/>
      <c r="VV1318"/>
      <c r="VW1318"/>
      <c r="VX1318"/>
      <c r="VY1318"/>
      <c r="VZ1318"/>
      <c r="WA1318"/>
      <c r="WB1318"/>
      <c r="WC1318"/>
      <c r="WD1318"/>
      <c r="WE1318"/>
      <c r="WF1318"/>
      <c r="WG1318"/>
      <c r="WH1318"/>
      <c r="WI1318"/>
      <c r="WJ1318"/>
      <c r="WK1318"/>
      <c r="WL1318"/>
      <c r="WM1318"/>
      <c r="WN1318"/>
      <c r="WO1318"/>
      <c r="WP1318"/>
      <c r="WQ1318"/>
      <c r="WR1318"/>
      <c r="WS1318"/>
      <c r="WT1318"/>
      <c r="WU1318"/>
      <c r="WV1318"/>
      <c r="WW1318"/>
      <c r="WX1318"/>
      <c r="WY1318"/>
      <c r="WZ1318"/>
      <c r="XA1318"/>
      <c r="XB1318"/>
      <c r="XC1318"/>
      <c r="XD1318"/>
      <c r="XE1318"/>
      <c r="XF1318"/>
      <c r="XG1318"/>
      <c r="XH1318"/>
      <c r="XI1318"/>
      <c r="XJ1318"/>
      <c r="XK1318"/>
      <c r="XL1318"/>
      <c r="XM1318"/>
      <c r="XN1318"/>
      <c r="XO1318"/>
      <c r="XP1318"/>
      <c r="XQ1318"/>
      <c r="XR1318"/>
      <c r="XS1318"/>
      <c r="XT1318"/>
      <c r="XU1318"/>
      <c r="XV1318"/>
      <c r="XW1318"/>
      <c r="XX1318"/>
      <c r="XY1318"/>
      <c r="XZ1318"/>
      <c r="YA1318"/>
      <c r="YB1318"/>
      <c r="YC1318"/>
      <c r="YD1318"/>
      <c r="YE1318"/>
      <c r="YF1318"/>
      <c r="YG1318"/>
      <c r="YH1318"/>
      <c r="YI1318"/>
      <c r="YJ1318"/>
      <c r="YK1318"/>
      <c r="YL1318"/>
      <c r="YM1318"/>
      <c r="YN1318"/>
      <c r="YO1318"/>
      <c r="YP1318"/>
      <c r="YQ1318"/>
      <c r="YR1318"/>
      <c r="YS1318"/>
      <c r="YT1318"/>
      <c r="YU1318"/>
      <c r="YV1318"/>
      <c r="YW1318"/>
      <c r="YX1318"/>
      <c r="YY1318"/>
      <c r="YZ1318"/>
      <c r="ZA1318"/>
      <c r="ZB1318"/>
      <c r="ZC1318"/>
      <c r="ZD1318"/>
      <c r="ZE1318"/>
      <c r="ZF1318"/>
      <c r="ZG1318"/>
      <c r="ZH1318"/>
      <c r="ZI1318"/>
      <c r="ZJ1318"/>
      <c r="ZK1318"/>
      <c r="ZL1318"/>
      <c r="ZM1318"/>
      <c r="ZN1318"/>
      <c r="ZO1318"/>
      <c r="ZP1318"/>
      <c r="ZQ1318"/>
      <c r="ZR1318"/>
      <c r="ZS1318"/>
      <c r="ZT1318"/>
      <c r="ZU1318"/>
      <c r="ZV1318"/>
      <c r="ZW1318"/>
      <c r="ZX1318"/>
      <c r="ZY1318"/>
      <c r="ZZ1318"/>
      <c r="AAA1318"/>
      <c r="AAB1318"/>
      <c r="AAC1318"/>
      <c r="AAD1318"/>
      <c r="AAE1318"/>
      <c r="AAF1318"/>
      <c r="AAG1318"/>
      <c r="AAH1318"/>
      <c r="AAI1318"/>
      <c r="AAJ1318"/>
      <c r="AAK1318"/>
      <c r="AAL1318"/>
      <c r="AAM1318"/>
      <c r="AAN1318"/>
      <c r="AAO1318"/>
      <c r="AAP1318"/>
      <c r="AAQ1318"/>
      <c r="AAR1318"/>
      <c r="AAS1318"/>
      <c r="AAT1318"/>
      <c r="AAU1318"/>
      <c r="AAV1318"/>
      <c r="AAW1318"/>
      <c r="AAX1318"/>
      <c r="AAY1318"/>
      <c r="AAZ1318"/>
      <c r="ABA1318"/>
      <c r="ABB1318"/>
      <c r="ABC1318"/>
      <c r="ABD1318"/>
      <c r="ABE1318"/>
      <c r="ABF1318"/>
      <c r="ABG1318"/>
      <c r="ABH1318"/>
      <c r="ABI1318"/>
      <c r="ABJ1318"/>
      <c r="ABK1318"/>
      <c r="ABL1318"/>
      <c r="ABM1318"/>
      <c r="ABN1318"/>
      <c r="ABO1318"/>
      <c r="ABP1318"/>
      <c r="ABQ1318"/>
      <c r="ABR1318"/>
      <c r="ABS1318"/>
      <c r="ABT1318"/>
      <c r="ABU1318"/>
      <c r="ABV1318"/>
      <c r="ABW1318"/>
      <c r="ABX1318"/>
      <c r="ABY1318"/>
      <c r="ABZ1318"/>
      <c r="ACA1318"/>
      <c r="ACB1318"/>
      <c r="ACC1318"/>
      <c r="ACD1318"/>
      <c r="ACE1318"/>
      <c r="ACF1318"/>
      <c r="ACG1318"/>
      <c r="ACH1318"/>
      <c r="ACI1318"/>
      <c r="ACJ1318"/>
      <c r="ACK1318"/>
      <c r="ACL1318"/>
      <c r="ACM1318"/>
      <c r="ACN1318"/>
      <c r="ACO1318"/>
      <c r="ACP1318"/>
      <c r="ACQ1318"/>
      <c r="ACR1318"/>
      <c r="ACS1318"/>
      <c r="ACT1318"/>
      <c r="ACU1318"/>
      <c r="ACV1318"/>
      <c r="ACW1318"/>
      <c r="ACX1318"/>
      <c r="ACY1318"/>
      <c r="ACZ1318"/>
      <c r="ADA1318"/>
      <c r="ADB1318"/>
      <c r="ADC1318"/>
      <c r="ADD1318"/>
      <c r="ADE1318"/>
      <c r="ADF1318"/>
      <c r="ADG1318"/>
      <c r="ADH1318"/>
      <c r="ADI1318"/>
      <c r="ADJ1318"/>
      <c r="ADK1318"/>
      <c r="ADL1318"/>
      <c r="ADM1318"/>
      <c r="ADN1318"/>
      <c r="ADO1318"/>
      <c r="ADP1318"/>
      <c r="ADQ1318"/>
      <c r="ADR1318"/>
      <c r="ADS1318"/>
      <c r="ADT1318"/>
      <c r="ADU1318"/>
      <c r="ADV1318"/>
      <c r="ADW1318"/>
      <c r="ADX1318"/>
      <c r="ADY1318"/>
      <c r="ADZ1318"/>
      <c r="AEA1318"/>
      <c r="AEB1318"/>
      <c r="AEC1318"/>
      <c r="AED1318"/>
      <c r="AEE1318"/>
      <c r="AEF1318"/>
      <c r="AEG1318"/>
      <c r="AEH1318"/>
      <c r="AEI1318"/>
      <c r="AEJ1318"/>
      <c r="AEK1318"/>
      <c r="AEL1318"/>
      <c r="AEM1318"/>
      <c r="AEN1318"/>
      <c r="AEO1318"/>
      <c r="AEP1318"/>
      <c r="AEQ1318"/>
      <c r="AER1318"/>
      <c r="AES1318"/>
      <c r="AET1318"/>
      <c r="AEU1318"/>
      <c r="AEV1318"/>
      <c r="AEW1318"/>
      <c r="AEX1318"/>
      <c r="AEY1318"/>
      <c r="AEZ1318"/>
      <c r="AFA1318"/>
      <c r="AFB1318"/>
      <c r="AFC1318"/>
      <c r="AFD1318"/>
      <c r="AFE1318"/>
      <c r="AFF1318"/>
      <c r="AFG1318"/>
      <c r="AFH1318"/>
      <c r="AFI1318"/>
      <c r="AFJ1318"/>
      <c r="AFK1318"/>
      <c r="AFL1318"/>
      <c r="AFM1318"/>
      <c r="AFN1318"/>
      <c r="AFO1318"/>
      <c r="AFP1318"/>
      <c r="AFQ1318"/>
      <c r="AFR1318"/>
      <c r="AFS1318"/>
      <c r="AFT1318"/>
      <c r="AFU1318"/>
      <c r="AFV1318"/>
      <c r="AFW1318"/>
      <c r="AFX1318"/>
      <c r="AFY1318"/>
      <c r="AFZ1318"/>
      <c r="AGA1318"/>
      <c r="AGB1318"/>
      <c r="AGC1318"/>
      <c r="AGD1318"/>
      <c r="AGE1318"/>
      <c r="AGF1318"/>
      <c r="AGG1318"/>
      <c r="AGH1318"/>
      <c r="AGI1318"/>
      <c r="AGJ1318"/>
      <c r="AGK1318"/>
      <c r="AGL1318"/>
      <c r="AGM1318"/>
      <c r="AGN1318"/>
      <c r="AGO1318"/>
      <c r="AGP1318"/>
      <c r="AGQ1318"/>
      <c r="AGR1318"/>
      <c r="AGS1318"/>
      <c r="AGT1318"/>
      <c r="AGU1318"/>
      <c r="AGV1318"/>
      <c r="AGW1318"/>
      <c r="AGX1318"/>
      <c r="AGY1318"/>
      <c r="AGZ1318"/>
      <c r="AHA1318"/>
      <c r="AHB1318"/>
      <c r="AHC1318"/>
      <c r="AHD1318"/>
      <c r="AHE1318"/>
      <c r="AHF1318"/>
      <c r="AHG1318"/>
      <c r="AHH1318"/>
      <c r="AHI1318"/>
      <c r="AHJ1318"/>
      <c r="AHK1318"/>
      <c r="AHL1318"/>
      <c r="AHM1318"/>
      <c r="AHN1318"/>
      <c r="AHO1318"/>
      <c r="AHP1318"/>
      <c r="AHQ1318"/>
      <c r="AHR1318"/>
      <c r="AHS1318"/>
      <c r="AHT1318"/>
      <c r="AHU1318"/>
      <c r="AHV1318"/>
      <c r="AHW1318"/>
      <c r="AHX1318"/>
      <c r="AHY1318"/>
      <c r="AHZ1318"/>
      <c r="AIA1318"/>
      <c r="AIB1318"/>
      <c r="AIC1318"/>
      <c r="AID1318"/>
      <c r="AIE1318"/>
      <c r="AIF1318"/>
      <c r="AIG1318"/>
      <c r="AIH1318"/>
      <c r="AII1318"/>
      <c r="AIJ1318"/>
      <c r="AIK1318"/>
      <c r="AIL1318"/>
      <c r="AIM1318"/>
      <c r="AIN1318"/>
      <c r="AIO1318"/>
      <c r="AIP1318"/>
      <c r="AIQ1318"/>
      <c r="AIR1318"/>
      <c r="AIS1318"/>
      <c r="AIT1318"/>
      <c r="AIU1318"/>
      <c r="AIV1318"/>
      <c r="AIW1318"/>
      <c r="AIX1318"/>
      <c r="AIY1318"/>
      <c r="AIZ1318"/>
      <c r="AJA1318"/>
      <c r="AJB1318"/>
      <c r="AJC1318"/>
      <c r="AJD1318"/>
      <c r="AJE1318"/>
      <c r="AJF1318"/>
      <c r="AJG1318"/>
      <c r="AJH1318"/>
      <c r="AJI1318"/>
      <c r="AJJ1318"/>
      <c r="AJK1318"/>
      <c r="AJL1318"/>
      <c r="AJM1318"/>
      <c r="AJN1318"/>
      <c r="AJO1318"/>
      <c r="AJP1318"/>
      <c r="AJQ1318"/>
      <c r="AJR1318"/>
      <c r="AJS1318"/>
      <c r="AJT1318"/>
      <c r="AJU1318"/>
      <c r="AJV1318"/>
      <c r="AJW1318"/>
      <c r="AJX1318"/>
      <c r="AJY1318"/>
      <c r="AJZ1318"/>
      <c r="AKA1318"/>
      <c r="AKB1318"/>
      <c r="AKC1318"/>
      <c r="AKD1318"/>
      <c r="AKE1318"/>
      <c r="AKF1318"/>
      <c r="AKG1318"/>
      <c r="AKH1318"/>
      <c r="AKI1318"/>
      <c r="AKJ1318"/>
      <c r="AKK1318"/>
      <c r="AKL1318"/>
      <c r="AKM1318"/>
      <c r="AKN1318"/>
      <c r="AKO1318"/>
      <c r="AKP1318"/>
      <c r="AKQ1318"/>
      <c r="AKR1318"/>
      <c r="AKS1318"/>
      <c r="AKT1318"/>
      <c r="AKU1318"/>
      <c r="AKV1318"/>
      <c r="AKW1318"/>
      <c r="AKX1318"/>
      <c r="AKY1318"/>
      <c r="AKZ1318"/>
      <c r="ALA1318"/>
      <c r="ALB1318"/>
      <c r="ALC1318"/>
      <c r="ALD1318"/>
      <c r="ALE1318"/>
      <c r="ALF1318"/>
      <c r="ALG1318"/>
      <c r="ALH1318"/>
      <c r="ALI1318"/>
      <c r="ALJ1318"/>
      <c r="ALK1318"/>
      <c r="ALL1318"/>
      <c r="ALM1318"/>
      <c r="ALN1318"/>
      <c r="ALO1318"/>
      <c r="ALP1318"/>
      <c r="ALQ1318"/>
      <c r="ALR1318"/>
      <c r="ALS1318"/>
      <c r="ALT1318"/>
    </row>
    <row r="1319" spans="3:1008" x14ac:dyDescent="0.15">
      <c r="C1319"/>
      <c r="F1319"/>
      <c r="H1319"/>
      <c r="I1319"/>
      <c r="J1319"/>
      <c r="K1319"/>
      <c r="L1319"/>
      <c r="M1319"/>
      <c r="N1319"/>
      <c r="O1319"/>
      <c r="P1319"/>
      <c r="Q1319"/>
      <c r="R1319"/>
      <c r="S1319"/>
      <c r="T1319"/>
      <c r="U1319"/>
      <c r="V1319"/>
      <c r="W1319"/>
      <c r="X1319"/>
      <c r="Y1319"/>
      <c r="Z1319"/>
      <c r="AA1319"/>
      <c r="AB1319"/>
      <c r="AC1319"/>
      <c r="AD1319"/>
      <c r="AE1319"/>
      <c r="AF1319"/>
      <c r="AG1319"/>
      <c r="AH1319"/>
      <c r="AI1319"/>
      <c r="AJ1319"/>
      <c r="AK1319"/>
      <c r="AL1319"/>
      <c r="AM1319"/>
      <c r="AN1319"/>
      <c r="AO1319"/>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c r="BR1319"/>
      <c r="BS1319"/>
      <c r="BT1319"/>
      <c r="BU1319"/>
      <c r="BV1319"/>
      <c r="BW1319"/>
      <c r="BX1319"/>
      <c r="BY1319"/>
      <c r="BZ1319"/>
      <c r="CA1319"/>
      <c r="CB1319"/>
      <c r="CC1319"/>
      <c r="CD1319"/>
      <c r="CE1319"/>
      <c r="CF1319"/>
      <c r="CG1319"/>
      <c r="CH1319"/>
      <c r="CI1319"/>
      <c r="CJ1319"/>
      <c r="CK1319"/>
      <c r="CL1319"/>
      <c r="CM1319"/>
      <c r="CN1319"/>
      <c r="CO1319"/>
      <c r="CP1319"/>
      <c r="CQ1319"/>
      <c r="CR1319"/>
      <c r="CS1319"/>
      <c r="CT1319"/>
      <c r="CU1319"/>
      <c r="CV1319"/>
      <c r="CW1319"/>
      <c r="CX1319"/>
      <c r="CY1319"/>
      <c r="CZ1319"/>
      <c r="DA1319"/>
      <c r="DB1319"/>
      <c r="DC1319"/>
      <c r="DD1319"/>
      <c r="DE1319"/>
      <c r="DF1319"/>
      <c r="DG1319"/>
      <c r="DH1319"/>
      <c r="DI1319"/>
      <c r="DJ1319"/>
      <c r="DK1319"/>
      <c r="DL1319"/>
      <c r="DM1319"/>
      <c r="DN1319"/>
      <c r="DO1319"/>
      <c r="DP1319"/>
      <c r="DQ1319"/>
      <c r="DR1319"/>
      <c r="DS1319"/>
      <c r="DT1319"/>
      <c r="DU1319"/>
      <c r="DV1319"/>
      <c r="DW1319"/>
      <c r="DX1319"/>
      <c r="DY1319"/>
      <c r="DZ1319"/>
      <c r="EA1319"/>
      <c r="EB1319"/>
      <c r="EC1319"/>
      <c r="ED1319"/>
      <c r="EE1319"/>
      <c r="EF1319"/>
      <c r="EG1319"/>
      <c r="EH1319"/>
      <c r="EI1319"/>
      <c r="EJ1319"/>
      <c r="EK1319"/>
      <c r="EL1319"/>
      <c r="EM1319"/>
      <c r="EN1319"/>
      <c r="EO1319"/>
      <c r="EP1319"/>
      <c r="EQ1319"/>
      <c r="ER1319"/>
      <c r="ES1319"/>
      <c r="ET1319"/>
      <c r="EU1319"/>
      <c r="EV1319"/>
      <c r="EW1319"/>
      <c r="EX1319"/>
      <c r="EY1319"/>
      <c r="EZ1319"/>
      <c r="FA1319"/>
      <c r="FB1319"/>
      <c r="FC1319"/>
      <c r="FD1319"/>
      <c r="FE1319"/>
      <c r="FF1319"/>
      <c r="FG1319"/>
      <c r="FH1319"/>
      <c r="FI1319"/>
      <c r="FJ1319"/>
      <c r="FK1319"/>
      <c r="FL1319"/>
      <c r="FM1319"/>
      <c r="FN1319"/>
      <c r="FO1319"/>
      <c r="FP1319"/>
      <c r="FQ1319"/>
      <c r="FR1319"/>
      <c r="FS1319"/>
      <c r="FT1319"/>
      <c r="FU1319"/>
      <c r="FV1319"/>
      <c r="FW1319"/>
      <c r="FX1319"/>
      <c r="FY1319"/>
      <c r="FZ1319"/>
      <c r="GA1319"/>
      <c r="GB1319"/>
      <c r="GC1319"/>
      <c r="GD1319"/>
      <c r="GE1319"/>
      <c r="GF1319"/>
      <c r="GG1319"/>
      <c r="GH1319"/>
      <c r="GI1319"/>
      <c r="GJ1319"/>
      <c r="GK1319"/>
      <c r="GL1319"/>
      <c r="GM1319"/>
      <c r="GN1319"/>
      <c r="GO1319"/>
      <c r="GP1319"/>
      <c r="GQ1319"/>
      <c r="GR1319"/>
      <c r="GS1319"/>
      <c r="GT1319"/>
      <c r="GU1319"/>
      <c r="GV1319"/>
      <c r="GW1319"/>
      <c r="GX1319"/>
      <c r="GY1319"/>
      <c r="GZ1319"/>
      <c r="HA1319"/>
      <c r="HB1319"/>
      <c r="HC1319"/>
      <c r="HD1319"/>
      <c r="HE1319"/>
      <c r="HF1319"/>
      <c r="HG1319"/>
      <c r="HH1319"/>
      <c r="HI1319"/>
      <c r="HJ1319"/>
      <c r="HK1319"/>
      <c r="HL1319"/>
      <c r="HM1319"/>
      <c r="HN1319"/>
      <c r="HO1319"/>
      <c r="HP1319"/>
      <c r="HQ1319"/>
      <c r="HR1319"/>
      <c r="HS1319"/>
      <c r="HT1319"/>
      <c r="HU1319"/>
      <c r="HV1319"/>
      <c r="HW1319"/>
      <c r="HX1319"/>
      <c r="HY1319"/>
      <c r="HZ1319"/>
      <c r="IA1319"/>
      <c r="IB1319"/>
      <c r="IC1319"/>
      <c r="ID1319"/>
      <c r="IE1319"/>
      <c r="IF1319"/>
      <c r="IG1319"/>
      <c r="IH1319"/>
      <c r="II1319"/>
      <c r="IJ1319"/>
      <c r="IK1319"/>
      <c r="IL1319"/>
      <c r="IM1319"/>
      <c r="IN1319"/>
      <c r="IO1319"/>
      <c r="IP1319"/>
      <c r="IQ1319"/>
      <c r="IR1319"/>
      <c r="IS1319"/>
      <c r="IT1319"/>
      <c r="IU1319"/>
      <c r="IV1319"/>
      <c r="IW1319"/>
      <c r="IX1319"/>
      <c r="IY1319"/>
      <c r="IZ1319"/>
      <c r="JA1319"/>
      <c r="JB1319"/>
      <c r="JC1319"/>
      <c r="JD1319"/>
      <c r="JE1319"/>
      <c r="JF1319"/>
      <c r="JG1319"/>
      <c r="JH1319"/>
      <c r="JI1319"/>
      <c r="JJ1319"/>
      <c r="JK1319"/>
      <c r="JL1319"/>
      <c r="JM1319"/>
      <c r="JN1319"/>
      <c r="JO1319"/>
      <c r="JP1319"/>
      <c r="JQ1319"/>
      <c r="JR1319"/>
      <c r="JS1319"/>
      <c r="JT1319"/>
      <c r="JU1319"/>
      <c r="JV1319"/>
      <c r="JW1319"/>
      <c r="JX1319"/>
      <c r="JY1319"/>
      <c r="JZ1319"/>
      <c r="KA1319"/>
      <c r="KB1319"/>
      <c r="KC1319"/>
      <c r="KD1319"/>
      <c r="KE1319"/>
      <c r="KF1319"/>
      <c r="KG1319"/>
      <c r="KH1319"/>
      <c r="KI1319"/>
      <c r="KJ1319"/>
      <c r="KK1319"/>
      <c r="KL1319"/>
      <c r="KM1319"/>
      <c r="KN1319"/>
      <c r="KO1319"/>
      <c r="KP1319"/>
      <c r="KQ1319"/>
      <c r="KR1319"/>
      <c r="KS1319"/>
      <c r="KT1319"/>
      <c r="KU1319"/>
      <c r="KV1319"/>
      <c r="KW1319"/>
      <c r="KX1319"/>
      <c r="KY1319"/>
      <c r="KZ1319"/>
      <c r="LA1319"/>
      <c r="LB1319"/>
      <c r="LC1319"/>
      <c r="LD1319"/>
      <c r="LE1319"/>
      <c r="LF1319"/>
      <c r="LG1319"/>
      <c r="LH1319"/>
      <c r="LI1319"/>
      <c r="LJ1319"/>
      <c r="LK1319"/>
      <c r="LL1319"/>
      <c r="LM1319"/>
      <c r="LN1319"/>
      <c r="LO1319"/>
      <c r="LP1319"/>
      <c r="LQ1319"/>
      <c r="LR1319"/>
      <c r="LS1319"/>
      <c r="LT1319"/>
      <c r="LU1319"/>
      <c r="LV1319"/>
      <c r="LW1319"/>
      <c r="LX1319"/>
      <c r="LY1319"/>
      <c r="LZ1319"/>
      <c r="MA1319"/>
      <c r="MB1319"/>
      <c r="MC1319"/>
      <c r="MD1319"/>
      <c r="ME1319"/>
      <c r="MF1319"/>
      <c r="MG1319"/>
      <c r="MH1319"/>
      <c r="MI1319"/>
      <c r="MJ1319"/>
      <c r="MK1319"/>
      <c r="ML1319"/>
      <c r="MM1319"/>
      <c r="MN1319"/>
      <c r="MO1319"/>
      <c r="MP1319"/>
      <c r="MQ1319"/>
      <c r="MR1319"/>
      <c r="MS1319"/>
      <c r="MT1319"/>
      <c r="MU1319"/>
      <c r="MV1319"/>
      <c r="MW1319"/>
      <c r="MX1319"/>
      <c r="MY1319"/>
      <c r="MZ1319"/>
      <c r="NA1319"/>
      <c r="NB1319"/>
      <c r="NC1319"/>
      <c r="ND1319"/>
      <c r="NE1319"/>
      <c r="NF1319"/>
      <c r="NG1319"/>
      <c r="NH1319"/>
      <c r="NI1319"/>
      <c r="NJ1319"/>
      <c r="NK1319"/>
      <c r="NL1319"/>
      <c r="NM1319"/>
      <c r="NN1319"/>
      <c r="NO1319"/>
      <c r="NP1319"/>
      <c r="NQ1319"/>
      <c r="NR1319"/>
      <c r="NS1319"/>
      <c r="NT1319"/>
      <c r="NU1319"/>
      <c r="NV1319"/>
      <c r="NW1319"/>
      <c r="NX1319"/>
      <c r="NY1319"/>
      <c r="NZ1319"/>
      <c r="OA1319"/>
      <c r="OB1319"/>
      <c r="OC1319"/>
      <c r="OD1319"/>
      <c r="OE1319"/>
      <c r="OF1319"/>
      <c r="OG1319"/>
      <c r="OH1319"/>
      <c r="OI1319"/>
      <c r="OJ1319"/>
      <c r="OK1319"/>
      <c r="OL1319"/>
      <c r="OM1319"/>
      <c r="ON1319"/>
      <c r="OO1319"/>
      <c r="OP1319"/>
      <c r="OQ1319"/>
      <c r="OR1319"/>
      <c r="OS1319"/>
      <c r="OT1319"/>
      <c r="OU1319"/>
      <c r="OV1319"/>
      <c r="OW1319"/>
      <c r="OX1319"/>
      <c r="OY1319"/>
      <c r="OZ1319"/>
      <c r="PA1319"/>
      <c r="PB1319"/>
      <c r="PC1319"/>
      <c r="PD1319"/>
      <c r="PE1319"/>
      <c r="PF1319"/>
      <c r="PG1319"/>
      <c r="PH1319"/>
      <c r="PI1319"/>
      <c r="PJ1319"/>
      <c r="PK1319"/>
      <c r="PL1319"/>
      <c r="PM1319"/>
      <c r="PN1319"/>
      <c r="PO1319"/>
      <c r="PP1319"/>
      <c r="PQ1319"/>
      <c r="PR1319"/>
      <c r="PS1319"/>
      <c r="PT1319"/>
      <c r="PU1319"/>
      <c r="PV1319"/>
      <c r="PW1319"/>
      <c r="PX1319"/>
      <c r="PY1319"/>
      <c r="PZ1319"/>
      <c r="QA1319"/>
      <c r="QB1319"/>
      <c r="QC1319"/>
      <c r="QD1319"/>
      <c r="QE1319"/>
      <c r="QF1319"/>
      <c r="QG1319"/>
      <c r="QH1319"/>
      <c r="QI1319"/>
      <c r="QJ1319"/>
      <c r="QK1319"/>
      <c r="QL1319"/>
      <c r="QM1319"/>
      <c r="QN1319"/>
      <c r="QO1319"/>
      <c r="QP1319"/>
      <c r="QQ1319"/>
      <c r="QR1319"/>
      <c r="QS1319"/>
      <c r="QT1319"/>
      <c r="QU1319"/>
      <c r="QV1319"/>
      <c r="QW1319"/>
      <c r="QX1319"/>
      <c r="QY1319"/>
      <c r="QZ1319"/>
      <c r="RA1319"/>
      <c r="RB1319"/>
      <c r="RC1319"/>
      <c r="RD1319"/>
      <c r="RE1319"/>
      <c r="RF1319"/>
      <c r="RG1319"/>
      <c r="RH1319"/>
      <c r="RI1319"/>
      <c r="RJ1319"/>
      <c r="RK1319"/>
      <c r="RL1319"/>
      <c r="RM1319"/>
      <c r="RN1319"/>
      <c r="RO1319"/>
      <c r="RP1319"/>
      <c r="RQ1319"/>
      <c r="RR1319"/>
      <c r="RS1319"/>
      <c r="RT1319"/>
      <c r="RU1319"/>
      <c r="RV1319"/>
      <c r="RW1319"/>
      <c r="RX1319"/>
      <c r="RY1319"/>
      <c r="RZ1319"/>
      <c r="SA1319"/>
      <c r="SB1319"/>
      <c r="SC1319"/>
      <c r="SD1319"/>
      <c r="SE1319"/>
      <c r="SF1319"/>
      <c r="SG1319"/>
      <c r="SH1319"/>
      <c r="SI1319"/>
      <c r="SJ1319"/>
      <c r="SK1319"/>
      <c r="SL1319"/>
      <c r="SM1319"/>
      <c r="SN1319"/>
      <c r="SO1319"/>
      <c r="SP1319"/>
      <c r="SQ1319"/>
      <c r="SR1319"/>
      <c r="SS1319"/>
      <c r="ST1319"/>
      <c r="SU1319"/>
      <c r="SV1319"/>
      <c r="SW1319"/>
      <c r="SX1319"/>
      <c r="SY1319"/>
      <c r="SZ1319"/>
      <c r="TA1319"/>
      <c r="TB1319"/>
      <c r="TC1319"/>
      <c r="TD1319"/>
      <c r="TE1319"/>
      <c r="TF1319"/>
      <c r="TG1319"/>
      <c r="TH1319"/>
      <c r="TI1319"/>
      <c r="TJ1319"/>
      <c r="TK1319"/>
      <c r="TL1319"/>
      <c r="TM1319"/>
      <c r="TN1319"/>
      <c r="TO1319"/>
      <c r="TP1319"/>
      <c r="TQ1319"/>
      <c r="TR1319"/>
      <c r="TS1319"/>
      <c r="TT1319"/>
      <c r="TU1319"/>
      <c r="TV1319"/>
      <c r="TW1319"/>
      <c r="TX1319"/>
      <c r="TY1319"/>
      <c r="TZ1319"/>
      <c r="UA1319"/>
      <c r="UB1319"/>
      <c r="UC1319"/>
      <c r="UD1319"/>
      <c r="UE1319"/>
      <c r="UF1319"/>
      <c r="UG1319"/>
      <c r="UH1319"/>
      <c r="UI1319"/>
      <c r="UJ1319"/>
      <c r="UK1319"/>
      <c r="UL1319"/>
      <c r="UM1319"/>
      <c r="UN1319"/>
      <c r="UO1319"/>
      <c r="UP1319"/>
      <c r="UQ1319"/>
      <c r="UR1319"/>
      <c r="US1319"/>
      <c r="UT1319"/>
      <c r="UU1319"/>
      <c r="UV1319"/>
      <c r="UW1319"/>
      <c r="UX1319"/>
      <c r="UY1319"/>
      <c r="UZ1319"/>
      <c r="VA1319"/>
      <c r="VB1319"/>
      <c r="VC1319"/>
      <c r="VD1319"/>
      <c r="VE1319"/>
      <c r="VF1319"/>
      <c r="VG1319"/>
      <c r="VH1319"/>
      <c r="VI1319"/>
      <c r="VJ1319"/>
      <c r="VK1319"/>
      <c r="VL1319"/>
      <c r="VM1319"/>
      <c r="VN1319"/>
      <c r="VO1319"/>
      <c r="VP1319"/>
      <c r="VQ1319"/>
      <c r="VR1319"/>
      <c r="VS1319"/>
      <c r="VT1319"/>
      <c r="VU1319"/>
      <c r="VV1319"/>
      <c r="VW1319"/>
      <c r="VX1319"/>
      <c r="VY1319"/>
      <c r="VZ1319"/>
      <c r="WA1319"/>
      <c r="WB1319"/>
      <c r="WC1319"/>
      <c r="WD1319"/>
      <c r="WE1319"/>
      <c r="WF1319"/>
      <c r="WG1319"/>
      <c r="WH1319"/>
      <c r="WI1319"/>
      <c r="WJ1319"/>
      <c r="WK1319"/>
      <c r="WL1319"/>
      <c r="WM1319"/>
      <c r="WN1319"/>
      <c r="WO1319"/>
      <c r="WP1319"/>
      <c r="WQ1319"/>
      <c r="WR1319"/>
      <c r="WS1319"/>
      <c r="WT1319"/>
      <c r="WU1319"/>
      <c r="WV1319"/>
      <c r="WW1319"/>
      <c r="WX1319"/>
      <c r="WY1319"/>
      <c r="WZ1319"/>
      <c r="XA1319"/>
      <c r="XB1319"/>
      <c r="XC1319"/>
      <c r="XD1319"/>
      <c r="XE1319"/>
      <c r="XF1319"/>
      <c r="XG1319"/>
      <c r="XH1319"/>
      <c r="XI1319"/>
      <c r="XJ1319"/>
      <c r="XK1319"/>
      <c r="XL1319"/>
      <c r="XM1319"/>
      <c r="XN1319"/>
      <c r="XO1319"/>
      <c r="XP1319"/>
      <c r="XQ1319"/>
      <c r="XR1319"/>
      <c r="XS1319"/>
      <c r="XT1319"/>
      <c r="XU1319"/>
      <c r="XV1319"/>
      <c r="XW1319"/>
      <c r="XX1319"/>
      <c r="XY1319"/>
      <c r="XZ1319"/>
      <c r="YA1319"/>
      <c r="YB1319"/>
      <c r="YC1319"/>
      <c r="YD1319"/>
      <c r="YE1319"/>
      <c r="YF1319"/>
      <c r="YG1319"/>
      <c r="YH1319"/>
      <c r="YI1319"/>
      <c r="YJ1319"/>
      <c r="YK1319"/>
      <c r="YL1319"/>
      <c r="YM1319"/>
      <c r="YN1319"/>
      <c r="YO1319"/>
      <c r="YP1319"/>
      <c r="YQ1319"/>
      <c r="YR1319"/>
      <c r="YS1319"/>
      <c r="YT1319"/>
      <c r="YU1319"/>
      <c r="YV1319"/>
      <c r="YW1319"/>
      <c r="YX1319"/>
      <c r="YY1319"/>
      <c r="YZ1319"/>
      <c r="ZA1319"/>
      <c r="ZB1319"/>
      <c r="ZC1319"/>
      <c r="ZD1319"/>
      <c r="ZE1319"/>
      <c r="ZF1319"/>
      <c r="ZG1319"/>
      <c r="ZH1319"/>
      <c r="ZI1319"/>
      <c r="ZJ1319"/>
      <c r="ZK1319"/>
      <c r="ZL1319"/>
      <c r="ZM1319"/>
      <c r="ZN1319"/>
      <c r="ZO1319"/>
      <c r="ZP1319"/>
      <c r="ZQ1319"/>
      <c r="ZR1319"/>
      <c r="ZS1319"/>
      <c r="ZT1319"/>
      <c r="ZU1319"/>
      <c r="ZV1319"/>
      <c r="ZW1319"/>
      <c r="ZX1319"/>
      <c r="ZY1319"/>
      <c r="ZZ1319"/>
      <c r="AAA1319"/>
      <c r="AAB1319"/>
      <c r="AAC1319"/>
      <c r="AAD1319"/>
      <c r="AAE1319"/>
      <c r="AAF1319"/>
      <c r="AAG1319"/>
      <c r="AAH1319"/>
      <c r="AAI1319"/>
      <c r="AAJ1319"/>
      <c r="AAK1319"/>
      <c r="AAL1319"/>
      <c r="AAM1319"/>
      <c r="AAN1319"/>
      <c r="AAO1319"/>
      <c r="AAP1319"/>
      <c r="AAQ1319"/>
      <c r="AAR1319"/>
      <c r="AAS1319"/>
      <c r="AAT1319"/>
      <c r="AAU1319"/>
      <c r="AAV1319"/>
      <c r="AAW1319"/>
      <c r="AAX1319"/>
      <c r="AAY1319"/>
      <c r="AAZ1319"/>
      <c r="ABA1319"/>
      <c r="ABB1319"/>
      <c r="ABC1319"/>
      <c r="ABD1319"/>
      <c r="ABE1319"/>
      <c r="ABF1319"/>
      <c r="ABG1319"/>
      <c r="ABH1319"/>
      <c r="ABI1319"/>
      <c r="ABJ1319"/>
      <c r="ABK1319"/>
      <c r="ABL1319"/>
      <c r="ABM1319"/>
      <c r="ABN1319"/>
      <c r="ABO1319"/>
      <c r="ABP1319"/>
      <c r="ABQ1319"/>
      <c r="ABR1319"/>
      <c r="ABS1319"/>
      <c r="ABT1319"/>
      <c r="ABU1319"/>
      <c r="ABV1319"/>
      <c r="ABW1319"/>
      <c r="ABX1319"/>
      <c r="ABY1319"/>
      <c r="ABZ1319"/>
      <c r="ACA1319"/>
      <c r="ACB1319"/>
      <c r="ACC1319"/>
      <c r="ACD1319"/>
      <c r="ACE1319"/>
      <c r="ACF1319"/>
      <c r="ACG1319"/>
      <c r="ACH1319"/>
      <c r="ACI1319"/>
      <c r="ACJ1319"/>
      <c r="ACK1319"/>
      <c r="ACL1319"/>
      <c r="ACM1319"/>
      <c r="ACN1319"/>
      <c r="ACO1319"/>
      <c r="ACP1319"/>
      <c r="ACQ1319"/>
      <c r="ACR1319"/>
      <c r="ACS1319"/>
      <c r="ACT1319"/>
      <c r="ACU1319"/>
      <c r="ACV1319"/>
      <c r="ACW1319"/>
      <c r="ACX1319"/>
      <c r="ACY1319"/>
      <c r="ACZ1319"/>
      <c r="ADA1319"/>
      <c r="ADB1319"/>
      <c r="ADC1319"/>
      <c r="ADD1319"/>
      <c r="ADE1319"/>
      <c r="ADF1319"/>
      <c r="ADG1319"/>
      <c r="ADH1319"/>
      <c r="ADI1319"/>
      <c r="ADJ1319"/>
      <c r="ADK1319"/>
      <c r="ADL1319"/>
      <c r="ADM1319"/>
      <c r="ADN1319"/>
      <c r="ADO1319"/>
      <c r="ADP1319"/>
      <c r="ADQ1319"/>
      <c r="ADR1319"/>
      <c r="ADS1319"/>
      <c r="ADT1319"/>
      <c r="ADU1319"/>
      <c r="ADV1319"/>
      <c r="ADW1319"/>
      <c r="ADX1319"/>
      <c r="ADY1319"/>
      <c r="ADZ1319"/>
      <c r="AEA1319"/>
      <c r="AEB1319"/>
      <c r="AEC1319"/>
      <c r="AED1319"/>
      <c r="AEE1319"/>
      <c r="AEF1319"/>
      <c r="AEG1319"/>
      <c r="AEH1319"/>
      <c r="AEI1319"/>
      <c r="AEJ1319"/>
      <c r="AEK1319"/>
      <c r="AEL1319"/>
      <c r="AEM1319"/>
      <c r="AEN1319"/>
      <c r="AEO1319"/>
      <c r="AEP1319"/>
      <c r="AEQ1319"/>
      <c r="AER1319"/>
      <c r="AES1319"/>
      <c r="AET1319"/>
      <c r="AEU1319"/>
      <c r="AEV1319"/>
      <c r="AEW1319"/>
      <c r="AEX1319"/>
      <c r="AEY1319"/>
      <c r="AEZ1319"/>
      <c r="AFA1319"/>
      <c r="AFB1319"/>
      <c r="AFC1319"/>
      <c r="AFD1319"/>
      <c r="AFE1319"/>
      <c r="AFF1319"/>
      <c r="AFG1319"/>
      <c r="AFH1319"/>
      <c r="AFI1319"/>
      <c r="AFJ1319"/>
      <c r="AFK1319"/>
      <c r="AFL1319"/>
      <c r="AFM1319"/>
      <c r="AFN1319"/>
      <c r="AFO1319"/>
      <c r="AFP1319"/>
      <c r="AFQ1319"/>
      <c r="AFR1319"/>
      <c r="AFS1319"/>
      <c r="AFT1319"/>
      <c r="AFU1319"/>
      <c r="AFV1319"/>
      <c r="AFW1319"/>
      <c r="AFX1319"/>
      <c r="AFY1319"/>
      <c r="AFZ1319"/>
      <c r="AGA1319"/>
      <c r="AGB1319"/>
      <c r="AGC1319"/>
      <c r="AGD1319"/>
      <c r="AGE1319"/>
      <c r="AGF1319"/>
      <c r="AGG1319"/>
      <c r="AGH1319"/>
      <c r="AGI1319"/>
      <c r="AGJ1319"/>
      <c r="AGK1319"/>
      <c r="AGL1319"/>
      <c r="AGM1319"/>
      <c r="AGN1319"/>
      <c r="AGO1319"/>
      <c r="AGP1319"/>
      <c r="AGQ1319"/>
      <c r="AGR1319"/>
      <c r="AGS1319"/>
      <c r="AGT1319"/>
      <c r="AGU1319"/>
      <c r="AGV1319"/>
      <c r="AGW1319"/>
      <c r="AGX1319"/>
      <c r="AGY1319"/>
      <c r="AGZ1319"/>
      <c r="AHA1319"/>
      <c r="AHB1319"/>
      <c r="AHC1319"/>
      <c r="AHD1319"/>
      <c r="AHE1319"/>
      <c r="AHF1319"/>
      <c r="AHG1319"/>
      <c r="AHH1319"/>
      <c r="AHI1319"/>
      <c r="AHJ1319"/>
      <c r="AHK1319"/>
      <c r="AHL1319"/>
      <c r="AHM1319"/>
      <c r="AHN1319"/>
      <c r="AHO1319"/>
      <c r="AHP1319"/>
      <c r="AHQ1319"/>
      <c r="AHR1319"/>
      <c r="AHS1319"/>
      <c r="AHT1319"/>
      <c r="AHU1319"/>
      <c r="AHV1319"/>
      <c r="AHW1319"/>
      <c r="AHX1319"/>
      <c r="AHY1319"/>
      <c r="AHZ1319"/>
      <c r="AIA1319"/>
      <c r="AIB1319"/>
      <c r="AIC1319"/>
      <c r="AID1319"/>
      <c r="AIE1319"/>
      <c r="AIF1319"/>
      <c r="AIG1319"/>
      <c r="AIH1319"/>
      <c r="AII1319"/>
      <c r="AIJ1319"/>
      <c r="AIK1319"/>
      <c r="AIL1319"/>
      <c r="AIM1319"/>
      <c r="AIN1319"/>
      <c r="AIO1319"/>
      <c r="AIP1319"/>
      <c r="AIQ1319"/>
      <c r="AIR1319"/>
      <c r="AIS1319"/>
      <c r="AIT1319"/>
      <c r="AIU1319"/>
      <c r="AIV1319"/>
      <c r="AIW1319"/>
      <c r="AIX1319"/>
      <c r="AIY1319"/>
      <c r="AIZ1319"/>
      <c r="AJA1319"/>
      <c r="AJB1319"/>
      <c r="AJC1319"/>
      <c r="AJD1319"/>
      <c r="AJE1319"/>
      <c r="AJF1319"/>
      <c r="AJG1319"/>
      <c r="AJH1319"/>
      <c r="AJI1319"/>
      <c r="AJJ1319"/>
      <c r="AJK1319"/>
      <c r="AJL1319"/>
      <c r="AJM1319"/>
      <c r="AJN1319"/>
      <c r="AJO1319"/>
      <c r="AJP1319"/>
      <c r="AJQ1319"/>
      <c r="AJR1319"/>
      <c r="AJS1319"/>
      <c r="AJT1319"/>
      <c r="AJU1319"/>
      <c r="AJV1319"/>
      <c r="AJW1319"/>
      <c r="AJX1319"/>
      <c r="AJY1319"/>
      <c r="AJZ1319"/>
      <c r="AKA1319"/>
      <c r="AKB1319"/>
      <c r="AKC1319"/>
      <c r="AKD1319"/>
      <c r="AKE1319"/>
      <c r="AKF1319"/>
      <c r="AKG1319"/>
      <c r="AKH1319"/>
      <c r="AKI1319"/>
      <c r="AKJ1319"/>
      <c r="AKK1319"/>
      <c r="AKL1319"/>
      <c r="AKM1319"/>
      <c r="AKN1319"/>
      <c r="AKO1319"/>
      <c r="AKP1319"/>
      <c r="AKQ1319"/>
      <c r="AKR1319"/>
      <c r="AKS1319"/>
      <c r="AKT1319"/>
      <c r="AKU1319"/>
      <c r="AKV1319"/>
      <c r="AKW1319"/>
      <c r="AKX1319"/>
      <c r="AKY1319"/>
      <c r="AKZ1319"/>
      <c r="ALA1319"/>
      <c r="ALB1319"/>
      <c r="ALC1319"/>
      <c r="ALD1319"/>
      <c r="ALE1319"/>
      <c r="ALF1319"/>
      <c r="ALG1319"/>
      <c r="ALH1319"/>
      <c r="ALI1319"/>
      <c r="ALJ1319"/>
      <c r="ALK1319"/>
      <c r="ALL1319"/>
      <c r="ALM1319"/>
      <c r="ALN1319"/>
      <c r="ALO1319"/>
      <c r="ALP1319"/>
      <c r="ALQ1319"/>
      <c r="ALR1319"/>
      <c r="ALS1319"/>
      <c r="ALT1319"/>
    </row>
  </sheetData>
  <conditionalFormatting sqref="F9:F187 F189:F197 F199:F340 E250 F342:F350">
    <cfRule type="cellIs" dxfId="3" priority="2" operator="equal">
      <formula>INDIRECT(ADDRESS(ROW()-1,COLUMN()))</formula>
    </cfRule>
  </conditionalFormatting>
  <conditionalFormatting sqref="F381">
    <cfRule type="cellIs" dxfId="2" priority="3" operator="equal">
      <formula>INDIRECT(ADDRESS(ROW()-1,COLUMN()))</formula>
    </cfRule>
  </conditionalFormatting>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DEDA7-521B-E940-991A-C9F436FCCD7A}">
  <dimension ref="A1:A15"/>
  <sheetViews>
    <sheetView workbookViewId="0">
      <selection sqref="A1:A15"/>
    </sheetView>
  </sheetViews>
  <sheetFormatPr baseColWidth="10" defaultRowHeight="13" x14ac:dyDescent="0.15"/>
  <sheetData>
    <row r="1" spans="1:1" x14ac:dyDescent="0.15">
      <c r="A1" s="31" t="s">
        <v>4073</v>
      </c>
    </row>
    <row r="2" spans="1:1" x14ac:dyDescent="0.15">
      <c r="A2" s="8" t="s">
        <v>4074</v>
      </c>
    </row>
    <row r="3" spans="1:1" x14ac:dyDescent="0.15">
      <c r="A3" s="8" t="s">
        <v>4075</v>
      </c>
    </row>
    <row r="4" spans="1:1" x14ac:dyDescent="0.15">
      <c r="A4" s="8" t="s">
        <v>4076</v>
      </c>
    </row>
    <row r="5" spans="1:1" x14ac:dyDescent="0.15">
      <c r="A5" s="8" t="s">
        <v>4077</v>
      </c>
    </row>
    <row r="6" spans="1:1" x14ac:dyDescent="0.15">
      <c r="A6" s="8" t="s">
        <v>4078</v>
      </c>
    </row>
    <row r="7" spans="1:1" x14ac:dyDescent="0.15">
      <c r="A7" s="8" t="s">
        <v>3977</v>
      </c>
    </row>
    <row r="8" spans="1:1" x14ac:dyDescent="0.15">
      <c r="A8" s="8" t="s">
        <v>3975</v>
      </c>
    </row>
    <row r="9" spans="1:1" x14ac:dyDescent="0.15">
      <c r="A9" s="8" t="s">
        <v>3980</v>
      </c>
    </row>
    <row r="10" spans="1:1" x14ac:dyDescent="0.15">
      <c r="A10" s="8" t="s">
        <v>4079</v>
      </c>
    </row>
    <row r="11" spans="1:1" x14ac:dyDescent="0.15">
      <c r="A11" s="8" t="s">
        <v>4080</v>
      </c>
    </row>
    <row r="12" spans="1:1" x14ac:dyDescent="0.15">
      <c r="A12" s="8" t="s">
        <v>1170</v>
      </c>
    </row>
    <row r="13" spans="1:1" x14ac:dyDescent="0.15">
      <c r="A13" s="8" t="s">
        <v>4081</v>
      </c>
    </row>
    <row r="14" spans="1:1" x14ac:dyDescent="0.15">
      <c r="A14" s="8" t="s">
        <v>4082</v>
      </c>
    </row>
    <row r="15" spans="1:1" x14ac:dyDescent="0.15">
      <c r="A15" s="8" t="s">
        <v>4083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04B9C-C859-AA4A-82A0-0191B0A5431A}">
  <dimension ref="A2:AMH6"/>
  <sheetViews>
    <sheetView workbookViewId="0">
      <selection activeCell="C18" sqref="C18"/>
    </sheetView>
  </sheetViews>
  <sheetFormatPr baseColWidth="10" defaultRowHeight="13" x14ac:dyDescent="0.15"/>
  <sheetData>
    <row r="2" spans="1:1022" x14ac:dyDescent="0.15">
      <c r="A2" s="8" t="s">
        <v>2130</v>
      </c>
      <c r="B2" s="8" t="s">
        <v>158</v>
      </c>
      <c r="C2" s="8" t="str">
        <f>B2&amp;":"&amp;A2</f>
        <v>att_organism:UP000000589</v>
      </c>
      <c r="D2" s="8" t="s">
        <v>2131</v>
      </c>
      <c r="E2" s="8" t="s">
        <v>2132</v>
      </c>
      <c r="F2" s="8" t="s">
        <v>2133</v>
      </c>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8"/>
      <c r="IL2" s="8"/>
      <c r="IM2" s="8"/>
      <c r="IN2" s="8"/>
      <c r="IO2" s="8"/>
      <c r="IP2" s="8"/>
      <c r="IQ2" s="8"/>
      <c r="IR2" s="8"/>
      <c r="IS2" s="8"/>
      <c r="IT2" s="8"/>
      <c r="IU2" s="8"/>
      <c r="IV2" s="8"/>
      <c r="IW2" s="8"/>
      <c r="IX2" s="8"/>
      <c r="IY2" s="8"/>
      <c r="IZ2" s="8"/>
      <c r="JA2" s="8"/>
      <c r="JB2" s="8"/>
      <c r="JC2" s="8"/>
      <c r="JD2" s="8"/>
      <c r="JE2" s="8"/>
      <c r="JF2" s="8"/>
      <c r="JG2" s="8"/>
      <c r="JH2" s="8"/>
      <c r="JI2" s="8"/>
      <c r="JJ2" s="8"/>
      <c r="JK2" s="8"/>
      <c r="JL2" s="8"/>
      <c r="JM2" s="8"/>
      <c r="JN2" s="8"/>
      <c r="JO2" s="8"/>
      <c r="JP2" s="8"/>
      <c r="JQ2" s="8"/>
      <c r="JR2" s="8"/>
      <c r="JS2" s="8"/>
      <c r="JT2" s="8"/>
      <c r="JU2" s="8"/>
      <c r="JV2" s="8"/>
      <c r="JW2" s="8"/>
      <c r="JX2" s="8"/>
      <c r="JY2" s="8"/>
      <c r="JZ2" s="8"/>
      <c r="KA2" s="8"/>
      <c r="KB2" s="8"/>
      <c r="KC2" s="8"/>
      <c r="KD2" s="8"/>
      <c r="KE2" s="8"/>
      <c r="KF2" s="8"/>
      <c r="KG2" s="8"/>
      <c r="KH2" s="8"/>
      <c r="KI2" s="8"/>
      <c r="KJ2" s="8"/>
      <c r="KK2" s="8"/>
      <c r="KL2" s="8"/>
      <c r="KM2" s="8"/>
      <c r="KN2" s="8"/>
      <c r="KO2" s="8"/>
      <c r="KP2" s="8"/>
      <c r="KQ2" s="8"/>
      <c r="KR2" s="8"/>
      <c r="KS2" s="8"/>
      <c r="KT2" s="8"/>
      <c r="KU2" s="8"/>
      <c r="KV2" s="8"/>
      <c r="KW2" s="8"/>
      <c r="KX2" s="8"/>
      <c r="KY2" s="8"/>
      <c r="KZ2" s="8"/>
      <c r="LA2" s="8"/>
      <c r="LB2" s="8"/>
      <c r="LC2" s="8"/>
      <c r="LD2" s="8"/>
      <c r="LE2" s="8"/>
      <c r="LF2" s="8"/>
      <c r="LG2" s="8"/>
      <c r="LH2" s="8"/>
      <c r="LI2" s="8"/>
      <c r="LJ2" s="8"/>
      <c r="LK2" s="8"/>
      <c r="LL2" s="8"/>
      <c r="LM2" s="8"/>
      <c r="LN2" s="8"/>
      <c r="LO2" s="8"/>
      <c r="LP2" s="8"/>
      <c r="LQ2" s="8"/>
      <c r="LR2" s="8"/>
      <c r="LS2" s="8"/>
      <c r="LT2" s="8"/>
      <c r="LU2" s="8"/>
      <c r="LV2" s="8"/>
      <c r="LW2" s="8"/>
      <c r="LX2" s="8"/>
      <c r="LY2" s="8"/>
      <c r="LZ2" s="8"/>
      <c r="MA2" s="8"/>
      <c r="MB2" s="8"/>
      <c r="MC2" s="8"/>
      <c r="MD2" s="8"/>
      <c r="ME2" s="8"/>
      <c r="MF2" s="8"/>
      <c r="MG2" s="8"/>
      <c r="MH2" s="8"/>
      <c r="MI2" s="8"/>
      <c r="MJ2" s="8"/>
      <c r="MK2" s="8"/>
      <c r="ML2" s="8"/>
      <c r="MM2" s="8"/>
      <c r="MN2" s="8"/>
      <c r="MO2" s="8"/>
      <c r="MP2" s="8"/>
      <c r="MQ2" s="8"/>
      <c r="MR2" s="8"/>
      <c r="MS2" s="8"/>
      <c r="MT2" s="8"/>
      <c r="MU2" s="8"/>
      <c r="MV2" s="8"/>
      <c r="MW2" s="8"/>
      <c r="MX2" s="8"/>
      <c r="MY2" s="8"/>
      <c r="MZ2" s="8"/>
      <c r="NA2" s="8"/>
      <c r="NB2" s="8"/>
      <c r="NC2" s="8"/>
      <c r="ND2" s="8"/>
      <c r="NE2" s="8"/>
      <c r="NF2" s="8"/>
      <c r="NG2" s="8"/>
      <c r="NH2" s="8"/>
      <c r="NI2" s="8"/>
      <c r="NJ2" s="8"/>
      <c r="NK2" s="8"/>
      <c r="NL2" s="8"/>
      <c r="NM2" s="8"/>
      <c r="NN2" s="8"/>
      <c r="NO2" s="8"/>
      <c r="NP2" s="8"/>
      <c r="NQ2" s="8"/>
      <c r="NR2" s="8"/>
      <c r="NS2" s="8"/>
      <c r="NT2" s="8"/>
      <c r="NU2" s="8"/>
      <c r="NV2" s="8"/>
      <c r="NW2" s="8"/>
      <c r="NX2" s="8"/>
      <c r="NY2" s="8"/>
      <c r="NZ2" s="8"/>
      <c r="OA2" s="8"/>
      <c r="OB2" s="8"/>
      <c r="OC2" s="8"/>
      <c r="OD2" s="8"/>
      <c r="OE2" s="8"/>
      <c r="OF2" s="8"/>
      <c r="OG2" s="8"/>
      <c r="OH2" s="8"/>
      <c r="OI2" s="8"/>
      <c r="OJ2" s="8"/>
      <c r="OK2" s="8"/>
      <c r="OL2" s="8"/>
      <c r="OM2" s="8"/>
      <c r="ON2" s="8"/>
      <c r="OO2" s="8"/>
      <c r="OP2" s="8"/>
      <c r="OQ2" s="8"/>
      <c r="OR2" s="8"/>
      <c r="OS2" s="8"/>
      <c r="OT2" s="8"/>
      <c r="OU2" s="8"/>
      <c r="OV2" s="8"/>
      <c r="OW2" s="8"/>
      <c r="OX2" s="8"/>
      <c r="OY2" s="8"/>
      <c r="OZ2" s="8"/>
      <c r="PA2" s="8"/>
      <c r="PB2" s="8"/>
      <c r="PC2" s="8"/>
      <c r="PD2" s="8"/>
      <c r="PE2" s="8"/>
      <c r="PF2" s="8"/>
      <c r="PG2" s="8"/>
      <c r="PH2" s="8"/>
      <c r="PI2" s="8"/>
      <c r="PJ2" s="8"/>
      <c r="PK2" s="8"/>
      <c r="PL2" s="8"/>
      <c r="PM2" s="8"/>
      <c r="PN2" s="8"/>
      <c r="PO2" s="8"/>
      <c r="PP2" s="8"/>
      <c r="PQ2" s="8"/>
      <c r="PR2" s="8"/>
      <c r="PS2" s="8"/>
      <c r="PT2" s="8"/>
      <c r="PU2" s="8"/>
      <c r="PV2" s="8"/>
      <c r="PW2" s="8"/>
      <c r="PX2" s="8"/>
      <c r="PY2" s="8"/>
      <c r="PZ2" s="8"/>
      <c r="QA2" s="8"/>
      <c r="QB2" s="8"/>
      <c r="QC2" s="8"/>
      <c r="QD2" s="8"/>
      <c r="QE2" s="8"/>
      <c r="QF2" s="8"/>
      <c r="QG2" s="8"/>
      <c r="QH2" s="8"/>
      <c r="QI2" s="8"/>
      <c r="QJ2" s="8"/>
      <c r="QK2" s="8"/>
      <c r="QL2" s="8"/>
      <c r="QM2" s="8"/>
      <c r="QN2" s="8"/>
      <c r="QO2" s="8"/>
      <c r="QP2" s="8"/>
      <c r="QQ2" s="8"/>
      <c r="QR2" s="8"/>
      <c r="QS2" s="8"/>
      <c r="QT2" s="8"/>
      <c r="QU2" s="8"/>
      <c r="QV2" s="8"/>
      <c r="QW2" s="8"/>
      <c r="QX2" s="8"/>
      <c r="QY2" s="8"/>
      <c r="QZ2" s="8"/>
      <c r="RA2" s="8"/>
      <c r="RB2" s="8"/>
      <c r="RC2" s="8"/>
      <c r="RD2" s="8"/>
      <c r="RE2" s="8"/>
      <c r="RF2" s="8"/>
      <c r="RG2" s="8"/>
      <c r="RH2" s="8"/>
      <c r="RI2" s="8"/>
      <c r="RJ2" s="8"/>
      <c r="RK2" s="8"/>
      <c r="RL2" s="8"/>
      <c r="RM2" s="8"/>
      <c r="RN2" s="8"/>
      <c r="RO2" s="8"/>
      <c r="RP2" s="8"/>
      <c r="RQ2" s="8"/>
      <c r="RR2" s="8"/>
      <c r="RS2" s="8"/>
      <c r="RT2" s="8"/>
      <c r="RU2" s="8"/>
      <c r="RV2" s="8"/>
      <c r="RW2" s="8"/>
      <c r="RX2" s="8"/>
      <c r="RY2" s="8"/>
      <c r="RZ2" s="8"/>
      <c r="SA2" s="8"/>
      <c r="SB2" s="8"/>
      <c r="SC2" s="8"/>
      <c r="SD2" s="8"/>
      <c r="SE2" s="8"/>
      <c r="SF2" s="8"/>
      <c r="SG2" s="8"/>
      <c r="SH2" s="8"/>
      <c r="SI2" s="8"/>
      <c r="SJ2" s="8"/>
      <c r="SK2" s="8"/>
      <c r="SL2" s="8"/>
      <c r="SM2" s="8"/>
      <c r="SN2" s="8"/>
      <c r="SO2" s="8"/>
      <c r="SP2" s="8"/>
      <c r="SQ2" s="8"/>
      <c r="SR2" s="8"/>
      <c r="SS2" s="8"/>
      <c r="ST2" s="8"/>
      <c r="SU2" s="8"/>
      <c r="SV2" s="8"/>
      <c r="SW2" s="8"/>
      <c r="SX2" s="8"/>
      <c r="SY2" s="8"/>
      <c r="SZ2" s="8"/>
      <c r="TA2" s="8"/>
      <c r="TB2" s="8"/>
      <c r="TC2" s="8"/>
      <c r="TD2" s="8"/>
      <c r="TE2" s="8"/>
      <c r="TF2" s="8"/>
      <c r="TG2" s="8"/>
      <c r="TH2" s="8"/>
      <c r="TI2" s="8"/>
      <c r="TJ2" s="8"/>
      <c r="TK2" s="8"/>
      <c r="TL2" s="8"/>
      <c r="TM2" s="8"/>
      <c r="TN2" s="8"/>
      <c r="TO2" s="8"/>
      <c r="TP2" s="8"/>
      <c r="TQ2" s="8"/>
      <c r="TR2" s="8"/>
      <c r="TS2" s="8"/>
      <c r="TT2" s="8"/>
      <c r="TU2" s="8"/>
      <c r="TV2" s="8"/>
      <c r="TW2" s="8"/>
      <c r="TX2" s="8"/>
      <c r="TY2" s="8"/>
      <c r="TZ2" s="8"/>
      <c r="UA2" s="8"/>
      <c r="UB2" s="8"/>
      <c r="UC2" s="8"/>
      <c r="UD2" s="8"/>
      <c r="UE2" s="8"/>
      <c r="UF2" s="8"/>
      <c r="UG2" s="8"/>
      <c r="UH2" s="8"/>
      <c r="UI2" s="8"/>
      <c r="UJ2" s="8"/>
      <c r="UK2" s="8"/>
      <c r="UL2" s="8"/>
      <c r="UM2" s="8"/>
      <c r="UN2" s="8"/>
      <c r="UO2" s="8"/>
      <c r="UP2" s="8"/>
      <c r="UQ2" s="8"/>
      <c r="UR2" s="8"/>
      <c r="US2" s="8"/>
      <c r="UT2" s="8"/>
      <c r="UU2" s="8"/>
      <c r="UV2" s="8"/>
      <c r="UW2" s="8"/>
      <c r="UX2" s="8"/>
      <c r="UY2" s="8"/>
      <c r="UZ2" s="8"/>
      <c r="VA2" s="8"/>
      <c r="VB2" s="8"/>
      <c r="VC2" s="8"/>
      <c r="VD2" s="8"/>
      <c r="VE2" s="8"/>
      <c r="VF2" s="8"/>
      <c r="VG2" s="8"/>
      <c r="VH2" s="8"/>
      <c r="VI2" s="8"/>
      <c r="VJ2" s="8"/>
      <c r="VK2" s="8"/>
      <c r="VL2" s="8"/>
      <c r="VM2" s="8"/>
      <c r="VN2" s="8"/>
      <c r="VO2" s="8"/>
      <c r="VP2" s="8"/>
      <c r="VQ2" s="8"/>
      <c r="VR2" s="8"/>
      <c r="VS2" s="8"/>
      <c r="VT2" s="8"/>
      <c r="VU2" s="8"/>
      <c r="VV2" s="8"/>
      <c r="VW2" s="8"/>
      <c r="VX2" s="8"/>
      <c r="VY2" s="8"/>
      <c r="VZ2" s="8"/>
      <c r="WA2" s="8"/>
      <c r="WB2" s="8"/>
      <c r="WC2" s="8"/>
      <c r="WD2" s="8"/>
      <c r="WE2" s="8"/>
      <c r="WF2" s="8"/>
      <c r="WG2" s="8"/>
      <c r="WH2" s="8"/>
      <c r="WI2" s="8"/>
      <c r="WJ2" s="8"/>
      <c r="WK2" s="8"/>
      <c r="WL2" s="8"/>
      <c r="WM2" s="8"/>
      <c r="WN2" s="8"/>
      <c r="WO2" s="8"/>
      <c r="WP2" s="8"/>
      <c r="WQ2" s="8"/>
      <c r="WR2" s="8"/>
      <c r="WS2" s="8"/>
      <c r="WT2" s="8"/>
      <c r="WU2" s="8"/>
      <c r="WV2" s="8"/>
      <c r="WW2" s="8"/>
      <c r="WX2" s="8"/>
      <c r="WY2" s="8"/>
      <c r="WZ2" s="8"/>
      <c r="XA2" s="8"/>
      <c r="XB2" s="8"/>
      <c r="XC2" s="8"/>
      <c r="XD2" s="8"/>
      <c r="XE2" s="8"/>
      <c r="XF2" s="8"/>
      <c r="XG2" s="8"/>
      <c r="XH2" s="8"/>
      <c r="XI2" s="8"/>
      <c r="XJ2" s="8"/>
      <c r="XK2" s="8"/>
      <c r="XL2" s="8"/>
      <c r="XM2" s="8"/>
      <c r="XN2" s="8"/>
      <c r="XO2" s="8"/>
      <c r="XP2" s="8"/>
      <c r="XQ2" s="8"/>
      <c r="XR2" s="8"/>
      <c r="XS2" s="8"/>
      <c r="XT2" s="8"/>
      <c r="XU2" s="8"/>
      <c r="XV2" s="8"/>
      <c r="XW2" s="8"/>
      <c r="XX2" s="8"/>
      <c r="XY2" s="8"/>
      <c r="XZ2" s="8"/>
      <c r="YA2" s="8"/>
      <c r="YB2" s="8"/>
      <c r="YC2" s="8"/>
      <c r="YD2" s="8"/>
      <c r="YE2" s="8"/>
      <c r="YF2" s="8"/>
      <c r="YG2" s="8"/>
      <c r="YH2" s="8"/>
      <c r="YI2" s="8"/>
      <c r="YJ2" s="8"/>
      <c r="YK2" s="8"/>
      <c r="YL2" s="8"/>
      <c r="YM2" s="8"/>
      <c r="YN2" s="8"/>
      <c r="YO2" s="8"/>
      <c r="YP2" s="8"/>
      <c r="YQ2" s="8"/>
      <c r="YR2" s="8"/>
      <c r="YS2" s="8"/>
      <c r="YT2" s="8"/>
      <c r="YU2" s="8"/>
      <c r="YV2" s="8"/>
      <c r="YW2" s="8"/>
      <c r="YX2" s="8"/>
      <c r="YY2" s="8"/>
      <c r="YZ2" s="8"/>
      <c r="ZA2" s="8"/>
      <c r="ZB2" s="8"/>
      <c r="ZC2" s="8"/>
      <c r="ZD2" s="8"/>
      <c r="ZE2" s="8"/>
      <c r="ZF2" s="8"/>
      <c r="ZG2" s="8"/>
      <c r="ZH2" s="8"/>
      <c r="ZI2" s="8"/>
      <c r="ZJ2" s="8"/>
      <c r="ZK2" s="8"/>
      <c r="ZL2" s="8"/>
      <c r="ZM2" s="8"/>
      <c r="ZN2" s="8"/>
      <c r="ZO2" s="8"/>
      <c r="ZP2" s="8"/>
      <c r="ZQ2" s="8"/>
      <c r="ZR2" s="8"/>
      <c r="ZS2" s="8"/>
      <c r="ZT2" s="8"/>
      <c r="ZU2" s="8"/>
      <c r="ZV2" s="8"/>
      <c r="ZW2" s="8"/>
      <c r="ZX2" s="8"/>
      <c r="ZY2" s="8"/>
      <c r="ZZ2" s="8"/>
      <c r="AAA2" s="8"/>
      <c r="AAB2" s="8"/>
      <c r="AAC2" s="8"/>
      <c r="AAD2" s="8"/>
      <c r="AAE2" s="8"/>
      <c r="AAF2" s="8"/>
      <c r="AAG2" s="8"/>
      <c r="AAH2" s="8"/>
      <c r="AAI2" s="8"/>
      <c r="AAJ2" s="8"/>
      <c r="AAK2" s="8"/>
      <c r="AAL2" s="8"/>
      <c r="AAM2" s="8"/>
      <c r="AAN2" s="8"/>
      <c r="AAO2" s="8"/>
      <c r="AAP2" s="8"/>
      <c r="AAQ2" s="8"/>
      <c r="AAR2" s="8"/>
      <c r="AAS2" s="8"/>
      <c r="AAT2" s="8"/>
      <c r="AAU2" s="8"/>
      <c r="AAV2" s="8"/>
      <c r="AAW2" s="8"/>
      <c r="AAX2" s="8"/>
      <c r="AAY2" s="8"/>
      <c r="AAZ2" s="8"/>
      <c r="ABA2" s="8"/>
      <c r="ABB2" s="8"/>
      <c r="ABC2" s="8"/>
      <c r="ABD2" s="8"/>
      <c r="ABE2" s="8"/>
      <c r="ABF2" s="8"/>
      <c r="ABG2" s="8"/>
      <c r="ABH2" s="8"/>
      <c r="ABI2" s="8"/>
      <c r="ABJ2" s="8"/>
      <c r="ABK2" s="8"/>
      <c r="ABL2" s="8"/>
      <c r="ABM2" s="8"/>
      <c r="ABN2" s="8"/>
      <c r="ABO2" s="8"/>
      <c r="ABP2" s="8"/>
      <c r="ABQ2" s="8"/>
      <c r="ABR2" s="8"/>
      <c r="ABS2" s="8"/>
      <c r="ABT2" s="8"/>
      <c r="ABU2" s="8"/>
      <c r="ABV2" s="8"/>
      <c r="ABW2" s="8"/>
      <c r="ABX2" s="8"/>
      <c r="ABY2" s="8"/>
      <c r="ABZ2" s="8"/>
      <c r="ACA2" s="8"/>
      <c r="ACB2" s="8"/>
      <c r="ACC2" s="8"/>
      <c r="ACD2" s="8"/>
      <c r="ACE2" s="8"/>
      <c r="ACF2" s="8"/>
      <c r="ACG2" s="8"/>
      <c r="ACH2" s="8"/>
      <c r="ACI2" s="8"/>
      <c r="ACJ2" s="8"/>
      <c r="ACK2" s="8"/>
      <c r="ACL2" s="8"/>
      <c r="ACM2" s="8"/>
      <c r="ACN2" s="8"/>
      <c r="ACO2" s="8"/>
      <c r="ACP2" s="8"/>
      <c r="ACQ2" s="8"/>
      <c r="ACR2" s="8"/>
      <c r="ACS2" s="8"/>
      <c r="ACT2" s="8"/>
      <c r="ACU2" s="8"/>
      <c r="ACV2" s="8"/>
      <c r="ACW2" s="8"/>
      <c r="ACX2" s="8"/>
      <c r="ACY2" s="8"/>
      <c r="ACZ2" s="8"/>
      <c r="ADA2" s="8"/>
      <c r="ADB2" s="8"/>
      <c r="ADC2" s="8"/>
      <c r="ADD2" s="8"/>
      <c r="ADE2" s="8"/>
      <c r="ADF2" s="8"/>
      <c r="ADG2" s="8"/>
      <c r="ADH2" s="8"/>
      <c r="ADI2" s="8"/>
      <c r="ADJ2" s="8"/>
      <c r="ADK2" s="8"/>
      <c r="ADL2" s="8"/>
      <c r="ADM2" s="8"/>
      <c r="ADN2" s="8"/>
      <c r="ADO2" s="8"/>
      <c r="ADP2" s="8"/>
      <c r="ADQ2" s="8"/>
      <c r="ADR2" s="8"/>
      <c r="ADS2" s="8"/>
      <c r="ADT2" s="8"/>
      <c r="ADU2" s="8"/>
      <c r="ADV2" s="8"/>
      <c r="ADW2" s="8"/>
      <c r="ADX2" s="8"/>
      <c r="ADY2" s="8"/>
      <c r="ADZ2" s="8"/>
      <c r="AEA2" s="8"/>
      <c r="AEB2" s="8"/>
      <c r="AEC2" s="8"/>
      <c r="AED2" s="8"/>
      <c r="AEE2" s="8"/>
      <c r="AEF2" s="8"/>
      <c r="AEG2" s="8"/>
      <c r="AEH2" s="8"/>
      <c r="AEI2" s="8"/>
      <c r="AEJ2" s="8"/>
      <c r="AEK2" s="8"/>
      <c r="AEL2" s="8"/>
      <c r="AEM2" s="8"/>
      <c r="AEN2" s="8"/>
      <c r="AEO2" s="8"/>
      <c r="AEP2" s="8"/>
      <c r="AEQ2" s="8"/>
      <c r="AER2" s="8"/>
      <c r="AES2" s="8"/>
      <c r="AET2" s="8"/>
      <c r="AEU2" s="8"/>
      <c r="AEV2" s="8"/>
      <c r="AEW2" s="8"/>
      <c r="AEX2" s="8"/>
      <c r="AEY2" s="8"/>
      <c r="AEZ2" s="8"/>
      <c r="AFA2" s="8"/>
      <c r="AFB2" s="8"/>
      <c r="AFC2" s="8"/>
      <c r="AFD2" s="8"/>
      <c r="AFE2" s="8"/>
      <c r="AFF2" s="8"/>
      <c r="AFG2" s="8"/>
      <c r="AFH2" s="8"/>
      <c r="AFI2" s="8"/>
      <c r="AFJ2" s="8"/>
      <c r="AFK2" s="8"/>
      <c r="AFL2" s="8"/>
      <c r="AFM2" s="8"/>
      <c r="AFN2" s="8"/>
      <c r="AFO2" s="8"/>
      <c r="AFP2" s="8"/>
      <c r="AFQ2" s="8"/>
      <c r="AFR2" s="8"/>
      <c r="AFS2" s="8"/>
      <c r="AFT2" s="8"/>
      <c r="AFU2" s="8"/>
      <c r="AFV2" s="8"/>
      <c r="AFW2" s="8"/>
      <c r="AFX2" s="8"/>
      <c r="AFY2" s="8"/>
      <c r="AFZ2" s="8"/>
      <c r="AGA2" s="8"/>
      <c r="AGB2" s="8"/>
      <c r="AGC2" s="8"/>
      <c r="AGD2" s="8"/>
      <c r="AGE2" s="8"/>
      <c r="AGF2" s="8"/>
      <c r="AGG2" s="8"/>
      <c r="AGH2" s="8"/>
      <c r="AGI2" s="8"/>
      <c r="AGJ2" s="8"/>
      <c r="AGK2" s="8"/>
      <c r="AGL2" s="8"/>
      <c r="AGM2" s="8"/>
      <c r="AGN2" s="8"/>
      <c r="AGO2" s="8"/>
      <c r="AGP2" s="8"/>
      <c r="AGQ2" s="8"/>
      <c r="AGR2" s="8"/>
      <c r="AGS2" s="8"/>
      <c r="AGT2" s="8"/>
      <c r="AGU2" s="8"/>
      <c r="AGV2" s="8"/>
      <c r="AGW2" s="8"/>
      <c r="AGX2" s="8"/>
      <c r="AGY2" s="8"/>
      <c r="AGZ2" s="8"/>
      <c r="AHA2" s="8"/>
      <c r="AHB2" s="8"/>
      <c r="AHC2" s="8"/>
      <c r="AHD2" s="8"/>
      <c r="AHE2" s="8"/>
      <c r="AHF2" s="8"/>
      <c r="AHG2" s="8"/>
      <c r="AHH2" s="8"/>
      <c r="AHI2" s="8"/>
      <c r="AHJ2" s="8"/>
      <c r="AHK2" s="8"/>
      <c r="AHL2" s="8"/>
      <c r="AHM2" s="8"/>
      <c r="AHN2" s="8"/>
      <c r="AHO2" s="8"/>
      <c r="AHP2" s="8"/>
      <c r="AHQ2" s="8"/>
      <c r="AHR2" s="8"/>
      <c r="AHS2" s="8"/>
      <c r="AHT2" s="8"/>
      <c r="AHU2" s="8"/>
      <c r="AHV2" s="8"/>
      <c r="AHW2" s="8"/>
      <c r="AHX2" s="8"/>
      <c r="AHY2" s="8"/>
      <c r="AHZ2" s="8"/>
      <c r="AIA2" s="8"/>
      <c r="AIB2" s="8"/>
      <c r="AIC2" s="8"/>
      <c r="AID2" s="8"/>
      <c r="AIE2" s="8"/>
      <c r="AIF2" s="8"/>
      <c r="AIG2" s="8"/>
      <c r="AIH2" s="8"/>
      <c r="AII2" s="8"/>
      <c r="AIJ2" s="8"/>
      <c r="AIK2" s="8"/>
      <c r="AIL2" s="8"/>
      <c r="AIM2" s="8"/>
      <c r="AIN2" s="8"/>
      <c r="AIO2" s="8"/>
      <c r="AIP2" s="8"/>
      <c r="AIQ2" s="8"/>
      <c r="AIR2" s="8"/>
      <c r="AIS2" s="8"/>
      <c r="AIT2" s="8"/>
      <c r="AIU2" s="8"/>
      <c r="AIV2" s="8"/>
      <c r="AIW2" s="8"/>
      <c r="AIX2" s="8"/>
      <c r="AIY2" s="8"/>
      <c r="AIZ2" s="8"/>
      <c r="AJA2" s="8"/>
      <c r="AJB2" s="8"/>
      <c r="AJC2" s="8"/>
      <c r="AJD2" s="8"/>
      <c r="AJE2" s="8"/>
      <c r="AJF2" s="8"/>
      <c r="AJG2" s="8"/>
      <c r="AJH2" s="8"/>
      <c r="AJI2" s="8"/>
      <c r="AJJ2" s="8"/>
      <c r="AJK2" s="8"/>
      <c r="AJL2" s="8"/>
      <c r="AJM2" s="8"/>
      <c r="AJN2" s="8"/>
      <c r="AJO2" s="8"/>
      <c r="AJP2" s="8"/>
      <c r="AJQ2" s="8"/>
      <c r="AJR2" s="8"/>
      <c r="AJS2" s="8"/>
      <c r="AJT2" s="8"/>
      <c r="AJU2" s="8"/>
      <c r="AJV2" s="8"/>
      <c r="AJW2" s="8"/>
      <c r="AJX2" s="8"/>
      <c r="AJY2" s="8"/>
      <c r="AJZ2" s="8"/>
      <c r="AKA2" s="8"/>
      <c r="AKB2" s="8"/>
      <c r="AKC2" s="8"/>
      <c r="AKD2" s="8"/>
      <c r="AKE2" s="8"/>
      <c r="AKF2" s="8"/>
      <c r="AKG2" s="8"/>
      <c r="AKH2" s="8"/>
      <c r="AKI2" s="8"/>
      <c r="AKJ2" s="8"/>
      <c r="AKK2" s="8"/>
      <c r="AKL2" s="8"/>
      <c r="AKM2" s="8"/>
      <c r="AKN2" s="8"/>
      <c r="AKO2" s="8"/>
      <c r="AKP2" s="8"/>
      <c r="AKQ2" s="8"/>
      <c r="AKR2" s="8"/>
      <c r="AKS2" s="8"/>
      <c r="AKT2" s="8"/>
      <c r="AKU2" s="8"/>
      <c r="AKV2" s="8"/>
      <c r="AKW2" s="8"/>
      <c r="AKX2" s="8"/>
      <c r="AKY2" s="8"/>
      <c r="AKZ2" s="8"/>
      <c r="ALA2" s="8"/>
      <c r="ALB2" s="8"/>
      <c r="ALC2" s="8"/>
      <c r="ALD2" s="8"/>
      <c r="ALE2" s="8"/>
      <c r="ALF2" s="8"/>
      <c r="ALG2" s="8"/>
      <c r="ALH2" s="8"/>
      <c r="ALI2" s="8"/>
      <c r="ALJ2" s="8"/>
      <c r="ALK2" s="8"/>
      <c r="ALL2" s="8"/>
      <c r="ALM2" s="8"/>
      <c r="ALN2" s="8"/>
      <c r="ALO2" s="8"/>
      <c r="ALP2" s="8"/>
      <c r="ALQ2" s="8"/>
      <c r="ALR2" s="8"/>
      <c r="ALS2" s="8"/>
      <c r="ALT2" s="8"/>
      <c r="ALU2" s="8"/>
      <c r="ALV2" s="8"/>
      <c r="ALW2" s="8"/>
      <c r="ALX2" s="8"/>
      <c r="ALY2" s="8"/>
      <c r="ALZ2" s="8"/>
      <c r="AMA2" s="8"/>
      <c r="AMB2" s="8"/>
      <c r="AMC2" s="8"/>
      <c r="AMD2" s="8"/>
      <c r="AME2" s="8"/>
      <c r="AMF2" s="8"/>
      <c r="AMG2" s="8"/>
      <c r="AMH2" s="8"/>
    </row>
    <row r="3" spans="1:1022" x14ac:dyDescent="0.15">
      <c r="A3" s="8" t="s">
        <v>2134</v>
      </c>
      <c r="B3" s="8" t="s">
        <v>158</v>
      </c>
      <c r="C3" s="8" t="str">
        <f>B3&amp;":"&amp;A3</f>
        <v>att_organism:UP000001940</v>
      </c>
      <c r="D3" s="8" t="s">
        <v>2135</v>
      </c>
      <c r="E3" s="8" t="s">
        <v>2136</v>
      </c>
      <c r="F3" s="8" t="s">
        <v>2137</v>
      </c>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c r="VY3" s="8"/>
      <c r="VZ3" s="8"/>
      <c r="WA3" s="8"/>
      <c r="WB3" s="8"/>
      <c r="WC3" s="8"/>
      <c r="WD3" s="8"/>
      <c r="WE3" s="8"/>
      <c r="WF3" s="8"/>
      <c r="WG3" s="8"/>
      <c r="WH3" s="8"/>
      <c r="WI3" s="8"/>
      <c r="WJ3" s="8"/>
      <c r="WK3" s="8"/>
      <c r="WL3" s="8"/>
      <c r="WM3" s="8"/>
      <c r="WN3" s="8"/>
      <c r="WO3" s="8"/>
      <c r="WP3" s="8"/>
      <c r="WQ3" s="8"/>
      <c r="WR3" s="8"/>
      <c r="WS3" s="8"/>
      <c r="WT3" s="8"/>
      <c r="WU3" s="8"/>
      <c r="WV3" s="8"/>
      <c r="WW3" s="8"/>
      <c r="WX3" s="8"/>
      <c r="WY3" s="8"/>
      <c r="WZ3" s="8"/>
      <c r="XA3" s="8"/>
      <c r="XB3" s="8"/>
      <c r="XC3" s="8"/>
      <c r="XD3" s="8"/>
      <c r="XE3" s="8"/>
      <c r="XF3" s="8"/>
      <c r="XG3" s="8"/>
      <c r="XH3" s="8"/>
      <c r="XI3" s="8"/>
      <c r="XJ3" s="8"/>
      <c r="XK3" s="8"/>
      <c r="XL3" s="8"/>
      <c r="XM3" s="8"/>
      <c r="XN3" s="8"/>
      <c r="XO3" s="8"/>
      <c r="XP3" s="8"/>
      <c r="XQ3" s="8"/>
      <c r="XR3" s="8"/>
      <c r="XS3" s="8"/>
      <c r="XT3" s="8"/>
      <c r="XU3" s="8"/>
      <c r="XV3" s="8"/>
      <c r="XW3" s="8"/>
      <c r="XX3" s="8"/>
      <c r="XY3" s="8"/>
      <c r="XZ3" s="8"/>
      <c r="YA3" s="8"/>
      <c r="YB3" s="8"/>
      <c r="YC3" s="8"/>
      <c r="YD3" s="8"/>
      <c r="YE3" s="8"/>
      <c r="YF3" s="8"/>
      <c r="YG3" s="8"/>
      <c r="YH3" s="8"/>
      <c r="YI3" s="8"/>
      <c r="YJ3" s="8"/>
      <c r="YK3" s="8"/>
      <c r="YL3" s="8"/>
      <c r="YM3" s="8"/>
      <c r="YN3" s="8"/>
      <c r="YO3" s="8"/>
      <c r="YP3" s="8"/>
      <c r="YQ3" s="8"/>
      <c r="YR3" s="8"/>
      <c r="YS3" s="8"/>
      <c r="YT3" s="8"/>
      <c r="YU3" s="8"/>
      <c r="YV3" s="8"/>
      <c r="YW3" s="8"/>
      <c r="YX3" s="8"/>
      <c r="YY3" s="8"/>
      <c r="YZ3" s="8"/>
      <c r="ZA3" s="8"/>
      <c r="ZB3" s="8"/>
      <c r="ZC3" s="8"/>
      <c r="ZD3" s="8"/>
      <c r="ZE3" s="8"/>
      <c r="ZF3" s="8"/>
      <c r="ZG3" s="8"/>
      <c r="ZH3" s="8"/>
      <c r="ZI3" s="8"/>
      <c r="ZJ3" s="8"/>
      <c r="ZK3" s="8"/>
      <c r="ZL3" s="8"/>
      <c r="ZM3" s="8"/>
      <c r="ZN3" s="8"/>
      <c r="ZO3" s="8"/>
      <c r="ZP3" s="8"/>
      <c r="ZQ3" s="8"/>
      <c r="ZR3" s="8"/>
      <c r="ZS3" s="8"/>
      <c r="ZT3" s="8"/>
      <c r="ZU3" s="8"/>
      <c r="ZV3" s="8"/>
      <c r="ZW3" s="8"/>
      <c r="ZX3" s="8"/>
      <c r="ZY3" s="8"/>
      <c r="ZZ3" s="8"/>
      <c r="AAA3" s="8"/>
      <c r="AAB3" s="8"/>
      <c r="AAC3" s="8"/>
      <c r="AAD3" s="8"/>
      <c r="AAE3" s="8"/>
      <c r="AAF3" s="8"/>
      <c r="AAG3" s="8"/>
      <c r="AAH3" s="8"/>
      <c r="AAI3" s="8"/>
      <c r="AAJ3" s="8"/>
      <c r="AAK3" s="8"/>
      <c r="AAL3" s="8"/>
      <c r="AAM3" s="8"/>
      <c r="AAN3" s="8"/>
      <c r="AAO3" s="8"/>
      <c r="AAP3" s="8"/>
      <c r="AAQ3" s="8"/>
      <c r="AAR3" s="8"/>
      <c r="AAS3" s="8"/>
      <c r="AAT3" s="8"/>
      <c r="AAU3" s="8"/>
      <c r="AAV3" s="8"/>
      <c r="AAW3" s="8"/>
      <c r="AAX3" s="8"/>
      <c r="AAY3" s="8"/>
      <c r="AAZ3" s="8"/>
      <c r="ABA3" s="8"/>
      <c r="ABB3" s="8"/>
      <c r="ABC3" s="8"/>
      <c r="ABD3" s="8"/>
      <c r="ABE3" s="8"/>
      <c r="ABF3" s="8"/>
      <c r="ABG3" s="8"/>
      <c r="ABH3" s="8"/>
      <c r="ABI3" s="8"/>
      <c r="ABJ3" s="8"/>
      <c r="ABK3" s="8"/>
      <c r="ABL3" s="8"/>
      <c r="ABM3" s="8"/>
      <c r="ABN3" s="8"/>
      <c r="ABO3" s="8"/>
      <c r="ABP3" s="8"/>
      <c r="ABQ3" s="8"/>
      <c r="ABR3" s="8"/>
      <c r="ABS3" s="8"/>
      <c r="ABT3" s="8"/>
      <c r="ABU3" s="8"/>
      <c r="ABV3" s="8"/>
      <c r="ABW3" s="8"/>
      <c r="ABX3" s="8"/>
      <c r="ABY3" s="8"/>
      <c r="ABZ3" s="8"/>
      <c r="ACA3" s="8"/>
      <c r="ACB3" s="8"/>
      <c r="ACC3" s="8"/>
      <c r="ACD3" s="8"/>
      <c r="ACE3" s="8"/>
      <c r="ACF3" s="8"/>
      <c r="ACG3" s="8"/>
      <c r="ACH3" s="8"/>
      <c r="ACI3" s="8"/>
      <c r="ACJ3" s="8"/>
      <c r="ACK3" s="8"/>
      <c r="ACL3" s="8"/>
      <c r="ACM3" s="8"/>
      <c r="ACN3" s="8"/>
      <c r="ACO3" s="8"/>
      <c r="ACP3" s="8"/>
      <c r="ACQ3" s="8"/>
      <c r="ACR3" s="8"/>
      <c r="ACS3" s="8"/>
      <c r="ACT3" s="8"/>
      <c r="ACU3" s="8"/>
      <c r="ACV3" s="8"/>
      <c r="ACW3" s="8"/>
      <c r="ACX3" s="8"/>
      <c r="ACY3" s="8"/>
      <c r="ACZ3" s="8"/>
      <c r="ADA3" s="8"/>
      <c r="ADB3" s="8"/>
      <c r="ADC3" s="8"/>
      <c r="ADD3" s="8"/>
      <c r="ADE3" s="8"/>
      <c r="ADF3" s="8"/>
      <c r="ADG3" s="8"/>
      <c r="ADH3" s="8"/>
      <c r="ADI3" s="8"/>
      <c r="ADJ3" s="8"/>
      <c r="ADK3" s="8"/>
      <c r="ADL3" s="8"/>
      <c r="ADM3" s="8"/>
      <c r="ADN3" s="8"/>
      <c r="ADO3" s="8"/>
      <c r="ADP3" s="8"/>
      <c r="ADQ3" s="8"/>
      <c r="ADR3" s="8"/>
      <c r="ADS3" s="8"/>
      <c r="ADT3" s="8"/>
      <c r="ADU3" s="8"/>
      <c r="ADV3" s="8"/>
      <c r="ADW3" s="8"/>
      <c r="ADX3" s="8"/>
      <c r="ADY3" s="8"/>
      <c r="ADZ3" s="8"/>
      <c r="AEA3" s="8"/>
      <c r="AEB3" s="8"/>
      <c r="AEC3" s="8"/>
      <c r="AED3" s="8"/>
      <c r="AEE3" s="8"/>
      <c r="AEF3" s="8"/>
      <c r="AEG3" s="8"/>
      <c r="AEH3" s="8"/>
      <c r="AEI3" s="8"/>
      <c r="AEJ3" s="8"/>
      <c r="AEK3" s="8"/>
      <c r="AEL3" s="8"/>
      <c r="AEM3" s="8"/>
      <c r="AEN3" s="8"/>
      <c r="AEO3" s="8"/>
      <c r="AEP3" s="8"/>
      <c r="AEQ3" s="8"/>
      <c r="AER3" s="8"/>
      <c r="AES3" s="8"/>
      <c r="AET3" s="8"/>
      <c r="AEU3" s="8"/>
      <c r="AEV3" s="8"/>
      <c r="AEW3" s="8"/>
      <c r="AEX3" s="8"/>
      <c r="AEY3" s="8"/>
      <c r="AEZ3" s="8"/>
      <c r="AFA3" s="8"/>
      <c r="AFB3" s="8"/>
      <c r="AFC3" s="8"/>
      <c r="AFD3" s="8"/>
      <c r="AFE3" s="8"/>
      <c r="AFF3" s="8"/>
      <c r="AFG3" s="8"/>
      <c r="AFH3" s="8"/>
      <c r="AFI3" s="8"/>
      <c r="AFJ3" s="8"/>
      <c r="AFK3" s="8"/>
      <c r="AFL3" s="8"/>
      <c r="AFM3" s="8"/>
      <c r="AFN3" s="8"/>
      <c r="AFO3" s="8"/>
      <c r="AFP3" s="8"/>
      <c r="AFQ3" s="8"/>
      <c r="AFR3" s="8"/>
      <c r="AFS3" s="8"/>
      <c r="AFT3" s="8"/>
      <c r="AFU3" s="8"/>
      <c r="AFV3" s="8"/>
      <c r="AFW3" s="8"/>
      <c r="AFX3" s="8"/>
      <c r="AFY3" s="8"/>
      <c r="AFZ3" s="8"/>
      <c r="AGA3" s="8"/>
      <c r="AGB3" s="8"/>
      <c r="AGC3" s="8"/>
      <c r="AGD3" s="8"/>
      <c r="AGE3" s="8"/>
      <c r="AGF3" s="8"/>
      <c r="AGG3" s="8"/>
      <c r="AGH3" s="8"/>
      <c r="AGI3" s="8"/>
      <c r="AGJ3" s="8"/>
      <c r="AGK3" s="8"/>
      <c r="AGL3" s="8"/>
      <c r="AGM3" s="8"/>
      <c r="AGN3" s="8"/>
      <c r="AGO3" s="8"/>
      <c r="AGP3" s="8"/>
      <c r="AGQ3" s="8"/>
      <c r="AGR3" s="8"/>
      <c r="AGS3" s="8"/>
      <c r="AGT3" s="8"/>
      <c r="AGU3" s="8"/>
      <c r="AGV3" s="8"/>
      <c r="AGW3" s="8"/>
      <c r="AGX3" s="8"/>
      <c r="AGY3" s="8"/>
      <c r="AGZ3" s="8"/>
      <c r="AHA3" s="8"/>
      <c r="AHB3" s="8"/>
      <c r="AHC3" s="8"/>
      <c r="AHD3" s="8"/>
      <c r="AHE3" s="8"/>
      <c r="AHF3" s="8"/>
      <c r="AHG3" s="8"/>
      <c r="AHH3" s="8"/>
      <c r="AHI3" s="8"/>
      <c r="AHJ3" s="8"/>
      <c r="AHK3" s="8"/>
      <c r="AHL3" s="8"/>
      <c r="AHM3" s="8"/>
      <c r="AHN3" s="8"/>
      <c r="AHO3" s="8"/>
      <c r="AHP3" s="8"/>
      <c r="AHQ3" s="8"/>
      <c r="AHR3" s="8"/>
      <c r="AHS3" s="8"/>
      <c r="AHT3" s="8"/>
      <c r="AHU3" s="8"/>
      <c r="AHV3" s="8"/>
      <c r="AHW3" s="8"/>
      <c r="AHX3" s="8"/>
      <c r="AHY3" s="8"/>
      <c r="AHZ3" s="8"/>
      <c r="AIA3" s="8"/>
      <c r="AIB3" s="8"/>
      <c r="AIC3" s="8"/>
      <c r="AID3" s="8"/>
      <c r="AIE3" s="8"/>
      <c r="AIF3" s="8"/>
      <c r="AIG3" s="8"/>
      <c r="AIH3" s="8"/>
      <c r="AII3" s="8"/>
      <c r="AIJ3" s="8"/>
      <c r="AIK3" s="8"/>
      <c r="AIL3" s="8"/>
      <c r="AIM3" s="8"/>
      <c r="AIN3" s="8"/>
      <c r="AIO3" s="8"/>
      <c r="AIP3" s="8"/>
      <c r="AIQ3" s="8"/>
      <c r="AIR3" s="8"/>
      <c r="AIS3" s="8"/>
      <c r="AIT3" s="8"/>
      <c r="AIU3" s="8"/>
      <c r="AIV3" s="8"/>
      <c r="AIW3" s="8"/>
      <c r="AIX3" s="8"/>
      <c r="AIY3" s="8"/>
      <c r="AIZ3" s="8"/>
      <c r="AJA3" s="8"/>
      <c r="AJB3" s="8"/>
      <c r="AJC3" s="8"/>
      <c r="AJD3" s="8"/>
      <c r="AJE3" s="8"/>
      <c r="AJF3" s="8"/>
      <c r="AJG3" s="8"/>
      <c r="AJH3" s="8"/>
      <c r="AJI3" s="8"/>
      <c r="AJJ3" s="8"/>
      <c r="AJK3" s="8"/>
      <c r="AJL3" s="8"/>
      <c r="AJM3" s="8"/>
      <c r="AJN3" s="8"/>
      <c r="AJO3" s="8"/>
      <c r="AJP3" s="8"/>
      <c r="AJQ3" s="8"/>
      <c r="AJR3" s="8"/>
      <c r="AJS3" s="8"/>
      <c r="AJT3" s="8"/>
      <c r="AJU3" s="8"/>
      <c r="AJV3" s="8"/>
      <c r="AJW3" s="8"/>
      <c r="AJX3" s="8"/>
      <c r="AJY3" s="8"/>
      <c r="AJZ3" s="8"/>
      <c r="AKA3" s="8"/>
      <c r="AKB3" s="8"/>
      <c r="AKC3" s="8"/>
      <c r="AKD3" s="8"/>
      <c r="AKE3" s="8"/>
      <c r="AKF3" s="8"/>
      <c r="AKG3" s="8"/>
      <c r="AKH3" s="8"/>
      <c r="AKI3" s="8"/>
      <c r="AKJ3" s="8"/>
      <c r="AKK3" s="8"/>
      <c r="AKL3" s="8"/>
      <c r="AKM3" s="8"/>
      <c r="AKN3" s="8"/>
      <c r="AKO3" s="8"/>
      <c r="AKP3" s="8"/>
      <c r="AKQ3" s="8"/>
      <c r="AKR3" s="8"/>
      <c r="AKS3" s="8"/>
      <c r="AKT3" s="8"/>
      <c r="AKU3" s="8"/>
      <c r="AKV3" s="8"/>
      <c r="AKW3" s="8"/>
      <c r="AKX3" s="8"/>
      <c r="AKY3" s="8"/>
      <c r="AKZ3" s="8"/>
      <c r="ALA3" s="8"/>
      <c r="ALB3" s="8"/>
      <c r="ALC3" s="8"/>
      <c r="ALD3" s="8"/>
      <c r="ALE3" s="8"/>
      <c r="ALF3" s="8"/>
      <c r="ALG3" s="8"/>
      <c r="ALH3" s="8"/>
      <c r="ALI3" s="8"/>
      <c r="ALJ3" s="8"/>
      <c r="ALK3" s="8"/>
      <c r="ALL3" s="8"/>
      <c r="ALM3" s="8"/>
      <c r="ALN3" s="8"/>
      <c r="ALO3" s="8"/>
      <c r="ALP3" s="8"/>
      <c r="ALQ3" s="8"/>
      <c r="ALR3" s="8"/>
      <c r="ALS3" s="8"/>
      <c r="ALT3" s="8"/>
      <c r="ALU3" s="8"/>
      <c r="ALV3" s="8"/>
      <c r="ALW3" s="8"/>
      <c r="ALX3" s="8"/>
      <c r="ALY3" s="8"/>
      <c r="ALZ3" s="8"/>
      <c r="AMA3" s="8"/>
      <c r="AMB3" s="8"/>
      <c r="AMC3" s="8"/>
      <c r="AMD3" s="8"/>
      <c r="AME3" s="8"/>
      <c r="AMF3" s="8"/>
      <c r="AMG3" s="8"/>
      <c r="AMH3" s="8"/>
    </row>
    <row r="4" spans="1:1022" x14ac:dyDescent="0.15">
      <c r="A4" s="8" t="s">
        <v>2138</v>
      </c>
      <c r="B4" s="8" t="s">
        <v>158</v>
      </c>
      <c r="C4" s="8" t="str">
        <f>B4&amp;":"&amp;A4</f>
        <v>att_organism:UP000002311</v>
      </c>
      <c r="D4" s="8" t="s">
        <v>2139</v>
      </c>
      <c r="E4" s="8" t="s">
        <v>2140</v>
      </c>
      <c r="F4" s="8" t="s">
        <v>2141</v>
      </c>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c r="VY4" s="8"/>
      <c r="VZ4" s="8"/>
      <c r="WA4" s="8"/>
      <c r="WB4" s="8"/>
      <c r="WC4" s="8"/>
      <c r="WD4" s="8"/>
      <c r="WE4" s="8"/>
      <c r="WF4" s="8"/>
      <c r="WG4" s="8"/>
      <c r="WH4" s="8"/>
      <c r="WI4" s="8"/>
      <c r="WJ4" s="8"/>
      <c r="WK4" s="8"/>
      <c r="WL4" s="8"/>
      <c r="WM4" s="8"/>
      <c r="WN4" s="8"/>
      <c r="WO4" s="8"/>
      <c r="WP4" s="8"/>
      <c r="WQ4" s="8"/>
      <c r="WR4" s="8"/>
      <c r="WS4" s="8"/>
      <c r="WT4" s="8"/>
      <c r="WU4" s="8"/>
      <c r="WV4" s="8"/>
      <c r="WW4" s="8"/>
      <c r="WX4" s="8"/>
      <c r="WY4" s="8"/>
      <c r="WZ4" s="8"/>
      <c r="XA4" s="8"/>
      <c r="XB4" s="8"/>
      <c r="XC4" s="8"/>
      <c r="XD4" s="8"/>
      <c r="XE4" s="8"/>
      <c r="XF4" s="8"/>
      <c r="XG4" s="8"/>
      <c r="XH4" s="8"/>
      <c r="XI4" s="8"/>
      <c r="XJ4" s="8"/>
      <c r="XK4" s="8"/>
      <c r="XL4" s="8"/>
      <c r="XM4" s="8"/>
      <c r="XN4" s="8"/>
      <c r="XO4" s="8"/>
      <c r="XP4" s="8"/>
      <c r="XQ4" s="8"/>
      <c r="XR4" s="8"/>
      <c r="XS4" s="8"/>
      <c r="XT4" s="8"/>
      <c r="XU4" s="8"/>
      <c r="XV4" s="8"/>
      <c r="XW4" s="8"/>
      <c r="XX4" s="8"/>
      <c r="XY4" s="8"/>
      <c r="XZ4" s="8"/>
      <c r="YA4" s="8"/>
      <c r="YB4" s="8"/>
      <c r="YC4" s="8"/>
      <c r="YD4" s="8"/>
      <c r="YE4" s="8"/>
      <c r="YF4" s="8"/>
      <c r="YG4" s="8"/>
      <c r="YH4" s="8"/>
      <c r="YI4" s="8"/>
      <c r="YJ4" s="8"/>
      <c r="YK4" s="8"/>
      <c r="YL4" s="8"/>
      <c r="YM4" s="8"/>
      <c r="YN4" s="8"/>
      <c r="YO4" s="8"/>
      <c r="YP4" s="8"/>
      <c r="YQ4" s="8"/>
      <c r="YR4" s="8"/>
      <c r="YS4" s="8"/>
      <c r="YT4" s="8"/>
      <c r="YU4" s="8"/>
      <c r="YV4" s="8"/>
      <c r="YW4" s="8"/>
      <c r="YX4" s="8"/>
      <c r="YY4" s="8"/>
      <c r="YZ4" s="8"/>
      <c r="ZA4" s="8"/>
      <c r="ZB4" s="8"/>
      <c r="ZC4" s="8"/>
      <c r="ZD4" s="8"/>
      <c r="ZE4" s="8"/>
      <c r="ZF4" s="8"/>
      <c r="ZG4" s="8"/>
      <c r="ZH4" s="8"/>
      <c r="ZI4" s="8"/>
      <c r="ZJ4" s="8"/>
      <c r="ZK4" s="8"/>
      <c r="ZL4" s="8"/>
      <c r="ZM4" s="8"/>
      <c r="ZN4" s="8"/>
      <c r="ZO4" s="8"/>
      <c r="ZP4" s="8"/>
      <c r="ZQ4" s="8"/>
      <c r="ZR4" s="8"/>
      <c r="ZS4" s="8"/>
      <c r="ZT4" s="8"/>
      <c r="ZU4" s="8"/>
      <c r="ZV4" s="8"/>
      <c r="ZW4" s="8"/>
      <c r="ZX4" s="8"/>
      <c r="ZY4" s="8"/>
      <c r="ZZ4" s="8"/>
      <c r="AAA4" s="8"/>
      <c r="AAB4" s="8"/>
      <c r="AAC4" s="8"/>
      <c r="AAD4" s="8"/>
      <c r="AAE4" s="8"/>
      <c r="AAF4" s="8"/>
      <c r="AAG4" s="8"/>
      <c r="AAH4" s="8"/>
      <c r="AAI4" s="8"/>
      <c r="AAJ4" s="8"/>
      <c r="AAK4" s="8"/>
      <c r="AAL4" s="8"/>
      <c r="AAM4" s="8"/>
      <c r="AAN4" s="8"/>
      <c r="AAO4" s="8"/>
      <c r="AAP4" s="8"/>
      <c r="AAQ4" s="8"/>
      <c r="AAR4" s="8"/>
      <c r="AAS4" s="8"/>
      <c r="AAT4" s="8"/>
      <c r="AAU4" s="8"/>
      <c r="AAV4" s="8"/>
      <c r="AAW4" s="8"/>
      <c r="AAX4" s="8"/>
      <c r="AAY4" s="8"/>
      <c r="AAZ4" s="8"/>
      <c r="ABA4" s="8"/>
      <c r="ABB4" s="8"/>
      <c r="ABC4" s="8"/>
      <c r="ABD4" s="8"/>
      <c r="ABE4" s="8"/>
      <c r="ABF4" s="8"/>
      <c r="ABG4" s="8"/>
      <c r="ABH4" s="8"/>
      <c r="ABI4" s="8"/>
      <c r="ABJ4" s="8"/>
      <c r="ABK4" s="8"/>
      <c r="ABL4" s="8"/>
      <c r="ABM4" s="8"/>
      <c r="ABN4" s="8"/>
      <c r="ABO4" s="8"/>
      <c r="ABP4" s="8"/>
      <c r="ABQ4" s="8"/>
      <c r="ABR4" s="8"/>
      <c r="ABS4" s="8"/>
      <c r="ABT4" s="8"/>
      <c r="ABU4" s="8"/>
      <c r="ABV4" s="8"/>
      <c r="ABW4" s="8"/>
      <c r="ABX4" s="8"/>
      <c r="ABY4" s="8"/>
      <c r="ABZ4" s="8"/>
      <c r="ACA4" s="8"/>
      <c r="ACB4" s="8"/>
      <c r="ACC4" s="8"/>
      <c r="ACD4" s="8"/>
      <c r="ACE4" s="8"/>
      <c r="ACF4" s="8"/>
      <c r="ACG4" s="8"/>
      <c r="ACH4" s="8"/>
      <c r="ACI4" s="8"/>
      <c r="ACJ4" s="8"/>
      <c r="ACK4" s="8"/>
      <c r="ACL4" s="8"/>
      <c r="ACM4" s="8"/>
      <c r="ACN4" s="8"/>
      <c r="ACO4" s="8"/>
      <c r="ACP4" s="8"/>
      <c r="ACQ4" s="8"/>
      <c r="ACR4" s="8"/>
      <c r="ACS4" s="8"/>
      <c r="ACT4" s="8"/>
      <c r="ACU4" s="8"/>
      <c r="ACV4" s="8"/>
      <c r="ACW4" s="8"/>
      <c r="ACX4" s="8"/>
      <c r="ACY4" s="8"/>
      <c r="ACZ4" s="8"/>
      <c r="ADA4" s="8"/>
      <c r="ADB4" s="8"/>
      <c r="ADC4" s="8"/>
      <c r="ADD4" s="8"/>
      <c r="ADE4" s="8"/>
      <c r="ADF4" s="8"/>
      <c r="ADG4" s="8"/>
      <c r="ADH4" s="8"/>
      <c r="ADI4" s="8"/>
      <c r="ADJ4" s="8"/>
      <c r="ADK4" s="8"/>
      <c r="ADL4" s="8"/>
      <c r="ADM4" s="8"/>
      <c r="ADN4" s="8"/>
      <c r="ADO4" s="8"/>
      <c r="ADP4" s="8"/>
      <c r="ADQ4" s="8"/>
      <c r="ADR4" s="8"/>
      <c r="ADS4" s="8"/>
      <c r="ADT4" s="8"/>
      <c r="ADU4" s="8"/>
      <c r="ADV4" s="8"/>
      <c r="ADW4" s="8"/>
      <c r="ADX4" s="8"/>
      <c r="ADY4" s="8"/>
      <c r="ADZ4" s="8"/>
      <c r="AEA4" s="8"/>
      <c r="AEB4" s="8"/>
      <c r="AEC4" s="8"/>
      <c r="AED4" s="8"/>
      <c r="AEE4" s="8"/>
      <c r="AEF4" s="8"/>
      <c r="AEG4" s="8"/>
      <c r="AEH4" s="8"/>
      <c r="AEI4" s="8"/>
      <c r="AEJ4" s="8"/>
      <c r="AEK4" s="8"/>
      <c r="AEL4" s="8"/>
      <c r="AEM4" s="8"/>
      <c r="AEN4" s="8"/>
      <c r="AEO4" s="8"/>
      <c r="AEP4" s="8"/>
      <c r="AEQ4" s="8"/>
      <c r="AER4" s="8"/>
      <c r="AES4" s="8"/>
      <c r="AET4" s="8"/>
      <c r="AEU4" s="8"/>
      <c r="AEV4" s="8"/>
      <c r="AEW4" s="8"/>
      <c r="AEX4" s="8"/>
      <c r="AEY4" s="8"/>
      <c r="AEZ4" s="8"/>
      <c r="AFA4" s="8"/>
      <c r="AFB4" s="8"/>
      <c r="AFC4" s="8"/>
      <c r="AFD4" s="8"/>
      <c r="AFE4" s="8"/>
      <c r="AFF4" s="8"/>
      <c r="AFG4" s="8"/>
      <c r="AFH4" s="8"/>
      <c r="AFI4" s="8"/>
      <c r="AFJ4" s="8"/>
      <c r="AFK4" s="8"/>
      <c r="AFL4" s="8"/>
      <c r="AFM4" s="8"/>
      <c r="AFN4" s="8"/>
      <c r="AFO4" s="8"/>
      <c r="AFP4" s="8"/>
      <c r="AFQ4" s="8"/>
      <c r="AFR4" s="8"/>
      <c r="AFS4" s="8"/>
      <c r="AFT4" s="8"/>
      <c r="AFU4" s="8"/>
      <c r="AFV4" s="8"/>
      <c r="AFW4" s="8"/>
      <c r="AFX4" s="8"/>
      <c r="AFY4" s="8"/>
      <c r="AFZ4" s="8"/>
      <c r="AGA4" s="8"/>
      <c r="AGB4" s="8"/>
      <c r="AGC4" s="8"/>
      <c r="AGD4" s="8"/>
      <c r="AGE4" s="8"/>
      <c r="AGF4" s="8"/>
      <c r="AGG4" s="8"/>
      <c r="AGH4" s="8"/>
      <c r="AGI4" s="8"/>
      <c r="AGJ4" s="8"/>
      <c r="AGK4" s="8"/>
      <c r="AGL4" s="8"/>
      <c r="AGM4" s="8"/>
      <c r="AGN4" s="8"/>
      <c r="AGO4" s="8"/>
      <c r="AGP4" s="8"/>
      <c r="AGQ4" s="8"/>
      <c r="AGR4" s="8"/>
      <c r="AGS4" s="8"/>
      <c r="AGT4" s="8"/>
      <c r="AGU4" s="8"/>
      <c r="AGV4" s="8"/>
      <c r="AGW4" s="8"/>
      <c r="AGX4" s="8"/>
      <c r="AGY4" s="8"/>
      <c r="AGZ4" s="8"/>
      <c r="AHA4" s="8"/>
      <c r="AHB4" s="8"/>
      <c r="AHC4" s="8"/>
      <c r="AHD4" s="8"/>
      <c r="AHE4" s="8"/>
      <c r="AHF4" s="8"/>
      <c r="AHG4" s="8"/>
      <c r="AHH4" s="8"/>
      <c r="AHI4" s="8"/>
      <c r="AHJ4" s="8"/>
      <c r="AHK4" s="8"/>
      <c r="AHL4" s="8"/>
      <c r="AHM4" s="8"/>
      <c r="AHN4" s="8"/>
      <c r="AHO4" s="8"/>
      <c r="AHP4" s="8"/>
      <c r="AHQ4" s="8"/>
      <c r="AHR4" s="8"/>
      <c r="AHS4" s="8"/>
      <c r="AHT4" s="8"/>
      <c r="AHU4" s="8"/>
      <c r="AHV4" s="8"/>
      <c r="AHW4" s="8"/>
      <c r="AHX4" s="8"/>
      <c r="AHY4" s="8"/>
      <c r="AHZ4" s="8"/>
      <c r="AIA4" s="8"/>
      <c r="AIB4" s="8"/>
      <c r="AIC4" s="8"/>
      <c r="AID4" s="8"/>
      <c r="AIE4" s="8"/>
      <c r="AIF4" s="8"/>
      <c r="AIG4" s="8"/>
      <c r="AIH4" s="8"/>
      <c r="AII4" s="8"/>
      <c r="AIJ4" s="8"/>
      <c r="AIK4" s="8"/>
      <c r="AIL4" s="8"/>
      <c r="AIM4" s="8"/>
      <c r="AIN4" s="8"/>
      <c r="AIO4" s="8"/>
      <c r="AIP4" s="8"/>
      <c r="AIQ4" s="8"/>
      <c r="AIR4" s="8"/>
      <c r="AIS4" s="8"/>
      <c r="AIT4" s="8"/>
      <c r="AIU4" s="8"/>
      <c r="AIV4" s="8"/>
      <c r="AIW4" s="8"/>
      <c r="AIX4" s="8"/>
      <c r="AIY4" s="8"/>
      <c r="AIZ4" s="8"/>
      <c r="AJA4" s="8"/>
      <c r="AJB4" s="8"/>
      <c r="AJC4" s="8"/>
      <c r="AJD4" s="8"/>
      <c r="AJE4" s="8"/>
      <c r="AJF4" s="8"/>
      <c r="AJG4" s="8"/>
      <c r="AJH4" s="8"/>
      <c r="AJI4" s="8"/>
      <c r="AJJ4" s="8"/>
      <c r="AJK4" s="8"/>
      <c r="AJL4" s="8"/>
      <c r="AJM4" s="8"/>
      <c r="AJN4" s="8"/>
      <c r="AJO4" s="8"/>
      <c r="AJP4" s="8"/>
      <c r="AJQ4" s="8"/>
      <c r="AJR4" s="8"/>
      <c r="AJS4" s="8"/>
      <c r="AJT4" s="8"/>
      <c r="AJU4" s="8"/>
      <c r="AJV4" s="8"/>
      <c r="AJW4" s="8"/>
      <c r="AJX4" s="8"/>
      <c r="AJY4" s="8"/>
      <c r="AJZ4" s="8"/>
      <c r="AKA4" s="8"/>
      <c r="AKB4" s="8"/>
      <c r="AKC4" s="8"/>
      <c r="AKD4" s="8"/>
      <c r="AKE4" s="8"/>
      <c r="AKF4" s="8"/>
      <c r="AKG4" s="8"/>
      <c r="AKH4" s="8"/>
      <c r="AKI4" s="8"/>
      <c r="AKJ4" s="8"/>
      <c r="AKK4" s="8"/>
      <c r="AKL4" s="8"/>
      <c r="AKM4" s="8"/>
      <c r="AKN4" s="8"/>
      <c r="AKO4" s="8"/>
      <c r="AKP4" s="8"/>
      <c r="AKQ4" s="8"/>
      <c r="AKR4" s="8"/>
      <c r="AKS4" s="8"/>
      <c r="AKT4" s="8"/>
      <c r="AKU4" s="8"/>
      <c r="AKV4" s="8"/>
      <c r="AKW4" s="8"/>
      <c r="AKX4" s="8"/>
      <c r="AKY4" s="8"/>
      <c r="AKZ4" s="8"/>
      <c r="ALA4" s="8"/>
      <c r="ALB4" s="8"/>
      <c r="ALC4" s="8"/>
      <c r="ALD4" s="8"/>
      <c r="ALE4" s="8"/>
      <c r="ALF4" s="8"/>
      <c r="ALG4" s="8"/>
      <c r="ALH4" s="8"/>
      <c r="ALI4" s="8"/>
      <c r="ALJ4" s="8"/>
      <c r="ALK4" s="8"/>
      <c r="ALL4" s="8"/>
      <c r="ALM4" s="8"/>
      <c r="ALN4" s="8"/>
      <c r="ALO4" s="8"/>
      <c r="ALP4" s="8"/>
      <c r="ALQ4" s="8"/>
      <c r="ALR4" s="8"/>
      <c r="ALS4" s="8"/>
      <c r="ALT4" s="8"/>
      <c r="ALU4" s="8"/>
      <c r="ALV4" s="8"/>
      <c r="ALW4" s="8"/>
      <c r="ALX4" s="8"/>
      <c r="ALY4" s="8"/>
      <c r="ALZ4" s="8"/>
      <c r="AMA4" s="8"/>
      <c r="AMB4" s="8"/>
      <c r="AMC4" s="8"/>
      <c r="AMD4" s="8"/>
      <c r="AME4" s="8"/>
      <c r="AMF4" s="8"/>
      <c r="AMG4" s="8"/>
      <c r="AMH4" s="8"/>
    </row>
    <row r="5" spans="1:1022" x14ac:dyDescent="0.15">
      <c r="A5" s="8" t="s">
        <v>2142</v>
      </c>
      <c r="B5" s="8" t="s">
        <v>158</v>
      </c>
      <c r="C5" s="8" t="str">
        <f>B5&amp;":"&amp;A5</f>
        <v>att_organism:UP000002494</v>
      </c>
      <c r="D5" s="8" t="s">
        <v>2143</v>
      </c>
      <c r="E5" s="8" t="s">
        <v>2144</v>
      </c>
      <c r="F5" s="8" t="s">
        <v>2145</v>
      </c>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8"/>
      <c r="JT5" s="8"/>
      <c r="JU5" s="8"/>
      <c r="JV5" s="8"/>
      <c r="JW5" s="8"/>
      <c r="JX5" s="8"/>
      <c r="JY5" s="8"/>
      <c r="JZ5" s="8"/>
      <c r="KA5" s="8"/>
      <c r="KB5" s="8"/>
      <c r="KC5" s="8"/>
      <c r="KD5" s="8"/>
      <c r="KE5" s="8"/>
      <c r="KF5" s="8"/>
      <c r="KG5" s="8"/>
      <c r="KH5" s="8"/>
      <c r="KI5" s="8"/>
      <c r="KJ5" s="8"/>
      <c r="KK5" s="8"/>
      <c r="KL5" s="8"/>
      <c r="KM5" s="8"/>
      <c r="KN5" s="8"/>
      <c r="KO5" s="8"/>
      <c r="KP5" s="8"/>
      <c r="KQ5" s="8"/>
      <c r="KR5" s="8"/>
      <c r="KS5" s="8"/>
      <c r="KT5" s="8"/>
      <c r="KU5" s="8"/>
      <c r="KV5" s="8"/>
      <c r="KW5" s="8"/>
      <c r="KX5" s="8"/>
      <c r="KY5" s="8"/>
      <c r="KZ5" s="8"/>
      <c r="LA5" s="8"/>
      <c r="LB5" s="8"/>
      <c r="LC5" s="8"/>
      <c r="LD5" s="8"/>
      <c r="LE5" s="8"/>
      <c r="LF5" s="8"/>
      <c r="LG5" s="8"/>
      <c r="LH5" s="8"/>
      <c r="LI5" s="8"/>
      <c r="LJ5" s="8"/>
      <c r="LK5" s="8"/>
      <c r="LL5" s="8"/>
      <c r="LM5" s="8"/>
      <c r="LN5" s="8"/>
      <c r="LO5" s="8"/>
      <c r="LP5" s="8"/>
      <c r="LQ5" s="8"/>
      <c r="LR5" s="8"/>
      <c r="LS5" s="8"/>
      <c r="LT5" s="8"/>
      <c r="LU5" s="8"/>
      <c r="LV5" s="8"/>
      <c r="LW5" s="8"/>
      <c r="LX5" s="8"/>
      <c r="LY5" s="8"/>
      <c r="LZ5" s="8"/>
      <c r="MA5" s="8"/>
      <c r="MB5" s="8"/>
      <c r="MC5" s="8"/>
      <c r="MD5" s="8"/>
      <c r="ME5" s="8"/>
      <c r="MF5" s="8"/>
      <c r="MG5" s="8"/>
      <c r="MH5" s="8"/>
      <c r="MI5" s="8"/>
      <c r="MJ5" s="8"/>
      <c r="MK5" s="8"/>
      <c r="ML5" s="8"/>
      <c r="MM5" s="8"/>
      <c r="MN5" s="8"/>
      <c r="MO5" s="8"/>
      <c r="MP5" s="8"/>
      <c r="MQ5" s="8"/>
      <c r="MR5" s="8"/>
      <c r="MS5" s="8"/>
      <c r="MT5" s="8"/>
      <c r="MU5" s="8"/>
      <c r="MV5" s="8"/>
      <c r="MW5" s="8"/>
      <c r="MX5" s="8"/>
      <c r="MY5" s="8"/>
      <c r="MZ5" s="8"/>
      <c r="NA5" s="8"/>
      <c r="NB5" s="8"/>
      <c r="NC5" s="8"/>
      <c r="ND5" s="8"/>
      <c r="NE5" s="8"/>
      <c r="NF5" s="8"/>
      <c r="NG5" s="8"/>
      <c r="NH5" s="8"/>
      <c r="NI5" s="8"/>
      <c r="NJ5" s="8"/>
      <c r="NK5" s="8"/>
      <c r="NL5" s="8"/>
      <c r="NM5" s="8"/>
      <c r="NN5" s="8"/>
      <c r="NO5" s="8"/>
      <c r="NP5" s="8"/>
      <c r="NQ5" s="8"/>
      <c r="NR5" s="8"/>
      <c r="NS5" s="8"/>
      <c r="NT5" s="8"/>
      <c r="NU5" s="8"/>
      <c r="NV5" s="8"/>
      <c r="NW5" s="8"/>
      <c r="NX5" s="8"/>
      <c r="NY5" s="8"/>
      <c r="NZ5" s="8"/>
      <c r="OA5" s="8"/>
      <c r="OB5" s="8"/>
      <c r="OC5" s="8"/>
      <c r="OD5" s="8"/>
      <c r="OE5" s="8"/>
      <c r="OF5" s="8"/>
      <c r="OG5" s="8"/>
      <c r="OH5" s="8"/>
      <c r="OI5" s="8"/>
      <c r="OJ5" s="8"/>
      <c r="OK5" s="8"/>
      <c r="OL5" s="8"/>
      <c r="OM5" s="8"/>
      <c r="ON5" s="8"/>
      <c r="OO5" s="8"/>
      <c r="OP5" s="8"/>
      <c r="OQ5" s="8"/>
      <c r="OR5" s="8"/>
      <c r="OS5" s="8"/>
      <c r="OT5" s="8"/>
      <c r="OU5" s="8"/>
      <c r="OV5" s="8"/>
      <c r="OW5" s="8"/>
      <c r="OX5" s="8"/>
      <c r="OY5" s="8"/>
      <c r="OZ5" s="8"/>
      <c r="PA5" s="8"/>
      <c r="PB5" s="8"/>
      <c r="PC5" s="8"/>
      <c r="PD5" s="8"/>
      <c r="PE5" s="8"/>
      <c r="PF5" s="8"/>
      <c r="PG5" s="8"/>
      <c r="PH5" s="8"/>
      <c r="PI5" s="8"/>
      <c r="PJ5" s="8"/>
      <c r="PK5" s="8"/>
      <c r="PL5" s="8"/>
      <c r="PM5" s="8"/>
      <c r="PN5" s="8"/>
      <c r="PO5" s="8"/>
      <c r="PP5" s="8"/>
      <c r="PQ5" s="8"/>
      <c r="PR5" s="8"/>
      <c r="PS5" s="8"/>
      <c r="PT5" s="8"/>
      <c r="PU5" s="8"/>
      <c r="PV5" s="8"/>
      <c r="PW5" s="8"/>
      <c r="PX5" s="8"/>
      <c r="PY5" s="8"/>
      <c r="PZ5" s="8"/>
      <c r="QA5" s="8"/>
      <c r="QB5" s="8"/>
      <c r="QC5" s="8"/>
      <c r="QD5" s="8"/>
      <c r="QE5" s="8"/>
      <c r="QF5" s="8"/>
      <c r="QG5" s="8"/>
      <c r="QH5" s="8"/>
      <c r="QI5" s="8"/>
      <c r="QJ5" s="8"/>
      <c r="QK5" s="8"/>
      <c r="QL5" s="8"/>
      <c r="QM5" s="8"/>
      <c r="QN5" s="8"/>
      <c r="QO5" s="8"/>
      <c r="QP5" s="8"/>
      <c r="QQ5" s="8"/>
      <c r="QR5" s="8"/>
      <c r="QS5" s="8"/>
      <c r="QT5" s="8"/>
      <c r="QU5" s="8"/>
      <c r="QV5" s="8"/>
      <c r="QW5" s="8"/>
      <c r="QX5" s="8"/>
      <c r="QY5" s="8"/>
      <c r="QZ5" s="8"/>
      <c r="RA5" s="8"/>
      <c r="RB5" s="8"/>
      <c r="RC5" s="8"/>
      <c r="RD5" s="8"/>
      <c r="RE5" s="8"/>
      <c r="RF5" s="8"/>
      <c r="RG5" s="8"/>
      <c r="RH5" s="8"/>
      <c r="RI5" s="8"/>
      <c r="RJ5" s="8"/>
      <c r="RK5" s="8"/>
      <c r="RL5" s="8"/>
      <c r="RM5" s="8"/>
      <c r="RN5" s="8"/>
      <c r="RO5" s="8"/>
      <c r="RP5" s="8"/>
      <c r="RQ5" s="8"/>
      <c r="RR5" s="8"/>
      <c r="RS5" s="8"/>
      <c r="RT5" s="8"/>
      <c r="RU5" s="8"/>
      <c r="RV5" s="8"/>
      <c r="RW5" s="8"/>
      <c r="RX5" s="8"/>
      <c r="RY5" s="8"/>
      <c r="RZ5" s="8"/>
      <c r="SA5" s="8"/>
      <c r="SB5" s="8"/>
      <c r="SC5" s="8"/>
      <c r="SD5" s="8"/>
      <c r="SE5" s="8"/>
      <c r="SF5" s="8"/>
      <c r="SG5" s="8"/>
      <c r="SH5" s="8"/>
      <c r="SI5" s="8"/>
      <c r="SJ5" s="8"/>
      <c r="SK5" s="8"/>
      <c r="SL5" s="8"/>
      <c r="SM5" s="8"/>
      <c r="SN5" s="8"/>
      <c r="SO5" s="8"/>
      <c r="SP5" s="8"/>
      <c r="SQ5" s="8"/>
      <c r="SR5" s="8"/>
      <c r="SS5" s="8"/>
      <c r="ST5" s="8"/>
      <c r="SU5" s="8"/>
      <c r="SV5" s="8"/>
      <c r="SW5" s="8"/>
      <c r="SX5" s="8"/>
      <c r="SY5" s="8"/>
      <c r="SZ5" s="8"/>
      <c r="TA5" s="8"/>
      <c r="TB5" s="8"/>
      <c r="TC5" s="8"/>
      <c r="TD5" s="8"/>
      <c r="TE5" s="8"/>
      <c r="TF5" s="8"/>
      <c r="TG5" s="8"/>
      <c r="TH5" s="8"/>
      <c r="TI5" s="8"/>
      <c r="TJ5" s="8"/>
      <c r="TK5" s="8"/>
      <c r="TL5" s="8"/>
      <c r="TM5" s="8"/>
      <c r="TN5" s="8"/>
      <c r="TO5" s="8"/>
      <c r="TP5" s="8"/>
      <c r="TQ5" s="8"/>
      <c r="TR5" s="8"/>
      <c r="TS5" s="8"/>
      <c r="TT5" s="8"/>
      <c r="TU5" s="8"/>
      <c r="TV5" s="8"/>
      <c r="TW5" s="8"/>
      <c r="TX5" s="8"/>
      <c r="TY5" s="8"/>
      <c r="TZ5" s="8"/>
      <c r="UA5" s="8"/>
      <c r="UB5" s="8"/>
      <c r="UC5" s="8"/>
      <c r="UD5" s="8"/>
      <c r="UE5" s="8"/>
      <c r="UF5" s="8"/>
      <c r="UG5" s="8"/>
      <c r="UH5" s="8"/>
      <c r="UI5" s="8"/>
      <c r="UJ5" s="8"/>
      <c r="UK5" s="8"/>
      <c r="UL5" s="8"/>
      <c r="UM5" s="8"/>
      <c r="UN5" s="8"/>
      <c r="UO5" s="8"/>
      <c r="UP5" s="8"/>
      <c r="UQ5" s="8"/>
      <c r="UR5" s="8"/>
      <c r="US5" s="8"/>
      <c r="UT5" s="8"/>
      <c r="UU5" s="8"/>
      <c r="UV5" s="8"/>
      <c r="UW5" s="8"/>
      <c r="UX5" s="8"/>
      <c r="UY5" s="8"/>
      <c r="UZ5" s="8"/>
      <c r="VA5" s="8"/>
      <c r="VB5" s="8"/>
      <c r="VC5" s="8"/>
      <c r="VD5" s="8"/>
      <c r="VE5" s="8"/>
      <c r="VF5" s="8"/>
      <c r="VG5" s="8"/>
      <c r="VH5" s="8"/>
      <c r="VI5" s="8"/>
      <c r="VJ5" s="8"/>
      <c r="VK5" s="8"/>
      <c r="VL5" s="8"/>
      <c r="VM5" s="8"/>
      <c r="VN5" s="8"/>
      <c r="VO5" s="8"/>
      <c r="VP5" s="8"/>
      <c r="VQ5" s="8"/>
      <c r="VR5" s="8"/>
      <c r="VS5" s="8"/>
      <c r="VT5" s="8"/>
      <c r="VU5" s="8"/>
      <c r="VV5" s="8"/>
      <c r="VW5" s="8"/>
      <c r="VX5" s="8"/>
      <c r="VY5" s="8"/>
      <c r="VZ5" s="8"/>
      <c r="WA5" s="8"/>
      <c r="WB5" s="8"/>
      <c r="WC5" s="8"/>
      <c r="WD5" s="8"/>
      <c r="WE5" s="8"/>
      <c r="WF5" s="8"/>
      <c r="WG5" s="8"/>
      <c r="WH5" s="8"/>
      <c r="WI5" s="8"/>
      <c r="WJ5" s="8"/>
      <c r="WK5" s="8"/>
      <c r="WL5" s="8"/>
      <c r="WM5" s="8"/>
      <c r="WN5" s="8"/>
      <c r="WO5" s="8"/>
      <c r="WP5" s="8"/>
      <c r="WQ5" s="8"/>
      <c r="WR5" s="8"/>
      <c r="WS5" s="8"/>
      <c r="WT5" s="8"/>
      <c r="WU5" s="8"/>
      <c r="WV5" s="8"/>
      <c r="WW5" s="8"/>
      <c r="WX5" s="8"/>
      <c r="WY5" s="8"/>
      <c r="WZ5" s="8"/>
      <c r="XA5" s="8"/>
      <c r="XB5" s="8"/>
      <c r="XC5" s="8"/>
      <c r="XD5" s="8"/>
      <c r="XE5" s="8"/>
      <c r="XF5" s="8"/>
      <c r="XG5" s="8"/>
      <c r="XH5" s="8"/>
      <c r="XI5" s="8"/>
      <c r="XJ5" s="8"/>
      <c r="XK5" s="8"/>
      <c r="XL5" s="8"/>
      <c r="XM5" s="8"/>
      <c r="XN5" s="8"/>
      <c r="XO5" s="8"/>
      <c r="XP5" s="8"/>
      <c r="XQ5" s="8"/>
      <c r="XR5" s="8"/>
      <c r="XS5" s="8"/>
      <c r="XT5" s="8"/>
      <c r="XU5" s="8"/>
      <c r="XV5" s="8"/>
      <c r="XW5" s="8"/>
      <c r="XX5" s="8"/>
      <c r="XY5" s="8"/>
      <c r="XZ5" s="8"/>
      <c r="YA5" s="8"/>
      <c r="YB5" s="8"/>
      <c r="YC5" s="8"/>
      <c r="YD5" s="8"/>
      <c r="YE5" s="8"/>
      <c r="YF5" s="8"/>
      <c r="YG5" s="8"/>
      <c r="YH5" s="8"/>
      <c r="YI5" s="8"/>
      <c r="YJ5" s="8"/>
      <c r="YK5" s="8"/>
      <c r="YL5" s="8"/>
      <c r="YM5" s="8"/>
      <c r="YN5" s="8"/>
      <c r="YO5" s="8"/>
      <c r="YP5" s="8"/>
      <c r="YQ5" s="8"/>
      <c r="YR5" s="8"/>
      <c r="YS5" s="8"/>
      <c r="YT5" s="8"/>
      <c r="YU5" s="8"/>
      <c r="YV5" s="8"/>
      <c r="YW5" s="8"/>
      <c r="YX5" s="8"/>
      <c r="YY5" s="8"/>
      <c r="YZ5" s="8"/>
      <c r="ZA5" s="8"/>
      <c r="ZB5" s="8"/>
      <c r="ZC5" s="8"/>
      <c r="ZD5" s="8"/>
      <c r="ZE5" s="8"/>
      <c r="ZF5" s="8"/>
      <c r="ZG5" s="8"/>
      <c r="ZH5" s="8"/>
      <c r="ZI5" s="8"/>
      <c r="ZJ5" s="8"/>
      <c r="ZK5" s="8"/>
      <c r="ZL5" s="8"/>
      <c r="ZM5" s="8"/>
      <c r="ZN5" s="8"/>
      <c r="ZO5" s="8"/>
      <c r="ZP5" s="8"/>
      <c r="ZQ5" s="8"/>
      <c r="ZR5" s="8"/>
      <c r="ZS5" s="8"/>
      <c r="ZT5" s="8"/>
      <c r="ZU5" s="8"/>
      <c r="ZV5" s="8"/>
      <c r="ZW5" s="8"/>
      <c r="ZX5" s="8"/>
      <c r="ZY5" s="8"/>
      <c r="ZZ5" s="8"/>
      <c r="AAA5" s="8"/>
      <c r="AAB5" s="8"/>
      <c r="AAC5" s="8"/>
      <c r="AAD5" s="8"/>
      <c r="AAE5" s="8"/>
      <c r="AAF5" s="8"/>
      <c r="AAG5" s="8"/>
      <c r="AAH5" s="8"/>
      <c r="AAI5" s="8"/>
      <c r="AAJ5" s="8"/>
      <c r="AAK5" s="8"/>
      <c r="AAL5" s="8"/>
      <c r="AAM5" s="8"/>
      <c r="AAN5" s="8"/>
      <c r="AAO5" s="8"/>
      <c r="AAP5" s="8"/>
      <c r="AAQ5" s="8"/>
      <c r="AAR5" s="8"/>
      <c r="AAS5" s="8"/>
      <c r="AAT5" s="8"/>
      <c r="AAU5" s="8"/>
      <c r="AAV5" s="8"/>
      <c r="AAW5" s="8"/>
      <c r="AAX5" s="8"/>
      <c r="AAY5" s="8"/>
      <c r="AAZ5" s="8"/>
      <c r="ABA5" s="8"/>
      <c r="ABB5" s="8"/>
      <c r="ABC5" s="8"/>
      <c r="ABD5" s="8"/>
      <c r="ABE5" s="8"/>
      <c r="ABF5" s="8"/>
      <c r="ABG5" s="8"/>
      <c r="ABH5" s="8"/>
      <c r="ABI5" s="8"/>
      <c r="ABJ5" s="8"/>
      <c r="ABK5" s="8"/>
      <c r="ABL5" s="8"/>
      <c r="ABM5" s="8"/>
      <c r="ABN5" s="8"/>
      <c r="ABO5" s="8"/>
      <c r="ABP5" s="8"/>
      <c r="ABQ5" s="8"/>
      <c r="ABR5" s="8"/>
      <c r="ABS5" s="8"/>
      <c r="ABT5" s="8"/>
      <c r="ABU5" s="8"/>
      <c r="ABV5" s="8"/>
      <c r="ABW5" s="8"/>
      <c r="ABX5" s="8"/>
      <c r="ABY5" s="8"/>
      <c r="ABZ5" s="8"/>
      <c r="ACA5" s="8"/>
      <c r="ACB5" s="8"/>
      <c r="ACC5" s="8"/>
      <c r="ACD5" s="8"/>
      <c r="ACE5" s="8"/>
      <c r="ACF5" s="8"/>
      <c r="ACG5" s="8"/>
      <c r="ACH5" s="8"/>
      <c r="ACI5" s="8"/>
      <c r="ACJ5" s="8"/>
      <c r="ACK5" s="8"/>
      <c r="ACL5" s="8"/>
      <c r="ACM5" s="8"/>
      <c r="ACN5" s="8"/>
      <c r="ACO5" s="8"/>
      <c r="ACP5" s="8"/>
      <c r="ACQ5" s="8"/>
      <c r="ACR5" s="8"/>
      <c r="ACS5" s="8"/>
      <c r="ACT5" s="8"/>
      <c r="ACU5" s="8"/>
      <c r="ACV5" s="8"/>
      <c r="ACW5" s="8"/>
      <c r="ACX5" s="8"/>
      <c r="ACY5" s="8"/>
      <c r="ACZ5" s="8"/>
      <c r="ADA5" s="8"/>
      <c r="ADB5" s="8"/>
      <c r="ADC5" s="8"/>
      <c r="ADD5" s="8"/>
      <c r="ADE5" s="8"/>
      <c r="ADF5" s="8"/>
      <c r="ADG5" s="8"/>
      <c r="ADH5" s="8"/>
      <c r="ADI5" s="8"/>
      <c r="ADJ5" s="8"/>
      <c r="ADK5" s="8"/>
      <c r="ADL5" s="8"/>
      <c r="ADM5" s="8"/>
      <c r="ADN5" s="8"/>
      <c r="ADO5" s="8"/>
      <c r="ADP5" s="8"/>
      <c r="ADQ5" s="8"/>
      <c r="ADR5" s="8"/>
      <c r="ADS5" s="8"/>
      <c r="ADT5" s="8"/>
      <c r="ADU5" s="8"/>
      <c r="ADV5" s="8"/>
      <c r="ADW5" s="8"/>
      <c r="ADX5" s="8"/>
      <c r="ADY5" s="8"/>
      <c r="ADZ5" s="8"/>
      <c r="AEA5" s="8"/>
      <c r="AEB5" s="8"/>
      <c r="AEC5" s="8"/>
      <c r="AED5" s="8"/>
      <c r="AEE5" s="8"/>
      <c r="AEF5" s="8"/>
      <c r="AEG5" s="8"/>
      <c r="AEH5" s="8"/>
      <c r="AEI5" s="8"/>
      <c r="AEJ5" s="8"/>
      <c r="AEK5" s="8"/>
      <c r="AEL5" s="8"/>
      <c r="AEM5" s="8"/>
      <c r="AEN5" s="8"/>
      <c r="AEO5" s="8"/>
      <c r="AEP5" s="8"/>
      <c r="AEQ5" s="8"/>
      <c r="AER5" s="8"/>
      <c r="AES5" s="8"/>
      <c r="AET5" s="8"/>
      <c r="AEU5" s="8"/>
      <c r="AEV5" s="8"/>
      <c r="AEW5" s="8"/>
      <c r="AEX5" s="8"/>
      <c r="AEY5" s="8"/>
      <c r="AEZ5" s="8"/>
      <c r="AFA5" s="8"/>
      <c r="AFB5" s="8"/>
      <c r="AFC5" s="8"/>
      <c r="AFD5" s="8"/>
      <c r="AFE5" s="8"/>
      <c r="AFF5" s="8"/>
      <c r="AFG5" s="8"/>
      <c r="AFH5" s="8"/>
      <c r="AFI5" s="8"/>
      <c r="AFJ5" s="8"/>
      <c r="AFK5" s="8"/>
      <c r="AFL5" s="8"/>
      <c r="AFM5" s="8"/>
      <c r="AFN5" s="8"/>
      <c r="AFO5" s="8"/>
      <c r="AFP5" s="8"/>
      <c r="AFQ5" s="8"/>
      <c r="AFR5" s="8"/>
      <c r="AFS5" s="8"/>
      <c r="AFT5" s="8"/>
      <c r="AFU5" s="8"/>
      <c r="AFV5" s="8"/>
      <c r="AFW5" s="8"/>
      <c r="AFX5" s="8"/>
      <c r="AFY5" s="8"/>
      <c r="AFZ5" s="8"/>
      <c r="AGA5" s="8"/>
      <c r="AGB5" s="8"/>
      <c r="AGC5" s="8"/>
      <c r="AGD5" s="8"/>
      <c r="AGE5" s="8"/>
      <c r="AGF5" s="8"/>
      <c r="AGG5" s="8"/>
      <c r="AGH5" s="8"/>
      <c r="AGI5" s="8"/>
      <c r="AGJ5" s="8"/>
      <c r="AGK5" s="8"/>
      <c r="AGL5" s="8"/>
      <c r="AGM5" s="8"/>
      <c r="AGN5" s="8"/>
      <c r="AGO5" s="8"/>
      <c r="AGP5" s="8"/>
      <c r="AGQ5" s="8"/>
      <c r="AGR5" s="8"/>
      <c r="AGS5" s="8"/>
      <c r="AGT5" s="8"/>
      <c r="AGU5" s="8"/>
      <c r="AGV5" s="8"/>
      <c r="AGW5" s="8"/>
      <c r="AGX5" s="8"/>
      <c r="AGY5" s="8"/>
      <c r="AGZ5" s="8"/>
      <c r="AHA5" s="8"/>
      <c r="AHB5" s="8"/>
      <c r="AHC5" s="8"/>
      <c r="AHD5" s="8"/>
      <c r="AHE5" s="8"/>
      <c r="AHF5" s="8"/>
      <c r="AHG5" s="8"/>
      <c r="AHH5" s="8"/>
      <c r="AHI5" s="8"/>
      <c r="AHJ5" s="8"/>
      <c r="AHK5" s="8"/>
      <c r="AHL5" s="8"/>
      <c r="AHM5" s="8"/>
      <c r="AHN5" s="8"/>
      <c r="AHO5" s="8"/>
      <c r="AHP5" s="8"/>
      <c r="AHQ5" s="8"/>
      <c r="AHR5" s="8"/>
      <c r="AHS5" s="8"/>
      <c r="AHT5" s="8"/>
      <c r="AHU5" s="8"/>
      <c r="AHV5" s="8"/>
      <c r="AHW5" s="8"/>
      <c r="AHX5" s="8"/>
      <c r="AHY5" s="8"/>
      <c r="AHZ5" s="8"/>
      <c r="AIA5" s="8"/>
      <c r="AIB5" s="8"/>
      <c r="AIC5" s="8"/>
      <c r="AID5" s="8"/>
      <c r="AIE5" s="8"/>
      <c r="AIF5" s="8"/>
      <c r="AIG5" s="8"/>
      <c r="AIH5" s="8"/>
      <c r="AII5" s="8"/>
      <c r="AIJ5" s="8"/>
      <c r="AIK5" s="8"/>
      <c r="AIL5" s="8"/>
      <c r="AIM5" s="8"/>
      <c r="AIN5" s="8"/>
      <c r="AIO5" s="8"/>
      <c r="AIP5" s="8"/>
      <c r="AIQ5" s="8"/>
      <c r="AIR5" s="8"/>
      <c r="AIS5" s="8"/>
      <c r="AIT5" s="8"/>
      <c r="AIU5" s="8"/>
      <c r="AIV5" s="8"/>
      <c r="AIW5" s="8"/>
      <c r="AIX5" s="8"/>
      <c r="AIY5" s="8"/>
      <c r="AIZ5" s="8"/>
      <c r="AJA5" s="8"/>
      <c r="AJB5" s="8"/>
      <c r="AJC5" s="8"/>
      <c r="AJD5" s="8"/>
      <c r="AJE5" s="8"/>
      <c r="AJF5" s="8"/>
      <c r="AJG5" s="8"/>
      <c r="AJH5" s="8"/>
      <c r="AJI5" s="8"/>
      <c r="AJJ5" s="8"/>
      <c r="AJK5" s="8"/>
      <c r="AJL5" s="8"/>
      <c r="AJM5" s="8"/>
      <c r="AJN5" s="8"/>
      <c r="AJO5" s="8"/>
      <c r="AJP5" s="8"/>
      <c r="AJQ5" s="8"/>
      <c r="AJR5" s="8"/>
      <c r="AJS5" s="8"/>
      <c r="AJT5" s="8"/>
      <c r="AJU5" s="8"/>
      <c r="AJV5" s="8"/>
      <c r="AJW5" s="8"/>
      <c r="AJX5" s="8"/>
      <c r="AJY5" s="8"/>
      <c r="AJZ5" s="8"/>
      <c r="AKA5" s="8"/>
      <c r="AKB5" s="8"/>
      <c r="AKC5" s="8"/>
      <c r="AKD5" s="8"/>
      <c r="AKE5" s="8"/>
      <c r="AKF5" s="8"/>
      <c r="AKG5" s="8"/>
      <c r="AKH5" s="8"/>
      <c r="AKI5" s="8"/>
      <c r="AKJ5" s="8"/>
      <c r="AKK5" s="8"/>
      <c r="AKL5" s="8"/>
      <c r="AKM5" s="8"/>
      <c r="AKN5" s="8"/>
      <c r="AKO5" s="8"/>
      <c r="AKP5" s="8"/>
      <c r="AKQ5" s="8"/>
      <c r="AKR5" s="8"/>
      <c r="AKS5" s="8"/>
      <c r="AKT5" s="8"/>
      <c r="AKU5" s="8"/>
      <c r="AKV5" s="8"/>
      <c r="AKW5" s="8"/>
      <c r="AKX5" s="8"/>
      <c r="AKY5" s="8"/>
      <c r="AKZ5" s="8"/>
      <c r="ALA5" s="8"/>
      <c r="ALB5" s="8"/>
      <c r="ALC5" s="8"/>
      <c r="ALD5" s="8"/>
      <c r="ALE5" s="8"/>
      <c r="ALF5" s="8"/>
      <c r="ALG5" s="8"/>
      <c r="ALH5" s="8"/>
      <c r="ALI5" s="8"/>
      <c r="ALJ5" s="8"/>
      <c r="ALK5" s="8"/>
      <c r="ALL5" s="8"/>
      <c r="ALM5" s="8"/>
      <c r="ALN5" s="8"/>
      <c r="ALO5" s="8"/>
      <c r="ALP5" s="8"/>
      <c r="ALQ5" s="8"/>
      <c r="ALR5" s="8"/>
      <c r="ALS5" s="8"/>
      <c r="ALT5" s="8"/>
      <c r="ALU5" s="8"/>
      <c r="ALV5" s="8"/>
      <c r="ALW5" s="8"/>
      <c r="ALX5" s="8"/>
      <c r="ALY5" s="8"/>
      <c r="ALZ5" s="8"/>
      <c r="AMA5" s="8"/>
      <c r="AMB5" s="8"/>
      <c r="AMC5" s="8"/>
      <c r="AMD5" s="8"/>
      <c r="AME5" s="8"/>
      <c r="AMF5" s="8"/>
      <c r="AMG5" s="8"/>
      <c r="AMH5" s="8"/>
    </row>
    <row r="6" spans="1:1022" x14ac:dyDescent="0.15">
      <c r="A6" s="8" t="s">
        <v>2146</v>
      </c>
      <c r="B6" s="8" t="s">
        <v>158</v>
      </c>
      <c r="C6" s="8" t="str">
        <f>B6&amp;":"&amp;A6</f>
        <v>att_organism:UP000005640</v>
      </c>
      <c r="D6" s="8" t="s">
        <v>2147</v>
      </c>
      <c r="E6" s="8" t="s">
        <v>2148</v>
      </c>
      <c r="F6" s="8" t="s">
        <v>2149</v>
      </c>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c r="IW6" s="8"/>
      <c r="IX6" s="8"/>
      <c r="IY6" s="8"/>
      <c r="IZ6" s="8"/>
      <c r="JA6" s="8"/>
      <c r="JB6" s="8"/>
      <c r="JC6" s="8"/>
      <c r="JD6" s="8"/>
      <c r="JE6" s="8"/>
      <c r="JF6" s="8"/>
      <c r="JG6" s="8"/>
      <c r="JH6" s="8"/>
      <c r="JI6" s="8"/>
      <c r="JJ6" s="8"/>
      <c r="JK6" s="8"/>
      <c r="JL6" s="8"/>
      <c r="JM6" s="8"/>
      <c r="JN6" s="8"/>
      <c r="JO6" s="8"/>
      <c r="JP6" s="8"/>
      <c r="JQ6" s="8"/>
      <c r="JR6" s="8"/>
      <c r="JS6" s="8"/>
      <c r="JT6" s="8"/>
      <c r="JU6" s="8"/>
      <c r="JV6" s="8"/>
      <c r="JW6" s="8"/>
      <c r="JX6" s="8"/>
      <c r="JY6" s="8"/>
      <c r="JZ6" s="8"/>
      <c r="KA6" s="8"/>
      <c r="KB6" s="8"/>
      <c r="KC6" s="8"/>
      <c r="KD6" s="8"/>
      <c r="KE6" s="8"/>
      <c r="KF6" s="8"/>
      <c r="KG6" s="8"/>
      <c r="KH6" s="8"/>
      <c r="KI6" s="8"/>
      <c r="KJ6" s="8"/>
      <c r="KK6" s="8"/>
      <c r="KL6" s="8"/>
      <c r="KM6" s="8"/>
      <c r="KN6" s="8"/>
      <c r="KO6" s="8"/>
      <c r="KP6" s="8"/>
      <c r="KQ6" s="8"/>
      <c r="KR6" s="8"/>
      <c r="KS6" s="8"/>
      <c r="KT6" s="8"/>
      <c r="KU6" s="8"/>
      <c r="KV6" s="8"/>
      <c r="KW6" s="8"/>
      <c r="KX6" s="8"/>
      <c r="KY6" s="8"/>
      <c r="KZ6" s="8"/>
      <c r="LA6" s="8"/>
      <c r="LB6" s="8"/>
      <c r="LC6" s="8"/>
      <c r="LD6" s="8"/>
      <c r="LE6" s="8"/>
      <c r="LF6" s="8"/>
      <c r="LG6" s="8"/>
      <c r="LH6" s="8"/>
      <c r="LI6" s="8"/>
      <c r="LJ6" s="8"/>
      <c r="LK6" s="8"/>
      <c r="LL6" s="8"/>
      <c r="LM6" s="8"/>
      <c r="LN6" s="8"/>
      <c r="LO6" s="8"/>
      <c r="LP6" s="8"/>
      <c r="LQ6" s="8"/>
      <c r="LR6" s="8"/>
      <c r="LS6" s="8"/>
      <c r="LT6" s="8"/>
      <c r="LU6" s="8"/>
      <c r="LV6" s="8"/>
      <c r="LW6" s="8"/>
      <c r="LX6" s="8"/>
      <c r="LY6" s="8"/>
      <c r="LZ6" s="8"/>
      <c r="MA6" s="8"/>
      <c r="MB6" s="8"/>
      <c r="MC6" s="8"/>
      <c r="MD6" s="8"/>
      <c r="ME6" s="8"/>
      <c r="MF6" s="8"/>
      <c r="MG6" s="8"/>
      <c r="MH6" s="8"/>
      <c r="MI6" s="8"/>
      <c r="MJ6" s="8"/>
      <c r="MK6" s="8"/>
      <c r="ML6" s="8"/>
      <c r="MM6" s="8"/>
      <c r="MN6" s="8"/>
      <c r="MO6" s="8"/>
      <c r="MP6" s="8"/>
      <c r="MQ6" s="8"/>
      <c r="MR6" s="8"/>
      <c r="MS6" s="8"/>
      <c r="MT6" s="8"/>
      <c r="MU6" s="8"/>
      <c r="MV6" s="8"/>
      <c r="MW6" s="8"/>
      <c r="MX6" s="8"/>
      <c r="MY6" s="8"/>
      <c r="MZ6" s="8"/>
      <c r="NA6" s="8"/>
      <c r="NB6" s="8"/>
      <c r="NC6" s="8"/>
      <c r="ND6" s="8"/>
      <c r="NE6" s="8"/>
      <c r="NF6" s="8"/>
      <c r="NG6" s="8"/>
      <c r="NH6" s="8"/>
      <c r="NI6" s="8"/>
      <c r="NJ6" s="8"/>
      <c r="NK6" s="8"/>
      <c r="NL6" s="8"/>
      <c r="NM6" s="8"/>
      <c r="NN6" s="8"/>
      <c r="NO6" s="8"/>
      <c r="NP6" s="8"/>
      <c r="NQ6" s="8"/>
      <c r="NR6" s="8"/>
      <c r="NS6" s="8"/>
      <c r="NT6" s="8"/>
      <c r="NU6" s="8"/>
      <c r="NV6" s="8"/>
      <c r="NW6" s="8"/>
      <c r="NX6" s="8"/>
      <c r="NY6" s="8"/>
      <c r="NZ6" s="8"/>
      <c r="OA6" s="8"/>
      <c r="OB6" s="8"/>
      <c r="OC6" s="8"/>
      <c r="OD6" s="8"/>
      <c r="OE6" s="8"/>
      <c r="OF6" s="8"/>
      <c r="OG6" s="8"/>
      <c r="OH6" s="8"/>
      <c r="OI6" s="8"/>
      <c r="OJ6" s="8"/>
      <c r="OK6" s="8"/>
      <c r="OL6" s="8"/>
      <c r="OM6" s="8"/>
      <c r="ON6" s="8"/>
      <c r="OO6" s="8"/>
      <c r="OP6" s="8"/>
      <c r="OQ6" s="8"/>
      <c r="OR6" s="8"/>
      <c r="OS6" s="8"/>
      <c r="OT6" s="8"/>
      <c r="OU6" s="8"/>
      <c r="OV6" s="8"/>
      <c r="OW6" s="8"/>
      <c r="OX6" s="8"/>
      <c r="OY6" s="8"/>
      <c r="OZ6" s="8"/>
      <c r="PA6" s="8"/>
      <c r="PB6" s="8"/>
      <c r="PC6" s="8"/>
      <c r="PD6" s="8"/>
      <c r="PE6" s="8"/>
      <c r="PF6" s="8"/>
      <c r="PG6" s="8"/>
      <c r="PH6" s="8"/>
      <c r="PI6" s="8"/>
      <c r="PJ6" s="8"/>
      <c r="PK6" s="8"/>
      <c r="PL6" s="8"/>
      <c r="PM6" s="8"/>
      <c r="PN6" s="8"/>
      <c r="PO6" s="8"/>
      <c r="PP6" s="8"/>
      <c r="PQ6" s="8"/>
      <c r="PR6" s="8"/>
      <c r="PS6" s="8"/>
      <c r="PT6" s="8"/>
      <c r="PU6" s="8"/>
      <c r="PV6" s="8"/>
      <c r="PW6" s="8"/>
      <c r="PX6" s="8"/>
      <c r="PY6" s="8"/>
      <c r="PZ6" s="8"/>
      <c r="QA6" s="8"/>
      <c r="QB6" s="8"/>
      <c r="QC6" s="8"/>
      <c r="QD6" s="8"/>
      <c r="QE6" s="8"/>
      <c r="QF6" s="8"/>
      <c r="QG6" s="8"/>
      <c r="QH6" s="8"/>
      <c r="QI6" s="8"/>
      <c r="QJ6" s="8"/>
      <c r="QK6" s="8"/>
      <c r="QL6" s="8"/>
      <c r="QM6" s="8"/>
      <c r="QN6" s="8"/>
      <c r="QO6" s="8"/>
      <c r="QP6" s="8"/>
      <c r="QQ6" s="8"/>
      <c r="QR6" s="8"/>
      <c r="QS6" s="8"/>
      <c r="QT6" s="8"/>
      <c r="QU6" s="8"/>
      <c r="QV6" s="8"/>
      <c r="QW6" s="8"/>
      <c r="QX6" s="8"/>
      <c r="QY6" s="8"/>
      <c r="QZ6" s="8"/>
      <c r="RA6" s="8"/>
      <c r="RB6" s="8"/>
      <c r="RC6" s="8"/>
      <c r="RD6" s="8"/>
      <c r="RE6" s="8"/>
      <c r="RF6" s="8"/>
      <c r="RG6" s="8"/>
      <c r="RH6" s="8"/>
      <c r="RI6" s="8"/>
      <c r="RJ6" s="8"/>
      <c r="RK6" s="8"/>
      <c r="RL6" s="8"/>
      <c r="RM6" s="8"/>
      <c r="RN6" s="8"/>
      <c r="RO6" s="8"/>
      <c r="RP6" s="8"/>
      <c r="RQ6" s="8"/>
      <c r="RR6" s="8"/>
      <c r="RS6" s="8"/>
      <c r="RT6" s="8"/>
      <c r="RU6" s="8"/>
      <c r="RV6" s="8"/>
      <c r="RW6" s="8"/>
      <c r="RX6" s="8"/>
      <c r="RY6" s="8"/>
      <c r="RZ6" s="8"/>
      <c r="SA6" s="8"/>
      <c r="SB6" s="8"/>
      <c r="SC6" s="8"/>
      <c r="SD6" s="8"/>
      <c r="SE6" s="8"/>
      <c r="SF6" s="8"/>
      <c r="SG6" s="8"/>
      <c r="SH6" s="8"/>
      <c r="SI6" s="8"/>
      <c r="SJ6" s="8"/>
      <c r="SK6" s="8"/>
      <c r="SL6" s="8"/>
      <c r="SM6" s="8"/>
      <c r="SN6" s="8"/>
      <c r="SO6" s="8"/>
      <c r="SP6" s="8"/>
      <c r="SQ6" s="8"/>
      <c r="SR6" s="8"/>
      <c r="SS6" s="8"/>
      <c r="ST6" s="8"/>
      <c r="SU6" s="8"/>
      <c r="SV6" s="8"/>
      <c r="SW6" s="8"/>
      <c r="SX6" s="8"/>
      <c r="SY6" s="8"/>
      <c r="SZ6" s="8"/>
      <c r="TA6" s="8"/>
      <c r="TB6" s="8"/>
      <c r="TC6" s="8"/>
      <c r="TD6" s="8"/>
      <c r="TE6" s="8"/>
      <c r="TF6" s="8"/>
      <c r="TG6" s="8"/>
      <c r="TH6" s="8"/>
      <c r="TI6" s="8"/>
      <c r="TJ6" s="8"/>
      <c r="TK6" s="8"/>
      <c r="TL6" s="8"/>
      <c r="TM6" s="8"/>
      <c r="TN6" s="8"/>
      <c r="TO6" s="8"/>
      <c r="TP6" s="8"/>
      <c r="TQ6" s="8"/>
      <c r="TR6" s="8"/>
      <c r="TS6" s="8"/>
      <c r="TT6" s="8"/>
      <c r="TU6" s="8"/>
      <c r="TV6" s="8"/>
      <c r="TW6" s="8"/>
      <c r="TX6" s="8"/>
      <c r="TY6" s="8"/>
      <c r="TZ6" s="8"/>
      <c r="UA6" s="8"/>
      <c r="UB6" s="8"/>
      <c r="UC6" s="8"/>
      <c r="UD6" s="8"/>
      <c r="UE6" s="8"/>
      <c r="UF6" s="8"/>
      <c r="UG6" s="8"/>
      <c r="UH6" s="8"/>
      <c r="UI6" s="8"/>
      <c r="UJ6" s="8"/>
      <c r="UK6" s="8"/>
      <c r="UL6" s="8"/>
      <c r="UM6" s="8"/>
      <c r="UN6" s="8"/>
      <c r="UO6" s="8"/>
      <c r="UP6" s="8"/>
      <c r="UQ6" s="8"/>
      <c r="UR6" s="8"/>
      <c r="US6" s="8"/>
      <c r="UT6" s="8"/>
      <c r="UU6" s="8"/>
      <c r="UV6" s="8"/>
      <c r="UW6" s="8"/>
      <c r="UX6" s="8"/>
      <c r="UY6" s="8"/>
      <c r="UZ6" s="8"/>
      <c r="VA6" s="8"/>
      <c r="VB6" s="8"/>
      <c r="VC6" s="8"/>
      <c r="VD6" s="8"/>
      <c r="VE6" s="8"/>
      <c r="VF6" s="8"/>
      <c r="VG6" s="8"/>
      <c r="VH6" s="8"/>
      <c r="VI6" s="8"/>
      <c r="VJ6" s="8"/>
      <c r="VK6" s="8"/>
      <c r="VL6" s="8"/>
      <c r="VM6" s="8"/>
      <c r="VN6" s="8"/>
      <c r="VO6" s="8"/>
      <c r="VP6" s="8"/>
      <c r="VQ6" s="8"/>
      <c r="VR6" s="8"/>
      <c r="VS6" s="8"/>
      <c r="VT6" s="8"/>
      <c r="VU6" s="8"/>
      <c r="VV6" s="8"/>
      <c r="VW6" s="8"/>
      <c r="VX6" s="8"/>
      <c r="VY6" s="8"/>
      <c r="VZ6" s="8"/>
      <c r="WA6" s="8"/>
      <c r="WB6" s="8"/>
      <c r="WC6" s="8"/>
      <c r="WD6" s="8"/>
      <c r="WE6" s="8"/>
      <c r="WF6" s="8"/>
      <c r="WG6" s="8"/>
      <c r="WH6" s="8"/>
      <c r="WI6" s="8"/>
      <c r="WJ6" s="8"/>
      <c r="WK6" s="8"/>
      <c r="WL6" s="8"/>
      <c r="WM6" s="8"/>
      <c r="WN6" s="8"/>
      <c r="WO6" s="8"/>
      <c r="WP6" s="8"/>
      <c r="WQ6" s="8"/>
      <c r="WR6" s="8"/>
      <c r="WS6" s="8"/>
      <c r="WT6" s="8"/>
      <c r="WU6" s="8"/>
      <c r="WV6" s="8"/>
      <c r="WW6" s="8"/>
      <c r="WX6" s="8"/>
      <c r="WY6" s="8"/>
      <c r="WZ6" s="8"/>
      <c r="XA6" s="8"/>
      <c r="XB6" s="8"/>
      <c r="XC6" s="8"/>
      <c r="XD6" s="8"/>
      <c r="XE6" s="8"/>
      <c r="XF6" s="8"/>
      <c r="XG6" s="8"/>
      <c r="XH6" s="8"/>
      <c r="XI6" s="8"/>
      <c r="XJ6" s="8"/>
      <c r="XK6" s="8"/>
      <c r="XL6" s="8"/>
      <c r="XM6" s="8"/>
      <c r="XN6" s="8"/>
      <c r="XO6" s="8"/>
      <c r="XP6" s="8"/>
      <c r="XQ6" s="8"/>
      <c r="XR6" s="8"/>
      <c r="XS6" s="8"/>
      <c r="XT6" s="8"/>
      <c r="XU6" s="8"/>
      <c r="XV6" s="8"/>
      <c r="XW6" s="8"/>
      <c r="XX6" s="8"/>
      <c r="XY6" s="8"/>
      <c r="XZ6" s="8"/>
      <c r="YA6" s="8"/>
      <c r="YB6" s="8"/>
      <c r="YC6" s="8"/>
      <c r="YD6" s="8"/>
      <c r="YE6" s="8"/>
      <c r="YF6" s="8"/>
      <c r="YG6" s="8"/>
      <c r="YH6" s="8"/>
      <c r="YI6" s="8"/>
      <c r="YJ6" s="8"/>
      <c r="YK6" s="8"/>
      <c r="YL6" s="8"/>
      <c r="YM6" s="8"/>
      <c r="YN6" s="8"/>
      <c r="YO6" s="8"/>
      <c r="YP6" s="8"/>
      <c r="YQ6" s="8"/>
      <c r="YR6" s="8"/>
      <c r="YS6" s="8"/>
      <c r="YT6" s="8"/>
      <c r="YU6" s="8"/>
      <c r="YV6" s="8"/>
      <c r="YW6" s="8"/>
      <c r="YX6" s="8"/>
      <c r="YY6" s="8"/>
      <c r="YZ6" s="8"/>
      <c r="ZA6" s="8"/>
      <c r="ZB6" s="8"/>
      <c r="ZC6" s="8"/>
      <c r="ZD6" s="8"/>
      <c r="ZE6" s="8"/>
      <c r="ZF6" s="8"/>
      <c r="ZG6" s="8"/>
      <c r="ZH6" s="8"/>
      <c r="ZI6" s="8"/>
      <c r="ZJ6" s="8"/>
      <c r="ZK6" s="8"/>
      <c r="ZL6" s="8"/>
      <c r="ZM6" s="8"/>
      <c r="ZN6" s="8"/>
      <c r="ZO6" s="8"/>
      <c r="ZP6" s="8"/>
      <c r="ZQ6" s="8"/>
      <c r="ZR6" s="8"/>
      <c r="ZS6" s="8"/>
      <c r="ZT6" s="8"/>
      <c r="ZU6" s="8"/>
      <c r="ZV6" s="8"/>
      <c r="ZW6" s="8"/>
      <c r="ZX6" s="8"/>
      <c r="ZY6" s="8"/>
      <c r="ZZ6" s="8"/>
      <c r="AAA6" s="8"/>
      <c r="AAB6" s="8"/>
      <c r="AAC6" s="8"/>
      <c r="AAD6" s="8"/>
      <c r="AAE6" s="8"/>
      <c r="AAF6" s="8"/>
      <c r="AAG6" s="8"/>
      <c r="AAH6" s="8"/>
      <c r="AAI6" s="8"/>
      <c r="AAJ6" s="8"/>
      <c r="AAK6" s="8"/>
      <c r="AAL6" s="8"/>
      <c r="AAM6" s="8"/>
      <c r="AAN6" s="8"/>
      <c r="AAO6" s="8"/>
      <c r="AAP6" s="8"/>
      <c r="AAQ6" s="8"/>
      <c r="AAR6" s="8"/>
      <c r="AAS6" s="8"/>
      <c r="AAT6" s="8"/>
      <c r="AAU6" s="8"/>
      <c r="AAV6" s="8"/>
      <c r="AAW6" s="8"/>
      <c r="AAX6" s="8"/>
      <c r="AAY6" s="8"/>
      <c r="AAZ6" s="8"/>
      <c r="ABA6" s="8"/>
      <c r="ABB6" s="8"/>
      <c r="ABC6" s="8"/>
      <c r="ABD6" s="8"/>
      <c r="ABE6" s="8"/>
      <c r="ABF6" s="8"/>
      <c r="ABG6" s="8"/>
      <c r="ABH6" s="8"/>
      <c r="ABI6" s="8"/>
      <c r="ABJ6" s="8"/>
      <c r="ABK6" s="8"/>
      <c r="ABL6" s="8"/>
      <c r="ABM6" s="8"/>
      <c r="ABN6" s="8"/>
      <c r="ABO6" s="8"/>
      <c r="ABP6" s="8"/>
      <c r="ABQ6" s="8"/>
      <c r="ABR6" s="8"/>
      <c r="ABS6" s="8"/>
      <c r="ABT6" s="8"/>
      <c r="ABU6" s="8"/>
      <c r="ABV6" s="8"/>
      <c r="ABW6" s="8"/>
      <c r="ABX6" s="8"/>
      <c r="ABY6" s="8"/>
      <c r="ABZ6" s="8"/>
      <c r="ACA6" s="8"/>
      <c r="ACB6" s="8"/>
      <c r="ACC6" s="8"/>
      <c r="ACD6" s="8"/>
      <c r="ACE6" s="8"/>
      <c r="ACF6" s="8"/>
      <c r="ACG6" s="8"/>
      <c r="ACH6" s="8"/>
      <c r="ACI6" s="8"/>
      <c r="ACJ6" s="8"/>
      <c r="ACK6" s="8"/>
      <c r="ACL6" s="8"/>
      <c r="ACM6" s="8"/>
      <c r="ACN6" s="8"/>
      <c r="ACO6" s="8"/>
      <c r="ACP6" s="8"/>
      <c r="ACQ6" s="8"/>
      <c r="ACR6" s="8"/>
      <c r="ACS6" s="8"/>
      <c r="ACT6" s="8"/>
      <c r="ACU6" s="8"/>
      <c r="ACV6" s="8"/>
      <c r="ACW6" s="8"/>
      <c r="ACX6" s="8"/>
      <c r="ACY6" s="8"/>
      <c r="ACZ6" s="8"/>
      <c r="ADA6" s="8"/>
      <c r="ADB6" s="8"/>
      <c r="ADC6" s="8"/>
      <c r="ADD6" s="8"/>
      <c r="ADE6" s="8"/>
      <c r="ADF6" s="8"/>
      <c r="ADG6" s="8"/>
      <c r="ADH6" s="8"/>
      <c r="ADI6" s="8"/>
      <c r="ADJ6" s="8"/>
      <c r="ADK6" s="8"/>
      <c r="ADL6" s="8"/>
      <c r="ADM6" s="8"/>
      <c r="ADN6" s="8"/>
      <c r="ADO6" s="8"/>
      <c r="ADP6" s="8"/>
      <c r="ADQ6" s="8"/>
      <c r="ADR6" s="8"/>
      <c r="ADS6" s="8"/>
      <c r="ADT6" s="8"/>
      <c r="ADU6" s="8"/>
      <c r="ADV6" s="8"/>
      <c r="ADW6" s="8"/>
      <c r="ADX6" s="8"/>
      <c r="ADY6" s="8"/>
      <c r="ADZ6" s="8"/>
      <c r="AEA6" s="8"/>
      <c r="AEB6" s="8"/>
      <c r="AEC6" s="8"/>
      <c r="AED6" s="8"/>
      <c r="AEE6" s="8"/>
      <c r="AEF6" s="8"/>
      <c r="AEG6" s="8"/>
      <c r="AEH6" s="8"/>
      <c r="AEI6" s="8"/>
      <c r="AEJ6" s="8"/>
      <c r="AEK6" s="8"/>
      <c r="AEL6" s="8"/>
      <c r="AEM6" s="8"/>
      <c r="AEN6" s="8"/>
      <c r="AEO6" s="8"/>
      <c r="AEP6" s="8"/>
      <c r="AEQ6" s="8"/>
      <c r="AER6" s="8"/>
      <c r="AES6" s="8"/>
      <c r="AET6" s="8"/>
      <c r="AEU6" s="8"/>
      <c r="AEV6" s="8"/>
      <c r="AEW6" s="8"/>
      <c r="AEX6" s="8"/>
      <c r="AEY6" s="8"/>
      <c r="AEZ6" s="8"/>
      <c r="AFA6" s="8"/>
      <c r="AFB6" s="8"/>
      <c r="AFC6" s="8"/>
      <c r="AFD6" s="8"/>
      <c r="AFE6" s="8"/>
      <c r="AFF6" s="8"/>
      <c r="AFG6" s="8"/>
      <c r="AFH6" s="8"/>
      <c r="AFI6" s="8"/>
      <c r="AFJ6" s="8"/>
      <c r="AFK6" s="8"/>
      <c r="AFL6" s="8"/>
      <c r="AFM6" s="8"/>
      <c r="AFN6" s="8"/>
      <c r="AFO6" s="8"/>
      <c r="AFP6" s="8"/>
      <c r="AFQ6" s="8"/>
      <c r="AFR6" s="8"/>
      <c r="AFS6" s="8"/>
      <c r="AFT6" s="8"/>
      <c r="AFU6" s="8"/>
      <c r="AFV6" s="8"/>
      <c r="AFW6" s="8"/>
      <c r="AFX6" s="8"/>
      <c r="AFY6" s="8"/>
      <c r="AFZ6" s="8"/>
      <c r="AGA6" s="8"/>
      <c r="AGB6" s="8"/>
      <c r="AGC6" s="8"/>
      <c r="AGD6" s="8"/>
      <c r="AGE6" s="8"/>
      <c r="AGF6" s="8"/>
      <c r="AGG6" s="8"/>
      <c r="AGH6" s="8"/>
      <c r="AGI6" s="8"/>
      <c r="AGJ6" s="8"/>
      <c r="AGK6" s="8"/>
      <c r="AGL6" s="8"/>
      <c r="AGM6" s="8"/>
      <c r="AGN6" s="8"/>
      <c r="AGO6" s="8"/>
      <c r="AGP6" s="8"/>
      <c r="AGQ6" s="8"/>
      <c r="AGR6" s="8"/>
      <c r="AGS6" s="8"/>
      <c r="AGT6" s="8"/>
      <c r="AGU6" s="8"/>
      <c r="AGV6" s="8"/>
      <c r="AGW6" s="8"/>
      <c r="AGX6" s="8"/>
      <c r="AGY6" s="8"/>
      <c r="AGZ6" s="8"/>
      <c r="AHA6" s="8"/>
      <c r="AHB6" s="8"/>
      <c r="AHC6" s="8"/>
      <c r="AHD6" s="8"/>
      <c r="AHE6" s="8"/>
      <c r="AHF6" s="8"/>
      <c r="AHG6" s="8"/>
      <c r="AHH6" s="8"/>
      <c r="AHI6" s="8"/>
      <c r="AHJ6" s="8"/>
      <c r="AHK6" s="8"/>
      <c r="AHL6" s="8"/>
      <c r="AHM6" s="8"/>
      <c r="AHN6" s="8"/>
      <c r="AHO6" s="8"/>
      <c r="AHP6" s="8"/>
      <c r="AHQ6" s="8"/>
      <c r="AHR6" s="8"/>
      <c r="AHS6" s="8"/>
      <c r="AHT6" s="8"/>
      <c r="AHU6" s="8"/>
      <c r="AHV6" s="8"/>
      <c r="AHW6" s="8"/>
      <c r="AHX6" s="8"/>
      <c r="AHY6" s="8"/>
      <c r="AHZ6" s="8"/>
      <c r="AIA6" s="8"/>
      <c r="AIB6" s="8"/>
      <c r="AIC6" s="8"/>
      <c r="AID6" s="8"/>
      <c r="AIE6" s="8"/>
      <c r="AIF6" s="8"/>
      <c r="AIG6" s="8"/>
      <c r="AIH6" s="8"/>
      <c r="AII6" s="8"/>
      <c r="AIJ6" s="8"/>
      <c r="AIK6" s="8"/>
      <c r="AIL6" s="8"/>
      <c r="AIM6" s="8"/>
      <c r="AIN6" s="8"/>
      <c r="AIO6" s="8"/>
      <c r="AIP6" s="8"/>
      <c r="AIQ6" s="8"/>
      <c r="AIR6" s="8"/>
      <c r="AIS6" s="8"/>
      <c r="AIT6" s="8"/>
      <c r="AIU6" s="8"/>
      <c r="AIV6" s="8"/>
      <c r="AIW6" s="8"/>
      <c r="AIX6" s="8"/>
      <c r="AIY6" s="8"/>
      <c r="AIZ6" s="8"/>
      <c r="AJA6" s="8"/>
      <c r="AJB6" s="8"/>
      <c r="AJC6" s="8"/>
      <c r="AJD6" s="8"/>
      <c r="AJE6" s="8"/>
      <c r="AJF6" s="8"/>
      <c r="AJG6" s="8"/>
      <c r="AJH6" s="8"/>
      <c r="AJI6" s="8"/>
      <c r="AJJ6" s="8"/>
      <c r="AJK6" s="8"/>
      <c r="AJL6" s="8"/>
      <c r="AJM6" s="8"/>
      <c r="AJN6" s="8"/>
      <c r="AJO6" s="8"/>
      <c r="AJP6" s="8"/>
      <c r="AJQ6" s="8"/>
      <c r="AJR6" s="8"/>
      <c r="AJS6" s="8"/>
      <c r="AJT6" s="8"/>
      <c r="AJU6" s="8"/>
      <c r="AJV6" s="8"/>
      <c r="AJW6" s="8"/>
      <c r="AJX6" s="8"/>
      <c r="AJY6" s="8"/>
      <c r="AJZ6" s="8"/>
      <c r="AKA6" s="8"/>
      <c r="AKB6" s="8"/>
      <c r="AKC6" s="8"/>
      <c r="AKD6" s="8"/>
      <c r="AKE6" s="8"/>
      <c r="AKF6" s="8"/>
      <c r="AKG6" s="8"/>
      <c r="AKH6" s="8"/>
      <c r="AKI6" s="8"/>
      <c r="AKJ6" s="8"/>
      <c r="AKK6" s="8"/>
      <c r="AKL6" s="8"/>
      <c r="AKM6" s="8"/>
      <c r="AKN6" s="8"/>
      <c r="AKO6" s="8"/>
      <c r="AKP6" s="8"/>
      <c r="AKQ6" s="8"/>
      <c r="AKR6" s="8"/>
      <c r="AKS6" s="8"/>
      <c r="AKT6" s="8"/>
      <c r="AKU6" s="8"/>
      <c r="AKV6" s="8"/>
      <c r="AKW6" s="8"/>
      <c r="AKX6" s="8"/>
      <c r="AKY6" s="8"/>
      <c r="AKZ6" s="8"/>
      <c r="ALA6" s="8"/>
      <c r="ALB6" s="8"/>
      <c r="ALC6" s="8"/>
      <c r="ALD6" s="8"/>
      <c r="ALE6" s="8"/>
      <c r="ALF6" s="8"/>
      <c r="ALG6" s="8"/>
      <c r="ALH6" s="8"/>
      <c r="ALI6" s="8"/>
      <c r="ALJ6" s="8"/>
      <c r="ALK6" s="8"/>
      <c r="ALL6" s="8"/>
      <c r="ALM6" s="8"/>
      <c r="ALN6" s="8"/>
      <c r="ALO6" s="8"/>
      <c r="ALP6" s="8"/>
      <c r="ALQ6" s="8"/>
      <c r="ALR6" s="8"/>
      <c r="ALS6" s="8"/>
      <c r="ALT6" s="8"/>
      <c r="ALU6" s="8"/>
      <c r="ALV6" s="8"/>
      <c r="ALW6" s="8"/>
      <c r="ALX6" s="8"/>
      <c r="ALY6" s="8"/>
      <c r="ALZ6" s="8"/>
      <c r="AMA6" s="8"/>
      <c r="AMB6" s="8"/>
      <c r="AMC6" s="8"/>
      <c r="AMD6" s="8"/>
      <c r="AME6" s="8"/>
      <c r="AMF6" s="8"/>
      <c r="AMG6" s="8"/>
      <c r="AMH6"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045B7-985B-284A-BEE4-821C1E6602B3}">
  <dimension ref="A1:AMH8"/>
  <sheetViews>
    <sheetView workbookViewId="0">
      <selection activeCell="F38" sqref="F38"/>
    </sheetView>
  </sheetViews>
  <sheetFormatPr baseColWidth="10" defaultRowHeight="13" x14ac:dyDescent="0.15"/>
  <sheetData>
    <row r="1" spans="1:1022" x14ac:dyDescent="0.15">
      <c r="A1" s="8" t="s">
        <v>2807</v>
      </c>
      <c r="B1" s="8" t="s">
        <v>191</v>
      </c>
      <c r="C1" s="8" t="str">
        <f t="shared" ref="C1:C8" si="0">B1&amp;":"&amp;A1</f>
        <v>att_user_research_group:niessen</v>
      </c>
      <c r="D1" s="8" t="s">
        <v>15</v>
      </c>
      <c r="E1" s="8" t="s">
        <v>2808</v>
      </c>
      <c r="F1" s="8" t="s">
        <v>2428</v>
      </c>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c r="KX1" s="8"/>
      <c r="KY1" s="8"/>
      <c r="KZ1" s="8"/>
      <c r="LA1" s="8"/>
      <c r="LB1" s="8"/>
      <c r="LC1" s="8"/>
      <c r="LD1" s="8"/>
      <c r="LE1" s="8"/>
      <c r="LF1" s="8"/>
      <c r="LG1" s="8"/>
      <c r="LH1" s="8"/>
      <c r="LI1" s="8"/>
      <c r="LJ1" s="8"/>
      <c r="LK1" s="8"/>
      <c r="LL1" s="8"/>
      <c r="LM1" s="8"/>
      <c r="LN1" s="8"/>
      <c r="LO1" s="8"/>
      <c r="LP1" s="8"/>
      <c r="LQ1" s="8"/>
      <c r="LR1" s="8"/>
      <c r="LS1" s="8"/>
      <c r="LT1" s="8"/>
      <c r="LU1" s="8"/>
      <c r="LV1" s="8"/>
      <c r="LW1" s="8"/>
      <c r="LX1" s="8"/>
      <c r="LY1" s="8"/>
      <c r="LZ1" s="8"/>
      <c r="MA1" s="8"/>
      <c r="MB1" s="8"/>
      <c r="MC1" s="8"/>
      <c r="MD1" s="8"/>
      <c r="ME1" s="8"/>
      <c r="MF1" s="8"/>
      <c r="MG1" s="8"/>
      <c r="MH1" s="8"/>
      <c r="MI1" s="8"/>
      <c r="MJ1" s="8"/>
      <c r="MK1" s="8"/>
      <c r="ML1" s="8"/>
      <c r="MM1" s="8"/>
      <c r="MN1" s="8"/>
      <c r="MO1" s="8"/>
      <c r="MP1" s="8"/>
      <c r="MQ1" s="8"/>
      <c r="MR1" s="8"/>
      <c r="MS1" s="8"/>
      <c r="MT1" s="8"/>
      <c r="MU1" s="8"/>
      <c r="MV1" s="8"/>
      <c r="MW1" s="8"/>
      <c r="MX1" s="8"/>
      <c r="MY1" s="8"/>
      <c r="MZ1" s="8"/>
      <c r="NA1" s="8"/>
      <c r="NB1" s="8"/>
      <c r="NC1" s="8"/>
      <c r="ND1" s="8"/>
      <c r="NE1" s="8"/>
      <c r="NF1" s="8"/>
      <c r="NG1" s="8"/>
      <c r="NH1" s="8"/>
      <c r="NI1" s="8"/>
      <c r="NJ1" s="8"/>
      <c r="NK1" s="8"/>
      <c r="NL1" s="8"/>
      <c r="NM1" s="8"/>
      <c r="NN1" s="8"/>
      <c r="NO1" s="8"/>
      <c r="NP1" s="8"/>
      <c r="NQ1" s="8"/>
      <c r="NR1" s="8"/>
      <c r="NS1" s="8"/>
      <c r="NT1" s="8"/>
      <c r="NU1" s="8"/>
      <c r="NV1" s="8"/>
      <c r="NW1" s="8"/>
      <c r="NX1" s="8"/>
      <c r="NY1" s="8"/>
      <c r="NZ1" s="8"/>
      <c r="OA1" s="8"/>
      <c r="OB1" s="8"/>
      <c r="OC1" s="8"/>
      <c r="OD1" s="8"/>
      <c r="OE1" s="8"/>
      <c r="OF1" s="8"/>
      <c r="OG1" s="8"/>
      <c r="OH1" s="8"/>
      <c r="OI1" s="8"/>
      <c r="OJ1" s="8"/>
      <c r="OK1" s="8"/>
      <c r="OL1" s="8"/>
      <c r="OM1" s="8"/>
      <c r="ON1" s="8"/>
      <c r="OO1" s="8"/>
      <c r="OP1" s="8"/>
      <c r="OQ1" s="8"/>
      <c r="OR1" s="8"/>
      <c r="OS1" s="8"/>
      <c r="OT1" s="8"/>
      <c r="OU1" s="8"/>
      <c r="OV1" s="8"/>
      <c r="OW1" s="8"/>
      <c r="OX1" s="8"/>
      <c r="OY1" s="8"/>
      <c r="OZ1" s="8"/>
      <c r="PA1" s="8"/>
      <c r="PB1" s="8"/>
      <c r="PC1" s="8"/>
      <c r="PD1" s="8"/>
      <c r="PE1" s="8"/>
      <c r="PF1" s="8"/>
      <c r="PG1" s="8"/>
      <c r="PH1" s="8"/>
      <c r="PI1" s="8"/>
      <c r="PJ1" s="8"/>
      <c r="PK1" s="8"/>
      <c r="PL1" s="8"/>
      <c r="PM1" s="8"/>
      <c r="PN1" s="8"/>
      <c r="PO1" s="8"/>
      <c r="PP1" s="8"/>
      <c r="PQ1" s="8"/>
      <c r="PR1" s="8"/>
      <c r="PS1" s="8"/>
      <c r="PT1" s="8"/>
      <c r="PU1" s="8"/>
      <c r="PV1" s="8"/>
      <c r="PW1" s="8"/>
      <c r="PX1" s="8"/>
      <c r="PY1" s="8"/>
      <c r="PZ1" s="8"/>
      <c r="QA1" s="8"/>
      <c r="QB1" s="8"/>
      <c r="QC1" s="8"/>
      <c r="QD1" s="8"/>
      <c r="QE1" s="8"/>
      <c r="QF1" s="8"/>
      <c r="QG1" s="8"/>
      <c r="QH1" s="8"/>
      <c r="QI1" s="8"/>
      <c r="QJ1" s="8"/>
      <c r="QK1" s="8"/>
      <c r="QL1" s="8"/>
      <c r="QM1" s="8"/>
      <c r="QN1" s="8"/>
      <c r="QO1" s="8"/>
      <c r="QP1" s="8"/>
      <c r="QQ1" s="8"/>
      <c r="QR1" s="8"/>
      <c r="QS1" s="8"/>
      <c r="QT1" s="8"/>
      <c r="QU1" s="8"/>
      <c r="QV1" s="8"/>
      <c r="QW1" s="8"/>
      <c r="QX1" s="8"/>
      <c r="QY1" s="8"/>
      <c r="QZ1" s="8"/>
      <c r="RA1" s="8"/>
      <c r="RB1" s="8"/>
      <c r="RC1" s="8"/>
      <c r="RD1" s="8"/>
      <c r="RE1" s="8"/>
      <c r="RF1" s="8"/>
      <c r="RG1" s="8"/>
      <c r="RH1" s="8"/>
      <c r="RI1" s="8"/>
      <c r="RJ1" s="8"/>
      <c r="RK1" s="8"/>
      <c r="RL1" s="8"/>
      <c r="RM1" s="8"/>
      <c r="RN1" s="8"/>
      <c r="RO1" s="8"/>
      <c r="RP1" s="8"/>
      <c r="RQ1" s="8"/>
      <c r="RR1" s="8"/>
      <c r="RS1" s="8"/>
      <c r="RT1" s="8"/>
      <c r="RU1" s="8"/>
      <c r="RV1" s="8"/>
      <c r="RW1" s="8"/>
      <c r="RX1" s="8"/>
      <c r="RY1" s="8"/>
      <c r="RZ1" s="8"/>
      <c r="SA1" s="8"/>
      <c r="SB1" s="8"/>
      <c r="SC1" s="8"/>
      <c r="SD1" s="8"/>
      <c r="SE1" s="8"/>
      <c r="SF1" s="8"/>
      <c r="SG1" s="8"/>
      <c r="SH1" s="8"/>
      <c r="SI1" s="8"/>
      <c r="SJ1" s="8"/>
      <c r="SK1" s="8"/>
      <c r="SL1" s="8"/>
      <c r="SM1" s="8"/>
      <c r="SN1" s="8"/>
      <c r="SO1" s="8"/>
      <c r="SP1" s="8"/>
      <c r="SQ1" s="8"/>
      <c r="SR1" s="8"/>
      <c r="SS1" s="8"/>
      <c r="ST1" s="8"/>
      <c r="SU1" s="8"/>
      <c r="SV1" s="8"/>
      <c r="SW1" s="8"/>
      <c r="SX1" s="8"/>
      <c r="SY1" s="8"/>
      <c r="SZ1" s="8"/>
      <c r="TA1" s="8"/>
      <c r="TB1" s="8"/>
      <c r="TC1" s="8"/>
      <c r="TD1" s="8"/>
      <c r="TE1" s="8"/>
      <c r="TF1" s="8"/>
      <c r="TG1" s="8"/>
      <c r="TH1" s="8"/>
      <c r="TI1" s="8"/>
      <c r="TJ1" s="8"/>
      <c r="TK1" s="8"/>
      <c r="TL1" s="8"/>
      <c r="TM1" s="8"/>
      <c r="TN1" s="8"/>
      <c r="TO1" s="8"/>
      <c r="TP1" s="8"/>
      <c r="TQ1" s="8"/>
      <c r="TR1" s="8"/>
      <c r="TS1" s="8"/>
      <c r="TT1" s="8"/>
      <c r="TU1" s="8"/>
      <c r="TV1" s="8"/>
      <c r="TW1" s="8"/>
      <c r="TX1" s="8"/>
      <c r="TY1" s="8"/>
      <c r="TZ1" s="8"/>
      <c r="UA1" s="8"/>
      <c r="UB1" s="8"/>
      <c r="UC1" s="8"/>
      <c r="UD1" s="8"/>
      <c r="UE1" s="8"/>
      <c r="UF1" s="8"/>
      <c r="UG1" s="8"/>
      <c r="UH1" s="8"/>
      <c r="UI1" s="8"/>
      <c r="UJ1" s="8"/>
      <c r="UK1" s="8"/>
      <c r="UL1" s="8"/>
      <c r="UM1" s="8"/>
      <c r="UN1" s="8"/>
      <c r="UO1" s="8"/>
      <c r="UP1" s="8"/>
      <c r="UQ1" s="8"/>
      <c r="UR1" s="8"/>
      <c r="US1" s="8"/>
      <c r="UT1" s="8"/>
      <c r="UU1" s="8"/>
      <c r="UV1" s="8"/>
      <c r="UW1" s="8"/>
      <c r="UX1" s="8"/>
      <c r="UY1" s="8"/>
      <c r="UZ1" s="8"/>
      <c r="VA1" s="8"/>
      <c r="VB1" s="8"/>
      <c r="VC1" s="8"/>
      <c r="VD1" s="8"/>
      <c r="VE1" s="8"/>
      <c r="VF1" s="8"/>
      <c r="VG1" s="8"/>
      <c r="VH1" s="8"/>
      <c r="VI1" s="8"/>
      <c r="VJ1" s="8"/>
      <c r="VK1" s="8"/>
      <c r="VL1" s="8"/>
      <c r="VM1" s="8"/>
      <c r="VN1" s="8"/>
      <c r="VO1" s="8"/>
      <c r="VP1" s="8"/>
      <c r="VQ1" s="8"/>
      <c r="VR1" s="8"/>
      <c r="VS1" s="8"/>
      <c r="VT1" s="8"/>
      <c r="VU1" s="8"/>
      <c r="VV1" s="8"/>
      <c r="VW1" s="8"/>
      <c r="VX1" s="8"/>
      <c r="VY1" s="8"/>
      <c r="VZ1" s="8"/>
      <c r="WA1" s="8"/>
      <c r="WB1" s="8"/>
      <c r="WC1" s="8"/>
      <c r="WD1" s="8"/>
      <c r="WE1" s="8"/>
      <c r="WF1" s="8"/>
      <c r="WG1" s="8"/>
      <c r="WH1" s="8"/>
      <c r="WI1" s="8"/>
      <c r="WJ1" s="8"/>
      <c r="WK1" s="8"/>
      <c r="WL1" s="8"/>
      <c r="WM1" s="8"/>
      <c r="WN1" s="8"/>
      <c r="WO1" s="8"/>
      <c r="WP1" s="8"/>
      <c r="WQ1" s="8"/>
      <c r="WR1" s="8"/>
      <c r="WS1" s="8"/>
      <c r="WT1" s="8"/>
      <c r="WU1" s="8"/>
      <c r="WV1" s="8"/>
      <c r="WW1" s="8"/>
      <c r="WX1" s="8"/>
      <c r="WY1" s="8"/>
      <c r="WZ1" s="8"/>
      <c r="XA1" s="8"/>
      <c r="XB1" s="8"/>
      <c r="XC1" s="8"/>
      <c r="XD1" s="8"/>
      <c r="XE1" s="8"/>
      <c r="XF1" s="8"/>
      <c r="XG1" s="8"/>
      <c r="XH1" s="8"/>
      <c r="XI1" s="8"/>
      <c r="XJ1" s="8"/>
      <c r="XK1" s="8"/>
      <c r="XL1" s="8"/>
      <c r="XM1" s="8"/>
      <c r="XN1" s="8"/>
      <c r="XO1" s="8"/>
      <c r="XP1" s="8"/>
      <c r="XQ1" s="8"/>
      <c r="XR1" s="8"/>
      <c r="XS1" s="8"/>
      <c r="XT1" s="8"/>
      <c r="XU1" s="8"/>
      <c r="XV1" s="8"/>
      <c r="XW1" s="8"/>
      <c r="XX1" s="8"/>
      <c r="XY1" s="8"/>
      <c r="XZ1" s="8"/>
      <c r="YA1" s="8"/>
      <c r="YB1" s="8"/>
      <c r="YC1" s="8"/>
      <c r="YD1" s="8"/>
      <c r="YE1" s="8"/>
      <c r="YF1" s="8"/>
      <c r="YG1" s="8"/>
      <c r="YH1" s="8"/>
      <c r="YI1" s="8"/>
      <c r="YJ1" s="8"/>
      <c r="YK1" s="8"/>
      <c r="YL1" s="8"/>
      <c r="YM1" s="8"/>
      <c r="YN1" s="8"/>
      <c r="YO1" s="8"/>
      <c r="YP1" s="8"/>
      <c r="YQ1" s="8"/>
      <c r="YR1" s="8"/>
      <c r="YS1" s="8"/>
      <c r="YT1" s="8"/>
      <c r="YU1" s="8"/>
      <c r="YV1" s="8"/>
      <c r="YW1" s="8"/>
      <c r="YX1" s="8"/>
      <c r="YY1" s="8"/>
      <c r="YZ1" s="8"/>
      <c r="ZA1" s="8"/>
      <c r="ZB1" s="8"/>
      <c r="ZC1" s="8"/>
      <c r="ZD1" s="8"/>
      <c r="ZE1" s="8"/>
      <c r="ZF1" s="8"/>
      <c r="ZG1" s="8"/>
      <c r="ZH1" s="8"/>
      <c r="ZI1" s="8"/>
      <c r="ZJ1" s="8"/>
      <c r="ZK1" s="8"/>
      <c r="ZL1" s="8"/>
      <c r="ZM1" s="8"/>
      <c r="ZN1" s="8"/>
      <c r="ZO1" s="8"/>
      <c r="ZP1" s="8"/>
      <c r="ZQ1" s="8"/>
      <c r="ZR1" s="8"/>
      <c r="ZS1" s="8"/>
      <c r="ZT1" s="8"/>
      <c r="ZU1" s="8"/>
      <c r="ZV1" s="8"/>
      <c r="ZW1" s="8"/>
      <c r="ZX1" s="8"/>
      <c r="ZY1" s="8"/>
      <c r="ZZ1" s="8"/>
      <c r="AAA1" s="8"/>
      <c r="AAB1" s="8"/>
      <c r="AAC1" s="8"/>
      <c r="AAD1" s="8"/>
      <c r="AAE1" s="8"/>
      <c r="AAF1" s="8"/>
      <c r="AAG1" s="8"/>
      <c r="AAH1" s="8"/>
      <c r="AAI1" s="8"/>
      <c r="AAJ1" s="8"/>
      <c r="AAK1" s="8"/>
      <c r="AAL1" s="8"/>
      <c r="AAM1" s="8"/>
      <c r="AAN1" s="8"/>
      <c r="AAO1" s="8"/>
      <c r="AAP1" s="8"/>
      <c r="AAQ1" s="8"/>
      <c r="AAR1" s="8"/>
      <c r="AAS1" s="8"/>
      <c r="AAT1" s="8"/>
      <c r="AAU1" s="8"/>
      <c r="AAV1" s="8"/>
      <c r="AAW1" s="8"/>
      <c r="AAX1" s="8"/>
      <c r="AAY1" s="8"/>
      <c r="AAZ1" s="8"/>
      <c r="ABA1" s="8"/>
      <c r="ABB1" s="8"/>
      <c r="ABC1" s="8"/>
      <c r="ABD1" s="8"/>
      <c r="ABE1" s="8"/>
      <c r="ABF1" s="8"/>
      <c r="ABG1" s="8"/>
      <c r="ABH1" s="8"/>
      <c r="ABI1" s="8"/>
      <c r="ABJ1" s="8"/>
      <c r="ABK1" s="8"/>
      <c r="ABL1" s="8"/>
      <c r="ABM1" s="8"/>
      <c r="ABN1" s="8"/>
      <c r="ABO1" s="8"/>
      <c r="ABP1" s="8"/>
      <c r="ABQ1" s="8"/>
      <c r="ABR1" s="8"/>
      <c r="ABS1" s="8"/>
      <c r="ABT1" s="8"/>
      <c r="ABU1" s="8"/>
      <c r="ABV1" s="8"/>
      <c r="ABW1" s="8"/>
      <c r="ABX1" s="8"/>
      <c r="ABY1" s="8"/>
      <c r="ABZ1" s="8"/>
      <c r="ACA1" s="8"/>
      <c r="ACB1" s="8"/>
      <c r="ACC1" s="8"/>
      <c r="ACD1" s="8"/>
      <c r="ACE1" s="8"/>
      <c r="ACF1" s="8"/>
      <c r="ACG1" s="8"/>
      <c r="ACH1" s="8"/>
      <c r="ACI1" s="8"/>
      <c r="ACJ1" s="8"/>
      <c r="ACK1" s="8"/>
      <c r="ACL1" s="8"/>
      <c r="ACM1" s="8"/>
      <c r="ACN1" s="8"/>
      <c r="ACO1" s="8"/>
      <c r="ACP1" s="8"/>
      <c r="ACQ1" s="8"/>
      <c r="ACR1" s="8"/>
      <c r="ACS1" s="8"/>
      <c r="ACT1" s="8"/>
      <c r="ACU1" s="8"/>
      <c r="ACV1" s="8"/>
      <c r="ACW1" s="8"/>
      <c r="ACX1" s="8"/>
      <c r="ACY1" s="8"/>
      <c r="ACZ1" s="8"/>
      <c r="ADA1" s="8"/>
      <c r="ADB1" s="8"/>
      <c r="ADC1" s="8"/>
      <c r="ADD1" s="8"/>
      <c r="ADE1" s="8"/>
      <c r="ADF1" s="8"/>
      <c r="ADG1" s="8"/>
      <c r="ADH1" s="8"/>
      <c r="ADI1" s="8"/>
      <c r="ADJ1" s="8"/>
      <c r="ADK1" s="8"/>
      <c r="ADL1" s="8"/>
      <c r="ADM1" s="8"/>
      <c r="ADN1" s="8"/>
      <c r="ADO1" s="8"/>
      <c r="ADP1" s="8"/>
      <c r="ADQ1" s="8"/>
      <c r="ADR1" s="8"/>
      <c r="ADS1" s="8"/>
      <c r="ADT1" s="8"/>
      <c r="ADU1" s="8"/>
      <c r="ADV1" s="8"/>
      <c r="ADW1" s="8"/>
      <c r="ADX1" s="8"/>
      <c r="ADY1" s="8"/>
      <c r="ADZ1" s="8"/>
      <c r="AEA1" s="8"/>
      <c r="AEB1" s="8"/>
      <c r="AEC1" s="8"/>
      <c r="AED1" s="8"/>
      <c r="AEE1" s="8"/>
      <c r="AEF1" s="8"/>
      <c r="AEG1" s="8"/>
      <c r="AEH1" s="8"/>
      <c r="AEI1" s="8"/>
      <c r="AEJ1" s="8"/>
      <c r="AEK1" s="8"/>
      <c r="AEL1" s="8"/>
      <c r="AEM1" s="8"/>
      <c r="AEN1" s="8"/>
      <c r="AEO1" s="8"/>
      <c r="AEP1" s="8"/>
      <c r="AEQ1" s="8"/>
      <c r="AER1" s="8"/>
      <c r="AES1" s="8"/>
      <c r="AET1" s="8"/>
      <c r="AEU1" s="8"/>
      <c r="AEV1" s="8"/>
      <c r="AEW1" s="8"/>
      <c r="AEX1" s="8"/>
      <c r="AEY1" s="8"/>
      <c r="AEZ1" s="8"/>
      <c r="AFA1" s="8"/>
      <c r="AFB1" s="8"/>
      <c r="AFC1" s="8"/>
      <c r="AFD1" s="8"/>
      <c r="AFE1" s="8"/>
      <c r="AFF1" s="8"/>
      <c r="AFG1" s="8"/>
      <c r="AFH1" s="8"/>
      <c r="AFI1" s="8"/>
      <c r="AFJ1" s="8"/>
      <c r="AFK1" s="8"/>
      <c r="AFL1" s="8"/>
      <c r="AFM1" s="8"/>
      <c r="AFN1" s="8"/>
      <c r="AFO1" s="8"/>
      <c r="AFP1" s="8"/>
      <c r="AFQ1" s="8"/>
      <c r="AFR1" s="8"/>
      <c r="AFS1" s="8"/>
      <c r="AFT1" s="8"/>
      <c r="AFU1" s="8"/>
      <c r="AFV1" s="8"/>
      <c r="AFW1" s="8"/>
      <c r="AFX1" s="8"/>
      <c r="AFY1" s="8"/>
      <c r="AFZ1" s="8"/>
      <c r="AGA1" s="8"/>
      <c r="AGB1" s="8"/>
      <c r="AGC1" s="8"/>
      <c r="AGD1" s="8"/>
      <c r="AGE1" s="8"/>
      <c r="AGF1" s="8"/>
      <c r="AGG1" s="8"/>
      <c r="AGH1" s="8"/>
      <c r="AGI1" s="8"/>
      <c r="AGJ1" s="8"/>
      <c r="AGK1" s="8"/>
      <c r="AGL1" s="8"/>
      <c r="AGM1" s="8"/>
      <c r="AGN1" s="8"/>
      <c r="AGO1" s="8"/>
      <c r="AGP1" s="8"/>
      <c r="AGQ1" s="8"/>
      <c r="AGR1" s="8"/>
      <c r="AGS1" s="8"/>
      <c r="AGT1" s="8"/>
      <c r="AGU1" s="8"/>
      <c r="AGV1" s="8"/>
      <c r="AGW1" s="8"/>
      <c r="AGX1" s="8"/>
      <c r="AGY1" s="8"/>
      <c r="AGZ1" s="8"/>
      <c r="AHA1" s="8"/>
      <c r="AHB1" s="8"/>
      <c r="AHC1" s="8"/>
      <c r="AHD1" s="8"/>
      <c r="AHE1" s="8"/>
      <c r="AHF1" s="8"/>
      <c r="AHG1" s="8"/>
      <c r="AHH1" s="8"/>
      <c r="AHI1" s="8"/>
      <c r="AHJ1" s="8"/>
      <c r="AHK1" s="8"/>
      <c r="AHL1" s="8"/>
      <c r="AHM1" s="8"/>
      <c r="AHN1" s="8"/>
      <c r="AHO1" s="8"/>
      <c r="AHP1" s="8"/>
      <c r="AHQ1" s="8"/>
      <c r="AHR1" s="8"/>
      <c r="AHS1" s="8"/>
      <c r="AHT1" s="8"/>
      <c r="AHU1" s="8"/>
      <c r="AHV1" s="8"/>
      <c r="AHW1" s="8"/>
      <c r="AHX1" s="8"/>
      <c r="AHY1" s="8"/>
      <c r="AHZ1" s="8"/>
      <c r="AIA1" s="8"/>
      <c r="AIB1" s="8"/>
      <c r="AIC1" s="8"/>
      <c r="AID1" s="8"/>
      <c r="AIE1" s="8"/>
      <c r="AIF1" s="8"/>
      <c r="AIG1" s="8"/>
      <c r="AIH1" s="8"/>
      <c r="AII1" s="8"/>
      <c r="AIJ1" s="8"/>
      <c r="AIK1" s="8"/>
      <c r="AIL1" s="8"/>
      <c r="AIM1" s="8"/>
      <c r="AIN1" s="8"/>
      <c r="AIO1" s="8"/>
      <c r="AIP1" s="8"/>
      <c r="AIQ1" s="8"/>
      <c r="AIR1" s="8"/>
      <c r="AIS1" s="8"/>
      <c r="AIT1" s="8"/>
      <c r="AIU1" s="8"/>
      <c r="AIV1" s="8"/>
      <c r="AIW1" s="8"/>
      <c r="AIX1" s="8"/>
      <c r="AIY1" s="8"/>
      <c r="AIZ1" s="8"/>
      <c r="AJA1" s="8"/>
      <c r="AJB1" s="8"/>
      <c r="AJC1" s="8"/>
      <c r="AJD1" s="8"/>
      <c r="AJE1" s="8"/>
      <c r="AJF1" s="8"/>
      <c r="AJG1" s="8"/>
      <c r="AJH1" s="8"/>
      <c r="AJI1" s="8"/>
      <c r="AJJ1" s="8"/>
      <c r="AJK1" s="8"/>
      <c r="AJL1" s="8"/>
      <c r="AJM1" s="8"/>
      <c r="AJN1" s="8"/>
      <c r="AJO1" s="8"/>
      <c r="AJP1" s="8"/>
      <c r="AJQ1" s="8"/>
      <c r="AJR1" s="8"/>
      <c r="AJS1" s="8"/>
      <c r="AJT1" s="8"/>
      <c r="AJU1" s="8"/>
      <c r="AJV1" s="8"/>
      <c r="AJW1" s="8"/>
      <c r="AJX1" s="8"/>
      <c r="AJY1" s="8"/>
      <c r="AJZ1" s="8"/>
      <c r="AKA1" s="8"/>
      <c r="AKB1" s="8"/>
      <c r="AKC1" s="8"/>
      <c r="AKD1" s="8"/>
      <c r="AKE1" s="8"/>
      <c r="AKF1" s="8"/>
      <c r="AKG1" s="8"/>
      <c r="AKH1" s="8"/>
      <c r="AKI1" s="8"/>
      <c r="AKJ1" s="8"/>
      <c r="AKK1" s="8"/>
      <c r="AKL1" s="8"/>
      <c r="AKM1" s="8"/>
      <c r="AKN1" s="8"/>
      <c r="AKO1" s="8"/>
      <c r="AKP1" s="8"/>
      <c r="AKQ1" s="8"/>
      <c r="AKR1" s="8"/>
      <c r="AKS1" s="8"/>
      <c r="AKT1" s="8"/>
      <c r="AKU1" s="8"/>
      <c r="AKV1" s="8"/>
      <c r="AKW1" s="8"/>
      <c r="AKX1" s="8"/>
      <c r="AKY1" s="8"/>
      <c r="AKZ1" s="8"/>
      <c r="ALA1" s="8"/>
      <c r="ALB1" s="8"/>
      <c r="ALC1" s="8"/>
      <c r="ALD1" s="8"/>
      <c r="ALE1" s="8"/>
      <c r="ALF1" s="8"/>
      <c r="ALG1" s="8"/>
      <c r="ALH1" s="8"/>
      <c r="ALI1" s="8"/>
      <c r="ALJ1" s="8"/>
      <c r="ALK1" s="8"/>
      <c r="ALL1" s="8"/>
      <c r="ALM1" s="8"/>
      <c r="ALN1" s="8"/>
      <c r="ALO1" s="8"/>
      <c r="ALP1" s="8"/>
      <c r="ALQ1" s="8"/>
      <c r="ALR1" s="8"/>
      <c r="ALS1" s="8"/>
      <c r="ALT1" s="8"/>
      <c r="ALU1" s="8"/>
      <c r="ALV1" s="8"/>
      <c r="ALW1" s="8"/>
      <c r="ALX1" s="8"/>
      <c r="ALY1" s="8"/>
      <c r="ALZ1" s="8"/>
      <c r="AMA1" s="8"/>
      <c r="AMB1" s="8"/>
      <c r="AMC1" s="8"/>
      <c r="AMD1" s="8"/>
      <c r="AME1" s="8"/>
      <c r="AMF1" s="8"/>
      <c r="AMG1" s="8"/>
      <c r="AMH1" s="8"/>
    </row>
    <row r="2" spans="1:1022" x14ac:dyDescent="0.15">
      <c r="A2" s="8" t="s">
        <v>2809</v>
      </c>
      <c r="B2" s="8" t="s">
        <v>191</v>
      </c>
      <c r="C2" s="8" t="str">
        <f t="shared" si="0"/>
        <v>att_user_research_group:gloeckner</v>
      </c>
      <c r="D2" s="8" t="s">
        <v>15</v>
      </c>
      <c r="E2" s="8" t="s">
        <v>2810</v>
      </c>
      <c r="F2" s="8" t="s">
        <v>2811</v>
      </c>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8"/>
      <c r="IL2" s="8"/>
      <c r="IM2" s="8"/>
      <c r="IN2" s="8"/>
      <c r="IO2" s="8"/>
      <c r="IP2" s="8"/>
      <c r="IQ2" s="8"/>
      <c r="IR2" s="8"/>
      <c r="IS2" s="8"/>
      <c r="IT2" s="8"/>
      <c r="IU2" s="8"/>
      <c r="IV2" s="8"/>
      <c r="IW2" s="8"/>
      <c r="IX2" s="8"/>
      <c r="IY2" s="8"/>
      <c r="IZ2" s="8"/>
      <c r="JA2" s="8"/>
      <c r="JB2" s="8"/>
      <c r="JC2" s="8"/>
      <c r="JD2" s="8"/>
      <c r="JE2" s="8"/>
      <c r="JF2" s="8"/>
      <c r="JG2" s="8"/>
      <c r="JH2" s="8"/>
      <c r="JI2" s="8"/>
      <c r="JJ2" s="8"/>
      <c r="JK2" s="8"/>
      <c r="JL2" s="8"/>
      <c r="JM2" s="8"/>
      <c r="JN2" s="8"/>
      <c r="JO2" s="8"/>
      <c r="JP2" s="8"/>
      <c r="JQ2" s="8"/>
      <c r="JR2" s="8"/>
      <c r="JS2" s="8"/>
      <c r="JT2" s="8"/>
      <c r="JU2" s="8"/>
      <c r="JV2" s="8"/>
      <c r="JW2" s="8"/>
      <c r="JX2" s="8"/>
      <c r="JY2" s="8"/>
      <c r="JZ2" s="8"/>
      <c r="KA2" s="8"/>
      <c r="KB2" s="8"/>
      <c r="KC2" s="8"/>
      <c r="KD2" s="8"/>
      <c r="KE2" s="8"/>
      <c r="KF2" s="8"/>
      <c r="KG2" s="8"/>
      <c r="KH2" s="8"/>
      <c r="KI2" s="8"/>
      <c r="KJ2" s="8"/>
      <c r="KK2" s="8"/>
      <c r="KL2" s="8"/>
      <c r="KM2" s="8"/>
      <c r="KN2" s="8"/>
      <c r="KO2" s="8"/>
      <c r="KP2" s="8"/>
      <c r="KQ2" s="8"/>
      <c r="KR2" s="8"/>
      <c r="KS2" s="8"/>
      <c r="KT2" s="8"/>
      <c r="KU2" s="8"/>
      <c r="KV2" s="8"/>
      <c r="KW2" s="8"/>
      <c r="KX2" s="8"/>
      <c r="KY2" s="8"/>
      <c r="KZ2" s="8"/>
      <c r="LA2" s="8"/>
      <c r="LB2" s="8"/>
      <c r="LC2" s="8"/>
      <c r="LD2" s="8"/>
      <c r="LE2" s="8"/>
      <c r="LF2" s="8"/>
      <c r="LG2" s="8"/>
      <c r="LH2" s="8"/>
      <c r="LI2" s="8"/>
      <c r="LJ2" s="8"/>
      <c r="LK2" s="8"/>
      <c r="LL2" s="8"/>
      <c r="LM2" s="8"/>
      <c r="LN2" s="8"/>
      <c r="LO2" s="8"/>
      <c r="LP2" s="8"/>
      <c r="LQ2" s="8"/>
      <c r="LR2" s="8"/>
      <c r="LS2" s="8"/>
      <c r="LT2" s="8"/>
      <c r="LU2" s="8"/>
      <c r="LV2" s="8"/>
      <c r="LW2" s="8"/>
      <c r="LX2" s="8"/>
      <c r="LY2" s="8"/>
      <c r="LZ2" s="8"/>
      <c r="MA2" s="8"/>
      <c r="MB2" s="8"/>
      <c r="MC2" s="8"/>
      <c r="MD2" s="8"/>
      <c r="ME2" s="8"/>
      <c r="MF2" s="8"/>
      <c r="MG2" s="8"/>
      <c r="MH2" s="8"/>
      <c r="MI2" s="8"/>
      <c r="MJ2" s="8"/>
      <c r="MK2" s="8"/>
      <c r="ML2" s="8"/>
      <c r="MM2" s="8"/>
      <c r="MN2" s="8"/>
      <c r="MO2" s="8"/>
      <c r="MP2" s="8"/>
      <c r="MQ2" s="8"/>
      <c r="MR2" s="8"/>
      <c r="MS2" s="8"/>
      <c r="MT2" s="8"/>
      <c r="MU2" s="8"/>
      <c r="MV2" s="8"/>
      <c r="MW2" s="8"/>
      <c r="MX2" s="8"/>
      <c r="MY2" s="8"/>
      <c r="MZ2" s="8"/>
      <c r="NA2" s="8"/>
      <c r="NB2" s="8"/>
      <c r="NC2" s="8"/>
      <c r="ND2" s="8"/>
      <c r="NE2" s="8"/>
      <c r="NF2" s="8"/>
      <c r="NG2" s="8"/>
      <c r="NH2" s="8"/>
      <c r="NI2" s="8"/>
      <c r="NJ2" s="8"/>
      <c r="NK2" s="8"/>
      <c r="NL2" s="8"/>
      <c r="NM2" s="8"/>
      <c r="NN2" s="8"/>
      <c r="NO2" s="8"/>
      <c r="NP2" s="8"/>
      <c r="NQ2" s="8"/>
      <c r="NR2" s="8"/>
      <c r="NS2" s="8"/>
      <c r="NT2" s="8"/>
      <c r="NU2" s="8"/>
      <c r="NV2" s="8"/>
      <c r="NW2" s="8"/>
      <c r="NX2" s="8"/>
      <c r="NY2" s="8"/>
      <c r="NZ2" s="8"/>
      <c r="OA2" s="8"/>
      <c r="OB2" s="8"/>
      <c r="OC2" s="8"/>
      <c r="OD2" s="8"/>
      <c r="OE2" s="8"/>
      <c r="OF2" s="8"/>
      <c r="OG2" s="8"/>
      <c r="OH2" s="8"/>
      <c r="OI2" s="8"/>
      <c r="OJ2" s="8"/>
      <c r="OK2" s="8"/>
      <c r="OL2" s="8"/>
      <c r="OM2" s="8"/>
      <c r="ON2" s="8"/>
      <c r="OO2" s="8"/>
      <c r="OP2" s="8"/>
      <c r="OQ2" s="8"/>
      <c r="OR2" s="8"/>
      <c r="OS2" s="8"/>
      <c r="OT2" s="8"/>
      <c r="OU2" s="8"/>
      <c r="OV2" s="8"/>
      <c r="OW2" s="8"/>
      <c r="OX2" s="8"/>
      <c r="OY2" s="8"/>
      <c r="OZ2" s="8"/>
      <c r="PA2" s="8"/>
      <c r="PB2" s="8"/>
      <c r="PC2" s="8"/>
      <c r="PD2" s="8"/>
      <c r="PE2" s="8"/>
      <c r="PF2" s="8"/>
      <c r="PG2" s="8"/>
      <c r="PH2" s="8"/>
      <c r="PI2" s="8"/>
      <c r="PJ2" s="8"/>
      <c r="PK2" s="8"/>
      <c r="PL2" s="8"/>
      <c r="PM2" s="8"/>
      <c r="PN2" s="8"/>
      <c r="PO2" s="8"/>
      <c r="PP2" s="8"/>
      <c r="PQ2" s="8"/>
      <c r="PR2" s="8"/>
      <c r="PS2" s="8"/>
      <c r="PT2" s="8"/>
      <c r="PU2" s="8"/>
      <c r="PV2" s="8"/>
      <c r="PW2" s="8"/>
      <c r="PX2" s="8"/>
      <c r="PY2" s="8"/>
      <c r="PZ2" s="8"/>
      <c r="QA2" s="8"/>
      <c r="QB2" s="8"/>
      <c r="QC2" s="8"/>
      <c r="QD2" s="8"/>
      <c r="QE2" s="8"/>
      <c r="QF2" s="8"/>
      <c r="QG2" s="8"/>
      <c r="QH2" s="8"/>
      <c r="QI2" s="8"/>
      <c r="QJ2" s="8"/>
      <c r="QK2" s="8"/>
      <c r="QL2" s="8"/>
      <c r="QM2" s="8"/>
      <c r="QN2" s="8"/>
      <c r="QO2" s="8"/>
      <c r="QP2" s="8"/>
      <c r="QQ2" s="8"/>
      <c r="QR2" s="8"/>
      <c r="QS2" s="8"/>
      <c r="QT2" s="8"/>
      <c r="QU2" s="8"/>
      <c r="QV2" s="8"/>
      <c r="QW2" s="8"/>
      <c r="QX2" s="8"/>
      <c r="QY2" s="8"/>
      <c r="QZ2" s="8"/>
      <c r="RA2" s="8"/>
      <c r="RB2" s="8"/>
      <c r="RC2" s="8"/>
      <c r="RD2" s="8"/>
      <c r="RE2" s="8"/>
      <c r="RF2" s="8"/>
      <c r="RG2" s="8"/>
      <c r="RH2" s="8"/>
      <c r="RI2" s="8"/>
      <c r="RJ2" s="8"/>
      <c r="RK2" s="8"/>
      <c r="RL2" s="8"/>
      <c r="RM2" s="8"/>
      <c r="RN2" s="8"/>
      <c r="RO2" s="8"/>
      <c r="RP2" s="8"/>
      <c r="RQ2" s="8"/>
      <c r="RR2" s="8"/>
      <c r="RS2" s="8"/>
      <c r="RT2" s="8"/>
      <c r="RU2" s="8"/>
      <c r="RV2" s="8"/>
      <c r="RW2" s="8"/>
      <c r="RX2" s="8"/>
      <c r="RY2" s="8"/>
      <c r="RZ2" s="8"/>
      <c r="SA2" s="8"/>
      <c r="SB2" s="8"/>
      <c r="SC2" s="8"/>
      <c r="SD2" s="8"/>
      <c r="SE2" s="8"/>
      <c r="SF2" s="8"/>
      <c r="SG2" s="8"/>
      <c r="SH2" s="8"/>
      <c r="SI2" s="8"/>
      <c r="SJ2" s="8"/>
      <c r="SK2" s="8"/>
      <c r="SL2" s="8"/>
      <c r="SM2" s="8"/>
      <c r="SN2" s="8"/>
      <c r="SO2" s="8"/>
      <c r="SP2" s="8"/>
      <c r="SQ2" s="8"/>
      <c r="SR2" s="8"/>
      <c r="SS2" s="8"/>
      <c r="ST2" s="8"/>
      <c r="SU2" s="8"/>
      <c r="SV2" s="8"/>
      <c r="SW2" s="8"/>
      <c r="SX2" s="8"/>
      <c r="SY2" s="8"/>
      <c r="SZ2" s="8"/>
      <c r="TA2" s="8"/>
      <c r="TB2" s="8"/>
      <c r="TC2" s="8"/>
      <c r="TD2" s="8"/>
      <c r="TE2" s="8"/>
      <c r="TF2" s="8"/>
      <c r="TG2" s="8"/>
      <c r="TH2" s="8"/>
      <c r="TI2" s="8"/>
      <c r="TJ2" s="8"/>
      <c r="TK2" s="8"/>
      <c r="TL2" s="8"/>
      <c r="TM2" s="8"/>
      <c r="TN2" s="8"/>
      <c r="TO2" s="8"/>
      <c r="TP2" s="8"/>
      <c r="TQ2" s="8"/>
      <c r="TR2" s="8"/>
      <c r="TS2" s="8"/>
      <c r="TT2" s="8"/>
      <c r="TU2" s="8"/>
      <c r="TV2" s="8"/>
      <c r="TW2" s="8"/>
      <c r="TX2" s="8"/>
      <c r="TY2" s="8"/>
      <c r="TZ2" s="8"/>
      <c r="UA2" s="8"/>
      <c r="UB2" s="8"/>
      <c r="UC2" s="8"/>
      <c r="UD2" s="8"/>
      <c r="UE2" s="8"/>
      <c r="UF2" s="8"/>
      <c r="UG2" s="8"/>
      <c r="UH2" s="8"/>
      <c r="UI2" s="8"/>
      <c r="UJ2" s="8"/>
      <c r="UK2" s="8"/>
      <c r="UL2" s="8"/>
      <c r="UM2" s="8"/>
      <c r="UN2" s="8"/>
      <c r="UO2" s="8"/>
      <c r="UP2" s="8"/>
      <c r="UQ2" s="8"/>
      <c r="UR2" s="8"/>
      <c r="US2" s="8"/>
      <c r="UT2" s="8"/>
      <c r="UU2" s="8"/>
      <c r="UV2" s="8"/>
      <c r="UW2" s="8"/>
      <c r="UX2" s="8"/>
      <c r="UY2" s="8"/>
      <c r="UZ2" s="8"/>
      <c r="VA2" s="8"/>
      <c r="VB2" s="8"/>
      <c r="VC2" s="8"/>
      <c r="VD2" s="8"/>
      <c r="VE2" s="8"/>
      <c r="VF2" s="8"/>
      <c r="VG2" s="8"/>
      <c r="VH2" s="8"/>
      <c r="VI2" s="8"/>
      <c r="VJ2" s="8"/>
      <c r="VK2" s="8"/>
      <c r="VL2" s="8"/>
      <c r="VM2" s="8"/>
      <c r="VN2" s="8"/>
      <c r="VO2" s="8"/>
      <c r="VP2" s="8"/>
      <c r="VQ2" s="8"/>
      <c r="VR2" s="8"/>
      <c r="VS2" s="8"/>
      <c r="VT2" s="8"/>
      <c r="VU2" s="8"/>
      <c r="VV2" s="8"/>
      <c r="VW2" s="8"/>
      <c r="VX2" s="8"/>
      <c r="VY2" s="8"/>
      <c r="VZ2" s="8"/>
      <c r="WA2" s="8"/>
      <c r="WB2" s="8"/>
      <c r="WC2" s="8"/>
      <c r="WD2" s="8"/>
      <c r="WE2" s="8"/>
      <c r="WF2" s="8"/>
      <c r="WG2" s="8"/>
      <c r="WH2" s="8"/>
      <c r="WI2" s="8"/>
      <c r="WJ2" s="8"/>
      <c r="WK2" s="8"/>
      <c r="WL2" s="8"/>
      <c r="WM2" s="8"/>
      <c r="WN2" s="8"/>
      <c r="WO2" s="8"/>
      <c r="WP2" s="8"/>
      <c r="WQ2" s="8"/>
      <c r="WR2" s="8"/>
      <c r="WS2" s="8"/>
      <c r="WT2" s="8"/>
      <c r="WU2" s="8"/>
      <c r="WV2" s="8"/>
      <c r="WW2" s="8"/>
      <c r="WX2" s="8"/>
      <c r="WY2" s="8"/>
      <c r="WZ2" s="8"/>
      <c r="XA2" s="8"/>
      <c r="XB2" s="8"/>
      <c r="XC2" s="8"/>
      <c r="XD2" s="8"/>
      <c r="XE2" s="8"/>
      <c r="XF2" s="8"/>
      <c r="XG2" s="8"/>
      <c r="XH2" s="8"/>
      <c r="XI2" s="8"/>
      <c r="XJ2" s="8"/>
      <c r="XK2" s="8"/>
      <c r="XL2" s="8"/>
      <c r="XM2" s="8"/>
      <c r="XN2" s="8"/>
      <c r="XO2" s="8"/>
      <c r="XP2" s="8"/>
      <c r="XQ2" s="8"/>
      <c r="XR2" s="8"/>
      <c r="XS2" s="8"/>
      <c r="XT2" s="8"/>
      <c r="XU2" s="8"/>
      <c r="XV2" s="8"/>
      <c r="XW2" s="8"/>
      <c r="XX2" s="8"/>
      <c r="XY2" s="8"/>
      <c r="XZ2" s="8"/>
      <c r="YA2" s="8"/>
      <c r="YB2" s="8"/>
      <c r="YC2" s="8"/>
      <c r="YD2" s="8"/>
      <c r="YE2" s="8"/>
      <c r="YF2" s="8"/>
      <c r="YG2" s="8"/>
      <c r="YH2" s="8"/>
      <c r="YI2" s="8"/>
      <c r="YJ2" s="8"/>
      <c r="YK2" s="8"/>
      <c r="YL2" s="8"/>
      <c r="YM2" s="8"/>
      <c r="YN2" s="8"/>
      <c r="YO2" s="8"/>
      <c r="YP2" s="8"/>
      <c r="YQ2" s="8"/>
      <c r="YR2" s="8"/>
      <c r="YS2" s="8"/>
      <c r="YT2" s="8"/>
      <c r="YU2" s="8"/>
      <c r="YV2" s="8"/>
      <c r="YW2" s="8"/>
      <c r="YX2" s="8"/>
      <c r="YY2" s="8"/>
      <c r="YZ2" s="8"/>
      <c r="ZA2" s="8"/>
      <c r="ZB2" s="8"/>
      <c r="ZC2" s="8"/>
      <c r="ZD2" s="8"/>
      <c r="ZE2" s="8"/>
      <c r="ZF2" s="8"/>
      <c r="ZG2" s="8"/>
      <c r="ZH2" s="8"/>
      <c r="ZI2" s="8"/>
      <c r="ZJ2" s="8"/>
      <c r="ZK2" s="8"/>
      <c r="ZL2" s="8"/>
      <c r="ZM2" s="8"/>
      <c r="ZN2" s="8"/>
      <c r="ZO2" s="8"/>
      <c r="ZP2" s="8"/>
      <c r="ZQ2" s="8"/>
      <c r="ZR2" s="8"/>
      <c r="ZS2" s="8"/>
      <c r="ZT2" s="8"/>
      <c r="ZU2" s="8"/>
      <c r="ZV2" s="8"/>
      <c r="ZW2" s="8"/>
      <c r="ZX2" s="8"/>
      <c r="ZY2" s="8"/>
      <c r="ZZ2" s="8"/>
      <c r="AAA2" s="8"/>
      <c r="AAB2" s="8"/>
      <c r="AAC2" s="8"/>
      <c r="AAD2" s="8"/>
      <c r="AAE2" s="8"/>
      <c r="AAF2" s="8"/>
      <c r="AAG2" s="8"/>
      <c r="AAH2" s="8"/>
      <c r="AAI2" s="8"/>
      <c r="AAJ2" s="8"/>
      <c r="AAK2" s="8"/>
      <c r="AAL2" s="8"/>
      <c r="AAM2" s="8"/>
      <c r="AAN2" s="8"/>
      <c r="AAO2" s="8"/>
      <c r="AAP2" s="8"/>
      <c r="AAQ2" s="8"/>
      <c r="AAR2" s="8"/>
      <c r="AAS2" s="8"/>
      <c r="AAT2" s="8"/>
      <c r="AAU2" s="8"/>
      <c r="AAV2" s="8"/>
      <c r="AAW2" s="8"/>
      <c r="AAX2" s="8"/>
      <c r="AAY2" s="8"/>
      <c r="AAZ2" s="8"/>
      <c r="ABA2" s="8"/>
      <c r="ABB2" s="8"/>
      <c r="ABC2" s="8"/>
      <c r="ABD2" s="8"/>
      <c r="ABE2" s="8"/>
      <c r="ABF2" s="8"/>
      <c r="ABG2" s="8"/>
      <c r="ABH2" s="8"/>
      <c r="ABI2" s="8"/>
      <c r="ABJ2" s="8"/>
      <c r="ABK2" s="8"/>
      <c r="ABL2" s="8"/>
      <c r="ABM2" s="8"/>
      <c r="ABN2" s="8"/>
      <c r="ABO2" s="8"/>
      <c r="ABP2" s="8"/>
      <c r="ABQ2" s="8"/>
      <c r="ABR2" s="8"/>
      <c r="ABS2" s="8"/>
      <c r="ABT2" s="8"/>
      <c r="ABU2" s="8"/>
      <c r="ABV2" s="8"/>
      <c r="ABW2" s="8"/>
      <c r="ABX2" s="8"/>
      <c r="ABY2" s="8"/>
      <c r="ABZ2" s="8"/>
      <c r="ACA2" s="8"/>
      <c r="ACB2" s="8"/>
      <c r="ACC2" s="8"/>
      <c r="ACD2" s="8"/>
      <c r="ACE2" s="8"/>
      <c r="ACF2" s="8"/>
      <c r="ACG2" s="8"/>
      <c r="ACH2" s="8"/>
      <c r="ACI2" s="8"/>
      <c r="ACJ2" s="8"/>
      <c r="ACK2" s="8"/>
      <c r="ACL2" s="8"/>
      <c r="ACM2" s="8"/>
      <c r="ACN2" s="8"/>
      <c r="ACO2" s="8"/>
      <c r="ACP2" s="8"/>
      <c r="ACQ2" s="8"/>
      <c r="ACR2" s="8"/>
      <c r="ACS2" s="8"/>
      <c r="ACT2" s="8"/>
      <c r="ACU2" s="8"/>
      <c r="ACV2" s="8"/>
      <c r="ACW2" s="8"/>
      <c r="ACX2" s="8"/>
      <c r="ACY2" s="8"/>
      <c r="ACZ2" s="8"/>
      <c r="ADA2" s="8"/>
      <c r="ADB2" s="8"/>
      <c r="ADC2" s="8"/>
      <c r="ADD2" s="8"/>
      <c r="ADE2" s="8"/>
      <c r="ADF2" s="8"/>
      <c r="ADG2" s="8"/>
      <c r="ADH2" s="8"/>
      <c r="ADI2" s="8"/>
      <c r="ADJ2" s="8"/>
      <c r="ADK2" s="8"/>
      <c r="ADL2" s="8"/>
      <c r="ADM2" s="8"/>
      <c r="ADN2" s="8"/>
      <c r="ADO2" s="8"/>
      <c r="ADP2" s="8"/>
      <c r="ADQ2" s="8"/>
      <c r="ADR2" s="8"/>
      <c r="ADS2" s="8"/>
      <c r="ADT2" s="8"/>
      <c r="ADU2" s="8"/>
      <c r="ADV2" s="8"/>
      <c r="ADW2" s="8"/>
      <c r="ADX2" s="8"/>
      <c r="ADY2" s="8"/>
      <c r="ADZ2" s="8"/>
      <c r="AEA2" s="8"/>
      <c r="AEB2" s="8"/>
      <c r="AEC2" s="8"/>
      <c r="AED2" s="8"/>
      <c r="AEE2" s="8"/>
      <c r="AEF2" s="8"/>
      <c r="AEG2" s="8"/>
      <c r="AEH2" s="8"/>
      <c r="AEI2" s="8"/>
      <c r="AEJ2" s="8"/>
      <c r="AEK2" s="8"/>
      <c r="AEL2" s="8"/>
      <c r="AEM2" s="8"/>
      <c r="AEN2" s="8"/>
      <c r="AEO2" s="8"/>
      <c r="AEP2" s="8"/>
      <c r="AEQ2" s="8"/>
      <c r="AER2" s="8"/>
      <c r="AES2" s="8"/>
      <c r="AET2" s="8"/>
      <c r="AEU2" s="8"/>
      <c r="AEV2" s="8"/>
      <c r="AEW2" s="8"/>
      <c r="AEX2" s="8"/>
      <c r="AEY2" s="8"/>
      <c r="AEZ2" s="8"/>
      <c r="AFA2" s="8"/>
      <c r="AFB2" s="8"/>
      <c r="AFC2" s="8"/>
      <c r="AFD2" s="8"/>
      <c r="AFE2" s="8"/>
      <c r="AFF2" s="8"/>
      <c r="AFG2" s="8"/>
      <c r="AFH2" s="8"/>
      <c r="AFI2" s="8"/>
      <c r="AFJ2" s="8"/>
      <c r="AFK2" s="8"/>
      <c r="AFL2" s="8"/>
      <c r="AFM2" s="8"/>
      <c r="AFN2" s="8"/>
      <c r="AFO2" s="8"/>
      <c r="AFP2" s="8"/>
      <c r="AFQ2" s="8"/>
      <c r="AFR2" s="8"/>
      <c r="AFS2" s="8"/>
      <c r="AFT2" s="8"/>
      <c r="AFU2" s="8"/>
      <c r="AFV2" s="8"/>
      <c r="AFW2" s="8"/>
      <c r="AFX2" s="8"/>
      <c r="AFY2" s="8"/>
      <c r="AFZ2" s="8"/>
      <c r="AGA2" s="8"/>
      <c r="AGB2" s="8"/>
      <c r="AGC2" s="8"/>
      <c r="AGD2" s="8"/>
      <c r="AGE2" s="8"/>
      <c r="AGF2" s="8"/>
      <c r="AGG2" s="8"/>
      <c r="AGH2" s="8"/>
      <c r="AGI2" s="8"/>
      <c r="AGJ2" s="8"/>
      <c r="AGK2" s="8"/>
      <c r="AGL2" s="8"/>
      <c r="AGM2" s="8"/>
      <c r="AGN2" s="8"/>
      <c r="AGO2" s="8"/>
      <c r="AGP2" s="8"/>
      <c r="AGQ2" s="8"/>
      <c r="AGR2" s="8"/>
      <c r="AGS2" s="8"/>
      <c r="AGT2" s="8"/>
      <c r="AGU2" s="8"/>
      <c r="AGV2" s="8"/>
      <c r="AGW2" s="8"/>
      <c r="AGX2" s="8"/>
      <c r="AGY2" s="8"/>
      <c r="AGZ2" s="8"/>
      <c r="AHA2" s="8"/>
      <c r="AHB2" s="8"/>
      <c r="AHC2" s="8"/>
      <c r="AHD2" s="8"/>
      <c r="AHE2" s="8"/>
      <c r="AHF2" s="8"/>
      <c r="AHG2" s="8"/>
      <c r="AHH2" s="8"/>
      <c r="AHI2" s="8"/>
      <c r="AHJ2" s="8"/>
      <c r="AHK2" s="8"/>
      <c r="AHL2" s="8"/>
      <c r="AHM2" s="8"/>
      <c r="AHN2" s="8"/>
      <c r="AHO2" s="8"/>
      <c r="AHP2" s="8"/>
      <c r="AHQ2" s="8"/>
      <c r="AHR2" s="8"/>
      <c r="AHS2" s="8"/>
      <c r="AHT2" s="8"/>
      <c r="AHU2" s="8"/>
      <c r="AHV2" s="8"/>
      <c r="AHW2" s="8"/>
      <c r="AHX2" s="8"/>
      <c r="AHY2" s="8"/>
      <c r="AHZ2" s="8"/>
      <c r="AIA2" s="8"/>
      <c r="AIB2" s="8"/>
      <c r="AIC2" s="8"/>
      <c r="AID2" s="8"/>
      <c r="AIE2" s="8"/>
      <c r="AIF2" s="8"/>
      <c r="AIG2" s="8"/>
      <c r="AIH2" s="8"/>
      <c r="AII2" s="8"/>
      <c r="AIJ2" s="8"/>
      <c r="AIK2" s="8"/>
      <c r="AIL2" s="8"/>
      <c r="AIM2" s="8"/>
      <c r="AIN2" s="8"/>
      <c r="AIO2" s="8"/>
      <c r="AIP2" s="8"/>
      <c r="AIQ2" s="8"/>
      <c r="AIR2" s="8"/>
      <c r="AIS2" s="8"/>
      <c r="AIT2" s="8"/>
      <c r="AIU2" s="8"/>
      <c r="AIV2" s="8"/>
      <c r="AIW2" s="8"/>
      <c r="AIX2" s="8"/>
      <c r="AIY2" s="8"/>
      <c r="AIZ2" s="8"/>
      <c r="AJA2" s="8"/>
      <c r="AJB2" s="8"/>
      <c r="AJC2" s="8"/>
      <c r="AJD2" s="8"/>
      <c r="AJE2" s="8"/>
      <c r="AJF2" s="8"/>
      <c r="AJG2" s="8"/>
      <c r="AJH2" s="8"/>
      <c r="AJI2" s="8"/>
      <c r="AJJ2" s="8"/>
      <c r="AJK2" s="8"/>
      <c r="AJL2" s="8"/>
      <c r="AJM2" s="8"/>
      <c r="AJN2" s="8"/>
      <c r="AJO2" s="8"/>
      <c r="AJP2" s="8"/>
      <c r="AJQ2" s="8"/>
      <c r="AJR2" s="8"/>
      <c r="AJS2" s="8"/>
      <c r="AJT2" s="8"/>
      <c r="AJU2" s="8"/>
      <c r="AJV2" s="8"/>
      <c r="AJW2" s="8"/>
      <c r="AJX2" s="8"/>
      <c r="AJY2" s="8"/>
      <c r="AJZ2" s="8"/>
      <c r="AKA2" s="8"/>
      <c r="AKB2" s="8"/>
      <c r="AKC2" s="8"/>
      <c r="AKD2" s="8"/>
      <c r="AKE2" s="8"/>
      <c r="AKF2" s="8"/>
      <c r="AKG2" s="8"/>
      <c r="AKH2" s="8"/>
      <c r="AKI2" s="8"/>
      <c r="AKJ2" s="8"/>
      <c r="AKK2" s="8"/>
      <c r="AKL2" s="8"/>
      <c r="AKM2" s="8"/>
      <c r="AKN2" s="8"/>
      <c r="AKO2" s="8"/>
      <c r="AKP2" s="8"/>
      <c r="AKQ2" s="8"/>
      <c r="AKR2" s="8"/>
      <c r="AKS2" s="8"/>
      <c r="AKT2" s="8"/>
      <c r="AKU2" s="8"/>
      <c r="AKV2" s="8"/>
      <c r="AKW2" s="8"/>
      <c r="AKX2" s="8"/>
      <c r="AKY2" s="8"/>
      <c r="AKZ2" s="8"/>
      <c r="ALA2" s="8"/>
      <c r="ALB2" s="8"/>
      <c r="ALC2" s="8"/>
      <c r="ALD2" s="8"/>
      <c r="ALE2" s="8"/>
      <c r="ALF2" s="8"/>
      <c r="ALG2" s="8"/>
      <c r="ALH2" s="8"/>
      <c r="ALI2" s="8"/>
      <c r="ALJ2" s="8"/>
      <c r="ALK2" s="8"/>
      <c r="ALL2" s="8"/>
      <c r="ALM2" s="8"/>
      <c r="ALN2" s="8"/>
      <c r="ALO2" s="8"/>
      <c r="ALP2" s="8"/>
      <c r="ALQ2" s="8"/>
      <c r="ALR2" s="8"/>
      <c r="ALS2" s="8"/>
      <c r="ALT2" s="8"/>
      <c r="ALU2" s="8"/>
      <c r="ALV2" s="8"/>
      <c r="ALW2" s="8"/>
      <c r="ALX2" s="8"/>
      <c r="ALY2" s="8"/>
      <c r="ALZ2" s="8"/>
      <c r="AMA2" s="8"/>
      <c r="AMB2" s="8"/>
      <c r="AMC2" s="8"/>
      <c r="AMD2" s="8"/>
      <c r="AME2" s="8"/>
      <c r="AMF2" s="8"/>
      <c r="AMG2" s="8"/>
      <c r="AMH2" s="8"/>
    </row>
    <row r="3" spans="1:1022" x14ac:dyDescent="0.15">
      <c r="A3" s="8" t="s">
        <v>2812</v>
      </c>
      <c r="B3" s="8" t="s">
        <v>191</v>
      </c>
      <c r="C3" s="8" t="str">
        <f t="shared" si="0"/>
        <v>att_user_research_group:bazzi</v>
      </c>
      <c r="D3" s="8" t="s">
        <v>15</v>
      </c>
      <c r="E3" s="8" t="s">
        <v>2813</v>
      </c>
      <c r="F3" s="8" t="s">
        <v>2814</v>
      </c>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c r="VY3" s="8"/>
      <c r="VZ3" s="8"/>
      <c r="WA3" s="8"/>
      <c r="WB3" s="8"/>
      <c r="WC3" s="8"/>
      <c r="WD3" s="8"/>
      <c r="WE3" s="8"/>
      <c r="WF3" s="8"/>
      <c r="WG3" s="8"/>
      <c r="WH3" s="8"/>
      <c r="WI3" s="8"/>
      <c r="WJ3" s="8"/>
      <c r="WK3" s="8"/>
      <c r="WL3" s="8"/>
      <c r="WM3" s="8"/>
      <c r="WN3" s="8"/>
      <c r="WO3" s="8"/>
      <c r="WP3" s="8"/>
      <c r="WQ3" s="8"/>
      <c r="WR3" s="8"/>
      <c r="WS3" s="8"/>
      <c r="WT3" s="8"/>
      <c r="WU3" s="8"/>
      <c r="WV3" s="8"/>
      <c r="WW3" s="8"/>
      <c r="WX3" s="8"/>
      <c r="WY3" s="8"/>
      <c r="WZ3" s="8"/>
      <c r="XA3" s="8"/>
      <c r="XB3" s="8"/>
      <c r="XC3" s="8"/>
      <c r="XD3" s="8"/>
      <c r="XE3" s="8"/>
      <c r="XF3" s="8"/>
      <c r="XG3" s="8"/>
      <c r="XH3" s="8"/>
      <c r="XI3" s="8"/>
      <c r="XJ3" s="8"/>
      <c r="XK3" s="8"/>
      <c r="XL3" s="8"/>
      <c r="XM3" s="8"/>
      <c r="XN3" s="8"/>
      <c r="XO3" s="8"/>
      <c r="XP3" s="8"/>
      <c r="XQ3" s="8"/>
      <c r="XR3" s="8"/>
      <c r="XS3" s="8"/>
      <c r="XT3" s="8"/>
      <c r="XU3" s="8"/>
      <c r="XV3" s="8"/>
      <c r="XW3" s="8"/>
      <c r="XX3" s="8"/>
      <c r="XY3" s="8"/>
      <c r="XZ3" s="8"/>
      <c r="YA3" s="8"/>
      <c r="YB3" s="8"/>
      <c r="YC3" s="8"/>
      <c r="YD3" s="8"/>
      <c r="YE3" s="8"/>
      <c r="YF3" s="8"/>
      <c r="YG3" s="8"/>
      <c r="YH3" s="8"/>
      <c r="YI3" s="8"/>
      <c r="YJ3" s="8"/>
      <c r="YK3" s="8"/>
      <c r="YL3" s="8"/>
      <c r="YM3" s="8"/>
      <c r="YN3" s="8"/>
      <c r="YO3" s="8"/>
      <c r="YP3" s="8"/>
      <c r="YQ3" s="8"/>
      <c r="YR3" s="8"/>
      <c r="YS3" s="8"/>
      <c r="YT3" s="8"/>
      <c r="YU3" s="8"/>
      <c r="YV3" s="8"/>
      <c r="YW3" s="8"/>
      <c r="YX3" s="8"/>
      <c r="YY3" s="8"/>
      <c r="YZ3" s="8"/>
      <c r="ZA3" s="8"/>
      <c r="ZB3" s="8"/>
      <c r="ZC3" s="8"/>
      <c r="ZD3" s="8"/>
      <c r="ZE3" s="8"/>
      <c r="ZF3" s="8"/>
      <c r="ZG3" s="8"/>
      <c r="ZH3" s="8"/>
      <c r="ZI3" s="8"/>
      <c r="ZJ3" s="8"/>
      <c r="ZK3" s="8"/>
      <c r="ZL3" s="8"/>
      <c r="ZM3" s="8"/>
      <c r="ZN3" s="8"/>
      <c r="ZO3" s="8"/>
      <c r="ZP3" s="8"/>
      <c r="ZQ3" s="8"/>
      <c r="ZR3" s="8"/>
      <c r="ZS3" s="8"/>
      <c r="ZT3" s="8"/>
      <c r="ZU3" s="8"/>
      <c r="ZV3" s="8"/>
      <c r="ZW3" s="8"/>
      <c r="ZX3" s="8"/>
      <c r="ZY3" s="8"/>
      <c r="ZZ3" s="8"/>
      <c r="AAA3" s="8"/>
      <c r="AAB3" s="8"/>
      <c r="AAC3" s="8"/>
      <c r="AAD3" s="8"/>
      <c r="AAE3" s="8"/>
      <c r="AAF3" s="8"/>
      <c r="AAG3" s="8"/>
      <c r="AAH3" s="8"/>
      <c r="AAI3" s="8"/>
      <c r="AAJ3" s="8"/>
      <c r="AAK3" s="8"/>
      <c r="AAL3" s="8"/>
      <c r="AAM3" s="8"/>
      <c r="AAN3" s="8"/>
      <c r="AAO3" s="8"/>
      <c r="AAP3" s="8"/>
      <c r="AAQ3" s="8"/>
      <c r="AAR3" s="8"/>
      <c r="AAS3" s="8"/>
      <c r="AAT3" s="8"/>
      <c r="AAU3" s="8"/>
      <c r="AAV3" s="8"/>
      <c r="AAW3" s="8"/>
      <c r="AAX3" s="8"/>
      <c r="AAY3" s="8"/>
      <c r="AAZ3" s="8"/>
      <c r="ABA3" s="8"/>
      <c r="ABB3" s="8"/>
      <c r="ABC3" s="8"/>
      <c r="ABD3" s="8"/>
      <c r="ABE3" s="8"/>
      <c r="ABF3" s="8"/>
      <c r="ABG3" s="8"/>
      <c r="ABH3" s="8"/>
      <c r="ABI3" s="8"/>
      <c r="ABJ3" s="8"/>
      <c r="ABK3" s="8"/>
      <c r="ABL3" s="8"/>
      <c r="ABM3" s="8"/>
      <c r="ABN3" s="8"/>
      <c r="ABO3" s="8"/>
      <c r="ABP3" s="8"/>
      <c r="ABQ3" s="8"/>
      <c r="ABR3" s="8"/>
      <c r="ABS3" s="8"/>
      <c r="ABT3" s="8"/>
      <c r="ABU3" s="8"/>
      <c r="ABV3" s="8"/>
      <c r="ABW3" s="8"/>
      <c r="ABX3" s="8"/>
      <c r="ABY3" s="8"/>
      <c r="ABZ3" s="8"/>
      <c r="ACA3" s="8"/>
      <c r="ACB3" s="8"/>
      <c r="ACC3" s="8"/>
      <c r="ACD3" s="8"/>
      <c r="ACE3" s="8"/>
      <c r="ACF3" s="8"/>
      <c r="ACG3" s="8"/>
      <c r="ACH3" s="8"/>
      <c r="ACI3" s="8"/>
      <c r="ACJ3" s="8"/>
      <c r="ACK3" s="8"/>
      <c r="ACL3" s="8"/>
      <c r="ACM3" s="8"/>
      <c r="ACN3" s="8"/>
      <c r="ACO3" s="8"/>
      <c r="ACP3" s="8"/>
      <c r="ACQ3" s="8"/>
      <c r="ACR3" s="8"/>
      <c r="ACS3" s="8"/>
      <c r="ACT3" s="8"/>
      <c r="ACU3" s="8"/>
      <c r="ACV3" s="8"/>
      <c r="ACW3" s="8"/>
      <c r="ACX3" s="8"/>
      <c r="ACY3" s="8"/>
      <c r="ACZ3" s="8"/>
      <c r="ADA3" s="8"/>
      <c r="ADB3" s="8"/>
      <c r="ADC3" s="8"/>
      <c r="ADD3" s="8"/>
      <c r="ADE3" s="8"/>
      <c r="ADF3" s="8"/>
      <c r="ADG3" s="8"/>
      <c r="ADH3" s="8"/>
      <c r="ADI3" s="8"/>
      <c r="ADJ3" s="8"/>
      <c r="ADK3" s="8"/>
      <c r="ADL3" s="8"/>
      <c r="ADM3" s="8"/>
      <c r="ADN3" s="8"/>
      <c r="ADO3" s="8"/>
      <c r="ADP3" s="8"/>
      <c r="ADQ3" s="8"/>
      <c r="ADR3" s="8"/>
      <c r="ADS3" s="8"/>
      <c r="ADT3" s="8"/>
      <c r="ADU3" s="8"/>
      <c r="ADV3" s="8"/>
      <c r="ADW3" s="8"/>
      <c r="ADX3" s="8"/>
      <c r="ADY3" s="8"/>
      <c r="ADZ3" s="8"/>
      <c r="AEA3" s="8"/>
      <c r="AEB3" s="8"/>
      <c r="AEC3" s="8"/>
      <c r="AED3" s="8"/>
      <c r="AEE3" s="8"/>
      <c r="AEF3" s="8"/>
      <c r="AEG3" s="8"/>
      <c r="AEH3" s="8"/>
      <c r="AEI3" s="8"/>
      <c r="AEJ3" s="8"/>
      <c r="AEK3" s="8"/>
      <c r="AEL3" s="8"/>
      <c r="AEM3" s="8"/>
      <c r="AEN3" s="8"/>
      <c r="AEO3" s="8"/>
      <c r="AEP3" s="8"/>
      <c r="AEQ3" s="8"/>
      <c r="AER3" s="8"/>
      <c r="AES3" s="8"/>
      <c r="AET3" s="8"/>
      <c r="AEU3" s="8"/>
      <c r="AEV3" s="8"/>
      <c r="AEW3" s="8"/>
      <c r="AEX3" s="8"/>
      <c r="AEY3" s="8"/>
      <c r="AEZ3" s="8"/>
      <c r="AFA3" s="8"/>
      <c r="AFB3" s="8"/>
      <c r="AFC3" s="8"/>
      <c r="AFD3" s="8"/>
      <c r="AFE3" s="8"/>
      <c r="AFF3" s="8"/>
      <c r="AFG3" s="8"/>
      <c r="AFH3" s="8"/>
      <c r="AFI3" s="8"/>
      <c r="AFJ3" s="8"/>
      <c r="AFK3" s="8"/>
      <c r="AFL3" s="8"/>
      <c r="AFM3" s="8"/>
      <c r="AFN3" s="8"/>
      <c r="AFO3" s="8"/>
      <c r="AFP3" s="8"/>
      <c r="AFQ3" s="8"/>
      <c r="AFR3" s="8"/>
      <c r="AFS3" s="8"/>
      <c r="AFT3" s="8"/>
      <c r="AFU3" s="8"/>
      <c r="AFV3" s="8"/>
      <c r="AFW3" s="8"/>
      <c r="AFX3" s="8"/>
      <c r="AFY3" s="8"/>
      <c r="AFZ3" s="8"/>
      <c r="AGA3" s="8"/>
      <c r="AGB3" s="8"/>
      <c r="AGC3" s="8"/>
      <c r="AGD3" s="8"/>
      <c r="AGE3" s="8"/>
      <c r="AGF3" s="8"/>
      <c r="AGG3" s="8"/>
      <c r="AGH3" s="8"/>
      <c r="AGI3" s="8"/>
      <c r="AGJ3" s="8"/>
      <c r="AGK3" s="8"/>
      <c r="AGL3" s="8"/>
      <c r="AGM3" s="8"/>
      <c r="AGN3" s="8"/>
      <c r="AGO3" s="8"/>
      <c r="AGP3" s="8"/>
      <c r="AGQ3" s="8"/>
      <c r="AGR3" s="8"/>
      <c r="AGS3" s="8"/>
      <c r="AGT3" s="8"/>
      <c r="AGU3" s="8"/>
      <c r="AGV3" s="8"/>
      <c r="AGW3" s="8"/>
      <c r="AGX3" s="8"/>
      <c r="AGY3" s="8"/>
      <c r="AGZ3" s="8"/>
      <c r="AHA3" s="8"/>
      <c r="AHB3" s="8"/>
      <c r="AHC3" s="8"/>
      <c r="AHD3" s="8"/>
      <c r="AHE3" s="8"/>
      <c r="AHF3" s="8"/>
      <c r="AHG3" s="8"/>
      <c r="AHH3" s="8"/>
      <c r="AHI3" s="8"/>
      <c r="AHJ3" s="8"/>
      <c r="AHK3" s="8"/>
      <c r="AHL3" s="8"/>
      <c r="AHM3" s="8"/>
      <c r="AHN3" s="8"/>
      <c r="AHO3" s="8"/>
      <c r="AHP3" s="8"/>
      <c r="AHQ3" s="8"/>
      <c r="AHR3" s="8"/>
      <c r="AHS3" s="8"/>
      <c r="AHT3" s="8"/>
      <c r="AHU3" s="8"/>
      <c r="AHV3" s="8"/>
      <c r="AHW3" s="8"/>
      <c r="AHX3" s="8"/>
      <c r="AHY3" s="8"/>
      <c r="AHZ3" s="8"/>
      <c r="AIA3" s="8"/>
      <c r="AIB3" s="8"/>
      <c r="AIC3" s="8"/>
      <c r="AID3" s="8"/>
      <c r="AIE3" s="8"/>
      <c r="AIF3" s="8"/>
      <c r="AIG3" s="8"/>
      <c r="AIH3" s="8"/>
      <c r="AII3" s="8"/>
      <c r="AIJ3" s="8"/>
      <c r="AIK3" s="8"/>
      <c r="AIL3" s="8"/>
      <c r="AIM3" s="8"/>
      <c r="AIN3" s="8"/>
      <c r="AIO3" s="8"/>
      <c r="AIP3" s="8"/>
      <c r="AIQ3" s="8"/>
      <c r="AIR3" s="8"/>
      <c r="AIS3" s="8"/>
      <c r="AIT3" s="8"/>
      <c r="AIU3" s="8"/>
      <c r="AIV3" s="8"/>
      <c r="AIW3" s="8"/>
      <c r="AIX3" s="8"/>
      <c r="AIY3" s="8"/>
      <c r="AIZ3" s="8"/>
      <c r="AJA3" s="8"/>
      <c r="AJB3" s="8"/>
      <c r="AJC3" s="8"/>
      <c r="AJD3" s="8"/>
      <c r="AJE3" s="8"/>
      <c r="AJF3" s="8"/>
      <c r="AJG3" s="8"/>
      <c r="AJH3" s="8"/>
      <c r="AJI3" s="8"/>
      <c r="AJJ3" s="8"/>
      <c r="AJK3" s="8"/>
      <c r="AJL3" s="8"/>
      <c r="AJM3" s="8"/>
      <c r="AJN3" s="8"/>
      <c r="AJO3" s="8"/>
      <c r="AJP3" s="8"/>
      <c r="AJQ3" s="8"/>
      <c r="AJR3" s="8"/>
      <c r="AJS3" s="8"/>
      <c r="AJT3" s="8"/>
      <c r="AJU3" s="8"/>
      <c r="AJV3" s="8"/>
      <c r="AJW3" s="8"/>
      <c r="AJX3" s="8"/>
      <c r="AJY3" s="8"/>
      <c r="AJZ3" s="8"/>
      <c r="AKA3" s="8"/>
      <c r="AKB3" s="8"/>
      <c r="AKC3" s="8"/>
      <c r="AKD3" s="8"/>
      <c r="AKE3" s="8"/>
      <c r="AKF3" s="8"/>
      <c r="AKG3" s="8"/>
      <c r="AKH3" s="8"/>
      <c r="AKI3" s="8"/>
      <c r="AKJ3" s="8"/>
      <c r="AKK3" s="8"/>
      <c r="AKL3" s="8"/>
      <c r="AKM3" s="8"/>
      <c r="AKN3" s="8"/>
      <c r="AKO3" s="8"/>
      <c r="AKP3" s="8"/>
      <c r="AKQ3" s="8"/>
      <c r="AKR3" s="8"/>
      <c r="AKS3" s="8"/>
      <c r="AKT3" s="8"/>
      <c r="AKU3" s="8"/>
      <c r="AKV3" s="8"/>
      <c r="AKW3" s="8"/>
      <c r="AKX3" s="8"/>
      <c r="AKY3" s="8"/>
      <c r="AKZ3" s="8"/>
      <c r="ALA3" s="8"/>
      <c r="ALB3" s="8"/>
      <c r="ALC3" s="8"/>
      <c r="ALD3" s="8"/>
      <c r="ALE3" s="8"/>
      <c r="ALF3" s="8"/>
      <c r="ALG3" s="8"/>
      <c r="ALH3" s="8"/>
      <c r="ALI3" s="8"/>
      <c r="ALJ3" s="8"/>
      <c r="ALK3" s="8"/>
      <c r="ALL3" s="8"/>
      <c r="ALM3" s="8"/>
      <c r="ALN3" s="8"/>
      <c r="ALO3" s="8"/>
      <c r="ALP3" s="8"/>
      <c r="ALQ3" s="8"/>
      <c r="ALR3" s="8"/>
      <c r="ALS3" s="8"/>
      <c r="ALT3" s="8"/>
      <c r="ALU3" s="8"/>
      <c r="ALV3" s="8"/>
      <c r="ALW3" s="8"/>
      <c r="ALX3" s="8"/>
      <c r="ALY3" s="8"/>
      <c r="ALZ3" s="8"/>
      <c r="AMA3" s="8"/>
      <c r="AMB3" s="8"/>
      <c r="AMC3" s="8"/>
      <c r="AMD3" s="8"/>
      <c r="AME3" s="8"/>
      <c r="AMF3" s="8"/>
      <c r="AMG3" s="8"/>
      <c r="AMH3" s="8"/>
    </row>
    <row r="4" spans="1:1022" x14ac:dyDescent="0.15">
      <c r="A4" s="8" t="s">
        <v>2815</v>
      </c>
      <c r="B4" s="8" t="s">
        <v>191</v>
      </c>
      <c r="C4" s="8" t="str">
        <f t="shared" si="0"/>
        <v>att_user_research_group:hallek</v>
      </c>
      <c r="D4" s="8" t="s">
        <v>15</v>
      </c>
      <c r="E4" s="8" t="s">
        <v>2816</v>
      </c>
      <c r="F4" s="8" t="s">
        <v>2817</v>
      </c>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c r="VY4" s="8"/>
      <c r="VZ4" s="8"/>
      <c r="WA4" s="8"/>
      <c r="WB4" s="8"/>
      <c r="WC4" s="8"/>
      <c r="WD4" s="8"/>
      <c r="WE4" s="8"/>
      <c r="WF4" s="8"/>
      <c r="WG4" s="8"/>
      <c r="WH4" s="8"/>
      <c r="WI4" s="8"/>
      <c r="WJ4" s="8"/>
      <c r="WK4" s="8"/>
      <c r="WL4" s="8"/>
      <c r="WM4" s="8"/>
      <c r="WN4" s="8"/>
      <c r="WO4" s="8"/>
      <c r="WP4" s="8"/>
      <c r="WQ4" s="8"/>
      <c r="WR4" s="8"/>
      <c r="WS4" s="8"/>
      <c r="WT4" s="8"/>
      <c r="WU4" s="8"/>
      <c r="WV4" s="8"/>
      <c r="WW4" s="8"/>
      <c r="WX4" s="8"/>
      <c r="WY4" s="8"/>
      <c r="WZ4" s="8"/>
      <c r="XA4" s="8"/>
      <c r="XB4" s="8"/>
      <c r="XC4" s="8"/>
      <c r="XD4" s="8"/>
      <c r="XE4" s="8"/>
      <c r="XF4" s="8"/>
      <c r="XG4" s="8"/>
      <c r="XH4" s="8"/>
      <c r="XI4" s="8"/>
      <c r="XJ4" s="8"/>
      <c r="XK4" s="8"/>
      <c r="XL4" s="8"/>
      <c r="XM4" s="8"/>
      <c r="XN4" s="8"/>
      <c r="XO4" s="8"/>
      <c r="XP4" s="8"/>
      <c r="XQ4" s="8"/>
      <c r="XR4" s="8"/>
      <c r="XS4" s="8"/>
      <c r="XT4" s="8"/>
      <c r="XU4" s="8"/>
      <c r="XV4" s="8"/>
      <c r="XW4" s="8"/>
      <c r="XX4" s="8"/>
      <c r="XY4" s="8"/>
      <c r="XZ4" s="8"/>
      <c r="YA4" s="8"/>
      <c r="YB4" s="8"/>
      <c r="YC4" s="8"/>
      <c r="YD4" s="8"/>
      <c r="YE4" s="8"/>
      <c r="YF4" s="8"/>
      <c r="YG4" s="8"/>
      <c r="YH4" s="8"/>
      <c r="YI4" s="8"/>
      <c r="YJ4" s="8"/>
      <c r="YK4" s="8"/>
      <c r="YL4" s="8"/>
      <c r="YM4" s="8"/>
      <c r="YN4" s="8"/>
      <c r="YO4" s="8"/>
      <c r="YP4" s="8"/>
      <c r="YQ4" s="8"/>
      <c r="YR4" s="8"/>
      <c r="YS4" s="8"/>
      <c r="YT4" s="8"/>
      <c r="YU4" s="8"/>
      <c r="YV4" s="8"/>
      <c r="YW4" s="8"/>
      <c r="YX4" s="8"/>
      <c r="YY4" s="8"/>
      <c r="YZ4" s="8"/>
      <c r="ZA4" s="8"/>
      <c r="ZB4" s="8"/>
      <c r="ZC4" s="8"/>
      <c r="ZD4" s="8"/>
      <c r="ZE4" s="8"/>
      <c r="ZF4" s="8"/>
      <c r="ZG4" s="8"/>
      <c r="ZH4" s="8"/>
      <c r="ZI4" s="8"/>
      <c r="ZJ4" s="8"/>
      <c r="ZK4" s="8"/>
      <c r="ZL4" s="8"/>
      <c r="ZM4" s="8"/>
      <c r="ZN4" s="8"/>
      <c r="ZO4" s="8"/>
      <c r="ZP4" s="8"/>
      <c r="ZQ4" s="8"/>
      <c r="ZR4" s="8"/>
      <c r="ZS4" s="8"/>
      <c r="ZT4" s="8"/>
      <c r="ZU4" s="8"/>
      <c r="ZV4" s="8"/>
      <c r="ZW4" s="8"/>
      <c r="ZX4" s="8"/>
      <c r="ZY4" s="8"/>
      <c r="ZZ4" s="8"/>
      <c r="AAA4" s="8"/>
      <c r="AAB4" s="8"/>
      <c r="AAC4" s="8"/>
      <c r="AAD4" s="8"/>
      <c r="AAE4" s="8"/>
      <c r="AAF4" s="8"/>
      <c r="AAG4" s="8"/>
      <c r="AAH4" s="8"/>
      <c r="AAI4" s="8"/>
      <c r="AAJ4" s="8"/>
      <c r="AAK4" s="8"/>
      <c r="AAL4" s="8"/>
      <c r="AAM4" s="8"/>
      <c r="AAN4" s="8"/>
      <c r="AAO4" s="8"/>
      <c r="AAP4" s="8"/>
      <c r="AAQ4" s="8"/>
      <c r="AAR4" s="8"/>
      <c r="AAS4" s="8"/>
      <c r="AAT4" s="8"/>
      <c r="AAU4" s="8"/>
      <c r="AAV4" s="8"/>
      <c r="AAW4" s="8"/>
      <c r="AAX4" s="8"/>
      <c r="AAY4" s="8"/>
      <c r="AAZ4" s="8"/>
      <c r="ABA4" s="8"/>
      <c r="ABB4" s="8"/>
      <c r="ABC4" s="8"/>
      <c r="ABD4" s="8"/>
      <c r="ABE4" s="8"/>
      <c r="ABF4" s="8"/>
      <c r="ABG4" s="8"/>
      <c r="ABH4" s="8"/>
      <c r="ABI4" s="8"/>
      <c r="ABJ4" s="8"/>
      <c r="ABK4" s="8"/>
      <c r="ABL4" s="8"/>
      <c r="ABM4" s="8"/>
      <c r="ABN4" s="8"/>
      <c r="ABO4" s="8"/>
      <c r="ABP4" s="8"/>
      <c r="ABQ4" s="8"/>
      <c r="ABR4" s="8"/>
      <c r="ABS4" s="8"/>
      <c r="ABT4" s="8"/>
      <c r="ABU4" s="8"/>
      <c r="ABV4" s="8"/>
      <c r="ABW4" s="8"/>
      <c r="ABX4" s="8"/>
      <c r="ABY4" s="8"/>
      <c r="ABZ4" s="8"/>
      <c r="ACA4" s="8"/>
      <c r="ACB4" s="8"/>
      <c r="ACC4" s="8"/>
      <c r="ACD4" s="8"/>
      <c r="ACE4" s="8"/>
      <c r="ACF4" s="8"/>
      <c r="ACG4" s="8"/>
      <c r="ACH4" s="8"/>
      <c r="ACI4" s="8"/>
      <c r="ACJ4" s="8"/>
      <c r="ACK4" s="8"/>
      <c r="ACL4" s="8"/>
      <c r="ACM4" s="8"/>
      <c r="ACN4" s="8"/>
      <c r="ACO4" s="8"/>
      <c r="ACP4" s="8"/>
      <c r="ACQ4" s="8"/>
      <c r="ACR4" s="8"/>
      <c r="ACS4" s="8"/>
      <c r="ACT4" s="8"/>
      <c r="ACU4" s="8"/>
      <c r="ACV4" s="8"/>
      <c r="ACW4" s="8"/>
      <c r="ACX4" s="8"/>
      <c r="ACY4" s="8"/>
      <c r="ACZ4" s="8"/>
      <c r="ADA4" s="8"/>
      <c r="ADB4" s="8"/>
      <c r="ADC4" s="8"/>
      <c r="ADD4" s="8"/>
      <c r="ADE4" s="8"/>
      <c r="ADF4" s="8"/>
      <c r="ADG4" s="8"/>
      <c r="ADH4" s="8"/>
      <c r="ADI4" s="8"/>
      <c r="ADJ4" s="8"/>
      <c r="ADK4" s="8"/>
      <c r="ADL4" s="8"/>
      <c r="ADM4" s="8"/>
      <c r="ADN4" s="8"/>
      <c r="ADO4" s="8"/>
      <c r="ADP4" s="8"/>
      <c r="ADQ4" s="8"/>
      <c r="ADR4" s="8"/>
      <c r="ADS4" s="8"/>
      <c r="ADT4" s="8"/>
      <c r="ADU4" s="8"/>
      <c r="ADV4" s="8"/>
      <c r="ADW4" s="8"/>
      <c r="ADX4" s="8"/>
      <c r="ADY4" s="8"/>
      <c r="ADZ4" s="8"/>
      <c r="AEA4" s="8"/>
      <c r="AEB4" s="8"/>
      <c r="AEC4" s="8"/>
      <c r="AED4" s="8"/>
      <c r="AEE4" s="8"/>
      <c r="AEF4" s="8"/>
      <c r="AEG4" s="8"/>
      <c r="AEH4" s="8"/>
      <c r="AEI4" s="8"/>
      <c r="AEJ4" s="8"/>
      <c r="AEK4" s="8"/>
      <c r="AEL4" s="8"/>
      <c r="AEM4" s="8"/>
      <c r="AEN4" s="8"/>
      <c r="AEO4" s="8"/>
      <c r="AEP4" s="8"/>
      <c r="AEQ4" s="8"/>
      <c r="AER4" s="8"/>
      <c r="AES4" s="8"/>
      <c r="AET4" s="8"/>
      <c r="AEU4" s="8"/>
      <c r="AEV4" s="8"/>
      <c r="AEW4" s="8"/>
      <c r="AEX4" s="8"/>
      <c r="AEY4" s="8"/>
      <c r="AEZ4" s="8"/>
      <c r="AFA4" s="8"/>
      <c r="AFB4" s="8"/>
      <c r="AFC4" s="8"/>
      <c r="AFD4" s="8"/>
      <c r="AFE4" s="8"/>
      <c r="AFF4" s="8"/>
      <c r="AFG4" s="8"/>
      <c r="AFH4" s="8"/>
      <c r="AFI4" s="8"/>
      <c r="AFJ4" s="8"/>
      <c r="AFK4" s="8"/>
      <c r="AFL4" s="8"/>
      <c r="AFM4" s="8"/>
      <c r="AFN4" s="8"/>
      <c r="AFO4" s="8"/>
      <c r="AFP4" s="8"/>
      <c r="AFQ4" s="8"/>
      <c r="AFR4" s="8"/>
      <c r="AFS4" s="8"/>
      <c r="AFT4" s="8"/>
      <c r="AFU4" s="8"/>
      <c r="AFV4" s="8"/>
      <c r="AFW4" s="8"/>
      <c r="AFX4" s="8"/>
      <c r="AFY4" s="8"/>
      <c r="AFZ4" s="8"/>
      <c r="AGA4" s="8"/>
      <c r="AGB4" s="8"/>
      <c r="AGC4" s="8"/>
      <c r="AGD4" s="8"/>
      <c r="AGE4" s="8"/>
      <c r="AGF4" s="8"/>
      <c r="AGG4" s="8"/>
      <c r="AGH4" s="8"/>
      <c r="AGI4" s="8"/>
      <c r="AGJ4" s="8"/>
      <c r="AGK4" s="8"/>
      <c r="AGL4" s="8"/>
      <c r="AGM4" s="8"/>
      <c r="AGN4" s="8"/>
      <c r="AGO4" s="8"/>
      <c r="AGP4" s="8"/>
      <c r="AGQ4" s="8"/>
      <c r="AGR4" s="8"/>
      <c r="AGS4" s="8"/>
      <c r="AGT4" s="8"/>
      <c r="AGU4" s="8"/>
      <c r="AGV4" s="8"/>
      <c r="AGW4" s="8"/>
      <c r="AGX4" s="8"/>
      <c r="AGY4" s="8"/>
      <c r="AGZ4" s="8"/>
      <c r="AHA4" s="8"/>
      <c r="AHB4" s="8"/>
      <c r="AHC4" s="8"/>
      <c r="AHD4" s="8"/>
      <c r="AHE4" s="8"/>
      <c r="AHF4" s="8"/>
      <c r="AHG4" s="8"/>
      <c r="AHH4" s="8"/>
      <c r="AHI4" s="8"/>
      <c r="AHJ4" s="8"/>
      <c r="AHK4" s="8"/>
      <c r="AHL4" s="8"/>
      <c r="AHM4" s="8"/>
      <c r="AHN4" s="8"/>
      <c r="AHO4" s="8"/>
      <c r="AHP4" s="8"/>
      <c r="AHQ4" s="8"/>
      <c r="AHR4" s="8"/>
      <c r="AHS4" s="8"/>
      <c r="AHT4" s="8"/>
      <c r="AHU4" s="8"/>
      <c r="AHV4" s="8"/>
      <c r="AHW4" s="8"/>
      <c r="AHX4" s="8"/>
      <c r="AHY4" s="8"/>
      <c r="AHZ4" s="8"/>
      <c r="AIA4" s="8"/>
      <c r="AIB4" s="8"/>
      <c r="AIC4" s="8"/>
      <c r="AID4" s="8"/>
      <c r="AIE4" s="8"/>
      <c r="AIF4" s="8"/>
      <c r="AIG4" s="8"/>
      <c r="AIH4" s="8"/>
      <c r="AII4" s="8"/>
      <c r="AIJ4" s="8"/>
      <c r="AIK4" s="8"/>
      <c r="AIL4" s="8"/>
      <c r="AIM4" s="8"/>
      <c r="AIN4" s="8"/>
      <c r="AIO4" s="8"/>
      <c r="AIP4" s="8"/>
      <c r="AIQ4" s="8"/>
      <c r="AIR4" s="8"/>
      <c r="AIS4" s="8"/>
      <c r="AIT4" s="8"/>
      <c r="AIU4" s="8"/>
      <c r="AIV4" s="8"/>
      <c r="AIW4" s="8"/>
      <c r="AIX4" s="8"/>
      <c r="AIY4" s="8"/>
      <c r="AIZ4" s="8"/>
      <c r="AJA4" s="8"/>
      <c r="AJB4" s="8"/>
      <c r="AJC4" s="8"/>
      <c r="AJD4" s="8"/>
      <c r="AJE4" s="8"/>
      <c r="AJF4" s="8"/>
      <c r="AJG4" s="8"/>
      <c r="AJH4" s="8"/>
      <c r="AJI4" s="8"/>
      <c r="AJJ4" s="8"/>
      <c r="AJK4" s="8"/>
      <c r="AJL4" s="8"/>
      <c r="AJM4" s="8"/>
      <c r="AJN4" s="8"/>
      <c r="AJO4" s="8"/>
      <c r="AJP4" s="8"/>
      <c r="AJQ4" s="8"/>
      <c r="AJR4" s="8"/>
      <c r="AJS4" s="8"/>
      <c r="AJT4" s="8"/>
      <c r="AJU4" s="8"/>
      <c r="AJV4" s="8"/>
      <c r="AJW4" s="8"/>
      <c r="AJX4" s="8"/>
      <c r="AJY4" s="8"/>
      <c r="AJZ4" s="8"/>
      <c r="AKA4" s="8"/>
      <c r="AKB4" s="8"/>
      <c r="AKC4" s="8"/>
      <c r="AKD4" s="8"/>
      <c r="AKE4" s="8"/>
      <c r="AKF4" s="8"/>
      <c r="AKG4" s="8"/>
      <c r="AKH4" s="8"/>
      <c r="AKI4" s="8"/>
      <c r="AKJ4" s="8"/>
      <c r="AKK4" s="8"/>
      <c r="AKL4" s="8"/>
      <c r="AKM4" s="8"/>
      <c r="AKN4" s="8"/>
      <c r="AKO4" s="8"/>
      <c r="AKP4" s="8"/>
      <c r="AKQ4" s="8"/>
      <c r="AKR4" s="8"/>
      <c r="AKS4" s="8"/>
      <c r="AKT4" s="8"/>
      <c r="AKU4" s="8"/>
      <c r="AKV4" s="8"/>
      <c r="AKW4" s="8"/>
      <c r="AKX4" s="8"/>
      <c r="AKY4" s="8"/>
      <c r="AKZ4" s="8"/>
      <c r="ALA4" s="8"/>
      <c r="ALB4" s="8"/>
      <c r="ALC4" s="8"/>
      <c r="ALD4" s="8"/>
      <c r="ALE4" s="8"/>
      <c r="ALF4" s="8"/>
      <c r="ALG4" s="8"/>
      <c r="ALH4" s="8"/>
      <c r="ALI4" s="8"/>
      <c r="ALJ4" s="8"/>
      <c r="ALK4" s="8"/>
      <c r="ALL4" s="8"/>
      <c r="ALM4" s="8"/>
      <c r="ALN4" s="8"/>
      <c r="ALO4" s="8"/>
      <c r="ALP4" s="8"/>
      <c r="ALQ4" s="8"/>
      <c r="ALR4" s="8"/>
      <c r="ALS4" s="8"/>
      <c r="ALT4" s="8"/>
      <c r="ALU4" s="8"/>
      <c r="ALV4" s="8"/>
      <c r="ALW4" s="8"/>
      <c r="ALX4" s="8"/>
      <c r="ALY4" s="8"/>
      <c r="ALZ4" s="8"/>
      <c r="AMA4" s="8"/>
      <c r="AMB4" s="8"/>
      <c r="AMC4" s="8"/>
      <c r="AMD4" s="8"/>
      <c r="AME4" s="8"/>
      <c r="AMF4" s="8"/>
      <c r="AMG4" s="8"/>
      <c r="AMH4" s="8"/>
    </row>
    <row r="5" spans="1:1022" x14ac:dyDescent="0.15">
      <c r="A5" s="8" t="s">
        <v>2818</v>
      </c>
      <c r="B5" s="8" t="s">
        <v>191</v>
      </c>
      <c r="C5" s="8" t="str">
        <f t="shared" si="0"/>
        <v>att_user_research_group:benzing</v>
      </c>
      <c r="D5" s="8" t="s">
        <v>15</v>
      </c>
      <c r="E5" s="8" t="s">
        <v>2819</v>
      </c>
      <c r="F5" s="8" t="s">
        <v>2820</v>
      </c>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8"/>
      <c r="JT5" s="8"/>
      <c r="JU5" s="8"/>
      <c r="JV5" s="8"/>
      <c r="JW5" s="8"/>
      <c r="JX5" s="8"/>
      <c r="JY5" s="8"/>
      <c r="JZ5" s="8"/>
      <c r="KA5" s="8"/>
      <c r="KB5" s="8"/>
      <c r="KC5" s="8"/>
      <c r="KD5" s="8"/>
      <c r="KE5" s="8"/>
      <c r="KF5" s="8"/>
      <c r="KG5" s="8"/>
      <c r="KH5" s="8"/>
      <c r="KI5" s="8"/>
      <c r="KJ5" s="8"/>
      <c r="KK5" s="8"/>
      <c r="KL5" s="8"/>
      <c r="KM5" s="8"/>
      <c r="KN5" s="8"/>
      <c r="KO5" s="8"/>
      <c r="KP5" s="8"/>
      <c r="KQ5" s="8"/>
      <c r="KR5" s="8"/>
      <c r="KS5" s="8"/>
      <c r="KT5" s="8"/>
      <c r="KU5" s="8"/>
      <c r="KV5" s="8"/>
      <c r="KW5" s="8"/>
      <c r="KX5" s="8"/>
      <c r="KY5" s="8"/>
      <c r="KZ5" s="8"/>
      <c r="LA5" s="8"/>
      <c r="LB5" s="8"/>
      <c r="LC5" s="8"/>
      <c r="LD5" s="8"/>
      <c r="LE5" s="8"/>
      <c r="LF5" s="8"/>
      <c r="LG5" s="8"/>
      <c r="LH5" s="8"/>
      <c r="LI5" s="8"/>
      <c r="LJ5" s="8"/>
      <c r="LK5" s="8"/>
      <c r="LL5" s="8"/>
      <c r="LM5" s="8"/>
      <c r="LN5" s="8"/>
      <c r="LO5" s="8"/>
      <c r="LP5" s="8"/>
      <c r="LQ5" s="8"/>
      <c r="LR5" s="8"/>
      <c r="LS5" s="8"/>
      <c r="LT5" s="8"/>
      <c r="LU5" s="8"/>
      <c r="LV5" s="8"/>
      <c r="LW5" s="8"/>
      <c r="LX5" s="8"/>
      <c r="LY5" s="8"/>
      <c r="LZ5" s="8"/>
      <c r="MA5" s="8"/>
      <c r="MB5" s="8"/>
      <c r="MC5" s="8"/>
      <c r="MD5" s="8"/>
      <c r="ME5" s="8"/>
      <c r="MF5" s="8"/>
      <c r="MG5" s="8"/>
      <c r="MH5" s="8"/>
      <c r="MI5" s="8"/>
      <c r="MJ5" s="8"/>
      <c r="MK5" s="8"/>
      <c r="ML5" s="8"/>
      <c r="MM5" s="8"/>
      <c r="MN5" s="8"/>
      <c r="MO5" s="8"/>
      <c r="MP5" s="8"/>
      <c r="MQ5" s="8"/>
      <c r="MR5" s="8"/>
      <c r="MS5" s="8"/>
      <c r="MT5" s="8"/>
      <c r="MU5" s="8"/>
      <c r="MV5" s="8"/>
      <c r="MW5" s="8"/>
      <c r="MX5" s="8"/>
      <c r="MY5" s="8"/>
      <c r="MZ5" s="8"/>
      <c r="NA5" s="8"/>
      <c r="NB5" s="8"/>
      <c r="NC5" s="8"/>
      <c r="ND5" s="8"/>
      <c r="NE5" s="8"/>
      <c r="NF5" s="8"/>
      <c r="NG5" s="8"/>
      <c r="NH5" s="8"/>
      <c r="NI5" s="8"/>
      <c r="NJ5" s="8"/>
      <c r="NK5" s="8"/>
      <c r="NL5" s="8"/>
      <c r="NM5" s="8"/>
      <c r="NN5" s="8"/>
      <c r="NO5" s="8"/>
      <c r="NP5" s="8"/>
      <c r="NQ5" s="8"/>
      <c r="NR5" s="8"/>
      <c r="NS5" s="8"/>
      <c r="NT5" s="8"/>
      <c r="NU5" s="8"/>
      <c r="NV5" s="8"/>
      <c r="NW5" s="8"/>
      <c r="NX5" s="8"/>
      <c r="NY5" s="8"/>
      <c r="NZ5" s="8"/>
      <c r="OA5" s="8"/>
      <c r="OB5" s="8"/>
      <c r="OC5" s="8"/>
      <c r="OD5" s="8"/>
      <c r="OE5" s="8"/>
      <c r="OF5" s="8"/>
      <c r="OG5" s="8"/>
      <c r="OH5" s="8"/>
      <c r="OI5" s="8"/>
      <c r="OJ5" s="8"/>
      <c r="OK5" s="8"/>
      <c r="OL5" s="8"/>
      <c r="OM5" s="8"/>
      <c r="ON5" s="8"/>
      <c r="OO5" s="8"/>
      <c r="OP5" s="8"/>
      <c r="OQ5" s="8"/>
      <c r="OR5" s="8"/>
      <c r="OS5" s="8"/>
      <c r="OT5" s="8"/>
      <c r="OU5" s="8"/>
      <c r="OV5" s="8"/>
      <c r="OW5" s="8"/>
      <c r="OX5" s="8"/>
      <c r="OY5" s="8"/>
      <c r="OZ5" s="8"/>
      <c r="PA5" s="8"/>
      <c r="PB5" s="8"/>
      <c r="PC5" s="8"/>
      <c r="PD5" s="8"/>
      <c r="PE5" s="8"/>
      <c r="PF5" s="8"/>
      <c r="PG5" s="8"/>
      <c r="PH5" s="8"/>
      <c r="PI5" s="8"/>
      <c r="PJ5" s="8"/>
      <c r="PK5" s="8"/>
      <c r="PL5" s="8"/>
      <c r="PM5" s="8"/>
      <c r="PN5" s="8"/>
      <c r="PO5" s="8"/>
      <c r="PP5" s="8"/>
      <c r="PQ5" s="8"/>
      <c r="PR5" s="8"/>
      <c r="PS5" s="8"/>
      <c r="PT5" s="8"/>
      <c r="PU5" s="8"/>
      <c r="PV5" s="8"/>
      <c r="PW5" s="8"/>
      <c r="PX5" s="8"/>
      <c r="PY5" s="8"/>
      <c r="PZ5" s="8"/>
      <c r="QA5" s="8"/>
      <c r="QB5" s="8"/>
      <c r="QC5" s="8"/>
      <c r="QD5" s="8"/>
      <c r="QE5" s="8"/>
      <c r="QF5" s="8"/>
      <c r="QG5" s="8"/>
      <c r="QH5" s="8"/>
      <c r="QI5" s="8"/>
      <c r="QJ5" s="8"/>
      <c r="QK5" s="8"/>
      <c r="QL5" s="8"/>
      <c r="QM5" s="8"/>
      <c r="QN5" s="8"/>
      <c r="QO5" s="8"/>
      <c r="QP5" s="8"/>
      <c r="QQ5" s="8"/>
      <c r="QR5" s="8"/>
      <c r="QS5" s="8"/>
      <c r="QT5" s="8"/>
      <c r="QU5" s="8"/>
      <c r="QV5" s="8"/>
      <c r="QW5" s="8"/>
      <c r="QX5" s="8"/>
      <c r="QY5" s="8"/>
      <c r="QZ5" s="8"/>
      <c r="RA5" s="8"/>
      <c r="RB5" s="8"/>
      <c r="RC5" s="8"/>
      <c r="RD5" s="8"/>
      <c r="RE5" s="8"/>
      <c r="RF5" s="8"/>
      <c r="RG5" s="8"/>
      <c r="RH5" s="8"/>
      <c r="RI5" s="8"/>
      <c r="RJ5" s="8"/>
      <c r="RK5" s="8"/>
      <c r="RL5" s="8"/>
      <c r="RM5" s="8"/>
      <c r="RN5" s="8"/>
      <c r="RO5" s="8"/>
      <c r="RP5" s="8"/>
      <c r="RQ5" s="8"/>
      <c r="RR5" s="8"/>
      <c r="RS5" s="8"/>
      <c r="RT5" s="8"/>
      <c r="RU5" s="8"/>
      <c r="RV5" s="8"/>
      <c r="RW5" s="8"/>
      <c r="RX5" s="8"/>
      <c r="RY5" s="8"/>
      <c r="RZ5" s="8"/>
      <c r="SA5" s="8"/>
      <c r="SB5" s="8"/>
      <c r="SC5" s="8"/>
      <c r="SD5" s="8"/>
      <c r="SE5" s="8"/>
      <c r="SF5" s="8"/>
      <c r="SG5" s="8"/>
      <c r="SH5" s="8"/>
      <c r="SI5" s="8"/>
      <c r="SJ5" s="8"/>
      <c r="SK5" s="8"/>
      <c r="SL5" s="8"/>
      <c r="SM5" s="8"/>
      <c r="SN5" s="8"/>
      <c r="SO5" s="8"/>
      <c r="SP5" s="8"/>
      <c r="SQ5" s="8"/>
      <c r="SR5" s="8"/>
      <c r="SS5" s="8"/>
      <c r="ST5" s="8"/>
      <c r="SU5" s="8"/>
      <c r="SV5" s="8"/>
      <c r="SW5" s="8"/>
      <c r="SX5" s="8"/>
      <c r="SY5" s="8"/>
      <c r="SZ5" s="8"/>
      <c r="TA5" s="8"/>
      <c r="TB5" s="8"/>
      <c r="TC5" s="8"/>
      <c r="TD5" s="8"/>
      <c r="TE5" s="8"/>
      <c r="TF5" s="8"/>
      <c r="TG5" s="8"/>
      <c r="TH5" s="8"/>
      <c r="TI5" s="8"/>
      <c r="TJ5" s="8"/>
      <c r="TK5" s="8"/>
      <c r="TL5" s="8"/>
      <c r="TM5" s="8"/>
      <c r="TN5" s="8"/>
      <c r="TO5" s="8"/>
      <c r="TP5" s="8"/>
      <c r="TQ5" s="8"/>
      <c r="TR5" s="8"/>
      <c r="TS5" s="8"/>
      <c r="TT5" s="8"/>
      <c r="TU5" s="8"/>
      <c r="TV5" s="8"/>
      <c r="TW5" s="8"/>
      <c r="TX5" s="8"/>
      <c r="TY5" s="8"/>
      <c r="TZ5" s="8"/>
      <c r="UA5" s="8"/>
      <c r="UB5" s="8"/>
      <c r="UC5" s="8"/>
      <c r="UD5" s="8"/>
      <c r="UE5" s="8"/>
      <c r="UF5" s="8"/>
      <c r="UG5" s="8"/>
      <c r="UH5" s="8"/>
      <c r="UI5" s="8"/>
      <c r="UJ5" s="8"/>
      <c r="UK5" s="8"/>
      <c r="UL5" s="8"/>
      <c r="UM5" s="8"/>
      <c r="UN5" s="8"/>
      <c r="UO5" s="8"/>
      <c r="UP5" s="8"/>
      <c r="UQ5" s="8"/>
      <c r="UR5" s="8"/>
      <c r="US5" s="8"/>
      <c r="UT5" s="8"/>
      <c r="UU5" s="8"/>
      <c r="UV5" s="8"/>
      <c r="UW5" s="8"/>
      <c r="UX5" s="8"/>
      <c r="UY5" s="8"/>
      <c r="UZ5" s="8"/>
      <c r="VA5" s="8"/>
      <c r="VB5" s="8"/>
      <c r="VC5" s="8"/>
      <c r="VD5" s="8"/>
      <c r="VE5" s="8"/>
      <c r="VF5" s="8"/>
      <c r="VG5" s="8"/>
      <c r="VH5" s="8"/>
      <c r="VI5" s="8"/>
      <c r="VJ5" s="8"/>
      <c r="VK5" s="8"/>
      <c r="VL5" s="8"/>
      <c r="VM5" s="8"/>
      <c r="VN5" s="8"/>
      <c r="VO5" s="8"/>
      <c r="VP5" s="8"/>
      <c r="VQ5" s="8"/>
      <c r="VR5" s="8"/>
      <c r="VS5" s="8"/>
      <c r="VT5" s="8"/>
      <c r="VU5" s="8"/>
      <c r="VV5" s="8"/>
      <c r="VW5" s="8"/>
      <c r="VX5" s="8"/>
      <c r="VY5" s="8"/>
      <c r="VZ5" s="8"/>
      <c r="WA5" s="8"/>
      <c r="WB5" s="8"/>
      <c r="WC5" s="8"/>
      <c r="WD5" s="8"/>
      <c r="WE5" s="8"/>
      <c r="WF5" s="8"/>
      <c r="WG5" s="8"/>
      <c r="WH5" s="8"/>
      <c r="WI5" s="8"/>
      <c r="WJ5" s="8"/>
      <c r="WK5" s="8"/>
      <c r="WL5" s="8"/>
      <c r="WM5" s="8"/>
      <c r="WN5" s="8"/>
      <c r="WO5" s="8"/>
      <c r="WP5" s="8"/>
      <c r="WQ5" s="8"/>
      <c r="WR5" s="8"/>
      <c r="WS5" s="8"/>
      <c r="WT5" s="8"/>
      <c r="WU5" s="8"/>
      <c r="WV5" s="8"/>
      <c r="WW5" s="8"/>
      <c r="WX5" s="8"/>
      <c r="WY5" s="8"/>
      <c r="WZ5" s="8"/>
      <c r="XA5" s="8"/>
      <c r="XB5" s="8"/>
      <c r="XC5" s="8"/>
      <c r="XD5" s="8"/>
      <c r="XE5" s="8"/>
      <c r="XF5" s="8"/>
      <c r="XG5" s="8"/>
      <c r="XH5" s="8"/>
      <c r="XI5" s="8"/>
      <c r="XJ5" s="8"/>
      <c r="XK5" s="8"/>
      <c r="XL5" s="8"/>
      <c r="XM5" s="8"/>
      <c r="XN5" s="8"/>
      <c r="XO5" s="8"/>
      <c r="XP5" s="8"/>
      <c r="XQ5" s="8"/>
      <c r="XR5" s="8"/>
      <c r="XS5" s="8"/>
      <c r="XT5" s="8"/>
      <c r="XU5" s="8"/>
      <c r="XV5" s="8"/>
      <c r="XW5" s="8"/>
      <c r="XX5" s="8"/>
      <c r="XY5" s="8"/>
      <c r="XZ5" s="8"/>
      <c r="YA5" s="8"/>
      <c r="YB5" s="8"/>
      <c r="YC5" s="8"/>
      <c r="YD5" s="8"/>
      <c r="YE5" s="8"/>
      <c r="YF5" s="8"/>
      <c r="YG5" s="8"/>
      <c r="YH5" s="8"/>
      <c r="YI5" s="8"/>
      <c r="YJ5" s="8"/>
      <c r="YK5" s="8"/>
      <c r="YL5" s="8"/>
      <c r="YM5" s="8"/>
      <c r="YN5" s="8"/>
      <c r="YO5" s="8"/>
      <c r="YP5" s="8"/>
      <c r="YQ5" s="8"/>
      <c r="YR5" s="8"/>
      <c r="YS5" s="8"/>
      <c r="YT5" s="8"/>
      <c r="YU5" s="8"/>
      <c r="YV5" s="8"/>
      <c r="YW5" s="8"/>
      <c r="YX5" s="8"/>
      <c r="YY5" s="8"/>
      <c r="YZ5" s="8"/>
      <c r="ZA5" s="8"/>
      <c r="ZB5" s="8"/>
      <c r="ZC5" s="8"/>
      <c r="ZD5" s="8"/>
      <c r="ZE5" s="8"/>
      <c r="ZF5" s="8"/>
      <c r="ZG5" s="8"/>
      <c r="ZH5" s="8"/>
      <c r="ZI5" s="8"/>
      <c r="ZJ5" s="8"/>
      <c r="ZK5" s="8"/>
      <c r="ZL5" s="8"/>
      <c r="ZM5" s="8"/>
      <c r="ZN5" s="8"/>
      <c r="ZO5" s="8"/>
      <c r="ZP5" s="8"/>
      <c r="ZQ5" s="8"/>
      <c r="ZR5" s="8"/>
      <c r="ZS5" s="8"/>
      <c r="ZT5" s="8"/>
      <c r="ZU5" s="8"/>
      <c r="ZV5" s="8"/>
      <c r="ZW5" s="8"/>
      <c r="ZX5" s="8"/>
      <c r="ZY5" s="8"/>
      <c r="ZZ5" s="8"/>
      <c r="AAA5" s="8"/>
      <c r="AAB5" s="8"/>
      <c r="AAC5" s="8"/>
      <c r="AAD5" s="8"/>
      <c r="AAE5" s="8"/>
      <c r="AAF5" s="8"/>
      <c r="AAG5" s="8"/>
      <c r="AAH5" s="8"/>
      <c r="AAI5" s="8"/>
      <c r="AAJ5" s="8"/>
      <c r="AAK5" s="8"/>
      <c r="AAL5" s="8"/>
      <c r="AAM5" s="8"/>
      <c r="AAN5" s="8"/>
      <c r="AAO5" s="8"/>
      <c r="AAP5" s="8"/>
      <c r="AAQ5" s="8"/>
      <c r="AAR5" s="8"/>
      <c r="AAS5" s="8"/>
      <c r="AAT5" s="8"/>
      <c r="AAU5" s="8"/>
      <c r="AAV5" s="8"/>
      <c r="AAW5" s="8"/>
      <c r="AAX5" s="8"/>
      <c r="AAY5" s="8"/>
      <c r="AAZ5" s="8"/>
      <c r="ABA5" s="8"/>
      <c r="ABB5" s="8"/>
      <c r="ABC5" s="8"/>
      <c r="ABD5" s="8"/>
      <c r="ABE5" s="8"/>
      <c r="ABF5" s="8"/>
      <c r="ABG5" s="8"/>
      <c r="ABH5" s="8"/>
      <c r="ABI5" s="8"/>
      <c r="ABJ5" s="8"/>
      <c r="ABK5" s="8"/>
      <c r="ABL5" s="8"/>
      <c r="ABM5" s="8"/>
      <c r="ABN5" s="8"/>
      <c r="ABO5" s="8"/>
      <c r="ABP5" s="8"/>
      <c r="ABQ5" s="8"/>
      <c r="ABR5" s="8"/>
      <c r="ABS5" s="8"/>
      <c r="ABT5" s="8"/>
      <c r="ABU5" s="8"/>
      <c r="ABV5" s="8"/>
      <c r="ABW5" s="8"/>
      <c r="ABX5" s="8"/>
      <c r="ABY5" s="8"/>
      <c r="ABZ5" s="8"/>
      <c r="ACA5" s="8"/>
      <c r="ACB5" s="8"/>
      <c r="ACC5" s="8"/>
      <c r="ACD5" s="8"/>
      <c r="ACE5" s="8"/>
      <c r="ACF5" s="8"/>
      <c r="ACG5" s="8"/>
      <c r="ACH5" s="8"/>
      <c r="ACI5" s="8"/>
      <c r="ACJ5" s="8"/>
      <c r="ACK5" s="8"/>
      <c r="ACL5" s="8"/>
      <c r="ACM5" s="8"/>
      <c r="ACN5" s="8"/>
      <c r="ACO5" s="8"/>
      <c r="ACP5" s="8"/>
      <c r="ACQ5" s="8"/>
      <c r="ACR5" s="8"/>
      <c r="ACS5" s="8"/>
      <c r="ACT5" s="8"/>
      <c r="ACU5" s="8"/>
      <c r="ACV5" s="8"/>
      <c r="ACW5" s="8"/>
      <c r="ACX5" s="8"/>
      <c r="ACY5" s="8"/>
      <c r="ACZ5" s="8"/>
      <c r="ADA5" s="8"/>
      <c r="ADB5" s="8"/>
      <c r="ADC5" s="8"/>
      <c r="ADD5" s="8"/>
      <c r="ADE5" s="8"/>
      <c r="ADF5" s="8"/>
      <c r="ADG5" s="8"/>
      <c r="ADH5" s="8"/>
      <c r="ADI5" s="8"/>
      <c r="ADJ5" s="8"/>
      <c r="ADK5" s="8"/>
      <c r="ADL5" s="8"/>
      <c r="ADM5" s="8"/>
      <c r="ADN5" s="8"/>
      <c r="ADO5" s="8"/>
      <c r="ADP5" s="8"/>
      <c r="ADQ5" s="8"/>
      <c r="ADR5" s="8"/>
      <c r="ADS5" s="8"/>
      <c r="ADT5" s="8"/>
      <c r="ADU5" s="8"/>
      <c r="ADV5" s="8"/>
      <c r="ADW5" s="8"/>
      <c r="ADX5" s="8"/>
      <c r="ADY5" s="8"/>
      <c r="ADZ5" s="8"/>
      <c r="AEA5" s="8"/>
      <c r="AEB5" s="8"/>
      <c r="AEC5" s="8"/>
      <c r="AED5" s="8"/>
      <c r="AEE5" s="8"/>
      <c r="AEF5" s="8"/>
      <c r="AEG5" s="8"/>
      <c r="AEH5" s="8"/>
      <c r="AEI5" s="8"/>
      <c r="AEJ5" s="8"/>
      <c r="AEK5" s="8"/>
      <c r="AEL5" s="8"/>
      <c r="AEM5" s="8"/>
      <c r="AEN5" s="8"/>
      <c r="AEO5" s="8"/>
      <c r="AEP5" s="8"/>
      <c r="AEQ5" s="8"/>
      <c r="AER5" s="8"/>
      <c r="AES5" s="8"/>
      <c r="AET5" s="8"/>
      <c r="AEU5" s="8"/>
      <c r="AEV5" s="8"/>
      <c r="AEW5" s="8"/>
      <c r="AEX5" s="8"/>
      <c r="AEY5" s="8"/>
      <c r="AEZ5" s="8"/>
      <c r="AFA5" s="8"/>
      <c r="AFB5" s="8"/>
      <c r="AFC5" s="8"/>
      <c r="AFD5" s="8"/>
      <c r="AFE5" s="8"/>
      <c r="AFF5" s="8"/>
      <c r="AFG5" s="8"/>
      <c r="AFH5" s="8"/>
      <c r="AFI5" s="8"/>
      <c r="AFJ5" s="8"/>
      <c r="AFK5" s="8"/>
      <c r="AFL5" s="8"/>
      <c r="AFM5" s="8"/>
      <c r="AFN5" s="8"/>
      <c r="AFO5" s="8"/>
      <c r="AFP5" s="8"/>
      <c r="AFQ5" s="8"/>
      <c r="AFR5" s="8"/>
      <c r="AFS5" s="8"/>
      <c r="AFT5" s="8"/>
      <c r="AFU5" s="8"/>
      <c r="AFV5" s="8"/>
      <c r="AFW5" s="8"/>
      <c r="AFX5" s="8"/>
      <c r="AFY5" s="8"/>
      <c r="AFZ5" s="8"/>
      <c r="AGA5" s="8"/>
      <c r="AGB5" s="8"/>
      <c r="AGC5" s="8"/>
      <c r="AGD5" s="8"/>
      <c r="AGE5" s="8"/>
      <c r="AGF5" s="8"/>
      <c r="AGG5" s="8"/>
      <c r="AGH5" s="8"/>
      <c r="AGI5" s="8"/>
      <c r="AGJ5" s="8"/>
      <c r="AGK5" s="8"/>
      <c r="AGL5" s="8"/>
      <c r="AGM5" s="8"/>
      <c r="AGN5" s="8"/>
      <c r="AGO5" s="8"/>
      <c r="AGP5" s="8"/>
      <c r="AGQ5" s="8"/>
      <c r="AGR5" s="8"/>
      <c r="AGS5" s="8"/>
      <c r="AGT5" s="8"/>
      <c r="AGU5" s="8"/>
      <c r="AGV5" s="8"/>
      <c r="AGW5" s="8"/>
      <c r="AGX5" s="8"/>
      <c r="AGY5" s="8"/>
      <c r="AGZ5" s="8"/>
      <c r="AHA5" s="8"/>
      <c r="AHB5" s="8"/>
      <c r="AHC5" s="8"/>
      <c r="AHD5" s="8"/>
      <c r="AHE5" s="8"/>
      <c r="AHF5" s="8"/>
      <c r="AHG5" s="8"/>
      <c r="AHH5" s="8"/>
      <c r="AHI5" s="8"/>
      <c r="AHJ5" s="8"/>
      <c r="AHK5" s="8"/>
      <c r="AHL5" s="8"/>
      <c r="AHM5" s="8"/>
      <c r="AHN5" s="8"/>
      <c r="AHO5" s="8"/>
      <c r="AHP5" s="8"/>
      <c r="AHQ5" s="8"/>
      <c r="AHR5" s="8"/>
      <c r="AHS5" s="8"/>
      <c r="AHT5" s="8"/>
      <c r="AHU5" s="8"/>
      <c r="AHV5" s="8"/>
      <c r="AHW5" s="8"/>
      <c r="AHX5" s="8"/>
      <c r="AHY5" s="8"/>
      <c r="AHZ5" s="8"/>
      <c r="AIA5" s="8"/>
      <c r="AIB5" s="8"/>
      <c r="AIC5" s="8"/>
      <c r="AID5" s="8"/>
      <c r="AIE5" s="8"/>
      <c r="AIF5" s="8"/>
      <c r="AIG5" s="8"/>
      <c r="AIH5" s="8"/>
      <c r="AII5" s="8"/>
      <c r="AIJ5" s="8"/>
      <c r="AIK5" s="8"/>
      <c r="AIL5" s="8"/>
      <c r="AIM5" s="8"/>
      <c r="AIN5" s="8"/>
      <c r="AIO5" s="8"/>
      <c r="AIP5" s="8"/>
      <c r="AIQ5" s="8"/>
      <c r="AIR5" s="8"/>
      <c r="AIS5" s="8"/>
      <c r="AIT5" s="8"/>
      <c r="AIU5" s="8"/>
      <c r="AIV5" s="8"/>
      <c r="AIW5" s="8"/>
      <c r="AIX5" s="8"/>
      <c r="AIY5" s="8"/>
      <c r="AIZ5" s="8"/>
      <c r="AJA5" s="8"/>
      <c r="AJB5" s="8"/>
      <c r="AJC5" s="8"/>
      <c r="AJD5" s="8"/>
      <c r="AJE5" s="8"/>
      <c r="AJF5" s="8"/>
      <c r="AJG5" s="8"/>
      <c r="AJH5" s="8"/>
      <c r="AJI5" s="8"/>
      <c r="AJJ5" s="8"/>
      <c r="AJK5" s="8"/>
      <c r="AJL5" s="8"/>
      <c r="AJM5" s="8"/>
      <c r="AJN5" s="8"/>
      <c r="AJO5" s="8"/>
      <c r="AJP5" s="8"/>
      <c r="AJQ5" s="8"/>
      <c r="AJR5" s="8"/>
      <c r="AJS5" s="8"/>
      <c r="AJT5" s="8"/>
      <c r="AJU5" s="8"/>
      <c r="AJV5" s="8"/>
      <c r="AJW5" s="8"/>
      <c r="AJX5" s="8"/>
      <c r="AJY5" s="8"/>
      <c r="AJZ5" s="8"/>
      <c r="AKA5" s="8"/>
      <c r="AKB5" s="8"/>
      <c r="AKC5" s="8"/>
      <c r="AKD5" s="8"/>
      <c r="AKE5" s="8"/>
      <c r="AKF5" s="8"/>
      <c r="AKG5" s="8"/>
      <c r="AKH5" s="8"/>
      <c r="AKI5" s="8"/>
      <c r="AKJ5" s="8"/>
      <c r="AKK5" s="8"/>
      <c r="AKL5" s="8"/>
      <c r="AKM5" s="8"/>
      <c r="AKN5" s="8"/>
      <c r="AKO5" s="8"/>
      <c r="AKP5" s="8"/>
      <c r="AKQ5" s="8"/>
      <c r="AKR5" s="8"/>
      <c r="AKS5" s="8"/>
      <c r="AKT5" s="8"/>
      <c r="AKU5" s="8"/>
      <c r="AKV5" s="8"/>
      <c r="AKW5" s="8"/>
      <c r="AKX5" s="8"/>
      <c r="AKY5" s="8"/>
      <c r="AKZ5" s="8"/>
      <c r="ALA5" s="8"/>
      <c r="ALB5" s="8"/>
      <c r="ALC5" s="8"/>
      <c r="ALD5" s="8"/>
      <c r="ALE5" s="8"/>
      <c r="ALF5" s="8"/>
      <c r="ALG5" s="8"/>
      <c r="ALH5" s="8"/>
      <c r="ALI5" s="8"/>
      <c r="ALJ5" s="8"/>
      <c r="ALK5" s="8"/>
      <c r="ALL5" s="8"/>
      <c r="ALM5" s="8"/>
      <c r="ALN5" s="8"/>
      <c r="ALO5" s="8"/>
      <c r="ALP5" s="8"/>
      <c r="ALQ5" s="8"/>
      <c r="ALR5" s="8"/>
      <c r="ALS5" s="8"/>
      <c r="ALT5" s="8"/>
      <c r="ALU5" s="8"/>
      <c r="ALV5" s="8"/>
      <c r="ALW5" s="8"/>
      <c r="ALX5" s="8"/>
      <c r="ALY5" s="8"/>
      <c r="ALZ5" s="8"/>
      <c r="AMA5" s="8"/>
      <c r="AMB5" s="8"/>
      <c r="AMC5" s="8"/>
      <c r="AMD5" s="8"/>
      <c r="AME5" s="8"/>
      <c r="AMF5" s="8"/>
      <c r="AMG5" s="8"/>
      <c r="AMH5" s="8"/>
    </row>
    <row r="6" spans="1:1022" x14ac:dyDescent="0.15">
      <c r="A6" s="8" t="s">
        <v>2821</v>
      </c>
      <c r="B6" s="8" t="s">
        <v>191</v>
      </c>
      <c r="C6" s="8" t="str">
        <f t="shared" si="0"/>
        <v>att_user_research_group:hennies</v>
      </c>
      <c r="D6" s="8" t="s">
        <v>15</v>
      </c>
      <c r="E6" s="8" t="s">
        <v>2822</v>
      </c>
      <c r="F6" s="8" t="s">
        <v>2823</v>
      </c>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c r="IW6" s="8"/>
      <c r="IX6" s="8"/>
      <c r="IY6" s="8"/>
      <c r="IZ6" s="8"/>
      <c r="JA6" s="8"/>
      <c r="JB6" s="8"/>
      <c r="JC6" s="8"/>
      <c r="JD6" s="8"/>
      <c r="JE6" s="8"/>
      <c r="JF6" s="8"/>
      <c r="JG6" s="8"/>
      <c r="JH6" s="8"/>
      <c r="JI6" s="8"/>
      <c r="JJ6" s="8"/>
      <c r="JK6" s="8"/>
      <c r="JL6" s="8"/>
      <c r="JM6" s="8"/>
      <c r="JN6" s="8"/>
      <c r="JO6" s="8"/>
      <c r="JP6" s="8"/>
      <c r="JQ6" s="8"/>
      <c r="JR6" s="8"/>
      <c r="JS6" s="8"/>
      <c r="JT6" s="8"/>
      <c r="JU6" s="8"/>
      <c r="JV6" s="8"/>
      <c r="JW6" s="8"/>
      <c r="JX6" s="8"/>
      <c r="JY6" s="8"/>
      <c r="JZ6" s="8"/>
      <c r="KA6" s="8"/>
      <c r="KB6" s="8"/>
      <c r="KC6" s="8"/>
      <c r="KD6" s="8"/>
      <c r="KE6" s="8"/>
      <c r="KF6" s="8"/>
      <c r="KG6" s="8"/>
      <c r="KH6" s="8"/>
      <c r="KI6" s="8"/>
      <c r="KJ6" s="8"/>
      <c r="KK6" s="8"/>
      <c r="KL6" s="8"/>
      <c r="KM6" s="8"/>
      <c r="KN6" s="8"/>
      <c r="KO6" s="8"/>
      <c r="KP6" s="8"/>
      <c r="KQ6" s="8"/>
      <c r="KR6" s="8"/>
      <c r="KS6" s="8"/>
      <c r="KT6" s="8"/>
      <c r="KU6" s="8"/>
      <c r="KV6" s="8"/>
      <c r="KW6" s="8"/>
      <c r="KX6" s="8"/>
      <c r="KY6" s="8"/>
      <c r="KZ6" s="8"/>
      <c r="LA6" s="8"/>
      <c r="LB6" s="8"/>
      <c r="LC6" s="8"/>
      <c r="LD6" s="8"/>
      <c r="LE6" s="8"/>
      <c r="LF6" s="8"/>
      <c r="LG6" s="8"/>
      <c r="LH6" s="8"/>
      <c r="LI6" s="8"/>
      <c r="LJ6" s="8"/>
      <c r="LK6" s="8"/>
      <c r="LL6" s="8"/>
      <c r="LM6" s="8"/>
      <c r="LN6" s="8"/>
      <c r="LO6" s="8"/>
      <c r="LP6" s="8"/>
      <c r="LQ6" s="8"/>
      <c r="LR6" s="8"/>
      <c r="LS6" s="8"/>
      <c r="LT6" s="8"/>
      <c r="LU6" s="8"/>
      <c r="LV6" s="8"/>
      <c r="LW6" s="8"/>
      <c r="LX6" s="8"/>
      <c r="LY6" s="8"/>
      <c r="LZ6" s="8"/>
      <c r="MA6" s="8"/>
      <c r="MB6" s="8"/>
      <c r="MC6" s="8"/>
      <c r="MD6" s="8"/>
      <c r="ME6" s="8"/>
      <c r="MF6" s="8"/>
      <c r="MG6" s="8"/>
      <c r="MH6" s="8"/>
      <c r="MI6" s="8"/>
      <c r="MJ6" s="8"/>
      <c r="MK6" s="8"/>
      <c r="ML6" s="8"/>
      <c r="MM6" s="8"/>
      <c r="MN6" s="8"/>
      <c r="MO6" s="8"/>
      <c r="MP6" s="8"/>
      <c r="MQ6" s="8"/>
      <c r="MR6" s="8"/>
      <c r="MS6" s="8"/>
      <c r="MT6" s="8"/>
      <c r="MU6" s="8"/>
      <c r="MV6" s="8"/>
      <c r="MW6" s="8"/>
      <c r="MX6" s="8"/>
      <c r="MY6" s="8"/>
      <c r="MZ6" s="8"/>
      <c r="NA6" s="8"/>
      <c r="NB6" s="8"/>
      <c r="NC6" s="8"/>
      <c r="ND6" s="8"/>
      <c r="NE6" s="8"/>
      <c r="NF6" s="8"/>
      <c r="NG6" s="8"/>
      <c r="NH6" s="8"/>
      <c r="NI6" s="8"/>
      <c r="NJ6" s="8"/>
      <c r="NK6" s="8"/>
      <c r="NL6" s="8"/>
      <c r="NM6" s="8"/>
      <c r="NN6" s="8"/>
      <c r="NO6" s="8"/>
      <c r="NP6" s="8"/>
      <c r="NQ6" s="8"/>
      <c r="NR6" s="8"/>
      <c r="NS6" s="8"/>
      <c r="NT6" s="8"/>
      <c r="NU6" s="8"/>
      <c r="NV6" s="8"/>
      <c r="NW6" s="8"/>
      <c r="NX6" s="8"/>
      <c r="NY6" s="8"/>
      <c r="NZ6" s="8"/>
      <c r="OA6" s="8"/>
      <c r="OB6" s="8"/>
      <c r="OC6" s="8"/>
      <c r="OD6" s="8"/>
      <c r="OE6" s="8"/>
      <c r="OF6" s="8"/>
      <c r="OG6" s="8"/>
      <c r="OH6" s="8"/>
      <c r="OI6" s="8"/>
      <c r="OJ6" s="8"/>
      <c r="OK6" s="8"/>
      <c r="OL6" s="8"/>
      <c r="OM6" s="8"/>
      <c r="ON6" s="8"/>
      <c r="OO6" s="8"/>
      <c r="OP6" s="8"/>
      <c r="OQ6" s="8"/>
      <c r="OR6" s="8"/>
      <c r="OS6" s="8"/>
      <c r="OT6" s="8"/>
      <c r="OU6" s="8"/>
      <c r="OV6" s="8"/>
      <c r="OW6" s="8"/>
      <c r="OX6" s="8"/>
      <c r="OY6" s="8"/>
      <c r="OZ6" s="8"/>
      <c r="PA6" s="8"/>
      <c r="PB6" s="8"/>
      <c r="PC6" s="8"/>
      <c r="PD6" s="8"/>
      <c r="PE6" s="8"/>
      <c r="PF6" s="8"/>
      <c r="PG6" s="8"/>
      <c r="PH6" s="8"/>
      <c r="PI6" s="8"/>
      <c r="PJ6" s="8"/>
      <c r="PK6" s="8"/>
      <c r="PL6" s="8"/>
      <c r="PM6" s="8"/>
      <c r="PN6" s="8"/>
      <c r="PO6" s="8"/>
      <c r="PP6" s="8"/>
      <c r="PQ6" s="8"/>
      <c r="PR6" s="8"/>
      <c r="PS6" s="8"/>
      <c r="PT6" s="8"/>
      <c r="PU6" s="8"/>
      <c r="PV6" s="8"/>
      <c r="PW6" s="8"/>
      <c r="PX6" s="8"/>
      <c r="PY6" s="8"/>
      <c r="PZ6" s="8"/>
      <c r="QA6" s="8"/>
      <c r="QB6" s="8"/>
      <c r="QC6" s="8"/>
      <c r="QD6" s="8"/>
      <c r="QE6" s="8"/>
      <c r="QF6" s="8"/>
      <c r="QG6" s="8"/>
      <c r="QH6" s="8"/>
      <c r="QI6" s="8"/>
      <c r="QJ6" s="8"/>
      <c r="QK6" s="8"/>
      <c r="QL6" s="8"/>
      <c r="QM6" s="8"/>
      <c r="QN6" s="8"/>
      <c r="QO6" s="8"/>
      <c r="QP6" s="8"/>
      <c r="QQ6" s="8"/>
      <c r="QR6" s="8"/>
      <c r="QS6" s="8"/>
      <c r="QT6" s="8"/>
      <c r="QU6" s="8"/>
      <c r="QV6" s="8"/>
      <c r="QW6" s="8"/>
      <c r="QX6" s="8"/>
      <c r="QY6" s="8"/>
      <c r="QZ6" s="8"/>
      <c r="RA6" s="8"/>
      <c r="RB6" s="8"/>
      <c r="RC6" s="8"/>
      <c r="RD6" s="8"/>
      <c r="RE6" s="8"/>
      <c r="RF6" s="8"/>
      <c r="RG6" s="8"/>
      <c r="RH6" s="8"/>
      <c r="RI6" s="8"/>
      <c r="RJ6" s="8"/>
      <c r="RK6" s="8"/>
      <c r="RL6" s="8"/>
      <c r="RM6" s="8"/>
      <c r="RN6" s="8"/>
      <c r="RO6" s="8"/>
      <c r="RP6" s="8"/>
      <c r="RQ6" s="8"/>
      <c r="RR6" s="8"/>
      <c r="RS6" s="8"/>
      <c r="RT6" s="8"/>
      <c r="RU6" s="8"/>
      <c r="RV6" s="8"/>
      <c r="RW6" s="8"/>
      <c r="RX6" s="8"/>
      <c r="RY6" s="8"/>
      <c r="RZ6" s="8"/>
      <c r="SA6" s="8"/>
      <c r="SB6" s="8"/>
      <c r="SC6" s="8"/>
      <c r="SD6" s="8"/>
      <c r="SE6" s="8"/>
      <c r="SF6" s="8"/>
      <c r="SG6" s="8"/>
      <c r="SH6" s="8"/>
      <c r="SI6" s="8"/>
      <c r="SJ6" s="8"/>
      <c r="SK6" s="8"/>
      <c r="SL6" s="8"/>
      <c r="SM6" s="8"/>
      <c r="SN6" s="8"/>
      <c r="SO6" s="8"/>
      <c r="SP6" s="8"/>
      <c r="SQ6" s="8"/>
      <c r="SR6" s="8"/>
      <c r="SS6" s="8"/>
      <c r="ST6" s="8"/>
      <c r="SU6" s="8"/>
      <c r="SV6" s="8"/>
      <c r="SW6" s="8"/>
      <c r="SX6" s="8"/>
      <c r="SY6" s="8"/>
      <c r="SZ6" s="8"/>
      <c r="TA6" s="8"/>
      <c r="TB6" s="8"/>
      <c r="TC6" s="8"/>
      <c r="TD6" s="8"/>
      <c r="TE6" s="8"/>
      <c r="TF6" s="8"/>
      <c r="TG6" s="8"/>
      <c r="TH6" s="8"/>
      <c r="TI6" s="8"/>
      <c r="TJ6" s="8"/>
      <c r="TK6" s="8"/>
      <c r="TL6" s="8"/>
      <c r="TM6" s="8"/>
      <c r="TN6" s="8"/>
      <c r="TO6" s="8"/>
      <c r="TP6" s="8"/>
      <c r="TQ6" s="8"/>
      <c r="TR6" s="8"/>
      <c r="TS6" s="8"/>
      <c r="TT6" s="8"/>
      <c r="TU6" s="8"/>
      <c r="TV6" s="8"/>
      <c r="TW6" s="8"/>
      <c r="TX6" s="8"/>
      <c r="TY6" s="8"/>
      <c r="TZ6" s="8"/>
      <c r="UA6" s="8"/>
      <c r="UB6" s="8"/>
      <c r="UC6" s="8"/>
      <c r="UD6" s="8"/>
      <c r="UE6" s="8"/>
      <c r="UF6" s="8"/>
      <c r="UG6" s="8"/>
      <c r="UH6" s="8"/>
      <c r="UI6" s="8"/>
      <c r="UJ6" s="8"/>
      <c r="UK6" s="8"/>
      <c r="UL6" s="8"/>
      <c r="UM6" s="8"/>
      <c r="UN6" s="8"/>
      <c r="UO6" s="8"/>
      <c r="UP6" s="8"/>
      <c r="UQ6" s="8"/>
      <c r="UR6" s="8"/>
      <c r="US6" s="8"/>
      <c r="UT6" s="8"/>
      <c r="UU6" s="8"/>
      <c r="UV6" s="8"/>
      <c r="UW6" s="8"/>
      <c r="UX6" s="8"/>
      <c r="UY6" s="8"/>
      <c r="UZ6" s="8"/>
      <c r="VA6" s="8"/>
      <c r="VB6" s="8"/>
      <c r="VC6" s="8"/>
      <c r="VD6" s="8"/>
      <c r="VE6" s="8"/>
      <c r="VF6" s="8"/>
      <c r="VG6" s="8"/>
      <c r="VH6" s="8"/>
      <c r="VI6" s="8"/>
      <c r="VJ6" s="8"/>
      <c r="VK6" s="8"/>
      <c r="VL6" s="8"/>
      <c r="VM6" s="8"/>
      <c r="VN6" s="8"/>
      <c r="VO6" s="8"/>
      <c r="VP6" s="8"/>
      <c r="VQ6" s="8"/>
      <c r="VR6" s="8"/>
      <c r="VS6" s="8"/>
      <c r="VT6" s="8"/>
      <c r="VU6" s="8"/>
      <c r="VV6" s="8"/>
      <c r="VW6" s="8"/>
      <c r="VX6" s="8"/>
      <c r="VY6" s="8"/>
      <c r="VZ6" s="8"/>
      <c r="WA6" s="8"/>
      <c r="WB6" s="8"/>
      <c r="WC6" s="8"/>
      <c r="WD6" s="8"/>
      <c r="WE6" s="8"/>
      <c r="WF6" s="8"/>
      <c r="WG6" s="8"/>
      <c r="WH6" s="8"/>
      <c r="WI6" s="8"/>
      <c r="WJ6" s="8"/>
      <c r="WK6" s="8"/>
      <c r="WL6" s="8"/>
      <c r="WM6" s="8"/>
      <c r="WN6" s="8"/>
      <c r="WO6" s="8"/>
      <c r="WP6" s="8"/>
      <c r="WQ6" s="8"/>
      <c r="WR6" s="8"/>
      <c r="WS6" s="8"/>
      <c r="WT6" s="8"/>
      <c r="WU6" s="8"/>
      <c r="WV6" s="8"/>
      <c r="WW6" s="8"/>
      <c r="WX6" s="8"/>
      <c r="WY6" s="8"/>
      <c r="WZ6" s="8"/>
      <c r="XA6" s="8"/>
      <c r="XB6" s="8"/>
      <c r="XC6" s="8"/>
      <c r="XD6" s="8"/>
      <c r="XE6" s="8"/>
      <c r="XF6" s="8"/>
      <c r="XG6" s="8"/>
      <c r="XH6" s="8"/>
      <c r="XI6" s="8"/>
      <c r="XJ6" s="8"/>
      <c r="XK6" s="8"/>
      <c r="XL6" s="8"/>
      <c r="XM6" s="8"/>
      <c r="XN6" s="8"/>
      <c r="XO6" s="8"/>
      <c r="XP6" s="8"/>
      <c r="XQ6" s="8"/>
      <c r="XR6" s="8"/>
      <c r="XS6" s="8"/>
      <c r="XT6" s="8"/>
      <c r="XU6" s="8"/>
      <c r="XV6" s="8"/>
      <c r="XW6" s="8"/>
      <c r="XX6" s="8"/>
      <c r="XY6" s="8"/>
      <c r="XZ6" s="8"/>
      <c r="YA6" s="8"/>
      <c r="YB6" s="8"/>
      <c r="YC6" s="8"/>
      <c r="YD6" s="8"/>
      <c r="YE6" s="8"/>
      <c r="YF6" s="8"/>
      <c r="YG6" s="8"/>
      <c r="YH6" s="8"/>
      <c r="YI6" s="8"/>
      <c r="YJ6" s="8"/>
      <c r="YK6" s="8"/>
      <c r="YL6" s="8"/>
      <c r="YM6" s="8"/>
      <c r="YN6" s="8"/>
      <c r="YO6" s="8"/>
      <c r="YP6" s="8"/>
      <c r="YQ6" s="8"/>
      <c r="YR6" s="8"/>
      <c r="YS6" s="8"/>
      <c r="YT6" s="8"/>
      <c r="YU6" s="8"/>
      <c r="YV6" s="8"/>
      <c r="YW6" s="8"/>
      <c r="YX6" s="8"/>
      <c r="YY6" s="8"/>
      <c r="YZ6" s="8"/>
      <c r="ZA6" s="8"/>
      <c r="ZB6" s="8"/>
      <c r="ZC6" s="8"/>
      <c r="ZD6" s="8"/>
      <c r="ZE6" s="8"/>
      <c r="ZF6" s="8"/>
      <c r="ZG6" s="8"/>
      <c r="ZH6" s="8"/>
      <c r="ZI6" s="8"/>
      <c r="ZJ6" s="8"/>
      <c r="ZK6" s="8"/>
      <c r="ZL6" s="8"/>
      <c r="ZM6" s="8"/>
      <c r="ZN6" s="8"/>
      <c r="ZO6" s="8"/>
      <c r="ZP6" s="8"/>
      <c r="ZQ6" s="8"/>
      <c r="ZR6" s="8"/>
      <c r="ZS6" s="8"/>
      <c r="ZT6" s="8"/>
      <c r="ZU6" s="8"/>
      <c r="ZV6" s="8"/>
      <c r="ZW6" s="8"/>
      <c r="ZX6" s="8"/>
      <c r="ZY6" s="8"/>
      <c r="ZZ6" s="8"/>
      <c r="AAA6" s="8"/>
      <c r="AAB6" s="8"/>
      <c r="AAC6" s="8"/>
      <c r="AAD6" s="8"/>
      <c r="AAE6" s="8"/>
      <c r="AAF6" s="8"/>
      <c r="AAG6" s="8"/>
      <c r="AAH6" s="8"/>
      <c r="AAI6" s="8"/>
      <c r="AAJ6" s="8"/>
      <c r="AAK6" s="8"/>
      <c r="AAL6" s="8"/>
      <c r="AAM6" s="8"/>
      <c r="AAN6" s="8"/>
      <c r="AAO6" s="8"/>
      <c r="AAP6" s="8"/>
      <c r="AAQ6" s="8"/>
      <c r="AAR6" s="8"/>
      <c r="AAS6" s="8"/>
      <c r="AAT6" s="8"/>
      <c r="AAU6" s="8"/>
      <c r="AAV6" s="8"/>
      <c r="AAW6" s="8"/>
      <c r="AAX6" s="8"/>
      <c r="AAY6" s="8"/>
      <c r="AAZ6" s="8"/>
      <c r="ABA6" s="8"/>
      <c r="ABB6" s="8"/>
      <c r="ABC6" s="8"/>
      <c r="ABD6" s="8"/>
      <c r="ABE6" s="8"/>
      <c r="ABF6" s="8"/>
      <c r="ABG6" s="8"/>
      <c r="ABH6" s="8"/>
      <c r="ABI6" s="8"/>
      <c r="ABJ6" s="8"/>
      <c r="ABK6" s="8"/>
      <c r="ABL6" s="8"/>
      <c r="ABM6" s="8"/>
      <c r="ABN6" s="8"/>
      <c r="ABO6" s="8"/>
      <c r="ABP6" s="8"/>
      <c r="ABQ6" s="8"/>
      <c r="ABR6" s="8"/>
      <c r="ABS6" s="8"/>
      <c r="ABT6" s="8"/>
      <c r="ABU6" s="8"/>
      <c r="ABV6" s="8"/>
      <c r="ABW6" s="8"/>
      <c r="ABX6" s="8"/>
      <c r="ABY6" s="8"/>
      <c r="ABZ6" s="8"/>
      <c r="ACA6" s="8"/>
      <c r="ACB6" s="8"/>
      <c r="ACC6" s="8"/>
      <c r="ACD6" s="8"/>
      <c r="ACE6" s="8"/>
      <c r="ACF6" s="8"/>
      <c r="ACG6" s="8"/>
      <c r="ACH6" s="8"/>
      <c r="ACI6" s="8"/>
      <c r="ACJ6" s="8"/>
      <c r="ACK6" s="8"/>
      <c r="ACL6" s="8"/>
      <c r="ACM6" s="8"/>
      <c r="ACN6" s="8"/>
      <c r="ACO6" s="8"/>
      <c r="ACP6" s="8"/>
      <c r="ACQ6" s="8"/>
      <c r="ACR6" s="8"/>
      <c r="ACS6" s="8"/>
      <c r="ACT6" s="8"/>
      <c r="ACU6" s="8"/>
      <c r="ACV6" s="8"/>
      <c r="ACW6" s="8"/>
      <c r="ACX6" s="8"/>
      <c r="ACY6" s="8"/>
      <c r="ACZ6" s="8"/>
      <c r="ADA6" s="8"/>
      <c r="ADB6" s="8"/>
      <c r="ADC6" s="8"/>
      <c r="ADD6" s="8"/>
      <c r="ADE6" s="8"/>
      <c r="ADF6" s="8"/>
      <c r="ADG6" s="8"/>
      <c r="ADH6" s="8"/>
      <c r="ADI6" s="8"/>
      <c r="ADJ6" s="8"/>
      <c r="ADK6" s="8"/>
      <c r="ADL6" s="8"/>
      <c r="ADM6" s="8"/>
      <c r="ADN6" s="8"/>
      <c r="ADO6" s="8"/>
      <c r="ADP6" s="8"/>
      <c r="ADQ6" s="8"/>
      <c r="ADR6" s="8"/>
      <c r="ADS6" s="8"/>
      <c r="ADT6" s="8"/>
      <c r="ADU6" s="8"/>
      <c r="ADV6" s="8"/>
      <c r="ADW6" s="8"/>
      <c r="ADX6" s="8"/>
      <c r="ADY6" s="8"/>
      <c r="ADZ6" s="8"/>
      <c r="AEA6" s="8"/>
      <c r="AEB6" s="8"/>
      <c r="AEC6" s="8"/>
      <c r="AED6" s="8"/>
      <c r="AEE6" s="8"/>
      <c r="AEF6" s="8"/>
      <c r="AEG6" s="8"/>
      <c r="AEH6" s="8"/>
      <c r="AEI6" s="8"/>
      <c r="AEJ6" s="8"/>
      <c r="AEK6" s="8"/>
      <c r="AEL6" s="8"/>
      <c r="AEM6" s="8"/>
      <c r="AEN6" s="8"/>
      <c r="AEO6" s="8"/>
      <c r="AEP6" s="8"/>
      <c r="AEQ6" s="8"/>
      <c r="AER6" s="8"/>
      <c r="AES6" s="8"/>
      <c r="AET6" s="8"/>
      <c r="AEU6" s="8"/>
      <c r="AEV6" s="8"/>
      <c r="AEW6" s="8"/>
      <c r="AEX6" s="8"/>
      <c r="AEY6" s="8"/>
      <c r="AEZ6" s="8"/>
      <c r="AFA6" s="8"/>
      <c r="AFB6" s="8"/>
      <c r="AFC6" s="8"/>
      <c r="AFD6" s="8"/>
      <c r="AFE6" s="8"/>
      <c r="AFF6" s="8"/>
      <c r="AFG6" s="8"/>
      <c r="AFH6" s="8"/>
      <c r="AFI6" s="8"/>
      <c r="AFJ6" s="8"/>
      <c r="AFK6" s="8"/>
      <c r="AFL6" s="8"/>
      <c r="AFM6" s="8"/>
      <c r="AFN6" s="8"/>
      <c r="AFO6" s="8"/>
      <c r="AFP6" s="8"/>
      <c r="AFQ6" s="8"/>
      <c r="AFR6" s="8"/>
      <c r="AFS6" s="8"/>
      <c r="AFT6" s="8"/>
      <c r="AFU6" s="8"/>
      <c r="AFV6" s="8"/>
      <c r="AFW6" s="8"/>
      <c r="AFX6" s="8"/>
      <c r="AFY6" s="8"/>
      <c r="AFZ6" s="8"/>
      <c r="AGA6" s="8"/>
      <c r="AGB6" s="8"/>
      <c r="AGC6" s="8"/>
      <c r="AGD6" s="8"/>
      <c r="AGE6" s="8"/>
      <c r="AGF6" s="8"/>
      <c r="AGG6" s="8"/>
      <c r="AGH6" s="8"/>
      <c r="AGI6" s="8"/>
      <c r="AGJ6" s="8"/>
      <c r="AGK6" s="8"/>
      <c r="AGL6" s="8"/>
      <c r="AGM6" s="8"/>
      <c r="AGN6" s="8"/>
      <c r="AGO6" s="8"/>
      <c r="AGP6" s="8"/>
      <c r="AGQ6" s="8"/>
      <c r="AGR6" s="8"/>
      <c r="AGS6" s="8"/>
      <c r="AGT6" s="8"/>
      <c r="AGU6" s="8"/>
      <c r="AGV6" s="8"/>
      <c r="AGW6" s="8"/>
      <c r="AGX6" s="8"/>
      <c r="AGY6" s="8"/>
      <c r="AGZ6" s="8"/>
      <c r="AHA6" s="8"/>
      <c r="AHB6" s="8"/>
      <c r="AHC6" s="8"/>
      <c r="AHD6" s="8"/>
      <c r="AHE6" s="8"/>
      <c r="AHF6" s="8"/>
      <c r="AHG6" s="8"/>
      <c r="AHH6" s="8"/>
      <c r="AHI6" s="8"/>
      <c r="AHJ6" s="8"/>
      <c r="AHK6" s="8"/>
      <c r="AHL6" s="8"/>
      <c r="AHM6" s="8"/>
      <c r="AHN6" s="8"/>
      <c r="AHO6" s="8"/>
      <c r="AHP6" s="8"/>
      <c r="AHQ6" s="8"/>
      <c r="AHR6" s="8"/>
      <c r="AHS6" s="8"/>
      <c r="AHT6" s="8"/>
      <c r="AHU6" s="8"/>
      <c r="AHV6" s="8"/>
      <c r="AHW6" s="8"/>
      <c r="AHX6" s="8"/>
      <c r="AHY6" s="8"/>
      <c r="AHZ6" s="8"/>
      <c r="AIA6" s="8"/>
      <c r="AIB6" s="8"/>
      <c r="AIC6" s="8"/>
      <c r="AID6" s="8"/>
      <c r="AIE6" s="8"/>
      <c r="AIF6" s="8"/>
      <c r="AIG6" s="8"/>
      <c r="AIH6" s="8"/>
      <c r="AII6" s="8"/>
      <c r="AIJ6" s="8"/>
      <c r="AIK6" s="8"/>
      <c r="AIL6" s="8"/>
      <c r="AIM6" s="8"/>
      <c r="AIN6" s="8"/>
      <c r="AIO6" s="8"/>
      <c r="AIP6" s="8"/>
      <c r="AIQ6" s="8"/>
      <c r="AIR6" s="8"/>
      <c r="AIS6" s="8"/>
      <c r="AIT6" s="8"/>
      <c r="AIU6" s="8"/>
      <c r="AIV6" s="8"/>
      <c r="AIW6" s="8"/>
      <c r="AIX6" s="8"/>
      <c r="AIY6" s="8"/>
      <c r="AIZ6" s="8"/>
      <c r="AJA6" s="8"/>
      <c r="AJB6" s="8"/>
      <c r="AJC6" s="8"/>
      <c r="AJD6" s="8"/>
      <c r="AJE6" s="8"/>
      <c r="AJF6" s="8"/>
      <c r="AJG6" s="8"/>
      <c r="AJH6" s="8"/>
      <c r="AJI6" s="8"/>
      <c r="AJJ6" s="8"/>
      <c r="AJK6" s="8"/>
      <c r="AJL6" s="8"/>
      <c r="AJM6" s="8"/>
      <c r="AJN6" s="8"/>
      <c r="AJO6" s="8"/>
      <c r="AJP6" s="8"/>
      <c r="AJQ6" s="8"/>
      <c r="AJR6" s="8"/>
      <c r="AJS6" s="8"/>
      <c r="AJT6" s="8"/>
      <c r="AJU6" s="8"/>
      <c r="AJV6" s="8"/>
      <c r="AJW6" s="8"/>
      <c r="AJX6" s="8"/>
      <c r="AJY6" s="8"/>
      <c r="AJZ6" s="8"/>
      <c r="AKA6" s="8"/>
      <c r="AKB6" s="8"/>
      <c r="AKC6" s="8"/>
      <c r="AKD6" s="8"/>
      <c r="AKE6" s="8"/>
      <c r="AKF6" s="8"/>
      <c r="AKG6" s="8"/>
      <c r="AKH6" s="8"/>
      <c r="AKI6" s="8"/>
      <c r="AKJ6" s="8"/>
      <c r="AKK6" s="8"/>
      <c r="AKL6" s="8"/>
      <c r="AKM6" s="8"/>
      <c r="AKN6" s="8"/>
      <c r="AKO6" s="8"/>
      <c r="AKP6" s="8"/>
      <c r="AKQ6" s="8"/>
      <c r="AKR6" s="8"/>
      <c r="AKS6" s="8"/>
      <c r="AKT6" s="8"/>
      <c r="AKU6" s="8"/>
      <c r="AKV6" s="8"/>
      <c r="AKW6" s="8"/>
      <c r="AKX6" s="8"/>
      <c r="AKY6" s="8"/>
      <c r="AKZ6" s="8"/>
      <c r="ALA6" s="8"/>
      <c r="ALB6" s="8"/>
      <c r="ALC6" s="8"/>
      <c r="ALD6" s="8"/>
      <c r="ALE6" s="8"/>
      <c r="ALF6" s="8"/>
      <c r="ALG6" s="8"/>
      <c r="ALH6" s="8"/>
      <c r="ALI6" s="8"/>
      <c r="ALJ6" s="8"/>
      <c r="ALK6" s="8"/>
      <c r="ALL6" s="8"/>
      <c r="ALM6" s="8"/>
      <c r="ALN6" s="8"/>
      <c r="ALO6" s="8"/>
      <c r="ALP6" s="8"/>
      <c r="ALQ6" s="8"/>
      <c r="ALR6" s="8"/>
      <c r="ALS6" s="8"/>
      <c r="ALT6" s="8"/>
      <c r="ALU6" s="8"/>
      <c r="ALV6" s="8"/>
      <c r="ALW6" s="8"/>
      <c r="ALX6" s="8"/>
      <c r="ALY6" s="8"/>
      <c r="ALZ6" s="8"/>
      <c r="AMA6" s="8"/>
      <c r="AMB6" s="8"/>
      <c r="AMC6" s="8"/>
      <c r="AMD6" s="8"/>
      <c r="AME6" s="8"/>
      <c r="AMF6" s="8"/>
      <c r="AMG6" s="8"/>
      <c r="AMH6" s="8"/>
    </row>
    <row r="7" spans="1:1022" x14ac:dyDescent="0.15">
      <c r="A7" s="8" t="s">
        <v>2824</v>
      </c>
      <c r="B7" s="8" t="s">
        <v>191</v>
      </c>
      <c r="C7" s="8" t="str">
        <f t="shared" si="0"/>
        <v>att_user_research_group:vonkarstedt</v>
      </c>
      <c r="D7" s="8" t="s">
        <v>15</v>
      </c>
      <c r="E7" s="8" t="s">
        <v>2825</v>
      </c>
      <c r="F7" s="8" t="s">
        <v>2826</v>
      </c>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8"/>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8"/>
      <c r="LD7" s="8"/>
      <c r="LE7" s="8"/>
      <c r="LF7" s="8"/>
      <c r="LG7" s="8"/>
      <c r="LH7" s="8"/>
      <c r="LI7" s="8"/>
      <c r="LJ7" s="8"/>
      <c r="LK7" s="8"/>
      <c r="LL7" s="8"/>
      <c r="LM7" s="8"/>
      <c r="LN7" s="8"/>
      <c r="LO7" s="8"/>
      <c r="LP7" s="8"/>
      <c r="LQ7" s="8"/>
      <c r="LR7" s="8"/>
      <c r="LS7" s="8"/>
      <c r="LT7" s="8"/>
      <c r="LU7" s="8"/>
      <c r="LV7" s="8"/>
      <c r="LW7" s="8"/>
      <c r="LX7" s="8"/>
      <c r="LY7" s="8"/>
      <c r="LZ7" s="8"/>
      <c r="MA7" s="8"/>
      <c r="MB7" s="8"/>
      <c r="MC7" s="8"/>
      <c r="MD7" s="8"/>
      <c r="ME7" s="8"/>
      <c r="MF7" s="8"/>
      <c r="MG7" s="8"/>
      <c r="MH7" s="8"/>
      <c r="MI7" s="8"/>
      <c r="MJ7" s="8"/>
      <c r="MK7" s="8"/>
      <c r="ML7" s="8"/>
      <c r="MM7" s="8"/>
      <c r="MN7" s="8"/>
      <c r="MO7" s="8"/>
      <c r="MP7" s="8"/>
      <c r="MQ7" s="8"/>
      <c r="MR7" s="8"/>
      <c r="MS7" s="8"/>
      <c r="MT7" s="8"/>
      <c r="MU7" s="8"/>
      <c r="MV7" s="8"/>
      <c r="MW7" s="8"/>
      <c r="MX7" s="8"/>
      <c r="MY7" s="8"/>
      <c r="MZ7" s="8"/>
      <c r="NA7" s="8"/>
      <c r="NB7" s="8"/>
      <c r="NC7" s="8"/>
      <c r="ND7" s="8"/>
      <c r="NE7" s="8"/>
      <c r="NF7" s="8"/>
      <c r="NG7" s="8"/>
      <c r="NH7" s="8"/>
      <c r="NI7" s="8"/>
      <c r="NJ7" s="8"/>
      <c r="NK7" s="8"/>
      <c r="NL7" s="8"/>
      <c r="NM7" s="8"/>
      <c r="NN7" s="8"/>
      <c r="NO7" s="8"/>
      <c r="NP7" s="8"/>
      <c r="NQ7" s="8"/>
      <c r="NR7" s="8"/>
      <c r="NS7" s="8"/>
      <c r="NT7" s="8"/>
      <c r="NU7" s="8"/>
      <c r="NV7" s="8"/>
      <c r="NW7" s="8"/>
      <c r="NX7" s="8"/>
      <c r="NY7" s="8"/>
      <c r="NZ7" s="8"/>
      <c r="OA7" s="8"/>
      <c r="OB7" s="8"/>
      <c r="OC7" s="8"/>
      <c r="OD7" s="8"/>
      <c r="OE7" s="8"/>
      <c r="OF7" s="8"/>
      <c r="OG7" s="8"/>
      <c r="OH7" s="8"/>
      <c r="OI7" s="8"/>
      <c r="OJ7" s="8"/>
      <c r="OK7" s="8"/>
      <c r="OL7" s="8"/>
      <c r="OM7" s="8"/>
      <c r="ON7" s="8"/>
      <c r="OO7" s="8"/>
      <c r="OP7" s="8"/>
      <c r="OQ7" s="8"/>
      <c r="OR7" s="8"/>
      <c r="OS7" s="8"/>
      <c r="OT7" s="8"/>
      <c r="OU7" s="8"/>
      <c r="OV7" s="8"/>
      <c r="OW7" s="8"/>
      <c r="OX7" s="8"/>
      <c r="OY7" s="8"/>
      <c r="OZ7" s="8"/>
      <c r="PA7" s="8"/>
      <c r="PB7" s="8"/>
      <c r="PC7" s="8"/>
      <c r="PD7" s="8"/>
      <c r="PE7" s="8"/>
      <c r="PF7" s="8"/>
      <c r="PG7" s="8"/>
      <c r="PH7" s="8"/>
      <c r="PI7" s="8"/>
      <c r="PJ7" s="8"/>
      <c r="PK7" s="8"/>
      <c r="PL7" s="8"/>
      <c r="PM7" s="8"/>
      <c r="PN7" s="8"/>
      <c r="PO7" s="8"/>
      <c r="PP7" s="8"/>
      <c r="PQ7" s="8"/>
      <c r="PR7" s="8"/>
      <c r="PS7" s="8"/>
      <c r="PT7" s="8"/>
      <c r="PU7" s="8"/>
      <c r="PV7" s="8"/>
      <c r="PW7" s="8"/>
      <c r="PX7" s="8"/>
      <c r="PY7" s="8"/>
      <c r="PZ7" s="8"/>
      <c r="QA7" s="8"/>
      <c r="QB7" s="8"/>
      <c r="QC7" s="8"/>
      <c r="QD7" s="8"/>
      <c r="QE7" s="8"/>
      <c r="QF7" s="8"/>
      <c r="QG7" s="8"/>
      <c r="QH7" s="8"/>
      <c r="QI7" s="8"/>
      <c r="QJ7" s="8"/>
      <c r="QK7" s="8"/>
      <c r="QL7" s="8"/>
      <c r="QM7" s="8"/>
      <c r="QN7" s="8"/>
      <c r="QO7" s="8"/>
      <c r="QP7" s="8"/>
      <c r="QQ7" s="8"/>
      <c r="QR7" s="8"/>
      <c r="QS7" s="8"/>
      <c r="QT7" s="8"/>
      <c r="QU7" s="8"/>
      <c r="QV7" s="8"/>
      <c r="QW7" s="8"/>
      <c r="QX7" s="8"/>
      <c r="QY7" s="8"/>
      <c r="QZ7" s="8"/>
      <c r="RA7" s="8"/>
      <c r="RB7" s="8"/>
      <c r="RC7" s="8"/>
      <c r="RD7" s="8"/>
      <c r="RE7" s="8"/>
      <c r="RF7" s="8"/>
      <c r="RG7" s="8"/>
      <c r="RH7" s="8"/>
      <c r="RI7" s="8"/>
      <c r="RJ7" s="8"/>
      <c r="RK7" s="8"/>
      <c r="RL7" s="8"/>
      <c r="RM7" s="8"/>
      <c r="RN7" s="8"/>
      <c r="RO7" s="8"/>
      <c r="RP7" s="8"/>
      <c r="RQ7" s="8"/>
      <c r="RR7" s="8"/>
      <c r="RS7" s="8"/>
      <c r="RT7" s="8"/>
      <c r="RU7" s="8"/>
      <c r="RV7" s="8"/>
      <c r="RW7" s="8"/>
      <c r="RX7" s="8"/>
      <c r="RY7" s="8"/>
      <c r="RZ7" s="8"/>
      <c r="SA7" s="8"/>
      <c r="SB7" s="8"/>
      <c r="SC7" s="8"/>
      <c r="SD7" s="8"/>
      <c r="SE7" s="8"/>
      <c r="SF7" s="8"/>
      <c r="SG7" s="8"/>
      <c r="SH7" s="8"/>
      <c r="SI7" s="8"/>
      <c r="SJ7" s="8"/>
      <c r="SK7" s="8"/>
      <c r="SL7" s="8"/>
      <c r="SM7" s="8"/>
      <c r="SN7" s="8"/>
      <c r="SO7" s="8"/>
      <c r="SP7" s="8"/>
      <c r="SQ7" s="8"/>
      <c r="SR7" s="8"/>
      <c r="SS7" s="8"/>
      <c r="ST7" s="8"/>
      <c r="SU7" s="8"/>
      <c r="SV7" s="8"/>
      <c r="SW7" s="8"/>
      <c r="SX7" s="8"/>
      <c r="SY7" s="8"/>
      <c r="SZ7" s="8"/>
      <c r="TA7" s="8"/>
      <c r="TB7" s="8"/>
      <c r="TC7" s="8"/>
      <c r="TD7" s="8"/>
      <c r="TE7" s="8"/>
      <c r="TF7" s="8"/>
      <c r="TG7" s="8"/>
      <c r="TH7" s="8"/>
      <c r="TI7" s="8"/>
      <c r="TJ7" s="8"/>
      <c r="TK7" s="8"/>
      <c r="TL7" s="8"/>
      <c r="TM7" s="8"/>
      <c r="TN7" s="8"/>
      <c r="TO7" s="8"/>
      <c r="TP7" s="8"/>
      <c r="TQ7" s="8"/>
      <c r="TR7" s="8"/>
      <c r="TS7" s="8"/>
      <c r="TT7" s="8"/>
      <c r="TU7" s="8"/>
      <c r="TV7" s="8"/>
      <c r="TW7" s="8"/>
      <c r="TX7" s="8"/>
      <c r="TY7" s="8"/>
      <c r="TZ7" s="8"/>
      <c r="UA7" s="8"/>
      <c r="UB7" s="8"/>
      <c r="UC7" s="8"/>
      <c r="UD7" s="8"/>
      <c r="UE7" s="8"/>
      <c r="UF7" s="8"/>
      <c r="UG7" s="8"/>
      <c r="UH7" s="8"/>
      <c r="UI7" s="8"/>
      <c r="UJ7" s="8"/>
      <c r="UK7" s="8"/>
      <c r="UL7" s="8"/>
      <c r="UM7" s="8"/>
      <c r="UN7" s="8"/>
      <c r="UO7" s="8"/>
      <c r="UP7" s="8"/>
      <c r="UQ7" s="8"/>
      <c r="UR7" s="8"/>
      <c r="US7" s="8"/>
      <c r="UT7" s="8"/>
      <c r="UU7" s="8"/>
      <c r="UV7" s="8"/>
      <c r="UW7" s="8"/>
      <c r="UX7" s="8"/>
      <c r="UY7" s="8"/>
      <c r="UZ7" s="8"/>
      <c r="VA7" s="8"/>
      <c r="VB7" s="8"/>
      <c r="VC7" s="8"/>
      <c r="VD7" s="8"/>
      <c r="VE7" s="8"/>
      <c r="VF7" s="8"/>
      <c r="VG7" s="8"/>
      <c r="VH7" s="8"/>
      <c r="VI7" s="8"/>
      <c r="VJ7" s="8"/>
      <c r="VK7" s="8"/>
      <c r="VL7" s="8"/>
      <c r="VM7" s="8"/>
      <c r="VN7" s="8"/>
      <c r="VO7" s="8"/>
      <c r="VP7" s="8"/>
      <c r="VQ7" s="8"/>
      <c r="VR7" s="8"/>
      <c r="VS7" s="8"/>
      <c r="VT7" s="8"/>
      <c r="VU7" s="8"/>
      <c r="VV7" s="8"/>
      <c r="VW7" s="8"/>
      <c r="VX7" s="8"/>
      <c r="VY7" s="8"/>
      <c r="VZ7" s="8"/>
      <c r="WA7" s="8"/>
      <c r="WB7" s="8"/>
      <c r="WC7" s="8"/>
      <c r="WD7" s="8"/>
      <c r="WE7" s="8"/>
      <c r="WF7" s="8"/>
      <c r="WG7" s="8"/>
      <c r="WH7" s="8"/>
      <c r="WI7" s="8"/>
      <c r="WJ7" s="8"/>
      <c r="WK7" s="8"/>
      <c r="WL7" s="8"/>
      <c r="WM7" s="8"/>
      <c r="WN7" s="8"/>
      <c r="WO7" s="8"/>
      <c r="WP7" s="8"/>
      <c r="WQ7" s="8"/>
      <c r="WR7" s="8"/>
      <c r="WS7" s="8"/>
      <c r="WT7" s="8"/>
      <c r="WU7" s="8"/>
      <c r="WV7" s="8"/>
      <c r="WW7" s="8"/>
      <c r="WX7" s="8"/>
      <c r="WY7" s="8"/>
      <c r="WZ7" s="8"/>
      <c r="XA7" s="8"/>
      <c r="XB7" s="8"/>
      <c r="XC7" s="8"/>
      <c r="XD7" s="8"/>
      <c r="XE7" s="8"/>
      <c r="XF7" s="8"/>
      <c r="XG7" s="8"/>
      <c r="XH7" s="8"/>
      <c r="XI7" s="8"/>
      <c r="XJ7" s="8"/>
      <c r="XK7" s="8"/>
      <c r="XL7" s="8"/>
      <c r="XM7" s="8"/>
      <c r="XN7" s="8"/>
      <c r="XO7" s="8"/>
      <c r="XP7" s="8"/>
      <c r="XQ7" s="8"/>
      <c r="XR7" s="8"/>
      <c r="XS7" s="8"/>
      <c r="XT7" s="8"/>
      <c r="XU7" s="8"/>
      <c r="XV7" s="8"/>
      <c r="XW7" s="8"/>
      <c r="XX7" s="8"/>
      <c r="XY7" s="8"/>
      <c r="XZ7" s="8"/>
      <c r="YA7" s="8"/>
      <c r="YB7" s="8"/>
      <c r="YC7" s="8"/>
      <c r="YD7" s="8"/>
      <c r="YE7" s="8"/>
      <c r="YF7" s="8"/>
      <c r="YG7" s="8"/>
      <c r="YH7" s="8"/>
      <c r="YI7" s="8"/>
      <c r="YJ7" s="8"/>
      <c r="YK7" s="8"/>
      <c r="YL7" s="8"/>
      <c r="YM7" s="8"/>
      <c r="YN7" s="8"/>
      <c r="YO7" s="8"/>
      <c r="YP7" s="8"/>
      <c r="YQ7" s="8"/>
      <c r="YR7" s="8"/>
      <c r="YS7" s="8"/>
      <c r="YT7" s="8"/>
      <c r="YU7" s="8"/>
      <c r="YV7" s="8"/>
      <c r="YW7" s="8"/>
      <c r="YX7" s="8"/>
      <c r="YY7" s="8"/>
      <c r="YZ7" s="8"/>
      <c r="ZA7" s="8"/>
      <c r="ZB7" s="8"/>
      <c r="ZC7" s="8"/>
      <c r="ZD7" s="8"/>
      <c r="ZE7" s="8"/>
      <c r="ZF7" s="8"/>
      <c r="ZG7" s="8"/>
      <c r="ZH7" s="8"/>
      <c r="ZI7" s="8"/>
      <c r="ZJ7" s="8"/>
      <c r="ZK7" s="8"/>
      <c r="ZL7" s="8"/>
      <c r="ZM7" s="8"/>
      <c r="ZN7" s="8"/>
      <c r="ZO7" s="8"/>
      <c r="ZP7" s="8"/>
      <c r="ZQ7" s="8"/>
      <c r="ZR7" s="8"/>
      <c r="ZS7" s="8"/>
      <c r="ZT7" s="8"/>
      <c r="ZU7" s="8"/>
      <c r="ZV7" s="8"/>
      <c r="ZW7" s="8"/>
      <c r="ZX7" s="8"/>
      <c r="ZY7" s="8"/>
      <c r="ZZ7" s="8"/>
      <c r="AAA7" s="8"/>
      <c r="AAB7" s="8"/>
      <c r="AAC7" s="8"/>
      <c r="AAD7" s="8"/>
      <c r="AAE7" s="8"/>
      <c r="AAF7" s="8"/>
      <c r="AAG7" s="8"/>
      <c r="AAH7" s="8"/>
      <c r="AAI7" s="8"/>
      <c r="AAJ7" s="8"/>
      <c r="AAK7" s="8"/>
      <c r="AAL7" s="8"/>
      <c r="AAM7" s="8"/>
      <c r="AAN7" s="8"/>
      <c r="AAO7" s="8"/>
      <c r="AAP7" s="8"/>
      <c r="AAQ7" s="8"/>
      <c r="AAR7" s="8"/>
      <c r="AAS7" s="8"/>
      <c r="AAT7" s="8"/>
      <c r="AAU7" s="8"/>
      <c r="AAV7" s="8"/>
      <c r="AAW7" s="8"/>
      <c r="AAX7" s="8"/>
      <c r="AAY7" s="8"/>
      <c r="AAZ7" s="8"/>
      <c r="ABA7" s="8"/>
      <c r="ABB7" s="8"/>
      <c r="ABC7" s="8"/>
      <c r="ABD7" s="8"/>
      <c r="ABE7" s="8"/>
      <c r="ABF7" s="8"/>
      <c r="ABG7" s="8"/>
      <c r="ABH7" s="8"/>
      <c r="ABI7" s="8"/>
      <c r="ABJ7" s="8"/>
      <c r="ABK7" s="8"/>
      <c r="ABL7" s="8"/>
      <c r="ABM7" s="8"/>
      <c r="ABN7" s="8"/>
      <c r="ABO7" s="8"/>
      <c r="ABP7" s="8"/>
      <c r="ABQ7" s="8"/>
      <c r="ABR7" s="8"/>
      <c r="ABS7" s="8"/>
      <c r="ABT7" s="8"/>
      <c r="ABU7" s="8"/>
      <c r="ABV7" s="8"/>
      <c r="ABW7" s="8"/>
      <c r="ABX7" s="8"/>
      <c r="ABY7" s="8"/>
      <c r="ABZ7" s="8"/>
      <c r="ACA7" s="8"/>
      <c r="ACB7" s="8"/>
      <c r="ACC7" s="8"/>
      <c r="ACD7" s="8"/>
      <c r="ACE7" s="8"/>
      <c r="ACF7" s="8"/>
      <c r="ACG7" s="8"/>
      <c r="ACH7" s="8"/>
      <c r="ACI7" s="8"/>
      <c r="ACJ7" s="8"/>
      <c r="ACK7" s="8"/>
      <c r="ACL7" s="8"/>
      <c r="ACM7" s="8"/>
      <c r="ACN7" s="8"/>
      <c r="ACO7" s="8"/>
      <c r="ACP7" s="8"/>
      <c r="ACQ7" s="8"/>
      <c r="ACR7" s="8"/>
      <c r="ACS7" s="8"/>
      <c r="ACT7" s="8"/>
      <c r="ACU7" s="8"/>
      <c r="ACV7" s="8"/>
      <c r="ACW7" s="8"/>
      <c r="ACX7" s="8"/>
      <c r="ACY7" s="8"/>
      <c r="ACZ7" s="8"/>
      <c r="ADA7" s="8"/>
      <c r="ADB7" s="8"/>
      <c r="ADC7" s="8"/>
      <c r="ADD7" s="8"/>
      <c r="ADE7" s="8"/>
      <c r="ADF7" s="8"/>
      <c r="ADG7" s="8"/>
      <c r="ADH7" s="8"/>
      <c r="ADI7" s="8"/>
      <c r="ADJ7" s="8"/>
      <c r="ADK7" s="8"/>
      <c r="ADL7" s="8"/>
      <c r="ADM7" s="8"/>
      <c r="ADN7" s="8"/>
      <c r="ADO7" s="8"/>
      <c r="ADP7" s="8"/>
      <c r="ADQ7" s="8"/>
      <c r="ADR7" s="8"/>
      <c r="ADS7" s="8"/>
      <c r="ADT7" s="8"/>
      <c r="ADU7" s="8"/>
      <c r="ADV7" s="8"/>
      <c r="ADW7" s="8"/>
      <c r="ADX7" s="8"/>
      <c r="ADY7" s="8"/>
      <c r="ADZ7" s="8"/>
      <c r="AEA7" s="8"/>
      <c r="AEB7" s="8"/>
      <c r="AEC7" s="8"/>
      <c r="AED7" s="8"/>
      <c r="AEE7" s="8"/>
      <c r="AEF7" s="8"/>
      <c r="AEG7" s="8"/>
      <c r="AEH7" s="8"/>
      <c r="AEI7" s="8"/>
      <c r="AEJ7" s="8"/>
      <c r="AEK7" s="8"/>
      <c r="AEL7" s="8"/>
      <c r="AEM7" s="8"/>
      <c r="AEN7" s="8"/>
      <c r="AEO7" s="8"/>
      <c r="AEP7" s="8"/>
      <c r="AEQ7" s="8"/>
      <c r="AER7" s="8"/>
      <c r="AES7" s="8"/>
      <c r="AET7" s="8"/>
      <c r="AEU7" s="8"/>
      <c r="AEV7" s="8"/>
      <c r="AEW7" s="8"/>
      <c r="AEX7" s="8"/>
      <c r="AEY7" s="8"/>
      <c r="AEZ7" s="8"/>
      <c r="AFA7" s="8"/>
      <c r="AFB7" s="8"/>
      <c r="AFC7" s="8"/>
      <c r="AFD7" s="8"/>
      <c r="AFE7" s="8"/>
      <c r="AFF7" s="8"/>
      <c r="AFG7" s="8"/>
      <c r="AFH7" s="8"/>
      <c r="AFI7" s="8"/>
      <c r="AFJ7" s="8"/>
      <c r="AFK7" s="8"/>
      <c r="AFL7" s="8"/>
      <c r="AFM7" s="8"/>
      <c r="AFN7" s="8"/>
      <c r="AFO7" s="8"/>
      <c r="AFP7" s="8"/>
      <c r="AFQ7" s="8"/>
      <c r="AFR7" s="8"/>
      <c r="AFS7" s="8"/>
      <c r="AFT7" s="8"/>
      <c r="AFU7" s="8"/>
      <c r="AFV7" s="8"/>
      <c r="AFW7" s="8"/>
      <c r="AFX7" s="8"/>
      <c r="AFY7" s="8"/>
      <c r="AFZ7" s="8"/>
      <c r="AGA7" s="8"/>
      <c r="AGB7" s="8"/>
      <c r="AGC7" s="8"/>
      <c r="AGD7" s="8"/>
      <c r="AGE7" s="8"/>
      <c r="AGF7" s="8"/>
      <c r="AGG7" s="8"/>
      <c r="AGH7" s="8"/>
      <c r="AGI7" s="8"/>
      <c r="AGJ7" s="8"/>
      <c r="AGK7" s="8"/>
      <c r="AGL7" s="8"/>
      <c r="AGM7" s="8"/>
      <c r="AGN7" s="8"/>
      <c r="AGO7" s="8"/>
      <c r="AGP7" s="8"/>
      <c r="AGQ7" s="8"/>
      <c r="AGR7" s="8"/>
      <c r="AGS7" s="8"/>
      <c r="AGT7" s="8"/>
      <c r="AGU7" s="8"/>
      <c r="AGV7" s="8"/>
      <c r="AGW7" s="8"/>
      <c r="AGX7" s="8"/>
      <c r="AGY7" s="8"/>
      <c r="AGZ7" s="8"/>
      <c r="AHA7" s="8"/>
      <c r="AHB7" s="8"/>
      <c r="AHC7" s="8"/>
      <c r="AHD7" s="8"/>
      <c r="AHE7" s="8"/>
      <c r="AHF7" s="8"/>
      <c r="AHG7" s="8"/>
      <c r="AHH7" s="8"/>
      <c r="AHI7" s="8"/>
      <c r="AHJ7" s="8"/>
      <c r="AHK7" s="8"/>
      <c r="AHL7" s="8"/>
      <c r="AHM7" s="8"/>
      <c r="AHN7" s="8"/>
      <c r="AHO7" s="8"/>
      <c r="AHP7" s="8"/>
      <c r="AHQ7" s="8"/>
      <c r="AHR7" s="8"/>
      <c r="AHS7" s="8"/>
      <c r="AHT7" s="8"/>
      <c r="AHU7" s="8"/>
      <c r="AHV7" s="8"/>
      <c r="AHW7" s="8"/>
      <c r="AHX7" s="8"/>
      <c r="AHY7" s="8"/>
      <c r="AHZ7" s="8"/>
      <c r="AIA7" s="8"/>
      <c r="AIB7" s="8"/>
      <c r="AIC7" s="8"/>
      <c r="AID7" s="8"/>
      <c r="AIE7" s="8"/>
      <c r="AIF7" s="8"/>
      <c r="AIG7" s="8"/>
      <c r="AIH7" s="8"/>
      <c r="AII7" s="8"/>
      <c r="AIJ7" s="8"/>
      <c r="AIK7" s="8"/>
      <c r="AIL7" s="8"/>
      <c r="AIM7" s="8"/>
      <c r="AIN7" s="8"/>
      <c r="AIO7" s="8"/>
      <c r="AIP7" s="8"/>
      <c r="AIQ7" s="8"/>
      <c r="AIR7" s="8"/>
      <c r="AIS7" s="8"/>
      <c r="AIT7" s="8"/>
      <c r="AIU7" s="8"/>
      <c r="AIV7" s="8"/>
      <c r="AIW7" s="8"/>
      <c r="AIX7" s="8"/>
      <c r="AIY7" s="8"/>
      <c r="AIZ7" s="8"/>
      <c r="AJA7" s="8"/>
      <c r="AJB7" s="8"/>
      <c r="AJC7" s="8"/>
      <c r="AJD7" s="8"/>
      <c r="AJE7" s="8"/>
      <c r="AJF7" s="8"/>
      <c r="AJG7" s="8"/>
      <c r="AJH7" s="8"/>
      <c r="AJI7" s="8"/>
      <c r="AJJ7" s="8"/>
      <c r="AJK7" s="8"/>
      <c r="AJL7" s="8"/>
      <c r="AJM7" s="8"/>
      <c r="AJN7" s="8"/>
      <c r="AJO7" s="8"/>
      <c r="AJP7" s="8"/>
      <c r="AJQ7" s="8"/>
      <c r="AJR7" s="8"/>
      <c r="AJS7" s="8"/>
      <c r="AJT7" s="8"/>
      <c r="AJU7" s="8"/>
      <c r="AJV7" s="8"/>
      <c r="AJW7" s="8"/>
      <c r="AJX7" s="8"/>
      <c r="AJY7" s="8"/>
      <c r="AJZ7" s="8"/>
      <c r="AKA7" s="8"/>
      <c r="AKB7" s="8"/>
      <c r="AKC7" s="8"/>
      <c r="AKD7" s="8"/>
      <c r="AKE7" s="8"/>
      <c r="AKF7" s="8"/>
      <c r="AKG7" s="8"/>
      <c r="AKH7" s="8"/>
      <c r="AKI7" s="8"/>
      <c r="AKJ7" s="8"/>
      <c r="AKK7" s="8"/>
      <c r="AKL7" s="8"/>
      <c r="AKM7" s="8"/>
      <c r="AKN7" s="8"/>
      <c r="AKO7" s="8"/>
      <c r="AKP7" s="8"/>
      <c r="AKQ7" s="8"/>
      <c r="AKR7" s="8"/>
      <c r="AKS7" s="8"/>
      <c r="AKT7" s="8"/>
      <c r="AKU7" s="8"/>
      <c r="AKV7" s="8"/>
      <c r="AKW7" s="8"/>
      <c r="AKX7" s="8"/>
      <c r="AKY7" s="8"/>
      <c r="AKZ7" s="8"/>
      <c r="ALA7" s="8"/>
      <c r="ALB7" s="8"/>
      <c r="ALC7" s="8"/>
      <c r="ALD7" s="8"/>
      <c r="ALE7" s="8"/>
      <c r="ALF7" s="8"/>
      <c r="ALG7" s="8"/>
      <c r="ALH7" s="8"/>
      <c r="ALI7" s="8"/>
      <c r="ALJ7" s="8"/>
      <c r="ALK7" s="8"/>
      <c r="ALL7" s="8"/>
      <c r="ALM7" s="8"/>
      <c r="ALN7" s="8"/>
      <c r="ALO7" s="8"/>
      <c r="ALP7" s="8"/>
      <c r="ALQ7" s="8"/>
      <c r="ALR7" s="8"/>
      <c r="ALS7" s="8"/>
      <c r="ALT7" s="8"/>
      <c r="ALU7" s="8"/>
      <c r="ALV7" s="8"/>
      <c r="ALW7" s="8"/>
      <c r="ALX7" s="8"/>
      <c r="ALY7" s="8"/>
      <c r="ALZ7" s="8"/>
      <c r="AMA7" s="8"/>
      <c r="AMB7" s="8"/>
      <c r="AMC7" s="8"/>
      <c r="AMD7" s="8"/>
      <c r="AME7" s="8"/>
      <c r="AMF7" s="8"/>
      <c r="AMG7" s="8"/>
      <c r="AMH7" s="8"/>
    </row>
    <row r="8" spans="1:1022" x14ac:dyDescent="0.15">
      <c r="A8" s="8" t="s">
        <v>2827</v>
      </c>
      <c r="B8" s="8" t="s">
        <v>191</v>
      </c>
      <c r="C8" s="8" t="str">
        <f t="shared" si="0"/>
        <v>att_user_research_group:laessig</v>
      </c>
      <c r="D8" s="8" t="s">
        <v>15</v>
      </c>
      <c r="E8" s="8" t="s">
        <v>2828</v>
      </c>
      <c r="F8" s="8" t="s">
        <v>2829</v>
      </c>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c r="IY8" s="8"/>
      <c r="IZ8" s="8"/>
      <c r="JA8" s="8"/>
      <c r="JB8" s="8"/>
      <c r="JC8" s="8"/>
      <c r="JD8" s="8"/>
      <c r="JE8" s="8"/>
      <c r="JF8" s="8"/>
      <c r="JG8" s="8"/>
      <c r="JH8" s="8"/>
      <c r="JI8" s="8"/>
      <c r="JJ8" s="8"/>
      <c r="JK8" s="8"/>
      <c r="JL8" s="8"/>
      <c r="JM8" s="8"/>
      <c r="JN8" s="8"/>
      <c r="JO8" s="8"/>
      <c r="JP8" s="8"/>
      <c r="JQ8" s="8"/>
      <c r="JR8" s="8"/>
      <c r="JS8" s="8"/>
      <c r="JT8" s="8"/>
      <c r="JU8" s="8"/>
      <c r="JV8" s="8"/>
      <c r="JW8" s="8"/>
      <c r="JX8" s="8"/>
      <c r="JY8" s="8"/>
      <c r="JZ8" s="8"/>
      <c r="KA8" s="8"/>
      <c r="KB8" s="8"/>
      <c r="KC8" s="8"/>
      <c r="KD8" s="8"/>
      <c r="KE8" s="8"/>
      <c r="KF8" s="8"/>
      <c r="KG8" s="8"/>
      <c r="KH8" s="8"/>
      <c r="KI8" s="8"/>
      <c r="KJ8" s="8"/>
      <c r="KK8" s="8"/>
      <c r="KL8" s="8"/>
      <c r="KM8" s="8"/>
      <c r="KN8" s="8"/>
      <c r="KO8" s="8"/>
      <c r="KP8" s="8"/>
      <c r="KQ8" s="8"/>
      <c r="KR8" s="8"/>
      <c r="KS8" s="8"/>
      <c r="KT8" s="8"/>
      <c r="KU8" s="8"/>
      <c r="KV8" s="8"/>
      <c r="KW8" s="8"/>
      <c r="KX8" s="8"/>
      <c r="KY8" s="8"/>
      <c r="KZ8" s="8"/>
      <c r="LA8" s="8"/>
      <c r="LB8" s="8"/>
      <c r="LC8" s="8"/>
      <c r="LD8" s="8"/>
      <c r="LE8" s="8"/>
      <c r="LF8" s="8"/>
      <c r="LG8" s="8"/>
      <c r="LH8" s="8"/>
      <c r="LI8" s="8"/>
      <c r="LJ8" s="8"/>
      <c r="LK8" s="8"/>
      <c r="LL8" s="8"/>
      <c r="LM8" s="8"/>
      <c r="LN8" s="8"/>
      <c r="LO8" s="8"/>
      <c r="LP8" s="8"/>
      <c r="LQ8" s="8"/>
      <c r="LR8" s="8"/>
      <c r="LS8" s="8"/>
      <c r="LT8" s="8"/>
      <c r="LU8" s="8"/>
      <c r="LV8" s="8"/>
      <c r="LW8" s="8"/>
      <c r="LX8" s="8"/>
      <c r="LY8" s="8"/>
      <c r="LZ8" s="8"/>
      <c r="MA8" s="8"/>
      <c r="MB8" s="8"/>
      <c r="MC8" s="8"/>
      <c r="MD8" s="8"/>
      <c r="ME8" s="8"/>
      <c r="MF8" s="8"/>
      <c r="MG8" s="8"/>
      <c r="MH8" s="8"/>
      <c r="MI8" s="8"/>
      <c r="MJ8" s="8"/>
      <c r="MK8" s="8"/>
      <c r="ML8" s="8"/>
      <c r="MM8" s="8"/>
      <c r="MN8" s="8"/>
      <c r="MO8" s="8"/>
      <c r="MP8" s="8"/>
      <c r="MQ8" s="8"/>
      <c r="MR8" s="8"/>
      <c r="MS8" s="8"/>
      <c r="MT8" s="8"/>
      <c r="MU8" s="8"/>
      <c r="MV8" s="8"/>
      <c r="MW8" s="8"/>
      <c r="MX8" s="8"/>
      <c r="MY8" s="8"/>
      <c r="MZ8" s="8"/>
      <c r="NA8" s="8"/>
      <c r="NB8" s="8"/>
      <c r="NC8" s="8"/>
      <c r="ND8" s="8"/>
      <c r="NE8" s="8"/>
      <c r="NF8" s="8"/>
      <c r="NG8" s="8"/>
      <c r="NH8" s="8"/>
      <c r="NI8" s="8"/>
      <c r="NJ8" s="8"/>
      <c r="NK8" s="8"/>
      <c r="NL8" s="8"/>
      <c r="NM8" s="8"/>
      <c r="NN8" s="8"/>
      <c r="NO8" s="8"/>
      <c r="NP8" s="8"/>
      <c r="NQ8" s="8"/>
      <c r="NR8" s="8"/>
      <c r="NS8" s="8"/>
      <c r="NT8" s="8"/>
      <c r="NU8" s="8"/>
      <c r="NV8" s="8"/>
      <c r="NW8" s="8"/>
      <c r="NX8" s="8"/>
      <c r="NY8" s="8"/>
      <c r="NZ8" s="8"/>
      <c r="OA8" s="8"/>
      <c r="OB8" s="8"/>
      <c r="OC8" s="8"/>
      <c r="OD8" s="8"/>
      <c r="OE8" s="8"/>
      <c r="OF8" s="8"/>
      <c r="OG8" s="8"/>
      <c r="OH8" s="8"/>
      <c r="OI8" s="8"/>
      <c r="OJ8" s="8"/>
      <c r="OK8" s="8"/>
      <c r="OL8" s="8"/>
      <c r="OM8" s="8"/>
      <c r="ON8" s="8"/>
      <c r="OO8" s="8"/>
      <c r="OP8" s="8"/>
      <c r="OQ8" s="8"/>
      <c r="OR8" s="8"/>
      <c r="OS8" s="8"/>
      <c r="OT8" s="8"/>
      <c r="OU8" s="8"/>
      <c r="OV8" s="8"/>
      <c r="OW8" s="8"/>
      <c r="OX8" s="8"/>
      <c r="OY8" s="8"/>
      <c r="OZ8" s="8"/>
      <c r="PA8" s="8"/>
      <c r="PB8" s="8"/>
      <c r="PC8" s="8"/>
      <c r="PD8" s="8"/>
      <c r="PE8" s="8"/>
      <c r="PF8" s="8"/>
      <c r="PG8" s="8"/>
      <c r="PH8" s="8"/>
      <c r="PI8" s="8"/>
      <c r="PJ8" s="8"/>
      <c r="PK8" s="8"/>
      <c r="PL8" s="8"/>
      <c r="PM8" s="8"/>
      <c r="PN8" s="8"/>
      <c r="PO8" s="8"/>
      <c r="PP8" s="8"/>
      <c r="PQ8" s="8"/>
      <c r="PR8" s="8"/>
      <c r="PS8" s="8"/>
      <c r="PT8" s="8"/>
      <c r="PU8" s="8"/>
      <c r="PV8" s="8"/>
      <c r="PW8" s="8"/>
      <c r="PX8" s="8"/>
      <c r="PY8" s="8"/>
      <c r="PZ8" s="8"/>
      <c r="QA8" s="8"/>
      <c r="QB8" s="8"/>
      <c r="QC8" s="8"/>
      <c r="QD8" s="8"/>
      <c r="QE8" s="8"/>
      <c r="QF8" s="8"/>
      <c r="QG8" s="8"/>
      <c r="QH8" s="8"/>
      <c r="QI8" s="8"/>
      <c r="QJ8" s="8"/>
      <c r="QK8" s="8"/>
      <c r="QL8" s="8"/>
      <c r="QM8" s="8"/>
      <c r="QN8" s="8"/>
      <c r="QO8" s="8"/>
      <c r="QP8" s="8"/>
      <c r="QQ8" s="8"/>
      <c r="QR8" s="8"/>
      <c r="QS8" s="8"/>
      <c r="QT8" s="8"/>
      <c r="QU8" s="8"/>
      <c r="QV8" s="8"/>
      <c r="QW8" s="8"/>
      <c r="QX8" s="8"/>
      <c r="QY8" s="8"/>
      <c r="QZ8" s="8"/>
      <c r="RA8" s="8"/>
      <c r="RB8" s="8"/>
      <c r="RC8" s="8"/>
      <c r="RD8" s="8"/>
      <c r="RE8" s="8"/>
      <c r="RF8" s="8"/>
      <c r="RG8" s="8"/>
      <c r="RH8" s="8"/>
      <c r="RI8" s="8"/>
      <c r="RJ8" s="8"/>
      <c r="RK8" s="8"/>
      <c r="RL8" s="8"/>
      <c r="RM8" s="8"/>
      <c r="RN8" s="8"/>
      <c r="RO8" s="8"/>
      <c r="RP8" s="8"/>
      <c r="RQ8" s="8"/>
      <c r="RR8" s="8"/>
      <c r="RS8" s="8"/>
      <c r="RT8" s="8"/>
      <c r="RU8" s="8"/>
      <c r="RV8" s="8"/>
      <c r="RW8" s="8"/>
      <c r="RX8" s="8"/>
      <c r="RY8" s="8"/>
      <c r="RZ8" s="8"/>
      <c r="SA8" s="8"/>
      <c r="SB8" s="8"/>
      <c r="SC8" s="8"/>
      <c r="SD8" s="8"/>
      <c r="SE8" s="8"/>
      <c r="SF8" s="8"/>
      <c r="SG8" s="8"/>
      <c r="SH8" s="8"/>
      <c r="SI8" s="8"/>
      <c r="SJ8" s="8"/>
      <c r="SK8" s="8"/>
      <c r="SL8" s="8"/>
      <c r="SM8" s="8"/>
      <c r="SN8" s="8"/>
      <c r="SO8" s="8"/>
      <c r="SP8" s="8"/>
      <c r="SQ8" s="8"/>
      <c r="SR8" s="8"/>
      <c r="SS8" s="8"/>
      <c r="ST8" s="8"/>
      <c r="SU8" s="8"/>
      <c r="SV8" s="8"/>
      <c r="SW8" s="8"/>
      <c r="SX8" s="8"/>
      <c r="SY8" s="8"/>
      <c r="SZ8" s="8"/>
      <c r="TA8" s="8"/>
      <c r="TB8" s="8"/>
      <c r="TC8" s="8"/>
      <c r="TD8" s="8"/>
      <c r="TE8" s="8"/>
      <c r="TF8" s="8"/>
      <c r="TG8" s="8"/>
      <c r="TH8" s="8"/>
      <c r="TI8" s="8"/>
      <c r="TJ8" s="8"/>
      <c r="TK8" s="8"/>
      <c r="TL8" s="8"/>
      <c r="TM8" s="8"/>
      <c r="TN8" s="8"/>
      <c r="TO8" s="8"/>
      <c r="TP8" s="8"/>
      <c r="TQ8" s="8"/>
      <c r="TR8" s="8"/>
      <c r="TS8" s="8"/>
      <c r="TT8" s="8"/>
      <c r="TU8" s="8"/>
      <c r="TV8" s="8"/>
      <c r="TW8" s="8"/>
      <c r="TX8" s="8"/>
      <c r="TY8" s="8"/>
      <c r="TZ8" s="8"/>
      <c r="UA8" s="8"/>
      <c r="UB8" s="8"/>
      <c r="UC8" s="8"/>
      <c r="UD8" s="8"/>
      <c r="UE8" s="8"/>
      <c r="UF8" s="8"/>
      <c r="UG8" s="8"/>
      <c r="UH8" s="8"/>
      <c r="UI8" s="8"/>
      <c r="UJ8" s="8"/>
      <c r="UK8" s="8"/>
      <c r="UL8" s="8"/>
      <c r="UM8" s="8"/>
      <c r="UN8" s="8"/>
      <c r="UO8" s="8"/>
      <c r="UP8" s="8"/>
      <c r="UQ8" s="8"/>
      <c r="UR8" s="8"/>
      <c r="US8" s="8"/>
      <c r="UT8" s="8"/>
      <c r="UU8" s="8"/>
      <c r="UV8" s="8"/>
      <c r="UW8" s="8"/>
      <c r="UX8" s="8"/>
      <c r="UY8" s="8"/>
      <c r="UZ8" s="8"/>
      <c r="VA8" s="8"/>
      <c r="VB8" s="8"/>
      <c r="VC8" s="8"/>
      <c r="VD8" s="8"/>
      <c r="VE8" s="8"/>
      <c r="VF8" s="8"/>
      <c r="VG8" s="8"/>
      <c r="VH8" s="8"/>
      <c r="VI8" s="8"/>
      <c r="VJ8" s="8"/>
      <c r="VK8" s="8"/>
      <c r="VL8" s="8"/>
      <c r="VM8" s="8"/>
      <c r="VN8" s="8"/>
      <c r="VO8" s="8"/>
      <c r="VP8" s="8"/>
      <c r="VQ8" s="8"/>
      <c r="VR8" s="8"/>
      <c r="VS8" s="8"/>
      <c r="VT8" s="8"/>
      <c r="VU8" s="8"/>
      <c r="VV8" s="8"/>
      <c r="VW8" s="8"/>
      <c r="VX8" s="8"/>
      <c r="VY8" s="8"/>
      <c r="VZ8" s="8"/>
      <c r="WA8" s="8"/>
      <c r="WB8" s="8"/>
      <c r="WC8" s="8"/>
      <c r="WD8" s="8"/>
      <c r="WE8" s="8"/>
      <c r="WF8" s="8"/>
      <c r="WG8" s="8"/>
      <c r="WH8" s="8"/>
      <c r="WI8" s="8"/>
      <c r="WJ8" s="8"/>
      <c r="WK8" s="8"/>
      <c r="WL8" s="8"/>
      <c r="WM8" s="8"/>
      <c r="WN8" s="8"/>
      <c r="WO8" s="8"/>
      <c r="WP8" s="8"/>
      <c r="WQ8" s="8"/>
      <c r="WR8" s="8"/>
      <c r="WS8" s="8"/>
      <c r="WT8" s="8"/>
      <c r="WU8" s="8"/>
      <c r="WV8" s="8"/>
      <c r="WW8" s="8"/>
      <c r="WX8" s="8"/>
      <c r="WY8" s="8"/>
      <c r="WZ8" s="8"/>
      <c r="XA8" s="8"/>
      <c r="XB8" s="8"/>
      <c r="XC8" s="8"/>
      <c r="XD8" s="8"/>
      <c r="XE8" s="8"/>
      <c r="XF8" s="8"/>
      <c r="XG8" s="8"/>
      <c r="XH8" s="8"/>
      <c r="XI8" s="8"/>
      <c r="XJ8" s="8"/>
      <c r="XK8" s="8"/>
      <c r="XL8" s="8"/>
      <c r="XM8" s="8"/>
      <c r="XN8" s="8"/>
      <c r="XO8" s="8"/>
      <c r="XP8" s="8"/>
      <c r="XQ8" s="8"/>
      <c r="XR8" s="8"/>
      <c r="XS8" s="8"/>
      <c r="XT8" s="8"/>
      <c r="XU8" s="8"/>
      <c r="XV8" s="8"/>
      <c r="XW8" s="8"/>
      <c r="XX8" s="8"/>
      <c r="XY8" s="8"/>
      <c r="XZ8" s="8"/>
      <c r="YA8" s="8"/>
      <c r="YB8" s="8"/>
      <c r="YC8" s="8"/>
      <c r="YD8" s="8"/>
      <c r="YE8" s="8"/>
      <c r="YF8" s="8"/>
      <c r="YG8" s="8"/>
      <c r="YH8" s="8"/>
      <c r="YI8" s="8"/>
      <c r="YJ8" s="8"/>
      <c r="YK8" s="8"/>
      <c r="YL8" s="8"/>
      <c r="YM8" s="8"/>
      <c r="YN8" s="8"/>
      <c r="YO8" s="8"/>
      <c r="YP8" s="8"/>
      <c r="YQ8" s="8"/>
      <c r="YR8" s="8"/>
      <c r="YS8" s="8"/>
      <c r="YT8" s="8"/>
      <c r="YU8" s="8"/>
      <c r="YV8" s="8"/>
      <c r="YW8" s="8"/>
      <c r="YX8" s="8"/>
      <c r="YY8" s="8"/>
      <c r="YZ8" s="8"/>
      <c r="ZA8" s="8"/>
      <c r="ZB8" s="8"/>
      <c r="ZC8" s="8"/>
      <c r="ZD8" s="8"/>
      <c r="ZE8" s="8"/>
      <c r="ZF8" s="8"/>
      <c r="ZG8" s="8"/>
      <c r="ZH8" s="8"/>
      <c r="ZI8" s="8"/>
      <c r="ZJ8" s="8"/>
      <c r="ZK8" s="8"/>
      <c r="ZL8" s="8"/>
      <c r="ZM8" s="8"/>
      <c r="ZN8" s="8"/>
      <c r="ZO8" s="8"/>
      <c r="ZP8" s="8"/>
      <c r="ZQ8" s="8"/>
      <c r="ZR8" s="8"/>
      <c r="ZS8" s="8"/>
      <c r="ZT8" s="8"/>
      <c r="ZU8" s="8"/>
      <c r="ZV8" s="8"/>
      <c r="ZW8" s="8"/>
      <c r="ZX8" s="8"/>
      <c r="ZY8" s="8"/>
      <c r="ZZ8" s="8"/>
      <c r="AAA8" s="8"/>
      <c r="AAB8" s="8"/>
      <c r="AAC8" s="8"/>
      <c r="AAD8" s="8"/>
      <c r="AAE8" s="8"/>
      <c r="AAF8" s="8"/>
      <c r="AAG8" s="8"/>
      <c r="AAH8" s="8"/>
      <c r="AAI8" s="8"/>
      <c r="AAJ8" s="8"/>
      <c r="AAK8" s="8"/>
      <c r="AAL8" s="8"/>
      <c r="AAM8" s="8"/>
      <c r="AAN8" s="8"/>
      <c r="AAO8" s="8"/>
      <c r="AAP8" s="8"/>
      <c r="AAQ8" s="8"/>
      <c r="AAR8" s="8"/>
      <c r="AAS8" s="8"/>
      <c r="AAT8" s="8"/>
      <c r="AAU8" s="8"/>
      <c r="AAV8" s="8"/>
      <c r="AAW8" s="8"/>
      <c r="AAX8" s="8"/>
      <c r="AAY8" s="8"/>
      <c r="AAZ8" s="8"/>
      <c r="ABA8" s="8"/>
      <c r="ABB8" s="8"/>
      <c r="ABC8" s="8"/>
      <c r="ABD8" s="8"/>
      <c r="ABE8" s="8"/>
      <c r="ABF8" s="8"/>
      <c r="ABG8" s="8"/>
      <c r="ABH8" s="8"/>
      <c r="ABI8" s="8"/>
      <c r="ABJ8" s="8"/>
      <c r="ABK8" s="8"/>
      <c r="ABL8" s="8"/>
      <c r="ABM8" s="8"/>
      <c r="ABN8" s="8"/>
      <c r="ABO8" s="8"/>
      <c r="ABP8" s="8"/>
      <c r="ABQ8" s="8"/>
      <c r="ABR8" s="8"/>
      <c r="ABS8" s="8"/>
      <c r="ABT8" s="8"/>
      <c r="ABU8" s="8"/>
      <c r="ABV8" s="8"/>
      <c r="ABW8" s="8"/>
      <c r="ABX8" s="8"/>
      <c r="ABY8" s="8"/>
      <c r="ABZ8" s="8"/>
      <c r="ACA8" s="8"/>
      <c r="ACB8" s="8"/>
      <c r="ACC8" s="8"/>
      <c r="ACD8" s="8"/>
      <c r="ACE8" s="8"/>
      <c r="ACF8" s="8"/>
      <c r="ACG8" s="8"/>
      <c r="ACH8" s="8"/>
      <c r="ACI8" s="8"/>
      <c r="ACJ8" s="8"/>
      <c r="ACK8" s="8"/>
      <c r="ACL8" s="8"/>
      <c r="ACM8" s="8"/>
      <c r="ACN8" s="8"/>
      <c r="ACO8" s="8"/>
      <c r="ACP8" s="8"/>
      <c r="ACQ8" s="8"/>
      <c r="ACR8" s="8"/>
      <c r="ACS8" s="8"/>
      <c r="ACT8" s="8"/>
      <c r="ACU8" s="8"/>
      <c r="ACV8" s="8"/>
      <c r="ACW8" s="8"/>
      <c r="ACX8" s="8"/>
      <c r="ACY8" s="8"/>
      <c r="ACZ8" s="8"/>
      <c r="ADA8" s="8"/>
      <c r="ADB8" s="8"/>
      <c r="ADC8" s="8"/>
      <c r="ADD8" s="8"/>
      <c r="ADE8" s="8"/>
      <c r="ADF8" s="8"/>
      <c r="ADG8" s="8"/>
      <c r="ADH8" s="8"/>
      <c r="ADI8" s="8"/>
      <c r="ADJ8" s="8"/>
      <c r="ADK8" s="8"/>
      <c r="ADL8" s="8"/>
      <c r="ADM8" s="8"/>
      <c r="ADN8" s="8"/>
      <c r="ADO8" s="8"/>
      <c r="ADP8" s="8"/>
      <c r="ADQ8" s="8"/>
      <c r="ADR8" s="8"/>
      <c r="ADS8" s="8"/>
      <c r="ADT8" s="8"/>
      <c r="ADU8" s="8"/>
      <c r="ADV8" s="8"/>
      <c r="ADW8" s="8"/>
      <c r="ADX8" s="8"/>
      <c r="ADY8" s="8"/>
      <c r="ADZ8" s="8"/>
      <c r="AEA8" s="8"/>
      <c r="AEB8" s="8"/>
      <c r="AEC8" s="8"/>
      <c r="AED8" s="8"/>
      <c r="AEE8" s="8"/>
      <c r="AEF8" s="8"/>
      <c r="AEG8" s="8"/>
      <c r="AEH8" s="8"/>
      <c r="AEI8" s="8"/>
      <c r="AEJ8" s="8"/>
      <c r="AEK8" s="8"/>
      <c r="AEL8" s="8"/>
      <c r="AEM8" s="8"/>
      <c r="AEN8" s="8"/>
      <c r="AEO8" s="8"/>
      <c r="AEP8" s="8"/>
      <c r="AEQ8" s="8"/>
      <c r="AER8" s="8"/>
      <c r="AES8" s="8"/>
      <c r="AET8" s="8"/>
      <c r="AEU8" s="8"/>
      <c r="AEV8" s="8"/>
      <c r="AEW8" s="8"/>
      <c r="AEX8" s="8"/>
      <c r="AEY8" s="8"/>
      <c r="AEZ8" s="8"/>
      <c r="AFA8" s="8"/>
      <c r="AFB8" s="8"/>
      <c r="AFC8" s="8"/>
      <c r="AFD8" s="8"/>
      <c r="AFE8" s="8"/>
      <c r="AFF8" s="8"/>
      <c r="AFG8" s="8"/>
      <c r="AFH8" s="8"/>
      <c r="AFI8" s="8"/>
      <c r="AFJ8" s="8"/>
      <c r="AFK8" s="8"/>
      <c r="AFL8" s="8"/>
      <c r="AFM8" s="8"/>
      <c r="AFN8" s="8"/>
      <c r="AFO8" s="8"/>
      <c r="AFP8" s="8"/>
      <c r="AFQ8" s="8"/>
      <c r="AFR8" s="8"/>
      <c r="AFS8" s="8"/>
      <c r="AFT8" s="8"/>
      <c r="AFU8" s="8"/>
      <c r="AFV8" s="8"/>
      <c r="AFW8" s="8"/>
      <c r="AFX8" s="8"/>
      <c r="AFY8" s="8"/>
      <c r="AFZ8" s="8"/>
      <c r="AGA8" s="8"/>
      <c r="AGB8" s="8"/>
      <c r="AGC8" s="8"/>
      <c r="AGD8" s="8"/>
      <c r="AGE8" s="8"/>
      <c r="AGF8" s="8"/>
      <c r="AGG8" s="8"/>
      <c r="AGH8" s="8"/>
      <c r="AGI8" s="8"/>
      <c r="AGJ8" s="8"/>
      <c r="AGK8" s="8"/>
      <c r="AGL8" s="8"/>
      <c r="AGM8" s="8"/>
      <c r="AGN8" s="8"/>
      <c r="AGO8" s="8"/>
      <c r="AGP8" s="8"/>
      <c r="AGQ8" s="8"/>
      <c r="AGR8" s="8"/>
      <c r="AGS8" s="8"/>
      <c r="AGT8" s="8"/>
      <c r="AGU8" s="8"/>
      <c r="AGV8" s="8"/>
      <c r="AGW8" s="8"/>
      <c r="AGX8" s="8"/>
      <c r="AGY8" s="8"/>
      <c r="AGZ8" s="8"/>
      <c r="AHA8" s="8"/>
      <c r="AHB8" s="8"/>
      <c r="AHC8" s="8"/>
      <c r="AHD8" s="8"/>
      <c r="AHE8" s="8"/>
      <c r="AHF8" s="8"/>
      <c r="AHG8" s="8"/>
      <c r="AHH8" s="8"/>
      <c r="AHI8" s="8"/>
      <c r="AHJ8" s="8"/>
      <c r="AHK8" s="8"/>
      <c r="AHL8" s="8"/>
      <c r="AHM8" s="8"/>
      <c r="AHN8" s="8"/>
      <c r="AHO8" s="8"/>
      <c r="AHP8" s="8"/>
      <c r="AHQ8" s="8"/>
      <c r="AHR8" s="8"/>
      <c r="AHS8" s="8"/>
      <c r="AHT8" s="8"/>
      <c r="AHU8" s="8"/>
      <c r="AHV8" s="8"/>
      <c r="AHW8" s="8"/>
      <c r="AHX8" s="8"/>
      <c r="AHY8" s="8"/>
      <c r="AHZ8" s="8"/>
      <c r="AIA8" s="8"/>
      <c r="AIB8" s="8"/>
      <c r="AIC8" s="8"/>
      <c r="AID8" s="8"/>
      <c r="AIE8" s="8"/>
      <c r="AIF8" s="8"/>
      <c r="AIG8" s="8"/>
      <c r="AIH8" s="8"/>
      <c r="AII8" s="8"/>
      <c r="AIJ8" s="8"/>
      <c r="AIK8" s="8"/>
      <c r="AIL8" s="8"/>
      <c r="AIM8" s="8"/>
      <c r="AIN8" s="8"/>
      <c r="AIO8" s="8"/>
      <c r="AIP8" s="8"/>
      <c r="AIQ8" s="8"/>
      <c r="AIR8" s="8"/>
      <c r="AIS8" s="8"/>
      <c r="AIT8" s="8"/>
      <c r="AIU8" s="8"/>
      <c r="AIV8" s="8"/>
      <c r="AIW8" s="8"/>
      <c r="AIX8" s="8"/>
      <c r="AIY8" s="8"/>
      <c r="AIZ8" s="8"/>
      <c r="AJA8" s="8"/>
      <c r="AJB8" s="8"/>
      <c r="AJC8" s="8"/>
      <c r="AJD8" s="8"/>
      <c r="AJE8" s="8"/>
      <c r="AJF8" s="8"/>
      <c r="AJG8" s="8"/>
      <c r="AJH8" s="8"/>
      <c r="AJI8" s="8"/>
      <c r="AJJ8" s="8"/>
      <c r="AJK8" s="8"/>
      <c r="AJL8" s="8"/>
      <c r="AJM8" s="8"/>
      <c r="AJN8" s="8"/>
      <c r="AJO8" s="8"/>
      <c r="AJP8" s="8"/>
      <c r="AJQ8" s="8"/>
      <c r="AJR8" s="8"/>
      <c r="AJS8" s="8"/>
      <c r="AJT8" s="8"/>
      <c r="AJU8" s="8"/>
      <c r="AJV8" s="8"/>
      <c r="AJW8" s="8"/>
      <c r="AJX8" s="8"/>
      <c r="AJY8" s="8"/>
      <c r="AJZ8" s="8"/>
      <c r="AKA8" s="8"/>
      <c r="AKB8" s="8"/>
      <c r="AKC8" s="8"/>
      <c r="AKD8" s="8"/>
      <c r="AKE8" s="8"/>
      <c r="AKF8" s="8"/>
      <c r="AKG8" s="8"/>
      <c r="AKH8" s="8"/>
      <c r="AKI8" s="8"/>
      <c r="AKJ8" s="8"/>
      <c r="AKK8" s="8"/>
      <c r="AKL8" s="8"/>
      <c r="AKM8" s="8"/>
      <c r="AKN8" s="8"/>
      <c r="AKO8" s="8"/>
      <c r="AKP8" s="8"/>
      <c r="AKQ8" s="8"/>
      <c r="AKR8" s="8"/>
      <c r="AKS8" s="8"/>
      <c r="AKT8" s="8"/>
      <c r="AKU8" s="8"/>
      <c r="AKV8" s="8"/>
      <c r="AKW8" s="8"/>
      <c r="AKX8" s="8"/>
      <c r="AKY8" s="8"/>
      <c r="AKZ8" s="8"/>
      <c r="ALA8" s="8"/>
      <c r="ALB8" s="8"/>
      <c r="ALC8" s="8"/>
      <c r="ALD8" s="8"/>
      <c r="ALE8" s="8"/>
      <c r="ALF8" s="8"/>
      <c r="ALG8" s="8"/>
      <c r="ALH8" s="8"/>
      <c r="ALI8" s="8"/>
      <c r="ALJ8" s="8"/>
      <c r="ALK8" s="8"/>
      <c r="ALL8" s="8"/>
      <c r="ALM8" s="8"/>
      <c r="ALN8" s="8"/>
      <c r="ALO8" s="8"/>
      <c r="ALP8" s="8"/>
      <c r="ALQ8" s="8"/>
      <c r="ALR8" s="8"/>
      <c r="ALS8" s="8"/>
      <c r="ALT8" s="8"/>
      <c r="ALU8" s="8"/>
      <c r="ALV8" s="8"/>
      <c r="ALW8" s="8"/>
      <c r="ALX8" s="8"/>
      <c r="ALY8" s="8"/>
      <c r="ALZ8" s="8"/>
      <c r="AMA8" s="8"/>
      <c r="AMB8" s="8"/>
      <c r="AMC8" s="8"/>
      <c r="AMD8" s="8"/>
      <c r="AME8" s="8"/>
      <c r="AMF8" s="8"/>
      <c r="AMG8" s="8"/>
      <c r="AMH8"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569"/>
  <sheetViews>
    <sheetView zoomScaleNormal="100" workbookViewId="0">
      <selection activeCell="F40" sqref="F40"/>
    </sheetView>
  </sheetViews>
  <sheetFormatPr baseColWidth="10" defaultColWidth="11.5" defaultRowHeight="13" x14ac:dyDescent="0.15"/>
  <cols>
    <col min="1" max="1" width="20.33203125" style="6" customWidth="1"/>
    <col min="2" max="2" width="12" style="6" customWidth="1"/>
    <col min="3" max="4" width="20.33203125" style="6" customWidth="1"/>
    <col min="5" max="5" width="5.1640625" style="6" customWidth="1"/>
    <col min="6" max="6" width="23.83203125" style="6" customWidth="1"/>
    <col min="7" max="7" width="15.6640625" style="6" customWidth="1"/>
    <col min="8" max="8" width="18.83203125" style="6" customWidth="1"/>
    <col min="9" max="9" width="21.5" style="6" customWidth="1"/>
    <col min="10" max="10" width="33" style="6" customWidth="1"/>
    <col min="11" max="11" width="8.5" style="6" customWidth="1"/>
    <col min="12" max="12" width="79" style="6" customWidth="1"/>
    <col min="13" max="13" width="15.1640625" style="6" customWidth="1"/>
    <col min="14" max="15" width="35.1640625" style="6" customWidth="1"/>
    <col min="16" max="1024" width="11.5" style="6"/>
  </cols>
  <sheetData>
    <row r="1" spans="1:15" s="10" customFormat="1" x14ac:dyDescent="0.15">
      <c r="A1" s="10" t="s">
        <v>2442</v>
      </c>
      <c r="B1" s="10" t="s">
        <v>2443</v>
      </c>
      <c r="C1" s="10" t="s">
        <v>2444</v>
      </c>
      <c r="D1" s="10" t="s">
        <v>2445</v>
      </c>
      <c r="E1" s="10" t="s">
        <v>2446</v>
      </c>
      <c r="F1" s="10" t="s">
        <v>2447</v>
      </c>
      <c r="G1" s="10" t="s">
        <v>2448</v>
      </c>
      <c r="H1" s="10" t="s">
        <v>2449</v>
      </c>
      <c r="I1" s="10" t="s">
        <v>2450</v>
      </c>
      <c r="J1" s="10" t="s">
        <v>2451</v>
      </c>
      <c r="K1" s="10" t="s">
        <v>2452</v>
      </c>
      <c r="L1" s="10" t="s">
        <v>2453</v>
      </c>
      <c r="M1" s="10" t="s">
        <v>2454</v>
      </c>
      <c r="N1" s="10" t="s">
        <v>2455</v>
      </c>
      <c r="O1" s="10" t="s">
        <v>2456</v>
      </c>
    </row>
    <row r="2" spans="1:15" x14ac:dyDescent="0.15">
      <c r="A2" s="11" t="s">
        <v>19</v>
      </c>
      <c r="B2" s="11"/>
      <c r="C2" s="6" t="s">
        <v>266</v>
      </c>
      <c r="D2" s="6" t="s">
        <v>267</v>
      </c>
      <c r="E2" s="6" t="s">
        <v>15</v>
      </c>
      <c r="F2" s="6" t="s">
        <v>22</v>
      </c>
      <c r="G2" s="6" t="s">
        <v>2457</v>
      </c>
      <c r="H2" s="6" t="str">
        <f t="shared" ref="H2:H65" si="0">"att_"&amp;G2</f>
        <v>att_acquisition</v>
      </c>
      <c r="I2" s="6" t="s">
        <v>266</v>
      </c>
      <c r="J2" s="6" t="str">
        <f t="shared" ref="J2:J65" si="1">H2&amp;":"&amp;I2</f>
        <v>att_acquisition:dda</v>
      </c>
      <c r="K2" s="11" t="s">
        <v>19</v>
      </c>
      <c r="L2" s="6" t="s">
        <v>268</v>
      </c>
      <c r="M2" s="6" t="s">
        <v>15</v>
      </c>
      <c r="N2" s="6" t="str">
        <f t="shared" ref="N2:N65" si="2">"INSERT INTO attributes (parent_id, tag, name, priority, allow_as_filter, allow_for_dataset, allow_for_measurement, allow_for_users, allow_for_qc) VALUES (NULL, '"&amp;H2&amp;"',  '"&amp;F2&amp;"',  500,  TRUE, TRUE, TRUE, FALSE, FALSE);"</f>
        <v>INSERT INTO attributes (parent_id, tag, name, priority, allow_as_filter, allow_for_dataset, allow_for_measurement, allow_for_users, allow_for_qc) VALUES (NULL, 'att_acquisition',  'Acquisition',  500,  TRUE, TRUE, TRUE, FALSE, FALSE);</v>
      </c>
      <c r="O2" s="6" t="str">
        <f t="shared" ref="O2:O65" si="3">"INSERT INTO attribute_values (attribute_id, tag, name, details) VALUES ((SELECT id FROM attributes WHERE tag = '"&amp;H2&amp;"' LIMIT 1),  '"&amp;J2&amp;"',  '"&amp;D2&amp;"',  '"&amp;L2&amp;"'); "</f>
        <v xml:space="preserve">INSERT INTO attribute_values (attribute_id, tag, name, details) VALUES ((SELECT id FROM attributes WHERE tag = 'att_acquisition' LIMIT 1),  'att_acquisition:dda',  'DDA',  'Data-dependent acquisition '); </v>
      </c>
    </row>
    <row r="3" spans="1:15" x14ac:dyDescent="0.15">
      <c r="A3" s="11" t="s">
        <v>19</v>
      </c>
      <c r="B3" s="11"/>
      <c r="C3" s="6" t="s">
        <v>269</v>
      </c>
      <c r="D3" s="6" t="s">
        <v>270</v>
      </c>
      <c r="E3" s="6" t="s">
        <v>15</v>
      </c>
      <c r="F3" s="6" t="s">
        <v>22</v>
      </c>
      <c r="G3" s="6" t="s">
        <v>2457</v>
      </c>
      <c r="H3" s="6" t="str">
        <f t="shared" si="0"/>
        <v>att_acquisition</v>
      </c>
      <c r="I3" s="6" t="s">
        <v>269</v>
      </c>
      <c r="J3" s="6" t="str">
        <f t="shared" si="1"/>
        <v>att_acquisition:dia</v>
      </c>
      <c r="K3" s="11" t="s">
        <v>19</v>
      </c>
      <c r="L3" s="6" t="s">
        <v>271</v>
      </c>
      <c r="M3" s="6" t="s">
        <v>15</v>
      </c>
      <c r="N3" s="6" t="str">
        <f t="shared" si="2"/>
        <v>INSERT INTO attributes (parent_id, tag, name, priority, allow_as_filter, allow_for_dataset, allow_for_measurement, allow_for_users, allow_for_qc) VALUES (NULL, 'att_acquisition',  'Acquisition',  500,  TRUE, TRUE, TRUE, FALSE, FALSE);</v>
      </c>
      <c r="O3" s="6" t="str">
        <f t="shared" si="3"/>
        <v xml:space="preserve">INSERT INTO attribute_values (attribute_id, tag, name, details) VALUES ((SELECT id FROM attributes WHERE tag = 'att_acquisition' LIMIT 1),  'att_acquisition:dia',  'DIA',  'Data-independent acquisition'); </v>
      </c>
    </row>
    <row r="4" spans="1:15" x14ac:dyDescent="0.15">
      <c r="A4" s="11" t="s">
        <v>19</v>
      </c>
      <c r="B4" s="11"/>
      <c r="C4" s="6" t="s">
        <v>272</v>
      </c>
      <c r="D4" s="6" t="s">
        <v>273</v>
      </c>
      <c r="E4" s="6" t="s">
        <v>15</v>
      </c>
      <c r="F4" s="6" t="s">
        <v>22</v>
      </c>
      <c r="G4" s="6" t="s">
        <v>2457</v>
      </c>
      <c r="H4" s="6" t="str">
        <f t="shared" si="0"/>
        <v>att_acquisition</v>
      </c>
      <c r="I4" s="6" t="s">
        <v>272</v>
      </c>
      <c r="J4" s="6" t="str">
        <f t="shared" si="1"/>
        <v>att_acquisition:srm</v>
      </c>
      <c r="K4" s="11" t="s">
        <v>19</v>
      </c>
      <c r="L4" s="6" t="s">
        <v>274</v>
      </c>
      <c r="M4" s="6" t="s">
        <v>15</v>
      </c>
      <c r="N4" s="6" t="str">
        <f t="shared" si="2"/>
        <v>INSERT INTO attributes (parent_id, tag, name, priority, allow_as_filter, allow_for_dataset, allow_for_measurement, allow_for_users, allow_for_qc) VALUES (NULL, 'att_acquisition',  'Acquisition',  500,  TRUE, TRUE, TRUE, FALSE, FALSE);</v>
      </c>
      <c r="O4" s="6" t="str">
        <f t="shared" si="3"/>
        <v xml:space="preserve">INSERT INTO attribute_values (attribute_id, tag, name, details) VALUES ((SELECT id FROM attributes WHERE tag = 'att_acquisition' LIMIT 1),  'att_acquisition:srm',  'SRM / MRM',  'Selected reaction monitoring / Multiple reaction monitoring'); </v>
      </c>
    </row>
    <row r="5" spans="1:15" x14ac:dyDescent="0.15">
      <c r="A5" s="12" t="b">
        <f>FALSE()</f>
        <v>0</v>
      </c>
      <c r="B5" s="12"/>
      <c r="C5" s="6" t="s">
        <v>2458</v>
      </c>
      <c r="D5" s="6" t="s">
        <v>292</v>
      </c>
      <c r="E5" s="6" t="s">
        <v>15</v>
      </c>
      <c r="F5" s="6" t="s">
        <v>2459</v>
      </c>
      <c r="G5" s="6" t="s">
        <v>2460</v>
      </c>
      <c r="H5" s="6" t="str">
        <f t="shared" si="0"/>
        <v>att_animal_model</v>
      </c>
      <c r="I5" s="6" t="s">
        <v>290</v>
      </c>
      <c r="J5" s="6" t="str">
        <f t="shared" si="1"/>
        <v>att_animal_model:adipoq_cre</v>
      </c>
      <c r="K5" s="11" t="s">
        <v>19</v>
      </c>
      <c r="L5" s="6" t="s">
        <v>293</v>
      </c>
      <c r="M5" s="6" t="s">
        <v>15</v>
      </c>
      <c r="N5" s="6" t="str">
        <f t="shared" si="2"/>
        <v>INSERT INTO attributes (parent_id, tag, name, priority, allow_as_filter, allow_for_dataset, allow_for_measurement, allow_for_users, allow_for_qc) VALUES (NULL, 'att_animal_model',  'Animal Model',  500,  TRUE, TRUE, TRUE, FALSE, FALSE);</v>
      </c>
      <c r="O5" s="6" t="str">
        <f t="shared" si="3"/>
        <v xml:space="preserve">INSERT INTO attribute_values (attribute_id, tag, name, details) VALUES ((SELECT id FROM attributes WHERE tag = 'att_animal_model' LIMIT 1),  'att_animal_model:adipoq_cre',  'Adipoq-Cre',  'white adipose tissue'); </v>
      </c>
    </row>
    <row r="6" spans="1:15" x14ac:dyDescent="0.15">
      <c r="A6" s="12" t="b">
        <f>FALSE()</f>
        <v>0</v>
      </c>
      <c r="B6" s="12"/>
      <c r="C6" s="6" t="s">
        <v>2461</v>
      </c>
      <c r="D6" s="6" t="s">
        <v>295</v>
      </c>
      <c r="E6" s="6" t="s">
        <v>15</v>
      </c>
      <c r="F6" s="6" t="s">
        <v>2459</v>
      </c>
      <c r="G6" s="6" t="s">
        <v>2460</v>
      </c>
      <c r="H6" s="6" t="str">
        <f t="shared" si="0"/>
        <v>att_animal_model</v>
      </c>
      <c r="I6" s="6" t="s">
        <v>294</v>
      </c>
      <c r="J6" s="6" t="str">
        <f t="shared" si="1"/>
        <v>att_animal_model:alb_cre</v>
      </c>
      <c r="K6" s="11" t="s">
        <v>19</v>
      </c>
      <c r="L6" s="6" t="s">
        <v>296</v>
      </c>
      <c r="M6" s="6" t="s">
        <v>15</v>
      </c>
      <c r="N6" s="6" t="str">
        <f t="shared" si="2"/>
        <v>INSERT INTO attributes (parent_id, tag, name, priority, allow_as_filter, allow_for_dataset, allow_for_measurement, allow_for_users, allow_for_qc) VALUES (NULL, 'att_animal_model',  'Animal Model',  500,  TRUE, TRUE, TRUE, FALSE, FALSE);</v>
      </c>
      <c r="O6" s="6" t="str">
        <f t="shared" si="3"/>
        <v xml:space="preserve">INSERT INTO attribute_values (attribute_id, tag, name, details) VALUES ((SELECT id FROM attributes WHERE tag = 'att_animal_model' LIMIT 1),  'att_animal_model:alb_cre',  'Alb-Cre',  'Hepatocytes'); </v>
      </c>
    </row>
    <row r="7" spans="1:15" x14ac:dyDescent="0.15">
      <c r="A7" s="12" t="b">
        <f>FALSE()</f>
        <v>0</v>
      </c>
      <c r="B7" s="12"/>
      <c r="C7" s="6" t="s">
        <v>2462</v>
      </c>
      <c r="D7" s="6" t="s">
        <v>298</v>
      </c>
      <c r="E7" s="6" t="s">
        <v>15</v>
      </c>
      <c r="F7" s="6" t="s">
        <v>2459</v>
      </c>
      <c r="G7" s="6" t="s">
        <v>2460</v>
      </c>
      <c r="H7" s="6" t="str">
        <f t="shared" si="0"/>
        <v>att_animal_model</v>
      </c>
      <c r="I7" s="6" t="s">
        <v>297</v>
      </c>
      <c r="J7" s="6" t="str">
        <f t="shared" si="1"/>
        <v>att_animal_model:asc_ko</v>
      </c>
      <c r="K7" s="11" t="s">
        <v>19</v>
      </c>
      <c r="L7" s="6" t="s">
        <v>298</v>
      </c>
      <c r="M7" s="6" t="s">
        <v>15</v>
      </c>
      <c r="N7" s="6" t="str">
        <f t="shared" si="2"/>
        <v>INSERT INTO attributes (parent_id, tag, name, priority, allow_as_filter, allow_for_dataset, allow_for_measurement, allow_for_users, allow_for_qc) VALUES (NULL, 'att_animal_model',  'Animal Model',  500,  TRUE, TRUE, TRUE, FALSE, FALSE);</v>
      </c>
      <c r="O7" s="6" t="str">
        <f t="shared" si="3"/>
        <v xml:space="preserve">INSERT INTO attribute_values (attribute_id, tag, name, details) VALUES ((SELECT id FROM attributes WHERE tag = 'att_animal_model' LIMIT 1),  'att_animal_model:asc_ko',  'ASC ko',  'ASC ko'); </v>
      </c>
    </row>
    <row r="8" spans="1:15" x14ac:dyDescent="0.15">
      <c r="A8" s="12" t="b">
        <f>FALSE()</f>
        <v>0</v>
      </c>
      <c r="B8" s="12"/>
      <c r="C8" s="6" t="s">
        <v>2463</v>
      </c>
      <c r="D8" s="6" t="s">
        <v>300</v>
      </c>
      <c r="E8" s="6" t="s">
        <v>15</v>
      </c>
      <c r="F8" s="6" t="s">
        <v>2459</v>
      </c>
      <c r="G8" s="6" t="s">
        <v>2460</v>
      </c>
      <c r="H8" s="6" t="str">
        <f t="shared" si="0"/>
        <v>att_animal_model</v>
      </c>
      <c r="I8" s="6" t="s">
        <v>299</v>
      </c>
      <c r="J8" s="6" t="str">
        <f t="shared" si="1"/>
        <v>att_animal_model:baf53b_cre</v>
      </c>
      <c r="K8" s="11" t="s">
        <v>19</v>
      </c>
      <c r="L8" s="6" t="s">
        <v>301</v>
      </c>
      <c r="M8" s="6" t="s">
        <v>15</v>
      </c>
      <c r="N8" s="6" t="str">
        <f t="shared" si="2"/>
        <v>INSERT INTO attributes (parent_id, tag, name, priority, allow_as_filter, allow_for_dataset, allow_for_measurement, allow_for_users, allow_for_qc) VALUES (NULL, 'att_animal_model',  'Animal Model',  500,  TRUE, TRUE, TRUE, FALSE, FALSE);</v>
      </c>
      <c r="O8" s="6" t="str">
        <f t="shared" si="3"/>
        <v xml:space="preserve">INSERT INTO attribute_values (attribute_id, tag, name, details) VALUES ((SELECT id FROM attributes WHERE tag = 'att_animal_model' LIMIT 1),  'att_animal_model:baf53b_cre',  'Baf53b-Cre',  'Neurons'); </v>
      </c>
    </row>
    <row r="9" spans="1:15" x14ac:dyDescent="0.15">
      <c r="A9" s="12" t="b">
        <f>FALSE()</f>
        <v>0</v>
      </c>
      <c r="B9" s="12"/>
      <c r="C9" s="6" t="s">
        <v>2464</v>
      </c>
      <c r="D9" s="6" t="s">
        <v>303</v>
      </c>
      <c r="E9" s="6" t="s">
        <v>15</v>
      </c>
      <c r="F9" s="6" t="s">
        <v>2459</v>
      </c>
      <c r="G9" s="6" t="s">
        <v>2460</v>
      </c>
      <c r="H9" s="6" t="str">
        <f t="shared" si="0"/>
        <v>att_animal_model</v>
      </c>
      <c r="I9" s="6" t="s">
        <v>302</v>
      </c>
      <c r="J9" s="6" t="str">
        <f t="shared" si="1"/>
        <v>att_animal_model:c57_bl6j</v>
      </c>
      <c r="K9" s="11" t="s">
        <v>19</v>
      </c>
      <c r="L9" s="6" t="s">
        <v>303</v>
      </c>
      <c r="M9" s="6" t="s">
        <v>15</v>
      </c>
      <c r="N9" s="6" t="str">
        <f t="shared" si="2"/>
        <v>INSERT INTO attributes (parent_id, tag, name, priority, allow_as_filter, allow_for_dataset, allow_for_measurement, allow_for_users, allow_for_qc) VALUES (NULL, 'att_animal_model',  'Animal Model',  500,  TRUE, TRUE, TRUE, FALSE, FALSE);</v>
      </c>
      <c r="O9" s="6" t="str">
        <f t="shared" si="3"/>
        <v xml:space="preserve">INSERT INTO attribute_values (attribute_id, tag, name, details) VALUES ((SELECT id FROM attributes WHERE tag = 'att_animal_model' LIMIT 1),  'att_animal_model:c57_bl6j',  'C57/Bl6J',  'C57/Bl6J'); </v>
      </c>
    </row>
    <row r="10" spans="1:15" x14ac:dyDescent="0.15">
      <c r="A10" s="12" t="b">
        <f>FALSE()</f>
        <v>0</v>
      </c>
      <c r="B10" s="12"/>
      <c r="C10" s="6" t="s">
        <v>2465</v>
      </c>
      <c r="D10" s="6" t="s">
        <v>305</v>
      </c>
      <c r="E10" s="6" t="s">
        <v>15</v>
      </c>
      <c r="F10" s="6" t="s">
        <v>2459</v>
      </c>
      <c r="G10" s="6" t="s">
        <v>2460</v>
      </c>
      <c r="H10" s="6" t="str">
        <f t="shared" si="0"/>
        <v>att_animal_model</v>
      </c>
      <c r="I10" s="6" t="s">
        <v>304</v>
      </c>
      <c r="J10" s="6" t="str">
        <f t="shared" si="1"/>
        <v>att_animal_model:clec4f_cre</v>
      </c>
      <c r="K10" s="11" t="s">
        <v>19</v>
      </c>
      <c r="L10" s="6" t="s">
        <v>306</v>
      </c>
      <c r="M10" s="6" t="s">
        <v>15</v>
      </c>
      <c r="N10" s="6" t="str">
        <f t="shared" si="2"/>
        <v>INSERT INTO attributes (parent_id, tag, name, priority, allow_as_filter, allow_for_dataset, allow_for_measurement, allow_for_users, allow_for_qc) VALUES (NULL, 'att_animal_model',  'Animal Model',  500,  TRUE, TRUE, TRUE, FALSE, FALSE);</v>
      </c>
      <c r="O10" s="6" t="str">
        <f t="shared" si="3"/>
        <v xml:space="preserve">INSERT INTO attribute_values (attribute_id, tag, name, details) VALUES ((SELECT id FROM attributes WHERE tag = 'att_animal_model' LIMIT 1),  'att_animal_model:clec4f_cre',  'Clec4f-Cre',  'Kupffer cells'); </v>
      </c>
    </row>
    <row r="11" spans="1:15" x14ac:dyDescent="0.15">
      <c r="A11" s="12" t="b">
        <f>FALSE()</f>
        <v>0</v>
      </c>
      <c r="B11" s="12"/>
      <c r="C11" s="6" t="s">
        <v>2466</v>
      </c>
      <c r="D11" s="6" t="s">
        <v>308</v>
      </c>
      <c r="E11" s="6" t="s">
        <v>15</v>
      </c>
      <c r="F11" s="6" t="s">
        <v>2459</v>
      </c>
      <c r="G11" s="6" t="s">
        <v>2460</v>
      </c>
      <c r="H11" s="6" t="str">
        <f t="shared" si="0"/>
        <v>att_animal_model</v>
      </c>
      <c r="I11" s="6" t="s">
        <v>307</v>
      </c>
      <c r="J11" s="6" t="str">
        <f t="shared" si="1"/>
        <v>att_animal_model:cx3cr1_cre</v>
      </c>
      <c r="K11" s="11" t="s">
        <v>19</v>
      </c>
      <c r="L11" s="6" t="s">
        <v>309</v>
      </c>
      <c r="M11" s="6" t="s">
        <v>15</v>
      </c>
      <c r="N11" s="6" t="str">
        <f t="shared" si="2"/>
        <v>INSERT INTO attributes (parent_id, tag, name, priority, allow_as_filter, allow_for_dataset, allow_for_measurement, allow_for_users, allow_for_qc) VALUES (NULL, 'att_animal_model',  'Animal Model',  500,  TRUE, TRUE, TRUE, FALSE, FALSE);</v>
      </c>
      <c r="O11" s="6" t="str">
        <f t="shared" si="3"/>
        <v xml:space="preserve">INSERT INTO attribute_values (attribute_id, tag, name, details) VALUES ((SELECT id FROM attributes WHERE tag = 'att_animal_model' LIMIT 1),  'att_animal_model:cx3cr1_cre',  'Cx3cr1-Cre',  '(Yalk sac) Macrophages'); </v>
      </c>
    </row>
    <row r="12" spans="1:15" x14ac:dyDescent="0.15">
      <c r="A12" s="12" t="b">
        <f>FALSE()</f>
        <v>0</v>
      </c>
      <c r="B12" s="12"/>
      <c r="C12" s="6" t="s">
        <v>310</v>
      </c>
      <c r="D12" s="6" t="s">
        <v>311</v>
      </c>
      <c r="E12" s="6" t="s">
        <v>15</v>
      </c>
      <c r="F12" s="6" t="s">
        <v>2459</v>
      </c>
      <c r="G12" s="6" t="s">
        <v>2460</v>
      </c>
      <c r="H12" s="6" t="str">
        <f t="shared" si="0"/>
        <v>att_animal_model</v>
      </c>
      <c r="I12" s="6" t="s">
        <v>310</v>
      </c>
      <c r="J12" s="6" t="str">
        <f t="shared" si="1"/>
        <v>att_animal_model:cxcr4creert2</v>
      </c>
      <c r="K12" s="11" t="s">
        <v>19</v>
      </c>
      <c r="L12" s="6" t="s">
        <v>311</v>
      </c>
      <c r="M12" s="6" t="s">
        <v>15</v>
      </c>
      <c r="N12" s="6" t="str">
        <f t="shared" si="2"/>
        <v>INSERT INTO attributes (parent_id, tag, name, priority, allow_as_filter, allow_for_dataset, allow_for_measurement, allow_for_users, allow_for_qc) VALUES (NULL, 'att_animal_model',  'Animal Model',  500,  TRUE, TRUE, TRUE, FALSE, FALSE);</v>
      </c>
      <c r="O12" s="6" t="str">
        <f t="shared" si="3"/>
        <v xml:space="preserve">INSERT INTO attribute_values (attribute_id, tag, name, details) VALUES ((SELECT id FROM attributes WHERE tag = 'att_animal_model' LIMIT 1),  'att_animal_model:cxcr4creert2',  'Cxcr4CreERT2',  'Cxcr4CreERT2'); </v>
      </c>
    </row>
    <row r="13" spans="1:15" x14ac:dyDescent="0.15">
      <c r="A13" s="12" t="b">
        <f>FALSE()</f>
        <v>0</v>
      </c>
      <c r="B13" s="12"/>
      <c r="C13" s="6" t="s">
        <v>2467</v>
      </c>
      <c r="D13" s="6" t="s">
        <v>313</v>
      </c>
      <c r="E13" s="6" t="s">
        <v>15</v>
      </c>
      <c r="F13" s="6" t="s">
        <v>2459</v>
      </c>
      <c r="G13" s="6" t="s">
        <v>2460</v>
      </c>
      <c r="H13" s="6" t="str">
        <f t="shared" si="0"/>
        <v>att_animal_model</v>
      </c>
      <c r="I13" s="6" t="s">
        <v>312</v>
      </c>
      <c r="J13" s="6" t="str">
        <f t="shared" si="1"/>
        <v>att_animal_model:glast_cre</v>
      </c>
      <c r="K13" s="11" t="s">
        <v>19</v>
      </c>
      <c r="L13" s="6" t="s">
        <v>314</v>
      </c>
      <c r="M13" s="6" t="s">
        <v>15</v>
      </c>
      <c r="N13" s="6" t="str">
        <f t="shared" si="2"/>
        <v>INSERT INTO attributes (parent_id, tag, name, priority, allow_as_filter, allow_for_dataset, allow_for_measurement, allow_for_users, allow_for_qc) VALUES (NULL, 'att_animal_model',  'Animal Model',  500,  TRUE, TRUE, TRUE, FALSE, FALSE);</v>
      </c>
      <c r="O13" s="6" t="str">
        <f t="shared" si="3"/>
        <v xml:space="preserve">INSERT INTO attribute_values (attribute_id, tag, name, details) VALUES ((SELECT id FROM attributes WHERE tag = 'att_animal_model' LIMIT 1),  'att_animal_model:glast_cre',  'Glast-Cre',  'Astrocytes'); </v>
      </c>
    </row>
    <row r="14" spans="1:15" x14ac:dyDescent="0.15">
      <c r="A14" s="12" t="b">
        <f>FALSE()</f>
        <v>0</v>
      </c>
      <c r="B14" s="12"/>
      <c r="C14" s="6" t="s">
        <v>2468</v>
      </c>
      <c r="D14" s="6" t="s">
        <v>316</v>
      </c>
      <c r="E14" s="6" t="s">
        <v>15</v>
      </c>
      <c r="F14" s="6" t="s">
        <v>2459</v>
      </c>
      <c r="G14" s="6" t="s">
        <v>2460</v>
      </c>
      <c r="H14" s="6" t="str">
        <f t="shared" si="0"/>
        <v>att_animal_model</v>
      </c>
      <c r="I14" s="6" t="s">
        <v>315</v>
      </c>
      <c r="J14" s="6" t="str">
        <f t="shared" si="1"/>
        <v>att_animal_model:lrat_cre</v>
      </c>
      <c r="K14" s="11" t="s">
        <v>19</v>
      </c>
      <c r="L14" s="6" t="s">
        <v>317</v>
      </c>
      <c r="M14" s="6" t="s">
        <v>15</v>
      </c>
      <c r="N14" s="6" t="str">
        <f t="shared" si="2"/>
        <v>INSERT INTO attributes (parent_id, tag, name, priority, allow_as_filter, allow_for_dataset, allow_for_measurement, allow_for_users, allow_for_qc) VALUES (NULL, 'att_animal_model',  'Animal Model',  500,  TRUE, TRUE, TRUE, FALSE, FALSE);</v>
      </c>
      <c r="O14" s="6" t="str">
        <f t="shared" si="3"/>
        <v xml:space="preserve">INSERT INTO attribute_values (attribute_id, tag, name, details) VALUES ((SELECT id FROM attributes WHERE tag = 'att_animal_model' LIMIT 1),  'att_animal_model:lrat_cre',  'Lrat-Cre',  'Hepatic stellate cells'); </v>
      </c>
    </row>
    <row r="15" spans="1:15" x14ac:dyDescent="0.15">
      <c r="A15" s="12" t="b">
        <f>FALSE()</f>
        <v>0</v>
      </c>
      <c r="B15" s="12"/>
      <c r="C15" s="6" t="s">
        <v>2469</v>
      </c>
      <c r="D15" s="6" t="s">
        <v>319</v>
      </c>
      <c r="E15" s="6" t="s">
        <v>15</v>
      </c>
      <c r="F15" s="6" t="s">
        <v>2459</v>
      </c>
      <c r="G15" s="6" t="s">
        <v>2460</v>
      </c>
      <c r="H15" s="6" t="str">
        <f t="shared" si="0"/>
        <v>att_animal_model</v>
      </c>
      <c r="I15" s="6" t="s">
        <v>318</v>
      </c>
      <c r="J15" s="6" t="str">
        <f t="shared" si="1"/>
        <v>att_animal_model:lysm_cre</v>
      </c>
      <c r="K15" s="11" t="s">
        <v>19</v>
      </c>
      <c r="L15" s="6" t="s">
        <v>320</v>
      </c>
      <c r="M15" s="6" t="s">
        <v>15</v>
      </c>
      <c r="N15" s="6" t="str">
        <f t="shared" si="2"/>
        <v>INSERT INTO attributes (parent_id, tag, name, priority, allow_as_filter, allow_for_dataset, allow_for_measurement, allow_for_users, allow_for_qc) VALUES (NULL, 'att_animal_model',  'Animal Model',  500,  TRUE, TRUE, TRUE, FALSE, FALSE);</v>
      </c>
      <c r="O15" s="6" t="str">
        <f t="shared" si="3"/>
        <v xml:space="preserve">INSERT INTO attribute_values (attribute_id, tag, name, details) VALUES ((SELECT id FROM attributes WHERE tag = 'att_animal_model' LIMIT 1),  'att_animal_model:lysm_cre',  'LysM-Cre',  'Macrophages/Neutrophils'); </v>
      </c>
    </row>
    <row r="16" spans="1:15" x14ac:dyDescent="0.15">
      <c r="A16" s="12" t="b">
        <f>FALSE()</f>
        <v>0</v>
      </c>
      <c r="B16" s="12"/>
      <c r="C16" s="6" t="s">
        <v>2470</v>
      </c>
      <c r="D16" s="6" t="s">
        <v>322</v>
      </c>
      <c r="E16" s="6" t="s">
        <v>15</v>
      </c>
      <c r="F16" s="6" t="s">
        <v>2459</v>
      </c>
      <c r="G16" s="6" t="s">
        <v>2460</v>
      </c>
      <c r="H16" s="6" t="str">
        <f t="shared" si="0"/>
        <v>att_animal_model</v>
      </c>
      <c r="I16" s="6" t="s">
        <v>321</v>
      </c>
      <c r="J16" s="6" t="str">
        <f t="shared" si="1"/>
        <v>att_animal_model:ms4a3_cre</v>
      </c>
      <c r="K16" s="11" t="s">
        <v>19</v>
      </c>
      <c r="L16" s="6" t="s">
        <v>323</v>
      </c>
      <c r="M16" s="6" t="s">
        <v>15</v>
      </c>
      <c r="N16" s="6" t="str">
        <f t="shared" si="2"/>
        <v>INSERT INTO attributes (parent_id, tag, name, priority, allow_as_filter, allow_for_dataset, allow_for_measurement, allow_for_users, allow_for_qc) VALUES (NULL, 'att_animal_model',  'Animal Model',  500,  TRUE, TRUE, TRUE, FALSE, FALSE);</v>
      </c>
      <c r="O16" s="6" t="str">
        <f t="shared" si="3"/>
        <v xml:space="preserve">INSERT INTO attribute_values (attribute_id, tag, name, details) VALUES ((SELECT id FROM attributes WHERE tag = 'att_animal_model' LIMIT 1),  'att_animal_model:ms4a3_cre',  'Ms4a3-Cre',  'Monocytes'); </v>
      </c>
    </row>
    <row r="17" spans="1:15" x14ac:dyDescent="0.15">
      <c r="A17" s="12" t="b">
        <f>FALSE()</f>
        <v>0</v>
      </c>
      <c r="B17" s="12"/>
      <c r="C17" s="6" t="s">
        <v>2471</v>
      </c>
      <c r="D17" s="6" t="s">
        <v>325</v>
      </c>
      <c r="E17" s="6" t="s">
        <v>15</v>
      </c>
      <c r="F17" s="6" t="s">
        <v>2459</v>
      </c>
      <c r="G17" s="6" t="s">
        <v>2460</v>
      </c>
      <c r="H17" s="6" t="str">
        <f t="shared" si="0"/>
        <v>att_animal_model</v>
      </c>
      <c r="I17" s="6" t="s">
        <v>324</v>
      </c>
      <c r="J17" s="6" t="str">
        <f t="shared" si="1"/>
        <v>att_animal_model:mt_nlrp3_cre</v>
      </c>
      <c r="K17" s="11" t="s">
        <v>19</v>
      </c>
      <c r="L17" s="6" t="s">
        <v>326</v>
      </c>
      <c r="M17" s="6" t="s">
        <v>15</v>
      </c>
      <c r="N17" s="6" t="str">
        <f t="shared" si="2"/>
        <v>INSERT INTO attributes (parent_id, tag, name, priority, allow_as_filter, allow_for_dataset, allow_for_measurement, allow_for_users, allow_for_qc) VALUES (NULL, 'att_animal_model',  'Animal Model',  500,  TRUE, TRUE, TRUE, FALSE, FALSE);</v>
      </c>
      <c r="O17" s="6" t="str">
        <f t="shared" si="3"/>
        <v xml:space="preserve">INSERT INTO attribute_values (attribute_id, tag, name, details) VALUES ((SELECT id FROM attributes WHERE tag = 'att_animal_model' LIMIT 1),  'att_animal_model:mt_nlrp3_cre',  'MT-Nlrp3-Cre',  'CAPS R26ERtCreNlrp3A350V '); </v>
      </c>
    </row>
    <row r="18" spans="1:15" x14ac:dyDescent="0.15">
      <c r="A18" s="12" t="b">
        <f>FALSE()</f>
        <v>0</v>
      </c>
      <c r="B18" s="12"/>
      <c r="C18" s="6" t="s">
        <v>2472</v>
      </c>
      <c r="D18" s="6" t="s">
        <v>328</v>
      </c>
      <c r="E18" s="6" t="s">
        <v>15</v>
      </c>
      <c r="F18" s="6" t="s">
        <v>2459</v>
      </c>
      <c r="G18" s="6" t="s">
        <v>2460</v>
      </c>
      <c r="H18" s="6" t="str">
        <f t="shared" si="0"/>
        <v>att_animal_model</v>
      </c>
      <c r="I18" s="6" t="s">
        <v>327</v>
      </c>
      <c r="J18" s="6" t="str">
        <f t="shared" si="1"/>
        <v>att_animal_model:nlrp3_flox</v>
      </c>
      <c r="K18" s="11" t="s">
        <v>19</v>
      </c>
      <c r="L18" s="6" t="s">
        <v>328</v>
      </c>
      <c r="M18" s="6" t="s">
        <v>15</v>
      </c>
      <c r="N18" s="6" t="str">
        <f t="shared" si="2"/>
        <v>INSERT INTO attributes (parent_id, tag, name, priority, allow_as_filter, allow_for_dataset, allow_for_measurement, allow_for_users, allow_for_qc) VALUES (NULL, 'att_animal_model',  'Animal Model',  500,  TRUE, TRUE, TRUE, FALSE, FALSE);</v>
      </c>
      <c r="O18" s="6" t="str">
        <f t="shared" si="3"/>
        <v xml:space="preserve">INSERT INTO attribute_values (attribute_id, tag, name, details) VALUES ((SELECT id FROM attributes WHERE tag = 'att_animal_model' LIMIT 1),  'att_animal_model:nlrp3_flox',  'Nlrp3-flox',  'Nlrp3-flox'); </v>
      </c>
    </row>
    <row r="19" spans="1:15" x14ac:dyDescent="0.15">
      <c r="A19" s="12" t="b">
        <f>FALSE()</f>
        <v>0</v>
      </c>
      <c r="B19" s="12"/>
      <c r="C19" s="6" t="s">
        <v>2473</v>
      </c>
      <c r="D19" s="6" t="s">
        <v>330</v>
      </c>
      <c r="E19" s="6" t="s">
        <v>15</v>
      </c>
      <c r="F19" s="6" t="s">
        <v>2459</v>
      </c>
      <c r="G19" s="6" t="s">
        <v>2460</v>
      </c>
      <c r="H19" s="6" t="str">
        <f t="shared" si="0"/>
        <v>att_animal_model</v>
      </c>
      <c r="I19" s="6" t="s">
        <v>329</v>
      </c>
      <c r="J19" s="6" t="str">
        <f t="shared" si="1"/>
        <v>att_animal_model:nlrp3_ko</v>
      </c>
      <c r="K19" s="11" t="s">
        <v>19</v>
      </c>
      <c r="L19" s="6" t="s">
        <v>330</v>
      </c>
      <c r="M19" s="6" t="s">
        <v>15</v>
      </c>
      <c r="N19" s="6" t="str">
        <f t="shared" si="2"/>
        <v>INSERT INTO attributes (parent_id, tag, name, priority, allow_as_filter, allow_for_dataset, allow_for_measurement, allow_for_users, allow_for_qc) VALUES (NULL, 'att_animal_model',  'Animal Model',  500,  TRUE, TRUE, TRUE, FALSE, FALSE);</v>
      </c>
      <c r="O19" s="6" t="str">
        <f t="shared" si="3"/>
        <v xml:space="preserve">INSERT INTO attribute_values (attribute_id, tag, name, details) VALUES ((SELECT id FROM attributes WHERE tag = 'att_animal_model' LIMIT 1),  'att_animal_model:nlrp3_ko',  'Nlrp3 ko',  'Nlrp3 ko'); </v>
      </c>
    </row>
    <row r="20" spans="1:15" x14ac:dyDescent="0.15">
      <c r="A20" s="12" t="b">
        <f>FALSE()</f>
        <v>0</v>
      </c>
      <c r="B20" s="12"/>
      <c r="C20" s="6" t="s">
        <v>331</v>
      </c>
      <c r="D20" s="6" t="s">
        <v>332</v>
      </c>
      <c r="E20" s="6" t="s">
        <v>15</v>
      </c>
      <c r="F20" s="6" t="s">
        <v>2459</v>
      </c>
      <c r="G20" s="6" t="s">
        <v>2460</v>
      </c>
      <c r="H20" s="6" t="str">
        <f t="shared" si="0"/>
        <v>att_animal_model</v>
      </c>
      <c r="I20" s="6" t="s">
        <v>331</v>
      </c>
      <c r="J20" s="6" t="str">
        <f t="shared" si="1"/>
        <v>att_animal_model:oaf</v>
      </c>
      <c r="K20" s="11" t="s">
        <v>19</v>
      </c>
      <c r="L20" s="6" t="s">
        <v>332</v>
      </c>
      <c r="M20" s="6" t="s">
        <v>15</v>
      </c>
      <c r="N20" s="6" t="str">
        <f t="shared" si="2"/>
        <v>INSERT INTO attributes (parent_id, tag, name, priority, allow_as_filter, allow_for_dataset, allow_for_measurement, allow_for_users, allow_for_qc) VALUES (NULL, 'att_animal_model',  'Animal Model',  500,  TRUE, TRUE, TRUE, FALSE, FALSE);</v>
      </c>
      <c r="O20" s="6" t="str">
        <f t="shared" si="3"/>
        <v xml:space="preserve">INSERT INTO attribute_values (attribute_id, tag, name, details) VALUES ((SELECT id FROM attributes WHERE tag = 'att_animal_model' LIMIT 1),  'att_animal_model:oaf',  'OAF',  'OAF'); </v>
      </c>
    </row>
    <row r="21" spans="1:15" x14ac:dyDescent="0.15">
      <c r="A21" s="12" t="b">
        <f>FALSE()</f>
        <v>0</v>
      </c>
      <c r="B21" s="12"/>
      <c r="C21" s="6" t="s">
        <v>2474</v>
      </c>
      <c r="D21" s="6" t="s">
        <v>334</v>
      </c>
      <c r="E21" s="6" t="s">
        <v>15</v>
      </c>
      <c r="F21" s="6" t="s">
        <v>2459</v>
      </c>
      <c r="G21" s="6" t="s">
        <v>2460</v>
      </c>
      <c r="H21" s="6" t="str">
        <f t="shared" si="0"/>
        <v>att_animal_model</v>
      </c>
      <c r="I21" s="6" t="s">
        <v>333</v>
      </c>
      <c r="J21" s="6" t="str">
        <f t="shared" si="1"/>
        <v>att_animal_model:r26_ert2cre</v>
      </c>
      <c r="K21" s="11" t="s">
        <v>19</v>
      </c>
      <c r="L21" s="6" t="s">
        <v>335</v>
      </c>
      <c r="M21" s="6" t="s">
        <v>15</v>
      </c>
      <c r="N21" s="6" t="str">
        <f t="shared" si="2"/>
        <v>INSERT INTO attributes (parent_id, tag, name, priority, allow_as_filter, allow_for_dataset, allow_for_measurement, allow_for_users, allow_for_qc) VALUES (NULL, 'att_animal_model',  'Animal Model',  500,  TRUE, TRUE, TRUE, FALSE, FALSE);</v>
      </c>
      <c r="O21" s="6" t="str">
        <f t="shared" si="3"/>
        <v xml:space="preserve">INSERT INTO attribute_values (attribute_id, tag, name, details) VALUES ((SELECT id FROM attributes WHERE tag = 'att_animal_model' LIMIT 1),  'att_animal_model:r26_ert2cre',  'R26 ERt2Cre',  'R26 Ert2Cre'); </v>
      </c>
    </row>
    <row r="22" spans="1:15" x14ac:dyDescent="0.15">
      <c r="A22" s="12" t="b">
        <f>FALSE()</f>
        <v>0</v>
      </c>
      <c r="B22" s="12"/>
      <c r="C22" s="6" t="s">
        <v>2475</v>
      </c>
      <c r="D22" s="12" t="s">
        <v>337</v>
      </c>
      <c r="E22" s="6" t="s">
        <v>15</v>
      </c>
      <c r="F22" s="6" t="s">
        <v>2459</v>
      </c>
      <c r="G22" s="6" t="s">
        <v>2460</v>
      </c>
      <c r="H22" s="6" t="str">
        <f t="shared" si="0"/>
        <v>att_animal_model</v>
      </c>
      <c r="I22" s="6" t="s">
        <v>336</v>
      </c>
      <c r="J22" s="6" t="str">
        <f t="shared" si="1"/>
        <v>att_animal_model:r26_metrs_flox</v>
      </c>
      <c r="K22" s="11" t="s">
        <v>19</v>
      </c>
      <c r="L22" s="6" t="s">
        <v>338</v>
      </c>
      <c r="M22" s="6" t="s">
        <v>15</v>
      </c>
      <c r="N22" s="6" t="str">
        <f t="shared" si="2"/>
        <v>INSERT INTO attributes (parent_id, tag, name, priority, allow_as_filter, allow_for_dataset, allow_for_measurement, allow_for_users, allow_for_qc) VALUES (NULL, 'att_animal_model',  'Animal Model',  500,  TRUE, TRUE, TRUE, FALSE, FALSE);</v>
      </c>
      <c r="O22" s="6" t="str">
        <f t="shared" si="3"/>
        <v xml:space="preserve">INSERT INTO attribute_values (attribute_id, tag, name, details) VALUES ((SELECT id FROM attributes WHERE tag = 'att_animal_model' LIMIT 1),  'att_animal_model:r26_metrs_flox',  'R26 MetRS*-flox',  'Cell-type specific labelling'); </v>
      </c>
    </row>
    <row r="23" spans="1:15" x14ac:dyDescent="0.15">
      <c r="A23" s="12" t="b">
        <f>FALSE()</f>
        <v>0</v>
      </c>
      <c r="B23" s="12"/>
      <c r="C23" s="6" t="s">
        <v>2476</v>
      </c>
      <c r="D23" s="6" t="s">
        <v>340</v>
      </c>
      <c r="E23" s="6" t="s">
        <v>15</v>
      </c>
      <c r="F23" s="6" t="s">
        <v>2459</v>
      </c>
      <c r="G23" s="6" t="s">
        <v>2460</v>
      </c>
      <c r="H23" s="6" t="str">
        <f t="shared" si="0"/>
        <v>att_animal_model</v>
      </c>
      <c r="I23" s="6" t="s">
        <v>339</v>
      </c>
      <c r="J23" s="6" t="str">
        <f t="shared" si="1"/>
        <v>att_animal_model:r26_nlrp3_flox</v>
      </c>
      <c r="K23" s="11" t="s">
        <v>19</v>
      </c>
      <c r="L23" s="6" t="s">
        <v>340</v>
      </c>
      <c r="M23" s="6" t="s">
        <v>15</v>
      </c>
      <c r="N23" s="6" t="str">
        <f t="shared" si="2"/>
        <v>INSERT INTO attributes (parent_id, tag, name, priority, allow_as_filter, allow_for_dataset, allow_for_measurement, allow_for_users, allow_for_qc) VALUES (NULL, 'att_animal_model',  'Animal Model',  500,  TRUE, TRUE, TRUE, FALSE, FALSE);</v>
      </c>
      <c r="O23" s="6" t="str">
        <f t="shared" si="3"/>
        <v xml:space="preserve">INSERT INTO attribute_values (attribute_id, tag, name, details) VALUES ((SELECT id FROM attributes WHERE tag = 'att_animal_model' LIMIT 1),  'att_animal_model:r26_nlrp3_flox',  'R26 Nlrp3-flox',  'R26 Nlrp3-flox'); </v>
      </c>
    </row>
    <row r="24" spans="1:15" x14ac:dyDescent="0.15">
      <c r="A24" s="12" t="b">
        <f>FALSE()</f>
        <v>0</v>
      </c>
      <c r="B24" s="12"/>
      <c r="C24" s="6" t="s">
        <v>2477</v>
      </c>
      <c r="D24" s="6" t="s">
        <v>342</v>
      </c>
      <c r="E24" s="6" t="s">
        <v>15</v>
      </c>
      <c r="F24" s="6" t="s">
        <v>2459</v>
      </c>
      <c r="G24" s="6" t="s">
        <v>2460</v>
      </c>
      <c r="H24" s="6" t="str">
        <f t="shared" si="0"/>
        <v>att_animal_model</v>
      </c>
      <c r="I24" s="6" t="s">
        <v>341</v>
      </c>
      <c r="J24" s="6" t="str">
        <f t="shared" si="1"/>
        <v>att_animal_model:ribotag_lox</v>
      </c>
      <c r="K24" s="11" t="s">
        <v>19</v>
      </c>
      <c r="L24" s="6" t="s">
        <v>335</v>
      </c>
      <c r="M24" s="6" t="s">
        <v>15</v>
      </c>
      <c r="N24" s="6" t="str">
        <f t="shared" si="2"/>
        <v>INSERT INTO attributes (parent_id, tag, name, priority, allow_as_filter, allow_for_dataset, allow_for_measurement, allow_for_users, allow_for_qc) VALUES (NULL, 'att_animal_model',  'Animal Model',  500,  TRUE, TRUE, TRUE, FALSE, FALSE);</v>
      </c>
      <c r="O24" s="6" t="str">
        <f t="shared" si="3"/>
        <v xml:space="preserve">INSERT INTO attribute_values (attribute_id, tag, name, details) VALUES ((SELECT id FROM attributes WHERE tag = 'att_animal_model' LIMIT 1),  'att_animal_model:ribotag_lox',  'Ribotag-lox',  'R26 Ert2Cre'); </v>
      </c>
    </row>
    <row r="25" spans="1:15" x14ac:dyDescent="0.15">
      <c r="A25" s="12" t="b">
        <f>FALSE()</f>
        <v>0</v>
      </c>
      <c r="B25" s="12"/>
      <c r="C25" s="6" t="s">
        <v>2478</v>
      </c>
      <c r="D25" s="6" t="s">
        <v>344</v>
      </c>
      <c r="E25" s="6" t="s">
        <v>15</v>
      </c>
      <c r="F25" s="6" t="s">
        <v>2459</v>
      </c>
      <c r="G25" s="6" t="s">
        <v>2460</v>
      </c>
      <c r="H25" s="6" t="str">
        <f t="shared" si="0"/>
        <v>att_animal_model</v>
      </c>
      <c r="I25" s="6" t="s">
        <v>343</v>
      </c>
      <c r="J25" s="6" t="str">
        <f t="shared" si="1"/>
        <v>att_animal_model:sox10_cre</v>
      </c>
      <c r="K25" s="11" t="s">
        <v>19</v>
      </c>
      <c r="L25" s="6" t="s">
        <v>345</v>
      </c>
      <c r="M25" s="6" t="s">
        <v>15</v>
      </c>
      <c r="N25" s="6" t="str">
        <f t="shared" si="2"/>
        <v>INSERT INTO attributes (parent_id, tag, name, priority, allow_as_filter, allow_for_dataset, allow_for_measurement, allow_for_users, allow_for_qc) VALUES (NULL, 'att_animal_model',  'Animal Model',  500,  TRUE, TRUE, TRUE, FALSE, FALSE);</v>
      </c>
      <c r="O25" s="6" t="str">
        <f t="shared" si="3"/>
        <v xml:space="preserve">INSERT INTO attribute_values (attribute_id, tag, name, details) VALUES ((SELECT id FROM attributes WHERE tag = 'att_animal_model' LIMIT 1),  'att_animal_model:sox10_cre',  'Sox10-Cre',  'Neural crest ?'); </v>
      </c>
    </row>
    <row r="26" spans="1:15" x14ac:dyDescent="0.15">
      <c r="A26" s="12" t="b">
        <f>FALSE()</f>
        <v>0</v>
      </c>
      <c r="B26" s="12"/>
      <c r="C26" s="6" t="s">
        <v>2479</v>
      </c>
      <c r="D26" s="6" t="s">
        <v>347</v>
      </c>
      <c r="E26" s="6" t="s">
        <v>15</v>
      </c>
      <c r="F26" s="6" t="s">
        <v>2459</v>
      </c>
      <c r="G26" s="6" t="s">
        <v>2460</v>
      </c>
      <c r="H26" s="6" t="str">
        <f t="shared" si="0"/>
        <v>att_animal_model</v>
      </c>
      <c r="I26" s="6" t="s">
        <v>346</v>
      </c>
      <c r="J26" s="6" t="str">
        <f t="shared" si="1"/>
        <v>att_animal_model:ucp1_cre</v>
      </c>
      <c r="K26" s="11" t="s">
        <v>19</v>
      </c>
      <c r="L26" s="6" t="s">
        <v>348</v>
      </c>
      <c r="M26" s="6" t="s">
        <v>15</v>
      </c>
      <c r="N26" s="6" t="str">
        <f t="shared" si="2"/>
        <v>INSERT INTO attributes (parent_id, tag, name, priority, allow_as_filter, allow_for_dataset, allow_for_measurement, allow_for_users, allow_for_qc) VALUES (NULL, 'att_animal_model',  'Animal Model',  500,  TRUE, TRUE, TRUE, FALSE, FALSE);</v>
      </c>
      <c r="O26" s="6" t="str">
        <f t="shared" si="3"/>
        <v xml:space="preserve">INSERT INTO attribute_values (attribute_id, tag, name, details) VALUES ((SELECT id FROM attributes WHERE tag = 'att_animal_model' LIMIT 1),  'att_animal_model:ucp1_cre',  'UCP1-Cre',  'brown adipose tissue'); </v>
      </c>
    </row>
    <row r="27" spans="1:15" x14ac:dyDescent="0.15">
      <c r="A27" s="12" t="b">
        <f>FALSE()</f>
        <v>0</v>
      </c>
      <c r="B27" s="12"/>
      <c r="C27" s="6" t="s">
        <v>2480</v>
      </c>
      <c r="D27" s="6" t="s">
        <v>350</v>
      </c>
      <c r="E27" s="6" t="s">
        <v>15</v>
      </c>
      <c r="F27" s="6" t="s">
        <v>2459</v>
      </c>
      <c r="G27" s="6" t="s">
        <v>2460</v>
      </c>
      <c r="H27" s="6" t="str">
        <f t="shared" si="0"/>
        <v>att_animal_model</v>
      </c>
      <c r="I27" s="6" t="s">
        <v>349</v>
      </c>
      <c r="J27" s="6" t="str">
        <f t="shared" si="1"/>
        <v>att_animal_model:vil_cre</v>
      </c>
      <c r="K27" s="11" t="s">
        <v>19</v>
      </c>
      <c r="L27" s="6" t="s">
        <v>351</v>
      </c>
      <c r="M27" s="6" t="s">
        <v>15</v>
      </c>
      <c r="N27" s="6" t="str">
        <f t="shared" si="2"/>
        <v>INSERT INTO attributes (parent_id, tag, name, priority, allow_as_filter, allow_for_dataset, allow_for_measurement, allow_for_users, allow_for_qc) VALUES (NULL, 'att_animal_model',  'Animal Model',  500,  TRUE, TRUE, TRUE, FALSE, FALSE);</v>
      </c>
      <c r="O27" s="6" t="str">
        <f t="shared" si="3"/>
        <v xml:space="preserve">INSERT INTO attribute_values (attribute_id, tag, name, details) VALUES ((SELECT id FROM attributes WHERE tag = 'att_animal_model' LIMIT 1),  'att_animal_model:vil_cre',  'Vil-Cre',  'Intestinal epithelium'); </v>
      </c>
    </row>
    <row r="28" spans="1:15" x14ac:dyDescent="0.15">
      <c r="A28" s="12" t="b">
        <f>FALSE()</f>
        <v>0</v>
      </c>
      <c r="B28" s="12"/>
      <c r="C28" s="6">
        <v>7860</v>
      </c>
      <c r="D28" s="6" t="s">
        <v>440</v>
      </c>
      <c r="E28" s="6" t="s">
        <v>15</v>
      </c>
      <c r="F28" s="6" t="s">
        <v>2481</v>
      </c>
      <c r="G28" s="6" t="s">
        <v>2482</v>
      </c>
      <c r="H28" s="6" t="str">
        <f t="shared" si="0"/>
        <v>att_celllines</v>
      </c>
      <c r="I28" s="6" t="s">
        <v>439</v>
      </c>
      <c r="J28" s="6" t="str">
        <f t="shared" si="1"/>
        <v>att_celllines:786_0</v>
      </c>
      <c r="K28" s="11" t="s">
        <v>19</v>
      </c>
      <c r="L28" s="6" t="s">
        <v>441</v>
      </c>
      <c r="M28" s="6" t="s">
        <v>2483</v>
      </c>
      <c r="N28" s="6" t="str">
        <f t="shared" si="2"/>
        <v>INSERT INTO attributes (parent_id, tag, name, priority, allow_as_filter, allow_for_dataset, allow_for_measurement, allow_for_users, allow_for_qc) VALUES (NULL, 'att_celllines',  'Celllines',  500,  TRUE, TRUE, TRUE, FALSE, FALSE);</v>
      </c>
      <c r="O28" s="6" t="str">
        <f t="shared" si="3"/>
        <v xml:space="preserve">INSERT INTO attribute_values (attribute_id, tag, name, details) VALUES ((SELECT id FROM attributes WHERE tag = 'att_celllines' LIMIT 1),  'att_celllines:786_0',  '786-0',  'Human NCI-60 cell line; Renal Cancer'); </v>
      </c>
    </row>
    <row r="29" spans="1:15" x14ac:dyDescent="0.15">
      <c r="A29" s="12" t="b">
        <f>FALSE()</f>
        <v>0</v>
      </c>
      <c r="B29" s="12"/>
      <c r="C29" s="6" t="s">
        <v>442</v>
      </c>
      <c r="D29" s="6" t="s">
        <v>443</v>
      </c>
      <c r="E29" s="6" t="s">
        <v>15</v>
      </c>
      <c r="F29" s="6" t="s">
        <v>2481</v>
      </c>
      <c r="G29" s="6" t="s">
        <v>2482</v>
      </c>
      <c r="H29" s="6" t="str">
        <f t="shared" si="0"/>
        <v>att_celllines</v>
      </c>
      <c r="I29" s="6" t="s">
        <v>442</v>
      </c>
      <c r="J29" s="6" t="str">
        <f t="shared" si="1"/>
        <v>att_celllines:a498</v>
      </c>
      <c r="K29" s="11" t="s">
        <v>19</v>
      </c>
      <c r="L29" s="6" t="s">
        <v>441</v>
      </c>
      <c r="M29" s="6" t="s">
        <v>2483</v>
      </c>
      <c r="N29" s="6" t="str">
        <f t="shared" si="2"/>
        <v>INSERT INTO attributes (parent_id, tag, name, priority, allow_as_filter, allow_for_dataset, allow_for_measurement, allow_for_users, allow_for_qc) VALUES (NULL, 'att_celllines',  'Celllines',  500,  TRUE, TRUE, TRUE, FALSE, FALSE);</v>
      </c>
      <c r="O29" s="6" t="str">
        <f t="shared" si="3"/>
        <v xml:space="preserve">INSERT INTO attribute_values (attribute_id, tag, name, details) VALUES ((SELECT id FROM attributes WHERE tag = 'att_celllines' LIMIT 1),  'att_celllines:a498',  'A498',  'Human NCI-60 cell line; Renal Cancer'); </v>
      </c>
    </row>
    <row r="30" spans="1:15" x14ac:dyDescent="0.15">
      <c r="A30" s="12" t="b">
        <f>FALSE()</f>
        <v>0</v>
      </c>
      <c r="B30" s="12"/>
      <c r="C30" s="6" t="s">
        <v>444</v>
      </c>
      <c r="D30" s="6" t="s">
        <v>445</v>
      </c>
      <c r="E30" s="6" t="s">
        <v>15</v>
      </c>
      <c r="F30" s="6" t="s">
        <v>2481</v>
      </c>
      <c r="G30" s="6" t="s">
        <v>2482</v>
      </c>
      <c r="H30" s="6" t="str">
        <f t="shared" si="0"/>
        <v>att_celllines</v>
      </c>
      <c r="I30" s="6" t="s">
        <v>444</v>
      </c>
      <c r="J30" s="6" t="str">
        <f t="shared" si="1"/>
        <v>att_celllines:a549</v>
      </c>
      <c r="K30" s="11" t="s">
        <v>19</v>
      </c>
      <c r="L30" s="6" t="s">
        <v>446</v>
      </c>
      <c r="M30" s="6" t="s">
        <v>2483</v>
      </c>
      <c r="N30" s="6" t="str">
        <f t="shared" si="2"/>
        <v>INSERT INTO attributes (parent_id, tag, name, priority, allow_as_filter, allow_for_dataset, allow_for_measurement, allow_for_users, allow_for_qc) VALUES (NULL, 'att_celllines',  'Celllines',  500,  TRUE, TRUE, TRUE, FALSE, FALSE);</v>
      </c>
      <c r="O30" s="6" t="str">
        <f t="shared" si="3"/>
        <v xml:space="preserve">INSERT INTO attribute_values (attribute_id, tag, name, details) VALUES ((SELECT id FROM attributes WHERE tag = 'att_celllines' LIMIT 1),  'att_celllines:a549',  'A549',  'Human NCI-60 cell line; Non-Small Cell Lung cancer'); </v>
      </c>
    </row>
    <row r="31" spans="1:15" x14ac:dyDescent="0.15">
      <c r="A31" s="12" t="b">
        <f>FALSE()</f>
        <v>0</v>
      </c>
      <c r="B31" s="12"/>
      <c r="C31" s="6" t="s">
        <v>447</v>
      </c>
      <c r="D31" s="6" t="s">
        <v>448</v>
      </c>
      <c r="E31" s="6" t="s">
        <v>15</v>
      </c>
      <c r="F31" s="6" t="s">
        <v>2481</v>
      </c>
      <c r="G31" s="6" t="s">
        <v>2482</v>
      </c>
      <c r="H31" s="6" t="str">
        <f t="shared" si="0"/>
        <v>att_celllines</v>
      </c>
      <c r="I31" s="6" t="s">
        <v>447</v>
      </c>
      <c r="J31" s="6" t="str">
        <f t="shared" si="1"/>
        <v>att_celllines:achn</v>
      </c>
      <c r="K31" s="11" t="s">
        <v>19</v>
      </c>
      <c r="L31" s="6" t="s">
        <v>441</v>
      </c>
      <c r="M31" s="6" t="s">
        <v>2483</v>
      </c>
      <c r="N31" s="6" t="str">
        <f t="shared" si="2"/>
        <v>INSERT INTO attributes (parent_id, tag, name, priority, allow_as_filter, allow_for_dataset, allow_for_measurement, allow_for_users, allow_for_qc) VALUES (NULL, 'att_celllines',  'Celllines',  500,  TRUE, TRUE, TRUE, FALSE, FALSE);</v>
      </c>
      <c r="O31" s="6" t="str">
        <f t="shared" si="3"/>
        <v xml:space="preserve">INSERT INTO attribute_values (attribute_id, tag, name, details) VALUES ((SELECT id FROM attributes WHERE tag = 'att_celllines' LIMIT 1),  'att_celllines:achn',  'ACHN',  'Human NCI-60 cell line; Renal Cancer'); </v>
      </c>
    </row>
    <row r="32" spans="1:15" x14ac:dyDescent="0.15">
      <c r="A32" s="12" t="b">
        <f>FALSE()</f>
        <v>0</v>
      </c>
      <c r="B32" s="12"/>
      <c r="C32" s="6" t="s">
        <v>449</v>
      </c>
      <c r="D32" s="6" t="s">
        <v>450</v>
      </c>
      <c r="E32" s="6" t="s">
        <v>15</v>
      </c>
      <c r="F32" s="6" t="s">
        <v>2481</v>
      </c>
      <c r="G32" s="6" t="s">
        <v>2482</v>
      </c>
      <c r="H32" s="6" t="str">
        <f t="shared" si="0"/>
        <v>att_celllines</v>
      </c>
      <c r="I32" s="6" t="s">
        <v>449</v>
      </c>
      <c r="J32" s="6" t="str">
        <f t="shared" si="1"/>
        <v>att_celllines:bmdc</v>
      </c>
      <c r="K32" s="11" t="s">
        <v>19</v>
      </c>
      <c r="L32" s="6" t="s">
        <v>450</v>
      </c>
      <c r="M32" s="6" t="s">
        <v>15</v>
      </c>
      <c r="N32" s="6" t="str">
        <f t="shared" si="2"/>
        <v>INSERT INTO attributes (parent_id, tag, name, priority, allow_as_filter, allow_for_dataset, allow_for_measurement, allow_for_users, allow_for_qc) VALUES (NULL, 'att_celllines',  'Celllines',  500,  TRUE, TRUE, TRUE, FALSE, FALSE);</v>
      </c>
      <c r="O32" s="6" t="str">
        <f t="shared" si="3"/>
        <v xml:space="preserve">INSERT INTO attribute_values (attribute_id, tag, name, details) VALUES ((SELECT id FROM attributes WHERE tag = 'att_celllines' LIMIT 1),  'att_celllines:bmdc',  'BMDC',  'BMDC'); </v>
      </c>
    </row>
    <row r="33" spans="1:15" x14ac:dyDescent="0.15">
      <c r="A33" s="12" t="b">
        <f>FALSE()</f>
        <v>0</v>
      </c>
      <c r="B33" s="12"/>
      <c r="C33" s="6" t="s">
        <v>451</v>
      </c>
      <c r="D33" s="6" t="s">
        <v>452</v>
      </c>
      <c r="E33" s="6" t="s">
        <v>15</v>
      </c>
      <c r="F33" s="6" t="s">
        <v>2481</v>
      </c>
      <c r="G33" s="6" t="s">
        <v>2482</v>
      </c>
      <c r="H33" s="6" t="str">
        <f t="shared" si="0"/>
        <v>att_celllines</v>
      </c>
      <c r="I33" s="6" t="s">
        <v>451</v>
      </c>
      <c r="J33" s="6" t="str">
        <f t="shared" si="1"/>
        <v>att_celllines:bmm</v>
      </c>
      <c r="K33" s="11" t="s">
        <v>19</v>
      </c>
      <c r="L33" s="6" t="s">
        <v>453</v>
      </c>
      <c r="M33" s="6" t="s">
        <v>15</v>
      </c>
      <c r="N33" s="6" t="str">
        <f t="shared" si="2"/>
        <v>INSERT INTO attributes (parent_id, tag, name, priority, allow_as_filter, allow_for_dataset, allow_for_measurement, allow_for_users, allow_for_qc) VALUES (NULL, 'att_celllines',  'Celllines',  500,  TRUE, TRUE, TRUE, FALSE, FALSE);</v>
      </c>
      <c r="O33" s="6" t="str">
        <f t="shared" si="3"/>
        <v xml:space="preserve">INSERT INTO attribute_values (attribute_id, tag, name, details) VALUES ((SELECT id FROM attributes WHERE tag = 'att_celllines' LIMIT 1),  'att_celllines:bmm',  'BMM',  'Bone-marrow-derived macrophages'); </v>
      </c>
    </row>
    <row r="34" spans="1:15" x14ac:dyDescent="0.15">
      <c r="A34" s="12" t="b">
        <f>FALSE()</f>
        <v>0</v>
      </c>
      <c r="B34" s="12"/>
      <c r="C34" s="6" t="s">
        <v>454</v>
      </c>
      <c r="D34" s="6" t="s">
        <v>455</v>
      </c>
      <c r="E34" s="6" t="s">
        <v>15</v>
      </c>
      <c r="F34" s="6" t="s">
        <v>2481</v>
      </c>
      <c r="G34" s="6" t="s">
        <v>2482</v>
      </c>
      <c r="H34" s="6" t="str">
        <f t="shared" si="0"/>
        <v>att_celllines</v>
      </c>
      <c r="I34" s="6" t="s">
        <v>454</v>
      </c>
      <c r="J34" s="6" t="str">
        <f t="shared" si="1"/>
        <v>att_celllines:bt549</v>
      </c>
      <c r="K34" s="11" t="s">
        <v>19</v>
      </c>
      <c r="L34" s="6" t="s">
        <v>456</v>
      </c>
      <c r="M34" s="6" t="s">
        <v>2483</v>
      </c>
      <c r="N34" s="6" t="str">
        <f t="shared" si="2"/>
        <v>INSERT INTO attributes (parent_id, tag, name, priority, allow_as_filter, allow_for_dataset, allow_for_measurement, allow_for_users, allow_for_qc) VALUES (NULL, 'att_celllines',  'Celllines',  500,  TRUE, TRUE, TRUE, FALSE, FALSE);</v>
      </c>
      <c r="O34" s="6" t="str">
        <f t="shared" si="3"/>
        <v xml:space="preserve">INSERT INTO attribute_values (attribute_id, tag, name, details) VALUES ((SELECT id FROM attributes WHERE tag = 'att_celllines' LIMIT 1),  'att_celllines:bt549',  'BT-549',  'Human NCI-60 cell line; Breast Cancer'); </v>
      </c>
    </row>
    <row r="35" spans="1:15" x14ac:dyDescent="0.15">
      <c r="A35" s="12" t="b">
        <f>FALSE()</f>
        <v>0</v>
      </c>
      <c r="B35" s="12"/>
      <c r="C35" s="6" t="s">
        <v>457</v>
      </c>
      <c r="D35" s="6" t="s">
        <v>458</v>
      </c>
      <c r="E35" s="6" t="s">
        <v>15</v>
      </c>
      <c r="F35" s="6" t="s">
        <v>2481</v>
      </c>
      <c r="G35" s="6" t="s">
        <v>2482</v>
      </c>
      <c r="H35" s="6" t="str">
        <f t="shared" si="0"/>
        <v>att_celllines</v>
      </c>
      <c r="I35" s="6" t="s">
        <v>457</v>
      </c>
      <c r="J35" s="6" t="str">
        <f t="shared" si="1"/>
        <v>att_celllines:caki1</v>
      </c>
      <c r="K35" s="11" t="s">
        <v>19</v>
      </c>
      <c r="L35" s="6" t="s">
        <v>441</v>
      </c>
      <c r="M35" s="6" t="s">
        <v>2483</v>
      </c>
      <c r="N35" s="6" t="str">
        <f t="shared" si="2"/>
        <v>INSERT INTO attributes (parent_id, tag, name, priority, allow_as_filter, allow_for_dataset, allow_for_measurement, allow_for_users, allow_for_qc) VALUES (NULL, 'att_celllines',  'Celllines',  500,  TRUE, TRUE, TRUE, FALSE, FALSE);</v>
      </c>
      <c r="O35" s="6" t="str">
        <f t="shared" si="3"/>
        <v xml:space="preserve">INSERT INTO attribute_values (attribute_id, tag, name, details) VALUES ((SELECT id FROM attributes WHERE tag = 'att_celllines' LIMIT 1),  'att_celllines:caki1',  'CAKI-1',  'Human NCI-60 cell line; Renal Cancer'); </v>
      </c>
    </row>
    <row r="36" spans="1:15" x14ac:dyDescent="0.15">
      <c r="A36" s="12" t="b">
        <f>FALSE()</f>
        <v>0</v>
      </c>
      <c r="B36" s="12"/>
      <c r="C36" s="6" t="s">
        <v>459</v>
      </c>
      <c r="D36" s="6" t="s">
        <v>460</v>
      </c>
      <c r="E36" s="6" t="s">
        <v>15</v>
      </c>
      <c r="F36" s="6" t="s">
        <v>2481</v>
      </c>
      <c r="G36" s="6" t="s">
        <v>2482</v>
      </c>
      <c r="H36" s="6" t="str">
        <f t="shared" si="0"/>
        <v>att_celllines</v>
      </c>
      <c r="I36" s="6" t="s">
        <v>459</v>
      </c>
      <c r="J36" s="6" t="str">
        <f t="shared" si="1"/>
        <v>att_celllines:cho</v>
      </c>
      <c r="K36" s="11" t="s">
        <v>19</v>
      </c>
      <c r="L36" s="6" t="s">
        <v>461</v>
      </c>
      <c r="M36" s="6" t="s">
        <v>2484</v>
      </c>
      <c r="N36" s="6" t="str">
        <f t="shared" si="2"/>
        <v>INSERT INTO attributes (parent_id, tag, name, priority, allow_as_filter, allow_for_dataset, allow_for_measurement, allow_for_users, allow_for_qc) VALUES (NULL, 'att_celllines',  'Celllines',  500,  TRUE, TRUE, TRUE, FALSE, FALSE);</v>
      </c>
      <c r="O36" s="6" t="str">
        <f t="shared" si="3"/>
        <v xml:space="preserve">INSERT INTO attribute_values (attribute_id, tag, name, details) VALUES ((SELECT id FROM attributes WHERE tag = 'att_celllines' LIMIT 1),  'att_celllines:cho',  'CHO',  'Chinese hamster ovary'); </v>
      </c>
    </row>
    <row r="37" spans="1:15" x14ac:dyDescent="0.15">
      <c r="A37" s="12" t="b">
        <f>FALSE()</f>
        <v>0</v>
      </c>
      <c r="B37" s="12"/>
      <c r="C37" s="6" t="s">
        <v>462</v>
      </c>
      <c r="D37" s="6" t="s">
        <v>463</v>
      </c>
      <c r="E37" s="6" t="s">
        <v>15</v>
      </c>
      <c r="F37" s="6" t="s">
        <v>2481</v>
      </c>
      <c r="G37" s="6" t="s">
        <v>2482</v>
      </c>
      <c r="H37" s="6" t="str">
        <f t="shared" si="0"/>
        <v>att_celllines</v>
      </c>
      <c r="I37" s="6" t="s">
        <v>462</v>
      </c>
      <c r="J37" s="6" t="str">
        <f t="shared" si="1"/>
        <v>att_celllines:colo205</v>
      </c>
      <c r="K37" s="11" t="s">
        <v>19</v>
      </c>
      <c r="L37" s="6" t="s">
        <v>464</v>
      </c>
      <c r="M37" s="6" t="s">
        <v>2483</v>
      </c>
      <c r="N37" s="6" t="str">
        <f t="shared" si="2"/>
        <v>INSERT INTO attributes (parent_id, tag, name, priority, allow_as_filter, allow_for_dataset, allow_for_measurement, allow_for_users, allow_for_qc) VALUES (NULL, 'att_celllines',  'Celllines',  500,  TRUE, TRUE, TRUE, FALSE, FALSE);</v>
      </c>
      <c r="O37" s="6" t="str">
        <f t="shared" si="3"/>
        <v xml:space="preserve">INSERT INTO attribute_values (attribute_id, tag, name, details) VALUES ((SELECT id FROM attributes WHERE tag = 'att_celllines' LIMIT 1),  'att_celllines:colo205',  'COLO205',  'Human NCI-60 cell line; Colon cancer'); </v>
      </c>
    </row>
    <row r="38" spans="1:15" x14ac:dyDescent="0.15">
      <c r="A38" s="12" t="b">
        <f>FALSE()</f>
        <v>0</v>
      </c>
      <c r="B38" s="12"/>
      <c r="C38" s="6" t="s">
        <v>465</v>
      </c>
      <c r="D38" s="6" t="s">
        <v>466</v>
      </c>
      <c r="E38" s="6" t="s">
        <v>15</v>
      </c>
      <c r="F38" s="6" t="s">
        <v>2481</v>
      </c>
      <c r="G38" s="6" t="s">
        <v>2482</v>
      </c>
      <c r="H38" s="6" t="str">
        <f t="shared" si="0"/>
        <v>att_celllines</v>
      </c>
      <c r="I38" s="6" t="s">
        <v>465</v>
      </c>
      <c r="J38" s="6" t="str">
        <f t="shared" si="1"/>
        <v>att_celllines:crfcem</v>
      </c>
      <c r="K38" s="11" t="s">
        <v>19</v>
      </c>
      <c r="L38" s="6" t="s">
        <v>467</v>
      </c>
      <c r="M38" s="6" t="s">
        <v>2483</v>
      </c>
      <c r="N38" s="6" t="str">
        <f t="shared" si="2"/>
        <v>INSERT INTO attributes (parent_id, tag, name, priority, allow_as_filter, allow_for_dataset, allow_for_measurement, allow_for_users, allow_for_qc) VALUES (NULL, 'att_celllines',  'Celllines',  500,  TRUE, TRUE, TRUE, FALSE, FALSE);</v>
      </c>
      <c r="O38" s="6" t="str">
        <f t="shared" si="3"/>
        <v xml:space="preserve">INSERT INTO attribute_values (attribute_id, tag, name, details) VALUES ((SELECT id FROM attributes WHERE tag = 'att_celllines' LIMIT 1),  'att_celllines:crfcem',  'CRF-CEM',  'Human NCI-60 cell line; Leukemia'); </v>
      </c>
    </row>
    <row r="39" spans="1:15" x14ac:dyDescent="0.15">
      <c r="A39" s="12" t="b">
        <f>FALSE()</f>
        <v>0</v>
      </c>
      <c r="B39" s="12"/>
      <c r="C39" s="6" t="s">
        <v>468</v>
      </c>
      <c r="D39" s="6" t="s">
        <v>469</v>
      </c>
      <c r="E39" s="6" t="s">
        <v>15</v>
      </c>
      <c r="F39" s="6" t="s">
        <v>2481</v>
      </c>
      <c r="G39" s="6" t="s">
        <v>2482</v>
      </c>
      <c r="H39" s="6" t="str">
        <f t="shared" si="0"/>
        <v>att_celllines</v>
      </c>
      <c r="I39" s="6" t="s">
        <v>468</v>
      </c>
      <c r="J39" s="6" t="str">
        <f t="shared" si="1"/>
        <v>att_celllines:du145</v>
      </c>
      <c r="K39" s="11" t="s">
        <v>19</v>
      </c>
      <c r="L39" s="6" t="s">
        <v>470</v>
      </c>
      <c r="M39" s="6" t="s">
        <v>2483</v>
      </c>
      <c r="N39" s="6" t="str">
        <f t="shared" si="2"/>
        <v>INSERT INTO attributes (parent_id, tag, name, priority, allow_as_filter, allow_for_dataset, allow_for_measurement, allow_for_users, allow_for_qc) VALUES (NULL, 'att_celllines',  'Celllines',  500,  TRUE, TRUE, TRUE, FALSE, FALSE);</v>
      </c>
      <c r="O39" s="6" t="str">
        <f t="shared" si="3"/>
        <v xml:space="preserve">INSERT INTO attribute_values (attribute_id, tag, name, details) VALUES ((SELECT id FROM attributes WHERE tag = 'att_celllines' LIMIT 1),  'att_celllines:du145',  'DU-145',  'Human NCI-60 cell line; Prostate Cancer'); </v>
      </c>
    </row>
    <row r="40" spans="1:15" x14ac:dyDescent="0.15">
      <c r="A40" s="12" t="b">
        <f>FALSE()</f>
        <v>0</v>
      </c>
      <c r="B40" s="12"/>
      <c r="C40" s="6" t="s">
        <v>471</v>
      </c>
      <c r="D40" s="6" t="s">
        <v>472</v>
      </c>
      <c r="E40" s="6" t="s">
        <v>15</v>
      </c>
      <c r="F40" s="6" t="s">
        <v>2481</v>
      </c>
      <c r="G40" s="6" t="s">
        <v>2482</v>
      </c>
      <c r="H40" s="6" t="str">
        <f t="shared" si="0"/>
        <v>att_celllines</v>
      </c>
      <c r="I40" s="6" t="s">
        <v>471</v>
      </c>
      <c r="J40" s="6" t="str">
        <f t="shared" si="1"/>
        <v>att_celllines:ekvx</v>
      </c>
      <c r="K40" s="11" t="s">
        <v>19</v>
      </c>
      <c r="L40" s="6" t="s">
        <v>446</v>
      </c>
      <c r="M40" s="6" t="s">
        <v>2483</v>
      </c>
      <c r="N40" s="6" t="str">
        <f t="shared" si="2"/>
        <v>INSERT INTO attributes (parent_id, tag, name, priority, allow_as_filter, allow_for_dataset, allow_for_measurement, allow_for_users, allow_for_qc) VALUES (NULL, 'att_celllines',  'Celllines',  500,  TRUE, TRUE, TRUE, FALSE, FALSE);</v>
      </c>
      <c r="O40" s="6" t="str">
        <f t="shared" si="3"/>
        <v xml:space="preserve">INSERT INTO attribute_values (attribute_id, tag, name, details) VALUES ((SELECT id FROM attributes WHERE tag = 'att_celllines' LIMIT 1),  'att_celllines:ekvx',  'EKVX',  'Human NCI-60 cell line; Non-Small Cell Lung cancer'); </v>
      </c>
    </row>
    <row r="41" spans="1:15" x14ac:dyDescent="0.15">
      <c r="A41" s="12" t="b">
        <f>FALSE()</f>
        <v>0</v>
      </c>
      <c r="B41" s="12"/>
      <c r="C41" s="6" t="s">
        <v>473</v>
      </c>
      <c r="D41" s="6" t="s">
        <v>474</v>
      </c>
      <c r="E41" s="6" t="s">
        <v>15</v>
      </c>
      <c r="F41" s="6" t="s">
        <v>2481</v>
      </c>
      <c r="G41" s="6" t="s">
        <v>2482</v>
      </c>
      <c r="H41" s="6" t="str">
        <f t="shared" si="0"/>
        <v>att_celllines</v>
      </c>
      <c r="I41" s="6" t="s">
        <v>473</v>
      </c>
      <c r="J41" s="6" t="str">
        <f t="shared" si="1"/>
        <v>att_celllines:hcc2998</v>
      </c>
      <c r="K41" s="11" t="s">
        <v>19</v>
      </c>
      <c r="L41" s="6" t="s">
        <v>464</v>
      </c>
      <c r="M41" s="6" t="s">
        <v>2483</v>
      </c>
      <c r="N41" s="6" t="str">
        <f t="shared" si="2"/>
        <v>INSERT INTO attributes (parent_id, tag, name, priority, allow_as_filter, allow_for_dataset, allow_for_measurement, allow_for_users, allow_for_qc) VALUES (NULL, 'att_celllines',  'Celllines',  500,  TRUE, TRUE, TRUE, FALSE, FALSE);</v>
      </c>
      <c r="O41" s="6" t="str">
        <f t="shared" si="3"/>
        <v xml:space="preserve">INSERT INTO attribute_values (attribute_id, tag, name, details) VALUES ((SELECT id FROM attributes WHERE tag = 'att_celllines' LIMIT 1),  'att_celllines:hcc2998',  'HCC-2998',  'Human NCI-60 cell line; Colon cancer'); </v>
      </c>
    </row>
    <row r="42" spans="1:15" x14ac:dyDescent="0.15">
      <c r="A42" s="12" t="b">
        <f>FALSE()</f>
        <v>0</v>
      </c>
      <c r="B42" s="12"/>
      <c r="C42" s="6" t="s">
        <v>475</v>
      </c>
      <c r="D42" s="6" t="s">
        <v>476</v>
      </c>
      <c r="E42" s="6" t="s">
        <v>15</v>
      </c>
      <c r="F42" s="6" t="s">
        <v>2481</v>
      </c>
      <c r="G42" s="6" t="s">
        <v>2482</v>
      </c>
      <c r="H42" s="6" t="str">
        <f t="shared" si="0"/>
        <v>att_celllines</v>
      </c>
      <c r="I42" s="6" t="s">
        <v>475</v>
      </c>
      <c r="J42" s="6" t="str">
        <f t="shared" si="1"/>
        <v>att_celllines:hct116</v>
      </c>
      <c r="K42" s="11" t="s">
        <v>19</v>
      </c>
      <c r="L42" s="6" t="s">
        <v>464</v>
      </c>
      <c r="M42" s="6" t="s">
        <v>2483</v>
      </c>
      <c r="N42" s="6" t="str">
        <f t="shared" si="2"/>
        <v>INSERT INTO attributes (parent_id, tag, name, priority, allow_as_filter, allow_for_dataset, allow_for_measurement, allow_for_users, allow_for_qc) VALUES (NULL, 'att_celllines',  'Celllines',  500,  TRUE, TRUE, TRUE, FALSE, FALSE);</v>
      </c>
      <c r="O42" s="6" t="str">
        <f t="shared" si="3"/>
        <v xml:space="preserve">INSERT INTO attribute_values (attribute_id, tag, name, details) VALUES ((SELECT id FROM attributes WHERE tag = 'att_celllines' LIMIT 1),  'att_celllines:hct116',  'HCT-116',  'Human NCI-60 cell line; Colon cancer'); </v>
      </c>
    </row>
    <row r="43" spans="1:15" x14ac:dyDescent="0.15">
      <c r="A43" s="12" t="b">
        <f>FALSE()</f>
        <v>0</v>
      </c>
      <c r="B43" s="12"/>
      <c r="C43" s="6" t="s">
        <v>477</v>
      </c>
      <c r="D43" s="6" t="s">
        <v>478</v>
      </c>
      <c r="E43" s="6" t="s">
        <v>15</v>
      </c>
      <c r="F43" s="6" t="s">
        <v>2481</v>
      </c>
      <c r="G43" s="6" t="s">
        <v>2482</v>
      </c>
      <c r="H43" s="6" t="str">
        <f t="shared" si="0"/>
        <v>att_celllines</v>
      </c>
      <c r="I43" s="6" t="s">
        <v>477</v>
      </c>
      <c r="J43" s="6" t="str">
        <f t="shared" si="1"/>
        <v>att_celllines:hct15</v>
      </c>
      <c r="K43" s="11" t="s">
        <v>19</v>
      </c>
      <c r="L43" s="6" t="s">
        <v>464</v>
      </c>
      <c r="M43" s="6" t="s">
        <v>2483</v>
      </c>
      <c r="N43" s="6" t="str">
        <f t="shared" si="2"/>
        <v>INSERT INTO attributes (parent_id, tag, name, priority, allow_as_filter, allow_for_dataset, allow_for_measurement, allow_for_users, allow_for_qc) VALUES (NULL, 'att_celllines',  'Celllines',  500,  TRUE, TRUE, TRUE, FALSE, FALSE);</v>
      </c>
      <c r="O43" s="6" t="str">
        <f t="shared" si="3"/>
        <v xml:space="preserve">INSERT INTO attribute_values (attribute_id, tag, name, details) VALUES ((SELECT id FROM attributes WHERE tag = 'att_celllines' LIMIT 1),  'att_celllines:hct15',  'HCT-15',  'Human NCI-60 cell line; Colon cancer'); </v>
      </c>
    </row>
    <row r="44" spans="1:15" x14ac:dyDescent="0.15">
      <c r="A44" s="12" t="b">
        <f>FALSE()</f>
        <v>0</v>
      </c>
      <c r="B44" s="12"/>
      <c r="C44" s="6" t="s">
        <v>479</v>
      </c>
      <c r="D44" s="6" t="s">
        <v>480</v>
      </c>
      <c r="E44" s="6" t="s">
        <v>15</v>
      </c>
      <c r="F44" s="6" t="s">
        <v>2481</v>
      </c>
      <c r="G44" s="6" t="s">
        <v>2482</v>
      </c>
      <c r="H44" s="6" t="str">
        <f t="shared" si="0"/>
        <v>att_celllines</v>
      </c>
      <c r="I44" s="6" t="s">
        <v>479</v>
      </c>
      <c r="J44" s="6" t="str">
        <f t="shared" si="1"/>
        <v>att_celllines:hek293</v>
      </c>
      <c r="K44" s="11" t="s">
        <v>19</v>
      </c>
      <c r="L44" s="6" t="s">
        <v>481</v>
      </c>
      <c r="M44" s="6" t="s">
        <v>2484</v>
      </c>
      <c r="N44" s="6" t="str">
        <f t="shared" si="2"/>
        <v>INSERT INTO attributes (parent_id, tag, name, priority, allow_as_filter, allow_for_dataset, allow_for_measurement, allow_for_users, allow_for_qc) VALUES (NULL, 'att_celllines',  'Celllines',  500,  TRUE, TRUE, TRUE, FALSE, FALSE);</v>
      </c>
      <c r="O44" s="6" t="str">
        <f t="shared" si="3"/>
        <v xml:space="preserve">INSERT INTO attribute_values (attribute_id, tag, name, details) VALUES ((SELECT id FROM attributes WHERE tag = 'att_celllines' LIMIT 1),  'att_celllines:hek293',  'HEK293',  'Human Embryonic Kidney cancer cells; epithelial'); </v>
      </c>
    </row>
    <row r="45" spans="1:15" x14ac:dyDescent="0.15">
      <c r="A45" s="12" t="b">
        <f>FALSE()</f>
        <v>0</v>
      </c>
      <c r="B45" s="12"/>
      <c r="C45" s="6" t="s">
        <v>482</v>
      </c>
      <c r="D45" s="6" t="s">
        <v>483</v>
      </c>
      <c r="E45" s="6" t="s">
        <v>15</v>
      </c>
      <c r="F45" s="6" t="s">
        <v>2481</v>
      </c>
      <c r="G45" s="6" t="s">
        <v>2482</v>
      </c>
      <c r="H45" s="6" t="str">
        <f t="shared" si="0"/>
        <v>att_celllines</v>
      </c>
      <c r="I45" s="6" t="s">
        <v>482</v>
      </c>
      <c r="J45" s="6" t="str">
        <f t="shared" si="1"/>
        <v>att_celllines:hek293t</v>
      </c>
      <c r="K45" s="11" t="s">
        <v>19</v>
      </c>
      <c r="L45" s="6" t="s">
        <v>484</v>
      </c>
      <c r="M45" s="6" t="s">
        <v>2484</v>
      </c>
      <c r="N45" s="6" t="str">
        <f t="shared" si="2"/>
        <v>INSERT INTO attributes (parent_id, tag, name, priority, allow_as_filter, allow_for_dataset, allow_for_measurement, allow_for_users, allow_for_qc) VALUES (NULL, 'att_celllines',  'Celllines',  500,  TRUE, TRUE, TRUE, FALSE, FALSE);</v>
      </c>
      <c r="O45" s="6" t="str">
        <f t="shared" si="3"/>
        <v xml:space="preserve">INSERT INTO attribute_values (attribute_id, tag, name, details) VALUES ((SELECT id FROM attributes WHERE tag = 'att_celllines' LIMIT 1),  'att_celllines:hek293t',  'HEK293T',  'Human Embryonic Kidney cancer cells; epithelial; derivates from HEK293'); </v>
      </c>
    </row>
    <row r="46" spans="1:15" x14ac:dyDescent="0.15">
      <c r="A46" s="12" t="b">
        <f>FALSE()</f>
        <v>0</v>
      </c>
      <c r="B46" s="12"/>
      <c r="C46" s="6" t="s">
        <v>485</v>
      </c>
      <c r="D46" s="6" t="s">
        <v>486</v>
      </c>
      <c r="E46" s="6" t="s">
        <v>15</v>
      </c>
      <c r="F46" s="6" t="s">
        <v>2481</v>
      </c>
      <c r="G46" s="6" t="s">
        <v>2482</v>
      </c>
      <c r="H46" s="6" t="str">
        <f t="shared" si="0"/>
        <v>att_celllines</v>
      </c>
      <c r="I46" s="6" t="s">
        <v>485</v>
      </c>
      <c r="J46" s="6" t="str">
        <f t="shared" si="1"/>
        <v>att_celllines:hela</v>
      </c>
      <c r="K46" s="11" t="s">
        <v>19</v>
      </c>
      <c r="L46" s="6" t="s">
        <v>487</v>
      </c>
      <c r="M46" s="6" t="s">
        <v>2484</v>
      </c>
      <c r="N46" s="6" t="str">
        <f t="shared" si="2"/>
        <v>INSERT INTO attributes (parent_id, tag, name, priority, allow_as_filter, allow_for_dataset, allow_for_measurement, allow_for_users, allow_for_qc) VALUES (NULL, 'att_celllines',  'Celllines',  500,  TRUE, TRUE, TRUE, FALSE, FALSE);</v>
      </c>
      <c r="O46" s="6" t="str">
        <f t="shared" si="3"/>
        <v xml:space="preserve">INSERT INTO attribute_values (attribute_id, tag, name, details) VALUES ((SELECT id FROM attributes WHERE tag = 'att_celllines' LIMIT 1),  'att_celllines:hela',  'HeLa',  'Human epithelial cell; cervical cancer; Henrietta Lacks'); </v>
      </c>
    </row>
    <row r="47" spans="1:15" x14ac:dyDescent="0.15">
      <c r="A47" s="12" t="b">
        <f>FALSE()</f>
        <v>0</v>
      </c>
      <c r="B47" s="12"/>
      <c r="C47" s="6" t="s">
        <v>488</v>
      </c>
      <c r="D47" s="6" t="s">
        <v>489</v>
      </c>
      <c r="E47" s="6" t="s">
        <v>15</v>
      </c>
      <c r="F47" s="6" t="s">
        <v>2481</v>
      </c>
      <c r="G47" s="6" t="s">
        <v>2482</v>
      </c>
      <c r="H47" s="6" t="str">
        <f t="shared" si="0"/>
        <v>att_celllines</v>
      </c>
      <c r="I47" s="6" t="s">
        <v>488</v>
      </c>
      <c r="J47" s="6" t="str">
        <f t="shared" si="1"/>
        <v>att_celllines:hl60</v>
      </c>
      <c r="K47" s="11" t="s">
        <v>19</v>
      </c>
      <c r="L47" s="6" t="s">
        <v>467</v>
      </c>
      <c r="M47" s="6" t="s">
        <v>2483</v>
      </c>
      <c r="N47" s="6" t="str">
        <f t="shared" si="2"/>
        <v>INSERT INTO attributes (parent_id, tag, name, priority, allow_as_filter, allow_for_dataset, allow_for_measurement, allow_for_users, allow_for_qc) VALUES (NULL, 'att_celllines',  'Celllines',  500,  TRUE, TRUE, TRUE, FALSE, FALSE);</v>
      </c>
      <c r="O47" s="6" t="str">
        <f t="shared" si="3"/>
        <v xml:space="preserve">INSERT INTO attribute_values (attribute_id, tag, name, details) VALUES ((SELECT id FROM attributes WHERE tag = 'att_celllines' LIMIT 1),  'att_celllines:hl60',  'HL-60',  'Human NCI-60 cell line; Leukemia'); </v>
      </c>
    </row>
    <row r="48" spans="1:15" x14ac:dyDescent="0.15">
      <c r="A48" s="12" t="b">
        <f>FALSE()</f>
        <v>0</v>
      </c>
      <c r="B48" s="12"/>
      <c r="C48" s="6" t="s">
        <v>490</v>
      </c>
      <c r="D48" s="6" t="s">
        <v>491</v>
      </c>
      <c r="E48" s="6" t="s">
        <v>15</v>
      </c>
      <c r="F48" s="6" t="s">
        <v>2481</v>
      </c>
      <c r="G48" s="6" t="s">
        <v>2482</v>
      </c>
      <c r="H48" s="6" t="str">
        <f t="shared" si="0"/>
        <v>att_celllines</v>
      </c>
      <c r="I48" s="6" t="s">
        <v>490</v>
      </c>
      <c r="J48" s="6" t="str">
        <f t="shared" si="1"/>
        <v>att_celllines:hop62</v>
      </c>
      <c r="K48" s="11" t="s">
        <v>19</v>
      </c>
      <c r="L48" s="6" t="s">
        <v>446</v>
      </c>
      <c r="M48" s="6" t="s">
        <v>2483</v>
      </c>
      <c r="N48" s="6" t="str">
        <f t="shared" si="2"/>
        <v>INSERT INTO attributes (parent_id, tag, name, priority, allow_as_filter, allow_for_dataset, allow_for_measurement, allow_for_users, allow_for_qc) VALUES (NULL, 'att_celllines',  'Celllines',  500,  TRUE, TRUE, TRUE, FALSE, FALSE);</v>
      </c>
      <c r="O48" s="6" t="str">
        <f t="shared" si="3"/>
        <v xml:space="preserve">INSERT INTO attribute_values (attribute_id, tag, name, details) VALUES ((SELECT id FROM attributes WHERE tag = 'att_celllines' LIMIT 1),  'att_celllines:hop62',  'HOP-62',  'Human NCI-60 cell line; Non-Small Cell Lung cancer'); </v>
      </c>
    </row>
    <row r="49" spans="1:15" x14ac:dyDescent="0.15">
      <c r="A49" s="12" t="b">
        <f>FALSE()</f>
        <v>0</v>
      </c>
      <c r="B49" s="12"/>
      <c r="C49" s="6" t="s">
        <v>492</v>
      </c>
      <c r="D49" s="6" t="s">
        <v>493</v>
      </c>
      <c r="E49" s="6" t="s">
        <v>15</v>
      </c>
      <c r="F49" s="6" t="s">
        <v>2481</v>
      </c>
      <c r="G49" s="6" t="s">
        <v>2482</v>
      </c>
      <c r="H49" s="6" t="str">
        <f t="shared" si="0"/>
        <v>att_celllines</v>
      </c>
      <c r="I49" s="6" t="s">
        <v>492</v>
      </c>
      <c r="J49" s="6" t="str">
        <f t="shared" si="1"/>
        <v>att_celllines:hop92</v>
      </c>
      <c r="K49" s="11" t="s">
        <v>19</v>
      </c>
      <c r="L49" s="6" t="s">
        <v>446</v>
      </c>
      <c r="M49" s="6" t="s">
        <v>2483</v>
      </c>
      <c r="N49" s="6" t="str">
        <f t="shared" si="2"/>
        <v>INSERT INTO attributes (parent_id, tag, name, priority, allow_as_filter, allow_for_dataset, allow_for_measurement, allow_for_users, allow_for_qc) VALUES (NULL, 'att_celllines',  'Celllines',  500,  TRUE, TRUE, TRUE, FALSE, FALSE);</v>
      </c>
      <c r="O49" s="6" t="str">
        <f t="shared" si="3"/>
        <v xml:space="preserve">INSERT INTO attribute_values (attribute_id, tag, name, details) VALUES ((SELECT id FROM attributes WHERE tag = 'att_celllines' LIMIT 1),  'att_celllines:hop92',  'HOP-92',  'Human NCI-60 cell line; Non-Small Cell Lung cancer'); </v>
      </c>
    </row>
    <row r="50" spans="1:15" x14ac:dyDescent="0.15">
      <c r="A50" s="12" t="b">
        <f>FALSE()</f>
        <v>0</v>
      </c>
      <c r="B50" s="12"/>
      <c r="C50" s="6" t="s">
        <v>494</v>
      </c>
      <c r="D50" s="6" t="s">
        <v>495</v>
      </c>
      <c r="E50" s="6" t="s">
        <v>15</v>
      </c>
      <c r="F50" s="6" t="s">
        <v>2481</v>
      </c>
      <c r="G50" s="6" t="s">
        <v>2482</v>
      </c>
      <c r="H50" s="6" t="str">
        <f t="shared" si="0"/>
        <v>att_celllines</v>
      </c>
      <c r="I50" s="6" t="s">
        <v>494</v>
      </c>
      <c r="J50" s="6" t="str">
        <f t="shared" si="1"/>
        <v>att_celllines:hs578t</v>
      </c>
      <c r="K50" s="11" t="s">
        <v>19</v>
      </c>
      <c r="L50" s="6" t="s">
        <v>456</v>
      </c>
      <c r="M50" s="6" t="s">
        <v>2483</v>
      </c>
      <c r="N50" s="6" t="str">
        <f t="shared" si="2"/>
        <v>INSERT INTO attributes (parent_id, tag, name, priority, allow_as_filter, allow_for_dataset, allow_for_measurement, allow_for_users, allow_for_qc) VALUES (NULL, 'att_celllines',  'Celllines',  500,  TRUE, TRUE, TRUE, FALSE, FALSE);</v>
      </c>
      <c r="O50" s="6" t="str">
        <f t="shared" si="3"/>
        <v xml:space="preserve">INSERT INTO attribute_values (attribute_id, tag, name, details) VALUES ((SELECT id FROM attributes WHERE tag = 'att_celllines' LIMIT 1),  'att_celllines:hs578t',  'HS 578T',  'Human NCI-60 cell line; Breast Cancer'); </v>
      </c>
    </row>
    <row r="51" spans="1:15" x14ac:dyDescent="0.15">
      <c r="A51" s="12" t="b">
        <f>FALSE()</f>
        <v>0</v>
      </c>
      <c r="B51" s="12"/>
      <c r="C51" s="6" t="s">
        <v>496</v>
      </c>
      <c r="D51" s="6" t="s">
        <v>497</v>
      </c>
      <c r="E51" s="6" t="s">
        <v>15</v>
      </c>
      <c r="F51" s="6" t="s">
        <v>2481</v>
      </c>
      <c r="G51" s="6" t="s">
        <v>2482</v>
      </c>
      <c r="H51" s="6" t="str">
        <f t="shared" si="0"/>
        <v>att_celllines</v>
      </c>
      <c r="I51" s="6" t="s">
        <v>496</v>
      </c>
      <c r="J51" s="6" t="str">
        <f t="shared" si="1"/>
        <v>att_celllines:ht29</v>
      </c>
      <c r="K51" s="11" t="s">
        <v>19</v>
      </c>
      <c r="L51" s="6" t="s">
        <v>464</v>
      </c>
      <c r="M51" s="6" t="s">
        <v>2483</v>
      </c>
      <c r="N51" s="6" t="str">
        <f t="shared" si="2"/>
        <v>INSERT INTO attributes (parent_id, tag, name, priority, allow_as_filter, allow_for_dataset, allow_for_measurement, allow_for_users, allow_for_qc) VALUES (NULL, 'att_celllines',  'Celllines',  500,  TRUE, TRUE, TRUE, FALSE, FALSE);</v>
      </c>
      <c r="O51" s="6" t="str">
        <f t="shared" si="3"/>
        <v xml:space="preserve">INSERT INTO attribute_values (attribute_id, tag, name, details) VALUES ((SELECT id FROM attributes WHERE tag = 'att_celllines' LIMIT 1),  'att_celllines:ht29',  'HT29',  'Human NCI-60 cell line; Colon cancer'); </v>
      </c>
    </row>
    <row r="52" spans="1:15" x14ac:dyDescent="0.15">
      <c r="A52" s="12" t="b">
        <f>FALSE()</f>
        <v>0</v>
      </c>
      <c r="B52" s="12"/>
      <c r="C52" s="6" t="s">
        <v>498</v>
      </c>
      <c r="D52" s="6" t="s">
        <v>499</v>
      </c>
      <c r="E52" s="6" t="s">
        <v>15</v>
      </c>
      <c r="F52" s="6" t="s">
        <v>2481</v>
      </c>
      <c r="G52" s="6" t="s">
        <v>2482</v>
      </c>
      <c r="H52" s="6" t="str">
        <f t="shared" si="0"/>
        <v>att_celllines</v>
      </c>
      <c r="I52" s="6" t="s">
        <v>498</v>
      </c>
      <c r="J52" s="6" t="str">
        <f t="shared" si="1"/>
        <v>att_celllines:igrov1</v>
      </c>
      <c r="K52" s="11" t="s">
        <v>19</v>
      </c>
      <c r="L52" s="6" t="s">
        <v>500</v>
      </c>
      <c r="M52" s="6" t="s">
        <v>2483</v>
      </c>
      <c r="N52" s="6" t="str">
        <f t="shared" si="2"/>
        <v>INSERT INTO attributes (parent_id, tag, name, priority, allow_as_filter, allow_for_dataset, allow_for_measurement, allow_for_users, allow_for_qc) VALUES (NULL, 'att_celllines',  'Celllines',  500,  TRUE, TRUE, TRUE, FALSE, FALSE);</v>
      </c>
      <c r="O52" s="6" t="str">
        <f t="shared" si="3"/>
        <v xml:space="preserve">INSERT INTO attribute_values (attribute_id, tag, name, details) VALUES ((SELECT id FROM attributes WHERE tag = 'att_celllines' LIMIT 1),  'att_celllines:igrov1',  'IGR-OV1',  'Human NCI-60 cell line; Ovarian Cancer'); </v>
      </c>
    </row>
    <row r="53" spans="1:15" x14ac:dyDescent="0.15">
      <c r="A53" s="12" t="b">
        <f>FALSE()</f>
        <v>0</v>
      </c>
      <c r="B53" s="12"/>
      <c r="C53" s="6" t="s">
        <v>504</v>
      </c>
      <c r="D53" s="6" t="s">
        <v>505</v>
      </c>
      <c r="E53" s="6" t="s">
        <v>15</v>
      </c>
      <c r="F53" s="6" t="s">
        <v>2481</v>
      </c>
      <c r="G53" s="6" t="s">
        <v>2482</v>
      </c>
      <c r="H53" s="6" t="str">
        <f t="shared" si="0"/>
        <v>att_celllines</v>
      </c>
      <c r="I53" s="6" t="s">
        <v>504</v>
      </c>
      <c r="J53" s="6" t="str">
        <f t="shared" si="1"/>
        <v>att_celllines:jeko1</v>
      </c>
      <c r="K53" s="11" t="s">
        <v>19</v>
      </c>
      <c r="L53" s="6" t="s">
        <v>506</v>
      </c>
      <c r="M53" s="6" t="s">
        <v>15</v>
      </c>
      <c r="N53" s="6" t="str">
        <f t="shared" si="2"/>
        <v>INSERT INTO attributes (parent_id, tag, name, priority, allow_as_filter, allow_for_dataset, allow_for_measurement, allow_for_users, allow_for_qc) VALUES (NULL, 'att_celllines',  'Celllines',  500,  TRUE, TRUE, TRUE, FALSE, FALSE);</v>
      </c>
      <c r="O53" s="6" t="str">
        <f t="shared" si="3"/>
        <v xml:space="preserve">INSERT INTO attribute_values (attribute_id, tag, name, details) VALUES ((SELECT id FROM attributes WHERE tag = 'att_celllines' LIMIT 1),  'att_celllines:jeko1',  'JeKo-1',  'Human Mantle cell lymphoma'); </v>
      </c>
    </row>
    <row r="54" spans="1:15" x14ac:dyDescent="0.15">
      <c r="A54" s="12" t="b">
        <f>FALSE()</f>
        <v>0</v>
      </c>
      <c r="B54" s="12"/>
      <c r="C54" s="6" t="s">
        <v>507</v>
      </c>
      <c r="D54" s="6" t="s">
        <v>508</v>
      </c>
      <c r="E54" s="6" t="s">
        <v>15</v>
      </c>
      <c r="F54" s="6" t="s">
        <v>2481</v>
      </c>
      <c r="G54" s="6" t="s">
        <v>2482</v>
      </c>
      <c r="H54" s="6" t="str">
        <f t="shared" si="0"/>
        <v>att_celllines</v>
      </c>
      <c r="I54" s="6" t="s">
        <v>507</v>
      </c>
      <c r="J54" s="6" t="str">
        <f t="shared" si="1"/>
        <v>att_celllines:jurkat</v>
      </c>
      <c r="K54" s="11" t="s">
        <v>19</v>
      </c>
      <c r="L54" s="6" t="s">
        <v>509</v>
      </c>
      <c r="M54" s="6" t="s">
        <v>15</v>
      </c>
      <c r="N54" s="6" t="str">
        <f t="shared" si="2"/>
        <v>INSERT INTO attributes (parent_id, tag, name, priority, allow_as_filter, allow_for_dataset, allow_for_measurement, allow_for_users, allow_for_qc) VALUES (NULL, 'att_celllines',  'Celllines',  500,  TRUE, TRUE, TRUE, FALSE, FALSE);</v>
      </c>
      <c r="O54" s="6" t="str">
        <f t="shared" si="3"/>
        <v xml:space="preserve">INSERT INTO attribute_values (attribute_id, tag, name, details) VALUES ((SELECT id FROM attributes WHERE tag = 'att_celllines' LIMIT 1),  'att_celllines:jurkat',  'JURKAT',  'Acute T cell leukemia; human T lymphocytes'); </v>
      </c>
    </row>
    <row r="55" spans="1:15" x14ac:dyDescent="0.15">
      <c r="A55" s="12" t="b">
        <f>FALSE()</f>
        <v>0</v>
      </c>
      <c r="B55" s="12"/>
      <c r="C55" s="6" t="s">
        <v>510</v>
      </c>
      <c r="D55" s="6" t="s">
        <v>511</v>
      </c>
      <c r="E55" s="6" t="s">
        <v>15</v>
      </c>
      <c r="F55" s="6" t="s">
        <v>2481</v>
      </c>
      <c r="G55" s="6" t="s">
        <v>2482</v>
      </c>
      <c r="H55" s="6" t="str">
        <f t="shared" si="0"/>
        <v>att_celllines</v>
      </c>
      <c r="I55" s="6" t="s">
        <v>510</v>
      </c>
      <c r="J55" s="6" t="str">
        <f t="shared" si="1"/>
        <v>att_celllines:jvm13</v>
      </c>
      <c r="K55" s="11" t="s">
        <v>19</v>
      </c>
      <c r="L55" s="6" t="s">
        <v>506</v>
      </c>
      <c r="M55" s="6" t="s">
        <v>15</v>
      </c>
      <c r="N55" s="6" t="str">
        <f t="shared" si="2"/>
        <v>INSERT INTO attributes (parent_id, tag, name, priority, allow_as_filter, allow_for_dataset, allow_for_measurement, allow_for_users, allow_for_qc) VALUES (NULL, 'att_celllines',  'Celllines',  500,  TRUE, TRUE, TRUE, FALSE, FALSE);</v>
      </c>
      <c r="O55" s="6" t="str">
        <f t="shared" si="3"/>
        <v xml:space="preserve">INSERT INTO attribute_values (attribute_id, tag, name, details) VALUES ((SELECT id FROM attributes WHERE tag = 'att_celllines' LIMIT 1),  'att_celllines:jvm13',  'JVM-13',  'Human Mantle cell lymphoma'); </v>
      </c>
    </row>
    <row r="56" spans="1:15" x14ac:dyDescent="0.15">
      <c r="A56" s="12" t="b">
        <f>FALSE()</f>
        <v>0</v>
      </c>
      <c r="B56" s="12"/>
      <c r="C56" s="6" t="s">
        <v>512</v>
      </c>
      <c r="D56" s="6" t="s">
        <v>513</v>
      </c>
      <c r="E56" s="6" t="s">
        <v>15</v>
      </c>
      <c r="F56" s="6" t="s">
        <v>2481</v>
      </c>
      <c r="G56" s="6" t="s">
        <v>2482</v>
      </c>
      <c r="H56" s="6" t="str">
        <f t="shared" si="0"/>
        <v>att_celllines</v>
      </c>
      <c r="I56" s="6" t="s">
        <v>512</v>
      </c>
      <c r="J56" s="6" t="str">
        <f t="shared" si="1"/>
        <v>att_celllines:jvm2</v>
      </c>
      <c r="K56" s="11" t="s">
        <v>19</v>
      </c>
      <c r="L56" s="6" t="s">
        <v>506</v>
      </c>
      <c r="M56" s="6" t="s">
        <v>15</v>
      </c>
      <c r="N56" s="6" t="str">
        <f t="shared" si="2"/>
        <v>INSERT INTO attributes (parent_id, tag, name, priority, allow_as_filter, allow_for_dataset, allow_for_measurement, allow_for_users, allow_for_qc) VALUES (NULL, 'att_celllines',  'Celllines',  500,  TRUE, TRUE, TRUE, FALSE, FALSE);</v>
      </c>
      <c r="O56" s="6" t="str">
        <f t="shared" si="3"/>
        <v xml:space="preserve">INSERT INTO attribute_values (attribute_id, tag, name, details) VALUES ((SELECT id FROM attributes WHERE tag = 'att_celllines' LIMIT 1),  'att_celllines:jvm2',  'JVM-2',  'Human Mantle cell lymphoma'); </v>
      </c>
    </row>
    <row r="57" spans="1:15" x14ac:dyDescent="0.15">
      <c r="A57" s="12" t="b">
        <f>FALSE()</f>
        <v>0</v>
      </c>
      <c r="B57" s="12"/>
      <c r="C57" s="6" t="s">
        <v>514</v>
      </c>
      <c r="D57" s="6" t="s">
        <v>515</v>
      </c>
      <c r="E57" s="6" t="s">
        <v>15</v>
      </c>
      <c r="F57" s="6" t="s">
        <v>2481</v>
      </c>
      <c r="G57" s="6" t="s">
        <v>2482</v>
      </c>
      <c r="H57" s="6" t="str">
        <f t="shared" si="0"/>
        <v>att_celllines</v>
      </c>
      <c r="I57" s="6" t="s">
        <v>514</v>
      </c>
      <c r="J57" s="6" t="str">
        <f t="shared" si="1"/>
        <v>att_celllines:k562</v>
      </c>
      <c r="K57" s="11" t="s">
        <v>19</v>
      </c>
      <c r="L57" s="6" t="s">
        <v>467</v>
      </c>
      <c r="M57" s="6" t="s">
        <v>2483</v>
      </c>
      <c r="N57" s="6" t="str">
        <f t="shared" si="2"/>
        <v>INSERT INTO attributes (parent_id, tag, name, priority, allow_as_filter, allow_for_dataset, allow_for_measurement, allow_for_users, allow_for_qc) VALUES (NULL, 'att_celllines',  'Celllines',  500,  TRUE, TRUE, TRUE, FALSE, FALSE);</v>
      </c>
      <c r="O57" s="6" t="str">
        <f t="shared" si="3"/>
        <v xml:space="preserve">INSERT INTO attribute_values (attribute_id, tag, name, details) VALUES ((SELECT id FROM attributes WHERE tag = 'att_celllines' LIMIT 1),  'att_celllines:k562',  'K-562',  'Human NCI-60 cell line; Leukemia'); </v>
      </c>
    </row>
    <row r="58" spans="1:15" x14ac:dyDescent="0.15">
      <c r="A58" s="12" t="b">
        <f>FALSE()</f>
        <v>0</v>
      </c>
      <c r="B58" s="12"/>
      <c r="C58" s="6" t="s">
        <v>516</v>
      </c>
      <c r="D58" s="6" t="s">
        <v>517</v>
      </c>
      <c r="E58" s="6" t="s">
        <v>15</v>
      </c>
      <c r="F58" s="6" t="s">
        <v>2481</v>
      </c>
      <c r="G58" s="6" t="s">
        <v>2482</v>
      </c>
      <c r="H58" s="6" t="str">
        <f t="shared" si="0"/>
        <v>att_celllines</v>
      </c>
      <c r="I58" s="6" t="s">
        <v>516</v>
      </c>
      <c r="J58" s="6" t="str">
        <f t="shared" si="1"/>
        <v>att_celllines:km12</v>
      </c>
      <c r="K58" s="11" t="s">
        <v>19</v>
      </c>
      <c r="L58" s="6" t="s">
        <v>464</v>
      </c>
      <c r="M58" s="6" t="s">
        <v>2483</v>
      </c>
      <c r="N58" s="6" t="str">
        <f t="shared" si="2"/>
        <v>INSERT INTO attributes (parent_id, tag, name, priority, allow_as_filter, allow_for_dataset, allow_for_measurement, allow_for_users, allow_for_qc) VALUES (NULL, 'att_celllines',  'Celllines',  500,  TRUE, TRUE, TRUE, FALSE, FALSE);</v>
      </c>
      <c r="O58" s="6" t="str">
        <f t="shared" si="3"/>
        <v xml:space="preserve">INSERT INTO attribute_values (attribute_id, tag, name, details) VALUES ((SELECT id FROM attributes WHERE tag = 'att_celllines' LIMIT 1),  'att_celllines:km12',  'KM12',  'Human NCI-60 cell line; Colon cancer'); </v>
      </c>
    </row>
    <row r="59" spans="1:15" x14ac:dyDescent="0.15">
      <c r="A59" s="12" t="b">
        <f>FALSE()</f>
        <v>0</v>
      </c>
      <c r="B59" s="12"/>
      <c r="C59" s="6" t="s">
        <v>518</v>
      </c>
      <c r="D59" s="6" t="s">
        <v>519</v>
      </c>
      <c r="E59" s="6" t="s">
        <v>15</v>
      </c>
      <c r="F59" s="6" t="s">
        <v>2481</v>
      </c>
      <c r="G59" s="6" t="s">
        <v>2482</v>
      </c>
      <c r="H59" s="6" t="str">
        <f t="shared" si="0"/>
        <v>att_celllines</v>
      </c>
      <c r="I59" s="6" t="s">
        <v>518</v>
      </c>
      <c r="J59" s="6" t="str">
        <f t="shared" si="1"/>
        <v>att_celllines:lox_imvi</v>
      </c>
      <c r="K59" s="11" t="s">
        <v>19</v>
      </c>
      <c r="L59" s="6" t="s">
        <v>520</v>
      </c>
      <c r="M59" s="6" t="s">
        <v>2483</v>
      </c>
      <c r="N59" s="6" t="str">
        <f t="shared" si="2"/>
        <v>INSERT INTO attributes (parent_id, tag, name, priority, allow_as_filter, allow_for_dataset, allow_for_measurement, allow_for_users, allow_for_qc) VALUES (NULL, 'att_celllines',  'Celllines',  500,  TRUE, TRUE, TRUE, FALSE, FALSE);</v>
      </c>
      <c r="O59" s="6" t="str">
        <f t="shared" si="3"/>
        <v xml:space="preserve">INSERT INTO attribute_values (attribute_id, tag, name, details) VALUES ((SELECT id FROM attributes WHERE tag = 'att_celllines' LIMIT 1),  'att_celllines:lox_imvi',  'LOX IMVI',  'Human NCI-60 cell line; Melanoma'); </v>
      </c>
    </row>
    <row r="60" spans="1:15" x14ac:dyDescent="0.15">
      <c r="A60" s="12" t="b">
        <f>FALSE()</f>
        <v>0</v>
      </c>
      <c r="B60" s="12"/>
      <c r="C60" s="6" t="s">
        <v>521</v>
      </c>
      <c r="D60" s="6" t="s">
        <v>522</v>
      </c>
      <c r="E60" s="6" t="s">
        <v>15</v>
      </c>
      <c r="F60" s="6" t="s">
        <v>2481</v>
      </c>
      <c r="G60" s="6" t="s">
        <v>2482</v>
      </c>
      <c r="H60" s="6" t="str">
        <f t="shared" si="0"/>
        <v>att_celllines</v>
      </c>
      <c r="I60" s="6" t="s">
        <v>521</v>
      </c>
      <c r="J60" s="6" t="str">
        <f t="shared" si="1"/>
        <v>att_celllines:m14</v>
      </c>
      <c r="K60" s="11" t="s">
        <v>19</v>
      </c>
      <c r="L60" s="6" t="s">
        <v>520</v>
      </c>
      <c r="M60" s="6" t="s">
        <v>2483</v>
      </c>
      <c r="N60" s="6" t="str">
        <f t="shared" si="2"/>
        <v>INSERT INTO attributes (parent_id, tag, name, priority, allow_as_filter, allow_for_dataset, allow_for_measurement, allow_for_users, allow_for_qc) VALUES (NULL, 'att_celllines',  'Celllines',  500,  TRUE, TRUE, TRUE, FALSE, FALSE);</v>
      </c>
      <c r="O60" s="6" t="str">
        <f t="shared" si="3"/>
        <v xml:space="preserve">INSERT INTO attribute_values (attribute_id, tag, name, details) VALUES ((SELECT id FROM attributes WHERE tag = 'att_celllines' LIMIT 1),  'att_celllines:m14',  'M14',  'Human NCI-60 cell line; Melanoma'); </v>
      </c>
    </row>
    <row r="61" spans="1:15" x14ac:dyDescent="0.15">
      <c r="A61" s="12" t="b">
        <f>FALSE()</f>
        <v>0</v>
      </c>
      <c r="B61" s="12"/>
      <c r="C61" s="6" t="s">
        <v>523</v>
      </c>
      <c r="D61" s="6" t="s">
        <v>524</v>
      </c>
      <c r="E61" s="6" t="s">
        <v>15</v>
      </c>
      <c r="F61" s="6" t="s">
        <v>2481</v>
      </c>
      <c r="G61" s="6" t="s">
        <v>2482</v>
      </c>
      <c r="H61" s="6" t="str">
        <f t="shared" si="0"/>
        <v>att_celllines</v>
      </c>
      <c r="I61" s="6" t="s">
        <v>523</v>
      </c>
      <c r="J61" s="6" t="str">
        <f t="shared" si="1"/>
        <v>att_celllines:malme3m</v>
      </c>
      <c r="K61" s="11" t="s">
        <v>19</v>
      </c>
      <c r="L61" s="6" t="s">
        <v>520</v>
      </c>
      <c r="M61" s="6" t="s">
        <v>2483</v>
      </c>
      <c r="N61" s="6" t="str">
        <f t="shared" si="2"/>
        <v>INSERT INTO attributes (parent_id, tag, name, priority, allow_as_filter, allow_for_dataset, allow_for_measurement, allow_for_users, allow_for_qc) VALUES (NULL, 'att_celllines',  'Celllines',  500,  TRUE, TRUE, TRUE, FALSE, FALSE);</v>
      </c>
      <c r="O61" s="6" t="str">
        <f t="shared" si="3"/>
        <v xml:space="preserve">INSERT INTO attribute_values (attribute_id, tag, name, details) VALUES ((SELECT id FROM attributes WHERE tag = 'att_celllines' LIMIT 1),  'att_celllines:malme3m',  'MALME-3M',  'Human NCI-60 cell line; Melanoma'); </v>
      </c>
    </row>
    <row r="62" spans="1:15" x14ac:dyDescent="0.15">
      <c r="A62" s="12" t="b">
        <f>FALSE()</f>
        <v>0</v>
      </c>
      <c r="B62" s="12"/>
      <c r="C62" s="6" t="s">
        <v>525</v>
      </c>
      <c r="D62" s="6" t="s">
        <v>526</v>
      </c>
      <c r="E62" s="6" t="s">
        <v>15</v>
      </c>
      <c r="F62" s="6" t="s">
        <v>2481</v>
      </c>
      <c r="G62" s="6" t="s">
        <v>2482</v>
      </c>
      <c r="H62" s="6" t="str">
        <f t="shared" si="0"/>
        <v>att_celllines</v>
      </c>
      <c r="I62" s="6" t="s">
        <v>525</v>
      </c>
      <c r="J62" s="6" t="str">
        <f t="shared" si="1"/>
        <v>att_celllines:maver1</v>
      </c>
      <c r="K62" s="11" t="s">
        <v>19</v>
      </c>
      <c r="L62" s="6" t="s">
        <v>506</v>
      </c>
      <c r="M62" s="6" t="s">
        <v>15</v>
      </c>
      <c r="N62" s="6" t="str">
        <f t="shared" si="2"/>
        <v>INSERT INTO attributes (parent_id, tag, name, priority, allow_as_filter, allow_for_dataset, allow_for_measurement, allow_for_users, allow_for_qc) VALUES (NULL, 'att_celllines',  'Celllines',  500,  TRUE, TRUE, TRUE, FALSE, FALSE);</v>
      </c>
      <c r="O62" s="6" t="str">
        <f t="shared" si="3"/>
        <v xml:space="preserve">INSERT INTO attribute_values (attribute_id, tag, name, details) VALUES ((SELECT id FROM attributes WHERE tag = 'att_celllines' LIMIT 1),  'att_celllines:maver1',  'MAVER-1',  'Human Mantle cell lymphoma'); </v>
      </c>
    </row>
    <row r="63" spans="1:15" x14ac:dyDescent="0.15">
      <c r="A63" s="12" t="b">
        <f>FALSE()</f>
        <v>0</v>
      </c>
      <c r="B63" s="12"/>
      <c r="C63" s="6" t="s">
        <v>527</v>
      </c>
      <c r="D63" s="6" t="s">
        <v>528</v>
      </c>
      <c r="E63" s="6" t="s">
        <v>15</v>
      </c>
      <c r="F63" s="6" t="s">
        <v>2481</v>
      </c>
      <c r="G63" s="6" t="s">
        <v>2482</v>
      </c>
      <c r="H63" s="6" t="str">
        <f t="shared" si="0"/>
        <v>att_celllines</v>
      </c>
      <c r="I63" s="6" t="s">
        <v>527</v>
      </c>
      <c r="J63" s="6" t="str">
        <f t="shared" si="1"/>
        <v>att_celllines:mcf7</v>
      </c>
      <c r="K63" s="11" t="s">
        <v>19</v>
      </c>
      <c r="L63" s="6" t="s">
        <v>456</v>
      </c>
      <c r="M63" s="6" t="s">
        <v>2483</v>
      </c>
      <c r="N63" s="6" t="str">
        <f t="shared" si="2"/>
        <v>INSERT INTO attributes (parent_id, tag, name, priority, allow_as_filter, allow_for_dataset, allow_for_measurement, allow_for_users, allow_for_qc) VALUES (NULL, 'att_celllines',  'Celllines',  500,  TRUE, TRUE, TRUE, FALSE, FALSE);</v>
      </c>
      <c r="O63" s="6" t="str">
        <f t="shared" si="3"/>
        <v xml:space="preserve">INSERT INTO attribute_values (attribute_id, tag, name, details) VALUES ((SELECT id FROM attributes WHERE tag = 'att_celllines' LIMIT 1),  'att_celllines:mcf7',  'MCF7',  'Human NCI-60 cell line; Breast Cancer'); </v>
      </c>
    </row>
    <row r="64" spans="1:15" x14ac:dyDescent="0.15">
      <c r="A64" s="12" t="b">
        <f>FALSE()</f>
        <v>0</v>
      </c>
      <c r="B64" s="12"/>
      <c r="C64" s="6" t="s">
        <v>529</v>
      </c>
      <c r="D64" s="6" t="s">
        <v>530</v>
      </c>
      <c r="E64" s="6" t="s">
        <v>15</v>
      </c>
      <c r="F64" s="6" t="s">
        <v>2481</v>
      </c>
      <c r="G64" s="6" t="s">
        <v>2482</v>
      </c>
      <c r="H64" s="6" t="str">
        <f t="shared" si="0"/>
        <v>att_celllines</v>
      </c>
      <c r="I64" s="6" t="s">
        <v>529</v>
      </c>
      <c r="J64" s="6" t="str">
        <f t="shared" si="1"/>
        <v>att_celllines:mdamb231</v>
      </c>
      <c r="K64" s="11" t="s">
        <v>19</v>
      </c>
      <c r="L64" s="6" t="s">
        <v>456</v>
      </c>
      <c r="M64" s="6" t="s">
        <v>2483</v>
      </c>
      <c r="N64" s="6" t="str">
        <f t="shared" si="2"/>
        <v>INSERT INTO attributes (parent_id, tag, name, priority, allow_as_filter, allow_for_dataset, allow_for_measurement, allow_for_users, allow_for_qc) VALUES (NULL, 'att_celllines',  'Celllines',  500,  TRUE, TRUE, TRUE, FALSE, FALSE);</v>
      </c>
      <c r="O64" s="6" t="str">
        <f t="shared" si="3"/>
        <v xml:space="preserve">INSERT INTO attribute_values (attribute_id, tag, name, details) VALUES ((SELECT id FROM attributes WHERE tag = 'att_celllines' LIMIT 1),  'att_celllines:mdamb231',  'MDA-MB-231',  'Human NCI-60 cell line; Breast Cancer'); </v>
      </c>
    </row>
    <row r="65" spans="1:15" x14ac:dyDescent="0.15">
      <c r="A65" s="12" t="b">
        <f>FALSE()</f>
        <v>0</v>
      </c>
      <c r="B65" s="12"/>
      <c r="C65" s="6" t="s">
        <v>531</v>
      </c>
      <c r="D65" s="6" t="s">
        <v>532</v>
      </c>
      <c r="E65" s="6" t="s">
        <v>15</v>
      </c>
      <c r="F65" s="6" t="s">
        <v>2481</v>
      </c>
      <c r="G65" s="6" t="s">
        <v>2482</v>
      </c>
      <c r="H65" s="6" t="str">
        <f t="shared" si="0"/>
        <v>att_celllines</v>
      </c>
      <c r="I65" s="6" t="s">
        <v>531</v>
      </c>
      <c r="J65" s="6" t="str">
        <f t="shared" si="1"/>
        <v>att_celllines:mdamb435</v>
      </c>
      <c r="K65" s="11" t="s">
        <v>19</v>
      </c>
      <c r="L65" s="6" t="s">
        <v>520</v>
      </c>
      <c r="M65" s="6" t="s">
        <v>2483</v>
      </c>
      <c r="N65" s="6" t="str">
        <f t="shared" si="2"/>
        <v>INSERT INTO attributes (parent_id, tag, name, priority, allow_as_filter, allow_for_dataset, allow_for_measurement, allow_for_users, allow_for_qc) VALUES (NULL, 'att_celllines',  'Celllines',  500,  TRUE, TRUE, TRUE, FALSE, FALSE);</v>
      </c>
      <c r="O65" s="6" t="str">
        <f t="shared" si="3"/>
        <v xml:space="preserve">INSERT INTO attribute_values (attribute_id, tag, name, details) VALUES ((SELECT id FROM attributes WHERE tag = 'att_celllines' LIMIT 1),  'att_celllines:mdamb435',  'MDA-MB-435',  'Human NCI-60 cell line; Melanoma'); </v>
      </c>
    </row>
    <row r="66" spans="1:15" x14ac:dyDescent="0.15">
      <c r="A66" s="12" t="b">
        <f>FALSE()</f>
        <v>0</v>
      </c>
      <c r="B66" s="12"/>
      <c r="C66" s="6" t="s">
        <v>533</v>
      </c>
      <c r="D66" s="6" t="s">
        <v>534</v>
      </c>
      <c r="E66" s="6" t="s">
        <v>15</v>
      </c>
      <c r="F66" s="6" t="s">
        <v>2481</v>
      </c>
      <c r="G66" s="6" t="s">
        <v>2482</v>
      </c>
      <c r="H66" s="6" t="str">
        <f t="shared" ref="H66:H129" si="4">"att_"&amp;G66</f>
        <v>att_celllines</v>
      </c>
      <c r="I66" s="6" t="s">
        <v>533</v>
      </c>
      <c r="J66" s="6" t="str">
        <f t="shared" ref="J66:J129" si="5">H66&amp;":"&amp;I66</f>
        <v>att_celllines:mdamb468</v>
      </c>
      <c r="K66" s="11" t="s">
        <v>19</v>
      </c>
      <c r="L66" s="6" t="s">
        <v>456</v>
      </c>
      <c r="M66" s="6" t="s">
        <v>2483</v>
      </c>
      <c r="N66" s="6" t="str">
        <f t="shared" ref="N66:N129" si="6">"INSERT INTO attributes (parent_id, tag, name, priority, allow_as_filter, allow_for_dataset, allow_for_measurement, allow_for_users, allow_for_qc) VALUES (NULL, '"&amp;H66&amp;"',  '"&amp;F66&amp;"',  500,  TRUE, TRUE, TRUE, FALSE, FALSE);"</f>
        <v>INSERT INTO attributes (parent_id, tag, name, priority, allow_as_filter, allow_for_dataset, allow_for_measurement, allow_for_users, allow_for_qc) VALUES (NULL, 'att_celllines',  'Celllines',  500,  TRUE, TRUE, TRUE, FALSE, FALSE);</v>
      </c>
      <c r="O66" s="6" t="str">
        <f t="shared" ref="O66:O129" si="7">"INSERT INTO attribute_values (attribute_id, tag, name, details) VALUES ((SELECT id FROM attributes WHERE tag = '"&amp;H66&amp;"' LIMIT 1),  '"&amp;J66&amp;"',  '"&amp;D66&amp;"',  '"&amp;L66&amp;"'); "</f>
        <v xml:space="preserve">INSERT INTO attribute_values (attribute_id, tag, name, details) VALUES ((SELECT id FROM attributes WHERE tag = 'att_celllines' LIMIT 1),  'att_celllines:mdamb468',  'MDA-MB-468',  'Human NCI-60 cell line; Breast Cancer'); </v>
      </c>
    </row>
    <row r="67" spans="1:15" x14ac:dyDescent="0.15">
      <c r="A67" s="12" t="b">
        <f>FALSE()</f>
        <v>0</v>
      </c>
      <c r="B67" s="12"/>
      <c r="C67" s="6" t="s">
        <v>538</v>
      </c>
      <c r="D67" s="6" t="s">
        <v>539</v>
      </c>
      <c r="E67" s="6" t="s">
        <v>15</v>
      </c>
      <c r="F67" s="6" t="s">
        <v>2481</v>
      </c>
      <c r="G67" s="6" t="s">
        <v>2482</v>
      </c>
      <c r="H67" s="6" t="str">
        <f t="shared" si="4"/>
        <v>att_celllines</v>
      </c>
      <c r="I67" s="6" t="s">
        <v>538</v>
      </c>
      <c r="J67" s="6" t="str">
        <f t="shared" si="5"/>
        <v>att_celllines:mino</v>
      </c>
      <c r="K67" s="11" t="s">
        <v>19</v>
      </c>
      <c r="L67" s="6" t="s">
        <v>506</v>
      </c>
      <c r="M67" s="6" t="s">
        <v>15</v>
      </c>
      <c r="N67" s="6" t="str">
        <f t="shared" si="6"/>
        <v>INSERT INTO attributes (parent_id, tag, name, priority, allow_as_filter, allow_for_dataset, allow_for_measurement, allow_for_users, allow_for_qc) VALUES (NULL, 'att_celllines',  'Celllines',  500,  TRUE, TRUE, TRUE, FALSE, FALSE);</v>
      </c>
      <c r="O67" s="6" t="str">
        <f t="shared" si="7"/>
        <v xml:space="preserve">INSERT INTO attribute_values (attribute_id, tag, name, details) VALUES ((SELECT id FROM attributes WHERE tag = 'att_celllines' LIMIT 1),  'att_celllines:mino',  'Mino',  'Human Mantle cell lymphoma'); </v>
      </c>
    </row>
    <row r="68" spans="1:15" x14ac:dyDescent="0.15">
      <c r="A68" s="12" t="b">
        <f>FALSE()</f>
        <v>0</v>
      </c>
      <c r="B68" s="12"/>
      <c r="C68" s="6" t="s">
        <v>540</v>
      </c>
      <c r="D68" s="6" t="s">
        <v>541</v>
      </c>
      <c r="E68" s="6" t="s">
        <v>15</v>
      </c>
      <c r="F68" s="6" t="s">
        <v>2481</v>
      </c>
      <c r="G68" s="6" t="s">
        <v>2482</v>
      </c>
      <c r="H68" s="6" t="str">
        <f t="shared" si="4"/>
        <v>att_celllines</v>
      </c>
      <c r="I68" s="6" t="s">
        <v>540</v>
      </c>
      <c r="J68" s="6" t="str">
        <f t="shared" si="5"/>
        <v>att_celllines:molt4</v>
      </c>
      <c r="K68" s="11" t="s">
        <v>19</v>
      </c>
      <c r="L68" s="6" t="s">
        <v>467</v>
      </c>
      <c r="M68" s="6" t="s">
        <v>2483</v>
      </c>
      <c r="N68" s="6" t="str">
        <f t="shared" si="6"/>
        <v>INSERT INTO attributes (parent_id, tag, name, priority, allow_as_filter, allow_for_dataset, allow_for_measurement, allow_for_users, allow_for_qc) VALUES (NULL, 'att_celllines',  'Celllines',  500,  TRUE, TRUE, TRUE, FALSE, FALSE);</v>
      </c>
      <c r="O68" s="6" t="str">
        <f t="shared" si="7"/>
        <v xml:space="preserve">INSERT INTO attribute_values (attribute_id, tag, name, details) VALUES ((SELECT id FROM attributes WHERE tag = 'att_celllines' LIMIT 1),  'att_celllines:molt4',  'MOLT-4',  'Human NCI-60 cell line; Leukemia'); </v>
      </c>
    </row>
    <row r="69" spans="1:15" x14ac:dyDescent="0.15">
      <c r="A69" s="12" t="b">
        <f>FALSE()</f>
        <v>0</v>
      </c>
      <c r="B69" s="12"/>
      <c r="C69" s="6" t="s">
        <v>542</v>
      </c>
      <c r="D69" s="6" t="s">
        <v>543</v>
      </c>
      <c r="E69" s="6" t="s">
        <v>15</v>
      </c>
      <c r="F69" s="6" t="s">
        <v>2481</v>
      </c>
      <c r="G69" s="6" t="s">
        <v>2482</v>
      </c>
      <c r="H69" s="6" t="str">
        <f t="shared" si="4"/>
        <v>att_celllines</v>
      </c>
      <c r="I69" s="6" t="s">
        <v>542</v>
      </c>
      <c r="J69" s="6" t="str">
        <f t="shared" si="5"/>
        <v>att_celllines:nceb1</v>
      </c>
      <c r="K69" s="11" t="s">
        <v>19</v>
      </c>
      <c r="L69" s="6" t="s">
        <v>506</v>
      </c>
      <c r="M69" s="6" t="s">
        <v>15</v>
      </c>
      <c r="N69" s="6" t="str">
        <f t="shared" si="6"/>
        <v>INSERT INTO attributes (parent_id, tag, name, priority, allow_as_filter, allow_for_dataset, allow_for_measurement, allow_for_users, allow_for_qc) VALUES (NULL, 'att_celllines',  'Celllines',  500,  TRUE, TRUE, TRUE, FALSE, FALSE);</v>
      </c>
      <c r="O69" s="6" t="str">
        <f t="shared" si="7"/>
        <v xml:space="preserve">INSERT INTO attribute_values (attribute_id, tag, name, details) VALUES ((SELECT id FROM attributes WHERE tag = 'att_celllines' LIMIT 1),  'att_celllines:nceb1',  'NCEB-1',  'Human Mantle cell lymphoma'); </v>
      </c>
    </row>
    <row r="70" spans="1:15" x14ac:dyDescent="0.15">
      <c r="A70" s="12" t="b">
        <f>FALSE()</f>
        <v>0</v>
      </c>
      <c r="B70" s="12"/>
      <c r="C70" s="6" t="s">
        <v>545</v>
      </c>
      <c r="D70" s="6" t="s">
        <v>546</v>
      </c>
      <c r="E70" s="6" t="s">
        <v>15</v>
      </c>
      <c r="F70" s="6" t="s">
        <v>2481</v>
      </c>
      <c r="G70" s="6" t="s">
        <v>2482</v>
      </c>
      <c r="H70" s="6" t="str">
        <f t="shared" si="4"/>
        <v>att_celllines</v>
      </c>
      <c r="I70" s="6" t="s">
        <v>544</v>
      </c>
      <c r="J70" s="6" t="str">
        <f t="shared" si="5"/>
        <v>att_celllines:nci_adrres</v>
      </c>
      <c r="K70" s="11" t="s">
        <v>19</v>
      </c>
      <c r="L70" s="6" t="s">
        <v>500</v>
      </c>
      <c r="M70" s="6" t="s">
        <v>2483</v>
      </c>
      <c r="N70" s="6" t="str">
        <f t="shared" si="6"/>
        <v>INSERT INTO attributes (parent_id, tag, name, priority, allow_as_filter, allow_for_dataset, allow_for_measurement, allow_for_users, allow_for_qc) VALUES (NULL, 'att_celllines',  'Celllines',  500,  TRUE, TRUE, TRUE, FALSE, FALSE);</v>
      </c>
      <c r="O70" s="6" t="str">
        <f t="shared" si="7"/>
        <v xml:space="preserve">INSERT INTO attribute_values (attribute_id, tag, name, details) VALUES ((SELECT id FROM attributes WHERE tag = 'att_celllines' LIMIT 1),  'att_celllines:nci_adrres',  'NCI ADR-RES',  'Human NCI-60 cell line; Ovarian Cancer'); </v>
      </c>
    </row>
    <row r="71" spans="1:15" x14ac:dyDescent="0.15">
      <c r="A71" s="12" t="b">
        <f>FALSE()</f>
        <v>0</v>
      </c>
      <c r="B71" s="12"/>
      <c r="C71" s="6" t="s">
        <v>548</v>
      </c>
      <c r="D71" s="6" t="s">
        <v>549</v>
      </c>
      <c r="E71" s="6" t="s">
        <v>15</v>
      </c>
      <c r="F71" s="6" t="s">
        <v>2481</v>
      </c>
      <c r="G71" s="6" t="s">
        <v>2482</v>
      </c>
      <c r="H71" s="6" t="str">
        <f t="shared" si="4"/>
        <v>att_celllines</v>
      </c>
      <c r="I71" s="6" t="s">
        <v>547</v>
      </c>
      <c r="J71" s="6" t="str">
        <f t="shared" si="5"/>
        <v>att_celllines:nci_h226</v>
      </c>
      <c r="K71" s="11" t="s">
        <v>19</v>
      </c>
      <c r="L71" s="6" t="s">
        <v>446</v>
      </c>
      <c r="M71" s="6" t="s">
        <v>2483</v>
      </c>
      <c r="N71" s="6" t="str">
        <f t="shared" si="6"/>
        <v>INSERT INTO attributes (parent_id, tag, name, priority, allow_as_filter, allow_for_dataset, allow_for_measurement, allow_for_users, allow_for_qc) VALUES (NULL, 'att_celllines',  'Celllines',  500,  TRUE, TRUE, TRUE, FALSE, FALSE);</v>
      </c>
      <c r="O71" s="6" t="str">
        <f t="shared" si="7"/>
        <v xml:space="preserve">INSERT INTO attribute_values (attribute_id, tag, name, details) VALUES ((SELECT id FROM attributes WHERE tag = 'att_celllines' LIMIT 1),  'att_celllines:nci_h226',  'NCI-H226',  'Human NCI-60 cell line; Non-Small Cell Lung cancer'); </v>
      </c>
    </row>
    <row r="72" spans="1:15" x14ac:dyDescent="0.15">
      <c r="A72" s="12" t="b">
        <f>FALSE()</f>
        <v>0</v>
      </c>
      <c r="B72" s="12"/>
      <c r="C72" s="6" t="s">
        <v>551</v>
      </c>
      <c r="D72" s="6" t="s">
        <v>552</v>
      </c>
      <c r="E72" s="6" t="s">
        <v>15</v>
      </c>
      <c r="F72" s="6" t="s">
        <v>2481</v>
      </c>
      <c r="G72" s="6" t="s">
        <v>2482</v>
      </c>
      <c r="H72" s="6" t="str">
        <f t="shared" si="4"/>
        <v>att_celllines</v>
      </c>
      <c r="I72" s="6" t="s">
        <v>550</v>
      </c>
      <c r="J72" s="6" t="str">
        <f t="shared" si="5"/>
        <v>att_celllines:nci_h23</v>
      </c>
      <c r="K72" s="11" t="s">
        <v>19</v>
      </c>
      <c r="L72" s="6" t="s">
        <v>446</v>
      </c>
      <c r="M72" s="6" t="s">
        <v>2483</v>
      </c>
      <c r="N72" s="6" t="str">
        <f t="shared" si="6"/>
        <v>INSERT INTO attributes (parent_id, tag, name, priority, allow_as_filter, allow_for_dataset, allow_for_measurement, allow_for_users, allow_for_qc) VALUES (NULL, 'att_celllines',  'Celllines',  500,  TRUE, TRUE, TRUE, FALSE, FALSE);</v>
      </c>
      <c r="O72" s="6" t="str">
        <f t="shared" si="7"/>
        <v xml:space="preserve">INSERT INTO attribute_values (attribute_id, tag, name, details) VALUES ((SELECT id FROM attributes WHERE tag = 'att_celllines' LIMIT 1),  'att_celllines:nci_h23',  'NCI-H23',  'Human NCI-60 cell line; Non-Small Cell Lung cancer'); </v>
      </c>
    </row>
    <row r="73" spans="1:15" x14ac:dyDescent="0.15">
      <c r="A73" s="12" t="b">
        <f>FALSE()</f>
        <v>0</v>
      </c>
      <c r="B73" s="12"/>
      <c r="C73" s="6" t="s">
        <v>554</v>
      </c>
      <c r="D73" s="6" t="s">
        <v>555</v>
      </c>
      <c r="E73" s="6" t="s">
        <v>15</v>
      </c>
      <c r="F73" s="6" t="s">
        <v>2481</v>
      </c>
      <c r="G73" s="6" t="s">
        <v>2482</v>
      </c>
      <c r="H73" s="6" t="str">
        <f t="shared" si="4"/>
        <v>att_celllines</v>
      </c>
      <c r="I73" s="6" t="s">
        <v>553</v>
      </c>
      <c r="J73" s="6" t="str">
        <f t="shared" si="5"/>
        <v>att_celllines:nci_h322m</v>
      </c>
      <c r="K73" s="11" t="s">
        <v>19</v>
      </c>
      <c r="L73" s="6" t="s">
        <v>446</v>
      </c>
      <c r="M73" s="6" t="s">
        <v>2483</v>
      </c>
      <c r="N73" s="6" t="str">
        <f t="shared" si="6"/>
        <v>INSERT INTO attributes (parent_id, tag, name, priority, allow_as_filter, allow_for_dataset, allow_for_measurement, allow_for_users, allow_for_qc) VALUES (NULL, 'att_celllines',  'Celllines',  500,  TRUE, TRUE, TRUE, FALSE, FALSE);</v>
      </c>
      <c r="O73" s="6" t="str">
        <f t="shared" si="7"/>
        <v xml:space="preserve">INSERT INTO attribute_values (attribute_id, tag, name, details) VALUES ((SELECT id FROM attributes WHERE tag = 'att_celllines' LIMIT 1),  'att_celllines:nci_h322m',  'NCI-H322M',  'Human NCI-60 cell line; Non-Small Cell Lung cancer'); </v>
      </c>
    </row>
    <row r="74" spans="1:15" x14ac:dyDescent="0.15">
      <c r="A74" s="12" t="b">
        <f>FALSE()</f>
        <v>0</v>
      </c>
      <c r="B74" s="12"/>
      <c r="C74" s="6" t="s">
        <v>557</v>
      </c>
      <c r="D74" s="6" t="s">
        <v>558</v>
      </c>
      <c r="E74" s="6" t="s">
        <v>15</v>
      </c>
      <c r="F74" s="6" t="s">
        <v>2481</v>
      </c>
      <c r="G74" s="6" t="s">
        <v>2482</v>
      </c>
      <c r="H74" s="6" t="str">
        <f t="shared" si="4"/>
        <v>att_celllines</v>
      </c>
      <c r="I74" s="6" t="s">
        <v>556</v>
      </c>
      <c r="J74" s="6" t="str">
        <f t="shared" si="5"/>
        <v>att_celllines:nci_h460</v>
      </c>
      <c r="K74" s="11" t="s">
        <v>19</v>
      </c>
      <c r="L74" s="6" t="s">
        <v>446</v>
      </c>
      <c r="M74" s="6" t="s">
        <v>2483</v>
      </c>
      <c r="N74" s="6" t="str">
        <f t="shared" si="6"/>
        <v>INSERT INTO attributes (parent_id, tag, name, priority, allow_as_filter, allow_for_dataset, allow_for_measurement, allow_for_users, allow_for_qc) VALUES (NULL, 'att_celllines',  'Celllines',  500,  TRUE, TRUE, TRUE, FALSE, FALSE);</v>
      </c>
      <c r="O74" s="6" t="str">
        <f t="shared" si="7"/>
        <v xml:space="preserve">INSERT INTO attribute_values (attribute_id, tag, name, details) VALUES ((SELECT id FROM attributes WHERE tag = 'att_celllines' LIMIT 1),  'att_celllines:nci_h460',  'NCI-H460',  'Human NCI-60 cell line; Non-Small Cell Lung cancer'); </v>
      </c>
    </row>
    <row r="75" spans="1:15" x14ac:dyDescent="0.15">
      <c r="A75" s="12" t="b">
        <f>FALSE()</f>
        <v>0</v>
      </c>
      <c r="B75" s="12"/>
      <c r="C75" s="6" t="s">
        <v>560</v>
      </c>
      <c r="D75" s="6" t="s">
        <v>561</v>
      </c>
      <c r="E75" s="6" t="s">
        <v>15</v>
      </c>
      <c r="F75" s="6" t="s">
        <v>2481</v>
      </c>
      <c r="G75" s="6" t="s">
        <v>2482</v>
      </c>
      <c r="H75" s="6" t="str">
        <f t="shared" si="4"/>
        <v>att_celllines</v>
      </c>
      <c r="I75" s="6" t="s">
        <v>559</v>
      </c>
      <c r="J75" s="6" t="str">
        <f t="shared" si="5"/>
        <v>att_celllines:nci_h522</v>
      </c>
      <c r="K75" s="11" t="s">
        <v>19</v>
      </c>
      <c r="L75" s="6" t="s">
        <v>446</v>
      </c>
      <c r="M75" s="6" t="s">
        <v>2483</v>
      </c>
      <c r="N75" s="6" t="str">
        <f t="shared" si="6"/>
        <v>INSERT INTO attributes (parent_id, tag, name, priority, allow_as_filter, allow_for_dataset, allow_for_measurement, allow_for_users, allow_for_qc) VALUES (NULL, 'att_celllines',  'Celllines',  500,  TRUE, TRUE, TRUE, FALSE, FALSE);</v>
      </c>
      <c r="O75" s="6" t="str">
        <f t="shared" si="7"/>
        <v xml:space="preserve">INSERT INTO attribute_values (attribute_id, tag, name, details) VALUES ((SELECT id FROM attributes WHERE tag = 'att_celllines' LIMIT 1),  'att_celllines:nci_h522',  'NCI-H522',  'Human NCI-60 cell line; Non-Small Cell Lung cancer'); </v>
      </c>
    </row>
    <row r="76" spans="1:15" x14ac:dyDescent="0.15">
      <c r="A76" s="12" t="b">
        <f>FALSE()</f>
        <v>0</v>
      </c>
      <c r="B76" s="12"/>
      <c r="C76" s="6" t="s">
        <v>562</v>
      </c>
      <c r="D76" s="6" t="s">
        <v>563</v>
      </c>
      <c r="E76" s="6" t="s">
        <v>15</v>
      </c>
      <c r="F76" s="6" t="s">
        <v>2481</v>
      </c>
      <c r="G76" s="6" t="s">
        <v>2482</v>
      </c>
      <c r="H76" s="6" t="str">
        <f t="shared" si="4"/>
        <v>att_celllines</v>
      </c>
      <c r="I76" s="6" t="s">
        <v>562</v>
      </c>
      <c r="J76" s="6" t="str">
        <f t="shared" si="5"/>
        <v>att_celllines:ovcar3</v>
      </c>
      <c r="K76" s="11" t="s">
        <v>19</v>
      </c>
      <c r="L76" s="6" t="s">
        <v>500</v>
      </c>
      <c r="M76" s="6" t="s">
        <v>2483</v>
      </c>
      <c r="N76" s="6" t="str">
        <f t="shared" si="6"/>
        <v>INSERT INTO attributes (parent_id, tag, name, priority, allow_as_filter, allow_for_dataset, allow_for_measurement, allow_for_users, allow_for_qc) VALUES (NULL, 'att_celllines',  'Celllines',  500,  TRUE, TRUE, TRUE, FALSE, FALSE);</v>
      </c>
      <c r="O76" s="6" t="str">
        <f t="shared" si="7"/>
        <v xml:space="preserve">INSERT INTO attribute_values (attribute_id, tag, name, details) VALUES ((SELECT id FROM attributes WHERE tag = 'att_celllines' LIMIT 1),  'att_celllines:ovcar3',  'OVCAR-3',  'Human NCI-60 cell line; Ovarian Cancer'); </v>
      </c>
    </row>
    <row r="77" spans="1:15" x14ac:dyDescent="0.15">
      <c r="A77" s="12" t="b">
        <f>FALSE()</f>
        <v>0</v>
      </c>
      <c r="B77" s="12"/>
      <c r="C77" s="6" t="s">
        <v>564</v>
      </c>
      <c r="D77" s="6" t="s">
        <v>565</v>
      </c>
      <c r="E77" s="6" t="s">
        <v>15</v>
      </c>
      <c r="F77" s="6" t="s">
        <v>2481</v>
      </c>
      <c r="G77" s="6" t="s">
        <v>2482</v>
      </c>
      <c r="H77" s="6" t="str">
        <f t="shared" si="4"/>
        <v>att_celllines</v>
      </c>
      <c r="I77" s="6" t="s">
        <v>564</v>
      </c>
      <c r="J77" s="6" t="str">
        <f t="shared" si="5"/>
        <v>att_celllines:ovcar4</v>
      </c>
      <c r="K77" s="11" t="s">
        <v>19</v>
      </c>
      <c r="L77" s="6" t="s">
        <v>500</v>
      </c>
      <c r="M77" s="6" t="s">
        <v>2483</v>
      </c>
      <c r="N77" s="6" t="str">
        <f t="shared" si="6"/>
        <v>INSERT INTO attributes (parent_id, tag, name, priority, allow_as_filter, allow_for_dataset, allow_for_measurement, allow_for_users, allow_for_qc) VALUES (NULL, 'att_celllines',  'Celllines',  500,  TRUE, TRUE, TRUE, FALSE, FALSE);</v>
      </c>
      <c r="O77" s="6" t="str">
        <f t="shared" si="7"/>
        <v xml:space="preserve">INSERT INTO attribute_values (attribute_id, tag, name, details) VALUES ((SELECT id FROM attributes WHERE tag = 'att_celllines' LIMIT 1),  'att_celllines:ovcar4',  'OVCAR-4',  'Human NCI-60 cell line; Ovarian Cancer'); </v>
      </c>
    </row>
    <row r="78" spans="1:15" x14ac:dyDescent="0.15">
      <c r="A78" s="12" t="b">
        <f>FALSE()</f>
        <v>0</v>
      </c>
      <c r="B78" s="12"/>
      <c r="C78" s="6" t="s">
        <v>566</v>
      </c>
      <c r="D78" s="6" t="s">
        <v>567</v>
      </c>
      <c r="E78" s="6" t="s">
        <v>15</v>
      </c>
      <c r="F78" s="6" t="s">
        <v>2481</v>
      </c>
      <c r="G78" s="6" t="s">
        <v>2482</v>
      </c>
      <c r="H78" s="6" t="str">
        <f t="shared" si="4"/>
        <v>att_celllines</v>
      </c>
      <c r="I78" s="6" t="s">
        <v>566</v>
      </c>
      <c r="J78" s="6" t="str">
        <f t="shared" si="5"/>
        <v>att_celllines:ovcar5</v>
      </c>
      <c r="K78" s="11" t="s">
        <v>19</v>
      </c>
      <c r="L78" s="6" t="s">
        <v>500</v>
      </c>
      <c r="M78" s="6" t="s">
        <v>2483</v>
      </c>
      <c r="N78" s="6" t="str">
        <f t="shared" si="6"/>
        <v>INSERT INTO attributes (parent_id, tag, name, priority, allow_as_filter, allow_for_dataset, allow_for_measurement, allow_for_users, allow_for_qc) VALUES (NULL, 'att_celllines',  'Celllines',  500,  TRUE, TRUE, TRUE, FALSE, FALSE);</v>
      </c>
      <c r="O78" s="6" t="str">
        <f t="shared" si="7"/>
        <v xml:space="preserve">INSERT INTO attribute_values (attribute_id, tag, name, details) VALUES ((SELECT id FROM attributes WHERE tag = 'att_celllines' LIMIT 1),  'att_celllines:ovcar5',  'OVCAR-5',  'Human NCI-60 cell line; Ovarian Cancer'); </v>
      </c>
    </row>
    <row r="79" spans="1:15" x14ac:dyDescent="0.15">
      <c r="A79" s="12" t="b">
        <f>FALSE()</f>
        <v>0</v>
      </c>
      <c r="B79" s="12"/>
      <c r="C79" s="6" t="s">
        <v>568</v>
      </c>
      <c r="D79" s="6" t="s">
        <v>569</v>
      </c>
      <c r="E79" s="6" t="s">
        <v>15</v>
      </c>
      <c r="F79" s="6" t="s">
        <v>2481</v>
      </c>
      <c r="G79" s="6" t="s">
        <v>2482</v>
      </c>
      <c r="H79" s="6" t="str">
        <f t="shared" si="4"/>
        <v>att_celllines</v>
      </c>
      <c r="I79" s="6" t="s">
        <v>568</v>
      </c>
      <c r="J79" s="6" t="str">
        <f t="shared" si="5"/>
        <v>att_celllines:ovcar8</v>
      </c>
      <c r="K79" s="11" t="s">
        <v>19</v>
      </c>
      <c r="L79" s="6" t="s">
        <v>500</v>
      </c>
      <c r="M79" s="6" t="s">
        <v>2483</v>
      </c>
      <c r="N79" s="6" t="str">
        <f t="shared" si="6"/>
        <v>INSERT INTO attributes (parent_id, tag, name, priority, allow_as_filter, allow_for_dataset, allow_for_measurement, allow_for_users, allow_for_qc) VALUES (NULL, 'att_celllines',  'Celllines',  500,  TRUE, TRUE, TRUE, FALSE, FALSE);</v>
      </c>
      <c r="O79" s="6" t="str">
        <f t="shared" si="7"/>
        <v xml:space="preserve">INSERT INTO attribute_values (attribute_id, tag, name, details) VALUES ((SELECT id FROM attributes WHERE tag = 'att_celllines' LIMIT 1),  'att_celllines:ovcar8',  'OVCAR-8',  'Human NCI-60 cell line; Ovarian Cancer'); </v>
      </c>
    </row>
    <row r="80" spans="1:15" x14ac:dyDescent="0.15">
      <c r="A80" s="12" t="b">
        <f>FALSE()</f>
        <v>0</v>
      </c>
      <c r="B80" s="12"/>
      <c r="C80" s="6" t="s">
        <v>570</v>
      </c>
      <c r="D80" s="6" t="s">
        <v>571</v>
      </c>
      <c r="E80" s="6" t="s">
        <v>15</v>
      </c>
      <c r="F80" s="6" t="s">
        <v>2481</v>
      </c>
      <c r="G80" s="6" t="s">
        <v>2482</v>
      </c>
      <c r="H80" s="6" t="str">
        <f t="shared" si="4"/>
        <v>att_celllines</v>
      </c>
      <c r="I80" s="6" t="s">
        <v>570</v>
      </c>
      <c r="J80" s="6" t="str">
        <f t="shared" si="5"/>
        <v>att_celllines:p388</v>
      </c>
      <c r="K80" s="11" t="s">
        <v>19</v>
      </c>
      <c r="L80" s="6" t="s">
        <v>572</v>
      </c>
      <c r="M80" s="6" t="s">
        <v>15</v>
      </c>
      <c r="N80" s="6" t="str">
        <f t="shared" si="6"/>
        <v>INSERT INTO attributes (parent_id, tag, name, priority, allow_as_filter, allow_for_dataset, allow_for_measurement, allow_for_users, allow_for_qc) VALUES (NULL, 'att_celllines',  'Celllines',  500,  TRUE, TRUE, TRUE, FALSE, FALSE);</v>
      </c>
      <c r="O80" s="6" t="str">
        <f t="shared" si="7"/>
        <v xml:space="preserve">INSERT INTO attribute_values (attribute_id, tag, name, details) VALUES ((SELECT id FROM attributes WHERE tag = 'att_celllines' LIMIT 1),  'att_celllines:p388',  'P388',  'Leukemia'); </v>
      </c>
    </row>
    <row r="81" spans="1:15" x14ac:dyDescent="0.15">
      <c r="A81" s="12" t="b">
        <f>FALSE()</f>
        <v>0</v>
      </c>
      <c r="B81" s="12"/>
      <c r="C81" s="6" t="s">
        <v>573</v>
      </c>
      <c r="D81" s="6" t="s">
        <v>574</v>
      </c>
      <c r="E81" s="6" t="s">
        <v>15</v>
      </c>
      <c r="F81" s="6" t="s">
        <v>2481</v>
      </c>
      <c r="G81" s="6" t="s">
        <v>2482</v>
      </c>
      <c r="H81" s="6" t="str">
        <f t="shared" si="4"/>
        <v>att_celllines</v>
      </c>
      <c r="I81" s="6" t="s">
        <v>573</v>
      </c>
      <c r="J81" s="6" t="str">
        <f t="shared" si="5"/>
        <v>att_celllines:pc3</v>
      </c>
      <c r="K81" s="11" t="s">
        <v>19</v>
      </c>
      <c r="L81" s="6" t="s">
        <v>470</v>
      </c>
      <c r="M81" s="6" t="s">
        <v>2483</v>
      </c>
      <c r="N81" s="6" t="str">
        <f t="shared" si="6"/>
        <v>INSERT INTO attributes (parent_id, tag, name, priority, allow_as_filter, allow_for_dataset, allow_for_measurement, allow_for_users, allow_for_qc) VALUES (NULL, 'att_celllines',  'Celllines',  500,  TRUE, TRUE, TRUE, FALSE, FALSE);</v>
      </c>
      <c r="O81" s="6" t="str">
        <f t="shared" si="7"/>
        <v xml:space="preserve">INSERT INTO attribute_values (attribute_id, tag, name, details) VALUES ((SELECT id FROM attributes WHERE tag = 'att_celllines' LIMIT 1),  'att_celllines:pc3',  'PC-3',  'Human NCI-60 cell line; Prostate Cancer'); </v>
      </c>
    </row>
    <row r="82" spans="1:15" x14ac:dyDescent="0.15">
      <c r="A82" s="12" t="b">
        <f>FALSE()</f>
        <v>0</v>
      </c>
      <c r="B82" s="12"/>
      <c r="C82" s="6" t="s">
        <v>575</v>
      </c>
      <c r="D82" s="6" t="s">
        <v>576</v>
      </c>
      <c r="E82" s="6" t="s">
        <v>15</v>
      </c>
      <c r="F82" s="6" t="s">
        <v>2481</v>
      </c>
      <c r="G82" s="6" t="s">
        <v>2482</v>
      </c>
      <c r="H82" s="6" t="str">
        <f t="shared" si="4"/>
        <v>att_celllines</v>
      </c>
      <c r="I82" s="6" t="s">
        <v>575</v>
      </c>
      <c r="J82" s="6" t="str">
        <f t="shared" si="5"/>
        <v>att_celllines:rec1</v>
      </c>
      <c r="K82" s="11" t="s">
        <v>19</v>
      </c>
      <c r="L82" s="6" t="s">
        <v>506</v>
      </c>
      <c r="M82" s="6" t="s">
        <v>15</v>
      </c>
      <c r="N82" s="6" t="str">
        <f t="shared" si="6"/>
        <v>INSERT INTO attributes (parent_id, tag, name, priority, allow_as_filter, allow_for_dataset, allow_for_measurement, allow_for_users, allow_for_qc) VALUES (NULL, 'att_celllines',  'Celllines',  500,  TRUE, TRUE, TRUE, FALSE, FALSE);</v>
      </c>
      <c r="O82" s="6" t="str">
        <f t="shared" si="7"/>
        <v xml:space="preserve">INSERT INTO attribute_values (attribute_id, tag, name, details) VALUES ((SELECT id FROM attributes WHERE tag = 'att_celllines' LIMIT 1),  'att_celllines:rec1',  'REC-1',  'Human Mantle cell lymphoma'); </v>
      </c>
    </row>
    <row r="83" spans="1:15" x14ac:dyDescent="0.15">
      <c r="A83" s="12" t="b">
        <f>FALSE()</f>
        <v>0</v>
      </c>
      <c r="B83" s="12"/>
      <c r="C83" s="6" t="s">
        <v>577</v>
      </c>
      <c r="D83" s="6" t="s">
        <v>578</v>
      </c>
      <c r="E83" s="6" t="s">
        <v>15</v>
      </c>
      <c r="F83" s="6" t="s">
        <v>2481</v>
      </c>
      <c r="G83" s="6" t="s">
        <v>2482</v>
      </c>
      <c r="H83" s="6" t="str">
        <f t="shared" si="4"/>
        <v>att_celllines</v>
      </c>
      <c r="I83" s="6" t="s">
        <v>577</v>
      </c>
      <c r="J83" s="6" t="str">
        <f t="shared" si="5"/>
        <v>att_celllines:rpmi8226</v>
      </c>
      <c r="K83" s="11" t="s">
        <v>19</v>
      </c>
      <c r="L83" s="6" t="s">
        <v>467</v>
      </c>
      <c r="M83" s="6" t="s">
        <v>2483</v>
      </c>
      <c r="N83" s="6" t="str">
        <f t="shared" si="6"/>
        <v>INSERT INTO attributes (parent_id, tag, name, priority, allow_as_filter, allow_for_dataset, allow_for_measurement, allow_for_users, allow_for_qc) VALUES (NULL, 'att_celllines',  'Celllines',  500,  TRUE, TRUE, TRUE, FALSE, FALSE);</v>
      </c>
      <c r="O83" s="6" t="str">
        <f t="shared" si="7"/>
        <v xml:space="preserve">INSERT INTO attribute_values (attribute_id, tag, name, details) VALUES ((SELECT id FROM attributes WHERE tag = 'att_celllines' LIMIT 1),  'att_celllines:rpmi8226',  'RPMI-8226',  'Human NCI-60 cell line; Leukemia'); </v>
      </c>
    </row>
    <row r="84" spans="1:15" x14ac:dyDescent="0.15">
      <c r="A84" s="12" t="b">
        <f>FALSE()</f>
        <v>0</v>
      </c>
      <c r="B84" s="12"/>
      <c r="C84" s="6" t="s">
        <v>579</v>
      </c>
      <c r="D84" s="6" t="s">
        <v>580</v>
      </c>
      <c r="E84" s="6" t="s">
        <v>15</v>
      </c>
      <c r="F84" s="6" t="s">
        <v>2481</v>
      </c>
      <c r="G84" s="6" t="s">
        <v>2482</v>
      </c>
      <c r="H84" s="6" t="str">
        <f t="shared" si="4"/>
        <v>att_celllines</v>
      </c>
      <c r="I84" s="6" t="s">
        <v>579</v>
      </c>
      <c r="J84" s="6" t="str">
        <f t="shared" si="5"/>
        <v>att_celllines:rxf393</v>
      </c>
      <c r="K84" s="11" t="s">
        <v>19</v>
      </c>
      <c r="L84" s="6" t="s">
        <v>441</v>
      </c>
      <c r="M84" s="6" t="s">
        <v>2483</v>
      </c>
      <c r="N84" s="6" t="str">
        <f t="shared" si="6"/>
        <v>INSERT INTO attributes (parent_id, tag, name, priority, allow_as_filter, allow_for_dataset, allow_for_measurement, allow_for_users, allow_for_qc) VALUES (NULL, 'att_celllines',  'Celllines',  500,  TRUE, TRUE, TRUE, FALSE, FALSE);</v>
      </c>
      <c r="O84" s="6" t="str">
        <f t="shared" si="7"/>
        <v xml:space="preserve">INSERT INTO attribute_values (attribute_id, tag, name, details) VALUES ((SELECT id FROM attributes WHERE tag = 'att_celllines' LIMIT 1),  'att_celllines:rxf393',  'RXF 393',  'Human NCI-60 cell line; Renal Cancer'); </v>
      </c>
    </row>
    <row r="85" spans="1:15" x14ac:dyDescent="0.15">
      <c r="A85" s="12" t="b">
        <f>FALSE()</f>
        <v>0</v>
      </c>
      <c r="B85" s="12"/>
      <c r="C85" s="6" t="s">
        <v>581</v>
      </c>
      <c r="D85" s="6" t="s">
        <v>582</v>
      </c>
      <c r="E85" s="6" t="s">
        <v>15</v>
      </c>
      <c r="F85" s="6" t="s">
        <v>2481</v>
      </c>
      <c r="G85" s="6" t="s">
        <v>2482</v>
      </c>
      <c r="H85" s="6" t="str">
        <f t="shared" si="4"/>
        <v>att_celllines</v>
      </c>
      <c r="I85" s="6" t="s">
        <v>581</v>
      </c>
      <c r="J85" s="6" t="str">
        <f t="shared" si="5"/>
        <v>att_celllines:sf268</v>
      </c>
      <c r="K85" s="11" t="s">
        <v>19</v>
      </c>
      <c r="L85" s="6" t="s">
        <v>583</v>
      </c>
      <c r="M85" s="6" t="s">
        <v>2483</v>
      </c>
      <c r="N85" s="6" t="str">
        <f t="shared" si="6"/>
        <v>INSERT INTO attributes (parent_id, tag, name, priority, allow_as_filter, allow_for_dataset, allow_for_measurement, allow_for_users, allow_for_qc) VALUES (NULL, 'att_celllines',  'Celllines',  500,  TRUE, TRUE, TRUE, FALSE, FALSE);</v>
      </c>
      <c r="O85" s="6" t="str">
        <f t="shared" si="7"/>
        <v xml:space="preserve">INSERT INTO attribute_values (attribute_id, tag, name, details) VALUES ((SELECT id FROM attributes WHERE tag = 'att_celllines' LIMIT 1),  'att_celllines:sf268',  'SF-268',  'Human NCI-60 cell line; central nervous system (CNS) tumor '); </v>
      </c>
    </row>
    <row r="86" spans="1:15" x14ac:dyDescent="0.15">
      <c r="A86" s="12" t="b">
        <f>FALSE()</f>
        <v>0</v>
      </c>
      <c r="B86" s="12"/>
      <c r="C86" s="6" t="s">
        <v>584</v>
      </c>
      <c r="D86" s="6" t="s">
        <v>585</v>
      </c>
      <c r="E86" s="6" t="s">
        <v>15</v>
      </c>
      <c r="F86" s="6" t="s">
        <v>2481</v>
      </c>
      <c r="G86" s="6" t="s">
        <v>2482</v>
      </c>
      <c r="H86" s="6" t="str">
        <f t="shared" si="4"/>
        <v>att_celllines</v>
      </c>
      <c r="I86" s="6" t="s">
        <v>584</v>
      </c>
      <c r="J86" s="6" t="str">
        <f t="shared" si="5"/>
        <v>att_celllines:sf295</v>
      </c>
      <c r="K86" s="11" t="s">
        <v>19</v>
      </c>
      <c r="L86" s="6" t="s">
        <v>583</v>
      </c>
      <c r="M86" s="6" t="s">
        <v>2483</v>
      </c>
      <c r="N86" s="6" t="str">
        <f t="shared" si="6"/>
        <v>INSERT INTO attributes (parent_id, tag, name, priority, allow_as_filter, allow_for_dataset, allow_for_measurement, allow_for_users, allow_for_qc) VALUES (NULL, 'att_celllines',  'Celllines',  500,  TRUE, TRUE, TRUE, FALSE, FALSE);</v>
      </c>
      <c r="O86" s="6" t="str">
        <f t="shared" si="7"/>
        <v xml:space="preserve">INSERT INTO attribute_values (attribute_id, tag, name, details) VALUES ((SELECT id FROM attributes WHERE tag = 'att_celllines' LIMIT 1),  'att_celllines:sf295',  'SF-295',  'Human NCI-60 cell line; central nervous system (CNS) tumor '); </v>
      </c>
    </row>
    <row r="87" spans="1:15" x14ac:dyDescent="0.15">
      <c r="A87" s="12" t="b">
        <f>FALSE()</f>
        <v>0</v>
      </c>
      <c r="B87" s="12"/>
      <c r="C87" s="6" t="s">
        <v>586</v>
      </c>
      <c r="D87" s="6" t="s">
        <v>587</v>
      </c>
      <c r="E87" s="6" t="s">
        <v>15</v>
      </c>
      <c r="F87" s="6" t="s">
        <v>2481</v>
      </c>
      <c r="G87" s="6" t="s">
        <v>2482</v>
      </c>
      <c r="H87" s="6" t="str">
        <f t="shared" si="4"/>
        <v>att_celllines</v>
      </c>
      <c r="I87" s="6" t="s">
        <v>586</v>
      </c>
      <c r="J87" s="6" t="str">
        <f t="shared" si="5"/>
        <v>att_celllines:sf539</v>
      </c>
      <c r="K87" s="11" t="s">
        <v>19</v>
      </c>
      <c r="L87" s="6" t="s">
        <v>583</v>
      </c>
      <c r="M87" s="6" t="s">
        <v>2483</v>
      </c>
      <c r="N87" s="6" t="str">
        <f t="shared" si="6"/>
        <v>INSERT INTO attributes (parent_id, tag, name, priority, allow_as_filter, allow_for_dataset, allow_for_measurement, allow_for_users, allow_for_qc) VALUES (NULL, 'att_celllines',  'Celllines',  500,  TRUE, TRUE, TRUE, FALSE, FALSE);</v>
      </c>
      <c r="O87" s="6" t="str">
        <f t="shared" si="7"/>
        <v xml:space="preserve">INSERT INTO attribute_values (attribute_id, tag, name, details) VALUES ((SELECT id FROM attributes WHERE tag = 'att_celllines' LIMIT 1),  'att_celllines:sf539',  'SF-539',  'Human NCI-60 cell line; central nervous system (CNS) tumor '); </v>
      </c>
    </row>
    <row r="88" spans="1:15" x14ac:dyDescent="0.15">
      <c r="A88" s="12" t="b">
        <f>FALSE()</f>
        <v>0</v>
      </c>
      <c r="B88" s="12"/>
      <c r="C88" s="6" t="s">
        <v>588</v>
      </c>
      <c r="D88" s="6" t="s">
        <v>589</v>
      </c>
      <c r="E88" s="6" t="s">
        <v>15</v>
      </c>
      <c r="F88" s="6" t="s">
        <v>2481</v>
      </c>
      <c r="G88" s="6" t="s">
        <v>2482</v>
      </c>
      <c r="H88" s="6" t="str">
        <f t="shared" si="4"/>
        <v>att_celllines</v>
      </c>
      <c r="I88" s="6" t="s">
        <v>588</v>
      </c>
      <c r="J88" s="6" t="str">
        <f t="shared" si="5"/>
        <v>att_celllines:skmel2</v>
      </c>
      <c r="K88" s="11" t="s">
        <v>19</v>
      </c>
      <c r="L88" s="6" t="s">
        <v>520</v>
      </c>
      <c r="M88" s="6" t="s">
        <v>2483</v>
      </c>
      <c r="N88" s="6" t="str">
        <f t="shared" si="6"/>
        <v>INSERT INTO attributes (parent_id, tag, name, priority, allow_as_filter, allow_for_dataset, allow_for_measurement, allow_for_users, allow_for_qc) VALUES (NULL, 'att_celllines',  'Celllines',  500,  TRUE, TRUE, TRUE, FALSE, FALSE);</v>
      </c>
      <c r="O88" s="6" t="str">
        <f t="shared" si="7"/>
        <v xml:space="preserve">INSERT INTO attribute_values (attribute_id, tag, name, details) VALUES ((SELECT id FROM attributes WHERE tag = 'att_celllines' LIMIT 1),  'att_celllines:skmel2',  'SK-MEL-2',  'Human NCI-60 cell line; Melanoma'); </v>
      </c>
    </row>
    <row r="89" spans="1:15" x14ac:dyDescent="0.15">
      <c r="A89" s="12" t="b">
        <f>FALSE()</f>
        <v>0</v>
      </c>
      <c r="B89" s="12"/>
      <c r="C89" s="6" t="s">
        <v>590</v>
      </c>
      <c r="D89" s="6" t="s">
        <v>591</v>
      </c>
      <c r="E89" s="6" t="s">
        <v>15</v>
      </c>
      <c r="F89" s="6" t="s">
        <v>2481</v>
      </c>
      <c r="G89" s="6" t="s">
        <v>2482</v>
      </c>
      <c r="H89" s="6" t="str">
        <f t="shared" si="4"/>
        <v>att_celllines</v>
      </c>
      <c r="I89" s="6" t="s">
        <v>590</v>
      </c>
      <c r="J89" s="6" t="str">
        <f t="shared" si="5"/>
        <v>att_celllines:skmel28</v>
      </c>
      <c r="K89" s="11" t="s">
        <v>19</v>
      </c>
      <c r="L89" s="6" t="s">
        <v>520</v>
      </c>
      <c r="M89" s="6" t="s">
        <v>2483</v>
      </c>
      <c r="N89" s="6" t="str">
        <f t="shared" si="6"/>
        <v>INSERT INTO attributes (parent_id, tag, name, priority, allow_as_filter, allow_for_dataset, allow_for_measurement, allow_for_users, allow_for_qc) VALUES (NULL, 'att_celllines',  'Celllines',  500,  TRUE, TRUE, TRUE, FALSE, FALSE);</v>
      </c>
      <c r="O89" s="6" t="str">
        <f t="shared" si="7"/>
        <v xml:space="preserve">INSERT INTO attribute_values (attribute_id, tag, name, details) VALUES ((SELECT id FROM attributes WHERE tag = 'att_celllines' LIMIT 1),  'att_celllines:skmel28',  'SK-MEL-28',  'Human NCI-60 cell line; Melanoma'); </v>
      </c>
    </row>
    <row r="90" spans="1:15" x14ac:dyDescent="0.15">
      <c r="A90" s="12" t="b">
        <f>FALSE()</f>
        <v>0</v>
      </c>
      <c r="B90" s="12"/>
      <c r="C90" s="6" t="s">
        <v>592</v>
      </c>
      <c r="D90" s="6" t="s">
        <v>593</v>
      </c>
      <c r="E90" s="6" t="s">
        <v>15</v>
      </c>
      <c r="F90" s="6" t="s">
        <v>2481</v>
      </c>
      <c r="G90" s="6" t="s">
        <v>2482</v>
      </c>
      <c r="H90" s="6" t="str">
        <f t="shared" si="4"/>
        <v>att_celllines</v>
      </c>
      <c r="I90" s="6" t="s">
        <v>592</v>
      </c>
      <c r="J90" s="6" t="str">
        <f t="shared" si="5"/>
        <v>att_celllines:skmel5</v>
      </c>
      <c r="K90" s="11" t="s">
        <v>19</v>
      </c>
      <c r="L90" s="6" t="s">
        <v>520</v>
      </c>
      <c r="M90" s="6" t="s">
        <v>2483</v>
      </c>
      <c r="N90" s="6" t="str">
        <f t="shared" si="6"/>
        <v>INSERT INTO attributes (parent_id, tag, name, priority, allow_as_filter, allow_for_dataset, allow_for_measurement, allow_for_users, allow_for_qc) VALUES (NULL, 'att_celllines',  'Celllines',  500,  TRUE, TRUE, TRUE, FALSE, FALSE);</v>
      </c>
      <c r="O90" s="6" t="str">
        <f t="shared" si="7"/>
        <v xml:space="preserve">INSERT INTO attribute_values (attribute_id, tag, name, details) VALUES ((SELECT id FROM attributes WHERE tag = 'att_celllines' LIMIT 1),  'att_celllines:skmel5',  'SK-MEL-5',  'Human NCI-60 cell line; Melanoma'); </v>
      </c>
    </row>
    <row r="91" spans="1:15" x14ac:dyDescent="0.15">
      <c r="A91" s="12" t="b">
        <f>FALSE()</f>
        <v>0</v>
      </c>
      <c r="B91" s="12"/>
      <c r="C91" s="6" t="s">
        <v>594</v>
      </c>
      <c r="D91" s="6" t="s">
        <v>595</v>
      </c>
      <c r="E91" s="6" t="s">
        <v>15</v>
      </c>
      <c r="F91" s="6" t="s">
        <v>2481</v>
      </c>
      <c r="G91" s="6" t="s">
        <v>2482</v>
      </c>
      <c r="H91" s="6" t="str">
        <f t="shared" si="4"/>
        <v>att_celllines</v>
      </c>
      <c r="I91" s="6" t="s">
        <v>594</v>
      </c>
      <c r="J91" s="6" t="str">
        <f t="shared" si="5"/>
        <v>att_celllines:skov3</v>
      </c>
      <c r="K91" s="11" t="s">
        <v>19</v>
      </c>
      <c r="L91" s="6" t="s">
        <v>500</v>
      </c>
      <c r="M91" s="6" t="s">
        <v>2483</v>
      </c>
      <c r="N91" s="6" t="str">
        <f t="shared" si="6"/>
        <v>INSERT INTO attributes (parent_id, tag, name, priority, allow_as_filter, allow_for_dataset, allow_for_measurement, allow_for_users, allow_for_qc) VALUES (NULL, 'att_celllines',  'Celllines',  500,  TRUE, TRUE, TRUE, FALSE, FALSE);</v>
      </c>
      <c r="O91" s="6" t="str">
        <f t="shared" si="7"/>
        <v xml:space="preserve">INSERT INTO attribute_values (attribute_id, tag, name, details) VALUES ((SELECT id FROM attributes WHERE tag = 'att_celllines' LIMIT 1),  'att_celllines:skov3',  'SK-OV-3',  'Human NCI-60 cell line; Ovarian Cancer'); </v>
      </c>
    </row>
    <row r="92" spans="1:15" x14ac:dyDescent="0.15">
      <c r="A92" s="12" t="b">
        <f>FALSE()</f>
        <v>0</v>
      </c>
      <c r="B92" s="12"/>
      <c r="C92" s="6" t="s">
        <v>596</v>
      </c>
      <c r="D92" s="6" t="s">
        <v>597</v>
      </c>
      <c r="E92" s="6" t="s">
        <v>15</v>
      </c>
      <c r="F92" s="6" t="s">
        <v>2481</v>
      </c>
      <c r="G92" s="6" t="s">
        <v>2482</v>
      </c>
      <c r="H92" s="6" t="str">
        <f t="shared" si="4"/>
        <v>att_celllines</v>
      </c>
      <c r="I92" s="6" t="s">
        <v>596</v>
      </c>
      <c r="J92" s="6" t="str">
        <f t="shared" si="5"/>
        <v>att_celllines:sn12c</v>
      </c>
      <c r="K92" s="11" t="s">
        <v>19</v>
      </c>
      <c r="L92" s="6" t="s">
        <v>441</v>
      </c>
      <c r="M92" s="6" t="s">
        <v>2483</v>
      </c>
      <c r="N92" s="6" t="str">
        <f t="shared" si="6"/>
        <v>INSERT INTO attributes (parent_id, tag, name, priority, allow_as_filter, allow_for_dataset, allow_for_measurement, allow_for_users, allow_for_qc) VALUES (NULL, 'att_celllines',  'Celllines',  500,  TRUE, TRUE, TRUE, FALSE, FALSE);</v>
      </c>
      <c r="O92" s="6" t="str">
        <f t="shared" si="7"/>
        <v xml:space="preserve">INSERT INTO attribute_values (attribute_id, tag, name, details) VALUES ((SELECT id FROM attributes WHERE tag = 'att_celllines' LIMIT 1),  'att_celllines:sn12c',  'SN12C',  'Human NCI-60 cell line; Renal Cancer'); </v>
      </c>
    </row>
    <row r="93" spans="1:15" x14ac:dyDescent="0.15">
      <c r="A93" s="12" t="b">
        <f>FALSE()</f>
        <v>0</v>
      </c>
      <c r="B93" s="12"/>
      <c r="C93" s="6" t="s">
        <v>598</v>
      </c>
      <c r="D93" s="6" t="s">
        <v>599</v>
      </c>
      <c r="E93" s="6" t="s">
        <v>15</v>
      </c>
      <c r="F93" s="6" t="s">
        <v>2481</v>
      </c>
      <c r="G93" s="6" t="s">
        <v>2482</v>
      </c>
      <c r="H93" s="6" t="str">
        <f t="shared" si="4"/>
        <v>att_celllines</v>
      </c>
      <c r="I93" s="6" t="s">
        <v>598</v>
      </c>
      <c r="J93" s="6" t="str">
        <f t="shared" si="5"/>
        <v>att_celllines:snb19</v>
      </c>
      <c r="K93" s="11" t="s">
        <v>19</v>
      </c>
      <c r="L93" s="6" t="s">
        <v>583</v>
      </c>
      <c r="M93" s="6" t="s">
        <v>2483</v>
      </c>
      <c r="N93" s="6" t="str">
        <f t="shared" si="6"/>
        <v>INSERT INTO attributes (parent_id, tag, name, priority, allow_as_filter, allow_for_dataset, allow_for_measurement, allow_for_users, allow_for_qc) VALUES (NULL, 'att_celllines',  'Celllines',  500,  TRUE, TRUE, TRUE, FALSE, FALSE);</v>
      </c>
      <c r="O93" s="6" t="str">
        <f t="shared" si="7"/>
        <v xml:space="preserve">INSERT INTO attribute_values (attribute_id, tag, name, details) VALUES ((SELECT id FROM attributes WHERE tag = 'att_celllines' LIMIT 1),  'att_celllines:snb19',  'SNB-19',  'Human NCI-60 cell line; central nervous system (CNS) tumor '); </v>
      </c>
    </row>
    <row r="94" spans="1:15" x14ac:dyDescent="0.15">
      <c r="A94" s="12" t="b">
        <f>FALSE()</f>
        <v>0</v>
      </c>
      <c r="B94" s="12"/>
      <c r="C94" s="6" t="s">
        <v>600</v>
      </c>
      <c r="D94" s="6" t="s">
        <v>601</v>
      </c>
      <c r="E94" s="6" t="s">
        <v>15</v>
      </c>
      <c r="F94" s="6" t="s">
        <v>2481</v>
      </c>
      <c r="G94" s="6" t="s">
        <v>2482</v>
      </c>
      <c r="H94" s="6" t="str">
        <f t="shared" si="4"/>
        <v>att_celllines</v>
      </c>
      <c r="I94" s="6" t="s">
        <v>600</v>
      </c>
      <c r="J94" s="6" t="str">
        <f t="shared" si="5"/>
        <v>att_celllines:snb75</v>
      </c>
      <c r="K94" s="11" t="s">
        <v>19</v>
      </c>
      <c r="L94" s="6" t="s">
        <v>583</v>
      </c>
      <c r="M94" s="6" t="s">
        <v>2483</v>
      </c>
      <c r="N94" s="6" t="str">
        <f t="shared" si="6"/>
        <v>INSERT INTO attributes (parent_id, tag, name, priority, allow_as_filter, allow_for_dataset, allow_for_measurement, allow_for_users, allow_for_qc) VALUES (NULL, 'att_celllines',  'Celllines',  500,  TRUE, TRUE, TRUE, FALSE, FALSE);</v>
      </c>
      <c r="O94" s="6" t="str">
        <f t="shared" si="7"/>
        <v xml:space="preserve">INSERT INTO attribute_values (attribute_id, tag, name, details) VALUES ((SELECT id FROM attributes WHERE tag = 'att_celllines' LIMIT 1),  'att_celllines:snb75',  'SNB-75',  'Human NCI-60 cell line; central nervous system (CNS) tumor '); </v>
      </c>
    </row>
    <row r="95" spans="1:15" x14ac:dyDescent="0.15">
      <c r="A95" s="12" t="b">
        <f>FALSE()</f>
        <v>0</v>
      </c>
      <c r="B95" s="12"/>
      <c r="C95" s="6" t="s">
        <v>602</v>
      </c>
      <c r="D95" s="6" t="s">
        <v>603</v>
      </c>
      <c r="E95" s="6" t="s">
        <v>15</v>
      </c>
      <c r="F95" s="6" t="s">
        <v>2481</v>
      </c>
      <c r="G95" s="6" t="s">
        <v>2482</v>
      </c>
      <c r="H95" s="6" t="str">
        <f t="shared" si="4"/>
        <v>att_celllines</v>
      </c>
      <c r="I95" s="6" t="s">
        <v>602</v>
      </c>
      <c r="J95" s="6" t="str">
        <f t="shared" si="5"/>
        <v>att_celllines:sr</v>
      </c>
      <c r="K95" s="11" t="s">
        <v>19</v>
      </c>
      <c r="L95" s="6" t="s">
        <v>467</v>
      </c>
      <c r="M95" s="6" t="s">
        <v>2483</v>
      </c>
      <c r="N95" s="6" t="str">
        <f t="shared" si="6"/>
        <v>INSERT INTO attributes (parent_id, tag, name, priority, allow_as_filter, allow_for_dataset, allow_for_measurement, allow_for_users, allow_for_qc) VALUES (NULL, 'att_celllines',  'Celllines',  500,  TRUE, TRUE, TRUE, FALSE, FALSE);</v>
      </c>
      <c r="O95" s="6" t="str">
        <f t="shared" si="7"/>
        <v xml:space="preserve">INSERT INTO attribute_values (attribute_id, tag, name, details) VALUES ((SELECT id FROM attributes WHERE tag = 'att_celllines' LIMIT 1),  'att_celllines:sr',  'SR',  'Human NCI-60 cell line; Leukemia'); </v>
      </c>
    </row>
    <row r="96" spans="1:15" x14ac:dyDescent="0.15">
      <c r="A96" s="12" t="b">
        <f>FALSE()</f>
        <v>0</v>
      </c>
      <c r="B96" s="12"/>
      <c r="C96" s="6" t="s">
        <v>604</v>
      </c>
      <c r="D96" s="6" t="s">
        <v>605</v>
      </c>
      <c r="E96" s="6" t="s">
        <v>15</v>
      </c>
      <c r="F96" s="6" t="s">
        <v>2481</v>
      </c>
      <c r="G96" s="6" t="s">
        <v>2482</v>
      </c>
      <c r="H96" s="6" t="str">
        <f t="shared" si="4"/>
        <v>att_celllines</v>
      </c>
      <c r="I96" s="6" t="s">
        <v>604</v>
      </c>
      <c r="J96" s="6" t="str">
        <f t="shared" si="5"/>
        <v>att_celllines:sw620</v>
      </c>
      <c r="K96" s="11" t="s">
        <v>19</v>
      </c>
      <c r="L96" s="6" t="s">
        <v>464</v>
      </c>
      <c r="M96" s="6" t="s">
        <v>2483</v>
      </c>
      <c r="N96" s="6" t="str">
        <f t="shared" si="6"/>
        <v>INSERT INTO attributes (parent_id, tag, name, priority, allow_as_filter, allow_for_dataset, allow_for_measurement, allow_for_users, allow_for_qc) VALUES (NULL, 'att_celllines',  'Celllines',  500,  TRUE, TRUE, TRUE, FALSE, FALSE);</v>
      </c>
      <c r="O96" s="6" t="str">
        <f t="shared" si="7"/>
        <v xml:space="preserve">INSERT INTO attribute_values (attribute_id, tag, name, details) VALUES ((SELECT id FROM attributes WHERE tag = 'att_celllines' LIMIT 1),  'att_celllines:sw620',  'SW-620',  'Human NCI-60 cell line; Colon cancer'); </v>
      </c>
    </row>
    <row r="97" spans="1:15" x14ac:dyDescent="0.15">
      <c r="A97" s="12" t="b">
        <f>FALSE()</f>
        <v>0</v>
      </c>
      <c r="B97" s="12"/>
      <c r="C97" s="6" t="s">
        <v>606</v>
      </c>
      <c r="D97" s="6" t="s">
        <v>607</v>
      </c>
      <c r="E97" s="6" t="s">
        <v>15</v>
      </c>
      <c r="F97" s="6" t="s">
        <v>2481</v>
      </c>
      <c r="G97" s="6" t="s">
        <v>2482</v>
      </c>
      <c r="H97" s="6" t="str">
        <f t="shared" si="4"/>
        <v>att_celllines</v>
      </c>
      <c r="I97" s="6" t="s">
        <v>606</v>
      </c>
      <c r="J97" s="6" t="str">
        <f t="shared" si="5"/>
        <v>att_celllines:t47d</v>
      </c>
      <c r="K97" s="11" t="s">
        <v>19</v>
      </c>
      <c r="L97" s="6" t="s">
        <v>456</v>
      </c>
      <c r="M97" s="6" t="s">
        <v>2483</v>
      </c>
      <c r="N97" s="6" t="str">
        <f t="shared" si="6"/>
        <v>INSERT INTO attributes (parent_id, tag, name, priority, allow_as_filter, allow_for_dataset, allow_for_measurement, allow_for_users, allow_for_qc) VALUES (NULL, 'att_celllines',  'Celllines',  500,  TRUE, TRUE, TRUE, FALSE, FALSE);</v>
      </c>
      <c r="O97" s="6" t="str">
        <f t="shared" si="7"/>
        <v xml:space="preserve">INSERT INTO attribute_values (attribute_id, tag, name, details) VALUES ((SELECT id FROM attributes WHERE tag = 'att_celllines' LIMIT 1),  'att_celllines:t47d',  'T-47D',  'Human NCI-60 cell line; Breast Cancer'); </v>
      </c>
    </row>
    <row r="98" spans="1:15" x14ac:dyDescent="0.15">
      <c r="A98" s="12" t="b">
        <f>FALSE()</f>
        <v>0</v>
      </c>
      <c r="B98" s="12"/>
      <c r="C98" s="6" t="s">
        <v>608</v>
      </c>
      <c r="D98" s="6" t="s">
        <v>609</v>
      </c>
      <c r="E98" s="6" t="s">
        <v>15</v>
      </c>
      <c r="F98" s="6" t="s">
        <v>2481</v>
      </c>
      <c r="G98" s="6" t="s">
        <v>2482</v>
      </c>
      <c r="H98" s="6" t="str">
        <f t="shared" si="4"/>
        <v>att_celllines</v>
      </c>
      <c r="I98" s="6" t="s">
        <v>608</v>
      </c>
      <c r="J98" s="6" t="str">
        <f t="shared" si="5"/>
        <v>att_celllines:thp1</v>
      </c>
      <c r="K98" s="11" t="s">
        <v>19</v>
      </c>
      <c r="L98" s="6" t="s">
        <v>610</v>
      </c>
      <c r="M98" s="6" t="s">
        <v>15</v>
      </c>
      <c r="N98" s="6" t="str">
        <f t="shared" si="6"/>
        <v>INSERT INTO attributes (parent_id, tag, name, priority, allow_as_filter, allow_for_dataset, allow_for_measurement, allow_for_users, allow_for_qc) VALUES (NULL, 'att_celllines',  'Celllines',  500,  TRUE, TRUE, TRUE, FALSE, FALSE);</v>
      </c>
      <c r="O98" s="6" t="str">
        <f t="shared" si="7"/>
        <v xml:space="preserve">INSERT INTO attribute_values (attribute_id, tag, name, details) VALUES ((SELECT id FROM attributes WHERE tag = 'att_celllines' LIMIT 1),  'att_celllines:thp1',  'THP1',  'Human acute monocytic leukemia cell line'); </v>
      </c>
    </row>
    <row r="99" spans="1:15" x14ac:dyDescent="0.15">
      <c r="A99" s="12" t="b">
        <f>FALSE()</f>
        <v>0</v>
      </c>
      <c r="B99" s="12"/>
      <c r="C99" s="6" t="s">
        <v>611</v>
      </c>
      <c r="D99" s="6" t="s">
        <v>612</v>
      </c>
      <c r="E99" s="6" t="s">
        <v>15</v>
      </c>
      <c r="F99" s="6" t="s">
        <v>2481</v>
      </c>
      <c r="G99" s="6" t="s">
        <v>2482</v>
      </c>
      <c r="H99" s="6" t="str">
        <f t="shared" si="4"/>
        <v>att_celllines</v>
      </c>
      <c r="I99" s="6" t="s">
        <v>611</v>
      </c>
      <c r="J99" s="6" t="str">
        <f t="shared" si="5"/>
        <v>att_celllines:tk10</v>
      </c>
      <c r="K99" s="11" t="s">
        <v>19</v>
      </c>
      <c r="L99" s="6" t="s">
        <v>441</v>
      </c>
      <c r="M99" s="6" t="s">
        <v>2483</v>
      </c>
      <c r="N99" s="6" t="str">
        <f t="shared" si="6"/>
        <v>INSERT INTO attributes (parent_id, tag, name, priority, allow_as_filter, allow_for_dataset, allow_for_measurement, allow_for_users, allow_for_qc) VALUES (NULL, 'att_celllines',  'Celllines',  500,  TRUE, TRUE, TRUE, FALSE, FALSE);</v>
      </c>
      <c r="O99" s="6" t="str">
        <f t="shared" si="7"/>
        <v xml:space="preserve">INSERT INTO attribute_values (attribute_id, tag, name, details) VALUES ((SELECT id FROM attributes WHERE tag = 'att_celllines' LIMIT 1),  'att_celllines:tk10',  'TK-10',  'Human NCI-60 cell line; Renal Cancer'); </v>
      </c>
    </row>
    <row r="100" spans="1:15" x14ac:dyDescent="0.15">
      <c r="A100" s="12" t="b">
        <f>FALSE()</f>
        <v>0</v>
      </c>
      <c r="B100" s="12"/>
      <c r="C100" s="6" t="s">
        <v>613</v>
      </c>
      <c r="D100" s="6" t="s">
        <v>614</v>
      </c>
      <c r="E100" s="6" t="s">
        <v>15</v>
      </c>
      <c r="F100" s="6" t="s">
        <v>2481</v>
      </c>
      <c r="G100" s="6" t="s">
        <v>2482</v>
      </c>
      <c r="H100" s="6" t="str">
        <f t="shared" si="4"/>
        <v>att_celllines</v>
      </c>
      <c r="I100" s="6" t="s">
        <v>613</v>
      </c>
      <c r="J100" s="6" t="str">
        <f t="shared" si="5"/>
        <v>att_celllines:u251</v>
      </c>
      <c r="K100" s="11" t="s">
        <v>19</v>
      </c>
      <c r="L100" s="6" t="s">
        <v>583</v>
      </c>
      <c r="M100" s="6" t="s">
        <v>2483</v>
      </c>
      <c r="N100" s="6" t="str">
        <f t="shared" si="6"/>
        <v>INSERT INTO attributes (parent_id, tag, name, priority, allow_as_filter, allow_for_dataset, allow_for_measurement, allow_for_users, allow_for_qc) VALUES (NULL, 'att_celllines',  'Celllines',  500,  TRUE, TRUE, TRUE, FALSE, FALSE);</v>
      </c>
      <c r="O100" s="6" t="str">
        <f t="shared" si="7"/>
        <v xml:space="preserve">INSERT INTO attribute_values (attribute_id, tag, name, details) VALUES ((SELECT id FROM attributes WHERE tag = 'att_celllines' LIMIT 1),  'att_celllines:u251',  'U251',  'Human NCI-60 cell line; central nervous system (CNS) tumor '); </v>
      </c>
    </row>
    <row r="101" spans="1:15" x14ac:dyDescent="0.15">
      <c r="A101" s="12" t="b">
        <f>FALSE()</f>
        <v>0</v>
      </c>
      <c r="B101" s="12"/>
      <c r="C101" s="6" t="s">
        <v>615</v>
      </c>
      <c r="D101" s="6" t="s">
        <v>616</v>
      </c>
      <c r="E101" s="6" t="s">
        <v>15</v>
      </c>
      <c r="F101" s="6" t="s">
        <v>2481</v>
      </c>
      <c r="G101" s="6" t="s">
        <v>2482</v>
      </c>
      <c r="H101" s="6" t="str">
        <f t="shared" si="4"/>
        <v>att_celllines</v>
      </c>
      <c r="I101" s="6" t="s">
        <v>615</v>
      </c>
      <c r="J101" s="6" t="str">
        <f t="shared" si="5"/>
        <v>att_celllines:u937</v>
      </c>
      <c r="K101" s="11" t="s">
        <v>19</v>
      </c>
      <c r="L101" s="6" t="s">
        <v>617</v>
      </c>
      <c r="M101" s="6" t="s">
        <v>15</v>
      </c>
      <c r="N101" s="6" t="str">
        <f t="shared" si="6"/>
        <v>INSERT INTO attributes (parent_id, tag, name, priority, allow_as_filter, allow_for_dataset, allow_for_measurement, allow_for_users, allow_for_qc) VALUES (NULL, 'att_celllines',  'Celllines',  500,  TRUE, TRUE, TRUE, FALSE, FALSE);</v>
      </c>
      <c r="O101" s="6" t="str">
        <f t="shared" si="7"/>
        <v xml:space="preserve">INSERT INTO attribute_values (attribute_id, tag, name, details) VALUES ((SELECT id FROM attributes WHERE tag = 'att_celllines' LIMIT 1),  'att_celllines:u937',  'U937',  'Pro-monocytic model cell line isolated from histiocytic lymphoma'); </v>
      </c>
    </row>
    <row r="102" spans="1:15" x14ac:dyDescent="0.15">
      <c r="A102" s="12" t="b">
        <f>FALSE()</f>
        <v>0</v>
      </c>
      <c r="B102" s="12"/>
      <c r="C102" s="6" t="s">
        <v>618</v>
      </c>
      <c r="D102" s="6" t="s">
        <v>619</v>
      </c>
      <c r="E102" s="6" t="s">
        <v>15</v>
      </c>
      <c r="F102" s="6" t="s">
        <v>2481</v>
      </c>
      <c r="G102" s="6" t="s">
        <v>2482</v>
      </c>
      <c r="H102" s="6" t="str">
        <f t="shared" si="4"/>
        <v>att_celllines</v>
      </c>
      <c r="I102" s="6" t="s">
        <v>618</v>
      </c>
      <c r="J102" s="6" t="str">
        <f t="shared" si="5"/>
        <v>att_celllines:uacc257</v>
      </c>
      <c r="K102" s="11" t="s">
        <v>19</v>
      </c>
      <c r="L102" s="6" t="s">
        <v>520</v>
      </c>
      <c r="M102" s="6" t="s">
        <v>2483</v>
      </c>
      <c r="N102" s="6" t="str">
        <f t="shared" si="6"/>
        <v>INSERT INTO attributes (parent_id, tag, name, priority, allow_as_filter, allow_for_dataset, allow_for_measurement, allow_for_users, allow_for_qc) VALUES (NULL, 'att_celllines',  'Celllines',  500,  TRUE, TRUE, TRUE, FALSE, FALSE);</v>
      </c>
      <c r="O102" s="6" t="str">
        <f t="shared" si="7"/>
        <v xml:space="preserve">INSERT INTO attribute_values (attribute_id, tag, name, details) VALUES ((SELECT id FROM attributes WHERE tag = 'att_celllines' LIMIT 1),  'att_celllines:uacc257',  'UACC-257',  'Human NCI-60 cell line; Melanoma'); </v>
      </c>
    </row>
    <row r="103" spans="1:15" x14ac:dyDescent="0.15">
      <c r="A103" s="12" t="b">
        <f>FALSE()</f>
        <v>0</v>
      </c>
      <c r="B103" s="12"/>
      <c r="C103" s="6" t="s">
        <v>620</v>
      </c>
      <c r="D103" s="6" t="s">
        <v>621</v>
      </c>
      <c r="E103" s="6" t="s">
        <v>15</v>
      </c>
      <c r="F103" s="6" t="s">
        <v>2481</v>
      </c>
      <c r="G103" s="6" t="s">
        <v>2482</v>
      </c>
      <c r="H103" s="6" t="str">
        <f t="shared" si="4"/>
        <v>att_celllines</v>
      </c>
      <c r="I103" s="6" t="s">
        <v>620</v>
      </c>
      <c r="J103" s="6" t="str">
        <f t="shared" si="5"/>
        <v>att_celllines:uacc62</v>
      </c>
      <c r="K103" s="11" t="s">
        <v>19</v>
      </c>
      <c r="L103" s="6" t="s">
        <v>520</v>
      </c>
      <c r="M103" s="6" t="s">
        <v>2483</v>
      </c>
      <c r="N103" s="6" t="str">
        <f t="shared" si="6"/>
        <v>INSERT INTO attributes (parent_id, tag, name, priority, allow_as_filter, allow_for_dataset, allow_for_measurement, allow_for_users, allow_for_qc) VALUES (NULL, 'att_celllines',  'Celllines',  500,  TRUE, TRUE, TRUE, FALSE, FALSE);</v>
      </c>
      <c r="O103" s="6" t="str">
        <f t="shared" si="7"/>
        <v xml:space="preserve">INSERT INTO attribute_values (attribute_id, tag, name, details) VALUES ((SELECT id FROM attributes WHERE tag = 'att_celllines' LIMIT 1),  'att_celllines:uacc62',  'UACC-62',  'Human NCI-60 cell line; Melanoma'); </v>
      </c>
    </row>
    <row r="104" spans="1:15" x14ac:dyDescent="0.15">
      <c r="A104" s="12" t="b">
        <f>FALSE()</f>
        <v>0</v>
      </c>
      <c r="B104" s="12"/>
      <c r="C104" s="6" t="s">
        <v>622</v>
      </c>
      <c r="D104" s="6" t="s">
        <v>623</v>
      </c>
      <c r="E104" s="6" t="s">
        <v>15</v>
      </c>
      <c r="F104" s="6" t="s">
        <v>2481</v>
      </c>
      <c r="G104" s="6" t="s">
        <v>2482</v>
      </c>
      <c r="H104" s="6" t="str">
        <f t="shared" si="4"/>
        <v>att_celllines</v>
      </c>
      <c r="I104" s="6" t="s">
        <v>622</v>
      </c>
      <c r="J104" s="6" t="str">
        <f t="shared" si="5"/>
        <v>att_celllines:uo31</v>
      </c>
      <c r="K104" s="11" t="s">
        <v>19</v>
      </c>
      <c r="L104" s="6" t="s">
        <v>441</v>
      </c>
      <c r="M104" s="6" t="s">
        <v>2483</v>
      </c>
      <c r="N104" s="6" t="str">
        <f t="shared" si="6"/>
        <v>INSERT INTO attributes (parent_id, tag, name, priority, allow_as_filter, allow_for_dataset, allow_for_measurement, allow_for_users, allow_for_qc) VALUES (NULL, 'att_celllines',  'Celllines',  500,  TRUE, TRUE, TRUE, FALSE, FALSE);</v>
      </c>
      <c r="O104" s="6" t="str">
        <f t="shared" si="7"/>
        <v xml:space="preserve">INSERT INTO attribute_values (attribute_id, tag, name, details) VALUES ((SELECT id FROM attributes WHERE tag = 'att_celllines' LIMIT 1),  'att_celllines:uo31',  'UO-31',  'Human NCI-60 cell line; Renal Cancer'); </v>
      </c>
    </row>
    <row r="105" spans="1:15" x14ac:dyDescent="0.15">
      <c r="A105" s="12" t="b">
        <f>FALSE()</f>
        <v>0</v>
      </c>
      <c r="B105" s="12"/>
      <c r="C105" s="6" t="s">
        <v>624</v>
      </c>
      <c r="D105" s="6" t="s">
        <v>625</v>
      </c>
      <c r="E105" s="6" t="s">
        <v>15</v>
      </c>
      <c r="F105" s="6" t="s">
        <v>2481</v>
      </c>
      <c r="G105" s="6" t="s">
        <v>2482</v>
      </c>
      <c r="H105" s="6" t="str">
        <f t="shared" si="4"/>
        <v>att_celllines</v>
      </c>
      <c r="I105" s="6" t="s">
        <v>624</v>
      </c>
      <c r="J105" s="6" t="str">
        <f t="shared" si="5"/>
        <v>att_celllines:z138</v>
      </c>
      <c r="K105" s="11" t="s">
        <v>19</v>
      </c>
      <c r="L105" s="6" t="s">
        <v>506</v>
      </c>
      <c r="M105" s="6" t="s">
        <v>15</v>
      </c>
      <c r="N105" s="6" t="str">
        <f t="shared" si="6"/>
        <v>INSERT INTO attributes (parent_id, tag, name, priority, allow_as_filter, allow_for_dataset, allow_for_measurement, allow_for_users, allow_for_qc) VALUES (NULL, 'att_celllines',  'Celllines',  500,  TRUE, TRUE, TRUE, FALSE, FALSE);</v>
      </c>
      <c r="O105" s="6" t="str">
        <f t="shared" si="7"/>
        <v xml:space="preserve">INSERT INTO attribute_values (attribute_id, tag, name, details) VALUES ((SELECT id FROM attributes WHERE tag = 'att_celllines' LIMIT 1),  'att_celllines:z138',  'Z-138',  'Human Mantle cell lymphoma'); </v>
      </c>
    </row>
    <row r="106" spans="1:15" x14ac:dyDescent="0.15">
      <c r="A106" s="12" t="b">
        <f>FALSE()</f>
        <v>0</v>
      </c>
      <c r="B106" s="12"/>
      <c r="C106" s="6" t="s">
        <v>353</v>
      </c>
      <c r="D106" s="6" t="s">
        <v>354</v>
      </c>
      <c r="E106" s="6" t="s">
        <v>15</v>
      </c>
      <c r="F106" s="6" t="s">
        <v>2485</v>
      </c>
      <c r="G106" s="6" t="s">
        <v>2486</v>
      </c>
      <c r="H106" s="6" t="str">
        <f t="shared" si="4"/>
        <v>att_cells</v>
      </c>
      <c r="I106" s="6" t="s">
        <v>352</v>
      </c>
      <c r="J106" s="6" t="str">
        <f t="shared" si="5"/>
        <v>att_cells:adipose_macrophages</v>
      </c>
      <c r="K106" s="11" t="s">
        <v>19</v>
      </c>
      <c r="L106" s="6" t="s">
        <v>355</v>
      </c>
      <c r="M106" s="6" t="s">
        <v>15</v>
      </c>
      <c r="N106" s="6" t="str">
        <f t="shared" si="6"/>
        <v>INSERT INTO attributes (parent_id, tag, name, priority, allow_as_filter, allow_for_dataset, allow_for_measurement, allow_for_users, allow_for_qc) VALUES (NULL, 'att_cells',  'Cells',  500,  TRUE, TRUE, TRUE, FALSE, FALSE);</v>
      </c>
      <c r="O106" s="6" t="str">
        <f t="shared" si="7"/>
        <v xml:space="preserve">INSERT INTO attribute_values (attribute_id, tag, name, details) VALUES ((SELECT id FROM attributes WHERE tag = 'att_cells' LIMIT 1),  'att_cells:adipose_macrophages',  'Adipose Macrophages',  'Adipose tissue macrophages'); </v>
      </c>
    </row>
    <row r="107" spans="1:15" x14ac:dyDescent="0.15">
      <c r="A107" s="12" t="b">
        <f>FALSE()</f>
        <v>0</v>
      </c>
      <c r="B107" s="12"/>
      <c r="C107" s="6" t="s">
        <v>356</v>
      </c>
      <c r="D107" s="6" t="s">
        <v>314</v>
      </c>
      <c r="E107" s="6" t="s">
        <v>15</v>
      </c>
      <c r="F107" s="6" t="s">
        <v>2485</v>
      </c>
      <c r="G107" s="6" t="s">
        <v>2486</v>
      </c>
      <c r="H107" s="6" t="str">
        <f t="shared" si="4"/>
        <v>att_cells</v>
      </c>
      <c r="I107" s="6" t="s">
        <v>356</v>
      </c>
      <c r="J107" s="6" t="str">
        <f t="shared" si="5"/>
        <v>att_cells:astrocytes</v>
      </c>
      <c r="K107" s="11" t="s">
        <v>19</v>
      </c>
      <c r="L107" s="6" t="s">
        <v>314</v>
      </c>
      <c r="M107" s="6" t="s">
        <v>15</v>
      </c>
      <c r="N107" s="6" t="str">
        <f t="shared" si="6"/>
        <v>INSERT INTO attributes (parent_id, tag, name, priority, allow_as_filter, allow_for_dataset, allow_for_measurement, allow_for_users, allow_for_qc) VALUES (NULL, 'att_cells',  'Cells',  500,  TRUE, TRUE, TRUE, FALSE, FALSE);</v>
      </c>
      <c r="O107" s="6" t="str">
        <f t="shared" si="7"/>
        <v xml:space="preserve">INSERT INTO attribute_values (attribute_id, tag, name, details) VALUES ((SELECT id FROM attributes WHERE tag = 'att_cells' LIMIT 1),  'att_cells:astrocytes',  'Astrocytes',  'Astrocytes'); </v>
      </c>
    </row>
    <row r="108" spans="1:15" x14ac:dyDescent="0.15">
      <c r="A108" s="12" t="b">
        <f>FALSE()</f>
        <v>0</v>
      </c>
      <c r="B108" s="12"/>
      <c r="C108" s="6" t="s">
        <v>357</v>
      </c>
      <c r="D108" s="6" t="s">
        <v>358</v>
      </c>
      <c r="E108" s="6" t="s">
        <v>15</v>
      </c>
      <c r="F108" s="6" t="s">
        <v>2485</v>
      </c>
      <c r="G108" s="6" t="s">
        <v>2486</v>
      </c>
      <c r="H108" s="6" t="str">
        <f t="shared" si="4"/>
        <v>att_cells</v>
      </c>
      <c r="I108" s="6" t="s">
        <v>357</v>
      </c>
      <c r="J108" s="6" t="str">
        <f t="shared" si="5"/>
        <v>att_cells:basophils</v>
      </c>
      <c r="K108" s="11" t="s">
        <v>19</v>
      </c>
      <c r="L108" s="6" t="s">
        <v>359</v>
      </c>
      <c r="M108" s="6" t="s">
        <v>15</v>
      </c>
      <c r="N108" s="6" t="str">
        <f t="shared" si="6"/>
        <v>INSERT INTO attributes (parent_id, tag, name, priority, allow_as_filter, allow_for_dataset, allow_for_measurement, allow_for_users, allow_for_qc) VALUES (NULL, 'att_cells',  'Cells',  500,  TRUE, TRUE, TRUE, FALSE, FALSE);</v>
      </c>
      <c r="O108" s="6" t="str">
        <f t="shared" si="7"/>
        <v xml:space="preserve">INSERT INTO attribute_values (attribute_id, tag, name, details) VALUES ((SELECT id FROM attributes WHERE tag = 'att_cells' LIMIT 1),  'att_cells:basophils',  'Basophils',  '&lt; 1% of leukocytes'); </v>
      </c>
    </row>
    <row r="109" spans="1:15" x14ac:dyDescent="0.15">
      <c r="A109" s="12" t="b">
        <f>FALSE()</f>
        <v>0</v>
      </c>
      <c r="B109" s="12"/>
      <c r="C109" s="6" t="s">
        <v>360</v>
      </c>
      <c r="D109" s="6" t="s">
        <v>361</v>
      </c>
      <c r="E109" s="6" t="s">
        <v>15</v>
      </c>
      <c r="F109" s="6" t="s">
        <v>2485</v>
      </c>
      <c r="G109" s="6" t="s">
        <v>2486</v>
      </c>
      <c r="H109" s="6" t="str">
        <f t="shared" si="4"/>
        <v>att_cells</v>
      </c>
      <c r="I109" s="6" t="s">
        <v>360</v>
      </c>
      <c r="J109" s="6" t="str">
        <f t="shared" si="5"/>
        <v>att_cells:bcells</v>
      </c>
      <c r="K109" s="11" t="s">
        <v>19</v>
      </c>
      <c r="L109" s="6" t="s">
        <v>361</v>
      </c>
      <c r="M109" s="6" t="s">
        <v>15</v>
      </c>
      <c r="N109" s="6" t="str">
        <f t="shared" si="6"/>
        <v>INSERT INTO attributes (parent_id, tag, name, priority, allow_as_filter, allow_for_dataset, allow_for_measurement, allow_for_users, allow_for_qc) VALUES (NULL, 'att_cells',  'Cells',  500,  TRUE, TRUE, TRUE, FALSE, FALSE);</v>
      </c>
      <c r="O109" s="6" t="str">
        <f t="shared" si="7"/>
        <v xml:space="preserve">INSERT INTO attribute_values (attribute_id, tag, name, details) VALUES ((SELECT id FROM attributes WHERE tag = 'att_cells' LIMIT 1),  'att_cells:bcells',  'B cells',  'B cells'); </v>
      </c>
    </row>
    <row r="110" spans="1:15" x14ac:dyDescent="0.15">
      <c r="A110" s="12" t="b">
        <f>FALSE()</f>
        <v>0</v>
      </c>
      <c r="B110" s="12"/>
      <c r="C110" s="6" t="s">
        <v>362</v>
      </c>
      <c r="D110" s="6" t="s">
        <v>363</v>
      </c>
      <c r="E110" s="6" t="s">
        <v>15</v>
      </c>
      <c r="F110" s="6" t="s">
        <v>2485</v>
      </c>
      <c r="G110" s="6" t="s">
        <v>2486</v>
      </c>
      <c r="H110" s="6" t="str">
        <f t="shared" si="4"/>
        <v>att_cells</v>
      </c>
      <c r="I110" s="6" t="s">
        <v>362</v>
      </c>
      <c r="J110" s="6" t="str">
        <f t="shared" si="5"/>
        <v>att_cells:cytotoxict</v>
      </c>
      <c r="K110" s="11" t="s">
        <v>19</v>
      </c>
      <c r="L110" s="6" t="s">
        <v>364</v>
      </c>
      <c r="M110" s="6" t="s">
        <v>15</v>
      </c>
      <c r="N110" s="6" t="str">
        <f t="shared" si="6"/>
        <v>INSERT INTO attributes (parent_id, tag, name, priority, allow_as_filter, allow_for_dataset, allow_for_measurement, allow_for_users, allow_for_qc) VALUES (NULL, 'att_cells',  'Cells',  500,  TRUE, TRUE, TRUE, FALSE, FALSE);</v>
      </c>
      <c r="O110" s="6" t="str">
        <f t="shared" si="7"/>
        <v xml:space="preserve">INSERT INTO attribute_values (attribute_id, tag, name, details) VALUES ((SELECT id FROM attributes WHERE tag = 'att_cells' LIMIT 1),  'att_cells:cytotoxict',  'Cytotoxic T cells',  'CD8+ cytotoxic T cells'); </v>
      </c>
    </row>
    <row r="111" spans="1:15" x14ac:dyDescent="0.15">
      <c r="A111" s="12" t="b">
        <f>FALSE()</f>
        <v>0</v>
      </c>
      <c r="B111" s="12"/>
      <c r="C111" s="6" t="s">
        <v>365</v>
      </c>
      <c r="D111" s="6" t="s">
        <v>366</v>
      </c>
      <c r="E111" s="6" t="s">
        <v>15</v>
      </c>
      <c r="F111" s="6" t="s">
        <v>2485</v>
      </c>
      <c r="G111" s="6" t="s">
        <v>2486</v>
      </c>
      <c r="H111" s="6" t="str">
        <f t="shared" si="4"/>
        <v>att_cells</v>
      </c>
      <c r="I111" s="6" t="s">
        <v>365</v>
      </c>
      <c r="J111" s="6" t="str">
        <f t="shared" si="5"/>
        <v>att_cells:endothelial</v>
      </c>
      <c r="K111" s="11" t="s">
        <v>19</v>
      </c>
      <c r="L111" s="6" t="s">
        <v>367</v>
      </c>
      <c r="M111" s="6" t="s">
        <v>15</v>
      </c>
      <c r="N111" s="6" t="str">
        <f t="shared" si="6"/>
        <v>INSERT INTO attributes (parent_id, tag, name, priority, allow_as_filter, allow_for_dataset, allow_for_measurement, allow_for_users, allow_for_qc) VALUES (NULL, 'att_cells',  'Cells',  500,  TRUE, TRUE, TRUE, FALSE, FALSE);</v>
      </c>
      <c r="O111" s="6" t="str">
        <f t="shared" si="7"/>
        <v xml:space="preserve">INSERT INTO attribute_values (attribute_id, tag, name, details) VALUES ((SELECT id FROM attributes WHERE tag = 'att_cells' LIMIT 1),  'att_cells:endothelial',  'Endothelial',  'Interior surface cells of blood vessels and lymphatic vessels'); </v>
      </c>
    </row>
    <row r="112" spans="1:15" x14ac:dyDescent="0.15">
      <c r="A112" s="12" t="b">
        <f>FALSE()</f>
        <v>0</v>
      </c>
      <c r="B112" s="12"/>
      <c r="C112" s="6" t="s">
        <v>368</v>
      </c>
      <c r="D112" s="6" t="s">
        <v>369</v>
      </c>
      <c r="E112" s="6" t="s">
        <v>15</v>
      </c>
      <c r="F112" s="6" t="s">
        <v>2485</v>
      </c>
      <c r="G112" s="6" t="s">
        <v>2486</v>
      </c>
      <c r="H112" s="6" t="str">
        <f t="shared" si="4"/>
        <v>att_cells</v>
      </c>
      <c r="I112" s="6" t="s">
        <v>368</v>
      </c>
      <c r="J112" s="6" t="str">
        <f t="shared" si="5"/>
        <v>att_cells:eosinophils</v>
      </c>
      <c r="K112" s="11" t="s">
        <v>19</v>
      </c>
      <c r="L112" s="6" t="s">
        <v>370</v>
      </c>
      <c r="M112" s="6" t="s">
        <v>15</v>
      </c>
      <c r="N112" s="6" t="str">
        <f t="shared" si="6"/>
        <v>INSERT INTO attributes (parent_id, tag, name, priority, allow_as_filter, allow_for_dataset, allow_for_measurement, allow_for_users, allow_for_qc) VALUES (NULL, 'att_cells',  'Cells',  500,  TRUE, TRUE, TRUE, FALSE, FALSE);</v>
      </c>
      <c r="O112" s="6" t="str">
        <f t="shared" si="7"/>
        <v xml:space="preserve">INSERT INTO attribute_values (attribute_id, tag, name, details) VALUES ((SELECT id FROM attributes WHERE tag = 'att_cells' LIMIT 1),  'att_cells:eosinophils',  'Eosinophils',  '2% of leukocytes'); </v>
      </c>
    </row>
    <row r="113" spans="1:15" x14ac:dyDescent="0.15">
      <c r="A113" s="12" t="b">
        <f>FALSE()</f>
        <v>0</v>
      </c>
      <c r="B113" s="12"/>
      <c r="C113" s="6" t="s">
        <v>371</v>
      </c>
      <c r="D113" s="6" t="s">
        <v>372</v>
      </c>
      <c r="E113" s="6" t="s">
        <v>15</v>
      </c>
      <c r="F113" s="6" t="s">
        <v>2485</v>
      </c>
      <c r="G113" s="6" t="s">
        <v>2486</v>
      </c>
      <c r="H113" s="6" t="str">
        <f t="shared" si="4"/>
        <v>att_cells</v>
      </c>
      <c r="I113" s="6" t="s">
        <v>371</v>
      </c>
      <c r="J113" s="6" t="str">
        <f t="shared" si="5"/>
        <v>att_cells:epithelioid</v>
      </c>
      <c r="K113" s="11" t="s">
        <v>19</v>
      </c>
      <c r="L113" s="6" t="s">
        <v>373</v>
      </c>
      <c r="M113" s="6" t="s">
        <v>15</v>
      </c>
      <c r="N113" s="6" t="str">
        <f t="shared" si="6"/>
        <v>INSERT INTO attributes (parent_id, tag, name, priority, allow_as_filter, allow_for_dataset, allow_for_measurement, allow_for_users, allow_for_qc) VALUES (NULL, 'att_cells',  'Cells',  500,  TRUE, TRUE, TRUE, FALSE, FALSE);</v>
      </c>
      <c r="O113" s="6" t="str">
        <f t="shared" si="7"/>
        <v xml:space="preserve">INSERT INTO attribute_values (attribute_id, tag, name, details) VALUES ((SELECT id FROM attributes WHERE tag = 'att_cells' LIMIT 1),  'att_cells:epithelioid',  'Epithelioid',  'Granulomas'); </v>
      </c>
    </row>
    <row r="114" spans="1:15" x14ac:dyDescent="0.15">
      <c r="A114" s="12" t="b">
        <f>FALSE()</f>
        <v>0</v>
      </c>
      <c r="B114" s="12"/>
      <c r="C114" s="6" t="s">
        <v>374</v>
      </c>
      <c r="D114" s="6" t="s">
        <v>375</v>
      </c>
      <c r="E114" s="6" t="s">
        <v>15</v>
      </c>
      <c r="F114" s="6" t="s">
        <v>2485</v>
      </c>
      <c r="G114" s="6" t="s">
        <v>2486</v>
      </c>
      <c r="H114" s="6" t="str">
        <f t="shared" si="4"/>
        <v>att_cells</v>
      </c>
      <c r="I114" s="6" t="s">
        <v>374</v>
      </c>
      <c r="J114" s="6" t="str">
        <f t="shared" si="5"/>
        <v>att_cells:erythrocytes</v>
      </c>
      <c r="K114" s="11" t="s">
        <v>19</v>
      </c>
      <c r="L114" s="6" t="s">
        <v>376</v>
      </c>
      <c r="M114" s="6" t="s">
        <v>15</v>
      </c>
      <c r="N114" s="6" t="str">
        <f t="shared" si="6"/>
        <v>INSERT INTO attributes (parent_id, tag, name, priority, allow_as_filter, allow_for_dataset, allow_for_measurement, allow_for_users, allow_for_qc) VALUES (NULL, 'att_cells',  'Cells',  500,  TRUE, TRUE, TRUE, FALSE, FALSE);</v>
      </c>
      <c r="O114" s="6" t="str">
        <f t="shared" si="7"/>
        <v xml:space="preserve">INSERT INTO attribute_values (attribute_id, tag, name, details) VALUES ((SELECT id FROM attributes WHERE tag = 'att_cells' LIMIT 1),  'att_cells:erythrocytes',  'Erythrocytes',  'Red blood cells'); </v>
      </c>
    </row>
    <row r="115" spans="1:15" x14ac:dyDescent="0.15">
      <c r="A115" s="12" t="b">
        <f>FALSE()</f>
        <v>0</v>
      </c>
      <c r="B115" s="12"/>
      <c r="C115" s="6" t="s">
        <v>377</v>
      </c>
      <c r="D115" s="6" t="s">
        <v>378</v>
      </c>
      <c r="E115" s="6" t="s">
        <v>15</v>
      </c>
      <c r="F115" s="6" t="s">
        <v>2485</v>
      </c>
      <c r="G115" s="6" t="s">
        <v>2486</v>
      </c>
      <c r="H115" s="6" t="str">
        <f t="shared" si="4"/>
        <v>att_cells</v>
      </c>
      <c r="I115" s="6" t="s">
        <v>377</v>
      </c>
      <c r="J115" s="6" t="str">
        <f t="shared" si="5"/>
        <v>att_cells:gammadeltat</v>
      </c>
      <c r="K115" s="11" t="s">
        <v>19</v>
      </c>
      <c r="L115" s="6" t="s">
        <v>379</v>
      </c>
      <c r="M115" s="6" t="s">
        <v>15</v>
      </c>
      <c r="N115" s="6" t="str">
        <f t="shared" si="6"/>
        <v>INSERT INTO attributes (parent_id, tag, name, priority, allow_as_filter, allow_for_dataset, allow_for_measurement, allow_for_users, allow_for_qc) VALUES (NULL, 'att_cells',  'Cells',  500,  TRUE, TRUE, TRUE, FALSE, FALSE);</v>
      </c>
      <c r="O115" s="6" t="str">
        <f t="shared" si="7"/>
        <v xml:space="preserve">INSERT INTO attribute_values (attribute_id, tag, name, details) VALUES ((SELECT id FROM attributes WHERE tag = 'att_cells' LIMIT 1),  'att_cells:gammadeltat',  'Gamma Delta T cells',  'Gamma delta T cells'); </v>
      </c>
    </row>
    <row r="116" spans="1:15" x14ac:dyDescent="0.15">
      <c r="A116" s="12" t="b">
        <f>FALSE()</f>
        <v>0</v>
      </c>
      <c r="B116" s="12"/>
      <c r="C116" s="6" t="s">
        <v>380</v>
      </c>
      <c r="D116" s="6" t="s">
        <v>381</v>
      </c>
      <c r="E116" s="6" t="s">
        <v>15</v>
      </c>
      <c r="F116" s="6" t="s">
        <v>2485</v>
      </c>
      <c r="G116" s="6" t="s">
        <v>2486</v>
      </c>
      <c r="H116" s="6" t="str">
        <f t="shared" si="4"/>
        <v>att_cells</v>
      </c>
      <c r="I116" s="6" t="s">
        <v>380</v>
      </c>
      <c r="J116" s="6" t="str">
        <f t="shared" si="5"/>
        <v>att_cells:hofbauer</v>
      </c>
      <c r="K116" s="11" t="s">
        <v>19</v>
      </c>
      <c r="L116" s="6" t="s">
        <v>382</v>
      </c>
      <c r="M116" s="6" t="s">
        <v>15</v>
      </c>
      <c r="N116" s="6" t="str">
        <f t="shared" si="6"/>
        <v>INSERT INTO attributes (parent_id, tag, name, priority, allow_as_filter, allow_for_dataset, allow_for_measurement, allow_for_users, allow_for_qc) VALUES (NULL, 'att_cells',  'Cells',  500,  TRUE, TRUE, TRUE, FALSE, FALSE);</v>
      </c>
      <c r="O116" s="6" t="str">
        <f t="shared" si="7"/>
        <v xml:space="preserve">INSERT INTO attribute_values (attribute_id, tag, name, details) VALUES ((SELECT id FROM attributes WHERE tag = 'att_cells' LIMIT 1),  'att_cells:hofbauer',  'Hofbauer',  'Hofbauer cells; Placenta'); </v>
      </c>
    </row>
    <row r="117" spans="1:15" x14ac:dyDescent="0.15">
      <c r="A117" s="12" t="b">
        <f>FALSE()</f>
        <v>0</v>
      </c>
      <c r="B117" s="12"/>
      <c r="C117" s="6" t="s">
        <v>383</v>
      </c>
      <c r="D117" s="6" t="s">
        <v>384</v>
      </c>
      <c r="E117" s="6" t="s">
        <v>15</v>
      </c>
      <c r="F117" s="6" t="s">
        <v>2485</v>
      </c>
      <c r="G117" s="6" t="s">
        <v>2486</v>
      </c>
      <c r="H117" s="6" t="str">
        <f t="shared" si="4"/>
        <v>att_cells</v>
      </c>
      <c r="I117" s="6" t="s">
        <v>383</v>
      </c>
      <c r="J117" s="6" t="str">
        <f t="shared" si="5"/>
        <v>att_cells:keratinocytes</v>
      </c>
      <c r="K117" s="11" t="s">
        <v>19</v>
      </c>
      <c r="L117" s="6" t="s">
        <v>385</v>
      </c>
      <c r="M117" s="6" t="s">
        <v>15</v>
      </c>
      <c r="N117" s="6" t="str">
        <f t="shared" si="6"/>
        <v>INSERT INTO attributes (parent_id, tag, name, priority, allow_as_filter, allow_for_dataset, allow_for_measurement, allow_for_users, allow_for_qc) VALUES (NULL, 'att_cells',  'Cells',  500,  TRUE, TRUE, TRUE, FALSE, FALSE);</v>
      </c>
      <c r="O117" s="6" t="str">
        <f t="shared" si="7"/>
        <v xml:space="preserve">INSERT INTO attribute_values (attribute_id, tag, name, details) VALUES ((SELECT id FROM attributes WHERE tag = 'att_cells' LIMIT 1),  'att_cells:keratinocytes',  'Keratinocytes',  'Most prominent cell within the epidermis.'); </v>
      </c>
    </row>
    <row r="118" spans="1:15" x14ac:dyDescent="0.15">
      <c r="A118" s="12" t="b">
        <f>FALSE()</f>
        <v>0</v>
      </c>
      <c r="B118" s="12"/>
      <c r="C118" s="6" t="s">
        <v>386</v>
      </c>
      <c r="D118" s="6" t="s">
        <v>387</v>
      </c>
      <c r="E118" s="6" t="s">
        <v>15</v>
      </c>
      <c r="F118" s="6" t="s">
        <v>2485</v>
      </c>
      <c r="G118" s="6" t="s">
        <v>2486</v>
      </c>
      <c r="H118" s="6" t="str">
        <f t="shared" si="4"/>
        <v>att_cells</v>
      </c>
      <c r="I118" s="6" t="s">
        <v>386</v>
      </c>
      <c r="J118" s="6" t="str">
        <f t="shared" si="5"/>
        <v>att_cells:kupffer</v>
      </c>
      <c r="K118" s="11" t="s">
        <v>19</v>
      </c>
      <c r="L118" s="6" t="s">
        <v>388</v>
      </c>
      <c r="M118" s="6" t="s">
        <v>15</v>
      </c>
      <c r="N118" s="6" t="str">
        <f t="shared" si="6"/>
        <v>INSERT INTO attributes (parent_id, tag, name, priority, allow_as_filter, allow_for_dataset, allow_for_measurement, allow_for_users, allow_for_qc) VALUES (NULL, 'att_cells',  'Cells',  500,  TRUE, TRUE, TRUE, FALSE, FALSE);</v>
      </c>
      <c r="O118" s="6" t="str">
        <f t="shared" si="7"/>
        <v xml:space="preserve">INSERT INTO attribute_values (attribute_id, tag, name, details) VALUES ((SELECT id FROM attributes WHERE tag = 'att_cells' LIMIT 1),  'att_cells:kupffer',  'Kupffer',  'Kupffer cells; Liver'); </v>
      </c>
    </row>
    <row r="119" spans="1:15" x14ac:dyDescent="0.15">
      <c r="A119" s="12" t="b">
        <f>FALSE()</f>
        <v>0</v>
      </c>
      <c r="B119" s="12"/>
      <c r="C119" s="6" t="s">
        <v>389</v>
      </c>
      <c r="D119" s="6" t="s">
        <v>390</v>
      </c>
      <c r="E119" s="6" t="s">
        <v>15</v>
      </c>
      <c r="F119" s="6" t="s">
        <v>2485</v>
      </c>
      <c r="G119" s="6" t="s">
        <v>2486</v>
      </c>
      <c r="H119" s="6" t="str">
        <f t="shared" si="4"/>
        <v>att_cells</v>
      </c>
      <c r="I119" s="6" t="s">
        <v>389</v>
      </c>
      <c r="J119" s="6" t="str">
        <f t="shared" si="5"/>
        <v>att_cells:langerhans</v>
      </c>
      <c r="K119" s="11" t="s">
        <v>19</v>
      </c>
      <c r="L119" s="6" t="s">
        <v>391</v>
      </c>
      <c r="M119" s="6" t="s">
        <v>15</v>
      </c>
      <c r="N119" s="6" t="str">
        <f t="shared" si="6"/>
        <v>INSERT INTO attributes (parent_id, tag, name, priority, allow_as_filter, allow_for_dataset, allow_for_measurement, allow_for_users, allow_for_qc) VALUES (NULL, 'att_cells',  'Cells',  500,  TRUE, TRUE, TRUE, FALSE, FALSE);</v>
      </c>
      <c r="O119" s="6" t="str">
        <f t="shared" si="7"/>
        <v xml:space="preserve">INSERT INTO attribute_values (attribute_id, tag, name, details) VALUES ((SELECT id FROM attributes WHERE tag = 'att_cells' LIMIT 1),  'att_cells:langerhans',  'Langerhans',  'Langerhans cells; Skin'); </v>
      </c>
    </row>
    <row r="120" spans="1:15" x14ac:dyDescent="0.15">
      <c r="A120" s="12" t="b">
        <f>FALSE()</f>
        <v>0</v>
      </c>
      <c r="B120" s="12"/>
      <c r="C120" s="6" t="s">
        <v>392</v>
      </c>
      <c r="D120" s="6" t="s">
        <v>393</v>
      </c>
      <c r="E120" s="6" t="s">
        <v>15</v>
      </c>
      <c r="F120" s="6" t="s">
        <v>2485</v>
      </c>
      <c r="G120" s="6" t="s">
        <v>2486</v>
      </c>
      <c r="H120" s="6" t="str">
        <f t="shared" si="4"/>
        <v>att_cells</v>
      </c>
      <c r="I120" s="6" t="s">
        <v>392</v>
      </c>
      <c r="J120" s="6" t="str">
        <f t="shared" si="5"/>
        <v>att_cells:leukocytes</v>
      </c>
      <c r="K120" s="11" t="s">
        <v>19</v>
      </c>
      <c r="L120" s="6" t="s">
        <v>394</v>
      </c>
      <c r="M120" s="6" t="s">
        <v>15</v>
      </c>
      <c r="N120" s="6" t="str">
        <f t="shared" si="6"/>
        <v>INSERT INTO attributes (parent_id, tag, name, priority, allow_as_filter, allow_for_dataset, allow_for_measurement, allow_for_users, allow_for_qc) VALUES (NULL, 'att_cells',  'Cells',  500,  TRUE, TRUE, TRUE, FALSE, FALSE);</v>
      </c>
      <c r="O120" s="6" t="str">
        <f t="shared" si="7"/>
        <v xml:space="preserve">INSERT INTO attribute_values (attribute_id, tag, name, details) VALUES ((SELECT id FROM attributes WHERE tag = 'att_cells' LIMIT 1),  'att_cells:leukocytes',  'Leukocytes',  'White blood cells'); </v>
      </c>
    </row>
    <row r="121" spans="1:15" x14ac:dyDescent="0.15">
      <c r="A121" s="12" t="b">
        <f>FALSE()</f>
        <v>0</v>
      </c>
      <c r="B121" s="12"/>
      <c r="C121" s="6" t="s">
        <v>395</v>
      </c>
      <c r="D121" s="6" t="s">
        <v>396</v>
      </c>
      <c r="E121" s="6" t="s">
        <v>15</v>
      </c>
      <c r="F121" s="6" t="s">
        <v>2485</v>
      </c>
      <c r="G121" s="6" t="s">
        <v>2486</v>
      </c>
      <c r="H121" s="6" t="str">
        <f t="shared" si="4"/>
        <v>att_cells</v>
      </c>
      <c r="I121" s="6" t="s">
        <v>395</v>
      </c>
      <c r="J121" s="6" t="str">
        <f t="shared" si="5"/>
        <v>att_cells:lymphocytes</v>
      </c>
      <c r="K121" s="11" t="s">
        <v>19</v>
      </c>
      <c r="L121" s="6" t="s">
        <v>397</v>
      </c>
      <c r="M121" s="6" t="s">
        <v>15</v>
      </c>
      <c r="N121" s="6" t="str">
        <f t="shared" si="6"/>
        <v>INSERT INTO attributes (parent_id, tag, name, priority, allow_as_filter, allow_for_dataset, allow_for_measurement, allow_for_users, allow_for_qc) VALUES (NULL, 'att_cells',  'Cells',  500,  TRUE, TRUE, TRUE, FALSE, FALSE);</v>
      </c>
      <c r="O121" s="6" t="str">
        <f t="shared" si="7"/>
        <v xml:space="preserve">INSERT INTO attribute_values (attribute_id, tag, name, details) VALUES ((SELECT id FROM attributes WHERE tag = 'att_cells' LIMIT 1),  'att_cells:lymphocytes',  'Lymphocytes',  '30% of leukocytes; includes B cells and T cells'); </v>
      </c>
    </row>
    <row r="122" spans="1:15" x14ac:dyDescent="0.15">
      <c r="A122" s="12" t="b">
        <f>FALSE()</f>
        <v>0</v>
      </c>
      <c r="B122" s="12"/>
      <c r="C122" s="6" t="s">
        <v>398</v>
      </c>
      <c r="D122" s="6" t="s">
        <v>399</v>
      </c>
      <c r="E122" s="6" t="s">
        <v>15</v>
      </c>
      <c r="F122" s="6" t="s">
        <v>2485</v>
      </c>
      <c r="G122" s="6" t="s">
        <v>2486</v>
      </c>
      <c r="H122" s="6" t="str">
        <f t="shared" si="4"/>
        <v>att_cells</v>
      </c>
      <c r="I122" s="6" t="s">
        <v>398</v>
      </c>
      <c r="J122" s="6" t="str">
        <f t="shared" si="5"/>
        <v>att_cells:macrophage</v>
      </c>
      <c r="K122" s="11" t="s">
        <v>19</v>
      </c>
      <c r="L122" s="6" t="s">
        <v>399</v>
      </c>
      <c r="M122" s="6" t="s">
        <v>15</v>
      </c>
      <c r="N122" s="6" t="str">
        <f t="shared" si="6"/>
        <v>INSERT INTO attributes (parent_id, tag, name, priority, allow_as_filter, allow_for_dataset, allow_for_measurement, allow_for_users, allow_for_qc) VALUES (NULL, 'att_cells',  'Cells',  500,  TRUE, TRUE, TRUE, FALSE, FALSE);</v>
      </c>
      <c r="O122" s="6" t="str">
        <f t="shared" si="7"/>
        <v xml:space="preserve">INSERT INTO attribute_values (attribute_id, tag, name, details) VALUES ((SELECT id FROM attributes WHERE tag = 'att_cells' LIMIT 1),  'att_cells:macrophage',  'Macrophage',  'Macrophage'); </v>
      </c>
    </row>
    <row r="123" spans="1:15" x14ac:dyDescent="0.15">
      <c r="A123" s="12" t="b">
        <f>FALSE()</f>
        <v>0</v>
      </c>
      <c r="B123" s="12"/>
      <c r="C123" s="6" t="s">
        <v>400</v>
      </c>
      <c r="D123" s="6" t="s">
        <v>401</v>
      </c>
      <c r="E123" s="6" t="s">
        <v>15</v>
      </c>
      <c r="F123" s="6" t="s">
        <v>2485</v>
      </c>
      <c r="G123" s="6" t="s">
        <v>2486</v>
      </c>
      <c r="H123" s="6" t="str">
        <f t="shared" si="4"/>
        <v>att_cells</v>
      </c>
      <c r="I123" s="6" t="s">
        <v>400</v>
      </c>
      <c r="J123" s="6" t="str">
        <f t="shared" si="5"/>
        <v>att_cells:microglia</v>
      </c>
      <c r="K123" s="11" t="s">
        <v>19</v>
      </c>
      <c r="L123" s="6" t="s">
        <v>402</v>
      </c>
      <c r="M123" s="6" t="s">
        <v>15</v>
      </c>
      <c r="N123" s="6" t="str">
        <f t="shared" si="6"/>
        <v>INSERT INTO attributes (parent_id, tag, name, priority, allow_as_filter, allow_for_dataset, allow_for_measurement, allow_for_users, allow_for_qc) VALUES (NULL, 'att_cells',  'Cells',  500,  TRUE, TRUE, TRUE, FALSE, FALSE);</v>
      </c>
      <c r="O123" s="6" t="str">
        <f t="shared" si="7"/>
        <v xml:space="preserve">INSERT INTO attribute_values (attribute_id, tag, name, details) VALUES ((SELECT id FROM attributes WHERE tag = 'att_cells' LIMIT 1),  'att_cells:microglia',  'Microglia',  'Microglia; Central nervous system'); </v>
      </c>
    </row>
    <row r="124" spans="1:15" x14ac:dyDescent="0.15">
      <c r="A124" s="12" t="b">
        <f>FALSE()</f>
        <v>0</v>
      </c>
      <c r="B124" s="12"/>
      <c r="C124" s="6" t="s">
        <v>403</v>
      </c>
      <c r="D124" s="6" t="s">
        <v>404</v>
      </c>
      <c r="E124" s="6" t="s">
        <v>15</v>
      </c>
      <c r="F124" s="6" t="s">
        <v>2485</v>
      </c>
      <c r="G124" s="6" t="s">
        <v>2486</v>
      </c>
      <c r="H124" s="6" t="str">
        <f t="shared" si="4"/>
        <v>att_cells</v>
      </c>
      <c r="I124" s="6" t="s">
        <v>403</v>
      </c>
      <c r="J124" s="6" t="str">
        <f t="shared" si="5"/>
        <v>att_cells:monoblast</v>
      </c>
      <c r="K124" s="11" t="s">
        <v>19</v>
      </c>
      <c r="L124" s="6" t="s">
        <v>404</v>
      </c>
      <c r="M124" s="6" t="s">
        <v>15</v>
      </c>
      <c r="N124" s="6" t="str">
        <f t="shared" si="6"/>
        <v>INSERT INTO attributes (parent_id, tag, name, priority, allow_as_filter, allow_for_dataset, allow_for_measurement, allow_for_users, allow_for_qc) VALUES (NULL, 'att_cells',  'Cells',  500,  TRUE, TRUE, TRUE, FALSE, FALSE);</v>
      </c>
      <c r="O124" s="6" t="str">
        <f t="shared" si="7"/>
        <v xml:space="preserve">INSERT INTO attribute_values (attribute_id, tag, name, details) VALUES ((SELECT id FROM attributes WHERE tag = 'att_cells' LIMIT 1),  'att_cells:monoblast',  'Monoblast',  'Monoblast'); </v>
      </c>
    </row>
    <row r="125" spans="1:15" x14ac:dyDescent="0.15">
      <c r="A125" s="12" t="b">
        <f>FALSE()</f>
        <v>0</v>
      </c>
      <c r="B125" s="12"/>
      <c r="C125" s="6" t="s">
        <v>405</v>
      </c>
      <c r="D125" s="6" t="s">
        <v>323</v>
      </c>
      <c r="E125" s="6" t="s">
        <v>15</v>
      </c>
      <c r="F125" s="6" t="s">
        <v>2485</v>
      </c>
      <c r="G125" s="6" t="s">
        <v>2486</v>
      </c>
      <c r="H125" s="6" t="str">
        <f t="shared" si="4"/>
        <v>att_cells</v>
      </c>
      <c r="I125" s="6" t="s">
        <v>405</v>
      </c>
      <c r="J125" s="6" t="str">
        <f t="shared" si="5"/>
        <v>att_cells:monocytes</v>
      </c>
      <c r="K125" s="11" t="s">
        <v>19</v>
      </c>
      <c r="L125" s="6" t="s">
        <v>406</v>
      </c>
      <c r="M125" s="6" t="s">
        <v>15</v>
      </c>
      <c r="N125" s="6" t="str">
        <f t="shared" si="6"/>
        <v>INSERT INTO attributes (parent_id, tag, name, priority, allow_as_filter, allow_for_dataset, allow_for_measurement, allow_for_users, allow_for_qc) VALUES (NULL, 'att_cells',  'Cells',  500,  TRUE, TRUE, TRUE, FALSE, FALSE);</v>
      </c>
      <c r="O125" s="6" t="str">
        <f t="shared" si="7"/>
        <v xml:space="preserve">INSERT INTO attribute_values (attribute_id, tag, name, details) VALUES ((SELECT id FROM attributes WHERE tag = 'att_cells' LIMIT 1),  'att_cells:monocytes',  'Monocytes',  '5% of leukocytes'); </v>
      </c>
    </row>
    <row r="126" spans="1:15" x14ac:dyDescent="0.15">
      <c r="A126" s="12" t="b">
        <f>FALSE()</f>
        <v>0</v>
      </c>
      <c r="B126" s="12"/>
      <c r="C126" s="6" t="s">
        <v>407</v>
      </c>
      <c r="D126" s="6" t="s">
        <v>408</v>
      </c>
      <c r="E126" s="6" t="s">
        <v>15</v>
      </c>
      <c r="F126" s="6" t="s">
        <v>2485</v>
      </c>
      <c r="G126" s="6" t="s">
        <v>2486</v>
      </c>
      <c r="H126" s="6" t="str">
        <f t="shared" si="4"/>
        <v>att_cells</v>
      </c>
      <c r="I126" s="6" t="s">
        <v>407</v>
      </c>
      <c r="J126" s="6" t="str">
        <f t="shared" si="5"/>
        <v>att_cells:neutrophils</v>
      </c>
      <c r="K126" s="11" t="s">
        <v>19</v>
      </c>
      <c r="L126" s="6" t="s">
        <v>409</v>
      </c>
      <c r="M126" s="6" t="s">
        <v>15</v>
      </c>
      <c r="N126" s="6" t="str">
        <f t="shared" si="6"/>
        <v>INSERT INTO attributes (parent_id, tag, name, priority, allow_as_filter, allow_for_dataset, allow_for_measurement, allow_for_users, allow_for_qc) VALUES (NULL, 'att_cells',  'Cells',  500,  TRUE, TRUE, TRUE, FALSE, FALSE);</v>
      </c>
      <c r="O126" s="6" t="str">
        <f t="shared" si="7"/>
        <v xml:space="preserve">INSERT INTO attribute_values (attribute_id, tag, name, details) VALUES ((SELECT id FROM attributes WHERE tag = 'att_cells' LIMIT 1),  'att_cells:neutrophils',  'Neutrophils',  '62% of leukocytes'); </v>
      </c>
    </row>
    <row r="127" spans="1:15" x14ac:dyDescent="0.15">
      <c r="A127" s="12" t="b">
        <f>FALSE()</f>
        <v>0</v>
      </c>
      <c r="B127" s="12"/>
      <c r="C127" s="6" t="s">
        <v>410</v>
      </c>
      <c r="D127" s="6" t="s">
        <v>411</v>
      </c>
      <c r="E127" s="6" t="s">
        <v>15</v>
      </c>
      <c r="F127" s="6" t="s">
        <v>2485</v>
      </c>
      <c r="G127" s="6" t="s">
        <v>2486</v>
      </c>
      <c r="H127" s="6" t="str">
        <f t="shared" si="4"/>
        <v>att_cells</v>
      </c>
      <c r="I127" s="6" t="s">
        <v>410</v>
      </c>
      <c r="J127" s="6" t="str">
        <f t="shared" si="5"/>
        <v>att_cells:nk</v>
      </c>
      <c r="K127" s="11" t="s">
        <v>19</v>
      </c>
      <c r="L127" s="6" t="s">
        <v>412</v>
      </c>
      <c r="M127" s="6" t="s">
        <v>15</v>
      </c>
      <c r="N127" s="6" t="str">
        <f t="shared" si="6"/>
        <v>INSERT INTO attributes (parent_id, tag, name, priority, allow_as_filter, allow_for_dataset, allow_for_measurement, allow_for_users, allow_for_qc) VALUES (NULL, 'att_cells',  'Cells',  500,  TRUE, TRUE, TRUE, FALSE, FALSE);</v>
      </c>
      <c r="O127" s="6" t="str">
        <f t="shared" si="7"/>
        <v xml:space="preserve">INSERT INTO attribute_values (attribute_id, tag, name, details) VALUES ((SELECT id FROM attributes WHERE tag = 'att_cells' LIMIT 1),  'att_cells:nk',  'Natural Killer cells (NK)',  'Natural killer cells'); </v>
      </c>
    </row>
    <row r="128" spans="1:15" x14ac:dyDescent="0.15">
      <c r="A128" s="12" t="b">
        <f>FALSE()</f>
        <v>0</v>
      </c>
      <c r="B128" s="12"/>
      <c r="C128" s="6" t="s">
        <v>413</v>
      </c>
      <c r="D128" s="6" t="s">
        <v>414</v>
      </c>
      <c r="E128" s="6" t="s">
        <v>15</v>
      </c>
      <c r="F128" s="6" t="s">
        <v>2485</v>
      </c>
      <c r="G128" s="6" t="s">
        <v>2486</v>
      </c>
      <c r="H128" s="6" t="str">
        <f t="shared" si="4"/>
        <v>att_cells</v>
      </c>
      <c r="I128" s="6" t="s">
        <v>413</v>
      </c>
      <c r="J128" s="6" t="str">
        <f t="shared" si="5"/>
        <v>att_cells:osteoblast</v>
      </c>
      <c r="K128" s="11" t="s">
        <v>19</v>
      </c>
      <c r="L128" s="6" t="s">
        <v>415</v>
      </c>
      <c r="M128" s="6" t="s">
        <v>15</v>
      </c>
      <c r="N128" s="6" t="str">
        <f t="shared" si="6"/>
        <v>INSERT INTO attributes (parent_id, tag, name, priority, allow_as_filter, allow_for_dataset, allow_for_measurement, allow_for_users, allow_for_qc) VALUES (NULL, 'att_cells',  'Cells',  500,  TRUE, TRUE, TRUE, FALSE, FALSE);</v>
      </c>
      <c r="O128" s="6" t="str">
        <f t="shared" si="7"/>
        <v xml:space="preserve">INSERT INTO attribute_values (attribute_id, tag, name, details) VALUES ((SELECT id FROM attributes WHERE tag = 'att_cells' LIMIT 1),  'att_cells:osteoblast',  'Osteoblast',  'forms bone matrix'); </v>
      </c>
    </row>
    <row r="129" spans="1:15" x14ac:dyDescent="0.15">
      <c r="A129" s="12" t="b">
        <f>FALSE()</f>
        <v>0</v>
      </c>
      <c r="B129" s="12"/>
      <c r="C129" s="6" t="s">
        <v>416</v>
      </c>
      <c r="D129" s="6" t="s">
        <v>417</v>
      </c>
      <c r="E129" s="6" t="s">
        <v>15</v>
      </c>
      <c r="F129" s="6" t="s">
        <v>2485</v>
      </c>
      <c r="G129" s="6" t="s">
        <v>2486</v>
      </c>
      <c r="H129" s="6" t="str">
        <f t="shared" si="4"/>
        <v>att_cells</v>
      </c>
      <c r="I129" s="6" t="s">
        <v>416</v>
      </c>
      <c r="J129" s="6" t="str">
        <f t="shared" si="5"/>
        <v>att_cells:osteoclast</v>
      </c>
      <c r="K129" s="11" t="s">
        <v>19</v>
      </c>
      <c r="L129" s="6" t="s">
        <v>418</v>
      </c>
      <c r="M129" s="6" t="s">
        <v>15</v>
      </c>
      <c r="N129" s="6" t="str">
        <f t="shared" si="6"/>
        <v>INSERT INTO attributes (parent_id, tag, name, priority, allow_as_filter, allow_for_dataset, allow_for_measurement, allow_for_users, allow_for_qc) VALUES (NULL, 'att_cells',  'Cells',  500,  TRUE, TRUE, TRUE, FALSE, FALSE);</v>
      </c>
      <c r="O129" s="6" t="str">
        <f t="shared" si="7"/>
        <v xml:space="preserve">INSERT INTO attribute_values (attribute_id, tag, name, details) VALUES ((SELECT id FROM attributes WHERE tag = 'att_cells' LIMIT 1),  'att_cells:osteoclast',  'Osteoclast',  'resorbs bone'); </v>
      </c>
    </row>
    <row r="130" spans="1:15" x14ac:dyDescent="0.15">
      <c r="A130" s="12" t="b">
        <f>FALSE()</f>
        <v>0</v>
      </c>
      <c r="B130" s="12"/>
      <c r="C130" s="6" t="s">
        <v>419</v>
      </c>
      <c r="D130" s="6" t="s">
        <v>420</v>
      </c>
      <c r="E130" s="6" t="s">
        <v>15</v>
      </c>
      <c r="F130" s="6" t="s">
        <v>2485</v>
      </c>
      <c r="G130" s="6" t="s">
        <v>2486</v>
      </c>
      <c r="H130" s="6" t="str">
        <f t="shared" ref="H130:H193" si="8">"att_"&amp;G130</f>
        <v>att_cells</v>
      </c>
      <c r="I130" s="6" t="s">
        <v>419</v>
      </c>
      <c r="J130" s="6" t="str">
        <f t="shared" ref="J130:J193" si="9">H130&amp;":"&amp;I130</f>
        <v>att_cells:osteocytes</v>
      </c>
      <c r="K130" s="11" t="s">
        <v>19</v>
      </c>
      <c r="L130" s="6" t="s">
        <v>421</v>
      </c>
      <c r="M130" s="6" t="s">
        <v>15</v>
      </c>
      <c r="N130" s="6" t="str">
        <f t="shared" ref="N130:N193" si="10">"INSERT INTO attributes (parent_id, tag, name, priority, allow_as_filter, allow_for_dataset, allow_for_measurement, allow_for_users, allow_for_qc) VALUES (NULL, '"&amp;H130&amp;"',  '"&amp;F130&amp;"',  500,  TRUE, TRUE, TRUE, FALSE, FALSE);"</f>
        <v>INSERT INTO attributes (parent_id, tag, name, priority, allow_as_filter, allow_for_dataset, allow_for_measurement, allow_for_users, allow_for_qc) VALUES (NULL, 'att_cells',  'Cells',  500,  TRUE, TRUE, TRUE, FALSE, FALSE);</v>
      </c>
      <c r="O130" s="6" t="str">
        <f t="shared" ref="O130:O193" si="11">"INSERT INTO attribute_values (attribute_id, tag, name, details) VALUES ((SELECT id FROM attributes WHERE tag = '"&amp;H130&amp;"' LIMIT 1),  '"&amp;J130&amp;"',  '"&amp;D130&amp;"',  '"&amp;L130&amp;"'); "</f>
        <v xml:space="preserve">INSERT INTO attribute_values (attribute_id, tag, name, details) VALUES ((SELECT id FROM attributes WHERE tag = 'att_cells' LIMIT 1),  'att_cells:osteocytes',  'Osteocytes',  'maintains bone tissue'); </v>
      </c>
    </row>
    <row r="131" spans="1:15" x14ac:dyDescent="0.15">
      <c r="A131" s="12" t="b">
        <f>FALSE()</f>
        <v>0</v>
      </c>
      <c r="B131" s="12"/>
      <c r="C131" s="6" t="s">
        <v>422</v>
      </c>
      <c r="D131" s="6" t="s">
        <v>423</v>
      </c>
      <c r="E131" s="6" t="s">
        <v>15</v>
      </c>
      <c r="F131" s="6" t="s">
        <v>2485</v>
      </c>
      <c r="G131" s="6" t="s">
        <v>2486</v>
      </c>
      <c r="H131" s="6" t="str">
        <f t="shared" si="8"/>
        <v>att_cells</v>
      </c>
      <c r="I131" s="6" t="s">
        <v>422</v>
      </c>
      <c r="J131" s="6" t="str">
        <f t="shared" si="9"/>
        <v>att_cells:osteogenic</v>
      </c>
      <c r="K131" s="11" t="s">
        <v>19</v>
      </c>
      <c r="L131" s="6" t="s">
        <v>424</v>
      </c>
      <c r="M131" s="6" t="s">
        <v>15</v>
      </c>
      <c r="N131" s="6" t="str">
        <f t="shared" si="10"/>
        <v>INSERT INTO attributes (parent_id, tag, name, priority, allow_as_filter, allow_for_dataset, allow_for_measurement, allow_for_users, allow_for_qc) VALUES (NULL, 'att_cells',  'Cells',  500,  TRUE, TRUE, TRUE, FALSE, FALSE);</v>
      </c>
      <c r="O131" s="6" t="str">
        <f t="shared" si="11"/>
        <v xml:space="preserve">INSERT INTO attribute_values (attribute_id, tag, name, details) VALUES ((SELECT id FROM attributes WHERE tag = 'att_cells' LIMIT 1),  'att_cells:osteogenic',  'Osteogenic',  'Stem cell'); </v>
      </c>
    </row>
    <row r="132" spans="1:15" x14ac:dyDescent="0.15">
      <c r="A132" s="12" t="b">
        <f>FALSE()</f>
        <v>0</v>
      </c>
      <c r="B132" s="12"/>
      <c r="C132" s="6" t="s">
        <v>425</v>
      </c>
      <c r="D132" s="6" t="s">
        <v>426</v>
      </c>
      <c r="E132" s="6" t="s">
        <v>15</v>
      </c>
      <c r="F132" s="6" t="s">
        <v>2485</v>
      </c>
      <c r="G132" s="6" t="s">
        <v>2486</v>
      </c>
      <c r="H132" s="6" t="str">
        <f t="shared" si="8"/>
        <v>att_cells</v>
      </c>
      <c r="I132" s="6" t="s">
        <v>425</v>
      </c>
      <c r="J132" s="6" t="str">
        <f t="shared" si="9"/>
        <v>att_cells:regt</v>
      </c>
      <c r="K132" s="11" t="s">
        <v>19</v>
      </c>
      <c r="L132" s="6" t="s">
        <v>427</v>
      </c>
      <c r="M132" s="6" t="s">
        <v>15</v>
      </c>
      <c r="N132" s="6" t="str">
        <f t="shared" si="10"/>
        <v>INSERT INTO attributes (parent_id, tag, name, priority, allow_as_filter, allow_for_dataset, allow_for_measurement, allow_for_users, allow_for_qc) VALUES (NULL, 'att_cells',  'Cells',  500,  TRUE, TRUE, TRUE, FALSE, FALSE);</v>
      </c>
      <c r="O132" s="6" t="str">
        <f t="shared" si="11"/>
        <v xml:space="preserve">INSERT INTO attribute_values (attribute_id, tag, name, details) VALUES ((SELECT id FROM attributes WHERE tag = 'att_cells' LIMIT 1),  'att_cells:regt',  'Regulatory T cells (RegT)',  'Regulatory T Cell'); </v>
      </c>
    </row>
    <row r="133" spans="1:15" x14ac:dyDescent="0.15">
      <c r="A133" s="12" t="b">
        <f>FALSE()</f>
        <v>0</v>
      </c>
      <c r="B133" s="12"/>
      <c r="C133" s="6" t="s">
        <v>428</v>
      </c>
      <c r="D133" s="6" t="s">
        <v>429</v>
      </c>
      <c r="E133" s="6" t="s">
        <v>15</v>
      </c>
      <c r="F133" s="6" t="s">
        <v>2485</v>
      </c>
      <c r="G133" s="6" t="s">
        <v>2486</v>
      </c>
      <c r="H133" s="6" t="str">
        <f t="shared" si="8"/>
        <v>att_cells</v>
      </c>
      <c r="I133" s="6" t="s">
        <v>428</v>
      </c>
      <c r="J133" s="6" t="str">
        <f t="shared" si="9"/>
        <v>att_cells:stemcells</v>
      </c>
      <c r="K133" s="11" t="s">
        <v>19</v>
      </c>
      <c r="L133" s="6" t="s">
        <v>430</v>
      </c>
      <c r="M133" s="6" t="s">
        <v>15</v>
      </c>
      <c r="N133" s="6" t="str">
        <f t="shared" si="10"/>
        <v>INSERT INTO attributes (parent_id, tag, name, priority, allow_as_filter, allow_for_dataset, allow_for_measurement, allow_for_users, allow_for_qc) VALUES (NULL, 'att_cells',  'Cells',  500,  TRUE, TRUE, TRUE, FALSE, FALSE);</v>
      </c>
      <c r="O133" s="6" t="str">
        <f t="shared" si="11"/>
        <v xml:space="preserve">INSERT INTO attribute_values (attribute_id, tag, name, details) VALUES ((SELECT id FROM attributes WHERE tag = 'att_cells' LIMIT 1),  'att_cells:stemcells',  'Stem Cells',  'Stem or Blast cells'); </v>
      </c>
    </row>
    <row r="134" spans="1:15" x14ac:dyDescent="0.15">
      <c r="A134" s="12" t="b">
        <f>FALSE()</f>
        <v>0</v>
      </c>
      <c r="B134" s="12"/>
      <c r="C134" s="6" t="s">
        <v>431</v>
      </c>
      <c r="D134" s="6" t="s">
        <v>432</v>
      </c>
      <c r="E134" s="6" t="s">
        <v>15</v>
      </c>
      <c r="F134" s="6" t="s">
        <v>2485</v>
      </c>
      <c r="G134" s="6" t="s">
        <v>2486</v>
      </c>
      <c r="H134" s="6" t="str">
        <f t="shared" si="8"/>
        <v>att_cells</v>
      </c>
      <c r="I134" s="6" t="s">
        <v>431</v>
      </c>
      <c r="J134" s="6" t="str">
        <f t="shared" si="9"/>
        <v>att_cells:tcells</v>
      </c>
      <c r="K134" s="11" t="s">
        <v>19</v>
      </c>
      <c r="L134" s="6" t="s">
        <v>432</v>
      </c>
      <c r="M134" s="6" t="s">
        <v>15</v>
      </c>
      <c r="N134" s="6" t="str">
        <f t="shared" si="10"/>
        <v>INSERT INTO attributes (parent_id, tag, name, priority, allow_as_filter, allow_for_dataset, allow_for_measurement, allow_for_users, allow_for_qc) VALUES (NULL, 'att_cells',  'Cells',  500,  TRUE, TRUE, TRUE, FALSE, FALSE);</v>
      </c>
      <c r="O134" s="6" t="str">
        <f t="shared" si="11"/>
        <v xml:space="preserve">INSERT INTO attribute_values (attribute_id, tag, name, details) VALUES ((SELECT id FROM attributes WHERE tag = 'att_cells' LIMIT 1),  'att_cells:tcells',  'T cells',  'T cells'); </v>
      </c>
    </row>
    <row r="135" spans="1:15" x14ac:dyDescent="0.15">
      <c r="A135" s="12" t="b">
        <f>FALSE()</f>
        <v>0</v>
      </c>
      <c r="B135" s="12"/>
      <c r="C135" s="6" t="s">
        <v>433</v>
      </c>
      <c r="D135" s="6" t="s">
        <v>434</v>
      </c>
      <c r="E135" s="6" t="s">
        <v>15</v>
      </c>
      <c r="F135" s="6" t="s">
        <v>2485</v>
      </c>
      <c r="G135" s="6" t="s">
        <v>2486</v>
      </c>
      <c r="H135" s="6" t="str">
        <f t="shared" si="8"/>
        <v>att_cells</v>
      </c>
      <c r="I135" s="6" t="s">
        <v>433</v>
      </c>
      <c r="J135" s="6" t="str">
        <f t="shared" si="9"/>
        <v>att_cells:thelper</v>
      </c>
      <c r="K135" s="11" t="s">
        <v>19</v>
      </c>
      <c r="L135" s="6" t="s">
        <v>435</v>
      </c>
      <c r="M135" s="6" t="s">
        <v>15</v>
      </c>
      <c r="N135" s="6" t="str">
        <f t="shared" si="10"/>
        <v>INSERT INTO attributes (parent_id, tag, name, priority, allow_as_filter, allow_for_dataset, allow_for_measurement, allow_for_users, allow_for_qc) VALUES (NULL, 'att_cells',  'Cells',  500,  TRUE, TRUE, TRUE, FALSE, FALSE);</v>
      </c>
      <c r="O135" s="6" t="str">
        <f t="shared" si="11"/>
        <v xml:space="preserve">INSERT INTO attribute_values (attribute_id, tag, name, details) VALUES ((SELECT id FROM attributes WHERE tag = 'att_cells' LIMIT 1),  'att_cells:thelper',  'T Helper cells (Th)',  'CD4+ T helper cells'); </v>
      </c>
    </row>
    <row r="136" spans="1:15" x14ac:dyDescent="0.15">
      <c r="A136" s="12" t="b">
        <f>FALSE()</f>
        <v>0</v>
      </c>
      <c r="B136" s="12"/>
      <c r="C136" s="6" t="s">
        <v>436</v>
      </c>
      <c r="D136" s="6" t="s">
        <v>437</v>
      </c>
      <c r="E136" s="6" t="s">
        <v>15</v>
      </c>
      <c r="F136" s="6" t="s">
        <v>2485</v>
      </c>
      <c r="G136" s="6" t="s">
        <v>2486</v>
      </c>
      <c r="H136" s="6" t="str">
        <f t="shared" si="8"/>
        <v>att_cells</v>
      </c>
      <c r="I136" s="6" t="s">
        <v>436</v>
      </c>
      <c r="J136" s="6" t="str">
        <f t="shared" si="9"/>
        <v>att_cells:thrombocytes</v>
      </c>
      <c r="K136" s="11" t="s">
        <v>19</v>
      </c>
      <c r="L136" s="6" t="s">
        <v>438</v>
      </c>
      <c r="M136" s="6" t="s">
        <v>15</v>
      </c>
      <c r="N136" s="6" t="str">
        <f t="shared" si="10"/>
        <v>INSERT INTO attributes (parent_id, tag, name, priority, allow_as_filter, allow_for_dataset, allow_for_measurement, allow_for_users, allow_for_qc) VALUES (NULL, 'att_cells',  'Cells',  500,  TRUE, TRUE, TRUE, FALSE, FALSE);</v>
      </c>
      <c r="O136" s="6" t="str">
        <f t="shared" si="11"/>
        <v xml:space="preserve">INSERT INTO attribute_values (attribute_id, tag, name, details) VALUES ((SELECT id FROM attributes WHERE tag = 'att_cells' LIMIT 1),  'att_cells:thrombocytes',  'Thrombocytes',  'Platelets'); </v>
      </c>
    </row>
    <row r="137" spans="1:15" x14ac:dyDescent="0.15">
      <c r="A137" s="12" t="b">
        <f>FALSE()</f>
        <v>0</v>
      </c>
      <c r="B137" s="12"/>
      <c r="C137" s="6" t="s">
        <v>669</v>
      </c>
      <c r="D137" s="6" t="s">
        <v>670</v>
      </c>
      <c r="E137" s="6" t="s">
        <v>15</v>
      </c>
      <c r="F137" s="6" t="s">
        <v>2487</v>
      </c>
      <c r="G137" s="6" t="s">
        <v>2488</v>
      </c>
      <c r="H137" s="6" t="str">
        <f t="shared" si="8"/>
        <v>att_compound</v>
      </c>
      <c r="I137" s="6" t="s">
        <v>669</v>
      </c>
      <c r="J137" s="6" t="str">
        <f t="shared" si="9"/>
        <v>att_compound:anisomycin</v>
      </c>
      <c r="K137" s="11" t="s">
        <v>19</v>
      </c>
      <c r="L137" s="6" t="s">
        <v>670</v>
      </c>
      <c r="M137" s="6" t="s">
        <v>15</v>
      </c>
      <c r="N137" s="6" t="str">
        <f t="shared" si="10"/>
        <v>INSERT INTO attributes (parent_id, tag, name, priority, allow_as_filter, allow_for_dataset, allow_for_measurement, allow_for_users, allow_for_qc) VALUES (NULL, 'att_compound',  'Compound',  500,  TRUE, TRUE, TRUE, FALSE, FALSE);</v>
      </c>
      <c r="O137" s="6" t="str">
        <f t="shared" si="11"/>
        <v xml:space="preserve">INSERT INTO attribute_values (attribute_id, tag, name, details) VALUES ((SELECT id FROM attributes WHERE tag = 'att_compound' LIMIT 1),  'att_compound:anisomycin',  'Anisomycin',  'Anisomycin'); </v>
      </c>
    </row>
    <row r="138" spans="1:15" x14ac:dyDescent="0.15">
      <c r="A138" s="12" t="b">
        <f>FALSE()</f>
        <v>0</v>
      </c>
      <c r="B138" s="12"/>
      <c r="C138" s="6" t="s">
        <v>674</v>
      </c>
      <c r="D138" s="6" t="s">
        <v>675</v>
      </c>
      <c r="E138" s="6" t="s">
        <v>15</v>
      </c>
      <c r="F138" s="6" t="s">
        <v>2487</v>
      </c>
      <c r="G138" s="6" t="s">
        <v>2488</v>
      </c>
      <c r="H138" s="6" t="str">
        <f t="shared" si="8"/>
        <v>att_compound</v>
      </c>
      <c r="I138" s="6" t="s">
        <v>674</v>
      </c>
      <c r="J138" s="6" t="str">
        <f t="shared" si="9"/>
        <v>att_compound:atp</v>
      </c>
      <c r="K138" s="11" t="s">
        <v>19</v>
      </c>
      <c r="L138" s="6" t="s">
        <v>676</v>
      </c>
      <c r="M138" s="6" t="s">
        <v>15</v>
      </c>
      <c r="N138" s="6" t="str">
        <f t="shared" si="10"/>
        <v>INSERT INTO attributes (parent_id, tag, name, priority, allow_as_filter, allow_for_dataset, allow_for_measurement, allow_for_users, allow_for_qc) VALUES (NULL, 'att_compound',  'Compound',  500,  TRUE, TRUE, TRUE, FALSE, FALSE);</v>
      </c>
      <c r="O138" s="6" t="str">
        <f t="shared" si="11"/>
        <v xml:space="preserve">INSERT INTO attribute_values (attribute_id, tag, name, details) VALUES ((SELECT id FROM attributes WHERE tag = 'att_compound' LIMIT 1),  'att_compound:atp',  'ATP',  'Adenosine triphosphate'); </v>
      </c>
    </row>
    <row r="139" spans="1:15" x14ac:dyDescent="0.15">
      <c r="A139" s="12" t="b">
        <f>FALSE()</f>
        <v>0</v>
      </c>
      <c r="B139" s="12"/>
      <c r="C139" s="6" t="s">
        <v>677</v>
      </c>
      <c r="D139" s="6" t="s">
        <v>677</v>
      </c>
      <c r="E139" s="6" t="s">
        <v>15</v>
      </c>
      <c r="F139" s="6" t="s">
        <v>2487</v>
      </c>
      <c r="G139" s="6" t="s">
        <v>2488</v>
      </c>
      <c r="H139" s="6" t="str">
        <f t="shared" si="8"/>
        <v>att_compound</v>
      </c>
      <c r="I139" s="6" t="s">
        <v>677</v>
      </c>
      <c r="J139" s="6" t="str">
        <f t="shared" si="9"/>
        <v>att_compound:berzosertib</v>
      </c>
      <c r="K139" s="11" t="s">
        <v>19</v>
      </c>
      <c r="L139" s="6" t="s">
        <v>678</v>
      </c>
      <c r="M139" s="6" t="s">
        <v>15</v>
      </c>
      <c r="N139" s="6" t="str">
        <f t="shared" si="10"/>
        <v>INSERT INTO attributes (parent_id, tag, name, priority, allow_as_filter, allow_for_dataset, allow_for_measurement, allow_for_users, allow_for_qc) VALUES (NULL, 'att_compound',  'Compound',  500,  TRUE, TRUE, TRUE, FALSE, FALSE);</v>
      </c>
      <c r="O139" s="6" t="str">
        <f t="shared" si="11"/>
        <v xml:space="preserve">INSERT INTO attribute_values (attribute_id, tag, name, details) VALUES ((SELECT id FROM attributes WHERE tag = 'att_compound' LIMIT 1),  'att_compound:berzosertib',  'berzosertib',  'Berzosertib'); </v>
      </c>
    </row>
    <row r="140" spans="1:15" x14ac:dyDescent="0.15">
      <c r="A140" s="12" t="b">
        <f>FALSE()</f>
        <v>0</v>
      </c>
      <c r="B140" s="12"/>
      <c r="C140" s="6" t="s">
        <v>679</v>
      </c>
      <c r="D140" s="6" t="s">
        <v>679</v>
      </c>
      <c r="E140" s="6" t="s">
        <v>15</v>
      </c>
      <c r="F140" s="6" t="s">
        <v>2487</v>
      </c>
      <c r="G140" s="6" t="s">
        <v>2488</v>
      </c>
      <c r="H140" s="6" t="str">
        <f t="shared" si="8"/>
        <v>att_compound</v>
      </c>
      <c r="I140" s="6" t="s">
        <v>679</v>
      </c>
      <c r="J140" s="6" t="str">
        <f t="shared" si="9"/>
        <v>att_compound:bortezomib</v>
      </c>
      <c r="K140" s="11" t="s">
        <v>19</v>
      </c>
      <c r="L140" s="6" t="s">
        <v>680</v>
      </c>
      <c r="M140" s="6" t="s">
        <v>15</v>
      </c>
      <c r="N140" s="6" t="str">
        <f t="shared" si="10"/>
        <v>INSERT INTO attributes (parent_id, tag, name, priority, allow_as_filter, allow_for_dataset, allow_for_measurement, allow_for_users, allow_for_qc) VALUES (NULL, 'att_compound',  'Compound',  500,  TRUE, TRUE, TRUE, FALSE, FALSE);</v>
      </c>
      <c r="O140" s="6" t="str">
        <f t="shared" si="11"/>
        <v xml:space="preserve">INSERT INTO attribute_values (attribute_id, tag, name, details) VALUES ((SELECT id FROM attributes WHERE tag = 'att_compound' LIMIT 1),  'att_compound:bortezomib',  'bortezomib',  'Bortezomib'); </v>
      </c>
    </row>
    <row r="141" spans="1:15" s="14" customFormat="1" x14ac:dyDescent="0.15">
      <c r="A141" s="13" t="b">
        <f>FALSE()</f>
        <v>0</v>
      </c>
      <c r="B141" s="13"/>
      <c r="C141" s="14" t="s">
        <v>2489</v>
      </c>
      <c r="D141" s="14" t="s">
        <v>2490</v>
      </c>
      <c r="E141" s="14" t="s">
        <v>15</v>
      </c>
      <c r="F141" s="14" t="s">
        <v>2487</v>
      </c>
      <c r="G141" s="14" t="s">
        <v>2488</v>
      </c>
      <c r="H141" s="14" t="str">
        <f t="shared" si="8"/>
        <v>att_compound</v>
      </c>
      <c r="I141" s="14" t="s">
        <v>2489</v>
      </c>
      <c r="J141" s="14" t="str">
        <f t="shared" si="9"/>
        <v>att_compound:cgas</v>
      </c>
      <c r="K141" s="15" t="s">
        <v>19</v>
      </c>
      <c r="L141" s="14" t="s">
        <v>2490</v>
      </c>
      <c r="M141" s="14" t="s">
        <v>15</v>
      </c>
      <c r="N141" s="14" t="str">
        <f t="shared" si="10"/>
        <v>INSERT INTO attributes (parent_id, tag, name, priority, allow_as_filter, allow_for_dataset, allow_for_measurement, allow_for_users, allow_for_qc) VALUES (NULL, 'att_compound',  'Compound',  500,  TRUE, TRUE, TRUE, FALSE, FALSE);</v>
      </c>
      <c r="O141" s="14" t="str">
        <f t="shared" si="11"/>
        <v xml:space="preserve">INSERT INTO attribute_values (attribute_id, tag, name, details) VALUES ((SELECT id FROM attributes WHERE tag = 'att_compound' LIMIT 1),  'att_compound:cgas',  'cGAS',  'cGAS'); </v>
      </c>
    </row>
    <row r="142" spans="1:15" x14ac:dyDescent="0.15">
      <c r="A142" s="12" t="b">
        <f>FALSE()</f>
        <v>0</v>
      </c>
      <c r="B142" s="12"/>
      <c r="C142" s="6" t="s">
        <v>684</v>
      </c>
      <c r="D142" s="6" t="s">
        <v>684</v>
      </c>
      <c r="E142" s="6" t="s">
        <v>15</v>
      </c>
      <c r="F142" s="6" t="s">
        <v>2487</v>
      </c>
      <c r="G142" s="6" t="s">
        <v>2488</v>
      </c>
      <c r="H142" s="6" t="str">
        <f t="shared" si="8"/>
        <v>att_compound</v>
      </c>
      <c r="I142" s="6" t="s">
        <v>684</v>
      </c>
      <c r="J142" s="6" t="str">
        <f t="shared" si="9"/>
        <v>att_compound:cycloheximide</v>
      </c>
      <c r="K142" s="11" t="s">
        <v>19</v>
      </c>
      <c r="L142" s="6" t="s">
        <v>685</v>
      </c>
      <c r="M142" s="6" t="s">
        <v>15</v>
      </c>
      <c r="N142" s="6" t="str">
        <f t="shared" si="10"/>
        <v>INSERT INTO attributes (parent_id, tag, name, priority, allow_as_filter, allow_for_dataset, allow_for_measurement, allow_for_users, allow_for_qc) VALUES (NULL, 'att_compound',  'Compound',  500,  TRUE, TRUE, TRUE, FALSE, FALSE);</v>
      </c>
      <c r="O142" s="6" t="str">
        <f t="shared" si="11"/>
        <v xml:space="preserve">INSERT INTO attribute_values (attribute_id, tag, name, details) VALUES ((SELECT id FROM attributes WHERE tag = 'att_compound' LIMIT 1),  'att_compound:cycloheximide',  'cycloheximide',  'Cycloheximide'); </v>
      </c>
    </row>
    <row r="143" spans="1:15" x14ac:dyDescent="0.15">
      <c r="A143" s="12" t="b">
        <f>FALSE()</f>
        <v>0</v>
      </c>
      <c r="B143" s="12"/>
      <c r="C143" s="6" t="s">
        <v>2491</v>
      </c>
      <c r="D143" s="6" t="s">
        <v>2492</v>
      </c>
      <c r="E143" s="6" t="s">
        <v>15</v>
      </c>
      <c r="F143" s="6" t="s">
        <v>2487</v>
      </c>
      <c r="G143" s="6" t="s">
        <v>2488</v>
      </c>
      <c r="H143" s="6" t="str">
        <f t="shared" si="8"/>
        <v>att_compound</v>
      </c>
      <c r="I143" s="6" t="s">
        <v>2491</v>
      </c>
      <c r="J143" s="6" t="str">
        <f t="shared" si="9"/>
        <v>att_compound:diabzi</v>
      </c>
      <c r="K143" s="11" t="s">
        <v>19</v>
      </c>
      <c r="L143" s="6" t="s">
        <v>2492</v>
      </c>
      <c r="M143" s="6" t="s">
        <v>15</v>
      </c>
      <c r="N143" s="6" t="str">
        <f t="shared" si="10"/>
        <v>INSERT INTO attributes (parent_id, tag, name, priority, allow_as_filter, allow_for_dataset, allow_for_measurement, allow_for_users, allow_for_qc) VALUES (NULL, 'att_compound',  'Compound',  500,  TRUE, TRUE, TRUE, FALSE, FALSE);</v>
      </c>
      <c r="O143" s="6" t="str">
        <f t="shared" si="11"/>
        <v xml:space="preserve">INSERT INTO attribute_values (attribute_id, tag, name, details) VALUES ((SELECT id FROM attributes WHERE tag = 'att_compound' LIMIT 1),  'att_compound:diabzi',  'diABZI',  'diABZI'); </v>
      </c>
    </row>
    <row r="144" spans="1:15" x14ac:dyDescent="0.15">
      <c r="A144" s="12" t="b">
        <f>FALSE()</f>
        <v>0</v>
      </c>
      <c r="B144" s="12"/>
      <c r="C144" s="6" t="s">
        <v>686</v>
      </c>
      <c r="D144" s="6" t="s">
        <v>687</v>
      </c>
      <c r="E144" s="6" t="s">
        <v>15</v>
      </c>
      <c r="F144" s="6" t="s">
        <v>2487</v>
      </c>
      <c r="G144" s="6" t="s">
        <v>2488</v>
      </c>
      <c r="H144" s="6" t="str">
        <f t="shared" si="8"/>
        <v>att_compound</v>
      </c>
      <c r="I144" s="6" t="s">
        <v>686</v>
      </c>
      <c r="J144" s="6" t="str">
        <f t="shared" si="9"/>
        <v>att_compound:dmso</v>
      </c>
      <c r="K144" s="11" t="s">
        <v>19</v>
      </c>
      <c r="L144" s="6" t="s">
        <v>2493</v>
      </c>
      <c r="M144" s="6" t="s">
        <v>15</v>
      </c>
      <c r="N144" s="6" t="str">
        <f t="shared" si="10"/>
        <v>INSERT INTO attributes (parent_id, tag, name, priority, allow_as_filter, allow_for_dataset, allow_for_measurement, allow_for_users, allow_for_qc) VALUES (NULL, 'att_compound',  'Compound',  500,  TRUE, TRUE, TRUE, FALSE, FALSE);</v>
      </c>
      <c r="O144" s="6" t="str">
        <f t="shared" si="11"/>
        <v xml:space="preserve">INSERT INTO attribute_values (attribute_id, tag, name, details) VALUES ((SELECT id FROM attributes WHERE tag = 'att_compound' LIMIT 1),  'att_compound:dmso',  'DMSO',  'Dimethyl Sulfoxide'); </v>
      </c>
    </row>
    <row r="145" spans="1:15" x14ac:dyDescent="0.15">
      <c r="A145" s="12" t="b">
        <f>FALSE()</f>
        <v>0</v>
      </c>
      <c r="B145" s="12"/>
      <c r="C145" s="6" t="s">
        <v>689</v>
      </c>
      <c r="D145" s="6" t="s">
        <v>689</v>
      </c>
      <c r="E145" s="6" t="s">
        <v>15</v>
      </c>
      <c r="F145" s="6" t="s">
        <v>2487</v>
      </c>
      <c r="G145" s="6" t="s">
        <v>2488</v>
      </c>
      <c r="H145" s="6" t="str">
        <f t="shared" si="8"/>
        <v>att_compound</v>
      </c>
      <c r="I145" s="6" t="s">
        <v>689</v>
      </c>
      <c r="J145" s="6" t="str">
        <f t="shared" si="9"/>
        <v>att_compound:doxorubicin</v>
      </c>
      <c r="K145" s="11" t="s">
        <v>19</v>
      </c>
      <c r="L145" s="6" t="s">
        <v>690</v>
      </c>
      <c r="M145" s="6" t="s">
        <v>15</v>
      </c>
      <c r="N145" s="6" t="str">
        <f t="shared" si="10"/>
        <v>INSERT INTO attributes (parent_id, tag, name, priority, allow_as_filter, allow_for_dataset, allow_for_measurement, allow_for_users, allow_for_qc) VALUES (NULL, 'att_compound',  'Compound',  500,  TRUE, TRUE, TRUE, FALSE, FALSE);</v>
      </c>
      <c r="O145" s="6" t="str">
        <f t="shared" si="11"/>
        <v xml:space="preserve">INSERT INTO attribute_values (attribute_id, tag, name, details) VALUES ((SELECT id FROM attributes WHERE tag = 'att_compound' LIMIT 1),  'att_compound:doxorubicin',  'doxorubicin',  'Doxorubicin'); </v>
      </c>
    </row>
    <row r="146" spans="1:15" x14ac:dyDescent="0.15">
      <c r="A146" s="12" t="b">
        <f>FALSE()</f>
        <v>0</v>
      </c>
      <c r="B146" s="12"/>
      <c r="C146" s="6" t="s">
        <v>692</v>
      </c>
      <c r="D146" s="6" t="s">
        <v>692</v>
      </c>
      <c r="E146" s="6" t="s">
        <v>15</v>
      </c>
      <c r="F146" s="6" t="s">
        <v>2487</v>
      </c>
      <c r="G146" s="6" t="s">
        <v>2488</v>
      </c>
      <c r="H146" s="6" t="str">
        <f t="shared" si="8"/>
        <v>att_compound</v>
      </c>
      <c r="I146" s="6" t="s">
        <v>692</v>
      </c>
      <c r="J146" s="6" t="str">
        <f t="shared" si="9"/>
        <v>att_compound:doxycycline</v>
      </c>
      <c r="K146" s="11" t="s">
        <v>19</v>
      </c>
      <c r="L146" s="6" t="s">
        <v>693</v>
      </c>
      <c r="M146" s="6" t="s">
        <v>15</v>
      </c>
      <c r="N146" s="6" t="str">
        <f t="shared" si="10"/>
        <v>INSERT INTO attributes (parent_id, tag, name, priority, allow_as_filter, allow_for_dataset, allow_for_measurement, allow_for_users, allow_for_qc) VALUES (NULL, 'att_compound',  'Compound',  500,  TRUE, TRUE, TRUE, FALSE, FALSE);</v>
      </c>
      <c r="O146" s="6" t="str">
        <f t="shared" si="11"/>
        <v xml:space="preserve">INSERT INTO attribute_values (attribute_id, tag, name, details) VALUES ((SELECT id FROM attributes WHERE tag = 'att_compound' LIMIT 1),  'att_compound:doxycycline',  'doxycycline',  'Doxycycline'); </v>
      </c>
    </row>
    <row r="147" spans="1:15" x14ac:dyDescent="0.15">
      <c r="A147" s="12" t="b">
        <f>FALSE()</f>
        <v>0</v>
      </c>
      <c r="B147" s="12"/>
      <c r="C147" s="6" t="s">
        <v>695</v>
      </c>
      <c r="D147" s="6" t="s">
        <v>695</v>
      </c>
      <c r="E147" s="6" t="s">
        <v>15</v>
      </c>
      <c r="F147" s="6" t="s">
        <v>2487</v>
      </c>
      <c r="G147" s="6" t="s">
        <v>2488</v>
      </c>
      <c r="H147" s="6" t="str">
        <f t="shared" si="8"/>
        <v>att_compound</v>
      </c>
      <c r="I147" s="6" t="s">
        <v>695</v>
      </c>
      <c r="J147" s="6" t="str">
        <f t="shared" si="9"/>
        <v>att_compound:etoposide</v>
      </c>
      <c r="K147" s="11" t="s">
        <v>19</v>
      </c>
      <c r="L147" s="6" t="s">
        <v>695</v>
      </c>
      <c r="M147" s="6" t="s">
        <v>15</v>
      </c>
      <c r="N147" s="6" t="str">
        <f t="shared" si="10"/>
        <v>INSERT INTO attributes (parent_id, tag, name, priority, allow_as_filter, allow_for_dataset, allow_for_measurement, allow_for_users, allow_for_qc) VALUES (NULL, 'att_compound',  'Compound',  500,  TRUE, TRUE, TRUE, FALSE, FALSE);</v>
      </c>
      <c r="O147" s="6" t="str">
        <f t="shared" si="11"/>
        <v xml:space="preserve">INSERT INTO attribute_values (attribute_id, tag, name, details) VALUES ((SELECT id FROM attributes WHERE tag = 'att_compound' LIMIT 1),  'att_compound:etoposide',  'etoposide',  'etoposide'); </v>
      </c>
    </row>
    <row r="148" spans="1:15" x14ac:dyDescent="0.15">
      <c r="A148" s="12" t="b">
        <f>FALSE()</f>
        <v>0</v>
      </c>
      <c r="B148" s="12"/>
      <c r="C148" s="6" t="s">
        <v>2494</v>
      </c>
      <c r="D148" s="6" t="s">
        <v>2494</v>
      </c>
      <c r="E148" s="6" t="s">
        <v>15</v>
      </c>
      <c r="F148" s="6" t="s">
        <v>2487</v>
      </c>
      <c r="G148" s="6" t="s">
        <v>2488</v>
      </c>
      <c r="H148" s="6" t="str">
        <f t="shared" si="8"/>
        <v>att_compound</v>
      </c>
      <c r="I148" s="6" t="s">
        <v>2494</v>
      </c>
      <c r="J148" s="6" t="str">
        <f t="shared" si="9"/>
        <v>att_compound:lactimidomycin</v>
      </c>
      <c r="K148" s="11" t="s">
        <v>19</v>
      </c>
      <c r="L148" s="6" t="s">
        <v>2495</v>
      </c>
      <c r="M148" s="6" t="s">
        <v>15</v>
      </c>
      <c r="N148" s="6" t="str">
        <f t="shared" si="10"/>
        <v>INSERT INTO attributes (parent_id, tag, name, priority, allow_as_filter, allow_for_dataset, allow_for_measurement, allow_for_users, allow_for_qc) VALUES (NULL, 'att_compound',  'Compound',  500,  TRUE, TRUE, TRUE, FALSE, FALSE);</v>
      </c>
      <c r="O148" s="6" t="str">
        <f t="shared" si="11"/>
        <v xml:space="preserve">INSERT INTO attribute_values (attribute_id, tag, name, details) VALUES ((SELECT id FROM attributes WHERE tag = 'att_compound' LIMIT 1),  'att_compound:lactimidomycin',  'lactimidomycin',  'Lactimidomycin'); </v>
      </c>
    </row>
    <row r="149" spans="1:15" x14ac:dyDescent="0.15">
      <c r="A149" s="12" t="b">
        <f>FALSE()</f>
        <v>0</v>
      </c>
      <c r="B149" s="12"/>
      <c r="C149" s="6" t="s">
        <v>2496</v>
      </c>
      <c r="D149" s="6" t="s">
        <v>2497</v>
      </c>
      <c r="E149" s="6" t="s">
        <v>15</v>
      </c>
      <c r="F149" s="6" t="s">
        <v>2487</v>
      </c>
      <c r="G149" s="6" t="s">
        <v>2488</v>
      </c>
      <c r="H149" s="6" t="str">
        <f t="shared" si="8"/>
        <v>att_compound</v>
      </c>
      <c r="I149" s="6" t="s">
        <v>2496</v>
      </c>
      <c r="J149" s="6" t="str">
        <f t="shared" si="9"/>
        <v>att_compound:lps</v>
      </c>
      <c r="K149" s="11" t="s">
        <v>19</v>
      </c>
      <c r="L149" s="6" t="s">
        <v>2498</v>
      </c>
      <c r="M149" s="6" t="s">
        <v>15</v>
      </c>
      <c r="N149" s="6" t="str">
        <f t="shared" si="10"/>
        <v>INSERT INTO attributes (parent_id, tag, name, priority, allow_as_filter, allow_for_dataset, allow_for_measurement, allow_for_users, allow_for_qc) VALUES (NULL, 'att_compound',  'Compound',  500,  TRUE, TRUE, TRUE, FALSE, FALSE);</v>
      </c>
      <c r="O149" s="6" t="str">
        <f t="shared" si="11"/>
        <v xml:space="preserve">INSERT INTO attribute_values (attribute_id, tag, name, details) VALUES ((SELECT id FROM attributes WHERE tag = 'att_compound' LIMIT 1),  'att_compound:lps',  'LPS',  'Lipopolysaccharide'); </v>
      </c>
    </row>
    <row r="150" spans="1:15" x14ac:dyDescent="0.15">
      <c r="A150" s="12" t="b">
        <f>FALSE()</f>
        <v>0</v>
      </c>
      <c r="B150" s="12"/>
      <c r="C150" s="6" t="s">
        <v>2499</v>
      </c>
      <c r="D150" s="6" t="s">
        <v>2500</v>
      </c>
      <c r="E150" s="6" t="s">
        <v>15</v>
      </c>
      <c r="F150" s="6" t="s">
        <v>2487</v>
      </c>
      <c r="G150" s="6" t="s">
        <v>2488</v>
      </c>
      <c r="H150" s="6" t="str">
        <f t="shared" si="8"/>
        <v>att_compound</v>
      </c>
      <c r="I150" s="6" t="s">
        <v>2499</v>
      </c>
      <c r="J150" s="6" t="str">
        <f t="shared" si="9"/>
        <v>att_compound:niap</v>
      </c>
      <c r="K150" s="11" t="s">
        <v>19</v>
      </c>
      <c r="L150" s="6" t="s">
        <v>2500</v>
      </c>
      <c r="M150" s="6" t="s">
        <v>15</v>
      </c>
      <c r="N150" s="6" t="str">
        <f t="shared" si="10"/>
        <v>INSERT INTO attributes (parent_id, tag, name, priority, allow_as_filter, allow_for_dataset, allow_for_measurement, allow_for_users, allow_for_qc) VALUES (NULL, 'att_compound',  'Compound',  500,  TRUE, TRUE, TRUE, FALSE, FALSE);</v>
      </c>
      <c r="O150" s="6" t="str">
        <f t="shared" si="11"/>
        <v xml:space="preserve">INSERT INTO attribute_values (attribute_id, tag, name, details) VALUES ((SELECT id FROM attributes WHERE tag = 'att_compound' LIMIT 1),  'att_compound:niap',  'nIAP',  'nIAP'); </v>
      </c>
    </row>
    <row r="151" spans="1:15" x14ac:dyDescent="0.15">
      <c r="A151" s="12" t="b">
        <f>FALSE()</f>
        <v>0</v>
      </c>
      <c r="B151" s="12"/>
      <c r="C151" s="6" t="s">
        <v>2501</v>
      </c>
      <c r="D151" s="6" t="s">
        <v>2502</v>
      </c>
      <c r="E151" s="6" t="s">
        <v>15</v>
      </c>
      <c r="F151" s="6" t="s">
        <v>2487</v>
      </c>
      <c r="G151" s="6" t="s">
        <v>2488</v>
      </c>
      <c r="H151" s="6" t="str">
        <f t="shared" si="8"/>
        <v>att_compound</v>
      </c>
      <c r="I151" s="6" t="s">
        <v>2501</v>
      </c>
      <c r="J151" s="6" t="str">
        <f t="shared" si="9"/>
        <v>att_compound:pam</v>
      </c>
      <c r="K151" s="11" t="s">
        <v>19</v>
      </c>
      <c r="L151" s="6" t="s">
        <v>2503</v>
      </c>
      <c r="M151" s="6" t="s">
        <v>15</v>
      </c>
      <c r="N151" s="6" t="str">
        <f t="shared" si="10"/>
        <v>INSERT INTO attributes (parent_id, tag, name, priority, allow_as_filter, allow_for_dataset, allow_for_measurement, allow_for_users, allow_for_qc) VALUES (NULL, 'att_compound',  'Compound',  500,  TRUE, TRUE, TRUE, FALSE, FALSE);</v>
      </c>
      <c r="O151" s="6" t="str">
        <f t="shared" si="11"/>
        <v xml:space="preserve">INSERT INTO attribute_values (attribute_id, tag, name, details) VALUES ((SELECT id FROM attributes WHERE tag = 'att_compound' LIMIT 1),  'att_compound:pam',  'PAM',  'Polyacrylamide'); </v>
      </c>
    </row>
    <row r="152" spans="1:15" x14ac:dyDescent="0.15">
      <c r="A152" s="12" t="b">
        <f>FALSE()</f>
        <v>0</v>
      </c>
      <c r="B152" s="12"/>
      <c r="C152" s="6" t="s">
        <v>2504</v>
      </c>
      <c r="D152" s="6" t="s">
        <v>2505</v>
      </c>
      <c r="E152" s="6" t="s">
        <v>15</v>
      </c>
      <c r="F152" s="6" t="s">
        <v>2487</v>
      </c>
      <c r="G152" s="6" t="s">
        <v>2488</v>
      </c>
      <c r="H152" s="6" t="str">
        <f t="shared" si="8"/>
        <v>att_compound</v>
      </c>
      <c r="I152" s="6" t="s">
        <v>2504</v>
      </c>
      <c r="J152" s="6" t="str">
        <f t="shared" si="9"/>
        <v>att_compound:r837</v>
      </c>
      <c r="K152" s="11" t="s">
        <v>19</v>
      </c>
      <c r="L152" s="6" t="s">
        <v>2506</v>
      </c>
      <c r="M152" s="6" t="s">
        <v>15</v>
      </c>
      <c r="N152" s="6" t="str">
        <f t="shared" si="10"/>
        <v>INSERT INTO attributes (parent_id, tag, name, priority, allow_as_filter, allow_for_dataset, allow_for_measurement, allow_for_users, allow_for_qc) VALUES (NULL, 'att_compound',  'Compound',  500,  TRUE, TRUE, TRUE, FALSE, FALSE);</v>
      </c>
      <c r="O152" s="6" t="str">
        <f t="shared" si="11"/>
        <v xml:space="preserve">INSERT INTO attribute_values (attribute_id, tag, name, details) VALUES ((SELECT id FROM attributes WHERE tag = 'att_compound' LIMIT 1),  'att_compound:r837',  'R837',  'Imiquimod; stimulates the innate immune system by activating toll-like receptor 7 (TLR7)'); </v>
      </c>
    </row>
    <row r="153" spans="1:15" x14ac:dyDescent="0.15">
      <c r="A153" s="12" t="b">
        <f>FALSE()</f>
        <v>0</v>
      </c>
      <c r="B153" s="12"/>
      <c r="C153" s="6" t="s">
        <v>2507</v>
      </c>
      <c r="D153" s="6" t="s">
        <v>2508</v>
      </c>
      <c r="E153" s="6" t="s">
        <v>15</v>
      </c>
      <c r="F153" s="6" t="s">
        <v>2487</v>
      </c>
      <c r="G153" s="6" t="s">
        <v>2488</v>
      </c>
      <c r="H153" s="6" t="str">
        <f t="shared" si="8"/>
        <v>att_compound</v>
      </c>
      <c r="I153" s="6" t="s">
        <v>2507</v>
      </c>
      <c r="J153" s="6" t="str">
        <f t="shared" si="9"/>
        <v>att_compound:r848</v>
      </c>
      <c r="K153" s="11" t="s">
        <v>19</v>
      </c>
      <c r="L153" s="6" t="s">
        <v>2509</v>
      </c>
      <c r="M153" s="6" t="s">
        <v>15</v>
      </c>
      <c r="N153" s="6" t="str">
        <f t="shared" si="10"/>
        <v>INSERT INTO attributes (parent_id, tag, name, priority, allow_as_filter, allow_for_dataset, allow_for_measurement, allow_for_users, allow_for_qc) VALUES (NULL, 'att_compound',  'Compound',  500,  TRUE, TRUE, TRUE, FALSE, FALSE);</v>
      </c>
      <c r="O153" s="6" t="str">
        <f t="shared" si="11"/>
        <v xml:space="preserve">INSERT INTO attribute_values (attribute_id, tag, name, details) VALUES ((SELECT id FROM attributes WHERE tag = 'att_compound' LIMIT 1),  'att_compound:r848',  'R848',  'Resiquimod; Imidazoquinolinamine and Toll-like receptor (TLR) agonist'); </v>
      </c>
    </row>
    <row r="154" spans="1:15" x14ac:dyDescent="0.15">
      <c r="A154" s="12" t="b">
        <f>FALSE()</f>
        <v>0</v>
      </c>
      <c r="B154" s="12"/>
      <c r="C154" s="6" t="s">
        <v>716</v>
      </c>
      <c r="D154" s="6" t="s">
        <v>716</v>
      </c>
      <c r="E154" s="6" t="s">
        <v>15</v>
      </c>
      <c r="F154" s="6" t="s">
        <v>2487</v>
      </c>
      <c r="G154" s="6" t="s">
        <v>2488</v>
      </c>
      <c r="H154" s="6" t="str">
        <f t="shared" si="8"/>
        <v>att_compound</v>
      </c>
      <c r="I154" s="6" t="s">
        <v>716</v>
      </c>
      <c r="J154" s="6" t="str">
        <f t="shared" si="9"/>
        <v>att_compound:tamoxifen</v>
      </c>
      <c r="K154" s="11" t="s">
        <v>19</v>
      </c>
      <c r="L154" s="6" t="s">
        <v>717</v>
      </c>
      <c r="M154" s="6" t="s">
        <v>15</v>
      </c>
      <c r="N154" s="6" t="str">
        <f t="shared" si="10"/>
        <v>INSERT INTO attributes (parent_id, tag, name, priority, allow_as_filter, allow_for_dataset, allow_for_measurement, allow_for_users, allow_for_qc) VALUES (NULL, 'att_compound',  'Compound',  500,  TRUE, TRUE, TRUE, FALSE, FALSE);</v>
      </c>
      <c r="O154" s="6" t="str">
        <f t="shared" si="11"/>
        <v xml:space="preserve">INSERT INTO attribute_values (attribute_id, tag, name, details) VALUES ((SELECT id FROM attributes WHERE tag = 'att_compound' LIMIT 1),  'att_compound:tamoxifen',  'tamoxifen',  'Tamoxifen'); </v>
      </c>
    </row>
    <row r="155" spans="1:15" x14ac:dyDescent="0.15">
      <c r="A155" s="12" t="b">
        <f>FALSE()</f>
        <v>0</v>
      </c>
      <c r="B155" s="12"/>
      <c r="C155" s="6" t="s">
        <v>721</v>
      </c>
      <c r="D155" s="6" t="s">
        <v>721</v>
      </c>
      <c r="E155" s="6" t="s">
        <v>15</v>
      </c>
      <c r="F155" s="6" t="s">
        <v>2487</v>
      </c>
      <c r="G155" s="6" t="s">
        <v>2488</v>
      </c>
      <c r="H155" s="6" t="str">
        <f t="shared" si="8"/>
        <v>att_compound</v>
      </c>
      <c r="I155" s="6" t="s">
        <v>721</v>
      </c>
      <c r="J155" s="6" t="str">
        <f t="shared" si="9"/>
        <v>att_compound:trametinib</v>
      </c>
      <c r="K155" s="11" t="s">
        <v>19</v>
      </c>
      <c r="L155" s="6" t="s">
        <v>722</v>
      </c>
      <c r="M155" s="6" t="s">
        <v>15</v>
      </c>
      <c r="N155" s="6" t="str">
        <f t="shared" si="10"/>
        <v>INSERT INTO attributes (parent_id, tag, name, priority, allow_as_filter, allow_for_dataset, allow_for_measurement, allow_for_users, allow_for_qc) VALUES (NULL, 'att_compound',  'Compound',  500,  TRUE, TRUE, TRUE, FALSE, FALSE);</v>
      </c>
      <c r="O155" s="6" t="str">
        <f t="shared" si="11"/>
        <v xml:space="preserve">INSERT INTO attribute_values (attribute_id, tag, name, details) VALUES ((SELECT id FROM attributes WHERE tag = 'att_compound' LIMIT 1),  'att_compound:trametinib',  'trametinib',  'Trametinib'); </v>
      </c>
    </row>
    <row r="156" spans="1:15" x14ac:dyDescent="0.15">
      <c r="A156" s="12" t="b">
        <f>FALSE()</f>
        <v>0</v>
      </c>
      <c r="B156" s="12"/>
      <c r="C156" s="6" t="s">
        <v>723</v>
      </c>
      <c r="D156" s="6" t="s">
        <v>724</v>
      </c>
      <c r="E156" s="6" t="s">
        <v>15</v>
      </c>
      <c r="F156" s="6" t="s">
        <v>2487</v>
      </c>
      <c r="G156" s="6" t="s">
        <v>2488</v>
      </c>
      <c r="H156" s="6" t="str">
        <f t="shared" si="8"/>
        <v>att_compound</v>
      </c>
      <c r="I156" s="6" t="s">
        <v>723</v>
      </c>
      <c r="J156" s="6" t="str">
        <f t="shared" si="9"/>
        <v>att_compound:unstimulated</v>
      </c>
      <c r="K156" s="11" t="s">
        <v>19</v>
      </c>
      <c r="L156" s="6" t="s">
        <v>725</v>
      </c>
      <c r="M156" s="6" t="s">
        <v>15</v>
      </c>
      <c r="N156" s="6" t="str">
        <f t="shared" si="10"/>
        <v>INSERT INTO attributes (parent_id, tag, name, priority, allow_as_filter, allow_for_dataset, allow_for_measurement, allow_for_users, allow_for_qc) VALUES (NULL, 'att_compound',  'Compound',  500,  TRUE, TRUE, TRUE, FALSE, FALSE);</v>
      </c>
      <c r="O156" s="6" t="str">
        <f t="shared" si="11"/>
        <v xml:space="preserve">INSERT INTO attribute_values (attribute_id, tag, name, details) VALUES ((SELECT id FROM attributes WHERE tag = 'att_compound' LIMIT 1),  'att_compound:unstimulated',  'Unstimulated',  'Unstimulated; nothing added; Control'); </v>
      </c>
    </row>
    <row r="157" spans="1:15" x14ac:dyDescent="0.15">
      <c r="A157" s="12" t="b">
        <f>FALSE()</f>
        <v>0</v>
      </c>
      <c r="B157" s="12"/>
      <c r="C157" s="6" t="s">
        <v>726</v>
      </c>
      <c r="D157" s="6" t="s">
        <v>726</v>
      </c>
      <c r="E157" s="6" t="s">
        <v>15</v>
      </c>
      <c r="F157" s="6" t="s">
        <v>2510</v>
      </c>
      <c r="G157" s="6" t="s">
        <v>2511</v>
      </c>
      <c r="H157" s="6" t="str">
        <f t="shared" si="8"/>
        <v>att_context</v>
      </c>
      <c r="I157" s="6" t="s">
        <v>726</v>
      </c>
      <c r="J157" s="6" t="str">
        <f t="shared" si="9"/>
        <v>att_context:microenvironment</v>
      </c>
      <c r="K157" s="11" t="s">
        <v>19</v>
      </c>
      <c r="L157" s="6" t="s">
        <v>726</v>
      </c>
      <c r="M157" s="6" t="s">
        <v>15</v>
      </c>
      <c r="N157" s="6" t="str">
        <f t="shared" si="10"/>
        <v>INSERT INTO attributes (parent_id, tag, name, priority, allow_as_filter, allow_for_dataset, allow_for_measurement, allow_for_users, allow_for_qc) VALUES (NULL, 'att_context',  'Context',  500,  TRUE, TRUE, TRUE, FALSE, FALSE);</v>
      </c>
      <c r="O157" s="6" t="str">
        <f t="shared" si="11"/>
        <v xml:space="preserve">INSERT INTO attribute_values (attribute_id, tag, name, details) VALUES ((SELECT id FROM attributes WHERE tag = 'att_context' LIMIT 1),  'att_context:microenvironment',  'microenvironment',  'microenvironment'); </v>
      </c>
    </row>
    <row r="158" spans="1:15" x14ac:dyDescent="0.15">
      <c r="A158" s="11" t="s">
        <v>19</v>
      </c>
      <c r="B158" s="11"/>
      <c r="C158" s="6" t="s">
        <v>936</v>
      </c>
      <c r="D158" s="6" t="s">
        <v>935</v>
      </c>
      <c r="E158" s="6" t="s">
        <v>15</v>
      </c>
      <c r="F158" s="6" t="s">
        <v>2512</v>
      </c>
      <c r="G158" s="6" t="s">
        <v>2513</v>
      </c>
      <c r="H158" s="6" t="str">
        <f t="shared" si="8"/>
        <v>att_dataset</v>
      </c>
      <c r="I158" s="6" t="s">
        <v>936</v>
      </c>
      <c r="J158" s="6" t="str">
        <f t="shared" si="9"/>
        <v>att_dataset:database search</v>
      </c>
      <c r="K158" s="11" t="s">
        <v>19</v>
      </c>
      <c r="L158" s="6" t="s">
        <v>936</v>
      </c>
      <c r="M158" s="6" t="s">
        <v>15</v>
      </c>
      <c r="N158" s="6" t="str">
        <f t="shared" si="10"/>
        <v>INSERT INTO attributes (parent_id, tag, name, priority, allow_as_filter, allow_for_dataset, allow_for_measurement, allow_for_users, allow_for_qc) VALUES (NULL, 'att_dataset',  'Spectral Interpretation',  500,  TRUE, TRUE, TRUE, FALSE, FALSE);</v>
      </c>
      <c r="O158" s="6" t="str">
        <f t="shared" si="11"/>
        <v xml:space="preserve">INSERT INTO attribute_values (attribute_id, tag, name, details) VALUES ((SELECT id FROM attributes WHERE tag = 'att_dataset' LIMIT 1),  'att_dataset:database search',  'Database search',  'database search'); </v>
      </c>
    </row>
    <row r="159" spans="1:15" x14ac:dyDescent="0.15">
      <c r="A159" s="11" t="s">
        <v>19</v>
      </c>
      <c r="B159" s="11"/>
      <c r="C159" s="6" t="s">
        <v>938</v>
      </c>
      <c r="D159" s="6" t="s">
        <v>938</v>
      </c>
      <c r="E159" s="6" t="s">
        <v>15</v>
      </c>
      <c r="F159" s="6" t="s">
        <v>2512</v>
      </c>
      <c r="G159" s="6" t="s">
        <v>2513</v>
      </c>
      <c r="H159" s="6" t="str">
        <f t="shared" si="8"/>
        <v>att_dataset</v>
      </c>
      <c r="I159" s="6" t="s">
        <v>938</v>
      </c>
      <c r="J159" s="6" t="str">
        <f t="shared" si="9"/>
        <v>att_dataset:de novo</v>
      </c>
      <c r="K159" s="11" t="s">
        <v>19</v>
      </c>
      <c r="L159" s="6" t="s">
        <v>938</v>
      </c>
      <c r="M159" s="6" t="s">
        <v>15</v>
      </c>
      <c r="N159" s="6" t="str">
        <f t="shared" si="10"/>
        <v>INSERT INTO attributes (parent_id, tag, name, priority, allow_as_filter, allow_for_dataset, allow_for_measurement, allow_for_users, allow_for_qc) VALUES (NULL, 'att_dataset',  'Spectral Interpretation',  500,  TRUE, TRUE, TRUE, FALSE, FALSE);</v>
      </c>
      <c r="O159" s="6" t="str">
        <f t="shared" si="11"/>
        <v xml:space="preserve">INSERT INTO attribute_values (attribute_id, tag, name, details) VALUES ((SELECT id FROM attributes WHERE tag = 'att_dataset' LIMIT 1),  'att_dataset:de novo',  'de novo',  'de novo'); </v>
      </c>
    </row>
    <row r="160" spans="1:15" x14ac:dyDescent="0.15">
      <c r="A160" s="12" t="b">
        <f>FALSE()</f>
        <v>0</v>
      </c>
      <c r="B160" s="12"/>
      <c r="C160" s="6" t="s">
        <v>1008</v>
      </c>
      <c r="D160" s="6" t="s">
        <v>1009</v>
      </c>
      <c r="E160" s="6" t="s">
        <v>15</v>
      </c>
      <c r="F160" s="6" t="s">
        <v>86</v>
      </c>
      <c r="G160" s="6" t="s">
        <v>2514</v>
      </c>
      <c r="H160" s="6" t="str">
        <f t="shared" si="8"/>
        <v>att_disease</v>
      </c>
      <c r="I160" s="6" t="s">
        <v>1008</v>
      </c>
      <c r="J160" s="6" t="str">
        <f t="shared" si="9"/>
        <v>att_disease:als</v>
      </c>
      <c r="K160" s="11" t="s">
        <v>19</v>
      </c>
      <c r="L160" s="6" t="s">
        <v>1010</v>
      </c>
      <c r="M160" s="6" t="s">
        <v>15</v>
      </c>
      <c r="N160" s="6" t="str">
        <f t="shared" si="10"/>
        <v>INSERT INTO attributes (parent_id, tag, name, priority, allow_as_filter, allow_for_dataset, allow_for_measurement, allow_for_users, allow_for_qc) VALUES (NULL, 'att_disease',  'Disease',  500,  TRUE, TRUE, TRUE, FALSE, FALSE);</v>
      </c>
      <c r="O160" s="6" t="str">
        <f t="shared" si="11"/>
        <v xml:space="preserve">INSERT INTO attribute_values (attribute_id, tag, name, details) VALUES ((SELECT id FROM attributes WHERE tag = 'att_disease' LIMIT 1),  'att_disease:als',  'ALS',  'Amyotrophic lateral sclerosis'); </v>
      </c>
    </row>
    <row r="161" spans="1:15" x14ac:dyDescent="0.15">
      <c r="A161" s="12" t="b">
        <f>FALSE()</f>
        <v>0</v>
      </c>
      <c r="B161" s="12"/>
      <c r="C161" s="6" t="s">
        <v>1011</v>
      </c>
      <c r="D161" s="6" t="s">
        <v>1012</v>
      </c>
      <c r="E161" s="6" t="s">
        <v>15</v>
      </c>
      <c r="F161" s="6" t="s">
        <v>86</v>
      </c>
      <c r="G161" s="6" t="s">
        <v>2514</v>
      </c>
      <c r="H161" s="6" t="str">
        <f t="shared" si="8"/>
        <v>att_disease</v>
      </c>
      <c r="I161" s="6" t="s">
        <v>1011</v>
      </c>
      <c r="J161" s="6" t="str">
        <f t="shared" si="9"/>
        <v>att_disease:alzheimer</v>
      </c>
      <c r="K161" s="11" t="s">
        <v>19</v>
      </c>
      <c r="L161" s="6" t="s">
        <v>1013</v>
      </c>
      <c r="M161" s="6" t="s">
        <v>15</v>
      </c>
      <c r="N161" s="6" t="str">
        <f t="shared" si="10"/>
        <v>INSERT INTO attributes (parent_id, tag, name, priority, allow_as_filter, allow_for_dataset, allow_for_measurement, allow_for_users, allow_for_qc) VALUES (NULL, 'att_disease',  'Disease',  500,  TRUE, TRUE, TRUE, FALSE, FALSE);</v>
      </c>
      <c r="O161" s="6" t="str">
        <f t="shared" si="11"/>
        <v xml:space="preserve">INSERT INTO attribute_values (attribute_id, tag, name, details) VALUES ((SELECT id FROM attributes WHERE tag = 'att_disease' LIMIT 1),  'att_disease:alzheimer',  'Alzheimer',  'Alzheimer's disease'); </v>
      </c>
    </row>
    <row r="162" spans="1:15" x14ac:dyDescent="0.15">
      <c r="A162" s="12" t="b">
        <f>FALSE()</f>
        <v>0</v>
      </c>
      <c r="B162" s="12"/>
      <c r="C162" s="6" t="s">
        <v>1014</v>
      </c>
      <c r="D162" s="6" t="s">
        <v>1015</v>
      </c>
      <c r="E162" s="6" t="s">
        <v>15</v>
      </c>
      <c r="F162" s="6" t="s">
        <v>86</v>
      </c>
      <c r="G162" s="6" t="s">
        <v>2514</v>
      </c>
      <c r="H162" s="6" t="str">
        <f t="shared" si="8"/>
        <v>att_disease</v>
      </c>
      <c r="I162" s="6" t="s">
        <v>1014</v>
      </c>
      <c r="J162" s="6" t="str">
        <f t="shared" si="9"/>
        <v>att_disease:autoimmune</v>
      </c>
      <c r="K162" s="11" t="s">
        <v>19</v>
      </c>
      <c r="L162" s="6" t="s">
        <v>1016</v>
      </c>
      <c r="M162" s="6" t="s">
        <v>15</v>
      </c>
      <c r="N162" s="6" t="str">
        <f t="shared" si="10"/>
        <v>INSERT INTO attributes (parent_id, tag, name, priority, allow_as_filter, allow_for_dataset, allow_for_measurement, allow_for_users, allow_for_qc) VALUES (NULL, 'att_disease',  'Disease',  500,  TRUE, TRUE, TRUE, FALSE, FALSE);</v>
      </c>
      <c r="O162" s="6" t="str">
        <f t="shared" si="11"/>
        <v xml:space="preserve">INSERT INTO attribute_values (attribute_id, tag, name, details) VALUES ((SELECT id FROM attributes WHERE tag = 'att_disease' LIMIT 1),  'att_disease:autoimmune',  'Autoimmune',  'Autoimmune disease'); </v>
      </c>
    </row>
    <row r="163" spans="1:15" x14ac:dyDescent="0.15">
      <c r="A163" s="12" t="b">
        <f>FALSE()</f>
        <v>0</v>
      </c>
      <c r="B163" s="12"/>
      <c r="C163" s="6" t="s">
        <v>1017</v>
      </c>
      <c r="D163" s="6" t="s">
        <v>1018</v>
      </c>
      <c r="E163" s="6" t="s">
        <v>15</v>
      </c>
      <c r="F163" s="6" t="s">
        <v>86</v>
      </c>
      <c r="G163" s="6" t="s">
        <v>2514</v>
      </c>
      <c r="H163" s="6" t="str">
        <f t="shared" si="8"/>
        <v>att_disease</v>
      </c>
      <c r="I163" s="6" t="s">
        <v>1017</v>
      </c>
      <c r="J163" s="6" t="str">
        <f t="shared" si="9"/>
        <v>att_disease:cancer</v>
      </c>
      <c r="K163" s="11" t="s">
        <v>19</v>
      </c>
      <c r="L163" s="6" t="s">
        <v>1019</v>
      </c>
      <c r="M163" s="6" t="s">
        <v>15</v>
      </c>
      <c r="N163" s="6" t="str">
        <f t="shared" si="10"/>
        <v>INSERT INTO attributes (parent_id, tag, name, priority, allow_as_filter, allow_for_dataset, allow_for_measurement, allow_for_users, allow_for_qc) VALUES (NULL, 'att_disease',  'Disease',  500,  TRUE, TRUE, TRUE, FALSE, FALSE);</v>
      </c>
      <c r="O163" s="6" t="str">
        <f t="shared" si="11"/>
        <v xml:space="preserve">INSERT INTO attribute_values (attribute_id, tag, name, details) VALUES ((SELECT id FROM attributes WHERE tag = 'att_disease' LIMIT 1),  'att_disease:cancer',  'Cancer',  'Diseases of abnormal cells grow'); </v>
      </c>
    </row>
    <row r="164" spans="1:15" x14ac:dyDescent="0.15">
      <c r="A164" s="12" t="b">
        <f>FALSE()</f>
        <v>0</v>
      </c>
      <c r="B164" s="12"/>
      <c r="C164" s="6" t="s">
        <v>1021</v>
      </c>
      <c r="D164" s="6" t="s">
        <v>1022</v>
      </c>
      <c r="E164" s="6" t="s">
        <v>15</v>
      </c>
      <c r="F164" s="6" t="s">
        <v>86</v>
      </c>
      <c r="G164" s="6" t="s">
        <v>2514</v>
      </c>
      <c r="H164" s="6" t="str">
        <f t="shared" si="8"/>
        <v>att_disease</v>
      </c>
      <c r="I164" s="6" t="s">
        <v>1020</v>
      </c>
      <c r="J164" s="6" t="str">
        <f t="shared" si="9"/>
        <v>att_disease:cardiovascular_diseases</v>
      </c>
      <c r="K164" s="11" t="s">
        <v>19</v>
      </c>
      <c r="L164" s="6" t="s">
        <v>1023</v>
      </c>
      <c r="M164" s="6" t="s">
        <v>15</v>
      </c>
      <c r="N164" s="6" t="str">
        <f t="shared" si="10"/>
        <v>INSERT INTO attributes (parent_id, tag, name, priority, allow_as_filter, allow_for_dataset, allow_for_measurement, allow_for_users, allow_for_qc) VALUES (NULL, 'att_disease',  'Disease',  500,  TRUE, TRUE, TRUE, FALSE, FALSE);</v>
      </c>
      <c r="O164" s="6" t="str">
        <f t="shared" si="11"/>
        <v xml:space="preserve">INSERT INTO attribute_values (attribute_id, tag, name, details) VALUES ((SELECT id FROM attributes WHERE tag = 'att_disease' LIMIT 1),  'att_disease:cardiovascular_diseases',  'Cardiovascular_Diseases',  'Cardiovascular and circulatory diseases'); </v>
      </c>
    </row>
    <row r="165" spans="1:15" x14ac:dyDescent="0.15">
      <c r="A165" s="12" t="b">
        <f>FALSE()</f>
        <v>0</v>
      </c>
      <c r="B165" s="12"/>
      <c r="C165" s="6" t="s">
        <v>1024</v>
      </c>
      <c r="D165" s="6" t="s">
        <v>1026</v>
      </c>
      <c r="E165" s="6" t="s">
        <v>15</v>
      </c>
      <c r="F165" s="6" t="s">
        <v>86</v>
      </c>
      <c r="G165" s="6" t="s">
        <v>2514</v>
      </c>
      <c r="H165" s="6" t="str">
        <f t="shared" si="8"/>
        <v>att_disease</v>
      </c>
      <c r="I165" s="6" t="s">
        <v>1024</v>
      </c>
      <c r="J165" s="6" t="str">
        <f t="shared" si="9"/>
        <v>att_disease:chronic_inflammation</v>
      </c>
      <c r="K165" s="11" t="s">
        <v>19</v>
      </c>
      <c r="L165" s="6" t="s">
        <v>1027</v>
      </c>
      <c r="M165" s="6" t="s">
        <v>15</v>
      </c>
      <c r="N165" s="6" t="str">
        <f t="shared" si="10"/>
        <v>INSERT INTO attributes (parent_id, tag, name, priority, allow_as_filter, allow_for_dataset, allow_for_measurement, allow_for_users, allow_for_qc) VALUES (NULL, 'att_disease',  'Disease',  500,  TRUE, TRUE, TRUE, FALSE, FALSE);</v>
      </c>
      <c r="O165" s="6" t="str">
        <f t="shared" si="11"/>
        <v xml:space="preserve">INSERT INTO attribute_values (attribute_id, tag, name, details) VALUES ((SELECT id FROM attributes WHERE tag = 'att_disease' LIMIT 1),  'att_disease:chronic_inflammation',  'Chronic_Inflammation',  'Slow, long-term inflammation lasting for prolonged periods'); </v>
      </c>
    </row>
    <row r="166" spans="1:15" x14ac:dyDescent="0.15">
      <c r="A166" s="12" t="b">
        <f>FALSE()</f>
        <v>0</v>
      </c>
      <c r="B166" s="12"/>
      <c r="C166" s="6" t="s">
        <v>1028</v>
      </c>
      <c r="D166" s="6" t="s">
        <v>1029</v>
      </c>
      <c r="E166" s="6" t="s">
        <v>15</v>
      </c>
      <c r="F166" s="6" t="s">
        <v>86</v>
      </c>
      <c r="G166" s="6" t="s">
        <v>2514</v>
      </c>
      <c r="H166" s="6" t="str">
        <f t="shared" si="8"/>
        <v>att_disease</v>
      </c>
      <c r="I166" s="6" t="s">
        <v>1028</v>
      </c>
      <c r="J166" s="6" t="str">
        <f t="shared" si="9"/>
        <v>att_disease:coeliac</v>
      </c>
      <c r="K166" s="11" t="s">
        <v>19</v>
      </c>
      <c r="L166" s="6" t="s">
        <v>1030</v>
      </c>
      <c r="M166" s="6" t="s">
        <v>15</v>
      </c>
      <c r="N166" s="6" t="str">
        <f t="shared" si="10"/>
        <v>INSERT INTO attributes (parent_id, tag, name, priority, allow_as_filter, allow_for_dataset, allow_for_measurement, allow_for_users, allow_for_qc) VALUES (NULL, 'att_disease',  'Disease',  500,  TRUE, TRUE, TRUE, FALSE, FALSE);</v>
      </c>
      <c r="O166" s="6" t="str">
        <f t="shared" si="11"/>
        <v xml:space="preserve">INSERT INTO attribute_values (attribute_id, tag, name, details) VALUES ((SELECT id FROM attributes WHERE tag = 'att_disease' LIMIT 1),  'att_disease:coeliac',  'Coeliac',  'Coeliac disease'); </v>
      </c>
    </row>
    <row r="167" spans="1:15" x14ac:dyDescent="0.15">
      <c r="A167" s="12" t="b">
        <f>FALSE()</f>
        <v>0</v>
      </c>
      <c r="B167" s="12"/>
      <c r="C167" s="6" t="s">
        <v>1031</v>
      </c>
      <c r="D167" s="6" t="s">
        <v>1032</v>
      </c>
      <c r="E167" s="6" t="s">
        <v>15</v>
      </c>
      <c r="F167" s="6" t="s">
        <v>86</v>
      </c>
      <c r="G167" s="6" t="s">
        <v>2514</v>
      </c>
      <c r="H167" s="6" t="str">
        <f t="shared" si="8"/>
        <v>att_disease</v>
      </c>
      <c r="I167" s="6" t="s">
        <v>1031</v>
      </c>
      <c r="J167" s="6" t="str">
        <f t="shared" si="9"/>
        <v>att_disease:covid19</v>
      </c>
      <c r="K167" s="11" t="s">
        <v>19</v>
      </c>
      <c r="L167" s="6" t="s">
        <v>1033</v>
      </c>
      <c r="M167" s="6" t="s">
        <v>15</v>
      </c>
      <c r="N167" s="6" t="str">
        <f t="shared" si="10"/>
        <v>INSERT INTO attributes (parent_id, tag, name, priority, allow_as_filter, allow_for_dataset, allow_for_measurement, allow_for_users, allow_for_qc) VALUES (NULL, 'att_disease',  'Disease',  500,  TRUE, TRUE, TRUE, FALSE, FALSE);</v>
      </c>
      <c r="O167" s="6" t="str">
        <f t="shared" si="11"/>
        <v xml:space="preserve">INSERT INTO attribute_values (attribute_id, tag, name, details) VALUES ((SELECT id FROM attributes WHERE tag = 'att_disease' LIMIT 1),  'att_disease:covid19',  'COVID19',  'coronavirus disease'); </v>
      </c>
    </row>
    <row r="168" spans="1:15" x14ac:dyDescent="0.15">
      <c r="A168" s="12" t="b">
        <f>FALSE()</f>
        <v>0</v>
      </c>
      <c r="B168" s="12"/>
      <c r="C168" s="6" t="s">
        <v>1034</v>
      </c>
      <c r="D168" s="6" t="s">
        <v>1035</v>
      </c>
      <c r="E168" s="6" t="s">
        <v>15</v>
      </c>
      <c r="F168" s="6" t="s">
        <v>86</v>
      </c>
      <c r="G168" s="6" t="s">
        <v>2514</v>
      </c>
      <c r="H168" s="6" t="str">
        <f t="shared" si="8"/>
        <v>att_disease</v>
      </c>
      <c r="I168" s="6" t="s">
        <v>1034</v>
      </c>
      <c r="J168" s="6" t="str">
        <f t="shared" si="9"/>
        <v>att_disease:dementia</v>
      </c>
      <c r="K168" s="11" t="s">
        <v>19</v>
      </c>
      <c r="L168" s="6" t="s">
        <v>1035</v>
      </c>
      <c r="M168" s="6" t="s">
        <v>15</v>
      </c>
      <c r="N168" s="6" t="str">
        <f t="shared" si="10"/>
        <v>INSERT INTO attributes (parent_id, tag, name, priority, allow_as_filter, allow_for_dataset, allow_for_measurement, allow_for_users, allow_for_qc) VALUES (NULL, 'att_disease',  'Disease',  500,  TRUE, TRUE, TRUE, FALSE, FALSE);</v>
      </c>
      <c r="O168" s="6" t="str">
        <f t="shared" si="11"/>
        <v xml:space="preserve">INSERT INTO attribute_values (attribute_id, tag, name, details) VALUES ((SELECT id FROM attributes WHERE tag = 'att_disease' LIMIT 1),  'att_disease:dementia',  'Dementia',  'Dementia'); </v>
      </c>
    </row>
    <row r="169" spans="1:15" x14ac:dyDescent="0.15">
      <c r="A169" s="12" t="b">
        <f>FALSE()</f>
        <v>0</v>
      </c>
      <c r="B169" s="12"/>
      <c r="C169" s="6" t="s">
        <v>1036</v>
      </c>
      <c r="D169" s="6" t="s">
        <v>1037</v>
      </c>
      <c r="E169" s="6" t="s">
        <v>15</v>
      </c>
      <c r="F169" s="6" t="s">
        <v>86</v>
      </c>
      <c r="G169" s="6" t="s">
        <v>2514</v>
      </c>
      <c r="H169" s="6" t="str">
        <f t="shared" si="8"/>
        <v>att_disease</v>
      </c>
      <c r="I169" s="6" t="s">
        <v>1036</v>
      </c>
      <c r="J169" s="6" t="str">
        <f t="shared" si="9"/>
        <v>att_disease:demyelinating</v>
      </c>
      <c r="K169" s="11" t="s">
        <v>19</v>
      </c>
      <c r="L169" s="6" t="s">
        <v>1038</v>
      </c>
      <c r="M169" s="6" t="s">
        <v>15</v>
      </c>
      <c r="N169" s="6" t="str">
        <f t="shared" si="10"/>
        <v>INSERT INTO attributes (parent_id, tag, name, priority, allow_as_filter, allow_for_dataset, allow_for_measurement, allow_for_users, allow_for_qc) VALUES (NULL, 'att_disease',  'Disease',  500,  TRUE, TRUE, TRUE, FALSE, FALSE);</v>
      </c>
      <c r="O169" s="6" t="str">
        <f t="shared" si="11"/>
        <v xml:space="preserve">INSERT INTO attribute_values (attribute_id, tag, name, details) VALUES ((SELECT id FROM attributes WHERE tag = 'att_disease' LIMIT 1),  'att_disease:demyelinating',  'Demyelinating',  'Demyelinating disease'); </v>
      </c>
    </row>
    <row r="170" spans="1:15" x14ac:dyDescent="0.15">
      <c r="A170" s="12" t="b">
        <f>FALSE()</f>
        <v>0</v>
      </c>
      <c r="B170" s="12"/>
      <c r="C170" s="6" t="s">
        <v>1039</v>
      </c>
      <c r="D170" s="6" t="s">
        <v>1040</v>
      </c>
      <c r="E170" s="6" t="s">
        <v>15</v>
      </c>
      <c r="F170" s="6" t="s">
        <v>86</v>
      </c>
      <c r="G170" s="6" t="s">
        <v>2514</v>
      </c>
      <c r="H170" s="6" t="str">
        <f t="shared" si="8"/>
        <v>att_disease</v>
      </c>
      <c r="I170" s="6" t="s">
        <v>1039</v>
      </c>
      <c r="J170" s="6" t="str">
        <f t="shared" si="9"/>
        <v>att_disease:diabetes</v>
      </c>
      <c r="K170" s="11" t="s">
        <v>19</v>
      </c>
      <c r="L170" s="6" t="s">
        <v>1040</v>
      </c>
      <c r="M170" s="6" t="s">
        <v>15</v>
      </c>
      <c r="N170" s="6" t="str">
        <f t="shared" si="10"/>
        <v>INSERT INTO attributes (parent_id, tag, name, priority, allow_as_filter, allow_for_dataset, allow_for_measurement, allow_for_users, allow_for_qc) VALUES (NULL, 'att_disease',  'Disease',  500,  TRUE, TRUE, TRUE, FALSE, FALSE);</v>
      </c>
      <c r="O170" s="6" t="str">
        <f t="shared" si="11"/>
        <v xml:space="preserve">INSERT INTO attribute_values (attribute_id, tag, name, details) VALUES ((SELECT id FROM attributes WHERE tag = 'att_disease' LIMIT 1),  'att_disease:diabetes',  'Diabetes',  'Diabetes'); </v>
      </c>
    </row>
    <row r="171" spans="1:15" x14ac:dyDescent="0.15">
      <c r="A171" s="12" t="b">
        <f>FALSE()</f>
        <v>0</v>
      </c>
      <c r="B171" s="12"/>
      <c r="C171" s="6" t="s">
        <v>1041</v>
      </c>
      <c r="D171" s="6" t="s">
        <v>1042</v>
      </c>
      <c r="E171" s="6" t="s">
        <v>15</v>
      </c>
      <c r="F171" s="6" t="s">
        <v>86</v>
      </c>
      <c r="G171" s="6" t="s">
        <v>2514</v>
      </c>
      <c r="H171" s="6" t="str">
        <f t="shared" si="8"/>
        <v>att_disease</v>
      </c>
      <c r="I171" s="6" t="s">
        <v>1041</v>
      </c>
      <c r="J171" s="6" t="str">
        <f t="shared" si="9"/>
        <v>att_disease:glioblastoma</v>
      </c>
      <c r="K171" s="11" t="s">
        <v>19</v>
      </c>
      <c r="L171" s="6" t="s">
        <v>1043</v>
      </c>
      <c r="M171" s="6" t="s">
        <v>15</v>
      </c>
      <c r="N171" s="6" t="str">
        <f t="shared" si="10"/>
        <v>INSERT INTO attributes (parent_id, tag, name, priority, allow_as_filter, allow_for_dataset, allow_for_measurement, allow_for_users, allow_for_qc) VALUES (NULL, 'att_disease',  'Disease',  500,  TRUE, TRUE, TRUE, FALSE, FALSE);</v>
      </c>
      <c r="O171" s="6" t="str">
        <f t="shared" si="11"/>
        <v xml:space="preserve">INSERT INTO attribute_values (attribute_id, tag, name, details) VALUES ((SELECT id FROM attributes WHERE tag = 'att_disease' LIMIT 1),  'att_disease:glioblastoma',  'Glioblastoma',  'Grade IV Astrocytoma'); </v>
      </c>
    </row>
    <row r="172" spans="1:15" x14ac:dyDescent="0.15">
      <c r="A172" s="12" t="b">
        <f>FALSE()</f>
        <v>0</v>
      </c>
      <c r="B172" s="12"/>
      <c r="C172" s="6" t="s">
        <v>1044</v>
      </c>
      <c r="D172" s="6" t="s">
        <v>1045</v>
      </c>
      <c r="E172" s="6" t="s">
        <v>15</v>
      </c>
      <c r="F172" s="6" t="s">
        <v>86</v>
      </c>
      <c r="G172" s="6" t="s">
        <v>2514</v>
      </c>
      <c r="H172" s="6" t="str">
        <f t="shared" si="8"/>
        <v>att_disease</v>
      </c>
      <c r="I172" s="6" t="s">
        <v>1044</v>
      </c>
      <c r="J172" s="6" t="str">
        <f t="shared" si="9"/>
        <v>att_disease:hiv</v>
      </c>
      <c r="K172" s="11" t="s">
        <v>19</v>
      </c>
      <c r="L172" s="6" t="s">
        <v>1046</v>
      </c>
      <c r="M172" s="6" t="s">
        <v>15</v>
      </c>
      <c r="N172" s="6" t="str">
        <f t="shared" si="10"/>
        <v>INSERT INTO attributes (parent_id, tag, name, priority, allow_as_filter, allow_for_dataset, allow_for_measurement, allow_for_users, allow_for_qc) VALUES (NULL, 'att_disease',  'Disease',  500,  TRUE, TRUE, TRUE, FALSE, FALSE);</v>
      </c>
      <c r="O172" s="6" t="str">
        <f t="shared" si="11"/>
        <v xml:space="preserve">INSERT INTO attribute_values (attribute_id, tag, name, details) VALUES ((SELECT id FROM attributes WHERE tag = 'att_disease' LIMIT 1),  'att_disease:hiv',  'HIV',  'HIV disease'); </v>
      </c>
    </row>
    <row r="173" spans="1:15" x14ac:dyDescent="0.15">
      <c r="A173" s="12" t="b">
        <f>FALSE()</f>
        <v>0</v>
      </c>
      <c r="B173" s="12"/>
      <c r="C173" s="6" t="s">
        <v>1047</v>
      </c>
      <c r="D173" s="6" t="s">
        <v>1048</v>
      </c>
      <c r="E173" s="6" t="s">
        <v>15</v>
      </c>
      <c r="F173" s="6" t="s">
        <v>86</v>
      </c>
      <c r="G173" s="6" t="s">
        <v>2514</v>
      </c>
      <c r="H173" s="6" t="str">
        <f t="shared" si="8"/>
        <v>att_disease</v>
      </c>
      <c r="I173" s="6" t="s">
        <v>1047</v>
      </c>
      <c r="J173" s="6" t="str">
        <f t="shared" si="9"/>
        <v>att_disease:huntington</v>
      </c>
      <c r="K173" s="11" t="s">
        <v>19</v>
      </c>
      <c r="L173" s="6" t="s">
        <v>1049</v>
      </c>
      <c r="M173" s="6" t="s">
        <v>15</v>
      </c>
      <c r="N173" s="6" t="str">
        <f t="shared" si="10"/>
        <v>INSERT INTO attributes (parent_id, tag, name, priority, allow_as_filter, allow_for_dataset, allow_for_measurement, allow_for_users, allow_for_qc) VALUES (NULL, 'att_disease',  'Disease',  500,  TRUE, TRUE, TRUE, FALSE, FALSE);</v>
      </c>
      <c r="O173" s="6" t="str">
        <f t="shared" si="11"/>
        <v xml:space="preserve">INSERT INTO attribute_values (attribute_id, tag, name, details) VALUES ((SELECT id FROM attributes WHERE tag = 'att_disease' LIMIT 1),  'att_disease:huntington',  'Huntington',  'Huntington's disease'); </v>
      </c>
    </row>
    <row r="174" spans="1:15" x14ac:dyDescent="0.15">
      <c r="A174" s="12" t="b">
        <f>FALSE()</f>
        <v>0</v>
      </c>
      <c r="B174" s="12"/>
      <c r="C174" s="6" t="s">
        <v>1050</v>
      </c>
      <c r="D174" s="6" t="s">
        <v>1051</v>
      </c>
      <c r="E174" s="6" t="s">
        <v>15</v>
      </c>
      <c r="F174" s="6" t="s">
        <v>86</v>
      </c>
      <c r="G174" s="6" t="s">
        <v>2514</v>
      </c>
      <c r="H174" s="6" t="str">
        <f t="shared" si="8"/>
        <v>att_disease</v>
      </c>
      <c r="I174" s="6" t="s">
        <v>1050</v>
      </c>
      <c r="J174" s="6" t="str">
        <f t="shared" si="9"/>
        <v>att_disease:ibd</v>
      </c>
      <c r="K174" s="11" t="s">
        <v>19</v>
      </c>
      <c r="L174" s="6" t="s">
        <v>1052</v>
      </c>
      <c r="M174" s="6" t="s">
        <v>15</v>
      </c>
      <c r="N174" s="6" t="str">
        <f t="shared" si="10"/>
        <v>INSERT INTO attributes (parent_id, tag, name, priority, allow_as_filter, allow_for_dataset, allow_for_measurement, allow_for_users, allow_for_qc) VALUES (NULL, 'att_disease',  'Disease',  500,  TRUE, TRUE, TRUE, FALSE, FALSE);</v>
      </c>
      <c r="O174" s="6" t="str">
        <f t="shared" si="11"/>
        <v xml:space="preserve">INSERT INTO attribute_values (attribute_id, tag, name, details) VALUES ((SELECT id FROM attributes WHERE tag = 'att_disease' LIMIT 1),  'att_disease:ibd',  'IBD',  'Inflammatory bowel disease'); </v>
      </c>
    </row>
    <row r="175" spans="1:15" x14ac:dyDescent="0.15">
      <c r="A175" s="12" t="b">
        <f>FALSE()</f>
        <v>0</v>
      </c>
      <c r="B175" s="12"/>
      <c r="C175" s="6" t="s">
        <v>1053</v>
      </c>
      <c r="D175" s="6" t="s">
        <v>1054</v>
      </c>
      <c r="E175" s="6" t="s">
        <v>15</v>
      </c>
      <c r="F175" s="6" t="s">
        <v>86</v>
      </c>
      <c r="G175" s="6" t="s">
        <v>2514</v>
      </c>
      <c r="H175" s="6" t="str">
        <f t="shared" si="8"/>
        <v>att_disease</v>
      </c>
      <c r="I175" s="6" t="s">
        <v>1053</v>
      </c>
      <c r="J175" s="6" t="str">
        <f t="shared" si="9"/>
        <v>att_disease:infection</v>
      </c>
      <c r="K175" s="11" t="s">
        <v>19</v>
      </c>
      <c r="L175" s="6" t="s">
        <v>1055</v>
      </c>
      <c r="M175" s="6" t="s">
        <v>15</v>
      </c>
      <c r="N175" s="6" t="str">
        <f t="shared" si="10"/>
        <v>INSERT INTO attributes (parent_id, tag, name, priority, allow_as_filter, allow_for_dataset, allow_for_measurement, allow_for_users, allow_for_qc) VALUES (NULL, 'att_disease',  'Disease',  500,  TRUE, TRUE, TRUE, FALSE, FALSE);</v>
      </c>
      <c r="O175" s="6" t="str">
        <f t="shared" si="11"/>
        <v xml:space="preserve">INSERT INTO attribute_values (attribute_id, tag, name, details) VALUES ((SELECT id FROM attributes WHERE tag = 'att_disease' LIMIT 1),  'att_disease:infection',  'Infection',  'Infection occurs when viruses, bacteria, or other microbes enter your body and begin to multiply.'); </v>
      </c>
    </row>
    <row r="176" spans="1:15" x14ac:dyDescent="0.15">
      <c r="A176" s="12" t="b">
        <f>FALSE()</f>
        <v>0</v>
      </c>
      <c r="B176" s="12"/>
      <c r="C176" s="6" t="s">
        <v>1056</v>
      </c>
      <c r="D176" s="6" t="s">
        <v>1057</v>
      </c>
      <c r="E176" s="6" t="s">
        <v>15</v>
      </c>
      <c r="F176" s="6" t="s">
        <v>86</v>
      </c>
      <c r="G176" s="6" t="s">
        <v>2514</v>
      </c>
      <c r="H176" s="6" t="str">
        <f t="shared" si="8"/>
        <v>att_disease</v>
      </c>
      <c r="I176" s="6" t="s">
        <v>1056</v>
      </c>
      <c r="J176" s="6" t="str">
        <f t="shared" si="9"/>
        <v>att_disease:influenza</v>
      </c>
      <c r="K176" s="11" t="s">
        <v>19</v>
      </c>
      <c r="L176" s="6" t="s">
        <v>1058</v>
      </c>
      <c r="M176" s="6" t="s">
        <v>15</v>
      </c>
      <c r="N176" s="6" t="str">
        <f t="shared" si="10"/>
        <v>INSERT INTO attributes (parent_id, tag, name, priority, allow_as_filter, allow_for_dataset, allow_for_measurement, allow_for_users, allow_for_qc) VALUES (NULL, 'att_disease',  'Disease',  500,  TRUE, TRUE, TRUE, FALSE, FALSE);</v>
      </c>
      <c r="O176" s="6" t="str">
        <f t="shared" si="11"/>
        <v xml:space="preserve">INSERT INTO attribute_values (attribute_id, tag, name, details) VALUES ((SELECT id FROM attributes WHERE tag = 'att_disease' LIMIT 1),  'att_disease:influenza',  'Influenza',  'Flue; contagious respiratory illness caused by influenza viruses.'); </v>
      </c>
    </row>
    <row r="177" spans="1:15" x14ac:dyDescent="0.15">
      <c r="A177" s="12" t="b">
        <f>FALSE()</f>
        <v>0</v>
      </c>
      <c r="B177" s="12"/>
      <c r="C177" s="6" t="s">
        <v>1059</v>
      </c>
      <c r="D177" s="6" t="s">
        <v>572</v>
      </c>
      <c r="E177" s="6" t="s">
        <v>15</v>
      </c>
      <c r="F177" s="6" t="s">
        <v>86</v>
      </c>
      <c r="G177" s="6" t="s">
        <v>2514</v>
      </c>
      <c r="H177" s="6" t="str">
        <f t="shared" si="8"/>
        <v>att_disease</v>
      </c>
      <c r="I177" s="6" t="s">
        <v>1059</v>
      </c>
      <c r="J177" s="6" t="str">
        <f t="shared" si="9"/>
        <v>att_disease:leukemia</v>
      </c>
      <c r="K177" s="11" t="s">
        <v>19</v>
      </c>
      <c r="L177" s="6" t="s">
        <v>1060</v>
      </c>
      <c r="M177" s="6" t="s">
        <v>15</v>
      </c>
      <c r="N177" s="6" t="str">
        <f t="shared" si="10"/>
        <v>INSERT INTO attributes (parent_id, tag, name, priority, allow_as_filter, allow_for_dataset, allow_for_measurement, allow_for_users, allow_for_qc) VALUES (NULL, 'att_disease',  'Disease',  500,  TRUE, TRUE, TRUE, FALSE, FALSE);</v>
      </c>
      <c r="O177" s="6" t="str">
        <f t="shared" si="11"/>
        <v xml:space="preserve">INSERT INTO attribute_values (attribute_id, tag, name, details) VALUES ((SELECT id FROM attributes WHERE tag = 'att_disease' LIMIT 1),  'att_disease:leukemia',  'Leukemia',  'Cancer of the body's blood-forming tissues'); </v>
      </c>
    </row>
    <row r="178" spans="1:15" x14ac:dyDescent="0.15">
      <c r="A178" s="12" t="b">
        <f>FALSE()</f>
        <v>0</v>
      </c>
      <c r="B178" s="12"/>
      <c r="C178" s="6" t="s">
        <v>1061</v>
      </c>
      <c r="D178" s="6" t="s">
        <v>1062</v>
      </c>
      <c r="E178" s="6" t="s">
        <v>15</v>
      </c>
      <c r="F178" s="6" t="s">
        <v>86</v>
      </c>
      <c r="G178" s="6" t="s">
        <v>2514</v>
      </c>
      <c r="H178" s="6" t="str">
        <f t="shared" si="8"/>
        <v>att_disease</v>
      </c>
      <c r="I178" s="6" t="s">
        <v>1061</v>
      </c>
      <c r="J178" s="6" t="str">
        <f t="shared" si="9"/>
        <v>att_disease:lymphoma</v>
      </c>
      <c r="K178" s="11" t="s">
        <v>19</v>
      </c>
      <c r="L178" s="6" t="s">
        <v>1063</v>
      </c>
      <c r="M178" s="6" t="s">
        <v>15</v>
      </c>
      <c r="N178" s="6" t="str">
        <f t="shared" si="10"/>
        <v>INSERT INTO attributes (parent_id, tag, name, priority, allow_as_filter, allow_for_dataset, allow_for_measurement, allow_for_users, allow_for_qc) VALUES (NULL, 'att_disease',  'Disease',  500,  TRUE, TRUE, TRUE, FALSE, FALSE);</v>
      </c>
      <c r="O178" s="6" t="str">
        <f t="shared" si="11"/>
        <v xml:space="preserve">INSERT INTO attribute_values (attribute_id, tag, name, details) VALUES ((SELECT id FROM attributes WHERE tag = 'att_disease' LIMIT 1),  'att_disease:lymphoma',  'Lymphoma',  'Cancer that begins in cells of the lymph system'); </v>
      </c>
    </row>
    <row r="179" spans="1:15" x14ac:dyDescent="0.15">
      <c r="A179" s="12" t="b">
        <f>FALSE()</f>
        <v>0</v>
      </c>
      <c r="B179" s="12"/>
      <c r="C179" s="6" t="s">
        <v>1064</v>
      </c>
      <c r="D179" s="6" t="s">
        <v>1065</v>
      </c>
      <c r="E179" s="6" t="s">
        <v>15</v>
      </c>
      <c r="F179" s="6" t="s">
        <v>86</v>
      </c>
      <c r="G179" s="6" t="s">
        <v>2514</v>
      </c>
      <c r="H179" s="6" t="str">
        <f t="shared" si="8"/>
        <v>att_disease</v>
      </c>
      <c r="I179" s="6" t="s">
        <v>1064</v>
      </c>
      <c r="J179" s="6" t="str">
        <f t="shared" si="9"/>
        <v>att_disease:malaria</v>
      </c>
      <c r="K179" s="11" t="s">
        <v>19</v>
      </c>
      <c r="L179" s="6" t="s">
        <v>1066</v>
      </c>
      <c r="M179" s="6" t="s">
        <v>15</v>
      </c>
      <c r="N179" s="6" t="str">
        <f t="shared" si="10"/>
        <v>INSERT INTO attributes (parent_id, tag, name, priority, allow_as_filter, allow_for_dataset, allow_for_measurement, allow_for_users, allow_for_qc) VALUES (NULL, 'att_disease',  'Disease',  500,  TRUE, TRUE, TRUE, FALSE, FALSE);</v>
      </c>
      <c r="O179" s="6" t="str">
        <f t="shared" si="11"/>
        <v xml:space="preserve">INSERT INTO attribute_values (attribute_id, tag, name, details) VALUES ((SELECT id FROM attributes WHERE tag = 'att_disease' LIMIT 1),  'att_disease:malaria',  'Malaria',  'Fatal disease caused by a parasite'); </v>
      </c>
    </row>
    <row r="180" spans="1:15" x14ac:dyDescent="0.15">
      <c r="A180" s="12" t="b">
        <f>FALSE()</f>
        <v>0</v>
      </c>
      <c r="B180" s="12"/>
      <c r="C180" s="6" t="s">
        <v>23</v>
      </c>
      <c r="D180" s="6" t="s">
        <v>1067</v>
      </c>
      <c r="E180" s="6" t="s">
        <v>15</v>
      </c>
      <c r="F180" s="6" t="s">
        <v>86</v>
      </c>
      <c r="G180" s="6" t="s">
        <v>2514</v>
      </c>
      <c r="H180" s="6" t="str">
        <f t="shared" si="8"/>
        <v>att_disease</v>
      </c>
      <c r="I180" s="6" t="s">
        <v>23</v>
      </c>
      <c r="J180" s="6" t="str">
        <f t="shared" si="9"/>
        <v>att_disease:ms</v>
      </c>
      <c r="K180" s="11" t="s">
        <v>19</v>
      </c>
      <c r="L180" s="6" t="s">
        <v>1068</v>
      </c>
      <c r="M180" s="6" t="s">
        <v>15</v>
      </c>
      <c r="N180" s="6" t="str">
        <f t="shared" si="10"/>
        <v>INSERT INTO attributes (parent_id, tag, name, priority, allow_as_filter, allow_for_dataset, allow_for_measurement, allow_for_users, allow_for_qc) VALUES (NULL, 'att_disease',  'Disease',  500,  TRUE, TRUE, TRUE, FALSE, FALSE);</v>
      </c>
      <c r="O180" s="6" t="str">
        <f t="shared" si="11"/>
        <v xml:space="preserve">INSERT INTO attribute_values (attribute_id, tag, name, details) VALUES ((SELECT id FROM attributes WHERE tag = 'att_disease' LIMIT 1),  'att_disease:ms',  'MS',  'Multiple sclerosis'); </v>
      </c>
    </row>
    <row r="181" spans="1:15" x14ac:dyDescent="0.15">
      <c r="A181" s="12" t="b">
        <f>FALSE()</f>
        <v>0</v>
      </c>
      <c r="B181" s="12"/>
      <c r="C181" s="6" t="s">
        <v>1069</v>
      </c>
      <c r="D181" s="6" t="s">
        <v>1070</v>
      </c>
      <c r="E181" s="6" t="s">
        <v>15</v>
      </c>
      <c r="F181" s="6" t="s">
        <v>86</v>
      </c>
      <c r="G181" s="6" t="s">
        <v>2514</v>
      </c>
      <c r="H181" s="6" t="str">
        <f t="shared" si="8"/>
        <v>att_disease</v>
      </c>
      <c r="I181" s="6" t="s">
        <v>1069</v>
      </c>
      <c r="J181" s="6" t="str">
        <f t="shared" si="9"/>
        <v>att_disease:msa</v>
      </c>
      <c r="K181" s="11" t="s">
        <v>19</v>
      </c>
      <c r="L181" s="6" t="s">
        <v>1071</v>
      </c>
      <c r="M181" s="6" t="s">
        <v>15</v>
      </c>
      <c r="N181" s="6" t="str">
        <f t="shared" si="10"/>
        <v>INSERT INTO attributes (parent_id, tag, name, priority, allow_as_filter, allow_for_dataset, allow_for_measurement, allow_for_users, allow_for_qc) VALUES (NULL, 'att_disease',  'Disease',  500,  TRUE, TRUE, TRUE, FALSE, FALSE);</v>
      </c>
      <c r="O181" s="6" t="str">
        <f t="shared" si="11"/>
        <v xml:space="preserve">INSERT INTO attribute_values (attribute_id, tag, name, details) VALUES ((SELECT id FROM attributes WHERE tag = 'att_disease' LIMIT 1),  'att_disease:msa',  'MSA',  'Multiple system atrophy'); </v>
      </c>
    </row>
    <row r="182" spans="1:15" x14ac:dyDescent="0.15">
      <c r="A182" s="12" t="b">
        <f>FALSE()</f>
        <v>0</v>
      </c>
      <c r="B182" s="12"/>
      <c r="C182" s="6" t="s">
        <v>1072</v>
      </c>
      <c r="D182" s="6" t="s">
        <v>1073</v>
      </c>
      <c r="E182" s="6" t="s">
        <v>15</v>
      </c>
      <c r="F182" s="6" t="s">
        <v>86</v>
      </c>
      <c r="G182" s="6" t="s">
        <v>2514</v>
      </c>
      <c r="H182" s="6" t="str">
        <f t="shared" si="8"/>
        <v>att_disease</v>
      </c>
      <c r="I182" s="6" t="s">
        <v>1072</v>
      </c>
      <c r="J182" s="6" t="str">
        <f t="shared" si="9"/>
        <v>att_disease:neurodegenerative</v>
      </c>
      <c r="K182" s="11" t="s">
        <v>19</v>
      </c>
      <c r="L182" s="6" t="s">
        <v>1074</v>
      </c>
      <c r="M182" s="6" t="s">
        <v>15</v>
      </c>
      <c r="N182" s="6" t="str">
        <f t="shared" si="10"/>
        <v>INSERT INTO attributes (parent_id, tag, name, priority, allow_as_filter, allow_for_dataset, allow_for_measurement, allow_for_users, allow_for_qc) VALUES (NULL, 'att_disease',  'Disease',  500,  TRUE, TRUE, TRUE, FALSE, FALSE);</v>
      </c>
      <c r="O182" s="6" t="str">
        <f t="shared" si="11"/>
        <v xml:space="preserve">INSERT INTO attribute_values (attribute_id, tag, name, details) VALUES ((SELECT id FROM attributes WHERE tag = 'att_disease' LIMIT 1),  'att_disease:neurodegenerative',  'Neurodegenerative',  'Neurodegenerative disease'); </v>
      </c>
    </row>
    <row r="183" spans="1:15" x14ac:dyDescent="0.15">
      <c r="A183" s="12" t="b">
        <f>FALSE()</f>
        <v>0</v>
      </c>
      <c r="B183" s="12"/>
      <c r="C183" s="6" t="s">
        <v>1075</v>
      </c>
      <c r="D183" s="6" t="s">
        <v>1076</v>
      </c>
      <c r="E183" s="6" t="s">
        <v>15</v>
      </c>
      <c r="F183" s="6" t="s">
        <v>86</v>
      </c>
      <c r="G183" s="6" t="s">
        <v>2514</v>
      </c>
      <c r="H183" s="6" t="str">
        <f t="shared" si="8"/>
        <v>att_disease</v>
      </c>
      <c r="I183" s="6" t="s">
        <v>1075</v>
      </c>
      <c r="J183" s="6" t="str">
        <f t="shared" si="9"/>
        <v>att_disease:parkinson</v>
      </c>
      <c r="K183" s="11" t="s">
        <v>19</v>
      </c>
      <c r="L183" s="6" t="s">
        <v>1077</v>
      </c>
      <c r="M183" s="6" t="s">
        <v>15</v>
      </c>
      <c r="N183" s="6" t="str">
        <f t="shared" si="10"/>
        <v>INSERT INTO attributes (parent_id, tag, name, priority, allow_as_filter, allow_for_dataset, allow_for_measurement, allow_for_users, allow_for_qc) VALUES (NULL, 'att_disease',  'Disease',  500,  TRUE, TRUE, TRUE, FALSE, FALSE);</v>
      </c>
      <c r="O183" s="6" t="str">
        <f t="shared" si="11"/>
        <v xml:space="preserve">INSERT INTO attribute_values (attribute_id, tag, name, details) VALUES ((SELECT id FROM attributes WHERE tag = 'att_disease' LIMIT 1),  'att_disease:parkinson',  'Parkinson',  'Parkinson's disease'); </v>
      </c>
    </row>
    <row r="184" spans="1:15" x14ac:dyDescent="0.15">
      <c r="A184" s="12" t="b">
        <f>FALSE()</f>
        <v>0</v>
      </c>
      <c r="B184" s="12"/>
      <c r="C184" s="6" t="s">
        <v>1078</v>
      </c>
      <c r="D184" s="6" t="s">
        <v>1079</v>
      </c>
      <c r="E184" s="6" t="s">
        <v>15</v>
      </c>
      <c r="F184" s="6" t="s">
        <v>86</v>
      </c>
      <c r="G184" s="6" t="s">
        <v>2514</v>
      </c>
      <c r="H184" s="6" t="str">
        <f t="shared" si="8"/>
        <v>att_disease</v>
      </c>
      <c r="I184" s="6" t="s">
        <v>1078</v>
      </c>
      <c r="J184" s="6" t="str">
        <f t="shared" si="9"/>
        <v>att_disease:prion</v>
      </c>
      <c r="K184" s="11" t="s">
        <v>19</v>
      </c>
      <c r="L184" s="6" t="s">
        <v>1080</v>
      </c>
      <c r="M184" s="6" t="s">
        <v>15</v>
      </c>
      <c r="N184" s="6" t="str">
        <f t="shared" si="10"/>
        <v>INSERT INTO attributes (parent_id, tag, name, priority, allow_as_filter, allow_for_dataset, allow_for_measurement, allow_for_users, allow_for_qc) VALUES (NULL, 'att_disease',  'Disease',  500,  TRUE, TRUE, TRUE, FALSE, FALSE);</v>
      </c>
      <c r="O184" s="6" t="str">
        <f t="shared" si="11"/>
        <v xml:space="preserve">INSERT INTO attribute_values (attribute_id, tag, name, details) VALUES ((SELECT id FROM attributes WHERE tag = 'att_disease' LIMIT 1),  'att_disease:prion',  'Prion',  'Prion disease'); </v>
      </c>
    </row>
    <row r="185" spans="1:15" x14ac:dyDescent="0.15">
      <c r="A185" s="12" t="b">
        <f>FALSE()</f>
        <v>0</v>
      </c>
      <c r="B185" s="12"/>
      <c r="C185" s="6" t="s">
        <v>1081</v>
      </c>
      <c r="D185" s="6" t="s">
        <v>1082</v>
      </c>
      <c r="E185" s="6" t="s">
        <v>15</v>
      </c>
      <c r="F185" s="6" t="s">
        <v>86</v>
      </c>
      <c r="G185" s="6" t="s">
        <v>2514</v>
      </c>
      <c r="H185" s="6" t="str">
        <f t="shared" si="8"/>
        <v>att_disease</v>
      </c>
      <c r="I185" s="6" t="s">
        <v>1081</v>
      </c>
      <c r="J185" s="6" t="str">
        <f t="shared" si="9"/>
        <v>att_disease:rheumatoid</v>
      </c>
      <c r="K185" s="11" t="s">
        <v>19</v>
      </c>
      <c r="L185" s="6" t="s">
        <v>1083</v>
      </c>
      <c r="M185" s="6" t="s">
        <v>15</v>
      </c>
      <c r="N185" s="6" t="str">
        <f t="shared" si="10"/>
        <v>INSERT INTO attributes (parent_id, tag, name, priority, allow_as_filter, allow_for_dataset, allow_for_measurement, allow_for_users, allow_for_qc) VALUES (NULL, 'att_disease',  'Disease',  500,  TRUE, TRUE, TRUE, FALSE, FALSE);</v>
      </c>
      <c r="O185" s="6" t="str">
        <f t="shared" si="11"/>
        <v xml:space="preserve">INSERT INTO attribute_values (attribute_id, tag, name, details) VALUES ((SELECT id FROM attributes WHERE tag = 'att_disease' LIMIT 1),  'att_disease:rheumatoid',  'Rheumatoid',  'Rheumatoid arthritis'); </v>
      </c>
    </row>
    <row r="186" spans="1:15" x14ac:dyDescent="0.15">
      <c r="A186" s="12" t="b">
        <f>FALSE()</f>
        <v>0</v>
      </c>
      <c r="B186" s="12"/>
      <c r="C186" s="6" t="s">
        <v>1084</v>
      </c>
      <c r="D186" s="6" t="s">
        <v>1085</v>
      </c>
      <c r="E186" s="6" t="s">
        <v>15</v>
      </c>
      <c r="F186" s="6" t="s">
        <v>86</v>
      </c>
      <c r="G186" s="6" t="s">
        <v>2514</v>
      </c>
      <c r="H186" s="6" t="str">
        <f t="shared" si="8"/>
        <v>att_disease</v>
      </c>
      <c r="I186" s="6" t="s">
        <v>1084</v>
      </c>
      <c r="J186" s="6" t="str">
        <f t="shared" si="9"/>
        <v>att_disease:stress</v>
      </c>
      <c r="K186" s="11" t="s">
        <v>19</v>
      </c>
      <c r="L186" s="6" t="s">
        <v>1086</v>
      </c>
      <c r="M186" s="6" t="s">
        <v>15</v>
      </c>
      <c r="N186" s="6" t="str">
        <f t="shared" si="10"/>
        <v>INSERT INTO attributes (parent_id, tag, name, priority, allow_as_filter, allow_for_dataset, allow_for_measurement, allow_for_users, allow_for_qc) VALUES (NULL, 'att_disease',  'Disease',  500,  TRUE, TRUE, TRUE, FALSE, FALSE);</v>
      </c>
      <c r="O186" s="6" t="str">
        <f t="shared" si="11"/>
        <v xml:space="preserve">INSERT INTO attribute_values (attribute_id, tag, name, details) VALUES ((SELECT id FROM attributes WHERE tag = 'att_disease' LIMIT 1),  'att_disease:stress',  'Stress',  'How one reacts when feeling under pressure or threatened'); </v>
      </c>
    </row>
    <row r="187" spans="1:15" x14ac:dyDescent="0.15">
      <c r="A187" s="12" t="b">
        <f>FALSE()</f>
        <v>0</v>
      </c>
      <c r="B187" s="12"/>
      <c r="C187" s="6" t="s">
        <v>1087</v>
      </c>
      <c r="D187" s="6" t="s">
        <v>1088</v>
      </c>
      <c r="E187" s="6" t="s">
        <v>15</v>
      </c>
      <c r="F187" s="6" t="s">
        <v>86</v>
      </c>
      <c r="G187" s="6" t="s">
        <v>2514</v>
      </c>
      <c r="H187" s="6" t="str">
        <f t="shared" si="8"/>
        <v>att_disease</v>
      </c>
      <c r="I187" s="6" t="s">
        <v>1087</v>
      </c>
      <c r="J187" s="6" t="str">
        <f t="shared" si="9"/>
        <v>att_disease:stroke</v>
      </c>
      <c r="K187" s="11" t="s">
        <v>19</v>
      </c>
      <c r="L187" s="6" t="s">
        <v>1089</v>
      </c>
      <c r="M187" s="6" t="s">
        <v>15</v>
      </c>
      <c r="N187" s="6" t="str">
        <f t="shared" si="10"/>
        <v>INSERT INTO attributes (parent_id, tag, name, priority, allow_as_filter, allow_for_dataset, allow_for_measurement, allow_for_users, allow_for_qc) VALUES (NULL, 'att_disease',  'Disease',  500,  TRUE, TRUE, TRUE, FALSE, FALSE);</v>
      </c>
      <c r="O187" s="6" t="str">
        <f t="shared" si="11"/>
        <v xml:space="preserve">INSERT INTO attribute_values (attribute_id, tag, name, details) VALUES ((SELECT id FROM attributes WHERE tag = 'att_disease' LIMIT 1),  'att_disease:stroke',  'Stroke',  'Disease that affects the arteries leading to and within the brain'); </v>
      </c>
    </row>
    <row r="188" spans="1:15" x14ac:dyDescent="0.15">
      <c r="A188" s="12" t="b">
        <f>FALSE()</f>
        <v>0</v>
      </c>
      <c r="B188" s="12"/>
      <c r="C188" s="6" t="s">
        <v>1090</v>
      </c>
      <c r="D188" s="6" t="s">
        <v>1091</v>
      </c>
      <c r="E188" s="6" t="s">
        <v>15</v>
      </c>
      <c r="F188" s="6" t="s">
        <v>86</v>
      </c>
      <c r="G188" s="6" t="s">
        <v>2514</v>
      </c>
      <c r="H188" s="6" t="str">
        <f t="shared" si="8"/>
        <v>att_disease</v>
      </c>
      <c r="I188" s="6" t="s">
        <v>1090</v>
      </c>
      <c r="J188" s="6" t="str">
        <f t="shared" si="9"/>
        <v>att_disease:tuberculosis</v>
      </c>
      <c r="K188" s="11" t="s">
        <v>19</v>
      </c>
      <c r="L188" s="6" t="s">
        <v>1092</v>
      </c>
      <c r="M188" s="6" t="s">
        <v>15</v>
      </c>
      <c r="N188" s="6" t="str">
        <f t="shared" si="10"/>
        <v>INSERT INTO attributes (parent_id, tag, name, priority, allow_as_filter, allow_for_dataset, allow_for_measurement, allow_for_users, allow_for_qc) VALUES (NULL, 'att_disease',  'Disease',  500,  TRUE, TRUE, TRUE, FALSE, FALSE);</v>
      </c>
      <c r="O188" s="6" t="str">
        <f t="shared" si="11"/>
        <v xml:space="preserve">INSERT INTO attribute_values (attribute_id, tag, name, details) VALUES ((SELECT id FROM attributes WHERE tag = 'att_disease' LIMIT 1),  'att_disease:tuberculosis',  'Tuberculosis',  'Caused by a bacterium called Mycobacterium tuberculosis'); </v>
      </c>
    </row>
    <row r="189" spans="1:15" x14ac:dyDescent="0.15">
      <c r="A189" s="11" t="s">
        <v>19</v>
      </c>
      <c r="B189" s="11"/>
      <c r="C189" s="6" t="s">
        <v>1099</v>
      </c>
      <c r="D189" s="6" t="s">
        <v>1100</v>
      </c>
      <c r="E189" s="6" t="s">
        <v>15</v>
      </c>
      <c r="F189" s="6" t="s">
        <v>90</v>
      </c>
      <c r="G189" s="6" t="s">
        <v>2515</v>
      </c>
      <c r="H189" s="6" t="str">
        <f t="shared" si="8"/>
        <v>att_experiment</v>
      </c>
      <c r="I189" s="6" t="s">
        <v>1099</v>
      </c>
      <c r="J189" s="6" t="str">
        <f t="shared" si="9"/>
        <v>att_experiment:acetylome</v>
      </c>
      <c r="K189" s="11" t="s">
        <v>19</v>
      </c>
      <c r="L189" s="6" t="s">
        <v>1100</v>
      </c>
      <c r="M189" s="6" t="s">
        <v>15</v>
      </c>
      <c r="N189" s="6" t="str">
        <f t="shared" si="10"/>
        <v>INSERT INTO attributes (parent_id, tag, name, priority, allow_as_filter, allow_for_dataset, allow_for_measurement, allow_for_users, allow_for_qc) VALUES (NULL, 'att_experiment',  'Experiment Type',  500,  TRUE, TRUE, TRUE, FALSE, FALSE);</v>
      </c>
      <c r="O189" s="6" t="str">
        <f t="shared" si="11"/>
        <v xml:space="preserve">INSERT INTO attribute_values (attribute_id, tag, name, details) VALUES ((SELECT id FROM attributes WHERE tag = 'att_experiment' LIMIT 1),  'att_experiment:acetylome',  'Acetylome',  'Acetylome'); </v>
      </c>
    </row>
    <row r="190" spans="1:15" x14ac:dyDescent="0.15">
      <c r="A190" s="11" t="s">
        <v>19</v>
      </c>
      <c r="B190" s="11"/>
      <c r="C190" s="6" t="s">
        <v>1101</v>
      </c>
      <c r="D190" s="6" t="s">
        <v>1102</v>
      </c>
      <c r="E190" s="6" t="s">
        <v>15</v>
      </c>
      <c r="F190" s="6" t="s">
        <v>90</v>
      </c>
      <c r="G190" s="6" t="s">
        <v>2515</v>
      </c>
      <c r="H190" s="6" t="str">
        <f t="shared" si="8"/>
        <v>att_experiment</v>
      </c>
      <c r="I190" s="6" t="s">
        <v>1101</v>
      </c>
      <c r="J190" s="6" t="str">
        <f t="shared" si="9"/>
        <v>att_experiment:dvp</v>
      </c>
      <c r="K190" s="11" t="s">
        <v>19</v>
      </c>
      <c r="L190" s="6" t="s">
        <v>1103</v>
      </c>
      <c r="M190" s="6" t="s">
        <v>15</v>
      </c>
      <c r="N190" s="6" t="str">
        <f t="shared" si="10"/>
        <v>INSERT INTO attributes (parent_id, tag, name, priority, allow_as_filter, allow_for_dataset, allow_for_measurement, allow_for_users, allow_for_qc) VALUES (NULL, 'att_experiment',  'Experiment Type',  500,  TRUE, TRUE, TRUE, FALSE, FALSE);</v>
      </c>
      <c r="O190" s="6" t="str">
        <f t="shared" si="11"/>
        <v xml:space="preserve">INSERT INTO attribute_values (attribute_id, tag, name, details) VALUES ((SELECT id FROM attributes WHERE tag = 'att_experiment' LIMIT 1),  'att_experiment:dvp',  'DVP',  'Fractionated Samples (DVP)'); </v>
      </c>
    </row>
    <row r="191" spans="1:15" x14ac:dyDescent="0.15">
      <c r="A191" s="11" t="s">
        <v>19</v>
      </c>
      <c r="B191" s="11"/>
      <c r="C191" s="6" t="s">
        <v>1104</v>
      </c>
      <c r="D191" s="6" t="s">
        <v>1106</v>
      </c>
      <c r="E191" s="6" t="s">
        <v>15</v>
      </c>
      <c r="F191" s="6" t="s">
        <v>90</v>
      </c>
      <c r="G191" s="6" t="s">
        <v>2515</v>
      </c>
      <c r="H191" s="6" t="str">
        <f t="shared" si="8"/>
        <v>att_experiment</v>
      </c>
      <c r="I191" s="6" t="s">
        <v>1104</v>
      </c>
      <c r="J191" s="6" t="str">
        <f t="shared" si="9"/>
        <v>att_experiment:expression_proteome</v>
      </c>
      <c r="K191" s="11" t="s">
        <v>19</v>
      </c>
      <c r="L191" s="6" t="s">
        <v>1106</v>
      </c>
      <c r="M191" s="6" t="s">
        <v>15</v>
      </c>
      <c r="N191" s="6" t="str">
        <f t="shared" si="10"/>
        <v>INSERT INTO attributes (parent_id, tag, name, priority, allow_as_filter, allow_for_dataset, allow_for_measurement, allow_for_users, allow_for_qc) VALUES (NULL, 'att_experiment',  'Experiment Type',  500,  TRUE, TRUE, TRUE, FALSE, FALSE);</v>
      </c>
      <c r="O191" s="6" t="str">
        <f t="shared" si="11"/>
        <v xml:space="preserve">INSERT INTO attribute_values (attribute_id, tag, name, details) VALUES ((SELECT id FROM attributes WHERE tag = 'att_experiment' LIMIT 1),  'att_experiment:expression_proteome',  'Expression Proteome',  'Expression Proteome'); </v>
      </c>
    </row>
    <row r="192" spans="1:15" x14ac:dyDescent="0.15">
      <c r="A192" s="11" t="s">
        <v>19</v>
      </c>
      <c r="B192" s="11"/>
      <c r="C192" s="6" t="s">
        <v>1107</v>
      </c>
      <c r="D192" s="6" t="s">
        <v>1108</v>
      </c>
      <c r="E192" s="6" t="s">
        <v>15</v>
      </c>
      <c r="F192" s="6" t="s">
        <v>90</v>
      </c>
      <c r="G192" s="6" t="s">
        <v>2515</v>
      </c>
      <c r="H192" s="6" t="str">
        <f t="shared" si="8"/>
        <v>att_experiment</v>
      </c>
      <c r="I192" s="6" t="s">
        <v>1107</v>
      </c>
      <c r="J192" s="6" t="str">
        <f t="shared" si="9"/>
        <v>att_experiment:interaction</v>
      </c>
      <c r="K192" s="11" t="s">
        <v>19</v>
      </c>
      <c r="L192" s="6" t="s">
        <v>1108</v>
      </c>
      <c r="M192" s="6" t="s">
        <v>15</v>
      </c>
      <c r="N192" s="6" t="str">
        <f t="shared" si="10"/>
        <v>INSERT INTO attributes (parent_id, tag, name, priority, allow_as_filter, allow_for_dataset, allow_for_measurement, allow_for_users, allow_for_qc) VALUES (NULL, 'att_experiment',  'Experiment Type',  500,  TRUE, TRUE, TRUE, FALSE, FALSE);</v>
      </c>
      <c r="O192" s="6" t="str">
        <f t="shared" si="11"/>
        <v xml:space="preserve">INSERT INTO attribute_values (attribute_id, tag, name, details) VALUES ((SELECT id FROM attributes WHERE tag = 'att_experiment' LIMIT 1),  'att_experiment:interaction',  'Interaction Proteome',  'Interaction Proteome'); </v>
      </c>
    </row>
    <row r="193" spans="1:15" x14ac:dyDescent="0.15">
      <c r="A193" s="11" t="s">
        <v>19</v>
      </c>
      <c r="B193" s="11"/>
      <c r="C193" s="6" t="s">
        <v>1109</v>
      </c>
      <c r="D193" s="6" t="s">
        <v>1110</v>
      </c>
      <c r="E193" s="6" t="s">
        <v>15</v>
      </c>
      <c r="F193" s="6" t="s">
        <v>90</v>
      </c>
      <c r="G193" s="6" t="s">
        <v>2515</v>
      </c>
      <c r="H193" s="6" t="str">
        <f t="shared" si="8"/>
        <v>att_experiment</v>
      </c>
      <c r="I193" s="6" t="s">
        <v>1109</v>
      </c>
      <c r="J193" s="6" t="str">
        <f t="shared" si="9"/>
        <v>att_experiment:metrs</v>
      </c>
      <c r="K193" s="11" t="s">
        <v>19</v>
      </c>
      <c r="L193" s="6" t="s">
        <v>1110</v>
      </c>
      <c r="M193" s="6" t="s">
        <v>15</v>
      </c>
      <c r="N193" s="6" t="str">
        <f t="shared" si="10"/>
        <v>INSERT INTO attributes (parent_id, tag, name, priority, allow_as_filter, allow_for_dataset, allow_for_measurement, allow_for_users, allow_for_qc) VALUES (NULL, 'att_experiment',  'Experiment Type',  500,  TRUE, TRUE, TRUE, FALSE, FALSE);</v>
      </c>
      <c r="O193" s="6" t="str">
        <f t="shared" si="11"/>
        <v xml:space="preserve">INSERT INTO attribute_values (attribute_id, tag, name, details) VALUES ((SELECT id FROM attributes WHERE tag = 'att_experiment' LIMIT 1),  'att_experiment:metrs',  'MetRS',  'MetRS'); </v>
      </c>
    </row>
    <row r="194" spans="1:15" x14ac:dyDescent="0.15">
      <c r="A194" s="11" t="s">
        <v>19</v>
      </c>
      <c r="B194" s="11"/>
      <c r="C194" s="6" t="s">
        <v>2516</v>
      </c>
      <c r="D194" s="6" t="s">
        <v>1113</v>
      </c>
      <c r="E194" s="6" t="s">
        <v>15</v>
      </c>
      <c r="F194" s="6" t="s">
        <v>90</v>
      </c>
      <c r="G194" s="6" t="s">
        <v>2515</v>
      </c>
      <c r="H194" s="6" t="str">
        <f t="shared" ref="H194:H221" si="12">"att_"&amp;G194</f>
        <v>att_experiment</v>
      </c>
      <c r="I194" s="6" t="s">
        <v>1111</v>
      </c>
      <c r="J194" s="6" t="str">
        <f t="shared" ref="J194:J221" si="13">H194&amp;":"&amp;I194</f>
        <v>att_experiment:neo_nterm_enrichment</v>
      </c>
      <c r="K194" s="11" t="s">
        <v>19</v>
      </c>
      <c r="L194" s="6" t="s">
        <v>1113</v>
      </c>
      <c r="M194" s="6" t="s">
        <v>15</v>
      </c>
      <c r="N194" s="6" t="str">
        <f t="shared" ref="N194:N221" si="14">"INSERT INTO attributes (parent_id, tag, name, priority, allow_as_filter, allow_for_dataset, allow_for_measurement, allow_for_users, allow_for_qc) VALUES (NULL, '"&amp;H194&amp;"',  '"&amp;F194&amp;"',  500,  TRUE, TRUE, TRUE, FALSE, FALSE);"</f>
        <v>INSERT INTO attributes (parent_id, tag, name, priority, allow_as_filter, allow_for_dataset, allow_for_measurement, allow_for_users, allow_for_qc) VALUES (NULL, 'att_experiment',  'Experiment Type',  500,  TRUE, TRUE, TRUE, FALSE, FALSE);</v>
      </c>
      <c r="O194" s="6" t="str">
        <f t="shared" ref="O194:O221" si="15">"INSERT INTO attribute_values (attribute_id, tag, name, details) VALUES ((SELECT id FROM attributes WHERE tag = '"&amp;H194&amp;"' LIMIT 1),  '"&amp;J194&amp;"',  '"&amp;D194&amp;"',  '"&amp;L194&amp;"'); "</f>
        <v xml:space="preserve">INSERT INTO attribute_values (attribute_id, tag, name, details) VALUES ((SELECT id FROM attributes WHERE tag = 'att_experiment' LIMIT 1),  'att_experiment:neo_nterm_enrichment',  'Neo N-term enrichment',  'Neo N-term enrichment'); </v>
      </c>
    </row>
    <row r="195" spans="1:15" x14ac:dyDescent="0.15">
      <c r="A195" s="11" t="s">
        <v>19</v>
      </c>
      <c r="B195" s="11"/>
      <c r="C195" s="6" t="s">
        <v>2517</v>
      </c>
      <c r="D195" s="6" t="s">
        <v>2518</v>
      </c>
      <c r="E195" s="6" t="s">
        <v>15</v>
      </c>
      <c r="F195" s="6" t="s">
        <v>90</v>
      </c>
      <c r="G195" s="6" t="s">
        <v>2515</v>
      </c>
      <c r="H195" s="6" t="str">
        <f t="shared" si="12"/>
        <v>att_experiment</v>
      </c>
      <c r="I195" s="6" t="s">
        <v>2517</v>
      </c>
      <c r="J195" s="6" t="str">
        <f t="shared" si="13"/>
        <v>att_experiment:other_ptm</v>
      </c>
      <c r="K195" s="11" t="s">
        <v>19</v>
      </c>
      <c r="L195" s="6" t="s">
        <v>2518</v>
      </c>
      <c r="M195" s="6" t="s">
        <v>15</v>
      </c>
      <c r="N195" s="6" t="str">
        <f t="shared" si="14"/>
        <v>INSERT INTO attributes (parent_id, tag, name, priority, allow_as_filter, allow_for_dataset, allow_for_measurement, allow_for_users, allow_for_qc) VALUES (NULL, 'att_experiment',  'Experiment Type',  500,  TRUE, TRUE, TRUE, FALSE, FALSE);</v>
      </c>
      <c r="O195" s="6" t="str">
        <f t="shared" si="15"/>
        <v xml:space="preserve">INSERT INTO attribute_values (attribute_id, tag, name, details) VALUES ((SELECT id FROM attributes WHERE tag = 'att_experiment' LIMIT 1),  'att_experiment:other_ptm',  'other PTMs',  'other PTMs'); </v>
      </c>
    </row>
    <row r="196" spans="1:15" x14ac:dyDescent="0.15">
      <c r="A196" s="11" t="s">
        <v>19</v>
      </c>
      <c r="B196" s="11"/>
      <c r="C196" s="6" t="s">
        <v>1114</v>
      </c>
      <c r="D196" s="6" t="s">
        <v>1115</v>
      </c>
      <c r="E196" s="6" t="s">
        <v>15</v>
      </c>
      <c r="F196" s="6" t="s">
        <v>90</v>
      </c>
      <c r="G196" s="6" t="s">
        <v>2515</v>
      </c>
      <c r="H196" s="6" t="str">
        <f t="shared" si="12"/>
        <v>att_experiment</v>
      </c>
      <c r="I196" s="6" t="s">
        <v>1114</v>
      </c>
      <c r="J196" s="6" t="str">
        <f t="shared" si="13"/>
        <v>att_experiment:oxinome</v>
      </c>
      <c r="K196" s="11" t="s">
        <v>19</v>
      </c>
      <c r="L196" s="6" t="s">
        <v>1115</v>
      </c>
      <c r="M196" s="6" t="s">
        <v>15</v>
      </c>
      <c r="N196" s="6" t="str">
        <f t="shared" si="14"/>
        <v>INSERT INTO attributes (parent_id, tag, name, priority, allow_as_filter, allow_for_dataset, allow_for_measurement, allow_for_users, allow_for_qc) VALUES (NULL, 'att_experiment',  'Experiment Type',  500,  TRUE, TRUE, TRUE, FALSE, FALSE);</v>
      </c>
      <c r="O196" s="6" t="str">
        <f t="shared" si="15"/>
        <v xml:space="preserve">INSERT INTO attribute_values (attribute_id, tag, name, details) VALUES ((SELECT id FROM attributes WHERE tag = 'att_experiment' LIMIT 1),  'att_experiment:oxinome',  'Oxinome',  'Oxinome'); </v>
      </c>
    </row>
    <row r="197" spans="1:15" x14ac:dyDescent="0.15">
      <c r="A197" s="11" t="s">
        <v>19</v>
      </c>
      <c r="B197" s="11"/>
      <c r="C197" s="6" t="s">
        <v>1116</v>
      </c>
      <c r="D197" s="6" t="s">
        <v>1117</v>
      </c>
      <c r="E197" s="6" t="s">
        <v>15</v>
      </c>
      <c r="F197" s="6" t="s">
        <v>90</v>
      </c>
      <c r="G197" s="6" t="s">
        <v>2515</v>
      </c>
      <c r="H197" s="6" t="str">
        <f t="shared" si="12"/>
        <v>att_experiment</v>
      </c>
      <c r="I197" s="6" t="s">
        <v>1116</v>
      </c>
      <c r="J197" s="6" t="str">
        <f t="shared" si="13"/>
        <v>att_experiment:phosphoproteome</v>
      </c>
      <c r="K197" s="11" t="s">
        <v>19</v>
      </c>
      <c r="L197" s="6" t="s">
        <v>1117</v>
      </c>
      <c r="M197" s="6" t="s">
        <v>15</v>
      </c>
      <c r="N197" s="6" t="str">
        <f t="shared" si="14"/>
        <v>INSERT INTO attributes (parent_id, tag, name, priority, allow_as_filter, allow_for_dataset, allow_for_measurement, allow_for_users, allow_for_qc) VALUES (NULL, 'att_experiment',  'Experiment Type',  500,  TRUE, TRUE, TRUE, FALSE, FALSE);</v>
      </c>
      <c r="O197" s="6" t="str">
        <f t="shared" si="15"/>
        <v xml:space="preserve">INSERT INTO attribute_values (attribute_id, tag, name, details) VALUES ((SELECT id FROM attributes WHERE tag = 'att_experiment' LIMIT 1),  'att_experiment:phosphoproteome',  'Phosphoproteome',  'Phosphoproteome'); </v>
      </c>
    </row>
    <row r="198" spans="1:15" x14ac:dyDescent="0.15">
      <c r="A198" s="11" t="s">
        <v>19</v>
      </c>
      <c r="B198" s="11"/>
      <c r="C198" s="6" t="s">
        <v>2519</v>
      </c>
      <c r="D198" s="6" t="s">
        <v>1119</v>
      </c>
      <c r="E198" s="6" t="s">
        <v>15</v>
      </c>
      <c r="F198" s="6" t="s">
        <v>90</v>
      </c>
      <c r="G198" s="6" t="s">
        <v>2515</v>
      </c>
      <c r="H198" s="6" t="str">
        <f t="shared" si="12"/>
        <v>att_experiment</v>
      </c>
      <c r="I198" s="6" t="s">
        <v>1118</v>
      </c>
      <c r="J198" s="6" t="str">
        <f t="shared" si="13"/>
        <v>att_experiment:pulse_silac</v>
      </c>
      <c r="K198" s="11" t="s">
        <v>19</v>
      </c>
      <c r="L198" s="6" t="s">
        <v>1119</v>
      </c>
      <c r="M198" s="6" t="s">
        <v>15</v>
      </c>
      <c r="N198" s="6" t="str">
        <f t="shared" si="14"/>
        <v>INSERT INTO attributes (parent_id, tag, name, priority, allow_as_filter, allow_for_dataset, allow_for_measurement, allow_for_users, allow_for_qc) VALUES (NULL, 'att_experiment',  'Experiment Type',  500,  TRUE, TRUE, TRUE, FALSE, FALSE);</v>
      </c>
      <c r="O198" s="6" t="str">
        <f t="shared" si="15"/>
        <v xml:space="preserve">INSERT INTO attribute_values (attribute_id, tag, name, details) VALUES ((SELECT id FROM attributes WHERE tag = 'att_experiment' LIMIT 1),  'att_experiment:pulse_silac',  'Pulse-SILAC',  'Pulse-SILAC'); </v>
      </c>
    </row>
    <row r="199" spans="1:15" x14ac:dyDescent="0.15">
      <c r="A199" s="11" t="s">
        <v>19</v>
      </c>
      <c r="B199" s="11"/>
      <c r="C199" s="6" t="s">
        <v>1120</v>
      </c>
      <c r="D199" s="6" t="s">
        <v>1121</v>
      </c>
      <c r="E199" s="6" t="s">
        <v>15</v>
      </c>
      <c r="F199" s="6" t="s">
        <v>90</v>
      </c>
      <c r="G199" s="6" t="s">
        <v>2515</v>
      </c>
      <c r="H199" s="6" t="str">
        <f t="shared" si="12"/>
        <v>att_experiment</v>
      </c>
      <c r="I199" s="6" t="s">
        <v>1120</v>
      </c>
      <c r="J199" s="6" t="str">
        <f t="shared" si="13"/>
        <v>att_experiment:secretome</v>
      </c>
      <c r="K199" s="11" t="s">
        <v>19</v>
      </c>
      <c r="L199" s="6" t="s">
        <v>1121</v>
      </c>
      <c r="M199" s="6" t="s">
        <v>15</v>
      </c>
      <c r="N199" s="6" t="str">
        <f t="shared" si="14"/>
        <v>INSERT INTO attributes (parent_id, tag, name, priority, allow_as_filter, allow_for_dataset, allow_for_measurement, allow_for_users, allow_for_qc) VALUES (NULL, 'att_experiment',  'Experiment Type',  500,  TRUE, TRUE, TRUE, FALSE, FALSE);</v>
      </c>
      <c r="O199" s="6" t="str">
        <f t="shared" si="15"/>
        <v xml:space="preserve">INSERT INTO attribute_values (attribute_id, tag, name, details) VALUES ((SELECT id FROM attributes WHERE tag = 'att_experiment' LIMIT 1),  'att_experiment:secretome',  'Secretome',  'Secretome'); </v>
      </c>
    </row>
    <row r="200" spans="1:15" x14ac:dyDescent="0.15">
      <c r="A200" s="11" t="s">
        <v>19</v>
      </c>
      <c r="B200" s="11"/>
      <c r="C200" s="6" t="s">
        <v>1122</v>
      </c>
      <c r="D200" s="6" t="s">
        <v>1123</v>
      </c>
      <c r="E200" s="6" t="s">
        <v>15</v>
      </c>
      <c r="F200" s="6" t="s">
        <v>90</v>
      </c>
      <c r="G200" s="6" t="s">
        <v>2515</v>
      </c>
      <c r="H200" s="6" t="str">
        <f t="shared" si="12"/>
        <v>att_experiment</v>
      </c>
      <c r="I200" s="6" t="s">
        <v>1122</v>
      </c>
      <c r="J200" s="6" t="str">
        <f t="shared" si="13"/>
        <v>att_experiment:spatial</v>
      </c>
      <c r="K200" s="11" t="s">
        <v>19</v>
      </c>
      <c r="L200" s="6" t="s">
        <v>1123</v>
      </c>
      <c r="M200" s="6" t="s">
        <v>15</v>
      </c>
      <c r="N200" s="6" t="str">
        <f t="shared" si="14"/>
        <v>INSERT INTO attributes (parent_id, tag, name, priority, allow_as_filter, allow_for_dataset, allow_for_measurement, allow_for_users, allow_for_qc) VALUES (NULL, 'att_experiment',  'Experiment Type',  500,  TRUE, TRUE, TRUE, FALSE, FALSE);</v>
      </c>
      <c r="O200" s="6" t="str">
        <f t="shared" si="15"/>
        <v xml:space="preserve">INSERT INTO attribute_values (attribute_id, tag, name, details) VALUES ((SELECT id FROM attributes WHERE tag = 'att_experiment' LIMIT 1),  'att_experiment:spatial',  'Spatial Proteome',  'Spatial Proteome'); </v>
      </c>
    </row>
    <row r="201" spans="1:15" x14ac:dyDescent="0.15">
      <c r="A201" s="11" t="s">
        <v>19</v>
      </c>
      <c r="B201" s="11"/>
      <c r="C201" s="6" t="s">
        <v>1124</v>
      </c>
      <c r="D201" s="6" t="s">
        <v>1125</v>
      </c>
      <c r="E201" s="6" t="s">
        <v>15</v>
      </c>
      <c r="F201" s="6" t="s">
        <v>90</v>
      </c>
      <c r="G201" s="6" t="s">
        <v>2515</v>
      </c>
      <c r="H201" s="6" t="str">
        <f t="shared" si="12"/>
        <v>att_experiment</v>
      </c>
      <c r="I201" s="6" t="s">
        <v>1124</v>
      </c>
      <c r="J201" s="6" t="str">
        <f t="shared" si="13"/>
        <v>att_experiment:ubiquitinome</v>
      </c>
      <c r="K201" s="11" t="s">
        <v>19</v>
      </c>
      <c r="L201" s="6" t="s">
        <v>1125</v>
      </c>
      <c r="M201" s="6" t="s">
        <v>15</v>
      </c>
      <c r="N201" s="6" t="str">
        <f t="shared" si="14"/>
        <v>INSERT INTO attributes (parent_id, tag, name, priority, allow_as_filter, allow_for_dataset, allow_for_measurement, allow_for_users, allow_for_qc) VALUES (NULL, 'att_experiment',  'Experiment Type',  500,  TRUE, TRUE, TRUE, FALSE, FALSE);</v>
      </c>
      <c r="O201" s="6" t="str">
        <f t="shared" si="15"/>
        <v xml:space="preserve">INSERT INTO attribute_values (attribute_id, tag, name, details) VALUES ((SELECT id FROM attributes WHERE tag = 'att_experiment' LIMIT 1),  'att_experiment:ubiquitinome',  'Ubiquitinome',  'Ubiquitinome'); </v>
      </c>
    </row>
    <row r="202" spans="1:15" x14ac:dyDescent="0.15">
      <c r="A202" s="12" t="b">
        <f>FALSE()</f>
        <v>0</v>
      </c>
      <c r="C202" s="6" t="s">
        <v>1132</v>
      </c>
      <c r="D202" s="6" t="s">
        <v>1134</v>
      </c>
      <c r="E202" s="6" t="s">
        <v>15</v>
      </c>
      <c r="F202" s="6" t="s">
        <v>2520</v>
      </c>
      <c r="G202" s="6" t="s">
        <v>2521</v>
      </c>
      <c r="H202" s="6" t="str">
        <f t="shared" si="12"/>
        <v>att_fluid</v>
      </c>
      <c r="I202" s="6" t="s">
        <v>1132</v>
      </c>
      <c r="J202" s="6" t="str">
        <f t="shared" si="13"/>
        <v>att_fluid:bal</v>
      </c>
      <c r="K202" s="11" t="s">
        <v>19</v>
      </c>
      <c r="L202" s="6" t="s">
        <v>1135</v>
      </c>
      <c r="M202" s="6" t="s">
        <v>15</v>
      </c>
      <c r="N202" s="6" t="str">
        <f t="shared" si="14"/>
        <v>INSERT INTO attributes (parent_id, tag, name, priority, allow_as_filter, allow_for_dataset, allow_for_measurement, allow_for_users, allow_for_qc) VALUES (NULL, 'att_fluid',  'Fluid',  500,  TRUE, TRUE, TRUE, FALSE, FALSE);</v>
      </c>
      <c r="O202" s="6" t="str">
        <f t="shared" si="15"/>
        <v xml:space="preserve">INSERT INTO attribute_values (attribute_id, tag, name, details) VALUES ((SELECT id FROM attributes WHERE tag = 'att_fluid' LIMIT 1),  'att_fluid:bal',  'Bal',  'Bronchoalveolar lavage (BAL)'); </v>
      </c>
    </row>
    <row r="203" spans="1:15" x14ac:dyDescent="0.15">
      <c r="A203" s="12" t="b">
        <f>FALSE()</f>
        <v>0</v>
      </c>
      <c r="B203" s="12"/>
      <c r="C203" s="6" t="s">
        <v>1136</v>
      </c>
      <c r="D203" s="6" t="s">
        <v>1137</v>
      </c>
      <c r="E203" s="6" t="s">
        <v>15</v>
      </c>
      <c r="F203" s="6" t="s">
        <v>2520</v>
      </c>
      <c r="G203" s="6" t="s">
        <v>2521</v>
      </c>
      <c r="H203" s="6" t="str">
        <f t="shared" si="12"/>
        <v>att_fluid</v>
      </c>
      <c r="I203" s="6" t="s">
        <v>1136</v>
      </c>
      <c r="J203" s="6" t="str">
        <f t="shared" si="13"/>
        <v>att_fluid:cerebrospinal</v>
      </c>
      <c r="K203" s="11" t="s">
        <v>19</v>
      </c>
      <c r="L203" s="6" t="s">
        <v>1138</v>
      </c>
      <c r="M203" s="6" t="s">
        <v>15</v>
      </c>
      <c r="N203" s="6" t="str">
        <f t="shared" si="14"/>
        <v>INSERT INTO attributes (parent_id, tag, name, priority, allow_as_filter, allow_for_dataset, allow_for_measurement, allow_for_users, allow_for_qc) VALUES (NULL, 'att_fluid',  'Fluid',  500,  TRUE, TRUE, TRUE, FALSE, FALSE);</v>
      </c>
      <c r="O203" s="6" t="str">
        <f t="shared" si="15"/>
        <v xml:space="preserve">INSERT INTO attribute_values (attribute_id, tag, name, details) VALUES ((SELECT id FROM attributes WHERE tag = 'att_fluid' LIMIT 1),  'att_fluid:cerebrospinal',  'Cerebrospinal',  'Cerebrospinal fluid (CSF)'); </v>
      </c>
    </row>
    <row r="204" spans="1:15" x14ac:dyDescent="0.15">
      <c r="A204" s="12" t="b">
        <f>FALSE()</f>
        <v>0</v>
      </c>
      <c r="B204" s="12"/>
      <c r="C204" s="6" t="s">
        <v>1139</v>
      </c>
      <c r="D204" s="6" t="s">
        <v>1140</v>
      </c>
      <c r="E204" s="6" t="s">
        <v>15</v>
      </c>
      <c r="F204" s="6" t="s">
        <v>2520</v>
      </c>
      <c r="G204" s="6" t="s">
        <v>2521</v>
      </c>
      <c r="H204" s="6" t="str">
        <f t="shared" si="12"/>
        <v>att_fluid</v>
      </c>
      <c r="I204" s="6" t="s">
        <v>1139</v>
      </c>
      <c r="J204" s="6" t="str">
        <f t="shared" si="13"/>
        <v>att_fluid:feces</v>
      </c>
      <c r="K204" s="11" t="s">
        <v>19</v>
      </c>
      <c r="L204" s="6" t="s">
        <v>1141</v>
      </c>
      <c r="M204" s="6" t="s">
        <v>15</v>
      </c>
      <c r="N204" s="6" t="str">
        <f t="shared" si="14"/>
        <v>INSERT INTO attributes (parent_id, tag, name, priority, allow_as_filter, allow_for_dataset, allow_for_measurement, allow_for_users, allow_for_qc) VALUES (NULL, 'att_fluid',  'Fluid',  500,  TRUE, TRUE, TRUE, FALSE, FALSE);</v>
      </c>
      <c r="O204" s="6" t="str">
        <f t="shared" si="15"/>
        <v xml:space="preserve">INSERT INTO attribute_values (attribute_id, tag, name, details) VALUES ((SELECT id FROM attributes WHERE tag = 'att_fluid' LIMIT 1),  'att_fluid:feces',  'Feces',  'Poop'); </v>
      </c>
    </row>
    <row r="205" spans="1:15" x14ac:dyDescent="0.15">
      <c r="A205" s="12" t="b">
        <f>FALSE()</f>
        <v>0</v>
      </c>
      <c r="B205" s="12"/>
      <c r="C205" s="6" t="s">
        <v>1142</v>
      </c>
      <c r="D205" s="6" t="s">
        <v>1143</v>
      </c>
      <c r="E205" s="6" t="s">
        <v>15</v>
      </c>
      <c r="F205" s="6" t="s">
        <v>2520</v>
      </c>
      <c r="G205" s="6" t="s">
        <v>2521</v>
      </c>
      <c r="H205" s="6" t="str">
        <f t="shared" si="12"/>
        <v>att_fluid</v>
      </c>
      <c r="I205" s="6" t="s">
        <v>1142</v>
      </c>
      <c r="J205" s="6" t="str">
        <f t="shared" si="13"/>
        <v>att_fluid:interstitial</v>
      </c>
      <c r="K205" s="11" t="s">
        <v>19</v>
      </c>
      <c r="L205" s="6" t="s">
        <v>1144</v>
      </c>
      <c r="M205" s="6" t="s">
        <v>15</v>
      </c>
      <c r="N205" s="6" t="str">
        <f t="shared" si="14"/>
        <v>INSERT INTO attributes (parent_id, tag, name, priority, allow_as_filter, allow_for_dataset, allow_for_measurement, allow_for_users, allow_for_qc) VALUES (NULL, 'att_fluid',  'Fluid',  500,  TRUE, TRUE, TRUE, FALSE, FALSE);</v>
      </c>
      <c r="O205" s="6" t="str">
        <f t="shared" si="15"/>
        <v xml:space="preserve">INSERT INTO attribute_values (attribute_id, tag, name, details) VALUES ((SELECT id FROM attributes WHERE tag = 'att_fluid' LIMIT 1),  'att_fluid:interstitial',  'Interstitial',  'Interstitial fluid'); </v>
      </c>
    </row>
    <row r="206" spans="1:15" x14ac:dyDescent="0.15">
      <c r="A206" s="12" t="b">
        <f>FALSE()</f>
        <v>0</v>
      </c>
      <c r="B206" s="12"/>
      <c r="C206" s="6" t="s">
        <v>1145</v>
      </c>
      <c r="D206" s="6" t="s">
        <v>1146</v>
      </c>
      <c r="E206" s="6" t="s">
        <v>15</v>
      </c>
      <c r="F206" s="6" t="s">
        <v>2520</v>
      </c>
      <c r="G206" s="6" t="s">
        <v>2521</v>
      </c>
      <c r="H206" s="6" t="str">
        <f t="shared" si="12"/>
        <v>att_fluid</v>
      </c>
      <c r="I206" s="6" t="s">
        <v>1145</v>
      </c>
      <c r="J206" s="6" t="str">
        <f t="shared" si="13"/>
        <v>att_fluid:lymph</v>
      </c>
      <c r="K206" s="11" t="s">
        <v>19</v>
      </c>
      <c r="L206" s="6" t="s">
        <v>1147</v>
      </c>
      <c r="M206" s="6" t="s">
        <v>15</v>
      </c>
      <c r="N206" s="6" t="str">
        <f t="shared" si="14"/>
        <v>INSERT INTO attributes (parent_id, tag, name, priority, allow_as_filter, allow_for_dataset, allow_for_measurement, allow_for_users, allow_for_qc) VALUES (NULL, 'att_fluid',  'Fluid',  500,  TRUE, TRUE, TRUE, FALSE, FALSE);</v>
      </c>
      <c r="O206" s="6" t="str">
        <f t="shared" si="15"/>
        <v xml:space="preserve">INSERT INTO attribute_values (attribute_id, tag, name, details) VALUES ((SELECT id FROM attributes WHERE tag = 'att_fluid' LIMIT 1),  'att_fluid:lymph',  'Lymph',  'Lymph; fluid that flows through the lymphatic system'); </v>
      </c>
    </row>
    <row r="207" spans="1:15" x14ac:dyDescent="0.15">
      <c r="A207" s="12" t="b">
        <f>FALSE()</f>
        <v>0</v>
      </c>
      <c r="B207" s="12"/>
      <c r="C207" s="6" t="s">
        <v>1148</v>
      </c>
      <c r="D207" s="6" t="s">
        <v>1149</v>
      </c>
      <c r="E207" s="6" t="s">
        <v>15</v>
      </c>
      <c r="F207" s="6" t="s">
        <v>2520</v>
      </c>
      <c r="G207" s="6" t="s">
        <v>2521</v>
      </c>
      <c r="H207" s="6" t="str">
        <f t="shared" si="12"/>
        <v>att_fluid</v>
      </c>
      <c r="I207" s="6" t="s">
        <v>1148</v>
      </c>
      <c r="J207" s="6" t="str">
        <f t="shared" si="13"/>
        <v>att_fluid:peritoneal</v>
      </c>
      <c r="K207" s="11" t="s">
        <v>19</v>
      </c>
      <c r="L207" s="6" t="s">
        <v>1150</v>
      </c>
      <c r="M207" s="6" t="s">
        <v>15</v>
      </c>
      <c r="N207" s="6" t="str">
        <f t="shared" si="14"/>
        <v>INSERT INTO attributes (parent_id, tag, name, priority, allow_as_filter, allow_for_dataset, allow_for_measurement, allow_for_users, allow_for_qc) VALUES (NULL, 'att_fluid',  'Fluid',  500,  TRUE, TRUE, TRUE, FALSE, FALSE);</v>
      </c>
      <c r="O207" s="6" t="str">
        <f t="shared" si="15"/>
        <v xml:space="preserve">INSERT INTO attribute_values (attribute_id, tag, name, details) VALUES ((SELECT id FROM attributes WHERE tag = 'att_fluid' LIMIT 1),  'att_fluid:peritoneal',  'Peritoneal',  'Peritoneal fluid'); </v>
      </c>
    </row>
    <row r="208" spans="1:15" x14ac:dyDescent="0.15">
      <c r="A208" s="12" t="b">
        <f>FALSE()</f>
        <v>0</v>
      </c>
      <c r="B208" s="12"/>
      <c r="C208" s="6" t="s">
        <v>1151</v>
      </c>
      <c r="D208" s="6" t="s">
        <v>1152</v>
      </c>
      <c r="E208" s="6" t="s">
        <v>15</v>
      </c>
      <c r="F208" s="6" t="s">
        <v>2520</v>
      </c>
      <c r="G208" s="6" t="s">
        <v>2521</v>
      </c>
      <c r="H208" s="6" t="str">
        <f t="shared" si="12"/>
        <v>att_fluid</v>
      </c>
      <c r="I208" s="6" t="s">
        <v>1151</v>
      </c>
      <c r="J208" s="6" t="str">
        <f t="shared" si="13"/>
        <v>att_fluid:plasma</v>
      </c>
      <c r="K208" s="11" t="s">
        <v>19</v>
      </c>
      <c r="L208" s="6" t="s">
        <v>1153</v>
      </c>
      <c r="M208" s="6" t="s">
        <v>15</v>
      </c>
      <c r="N208" s="6" t="str">
        <f t="shared" si="14"/>
        <v>INSERT INTO attributes (parent_id, tag, name, priority, allow_as_filter, allow_for_dataset, allow_for_measurement, allow_for_users, allow_for_qc) VALUES (NULL, 'att_fluid',  'Fluid',  500,  TRUE, TRUE, TRUE, FALSE, FALSE);</v>
      </c>
      <c r="O208" s="6" t="str">
        <f t="shared" si="15"/>
        <v xml:space="preserve">INSERT INTO attribute_values (attribute_id, tag, name, details) VALUES ((SELECT id FROM attributes WHERE tag = 'att_fluid' LIMIT 1),  'att_fluid:plasma',  'Plasma',  'Blood Plasma'); </v>
      </c>
    </row>
    <row r="209" spans="1:15" x14ac:dyDescent="0.15">
      <c r="A209" s="12" t="b">
        <f>FALSE()</f>
        <v>0</v>
      </c>
      <c r="B209" s="12"/>
      <c r="C209" s="6" t="s">
        <v>1154</v>
      </c>
      <c r="D209" s="6" t="s">
        <v>1155</v>
      </c>
      <c r="E209" s="6" t="s">
        <v>15</v>
      </c>
      <c r="F209" s="6" t="s">
        <v>2520</v>
      </c>
      <c r="G209" s="6" t="s">
        <v>2521</v>
      </c>
      <c r="H209" s="6" t="str">
        <f t="shared" si="12"/>
        <v>att_fluid</v>
      </c>
      <c r="I209" s="6" t="s">
        <v>1154</v>
      </c>
      <c r="J209" s="6" t="str">
        <f t="shared" si="13"/>
        <v>att_fluid:pleural</v>
      </c>
      <c r="K209" s="11" t="s">
        <v>19</v>
      </c>
      <c r="L209" s="6" t="s">
        <v>1156</v>
      </c>
      <c r="M209" s="6" t="s">
        <v>15</v>
      </c>
      <c r="N209" s="6" t="str">
        <f t="shared" si="14"/>
        <v>INSERT INTO attributes (parent_id, tag, name, priority, allow_as_filter, allow_for_dataset, allow_for_measurement, allow_for_users, allow_for_qc) VALUES (NULL, 'att_fluid',  'Fluid',  500,  TRUE, TRUE, TRUE, FALSE, FALSE);</v>
      </c>
      <c r="O209" s="6" t="str">
        <f t="shared" si="15"/>
        <v xml:space="preserve">INSERT INTO attribute_values (attribute_id, tag, name, details) VALUES ((SELECT id FROM attributes WHERE tag = 'att_fluid' LIMIT 1),  'att_fluid:pleural',  'Pleural',  'Pleural fluid'); </v>
      </c>
    </row>
    <row r="210" spans="1:15" x14ac:dyDescent="0.15">
      <c r="A210" s="12" t="b">
        <f>FALSE()</f>
        <v>0</v>
      </c>
      <c r="B210" s="12"/>
      <c r="C210" s="6" t="s">
        <v>1157</v>
      </c>
      <c r="D210" s="6" t="s">
        <v>1158</v>
      </c>
      <c r="E210" s="6" t="s">
        <v>15</v>
      </c>
      <c r="F210" s="6" t="s">
        <v>2520</v>
      </c>
      <c r="G210" s="6" t="s">
        <v>2521</v>
      </c>
      <c r="H210" s="6" t="str">
        <f t="shared" si="12"/>
        <v>att_fluid</v>
      </c>
      <c r="I210" s="6" t="s">
        <v>1157</v>
      </c>
      <c r="J210" s="6" t="str">
        <f t="shared" si="13"/>
        <v>att_fluid:saliva</v>
      </c>
      <c r="K210" s="11" t="s">
        <v>19</v>
      </c>
      <c r="L210" s="6" t="s">
        <v>1159</v>
      </c>
      <c r="M210" s="6" t="s">
        <v>15</v>
      </c>
      <c r="N210" s="6" t="str">
        <f t="shared" si="14"/>
        <v>INSERT INTO attributes (parent_id, tag, name, priority, allow_as_filter, allow_for_dataset, allow_for_measurement, allow_for_users, allow_for_qc) VALUES (NULL, 'att_fluid',  'Fluid',  500,  TRUE, TRUE, TRUE, FALSE, FALSE);</v>
      </c>
      <c r="O210" s="6" t="str">
        <f t="shared" si="15"/>
        <v xml:space="preserve">INSERT INTO attribute_values (attribute_id, tag, name, details) VALUES ((SELECT id FROM attributes WHERE tag = 'att_fluid' LIMIT 1),  'att_fluid:saliva',  'Saliva',  'Spit'); </v>
      </c>
    </row>
    <row r="211" spans="1:15" x14ac:dyDescent="0.15">
      <c r="A211" s="12" t="b">
        <f>FALSE()</f>
        <v>0</v>
      </c>
      <c r="B211" s="12"/>
      <c r="C211" s="6" t="s">
        <v>1160</v>
      </c>
      <c r="D211" s="6" t="s">
        <v>1161</v>
      </c>
      <c r="E211" s="6" t="s">
        <v>15</v>
      </c>
      <c r="F211" s="6" t="s">
        <v>2520</v>
      </c>
      <c r="G211" s="6" t="s">
        <v>2521</v>
      </c>
      <c r="H211" s="6" t="str">
        <f t="shared" si="12"/>
        <v>att_fluid</v>
      </c>
      <c r="I211" s="6" t="s">
        <v>1160</v>
      </c>
      <c r="J211" s="6" t="str">
        <f t="shared" si="13"/>
        <v>att_fluid:seminal</v>
      </c>
      <c r="K211" s="11" t="s">
        <v>19</v>
      </c>
      <c r="L211" s="6" t="s">
        <v>1162</v>
      </c>
      <c r="M211" s="6" t="s">
        <v>15</v>
      </c>
      <c r="N211" s="6" t="str">
        <f t="shared" si="14"/>
        <v>INSERT INTO attributes (parent_id, tag, name, priority, allow_as_filter, allow_for_dataset, allow_for_measurement, allow_for_users, allow_for_qc) VALUES (NULL, 'att_fluid',  'Fluid',  500,  TRUE, TRUE, TRUE, FALSE, FALSE);</v>
      </c>
      <c r="O211" s="6" t="str">
        <f t="shared" si="15"/>
        <v xml:space="preserve">INSERT INTO attribute_values (attribute_id, tag, name, details) VALUES ((SELECT id FROM attributes WHERE tag = 'att_fluid' LIMIT 1),  'att_fluid:seminal',  'Seminal',  'Semen; Seminal fluid'); </v>
      </c>
    </row>
    <row r="212" spans="1:15" x14ac:dyDescent="0.15">
      <c r="A212" s="12" t="b">
        <f>FALSE()</f>
        <v>0</v>
      </c>
      <c r="B212" s="12"/>
      <c r="C212" s="6" t="s">
        <v>1163</v>
      </c>
      <c r="D212" s="6" t="s">
        <v>1164</v>
      </c>
      <c r="E212" s="6" t="s">
        <v>15</v>
      </c>
      <c r="F212" s="6" t="s">
        <v>2520</v>
      </c>
      <c r="G212" s="6" t="s">
        <v>2521</v>
      </c>
      <c r="H212" s="6" t="str">
        <f t="shared" si="12"/>
        <v>att_fluid</v>
      </c>
      <c r="I212" s="6" t="s">
        <v>1163</v>
      </c>
      <c r="J212" s="6" t="str">
        <f t="shared" si="13"/>
        <v>att_fluid:serum</v>
      </c>
      <c r="K212" s="11" t="s">
        <v>19</v>
      </c>
      <c r="L212" s="6" t="s">
        <v>1165</v>
      </c>
      <c r="M212" s="6" t="s">
        <v>15</v>
      </c>
      <c r="N212" s="6" t="str">
        <f t="shared" si="14"/>
        <v>INSERT INTO attributes (parent_id, tag, name, priority, allow_as_filter, allow_for_dataset, allow_for_measurement, allow_for_users, allow_for_qc) VALUES (NULL, 'att_fluid',  'Fluid',  500,  TRUE, TRUE, TRUE, FALSE, FALSE);</v>
      </c>
      <c r="O212" s="6" t="str">
        <f t="shared" si="15"/>
        <v xml:space="preserve">INSERT INTO attribute_values (attribute_id, tag, name, details) VALUES ((SELECT id FROM attributes WHERE tag = 'att_fluid' LIMIT 1),  'att_fluid:serum',  'Serum',  'Blood Serum'); </v>
      </c>
    </row>
    <row r="213" spans="1:15" x14ac:dyDescent="0.15">
      <c r="A213" s="12" t="b">
        <f>FALSE()</f>
        <v>0</v>
      </c>
      <c r="B213" s="12"/>
      <c r="C213" s="6" t="s">
        <v>1166</v>
      </c>
      <c r="D213" s="6" t="s">
        <v>1167</v>
      </c>
      <c r="E213" s="6" t="s">
        <v>15</v>
      </c>
      <c r="F213" s="6" t="s">
        <v>2520</v>
      </c>
      <c r="G213" s="6" t="s">
        <v>2521</v>
      </c>
      <c r="H213" s="6" t="str">
        <f t="shared" si="12"/>
        <v>att_fluid</v>
      </c>
      <c r="I213" s="6" t="s">
        <v>1166</v>
      </c>
      <c r="J213" s="6" t="str">
        <f t="shared" si="13"/>
        <v>att_fluid:urine</v>
      </c>
      <c r="K213" s="11" t="s">
        <v>19</v>
      </c>
      <c r="L213" s="6" t="s">
        <v>1168</v>
      </c>
      <c r="M213" s="6" t="s">
        <v>15</v>
      </c>
      <c r="N213" s="6" t="str">
        <f t="shared" si="14"/>
        <v>INSERT INTO attributes (parent_id, tag, name, priority, allow_as_filter, allow_for_dataset, allow_for_measurement, allow_for_users, allow_for_qc) VALUES (NULL, 'att_fluid',  'Fluid',  500,  TRUE, TRUE, TRUE, FALSE, FALSE);</v>
      </c>
      <c r="O213" s="6" t="str">
        <f t="shared" si="15"/>
        <v xml:space="preserve">INSERT INTO attribute_values (attribute_id, tag, name, details) VALUES ((SELECT id FROM attributes WHERE tag = 'att_fluid' LIMIT 1),  'att_fluid:urine',  'Urine',  'Pee'); </v>
      </c>
    </row>
    <row r="214" spans="1:15" x14ac:dyDescent="0.15">
      <c r="A214" s="12" t="b">
        <f>FALSE()</f>
        <v>0</v>
      </c>
      <c r="B214" s="12"/>
      <c r="C214" s="6" t="s">
        <v>1169</v>
      </c>
      <c r="D214" s="6" t="s">
        <v>1169</v>
      </c>
      <c r="E214" s="6" t="s">
        <v>15</v>
      </c>
      <c r="F214" s="6" t="s">
        <v>177</v>
      </c>
      <c r="G214" s="6" t="s">
        <v>2522</v>
      </c>
      <c r="H214" s="6" t="str">
        <f t="shared" si="12"/>
        <v>att_fraction</v>
      </c>
      <c r="I214" s="6" t="s">
        <v>1169</v>
      </c>
      <c r="J214" s="6" t="str">
        <f t="shared" si="13"/>
        <v>att_fraction:01k</v>
      </c>
      <c r="K214" s="11" t="s">
        <v>19</v>
      </c>
      <c r="L214" s="6" t="s">
        <v>2523</v>
      </c>
      <c r="M214" s="6" t="s">
        <v>1122</v>
      </c>
      <c r="N214" s="6" t="str">
        <f t="shared" si="14"/>
        <v>INSERT INTO attributes (parent_id, tag, name, priority, allow_as_filter, allow_for_dataset, allow_for_measurement, allow_for_users, allow_for_qc) VALUES (NULL, 'att_fraction',  'Spatial Fraction',  500,  TRUE, TRUE, TRUE, FALSE, FALSE);</v>
      </c>
      <c r="O214" s="6" t="str">
        <f t="shared" si="15"/>
        <v xml:space="preserve">INSERT INTO attribute_values (attribute_id, tag, name, details) VALUES ((SELECT id FROM attributes WHERE tag = 'att_fraction' LIMIT 1),  'att_fraction:01k',  '01k',  '01k Spatial Fraction'); </v>
      </c>
    </row>
    <row r="215" spans="1:15" x14ac:dyDescent="0.15">
      <c r="A215" s="12" t="b">
        <f>FALSE()</f>
        <v>0</v>
      </c>
      <c r="B215" s="12"/>
      <c r="C215" s="6" t="s">
        <v>1172</v>
      </c>
      <c r="D215" s="6" t="s">
        <v>1172</v>
      </c>
      <c r="E215" s="6" t="s">
        <v>15</v>
      </c>
      <c r="F215" s="6" t="s">
        <v>177</v>
      </c>
      <c r="G215" s="6" t="s">
        <v>2522</v>
      </c>
      <c r="H215" s="6" t="str">
        <f t="shared" si="12"/>
        <v>att_fraction</v>
      </c>
      <c r="I215" s="6" t="s">
        <v>1172</v>
      </c>
      <c r="J215" s="6" t="str">
        <f t="shared" si="13"/>
        <v>att_fraction:05k</v>
      </c>
      <c r="K215" s="11" t="s">
        <v>19</v>
      </c>
      <c r="L215" s="6" t="s">
        <v>2524</v>
      </c>
      <c r="M215" s="6" t="s">
        <v>1122</v>
      </c>
      <c r="N215" s="6" t="str">
        <f t="shared" si="14"/>
        <v>INSERT INTO attributes (parent_id, tag, name, priority, allow_as_filter, allow_for_dataset, allow_for_measurement, allow_for_users, allow_for_qc) VALUES (NULL, 'att_fraction',  'Spatial Fraction',  500,  TRUE, TRUE, TRUE, FALSE, FALSE);</v>
      </c>
      <c r="O215" s="6" t="str">
        <f t="shared" si="15"/>
        <v xml:space="preserve">INSERT INTO attribute_values (attribute_id, tag, name, details) VALUES ((SELECT id FROM attributes WHERE tag = 'att_fraction' LIMIT 1),  'att_fraction:05k',  '05k',  '05k Spatial Fraction'); </v>
      </c>
    </row>
    <row r="216" spans="1:15" x14ac:dyDescent="0.15">
      <c r="A216" s="12" t="b">
        <f>FALSE()</f>
        <v>0</v>
      </c>
      <c r="B216" s="12"/>
      <c r="C216" s="6" t="s">
        <v>1174</v>
      </c>
      <c r="D216" s="6" t="s">
        <v>1174</v>
      </c>
      <c r="E216" s="6" t="s">
        <v>15</v>
      </c>
      <c r="F216" s="6" t="s">
        <v>177</v>
      </c>
      <c r="G216" s="6" t="s">
        <v>2522</v>
      </c>
      <c r="H216" s="6" t="str">
        <f t="shared" si="12"/>
        <v>att_fraction</v>
      </c>
      <c r="I216" s="6" t="s">
        <v>1174</v>
      </c>
      <c r="J216" s="6" t="str">
        <f t="shared" si="13"/>
        <v>att_fraction:12k</v>
      </c>
      <c r="K216" s="11" t="s">
        <v>19</v>
      </c>
      <c r="L216" s="6" t="s">
        <v>2525</v>
      </c>
      <c r="M216" s="6" t="s">
        <v>1122</v>
      </c>
      <c r="N216" s="6" t="str">
        <f t="shared" si="14"/>
        <v>INSERT INTO attributes (parent_id, tag, name, priority, allow_as_filter, allow_for_dataset, allow_for_measurement, allow_for_users, allow_for_qc) VALUES (NULL, 'att_fraction',  'Spatial Fraction',  500,  TRUE, TRUE, TRUE, FALSE, FALSE);</v>
      </c>
      <c r="O216" s="6" t="str">
        <f t="shared" si="15"/>
        <v xml:space="preserve">INSERT INTO attribute_values (attribute_id, tag, name, details) VALUES ((SELECT id FROM attributes WHERE tag = 'att_fraction' LIMIT 1),  'att_fraction:12k',  '12k',  '12k Spatial Fraction'); </v>
      </c>
    </row>
    <row r="217" spans="1:15" x14ac:dyDescent="0.15">
      <c r="A217" s="12" t="b">
        <f>FALSE()</f>
        <v>0</v>
      </c>
      <c r="B217" s="12"/>
      <c r="C217" s="6" t="s">
        <v>1176</v>
      </c>
      <c r="D217" s="6" t="s">
        <v>1176</v>
      </c>
      <c r="E217" s="6" t="s">
        <v>15</v>
      </c>
      <c r="F217" s="6" t="s">
        <v>177</v>
      </c>
      <c r="G217" s="6" t="s">
        <v>2522</v>
      </c>
      <c r="H217" s="6" t="str">
        <f t="shared" si="12"/>
        <v>att_fraction</v>
      </c>
      <c r="I217" s="6" t="s">
        <v>1176</v>
      </c>
      <c r="J217" s="6" t="str">
        <f t="shared" si="13"/>
        <v>att_fraction:24k</v>
      </c>
      <c r="K217" s="11" t="s">
        <v>19</v>
      </c>
      <c r="L217" s="6" t="s">
        <v>2526</v>
      </c>
      <c r="M217" s="6" t="s">
        <v>1122</v>
      </c>
      <c r="N217" s="6" t="str">
        <f t="shared" si="14"/>
        <v>INSERT INTO attributes (parent_id, tag, name, priority, allow_as_filter, allow_for_dataset, allow_for_measurement, allow_for_users, allow_for_qc) VALUES (NULL, 'att_fraction',  'Spatial Fraction',  500,  TRUE, TRUE, TRUE, FALSE, FALSE);</v>
      </c>
      <c r="O217" s="6" t="str">
        <f t="shared" si="15"/>
        <v xml:space="preserve">INSERT INTO attribute_values (attribute_id, tag, name, details) VALUES ((SELECT id FROM attributes WHERE tag = 'att_fraction' LIMIT 1),  'att_fraction:24k',  '24k',  '24k Spatial Fraction'); </v>
      </c>
    </row>
    <row r="218" spans="1:15" x14ac:dyDescent="0.15">
      <c r="A218" s="12" t="b">
        <f>FALSE()</f>
        <v>0</v>
      </c>
      <c r="B218" s="12"/>
      <c r="C218" s="6" t="s">
        <v>1178</v>
      </c>
      <c r="D218" s="6" t="s">
        <v>1178</v>
      </c>
      <c r="E218" s="6" t="s">
        <v>15</v>
      </c>
      <c r="F218" s="6" t="s">
        <v>177</v>
      </c>
      <c r="G218" s="6" t="s">
        <v>2522</v>
      </c>
      <c r="H218" s="6" t="str">
        <f t="shared" si="12"/>
        <v>att_fraction</v>
      </c>
      <c r="I218" s="6" t="s">
        <v>1178</v>
      </c>
      <c r="J218" s="6" t="str">
        <f t="shared" si="13"/>
        <v>att_fraction:79k</v>
      </c>
      <c r="K218" s="11" t="s">
        <v>19</v>
      </c>
      <c r="L218" s="6" t="s">
        <v>2527</v>
      </c>
      <c r="M218" s="6" t="s">
        <v>1122</v>
      </c>
      <c r="N218" s="6" t="str">
        <f t="shared" si="14"/>
        <v>INSERT INTO attributes (parent_id, tag, name, priority, allow_as_filter, allow_for_dataset, allow_for_measurement, allow_for_users, allow_for_qc) VALUES (NULL, 'att_fraction',  'Spatial Fraction',  500,  TRUE, TRUE, TRUE, FALSE, FALSE);</v>
      </c>
      <c r="O218" s="6" t="str">
        <f t="shared" si="15"/>
        <v xml:space="preserve">INSERT INTO attribute_values (attribute_id, tag, name, details) VALUES ((SELECT id FROM attributes WHERE tag = 'att_fraction' LIMIT 1),  'att_fraction:79k',  '79k',  '79k Spatial Fraction'); </v>
      </c>
    </row>
    <row r="219" spans="1:15" x14ac:dyDescent="0.15">
      <c r="A219" s="12" t="b">
        <f>FALSE()</f>
        <v>0</v>
      </c>
      <c r="B219" s="12"/>
      <c r="C219" s="6" t="s">
        <v>1184</v>
      </c>
      <c r="D219" s="6" t="s">
        <v>1185</v>
      </c>
      <c r="E219" s="6" t="s">
        <v>15</v>
      </c>
      <c r="F219" s="6" t="s">
        <v>177</v>
      </c>
      <c r="G219" s="6" t="s">
        <v>2522</v>
      </c>
      <c r="H219" s="6" t="str">
        <f t="shared" si="12"/>
        <v>att_fraction</v>
      </c>
      <c r="I219" s="6" t="s">
        <v>1184</v>
      </c>
      <c r="J219" s="6" t="str">
        <f t="shared" si="13"/>
        <v>att_fraction:cytosolic</v>
      </c>
      <c r="K219" s="11" t="s">
        <v>19</v>
      </c>
      <c r="L219" s="6" t="s">
        <v>1186</v>
      </c>
      <c r="M219" s="6" t="s">
        <v>1122</v>
      </c>
      <c r="N219" s="6" t="str">
        <f t="shared" si="14"/>
        <v>INSERT INTO attributes (parent_id, tag, name, priority, allow_as_filter, allow_for_dataset, allow_for_measurement, allow_for_users, allow_for_qc) VALUES (NULL, 'att_fraction',  'Spatial Fraction',  500,  TRUE, TRUE, TRUE, FALSE, FALSE);</v>
      </c>
      <c r="O219" s="6" t="str">
        <f t="shared" si="15"/>
        <v xml:space="preserve">INSERT INTO attribute_values (attribute_id, tag, name, details) VALUES ((SELECT id FROM attributes WHERE tag = 'att_fraction' LIMIT 1),  'att_fraction:cytosolic',  'Cytosolic',  'Cytosolic Spatial Fraction'); </v>
      </c>
    </row>
    <row r="220" spans="1:15" x14ac:dyDescent="0.15">
      <c r="A220" s="12" t="b">
        <f>FALSE()</f>
        <v>0</v>
      </c>
      <c r="B220" s="12"/>
      <c r="C220" s="6" t="s">
        <v>1187</v>
      </c>
      <c r="D220" s="6" t="s">
        <v>1188</v>
      </c>
      <c r="E220" s="6" t="s">
        <v>15</v>
      </c>
      <c r="F220" s="6" t="s">
        <v>177</v>
      </c>
      <c r="G220" s="6" t="s">
        <v>2522</v>
      </c>
      <c r="H220" s="6" t="str">
        <f t="shared" si="12"/>
        <v>att_fraction</v>
      </c>
      <c r="I220" s="6" t="s">
        <v>1187</v>
      </c>
      <c r="J220" s="6" t="str">
        <f t="shared" si="13"/>
        <v>att_fraction:total</v>
      </c>
      <c r="K220" s="11" t="s">
        <v>19</v>
      </c>
      <c r="L220" s="6" t="s">
        <v>1189</v>
      </c>
      <c r="M220" s="6" t="s">
        <v>1122</v>
      </c>
      <c r="N220" s="6" t="str">
        <f t="shared" si="14"/>
        <v>INSERT INTO attributes (parent_id, tag, name, priority, allow_as_filter, allow_for_dataset, allow_for_measurement, allow_for_users, allow_for_qc) VALUES (NULL, 'att_fraction',  'Spatial Fraction',  500,  TRUE, TRUE, TRUE, FALSE, FALSE);</v>
      </c>
      <c r="O220" s="6" t="str">
        <f t="shared" si="15"/>
        <v xml:space="preserve">INSERT INTO attribute_values (attribute_id, tag, name, details) VALUES ((SELECT id FROM attributes WHERE tag = 'att_fraction' LIMIT 1),  'att_fraction:total',  'Total',  'Total Spatial Fraction'); </v>
      </c>
    </row>
    <row r="221" spans="1:15" x14ac:dyDescent="0.15">
      <c r="A221" s="12" t="b">
        <f>FALSE()</f>
        <v>0</v>
      </c>
      <c r="B221" s="12"/>
      <c r="C221" s="6" t="s">
        <v>2528</v>
      </c>
      <c r="D221" s="6" t="s">
        <v>1182</v>
      </c>
      <c r="E221" s="6" t="s">
        <v>15</v>
      </c>
      <c r="F221" s="6" t="s">
        <v>177</v>
      </c>
      <c r="G221" s="6" t="s">
        <v>2522</v>
      </c>
      <c r="H221" s="6" t="str">
        <f t="shared" si="12"/>
        <v>att_fraction</v>
      </c>
      <c r="I221" s="6" t="s">
        <v>1180</v>
      </c>
      <c r="J221" s="6" t="str">
        <f t="shared" si="13"/>
        <v>att_fraction:crude_mito</v>
      </c>
      <c r="K221" s="11" t="s">
        <v>19</v>
      </c>
      <c r="L221" s="6" t="s">
        <v>1183</v>
      </c>
      <c r="M221" s="6" t="s">
        <v>1122</v>
      </c>
      <c r="N221" s="6" t="str">
        <f t="shared" si="14"/>
        <v>INSERT INTO attributes (parent_id, tag, name, priority, allow_as_filter, allow_for_dataset, allow_for_measurement, allow_for_users, allow_for_qc) VALUES (NULL, 'att_fraction',  'Spatial Fraction',  500,  TRUE, TRUE, TRUE, FALSE, FALSE);</v>
      </c>
      <c r="O221" s="6" t="str">
        <f t="shared" si="15"/>
        <v xml:space="preserve">INSERT INTO attribute_values (attribute_id, tag, name, details) VALUES ((SELECT id FROM attributes WHERE tag = 'att_fraction' LIMIT 1),  'att_fraction:crude_mito',  'Crude Mito',  'Crude mitochondrial fraction'); </v>
      </c>
    </row>
    <row r="222" spans="1:15" x14ac:dyDescent="0.15">
      <c r="A222" s="12"/>
      <c r="B222" s="12"/>
      <c r="K222" s="11"/>
    </row>
    <row r="223" spans="1:15" x14ac:dyDescent="0.15">
      <c r="A223" s="12"/>
      <c r="B223" s="12"/>
      <c r="C223" s="6" t="s">
        <v>2529</v>
      </c>
      <c r="D223" s="6" t="s">
        <v>2040</v>
      </c>
      <c r="F223" s="6" t="s">
        <v>154</v>
      </c>
      <c r="G223" s="6" t="s">
        <v>2530</v>
      </c>
      <c r="H223" s="6" t="str">
        <f>"att_"&amp;G223</f>
        <v>att_offline_fractionation</v>
      </c>
      <c r="I223" s="6" t="s">
        <v>2039</v>
      </c>
      <c r="J223" s="6" t="str">
        <f>H223&amp;":"&amp;I223</f>
        <v>att_offline_fractionation:sdspage</v>
      </c>
      <c r="K223" s="11"/>
      <c r="L223" s="6" t="s">
        <v>2041</v>
      </c>
    </row>
    <row r="224" spans="1:15" x14ac:dyDescent="0.15">
      <c r="A224" s="12"/>
      <c r="B224" s="12"/>
      <c r="C224" s="6" t="s">
        <v>2529</v>
      </c>
      <c r="D224" s="6" t="s">
        <v>2028</v>
      </c>
      <c r="F224" s="6" t="s">
        <v>154</v>
      </c>
      <c r="G224" s="6" t="s">
        <v>2530</v>
      </c>
      <c r="H224" s="6" t="str">
        <f>"att_"&amp;G224</f>
        <v>att_offline_fractionation</v>
      </c>
      <c r="I224" s="6" t="s">
        <v>2027</v>
      </c>
      <c r="J224" s="6" t="str">
        <f>H224&amp;":"&amp;I224</f>
        <v>att_offline_fractionation:highph_hplc</v>
      </c>
      <c r="K224" s="11"/>
      <c r="L224" s="6" t="s">
        <v>2029</v>
      </c>
    </row>
    <row r="225" spans="1:15" x14ac:dyDescent="0.15">
      <c r="A225" s="12"/>
      <c r="B225" s="12"/>
      <c r="C225" s="6" t="s">
        <v>2529</v>
      </c>
      <c r="D225" s="6" t="s">
        <v>2031</v>
      </c>
      <c r="F225" s="6" t="s">
        <v>154</v>
      </c>
      <c r="G225" s="6" t="s">
        <v>2530</v>
      </c>
      <c r="H225" s="6" t="str">
        <f>"att_"&amp;G225</f>
        <v>att_offline_fractionation</v>
      </c>
      <c r="I225" s="6" t="s">
        <v>2030</v>
      </c>
      <c r="J225" s="6" t="str">
        <f>H225&amp;":"&amp;I225</f>
        <v>att_offline_fractionation:highph_tip</v>
      </c>
      <c r="K225" s="11"/>
      <c r="L225" s="6" t="s">
        <v>2032</v>
      </c>
    </row>
    <row r="226" spans="1:15" x14ac:dyDescent="0.15">
      <c r="A226" s="12"/>
      <c r="B226" s="12"/>
      <c r="C226" s="6" t="s">
        <v>2529</v>
      </c>
      <c r="D226" s="6" t="s">
        <v>2037</v>
      </c>
      <c r="F226" s="6" t="s">
        <v>154</v>
      </c>
      <c r="G226" s="6" t="s">
        <v>2530</v>
      </c>
      <c r="H226" s="6" t="str">
        <f>"att_"&amp;G226</f>
        <v>att_offline_fractionation</v>
      </c>
      <c r="I226" s="6" t="s">
        <v>2036</v>
      </c>
      <c r="J226" s="6" t="str">
        <f>H226&amp;":"&amp;I226</f>
        <v>att_offline_fractionation:scx</v>
      </c>
      <c r="K226" s="11"/>
      <c r="L226" s="6" t="s">
        <v>2038</v>
      </c>
    </row>
    <row r="227" spans="1:15" x14ac:dyDescent="0.15">
      <c r="A227" s="12"/>
      <c r="B227" s="12"/>
      <c r="C227" s="6" t="s">
        <v>2529</v>
      </c>
      <c r="D227" s="6" t="s">
        <v>2034</v>
      </c>
      <c r="F227" s="6" t="s">
        <v>154</v>
      </c>
      <c r="G227" s="6" t="s">
        <v>2530</v>
      </c>
      <c r="H227" s="6" t="str">
        <f>"att_"&amp;G227</f>
        <v>att_offline_fractionation</v>
      </c>
      <c r="I227" s="6" t="s">
        <v>2033</v>
      </c>
      <c r="J227" s="6" t="str">
        <f>H227&amp;":"&amp;I227</f>
        <v>att_offline_fractionation:sax</v>
      </c>
      <c r="K227" s="11"/>
      <c r="L227" s="6" t="s">
        <v>2035</v>
      </c>
    </row>
    <row r="228" spans="1:15" x14ac:dyDescent="0.15">
      <c r="A228" s="12"/>
      <c r="B228" s="12"/>
      <c r="K228" s="11"/>
    </row>
    <row r="229" spans="1:15" x14ac:dyDescent="0.15">
      <c r="A229" s="12"/>
      <c r="B229" s="12"/>
      <c r="K229" s="11"/>
    </row>
    <row r="230" spans="1:15" x14ac:dyDescent="0.15">
      <c r="A230" s="12" t="b">
        <f>TRUE()</f>
        <v>1</v>
      </c>
      <c r="C230" s="6" t="s">
        <v>1817</v>
      </c>
      <c r="D230" s="6" t="s">
        <v>1818</v>
      </c>
      <c r="E230" s="6" t="s">
        <v>15</v>
      </c>
      <c r="F230" s="6" t="s">
        <v>2531</v>
      </c>
      <c r="G230" s="6" t="s">
        <v>2532</v>
      </c>
      <c r="H230" s="6" t="str">
        <f t="shared" ref="H230:H248" si="16">"att_"&amp;G230</f>
        <v>att_instrument</v>
      </c>
      <c r="I230" s="6" t="s">
        <v>1817</v>
      </c>
      <c r="J230" s="6" t="str">
        <f t="shared" ref="J230:J248" si="17">H230&amp;":"&amp;I230</f>
        <v>att_instrument:e1</v>
      </c>
      <c r="K230" s="11" t="s">
        <v>19</v>
      </c>
      <c r="L230" s="6" t="s">
        <v>1819</v>
      </c>
      <c r="M230" s="6" t="s">
        <v>15</v>
      </c>
      <c r="N230" s="6" t="str">
        <f t="shared" ref="N230:N248" si="18">"INSERT INTO attributes (parent_id, tag, name, priority, allow_as_filter, allow_for_dataset, allow_for_measurement, allow_for_users, allow_for_qc) VALUES (NULL, '"&amp;H230&amp;"',  '"&amp;F230&amp;"',  500,  TRUE, TRUE, TRUE, FALSE, FALSE);"</f>
        <v>INSERT INTO attributes (parent_id, tag, name, priority, allow_as_filter, allow_for_dataset, allow_for_measurement, allow_for_users, allow_for_qc) VALUES (NULL, 'att_instrument',  'MS Instrument',  500,  TRUE, TRUE, TRUE, FALSE, FALSE);</v>
      </c>
      <c r="O230" s="6" t="str">
        <f t="shared" ref="O230:O248" si="19">"INSERT INTO attribute_values (attribute_id, tag, name, details) VALUES ((SELECT id FROM attributes WHERE tag = '"&amp;H230&amp;"' LIMIT 1),  '"&amp;J230&amp;"',  '"&amp;D230&amp;"',  '"&amp;L230&amp;"'); "</f>
        <v xml:space="preserve">INSERT INTO attribute_values (attribute_id, tag, name, details) VALUES ((SELECT id FROM attributes WHERE tag = 'att_instrument' LIMIT 1),  'att_instrument:e1',  'Doris (E1)',  'Doris'); </v>
      </c>
    </row>
    <row r="231" spans="1:15" x14ac:dyDescent="0.15">
      <c r="A231" s="12" t="b">
        <f>TRUE()</f>
        <v>1</v>
      </c>
      <c r="C231" s="6" t="s">
        <v>1820</v>
      </c>
      <c r="D231" s="6" t="s">
        <v>1821</v>
      </c>
      <c r="E231" s="6" t="s">
        <v>15</v>
      </c>
      <c r="F231" s="6" t="s">
        <v>2531</v>
      </c>
      <c r="G231" s="6" t="s">
        <v>2532</v>
      </c>
      <c r="H231" s="6" t="str">
        <f t="shared" si="16"/>
        <v>att_instrument</v>
      </c>
      <c r="I231" s="6" t="s">
        <v>1820</v>
      </c>
      <c r="J231" s="6" t="str">
        <f t="shared" si="17"/>
        <v>att_instrument:e2</v>
      </c>
      <c r="K231" s="11" t="s">
        <v>19</v>
      </c>
      <c r="L231" s="6" t="s">
        <v>1822</v>
      </c>
      <c r="M231" s="6" t="s">
        <v>15</v>
      </c>
      <c r="N231" s="6" t="str">
        <f t="shared" si="18"/>
        <v>INSERT INTO attributes (parent_id, tag, name, priority, allow_as_filter, allow_for_dataset, allow_for_measurement, allow_for_users, allow_for_qc) VALUES (NULL, 'att_instrument',  'MS Instrument',  500,  TRUE, TRUE, TRUE, FALSE, FALSE);</v>
      </c>
      <c r="O231" s="6" t="str">
        <f t="shared" si="19"/>
        <v xml:space="preserve">INSERT INTO attribute_values (attribute_id, tag, name, details) VALUES ((SELECT id FROM attributes WHERE tag = 'att_instrument' LIMIT 1),  'att_instrument:e2',  'Boris (E2)',  'Boris'); </v>
      </c>
    </row>
    <row r="232" spans="1:15" x14ac:dyDescent="0.15">
      <c r="A232" s="12" t="b">
        <f>TRUE()</f>
        <v>1</v>
      </c>
      <c r="C232" s="6" t="s">
        <v>1825</v>
      </c>
      <c r="D232" s="6" t="s">
        <v>1826</v>
      </c>
      <c r="E232" s="6" t="s">
        <v>15</v>
      </c>
      <c r="F232" s="6" t="s">
        <v>2531</v>
      </c>
      <c r="G232" s="6" t="s">
        <v>2532</v>
      </c>
      <c r="H232" s="6" t="str">
        <f t="shared" si="16"/>
        <v>att_instrument</v>
      </c>
      <c r="I232" s="6" t="s">
        <v>1825</v>
      </c>
      <c r="J232" s="6" t="str">
        <f t="shared" si="17"/>
        <v>att_instrument:ignarius</v>
      </c>
      <c r="K232" s="11" t="s">
        <v>19</v>
      </c>
      <c r="L232" s="6" t="s">
        <v>1827</v>
      </c>
      <c r="M232" s="6" t="s">
        <v>15</v>
      </c>
      <c r="N232" s="6" t="str">
        <f t="shared" si="18"/>
        <v>INSERT INTO attributes (parent_id, tag, name, priority, allow_as_filter, allow_for_dataset, allow_for_measurement, allow_for_users, allow_for_qc) VALUES (NULL, 'att_instrument',  'MS Instrument',  500,  TRUE, TRUE, TRUE, FALSE, FALSE);</v>
      </c>
      <c r="O232" s="6" t="str">
        <f t="shared" si="19"/>
        <v xml:space="preserve">INSERT INTO attribute_values (attribute_id, tag, name, details) VALUES ((SELECT id FROM attributes WHERE tag = 'att_instrument' LIMIT 1),  'att_instrument:ignarius',  'not known (yet)',  'unkown instrument / not known yet'); </v>
      </c>
    </row>
    <row r="233" spans="1:15" x14ac:dyDescent="0.15">
      <c r="A233" s="12" t="b">
        <f>TRUE()</f>
        <v>1</v>
      </c>
      <c r="C233" s="6" t="s">
        <v>2533</v>
      </c>
      <c r="D233" s="6" t="s">
        <v>1829</v>
      </c>
      <c r="E233" s="6" t="s">
        <v>15</v>
      </c>
      <c r="F233" s="6" t="s">
        <v>2531</v>
      </c>
      <c r="G233" s="6" t="s">
        <v>2532</v>
      </c>
      <c r="H233" s="6" t="str">
        <f t="shared" si="16"/>
        <v>att_instrument</v>
      </c>
      <c r="I233" s="6" t="s">
        <v>2534</v>
      </c>
      <c r="J233" s="6" t="str">
        <f t="shared" si="17"/>
        <v>att_instrument:t</v>
      </c>
      <c r="K233" s="11" t="s">
        <v>19</v>
      </c>
      <c r="L233" s="6" t="s">
        <v>1830</v>
      </c>
      <c r="M233" s="6" t="s">
        <v>15</v>
      </c>
      <c r="N233" s="6" t="str">
        <f t="shared" si="18"/>
        <v>INSERT INTO attributes (parent_id, tag, name, priority, allow_as_filter, allow_for_dataset, allow_for_measurement, allow_for_users, allow_for_qc) VALUES (NULL, 'att_instrument',  'MS Instrument',  500,  TRUE, TRUE, TRUE, FALSE, FALSE);</v>
      </c>
      <c r="O233" s="6" t="str">
        <f t="shared" si="19"/>
        <v xml:space="preserve">INSERT INTO attribute_values (attribute_id, tag, name, details) VALUES ((SELECT id FROM attributes WHERE tag = 'att_instrument' LIMIT 1),  'att_instrument:t',  'TimsTOF (KrisTof)',  'TimsTOF'); </v>
      </c>
    </row>
    <row r="234" spans="1:15" s="14" customFormat="1" x14ac:dyDescent="0.15">
      <c r="A234" s="13" t="b">
        <f>FALSE()</f>
        <v>0</v>
      </c>
      <c r="B234" s="13"/>
      <c r="C234" s="14" t="s">
        <v>2535</v>
      </c>
      <c r="D234" s="14" t="s">
        <v>2536</v>
      </c>
      <c r="E234" s="14" t="s">
        <v>15</v>
      </c>
      <c r="F234" s="14" t="s">
        <v>2537</v>
      </c>
      <c r="G234" s="14" t="s">
        <v>2538</v>
      </c>
      <c r="H234" s="14" t="str">
        <f t="shared" si="16"/>
        <v>att_knockout</v>
      </c>
      <c r="I234" s="14" t="s">
        <v>2535</v>
      </c>
      <c r="J234" s="14" t="str">
        <f t="shared" si="17"/>
        <v>att_knockout:casp1_dko</v>
      </c>
      <c r="K234" s="15" t="s">
        <v>19</v>
      </c>
      <c r="L234" s="14" t="s">
        <v>2539</v>
      </c>
      <c r="M234" s="14" t="s">
        <v>15</v>
      </c>
      <c r="N234" s="14" t="str">
        <f t="shared" si="18"/>
        <v>INSERT INTO attributes (parent_id, tag, name, priority, allow_as_filter, allow_for_dataset, allow_for_measurement, allow_for_users, allow_for_qc) VALUES (NULL, 'att_knockout',  'Gene Knockout',  500,  TRUE, TRUE, TRUE, FALSE, FALSE);</v>
      </c>
      <c r="O234" s="14" t="str">
        <f t="shared" si="19"/>
        <v xml:space="preserve">INSERT INTO attribute_values (attribute_id, tag, name, details) VALUES ((SELECT id FROM attributes WHERE tag = 'att_knockout' LIMIT 1),  'att_knockout:casp1_dko',  'Casp1 dKO',  'Casp1 −/−'); </v>
      </c>
    </row>
    <row r="235" spans="1:15" s="14" customFormat="1" x14ac:dyDescent="0.15">
      <c r="A235" s="13" t="b">
        <f>FALSE()</f>
        <v>0</v>
      </c>
      <c r="B235" s="13"/>
      <c r="C235" s="14" t="s">
        <v>2540</v>
      </c>
      <c r="D235" s="14" t="s">
        <v>2541</v>
      </c>
      <c r="E235" s="14" t="s">
        <v>15</v>
      </c>
      <c r="F235" s="14" t="s">
        <v>2537</v>
      </c>
      <c r="G235" s="14" t="s">
        <v>2538</v>
      </c>
      <c r="H235" s="14" t="str">
        <f t="shared" si="16"/>
        <v>att_knockout</v>
      </c>
      <c r="I235" s="14" t="s">
        <v>2540</v>
      </c>
      <c r="J235" s="14" t="str">
        <f t="shared" si="17"/>
        <v>att_knockout:casp11_dko</v>
      </c>
      <c r="K235" s="15" t="s">
        <v>19</v>
      </c>
      <c r="L235" s="14" t="s">
        <v>2542</v>
      </c>
      <c r="M235" s="14" t="s">
        <v>15</v>
      </c>
      <c r="N235" s="14" t="str">
        <f t="shared" si="18"/>
        <v>INSERT INTO attributes (parent_id, tag, name, priority, allow_as_filter, allow_for_dataset, allow_for_measurement, allow_for_users, allow_for_qc) VALUES (NULL, 'att_knockout',  'Gene Knockout',  500,  TRUE, TRUE, TRUE, FALSE, FALSE);</v>
      </c>
      <c r="O235" s="14" t="str">
        <f t="shared" si="19"/>
        <v xml:space="preserve">INSERT INTO attribute_values (attribute_id, tag, name, details) VALUES ((SELECT id FROM attributes WHERE tag = 'att_knockout' LIMIT 1),  'att_knockout:casp11_dko',  'Casp11 dKO',  'Casp11 −/−'); </v>
      </c>
    </row>
    <row r="236" spans="1:15" s="14" customFormat="1" x14ac:dyDescent="0.15">
      <c r="A236" s="13" t="b">
        <f>FALSE()</f>
        <v>0</v>
      </c>
      <c r="B236" s="13"/>
      <c r="C236" s="14" t="s">
        <v>2543</v>
      </c>
      <c r="D236" s="14" t="s">
        <v>2544</v>
      </c>
      <c r="E236" s="14" t="s">
        <v>15</v>
      </c>
      <c r="F236" s="14" t="s">
        <v>2537</v>
      </c>
      <c r="G236" s="14" t="s">
        <v>2538</v>
      </c>
      <c r="H236" s="14" t="str">
        <f t="shared" si="16"/>
        <v>att_knockout</v>
      </c>
      <c r="I236" s="14" t="s">
        <v>2543</v>
      </c>
      <c r="J236" s="14" t="str">
        <f t="shared" si="17"/>
        <v>att_knockout:gsdmd_dko</v>
      </c>
      <c r="K236" s="15" t="s">
        <v>19</v>
      </c>
      <c r="L236" s="14" t="s">
        <v>2545</v>
      </c>
      <c r="M236" s="14" t="s">
        <v>15</v>
      </c>
      <c r="N236" s="14" t="str">
        <f t="shared" si="18"/>
        <v>INSERT INTO attributes (parent_id, tag, name, priority, allow_as_filter, allow_for_dataset, allow_for_measurement, allow_for_users, allow_for_qc) VALUES (NULL, 'att_knockout',  'Gene Knockout',  500,  TRUE, TRUE, TRUE, FALSE, FALSE);</v>
      </c>
      <c r="O236" s="14" t="str">
        <f t="shared" si="19"/>
        <v xml:space="preserve">INSERT INTO attribute_values (attribute_id, tag, name, details) VALUES ((SELECT id FROM attributes WHERE tag = 'att_knockout' LIMIT 1),  'att_knockout:gsdmd_dko',  'Gsdmd dKO',  'Gsdmd −/−'); </v>
      </c>
    </row>
    <row r="237" spans="1:15" s="14" customFormat="1" x14ac:dyDescent="0.15">
      <c r="A237" s="13" t="b">
        <f>FALSE()</f>
        <v>0</v>
      </c>
      <c r="B237" s="13"/>
      <c r="C237" s="14" t="s">
        <v>2546</v>
      </c>
      <c r="D237" s="14" t="s">
        <v>2547</v>
      </c>
      <c r="E237" s="14" t="s">
        <v>15</v>
      </c>
      <c r="F237" s="14" t="s">
        <v>2537</v>
      </c>
      <c r="G237" s="14" t="s">
        <v>2538</v>
      </c>
      <c r="H237" s="14" t="str">
        <f t="shared" si="16"/>
        <v>att_knockout</v>
      </c>
      <c r="I237" s="14" t="s">
        <v>2548</v>
      </c>
      <c r="J237" s="14" t="str">
        <f t="shared" si="17"/>
        <v>att_knockout:il18r_dko</v>
      </c>
      <c r="K237" s="15" t="s">
        <v>19</v>
      </c>
      <c r="L237" s="14" t="s">
        <v>2549</v>
      </c>
      <c r="M237" s="14" t="s">
        <v>15</v>
      </c>
      <c r="N237" s="14" t="str">
        <f t="shared" si="18"/>
        <v>INSERT INTO attributes (parent_id, tag, name, priority, allow_as_filter, allow_for_dataset, allow_for_measurement, allow_for_users, allow_for_qc) VALUES (NULL, 'att_knockout',  'Gene Knockout',  500,  TRUE, TRUE, TRUE, FALSE, FALSE);</v>
      </c>
      <c r="O237" s="14" t="str">
        <f t="shared" si="19"/>
        <v xml:space="preserve">INSERT INTO attribute_values (attribute_id, tag, name, details) VALUES ((SELECT id FROM attributes WHERE tag = 'att_knockout' LIMIT 1),  'att_knockout:il18r_dko',  'Il18r dKO',  'Il18r −/−'); </v>
      </c>
    </row>
    <row r="238" spans="1:15" s="14" customFormat="1" x14ac:dyDescent="0.15">
      <c r="A238" s="13" t="b">
        <f>FALSE()</f>
        <v>0</v>
      </c>
      <c r="B238" s="13"/>
      <c r="C238" s="14" t="s">
        <v>2550</v>
      </c>
      <c r="D238" s="14" t="s">
        <v>2551</v>
      </c>
      <c r="E238" s="14" t="s">
        <v>15</v>
      </c>
      <c r="F238" s="14" t="s">
        <v>2537</v>
      </c>
      <c r="G238" s="14" t="s">
        <v>2538</v>
      </c>
      <c r="H238" s="14" t="str">
        <f t="shared" si="16"/>
        <v>att_knockout</v>
      </c>
      <c r="I238" s="14" t="s">
        <v>2552</v>
      </c>
      <c r="J238" s="14" t="str">
        <f t="shared" si="17"/>
        <v>att_knockout:il1r_dko</v>
      </c>
      <c r="K238" s="15" t="s">
        <v>19</v>
      </c>
      <c r="L238" s="14" t="s">
        <v>2553</v>
      </c>
      <c r="M238" s="14" t="s">
        <v>15</v>
      </c>
      <c r="N238" s="14" t="str">
        <f t="shared" si="18"/>
        <v>INSERT INTO attributes (parent_id, tag, name, priority, allow_as_filter, allow_for_dataset, allow_for_measurement, allow_for_users, allow_for_qc) VALUES (NULL, 'att_knockout',  'Gene Knockout',  500,  TRUE, TRUE, TRUE, FALSE, FALSE);</v>
      </c>
      <c r="O238" s="14" t="str">
        <f t="shared" si="19"/>
        <v xml:space="preserve">INSERT INTO attribute_values (attribute_id, tag, name, details) VALUES ((SELECT id FROM attributes WHERE tag = 'att_knockout' LIMIT 1),  'att_knockout:il1r_dko',  'Il1r dKO',  'Il1r −/−'); </v>
      </c>
    </row>
    <row r="239" spans="1:15" s="14" customFormat="1" x14ac:dyDescent="0.15">
      <c r="A239" s="13" t="b">
        <f>FALSE()</f>
        <v>0</v>
      </c>
      <c r="B239" s="13"/>
      <c r="C239" s="14" t="s">
        <v>2554</v>
      </c>
      <c r="D239" s="14" t="s">
        <v>2555</v>
      </c>
      <c r="E239" s="14" t="s">
        <v>15</v>
      </c>
      <c r="F239" s="14" t="s">
        <v>2537</v>
      </c>
      <c r="G239" s="14" t="s">
        <v>2538</v>
      </c>
      <c r="H239" s="14" t="str">
        <f t="shared" si="16"/>
        <v>att_knockout</v>
      </c>
      <c r="I239" s="14" t="s">
        <v>2554</v>
      </c>
      <c r="J239" s="14" t="str">
        <f t="shared" si="17"/>
        <v>att_knockout:tlr4_dko</v>
      </c>
      <c r="K239" s="15" t="s">
        <v>19</v>
      </c>
      <c r="L239" s="14" t="s">
        <v>2556</v>
      </c>
      <c r="M239" s="14" t="s">
        <v>15</v>
      </c>
      <c r="N239" s="14" t="str">
        <f t="shared" si="18"/>
        <v>INSERT INTO attributes (parent_id, tag, name, priority, allow_as_filter, allow_for_dataset, allow_for_measurement, allow_for_users, allow_for_qc) VALUES (NULL, 'att_knockout',  'Gene Knockout',  500,  TRUE, TRUE, TRUE, FALSE, FALSE);</v>
      </c>
      <c r="O239" s="14" t="str">
        <f t="shared" si="19"/>
        <v xml:space="preserve">INSERT INTO attribute_values (attribute_id, tag, name, details) VALUES ((SELECT id FROM attributes WHERE tag = 'att_knockout' LIMIT 1),  'att_knockout:tlr4_dko',  'Tlr4 dKO',  'Tlr4 −/−'); </v>
      </c>
    </row>
    <row r="240" spans="1:15" x14ac:dyDescent="0.15">
      <c r="A240" s="11" t="s">
        <v>19</v>
      </c>
      <c r="B240" s="11"/>
      <c r="C240" s="6" t="s">
        <v>1269</v>
      </c>
      <c r="D240" s="6" t="s">
        <v>1270</v>
      </c>
      <c r="E240" s="6" t="s">
        <v>15</v>
      </c>
      <c r="F240" s="6" t="s">
        <v>118</v>
      </c>
      <c r="G240" s="6" t="s">
        <v>2557</v>
      </c>
      <c r="H240" s="6" t="str">
        <f t="shared" si="16"/>
        <v>att_lc_system</v>
      </c>
      <c r="I240" s="6" t="s">
        <v>1269</v>
      </c>
      <c r="J240" s="6" t="str">
        <f t="shared" si="17"/>
        <v>att_lc_system:easylc1</v>
      </c>
      <c r="K240" s="11" t="s">
        <v>19</v>
      </c>
      <c r="L240" s="6" t="s">
        <v>1270</v>
      </c>
      <c r="M240" s="6" t="s">
        <v>15</v>
      </c>
      <c r="N240" s="6" t="str">
        <f t="shared" si="18"/>
        <v>INSERT INTO attributes (parent_id, tag, name, priority, allow_as_filter, allow_for_dataset, allow_for_measurement, allow_for_users, allow_for_qc) VALUES (NULL, 'att_lc_system',  'LC System',  500,  TRUE, TRUE, TRUE, FALSE, FALSE);</v>
      </c>
      <c r="O240" s="6" t="str">
        <f t="shared" si="19"/>
        <v xml:space="preserve">INSERT INTO attribute_values (attribute_id, tag, name, details) VALUES ((SELECT id FROM attributes WHERE tag = 'att_lc_system' LIMIT 1),  'att_lc_system:easylc1',  'Easy LC1',  'Easy LC1'); </v>
      </c>
    </row>
    <row r="241" spans="1:15" x14ac:dyDescent="0.15">
      <c r="A241" s="11" t="s">
        <v>19</v>
      </c>
      <c r="B241" s="11"/>
      <c r="C241" s="6" t="s">
        <v>1271</v>
      </c>
      <c r="D241" s="6" t="s">
        <v>1272</v>
      </c>
      <c r="E241" s="6" t="s">
        <v>15</v>
      </c>
      <c r="F241" s="6" t="s">
        <v>118</v>
      </c>
      <c r="G241" s="6" t="s">
        <v>2557</v>
      </c>
      <c r="H241" s="6" t="str">
        <f t="shared" si="16"/>
        <v>att_lc_system</v>
      </c>
      <c r="I241" s="6" t="s">
        <v>1271</v>
      </c>
      <c r="J241" s="6" t="str">
        <f t="shared" si="17"/>
        <v>att_lc_system:easylc2</v>
      </c>
      <c r="K241" s="11" t="s">
        <v>19</v>
      </c>
      <c r="L241" s="6" t="s">
        <v>1272</v>
      </c>
      <c r="M241" s="6" t="s">
        <v>15</v>
      </c>
      <c r="N241" s="6" t="str">
        <f t="shared" si="18"/>
        <v>INSERT INTO attributes (parent_id, tag, name, priority, allow_as_filter, allow_for_dataset, allow_for_measurement, allow_for_users, allow_for_qc) VALUES (NULL, 'att_lc_system',  'LC System',  500,  TRUE, TRUE, TRUE, FALSE, FALSE);</v>
      </c>
      <c r="O241" s="6" t="str">
        <f t="shared" si="19"/>
        <v xml:space="preserve">INSERT INTO attribute_values (attribute_id, tag, name, details) VALUES ((SELECT id FROM attributes WHERE tag = 'att_lc_system' LIMIT 1),  'att_lc_system:easylc2',  'Easy LC2',  'Easy LC2'); </v>
      </c>
    </row>
    <row r="242" spans="1:15" x14ac:dyDescent="0.15">
      <c r="A242" s="11" t="s">
        <v>19</v>
      </c>
      <c r="B242" s="11"/>
      <c r="C242" s="6" t="s">
        <v>1273</v>
      </c>
      <c r="D242" s="6" t="s">
        <v>1274</v>
      </c>
      <c r="E242" s="6" t="s">
        <v>15</v>
      </c>
      <c r="F242" s="6" t="s">
        <v>118</v>
      </c>
      <c r="G242" s="6" t="s">
        <v>2557</v>
      </c>
      <c r="H242" s="6" t="str">
        <f t="shared" si="16"/>
        <v>att_lc_system</v>
      </c>
      <c r="I242" s="6" t="s">
        <v>1273</v>
      </c>
      <c r="J242" s="6" t="str">
        <f t="shared" si="17"/>
        <v>att_lc_system:evosep1</v>
      </c>
      <c r="K242" s="11" t="s">
        <v>19</v>
      </c>
      <c r="L242" s="6" t="s">
        <v>1275</v>
      </c>
      <c r="M242" s="6" t="s">
        <v>15</v>
      </c>
      <c r="N242" s="6" t="str">
        <f t="shared" si="18"/>
        <v>INSERT INTO attributes (parent_id, tag, name, priority, allow_as_filter, allow_for_dataset, allow_for_measurement, allow_for_users, allow_for_qc) VALUES (NULL, 'att_lc_system',  'LC System',  500,  TRUE, TRUE, TRUE, FALSE, FALSE);</v>
      </c>
      <c r="O242" s="6" t="str">
        <f t="shared" si="19"/>
        <v xml:space="preserve">INSERT INTO attribute_values (attribute_id, tag, name, details) VALUES ((SELECT id FROM attributes WHERE tag = 'att_lc_system' LIMIT 1),  'att_lc_system:evosep1',  'Evosep1',  'Evosep 1'); </v>
      </c>
    </row>
    <row r="243" spans="1:15" x14ac:dyDescent="0.15">
      <c r="A243" s="11" t="s">
        <v>19</v>
      </c>
      <c r="B243" s="11"/>
      <c r="C243" s="6" t="s">
        <v>1276</v>
      </c>
      <c r="D243" s="6" t="s">
        <v>1277</v>
      </c>
      <c r="E243" s="6" t="s">
        <v>15</v>
      </c>
      <c r="F243" s="6" t="s">
        <v>118</v>
      </c>
      <c r="G243" s="6" t="s">
        <v>2557</v>
      </c>
      <c r="H243" s="6" t="str">
        <f t="shared" si="16"/>
        <v>att_lc_system</v>
      </c>
      <c r="I243" s="6" t="s">
        <v>1276</v>
      </c>
      <c r="J243" s="6" t="str">
        <f t="shared" si="17"/>
        <v>att_lc_system:vanquishneo1</v>
      </c>
      <c r="K243" s="11" t="s">
        <v>19</v>
      </c>
      <c r="L243" s="6" t="s">
        <v>1277</v>
      </c>
      <c r="M243" s="6" t="s">
        <v>15</v>
      </c>
      <c r="N243" s="6" t="str">
        <f t="shared" si="18"/>
        <v>INSERT INTO attributes (parent_id, tag, name, priority, allow_as_filter, allow_for_dataset, allow_for_measurement, allow_for_users, allow_for_qc) VALUES (NULL, 'att_lc_system',  'LC System',  500,  TRUE, TRUE, TRUE, FALSE, FALSE);</v>
      </c>
      <c r="O243" s="6" t="str">
        <f t="shared" si="19"/>
        <v xml:space="preserve">INSERT INTO attribute_values (attribute_id, tag, name, details) VALUES ((SELECT id FROM attributes WHERE tag = 'att_lc_system' LIMIT 1),  'att_lc_system:vanquishneo1',  'Vanquish Neo1',  'Vanquish Neo1'); </v>
      </c>
    </row>
    <row r="244" spans="1:15" x14ac:dyDescent="0.15">
      <c r="A244" s="12" t="b">
        <f>FALSE()</f>
        <v>0</v>
      </c>
      <c r="B244" s="12"/>
      <c r="C244" s="6" t="s">
        <v>1771</v>
      </c>
      <c r="D244" s="6" t="s">
        <v>1773</v>
      </c>
      <c r="E244" s="6" t="s">
        <v>15</v>
      </c>
      <c r="F244" s="6" t="s">
        <v>2558</v>
      </c>
      <c r="G244" s="6" t="s">
        <v>2559</v>
      </c>
      <c r="H244" s="6" t="str">
        <f t="shared" si="16"/>
        <v>att_mockup</v>
      </c>
      <c r="I244" s="6" t="s">
        <v>1771</v>
      </c>
      <c r="J244" s="6" t="str">
        <f t="shared" si="17"/>
        <v>att_mockup:arbitrary</v>
      </c>
      <c r="K244" s="11" t="s">
        <v>19</v>
      </c>
      <c r="L244" s="6" t="s">
        <v>1774</v>
      </c>
      <c r="M244" s="6" t="s">
        <v>15</v>
      </c>
      <c r="N244" s="6" t="str">
        <f t="shared" si="18"/>
        <v>INSERT INTO attributes (parent_id, tag, name, priority, allow_as_filter, allow_for_dataset, allow_for_measurement, allow_for_users, allow_for_qc) VALUES (NULL, 'att_mockup',  'Mockup',  500,  TRUE, TRUE, TRUE, FALSE, FALSE);</v>
      </c>
      <c r="O244" s="6" t="str">
        <f t="shared" si="19"/>
        <v xml:space="preserve">INSERT INTO attribute_values (attribute_id, tag, name, details) VALUES ((SELECT id FROM attributes WHERE tag = 'att_mockup' LIMIT 1),  'att_mockup:arbitrary',  'Arbitrary',  'Mock categorie that can be used'); </v>
      </c>
    </row>
    <row r="245" spans="1:15" x14ac:dyDescent="0.15">
      <c r="A245" s="12" t="b">
        <f>FALSE()</f>
        <v>0</v>
      </c>
      <c r="B245" s="12"/>
      <c r="C245" s="6" t="s">
        <v>1775</v>
      </c>
      <c r="D245" s="6" t="s">
        <v>1776</v>
      </c>
      <c r="E245" s="6" t="s">
        <v>15</v>
      </c>
      <c r="F245" s="6" t="s">
        <v>2558</v>
      </c>
      <c r="G245" s="6" t="s">
        <v>2559</v>
      </c>
      <c r="H245" s="6" t="str">
        <f t="shared" si="16"/>
        <v>att_mockup</v>
      </c>
      <c r="I245" s="6" t="s">
        <v>1775</v>
      </c>
      <c r="J245" s="6" t="str">
        <f t="shared" si="17"/>
        <v>att_mockup:random</v>
      </c>
      <c r="K245" s="11" t="s">
        <v>19</v>
      </c>
      <c r="L245" s="6" t="s">
        <v>1774</v>
      </c>
      <c r="M245" s="6" t="s">
        <v>15</v>
      </c>
      <c r="N245" s="6" t="str">
        <f t="shared" si="18"/>
        <v>INSERT INTO attributes (parent_id, tag, name, priority, allow_as_filter, allow_for_dataset, allow_for_measurement, allow_for_users, allow_for_qc) VALUES (NULL, 'att_mockup',  'Mockup',  500,  TRUE, TRUE, TRUE, FALSE, FALSE);</v>
      </c>
      <c r="O245" s="6" t="str">
        <f t="shared" si="19"/>
        <v xml:space="preserve">INSERT INTO attribute_values (attribute_id, tag, name, details) VALUES ((SELECT id FROM attributes WHERE tag = 'att_mockup' LIMIT 1),  'att_mockup:random',  'Random',  'Mock categorie that can be used'); </v>
      </c>
    </row>
    <row r="246" spans="1:15" x14ac:dyDescent="0.15">
      <c r="A246" s="12" t="b">
        <f>FALSE()</f>
        <v>0</v>
      </c>
      <c r="B246" s="12"/>
      <c r="C246" s="6" t="s">
        <v>2560</v>
      </c>
      <c r="D246" s="6" t="s">
        <v>1778</v>
      </c>
      <c r="E246" s="6" t="s">
        <v>15</v>
      </c>
      <c r="F246" s="6" t="s">
        <v>130</v>
      </c>
      <c r="G246" s="6" t="s">
        <v>2561</v>
      </c>
      <c r="H246" s="6" t="str">
        <f t="shared" si="16"/>
        <v>att_model</v>
      </c>
      <c r="I246" s="6" t="s">
        <v>1777</v>
      </c>
      <c r="J246" s="6" t="str">
        <f t="shared" si="17"/>
        <v>att_model:in_vitro</v>
      </c>
      <c r="K246" s="11" t="s">
        <v>19</v>
      </c>
      <c r="L246" s="6" t="s">
        <v>1779</v>
      </c>
      <c r="M246" s="6" t="s">
        <v>15</v>
      </c>
      <c r="N246" s="6" t="str">
        <f t="shared" si="18"/>
        <v>INSERT INTO attributes (parent_id, tag, name, priority, allow_as_filter, allow_for_dataset, allow_for_measurement, allow_for_users, allow_for_qc) VALUES (NULL, 'att_model',  'Model',  500,  TRUE, TRUE, TRUE, FALSE, FALSE);</v>
      </c>
      <c r="O246" s="6" t="str">
        <f t="shared" si="19"/>
        <v xml:space="preserve">INSERT INTO attribute_values (attribute_id, tag, name, details) VALUES ((SELECT id FROM attributes WHERE tag = 'att_model' LIMIT 1),  'att_model:in_vitro',  'In vitro',  'in the glass'); </v>
      </c>
    </row>
    <row r="247" spans="1:15" x14ac:dyDescent="0.15">
      <c r="A247" s="12" t="b">
        <f>FALSE()</f>
        <v>0</v>
      </c>
      <c r="B247" s="12"/>
      <c r="C247" s="6" t="s">
        <v>2562</v>
      </c>
      <c r="D247" s="6" t="s">
        <v>1781</v>
      </c>
      <c r="E247" s="6" t="s">
        <v>15</v>
      </c>
      <c r="F247" s="6" t="s">
        <v>130</v>
      </c>
      <c r="G247" s="6" t="s">
        <v>2561</v>
      </c>
      <c r="H247" s="6" t="str">
        <f t="shared" si="16"/>
        <v>att_model</v>
      </c>
      <c r="I247" s="6" t="s">
        <v>1780</v>
      </c>
      <c r="J247" s="6" t="str">
        <f t="shared" si="17"/>
        <v>att_model:in_vivo</v>
      </c>
      <c r="K247" s="11" t="s">
        <v>19</v>
      </c>
      <c r="L247" s="6" t="s">
        <v>1782</v>
      </c>
      <c r="M247" s="6" t="s">
        <v>15</v>
      </c>
      <c r="N247" s="6" t="str">
        <f t="shared" si="18"/>
        <v>INSERT INTO attributes (parent_id, tag, name, priority, allow_as_filter, allow_for_dataset, allow_for_measurement, allow_for_users, allow_for_qc) VALUES (NULL, 'att_model',  'Model',  500,  TRUE, TRUE, TRUE, FALSE, FALSE);</v>
      </c>
      <c r="O247" s="6" t="str">
        <f t="shared" si="19"/>
        <v xml:space="preserve">INSERT INTO attribute_values (attribute_id, tag, name, details) VALUES ((SELECT id FROM attributes WHERE tag = 'att_model' LIMIT 1),  'att_model:in_vivo',  'In vivo',  'within the living'); </v>
      </c>
    </row>
    <row r="248" spans="1:15" x14ac:dyDescent="0.15">
      <c r="A248" s="12" t="b">
        <f>FALSE()</f>
        <v>0</v>
      </c>
      <c r="B248" s="12"/>
      <c r="C248" s="6" t="s">
        <v>1783</v>
      </c>
      <c r="D248" s="6" t="s">
        <v>1783</v>
      </c>
      <c r="E248" s="6" t="s">
        <v>15</v>
      </c>
      <c r="F248" s="6" t="s">
        <v>130</v>
      </c>
      <c r="G248" s="6" t="s">
        <v>2561</v>
      </c>
      <c r="H248" s="6" t="str">
        <f t="shared" si="16"/>
        <v>att_model</v>
      </c>
      <c r="I248" s="6" t="s">
        <v>1783</v>
      </c>
      <c r="J248" s="6" t="str">
        <f t="shared" si="17"/>
        <v>att_model:xenografts</v>
      </c>
      <c r="K248" s="11" t="s">
        <v>19</v>
      </c>
      <c r="L248" s="6" t="s">
        <v>1784</v>
      </c>
      <c r="M248" s="6" t="s">
        <v>15</v>
      </c>
      <c r="N248" s="6" t="str">
        <f t="shared" si="18"/>
        <v>INSERT INTO attributes (parent_id, tag, name, priority, allow_as_filter, allow_for_dataset, allow_for_measurement, allow_for_users, allow_for_qc) VALUES (NULL, 'att_model',  'Model',  500,  TRUE, TRUE, TRUE, FALSE, FALSE);</v>
      </c>
      <c r="O248" s="6" t="str">
        <f t="shared" si="19"/>
        <v xml:space="preserve">INSERT INTO attribute_values (attribute_id, tag, name, details) VALUES ((SELECT id FROM attributes WHERE tag = 'att_model' LIMIT 1),  'att_model:xenografts',  'xenografts',  'Tissue or cells implanted into a model animal'); </v>
      </c>
    </row>
    <row r="249" spans="1:15" x14ac:dyDescent="0.15">
      <c r="A249" s="12"/>
      <c r="B249" s="12"/>
      <c r="K249" s="11"/>
    </row>
    <row r="250" spans="1:15" x14ac:dyDescent="0.15">
      <c r="A250" s="12"/>
      <c r="B250" s="12"/>
      <c r="C250" s="6" t="s">
        <v>2563</v>
      </c>
      <c r="D250" s="6" t="s">
        <v>648</v>
      </c>
      <c r="F250" s="6" t="s">
        <v>60</v>
      </c>
      <c r="G250" s="6" t="s">
        <v>2564</v>
      </c>
      <c r="H250" s="6" t="str">
        <f t="shared" ref="H250:H255" si="20">"att_"&amp;G250</f>
        <v>att_column_type</v>
      </c>
      <c r="I250" s="6" t="s">
        <v>647</v>
      </c>
      <c r="J250" s="6" t="str">
        <f t="shared" ref="J250:J255" si="21">H250&amp;":"&amp;I250</f>
        <v>att_column_type:aurora</v>
      </c>
      <c r="K250" s="11"/>
      <c r="L250" s="6" t="s">
        <v>649</v>
      </c>
      <c r="N250" s="6" t="str">
        <f>"INSERT INTO attributes (parent_id, tag, name, priority, allow_as_filter, allow_for_dataset, allow_for_measurement, allow_for_users, allow_for_qc) VALUES (NULL, '"&amp;H250&amp;"',  '"&amp;F250&amp;"',  500,  TRUE, TRUE, TRUE, FALSE, FALSE);"</f>
        <v>INSERT INTO attributes (parent_id, tag, name, priority, allow_as_filter, allow_for_dataset, allow_for_measurement, allow_for_users, allow_for_qc) VALUES (NULL, 'att_column_type',  'Column Type',  500,  TRUE, TRUE, TRUE, FALSE, FALSE);</v>
      </c>
    </row>
    <row r="251" spans="1:15" x14ac:dyDescent="0.15">
      <c r="A251" s="12"/>
      <c r="B251" s="12"/>
      <c r="C251" s="6" t="s">
        <v>2565</v>
      </c>
      <c r="D251" s="6" t="s">
        <v>654</v>
      </c>
      <c r="F251" s="6" t="s">
        <v>60</v>
      </c>
      <c r="G251" s="6" t="s">
        <v>2564</v>
      </c>
      <c r="H251" s="6" t="str">
        <f t="shared" si="20"/>
        <v>att_column_type</v>
      </c>
      <c r="I251" s="6" t="s">
        <v>653</v>
      </c>
      <c r="J251" s="6" t="str">
        <f t="shared" si="21"/>
        <v>att_column_type:inhouse</v>
      </c>
      <c r="K251" s="11"/>
      <c r="L251" s="6" t="s">
        <v>655</v>
      </c>
      <c r="N251" s="6" t="str">
        <f>"INSERT INTO attributes (parent_id, tag, name, priority, allow_as_filter, allow_for_dataset, allow_for_measurement, allow_for_users, allow_for_qc) VALUES (NULL, '"&amp;H251&amp;"',  '"&amp;F251&amp;"',  500,  TRUE, TRUE, TRUE, FALSE, FALSE);"</f>
        <v>INSERT INTO attributes (parent_id, tag, name, priority, allow_as_filter, allow_for_dataset, allow_for_measurement, allow_for_users, allow_for_qc) VALUES (NULL, 'att_column_type',  'Column Type',  500,  TRUE, TRUE, TRUE, FALSE, FALSE);</v>
      </c>
    </row>
    <row r="252" spans="1:15" x14ac:dyDescent="0.15">
      <c r="B252" s="12"/>
      <c r="C252" s="6" t="s">
        <v>2566</v>
      </c>
      <c r="D252" s="6" t="s">
        <v>651</v>
      </c>
      <c r="F252" s="6" t="s">
        <v>60</v>
      </c>
      <c r="G252" s="6" t="s">
        <v>2564</v>
      </c>
      <c r="H252" s="6" t="str">
        <f t="shared" si="20"/>
        <v>att_column_type</v>
      </c>
      <c r="I252" s="6" t="s">
        <v>650</v>
      </c>
      <c r="J252" s="6" t="str">
        <f t="shared" si="21"/>
        <v>att_column_type:easyspray</v>
      </c>
      <c r="K252" s="11"/>
      <c r="L252" s="6" t="s">
        <v>652</v>
      </c>
    </row>
    <row r="253" spans="1:15" x14ac:dyDescent="0.15">
      <c r="A253" s="12"/>
      <c r="B253" s="12"/>
      <c r="C253" s="6" t="s">
        <v>2567</v>
      </c>
      <c r="D253" s="6" t="s">
        <v>663</v>
      </c>
      <c r="F253" s="6" t="s">
        <v>60</v>
      </c>
      <c r="G253" s="6" t="s">
        <v>2564</v>
      </c>
      <c r="H253" s="6" t="str">
        <f t="shared" si="20"/>
        <v>att_column_type</v>
      </c>
      <c r="I253" s="6" t="s">
        <v>662</v>
      </c>
      <c r="J253" s="6" t="str">
        <f t="shared" si="21"/>
        <v>att_column_type:upac_neo</v>
      </c>
      <c r="K253" s="11"/>
      <c r="L253" s="6" t="s">
        <v>664</v>
      </c>
    </row>
    <row r="254" spans="1:15" x14ac:dyDescent="0.15">
      <c r="A254" s="12"/>
      <c r="B254" s="12"/>
      <c r="C254" s="6" t="s">
        <v>2568</v>
      </c>
      <c r="D254" s="16" t="s">
        <v>657</v>
      </c>
      <c r="F254" s="6" t="s">
        <v>60</v>
      </c>
      <c r="G254" s="6" t="s">
        <v>2564</v>
      </c>
      <c r="H254" s="6" t="str">
        <f t="shared" si="20"/>
        <v>att_column_type</v>
      </c>
      <c r="I254" s="6" t="s">
        <v>656</v>
      </c>
      <c r="J254" s="6" t="str">
        <f t="shared" si="21"/>
        <v>att_column_type:upac_doubleviper</v>
      </c>
      <c r="K254" s="11"/>
      <c r="L254" s="6" t="s">
        <v>658</v>
      </c>
    </row>
    <row r="255" spans="1:15" x14ac:dyDescent="0.15">
      <c r="A255" s="12"/>
      <c r="B255" s="12"/>
      <c r="C255" s="6" t="s">
        <v>2567</v>
      </c>
      <c r="D255" s="16" t="s">
        <v>660</v>
      </c>
      <c r="F255" s="6" t="s">
        <v>60</v>
      </c>
      <c r="G255" s="6" t="s">
        <v>2564</v>
      </c>
      <c r="H255" s="6" t="str">
        <f t="shared" si="20"/>
        <v>att_column_type</v>
      </c>
      <c r="I255" s="6" t="s">
        <v>659</v>
      </c>
      <c r="J255" s="6" t="str">
        <f t="shared" si="21"/>
        <v>att_column_type:upac_low_loadneo</v>
      </c>
      <c r="K255" s="11"/>
      <c r="L255" s="6" t="s">
        <v>661</v>
      </c>
    </row>
    <row r="256" spans="1:15" x14ac:dyDescent="0.15">
      <c r="A256" s="12"/>
      <c r="B256" s="12"/>
      <c r="D256" s="16"/>
      <c r="K256" s="11"/>
    </row>
    <row r="257" spans="1:15" x14ac:dyDescent="0.15">
      <c r="A257" s="11" t="s">
        <v>19</v>
      </c>
      <c r="B257" s="11"/>
      <c r="C257" s="6" t="s">
        <v>2569</v>
      </c>
      <c r="D257" s="6" t="s">
        <v>2570</v>
      </c>
      <c r="E257" s="6" t="s">
        <v>15</v>
      </c>
      <c r="F257" s="6" t="s">
        <v>2571</v>
      </c>
      <c r="G257" s="6" t="s">
        <v>2572</v>
      </c>
      <c r="H257" s="6" t="str">
        <f t="shared" ref="H257:H262" si="22">"att_"&amp;G257</f>
        <v>att_mslc_column_configuration</v>
      </c>
      <c r="I257" s="6" t="s">
        <v>628</v>
      </c>
      <c r="J257" s="6" t="str">
        <f t="shared" ref="J257:J262" si="23">H257&amp;":"&amp;I257</f>
        <v>att_mslc_column_configuration:15cm</v>
      </c>
      <c r="K257" s="11" t="s">
        <v>19</v>
      </c>
      <c r="L257" s="6" t="s">
        <v>2573</v>
      </c>
      <c r="M257" s="6" t="s">
        <v>15</v>
      </c>
      <c r="N257" s="6" t="str">
        <f t="shared" ref="N257:N262" si="24">"INSERT INTO attributes (parent_id, tag, name, priority, allow_as_filter, allow_for_dataset, allow_for_measurement, allow_for_users, allow_for_qc) VALUES (NULL, '"&amp;H257&amp;"',  '"&amp;F257&amp;"',  500,  TRUE, TRUE, TRUE, FALSE, FALSE);"</f>
        <v>INSERT INTO attributes (parent_id, tag, name, priority, allow_as_filter, allow_for_dataset, allow_for_measurement, allow_for_users, allow_for_qc) VALUES (NULL, 'att_mslc_column_configuration',  'LC Column Configuration',  500,  TRUE, TRUE, TRUE, FALSE, FALSE);</v>
      </c>
      <c r="O257" s="6" t="str">
        <f t="shared" ref="O257:O262" si="25">"INSERT INTO attribute_values (attribute_id, tag, name, details) VALUES ((SELECT id FROM attributes WHERE tag = '"&amp;H257&amp;"' LIMIT 1),  '"&amp;J257&amp;"',  '"&amp;D257&amp;"',  '"&amp;L257&amp;"'); "</f>
        <v xml:space="preserve">INSERT INTO attribute_values (attribute_id, tag, name, details) VALUES ((SELECT id FROM attributes WHERE tag = 'att_mslc_column_configuration' LIMIT 1),  'att_mslc_column_configuration:15cm',  'Auroa 15 cm',  'Auroa 15 cm MS Column'); </v>
      </c>
    </row>
    <row r="258" spans="1:15" x14ac:dyDescent="0.15">
      <c r="A258" s="11" t="s">
        <v>19</v>
      </c>
      <c r="B258" s="11"/>
      <c r="C258" s="6" t="s">
        <v>2574</v>
      </c>
      <c r="D258" s="6" t="s">
        <v>2575</v>
      </c>
      <c r="E258" s="6" t="s">
        <v>15</v>
      </c>
      <c r="F258" s="6" t="s">
        <v>2571</v>
      </c>
      <c r="G258" s="6" t="s">
        <v>2572</v>
      </c>
      <c r="H258" s="6" t="str">
        <f t="shared" si="22"/>
        <v>att_mslc_column_configuration</v>
      </c>
      <c r="I258" s="6" t="s">
        <v>2576</v>
      </c>
      <c r="J258" s="6" t="str">
        <f t="shared" si="23"/>
        <v>att_mslc_column_configuration:25cm</v>
      </c>
      <c r="K258" s="11" t="s">
        <v>19</v>
      </c>
      <c r="L258" s="6" t="s">
        <v>2577</v>
      </c>
      <c r="M258" s="6" t="s">
        <v>15</v>
      </c>
      <c r="N258" s="6" t="str">
        <f t="shared" si="24"/>
        <v>INSERT INTO attributes (parent_id, tag, name, priority, allow_as_filter, allow_for_dataset, allow_for_measurement, allow_for_users, allow_for_qc) VALUES (NULL, 'att_mslc_column_configuration',  'LC Column Configuration',  500,  TRUE, TRUE, TRUE, FALSE, FALSE);</v>
      </c>
      <c r="O258" s="6" t="str">
        <f t="shared" si="25"/>
        <v xml:space="preserve">INSERT INTO attribute_values (attribute_id, tag, name, details) VALUES ((SELECT id FROM attributes WHERE tag = 'att_mslc_column_configuration' LIMIT 1),  'att_mslc_column_configuration:25cm',  'Auroa 25 cm',  'Auroa 25 cm MS Column'); </v>
      </c>
    </row>
    <row r="259" spans="1:15" x14ac:dyDescent="0.15">
      <c r="A259" s="11" t="s">
        <v>19</v>
      </c>
      <c r="B259" s="11"/>
      <c r="C259" s="6" t="s">
        <v>2578</v>
      </c>
      <c r="D259" s="6" t="s">
        <v>2579</v>
      </c>
      <c r="E259" s="6" t="s">
        <v>15</v>
      </c>
      <c r="F259" s="6" t="s">
        <v>2571</v>
      </c>
      <c r="G259" s="6" t="s">
        <v>2572</v>
      </c>
      <c r="H259" s="6" t="str">
        <f t="shared" si="22"/>
        <v>att_mslc_column_configuration</v>
      </c>
      <c r="I259" s="6" t="s">
        <v>630</v>
      </c>
      <c r="J259" s="6" t="str">
        <f t="shared" si="23"/>
        <v>att_mslc_column_configuration:30cm</v>
      </c>
      <c r="K259" s="11" t="s">
        <v>19</v>
      </c>
      <c r="L259" s="6" t="s">
        <v>2580</v>
      </c>
      <c r="M259" s="6" t="s">
        <v>15</v>
      </c>
      <c r="N259" s="6" t="str">
        <f t="shared" si="24"/>
        <v>INSERT INTO attributes (parent_id, tag, name, priority, allow_as_filter, allow_for_dataset, allow_for_measurement, allow_for_users, allow_for_qc) VALUES (NULL, 'att_mslc_column_configuration',  'LC Column Configuration',  500,  TRUE, TRUE, TRUE, FALSE, FALSE);</v>
      </c>
      <c r="O259" s="6" t="str">
        <f t="shared" si="25"/>
        <v xml:space="preserve">INSERT INTO attribute_values (attribute_id, tag, name, details) VALUES ((SELECT id FROM attributes WHERE tag = 'att_mslc_column_configuration' LIMIT 1),  'att_mslc_column_configuration:30cm',  'Auroa 30 cm',  'Auroa 30 cm MS Column'); </v>
      </c>
    </row>
    <row r="260" spans="1:15" x14ac:dyDescent="0.15">
      <c r="A260" s="11" t="s">
        <v>19</v>
      </c>
      <c r="B260" s="11"/>
      <c r="C260" s="6" t="s">
        <v>2581</v>
      </c>
      <c r="D260" s="6" t="s">
        <v>2582</v>
      </c>
      <c r="E260" s="6" t="s">
        <v>15</v>
      </c>
      <c r="F260" s="6" t="s">
        <v>2571</v>
      </c>
      <c r="G260" s="6" t="s">
        <v>2572</v>
      </c>
      <c r="H260" s="6" t="str">
        <f t="shared" si="22"/>
        <v>att_mslc_column_configuration</v>
      </c>
      <c r="I260" s="6" t="s">
        <v>632</v>
      </c>
      <c r="J260" s="6" t="str">
        <f t="shared" si="23"/>
        <v>att_mslc_column_configuration:50cm</v>
      </c>
      <c r="K260" s="11" t="s">
        <v>19</v>
      </c>
      <c r="L260" s="6" t="s">
        <v>2583</v>
      </c>
      <c r="M260" s="6" t="s">
        <v>15</v>
      </c>
      <c r="N260" s="6" t="str">
        <f t="shared" si="24"/>
        <v>INSERT INTO attributes (parent_id, tag, name, priority, allow_as_filter, allow_for_dataset, allow_for_measurement, allow_for_users, allow_for_qc) VALUES (NULL, 'att_mslc_column_configuration',  'LC Column Configuration',  500,  TRUE, TRUE, TRUE, FALSE, FALSE);</v>
      </c>
      <c r="O260" s="6" t="str">
        <f t="shared" si="25"/>
        <v xml:space="preserve">INSERT INTO attribute_values (attribute_id, tag, name, details) VALUES ((SELECT id FROM attributes WHERE tag = 'att_mslc_column_configuration' LIMIT 1),  'att_mslc_column_configuration:50cm',  'Auroa 50 cm',  'Auroa 50 cm MS Column'); </v>
      </c>
    </row>
    <row r="261" spans="1:15" x14ac:dyDescent="0.15">
      <c r="A261" s="11" t="s">
        <v>19</v>
      </c>
      <c r="B261" s="12"/>
      <c r="C261" s="6" t="s">
        <v>2584</v>
      </c>
      <c r="D261" s="6" t="s">
        <v>2585</v>
      </c>
      <c r="E261" s="6" t="s">
        <v>15</v>
      </c>
      <c r="F261" s="6" t="s">
        <v>2571</v>
      </c>
      <c r="G261" s="6" t="s">
        <v>2572</v>
      </c>
      <c r="H261" s="6" t="str">
        <f t="shared" si="22"/>
        <v>att_mslc_column_configuration</v>
      </c>
      <c r="I261" s="6" t="s">
        <v>2584</v>
      </c>
      <c r="J261" s="6" t="str">
        <f t="shared" si="23"/>
        <v>att_mslc_column_configuration:column_inhouse</v>
      </c>
      <c r="K261" s="11" t="s">
        <v>19</v>
      </c>
      <c r="L261" s="6" t="s">
        <v>2586</v>
      </c>
      <c r="M261" s="6" t="s">
        <v>15</v>
      </c>
      <c r="N261" s="6" t="str">
        <f t="shared" si="24"/>
        <v>INSERT INTO attributes (parent_id, tag, name, priority, allow_as_filter, allow_for_dataset, allow_for_measurement, allow_for_users, allow_for_qc) VALUES (NULL, 'att_mslc_column_configuration',  'LC Column Configuration',  500,  TRUE, TRUE, TRUE, FALSE, FALSE);</v>
      </c>
      <c r="O261" s="6" t="str">
        <f t="shared" si="25"/>
        <v xml:space="preserve">INSERT INTO attribute_values (attribute_id, tag, name, details) VALUES ((SELECT id FROM attributes WHERE tag = 'att_mslc_column_configuration' LIMIT 1),  'att_mslc_column_configuration:column_inhouse',  'In-house',  'In-House Column'); </v>
      </c>
    </row>
    <row r="262" spans="1:15" x14ac:dyDescent="0.15">
      <c r="A262" s="11" t="s">
        <v>19</v>
      </c>
      <c r="B262" s="12"/>
      <c r="C262" s="6" t="s">
        <v>2587</v>
      </c>
      <c r="D262" s="6" t="s">
        <v>2588</v>
      </c>
      <c r="E262" s="6" t="s">
        <v>15</v>
      </c>
      <c r="F262" s="6" t="s">
        <v>2571</v>
      </c>
      <c r="G262" s="6" t="s">
        <v>2572</v>
      </c>
      <c r="H262" s="6" t="str">
        <f t="shared" si="22"/>
        <v>att_mslc_column_configuration</v>
      </c>
      <c r="I262" s="6" t="s">
        <v>2587</v>
      </c>
      <c r="J262" s="6" t="str">
        <f t="shared" si="23"/>
        <v>att_mslc_column_configuration:trap</v>
      </c>
      <c r="K262" s="11" t="s">
        <v>19</v>
      </c>
      <c r="L262" s="6" t="s">
        <v>2589</v>
      </c>
      <c r="M262" s="6" t="s">
        <v>15</v>
      </c>
      <c r="N262" s="6" t="str">
        <f t="shared" si="24"/>
        <v>INSERT INTO attributes (parent_id, tag, name, priority, allow_as_filter, allow_for_dataset, allow_for_measurement, allow_for_users, allow_for_qc) VALUES (NULL, 'att_mslc_column_configuration',  'LC Column Configuration',  500,  TRUE, TRUE, TRUE, FALSE, FALSE);</v>
      </c>
      <c r="O262" s="6" t="str">
        <f t="shared" si="25"/>
        <v xml:space="preserve">INSERT INTO attribute_values (attribute_id, tag, name, details) VALUES ((SELECT id FROM attributes WHERE tag = 'att_mslc_column_configuration' LIMIT 1),  'att_mslc_column_configuration:trap',  'Trap',  'MS-Setting: Trap'); </v>
      </c>
    </row>
    <row r="263" spans="1:15" x14ac:dyDescent="0.15">
      <c r="A263" s="11"/>
      <c r="B263" s="12"/>
      <c r="K263" s="11"/>
    </row>
    <row r="264" spans="1:15" s="14" customFormat="1" x14ac:dyDescent="0.15">
      <c r="A264" s="15" t="s">
        <v>17</v>
      </c>
      <c r="B264" s="13"/>
      <c r="C264" s="14" t="s">
        <v>1803</v>
      </c>
      <c r="D264" s="14" t="s">
        <v>1804</v>
      </c>
      <c r="E264" s="14" t="s">
        <v>15</v>
      </c>
      <c r="G264" s="14" t="s">
        <v>2590</v>
      </c>
      <c r="H264" s="14" t="str">
        <f>"att_"&amp;G264</f>
        <v>att_ms_interface</v>
      </c>
      <c r="I264" s="14" t="s">
        <v>1803</v>
      </c>
      <c r="J264" s="14" t="str">
        <f>H264&amp;":"&amp;I264</f>
        <v>att_ms_interface:faims</v>
      </c>
      <c r="K264" s="15" t="s">
        <v>19</v>
      </c>
      <c r="L264" s="14" t="s">
        <v>1805</v>
      </c>
      <c r="M264" s="14" t="s">
        <v>15</v>
      </c>
      <c r="N264" s="14" t="str">
        <f>"INSERT INTO attributes (parent_id, tag, name, priority, allow_as_filter, allow_for_dataset, allow_for_measurement, allow_for_users, allow_for_qc) VALUES (NULL, '"&amp;H264&amp;"',  '"&amp;F264&amp;"',  500,  TRUE, TRUE, TRUE, FALSE, FALSE);"</f>
        <v>INSERT INTO attributes (parent_id, tag, name, priority, allow_as_filter, allow_for_dataset, allow_for_measurement, allow_for_users, allow_for_qc) VALUES (NULL, 'att_ms_interface',  '',  500,  TRUE, TRUE, TRUE, FALSE, FALSE);</v>
      </c>
      <c r="O264" s="14" t="str">
        <f>"INSERT INTO attribute_values (attribute_id, tag, name, details) VALUES ((SELECT id FROM attributes WHERE tag = '"&amp;H264&amp;"' LIMIT 1),  '"&amp;J264&amp;"',  '"&amp;D264&amp;"',  '"&amp;L264&amp;"'); "</f>
        <v xml:space="preserve">INSERT INTO attribute_values (attribute_id, tag, name, details) VALUES ((SELECT id FROM attributes WHERE tag = 'att_ms_interface' LIMIT 1),  'att_ms_interface:faims',  'Faims',  'FAIMS module attached to the mass spectrometer. Please specify the CV value'); </v>
      </c>
    </row>
    <row r="265" spans="1:15" s="14" customFormat="1" x14ac:dyDescent="0.15">
      <c r="A265" s="15"/>
      <c r="B265" s="13"/>
      <c r="C265" s="14" t="s">
        <v>2591</v>
      </c>
      <c r="D265" s="14" t="s">
        <v>1815</v>
      </c>
      <c r="F265" s="14" t="s">
        <v>134</v>
      </c>
      <c r="G265" s="14" t="s">
        <v>2592</v>
      </c>
      <c r="H265" s="14" t="str">
        <f>"att_"&amp;G265</f>
        <v>att_ms_ionsource</v>
      </c>
      <c r="I265" s="14" t="s">
        <v>1814</v>
      </c>
      <c r="J265" s="14" t="str">
        <f>H265&amp;":"&amp;I265</f>
        <v>att_ms_ionsource:ion_max</v>
      </c>
      <c r="K265" s="15"/>
      <c r="L265" s="14" t="s">
        <v>1816</v>
      </c>
    </row>
    <row r="266" spans="1:15" x14ac:dyDescent="0.15">
      <c r="A266" s="11"/>
      <c r="B266" s="12"/>
      <c r="C266" s="14" t="s">
        <v>2591</v>
      </c>
      <c r="D266" s="6" t="s">
        <v>1809</v>
      </c>
      <c r="F266" s="6" t="s">
        <v>134</v>
      </c>
      <c r="G266" s="14" t="s">
        <v>2592</v>
      </c>
      <c r="H266" s="14" t="str">
        <f>"att_"&amp;G266</f>
        <v>att_ms_ionsource</v>
      </c>
      <c r="I266" s="14" t="s">
        <v>1808</v>
      </c>
      <c r="J266" s="14" t="str">
        <f>H266&amp;":"&amp;I266</f>
        <v>att_ms_ionsource:easy_spray</v>
      </c>
      <c r="K266" s="11"/>
      <c r="L266" s="6" t="s">
        <v>1810</v>
      </c>
    </row>
    <row r="267" spans="1:15" x14ac:dyDescent="0.15">
      <c r="A267" s="11"/>
      <c r="B267" s="12"/>
      <c r="C267" s="14" t="s">
        <v>2591</v>
      </c>
      <c r="D267" s="6" t="s">
        <v>1812</v>
      </c>
      <c r="F267" s="6" t="s">
        <v>134</v>
      </c>
      <c r="G267" s="14" t="s">
        <v>2592</v>
      </c>
      <c r="H267" s="14" t="str">
        <f>"att_"&amp;G267</f>
        <v>att_ms_ionsource</v>
      </c>
      <c r="I267" s="14" t="s">
        <v>1811</v>
      </c>
      <c r="J267" s="14" t="str">
        <f>H267&amp;":"&amp;I267</f>
        <v>att_ms_ionsource:flex</v>
      </c>
      <c r="K267" s="11"/>
      <c r="L267" s="6" t="s">
        <v>1813</v>
      </c>
    </row>
    <row r="268" spans="1:15" x14ac:dyDescent="0.15">
      <c r="A268" s="11"/>
      <c r="B268" s="12"/>
      <c r="I268" s="14"/>
      <c r="J268" s="14"/>
      <c r="K268" s="11"/>
    </row>
    <row r="269" spans="1:15" x14ac:dyDescent="0.15">
      <c r="A269" s="12" t="b">
        <f>FALSE()</f>
        <v>0</v>
      </c>
      <c r="B269" s="12"/>
      <c r="C269" s="6" t="s">
        <v>2045</v>
      </c>
      <c r="D269" s="6" t="s">
        <v>2046</v>
      </c>
      <c r="E269" s="6" t="s">
        <v>15</v>
      </c>
      <c r="F269" s="6" t="s">
        <v>157</v>
      </c>
      <c r="G269" s="6" t="s">
        <v>2593</v>
      </c>
      <c r="H269" s="6" t="str">
        <f t="shared" ref="H269:H300" si="26">"att_"&amp;G269</f>
        <v>att_organ</v>
      </c>
      <c r="I269" s="6" t="s">
        <v>2045</v>
      </c>
      <c r="J269" s="6" t="str">
        <f t="shared" ref="J269:J300" si="27">H269&amp;":"&amp;I269</f>
        <v>att_organ:appendix</v>
      </c>
      <c r="K269" s="11" t="s">
        <v>19</v>
      </c>
      <c r="L269" s="6" t="s">
        <v>2046</v>
      </c>
      <c r="M269" s="6" t="s">
        <v>15</v>
      </c>
      <c r="N269" s="6" t="str">
        <f t="shared" ref="N269:N300" si="28">"INSERT INTO attributes (parent_id, tag, name, priority, allow_as_filter, allow_for_dataset, allow_for_measurement, allow_for_users, allow_for_qc) VALUES (NULL, '"&amp;H269&amp;"',  '"&amp;F269&amp;"',  500,  TRUE, TRUE, TRUE, FALSE, FALSE);"</f>
        <v>INSERT INTO attributes (parent_id, tag, name, priority, allow_as_filter, allow_for_dataset, allow_for_measurement, allow_for_users, allow_for_qc) VALUES (NULL, 'att_organ',  'Organ',  500,  TRUE, TRUE, TRUE, FALSE, FALSE);</v>
      </c>
      <c r="O269" s="6" t="str">
        <f t="shared" ref="O269:O300" si="29">"INSERT INTO attribute_values (attribute_id, tag, name, details) VALUES ((SELECT id FROM attributes WHERE tag = '"&amp;H269&amp;"' LIMIT 1),  '"&amp;J269&amp;"',  '"&amp;D269&amp;"',  '"&amp;L269&amp;"'); "</f>
        <v xml:space="preserve">INSERT INTO attribute_values (attribute_id, tag, name, details) VALUES ((SELECT id FROM attributes WHERE tag = 'att_organ' LIMIT 1),  'att_organ:appendix',  'Appendix',  'Appendix'); </v>
      </c>
    </row>
    <row r="270" spans="1:15" x14ac:dyDescent="0.15">
      <c r="A270" s="12" t="b">
        <f>FALSE()</f>
        <v>0</v>
      </c>
      <c r="B270" s="12"/>
      <c r="C270" s="6" t="s">
        <v>2047</v>
      </c>
      <c r="D270" s="6" t="s">
        <v>2048</v>
      </c>
      <c r="E270" s="6" t="s">
        <v>15</v>
      </c>
      <c r="F270" s="6" t="s">
        <v>157</v>
      </c>
      <c r="G270" s="6" t="s">
        <v>2593</v>
      </c>
      <c r="H270" s="6" t="str">
        <f t="shared" si="26"/>
        <v>att_organ</v>
      </c>
      <c r="I270" s="6" t="s">
        <v>2047</v>
      </c>
      <c r="J270" s="6" t="str">
        <f t="shared" si="27"/>
        <v>att_organ:arteries</v>
      </c>
      <c r="K270" s="11" t="s">
        <v>19</v>
      </c>
      <c r="L270" s="6" t="s">
        <v>2048</v>
      </c>
      <c r="M270" s="6" t="s">
        <v>15</v>
      </c>
      <c r="N270" s="6" t="str">
        <f t="shared" si="28"/>
        <v>INSERT INTO attributes (parent_id, tag, name, priority, allow_as_filter, allow_for_dataset, allow_for_measurement, allow_for_users, allow_for_qc) VALUES (NULL, 'att_organ',  'Organ',  500,  TRUE, TRUE, TRUE, FALSE, FALSE);</v>
      </c>
      <c r="O270" s="6" t="str">
        <f t="shared" si="29"/>
        <v xml:space="preserve">INSERT INTO attribute_values (attribute_id, tag, name, details) VALUES ((SELECT id FROM attributes WHERE tag = 'att_organ' LIMIT 1),  'att_organ:arteries',  'Arteries',  'Arteries'); </v>
      </c>
    </row>
    <row r="271" spans="1:15" x14ac:dyDescent="0.15">
      <c r="A271" s="12" t="b">
        <f>FALSE()</f>
        <v>0</v>
      </c>
      <c r="B271" s="12"/>
      <c r="C271" s="6" t="s">
        <v>2049</v>
      </c>
      <c r="D271" s="6" t="s">
        <v>2050</v>
      </c>
      <c r="E271" s="6" t="s">
        <v>15</v>
      </c>
      <c r="F271" s="6" t="s">
        <v>157</v>
      </c>
      <c r="G271" s="6" t="s">
        <v>2593</v>
      </c>
      <c r="H271" s="6" t="str">
        <f t="shared" si="26"/>
        <v>att_organ</v>
      </c>
      <c r="I271" s="6" t="s">
        <v>2049</v>
      </c>
      <c r="J271" s="6" t="str">
        <f t="shared" si="27"/>
        <v>att_organ:bladder</v>
      </c>
      <c r="K271" s="11" t="s">
        <v>19</v>
      </c>
      <c r="L271" s="6" t="s">
        <v>2050</v>
      </c>
      <c r="M271" s="6" t="s">
        <v>15</v>
      </c>
      <c r="N271" s="6" t="str">
        <f t="shared" si="28"/>
        <v>INSERT INTO attributes (parent_id, tag, name, priority, allow_as_filter, allow_for_dataset, allow_for_measurement, allow_for_users, allow_for_qc) VALUES (NULL, 'att_organ',  'Organ',  500,  TRUE, TRUE, TRUE, FALSE, FALSE);</v>
      </c>
      <c r="O271" s="6" t="str">
        <f t="shared" si="29"/>
        <v xml:space="preserve">INSERT INTO attribute_values (attribute_id, tag, name, details) VALUES ((SELECT id FROM attributes WHERE tag = 'att_organ' LIMIT 1),  'att_organ:bladder',  'Bladder',  'Bladder'); </v>
      </c>
    </row>
    <row r="272" spans="1:15" x14ac:dyDescent="0.15">
      <c r="A272" s="12" t="b">
        <f>FALSE()</f>
        <v>0</v>
      </c>
      <c r="B272" s="12"/>
      <c r="C272" s="6" t="s">
        <v>2051</v>
      </c>
      <c r="D272" s="6" t="s">
        <v>2052</v>
      </c>
      <c r="E272" s="6" t="s">
        <v>15</v>
      </c>
      <c r="F272" s="6" t="s">
        <v>157</v>
      </c>
      <c r="G272" s="6" t="s">
        <v>2593</v>
      </c>
      <c r="H272" s="6" t="str">
        <f t="shared" si="26"/>
        <v>att_organ</v>
      </c>
      <c r="I272" s="6" t="s">
        <v>2051</v>
      </c>
      <c r="J272" s="6" t="str">
        <f t="shared" si="27"/>
        <v>att_organ:bone_marrow</v>
      </c>
      <c r="K272" s="11" t="s">
        <v>19</v>
      </c>
      <c r="L272" s="6" t="s">
        <v>2052</v>
      </c>
      <c r="M272" s="6" t="s">
        <v>15</v>
      </c>
      <c r="N272" s="6" t="str">
        <f t="shared" si="28"/>
        <v>INSERT INTO attributes (parent_id, tag, name, priority, allow_as_filter, allow_for_dataset, allow_for_measurement, allow_for_users, allow_for_qc) VALUES (NULL, 'att_organ',  'Organ',  500,  TRUE, TRUE, TRUE, FALSE, FALSE);</v>
      </c>
      <c r="O272" s="6" t="str">
        <f t="shared" si="29"/>
        <v xml:space="preserve">INSERT INTO attribute_values (attribute_id, tag, name, details) VALUES ((SELECT id FROM attributes WHERE tag = 'att_organ' LIMIT 1),  'att_organ:bone_marrow',  'Bone_Marrow',  'Bone_Marrow'); </v>
      </c>
    </row>
    <row r="273" spans="1:15" x14ac:dyDescent="0.15">
      <c r="A273" s="12" t="b">
        <f>FALSE()</f>
        <v>0</v>
      </c>
      <c r="B273" s="12"/>
      <c r="C273" s="6" t="s">
        <v>2053</v>
      </c>
      <c r="D273" s="6" t="s">
        <v>2054</v>
      </c>
      <c r="E273" s="6" t="s">
        <v>15</v>
      </c>
      <c r="F273" s="6" t="s">
        <v>157</v>
      </c>
      <c r="G273" s="6" t="s">
        <v>2593</v>
      </c>
      <c r="H273" s="6" t="str">
        <f t="shared" si="26"/>
        <v>att_organ</v>
      </c>
      <c r="I273" s="6" t="s">
        <v>2053</v>
      </c>
      <c r="J273" s="6" t="str">
        <f t="shared" si="27"/>
        <v>att_organ:brain</v>
      </c>
      <c r="K273" s="11" t="s">
        <v>19</v>
      </c>
      <c r="L273" s="6" t="s">
        <v>2054</v>
      </c>
      <c r="M273" s="6" t="s">
        <v>15</v>
      </c>
      <c r="N273" s="6" t="str">
        <f t="shared" si="28"/>
        <v>INSERT INTO attributes (parent_id, tag, name, priority, allow_as_filter, allow_for_dataset, allow_for_measurement, allow_for_users, allow_for_qc) VALUES (NULL, 'att_organ',  'Organ',  500,  TRUE, TRUE, TRUE, FALSE, FALSE);</v>
      </c>
      <c r="O273" s="6" t="str">
        <f t="shared" si="29"/>
        <v xml:space="preserve">INSERT INTO attribute_values (attribute_id, tag, name, details) VALUES ((SELECT id FROM attributes WHERE tag = 'att_organ' LIMIT 1),  'att_organ:brain',  'Brain',  'Brain'); </v>
      </c>
    </row>
    <row r="274" spans="1:15" x14ac:dyDescent="0.15">
      <c r="A274" s="12" t="b">
        <f>FALSE()</f>
        <v>0</v>
      </c>
      <c r="B274" s="12"/>
      <c r="C274" s="6" t="s">
        <v>2055</v>
      </c>
      <c r="D274" s="6" t="s">
        <v>2056</v>
      </c>
      <c r="E274" s="6" t="s">
        <v>15</v>
      </c>
      <c r="F274" s="6" t="s">
        <v>157</v>
      </c>
      <c r="G274" s="6" t="s">
        <v>2593</v>
      </c>
      <c r="H274" s="6" t="str">
        <f t="shared" si="26"/>
        <v>att_organ</v>
      </c>
      <c r="I274" s="6" t="s">
        <v>2055</v>
      </c>
      <c r="J274" s="6" t="str">
        <f t="shared" si="27"/>
        <v>att_organ:bronchi</v>
      </c>
      <c r="K274" s="11" t="s">
        <v>19</v>
      </c>
      <c r="L274" s="6" t="s">
        <v>2056</v>
      </c>
      <c r="M274" s="6" t="s">
        <v>15</v>
      </c>
      <c r="N274" s="6" t="str">
        <f t="shared" si="28"/>
        <v>INSERT INTO attributes (parent_id, tag, name, priority, allow_as_filter, allow_for_dataset, allow_for_measurement, allow_for_users, allow_for_qc) VALUES (NULL, 'att_organ',  'Organ',  500,  TRUE, TRUE, TRUE, FALSE, FALSE);</v>
      </c>
      <c r="O274" s="6" t="str">
        <f t="shared" si="29"/>
        <v xml:space="preserve">INSERT INTO attribute_values (attribute_id, tag, name, details) VALUES ((SELECT id FROM attributes WHERE tag = 'att_organ' LIMIT 1),  'att_organ:bronchi',  'Bronchi',  'Bronchi'); </v>
      </c>
    </row>
    <row r="275" spans="1:15" x14ac:dyDescent="0.15">
      <c r="A275" s="12" t="b">
        <f>FALSE()</f>
        <v>0</v>
      </c>
      <c r="B275" s="12"/>
      <c r="C275" s="6" t="s">
        <v>2057</v>
      </c>
      <c r="D275" s="6" t="s">
        <v>2058</v>
      </c>
      <c r="E275" s="6" t="s">
        <v>15</v>
      </c>
      <c r="F275" s="6" t="s">
        <v>157</v>
      </c>
      <c r="G275" s="6" t="s">
        <v>2593</v>
      </c>
      <c r="H275" s="6" t="str">
        <f t="shared" si="26"/>
        <v>att_organ</v>
      </c>
      <c r="I275" s="6" t="s">
        <v>2057</v>
      </c>
      <c r="J275" s="6" t="str">
        <f t="shared" si="27"/>
        <v>att_organ:cecum</v>
      </c>
      <c r="K275" s="11" t="s">
        <v>19</v>
      </c>
      <c r="L275" s="6" t="s">
        <v>2058</v>
      </c>
      <c r="M275" s="6" t="s">
        <v>15</v>
      </c>
      <c r="N275" s="6" t="str">
        <f t="shared" si="28"/>
        <v>INSERT INTO attributes (parent_id, tag, name, priority, allow_as_filter, allow_for_dataset, allow_for_measurement, allow_for_users, allow_for_qc) VALUES (NULL, 'att_organ',  'Organ',  500,  TRUE, TRUE, TRUE, FALSE, FALSE);</v>
      </c>
      <c r="O275" s="6" t="str">
        <f t="shared" si="29"/>
        <v xml:space="preserve">INSERT INTO attribute_values (attribute_id, tag, name, details) VALUES ((SELECT id FROM attributes WHERE tag = 'att_organ' LIMIT 1),  'att_organ:cecum',  'Cecum',  'Cecum'); </v>
      </c>
    </row>
    <row r="276" spans="1:15" x14ac:dyDescent="0.15">
      <c r="A276" s="12" t="b">
        <f>FALSE()</f>
        <v>0</v>
      </c>
      <c r="B276" s="12"/>
      <c r="C276" s="6" t="s">
        <v>2059</v>
      </c>
      <c r="D276" s="6" t="s">
        <v>2060</v>
      </c>
      <c r="E276" s="6" t="s">
        <v>15</v>
      </c>
      <c r="F276" s="6" t="s">
        <v>157</v>
      </c>
      <c r="G276" s="6" t="s">
        <v>2593</v>
      </c>
      <c r="H276" s="6" t="str">
        <f t="shared" si="26"/>
        <v>att_organ</v>
      </c>
      <c r="I276" s="6" t="s">
        <v>2059</v>
      </c>
      <c r="J276" s="6" t="str">
        <f t="shared" si="27"/>
        <v>att_organ:cerebellum</v>
      </c>
      <c r="K276" s="11" t="s">
        <v>19</v>
      </c>
      <c r="L276" s="6" t="s">
        <v>2060</v>
      </c>
      <c r="M276" s="6" t="s">
        <v>15</v>
      </c>
      <c r="N276" s="6" t="str">
        <f t="shared" si="28"/>
        <v>INSERT INTO attributes (parent_id, tag, name, priority, allow_as_filter, allow_for_dataset, allow_for_measurement, allow_for_users, allow_for_qc) VALUES (NULL, 'att_organ',  'Organ',  500,  TRUE, TRUE, TRUE, FALSE, FALSE);</v>
      </c>
      <c r="O276" s="6" t="str">
        <f t="shared" si="29"/>
        <v xml:space="preserve">INSERT INTO attribute_values (attribute_id, tag, name, details) VALUES ((SELECT id FROM attributes WHERE tag = 'att_organ' LIMIT 1),  'att_organ:cerebellum',  'Cerebellum',  'Cerebellum'); </v>
      </c>
    </row>
    <row r="277" spans="1:15" x14ac:dyDescent="0.15">
      <c r="A277" s="12" t="b">
        <f>FALSE()</f>
        <v>0</v>
      </c>
      <c r="B277" s="12"/>
      <c r="C277" s="6" t="s">
        <v>2061</v>
      </c>
      <c r="D277" s="6" t="s">
        <v>2062</v>
      </c>
      <c r="E277" s="6" t="s">
        <v>15</v>
      </c>
      <c r="F277" s="6" t="s">
        <v>157</v>
      </c>
      <c r="G277" s="6" t="s">
        <v>2593</v>
      </c>
      <c r="H277" s="6" t="str">
        <f t="shared" si="26"/>
        <v>att_organ</v>
      </c>
      <c r="I277" s="6" t="s">
        <v>2061</v>
      </c>
      <c r="J277" s="6" t="str">
        <f t="shared" si="27"/>
        <v>att_organ:cerebrum</v>
      </c>
      <c r="K277" s="11" t="s">
        <v>19</v>
      </c>
      <c r="L277" s="6" t="s">
        <v>2062</v>
      </c>
      <c r="M277" s="6" t="s">
        <v>15</v>
      </c>
      <c r="N277" s="6" t="str">
        <f t="shared" si="28"/>
        <v>INSERT INTO attributes (parent_id, tag, name, priority, allow_as_filter, allow_for_dataset, allow_for_measurement, allow_for_users, allow_for_qc) VALUES (NULL, 'att_organ',  'Organ',  500,  TRUE, TRUE, TRUE, FALSE, FALSE);</v>
      </c>
      <c r="O277" s="6" t="str">
        <f t="shared" si="29"/>
        <v xml:space="preserve">INSERT INTO attribute_values (attribute_id, tag, name, details) VALUES ((SELECT id FROM attributes WHERE tag = 'att_organ' LIMIT 1),  'att_organ:cerebrum',  'Cerebrum',  'Cerebrum'); </v>
      </c>
    </row>
    <row r="278" spans="1:15" x14ac:dyDescent="0.15">
      <c r="A278" s="12" t="b">
        <f>FALSE()</f>
        <v>0</v>
      </c>
      <c r="B278" s="12"/>
      <c r="C278" s="6" t="s">
        <v>2063</v>
      </c>
      <c r="D278" s="6" t="s">
        <v>2064</v>
      </c>
      <c r="E278" s="6" t="s">
        <v>15</v>
      </c>
      <c r="F278" s="6" t="s">
        <v>157</v>
      </c>
      <c r="G278" s="6" t="s">
        <v>2593</v>
      </c>
      <c r="H278" s="6" t="str">
        <f t="shared" si="26"/>
        <v>att_organ</v>
      </c>
      <c r="I278" s="6" t="s">
        <v>2063</v>
      </c>
      <c r="J278" s="6" t="str">
        <f t="shared" si="27"/>
        <v>att_organ:ear</v>
      </c>
      <c r="K278" s="11" t="s">
        <v>19</v>
      </c>
      <c r="L278" s="6" t="s">
        <v>2064</v>
      </c>
      <c r="M278" s="6" t="s">
        <v>15</v>
      </c>
      <c r="N278" s="6" t="str">
        <f t="shared" si="28"/>
        <v>INSERT INTO attributes (parent_id, tag, name, priority, allow_as_filter, allow_for_dataset, allow_for_measurement, allow_for_users, allow_for_qc) VALUES (NULL, 'att_organ',  'Organ',  500,  TRUE, TRUE, TRUE, FALSE, FALSE);</v>
      </c>
      <c r="O278" s="6" t="str">
        <f t="shared" si="29"/>
        <v xml:space="preserve">INSERT INTO attribute_values (attribute_id, tag, name, details) VALUES ((SELECT id FROM attributes WHERE tag = 'att_organ' LIMIT 1),  'att_organ:ear',  'Ear',  'Ear'); </v>
      </c>
    </row>
    <row r="279" spans="1:15" x14ac:dyDescent="0.15">
      <c r="A279" s="12" t="b">
        <f>FALSE()</f>
        <v>0</v>
      </c>
      <c r="B279" s="12"/>
      <c r="C279" s="6" t="s">
        <v>2065</v>
      </c>
      <c r="D279" s="6" t="s">
        <v>2066</v>
      </c>
      <c r="E279" s="6" t="s">
        <v>15</v>
      </c>
      <c r="F279" s="6" t="s">
        <v>157</v>
      </c>
      <c r="G279" s="6" t="s">
        <v>2593</v>
      </c>
      <c r="H279" s="6" t="str">
        <f t="shared" si="26"/>
        <v>att_organ</v>
      </c>
      <c r="I279" s="6" t="s">
        <v>2065</v>
      </c>
      <c r="J279" s="6" t="str">
        <f t="shared" si="27"/>
        <v>att_organ:esophagus</v>
      </c>
      <c r="K279" s="11" t="s">
        <v>19</v>
      </c>
      <c r="L279" s="6" t="s">
        <v>2066</v>
      </c>
      <c r="M279" s="6" t="s">
        <v>15</v>
      </c>
      <c r="N279" s="6" t="str">
        <f t="shared" si="28"/>
        <v>INSERT INTO attributes (parent_id, tag, name, priority, allow_as_filter, allow_for_dataset, allow_for_measurement, allow_for_users, allow_for_qc) VALUES (NULL, 'att_organ',  'Organ',  500,  TRUE, TRUE, TRUE, FALSE, FALSE);</v>
      </c>
      <c r="O279" s="6" t="str">
        <f t="shared" si="29"/>
        <v xml:space="preserve">INSERT INTO attribute_values (attribute_id, tag, name, details) VALUES ((SELECT id FROM attributes WHERE tag = 'att_organ' LIMIT 1),  'att_organ:esophagus',  'Esophagus',  'Esophagus'); </v>
      </c>
    </row>
    <row r="280" spans="1:15" x14ac:dyDescent="0.15">
      <c r="A280" s="12" t="b">
        <f>FALSE()</f>
        <v>0</v>
      </c>
      <c r="B280" s="12"/>
      <c r="C280" s="6" t="s">
        <v>2067</v>
      </c>
      <c r="D280" s="6" t="s">
        <v>2068</v>
      </c>
      <c r="E280" s="6" t="s">
        <v>15</v>
      </c>
      <c r="F280" s="6" t="s">
        <v>157</v>
      </c>
      <c r="G280" s="6" t="s">
        <v>2593</v>
      </c>
      <c r="H280" s="6" t="str">
        <f t="shared" si="26"/>
        <v>att_organ</v>
      </c>
      <c r="I280" s="6" t="s">
        <v>2067</v>
      </c>
      <c r="J280" s="6" t="str">
        <f t="shared" si="27"/>
        <v>att_organ:eye</v>
      </c>
      <c r="K280" s="11" t="s">
        <v>19</v>
      </c>
      <c r="L280" s="6" t="s">
        <v>2068</v>
      </c>
      <c r="M280" s="6" t="s">
        <v>15</v>
      </c>
      <c r="N280" s="6" t="str">
        <f t="shared" si="28"/>
        <v>INSERT INTO attributes (parent_id, tag, name, priority, allow_as_filter, allow_for_dataset, allow_for_measurement, allow_for_users, allow_for_qc) VALUES (NULL, 'att_organ',  'Organ',  500,  TRUE, TRUE, TRUE, FALSE, FALSE);</v>
      </c>
      <c r="O280" s="6" t="str">
        <f t="shared" si="29"/>
        <v xml:space="preserve">INSERT INTO attribute_values (attribute_id, tag, name, details) VALUES ((SELECT id FROM attributes WHERE tag = 'att_organ' LIMIT 1),  'att_organ:eye',  'Eye',  'Eye'); </v>
      </c>
    </row>
    <row r="281" spans="1:15" x14ac:dyDescent="0.15">
      <c r="A281" s="12" t="b">
        <f>FALSE()</f>
        <v>0</v>
      </c>
      <c r="B281" s="12"/>
      <c r="C281" s="6" t="s">
        <v>2069</v>
      </c>
      <c r="D281" s="6" t="s">
        <v>2070</v>
      </c>
      <c r="E281" s="6" t="s">
        <v>15</v>
      </c>
      <c r="F281" s="6" t="s">
        <v>157</v>
      </c>
      <c r="G281" s="6" t="s">
        <v>2593</v>
      </c>
      <c r="H281" s="6" t="str">
        <f t="shared" si="26"/>
        <v>att_organ</v>
      </c>
      <c r="I281" s="6" t="s">
        <v>2069</v>
      </c>
      <c r="J281" s="6" t="str">
        <f t="shared" si="27"/>
        <v>att_organ:gallbladder</v>
      </c>
      <c r="K281" s="11" t="s">
        <v>19</v>
      </c>
      <c r="L281" s="6" t="s">
        <v>2070</v>
      </c>
      <c r="M281" s="6" t="s">
        <v>15</v>
      </c>
      <c r="N281" s="6" t="str">
        <f t="shared" si="28"/>
        <v>INSERT INTO attributes (parent_id, tag, name, priority, allow_as_filter, allow_for_dataset, allow_for_measurement, allow_for_users, allow_for_qc) VALUES (NULL, 'att_organ',  'Organ',  500,  TRUE, TRUE, TRUE, FALSE, FALSE);</v>
      </c>
      <c r="O281" s="6" t="str">
        <f t="shared" si="29"/>
        <v xml:space="preserve">INSERT INTO attribute_values (attribute_id, tag, name, details) VALUES ((SELECT id FROM attributes WHERE tag = 'att_organ' LIMIT 1),  'att_organ:gallbladder',  'Gallbladder',  'Gallbladder'); </v>
      </c>
    </row>
    <row r="282" spans="1:15" x14ac:dyDescent="0.15">
      <c r="A282" s="12" t="b">
        <f>FALSE()</f>
        <v>0</v>
      </c>
      <c r="B282" s="12"/>
      <c r="C282" s="6" t="s">
        <v>2071</v>
      </c>
      <c r="D282" s="6" t="s">
        <v>2072</v>
      </c>
      <c r="E282" s="6" t="s">
        <v>15</v>
      </c>
      <c r="F282" s="6" t="s">
        <v>157</v>
      </c>
      <c r="G282" s="6" t="s">
        <v>2593</v>
      </c>
      <c r="H282" s="6" t="str">
        <f t="shared" si="26"/>
        <v>att_organ</v>
      </c>
      <c r="I282" s="6" t="s">
        <v>2071</v>
      </c>
      <c r="J282" s="6" t="str">
        <f t="shared" si="27"/>
        <v>att_organ:ganglia</v>
      </c>
      <c r="K282" s="11" t="s">
        <v>19</v>
      </c>
      <c r="L282" s="6" t="s">
        <v>2072</v>
      </c>
      <c r="M282" s="6" t="s">
        <v>15</v>
      </c>
      <c r="N282" s="6" t="str">
        <f t="shared" si="28"/>
        <v>INSERT INTO attributes (parent_id, tag, name, priority, allow_as_filter, allow_for_dataset, allow_for_measurement, allow_for_users, allow_for_qc) VALUES (NULL, 'att_organ',  'Organ',  500,  TRUE, TRUE, TRUE, FALSE, FALSE);</v>
      </c>
      <c r="O282" s="6" t="str">
        <f t="shared" si="29"/>
        <v xml:space="preserve">INSERT INTO attribute_values (attribute_id, tag, name, details) VALUES ((SELECT id FROM attributes WHERE tag = 'att_organ' LIMIT 1),  'att_organ:ganglia',  'Ganglia',  'Ganglia'); </v>
      </c>
    </row>
    <row r="283" spans="1:15" x14ac:dyDescent="0.15">
      <c r="A283" s="12" t="b">
        <f>FALSE()</f>
        <v>0</v>
      </c>
      <c r="B283" s="12"/>
      <c r="C283" s="6" t="s">
        <v>2073</v>
      </c>
      <c r="D283" s="6" t="s">
        <v>2074</v>
      </c>
      <c r="E283" s="6" t="s">
        <v>15</v>
      </c>
      <c r="F283" s="6" t="s">
        <v>157</v>
      </c>
      <c r="G283" s="6" t="s">
        <v>2593</v>
      </c>
      <c r="H283" s="6" t="str">
        <f t="shared" si="26"/>
        <v>att_organ</v>
      </c>
      <c r="I283" s="6" t="s">
        <v>2073</v>
      </c>
      <c r="J283" s="6" t="str">
        <f t="shared" si="27"/>
        <v>att_organ:heart</v>
      </c>
      <c r="K283" s="11" t="s">
        <v>19</v>
      </c>
      <c r="L283" s="6" t="s">
        <v>2074</v>
      </c>
      <c r="M283" s="6" t="s">
        <v>15</v>
      </c>
      <c r="N283" s="6" t="str">
        <f t="shared" si="28"/>
        <v>INSERT INTO attributes (parent_id, tag, name, priority, allow_as_filter, allow_for_dataset, allow_for_measurement, allow_for_users, allow_for_qc) VALUES (NULL, 'att_organ',  'Organ',  500,  TRUE, TRUE, TRUE, FALSE, FALSE);</v>
      </c>
      <c r="O283" s="6" t="str">
        <f t="shared" si="29"/>
        <v xml:space="preserve">INSERT INTO attribute_values (attribute_id, tag, name, details) VALUES ((SELECT id FROM attributes WHERE tag = 'att_organ' LIMIT 1),  'att_organ:heart',  'Heart',  'Heart'); </v>
      </c>
    </row>
    <row r="284" spans="1:15" x14ac:dyDescent="0.15">
      <c r="A284" s="12" t="b">
        <f>FALSE()</f>
        <v>0</v>
      </c>
      <c r="B284" s="12"/>
      <c r="C284" s="6" t="s">
        <v>2075</v>
      </c>
      <c r="D284" s="6" t="s">
        <v>2076</v>
      </c>
      <c r="E284" s="6" t="s">
        <v>15</v>
      </c>
      <c r="F284" s="6" t="s">
        <v>157</v>
      </c>
      <c r="G284" s="6" t="s">
        <v>2593</v>
      </c>
      <c r="H284" s="6" t="str">
        <f t="shared" si="26"/>
        <v>att_organ</v>
      </c>
      <c r="I284" s="6" t="s">
        <v>2075</v>
      </c>
      <c r="J284" s="6" t="str">
        <f t="shared" si="27"/>
        <v>att_organ:hypothalamus</v>
      </c>
      <c r="K284" s="11" t="s">
        <v>19</v>
      </c>
      <c r="L284" s="6" t="s">
        <v>2076</v>
      </c>
      <c r="M284" s="6" t="s">
        <v>15</v>
      </c>
      <c r="N284" s="6" t="str">
        <f t="shared" si="28"/>
        <v>INSERT INTO attributes (parent_id, tag, name, priority, allow_as_filter, allow_for_dataset, allow_for_measurement, allow_for_users, allow_for_qc) VALUES (NULL, 'att_organ',  'Organ',  500,  TRUE, TRUE, TRUE, FALSE, FALSE);</v>
      </c>
      <c r="O284" s="6" t="str">
        <f t="shared" si="29"/>
        <v xml:space="preserve">INSERT INTO attribute_values (attribute_id, tag, name, details) VALUES ((SELECT id FROM attributes WHERE tag = 'att_organ' LIMIT 1),  'att_organ:hypothalamus',  'Hypothalamus',  'Hypothalamus'); </v>
      </c>
    </row>
    <row r="285" spans="1:15" x14ac:dyDescent="0.15">
      <c r="A285" s="12" t="b">
        <f>FALSE()</f>
        <v>0</v>
      </c>
      <c r="B285" s="12"/>
      <c r="C285" s="6" t="s">
        <v>2077</v>
      </c>
      <c r="D285" s="6" t="s">
        <v>2078</v>
      </c>
      <c r="E285" s="6" t="s">
        <v>15</v>
      </c>
      <c r="F285" s="6" t="s">
        <v>157</v>
      </c>
      <c r="G285" s="6" t="s">
        <v>2593</v>
      </c>
      <c r="H285" s="6" t="str">
        <f t="shared" si="26"/>
        <v>att_organ</v>
      </c>
      <c r="I285" s="6" t="s">
        <v>2077</v>
      </c>
      <c r="J285" s="6" t="str">
        <f t="shared" si="27"/>
        <v>att_organ:kidney</v>
      </c>
      <c r="K285" s="11" t="s">
        <v>19</v>
      </c>
      <c r="L285" s="6" t="s">
        <v>2078</v>
      </c>
      <c r="M285" s="6" t="s">
        <v>15</v>
      </c>
      <c r="N285" s="6" t="str">
        <f t="shared" si="28"/>
        <v>INSERT INTO attributes (parent_id, tag, name, priority, allow_as_filter, allow_for_dataset, allow_for_measurement, allow_for_users, allow_for_qc) VALUES (NULL, 'att_organ',  'Organ',  500,  TRUE, TRUE, TRUE, FALSE, FALSE);</v>
      </c>
      <c r="O285" s="6" t="str">
        <f t="shared" si="29"/>
        <v xml:space="preserve">INSERT INTO attribute_values (attribute_id, tag, name, details) VALUES ((SELECT id FROM attributes WHERE tag = 'att_organ' LIMIT 1),  'att_organ:kidney',  'Kidney',  'Kidney'); </v>
      </c>
    </row>
    <row r="286" spans="1:15" x14ac:dyDescent="0.15">
      <c r="A286" s="12" t="b">
        <f>FALSE()</f>
        <v>0</v>
      </c>
      <c r="B286" s="12"/>
      <c r="C286" s="6" t="s">
        <v>2079</v>
      </c>
      <c r="D286" s="6" t="s">
        <v>2081</v>
      </c>
      <c r="E286" s="6" t="s">
        <v>15</v>
      </c>
      <c r="F286" s="6" t="s">
        <v>157</v>
      </c>
      <c r="G286" s="6" t="s">
        <v>2593</v>
      </c>
      <c r="H286" s="6" t="str">
        <f t="shared" si="26"/>
        <v>att_organ</v>
      </c>
      <c r="I286" s="6" t="s">
        <v>2079</v>
      </c>
      <c r="J286" s="6" t="str">
        <f t="shared" si="27"/>
        <v>att_organ:large_intestine</v>
      </c>
      <c r="K286" s="11" t="s">
        <v>19</v>
      </c>
      <c r="L286" s="6" t="s">
        <v>2082</v>
      </c>
      <c r="M286" s="6" t="s">
        <v>15</v>
      </c>
      <c r="N286" s="6" t="str">
        <f t="shared" si="28"/>
        <v>INSERT INTO attributes (parent_id, tag, name, priority, allow_as_filter, allow_for_dataset, allow_for_measurement, allow_for_users, allow_for_qc) VALUES (NULL, 'att_organ',  'Organ',  500,  TRUE, TRUE, TRUE, FALSE, FALSE);</v>
      </c>
      <c r="O286" s="6" t="str">
        <f t="shared" si="29"/>
        <v xml:space="preserve">INSERT INTO attribute_values (attribute_id, tag, name, details) VALUES ((SELECT id FROM attributes WHERE tag = 'att_organ' LIMIT 1),  'att_organ:large_intestine',  'Large Intestine',  'Large Intestine / Colon; between the Anus and small Intestine'); </v>
      </c>
    </row>
    <row r="287" spans="1:15" x14ac:dyDescent="0.15">
      <c r="A287" s="12" t="b">
        <f>FALSE()</f>
        <v>0</v>
      </c>
      <c r="B287" s="12"/>
      <c r="C287" s="6" t="s">
        <v>2083</v>
      </c>
      <c r="D287" s="6" t="s">
        <v>2084</v>
      </c>
      <c r="E287" s="6" t="s">
        <v>15</v>
      </c>
      <c r="F287" s="6" t="s">
        <v>157</v>
      </c>
      <c r="G287" s="6" t="s">
        <v>2593</v>
      </c>
      <c r="H287" s="6" t="str">
        <f t="shared" si="26"/>
        <v>att_organ</v>
      </c>
      <c r="I287" s="6" t="s">
        <v>2083</v>
      </c>
      <c r="J287" s="6" t="str">
        <f t="shared" si="27"/>
        <v>att_organ:liver</v>
      </c>
      <c r="K287" s="11" t="s">
        <v>19</v>
      </c>
      <c r="L287" s="6" t="s">
        <v>2084</v>
      </c>
      <c r="M287" s="6" t="s">
        <v>15</v>
      </c>
      <c r="N287" s="6" t="str">
        <f t="shared" si="28"/>
        <v>INSERT INTO attributes (parent_id, tag, name, priority, allow_as_filter, allow_for_dataset, allow_for_measurement, allow_for_users, allow_for_qc) VALUES (NULL, 'att_organ',  'Organ',  500,  TRUE, TRUE, TRUE, FALSE, FALSE);</v>
      </c>
      <c r="O287" s="6" t="str">
        <f t="shared" si="29"/>
        <v xml:space="preserve">INSERT INTO attribute_values (attribute_id, tag, name, details) VALUES ((SELECT id FROM attributes WHERE tag = 'att_organ' LIMIT 1),  'att_organ:liver',  'Liver',  'Liver'); </v>
      </c>
    </row>
    <row r="288" spans="1:15" x14ac:dyDescent="0.15">
      <c r="A288" s="12" t="b">
        <f>FALSE()</f>
        <v>0</v>
      </c>
      <c r="B288" s="12"/>
      <c r="C288" s="6" t="s">
        <v>2085</v>
      </c>
      <c r="D288" s="6" t="s">
        <v>2086</v>
      </c>
      <c r="E288" s="6" t="s">
        <v>15</v>
      </c>
      <c r="F288" s="6" t="s">
        <v>157</v>
      </c>
      <c r="G288" s="6" t="s">
        <v>2593</v>
      </c>
      <c r="H288" s="6" t="str">
        <f t="shared" si="26"/>
        <v>att_organ</v>
      </c>
      <c r="I288" s="6" t="s">
        <v>2085</v>
      </c>
      <c r="J288" s="6" t="str">
        <f t="shared" si="27"/>
        <v>att_organ:lung</v>
      </c>
      <c r="K288" s="11" t="s">
        <v>19</v>
      </c>
      <c r="L288" s="6" t="s">
        <v>2086</v>
      </c>
      <c r="M288" s="6" t="s">
        <v>15</v>
      </c>
      <c r="N288" s="6" t="str">
        <f t="shared" si="28"/>
        <v>INSERT INTO attributes (parent_id, tag, name, priority, allow_as_filter, allow_for_dataset, allow_for_measurement, allow_for_users, allow_for_qc) VALUES (NULL, 'att_organ',  'Organ',  500,  TRUE, TRUE, TRUE, FALSE, FALSE);</v>
      </c>
      <c r="O288" s="6" t="str">
        <f t="shared" si="29"/>
        <v xml:space="preserve">INSERT INTO attribute_values (attribute_id, tag, name, details) VALUES ((SELECT id FROM attributes WHERE tag = 'att_organ' LIMIT 1),  'att_organ:lung',  'Lung',  'Lung'); </v>
      </c>
    </row>
    <row r="289" spans="1:15" x14ac:dyDescent="0.15">
      <c r="A289" s="12" t="b">
        <f>FALSE()</f>
        <v>0</v>
      </c>
      <c r="B289" s="12"/>
      <c r="C289" s="6" t="s">
        <v>2087</v>
      </c>
      <c r="D289" s="6" t="s">
        <v>2088</v>
      </c>
      <c r="E289" s="6" t="s">
        <v>15</v>
      </c>
      <c r="F289" s="6" t="s">
        <v>157</v>
      </c>
      <c r="G289" s="6" t="s">
        <v>2593</v>
      </c>
      <c r="H289" s="6" t="str">
        <f t="shared" si="26"/>
        <v>att_organ</v>
      </c>
      <c r="I289" s="6" t="s">
        <v>2087</v>
      </c>
      <c r="J289" s="6" t="str">
        <f t="shared" si="27"/>
        <v>att_organ:lymph_node</v>
      </c>
      <c r="K289" s="11" t="s">
        <v>19</v>
      </c>
      <c r="L289" s="6" t="s">
        <v>2088</v>
      </c>
      <c r="M289" s="6" t="s">
        <v>15</v>
      </c>
      <c r="N289" s="6" t="str">
        <f t="shared" si="28"/>
        <v>INSERT INTO attributes (parent_id, tag, name, priority, allow_as_filter, allow_for_dataset, allow_for_measurement, allow_for_users, allow_for_qc) VALUES (NULL, 'att_organ',  'Organ',  500,  TRUE, TRUE, TRUE, FALSE, FALSE);</v>
      </c>
      <c r="O289" s="6" t="str">
        <f t="shared" si="29"/>
        <v xml:space="preserve">INSERT INTO attribute_values (attribute_id, tag, name, details) VALUES ((SELECT id FROM attributes WHERE tag = 'att_organ' LIMIT 1),  'att_organ:lymph_node',  'Lymph Node',  'Lymph Node'); </v>
      </c>
    </row>
    <row r="290" spans="1:15" x14ac:dyDescent="0.15">
      <c r="A290" s="12" t="b">
        <f>FALSE()</f>
        <v>0</v>
      </c>
      <c r="B290" s="12"/>
      <c r="C290" s="6" t="s">
        <v>2089</v>
      </c>
      <c r="D290" s="6" t="s">
        <v>2090</v>
      </c>
      <c r="E290" s="6" t="s">
        <v>15</v>
      </c>
      <c r="F290" s="6" t="s">
        <v>157</v>
      </c>
      <c r="G290" s="6" t="s">
        <v>2593</v>
      </c>
      <c r="H290" s="6" t="str">
        <f t="shared" si="26"/>
        <v>att_organ</v>
      </c>
      <c r="I290" s="6" t="s">
        <v>2089</v>
      </c>
      <c r="J290" s="6" t="str">
        <f t="shared" si="27"/>
        <v>att_organ:medulla</v>
      </c>
      <c r="K290" s="11" t="s">
        <v>19</v>
      </c>
      <c r="L290" s="6" t="s">
        <v>2090</v>
      </c>
      <c r="M290" s="6" t="s">
        <v>15</v>
      </c>
      <c r="N290" s="6" t="str">
        <f t="shared" si="28"/>
        <v>INSERT INTO attributes (parent_id, tag, name, priority, allow_as_filter, allow_for_dataset, allow_for_measurement, allow_for_users, allow_for_qc) VALUES (NULL, 'att_organ',  'Organ',  500,  TRUE, TRUE, TRUE, FALSE, FALSE);</v>
      </c>
      <c r="O290" s="6" t="str">
        <f t="shared" si="29"/>
        <v xml:space="preserve">INSERT INTO attribute_values (attribute_id, tag, name, details) VALUES ((SELECT id FROM attributes WHERE tag = 'att_organ' LIMIT 1),  'att_organ:medulla',  'Medulla',  'Medulla'); </v>
      </c>
    </row>
    <row r="291" spans="1:15" x14ac:dyDescent="0.15">
      <c r="A291" s="12" t="b">
        <f>FALSE()</f>
        <v>0</v>
      </c>
      <c r="B291" s="12"/>
      <c r="C291" s="6" t="s">
        <v>2091</v>
      </c>
      <c r="D291" s="6" t="s">
        <v>2092</v>
      </c>
      <c r="E291" s="6" t="s">
        <v>15</v>
      </c>
      <c r="F291" s="6" t="s">
        <v>157</v>
      </c>
      <c r="G291" s="6" t="s">
        <v>2593</v>
      </c>
      <c r="H291" s="6" t="str">
        <f t="shared" si="26"/>
        <v>att_organ</v>
      </c>
      <c r="I291" s="6" t="s">
        <v>2091</v>
      </c>
      <c r="J291" s="6" t="str">
        <f t="shared" si="27"/>
        <v>att_organ:mesentery</v>
      </c>
      <c r="K291" s="11" t="s">
        <v>19</v>
      </c>
      <c r="L291" s="6" t="s">
        <v>2092</v>
      </c>
      <c r="M291" s="6" t="s">
        <v>15</v>
      </c>
      <c r="N291" s="6" t="str">
        <f t="shared" si="28"/>
        <v>INSERT INTO attributes (parent_id, tag, name, priority, allow_as_filter, allow_for_dataset, allow_for_measurement, allow_for_users, allow_for_qc) VALUES (NULL, 'att_organ',  'Organ',  500,  TRUE, TRUE, TRUE, FALSE, FALSE);</v>
      </c>
      <c r="O291" s="6" t="str">
        <f t="shared" si="29"/>
        <v xml:space="preserve">INSERT INTO attribute_values (attribute_id, tag, name, details) VALUES ((SELECT id FROM attributes WHERE tag = 'att_organ' LIMIT 1),  'att_organ:mesentery',  'Mesentery',  'Mesentery'); </v>
      </c>
    </row>
    <row r="292" spans="1:15" x14ac:dyDescent="0.15">
      <c r="A292" s="12" t="b">
        <f>FALSE()</f>
        <v>0</v>
      </c>
      <c r="B292" s="12"/>
      <c r="C292" s="6" t="s">
        <v>2093</v>
      </c>
      <c r="D292" s="6" t="s">
        <v>2094</v>
      </c>
      <c r="E292" s="6" t="s">
        <v>15</v>
      </c>
      <c r="F292" s="6" t="s">
        <v>157</v>
      </c>
      <c r="G292" s="6" t="s">
        <v>2593</v>
      </c>
      <c r="H292" s="6" t="str">
        <f t="shared" si="26"/>
        <v>att_organ</v>
      </c>
      <c r="I292" s="6" t="s">
        <v>2093</v>
      </c>
      <c r="J292" s="6" t="str">
        <f t="shared" si="27"/>
        <v>att_organ:midbrain</v>
      </c>
      <c r="K292" s="11" t="s">
        <v>19</v>
      </c>
      <c r="L292" s="6" t="s">
        <v>2094</v>
      </c>
      <c r="M292" s="6" t="s">
        <v>15</v>
      </c>
      <c r="N292" s="6" t="str">
        <f t="shared" si="28"/>
        <v>INSERT INTO attributes (parent_id, tag, name, priority, allow_as_filter, allow_for_dataset, allow_for_measurement, allow_for_users, allow_for_qc) VALUES (NULL, 'att_organ',  'Organ',  500,  TRUE, TRUE, TRUE, FALSE, FALSE);</v>
      </c>
      <c r="O292" s="6" t="str">
        <f t="shared" si="29"/>
        <v xml:space="preserve">INSERT INTO attribute_values (attribute_id, tag, name, details) VALUES ((SELECT id FROM attributes WHERE tag = 'att_organ' LIMIT 1),  'att_organ:midbrain',  'Midbrain',  'Midbrain'); </v>
      </c>
    </row>
    <row r="293" spans="1:15" x14ac:dyDescent="0.15">
      <c r="A293" s="12" t="b">
        <f>FALSE()</f>
        <v>0</v>
      </c>
      <c r="B293" s="12"/>
      <c r="C293" s="6" t="s">
        <v>2095</v>
      </c>
      <c r="D293" s="6" t="s">
        <v>2096</v>
      </c>
      <c r="E293" s="6" t="s">
        <v>15</v>
      </c>
      <c r="F293" s="6" t="s">
        <v>157</v>
      </c>
      <c r="G293" s="6" t="s">
        <v>2593</v>
      </c>
      <c r="H293" s="6" t="str">
        <f t="shared" si="26"/>
        <v>att_organ</v>
      </c>
      <c r="I293" s="6" t="s">
        <v>2095</v>
      </c>
      <c r="J293" s="6" t="str">
        <f t="shared" si="27"/>
        <v>att_organ:ovaries</v>
      </c>
      <c r="K293" s="11" t="s">
        <v>19</v>
      </c>
      <c r="L293" s="6" t="s">
        <v>2096</v>
      </c>
      <c r="M293" s="6" t="s">
        <v>15</v>
      </c>
      <c r="N293" s="6" t="str">
        <f t="shared" si="28"/>
        <v>INSERT INTO attributes (parent_id, tag, name, priority, allow_as_filter, allow_for_dataset, allow_for_measurement, allow_for_users, allow_for_qc) VALUES (NULL, 'att_organ',  'Organ',  500,  TRUE, TRUE, TRUE, FALSE, FALSE);</v>
      </c>
      <c r="O293" s="6" t="str">
        <f t="shared" si="29"/>
        <v xml:space="preserve">INSERT INTO attribute_values (attribute_id, tag, name, details) VALUES ((SELECT id FROM attributes WHERE tag = 'att_organ' LIMIT 1),  'att_organ:ovaries',  'Ovaries',  'Ovaries'); </v>
      </c>
    </row>
    <row r="294" spans="1:15" x14ac:dyDescent="0.15">
      <c r="A294" s="12" t="b">
        <f>FALSE()</f>
        <v>0</v>
      </c>
      <c r="B294" s="12"/>
      <c r="C294" s="6" t="s">
        <v>2097</v>
      </c>
      <c r="D294" s="6" t="s">
        <v>2098</v>
      </c>
      <c r="E294" s="6" t="s">
        <v>15</v>
      </c>
      <c r="F294" s="6" t="s">
        <v>157</v>
      </c>
      <c r="G294" s="6" t="s">
        <v>2593</v>
      </c>
      <c r="H294" s="6" t="str">
        <f t="shared" si="26"/>
        <v>att_organ</v>
      </c>
      <c r="I294" s="6" t="s">
        <v>2097</v>
      </c>
      <c r="J294" s="6" t="str">
        <f t="shared" si="27"/>
        <v>att_organ:pancreas</v>
      </c>
      <c r="K294" s="11" t="s">
        <v>19</v>
      </c>
      <c r="L294" s="6" t="s">
        <v>2098</v>
      </c>
      <c r="M294" s="6" t="s">
        <v>15</v>
      </c>
      <c r="N294" s="6" t="str">
        <f t="shared" si="28"/>
        <v>INSERT INTO attributes (parent_id, tag, name, priority, allow_as_filter, allow_for_dataset, allow_for_measurement, allow_for_users, allow_for_qc) VALUES (NULL, 'att_organ',  'Organ',  500,  TRUE, TRUE, TRUE, FALSE, FALSE);</v>
      </c>
      <c r="O294" s="6" t="str">
        <f t="shared" si="29"/>
        <v xml:space="preserve">INSERT INTO attribute_values (attribute_id, tag, name, details) VALUES ((SELECT id FROM attributes WHERE tag = 'att_organ' LIMIT 1),  'att_organ:pancreas',  'Pancreas',  'Pancreas'); </v>
      </c>
    </row>
    <row r="295" spans="1:15" x14ac:dyDescent="0.15">
      <c r="A295" s="12" t="b">
        <f>FALSE()</f>
        <v>0</v>
      </c>
      <c r="B295" s="12"/>
      <c r="C295" s="6" t="s">
        <v>2099</v>
      </c>
      <c r="D295" s="6" t="s">
        <v>2100</v>
      </c>
      <c r="E295" s="6" t="s">
        <v>15</v>
      </c>
      <c r="F295" s="6" t="s">
        <v>157</v>
      </c>
      <c r="G295" s="6" t="s">
        <v>2593</v>
      </c>
      <c r="H295" s="6" t="str">
        <f t="shared" si="26"/>
        <v>att_organ</v>
      </c>
      <c r="I295" s="6" t="s">
        <v>2099</v>
      </c>
      <c r="J295" s="6" t="str">
        <f t="shared" si="27"/>
        <v>att_organ:pons</v>
      </c>
      <c r="K295" s="11" t="s">
        <v>19</v>
      </c>
      <c r="L295" s="6" t="s">
        <v>2100</v>
      </c>
      <c r="M295" s="6" t="s">
        <v>15</v>
      </c>
      <c r="N295" s="6" t="str">
        <f t="shared" si="28"/>
        <v>INSERT INTO attributes (parent_id, tag, name, priority, allow_as_filter, allow_for_dataset, allow_for_measurement, allow_for_users, allow_for_qc) VALUES (NULL, 'att_organ',  'Organ',  500,  TRUE, TRUE, TRUE, FALSE, FALSE);</v>
      </c>
      <c r="O295" s="6" t="str">
        <f t="shared" si="29"/>
        <v xml:space="preserve">INSERT INTO attribute_values (attribute_id, tag, name, details) VALUES ((SELECT id FROM attributes WHERE tag = 'att_organ' LIMIT 1),  'att_organ:pons',  'Pons',  'Pons'); </v>
      </c>
    </row>
    <row r="296" spans="1:15" x14ac:dyDescent="0.15">
      <c r="A296" s="12" t="b">
        <f>FALSE()</f>
        <v>0</v>
      </c>
      <c r="B296" s="12"/>
      <c r="C296" s="6" t="s">
        <v>2101</v>
      </c>
      <c r="D296" s="6" t="s">
        <v>2102</v>
      </c>
      <c r="E296" s="6" t="s">
        <v>15</v>
      </c>
      <c r="F296" s="6" t="s">
        <v>157</v>
      </c>
      <c r="G296" s="6" t="s">
        <v>2593</v>
      </c>
      <c r="H296" s="6" t="str">
        <f t="shared" si="26"/>
        <v>att_organ</v>
      </c>
      <c r="I296" s="6" t="s">
        <v>2101</v>
      </c>
      <c r="J296" s="6" t="str">
        <f t="shared" si="27"/>
        <v>att_organ:prostate</v>
      </c>
      <c r="K296" s="11" t="s">
        <v>19</v>
      </c>
      <c r="L296" s="6" t="s">
        <v>2102</v>
      </c>
      <c r="M296" s="6" t="s">
        <v>15</v>
      </c>
      <c r="N296" s="6" t="str">
        <f t="shared" si="28"/>
        <v>INSERT INTO attributes (parent_id, tag, name, priority, allow_as_filter, allow_for_dataset, allow_for_measurement, allow_for_users, allow_for_qc) VALUES (NULL, 'att_organ',  'Organ',  500,  TRUE, TRUE, TRUE, FALSE, FALSE);</v>
      </c>
      <c r="O296" s="6" t="str">
        <f t="shared" si="29"/>
        <v xml:space="preserve">INSERT INTO attribute_values (attribute_id, tag, name, details) VALUES ((SELECT id FROM attributes WHERE tag = 'att_organ' LIMIT 1),  'att_organ:prostate',  'Prostate',  'Prostate'); </v>
      </c>
    </row>
    <row r="297" spans="1:15" x14ac:dyDescent="0.15">
      <c r="A297" s="12" t="b">
        <f>FALSE()</f>
        <v>0</v>
      </c>
      <c r="B297" s="12"/>
      <c r="C297" s="6" t="s">
        <v>2103</v>
      </c>
      <c r="D297" s="6" t="s">
        <v>2104</v>
      </c>
      <c r="E297" s="6" t="s">
        <v>15</v>
      </c>
      <c r="F297" s="6" t="s">
        <v>157</v>
      </c>
      <c r="G297" s="6" t="s">
        <v>2593</v>
      </c>
      <c r="H297" s="6" t="str">
        <f t="shared" si="26"/>
        <v>att_organ</v>
      </c>
      <c r="I297" s="6" t="s">
        <v>2103</v>
      </c>
      <c r="J297" s="6" t="str">
        <f t="shared" si="27"/>
        <v>att_organ:rectum</v>
      </c>
      <c r="K297" s="11" t="s">
        <v>19</v>
      </c>
      <c r="L297" s="6" t="s">
        <v>2104</v>
      </c>
      <c r="M297" s="6" t="s">
        <v>15</v>
      </c>
      <c r="N297" s="6" t="str">
        <f t="shared" si="28"/>
        <v>INSERT INTO attributes (parent_id, tag, name, priority, allow_as_filter, allow_for_dataset, allow_for_measurement, allow_for_users, allow_for_qc) VALUES (NULL, 'att_organ',  'Organ',  500,  TRUE, TRUE, TRUE, FALSE, FALSE);</v>
      </c>
      <c r="O297" s="6" t="str">
        <f t="shared" si="29"/>
        <v xml:space="preserve">INSERT INTO attribute_values (attribute_id, tag, name, details) VALUES ((SELECT id FROM attributes WHERE tag = 'att_organ' LIMIT 1),  'att_organ:rectum',  'Rectum',  'Rectum'); </v>
      </c>
    </row>
    <row r="298" spans="1:15" x14ac:dyDescent="0.15">
      <c r="A298" s="12" t="b">
        <f>FALSE()</f>
        <v>0</v>
      </c>
      <c r="B298" s="12"/>
      <c r="C298" s="6" t="s">
        <v>2106</v>
      </c>
      <c r="D298" s="6" t="s">
        <v>2107</v>
      </c>
      <c r="E298" s="6" t="s">
        <v>15</v>
      </c>
      <c r="F298" s="6" t="s">
        <v>157</v>
      </c>
      <c r="G298" s="6" t="s">
        <v>2593</v>
      </c>
      <c r="H298" s="6" t="str">
        <f t="shared" si="26"/>
        <v>att_organ</v>
      </c>
      <c r="I298" s="6" t="s">
        <v>2105</v>
      </c>
      <c r="J298" s="6" t="str">
        <f t="shared" si="27"/>
        <v>att_organ:small_intestine</v>
      </c>
      <c r="K298" s="11" t="s">
        <v>19</v>
      </c>
      <c r="L298" s="6" t="s">
        <v>2108</v>
      </c>
      <c r="M298" s="6" t="s">
        <v>15</v>
      </c>
      <c r="N298" s="6" t="str">
        <f t="shared" si="28"/>
        <v>INSERT INTO attributes (parent_id, tag, name, priority, allow_as_filter, allow_for_dataset, allow_for_measurement, allow_for_users, allow_for_qc) VALUES (NULL, 'att_organ',  'Organ',  500,  TRUE, TRUE, TRUE, FALSE, FALSE);</v>
      </c>
      <c r="O298" s="6" t="str">
        <f t="shared" si="29"/>
        <v xml:space="preserve">INSERT INTO attribute_values (attribute_id, tag, name, details) VALUES ((SELECT id FROM attributes WHERE tag = 'att_organ' LIMIT 1),  'att_organ:small_intestine',  'Small Intestine',  'Small Intestine; Between the Stomach and the Colon'); </v>
      </c>
    </row>
    <row r="299" spans="1:15" x14ac:dyDescent="0.15">
      <c r="A299" s="12" t="b">
        <f>FALSE()</f>
        <v>0</v>
      </c>
      <c r="B299" s="12"/>
      <c r="C299" s="6" t="s">
        <v>2109</v>
      </c>
      <c r="D299" s="6" t="s">
        <v>2110</v>
      </c>
      <c r="E299" s="6" t="s">
        <v>15</v>
      </c>
      <c r="F299" s="6" t="s">
        <v>157</v>
      </c>
      <c r="G299" s="6" t="s">
        <v>2593</v>
      </c>
      <c r="H299" s="6" t="str">
        <f t="shared" si="26"/>
        <v>att_organ</v>
      </c>
      <c r="I299" s="6" t="s">
        <v>2109</v>
      </c>
      <c r="J299" s="6" t="str">
        <f t="shared" si="27"/>
        <v>att_organ:spinal_cord</v>
      </c>
      <c r="K299" s="11" t="s">
        <v>19</v>
      </c>
      <c r="L299" s="6" t="s">
        <v>2111</v>
      </c>
      <c r="M299" s="6" t="s">
        <v>15</v>
      </c>
      <c r="N299" s="6" t="str">
        <f t="shared" si="28"/>
        <v>INSERT INTO attributes (parent_id, tag, name, priority, allow_as_filter, allow_for_dataset, allow_for_measurement, allow_for_users, allow_for_qc) VALUES (NULL, 'att_organ',  'Organ',  500,  TRUE, TRUE, TRUE, FALSE, FALSE);</v>
      </c>
      <c r="O299" s="6" t="str">
        <f t="shared" si="29"/>
        <v xml:space="preserve">INSERT INTO attribute_values (attribute_id, tag, name, details) VALUES ((SELECT id FROM attributes WHERE tag = 'att_organ' LIMIT 1),  'att_organ:spinal_cord',  'Spinal Cord',  'Spinal_Cord'); </v>
      </c>
    </row>
    <row r="300" spans="1:15" x14ac:dyDescent="0.15">
      <c r="A300" s="12" t="b">
        <f>FALSE()</f>
        <v>0</v>
      </c>
      <c r="B300" s="12"/>
      <c r="C300" s="6" t="s">
        <v>2112</v>
      </c>
      <c r="D300" s="6" t="s">
        <v>2113</v>
      </c>
      <c r="E300" s="6" t="s">
        <v>15</v>
      </c>
      <c r="F300" s="6" t="s">
        <v>157</v>
      </c>
      <c r="G300" s="6" t="s">
        <v>2593</v>
      </c>
      <c r="H300" s="6" t="str">
        <f t="shared" si="26"/>
        <v>att_organ</v>
      </c>
      <c r="I300" s="6" t="s">
        <v>2112</v>
      </c>
      <c r="J300" s="6" t="str">
        <f t="shared" si="27"/>
        <v>att_organ:spleen</v>
      </c>
      <c r="K300" s="11" t="s">
        <v>19</v>
      </c>
      <c r="L300" s="6" t="s">
        <v>2113</v>
      </c>
      <c r="M300" s="6" t="s">
        <v>15</v>
      </c>
      <c r="N300" s="6" t="str">
        <f t="shared" si="28"/>
        <v>INSERT INTO attributes (parent_id, tag, name, priority, allow_as_filter, allow_for_dataset, allow_for_measurement, allow_for_users, allow_for_qc) VALUES (NULL, 'att_organ',  'Organ',  500,  TRUE, TRUE, TRUE, FALSE, FALSE);</v>
      </c>
      <c r="O300" s="6" t="str">
        <f t="shared" si="29"/>
        <v xml:space="preserve">INSERT INTO attribute_values (attribute_id, tag, name, details) VALUES ((SELECT id FROM attributes WHERE tag = 'att_organ' LIMIT 1),  'att_organ:spleen',  'Spleen',  'Spleen'); </v>
      </c>
    </row>
    <row r="301" spans="1:15" x14ac:dyDescent="0.15">
      <c r="A301" s="12" t="b">
        <f>FALSE()</f>
        <v>0</v>
      </c>
      <c r="B301" s="12"/>
      <c r="C301" s="6" t="s">
        <v>2114</v>
      </c>
      <c r="D301" s="6" t="s">
        <v>2115</v>
      </c>
      <c r="E301" s="6" t="s">
        <v>15</v>
      </c>
      <c r="F301" s="6" t="s">
        <v>157</v>
      </c>
      <c r="G301" s="6" t="s">
        <v>2593</v>
      </c>
      <c r="H301" s="6" t="str">
        <f t="shared" ref="H301:H332" si="30">"att_"&amp;G301</f>
        <v>att_organ</v>
      </c>
      <c r="I301" s="6" t="s">
        <v>2114</v>
      </c>
      <c r="J301" s="6" t="str">
        <f t="shared" ref="J301:J332" si="31">H301&amp;":"&amp;I301</f>
        <v>att_organ:stomach</v>
      </c>
      <c r="K301" s="11" t="s">
        <v>19</v>
      </c>
      <c r="L301" s="6" t="s">
        <v>2115</v>
      </c>
      <c r="M301" s="6" t="s">
        <v>15</v>
      </c>
      <c r="N301" s="6" t="str">
        <f t="shared" ref="N301:N332" si="32">"INSERT INTO attributes (parent_id, tag, name, priority, allow_as_filter, allow_for_dataset, allow_for_measurement, allow_for_users, allow_for_qc) VALUES (NULL, '"&amp;H301&amp;"',  '"&amp;F301&amp;"',  500,  TRUE, TRUE, TRUE, FALSE, FALSE);"</f>
        <v>INSERT INTO attributes (parent_id, tag, name, priority, allow_as_filter, allow_for_dataset, allow_for_measurement, allow_for_users, allow_for_qc) VALUES (NULL, 'att_organ',  'Organ',  500,  TRUE, TRUE, TRUE, FALSE, FALSE);</v>
      </c>
      <c r="O301" s="6" t="str">
        <f t="shared" ref="O301:O332" si="33">"INSERT INTO attribute_values (attribute_id, tag, name, details) VALUES ((SELECT id FROM attributes WHERE tag = '"&amp;H301&amp;"' LIMIT 1),  '"&amp;J301&amp;"',  '"&amp;D301&amp;"',  '"&amp;L301&amp;"'); "</f>
        <v xml:space="preserve">INSERT INTO attribute_values (attribute_id, tag, name, details) VALUES ((SELECT id FROM attributes WHERE tag = 'att_organ' LIMIT 1),  'att_organ:stomach',  'Stomach',  'Stomach'); </v>
      </c>
    </row>
    <row r="302" spans="1:15" x14ac:dyDescent="0.15">
      <c r="A302" s="12" t="b">
        <f>FALSE()</f>
        <v>0</v>
      </c>
      <c r="B302" s="12"/>
      <c r="C302" s="6" t="s">
        <v>2116</v>
      </c>
      <c r="D302" s="6" t="s">
        <v>2117</v>
      </c>
      <c r="E302" s="6" t="s">
        <v>15</v>
      </c>
      <c r="F302" s="6" t="s">
        <v>157</v>
      </c>
      <c r="G302" s="6" t="s">
        <v>2593</v>
      </c>
      <c r="H302" s="6" t="str">
        <f t="shared" si="30"/>
        <v>att_organ</v>
      </c>
      <c r="I302" s="6" t="s">
        <v>2116</v>
      </c>
      <c r="J302" s="6" t="str">
        <f t="shared" si="31"/>
        <v>att_organ:testicles</v>
      </c>
      <c r="K302" s="11" t="s">
        <v>19</v>
      </c>
      <c r="L302" s="6" t="s">
        <v>2117</v>
      </c>
      <c r="M302" s="6" t="s">
        <v>15</v>
      </c>
      <c r="N302" s="6" t="str">
        <f t="shared" si="32"/>
        <v>INSERT INTO attributes (parent_id, tag, name, priority, allow_as_filter, allow_for_dataset, allow_for_measurement, allow_for_users, allow_for_qc) VALUES (NULL, 'att_organ',  'Organ',  500,  TRUE, TRUE, TRUE, FALSE, FALSE);</v>
      </c>
      <c r="O302" s="6" t="str">
        <f t="shared" si="33"/>
        <v xml:space="preserve">INSERT INTO attribute_values (attribute_id, tag, name, details) VALUES ((SELECT id FROM attributes WHERE tag = 'att_organ' LIMIT 1),  'att_organ:testicles',  'Testicles',  'Testicles'); </v>
      </c>
    </row>
    <row r="303" spans="1:15" x14ac:dyDescent="0.15">
      <c r="A303" s="12" t="b">
        <f>FALSE()</f>
        <v>0</v>
      </c>
      <c r="B303" s="12"/>
      <c r="C303" s="6" t="s">
        <v>2118</v>
      </c>
      <c r="D303" s="6" t="s">
        <v>2119</v>
      </c>
      <c r="E303" s="6" t="s">
        <v>15</v>
      </c>
      <c r="F303" s="6" t="s">
        <v>157</v>
      </c>
      <c r="G303" s="6" t="s">
        <v>2593</v>
      </c>
      <c r="H303" s="6" t="str">
        <f t="shared" si="30"/>
        <v>att_organ</v>
      </c>
      <c r="I303" s="6" t="s">
        <v>2118</v>
      </c>
      <c r="J303" s="6" t="str">
        <f t="shared" si="31"/>
        <v>att_organ:thalamus</v>
      </c>
      <c r="K303" s="11" t="s">
        <v>19</v>
      </c>
      <c r="L303" s="6" t="s">
        <v>2119</v>
      </c>
      <c r="M303" s="6" t="s">
        <v>15</v>
      </c>
      <c r="N303" s="6" t="str">
        <f t="shared" si="32"/>
        <v>INSERT INTO attributes (parent_id, tag, name, priority, allow_as_filter, allow_for_dataset, allow_for_measurement, allow_for_users, allow_for_qc) VALUES (NULL, 'att_organ',  'Organ',  500,  TRUE, TRUE, TRUE, FALSE, FALSE);</v>
      </c>
      <c r="O303" s="6" t="str">
        <f t="shared" si="33"/>
        <v xml:space="preserve">INSERT INTO attribute_values (attribute_id, tag, name, details) VALUES ((SELECT id FROM attributes WHERE tag = 'att_organ' LIMIT 1),  'att_organ:thalamus',  'Thalamus',  'Thalamus'); </v>
      </c>
    </row>
    <row r="304" spans="1:15" x14ac:dyDescent="0.15">
      <c r="A304" s="12" t="b">
        <f>FALSE()</f>
        <v>0</v>
      </c>
      <c r="B304" s="12"/>
      <c r="C304" s="6" t="s">
        <v>2120</v>
      </c>
      <c r="D304" s="6" t="s">
        <v>2121</v>
      </c>
      <c r="E304" s="6" t="s">
        <v>15</v>
      </c>
      <c r="F304" s="6" t="s">
        <v>157</v>
      </c>
      <c r="G304" s="6" t="s">
        <v>2593</v>
      </c>
      <c r="H304" s="6" t="str">
        <f t="shared" si="30"/>
        <v>att_organ</v>
      </c>
      <c r="I304" s="6" t="s">
        <v>2120</v>
      </c>
      <c r="J304" s="6" t="str">
        <f t="shared" si="31"/>
        <v>att_organ:thymus</v>
      </c>
      <c r="K304" s="11" t="s">
        <v>19</v>
      </c>
      <c r="L304" s="6" t="s">
        <v>2121</v>
      </c>
      <c r="M304" s="6" t="s">
        <v>15</v>
      </c>
      <c r="N304" s="6" t="str">
        <f t="shared" si="32"/>
        <v>INSERT INTO attributes (parent_id, tag, name, priority, allow_as_filter, allow_for_dataset, allow_for_measurement, allow_for_users, allow_for_qc) VALUES (NULL, 'att_organ',  'Organ',  500,  TRUE, TRUE, TRUE, FALSE, FALSE);</v>
      </c>
      <c r="O304" s="6" t="str">
        <f t="shared" si="33"/>
        <v xml:space="preserve">INSERT INTO attribute_values (attribute_id, tag, name, details) VALUES ((SELECT id FROM attributes WHERE tag = 'att_organ' LIMIT 1),  'att_organ:thymus',  'Thymus',  'Thymus'); </v>
      </c>
    </row>
    <row r="305" spans="1:15" x14ac:dyDescent="0.15">
      <c r="A305" s="12" t="b">
        <f>FALSE()</f>
        <v>0</v>
      </c>
      <c r="B305" s="12"/>
      <c r="C305" s="6" t="s">
        <v>2122</v>
      </c>
      <c r="D305" s="6" t="s">
        <v>2123</v>
      </c>
      <c r="E305" s="6" t="s">
        <v>15</v>
      </c>
      <c r="F305" s="6" t="s">
        <v>157</v>
      </c>
      <c r="G305" s="6" t="s">
        <v>2593</v>
      </c>
      <c r="H305" s="6" t="str">
        <f t="shared" si="30"/>
        <v>att_organ</v>
      </c>
      <c r="I305" s="6" t="s">
        <v>2122</v>
      </c>
      <c r="J305" s="6" t="str">
        <f t="shared" si="31"/>
        <v>att_organ:tongue</v>
      </c>
      <c r="K305" s="11" t="s">
        <v>19</v>
      </c>
      <c r="L305" s="6" t="s">
        <v>2123</v>
      </c>
      <c r="M305" s="6" t="s">
        <v>15</v>
      </c>
      <c r="N305" s="6" t="str">
        <f t="shared" si="32"/>
        <v>INSERT INTO attributes (parent_id, tag, name, priority, allow_as_filter, allow_for_dataset, allow_for_measurement, allow_for_users, allow_for_qc) VALUES (NULL, 'att_organ',  'Organ',  500,  TRUE, TRUE, TRUE, FALSE, FALSE);</v>
      </c>
      <c r="O305" s="6" t="str">
        <f t="shared" si="33"/>
        <v xml:space="preserve">INSERT INTO attribute_values (attribute_id, tag, name, details) VALUES ((SELECT id FROM attributes WHERE tag = 'att_organ' LIMIT 1),  'att_organ:tongue',  'Tongue',  'Tongue'); </v>
      </c>
    </row>
    <row r="306" spans="1:15" x14ac:dyDescent="0.15">
      <c r="A306" s="12" t="b">
        <f>FALSE()</f>
        <v>0</v>
      </c>
      <c r="B306" s="12"/>
      <c r="C306" s="6" t="s">
        <v>2124</v>
      </c>
      <c r="D306" s="6" t="s">
        <v>2125</v>
      </c>
      <c r="E306" s="6" t="s">
        <v>15</v>
      </c>
      <c r="F306" s="6" t="s">
        <v>157</v>
      </c>
      <c r="G306" s="6" t="s">
        <v>2593</v>
      </c>
      <c r="H306" s="6" t="str">
        <f t="shared" si="30"/>
        <v>att_organ</v>
      </c>
      <c r="I306" s="6" t="s">
        <v>2124</v>
      </c>
      <c r="J306" s="6" t="str">
        <f t="shared" si="31"/>
        <v>att_organ:tonsils</v>
      </c>
      <c r="K306" s="11" t="s">
        <v>19</v>
      </c>
      <c r="L306" s="6" t="s">
        <v>2125</v>
      </c>
      <c r="M306" s="6" t="s">
        <v>15</v>
      </c>
      <c r="N306" s="6" t="str">
        <f t="shared" si="32"/>
        <v>INSERT INTO attributes (parent_id, tag, name, priority, allow_as_filter, allow_for_dataset, allow_for_measurement, allow_for_users, allow_for_qc) VALUES (NULL, 'att_organ',  'Organ',  500,  TRUE, TRUE, TRUE, FALSE, FALSE);</v>
      </c>
      <c r="O306" s="6" t="str">
        <f t="shared" si="33"/>
        <v xml:space="preserve">INSERT INTO attribute_values (attribute_id, tag, name, details) VALUES ((SELECT id FROM attributes WHERE tag = 'att_organ' LIMIT 1),  'att_organ:tonsils',  'Tonsils',  'Tonsils'); </v>
      </c>
    </row>
    <row r="307" spans="1:15" x14ac:dyDescent="0.15">
      <c r="A307" s="12" t="b">
        <f>FALSE()</f>
        <v>0</v>
      </c>
      <c r="B307" s="12"/>
      <c r="C307" s="6" t="s">
        <v>2126</v>
      </c>
      <c r="D307" s="6" t="s">
        <v>2127</v>
      </c>
      <c r="E307" s="6" t="s">
        <v>15</v>
      </c>
      <c r="F307" s="6" t="s">
        <v>157</v>
      </c>
      <c r="G307" s="6" t="s">
        <v>2593</v>
      </c>
      <c r="H307" s="6" t="str">
        <f t="shared" si="30"/>
        <v>att_organ</v>
      </c>
      <c r="I307" s="6" t="s">
        <v>2126</v>
      </c>
      <c r="J307" s="6" t="str">
        <f t="shared" si="31"/>
        <v>att_organ:uterus</v>
      </c>
      <c r="K307" s="11" t="s">
        <v>19</v>
      </c>
      <c r="L307" s="6" t="s">
        <v>2127</v>
      </c>
      <c r="M307" s="6" t="s">
        <v>15</v>
      </c>
      <c r="N307" s="6" t="str">
        <f t="shared" si="32"/>
        <v>INSERT INTO attributes (parent_id, tag, name, priority, allow_as_filter, allow_for_dataset, allow_for_measurement, allow_for_users, allow_for_qc) VALUES (NULL, 'att_organ',  'Organ',  500,  TRUE, TRUE, TRUE, FALSE, FALSE);</v>
      </c>
      <c r="O307" s="6" t="str">
        <f t="shared" si="33"/>
        <v xml:space="preserve">INSERT INTO attribute_values (attribute_id, tag, name, details) VALUES ((SELECT id FROM attributes WHERE tag = 'att_organ' LIMIT 1),  'att_organ:uterus',  'Uterus',  'Uterus'); </v>
      </c>
    </row>
    <row r="308" spans="1:15" x14ac:dyDescent="0.15">
      <c r="A308" s="12" t="b">
        <f>FALSE()</f>
        <v>0</v>
      </c>
      <c r="B308" s="12"/>
      <c r="C308" s="6" t="s">
        <v>2128</v>
      </c>
      <c r="D308" s="6" t="s">
        <v>2129</v>
      </c>
      <c r="E308" s="6" t="s">
        <v>15</v>
      </c>
      <c r="F308" s="6" t="s">
        <v>157</v>
      </c>
      <c r="G308" s="6" t="s">
        <v>2593</v>
      </c>
      <c r="H308" s="6" t="str">
        <f t="shared" si="30"/>
        <v>att_organ</v>
      </c>
      <c r="I308" s="6" t="s">
        <v>2128</v>
      </c>
      <c r="J308" s="6" t="str">
        <f t="shared" si="31"/>
        <v>att_organ:veins</v>
      </c>
      <c r="K308" s="11" t="s">
        <v>19</v>
      </c>
      <c r="L308" s="6" t="s">
        <v>2129</v>
      </c>
      <c r="M308" s="6" t="s">
        <v>15</v>
      </c>
      <c r="N308" s="6" t="str">
        <f t="shared" si="32"/>
        <v>INSERT INTO attributes (parent_id, tag, name, priority, allow_as_filter, allow_for_dataset, allow_for_measurement, allow_for_users, allow_for_qc) VALUES (NULL, 'att_organ',  'Organ',  500,  TRUE, TRUE, TRUE, FALSE, FALSE);</v>
      </c>
      <c r="O308" s="6" t="str">
        <f t="shared" si="33"/>
        <v xml:space="preserve">INSERT INTO attribute_values (attribute_id, tag, name, details) VALUES ((SELECT id FROM attributes WHERE tag = 'att_organ' LIMIT 1),  'att_organ:veins',  'Veins',  'Veins'); </v>
      </c>
    </row>
    <row r="309" spans="1:15" x14ac:dyDescent="0.15">
      <c r="A309" s="11" t="s">
        <v>19</v>
      </c>
      <c r="B309" s="12"/>
      <c r="C309" s="6" t="s">
        <v>2594</v>
      </c>
      <c r="D309" s="6" t="s">
        <v>2595</v>
      </c>
      <c r="E309" s="6" t="s">
        <v>15</v>
      </c>
      <c r="F309" s="6" t="s">
        <v>159</v>
      </c>
      <c r="G309" s="6" t="s">
        <v>2596</v>
      </c>
      <c r="H309" s="6" t="str">
        <f t="shared" si="30"/>
        <v>att_organism</v>
      </c>
      <c r="I309" s="6" t="s">
        <v>2594</v>
      </c>
      <c r="J309" s="6" t="str">
        <f t="shared" si="31"/>
        <v>att_organism:bacteria</v>
      </c>
      <c r="K309" s="11" t="s">
        <v>19</v>
      </c>
      <c r="L309" s="6" t="s">
        <v>2595</v>
      </c>
      <c r="M309" s="6" t="s">
        <v>15</v>
      </c>
      <c r="N309" s="6" t="str">
        <f t="shared" si="32"/>
        <v>INSERT INTO attributes (parent_id, tag, name, priority, allow_as_filter, allow_for_dataset, allow_for_measurement, allow_for_users, allow_for_qc) VALUES (NULL, 'att_organism',  'Organism',  500,  TRUE, TRUE, TRUE, FALSE, FALSE);</v>
      </c>
      <c r="O309" s="6" t="str">
        <f t="shared" si="33"/>
        <v xml:space="preserve">INSERT INTO attribute_values (attribute_id, tag, name, details) VALUES ((SELECT id FROM attributes WHERE tag = 'att_organism' LIMIT 1),  'att_organism:bacteria',  'Bacteria',  'Bacteria'); </v>
      </c>
    </row>
    <row r="310" spans="1:15" x14ac:dyDescent="0.15">
      <c r="A310" s="11" t="s">
        <v>19</v>
      </c>
      <c r="B310" s="12"/>
      <c r="C310" s="6" t="s">
        <v>2597</v>
      </c>
      <c r="D310" s="6" t="s">
        <v>2136</v>
      </c>
      <c r="E310" s="6" t="s">
        <v>15</v>
      </c>
      <c r="F310" s="6" t="s">
        <v>159</v>
      </c>
      <c r="G310" s="6" t="s">
        <v>2596</v>
      </c>
      <c r="H310" s="6" t="str">
        <f t="shared" si="30"/>
        <v>att_organism</v>
      </c>
      <c r="I310" s="6" t="s">
        <v>2597</v>
      </c>
      <c r="J310" s="6" t="str">
        <f t="shared" si="31"/>
        <v>att_organism:elegans</v>
      </c>
      <c r="K310" s="11" t="s">
        <v>19</v>
      </c>
      <c r="L310" s="6" t="s">
        <v>2136</v>
      </c>
      <c r="M310" s="6" t="s">
        <v>15</v>
      </c>
      <c r="N310" s="6" t="str">
        <f t="shared" si="32"/>
        <v>INSERT INTO attributes (parent_id, tag, name, priority, allow_as_filter, allow_for_dataset, allow_for_measurement, allow_for_users, allow_for_qc) VALUES (NULL, 'att_organism',  'Organism',  500,  TRUE, TRUE, TRUE, FALSE, FALSE);</v>
      </c>
      <c r="O310" s="6" t="str">
        <f t="shared" si="33"/>
        <v xml:space="preserve">INSERT INTO attribute_values (attribute_id, tag, name, details) VALUES ((SELECT id FROM attributes WHERE tag = 'att_organism' LIMIT 1),  'att_organism:elegans',  'Caenorhabditis elegans',  'Caenorhabditis elegans'); </v>
      </c>
    </row>
    <row r="311" spans="1:15" x14ac:dyDescent="0.15">
      <c r="A311" s="11" t="s">
        <v>19</v>
      </c>
      <c r="B311" s="12"/>
      <c r="C311" s="6" t="s">
        <v>2598</v>
      </c>
      <c r="D311" s="6" t="s">
        <v>2599</v>
      </c>
      <c r="E311" s="6" t="s">
        <v>15</v>
      </c>
      <c r="F311" s="6" t="s">
        <v>159</v>
      </c>
      <c r="G311" s="6" t="s">
        <v>2596</v>
      </c>
      <c r="H311" s="6" t="str">
        <f t="shared" si="30"/>
        <v>att_organism</v>
      </c>
      <c r="I311" s="6" t="s">
        <v>2598</v>
      </c>
      <c r="J311" s="6" t="str">
        <f t="shared" si="31"/>
        <v>att_organism:gut</v>
      </c>
      <c r="K311" s="11" t="s">
        <v>19</v>
      </c>
      <c r="L311" s="6" t="s">
        <v>2600</v>
      </c>
      <c r="M311" s="6" t="s">
        <v>15</v>
      </c>
      <c r="N311" s="6" t="str">
        <f t="shared" si="32"/>
        <v>INSERT INTO attributes (parent_id, tag, name, priority, allow_as_filter, allow_for_dataset, allow_for_measurement, allow_for_users, allow_for_qc) VALUES (NULL, 'att_organism',  'Organism',  500,  TRUE, TRUE, TRUE, FALSE, FALSE);</v>
      </c>
      <c r="O311" s="6" t="str">
        <f t="shared" si="33"/>
        <v xml:space="preserve">INSERT INTO attribute_values (attribute_id, tag, name, details) VALUES ((SELECT id FROM attributes WHERE tag = 'att_organism' LIMIT 1),  'att_organism:gut',  'Gut Microbiom',  'Gut Microbiomm (Specify in Additional Info)'); </v>
      </c>
    </row>
    <row r="312" spans="1:15" x14ac:dyDescent="0.15">
      <c r="A312" s="11" t="s">
        <v>19</v>
      </c>
      <c r="B312" s="12"/>
      <c r="C312" s="6" t="s">
        <v>2147</v>
      </c>
      <c r="D312" s="6" t="s">
        <v>2148</v>
      </c>
      <c r="E312" s="6" t="s">
        <v>15</v>
      </c>
      <c r="F312" s="6" t="s">
        <v>159</v>
      </c>
      <c r="G312" s="6" t="s">
        <v>2596</v>
      </c>
      <c r="H312" s="6" t="str">
        <f t="shared" si="30"/>
        <v>att_organism</v>
      </c>
      <c r="I312" s="6" t="s">
        <v>2147</v>
      </c>
      <c r="J312" s="6" t="str">
        <f t="shared" si="31"/>
        <v>att_organism:human</v>
      </c>
      <c r="K312" s="11" t="s">
        <v>19</v>
      </c>
      <c r="L312" s="6" t="s">
        <v>2601</v>
      </c>
      <c r="M312" s="6" t="s">
        <v>15</v>
      </c>
      <c r="N312" s="6" t="str">
        <f t="shared" si="32"/>
        <v>INSERT INTO attributes (parent_id, tag, name, priority, allow_as_filter, allow_for_dataset, allow_for_measurement, allow_for_users, allow_for_qc) VALUES (NULL, 'att_organism',  'Organism',  500,  TRUE, TRUE, TRUE, FALSE, FALSE);</v>
      </c>
      <c r="O312" s="6" t="str">
        <f t="shared" si="33"/>
        <v xml:space="preserve">INSERT INTO attribute_values (attribute_id, tag, name, details) VALUES ((SELECT id FROM attributes WHERE tag = 'att_organism' LIMIT 1),  'att_organism:human',  'Homo sapiens',  'Homo sapiens (Human)'); </v>
      </c>
    </row>
    <row r="313" spans="1:15" x14ac:dyDescent="0.15">
      <c r="A313" s="11" t="s">
        <v>19</v>
      </c>
      <c r="B313" s="12"/>
      <c r="C313" s="6" t="s">
        <v>2131</v>
      </c>
      <c r="D313" s="6" t="s">
        <v>2132</v>
      </c>
      <c r="E313" s="6" t="s">
        <v>15</v>
      </c>
      <c r="F313" s="6" t="s">
        <v>159</v>
      </c>
      <c r="G313" s="6" t="s">
        <v>2596</v>
      </c>
      <c r="H313" s="6" t="str">
        <f t="shared" si="30"/>
        <v>att_organism</v>
      </c>
      <c r="I313" s="6" t="s">
        <v>2131</v>
      </c>
      <c r="J313" s="6" t="str">
        <f t="shared" si="31"/>
        <v>att_organism:mouse</v>
      </c>
      <c r="K313" s="11" t="s">
        <v>19</v>
      </c>
      <c r="L313" s="6" t="s">
        <v>2602</v>
      </c>
      <c r="M313" s="6" t="s">
        <v>15</v>
      </c>
      <c r="N313" s="6" t="str">
        <f t="shared" si="32"/>
        <v>INSERT INTO attributes (parent_id, tag, name, priority, allow_as_filter, allow_for_dataset, allow_for_measurement, allow_for_users, allow_for_qc) VALUES (NULL, 'att_organism',  'Organism',  500,  TRUE, TRUE, TRUE, FALSE, FALSE);</v>
      </c>
      <c r="O313" s="6" t="str">
        <f t="shared" si="33"/>
        <v xml:space="preserve">INSERT INTO attribute_values (attribute_id, tag, name, details) VALUES ((SELECT id FROM attributes WHERE tag = 'att_organism' LIMIT 1),  'att_organism:mouse',  'Mus musculus',  'Mus musculus (Mouse)'); </v>
      </c>
    </row>
    <row r="314" spans="1:15" x14ac:dyDescent="0.15">
      <c r="A314" s="11" t="s">
        <v>19</v>
      </c>
      <c r="B314" s="12"/>
      <c r="C314" s="6" t="s">
        <v>2143</v>
      </c>
      <c r="D314" s="6" t="s">
        <v>2144</v>
      </c>
      <c r="E314" s="6" t="s">
        <v>15</v>
      </c>
      <c r="F314" s="6" t="s">
        <v>159</v>
      </c>
      <c r="G314" s="6" t="s">
        <v>2596</v>
      </c>
      <c r="H314" s="6" t="str">
        <f t="shared" si="30"/>
        <v>att_organism</v>
      </c>
      <c r="I314" s="6" t="s">
        <v>2143</v>
      </c>
      <c r="J314" s="6" t="str">
        <f t="shared" si="31"/>
        <v>att_organism:rat</v>
      </c>
      <c r="K314" s="11" t="s">
        <v>19</v>
      </c>
      <c r="L314" s="6" t="s">
        <v>2603</v>
      </c>
      <c r="M314" s="6" t="s">
        <v>15</v>
      </c>
      <c r="N314" s="6" t="str">
        <f t="shared" si="32"/>
        <v>INSERT INTO attributes (parent_id, tag, name, priority, allow_as_filter, allow_for_dataset, allow_for_measurement, allow_for_users, allow_for_qc) VALUES (NULL, 'att_organism',  'Organism',  500,  TRUE, TRUE, TRUE, FALSE, FALSE);</v>
      </c>
      <c r="O314" s="6" t="str">
        <f t="shared" si="33"/>
        <v xml:space="preserve">INSERT INTO attribute_values (attribute_id, tag, name, details) VALUES ((SELECT id FROM attributes WHERE tag = 'att_organism' LIMIT 1),  'att_organism:rat',  'Rattus norvegicus',  'Rattus norvegicus (Rat)'); </v>
      </c>
    </row>
    <row r="315" spans="1:15" x14ac:dyDescent="0.15">
      <c r="A315" s="11" t="s">
        <v>19</v>
      </c>
      <c r="B315" s="12"/>
      <c r="C315" s="6" t="s">
        <v>2139</v>
      </c>
      <c r="D315" s="6" t="s">
        <v>2140</v>
      </c>
      <c r="E315" s="6" t="s">
        <v>15</v>
      </c>
      <c r="F315" s="6" t="s">
        <v>159</v>
      </c>
      <c r="G315" s="6" t="s">
        <v>2596</v>
      </c>
      <c r="H315" s="6" t="str">
        <f t="shared" si="30"/>
        <v>att_organism</v>
      </c>
      <c r="I315" s="6" t="s">
        <v>2139</v>
      </c>
      <c r="J315" s="6" t="str">
        <f t="shared" si="31"/>
        <v>att_organism:yeast</v>
      </c>
      <c r="K315" s="11" t="s">
        <v>19</v>
      </c>
      <c r="L315" s="6" t="s">
        <v>2604</v>
      </c>
      <c r="M315" s="6" t="s">
        <v>15</v>
      </c>
      <c r="N315" s="6" t="str">
        <f t="shared" si="32"/>
        <v>INSERT INTO attributes (parent_id, tag, name, priority, allow_as_filter, allow_for_dataset, allow_for_measurement, allow_for_users, allow_for_qc) VALUES (NULL, 'att_organism',  'Organism',  500,  TRUE, TRUE, TRUE, FALSE, FALSE);</v>
      </c>
      <c r="O315" s="6" t="str">
        <f t="shared" si="33"/>
        <v xml:space="preserve">INSERT INTO attribute_values (attribute_id, tag, name, details) VALUES ((SELECT id FROM attributes WHERE tag = 'att_organism' LIMIT 1),  'att_organism:yeast',  'Saccharomyces cerevisiae',  'Saccharomyces cerevisiae (Baker's Yeast)'); </v>
      </c>
    </row>
    <row r="316" spans="1:15" x14ac:dyDescent="0.15">
      <c r="A316" s="12" t="b">
        <f>FALSE()</f>
        <v>0</v>
      </c>
      <c r="B316" s="12"/>
      <c r="C316" s="6" t="s">
        <v>2150</v>
      </c>
      <c r="D316" s="6" t="s">
        <v>2152</v>
      </c>
      <c r="E316" s="6" t="s">
        <v>15</v>
      </c>
      <c r="F316" s="6" t="s">
        <v>2605</v>
      </c>
      <c r="G316" s="6" t="s">
        <v>2606</v>
      </c>
      <c r="H316" s="6" t="str">
        <f t="shared" si="30"/>
        <v>att_organsystem</v>
      </c>
      <c r="I316" s="6" t="s">
        <v>2150</v>
      </c>
      <c r="J316" s="6" t="str">
        <f t="shared" si="31"/>
        <v>att_organsystem:cardiovascular</v>
      </c>
      <c r="K316" s="11" t="s">
        <v>19</v>
      </c>
      <c r="L316" s="6" t="s">
        <v>2153</v>
      </c>
      <c r="M316" s="6" t="s">
        <v>15</v>
      </c>
      <c r="N316" s="6" t="str">
        <f t="shared" si="32"/>
        <v>INSERT INTO attributes (parent_id, tag, name, priority, allow_as_filter, allow_for_dataset, allow_for_measurement, allow_for_users, allow_for_qc) VALUES (NULL, 'att_organsystem',  'Organ System',  500,  TRUE, TRUE, TRUE, FALSE, FALSE);</v>
      </c>
      <c r="O316" s="6" t="str">
        <f t="shared" si="33"/>
        <v xml:space="preserve">INSERT INTO attribute_values (attribute_id, tag, name, details) VALUES ((SELECT id FROM attributes WHERE tag = 'att_organsystem' LIMIT 1),  'att_organsystem:cardiovascular',  'Cardiovascular',  'Cardiovascular System'); </v>
      </c>
    </row>
    <row r="317" spans="1:15" x14ac:dyDescent="0.15">
      <c r="A317" s="12" t="b">
        <f>FALSE()</f>
        <v>0</v>
      </c>
      <c r="B317" s="12"/>
      <c r="C317" s="6" t="s">
        <v>2154</v>
      </c>
      <c r="D317" s="6" t="s">
        <v>2155</v>
      </c>
      <c r="E317" s="6" t="s">
        <v>15</v>
      </c>
      <c r="F317" s="6" t="s">
        <v>2605</v>
      </c>
      <c r="G317" s="6" t="s">
        <v>2606</v>
      </c>
      <c r="H317" s="6" t="str">
        <f t="shared" si="30"/>
        <v>att_organsystem</v>
      </c>
      <c r="I317" s="6" t="s">
        <v>2154</v>
      </c>
      <c r="J317" s="6" t="str">
        <f t="shared" si="31"/>
        <v>att_organsystem:digestive</v>
      </c>
      <c r="K317" s="11" t="s">
        <v>19</v>
      </c>
      <c r="L317" s="6" t="s">
        <v>2156</v>
      </c>
      <c r="M317" s="6" t="s">
        <v>15</v>
      </c>
      <c r="N317" s="6" t="str">
        <f t="shared" si="32"/>
        <v>INSERT INTO attributes (parent_id, tag, name, priority, allow_as_filter, allow_for_dataset, allow_for_measurement, allow_for_users, allow_for_qc) VALUES (NULL, 'att_organsystem',  'Organ System',  500,  TRUE, TRUE, TRUE, FALSE, FALSE);</v>
      </c>
      <c r="O317" s="6" t="str">
        <f t="shared" si="33"/>
        <v xml:space="preserve">INSERT INTO attribute_values (attribute_id, tag, name, details) VALUES ((SELECT id FROM attributes WHERE tag = 'att_organsystem' LIMIT 1),  'att_organsystem:digestive',  'Digestive',  'Digestive System'); </v>
      </c>
    </row>
    <row r="318" spans="1:15" x14ac:dyDescent="0.15">
      <c r="A318" s="12" t="b">
        <f>FALSE()</f>
        <v>0</v>
      </c>
      <c r="B318" s="12"/>
      <c r="C318" s="6" t="s">
        <v>2157</v>
      </c>
      <c r="D318" s="6" t="s">
        <v>2158</v>
      </c>
      <c r="E318" s="6" t="s">
        <v>15</v>
      </c>
      <c r="F318" s="6" t="s">
        <v>2605</v>
      </c>
      <c r="G318" s="6" t="s">
        <v>2606</v>
      </c>
      <c r="H318" s="6" t="str">
        <f t="shared" si="30"/>
        <v>att_organsystem</v>
      </c>
      <c r="I318" s="6" t="s">
        <v>2157</v>
      </c>
      <c r="J318" s="6" t="str">
        <f t="shared" si="31"/>
        <v>att_organsystem:endocrine</v>
      </c>
      <c r="K318" s="11" t="s">
        <v>19</v>
      </c>
      <c r="L318" s="6" t="s">
        <v>2159</v>
      </c>
      <c r="M318" s="6" t="s">
        <v>15</v>
      </c>
      <c r="N318" s="6" t="str">
        <f t="shared" si="32"/>
        <v>INSERT INTO attributes (parent_id, tag, name, priority, allow_as_filter, allow_for_dataset, allow_for_measurement, allow_for_users, allow_for_qc) VALUES (NULL, 'att_organsystem',  'Organ System',  500,  TRUE, TRUE, TRUE, FALSE, FALSE);</v>
      </c>
      <c r="O318" s="6" t="str">
        <f t="shared" si="33"/>
        <v xml:space="preserve">INSERT INTO attribute_values (attribute_id, tag, name, details) VALUES ((SELECT id FROM attributes WHERE tag = 'att_organsystem' LIMIT 1),  'att_organsystem:endocrine',  'Endocrine',  'Endocrine System'); </v>
      </c>
    </row>
    <row r="319" spans="1:15" x14ac:dyDescent="0.15">
      <c r="A319" s="12" t="b">
        <f>FALSE()</f>
        <v>0</v>
      </c>
      <c r="B319" s="12"/>
      <c r="C319" s="6" t="s">
        <v>2160</v>
      </c>
      <c r="D319" s="6" t="s">
        <v>2161</v>
      </c>
      <c r="E319" s="6" t="s">
        <v>15</v>
      </c>
      <c r="F319" s="6" t="s">
        <v>2605</v>
      </c>
      <c r="G319" s="6" t="s">
        <v>2606</v>
      </c>
      <c r="H319" s="6" t="str">
        <f t="shared" si="30"/>
        <v>att_organsystem</v>
      </c>
      <c r="I319" s="6" t="s">
        <v>2160</v>
      </c>
      <c r="J319" s="6" t="str">
        <f t="shared" si="31"/>
        <v>att_organsystem:excretory</v>
      </c>
      <c r="K319" s="11" t="s">
        <v>19</v>
      </c>
      <c r="L319" s="6" t="s">
        <v>2162</v>
      </c>
      <c r="M319" s="6" t="s">
        <v>15</v>
      </c>
      <c r="N319" s="6" t="str">
        <f t="shared" si="32"/>
        <v>INSERT INTO attributes (parent_id, tag, name, priority, allow_as_filter, allow_for_dataset, allow_for_measurement, allow_for_users, allow_for_qc) VALUES (NULL, 'att_organsystem',  'Organ System',  500,  TRUE, TRUE, TRUE, FALSE, FALSE);</v>
      </c>
      <c r="O319" s="6" t="str">
        <f t="shared" si="33"/>
        <v xml:space="preserve">INSERT INTO attribute_values (attribute_id, tag, name, details) VALUES ((SELECT id FROM attributes WHERE tag = 'att_organsystem' LIMIT 1),  'att_organsystem:excretory',  'Excretory',  'Excretory System'); </v>
      </c>
    </row>
    <row r="320" spans="1:15" x14ac:dyDescent="0.15">
      <c r="A320" s="12" t="b">
        <f>FALSE()</f>
        <v>0</v>
      </c>
      <c r="B320" s="12"/>
      <c r="C320" s="6" t="s">
        <v>2163</v>
      </c>
      <c r="D320" s="6" t="s">
        <v>2164</v>
      </c>
      <c r="E320" s="6" t="s">
        <v>15</v>
      </c>
      <c r="F320" s="6" t="s">
        <v>2605</v>
      </c>
      <c r="G320" s="6" t="s">
        <v>2606</v>
      </c>
      <c r="H320" s="6" t="str">
        <f t="shared" si="30"/>
        <v>att_organsystem</v>
      </c>
      <c r="I320" s="6" t="s">
        <v>2163</v>
      </c>
      <c r="J320" s="6" t="str">
        <f t="shared" si="31"/>
        <v>att_organsystem:integumentary</v>
      </c>
      <c r="K320" s="11" t="s">
        <v>19</v>
      </c>
      <c r="L320" s="6" t="s">
        <v>2165</v>
      </c>
      <c r="M320" s="6" t="s">
        <v>15</v>
      </c>
      <c r="N320" s="6" t="str">
        <f t="shared" si="32"/>
        <v>INSERT INTO attributes (parent_id, tag, name, priority, allow_as_filter, allow_for_dataset, allow_for_measurement, allow_for_users, allow_for_qc) VALUES (NULL, 'att_organsystem',  'Organ System',  500,  TRUE, TRUE, TRUE, FALSE, FALSE);</v>
      </c>
      <c r="O320" s="6" t="str">
        <f t="shared" si="33"/>
        <v xml:space="preserve">INSERT INTO attribute_values (attribute_id, tag, name, details) VALUES ((SELECT id FROM attributes WHERE tag = 'att_organsystem' LIMIT 1),  'att_organsystem:integumentary',  'Integumentary',  'Integumentary System'); </v>
      </c>
    </row>
    <row r="321" spans="1:15" x14ac:dyDescent="0.15">
      <c r="A321" s="12" t="b">
        <f>FALSE()</f>
        <v>0</v>
      </c>
      <c r="B321" s="12"/>
      <c r="C321" s="6" t="s">
        <v>2166</v>
      </c>
      <c r="D321" s="6" t="s">
        <v>2167</v>
      </c>
      <c r="E321" s="6" t="s">
        <v>15</v>
      </c>
      <c r="F321" s="6" t="s">
        <v>2605</v>
      </c>
      <c r="G321" s="6" t="s">
        <v>2606</v>
      </c>
      <c r="H321" s="6" t="str">
        <f t="shared" si="30"/>
        <v>att_organsystem</v>
      </c>
      <c r="I321" s="6" t="s">
        <v>2166</v>
      </c>
      <c r="J321" s="6" t="str">
        <f t="shared" si="31"/>
        <v>att_organsystem:lymphatic</v>
      </c>
      <c r="K321" s="11" t="s">
        <v>19</v>
      </c>
      <c r="L321" s="6" t="s">
        <v>2168</v>
      </c>
      <c r="M321" s="6" t="s">
        <v>15</v>
      </c>
      <c r="N321" s="6" t="str">
        <f t="shared" si="32"/>
        <v>INSERT INTO attributes (parent_id, tag, name, priority, allow_as_filter, allow_for_dataset, allow_for_measurement, allow_for_users, allow_for_qc) VALUES (NULL, 'att_organsystem',  'Organ System',  500,  TRUE, TRUE, TRUE, FALSE, FALSE);</v>
      </c>
      <c r="O321" s="6" t="str">
        <f t="shared" si="33"/>
        <v xml:space="preserve">INSERT INTO attribute_values (attribute_id, tag, name, details) VALUES ((SELECT id FROM attributes WHERE tag = 'att_organsystem' LIMIT 1),  'att_organsystem:lymphatic',  'Lymphatic',  'Lymphatic System'); </v>
      </c>
    </row>
    <row r="322" spans="1:15" x14ac:dyDescent="0.15">
      <c r="A322" s="12" t="b">
        <f>FALSE()</f>
        <v>0</v>
      </c>
      <c r="B322" s="12"/>
      <c r="C322" s="6" t="s">
        <v>2169</v>
      </c>
      <c r="D322" s="6" t="s">
        <v>2170</v>
      </c>
      <c r="E322" s="6" t="s">
        <v>15</v>
      </c>
      <c r="F322" s="6" t="s">
        <v>2605</v>
      </c>
      <c r="G322" s="6" t="s">
        <v>2606</v>
      </c>
      <c r="H322" s="6" t="str">
        <f t="shared" si="30"/>
        <v>att_organsystem</v>
      </c>
      <c r="I322" s="6" t="s">
        <v>2169</v>
      </c>
      <c r="J322" s="6" t="str">
        <f t="shared" si="31"/>
        <v>att_organsystem:muscular</v>
      </c>
      <c r="K322" s="11" t="s">
        <v>19</v>
      </c>
      <c r="L322" s="6" t="s">
        <v>2171</v>
      </c>
      <c r="M322" s="6" t="s">
        <v>15</v>
      </c>
      <c r="N322" s="6" t="str">
        <f t="shared" si="32"/>
        <v>INSERT INTO attributes (parent_id, tag, name, priority, allow_as_filter, allow_for_dataset, allow_for_measurement, allow_for_users, allow_for_qc) VALUES (NULL, 'att_organsystem',  'Organ System',  500,  TRUE, TRUE, TRUE, FALSE, FALSE);</v>
      </c>
      <c r="O322" s="6" t="str">
        <f t="shared" si="33"/>
        <v xml:space="preserve">INSERT INTO attribute_values (attribute_id, tag, name, details) VALUES ((SELECT id FROM attributes WHERE tag = 'att_organsystem' LIMIT 1),  'att_organsystem:muscular',  'Muscular',  'Muscular System'); </v>
      </c>
    </row>
    <row r="323" spans="1:15" x14ac:dyDescent="0.15">
      <c r="A323" s="12" t="b">
        <f>FALSE()</f>
        <v>0</v>
      </c>
      <c r="B323" s="12"/>
      <c r="C323" s="6" t="s">
        <v>2607</v>
      </c>
      <c r="D323" s="6" t="s">
        <v>2173</v>
      </c>
      <c r="E323" s="6" t="s">
        <v>15</v>
      </c>
      <c r="F323" s="6" t="s">
        <v>2605</v>
      </c>
      <c r="G323" s="6" t="s">
        <v>2606</v>
      </c>
      <c r="H323" s="6" t="str">
        <f t="shared" si="30"/>
        <v>att_organsystem</v>
      </c>
      <c r="I323" s="6" t="s">
        <v>2172</v>
      </c>
      <c r="J323" s="6" t="str">
        <f t="shared" si="31"/>
        <v>att_organsystem:nervous_system</v>
      </c>
      <c r="K323" s="11" t="s">
        <v>19</v>
      </c>
      <c r="L323" s="6" t="s">
        <v>2174</v>
      </c>
      <c r="M323" s="6" t="s">
        <v>15</v>
      </c>
      <c r="N323" s="6" t="str">
        <f t="shared" si="32"/>
        <v>INSERT INTO attributes (parent_id, tag, name, priority, allow_as_filter, allow_for_dataset, allow_for_measurement, allow_for_users, allow_for_qc) VALUES (NULL, 'att_organsystem',  'Organ System',  500,  TRUE, TRUE, TRUE, FALSE, FALSE);</v>
      </c>
      <c r="O323" s="6" t="str">
        <f t="shared" si="33"/>
        <v xml:space="preserve">INSERT INTO attribute_values (attribute_id, tag, name, details) VALUES ((SELECT id FROM attributes WHERE tag = 'att_organsystem' LIMIT 1),  'att_organsystem:nervous_system',  'Nervous',  'Nervous System'); </v>
      </c>
    </row>
    <row r="324" spans="1:15" x14ac:dyDescent="0.15">
      <c r="A324" s="12" t="b">
        <f>FALSE()</f>
        <v>0</v>
      </c>
      <c r="B324" s="12"/>
      <c r="C324" s="6" t="s">
        <v>2175</v>
      </c>
      <c r="D324" s="6" t="s">
        <v>2176</v>
      </c>
      <c r="E324" s="6" t="s">
        <v>15</v>
      </c>
      <c r="F324" s="6" t="s">
        <v>2605</v>
      </c>
      <c r="G324" s="6" t="s">
        <v>2606</v>
      </c>
      <c r="H324" s="6" t="str">
        <f t="shared" si="30"/>
        <v>att_organsystem</v>
      </c>
      <c r="I324" s="6" t="s">
        <v>2175</v>
      </c>
      <c r="J324" s="6" t="str">
        <f t="shared" si="31"/>
        <v>att_organsystem:reproductive</v>
      </c>
      <c r="K324" s="11" t="s">
        <v>19</v>
      </c>
      <c r="L324" s="6" t="s">
        <v>2177</v>
      </c>
      <c r="M324" s="6" t="s">
        <v>15</v>
      </c>
      <c r="N324" s="6" t="str">
        <f t="shared" si="32"/>
        <v>INSERT INTO attributes (parent_id, tag, name, priority, allow_as_filter, allow_for_dataset, allow_for_measurement, allow_for_users, allow_for_qc) VALUES (NULL, 'att_organsystem',  'Organ System',  500,  TRUE, TRUE, TRUE, FALSE, FALSE);</v>
      </c>
      <c r="O324" s="6" t="str">
        <f t="shared" si="33"/>
        <v xml:space="preserve">INSERT INTO attribute_values (attribute_id, tag, name, details) VALUES ((SELECT id FROM attributes WHERE tag = 'att_organsystem' LIMIT 1),  'att_organsystem:reproductive',  'Reproductive',  'Reproductive System'); </v>
      </c>
    </row>
    <row r="325" spans="1:15" x14ac:dyDescent="0.15">
      <c r="A325" s="12" t="b">
        <f>FALSE()</f>
        <v>0</v>
      </c>
      <c r="B325" s="12"/>
      <c r="C325" s="6" t="s">
        <v>2178</v>
      </c>
      <c r="D325" s="6" t="s">
        <v>2179</v>
      </c>
      <c r="E325" s="6" t="s">
        <v>15</v>
      </c>
      <c r="F325" s="6" t="s">
        <v>2605</v>
      </c>
      <c r="G325" s="6" t="s">
        <v>2606</v>
      </c>
      <c r="H325" s="6" t="str">
        <f t="shared" si="30"/>
        <v>att_organsystem</v>
      </c>
      <c r="I325" s="6" t="s">
        <v>2178</v>
      </c>
      <c r="J325" s="6" t="str">
        <f t="shared" si="31"/>
        <v>att_organsystem:respiratory</v>
      </c>
      <c r="K325" s="11" t="s">
        <v>19</v>
      </c>
      <c r="L325" s="6" t="s">
        <v>2180</v>
      </c>
      <c r="M325" s="6" t="s">
        <v>15</v>
      </c>
      <c r="N325" s="6" t="str">
        <f t="shared" si="32"/>
        <v>INSERT INTO attributes (parent_id, tag, name, priority, allow_as_filter, allow_for_dataset, allow_for_measurement, allow_for_users, allow_for_qc) VALUES (NULL, 'att_organsystem',  'Organ System',  500,  TRUE, TRUE, TRUE, FALSE, FALSE);</v>
      </c>
      <c r="O325" s="6" t="str">
        <f t="shared" si="33"/>
        <v xml:space="preserve">INSERT INTO attribute_values (attribute_id, tag, name, details) VALUES ((SELECT id FROM attributes WHERE tag = 'att_organsystem' LIMIT 1),  'att_organsystem:respiratory',  'Respiratory',  'Respiratory System'); </v>
      </c>
    </row>
    <row r="326" spans="1:15" x14ac:dyDescent="0.15">
      <c r="A326" s="12" t="b">
        <f>FALSE()</f>
        <v>0</v>
      </c>
      <c r="B326" s="12"/>
      <c r="C326" s="6" t="s">
        <v>2181</v>
      </c>
      <c r="D326" s="6" t="s">
        <v>2182</v>
      </c>
      <c r="E326" s="6" t="s">
        <v>15</v>
      </c>
      <c r="F326" s="6" t="s">
        <v>2605</v>
      </c>
      <c r="G326" s="6" t="s">
        <v>2606</v>
      </c>
      <c r="H326" s="6" t="str">
        <f t="shared" si="30"/>
        <v>att_organsystem</v>
      </c>
      <c r="I326" s="6" t="s">
        <v>2181</v>
      </c>
      <c r="J326" s="6" t="str">
        <f t="shared" si="31"/>
        <v>att_organsystem:skeletal</v>
      </c>
      <c r="K326" s="11" t="s">
        <v>19</v>
      </c>
      <c r="L326" s="6" t="s">
        <v>2183</v>
      </c>
      <c r="M326" s="6" t="s">
        <v>15</v>
      </c>
      <c r="N326" s="6" t="str">
        <f t="shared" si="32"/>
        <v>INSERT INTO attributes (parent_id, tag, name, priority, allow_as_filter, allow_for_dataset, allow_for_measurement, allow_for_users, allow_for_qc) VALUES (NULL, 'att_organsystem',  'Organ System',  500,  TRUE, TRUE, TRUE, FALSE, FALSE);</v>
      </c>
      <c r="O326" s="6" t="str">
        <f t="shared" si="33"/>
        <v xml:space="preserve">INSERT INTO attribute_values (attribute_id, tag, name, details) VALUES ((SELECT id FROM attributes WHERE tag = 'att_organsystem' LIMIT 1),  'att_organsystem:skeletal',  'Skeletal',  'Skeletal System'); </v>
      </c>
    </row>
    <row r="327" spans="1:15" x14ac:dyDescent="0.15">
      <c r="A327" s="12" t="b">
        <f>FALSE()</f>
        <v>0</v>
      </c>
      <c r="B327" s="12"/>
      <c r="C327" s="6" t="s">
        <v>2184</v>
      </c>
      <c r="D327" s="6" t="s">
        <v>2185</v>
      </c>
      <c r="E327" s="6" t="s">
        <v>15</v>
      </c>
      <c r="F327" s="6" t="s">
        <v>2605</v>
      </c>
      <c r="G327" s="6" t="s">
        <v>2606</v>
      </c>
      <c r="H327" s="6" t="str">
        <f t="shared" si="30"/>
        <v>att_organsystem</v>
      </c>
      <c r="I327" s="6" t="s">
        <v>2184</v>
      </c>
      <c r="J327" s="6" t="str">
        <f t="shared" si="31"/>
        <v>att_organsystem:urinary</v>
      </c>
      <c r="K327" s="11" t="s">
        <v>19</v>
      </c>
      <c r="L327" s="6" t="s">
        <v>2186</v>
      </c>
      <c r="M327" s="6" t="s">
        <v>15</v>
      </c>
      <c r="N327" s="6" t="str">
        <f t="shared" si="32"/>
        <v>INSERT INTO attributes (parent_id, tag, name, priority, allow_as_filter, allow_for_dataset, allow_for_measurement, allow_for_users, allow_for_qc) VALUES (NULL, 'att_organsystem',  'Organ System',  500,  TRUE, TRUE, TRUE, FALSE, FALSE);</v>
      </c>
      <c r="O327" s="6" t="str">
        <f t="shared" si="33"/>
        <v xml:space="preserve">INSERT INTO attribute_values (attribute_id, tag, name, details) VALUES ((SELECT id FROM attributes WHERE tag = 'att_organsystem' LIMIT 1),  'att_organsystem:urinary',  'Urinary',  'Urinary system'); </v>
      </c>
    </row>
    <row r="328" spans="1:15" s="14" customFormat="1" x14ac:dyDescent="0.15">
      <c r="A328" s="13" t="b">
        <f>FALSE()</f>
        <v>0</v>
      </c>
      <c r="B328" s="13"/>
      <c r="C328" s="14" t="s">
        <v>2608</v>
      </c>
      <c r="D328" s="14" t="s">
        <v>2609</v>
      </c>
      <c r="E328" s="14" t="s">
        <v>15</v>
      </c>
      <c r="F328" s="14" t="s">
        <v>2610</v>
      </c>
      <c r="G328" s="14" t="s">
        <v>2611</v>
      </c>
      <c r="H328" s="14" t="str">
        <f t="shared" si="30"/>
        <v>att_phenotype</v>
      </c>
      <c r="I328" s="14" t="s">
        <v>2608</v>
      </c>
      <c r="J328" s="14" t="str">
        <f t="shared" si="31"/>
        <v>att_phenotype:kd</v>
      </c>
      <c r="K328" s="15" t="s">
        <v>19</v>
      </c>
      <c r="L328" s="14" t="s">
        <v>113</v>
      </c>
      <c r="M328" s="14" t="s">
        <v>15</v>
      </c>
      <c r="N328" s="14" t="str">
        <f t="shared" si="32"/>
        <v>INSERT INTO attributes (parent_id, tag, name, priority, allow_as_filter, allow_for_dataset, allow_for_measurement, allow_for_users, allow_for_qc) VALUES (NULL, 'att_phenotype',  'Phenotype',  500,  TRUE, TRUE, TRUE, FALSE, FALSE);</v>
      </c>
      <c r="O328" s="14" t="str">
        <f t="shared" si="33"/>
        <v xml:space="preserve">INSERT INTO attribute_values (attribute_id, tag, name, details) VALUES ((SELECT id FROM attributes WHERE tag = 'att_phenotype' LIMIT 1),  'att_phenotype:kd',  'knockdown (kd)',  'knockdown'); </v>
      </c>
    </row>
    <row r="329" spans="1:15" s="14" customFormat="1" x14ac:dyDescent="0.15">
      <c r="A329" s="13" t="b">
        <f>FALSE()</f>
        <v>0</v>
      </c>
      <c r="B329" s="13"/>
      <c r="C329" s="14" t="s">
        <v>1217</v>
      </c>
      <c r="D329" s="14" t="s">
        <v>2612</v>
      </c>
      <c r="E329" s="14" t="s">
        <v>15</v>
      </c>
      <c r="F329" s="14" t="s">
        <v>2610</v>
      </c>
      <c r="G329" s="14" t="s">
        <v>2611</v>
      </c>
      <c r="H329" s="14" t="str">
        <f t="shared" si="30"/>
        <v>att_phenotype</v>
      </c>
      <c r="I329" s="14" t="s">
        <v>1217</v>
      </c>
      <c r="J329" s="14" t="str">
        <f t="shared" si="31"/>
        <v>att_phenotype:ko</v>
      </c>
      <c r="K329" s="15" t="s">
        <v>19</v>
      </c>
      <c r="L329" s="14" t="s">
        <v>2538</v>
      </c>
      <c r="M329" s="14" t="s">
        <v>15</v>
      </c>
      <c r="N329" s="14" t="str">
        <f t="shared" si="32"/>
        <v>INSERT INTO attributes (parent_id, tag, name, priority, allow_as_filter, allow_for_dataset, allow_for_measurement, allow_for_users, allow_for_qc) VALUES (NULL, 'att_phenotype',  'Phenotype',  500,  TRUE, TRUE, TRUE, FALSE, FALSE);</v>
      </c>
      <c r="O329" s="14" t="str">
        <f t="shared" si="33"/>
        <v xml:space="preserve">INSERT INTO attribute_values (attribute_id, tag, name, details) VALUES ((SELECT id FROM attributes WHERE tag = 'att_phenotype' LIMIT 1),  'att_phenotype:ko',  'knockout (ko)',  'knockout'); </v>
      </c>
    </row>
    <row r="330" spans="1:15" s="14" customFormat="1" x14ac:dyDescent="0.15">
      <c r="A330" s="13" t="b">
        <f>FALSE()</f>
        <v>0</v>
      </c>
      <c r="B330" s="13"/>
      <c r="C330" s="14" t="s">
        <v>2613</v>
      </c>
      <c r="D330" s="14" t="s">
        <v>2614</v>
      </c>
      <c r="E330" s="14" t="s">
        <v>15</v>
      </c>
      <c r="F330" s="14" t="s">
        <v>2610</v>
      </c>
      <c r="G330" s="14" t="s">
        <v>2611</v>
      </c>
      <c r="H330" s="14" t="str">
        <f t="shared" si="30"/>
        <v>att_phenotype</v>
      </c>
      <c r="I330" s="14" t="s">
        <v>2613</v>
      </c>
      <c r="J330" s="14" t="str">
        <f t="shared" si="31"/>
        <v>att_phenotype:mt</v>
      </c>
      <c r="K330" s="15" t="s">
        <v>19</v>
      </c>
      <c r="L330" s="14" t="s">
        <v>2615</v>
      </c>
      <c r="M330" s="14" t="s">
        <v>15</v>
      </c>
      <c r="N330" s="14" t="str">
        <f t="shared" si="32"/>
        <v>INSERT INTO attributes (parent_id, tag, name, priority, allow_as_filter, allow_for_dataset, allow_for_measurement, allow_for_users, allow_for_qc) VALUES (NULL, 'att_phenotype',  'Phenotype',  500,  TRUE, TRUE, TRUE, FALSE, FALSE);</v>
      </c>
      <c r="O330" s="14" t="str">
        <f t="shared" si="33"/>
        <v xml:space="preserve">INSERT INTO attribute_values (attribute_id, tag, name, details) VALUES ((SELECT id FROM attributes WHERE tag = 'att_phenotype' LIMIT 1),  'att_phenotype:mt',  'mutant (mt)',  'mutated'); </v>
      </c>
    </row>
    <row r="331" spans="1:15" s="14" customFormat="1" x14ac:dyDescent="0.15">
      <c r="A331" s="13" t="b">
        <f>FALSE()</f>
        <v>0</v>
      </c>
      <c r="B331" s="13"/>
      <c r="C331" s="14" t="s">
        <v>2616</v>
      </c>
      <c r="D331" s="14" t="s">
        <v>2617</v>
      </c>
      <c r="E331" s="14" t="s">
        <v>15</v>
      </c>
      <c r="F331" s="14" t="s">
        <v>2610</v>
      </c>
      <c r="G331" s="14" t="s">
        <v>2611</v>
      </c>
      <c r="H331" s="14" t="str">
        <f t="shared" si="30"/>
        <v>att_phenotype</v>
      </c>
      <c r="I331" s="14" t="s">
        <v>2616</v>
      </c>
      <c r="J331" s="14" t="str">
        <f t="shared" si="31"/>
        <v>att_phenotype:wt</v>
      </c>
      <c r="K331" s="15" t="s">
        <v>19</v>
      </c>
      <c r="L331" s="14" t="s">
        <v>2618</v>
      </c>
      <c r="M331" s="14" t="s">
        <v>15</v>
      </c>
      <c r="N331" s="14" t="str">
        <f t="shared" si="32"/>
        <v>INSERT INTO attributes (parent_id, tag, name, priority, allow_as_filter, allow_for_dataset, allow_for_measurement, allow_for_users, allow_for_qc) VALUES (NULL, 'att_phenotype',  'Phenotype',  500,  TRUE, TRUE, TRUE, FALSE, FALSE);</v>
      </c>
      <c r="O331" s="14" t="str">
        <f t="shared" si="33"/>
        <v xml:space="preserve">INSERT INTO attribute_values (attribute_id, tag, name, details) VALUES ((SELECT id FROM attributes WHERE tag = 'att_phenotype' LIMIT 1),  'att_phenotype:wt',  'wild type (wt)',  'wilde type cells'); </v>
      </c>
    </row>
    <row r="332" spans="1:15" x14ac:dyDescent="0.15">
      <c r="A332" s="11" t="s">
        <v>19</v>
      </c>
      <c r="B332" s="11"/>
      <c r="C332" s="6" t="s">
        <v>2268</v>
      </c>
      <c r="D332" s="6" t="s">
        <v>2268</v>
      </c>
      <c r="E332" s="6" t="s">
        <v>15</v>
      </c>
      <c r="F332" s="6" t="s">
        <v>170</v>
      </c>
      <c r="G332" s="6" t="s">
        <v>2619</v>
      </c>
      <c r="H332" s="6" t="str">
        <f t="shared" si="30"/>
        <v>att_quantification</v>
      </c>
      <c r="I332" s="6" t="s">
        <v>2268</v>
      </c>
      <c r="J332" s="6" t="str">
        <f t="shared" si="31"/>
        <v>att_quantification:isobaric</v>
      </c>
      <c r="K332" s="11" t="s">
        <v>19</v>
      </c>
      <c r="L332" s="6" t="s">
        <v>2269</v>
      </c>
      <c r="M332" s="6" t="s">
        <v>15</v>
      </c>
      <c r="N332" s="6" t="str">
        <f t="shared" si="32"/>
        <v>INSERT INTO attributes (parent_id, tag, name, priority, allow_as_filter, allow_for_dataset, allow_for_measurement, allow_for_users, allow_for_qc) VALUES (NULL, 'att_quantification',  'Quantification Type',  500,  TRUE, TRUE, TRUE, FALSE, FALSE);</v>
      </c>
      <c r="O332" s="6" t="str">
        <f t="shared" si="33"/>
        <v xml:space="preserve">INSERT INTO attribute_values (attribute_id, tag, name, details) VALUES ((SELECT id FROM attributes WHERE tag = 'att_quantification' LIMIT 1),  'att_quantification:isobaric',  'isobaric',  'isobaric (TMT)'); </v>
      </c>
    </row>
    <row r="333" spans="1:15" x14ac:dyDescent="0.15">
      <c r="A333" s="11" t="s">
        <v>19</v>
      </c>
      <c r="B333" s="11"/>
      <c r="C333" s="6" t="s">
        <v>2270</v>
      </c>
      <c r="D333" s="6" t="s">
        <v>2270</v>
      </c>
      <c r="E333" s="6" t="s">
        <v>15</v>
      </c>
      <c r="F333" s="6" t="s">
        <v>170</v>
      </c>
      <c r="G333" s="6" t="s">
        <v>2619</v>
      </c>
      <c r="H333" s="6" t="str">
        <f t="shared" ref="H333:H364" si="34">"att_"&amp;G333</f>
        <v>att_quantification</v>
      </c>
      <c r="I333" s="6" t="s">
        <v>2270</v>
      </c>
      <c r="J333" s="6" t="str">
        <f t="shared" ref="J333:J364" si="35">H333&amp;":"&amp;I333</f>
        <v>att_quantification:istopic</v>
      </c>
      <c r="K333" s="11" t="s">
        <v>19</v>
      </c>
      <c r="L333" s="6" t="s">
        <v>2271</v>
      </c>
      <c r="M333" s="6" t="s">
        <v>15</v>
      </c>
      <c r="N333" s="6" t="str">
        <f t="shared" ref="N333:N365" si="36">"INSERT INTO attributes (parent_id, tag, name, priority, allow_as_filter, allow_for_dataset, allow_for_measurement, allow_for_users, allow_for_qc) VALUES (NULL, '"&amp;H333&amp;"',  '"&amp;F333&amp;"',  500,  TRUE, TRUE, TRUE, FALSE, FALSE);"</f>
        <v>INSERT INTO attributes (parent_id, tag, name, priority, allow_as_filter, allow_for_dataset, allow_for_measurement, allow_for_users, allow_for_qc) VALUES (NULL, 'att_quantification',  'Quantification Type',  500,  TRUE, TRUE, TRUE, FALSE, FALSE);</v>
      </c>
      <c r="O333" s="6" t="str">
        <f t="shared" ref="O333:O365" si="37">"INSERT INTO attribute_values (attribute_id, tag, name, details) VALUES ((SELECT id FROM attributes WHERE tag = '"&amp;H333&amp;"' LIMIT 1),  '"&amp;J333&amp;"',  '"&amp;D333&amp;"',  '"&amp;L333&amp;"'); "</f>
        <v xml:space="preserve">INSERT INTO attribute_values (attribute_id, tag, name, details) VALUES ((SELECT id FROM attributes WHERE tag = 'att_quantification' LIMIT 1),  'att_quantification:istopic',  'istopic',  'istopic (PlexDIA)'); </v>
      </c>
    </row>
    <row r="334" spans="1:15" x14ac:dyDescent="0.15">
      <c r="A334" s="11" t="s">
        <v>19</v>
      </c>
      <c r="B334" s="11"/>
      <c r="C334" s="6" t="s">
        <v>2620</v>
      </c>
      <c r="D334" s="6" t="s">
        <v>2273</v>
      </c>
      <c r="E334" s="6" t="s">
        <v>15</v>
      </c>
      <c r="F334" s="6" t="s">
        <v>170</v>
      </c>
      <c r="G334" s="6" t="s">
        <v>2619</v>
      </c>
      <c r="H334" s="6" t="str">
        <f t="shared" si="34"/>
        <v>att_quantification</v>
      </c>
      <c r="I334" s="6" t="s">
        <v>2272</v>
      </c>
      <c r="J334" s="6" t="str">
        <f t="shared" si="35"/>
        <v>att_quantification:label_free</v>
      </c>
      <c r="K334" s="11" t="s">
        <v>19</v>
      </c>
      <c r="L334" s="6" t="s">
        <v>2274</v>
      </c>
      <c r="M334" s="6" t="s">
        <v>15</v>
      </c>
      <c r="N334" s="6" t="str">
        <f t="shared" si="36"/>
        <v>INSERT INTO attributes (parent_id, tag, name, priority, allow_as_filter, allow_for_dataset, allow_for_measurement, allow_for_users, allow_for_qc) VALUES (NULL, 'att_quantification',  'Quantification Type',  500,  TRUE, TRUE, TRUE, FALSE, FALSE);</v>
      </c>
      <c r="O334" s="6" t="str">
        <f t="shared" si="37"/>
        <v xml:space="preserve">INSERT INTO attribute_values (attribute_id, tag, name, details) VALUES ((SELECT id FROM attributes WHERE tag = 'att_quantification' LIMIT 1),  'att_quantification:label_free',  'Label free',  'Label-free quantification'); </v>
      </c>
    </row>
    <row r="335" spans="1:15" x14ac:dyDescent="0.15">
      <c r="A335" s="11" t="s">
        <v>19</v>
      </c>
      <c r="B335" s="11"/>
      <c r="C335" s="6" t="s">
        <v>2275</v>
      </c>
      <c r="D335" s="6" t="s">
        <v>2275</v>
      </c>
      <c r="E335" s="6" t="s">
        <v>15</v>
      </c>
      <c r="F335" s="6" t="s">
        <v>170</v>
      </c>
      <c r="G335" s="6" t="s">
        <v>2619</v>
      </c>
      <c r="H335" s="6" t="str">
        <f t="shared" si="34"/>
        <v>att_quantification</v>
      </c>
      <c r="I335" s="6" t="s">
        <v>2275</v>
      </c>
      <c r="J335" s="6" t="str">
        <f t="shared" si="35"/>
        <v>att_quantification:silac</v>
      </c>
      <c r="K335" s="11" t="s">
        <v>19</v>
      </c>
      <c r="L335" s="6" t="s">
        <v>2276</v>
      </c>
      <c r="M335" s="6" t="s">
        <v>15</v>
      </c>
      <c r="N335" s="6" t="str">
        <f t="shared" si="36"/>
        <v>INSERT INTO attributes (parent_id, tag, name, priority, allow_as_filter, allow_for_dataset, allow_for_measurement, allow_for_users, allow_for_qc) VALUES (NULL, 'att_quantification',  'Quantification Type',  500,  TRUE, TRUE, TRUE, FALSE, FALSE);</v>
      </c>
      <c r="O335" s="6" t="str">
        <f t="shared" si="37"/>
        <v xml:space="preserve">INSERT INTO attribute_values (attribute_id, tag, name, details) VALUES ((SELECT id FROM attributes WHERE tag = 'att_quantification' LIMIT 1),  'att_quantification:silac',  'silac',  'Stable isotope labeling by/with amino acids in cell culture (SILAC)'); </v>
      </c>
    </row>
    <row r="336" spans="1:15" x14ac:dyDescent="0.15">
      <c r="A336" s="12" t="b">
        <f>FALSE()</f>
        <v>0</v>
      </c>
      <c r="B336" s="12"/>
      <c r="C336" s="6" t="s">
        <v>1350</v>
      </c>
      <c r="D336" s="6" t="s">
        <v>1351</v>
      </c>
      <c r="E336" s="6" t="s">
        <v>15</v>
      </c>
      <c r="F336" s="6" t="s">
        <v>2621</v>
      </c>
      <c r="G336" s="6" t="s">
        <v>2622</v>
      </c>
      <c r="H336" s="6" t="str">
        <f t="shared" si="34"/>
        <v>att_signalling</v>
      </c>
      <c r="I336" s="6" t="s">
        <v>1350</v>
      </c>
      <c r="J336" s="6" t="str">
        <f t="shared" si="35"/>
        <v>att_signalling:apoptosis</v>
      </c>
      <c r="K336" s="11" t="s">
        <v>19</v>
      </c>
      <c r="L336" s="6" t="s">
        <v>2285</v>
      </c>
      <c r="M336" s="6" t="s">
        <v>15</v>
      </c>
      <c r="N336" s="6" t="str">
        <f t="shared" si="36"/>
        <v>INSERT INTO attributes (parent_id, tag, name, priority, allow_as_filter, allow_for_dataset, allow_for_measurement, allow_for_users, allow_for_qc) VALUES (NULL, 'att_signalling',  'Signallling Pathway',  500,  TRUE, TRUE, TRUE, FALSE, FALSE);</v>
      </c>
      <c r="O336" s="6" t="str">
        <f t="shared" si="37"/>
        <v xml:space="preserve">INSERT INTO attribute_values (attribute_id, tag, name, details) VALUES ((SELECT id FROM attributes WHERE tag = 'att_signalling' LIMIT 1),  'att_signalling:apoptosis',  'Apoptosis',  'Apoptosis or programmed cell death Signallilng'); </v>
      </c>
    </row>
    <row r="337" spans="1:15" x14ac:dyDescent="0.15">
      <c r="A337" s="12" t="b">
        <f>FALSE()</f>
        <v>0</v>
      </c>
      <c r="B337" s="12"/>
      <c r="C337" s="6" t="s">
        <v>2286</v>
      </c>
      <c r="D337" s="6" t="s">
        <v>2287</v>
      </c>
      <c r="E337" s="6" t="s">
        <v>15</v>
      </c>
      <c r="F337" s="6" t="s">
        <v>2621</v>
      </c>
      <c r="G337" s="6" t="s">
        <v>2622</v>
      </c>
      <c r="H337" s="6" t="str">
        <f t="shared" si="34"/>
        <v>att_signalling</v>
      </c>
      <c r="I337" s="6" t="s">
        <v>2286</v>
      </c>
      <c r="J337" s="6" t="str">
        <f t="shared" si="35"/>
        <v>att_signalling:autocrine</v>
      </c>
      <c r="K337" s="11" t="s">
        <v>19</v>
      </c>
      <c r="L337" s="6" t="s">
        <v>2288</v>
      </c>
      <c r="M337" s="6" t="s">
        <v>15</v>
      </c>
      <c r="N337" s="6" t="str">
        <f t="shared" si="36"/>
        <v>INSERT INTO attributes (parent_id, tag, name, priority, allow_as_filter, allow_for_dataset, allow_for_measurement, allow_for_users, allow_for_qc) VALUES (NULL, 'att_signalling',  'Signallling Pathway',  500,  TRUE, TRUE, TRUE, FALSE, FALSE);</v>
      </c>
      <c r="O337" s="6" t="str">
        <f t="shared" si="37"/>
        <v xml:space="preserve">INSERT INTO attribute_values (attribute_id, tag, name, details) VALUES ((SELECT id FROM attributes WHERE tag = 'att_signalling' LIMIT 1),  'att_signalling:autocrine',  'Autocrine',  'Signaling in which a cell secretes a hormone or a chemical substance that binds to the receptors'); </v>
      </c>
    </row>
    <row r="338" spans="1:15" x14ac:dyDescent="0.15">
      <c r="A338" s="12" t="b">
        <f>FALSE()</f>
        <v>0</v>
      </c>
      <c r="B338" s="12"/>
      <c r="C338" s="6" t="s">
        <v>2289</v>
      </c>
      <c r="D338" s="6" t="s">
        <v>2290</v>
      </c>
      <c r="E338" s="6" t="s">
        <v>15</v>
      </c>
      <c r="F338" s="6" t="s">
        <v>2621</v>
      </c>
      <c r="G338" s="6" t="s">
        <v>2622</v>
      </c>
      <c r="H338" s="6" t="str">
        <f t="shared" si="34"/>
        <v>att_signalling</v>
      </c>
      <c r="I338" s="6" t="s">
        <v>2289</v>
      </c>
      <c r="J338" s="6" t="str">
        <f t="shared" si="35"/>
        <v>att_signalling:complement</v>
      </c>
      <c r="K338" s="11" t="s">
        <v>19</v>
      </c>
      <c r="L338" s="6" t="s">
        <v>2291</v>
      </c>
      <c r="M338" s="6" t="s">
        <v>15</v>
      </c>
      <c r="N338" s="6" t="str">
        <f t="shared" si="36"/>
        <v>INSERT INTO attributes (parent_id, tag, name, priority, allow_as_filter, allow_for_dataset, allow_for_measurement, allow_for_users, allow_for_qc) VALUES (NULL, 'att_signalling',  'Signallling Pathway',  500,  TRUE, TRUE, TRUE, FALSE, FALSE);</v>
      </c>
      <c r="O338" s="6" t="str">
        <f t="shared" si="37"/>
        <v xml:space="preserve">INSERT INTO attribute_values (attribute_id, tag, name, details) VALUES ((SELECT id FROM attributes WHERE tag = 'att_signalling' LIMIT 1),  'att_signalling:complement',  'Complement',  'Complement system'); </v>
      </c>
    </row>
    <row r="339" spans="1:15" x14ac:dyDescent="0.15">
      <c r="A339" s="12" t="b">
        <f>FALSE()</f>
        <v>0</v>
      </c>
      <c r="B339" s="12"/>
      <c r="C339" s="6" t="s">
        <v>2292</v>
      </c>
      <c r="D339" s="6" t="s">
        <v>2293</v>
      </c>
      <c r="E339" s="6" t="s">
        <v>15</v>
      </c>
      <c r="F339" s="6" t="s">
        <v>2621</v>
      </c>
      <c r="G339" s="6" t="s">
        <v>2622</v>
      </c>
      <c r="H339" s="6" t="str">
        <f t="shared" si="34"/>
        <v>att_signalling</v>
      </c>
      <c r="I339" s="6" t="s">
        <v>2292</v>
      </c>
      <c r="J339" s="6" t="str">
        <f t="shared" si="35"/>
        <v>att_signalling:cytokines</v>
      </c>
      <c r="K339" s="11" t="s">
        <v>19</v>
      </c>
      <c r="L339" s="6" t="s">
        <v>2294</v>
      </c>
      <c r="M339" s="6" t="s">
        <v>15</v>
      </c>
      <c r="N339" s="6" t="str">
        <f t="shared" si="36"/>
        <v>INSERT INTO attributes (parent_id, tag, name, priority, allow_as_filter, allow_for_dataset, allow_for_measurement, allow_for_users, allow_for_qc) VALUES (NULL, 'att_signalling',  'Signallling Pathway',  500,  TRUE, TRUE, TRUE, FALSE, FALSE);</v>
      </c>
      <c r="O339" s="6" t="str">
        <f t="shared" si="37"/>
        <v xml:space="preserve">INSERT INTO attribute_values (attribute_id, tag, name, details) VALUES ((SELECT id FROM attributes WHERE tag = 'att_signalling' LIMIT 1),  'att_signalling:cytokines',  'Cytokines',  'Small proteins that are crucial in controlling the growth and activity of immune system cells'); </v>
      </c>
    </row>
    <row r="340" spans="1:15" x14ac:dyDescent="0.15">
      <c r="A340" s="12" t="b">
        <f>FALSE()</f>
        <v>0</v>
      </c>
      <c r="B340" s="12"/>
      <c r="C340" s="6" t="s">
        <v>2295</v>
      </c>
      <c r="D340" s="6" t="s">
        <v>2296</v>
      </c>
      <c r="E340" s="6" t="s">
        <v>15</v>
      </c>
      <c r="F340" s="6" t="s">
        <v>2621</v>
      </c>
      <c r="G340" s="6" t="s">
        <v>2622</v>
      </c>
      <c r="H340" s="6" t="str">
        <f t="shared" si="34"/>
        <v>att_signalling</v>
      </c>
      <c r="I340" s="6" t="s">
        <v>2295</v>
      </c>
      <c r="J340" s="6" t="str">
        <f t="shared" si="35"/>
        <v>att_signalling:inflammation</v>
      </c>
      <c r="K340" s="11" t="s">
        <v>19</v>
      </c>
      <c r="L340" s="6" t="s">
        <v>2297</v>
      </c>
      <c r="M340" s="6" t="s">
        <v>15</v>
      </c>
      <c r="N340" s="6" t="str">
        <f t="shared" si="36"/>
        <v>INSERT INTO attributes (parent_id, tag, name, priority, allow_as_filter, allow_for_dataset, allow_for_measurement, allow_for_users, allow_for_qc) VALUES (NULL, 'att_signalling',  'Signallling Pathway',  500,  TRUE, TRUE, TRUE, FALSE, FALSE);</v>
      </c>
      <c r="O340" s="6" t="str">
        <f t="shared" si="37"/>
        <v xml:space="preserve">INSERT INTO attribute_values (attribute_id, tag, name, details) VALUES ((SELECT id FROM attributes WHERE tag = 'att_signalling' LIMIT 1),  'att_signalling:inflammation',  'Inflammation',  'Biological response of body tissues to harmful stimuli,'); </v>
      </c>
    </row>
    <row r="341" spans="1:15" x14ac:dyDescent="0.15">
      <c r="A341" s="12" t="b">
        <f>FALSE()</f>
        <v>0</v>
      </c>
      <c r="B341" s="12"/>
      <c r="C341" s="6" t="s">
        <v>2298</v>
      </c>
      <c r="D341" s="6" t="s">
        <v>2299</v>
      </c>
      <c r="E341" s="6" t="s">
        <v>15</v>
      </c>
      <c r="F341" s="6" t="s">
        <v>2621</v>
      </c>
      <c r="G341" s="6" t="s">
        <v>2622</v>
      </c>
      <c r="H341" s="6" t="str">
        <f t="shared" si="34"/>
        <v>att_signalling</v>
      </c>
      <c r="I341" s="6" t="s">
        <v>2298</v>
      </c>
      <c r="J341" s="6" t="str">
        <f t="shared" si="35"/>
        <v>att_signalling:insulin</v>
      </c>
      <c r="K341" s="11" t="s">
        <v>19</v>
      </c>
      <c r="L341" s="6" t="s">
        <v>2300</v>
      </c>
      <c r="M341" s="6" t="s">
        <v>15</v>
      </c>
      <c r="N341" s="6" t="str">
        <f t="shared" si="36"/>
        <v>INSERT INTO attributes (parent_id, tag, name, priority, allow_as_filter, allow_for_dataset, allow_for_measurement, allow_for_users, allow_for_qc) VALUES (NULL, 'att_signalling',  'Signallling Pathway',  500,  TRUE, TRUE, TRUE, FALSE, FALSE);</v>
      </c>
      <c r="O341" s="6" t="str">
        <f t="shared" si="37"/>
        <v xml:space="preserve">INSERT INTO attribute_values (attribute_id, tag, name, details) VALUES ((SELECT id FROM attributes WHERE tag = 'att_signalling' LIMIT 1),  'att_signalling:insulin',  'Insulin',  'Insulin Signaling'); </v>
      </c>
    </row>
    <row r="342" spans="1:15" x14ac:dyDescent="0.15">
      <c r="A342" s="12" t="b">
        <f>FALSE()</f>
        <v>0</v>
      </c>
      <c r="B342" s="12"/>
      <c r="C342" s="6" t="s">
        <v>2301</v>
      </c>
      <c r="D342" s="6" t="s">
        <v>2302</v>
      </c>
      <c r="E342" s="6" t="s">
        <v>15</v>
      </c>
      <c r="F342" s="6" t="s">
        <v>2621</v>
      </c>
      <c r="G342" s="6" t="s">
        <v>2622</v>
      </c>
      <c r="H342" s="6" t="str">
        <f t="shared" si="34"/>
        <v>att_signalling</v>
      </c>
      <c r="I342" s="6" t="s">
        <v>2301</v>
      </c>
      <c r="J342" s="6" t="str">
        <f t="shared" si="35"/>
        <v>att_signalling:juxtacrine</v>
      </c>
      <c r="K342" s="11" t="s">
        <v>19</v>
      </c>
      <c r="L342" s="6" t="s">
        <v>2303</v>
      </c>
      <c r="M342" s="6" t="s">
        <v>15</v>
      </c>
      <c r="N342" s="6" t="str">
        <f t="shared" si="36"/>
        <v>INSERT INTO attributes (parent_id, tag, name, priority, allow_as_filter, allow_for_dataset, allow_for_measurement, allow_for_users, allow_for_qc) VALUES (NULL, 'att_signalling',  'Signallling Pathway',  500,  TRUE, TRUE, TRUE, FALSE, FALSE);</v>
      </c>
      <c r="O342" s="6" t="str">
        <f t="shared" si="37"/>
        <v xml:space="preserve">INSERT INTO attribute_values (attribute_id, tag, name, details) VALUES ((SELECT id FROM attributes WHERE tag = 'att_signalling' LIMIT 1),  'att_signalling:juxtacrine',  'Juxtacrine',  'Contact-dependent signalling'); </v>
      </c>
    </row>
    <row r="343" spans="1:15" x14ac:dyDescent="0.15">
      <c r="A343" s="12" t="b">
        <f>FALSE()</f>
        <v>0</v>
      </c>
      <c r="B343" s="12"/>
      <c r="C343" s="6" t="s">
        <v>2304</v>
      </c>
      <c r="D343" s="6" t="s">
        <v>2305</v>
      </c>
      <c r="E343" s="6" t="s">
        <v>15</v>
      </c>
      <c r="F343" s="6" t="s">
        <v>2621</v>
      </c>
      <c r="G343" s="6" t="s">
        <v>2622</v>
      </c>
      <c r="H343" s="6" t="str">
        <f t="shared" si="34"/>
        <v>att_signalling</v>
      </c>
      <c r="I343" s="6" t="s">
        <v>2304</v>
      </c>
      <c r="J343" s="6" t="str">
        <f t="shared" si="35"/>
        <v>att_signalling:necrosis</v>
      </c>
      <c r="K343" s="11" t="s">
        <v>19</v>
      </c>
      <c r="L343" s="6" t="s">
        <v>2306</v>
      </c>
      <c r="M343" s="6" t="s">
        <v>15</v>
      </c>
      <c r="N343" s="6" t="str">
        <f t="shared" si="36"/>
        <v>INSERT INTO attributes (parent_id, tag, name, priority, allow_as_filter, allow_for_dataset, allow_for_measurement, allow_for_users, allow_for_qc) VALUES (NULL, 'att_signalling',  'Signallling Pathway',  500,  TRUE, TRUE, TRUE, FALSE, FALSE);</v>
      </c>
      <c r="O343" s="6" t="str">
        <f t="shared" si="37"/>
        <v xml:space="preserve">INSERT INTO attribute_values (attribute_id, tag, name, details) VALUES ((SELECT id FROM attributes WHERE tag = 'att_signalling' LIMIT 1),  'att_signalling:necrosis',  'Necrosis',  'Uncontrolled cell death.'); </v>
      </c>
    </row>
    <row r="344" spans="1:15" x14ac:dyDescent="0.15">
      <c r="A344" s="12" t="b">
        <f>FALSE()</f>
        <v>0</v>
      </c>
      <c r="B344" s="12"/>
      <c r="C344" s="6" t="s">
        <v>2307</v>
      </c>
      <c r="D344" s="6" t="s">
        <v>2308</v>
      </c>
      <c r="E344" s="6" t="s">
        <v>15</v>
      </c>
      <c r="F344" s="6" t="s">
        <v>2621</v>
      </c>
      <c r="G344" s="6" t="s">
        <v>2622</v>
      </c>
      <c r="H344" s="6" t="str">
        <f t="shared" si="34"/>
        <v>att_signalling</v>
      </c>
      <c r="I344" s="6" t="s">
        <v>2307</v>
      </c>
      <c r="J344" s="6" t="str">
        <f t="shared" si="35"/>
        <v>att_signalling:paracrine</v>
      </c>
      <c r="K344" s="11" t="s">
        <v>19</v>
      </c>
      <c r="L344" s="6" t="s">
        <v>2309</v>
      </c>
      <c r="M344" s="6" t="s">
        <v>15</v>
      </c>
      <c r="N344" s="6" t="str">
        <f t="shared" si="36"/>
        <v>INSERT INTO attributes (parent_id, tag, name, priority, allow_as_filter, allow_for_dataset, allow_for_measurement, allow_for_users, allow_for_qc) VALUES (NULL, 'att_signalling',  'Signallling Pathway',  500,  TRUE, TRUE, TRUE, FALSE, FALSE);</v>
      </c>
      <c r="O344" s="6" t="str">
        <f t="shared" si="37"/>
        <v xml:space="preserve">INSERT INTO attribute_values (attribute_id, tag, name, details) VALUES ((SELECT id FROM attributes WHERE tag = 'att_signalling' LIMIT 1),  'att_signalling:paracrine',  'Paracrine',  'Cell-to-Cell Communication'); </v>
      </c>
    </row>
    <row r="345" spans="1:15" x14ac:dyDescent="0.15">
      <c r="A345" s="12" t="b">
        <f>FALSE()</f>
        <v>0</v>
      </c>
      <c r="B345" s="12"/>
      <c r="C345" s="6" t="s">
        <v>1698</v>
      </c>
      <c r="D345" s="6" t="s">
        <v>1699</v>
      </c>
      <c r="E345" s="6" t="s">
        <v>15</v>
      </c>
      <c r="F345" s="6" t="s">
        <v>2621</v>
      </c>
      <c r="G345" s="6" t="s">
        <v>2622</v>
      </c>
      <c r="H345" s="6" t="str">
        <f t="shared" si="34"/>
        <v>att_signalling</v>
      </c>
      <c r="I345" s="6" t="s">
        <v>1698</v>
      </c>
      <c r="J345" s="6" t="str">
        <f t="shared" si="35"/>
        <v>att_signalling:signaling</v>
      </c>
      <c r="K345" s="11" t="s">
        <v>19</v>
      </c>
      <c r="L345" s="6" t="s">
        <v>2310</v>
      </c>
      <c r="M345" s="6" t="s">
        <v>15</v>
      </c>
      <c r="N345" s="6" t="str">
        <f t="shared" si="36"/>
        <v>INSERT INTO attributes (parent_id, tag, name, priority, allow_as_filter, allow_for_dataset, allow_for_measurement, allow_for_users, allow_for_qc) VALUES (NULL, 'att_signalling',  'Signallling Pathway',  500,  TRUE, TRUE, TRUE, FALSE, FALSE);</v>
      </c>
      <c r="O345" s="6" t="str">
        <f t="shared" si="37"/>
        <v xml:space="preserve">INSERT INTO attribute_values (attribute_id, tag, name, details) VALUES ((SELECT id FROM attributes WHERE tag = 'att_signalling' LIMIT 1),  'att_signalling:signaling',  'Signaling',  'General Protein, Gen or Cell Signaling'); </v>
      </c>
    </row>
    <row r="346" spans="1:15" x14ac:dyDescent="0.15">
      <c r="A346" s="11" t="s">
        <v>19</v>
      </c>
      <c r="B346" s="12"/>
      <c r="C346" s="6" t="s">
        <v>2311</v>
      </c>
      <c r="D346" s="6" t="s">
        <v>2312</v>
      </c>
      <c r="E346" s="6" t="s">
        <v>15</v>
      </c>
      <c r="F346" s="6" t="s">
        <v>175</v>
      </c>
      <c r="G346" s="6" t="s">
        <v>2623</v>
      </c>
      <c r="H346" s="6" t="str">
        <f t="shared" si="34"/>
        <v>att_software</v>
      </c>
      <c r="I346" s="6" t="s">
        <v>2311</v>
      </c>
      <c r="J346" s="6" t="str">
        <f t="shared" si="35"/>
        <v>att_software:diann</v>
      </c>
      <c r="K346" s="11" t="s">
        <v>19</v>
      </c>
      <c r="L346" s="6" t="s">
        <v>2313</v>
      </c>
      <c r="M346" s="6" t="s">
        <v>15</v>
      </c>
      <c r="N346" s="6" t="str">
        <f t="shared" si="36"/>
        <v>INSERT INTO attributes (parent_id, tag, name, priority, allow_as_filter, allow_for_dataset, allow_for_measurement, allow_for_users, allow_for_qc) VALUES (NULL, 'att_software',  'Software',  500,  TRUE, TRUE, TRUE, FALSE, FALSE);</v>
      </c>
      <c r="O346" s="6" t="str">
        <f t="shared" si="37"/>
        <v xml:space="preserve">INSERT INTO attribute_values (attribute_id, tag, name, details) VALUES ((SELECT id FROM attributes WHERE tag = 'att_software' LIMIT 1),  'att_software:diann',  'DIA-NN',  'universal automated software suite for DIA proteomics data analysis'); </v>
      </c>
    </row>
    <row r="347" spans="1:15" x14ac:dyDescent="0.15">
      <c r="A347" s="11" t="s">
        <v>19</v>
      </c>
      <c r="B347" s="12"/>
      <c r="C347" s="6" t="s">
        <v>2314</v>
      </c>
      <c r="D347" s="6" t="s">
        <v>2315</v>
      </c>
      <c r="E347" s="6" t="s">
        <v>15</v>
      </c>
      <c r="F347" s="6" t="s">
        <v>175</v>
      </c>
      <c r="G347" s="6" t="s">
        <v>2623</v>
      </c>
      <c r="H347" s="6" t="str">
        <f t="shared" si="34"/>
        <v>att_software</v>
      </c>
      <c r="I347" s="6" t="s">
        <v>2314</v>
      </c>
      <c r="J347" s="6" t="str">
        <f t="shared" si="35"/>
        <v>att_software:maxquant</v>
      </c>
      <c r="K347" s="11" t="s">
        <v>19</v>
      </c>
      <c r="L347" s="6" t="s">
        <v>2316</v>
      </c>
      <c r="M347" s="6" t="s">
        <v>15</v>
      </c>
      <c r="N347" s="6" t="str">
        <f t="shared" si="36"/>
        <v>INSERT INTO attributes (parent_id, tag, name, priority, allow_as_filter, allow_for_dataset, allow_for_measurement, allow_for_users, allow_for_qc) VALUES (NULL, 'att_software',  'Software',  500,  TRUE, TRUE, TRUE, FALSE, FALSE);</v>
      </c>
      <c r="O347" s="6" t="str">
        <f t="shared" si="37"/>
        <v xml:space="preserve">INSERT INTO attribute_values (attribute_id, tag, name, details) VALUES ((SELECT id FROM attributes WHERE tag = 'att_software' LIMIT 1),  'att_software:maxquant',  'MaxQuant',  'MPI’s MaxQuant quantitiative proteomics software package'); </v>
      </c>
    </row>
    <row r="348" spans="1:15" x14ac:dyDescent="0.15">
      <c r="A348" s="11" t="s">
        <v>19</v>
      </c>
      <c r="B348" s="12"/>
      <c r="C348" s="6" t="s">
        <v>2317</v>
      </c>
      <c r="D348" s="6" t="s">
        <v>2318</v>
      </c>
      <c r="E348" s="6" t="s">
        <v>15</v>
      </c>
      <c r="F348" s="6" t="s">
        <v>175</v>
      </c>
      <c r="G348" s="6" t="s">
        <v>2623</v>
      </c>
      <c r="H348" s="6" t="str">
        <f t="shared" si="34"/>
        <v>att_software</v>
      </c>
      <c r="I348" s="6" t="s">
        <v>2317</v>
      </c>
      <c r="J348" s="6" t="str">
        <f t="shared" si="35"/>
        <v>att_software:metamorpheus</v>
      </c>
      <c r="K348" s="11" t="s">
        <v>19</v>
      </c>
      <c r="L348" s="6" t="s">
        <v>2319</v>
      </c>
      <c r="M348" s="6" t="s">
        <v>15</v>
      </c>
      <c r="N348" s="6" t="str">
        <f t="shared" si="36"/>
        <v>INSERT INTO attributes (parent_id, tag, name, priority, allow_as_filter, allow_for_dataset, allow_for_measurement, allow_for_users, allow_for_qc) VALUES (NULL, 'att_software',  'Software',  500,  TRUE, TRUE, TRUE, FALSE, FALSE);</v>
      </c>
      <c r="O348" s="6" t="str">
        <f t="shared" si="37"/>
        <v xml:space="preserve">INSERT INTO attribute_values (attribute_id, tag, name, details) VALUES ((SELECT id FROM attributes WHERE tag = 'att_software' LIMIT 1),  'att_software:metamorpheus',  'MetaMorpheus',  'Open-Source PTM Disocvery; smith-chem-wisc'); </v>
      </c>
    </row>
    <row r="349" spans="1:15" x14ac:dyDescent="0.15">
      <c r="A349" s="11" t="s">
        <v>19</v>
      </c>
      <c r="B349" s="12"/>
      <c r="C349" s="6" t="s">
        <v>2320</v>
      </c>
      <c r="D349" s="6" t="s">
        <v>2321</v>
      </c>
      <c r="E349" s="6" t="s">
        <v>15</v>
      </c>
      <c r="F349" s="6" t="s">
        <v>175</v>
      </c>
      <c r="G349" s="6" t="s">
        <v>2623</v>
      </c>
      <c r="H349" s="6" t="str">
        <f t="shared" si="34"/>
        <v>att_software</v>
      </c>
      <c r="I349" s="6" t="s">
        <v>2320</v>
      </c>
      <c r="J349" s="6" t="str">
        <f t="shared" si="35"/>
        <v>att_software:minora</v>
      </c>
      <c r="K349" s="11" t="s">
        <v>19</v>
      </c>
      <c r="L349" s="6" t="s">
        <v>2322</v>
      </c>
      <c r="M349" s="6" t="s">
        <v>15</v>
      </c>
      <c r="N349" s="6" t="str">
        <f t="shared" si="36"/>
        <v>INSERT INTO attributes (parent_id, tag, name, priority, allow_as_filter, allow_for_dataset, allow_for_measurement, allow_for_users, allow_for_qc) VALUES (NULL, 'att_software',  'Software',  500,  TRUE, TRUE, TRUE, FALSE, FALSE);</v>
      </c>
      <c r="O349" s="6" t="str">
        <f t="shared" si="37"/>
        <v xml:space="preserve">INSERT INTO attribute_values (attribute_id, tag, name, details) VALUES ((SELECT id FROM attributes WHERE tag = 'att_software' LIMIT 1),  'att_software:minora',  'Minora',  'Proteome Discoverer, Minora; Thermo Fisher'); </v>
      </c>
    </row>
    <row r="350" spans="1:15" x14ac:dyDescent="0.15">
      <c r="A350" s="11" t="s">
        <v>19</v>
      </c>
      <c r="B350" s="12"/>
      <c r="C350" s="6" t="s">
        <v>2323</v>
      </c>
      <c r="D350" s="6" t="s">
        <v>2324</v>
      </c>
      <c r="E350" s="6" t="s">
        <v>15</v>
      </c>
      <c r="F350" s="6" t="s">
        <v>175</v>
      </c>
      <c r="G350" s="6" t="s">
        <v>2623</v>
      </c>
      <c r="H350" s="6" t="str">
        <f t="shared" si="34"/>
        <v>att_software</v>
      </c>
      <c r="I350" s="6" t="s">
        <v>2323</v>
      </c>
      <c r="J350" s="6" t="str">
        <f t="shared" si="35"/>
        <v>att_software:msfragger</v>
      </c>
      <c r="K350" s="11" t="s">
        <v>19</v>
      </c>
      <c r="L350" s="6" t="s">
        <v>2325</v>
      </c>
      <c r="M350" s="6" t="s">
        <v>15</v>
      </c>
      <c r="N350" s="6" t="str">
        <f t="shared" si="36"/>
        <v>INSERT INTO attributes (parent_id, tag, name, priority, allow_as_filter, allow_for_dataset, allow_for_measurement, allow_for_users, allow_for_qc) VALUES (NULL, 'att_software',  'Software',  500,  TRUE, TRUE, TRUE, FALSE, FALSE);</v>
      </c>
      <c r="O350" s="6" t="str">
        <f t="shared" si="37"/>
        <v xml:space="preserve">INSERT INTO attribute_values (attribute_id, tag, name, details) VALUES ((SELECT id FROM attributes WHERE tag = 'att_software' LIMIT 1),  'att_software:msfragger',  'MSFragger',  'Nesvilab’s MSFragger'); </v>
      </c>
    </row>
    <row r="351" spans="1:15" x14ac:dyDescent="0.15">
      <c r="A351" s="11" t="s">
        <v>19</v>
      </c>
      <c r="B351" s="12"/>
      <c r="C351" s="6" t="s">
        <v>2326</v>
      </c>
      <c r="D351" s="6" t="s">
        <v>2327</v>
      </c>
      <c r="E351" s="6" t="s">
        <v>15</v>
      </c>
      <c r="F351" s="6" t="s">
        <v>175</v>
      </c>
      <c r="G351" s="6" t="s">
        <v>2623</v>
      </c>
      <c r="H351" s="6" t="str">
        <f t="shared" si="34"/>
        <v>att_software</v>
      </c>
      <c r="I351" s="6" t="s">
        <v>2326</v>
      </c>
      <c r="J351" s="6" t="str">
        <f t="shared" si="35"/>
        <v>att_software:msgf</v>
      </c>
      <c r="K351" s="11" t="s">
        <v>19</v>
      </c>
      <c r="L351" s="6" t="s">
        <v>2328</v>
      </c>
      <c r="M351" s="6" t="s">
        <v>15</v>
      </c>
      <c r="N351" s="6" t="str">
        <f t="shared" si="36"/>
        <v>INSERT INTO attributes (parent_id, tag, name, priority, allow_as_filter, allow_for_dataset, allow_for_measurement, allow_for_users, allow_for_qc) VALUES (NULL, 'att_software',  'Software',  500,  TRUE, TRUE, TRUE, FALSE, FALSE);</v>
      </c>
      <c r="O351" s="6" t="str">
        <f t="shared" si="37"/>
        <v xml:space="preserve">INSERT INTO attribute_values (attribute_id, tag, name, details) VALUES ((SELECT id FROM attributes WHERE tag = 'att_software' LIMIT 1),  'att_software:msgf',  'MS-GF+',  'MS-GF+ (aka MSGF+ or MSGFPlus) '); </v>
      </c>
    </row>
    <row r="352" spans="1:15" x14ac:dyDescent="0.15">
      <c r="A352" s="11" t="s">
        <v>19</v>
      </c>
      <c r="B352" s="12"/>
      <c r="C352" s="6" t="s">
        <v>2329</v>
      </c>
      <c r="D352" s="6" t="s">
        <v>2330</v>
      </c>
      <c r="E352" s="6" t="s">
        <v>15</v>
      </c>
      <c r="F352" s="6" t="s">
        <v>175</v>
      </c>
      <c r="G352" s="6" t="s">
        <v>2623</v>
      </c>
      <c r="H352" s="6" t="str">
        <f t="shared" si="34"/>
        <v>att_software</v>
      </c>
      <c r="I352" s="6" t="s">
        <v>2329</v>
      </c>
      <c r="J352" s="6" t="str">
        <f t="shared" si="35"/>
        <v>att_software:spectronaut</v>
      </c>
      <c r="K352" s="11" t="s">
        <v>19</v>
      </c>
      <c r="L352" s="6" t="s">
        <v>2331</v>
      </c>
      <c r="M352" s="6" t="s">
        <v>15</v>
      </c>
      <c r="N352" s="6" t="str">
        <f t="shared" si="36"/>
        <v>INSERT INTO attributes (parent_id, tag, name, priority, allow_as_filter, allow_for_dataset, allow_for_measurement, allow_for_users, allow_for_qc) VALUES (NULL, 'att_software',  'Software',  500,  TRUE, TRUE, TRUE, FALSE, FALSE);</v>
      </c>
      <c r="O352" s="6" t="str">
        <f t="shared" si="37"/>
        <v xml:space="preserve">INSERT INTO attribute_values (attribute_id, tag, name, details) VALUES ((SELECT id FROM attributes WHERE tag = 'att_software' LIMIT 1),  'att_software:spectronaut',  'Spectronaut',  'BioGnoSys’s Spectronaut; DIA proteomics analysis'); </v>
      </c>
    </row>
    <row r="353" spans="1:15" x14ac:dyDescent="0.15">
      <c r="A353" s="12" t="b">
        <f>FALSE()</f>
        <v>0</v>
      </c>
      <c r="B353" s="12"/>
      <c r="C353" s="6" t="s">
        <v>2332</v>
      </c>
      <c r="D353" s="6" t="s">
        <v>2333</v>
      </c>
      <c r="E353" s="6" t="s">
        <v>15</v>
      </c>
      <c r="F353" s="6" t="s">
        <v>179</v>
      </c>
      <c r="G353" s="6" t="s">
        <v>2624</v>
      </c>
      <c r="H353" s="6" t="str">
        <f t="shared" si="34"/>
        <v>att_tissue</v>
      </c>
      <c r="I353" s="6" t="s">
        <v>2332</v>
      </c>
      <c r="J353" s="6" t="str">
        <f t="shared" si="35"/>
        <v>att_tissue:adipose</v>
      </c>
      <c r="K353" s="11" t="s">
        <v>19</v>
      </c>
      <c r="L353" s="6" t="s">
        <v>2334</v>
      </c>
      <c r="M353" s="6" t="s">
        <v>15</v>
      </c>
      <c r="N353" s="6" t="str">
        <f t="shared" si="36"/>
        <v>INSERT INTO attributes (parent_id, tag, name, priority, allow_as_filter, allow_for_dataset, allow_for_measurement, allow_for_users, allow_for_qc) VALUES (NULL, 'att_tissue',  'Tissue',  500,  TRUE, TRUE, TRUE, FALSE, FALSE);</v>
      </c>
      <c r="O353" s="6" t="str">
        <f t="shared" si="37"/>
        <v xml:space="preserve">INSERT INTO attribute_values (attribute_id, tag, name, details) VALUES ((SELECT id FROM attributes WHERE tag = 'att_tissue' LIMIT 1),  'att_tissue:adipose',  'Adipose',  'Adipose connective tissue'); </v>
      </c>
    </row>
    <row r="354" spans="1:15" x14ac:dyDescent="0.15">
      <c r="A354" s="12" t="b">
        <f>FALSE()</f>
        <v>0</v>
      </c>
      <c r="B354" s="12"/>
      <c r="C354" s="6" t="s">
        <v>2335</v>
      </c>
      <c r="D354" s="6" t="s">
        <v>2336</v>
      </c>
      <c r="E354" s="6" t="s">
        <v>15</v>
      </c>
      <c r="F354" s="6" t="s">
        <v>179</v>
      </c>
      <c r="G354" s="6" t="s">
        <v>2624</v>
      </c>
      <c r="H354" s="6" t="str">
        <f t="shared" si="34"/>
        <v>att_tissue</v>
      </c>
      <c r="I354" s="6" t="s">
        <v>2335</v>
      </c>
      <c r="J354" s="6" t="str">
        <f t="shared" si="35"/>
        <v>att_tissue:areolar</v>
      </c>
      <c r="K354" s="11" t="s">
        <v>19</v>
      </c>
      <c r="L354" s="6" t="s">
        <v>2337</v>
      </c>
      <c r="M354" s="6" t="s">
        <v>15</v>
      </c>
      <c r="N354" s="6" t="str">
        <f t="shared" si="36"/>
        <v>INSERT INTO attributes (parent_id, tag, name, priority, allow_as_filter, allow_for_dataset, allow_for_measurement, allow_for_users, allow_for_qc) VALUES (NULL, 'att_tissue',  'Tissue',  500,  TRUE, TRUE, TRUE, FALSE, FALSE);</v>
      </c>
      <c r="O354" s="6" t="str">
        <f t="shared" si="37"/>
        <v xml:space="preserve">INSERT INTO attribute_values (attribute_id, tag, name, details) VALUES ((SELECT id FROM attributes WHERE tag = 'att_tissue' LIMIT 1),  'att_tissue:areolar',  'Areolar',  'Areolar connective tissue'); </v>
      </c>
    </row>
    <row r="355" spans="1:15" x14ac:dyDescent="0.15">
      <c r="A355" s="12" t="b">
        <f>FALSE()</f>
        <v>0</v>
      </c>
      <c r="B355" s="12"/>
      <c r="C355" s="6" t="s">
        <v>2338</v>
      </c>
      <c r="D355" s="6" t="s">
        <v>2339</v>
      </c>
      <c r="E355" s="6" t="s">
        <v>15</v>
      </c>
      <c r="F355" s="6" t="s">
        <v>179</v>
      </c>
      <c r="G355" s="6" t="s">
        <v>2624</v>
      </c>
      <c r="H355" s="6" t="str">
        <f t="shared" si="34"/>
        <v>att_tissue</v>
      </c>
      <c r="I355" s="6" t="s">
        <v>2338</v>
      </c>
      <c r="J355" s="6" t="str">
        <f t="shared" si="35"/>
        <v>att_tissue:blood</v>
      </c>
      <c r="K355" s="11" t="s">
        <v>19</v>
      </c>
      <c r="L355" s="6" t="s">
        <v>2339</v>
      </c>
      <c r="M355" s="6" t="s">
        <v>15</v>
      </c>
      <c r="N355" s="6" t="str">
        <f t="shared" si="36"/>
        <v>INSERT INTO attributes (parent_id, tag, name, priority, allow_as_filter, allow_for_dataset, allow_for_measurement, allow_for_users, allow_for_qc) VALUES (NULL, 'att_tissue',  'Tissue',  500,  TRUE, TRUE, TRUE, FALSE, FALSE);</v>
      </c>
      <c r="O355" s="6" t="str">
        <f t="shared" si="37"/>
        <v xml:space="preserve">INSERT INTO attribute_values (attribute_id, tag, name, details) VALUES ((SELECT id FROM attributes WHERE tag = 'att_tissue' LIMIT 1),  'att_tissue:blood',  'Blood',  'Blood'); </v>
      </c>
    </row>
    <row r="356" spans="1:15" x14ac:dyDescent="0.15">
      <c r="A356" s="12" t="b">
        <f>FALSE()</f>
        <v>0</v>
      </c>
      <c r="B356" s="12"/>
      <c r="C356" s="6" t="s">
        <v>2340</v>
      </c>
      <c r="D356" s="6" t="s">
        <v>2341</v>
      </c>
      <c r="E356" s="6" t="s">
        <v>15</v>
      </c>
      <c r="F356" s="6" t="s">
        <v>179</v>
      </c>
      <c r="G356" s="6" t="s">
        <v>2624</v>
      </c>
      <c r="H356" s="6" t="str">
        <f t="shared" si="34"/>
        <v>att_tissue</v>
      </c>
      <c r="I356" s="6" t="s">
        <v>2340</v>
      </c>
      <c r="J356" s="6" t="str">
        <f t="shared" si="35"/>
        <v>att_tissue:connective</v>
      </c>
      <c r="K356" s="11" t="s">
        <v>19</v>
      </c>
      <c r="L356" s="6" t="s">
        <v>2342</v>
      </c>
      <c r="M356" s="6" t="s">
        <v>15</v>
      </c>
      <c r="N356" s="6" t="str">
        <f t="shared" si="36"/>
        <v>INSERT INTO attributes (parent_id, tag, name, priority, allow_as_filter, allow_for_dataset, allow_for_measurement, allow_for_users, allow_for_qc) VALUES (NULL, 'att_tissue',  'Tissue',  500,  TRUE, TRUE, TRUE, FALSE, FALSE);</v>
      </c>
      <c r="O356" s="6" t="str">
        <f t="shared" si="37"/>
        <v xml:space="preserve">INSERT INTO attribute_values (attribute_id, tag, name, details) VALUES ((SELECT id FROM attributes WHERE tag = 'att_tissue' LIMIT 1),  'att_tissue:connective',  'Connective',  'Connective tissue'); </v>
      </c>
    </row>
    <row r="357" spans="1:15" x14ac:dyDescent="0.15">
      <c r="A357" s="12" t="b">
        <f>FALSE()</f>
        <v>0</v>
      </c>
      <c r="B357" s="12"/>
      <c r="C357" s="6" t="s">
        <v>2343</v>
      </c>
      <c r="D357" s="6" t="s">
        <v>2344</v>
      </c>
      <c r="E357" s="6" t="s">
        <v>15</v>
      </c>
      <c r="F357" s="6" t="s">
        <v>179</v>
      </c>
      <c r="G357" s="6" t="s">
        <v>2624</v>
      </c>
      <c r="H357" s="6" t="str">
        <f t="shared" si="34"/>
        <v>att_tissue</v>
      </c>
      <c r="I357" s="6" t="s">
        <v>2343</v>
      </c>
      <c r="J357" s="6" t="str">
        <f t="shared" si="35"/>
        <v>att_tissue:dermis</v>
      </c>
      <c r="K357" s="11" t="s">
        <v>19</v>
      </c>
      <c r="L357" s="6" t="s">
        <v>2344</v>
      </c>
      <c r="M357" s="6" t="s">
        <v>15</v>
      </c>
      <c r="N357" s="6" t="str">
        <f t="shared" si="36"/>
        <v>INSERT INTO attributes (parent_id, tag, name, priority, allow_as_filter, allow_for_dataset, allow_for_measurement, allow_for_users, allow_for_qc) VALUES (NULL, 'att_tissue',  'Tissue',  500,  TRUE, TRUE, TRUE, FALSE, FALSE);</v>
      </c>
      <c r="O357" s="6" t="str">
        <f t="shared" si="37"/>
        <v xml:space="preserve">INSERT INTO attribute_values (attribute_id, tag, name, details) VALUES ((SELECT id FROM attributes WHERE tag = 'att_tissue' LIMIT 1),  'att_tissue:dermis',  'Dermis',  'Dermis'); </v>
      </c>
    </row>
    <row r="358" spans="1:15" x14ac:dyDescent="0.15">
      <c r="A358" s="12" t="b">
        <f>FALSE()</f>
        <v>0</v>
      </c>
      <c r="B358" s="12"/>
      <c r="C358" s="6" t="s">
        <v>2345</v>
      </c>
      <c r="D358" s="6" t="s">
        <v>2346</v>
      </c>
      <c r="E358" s="6" t="s">
        <v>15</v>
      </c>
      <c r="F358" s="6" t="s">
        <v>179</v>
      </c>
      <c r="G358" s="6" t="s">
        <v>2624</v>
      </c>
      <c r="H358" s="6" t="str">
        <f t="shared" si="34"/>
        <v>att_tissue</v>
      </c>
      <c r="I358" s="6" t="s">
        <v>2345</v>
      </c>
      <c r="J358" s="6" t="str">
        <f t="shared" si="35"/>
        <v>att_tissue:epidermis</v>
      </c>
      <c r="K358" s="11" t="s">
        <v>19</v>
      </c>
      <c r="L358" s="6" t="s">
        <v>2346</v>
      </c>
      <c r="M358" s="6" t="s">
        <v>15</v>
      </c>
      <c r="N358" s="6" t="str">
        <f t="shared" si="36"/>
        <v>INSERT INTO attributes (parent_id, tag, name, priority, allow_as_filter, allow_for_dataset, allow_for_measurement, allow_for_users, allow_for_qc) VALUES (NULL, 'att_tissue',  'Tissue',  500,  TRUE, TRUE, TRUE, FALSE, FALSE);</v>
      </c>
      <c r="O358" s="6" t="str">
        <f t="shared" si="37"/>
        <v xml:space="preserve">INSERT INTO attribute_values (attribute_id, tag, name, details) VALUES ((SELECT id FROM attributes WHERE tag = 'att_tissue' LIMIT 1),  'att_tissue:epidermis',  'Epidermis',  'Epidermis'); </v>
      </c>
    </row>
    <row r="359" spans="1:15" x14ac:dyDescent="0.15">
      <c r="A359" s="12" t="b">
        <f>FALSE()</f>
        <v>0</v>
      </c>
      <c r="B359" s="12"/>
      <c r="C359" s="6" t="s">
        <v>2347</v>
      </c>
      <c r="D359" s="6" t="s">
        <v>2348</v>
      </c>
      <c r="E359" s="6" t="s">
        <v>15</v>
      </c>
      <c r="F359" s="6" t="s">
        <v>179</v>
      </c>
      <c r="G359" s="6" t="s">
        <v>2624</v>
      </c>
      <c r="H359" s="6" t="str">
        <f t="shared" si="34"/>
        <v>att_tissue</v>
      </c>
      <c r="I359" s="6" t="s">
        <v>2347</v>
      </c>
      <c r="J359" s="6" t="str">
        <f t="shared" si="35"/>
        <v>att_tissue:epithelial</v>
      </c>
      <c r="K359" s="11" t="s">
        <v>19</v>
      </c>
      <c r="L359" s="6" t="s">
        <v>2349</v>
      </c>
      <c r="M359" s="6" t="s">
        <v>15</v>
      </c>
      <c r="N359" s="6" t="str">
        <f t="shared" si="36"/>
        <v>INSERT INTO attributes (parent_id, tag, name, priority, allow_as_filter, allow_for_dataset, allow_for_measurement, allow_for_users, allow_for_qc) VALUES (NULL, 'att_tissue',  'Tissue',  500,  TRUE, TRUE, TRUE, FALSE, FALSE);</v>
      </c>
      <c r="O359" s="6" t="str">
        <f t="shared" si="37"/>
        <v xml:space="preserve">INSERT INTO attribute_values (attribute_id, tag, name, details) VALUES ((SELECT id FROM attributes WHERE tag = 'att_tissue' LIMIT 1),  'att_tissue:epithelial',  'Epithelial',  'Epithelial tissue'); </v>
      </c>
    </row>
    <row r="360" spans="1:15" x14ac:dyDescent="0.15">
      <c r="A360" s="12" t="b">
        <f>FALSE()</f>
        <v>0</v>
      </c>
      <c r="B360" s="12"/>
      <c r="C360" s="6" t="s">
        <v>2350</v>
      </c>
      <c r="D360" s="6" t="s">
        <v>2351</v>
      </c>
      <c r="E360" s="6" t="s">
        <v>15</v>
      </c>
      <c r="F360" s="6" t="s">
        <v>179</v>
      </c>
      <c r="G360" s="6" t="s">
        <v>2624</v>
      </c>
      <c r="H360" s="6" t="str">
        <f t="shared" si="34"/>
        <v>att_tissue</v>
      </c>
      <c r="I360" s="6" t="s">
        <v>2350</v>
      </c>
      <c r="J360" s="6" t="str">
        <f t="shared" si="35"/>
        <v>att_tissue:hypodermis</v>
      </c>
      <c r="K360" s="11" t="s">
        <v>19</v>
      </c>
      <c r="L360" s="6" t="s">
        <v>2351</v>
      </c>
      <c r="M360" s="6" t="s">
        <v>15</v>
      </c>
      <c r="N360" s="6" t="str">
        <f t="shared" si="36"/>
        <v>INSERT INTO attributes (parent_id, tag, name, priority, allow_as_filter, allow_for_dataset, allow_for_measurement, allow_for_users, allow_for_qc) VALUES (NULL, 'att_tissue',  'Tissue',  500,  TRUE, TRUE, TRUE, FALSE, FALSE);</v>
      </c>
      <c r="O360" s="6" t="str">
        <f t="shared" si="37"/>
        <v xml:space="preserve">INSERT INTO attribute_values (attribute_id, tag, name, details) VALUES ((SELECT id FROM attributes WHERE tag = 'att_tissue' LIMIT 1),  'att_tissue:hypodermis',  'Hypodermis',  'Hypodermis'); </v>
      </c>
    </row>
    <row r="361" spans="1:15" x14ac:dyDescent="0.15">
      <c r="A361" s="12" t="b">
        <f>FALSE()</f>
        <v>0</v>
      </c>
      <c r="B361" s="12"/>
      <c r="C361" s="6" t="s">
        <v>2352</v>
      </c>
      <c r="D361" s="6" t="s">
        <v>146</v>
      </c>
      <c r="E361" s="6" t="s">
        <v>15</v>
      </c>
      <c r="F361" s="6" t="s">
        <v>179</v>
      </c>
      <c r="G361" s="6" t="s">
        <v>2624</v>
      </c>
      <c r="H361" s="6" t="str">
        <f t="shared" si="34"/>
        <v>att_tissue</v>
      </c>
      <c r="I361" s="6" t="s">
        <v>2352</v>
      </c>
      <c r="J361" s="6" t="str">
        <f t="shared" si="35"/>
        <v>att_tissue:muscle</v>
      </c>
      <c r="K361" s="11" t="s">
        <v>19</v>
      </c>
      <c r="L361" s="6" t="s">
        <v>2353</v>
      </c>
      <c r="M361" s="6" t="s">
        <v>15</v>
      </c>
      <c r="N361" s="6" t="str">
        <f t="shared" si="36"/>
        <v>INSERT INTO attributes (parent_id, tag, name, priority, allow_as_filter, allow_for_dataset, allow_for_measurement, allow_for_users, allow_for_qc) VALUES (NULL, 'att_tissue',  'Tissue',  500,  TRUE, TRUE, TRUE, FALSE, FALSE);</v>
      </c>
      <c r="O361" s="6" t="str">
        <f t="shared" si="37"/>
        <v xml:space="preserve">INSERT INTO attribute_values (attribute_id, tag, name, details) VALUES ((SELECT id FROM attributes WHERE tag = 'att_tissue' LIMIT 1),  'att_tissue:muscle',  'Muscle',  'Muscle tissue'); </v>
      </c>
    </row>
    <row r="362" spans="1:15" x14ac:dyDescent="0.15">
      <c r="A362" s="12" t="b">
        <f>FALSE()</f>
        <v>0</v>
      </c>
      <c r="B362" s="12"/>
      <c r="C362" s="6" t="s">
        <v>2354</v>
      </c>
      <c r="D362" s="6" t="s">
        <v>2173</v>
      </c>
      <c r="E362" s="6" t="s">
        <v>15</v>
      </c>
      <c r="F362" s="6" t="s">
        <v>179</v>
      </c>
      <c r="G362" s="6" t="s">
        <v>2624</v>
      </c>
      <c r="H362" s="6" t="str">
        <f t="shared" si="34"/>
        <v>att_tissue</v>
      </c>
      <c r="I362" s="6" t="s">
        <v>2354</v>
      </c>
      <c r="J362" s="6" t="str">
        <f t="shared" si="35"/>
        <v>att_tissue:nervous</v>
      </c>
      <c r="K362" s="11" t="s">
        <v>19</v>
      </c>
      <c r="L362" s="6" t="s">
        <v>2355</v>
      </c>
      <c r="M362" s="6" t="s">
        <v>15</v>
      </c>
      <c r="N362" s="6" t="str">
        <f t="shared" si="36"/>
        <v>INSERT INTO attributes (parent_id, tag, name, priority, allow_as_filter, allow_for_dataset, allow_for_measurement, allow_for_users, allow_for_qc) VALUES (NULL, 'att_tissue',  'Tissue',  500,  TRUE, TRUE, TRUE, FALSE, FALSE);</v>
      </c>
      <c r="O362" s="6" t="str">
        <f t="shared" si="37"/>
        <v xml:space="preserve">INSERT INTO attribute_values (attribute_id, tag, name, details) VALUES ((SELECT id FROM attributes WHERE tag = 'att_tissue' LIMIT 1),  'att_tissue:nervous',  'Nervous',  'Nervous tissue'); </v>
      </c>
    </row>
    <row r="363" spans="1:15" x14ac:dyDescent="0.15">
      <c r="A363" s="12" t="b">
        <f>FALSE()</f>
        <v>0</v>
      </c>
      <c r="B363" s="12"/>
      <c r="C363" s="6" t="s">
        <v>2356</v>
      </c>
      <c r="D363" s="6" t="s">
        <v>2357</v>
      </c>
      <c r="E363" s="6" t="s">
        <v>15</v>
      </c>
      <c r="F363" s="6" t="s">
        <v>179</v>
      </c>
      <c r="G363" s="6" t="s">
        <v>2624</v>
      </c>
      <c r="H363" s="6" t="str">
        <f t="shared" si="34"/>
        <v>att_tissue</v>
      </c>
      <c r="I363" s="6" t="s">
        <v>2356</v>
      </c>
      <c r="J363" s="6" t="str">
        <f t="shared" si="35"/>
        <v>att_tissue:reticular</v>
      </c>
      <c r="K363" s="11" t="s">
        <v>19</v>
      </c>
      <c r="L363" s="6" t="s">
        <v>2358</v>
      </c>
      <c r="M363" s="6" t="s">
        <v>15</v>
      </c>
      <c r="N363" s="6" t="str">
        <f t="shared" si="36"/>
        <v>INSERT INTO attributes (parent_id, tag, name, priority, allow_as_filter, allow_for_dataset, allow_for_measurement, allow_for_users, allow_for_qc) VALUES (NULL, 'att_tissue',  'Tissue',  500,  TRUE, TRUE, TRUE, FALSE, FALSE);</v>
      </c>
      <c r="O363" s="6" t="str">
        <f t="shared" si="37"/>
        <v xml:space="preserve">INSERT INTO attribute_values (attribute_id, tag, name, details) VALUES ((SELECT id FROM attributes WHERE tag = 'att_tissue' LIMIT 1),  'att_tissue:reticular',  'Reticular',  'Reticular connective tissue'); </v>
      </c>
    </row>
    <row r="364" spans="1:15" x14ac:dyDescent="0.15">
      <c r="A364" s="12" t="b">
        <f>FALSE()</f>
        <v>0</v>
      </c>
      <c r="B364" s="12"/>
      <c r="C364" s="6" t="s">
        <v>2359</v>
      </c>
      <c r="D364" s="6" t="s">
        <v>2360</v>
      </c>
      <c r="E364" s="6" t="s">
        <v>15</v>
      </c>
      <c r="F364" s="6" t="s">
        <v>179</v>
      </c>
      <c r="G364" s="6" t="s">
        <v>2624</v>
      </c>
      <c r="H364" s="6" t="str">
        <f t="shared" si="34"/>
        <v>att_tissue</v>
      </c>
      <c r="I364" s="6" t="s">
        <v>2359</v>
      </c>
      <c r="J364" s="6" t="str">
        <f t="shared" si="35"/>
        <v>att_tissue:stromal</v>
      </c>
      <c r="K364" s="11" t="s">
        <v>19</v>
      </c>
      <c r="L364" s="6" t="s">
        <v>2361</v>
      </c>
      <c r="M364" s="6" t="s">
        <v>15</v>
      </c>
      <c r="N364" s="6" t="str">
        <f t="shared" si="36"/>
        <v>INSERT INTO attributes (parent_id, tag, name, priority, allow_as_filter, allow_for_dataset, allow_for_measurement, allow_for_users, allow_for_qc) VALUES (NULL, 'att_tissue',  'Tissue',  500,  TRUE, TRUE, TRUE, FALSE, FALSE);</v>
      </c>
      <c r="O364" s="6" t="str">
        <f t="shared" si="37"/>
        <v xml:space="preserve">INSERT INTO attribute_values (attribute_id, tag, name, details) VALUES ((SELECT id FROM attributes WHERE tag = 'att_tissue' LIMIT 1),  'att_tissue:stromal',  'Stromal',  'Stroma tissue'); </v>
      </c>
    </row>
    <row r="365" spans="1:15" x14ac:dyDescent="0.15">
      <c r="A365" s="11" t="s">
        <v>19</v>
      </c>
      <c r="B365" s="11"/>
      <c r="C365" s="6" t="s">
        <v>930</v>
      </c>
      <c r="D365" s="6" t="s">
        <v>932</v>
      </c>
      <c r="E365" s="6" t="s">
        <v>15</v>
      </c>
      <c r="F365" s="6" t="s">
        <v>2512</v>
      </c>
      <c r="G365" s="6" t="s">
        <v>2513</v>
      </c>
      <c r="H365" s="6" t="str">
        <f t="shared" ref="H365" si="38">"att_"&amp;G365</f>
        <v>att_dataset</v>
      </c>
      <c r="I365" s="6" t="s">
        <v>2625</v>
      </c>
      <c r="J365" s="6" t="str">
        <f t="shared" ref="J365" si="39">H365&amp;":"&amp;I365</f>
        <v>att_dataset:database orf_search</v>
      </c>
      <c r="K365" s="11" t="s">
        <v>19</v>
      </c>
      <c r="L365" s="6" t="s">
        <v>933</v>
      </c>
      <c r="M365" s="6" t="s">
        <v>15</v>
      </c>
      <c r="N365" s="6" t="str">
        <f t="shared" si="36"/>
        <v>INSERT INTO attributes (parent_id, tag, name, priority, allow_as_filter, allow_for_dataset, allow_for_measurement, allow_for_users, allow_for_qc) VALUES (NULL, 'att_dataset',  'Spectral Interpretation',  500,  TRUE, TRUE, TRUE, FALSE, FALSE);</v>
      </c>
      <c r="O365" s="6" t="str">
        <f t="shared" si="37"/>
        <v xml:space="preserve">INSERT INTO attribute_values (attribute_id, tag, name, details) VALUES ((SELECT id FROM attributes WHERE tag = 'att_dataset' LIMIT 1),  'att_dataset:database orf_search',  'Database + ORF search',  'database and orf search'); </v>
      </c>
    </row>
    <row r="368" spans="1:15" x14ac:dyDescent="0.15">
      <c r="C368" s="6" t="s">
        <v>2626</v>
      </c>
      <c r="D368" s="6" t="s">
        <v>1304</v>
      </c>
      <c r="F368" s="6" t="s">
        <v>122</v>
      </c>
      <c r="G368" s="6" t="s">
        <v>76</v>
      </c>
      <c r="H368" s="6" t="s">
        <v>121</v>
      </c>
      <c r="I368" s="6" t="s">
        <v>954</v>
      </c>
      <c r="J368" s="6" t="str">
        <f>H368&amp;":"&amp;I368</f>
        <v>att_lysis_buffer:sds</v>
      </c>
      <c r="L368" s="6" t="s">
        <v>1305</v>
      </c>
    </row>
    <row r="369" spans="3:12" x14ac:dyDescent="0.15">
      <c r="C369" s="6" t="s">
        <v>2627</v>
      </c>
      <c r="D369" s="6" t="s">
        <v>1310</v>
      </c>
      <c r="F369" s="6" t="s">
        <v>122</v>
      </c>
      <c r="G369" s="6" t="s">
        <v>76</v>
      </c>
      <c r="H369" s="6" t="s">
        <v>121</v>
      </c>
      <c r="I369" s="6" t="s">
        <v>1309</v>
      </c>
      <c r="J369" s="6" t="str">
        <f>H369&amp;":"&amp;I369</f>
        <v>att_lysis_buffer:urea</v>
      </c>
      <c r="L369" s="6" t="s">
        <v>1311</v>
      </c>
    </row>
    <row r="370" spans="3:12" x14ac:dyDescent="0.15">
      <c r="C370" s="6" t="s">
        <v>2628</v>
      </c>
      <c r="D370" s="6" t="s">
        <v>1307</v>
      </c>
      <c r="F370" s="6" t="s">
        <v>122</v>
      </c>
      <c r="G370" s="6" t="s">
        <v>76</v>
      </c>
      <c r="H370" s="6" t="s">
        <v>121</v>
      </c>
      <c r="I370" s="6" t="s">
        <v>1306</v>
      </c>
      <c r="J370" s="6" t="str">
        <f>H370&amp;":"&amp;I370</f>
        <v>att_lysis_buffer:two_sdc</v>
      </c>
      <c r="L370" s="6" t="s">
        <v>1308</v>
      </c>
    </row>
    <row r="371" spans="3:12" x14ac:dyDescent="0.15">
      <c r="C371" s="6" t="s">
        <v>2628</v>
      </c>
      <c r="D371" s="6" t="s">
        <v>1302</v>
      </c>
      <c r="F371" s="6" t="s">
        <v>122</v>
      </c>
      <c r="G371" s="6" t="s">
        <v>76</v>
      </c>
      <c r="H371" s="6" t="s">
        <v>121</v>
      </c>
      <c r="I371" s="6" t="s">
        <v>1301</v>
      </c>
      <c r="J371" s="6" t="str">
        <f>H371&amp;":"&amp;I371</f>
        <v>att_lysis_buffer:one_sdc</v>
      </c>
      <c r="L371" s="6" t="s">
        <v>1303</v>
      </c>
    </row>
    <row r="373" spans="3:12" x14ac:dyDescent="0.15">
      <c r="C373" s="6" t="s">
        <v>76</v>
      </c>
      <c r="D373" s="6" t="s">
        <v>1313</v>
      </c>
      <c r="F373" s="6" t="s">
        <v>123</v>
      </c>
      <c r="G373" s="6" t="s">
        <v>76</v>
      </c>
      <c r="H373" s="6" t="s">
        <v>74</v>
      </c>
      <c r="I373" s="6" t="s">
        <v>1312</v>
      </c>
      <c r="J373" s="6" t="str">
        <f>H373&amp;":"&amp;I373</f>
        <v>att_lysis_method:dounce</v>
      </c>
      <c r="L373" s="6" t="s">
        <v>1314</v>
      </c>
    </row>
    <row r="374" spans="3:12" x14ac:dyDescent="0.15">
      <c r="C374" s="6" t="s">
        <v>76</v>
      </c>
      <c r="D374" s="6" t="s">
        <v>1319</v>
      </c>
      <c r="F374" s="6" t="s">
        <v>123</v>
      </c>
      <c r="G374" s="6" t="s">
        <v>76</v>
      </c>
      <c r="H374" s="6" t="s">
        <v>74</v>
      </c>
      <c r="I374" s="6" t="s">
        <v>1318</v>
      </c>
      <c r="J374" s="6" t="str">
        <f>H374&amp;":"&amp;I374</f>
        <v>att_lysis_method:paracyllus</v>
      </c>
      <c r="L374" s="6" t="s">
        <v>1320</v>
      </c>
    </row>
    <row r="375" spans="3:12" x14ac:dyDescent="0.15">
      <c r="C375" s="6" t="s">
        <v>76</v>
      </c>
      <c r="D375" s="6" t="s">
        <v>1316</v>
      </c>
      <c r="F375" s="6" t="s">
        <v>123</v>
      </c>
      <c r="G375" s="6" t="s">
        <v>76</v>
      </c>
      <c r="H375" s="6" t="s">
        <v>74</v>
      </c>
      <c r="I375" s="6" t="s">
        <v>1315</v>
      </c>
      <c r="J375" s="6" t="str">
        <f>H375&amp;":"&amp;I375</f>
        <v>att_lysis_method:motar_pestle</v>
      </c>
      <c r="L375" s="6" t="s">
        <v>1317</v>
      </c>
    </row>
    <row r="377" spans="3:12" x14ac:dyDescent="0.15">
      <c r="C377" s="6" t="s">
        <v>2629</v>
      </c>
      <c r="D377" s="6" t="s">
        <v>955</v>
      </c>
      <c r="F377" s="6" t="s">
        <v>75</v>
      </c>
      <c r="G377" s="6" t="s">
        <v>2630</v>
      </c>
      <c r="H377" s="6" t="s">
        <v>73</v>
      </c>
      <c r="I377" s="6" t="s">
        <v>954</v>
      </c>
      <c r="J377" s="6" t="str">
        <f t="shared" ref="J377:J385" si="40">H377&amp;":"&amp;I377</f>
        <v>att_detergent:sds</v>
      </c>
      <c r="L377" s="6" t="s">
        <v>956</v>
      </c>
    </row>
    <row r="378" spans="3:12" x14ac:dyDescent="0.15">
      <c r="C378" s="6" t="s">
        <v>2631</v>
      </c>
      <c r="D378" s="6" t="s">
        <v>961</v>
      </c>
      <c r="F378" s="6" t="s">
        <v>75</v>
      </c>
      <c r="G378" s="6" t="s">
        <v>2630</v>
      </c>
      <c r="H378" s="6" t="s">
        <v>73</v>
      </c>
      <c r="I378" s="6" t="s">
        <v>960</v>
      </c>
      <c r="J378" s="6" t="str">
        <f t="shared" si="40"/>
        <v>att_detergent:tween20</v>
      </c>
      <c r="L378" s="6" t="s">
        <v>962</v>
      </c>
    </row>
    <row r="379" spans="3:12" x14ac:dyDescent="0.15">
      <c r="C379" s="6" t="s">
        <v>2632</v>
      </c>
      <c r="D379" s="6" t="s">
        <v>2633</v>
      </c>
      <c r="F379" s="6" t="s">
        <v>75</v>
      </c>
      <c r="G379" s="6" t="s">
        <v>2630</v>
      </c>
      <c r="H379" s="6" t="s">
        <v>73</v>
      </c>
      <c r="I379" s="6" t="s">
        <v>963</v>
      </c>
      <c r="J379" s="6" t="str">
        <f t="shared" si="40"/>
        <v>att_detergent:tween80</v>
      </c>
      <c r="L379" s="6" t="s">
        <v>965</v>
      </c>
    </row>
    <row r="380" spans="3:12" x14ac:dyDescent="0.15">
      <c r="C380" s="6" t="s">
        <v>2634</v>
      </c>
      <c r="D380" s="6" t="s">
        <v>946</v>
      </c>
      <c r="F380" s="6" t="s">
        <v>75</v>
      </c>
      <c r="G380" s="6" t="s">
        <v>2630</v>
      </c>
      <c r="H380" s="6" t="s">
        <v>73</v>
      </c>
      <c r="I380" s="6" t="s">
        <v>945</v>
      </c>
      <c r="J380" s="6" t="str">
        <f t="shared" si="40"/>
        <v>att_detergent:np40</v>
      </c>
      <c r="L380" s="6" t="s">
        <v>947</v>
      </c>
    </row>
    <row r="381" spans="3:12" x14ac:dyDescent="0.15">
      <c r="C381" s="6" t="s">
        <v>2635</v>
      </c>
      <c r="D381" s="6" t="s">
        <v>958</v>
      </c>
      <c r="F381" s="6" t="s">
        <v>75</v>
      </c>
      <c r="G381" s="6" t="s">
        <v>2630</v>
      </c>
      <c r="H381" s="6" t="s">
        <v>73</v>
      </c>
      <c r="I381" s="6" t="s">
        <v>957</v>
      </c>
      <c r="J381" s="6" t="str">
        <f t="shared" si="40"/>
        <v>att_detergent:tritonx100</v>
      </c>
      <c r="L381" s="6" t="s">
        <v>959</v>
      </c>
    </row>
    <row r="382" spans="3:12" x14ac:dyDescent="0.15">
      <c r="C382" s="6" t="s">
        <v>2636</v>
      </c>
      <c r="D382" s="6" t="s">
        <v>940</v>
      </c>
      <c r="F382" s="6" t="s">
        <v>75</v>
      </c>
      <c r="G382" s="6" t="s">
        <v>2630</v>
      </c>
      <c r="H382" s="6" t="s">
        <v>73</v>
      </c>
      <c r="I382" s="6" t="s">
        <v>939</v>
      </c>
      <c r="J382" s="6" t="str">
        <f t="shared" si="40"/>
        <v>att_detergent:chaps</v>
      </c>
      <c r="L382" s="6" t="s">
        <v>941</v>
      </c>
    </row>
    <row r="383" spans="3:12" x14ac:dyDescent="0.15">
      <c r="C383" s="6" t="s">
        <v>2637</v>
      </c>
      <c r="D383" s="6" t="s">
        <v>943</v>
      </c>
      <c r="F383" s="6" t="s">
        <v>75</v>
      </c>
      <c r="G383" s="6" t="s">
        <v>2630</v>
      </c>
      <c r="H383" s="6" t="s">
        <v>73</v>
      </c>
      <c r="I383" s="6" t="s">
        <v>942</v>
      </c>
      <c r="J383" s="6" t="str">
        <f t="shared" si="40"/>
        <v>att_detergent:dmm</v>
      </c>
      <c r="L383" s="6" t="s">
        <v>944</v>
      </c>
    </row>
    <row r="384" spans="3:12" x14ac:dyDescent="0.15">
      <c r="C384" s="6" t="s">
        <v>2638</v>
      </c>
      <c r="D384" s="6" t="s">
        <v>949</v>
      </c>
      <c r="F384" s="6" t="s">
        <v>75</v>
      </c>
      <c r="G384" s="6" t="s">
        <v>2630</v>
      </c>
      <c r="H384" s="6" t="s">
        <v>73</v>
      </c>
      <c r="I384" s="6" t="s">
        <v>948</v>
      </c>
      <c r="J384" s="6" t="str">
        <f t="shared" si="40"/>
        <v>att_detergent:og</v>
      </c>
      <c r="L384" s="6" t="s">
        <v>950</v>
      </c>
    </row>
    <row r="385" spans="1:12" x14ac:dyDescent="0.15">
      <c r="C385" s="6" t="s">
        <v>2639</v>
      </c>
      <c r="D385" s="6" t="s">
        <v>952</v>
      </c>
      <c r="F385" s="6" t="s">
        <v>75</v>
      </c>
      <c r="G385" s="6" t="s">
        <v>2630</v>
      </c>
      <c r="H385" s="6" t="s">
        <v>73</v>
      </c>
      <c r="I385" s="6" t="s">
        <v>951</v>
      </c>
      <c r="J385" s="6" t="str">
        <f t="shared" si="40"/>
        <v>att_detergent:otg</v>
      </c>
      <c r="L385" s="6" t="s">
        <v>953</v>
      </c>
    </row>
    <row r="387" spans="1:12" x14ac:dyDescent="0.15">
      <c r="C387" s="6" t="s">
        <v>2640</v>
      </c>
      <c r="D387" s="6" t="s">
        <v>2282</v>
      </c>
      <c r="F387" s="6" t="s">
        <v>2641</v>
      </c>
      <c r="G387" s="6" t="s">
        <v>2642</v>
      </c>
      <c r="H387" s="6" t="s">
        <v>171</v>
      </c>
      <c r="I387" s="6" t="s">
        <v>2281</v>
      </c>
      <c r="J387" s="6" t="str">
        <f>H387&amp;":"&amp;I387</f>
        <v>att_reduction:tcep</v>
      </c>
      <c r="L387" s="6" t="s">
        <v>2283</v>
      </c>
    </row>
    <row r="388" spans="1:12" x14ac:dyDescent="0.15">
      <c r="C388" s="6" t="s">
        <v>2643</v>
      </c>
      <c r="D388" s="6" t="s">
        <v>2278</v>
      </c>
      <c r="F388" s="6" t="s">
        <v>2641</v>
      </c>
      <c r="G388" s="6" t="s">
        <v>2642</v>
      </c>
      <c r="H388" s="6" t="s">
        <v>171</v>
      </c>
      <c r="I388" s="6" t="s">
        <v>2277</v>
      </c>
      <c r="J388" s="6" t="str">
        <f>H388&amp;":"&amp;I388</f>
        <v>att_reduction:dtt</v>
      </c>
      <c r="L388" s="6" t="s">
        <v>2279</v>
      </c>
    </row>
    <row r="389" spans="1:12" x14ac:dyDescent="0.15">
      <c r="C389" s="6" t="s">
        <v>2643</v>
      </c>
      <c r="D389" s="6" t="s">
        <v>1806</v>
      </c>
      <c r="F389" s="6" t="s">
        <v>2641</v>
      </c>
      <c r="G389" s="6" t="s">
        <v>2642</v>
      </c>
      <c r="H389" s="6" t="s">
        <v>171</v>
      </c>
      <c r="I389" s="6" t="s">
        <v>281</v>
      </c>
      <c r="J389" s="6" t="str">
        <f>H389&amp;":"&amp;I389</f>
        <v>att_reduction:none</v>
      </c>
      <c r="L389" s="6" t="s">
        <v>2280</v>
      </c>
    </row>
    <row r="391" spans="1:12" x14ac:dyDescent="0.15">
      <c r="C391" s="6" t="s">
        <v>2644</v>
      </c>
      <c r="D391" s="6" t="s">
        <v>276</v>
      </c>
      <c r="F391" s="6" t="s">
        <v>2645</v>
      </c>
      <c r="G391" s="6" t="s">
        <v>2646</v>
      </c>
      <c r="H391" s="6" t="s">
        <v>171</v>
      </c>
      <c r="I391" s="6" t="s">
        <v>275</v>
      </c>
      <c r="J391" s="6" t="str">
        <f>H391&amp;":"&amp;I391</f>
        <v>att_reduction:caa</v>
      </c>
      <c r="L391" s="6" t="s">
        <v>277</v>
      </c>
    </row>
    <row r="392" spans="1:12" x14ac:dyDescent="0.15">
      <c r="C392" s="6" t="s">
        <v>2647</v>
      </c>
      <c r="D392" s="6" t="s">
        <v>279</v>
      </c>
      <c r="F392" s="6" t="s">
        <v>2645</v>
      </c>
      <c r="G392" s="6" t="s">
        <v>2646</v>
      </c>
      <c r="H392" s="6" t="s">
        <v>171</v>
      </c>
      <c r="I392" s="6" t="s">
        <v>278</v>
      </c>
      <c r="J392" s="6" t="str">
        <f>H392&amp;":"&amp;I392</f>
        <v>att_reduction:iaa</v>
      </c>
      <c r="L392" s="6" t="s">
        <v>280</v>
      </c>
    </row>
    <row r="393" spans="1:12" x14ac:dyDescent="0.15">
      <c r="C393" s="6" t="s">
        <v>2646</v>
      </c>
      <c r="D393" s="6" t="s">
        <v>1806</v>
      </c>
      <c r="F393" s="6" t="s">
        <v>2645</v>
      </c>
      <c r="G393" s="6" t="s">
        <v>2642</v>
      </c>
      <c r="H393" s="6" t="s">
        <v>171</v>
      </c>
      <c r="I393" s="6" t="s">
        <v>281</v>
      </c>
      <c r="J393" s="6" t="str">
        <f>H393&amp;":"&amp;I393</f>
        <v>att_reduction:none</v>
      </c>
      <c r="L393" s="6" t="s">
        <v>283</v>
      </c>
    </row>
    <row r="395" spans="1:12" x14ac:dyDescent="0.15">
      <c r="A395" s="6" t="b">
        <f>TRUE()</f>
        <v>1</v>
      </c>
      <c r="C395" s="6" t="s">
        <v>2648</v>
      </c>
      <c r="D395" s="6" t="s">
        <v>2217</v>
      </c>
      <c r="F395" s="6" t="s">
        <v>163</v>
      </c>
      <c r="G395" s="6" t="s">
        <v>2649</v>
      </c>
      <c r="H395" s="6" t="s">
        <v>162</v>
      </c>
      <c r="I395" s="6" t="s">
        <v>2216</v>
      </c>
      <c r="J395" s="6" t="str">
        <f t="shared" ref="J395:J402" si="41">H395&amp;":"&amp;I395</f>
        <v>att_protease:trypsin</v>
      </c>
      <c r="L395" s="6" t="s">
        <v>2218</v>
      </c>
    </row>
    <row r="396" spans="1:12" x14ac:dyDescent="0.15">
      <c r="A396" s="6" t="b">
        <f>TRUE()</f>
        <v>1</v>
      </c>
      <c r="C396" s="6" t="s">
        <v>2648</v>
      </c>
      <c r="D396" s="6" t="s">
        <v>2211</v>
      </c>
      <c r="F396" s="6" t="s">
        <v>163</v>
      </c>
      <c r="G396" s="6" t="s">
        <v>2649</v>
      </c>
      <c r="H396" s="6" t="s">
        <v>162</v>
      </c>
      <c r="I396" s="6" t="s">
        <v>2210</v>
      </c>
      <c r="J396" s="6" t="str">
        <f t="shared" si="41"/>
        <v>att_protease:lysc</v>
      </c>
      <c r="L396" s="6" t="s">
        <v>2212</v>
      </c>
    </row>
    <row r="397" spans="1:12" x14ac:dyDescent="0.15">
      <c r="A397" s="6" t="b">
        <f>TRUE()</f>
        <v>1</v>
      </c>
      <c r="C397" s="6" t="s">
        <v>2648</v>
      </c>
      <c r="D397" s="6" t="s">
        <v>2196</v>
      </c>
      <c r="F397" s="6" t="s">
        <v>163</v>
      </c>
      <c r="G397" s="6" t="s">
        <v>2649</v>
      </c>
      <c r="H397" s="6" t="s">
        <v>162</v>
      </c>
      <c r="I397" s="6" t="s">
        <v>2195</v>
      </c>
      <c r="J397" s="6" t="str">
        <f t="shared" si="41"/>
        <v>att_protease:argc</v>
      </c>
      <c r="L397" s="6" t="s">
        <v>2197</v>
      </c>
    </row>
    <row r="398" spans="1:12" x14ac:dyDescent="0.15">
      <c r="A398" s="6" t="b">
        <f>TRUE()</f>
        <v>1</v>
      </c>
      <c r="C398" s="6" t="s">
        <v>2648</v>
      </c>
      <c r="D398" s="6" t="s">
        <v>2208</v>
      </c>
      <c r="F398" s="6" t="s">
        <v>163</v>
      </c>
      <c r="G398" s="6" t="s">
        <v>2649</v>
      </c>
      <c r="H398" s="6" t="s">
        <v>162</v>
      </c>
      <c r="I398" s="6" t="s">
        <v>2207</v>
      </c>
      <c r="J398" s="6" t="str">
        <f t="shared" si="41"/>
        <v>att_protease:gluc</v>
      </c>
      <c r="L398" s="6" t="s">
        <v>2209</v>
      </c>
    </row>
    <row r="399" spans="1:12" x14ac:dyDescent="0.15">
      <c r="A399" s="6" t="b">
        <f>TRUE()</f>
        <v>1</v>
      </c>
      <c r="C399" s="6" t="s">
        <v>2648</v>
      </c>
      <c r="D399" s="6" t="s">
        <v>2202</v>
      </c>
      <c r="F399" s="6" t="s">
        <v>163</v>
      </c>
      <c r="G399" s="6" t="s">
        <v>2649</v>
      </c>
      <c r="H399" s="6" t="s">
        <v>162</v>
      </c>
      <c r="I399" s="6" t="s">
        <v>2201</v>
      </c>
      <c r="J399" s="6" t="str">
        <f t="shared" si="41"/>
        <v>att_protease:chymotrypsin</v>
      </c>
      <c r="L399" s="6" t="s">
        <v>2203</v>
      </c>
    </row>
    <row r="400" spans="1:12" x14ac:dyDescent="0.15">
      <c r="A400" s="6" t="b">
        <f>TRUE()</f>
        <v>1</v>
      </c>
      <c r="C400" s="6" t="s">
        <v>2648</v>
      </c>
      <c r="D400" s="6" t="s">
        <v>2199</v>
      </c>
      <c r="F400" s="6" t="s">
        <v>163</v>
      </c>
      <c r="G400" s="6" t="s">
        <v>2649</v>
      </c>
      <c r="H400" s="6" t="s">
        <v>162</v>
      </c>
      <c r="I400" s="6" t="s">
        <v>2198</v>
      </c>
      <c r="J400" s="6" t="str">
        <f t="shared" si="41"/>
        <v>att_protease:aspn</v>
      </c>
      <c r="L400" s="6" t="s">
        <v>2200</v>
      </c>
    </row>
    <row r="401" spans="1:12" x14ac:dyDescent="0.15">
      <c r="A401" s="6" t="b">
        <f>TRUE()</f>
        <v>1</v>
      </c>
      <c r="C401" s="6" t="s">
        <v>2648</v>
      </c>
      <c r="D401" s="6" t="s">
        <v>2205</v>
      </c>
      <c r="F401" s="6" t="s">
        <v>163</v>
      </c>
      <c r="G401" s="6" t="s">
        <v>2649</v>
      </c>
      <c r="H401" s="6" t="s">
        <v>162</v>
      </c>
      <c r="I401" s="6" t="s">
        <v>2204</v>
      </c>
      <c r="J401" s="6" t="str">
        <f t="shared" si="41"/>
        <v>att_protease:elastase</v>
      </c>
      <c r="L401" s="6" t="s">
        <v>2206</v>
      </c>
    </row>
    <row r="402" spans="1:12" x14ac:dyDescent="0.15">
      <c r="A402" s="6" t="b">
        <f>TRUE()</f>
        <v>1</v>
      </c>
      <c r="C402" s="6" t="s">
        <v>2648</v>
      </c>
      <c r="D402" s="6" t="s">
        <v>2214</v>
      </c>
      <c r="F402" s="6" t="s">
        <v>163</v>
      </c>
      <c r="G402" s="6" t="s">
        <v>2649</v>
      </c>
      <c r="H402" s="6" t="s">
        <v>162</v>
      </c>
      <c r="I402" s="6" t="s">
        <v>2213</v>
      </c>
      <c r="J402" s="6" t="str">
        <f t="shared" si="41"/>
        <v>att_protease:raspn</v>
      </c>
      <c r="L402" s="6" t="s">
        <v>2215</v>
      </c>
    </row>
    <row r="404" spans="1:12" x14ac:dyDescent="0.15">
      <c r="C404" s="6" t="s">
        <v>2650</v>
      </c>
      <c r="D404" s="6" t="s">
        <v>1294</v>
      </c>
      <c r="F404" s="6" t="s">
        <v>120</v>
      </c>
      <c r="G404" s="6" t="s">
        <v>2651</v>
      </c>
      <c r="H404" s="6" t="s">
        <v>119</v>
      </c>
      <c r="I404" s="6" t="s">
        <v>1293</v>
      </c>
      <c r="J404" s="6" t="str">
        <f t="shared" ref="J404:J410" si="42">H404&amp;":"&amp;I404</f>
        <v>att_liquid_handler:mosquitoLV</v>
      </c>
      <c r="L404" s="6" t="s">
        <v>1295</v>
      </c>
    </row>
    <row r="405" spans="1:12" x14ac:dyDescent="0.15">
      <c r="C405" s="6" t="s">
        <v>2650</v>
      </c>
      <c r="D405" s="6" t="s">
        <v>1282</v>
      </c>
      <c r="F405" s="6" t="s">
        <v>120</v>
      </c>
      <c r="G405" s="6" t="s">
        <v>2651</v>
      </c>
      <c r="H405" s="6" t="s">
        <v>119</v>
      </c>
      <c r="I405" s="6" t="s">
        <v>1281</v>
      </c>
      <c r="J405" s="6" t="str">
        <f t="shared" si="42"/>
        <v>att_liquid_handler:felix</v>
      </c>
      <c r="L405" s="6" t="s">
        <v>1283</v>
      </c>
    </row>
    <row r="406" spans="1:12" x14ac:dyDescent="0.15">
      <c r="C406" s="6" t="s">
        <v>2650</v>
      </c>
      <c r="D406" s="6" t="s">
        <v>1291</v>
      </c>
      <c r="F406" s="6" t="s">
        <v>120</v>
      </c>
      <c r="G406" s="6" t="s">
        <v>2651</v>
      </c>
      <c r="H406" s="6" t="s">
        <v>119</v>
      </c>
      <c r="I406" s="6" t="s">
        <v>1290</v>
      </c>
      <c r="J406" s="6" t="str">
        <f t="shared" si="42"/>
        <v>att_liquid_handler:mosquitoHV</v>
      </c>
      <c r="L406" s="6" t="s">
        <v>1292</v>
      </c>
    </row>
    <row r="407" spans="1:12" x14ac:dyDescent="0.15">
      <c r="C407" s="6" t="s">
        <v>2650</v>
      </c>
      <c r="D407" s="6" t="s">
        <v>1297</v>
      </c>
      <c r="F407" s="6" t="s">
        <v>120</v>
      </c>
      <c r="G407" s="6" t="s">
        <v>2651</v>
      </c>
      <c r="H407" s="6" t="s">
        <v>119</v>
      </c>
      <c r="I407" s="6" t="s">
        <v>1296</v>
      </c>
      <c r="J407" s="6" t="str">
        <f t="shared" si="42"/>
        <v>att_liquid_handler:opentrons</v>
      </c>
      <c r="L407" s="6" t="s">
        <v>1297</v>
      </c>
    </row>
    <row r="408" spans="1:12" x14ac:dyDescent="0.15">
      <c r="C408" s="6" t="s">
        <v>2650</v>
      </c>
      <c r="D408" s="6" t="s">
        <v>1285</v>
      </c>
      <c r="F408" s="6" t="s">
        <v>120</v>
      </c>
      <c r="G408" s="6" t="s">
        <v>2651</v>
      </c>
      <c r="H408" s="6" t="s">
        <v>119</v>
      </c>
      <c r="I408" s="6" t="s">
        <v>1284</v>
      </c>
      <c r="J408" s="6" t="str">
        <f t="shared" si="42"/>
        <v>att_liquid_handler:kingfisher</v>
      </c>
      <c r="L408" s="6" t="s">
        <v>1286</v>
      </c>
    </row>
    <row r="409" spans="1:12" x14ac:dyDescent="0.15">
      <c r="C409" s="6" t="s">
        <v>2650</v>
      </c>
      <c r="D409" s="6" t="s">
        <v>1279</v>
      </c>
      <c r="F409" s="6" t="s">
        <v>120</v>
      </c>
      <c r="G409" s="6" t="s">
        <v>2651</v>
      </c>
      <c r="H409" s="6" t="s">
        <v>119</v>
      </c>
      <c r="I409" s="6" t="s">
        <v>1278</v>
      </c>
      <c r="J409" s="6" t="str">
        <f t="shared" si="42"/>
        <v>att_liquid_handler:bravo</v>
      </c>
      <c r="L409" s="6" t="s">
        <v>1280</v>
      </c>
    </row>
    <row r="410" spans="1:12" x14ac:dyDescent="0.15">
      <c r="C410" s="6" t="s">
        <v>2650</v>
      </c>
      <c r="D410" s="6" t="s">
        <v>1299</v>
      </c>
      <c r="F410" s="6" t="s">
        <v>120</v>
      </c>
      <c r="G410" s="6" t="s">
        <v>2651</v>
      </c>
      <c r="H410" s="6" t="s">
        <v>119</v>
      </c>
      <c r="I410" s="6" t="s">
        <v>1298</v>
      </c>
      <c r="J410" s="6" t="str">
        <f t="shared" si="42"/>
        <v>att_liquid_handler:tecan</v>
      </c>
      <c r="L410" s="6" t="s">
        <v>1300</v>
      </c>
    </row>
    <row r="412" spans="1:12" x14ac:dyDescent="0.15">
      <c r="C412" s="6" t="s">
        <v>2652</v>
      </c>
      <c r="D412" s="6" t="s">
        <v>998</v>
      </c>
      <c r="F412" s="6" t="s">
        <v>84</v>
      </c>
      <c r="G412" s="6" t="s">
        <v>2653</v>
      </c>
      <c r="H412" s="6" t="s">
        <v>83</v>
      </c>
      <c r="I412" s="6" t="s">
        <v>997</v>
      </c>
      <c r="J412" s="6" t="str">
        <f>H412&amp;":"&amp;I412</f>
        <v>att_digestion_vessel:96well_plate</v>
      </c>
      <c r="L412" s="6" t="s">
        <v>999</v>
      </c>
    </row>
    <row r="413" spans="1:12" x14ac:dyDescent="0.15">
      <c r="C413" s="6" t="s">
        <v>2652</v>
      </c>
      <c r="D413" s="6" t="s">
        <v>996</v>
      </c>
      <c r="F413" s="6" t="s">
        <v>84</v>
      </c>
      <c r="G413" s="6" t="s">
        <v>2653</v>
      </c>
      <c r="H413" s="6" t="s">
        <v>83</v>
      </c>
      <c r="I413" s="6" t="s">
        <v>995</v>
      </c>
      <c r="J413" s="6" t="str">
        <f>H413&amp;":"&amp;I413</f>
        <v>att_digestion_vessel:384well_plate</v>
      </c>
      <c r="L413" s="6" t="s">
        <v>996</v>
      </c>
    </row>
    <row r="414" spans="1:12" x14ac:dyDescent="0.15">
      <c r="C414" s="6" t="s">
        <v>2654</v>
      </c>
      <c r="D414" s="6" t="s">
        <v>1006</v>
      </c>
      <c r="F414" s="6" t="s">
        <v>84</v>
      </c>
      <c r="G414" s="6" t="s">
        <v>2653</v>
      </c>
      <c r="H414" s="6" t="s">
        <v>83</v>
      </c>
      <c r="I414" s="6" t="s">
        <v>1005</v>
      </c>
      <c r="J414" s="6" t="str">
        <f>H414&amp;":"&amp;I414</f>
        <v>att_digestion_vessel:two_ml_tube</v>
      </c>
      <c r="L414" s="6" t="s">
        <v>1007</v>
      </c>
    </row>
    <row r="415" spans="1:12" x14ac:dyDescent="0.15">
      <c r="C415" s="6" t="s">
        <v>2654</v>
      </c>
      <c r="D415" s="6" t="s">
        <v>1001</v>
      </c>
      <c r="F415" s="6" t="s">
        <v>84</v>
      </c>
      <c r="G415" s="6" t="s">
        <v>2653</v>
      </c>
      <c r="H415" s="6" t="s">
        <v>83</v>
      </c>
      <c r="I415" s="6" t="s">
        <v>1000</v>
      </c>
      <c r="J415" s="6" t="str">
        <f>H415&amp;":"&amp;I415</f>
        <v>att_digestion_vessel:onefive_ml_tube</v>
      </c>
      <c r="L415" s="6" t="s">
        <v>1002</v>
      </c>
    </row>
    <row r="417" spans="3:12" x14ac:dyDescent="0.15">
      <c r="C417" s="6" t="s">
        <v>2655</v>
      </c>
      <c r="D417" s="6" t="s">
        <v>2656</v>
      </c>
      <c r="F417" s="6" t="s">
        <v>16</v>
      </c>
      <c r="G417" s="6" t="s">
        <v>2657</v>
      </c>
      <c r="H417" s="6" t="s">
        <v>14</v>
      </c>
      <c r="I417" s="6" t="s">
        <v>208</v>
      </c>
      <c r="J417" s="6" t="str">
        <f t="shared" ref="J417:J435" si="43">H417&amp;":"&amp;I417</f>
        <v>att_aa_starvation:arginine</v>
      </c>
      <c r="L417" s="6" t="s">
        <v>211</v>
      </c>
    </row>
    <row r="418" spans="3:12" x14ac:dyDescent="0.15">
      <c r="C418" s="6" t="s">
        <v>2655</v>
      </c>
      <c r="D418" s="6" t="s">
        <v>2658</v>
      </c>
      <c r="F418" s="6" t="s">
        <v>16</v>
      </c>
      <c r="G418" s="6" t="s">
        <v>2657</v>
      </c>
      <c r="H418" s="6" t="s">
        <v>14</v>
      </c>
      <c r="I418" s="6" t="s">
        <v>212</v>
      </c>
      <c r="J418" s="6" t="str">
        <f t="shared" si="43"/>
        <v>att_aa_starvation:asparagine</v>
      </c>
      <c r="L418" s="6" t="s">
        <v>214</v>
      </c>
    </row>
    <row r="419" spans="3:12" x14ac:dyDescent="0.15">
      <c r="C419" s="6" t="s">
        <v>2655</v>
      </c>
      <c r="D419" s="6" t="s">
        <v>2659</v>
      </c>
      <c r="F419" s="6" t="s">
        <v>16</v>
      </c>
      <c r="G419" s="6" t="s">
        <v>2657</v>
      </c>
      <c r="H419" s="6" t="s">
        <v>14</v>
      </c>
      <c r="I419" s="6" t="s">
        <v>215</v>
      </c>
      <c r="J419" s="6" t="str">
        <f t="shared" si="43"/>
        <v>att_aa_starvation:asparticacid</v>
      </c>
      <c r="L419" s="6" t="s">
        <v>217</v>
      </c>
    </row>
    <row r="420" spans="3:12" x14ac:dyDescent="0.15">
      <c r="C420" s="6" t="s">
        <v>2655</v>
      </c>
      <c r="D420" s="6" t="s">
        <v>2660</v>
      </c>
      <c r="F420" s="6" t="s">
        <v>16</v>
      </c>
      <c r="G420" s="6" t="s">
        <v>2657</v>
      </c>
      <c r="H420" s="6" t="s">
        <v>14</v>
      </c>
      <c r="I420" s="6" t="s">
        <v>218</v>
      </c>
      <c r="J420" s="6" t="str">
        <f t="shared" si="43"/>
        <v>att_aa_starvation:cysteine</v>
      </c>
      <c r="L420" s="6" t="s">
        <v>220</v>
      </c>
    </row>
    <row r="421" spans="3:12" x14ac:dyDescent="0.15">
      <c r="C421" s="6" t="s">
        <v>2655</v>
      </c>
      <c r="D421" s="6" t="s">
        <v>2661</v>
      </c>
      <c r="F421" s="6" t="s">
        <v>16</v>
      </c>
      <c r="G421" s="6" t="s">
        <v>2657</v>
      </c>
      <c r="H421" s="6" t="s">
        <v>14</v>
      </c>
      <c r="I421" s="6" t="s">
        <v>221</v>
      </c>
      <c r="J421" s="6" t="str">
        <f t="shared" si="43"/>
        <v>att_aa_starvation:glutamicacid</v>
      </c>
      <c r="L421" s="6" t="s">
        <v>223</v>
      </c>
    </row>
    <row r="422" spans="3:12" x14ac:dyDescent="0.15">
      <c r="C422" s="6" t="s">
        <v>2655</v>
      </c>
      <c r="D422" s="6" t="s">
        <v>2662</v>
      </c>
      <c r="F422" s="6" t="s">
        <v>16</v>
      </c>
      <c r="G422" s="6" t="s">
        <v>2657</v>
      </c>
      <c r="H422" s="6" t="s">
        <v>14</v>
      </c>
      <c r="I422" s="6" t="s">
        <v>224</v>
      </c>
      <c r="J422" s="6" t="str">
        <f t="shared" si="43"/>
        <v>att_aa_starvation:glutamine</v>
      </c>
      <c r="L422" s="6" t="s">
        <v>226</v>
      </c>
    </row>
    <row r="423" spans="3:12" x14ac:dyDescent="0.15">
      <c r="C423" s="6" t="s">
        <v>2655</v>
      </c>
      <c r="D423" s="6" t="s">
        <v>2663</v>
      </c>
      <c r="F423" s="6" t="s">
        <v>16</v>
      </c>
      <c r="G423" s="6" t="s">
        <v>2657</v>
      </c>
      <c r="H423" s="6" t="s">
        <v>14</v>
      </c>
      <c r="I423" s="6" t="s">
        <v>227</v>
      </c>
      <c r="J423" s="6" t="str">
        <f t="shared" si="43"/>
        <v>att_aa_starvation:glycine</v>
      </c>
      <c r="L423" s="6" t="s">
        <v>229</v>
      </c>
    </row>
    <row r="424" spans="3:12" x14ac:dyDescent="0.15">
      <c r="C424" s="6" t="s">
        <v>2655</v>
      </c>
      <c r="D424" s="6" t="s">
        <v>2664</v>
      </c>
      <c r="F424" s="6" t="s">
        <v>16</v>
      </c>
      <c r="G424" s="6" t="s">
        <v>2657</v>
      </c>
      <c r="H424" s="6" t="s">
        <v>14</v>
      </c>
      <c r="I424" s="6" t="s">
        <v>230</v>
      </c>
      <c r="J424" s="6" t="str">
        <f t="shared" si="43"/>
        <v>att_aa_starvation:histidine</v>
      </c>
      <c r="L424" s="6" t="s">
        <v>232</v>
      </c>
    </row>
    <row r="425" spans="3:12" x14ac:dyDescent="0.15">
      <c r="C425" s="6" t="s">
        <v>2655</v>
      </c>
      <c r="D425" s="6" t="s">
        <v>2665</v>
      </c>
      <c r="F425" s="6" t="s">
        <v>16</v>
      </c>
      <c r="G425" s="6" t="s">
        <v>2657</v>
      </c>
      <c r="H425" s="6" t="s">
        <v>14</v>
      </c>
      <c r="I425" s="6" t="s">
        <v>233</v>
      </c>
      <c r="J425" s="6" t="str">
        <f t="shared" si="43"/>
        <v>att_aa_starvation:isoleucine</v>
      </c>
      <c r="L425" s="6" t="s">
        <v>235</v>
      </c>
    </row>
    <row r="426" spans="3:12" x14ac:dyDescent="0.15">
      <c r="C426" s="6" t="s">
        <v>2655</v>
      </c>
      <c r="D426" s="6" t="s">
        <v>2666</v>
      </c>
      <c r="F426" s="6" t="s">
        <v>16</v>
      </c>
      <c r="G426" s="6" t="s">
        <v>2657</v>
      </c>
      <c r="H426" s="6" t="s">
        <v>14</v>
      </c>
      <c r="I426" s="6" t="s">
        <v>236</v>
      </c>
      <c r="J426" s="6" t="str">
        <f t="shared" si="43"/>
        <v>att_aa_starvation:leucine</v>
      </c>
      <c r="L426" s="6" t="s">
        <v>238</v>
      </c>
    </row>
    <row r="427" spans="3:12" x14ac:dyDescent="0.15">
      <c r="C427" s="6" t="s">
        <v>2655</v>
      </c>
      <c r="D427" s="6" t="s">
        <v>2667</v>
      </c>
      <c r="F427" s="6" t="s">
        <v>16</v>
      </c>
      <c r="G427" s="6" t="s">
        <v>2657</v>
      </c>
      <c r="H427" s="6" t="s">
        <v>14</v>
      </c>
      <c r="I427" s="6" t="s">
        <v>239</v>
      </c>
      <c r="J427" s="6" t="str">
        <f t="shared" si="43"/>
        <v>att_aa_starvation:lysine</v>
      </c>
      <c r="L427" s="6" t="s">
        <v>241</v>
      </c>
    </row>
    <row r="428" spans="3:12" x14ac:dyDescent="0.15">
      <c r="C428" s="6" t="s">
        <v>2655</v>
      </c>
      <c r="D428" s="6" t="s">
        <v>2668</v>
      </c>
      <c r="F428" s="6" t="s">
        <v>16</v>
      </c>
      <c r="G428" s="6" t="s">
        <v>2657</v>
      </c>
      <c r="H428" s="6" t="s">
        <v>14</v>
      </c>
      <c r="I428" s="6" t="s">
        <v>242</v>
      </c>
      <c r="J428" s="6" t="str">
        <f t="shared" si="43"/>
        <v>att_aa_starvation:methionine</v>
      </c>
      <c r="L428" s="6" t="s">
        <v>244</v>
      </c>
    </row>
    <row r="429" spans="3:12" x14ac:dyDescent="0.15">
      <c r="C429" s="6" t="s">
        <v>2655</v>
      </c>
      <c r="D429" s="6" t="s">
        <v>2669</v>
      </c>
      <c r="F429" s="6" t="s">
        <v>16</v>
      </c>
      <c r="G429" s="6" t="s">
        <v>2657</v>
      </c>
      <c r="H429" s="6" t="s">
        <v>14</v>
      </c>
      <c r="I429" s="6" t="s">
        <v>245</v>
      </c>
      <c r="J429" s="6" t="str">
        <f t="shared" si="43"/>
        <v>att_aa_starvation:phenylalanine</v>
      </c>
      <c r="L429" s="6" t="s">
        <v>247</v>
      </c>
    </row>
    <row r="430" spans="3:12" x14ac:dyDescent="0.15">
      <c r="C430" s="6" t="s">
        <v>2655</v>
      </c>
      <c r="D430" s="6" t="s">
        <v>2670</v>
      </c>
      <c r="F430" s="6" t="s">
        <v>16</v>
      </c>
      <c r="G430" s="6" t="s">
        <v>2657</v>
      </c>
      <c r="H430" s="6" t="s">
        <v>14</v>
      </c>
      <c r="I430" s="6" t="s">
        <v>248</v>
      </c>
      <c r="J430" s="6" t="str">
        <f t="shared" si="43"/>
        <v>att_aa_starvation:proline</v>
      </c>
      <c r="L430" s="6" t="s">
        <v>250</v>
      </c>
    </row>
    <row r="431" spans="3:12" x14ac:dyDescent="0.15">
      <c r="C431" s="6" t="s">
        <v>2655</v>
      </c>
      <c r="D431" s="6" t="s">
        <v>2671</v>
      </c>
      <c r="F431" s="6" t="s">
        <v>16</v>
      </c>
      <c r="G431" s="6" t="s">
        <v>2657</v>
      </c>
      <c r="H431" s="6" t="s">
        <v>14</v>
      </c>
      <c r="I431" s="6" t="s">
        <v>251</v>
      </c>
      <c r="J431" s="6" t="str">
        <f t="shared" si="43"/>
        <v>att_aa_starvation:serine</v>
      </c>
      <c r="L431" s="6" t="s">
        <v>253</v>
      </c>
    </row>
    <row r="432" spans="3:12" x14ac:dyDescent="0.15">
      <c r="C432" s="6" t="s">
        <v>2655</v>
      </c>
      <c r="D432" s="6" t="s">
        <v>2672</v>
      </c>
      <c r="F432" s="6" t="s">
        <v>16</v>
      </c>
      <c r="G432" s="6" t="s">
        <v>2657</v>
      </c>
      <c r="H432" s="6" t="s">
        <v>14</v>
      </c>
      <c r="I432" s="6" t="s">
        <v>254</v>
      </c>
      <c r="J432" s="6" t="str">
        <f t="shared" si="43"/>
        <v>att_aa_starvation:threonine</v>
      </c>
      <c r="L432" s="6" t="s">
        <v>256</v>
      </c>
    </row>
    <row r="433" spans="1:15" x14ac:dyDescent="0.15">
      <c r="C433" s="6" t="s">
        <v>2655</v>
      </c>
      <c r="D433" s="6" t="s">
        <v>2673</v>
      </c>
      <c r="F433" s="6" t="s">
        <v>16</v>
      </c>
      <c r="G433" s="6" t="s">
        <v>2657</v>
      </c>
      <c r="H433" s="6" t="s">
        <v>14</v>
      </c>
      <c r="I433" s="6" t="s">
        <v>257</v>
      </c>
      <c r="J433" s="6" t="str">
        <f t="shared" si="43"/>
        <v>att_aa_starvation:tryptophan</v>
      </c>
      <c r="L433" s="6" t="s">
        <v>259</v>
      </c>
    </row>
    <row r="434" spans="1:15" x14ac:dyDescent="0.15">
      <c r="C434" s="6" t="s">
        <v>2655</v>
      </c>
      <c r="D434" s="6" t="s">
        <v>2674</v>
      </c>
      <c r="F434" s="6" t="s">
        <v>16</v>
      </c>
      <c r="G434" s="6" t="s">
        <v>2657</v>
      </c>
      <c r="H434" s="6" t="s">
        <v>14</v>
      </c>
      <c r="I434" s="6" t="s">
        <v>260</v>
      </c>
      <c r="J434" s="6" t="str">
        <f t="shared" si="43"/>
        <v>att_aa_starvation:tyrosine</v>
      </c>
      <c r="L434" s="6" t="s">
        <v>262</v>
      </c>
    </row>
    <row r="435" spans="1:15" x14ac:dyDescent="0.15">
      <c r="C435" s="6" t="s">
        <v>2655</v>
      </c>
      <c r="D435" s="6" t="s">
        <v>2675</v>
      </c>
      <c r="F435" s="6" t="s">
        <v>16</v>
      </c>
      <c r="G435" s="6" t="s">
        <v>2657</v>
      </c>
      <c r="H435" s="6" t="s">
        <v>14</v>
      </c>
      <c r="I435" s="6" t="s">
        <v>263</v>
      </c>
      <c r="J435" s="6" t="str">
        <f t="shared" si="43"/>
        <v>att_aa_starvation:valine</v>
      </c>
      <c r="L435" s="6" t="s">
        <v>265</v>
      </c>
    </row>
    <row r="439" spans="1:15" x14ac:dyDescent="0.15">
      <c r="A439" s="12" t="b">
        <f>FALSE()</f>
        <v>0</v>
      </c>
      <c r="B439" s="12"/>
      <c r="C439" s="6" t="s">
        <v>718</v>
      </c>
      <c r="D439" s="6" t="s">
        <v>719</v>
      </c>
      <c r="E439" s="6" t="s">
        <v>15</v>
      </c>
      <c r="F439" s="6" t="s">
        <v>2487</v>
      </c>
      <c r="G439" s="6" t="s">
        <v>2488</v>
      </c>
      <c r="H439" s="6" t="str">
        <f t="shared" ref="H439:H448" si="44">"att_"&amp;G439</f>
        <v>att_compound</v>
      </c>
      <c r="I439" s="6" t="s">
        <v>718</v>
      </c>
      <c r="J439" s="6" t="str">
        <f t="shared" ref="J439:J448" si="45">H439&amp;":"&amp;I439</f>
        <v>att_compound:torin</v>
      </c>
      <c r="K439" s="11" t="s">
        <v>19</v>
      </c>
      <c r="L439" s="6" t="s">
        <v>720</v>
      </c>
      <c r="M439" s="6" t="s">
        <v>15</v>
      </c>
      <c r="N439" s="6" t="str">
        <f>"INSERT INTO attributes (parent_id, tag, name, priority, allow_as_filter, allow_for_dataset, allow_for_measurement, allow_for_users, allow_for_qc) VALUES (NULL, '"&amp;H439&amp;"',  '"&amp;F439&amp;"',  500,  TRUE, TRUE, TRUE, FALSE, FALSE);"</f>
        <v>INSERT INTO attributes (parent_id, tag, name, priority, allow_as_filter, allow_for_dataset, allow_for_measurement, allow_for_users, allow_for_qc) VALUES (NULL, 'att_compound',  'Compound',  500,  TRUE, TRUE, TRUE, FALSE, FALSE);</v>
      </c>
      <c r="O439" s="6" t="str">
        <f>"INSERT INTO attribute_values (attribute_id, tag, name, details) VALUES ((SELECT id FROM attributes WHERE tag = '"&amp;H439&amp;"' LIMIT 1),  '"&amp;J439&amp;"',  '"&amp;D439&amp;"',  '"&amp;L439&amp;"'); "</f>
        <v xml:space="preserve">INSERT INTO attribute_values (attribute_id, tag, name, details) VALUES ((SELECT id FROM attributes WHERE tag = 'att_compound' LIMIT 1),  'att_compound:torin',  'Torin',  'Torin Treatment'); </v>
      </c>
    </row>
    <row r="440" spans="1:15" x14ac:dyDescent="0.15">
      <c r="A440" s="12" t="b">
        <f>FALSE()</f>
        <v>0</v>
      </c>
      <c r="B440" s="12"/>
      <c r="C440" s="6" t="s">
        <v>710</v>
      </c>
      <c r="D440" s="6" t="s">
        <v>711</v>
      </c>
      <c r="E440" s="6" t="s">
        <v>15</v>
      </c>
      <c r="F440" s="6" t="s">
        <v>2487</v>
      </c>
      <c r="G440" s="6" t="s">
        <v>2488</v>
      </c>
      <c r="H440" s="6" t="str">
        <f t="shared" si="44"/>
        <v>att_compound</v>
      </c>
      <c r="I440" s="6" t="s">
        <v>710</v>
      </c>
      <c r="J440" s="6" t="str">
        <f t="shared" si="45"/>
        <v>att_compound:rapamycin</v>
      </c>
      <c r="K440" s="6" t="b">
        <f>TRUE()</f>
        <v>1</v>
      </c>
      <c r="L440" s="6" t="s">
        <v>712</v>
      </c>
    </row>
    <row r="441" spans="1:15" x14ac:dyDescent="0.15">
      <c r="C441" s="6" t="s">
        <v>671</v>
      </c>
      <c r="D441" s="6" t="s">
        <v>672</v>
      </c>
      <c r="E441" s="6" t="s">
        <v>15</v>
      </c>
      <c r="F441" s="6" t="s">
        <v>2487</v>
      </c>
      <c r="G441" s="6" t="s">
        <v>2488</v>
      </c>
      <c r="H441" s="6" t="str">
        <f t="shared" si="44"/>
        <v>att_compound</v>
      </c>
      <c r="I441" s="6" t="s">
        <v>671</v>
      </c>
      <c r="J441" s="6" t="str">
        <f t="shared" si="45"/>
        <v>att_compound:antimycin</v>
      </c>
      <c r="K441" s="6" t="b">
        <f>TRUE()</f>
        <v>1</v>
      </c>
      <c r="L441" s="6" t="s">
        <v>673</v>
      </c>
    </row>
    <row r="442" spans="1:15" x14ac:dyDescent="0.15">
      <c r="C442" s="6" t="s">
        <v>707</v>
      </c>
      <c r="D442" s="6" t="s">
        <v>708</v>
      </c>
      <c r="E442" s="6" t="s">
        <v>15</v>
      </c>
      <c r="F442" s="6" t="s">
        <v>2487</v>
      </c>
      <c r="G442" s="6" t="s">
        <v>2488</v>
      </c>
      <c r="H442" s="6" t="str">
        <f t="shared" si="44"/>
        <v>att_compound</v>
      </c>
      <c r="I442" s="6" t="s">
        <v>707</v>
      </c>
      <c r="J442" s="6" t="str">
        <f t="shared" si="45"/>
        <v>att_compound:oligomycin</v>
      </c>
      <c r="K442" s="6" t="b">
        <f>TRUE()</f>
        <v>1</v>
      </c>
      <c r="L442" s="6" t="s">
        <v>709</v>
      </c>
    </row>
    <row r="443" spans="1:15" x14ac:dyDescent="0.15">
      <c r="C443" s="6" t="s">
        <v>704</v>
      </c>
      <c r="D443" s="6" t="s">
        <v>705</v>
      </c>
      <c r="E443" s="6" t="s">
        <v>15</v>
      </c>
      <c r="F443" s="6" t="s">
        <v>2487</v>
      </c>
      <c r="G443" s="6" t="s">
        <v>2488</v>
      </c>
      <c r="H443" s="6" t="str">
        <f t="shared" si="44"/>
        <v>att_compound</v>
      </c>
      <c r="I443" s="6" t="s">
        <v>704</v>
      </c>
      <c r="J443" s="6" t="str">
        <f t="shared" si="45"/>
        <v>att_compound:hydroxyurea</v>
      </c>
      <c r="K443" s="6" t="b">
        <f>TRUE()</f>
        <v>1</v>
      </c>
      <c r="L443" s="6" t="s">
        <v>706</v>
      </c>
    </row>
    <row r="444" spans="1:15" x14ac:dyDescent="0.15">
      <c r="C444" s="6" t="s">
        <v>2676</v>
      </c>
      <c r="D444" s="6" t="s">
        <v>667</v>
      </c>
      <c r="E444" s="6" t="s">
        <v>15</v>
      </c>
      <c r="F444" s="6" t="s">
        <v>2487</v>
      </c>
      <c r="G444" s="6" t="s">
        <v>2488</v>
      </c>
      <c r="H444" s="6" t="str">
        <f t="shared" si="44"/>
        <v>att_compound</v>
      </c>
      <c r="I444" s="6" t="s">
        <v>2676</v>
      </c>
      <c r="J444" s="6" t="str">
        <f t="shared" si="45"/>
        <v xml:space="preserve">att_compound:5-fluorouracil </v>
      </c>
      <c r="K444" s="6" t="b">
        <f>TRUE()</f>
        <v>1</v>
      </c>
      <c r="L444" s="6" t="s">
        <v>668</v>
      </c>
    </row>
    <row r="445" spans="1:15" x14ac:dyDescent="0.15">
      <c r="C445" s="6" t="s">
        <v>2677</v>
      </c>
      <c r="D445" s="6" t="s">
        <v>2678</v>
      </c>
      <c r="E445" s="6" t="s">
        <v>15</v>
      </c>
      <c r="F445" s="6" t="s">
        <v>2487</v>
      </c>
      <c r="G445" s="6" t="s">
        <v>2488</v>
      </c>
      <c r="H445" s="6" t="str">
        <f t="shared" si="44"/>
        <v>att_compound</v>
      </c>
      <c r="I445" s="6" t="s">
        <v>2677</v>
      </c>
      <c r="J445" s="6" t="str">
        <f t="shared" si="45"/>
        <v xml:space="preserve">att_compound:etoposide </v>
      </c>
      <c r="K445" s="6" t="b">
        <f>TRUE()</f>
        <v>1</v>
      </c>
      <c r="L445" s="6" t="s">
        <v>2679</v>
      </c>
    </row>
    <row r="446" spans="1:15" x14ac:dyDescent="0.15">
      <c r="C446" s="6" t="s">
        <v>713</v>
      </c>
      <c r="D446" s="6" t="s">
        <v>714</v>
      </c>
      <c r="E446" s="6" t="s">
        <v>15</v>
      </c>
      <c r="F446" s="6" t="s">
        <v>2487</v>
      </c>
      <c r="G446" s="6" t="s">
        <v>2488</v>
      </c>
      <c r="H446" s="6" t="str">
        <f t="shared" si="44"/>
        <v>att_compound</v>
      </c>
      <c r="I446" s="6" t="s">
        <v>713</v>
      </c>
      <c r="J446" s="6" t="str">
        <f t="shared" si="45"/>
        <v>att_compound:rotenone</v>
      </c>
      <c r="K446" s="6" t="b">
        <f>TRUE()</f>
        <v>1</v>
      </c>
      <c r="L446" s="6" t="s">
        <v>715</v>
      </c>
    </row>
    <row r="447" spans="1:15" x14ac:dyDescent="0.15">
      <c r="C447" s="6" t="s">
        <v>681</v>
      </c>
      <c r="D447" s="6" t="s">
        <v>682</v>
      </c>
      <c r="E447" s="6" t="s">
        <v>15</v>
      </c>
      <c r="F447" s="6" t="s">
        <v>2487</v>
      </c>
      <c r="G447" s="6" t="s">
        <v>2488</v>
      </c>
      <c r="H447" s="6" t="str">
        <f t="shared" si="44"/>
        <v>att_compound</v>
      </c>
      <c r="I447" s="6" t="s">
        <v>681</v>
      </c>
      <c r="J447" s="6" t="str">
        <f t="shared" si="45"/>
        <v>att_compound:cccp</v>
      </c>
      <c r="K447" s="6" t="b">
        <f>TRUE()</f>
        <v>1</v>
      </c>
      <c r="L447" s="6" t="s">
        <v>683</v>
      </c>
    </row>
    <row r="448" spans="1:15" x14ac:dyDescent="0.15">
      <c r="C448" s="6" t="s">
        <v>698</v>
      </c>
      <c r="D448" s="6" t="s">
        <v>699</v>
      </c>
      <c r="E448" s="6" t="s">
        <v>15</v>
      </c>
      <c r="F448" s="6" t="s">
        <v>2487</v>
      </c>
      <c r="G448" s="6" t="s">
        <v>2488</v>
      </c>
      <c r="H448" s="6" t="str">
        <f t="shared" si="44"/>
        <v>att_compound</v>
      </c>
      <c r="I448" s="6" t="s">
        <v>698</v>
      </c>
      <c r="J448" s="6" t="str">
        <f t="shared" si="45"/>
        <v>att_compound:fccp</v>
      </c>
      <c r="K448" s="6" t="b">
        <f>TRUE()</f>
        <v>1</v>
      </c>
      <c r="L448" s="6" t="s">
        <v>700</v>
      </c>
    </row>
    <row r="451" spans="3:12" x14ac:dyDescent="0.15">
      <c r="C451" s="6" t="s">
        <v>1243</v>
      </c>
      <c r="D451" s="6" t="s">
        <v>1244</v>
      </c>
      <c r="F451" s="6" t="s">
        <v>114</v>
      </c>
      <c r="G451" s="6" t="s">
        <v>2680</v>
      </c>
      <c r="H451" s="6" t="str">
        <f t="shared" ref="H451:H459" si="46">"att_"&amp;G451</f>
        <v>att_knockdown_technique</v>
      </c>
      <c r="I451" s="6" t="s">
        <v>1243</v>
      </c>
      <c r="J451" s="6" t="str">
        <f t="shared" ref="J451:J459" si="47">H451&amp;":"&amp;I451</f>
        <v>att_knockdown_technique:sirna</v>
      </c>
      <c r="K451" s="6" t="b">
        <f>TRUE()</f>
        <v>1</v>
      </c>
      <c r="L451" s="6" t="s">
        <v>1245</v>
      </c>
    </row>
    <row r="452" spans="3:12" x14ac:dyDescent="0.15">
      <c r="C452" s="6" t="s">
        <v>1234</v>
      </c>
      <c r="D452" s="6" t="s">
        <v>1235</v>
      </c>
      <c r="F452" s="6" t="s">
        <v>114</v>
      </c>
      <c r="G452" s="6" t="s">
        <v>2680</v>
      </c>
      <c r="H452" s="6" t="str">
        <f t="shared" si="46"/>
        <v>att_knockdown_technique</v>
      </c>
      <c r="I452" s="6" t="s">
        <v>1234</v>
      </c>
      <c r="J452" s="6" t="str">
        <f t="shared" si="47"/>
        <v>att_knockdown_technique:grna</v>
      </c>
      <c r="K452" s="6" t="b">
        <f>TRUE()</f>
        <v>1</v>
      </c>
      <c r="L452" s="6" t="s">
        <v>1236</v>
      </c>
    </row>
    <row r="453" spans="3:12" x14ac:dyDescent="0.15">
      <c r="C453" s="6" t="s">
        <v>1240</v>
      </c>
      <c r="D453" s="6" t="s">
        <v>1241</v>
      </c>
      <c r="F453" s="6" t="s">
        <v>114</v>
      </c>
      <c r="G453" s="6" t="s">
        <v>2680</v>
      </c>
      <c r="H453" s="6" t="str">
        <f t="shared" si="46"/>
        <v>att_knockdown_technique</v>
      </c>
      <c r="I453" s="6" t="s">
        <v>1240</v>
      </c>
      <c r="J453" s="6" t="str">
        <f t="shared" si="47"/>
        <v>att_knockdown_technique:shrna</v>
      </c>
      <c r="K453" s="6" t="b">
        <f>TRUE()</f>
        <v>1</v>
      </c>
      <c r="L453" s="6" t="s">
        <v>1242</v>
      </c>
    </row>
    <row r="454" spans="3:12" x14ac:dyDescent="0.15">
      <c r="C454" s="6" t="s">
        <v>1237</v>
      </c>
      <c r="D454" s="6" t="s">
        <v>1238</v>
      </c>
      <c r="F454" s="6" t="s">
        <v>114</v>
      </c>
      <c r="G454" s="6" t="s">
        <v>2680</v>
      </c>
      <c r="H454" s="6" t="str">
        <f t="shared" si="46"/>
        <v>att_knockdown_technique</v>
      </c>
      <c r="I454" s="6" t="s">
        <v>1237</v>
      </c>
      <c r="J454" s="6" t="str">
        <f t="shared" si="47"/>
        <v>att_knockdown_technique:mirna</v>
      </c>
      <c r="L454" s="6" t="s">
        <v>1239</v>
      </c>
    </row>
    <row r="455" spans="3:12" x14ac:dyDescent="0.15">
      <c r="C455" s="6" t="s">
        <v>1217</v>
      </c>
      <c r="D455" s="6" t="s">
        <v>1218</v>
      </c>
      <c r="F455" s="6" t="s">
        <v>2681</v>
      </c>
      <c r="G455" s="6" t="s">
        <v>2682</v>
      </c>
      <c r="H455" s="6" t="str">
        <f t="shared" si="46"/>
        <v>att_gene_engineering</v>
      </c>
      <c r="I455" s="6" t="s">
        <v>1217</v>
      </c>
      <c r="J455" s="6" t="str">
        <f t="shared" si="47"/>
        <v>att_gene_engineering:ko</v>
      </c>
      <c r="L455" s="6" t="s">
        <v>1219</v>
      </c>
    </row>
    <row r="456" spans="3:12" x14ac:dyDescent="0.15">
      <c r="C456" s="6" t="s">
        <v>2683</v>
      </c>
      <c r="D456" s="6" t="s">
        <v>1215</v>
      </c>
      <c r="F456" s="6" t="s">
        <v>2681</v>
      </c>
      <c r="G456" s="6" t="s">
        <v>2682</v>
      </c>
      <c r="H456" s="6" t="str">
        <f t="shared" si="46"/>
        <v>att_gene_engineering</v>
      </c>
      <c r="I456" s="6" t="s">
        <v>1214</v>
      </c>
      <c r="J456" s="6" t="str">
        <f t="shared" si="47"/>
        <v>att_gene_engineering:knockin</v>
      </c>
      <c r="L456" s="6" t="s">
        <v>1216</v>
      </c>
    </row>
    <row r="457" spans="3:12" x14ac:dyDescent="0.15">
      <c r="C457" s="6" t="s">
        <v>1208</v>
      </c>
      <c r="D457" s="6" t="s">
        <v>1209</v>
      </c>
      <c r="F457" s="6" t="s">
        <v>2681</v>
      </c>
      <c r="G457" s="6" t="s">
        <v>2682</v>
      </c>
      <c r="H457" s="6" t="str">
        <f t="shared" si="46"/>
        <v>att_gene_engineering</v>
      </c>
      <c r="I457" s="6" t="s">
        <v>1208</v>
      </c>
      <c r="J457" s="6" t="str">
        <f t="shared" si="47"/>
        <v>att_gene_engineering:deletion</v>
      </c>
      <c r="L457" s="6" t="s">
        <v>1210</v>
      </c>
    </row>
    <row r="458" spans="3:12" x14ac:dyDescent="0.15">
      <c r="C458" s="6" t="s">
        <v>1212</v>
      </c>
      <c r="D458" s="6" t="s">
        <v>1212</v>
      </c>
      <c r="F458" s="6" t="s">
        <v>2681</v>
      </c>
      <c r="G458" s="6" t="s">
        <v>2682</v>
      </c>
      <c r="H458" s="6" t="str">
        <f t="shared" si="46"/>
        <v>att_gene_engineering</v>
      </c>
      <c r="I458" s="6" t="s">
        <v>1211</v>
      </c>
      <c r="J458" s="6" t="str">
        <f t="shared" si="47"/>
        <v>att_gene_engineering:inducible_expression</v>
      </c>
      <c r="L458" s="6" t="s">
        <v>1213</v>
      </c>
    </row>
    <row r="459" spans="3:12" x14ac:dyDescent="0.15">
      <c r="C459" s="6" t="s">
        <v>2684</v>
      </c>
      <c r="D459" s="6" t="s">
        <v>1221</v>
      </c>
      <c r="F459" s="6" t="s">
        <v>2681</v>
      </c>
      <c r="G459" s="6" t="s">
        <v>2682</v>
      </c>
      <c r="H459" s="6" t="str">
        <f t="shared" si="46"/>
        <v>att_gene_engineering</v>
      </c>
      <c r="I459" s="6" t="s">
        <v>1220</v>
      </c>
      <c r="J459" s="6" t="str">
        <f t="shared" si="47"/>
        <v>att_gene_engineering:stable_expression</v>
      </c>
      <c r="L459" s="6" t="s">
        <v>1222</v>
      </c>
    </row>
    <row r="461" spans="3:12" x14ac:dyDescent="0.15">
      <c r="C461" s="6" t="s">
        <v>1193</v>
      </c>
      <c r="D461" s="6" t="s">
        <v>1194</v>
      </c>
      <c r="F461" s="6" t="s">
        <v>2685</v>
      </c>
      <c r="G461" s="6" t="s">
        <v>2686</v>
      </c>
      <c r="H461" s="6" t="str">
        <f t="shared" ref="H461:H476" si="48">"att_"&amp;G461</f>
        <v>att_gene_editing_method</v>
      </c>
      <c r="I461" s="6" t="s">
        <v>1193</v>
      </c>
      <c r="J461" s="6" t="str">
        <f t="shared" ref="J461:J476" si="49">H461&amp;":"&amp;I461</f>
        <v>att_gene_editing_method:crispr</v>
      </c>
      <c r="L461" s="6" t="s">
        <v>1195</v>
      </c>
    </row>
    <row r="462" spans="3:12" x14ac:dyDescent="0.15">
      <c r="C462" s="6" t="s">
        <v>2687</v>
      </c>
      <c r="D462" s="6" t="s">
        <v>1197</v>
      </c>
      <c r="F462" s="6" t="s">
        <v>2685</v>
      </c>
      <c r="G462" s="6" t="s">
        <v>2686</v>
      </c>
      <c r="H462" s="6" t="str">
        <f t="shared" si="48"/>
        <v>att_gene_editing_method</v>
      </c>
      <c r="I462" s="6" t="s">
        <v>2688</v>
      </c>
      <c r="J462" s="6" t="str">
        <f t="shared" si="49"/>
        <v>att_gene_editing_method:crispr-hdr</v>
      </c>
      <c r="L462" s="6" t="s">
        <v>1198</v>
      </c>
    </row>
    <row r="463" spans="3:12" x14ac:dyDescent="0.15">
      <c r="C463" s="6" t="s">
        <v>2689</v>
      </c>
      <c r="D463" s="6" t="s">
        <v>1191</v>
      </c>
      <c r="F463" s="6" t="s">
        <v>2685</v>
      </c>
      <c r="G463" s="6" t="s">
        <v>2686</v>
      </c>
      <c r="H463" s="6" t="str">
        <f t="shared" si="48"/>
        <v>att_gene_editing_method</v>
      </c>
      <c r="I463" s="6" t="s">
        <v>1190</v>
      </c>
      <c r="J463" s="6" t="str">
        <f t="shared" si="49"/>
        <v>att_gene_editing_method:biggybac</v>
      </c>
      <c r="L463" s="6" t="s">
        <v>1192</v>
      </c>
    </row>
    <row r="464" spans="3:12" x14ac:dyDescent="0.15">
      <c r="C464" s="6" t="s">
        <v>2690</v>
      </c>
      <c r="D464" s="6" t="s">
        <v>1200</v>
      </c>
      <c r="F464" s="6" t="s">
        <v>2685</v>
      </c>
      <c r="G464" s="6" t="s">
        <v>2686</v>
      </c>
      <c r="H464" s="6" t="str">
        <f t="shared" si="48"/>
        <v>att_gene_editing_method</v>
      </c>
      <c r="I464" s="6" t="s">
        <v>1199</v>
      </c>
      <c r="J464" s="6" t="str">
        <f t="shared" si="49"/>
        <v>att_gene_editing_method:lentiviral</v>
      </c>
      <c r="L464" s="6" t="s">
        <v>1201</v>
      </c>
    </row>
    <row r="465" spans="3:12" x14ac:dyDescent="0.15">
      <c r="C465" s="6" t="s">
        <v>2691</v>
      </c>
      <c r="D465" s="6" t="s">
        <v>1203</v>
      </c>
      <c r="F465" s="6" t="s">
        <v>2685</v>
      </c>
      <c r="G465" s="6" t="s">
        <v>2686</v>
      </c>
      <c r="H465" s="6" t="str">
        <f t="shared" si="48"/>
        <v>att_gene_editing_method</v>
      </c>
      <c r="I465" s="6" t="s">
        <v>1202</v>
      </c>
      <c r="J465" s="6" t="str">
        <f t="shared" si="49"/>
        <v>att_gene_editing_method:talen</v>
      </c>
      <c r="L465" s="6" t="s">
        <v>1204</v>
      </c>
    </row>
    <row r="466" spans="3:12" x14ac:dyDescent="0.15">
      <c r="C466" s="6" t="s">
        <v>2692</v>
      </c>
      <c r="D466" s="6" t="s">
        <v>1206</v>
      </c>
      <c r="F466" s="6" t="s">
        <v>2685</v>
      </c>
      <c r="G466" s="6" t="s">
        <v>2686</v>
      </c>
      <c r="H466" s="6" t="str">
        <f t="shared" si="48"/>
        <v>att_gene_editing_method</v>
      </c>
      <c r="I466" s="6" t="s">
        <v>1205</v>
      </c>
      <c r="J466" s="6" t="str">
        <f t="shared" si="49"/>
        <v>att_gene_editing_method:zincfinger</v>
      </c>
      <c r="L466" s="6" t="s">
        <v>1207</v>
      </c>
    </row>
    <row r="467" spans="3:12" x14ac:dyDescent="0.15">
      <c r="C467" s="6" t="s">
        <v>2693</v>
      </c>
      <c r="D467" s="6" t="s">
        <v>2225</v>
      </c>
      <c r="F467" s="6" t="s">
        <v>2694</v>
      </c>
      <c r="G467" s="6" t="s">
        <v>2695</v>
      </c>
      <c r="H467" s="6" t="str">
        <f t="shared" si="48"/>
        <v>att_protein_mutation</v>
      </c>
      <c r="I467" s="6" t="s">
        <v>2224</v>
      </c>
      <c r="J467" s="6" t="str">
        <f t="shared" si="49"/>
        <v>att_protein_mutation:frameshift</v>
      </c>
      <c r="L467" s="6" t="s">
        <v>2226</v>
      </c>
    </row>
    <row r="468" spans="3:12" x14ac:dyDescent="0.15">
      <c r="C468" s="6" t="s">
        <v>2696</v>
      </c>
      <c r="D468" s="6" t="s">
        <v>2245</v>
      </c>
      <c r="F468" s="6" t="s">
        <v>2694</v>
      </c>
      <c r="G468" s="6" t="s">
        <v>2695</v>
      </c>
      <c r="H468" s="6" t="str">
        <f t="shared" si="48"/>
        <v>att_protein_mutation</v>
      </c>
      <c r="I468" s="6" t="s">
        <v>2244</v>
      </c>
      <c r="J468" s="6" t="str">
        <f t="shared" si="49"/>
        <v>att_protein_mutation:substitution</v>
      </c>
      <c r="L468" s="6" t="s">
        <v>2246</v>
      </c>
    </row>
    <row r="469" spans="3:12" x14ac:dyDescent="0.15">
      <c r="C469" s="6" t="s">
        <v>2697</v>
      </c>
      <c r="D469" s="6" t="s">
        <v>2219</v>
      </c>
      <c r="F469" s="6" t="s">
        <v>2694</v>
      </c>
      <c r="G469" s="6" t="s">
        <v>2695</v>
      </c>
      <c r="H469" s="6" t="str">
        <f t="shared" si="48"/>
        <v>att_protein_mutation</v>
      </c>
      <c r="I469" s="6" t="s">
        <v>1208</v>
      </c>
      <c r="J469" s="6" t="str">
        <f t="shared" si="49"/>
        <v>att_protein_mutation:deletion</v>
      </c>
      <c r="L469" s="6" t="s">
        <v>2220</v>
      </c>
    </row>
    <row r="470" spans="3:12" x14ac:dyDescent="0.15">
      <c r="C470" s="6" t="s">
        <v>2236</v>
      </c>
      <c r="D470" s="6" t="s">
        <v>2237</v>
      </c>
      <c r="F470" s="6" t="s">
        <v>2694</v>
      </c>
      <c r="G470" s="6" t="s">
        <v>2695</v>
      </c>
      <c r="H470" s="6" t="str">
        <f t="shared" si="48"/>
        <v>att_protein_mutation</v>
      </c>
      <c r="I470" s="6" t="s">
        <v>2236</v>
      </c>
      <c r="J470" s="6" t="str">
        <f t="shared" si="49"/>
        <v>att_protein_mutation:insertion</v>
      </c>
      <c r="L470" s="6" t="s">
        <v>2238</v>
      </c>
    </row>
    <row r="471" spans="3:12" x14ac:dyDescent="0.15">
      <c r="C471" s="6" t="s">
        <v>2698</v>
      </c>
      <c r="D471" s="6" t="s">
        <v>2248</v>
      </c>
      <c r="F471" s="6" t="s">
        <v>2694</v>
      </c>
      <c r="G471" s="6" t="s">
        <v>2695</v>
      </c>
      <c r="H471" s="6" t="str">
        <f t="shared" si="48"/>
        <v>att_protein_mutation</v>
      </c>
      <c r="I471" s="6" t="s">
        <v>2247</v>
      </c>
      <c r="J471" s="6" t="str">
        <f t="shared" si="49"/>
        <v>att_protein_mutation:truncation</v>
      </c>
      <c r="L471" s="6" t="s">
        <v>2249</v>
      </c>
    </row>
    <row r="472" spans="3:12" x14ac:dyDescent="0.15">
      <c r="C472" s="6" t="s">
        <v>2699</v>
      </c>
      <c r="D472" s="6" t="s">
        <v>2222</v>
      </c>
      <c r="F472" s="6" t="s">
        <v>2694</v>
      </c>
      <c r="G472" s="6" t="s">
        <v>2695</v>
      </c>
      <c r="H472" s="6" t="str">
        <f t="shared" si="48"/>
        <v>att_protein_mutation</v>
      </c>
      <c r="I472" s="6" t="s">
        <v>2221</v>
      </c>
      <c r="J472" s="6" t="str">
        <f t="shared" si="49"/>
        <v>att_protein_mutation:flag</v>
      </c>
      <c r="L472" s="6" t="s">
        <v>2223</v>
      </c>
    </row>
    <row r="473" spans="3:12" x14ac:dyDescent="0.15">
      <c r="C473" s="6" t="s">
        <v>2700</v>
      </c>
      <c r="D473" s="6" t="s">
        <v>2231</v>
      </c>
      <c r="F473" s="6" t="s">
        <v>2694</v>
      </c>
      <c r="G473" s="6" t="s">
        <v>2695</v>
      </c>
      <c r="H473" s="6" t="str">
        <f t="shared" si="48"/>
        <v>att_protein_mutation</v>
      </c>
      <c r="I473" s="6" t="s">
        <v>2230</v>
      </c>
      <c r="J473" s="6" t="str">
        <f t="shared" si="49"/>
        <v>att_protein_mutation:ha</v>
      </c>
      <c r="L473" s="6" t="s">
        <v>2232</v>
      </c>
    </row>
    <row r="474" spans="3:12" x14ac:dyDescent="0.15">
      <c r="C474" s="6" t="s">
        <v>2701</v>
      </c>
      <c r="D474" s="6" t="s">
        <v>2240</v>
      </c>
      <c r="F474" s="6" t="s">
        <v>2694</v>
      </c>
      <c r="G474" s="6" t="s">
        <v>2695</v>
      </c>
      <c r="H474" s="6" t="str">
        <f t="shared" si="48"/>
        <v>att_protein_mutation</v>
      </c>
      <c r="I474" s="6" t="s">
        <v>2239</v>
      </c>
      <c r="J474" s="6" t="str">
        <f t="shared" si="49"/>
        <v>att_protein_mutation:myc</v>
      </c>
      <c r="L474" s="6" t="s">
        <v>2241</v>
      </c>
    </row>
    <row r="475" spans="3:12" x14ac:dyDescent="0.15">
      <c r="C475" s="6" t="s">
        <v>2702</v>
      </c>
      <c r="D475" s="6" t="s">
        <v>2228</v>
      </c>
      <c r="F475" s="6" t="s">
        <v>2694</v>
      </c>
      <c r="G475" s="6" t="s">
        <v>2695</v>
      </c>
      <c r="H475" s="6" t="str">
        <f t="shared" si="48"/>
        <v>att_protein_mutation</v>
      </c>
      <c r="I475" s="6" t="s">
        <v>2227</v>
      </c>
      <c r="J475" s="6" t="str">
        <f t="shared" si="49"/>
        <v>att_protein_mutation:gfp</v>
      </c>
      <c r="L475" s="6" t="s">
        <v>2229</v>
      </c>
    </row>
    <row r="476" spans="3:12" x14ac:dyDescent="0.15">
      <c r="C476" s="6" t="s">
        <v>2703</v>
      </c>
      <c r="D476" s="6" t="s">
        <v>2234</v>
      </c>
      <c r="F476" s="6" t="s">
        <v>2694</v>
      </c>
      <c r="G476" s="6" t="s">
        <v>2695</v>
      </c>
      <c r="H476" s="6" t="str">
        <f t="shared" si="48"/>
        <v>att_protein_mutation</v>
      </c>
      <c r="I476" s="6" t="s">
        <v>2233</v>
      </c>
      <c r="J476" s="6" t="str">
        <f t="shared" si="49"/>
        <v>att_protein_mutation:his</v>
      </c>
      <c r="L476" s="6" t="s">
        <v>2235</v>
      </c>
    </row>
    <row r="478" spans="3:12" x14ac:dyDescent="0.15">
      <c r="C478" s="6" t="s">
        <v>2704</v>
      </c>
      <c r="D478" s="6" t="s">
        <v>2257</v>
      </c>
      <c r="F478" s="6" t="s">
        <v>2705</v>
      </c>
      <c r="G478" s="6" t="s">
        <v>2706</v>
      </c>
      <c r="H478" s="6" t="str">
        <f>"att_"&amp;G478</f>
        <v>att_protein_position</v>
      </c>
      <c r="I478" s="6" t="s">
        <v>2256</v>
      </c>
      <c r="J478" s="6" t="str">
        <f>H478&amp;":"&amp;I478</f>
        <v>att_protein_position:nterm</v>
      </c>
      <c r="L478" s="6" t="s">
        <v>2258</v>
      </c>
    </row>
    <row r="479" spans="3:12" x14ac:dyDescent="0.15">
      <c r="C479" s="6" t="s">
        <v>2707</v>
      </c>
      <c r="D479" s="6" t="s">
        <v>2254</v>
      </c>
      <c r="F479" s="6" t="s">
        <v>2705</v>
      </c>
      <c r="G479" s="6" t="s">
        <v>2706</v>
      </c>
      <c r="H479" s="6" t="str">
        <f>"att_"&amp;G479</f>
        <v>att_protein_position</v>
      </c>
      <c r="I479" s="6" t="s">
        <v>2253</v>
      </c>
      <c r="J479" s="6" t="str">
        <f>H479&amp;":"&amp;I479</f>
        <v>att_protein_position:cterm</v>
      </c>
      <c r="L479" s="6" t="s">
        <v>2255</v>
      </c>
    </row>
    <row r="480" spans="3:12" x14ac:dyDescent="0.15">
      <c r="C480" s="6" t="s">
        <v>2250</v>
      </c>
      <c r="D480" s="6" t="s">
        <v>2251</v>
      </c>
      <c r="F480" s="6" t="s">
        <v>2705</v>
      </c>
      <c r="G480" s="6" t="s">
        <v>2706</v>
      </c>
      <c r="H480" s="6" t="str">
        <f>"att_"&amp;G480</f>
        <v>att_protein_position</v>
      </c>
      <c r="I480" s="6" t="s">
        <v>2250</v>
      </c>
      <c r="J480" s="6" t="str">
        <f>H480&amp;":"&amp;I480</f>
        <v>att_protein_position:aa</v>
      </c>
      <c r="L480" s="6" t="s">
        <v>2252</v>
      </c>
    </row>
    <row r="481" spans="3:12" x14ac:dyDescent="0.15">
      <c r="C481" s="6" t="s">
        <v>2259</v>
      </c>
      <c r="D481" s="6" t="s">
        <v>2260</v>
      </c>
      <c r="F481" s="6" t="s">
        <v>2705</v>
      </c>
      <c r="G481" s="6" t="s">
        <v>2706</v>
      </c>
      <c r="H481" s="6" t="str">
        <f>"att_"&amp;G481</f>
        <v>att_protein_position</v>
      </c>
      <c r="I481" s="6" t="s">
        <v>2259</v>
      </c>
      <c r="J481" s="6" t="str">
        <f>H481&amp;":"&amp;I481</f>
        <v>att_protein_position:region</v>
      </c>
      <c r="L481" s="6" t="s">
        <v>2261</v>
      </c>
    </row>
    <row r="485" spans="3:12" x14ac:dyDescent="0.15">
      <c r="C485" s="6" t="s">
        <v>2708</v>
      </c>
      <c r="D485" s="6" t="s">
        <v>210</v>
      </c>
      <c r="F485" s="6" t="s">
        <v>2709</v>
      </c>
      <c r="G485" s="6" t="s">
        <v>2250</v>
      </c>
      <c r="H485" s="6" t="s">
        <v>209</v>
      </c>
      <c r="I485" s="6" t="s">
        <v>208</v>
      </c>
      <c r="J485" s="6" t="str">
        <f t="shared" ref="J485:J503" si="50">H485&amp;":"&amp;I485</f>
        <v>att_aa:arginine</v>
      </c>
      <c r="L485" s="6" t="s">
        <v>211</v>
      </c>
    </row>
    <row r="486" spans="3:12" x14ac:dyDescent="0.15">
      <c r="C486" s="6" t="s">
        <v>2708</v>
      </c>
      <c r="D486" s="6" t="s">
        <v>213</v>
      </c>
      <c r="F486" s="6" t="s">
        <v>2709</v>
      </c>
      <c r="G486" s="6" t="s">
        <v>2250</v>
      </c>
      <c r="H486" s="6" t="s">
        <v>209</v>
      </c>
      <c r="I486" s="6" t="s">
        <v>212</v>
      </c>
      <c r="J486" s="6" t="str">
        <f t="shared" si="50"/>
        <v>att_aa:asparagine</v>
      </c>
      <c r="L486" s="6" t="s">
        <v>214</v>
      </c>
    </row>
    <row r="487" spans="3:12" x14ac:dyDescent="0.15">
      <c r="C487" s="6" t="s">
        <v>2708</v>
      </c>
      <c r="D487" s="6" t="s">
        <v>216</v>
      </c>
      <c r="F487" s="6" t="s">
        <v>2709</v>
      </c>
      <c r="G487" s="6" t="s">
        <v>2250</v>
      </c>
      <c r="H487" s="6" t="s">
        <v>209</v>
      </c>
      <c r="I487" s="6" t="s">
        <v>215</v>
      </c>
      <c r="J487" s="6" t="str">
        <f t="shared" si="50"/>
        <v>att_aa:asparticacid</v>
      </c>
      <c r="L487" s="6" t="s">
        <v>217</v>
      </c>
    </row>
    <row r="488" spans="3:12" x14ac:dyDescent="0.15">
      <c r="C488" s="6" t="s">
        <v>2708</v>
      </c>
      <c r="D488" s="6" t="s">
        <v>219</v>
      </c>
      <c r="F488" s="6" t="s">
        <v>2709</v>
      </c>
      <c r="G488" s="6" t="s">
        <v>2250</v>
      </c>
      <c r="H488" s="6" t="s">
        <v>209</v>
      </c>
      <c r="I488" s="6" t="s">
        <v>218</v>
      </c>
      <c r="J488" s="6" t="str">
        <f t="shared" si="50"/>
        <v>att_aa:cysteine</v>
      </c>
      <c r="L488" s="6" t="s">
        <v>220</v>
      </c>
    </row>
    <row r="489" spans="3:12" x14ac:dyDescent="0.15">
      <c r="C489" s="6" t="s">
        <v>2708</v>
      </c>
      <c r="D489" s="6" t="s">
        <v>222</v>
      </c>
      <c r="F489" s="6" t="s">
        <v>2709</v>
      </c>
      <c r="G489" s="6" t="s">
        <v>2250</v>
      </c>
      <c r="H489" s="6" t="s">
        <v>209</v>
      </c>
      <c r="I489" s="6" t="s">
        <v>221</v>
      </c>
      <c r="J489" s="6" t="str">
        <f t="shared" si="50"/>
        <v>att_aa:glutamicacid</v>
      </c>
      <c r="L489" s="6" t="s">
        <v>223</v>
      </c>
    </row>
    <row r="490" spans="3:12" x14ac:dyDescent="0.15">
      <c r="C490" s="6" t="s">
        <v>2708</v>
      </c>
      <c r="D490" s="6" t="s">
        <v>225</v>
      </c>
      <c r="F490" s="6" t="s">
        <v>2709</v>
      </c>
      <c r="G490" s="6" t="s">
        <v>2250</v>
      </c>
      <c r="H490" s="6" t="s">
        <v>209</v>
      </c>
      <c r="I490" s="6" t="s">
        <v>224</v>
      </c>
      <c r="J490" s="6" t="str">
        <f t="shared" si="50"/>
        <v>att_aa:glutamine</v>
      </c>
      <c r="L490" s="6" t="s">
        <v>226</v>
      </c>
    </row>
    <row r="491" spans="3:12" x14ac:dyDescent="0.15">
      <c r="C491" s="6" t="s">
        <v>2708</v>
      </c>
      <c r="D491" s="6" t="s">
        <v>228</v>
      </c>
      <c r="F491" s="6" t="s">
        <v>2709</v>
      </c>
      <c r="G491" s="6" t="s">
        <v>2250</v>
      </c>
      <c r="H491" s="6" t="s">
        <v>209</v>
      </c>
      <c r="I491" s="6" t="s">
        <v>227</v>
      </c>
      <c r="J491" s="6" t="str">
        <f t="shared" si="50"/>
        <v>att_aa:glycine</v>
      </c>
      <c r="L491" s="6" t="s">
        <v>229</v>
      </c>
    </row>
    <row r="492" spans="3:12" x14ac:dyDescent="0.15">
      <c r="C492" s="6" t="s">
        <v>2708</v>
      </c>
      <c r="D492" s="6" t="s">
        <v>231</v>
      </c>
      <c r="F492" s="6" t="s">
        <v>2709</v>
      </c>
      <c r="G492" s="6" t="s">
        <v>2250</v>
      </c>
      <c r="H492" s="6" t="s">
        <v>209</v>
      </c>
      <c r="I492" s="6" t="s">
        <v>230</v>
      </c>
      <c r="J492" s="6" t="str">
        <f t="shared" si="50"/>
        <v>att_aa:histidine</v>
      </c>
      <c r="L492" s="6" t="s">
        <v>232</v>
      </c>
    </row>
    <row r="493" spans="3:12" x14ac:dyDescent="0.15">
      <c r="C493" s="6" t="s">
        <v>2708</v>
      </c>
      <c r="D493" s="6" t="s">
        <v>234</v>
      </c>
      <c r="F493" s="6" t="s">
        <v>2709</v>
      </c>
      <c r="G493" s="6" t="s">
        <v>2250</v>
      </c>
      <c r="H493" s="6" t="s">
        <v>209</v>
      </c>
      <c r="I493" s="6" t="s">
        <v>233</v>
      </c>
      <c r="J493" s="6" t="str">
        <f t="shared" si="50"/>
        <v>att_aa:isoleucine</v>
      </c>
      <c r="L493" s="6" t="s">
        <v>235</v>
      </c>
    </row>
    <row r="494" spans="3:12" x14ac:dyDescent="0.15">
      <c r="C494" s="6" t="s">
        <v>2708</v>
      </c>
      <c r="D494" s="6" t="s">
        <v>237</v>
      </c>
      <c r="F494" s="6" t="s">
        <v>2709</v>
      </c>
      <c r="G494" s="6" t="s">
        <v>2250</v>
      </c>
      <c r="H494" s="6" t="s">
        <v>209</v>
      </c>
      <c r="I494" s="6" t="s">
        <v>236</v>
      </c>
      <c r="J494" s="6" t="str">
        <f t="shared" si="50"/>
        <v>att_aa:leucine</v>
      </c>
      <c r="L494" s="6" t="s">
        <v>238</v>
      </c>
    </row>
    <row r="495" spans="3:12" x14ac:dyDescent="0.15">
      <c r="C495" s="6" t="s">
        <v>2708</v>
      </c>
      <c r="D495" s="6" t="s">
        <v>240</v>
      </c>
      <c r="F495" s="6" t="s">
        <v>2709</v>
      </c>
      <c r="G495" s="6" t="s">
        <v>2250</v>
      </c>
      <c r="H495" s="6" t="s">
        <v>209</v>
      </c>
      <c r="I495" s="6" t="s">
        <v>239</v>
      </c>
      <c r="J495" s="6" t="str">
        <f t="shared" si="50"/>
        <v>att_aa:lysine</v>
      </c>
      <c r="L495" s="6" t="s">
        <v>241</v>
      </c>
    </row>
    <row r="496" spans="3:12" x14ac:dyDescent="0.15">
      <c r="C496" s="6" t="s">
        <v>2708</v>
      </c>
      <c r="D496" s="6" t="s">
        <v>243</v>
      </c>
      <c r="F496" s="6" t="s">
        <v>2709</v>
      </c>
      <c r="G496" s="6" t="s">
        <v>2250</v>
      </c>
      <c r="H496" s="6" t="s">
        <v>209</v>
      </c>
      <c r="I496" s="6" t="s">
        <v>242</v>
      </c>
      <c r="J496" s="6" t="str">
        <f t="shared" si="50"/>
        <v>att_aa:methionine</v>
      </c>
      <c r="L496" s="6" t="s">
        <v>244</v>
      </c>
    </row>
    <row r="497" spans="3:12" x14ac:dyDescent="0.15">
      <c r="C497" s="6" t="s">
        <v>2708</v>
      </c>
      <c r="D497" s="6" t="s">
        <v>246</v>
      </c>
      <c r="F497" s="6" t="s">
        <v>2709</v>
      </c>
      <c r="G497" s="6" t="s">
        <v>2250</v>
      </c>
      <c r="H497" s="6" t="s">
        <v>209</v>
      </c>
      <c r="I497" s="6" t="s">
        <v>245</v>
      </c>
      <c r="J497" s="6" t="str">
        <f t="shared" si="50"/>
        <v>att_aa:phenylalanine</v>
      </c>
      <c r="L497" s="6" t="s">
        <v>247</v>
      </c>
    </row>
    <row r="498" spans="3:12" x14ac:dyDescent="0.15">
      <c r="C498" s="6" t="s">
        <v>2708</v>
      </c>
      <c r="D498" s="6" t="s">
        <v>249</v>
      </c>
      <c r="F498" s="6" t="s">
        <v>2709</v>
      </c>
      <c r="G498" s="6" t="s">
        <v>2250</v>
      </c>
      <c r="H498" s="6" t="s">
        <v>209</v>
      </c>
      <c r="I498" s="6" t="s">
        <v>248</v>
      </c>
      <c r="J498" s="6" t="str">
        <f t="shared" si="50"/>
        <v>att_aa:proline</v>
      </c>
      <c r="L498" s="6" t="s">
        <v>250</v>
      </c>
    </row>
    <row r="499" spans="3:12" x14ac:dyDescent="0.15">
      <c r="C499" s="6" t="s">
        <v>2708</v>
      </c>
      <c r="D499" s="6" t="s">
        <v>252</v>
      </c>
      <c r="F499" s="6" t="s">
        <v>2709</v>
      </c>
      <c r="G499" s="6" t="s">
        <v>2250</v>
      </c>
      <c r="H499" s="6" t="s">
        <v>209</v>
      </c>
      <c r="I499" s="6" t="s">
        <v>251</v>
      </c>
      <c r="J499" s="6" t="str">
        <f t="shared" si="50"/>
        <v>att_aa:serine</v>
      </c>
      <c r="L499" s="6" t="s">
        <v>253</v>
      </c>
    </row>
    <row r="500" spans="3:12" x14ac:dyDescent="0.15">
      <c r="C500" s="6" t="s">
        <v>2708</v>
      </c>
      <c r="D500" s="6" t="s">
        <v>255</v>
      </c>
      <c r="F500" s="6" t="s">
        <v>2709</v>
      </c>
      <c r="G500" s="6" t="s">
        <v>2250</v>
      </c>
      <c r="H500" s="6" t="s">
        <v>209</v>
      </c>
      <c r="I500" s="6" t="s">
        <v>254</v>
      </c>
      <c r="J500" s="6" t="str">
        <f t="shared" si="50"/>
        <v>att_aa:threonine</v>
      </c>
      <c r="L500" s="6" t="s">
        <v>256</v>
      </c>
    </row>
    <row r="501" spans="3:12" x14ac:dyDescent="0.15">
      <c r="C501" s="6" t="s">
        <v>2708</v>
      </c>
      <c r="D501" s="6" t="s">
        <v>258</v>
      </c>
      <c r="F501" s="6" t="s">
        <v>2709</v>
      </c>
      <c r="G501" s="6" t="s">
        <v>2250</v>
      </c>
      <c r="H501" s="6" t="s">
        <v>209</v>
      </c>
      <c r="I501" s="6" t="s">
        <v>257</v>
      </c>
      <c r="J501" s="6" t="str">
        <f t="shared" si="50"/>
        <v>att_aa:tryptophan</v>
      </c>
      <c r="L501" s="6" t="s">
        <v>259</v>
      </c>
    </row>
    <row r="502" spans="3:12" x14ac:dyDescent="0.15">
      <c r="C502" s="6" t="s">
        <v>2708</v>
      </c>
      <c r="D502" s="6" t="s">
        <v>261</v>
      </c>
      <c r="F502" s="6" t="s">
        <v>2709</v>
      </c>
      <c r="G502" s="6" t="s">
        <v>2250</v>
      </c>
      <c r="H502" s="6" t="s">
        <v>209</v>
      </c>
      <c r="I502" s="6" t="s">
        <v>260</v>
      </c>
      <c r="J502" s="6" t="str">
        <f t="shared" si="50"/>
        <v>att_aa:tyrosine</v>
      </c>
      <c r="L502" s="6" t="s">
        <v>262</v>
      </c>
    </row>
    <row r="503" spans="3:12" x14ac:dyDescent="0.15">
      <c r="C503" s="6" t="s">
        <v>2708</v>
      </c>
      <c r="D503" s="6" t="s">
        <v>264</v>
      </c>
      <c r="F503" s="6" t="s">
        <v>2709</v>
      </c>
      <c r="G503" s="6" t="s">
        <v>2250</v>
      </c>
      <c r="H503" s="6" t="s">
        <v>209</v>
      </c>
      <c r="I503" s="6" t="s">
        <v>263</v>
      </c>
      <c r="J503" s="6" t="str">
        <f t="shared" si="50"/>
        <v>att_aa:valine</v>
      </c>
      <c r="L503" s="6" t="s">
        <v>265</v>
      </c>
    </row>
    <row r="507" spans="3:12" x14ac:dyDescent="0.15">
      <c r="C507" s="6" t="s">
        <v>2710</v>
      </c>
      <c r="D507" s="6">
        <v>126</v>
      </c>
      <c r="F507" s="6" t="s">
        <v>181</v>
      </c>
      <c r="G507" s="6" t="s">
        <v>2711</v>
      </c>
      <c r="H507" s="6" t="s">
        <v>180</v>
      </c>
      <c r="I507" s="6" t="str">
        <f t="shared" ref="I507:I516" si="51">"tmt10_"&amp;D507</f>
        <v>tmt10_126</v>
      </c>
      <c r="J507" s="6" t="str">
        <f t="shared" ref="J507:J516" si="52">H507&amp;":"&amp;I507</f>
        <v>att_tmt_channel:tmt10_126</v>
      </c>
    </row>
    <row r="508" spans="3:12" x14ac:dyDescent="0.15">
      <c r="C508" s="6" t="s">
        <v>2710</v>
      </c>
      <c r="D508" s="6" t="s">
        <v>2366</v>
      </c>
      <c r="F508" s="6" t="s">
        <v>181</v>
      </c>
      <c r="G508" s="6" t="s">
        <v>2711</v>
      </c>
      <c r="H508" s="6" t="s">
        <v>180</v>
      </c>
      <c r="I508" s="6" t="str">
        <f t="shared" si="51"/>
        <v>tmt10_127N</v>
      </c>
      <c r="J508" s="6" t="str">
        <f t="shared" si="52"/>
        <v>att_tmt_channel:tmt10_127N</v>
      </c>
    </row>
    <row r="509" spans="3:12" x14ac:dyDescent="0.15">
      <c r="C509" s="6" t="s">
        <v>2710</v>
      </c>
      <c r="D509" s="6" t="s">
        <v>2364</v>
      </c>
      <c r="F509" s="6" t="s">
        <v>181</v>
      </c>
      <c r="G509" s="6" t="s">
        <v>2711</v>
      </c>
      <c r="H509" s="6" t="s">
        <v>180</v>
      </c>
      <c r="I509" s="6" t="str">
        <f t="shared" si="51"/>
        <v>tmt10_127C</v>
      </c>
      <c r="J509" s="6" t="str">
        <f t="shared" si="52"/>
        <v>att_tmt_channel:tmt10_127C</v>
      </c>
    </row>
    <row r="510" spans="3:12" x14ac:dyDescent="0.15">
      <c r="C510" s="6" t="s">
        <v>2710</v>
      </c>
      <c r="D510" s="6" t="s">
        <v>2370</v>
      </c>
      <c r="F510" s="6" t="s">
        <v>181</v>
      </c>
      <c r="G510" s="6" t="s">
        <v>2711</v>
      </c>
      <c r="H510" s="6" t="s">
        <v>180</v>
      </c>
      <c r="I510" s="6" t="str">
        <f t="shared" si="51"/>
        <v>tmt10_128N</v>
      </c>
      <c r="J510" s="6" t="str">
        <f t="shared" si="52"/>
        <v>att_tmt_channel:tmt10_128N</v>
      </c>
    </row>
    <row r="511" spans="3:12" x14ac:dyDescent="0.15">
      <c r="C511" s="6" t="s">
        <v>2710</v>
      </c>
      <c r="D511" s="6" t="s">
        <v>2368</v>
      </c>
      <c r="F511" s="6" t="s">
        <v>181</v>
      </c>
      <c r="G511" s="6" t="s">
        <v>2711</v>
      </c>
      <c r="H511" s="6" t="s">
        <v>180</v>
      </c>
      <c r="I511" s="6" t="str">
        <f t="shared" si="51"/>
        <v>tmt10_128C</v>
      </c>
      <c r="J511" s="6" t="str">
        <f t="shared" si="52"/>
        <v>att_tmt_channel:tmt10_128C</v>
      </c>
    </row>
    <row r="512" spans="3:12" x14ac:dyDescent="0.15">
      <c r="C512" s="6" t="s">
        <v>2710</v>
      </c>
      <c r="D512" s="6" t="s">
        <v>2374</v>
      </c>
      <c r="F512" s="6" t="s">
        <v>181</v>
      </c>
      <c r="G512" s="6" t="s">
        <v>2711</v>
      </c>
      <c r="H512" s="6" t="s">
        <v>180</v>
      </c>
      <c r="I512" s="6" t="str">
        <f t="shared" si="51"/>
        <v>tmt10_129N</v>
      </c>
      <c r="J512" s="6" t="str">
        <f t="shared" si="52"/>
        <v>att_tmt_channel:tmt10_129N</v>
      </c>
    </row>
    <row r="513" spans="3:10" x14ac:dyDescent="0.15">
      <c r="C513" s="6" t="s">
        <v>2710</v>
      </c>
      <c r="D513" s="6" t="s">
        <v>2372</v>
      </c>
      <c r="F513" s="6" t="s">
        <v>181</v>
      </c>
      <c r="G513" s="6" t="s">
        <v>2711</v>
      </c>
      <c r="H513" s="6" t="s">
        <v>180</v>
      </c>
      <c r="I513" s="6" t="str">
        <f t="shared" si="51"/>
        <v>tmt10_129C</v>
      </c>
      <c r="J513" s="6" t="str">
        <f t="shared" si="52"/>
        <v>att_tmt_channel:tmt10_129C</v>
      </c>
    </row>
    <row r="514" spans="3:10" x14ac:dyDescent="0.15">
      <c r="C514" s="6" t="s">
        <v>2710</v>
      </c>
      <c r="D514" s="6" t="s">
        <v>2378</v>
      </c>
      <c r="F514" s="6" t="s">
        <v>181</v>
      </c>
      <c r="G514" s="6" t="s">
        <v>2711</v>
      </c>
      <c r="H514" s="6" t="s">
        <v>180</v>
      </c>
      <c r="I514" s="6" t="str">
        <f t="shared" si="51"/>
        <v>tmt10_130N</v>
      </c>
      <c r="J514" s="6" t="str">
        <f t="shared" si="52"/>
        <v>att_tmt_channel:tmt10_130N</v>
      </c>
    </row>
    <row r="515" spans="3:10" x14ac:dyDescent="0.15">
      <c r="C515" s="6" t="s">
        <v>2710</v>
      </c>
      <c r="D515" s="6" t="s">
        <v>2376</v>
      </c>
      <c r="F515" s="6" t="s">
        <v>181</v>
      </c>
      <c r="G515" s="6" t="s">
        <v>2711</v>
      </c>
      <c r="H515" s="6" t="s">
        <v>180</v>
      </c>
      <c r="I515" s="6" t="str">
        <f t="shared" si="51"/>
        <v>tmt10_130C</v>
      </c>
      <c r="J515" s="6" t="str">
        <f t="shared" si="52"/>
        <v>att_tmt_channel:tmt10_130C</v>
      </c>
    </row>
    <row r="516" spans="3:10" x14ac:dyDescent="0.15">
      <c r="C516" s="6" t="s">
        <v>2710</v>
      </c>
      <c r="D516" s="6">
        <v>131</v>
      </c>
      <c r="F516" s="6" t="s">
        <v>181</v>
      </c>
      <c r="G516" s="6" t="s">
        <v>2711</v>
      </c>
      <c r="H516" s="6" t="s">
        <v>180</v>
      </c>
      <c r="I516" s="6" t="str">
        <f t="shared" si="51"/>
        <v>tmt10_131</v>
      </c>
      <c r="J516" s="6" t="str">
        <f t="shared" si="52"/>
        <v>att_tmt_channel:tmt10_131</v>
      </c>
    </row>
    <row r="518" spans="3:10" x14ac:dyDescent="0.15">
      <c r="C518" s="6" t="s">
        <v>2710</v>
      </c>
      <c r="D518" s="6">
        <v>126</v>
      </c>
      <c r="F518" s="6" t="s">
        <v>2712</v>
      </c>
      <c r="G518" s="6" t="s">
        <v>2711</v>
      </c>
      <c r="H518" s="6" t="s">
        <v>180</v>
      </c>
      <c r="I518" s="6" t="str">
        <f t="shared" ref="I518:I528" si="53">"tmt11_"&amp;D518</f>
        <v>tmt11_126</v>
      </c>
      <c r="J518" s="6" t="str">
        <f t="shared" ref="J518:J528" si="54">H518&amp;":"&amp;I518</f>
        <v>att_tmt_channel:tmt11_126</v>
      </c>
    </row>
    <row r="519" spans="3:10" x14ac:dyDescent="0.15">
      <c r="C519" s="6" t="s">
        <v>2710</v>
      </c>
      <c r="D519" s="6" t="s">
        <v>2366</v>
      </c>
      <c r="F519" s="6" t="s">
        <v>2712</v>
      </c>
      <c r="G519" s="6" t="s">
        <v>2711</v>
      </c>
      <c r="H519" s="6" t="s">
        <v>180</v>
      </c>
      <c r="I519" s="6" t="str">
        <f t="shared" si="53"/>
        <v>tmt11_127N</v>
      </c>
      <c r="J519" s="6" t="str">
        <f t="shared" si="54"/>
        <v>att_tmt_channel:tmt11_127N</v>
      </c>
    </row>
    <row r="520" spans="3:10" x14ac:dyDescent="0.15">
      <c r="C520" s="6" t="s">
        <v>2710</v>
      </c>
      <c r="D520" s="6" t="s">
        <v>2364</v>
      </c>
      <c r="F520" s="6" t="s">
        <v>2712</v>
      </c>
      <c r="G520" s="6" t="s">
        <v>2711</v>
      </c>
      <c r="H520" s="6" t="s">
        <v>180</v>
      </c>
      <c r="I520" s="6" t="str">
        <f t="shared" si="53"/>
        <v>tmt11_127C</v>
      </c>
      <c r="J520" s="6" t="str">
        <f t="shared" si="54"/>
        <v>att_tmt_channel:tmt11_127C</v>
      </c>
    </row>
    <row r="521" spans="3:10" x14ac:dyDescent="0.15">
      <c r="C521" s="6" t="s">
        <v>2710</v>
      </c>
      <c r="D521" s="6" t="s">
        <v>2370</v>
      </c>
      <c r="F521" s="6" t="s">
        <v>2712</v>
      </c>
      <c r="G521" s="6" t="s">
        <v>2711</v>
      </c>
      <c r="H521" s="6" t="s">
        <v>180</v>
      </c>
      <c r="I521" s="6" t="str">
        <f t="shared" si="53"/>
        <v>tmt11_128N</v>
      </c>
      <c r="J521" s="6" t="str">
        <f t="shared" si="54"/>
        <v>att_tmt_channel:tmt11_128N</v>
      </c>
    </row>
    <row r="522" spans="3:10" x14ac:dyDescent="0.15">
      <c r="C522" s="6" t="s">
        <v>2710</v>
      </c>
      <c r="D522" s="6" t="s">
        <v>2368</v>
      </c>
      <c r="F522" s="6" t="s">
        <v>2712</v>
      </c>
      <c r="G522" s="6" t="s">
        <v>2711</v>
      </c>
      <c r="H522" s="6" t="s">
        <v>180</v>
      </c>
      <c r="I522" s="6" t="str">
        <f t="shared" si="53"/>
        <v>tmt11_128C</v>
      </c>
      <c r="J522" s="6" t="str">
        <f t="shared" si="54"/>
        <v>att_tmt_channel:tmt11_128C</v>
      </c>
    </row>
    <row r="523" spans="3:10" x14ac:dyDescent="0.15">
      <c r="C523" s="6" t="s">
        <v>2710</v>
      </c>
      <c r="D523" s="6" t="s">
        <v>2374</v>
      </c>
      <c r="F523" s="6" t="s">
        <v>2712</v>
      </c>
      <c r="G523" s="6" t="s">
        <v>2711</v>
      </c>
      <c r="H523" s="6" t="s">
        <v>180</v>
      </c>
      <c r="I523" s="6" t="str">
        <f t="shared" si="53"/>
        <v>tmt11_129N</v>
      </c>
      <c r="J523" s="6" t="str">
        <f t="shared" si="54"/>
        <v>att_tmt_channel:tmt11_129N</v>
      </c>
    </row>
    <row r="524" spans="3:10" x14ac:dyDescent="0.15">
      <c r="C524" s="6" t="s">
        <v>2710</v>
      </c>
      <c r="D524" s="6" t="s">
        <v>2372</v>
      </c>
      <c r="F524" s="6" t="s">
        <v>2712</v>
      </c>
      <c r="G524" s="6" t="s">
        <v>2711</v>
      </c>
      <c r="H524" s="6" t="s">
        <v>180</v>
      </c>
      <c r="I524" s="6" t="str">
        <f t="shared" si="53"/>
        <v>tmt11_129C</v>
      </c>
      <c r="J524" s="6" t="str">
        <f t="shared" si="54"/>
        <v>att_tmt_channel:tmt11_129C</v>
      </c>
    </row>
    <row r="525" spans="3:10" x14ac:dyDescent="0.15">
      <c r="C525" s="6" t="s">
        <v>2710</v>
      </c>
      <c r="D525" s="6" t="s">
        <v>2378</v>
      </c>
      <c r="F525" s="6" t="s">
        <v>2712</v>
      </c>
      <c r="G525" s="6" t="s">
        <v>2711</v>
      </c>
      <c r="H525" s="6" t="s">
        <v>180</v>
      </c>
      <c r="I525" s="6" t="str">
        <f t="shared" si="53"/>
        <v>tmt11_130N</v>
      </c>
      <c r="J525" s="6" t="str">
        <f t="shared" si="54"/>
        <v>att_tmt_channel:tmt11_130N</v>
      </c>
    </row>
    <row r="526" spans="3:10" x14ac:dyDescent="0.15">
      <c r="C526" s="6" t="s">
        <v>2710</v>
      </c>
      <c r="D526" s="6" t="s">
        <v>2376</v>
      </c>
      <c r="F526" s="6" t="s">
        <v>2712</v>
      </c>
      <c r="G526" s="6" t="s">
        <v>2711</v>
      </c>
      <c r="H526" s="6" t="s">
        <v>180</v>
      </c>
      <c r="I526" s="6" t="str">
        <f t="shared" si="53"/>
        <v>tmt11_130C</v>
      </c>
      <c r="J526" s="6" t="str">
        <f t="shared" si="54"/>
        <v>att_tmt_channel:tmt11_130C</v>
      </c>
    </row>
    <row r="527" spans="3:10" x14ac:dyDescent="0.15">
      <c r="C527" s="6" t="s">
        <v>2710</v>
      </c>
      <c r="D527" s="6" t="s">
        <v>2392</v>
      </c>
      <c r="F527" s="6" t="s">
        <v>2712</v>
      </c>
      <c r="G527" s="6" t="s">
        <v>2711</v>
      </c>
      <c r="H527" s="6" t="s">
        <v>180</v>
      </c>
      <c r="I527" s="6" t="str">
        <f t="shared" si="53"/>
        <v>tmt11_131N</v>
      </c>
      <c r="J527" s="6" t="str">
        <f t="shared" si="54"/>
        <v>att_tmt_channel:tmt11_131N</v>
      </c>
    </row>
    <row r="528" spans="3:10" x14ac:dyDescent="0.15">
      <c r="C528" s="6" t="s">
        <v>2710</v>
      </c>
      <c r="D528" s="6" t="s">
        <v>2390</v>
      </c>
      <c r="F528" s="6" t="s">
        <v>2712</v>
      </c>
      <c r="G528" s="6" t="s">
        <v>2711</v>
      </c>
      <c r="H528" s="6" t="s">
        <v>180</v>
      </c>
      <c r="I528" s="6" t="str">
        <f t="shared" si="53"/>
        <v>tmt11_131C</v>
      </c>
      <c r="J528" s="6" t="str">
        <f t="shared" si="54"/>
        <v>att_tmt_channel:tmt11_131C</v>
      </c>
    </row>
    <row r="531" spans="3:10" x14ac:dyDescent="0.15">
      <c r="C531" s="6" t="s">
        <v>2710</v>
      </c>
      <c r="D531" s="6">
        <v>126</v>
      </c>
      <c r="F531" s="6" t="s">
        <v>2713</v>
      </c>
      <c r="G531" s="6" t="s">
        <v>2711</v>
      </c>
      <c r="H531" s="6" t="s">
        <v>180</v>
      </c>
      <c r="I531" s="6" t="str">
        <f t="shared" ref="I531:I536" si="55">"tmt6_"&amp;D531</f>
        <v>tmt6_126</v>
      </c>
      <c r="J531" s="6" t="str">
        <f t="shared" ref="J531:J536" si="56">H531&amp;":"&amp;I531</f>
        <v>att_tmt_channel:tmt6_126</v>
      </c>
    </row>
    <row r="532" spans="3:10" x14ac:dyDescent="0.15">
      <c r="C532" s="6" t="s">
        <v>2710</v>
      </c>
      <c r="D532" s="6">
        <v>127</v>
      </c>
      <c r="F532" s="6" t="s">
        <v>2713</v>
      </c>
      <c r="G532" s="6" t="s">
        <v>2711</v>
      </c>
      <c r="H532" s="6" t="s">
        <v>180</v>
      </c>
      <c r="I532" s="6" t="str">
        <f t="shared" si="55"/>
        <v>tmt6_127</v>
      </c>
      <c r="J532" s="6" t="str">
        <f t="shared" si="56"/>
        <v>att_tmt_channel:tmt6_127</v>
      </c>
    </row>
    <row r="533" spans="3:10" x14ac:dyDescent="0.15">
      <c r="C533" s="6" t="s">
        <v>2710</v>
      </c>
      <c r="D533" s="6">
        <v>128</v>
      </c>
      <c r="F533" s="6" t="s">
        <v>2713</v>
      </c>
      <c r="G533" s="6" t="s">
        <v>2711</v>
      </c>
      <c r="H533" s="6" t="s">
        <v>180</v>
      </c>
      <c r="I533" s="6" t="str">
        <f t="shared" si="55"/>
        <v>tmt6_128</v>
      </c>
      <c r="J533" s="6" t="str">
        <f t="shared" si="56"/>
        <v>att_tmt_channel:tmt6_128</v>
      </c>
    </row>
    <row r="534" spans="3:10" x14ac:dyDescent="0.15">
      <c r="C534" s="6" t="s">
        <v>2710</v>
      </c>
      <c r="D534" s="6">
        <v>129</v>
      </c>
      <c r="F534" s="6" t="s">
        <v>2713</v>
      </c>
      <c r="G534" s="6" t="s">
        <v>2711</v>
      </c>
      <c r="H534" s="6" t="s">
        <v>180</v>
      </c>
      <c r="I534" s="6" t="str">
        <f t="shared" si="55"/>
        <v>tmt6_129</v>
      </c>
      <c r="J534" s="6" t="str">
        <f t="shared" si="56"/>
        <v>att_tmt_channel:tmt6_129</v>
      </c>
    </row>
    <row r="535" spans="3:10" x14ac:dyDescent="0.15">
      <c r="C535" s="6" t="s">
        <v>2710</v>
      </c>
      <c r="D535" s="6">
        <v>130</v>
      </c>
      <c r="F535" s="6" t="s">
        <v>2713</v>
      </c>
      <c r="G535" s="6" t="s">
        <v>2711</v>
      </c>
      <c r="H535" s="6" t="s">
        <v>180</v>
      </c>
      <c r="I535" s="6" t="str">
        <f t="shared" si="55"/>
        <v>tmt6_130</v>
      </c>
      <c r="J535" s="6" t="str">
        <f t="shared" si="56"/>
        <v>att_tmt_channel:tmt6_130</v>
      </c>
    </row>
    <row r="536" spans="3:10" x14ac:dyDescent="0.15">
      <c r="C536" s="6" t="s">
        <v>2710</v>
      </c>
      <c r="D536" s="6">
        <v>131</v>
      </c>
      <c r="F536" s="6" t="s">
        <v>2713</v>
      </c>
      <c r="G536" s="6" t="s">
        <v>2711</v>
      </c>
      <c r="H536" s="6" t="s">
        <v>180</v>
      </c>
      <c r="I536" s="6" t="str">
        <f t="shared" si="55"/>
        <v>tmt6_131</v>
      </c>
      <c r="J536" s="6" t="str">
        <f t="shared" si="56"/>
        <v>att_tmt_channel:tmt6_131</v>
      </c>
    </row>
    <row r="539" spans="3:10" x14ac:dyDescent="0.15">
      <c r="C539" s="6" t="s">
        <v>2710</v>
      </c>
      <c r="D539" s="6">
        <v>126</v>
      </c>
      <c r="F539" s="6" t="s">
        <v>2714</v>
      </c>
      <c r="G539" s="6" t="s">
        <v>2711</v>
      </c>
      <c r="H539" s="6" t="s">
        <v>180</v>
      </c>
      <c r="I539" s="6" t="str">
        <f t="shared" ref="I539:I556" si="57">"tmt18_"&amp;D539</f>
        <v>tmt18_126</v>
      </c>
      <c r="J539" s="6" t="str">
        <f t="shared" ref="J539:J556" si="58">H539&amp;":"&amp;I539</f>
        <v>att_tmt_channel:tmt18_126</v>
      </c>
    </row>
    <row r="540" spans="3:10" x14ac:dyDescent="0.15">
      <c r="C540" s="6" t="s">
        <v>2710</v>
      </c>
      <c r="D540" s="6" t="s">
        <v>2366</v>
      </c>
      <c r="F540" s="6" t="s">
        <v>2714</v>
      </c>
      <c r="G540" s="6" t="s">
        <v>2711</v>
      </c>
      <c r="H540" s="6" t="s">
        <v>180</v>
      </c>
      <c r="I540" s="6" t="str">
        <f t="shared" si="57"/>
        <v>tmt18_127N</v>
      </c>
      <c r="J540" s="6" t="str">
        <f t="shared" si="58"/>
        <v>att_tmt_channel:tmt18_127N</v>
      </c>
    </row>
    <row r="541" spans="3:10" x14ac:dyDescent="0.15">
      <c r="C541" s="6" t="s">
        <v>2710</v>
      </c>
      <c r="D541" s="6" t="s">
        <v>2364</v>
      </c>
      <c r="F541" s="6" t="s">
        <v>2714</v>
      </c>
      <c r="G541" s="6" t="s">
        <v>2711</v>
      </c>
      <c r="H541" s="6" t="s">
        <v>180</v>
      </c>
      <c r="I541" s="6" t="str">
        <f t="shared" si="57"/>
        <v>tmt18_127C</v>
      </c>
      <c r="J541" s="6" t="str">
        <f t="shared" si="58"/>
        <v>att_tmt_channel:tmt18_127C</v>
      </c>
    </row>
    <row r="542" spans="3:10" x14ac:dyDescent="0.15">
      <c r="C542" s="6" t="s">
        <v>2710</v>
      </c>
      <c r="D542" s="6" t="s">
        <v>2370</v>
      </c>
      <c r="F542" s="6" t="s">
        <v>2714</v>
      </c>
      <c r="G542" s="6" t="s">
        <v>2711</v>
      </c>
      <c r="H542" s="6" t="s">
        <v>180</v>
      </c>
      <c r="I542" s="6" t="str">
        <f t="shared" si="57"/>
        <v>tmt18_128N</v>
      </c>
      <c r="J542" s="6" t="str">
        <f t="shared" si="58"/>
        <v>att_tmt_channel:tmt18_128N</v>
      </c>
    </row>
    <row r="543" spans="3:10" x14ac:dyDescent="0.15">
      <c r="C543" s="6" t="s">
        <v>2710</v>
      </c>
      <c r="D543" s="6" t="s">
        <v>2368</v>
      </c>
      <c r="F543" s="6" t="s">
        <v>2714</v>
      </c>
      <c r="G543" s="6" t="s">
        <v>2711</v>
      </c>
      <c r="H543" s="6" t="s">
        <v>180</v>
      </c>
      <c r="I543" s="6" t="str">
        <f t="shared" si="57"/>
        <v>tmt18_128C</v>
      </c>
      <c r="J543" s="6" t="str">
        <f t="shared" si="58"/>
        <v>att_tmt_channel:tmt18_128C</v>
      </c>
    </row>
    <row r="544" spans="3:10" x14ac:dyDescent="0.15">
      <c r="C544" s="6" t="s">
        <v>2710</v>
      </c>
      <c r="D544" s="6" t="s">
        <v>2374</v>
      </c>
      <c r="F544" s="6" t="s">
        <v>2714</v>
      </c>
      <c r="G544" s="6" t="s">
        <v>2711</v>
      </c>
      <c r="H544" s="6" t="s">
        <v>180</v>
      </c>
      <c r="I544" s="6" t="str">
        <f t="shared" si="57"/>
        <v>tmt18_129N</v>
      </c>
      <c r="J544" s="6" t="str">
        <f t="shared" si="58"/>
        <v>att_tmt_channel:tmt18_129N</v>
      </c>
    </row>
    <row r="545" spans="3:10" x14ac:dyDescent="0.15">
      <c r="C545" s="6" t="s">
        <v>2710</v>
      </c>
      <c r="D545" s="6" t="s">
        <v>2372</v>
      </c>
      <c r="F545" s="6" t="s">
        <v>2714</v>
      </c>
      <c r="G545" s="6" t="s">
        <v>2711</v>
      </c>
      <c r="H545" s="6" t="s">
        <v>180</v>
      </c>
      <c r="I545" s="6" t="str">
        <f t="shared" si="57"/>
        <v>tmt18_129C</v>
      </c>
      <c r="J545" s="6" t="str">
        <f t="shared" si="58"/>
        <v>att_tmt_channel:tmt18_129C</v>
      </c>
    </row>
    <row r="546" spans="3:10" x14ac:dyDescent="0.15">
      <c r="C546" s="6" t="s">
        <v>2710</v>
      </c>
      <c r="D546" s="6" t="s">
        <v>2378</v>
      </c>
      <c r="F546" s="6" t="s">
        <v>2714</v>
      </c>
      <c r="G546" s="6" t="s">
        <v>2711</v>
      </c>
      <c r="H546" s="6" t="s">
        <v>180</v>
      </c>
      <c r="I546" s="6" t="str">
        <f t="shared" si="57"/>
        <v>tmt18_130N</v>
      </c>
      <c r="J546" s="6" t="str">
        <f t="shared" si="58"/>
        <v>att_tmt_channel:tmt18_130N</v>
      </c>
    </row>
    <row r="547" spans="3:10" x14ac:dyDescent="0.15">
      <c r="C547" s="6" t="s">
        <v>2710</v>
      </c>
      <c r="D547" s="6" t="s">
        <v>2376</v>
      </c>
      <c r="F547" s="6" t="s">
        <v>2714</v>
      </c>
      <c r="G547" s="6" t="s">
        <v>2711</v>
      </c>
      <c r="H547" s="6" t="s">
        <v>180</v>
      </c>
      <c r="I547" s="6" t="str">
        <f t="shared" si="57"/>
        <v>tmt18_130C</v>
      </c>
      <c r="J547" s="6" t="str">
        <f t="shared" si="58"/>
        <v>att_tmt_channel:tmt18_130C</v>
      </c>
    </row>
    <row r="548" spans="3:10" x14ac:dyDescent="0.15">
      <c r="C548" s="6" t="s">
        <v>2710</v>
      </c>
      <c r="D548" s="6" t="s">
        <v>2392</v>
      </c>
      <c r="F548" s="6" t="s">
        <v>2714</v>
      </c>
      <c r="G548" s="6" t="s">
        <v>2711</v>
      </c>
      <c r="H548" s="6" t="s">
        <v>180</v>
      </c>
      <c r="I548" s="6" t="str">
        <f t="shared" si="57"/>
        <v>tmt18_131N</v>
      </c>
      <c r="J548" s="6" t="str">
        <f t="shared" si="58"/>
        <v>att_tmt_channel:tmt18_131N</v>
      </c>
    </row>
    <row r="549" spans="3:10" x14ac:dyDescent="0.15">
      <c r="C549" s="6" t="s">
        <v>2710</v>
      </c>
      <c r="D549" s="6" t="s">
        <v>2390</v>
      </c>
      <c r="F549" s="6" t="s">
        <v>2714</v>
      </c>
      <c r="G549" s="6" t="s">
        <v>2711</v>
      </c>
      <c r="H549" s="6" t="s">
        <v>180</v>
      </c>
      <c r="I549" s="6" t="str">
        <f t="shared" si="57"/>
        <v>tmt18_131C</v>
      </c>
      <c r="J549" s="6" t="str">
        <f t="shared" si="58"/>
        <v>att_tmt_channel:tmt18_131C</v>
      </c>
    </row>
    <row r="550" spans="3:10" x14ac:dyDescent="0.15">
      <c r="C550" s="6" t="s">
        <v>2710</v>
      </c>
      <c r="D550" s="6" t="s">
        <v>2407</v>
      </c>
      <c r="F550" s="6" t="s">
        <v>2714</v>
      </c>
      <c r="G550" s="6" t="s">
        <v>2711</v>
      </c>
      <c r="H550" s="6" t="s">
        <v>180</v>
      </c>
      <c r="I550" s="6" t="str">
        <f t="shared" si="57"/>
        <v>tmt18_132N</v>
      </c>
      <c r="J550" s="6" t="str">
        <f t="shared" si="58"/>
        <v>att_tmt_channel:tmt18_132N</v>
      </c>
    </row>
    <row r="551" spans="3:10" x14ac:dyDescent="0.15">
      <c r="C551" s="6" t="s">
        <v>2710</v>
      </c>
      <c r="D551" s="6" t="s">
        <v>2405</v>
      </c>
      <c r="F551" s="6" t="s">
        <v>2714</v>
      </c>
      <c r="G551" s="6" t="s">
        <v>2711</v>
      </c>
      <c r="H551" s="6" t="s">
        <v>180</v>
      </c>
      <c r="I551" s="6" t="str">
        <f t="shared" si="57"/>
        <v>tmt18_132C</v>
      </c>
      <c r="J551" s="6" t="str">
        <f t="shared" si="58"/>
        <v>att_tmt_channel:tmt18_132C</v>
      </c>
    </row>
    <row r="552" spans="3:10" x14ac:dyDescent="0.15">
      <c r="C552" s="6" t="s">
        <v>2710</v>
      </c>
      <c r="D552" s="6" t="s">
        <v>2411</v>
      </c>
      <c r="F552" s="6" t="s">
        <v>2714</v>
      </c>
      <c r="G552" s="6" t="s">
        <v>2711</v>
      </c>
      <c r="H552" s="6" t="s">
        <v>180</v>
      </c>
      <c r="I552" s="6" t="str">
        <f t="shared" si="57"/>
        <v>tmt18_133N</v>
      </c>
      <c r="J552" s="6" t="str">
        <f t="shared" si="58"/>
        <v>att_tmt_channel:tmt18_133N</v>
      </c>
    </row>
    <row r="553" spans="3:10" x14ac:dyDescent="0.15">
      <c r="C553" s="6" t="s">
        <v>2710</v>
      </c>
      <c r="D553" s="6" t="s">
        <v>2409</v>
      </c>
      <c r="F553" s="6" t="s">
        <v>2714</v>
      </c>
      <c r="G553" s="6" t="s">
        <v>2711</v>
      </c>
      <c r="H553" s="6" t="s">
        <v>180</v>
      </c>
      <c r="I553" s="6" t="str">
        <f t="shared" si="57"/>
        <v>tmt18_133C</v>
      </c>
      <c r="J553" s="6" t="str">
        <f t="shared" si="58"/>
        <v>att_tmt_channel:tmt18_133C</v>
      </c>
    </row>
    <row r="554" spans="3:10" x14ac:dyDescent="0.15">
      <c r="C554" s="6" t="s">
        <v>2710</v>
      </c>
      <c r="D554" s="6" t="s">
        <v>2415</v>
      </c>
      <c r="F554" s="6" t="s">
        <v>2714</v>
      </c>
      <c r="G554" s="6" t="s">
        <v>2711</v>
      </c>
      <c r="H554" s="6" t="s">
        <v>180</v>
      </c>
      <c r="I554" s="6" t="str">
        <f t="shared" si="57"/>
        <v>tmt18_134N</v>
      </c>
      <c r="J554" s="6" t="str">
        <f t="shared" si="58"/>
        <v>att_tmt_channel:tmt18_134N</v>
      </c>
    </row>
    <row r="555" spans="3:10" x14ac:dyDescent="0.15">
      <c r="C555" s="6" t="s">
        <v>2710</v>
      </c>
      <c r="D555" s="6" t="s">
        <v>2413</v>
      </c>
      <c r="F555" s="6" t="s">
        <v>2714</v>
      </c>
      <c r="G555" s="6" t="s">
        <v>2711</v>
      </c>
      <c r="H555" s="6" t="s">
        <v>180</v>
      </c>
      <c r="I555" s="6" t="str">
        <f t="shared" si="57"/>
        <v>tmt18_134C</v>
      </c>
      <c r="J555" s="6" t="str">
        <f t="shared" si="58"/>
        <v>att_tmt_channel:tmt18_134C</v>
      </c>
    </row>
    <row r="556" spans="3:10" x14ac:dyDescent="0.15">
      <c r="C556" s="6" t="s">
        <v>2710</v>
      </c>
      <c r="D556" s="6" t="s">
        <v>2417</v>
      </c>
      <c r="F556" s="6" t="s">
        <v>2714</v>
      </c>
      <c r="G556" s="6" t="s">
        <v>2711</v>
      </c>
      <c r="H556" s="6" t="s">
        <v>180</v>
      </c>
      <c r="I556" s="6" t="str">
        <f t="shared" si="57"/>
        <v>tmt18_135N</v>
      </c>
      <c r="J556" s="6" t="str">
        <f t="shared" si="58"/>
        <v>att_tmt_channel:tmt18_135N</v>
      </c>
    </row>
    <row r="562" spans="3:10" x14ac:dyDescent="0.15">
      <c r="C562" s="6" t="s">
        <v>2715</v>
      </c>
      <c r="D562" s="6" t="s">
        <v>2437</v>
      </c>
      <c r="F562" s="6" t="s">
        <v>2716</v>
      </c>
      <c r="G562" s="6" t="s">
        <v>2717</v>
      </c>
      <c r="H562" s="6" t="s">
        <v>2718</v>
      </c>
      <c r="I562" s="6" t="s">
        <v>2436</v>
      </c>
      <c r="J562" s="6" t="str">
        <f>H562&amp;":"&amp;I562</f>
        <v>att_user_group:mitoprotea</v>
      </c>
    </row>
    <row r="563" spans="3:10" x14ac:dyDescent="0.15">
      <c r="C563" s="6" t="s">
        <v>2715</v>
      </c>
      <c r="D563" s="6" t="s">
        <v>2440</v>
      </c>
      <c r="F563" s="6" t="s">
        <v>2716</v>
      </c>
      <c r="G563" s="6" t="s">
        <v>2717</v>
      </c>
      <c r="H563" s="6" t="s">
        <v>2718</v>
      </c>
      <c r="I563" s="6" t="s">
        <v>2439</v>
      </c>
      <c r="J563" s="6" t="str">
        <f>H563&amp;":"&amp;I563</f>
        <v>att_user_group:molageing</v>
      </c>
    </row>
    <row r="566" spans="3:10" x14ac:dyDescent="0.15">
      <c r="C566" s="6" t="s">
        <v>2719</v>
      </c>
      <c r="D566" s="6" t="s">
        <v>2431</v>
      </c>
      <c r="F566" s="6" t="s">
        <v>188</v>
      </c>
      <c r="G566" s="6" t="s">
        <v>2720</v>
      </c>
      <c r="H566" s="6" t="s">
        <v>187</v>
      </c>
      <c r="I566" s="6" t="s">
        <v>2430</v>
      </c>
      <c r="J566" s="6" t="str">
        <f>H566&amp;":"&amp;I566</f>
        <v>att_user_institute:mpiage</v>
      </c>
    </row>
    <row r="567" spans="3:10" x14ac:dyDescent="0.15">
      <c r="C567" s="6" t="s">
        <v>2719</v>
      </c>
      <c r="D567" s="6" t="s">
        <v>2428</v>
      </c>
      <c r="F567" s="6" t="s">
        <v>188</v>
      </c>
      <c r="G567" s="6" t="s">
        <v>2720</v>
      </c>
      <c r="H567" s="6" t="s">
        <v>187</v>
      </c>
      <c r="I567" s="6" t="s">
        <v>2427</v>
      </c>
      <c r="J567" s="6" t="str">
        <f>H567&amp;":"&amp;I567</f>
        <v>att_user_institute:cecad</v>
      </c>
    </row>
    <row r="568" spans="3:10" x14ac:dyDescent="0.15">
      <c r="C568" s="6" t="s">
        <v>2719</v>
      </c>
      <c r="D568" s="6" t="s">
        <v>2434</v>
      </c>
      <c r="F568" s="6" t="s">
        <v>188</v>
      </c>
      <c r="G568" s="6" t="s">
        <v>2720</v>
      </c>
      <c r="H568" s="6" t="s">
        <v>187</v>
      </c>
      <c r="I568" s="6" t="s">
        <v>2433</v>
      </c>
      <c r="J568" s="6" t="str">
        <f>H568&amp;":"&amp;I568</f>
        <v>att_user_institute:mpimetab</v>
      </c>
    </row>
    <row r="569" spans="3:10" x14ac:dyDescent="0.15">
      <c r="C569" s="6" t="s">
        <v>2719</v>
      </c>
      <c r="D569" s="6" t="s">
        <v>2425</v>
      </c>
      <c r="F569" s="6" t="s">
        <v>188</v>
      </c>
      <c r="G569" s="6" t="s">
        <v>2720</v>
      </c>
      <c r="H569" s="6" t="s">
        <v>187</v>
      </c>
      <c r="I569" s="6" t="s">
        <v>2424</v>
      </c>
      <c r="J569" s="6" t="str">
        <f>H569&amp;":"&amp;I569</f>
        <v>att_user_institute:biochem</v>
      </c>
    </row>
  </sheetData>
  <autoFilter ref="A1:O365" xr:uid="{00000000-0009-0000-0000-000002000000}"/>
  <conditionalFormatting sqref="C2:C321 I175:I177 I320 C323:C335 C365">
    <cfRule type="cellIs" dxfId="1" priority="2" operator="equal">
      <formula>INDIRECT(ADDRESS(ROW()-1,COLUMN()))</formula>
    </cfRule>
  </conditionalFormatting>
  <conditionalFormatting sqref="C439">
    <cfRule type="cellIs" dxfId="0" priority="3" operator="equal">
      <formula>INDIRECT(ADDRESS(ROW()-1,COLUMN()))</formula>
    </cfRule>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2"/>
  <sheetViews>
    <sheetView zoomScaleNormal="100" workbookViewId="0">
      <selection activeCell="E30" sqref="E30"/>
    </sheetView>
  </sheetViews>
  <sheetFormatPr baseColWidth="10" defaultColWidth="10.6640625" defaultRowHeight="13" x14ac:dyDescent="0.15"/>
  <sheetData>
    <row r="1" spans="1:2" x14ac:dyDescent="0.15">
      <c r="B1" t="s">
        <v>2721</v>
      </c>
    </row>
    <row r="3" spans="1:2" x14ac:dyDescent="0.15">
      <c r="A3">
        <v>-2</v>
      </c>
      <c r="B3" t="s">
        <v>2722</v>
      </c>
    </row>
    <row r="4" spans="1:2" x14ac:dyDescent="0.15">
      <c r="A4">
        <v>-1</v>
      </c>
      <c r="B4" t="s">
        <v>2723</v>
      </c>
    </row>
    <row r="5" spans="1:2" x14ac:dyDescent="0.15">
      <c r="A5">
        <v>0</v>
      </c>
      <c r="B5" t="s">
        <v>2724</v>
      </c>
    </row>
    <row r="6" spans="1:2" x14ac:dyDescent="0.15">
      <c r="A6">
        <v>1</v>
      </c>
      <c r="B6" t="s">
        <v>2725</v>
      </c>
    </row>
    <row r="7" spans="1:2" x14ac:dyDescent="0.15">
      <c r="A7">
        <v>2</v>
      </c>
      <c r="B7" t="s">
        <v>2726</v>
      </c>
    </row>
    <row r="8" spans="1:2" x14ac:dyDescent="0.15">
      <c r="A8">
        <v>3</v>
      </c>
      <c r="B8" t="s">
        <v>2727</v>
      </c>
    </row>
    <row r="9" spans="1:2" x14ac:dyDescent="0.15">
      <c r="A9">
        <v>4</v>
      </c>
      <c r="B9" t="s">
        <v>2728</v>
      </c>
    </row>
    <row r="10" spans="1:2" x14ac:dyDescent="0.15">
      <c r="A10">
        <v>5</v>
      </c>
      <c r="B10" t="s">
        <v>2729</v>
      </c>
    </row>
    <row r="12" spans="1:2" x14ac:dyDescent="0.15">
      <c r="B12" t="s">
        <v>2730</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7825</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attributes</vt:lpstr>
      <vt:lpstr>attribute_values</vt:lpstr>
      <vt:lpstr>Sheet4</vt:lpstr>
      <vt:lpstr>Sheet3</vt:lpstr>
      <vt:lpstr>Sheet1</vt:lpstr>
      <vt:lpstr>attribute_values_ar</vt:lpstr>
      <vt:lpstr>STATES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Hendrik Nolte</cp:lastModifiedBy>
  <cp:revision>26</cp:revision>
  <dcterms:created xsi:type="dcterms:W3CDTF">2023-10-25T11:07:02Z</dcterms:created>
  <dcterms:modified xsi:type="dcterms:W3CDTF">2025-06-25T08:13:03Z</dcterms:modified>
  <dc:language>en-GB</dc:language>
</cp:coreProperties>
</file>