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515E1F5C-051B-3B49-A2D2-68320B84AAAF}" xr6:coauthVersionLast="47" xr6:coauthVersionMax="47" xr10:uidLastSave="{00000000-0000-0000-0000-000000000000}"/>
  <bookViews>
    <workbookView xWindow="4380" yWindow="2380" windowWidth="35840" windowHeight="1962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attributes!$A$1:$AMF$128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S135" i="1" l="1"/>
  <c r="W109" i="1"/>
  <c r="V109" i="1"/>
  <c r="T109" i="1"/>
  <c r="S109" i="1"/>
  <c r="Z108" i="1"/>
  <c r="Y108" i="1"/>
  <c r="X108" i="1"/>
  <c r="W108" i="1"/>
  <c r="V108" i="1"/>
  <c r="T108" i="1"/>
  <c r="S108" i="1" s="1"/>
  <c r="Z105" i="1"/>
  <c r="Y105" i="1"/>
  <c r="X105" i="1"/>
  <c r="S105" i="1" s="1"/>
  <c r="W105" i="1"/>
  <c r="V105" i="1"/>
  <c r="T105" i="1"/>
  <c r="Z107" i="1"/>
  <c r="Y107" i="1"/>
  <c r="X107" i="1"/>
  <c r="W107" i="1"/>
  <c r="V107" i="1"/>
  <c r="T107" i="1"/>
  <c r="Z106" i="1"/>
  <c r="Y106" i="1"/>
  <c r="X106" i="1"/>
  <c r="W106" i="1"/>
  <c r="S106" i="1" s="1"/>
  <c r="V106" i="1"/>
  <c r="T106" i="1"/>
  <c r="Z104" i="1"/>
  <c r="Y104" i="1"/>
  <c r="X104" i="1"/>
  <c r="W104" i="1"/>
  <c r="V104" i="1"/>
  <c r="T104" i="1"/>
  <c r="S104" i="1"/>
  <c r="Z103" i="1"/>
  <c r="Y103" i="1"/>
  <c r="X103" i="1"/>
  <c r="W103" i="1"/>
  <c r="V103" i="1"/>
  <c r="T103" i="1"/>
  <c r="T18" i="1"/>
  <c r="U18" i="1"/>
  <c r="V18" i="1"/>
  <c r="W18" i="1"/>
  <c r="X18" i="1"/>
  <c r="Y18" i="1"/>
  <c r="Z18" i="1"/>
  <c r="T19" i="1"/>
  <c r="U19" i="1"/>
  <c r="V19" i="1"/>
  <c r="W19" i="1"/>
  <c r="X19" i="1"/>
  <c r="Y19" i="1"/>
  <c r="Z19" i="1"/>
  <c r="T20" i="1"/>
  <c r="U20" i="1"/>
  <c r="V20" i="1"/>
  <c r="W20" i="1"/>
  <c r="X20" i="1"/>
  <c r="Y20" i="1"/>
  <c r="Z20" i="1"/>
  <c r="T21" i="1"/>
  <c r="U21" i="1"/>
  <c r="V21" i="1"/>
  <c r="W21" i="1"/>
  <c r="X21" i="1"/>
  <c r="Y21" i="1"/>
  <c r="Z21" i="1"/>
  <c r="T22" i="1"/>
  <c r="U22" i="1"/>
  <c r="V22" i="1"/>
  <c r="W22" i="1"/>
  <c r="X22" i="1"/>
  <c r="Y22" i="1"/>
  <c r="Z22" i="1"/>
  <c r="T23" i="1"/>
  <c r="U23" i="1"/>
  <c r="V23" i="1"/>
  <c r="W23" i="1"/>
  <c r="X23" i="1"/>
  <c r="Y23" i="1"/>
  <c r="Z23" i="1"/>
  <c r="T24" i="1"/>
  <c r="U24" i="1"/>
  <c r="V24" i="1"/>
  <c r="W24" i="1"/>
  <c r="X24" i="1"/>
  <c r="Y24" i="1"/>
  <c r="Z24" i="1"/>
  <c r="T25" i="1"/>
  <c r="U25" i="1"/>
  <c r="V25" i="1"/>
  <c r="W25" i="1"/>
  <c r="X25" i="1"/>
  <c r="Y25" i="1"/>
  <c r="Z25" i="1"/>
  <c r="T26" i="1"/>
  <c r="U26" i="1"/>
  <c r="V26" i="1"/>
  <c r="W26" i="1"/>
  <c r="X26" i="1"/>
  <c r="Y26" i="1"/>
  <c r="Z26" i="1"/>
  <c r="T27" i="1"/>
  <c r="U27" i="1"/>
  <c r="V27" i="1"/>
  <c r="W27" i="1"/>
  <c r="X27" i="1"/>
  <c r="Y27" i="1"/>
  <c r="Z27" i="1"/>
  <c r="T28" i="1"/>
  <c r="U28" i="1"/>
  <c r="V28" i="1"/>
  <c r="W28" i="1"/>
  <c r="X28" i="1"/>
  <c r="Y28" i="1"/>
  <c r="Z28" i="1"/>
  <c r="T102" i="1"/>
  <c r="V102" i="1"/>
  <c r="W102" i="1"/>
  <c r="X102" i="1"/>
  <c r="Y102" i="1"/>
  <c r="Z102" i="1"/>
  <c r="W128" i="1"/>
  <c r="W129" i="1"/>
  <c r="W113" i="1"/>
  <c r="W54" i="1"/>
  <c r="W55" i="1"/>
  <c r="W6" i="1"/>
  <c r="W56" i="1"/>
  <c r="W57" i="1"/>
  <c r="W58" i="1"/>
  <c r="W59" i="1"/>
  <c r="W60" i="1"/>
  <c r="W61" i="1"/>
  <c r="W122" i="1"/>
  <c r="W123" i="1"/>
  <c r="W66" i="1"/>
  <c r="W114" i="1"/>
  <c r="W7" i="1"/>
  <c r="W37" i="1"/>
  <c r="W38" i="1"/>
  <c r="W79" i="1"/>
  <c r="W80" i="1"/>
  <c r="W81" i="1"/>
  <c r="W82" i="1"/>
  <c r="W83" i="1"/>
  <c r="W62" i="1"/>
  <c r="W97" i="1"/>
  <c r="W84" i="1"/>
  <c r="W85" i="1"/>
  <c r="W118" i="1"/>
  <c r="W63" i="1"/>
  <c r="W115" i="1"/>
  <c r="W32" i="1"/>
  <c r="W33" i="1"/>
  <c r="W124" i="1"/>
  <c r="W130" i="1"/>
  <c r="W131" i="1"/>
  <c r="W132" i="1"/>
  <c r="W133" i="1"/>
  <c r="W64" i="1"/>
  <c r="W92" i="1"/>
  <c r="W86" i="1"/>
  <c r="W87" i="1"/>
  <c r="W88" i="1"/>
  <c r="W89" i="1"/>
  <c r="W116" i="1"/>
  <c r="W65" i="1"/>
  <c r="W8" i="1"/>
  <c r="W9" i="1"/>
  <c r="W10" i="1"/>
  <c r="W11" i="1"/>
  <c r="W12" i="1"/>
  <c r="W13" i="1"/>
  <c r="W14" i="1"/>
  <c r="W15" i="1"/>
  <c r="W16" i="1"/>
  <c r="W17" i="1"/>
  <c r="Z99" i="1"/>
  <c r="Z100" i="1"/>
  <c r="Z101" i="1"/>
  <c r="Z68" i="1"/>
  <c r="Z69" i="1"/>
  <c r="Z125" i="1"/>
  <c r="Z93" i="1"/>
  <c r="Z117" i="1"/>
  <c r="Z29" i="1"/>
  <c r="Z70" i="1"/>
  <c r="Z71" i="1"/>
  <c r="Z30" i="1"/>
  <c r="Z119" i="1"/>
  <c r="Z72" i="1"/>
  <c r="Z73" i="1"/>
  <c r="Z39" i="1"/>
  <c r="Z2" i="1"/>
  <c r="Z74" i="1"/>
  <c r="Z75" i="1"/>
  <c r="Z94" i="1"/>
  <c r="Z3" i="1"/>
  <c r="Z76" i="1"/>
  <c r="Z34" i="1"/>
  <c r="Z40" i="1"/>
  <c r="Z41" i="1"/>
  <c r="Z95" i="1"/>
  <c r="Z42" i="1"/>
  <c r="Z43" i="1"/>
  <c r="Z4" i="1"/>
  <c r="Z44" i="1"/>
  <c r="Z120" i="1"/>
  <c r="Z5" i="1"/>
  <c r="Z31" i="1"/>
  <c r="Z126" i="1"/>
  <c r="Z45" i="1"/>
  <c r="Z77" i="1"/>
  <c r="Z46" i="1"/>
  <c r="Z110" i="1"/>
  <c r="Z127" i="1"/>
  <c r="Z112" i="1"/>
  <c r="Z35" i="1"/>
  <c r="Z96" i="1"/>
  <c r="Z90" i="1"/>
  <c r="Z91" i="1"/>
  <c r="Z47" i="1"/>
  <c r="Z67" i="1"/>
  <c r="Z48" i="1"/>
  <c r="Z78" i="1"/>
  <c r="Z49" i="1"/>
  <c r="Z50" i="1"/>
  <c r="Z111" i="1"/>
  <c r="Z51" i="1"/>
  <c r="Z52" i="1"/>
  <c r="Z53" i="1"/>
  <c r="Z121" i="1"/>
  <c r="Z36" i="1"/>
  <c r="Z128" i="1"/>
  <c r="Z129" i="1"/>
  <c r="Z113" i="1"/>
  <c r="Z54" i="1"/>
  <c r="Z55" i="1"/>
  <c r="Z6" i="1"/>
  <c r="Z56" i="1"/>
  <c r="Z57" i="1"/>
  <c r="Z58" i="1"/>
  <c r="Z59" i="1"/>
  <c r="Z60" i="1"/>
  <c r="Z61" i="1"/>
  <c r="Z122" i="1"/>
  <c r="Z123" i="1"/>
  <c r="Z66" i="1"/>
  <c r="Z114" i="1"/>
  <c r="Z7" i="1"/>
  <c r="Z37" i="1"/>
  <c r="Z38" i="1"/>
  <c r="Z79" i="1"/>
  <c r="Z80" i="1"/>
  <c r="Z81" i="1"/>
  <c r="Z82" i="1"/>
  <c r="Z83" i="1"/>
  <c r="Z62" i="1"/>
  <c r="Z97" i="1"/>
  <c r="Z84" i="1"/>
  <c r="Z85" i="1"/>
  <c r="Z118" i="1"/>
  <c r="Z63" i="1"/>
  <c r="Z115" i="1"/>
  <c r="Z32" i="1"/>
  <c r="Z33" i="1"/>
  <c r="Z124" i="1"/>
  <c r="Z130" i="1"/>
  <c r="Z131" i="1"/>
  <c r="Z132" i="1"/>
  <c r="Z133" i="1"/>
  <c r="Z64" i="1"/>
  <c r="Z92" i="1"/>
  <c r="Z86" i="1"/>
  <c r="Z87" i="1"/>
  <c r="Z88" i="1"/>
  <c r="Z89" i="1"/>
  <c r="Z116" i="1"/>
  <c r="Z65" i="1"/>
  <c r="Z8" i="1"/>
  <c r="Z9" i="1"/>
  <c r="Z10" i="1"/>
  <c r="Z11" i="1"/>
  <c r="Z12" i="1"/>
  <c r="Z13" i="1"/>
  <c r="Z14" i="1"/>
  <c r="Z15" i="1"/>
  <c r="Z16" i="1"/>
  <c r="Z17" i="1"/>
  <c r="Y99" i="1"/>
  <c r="Y100" i="1"/>
  <c r="Y101" i="1"/>
  <c r="Y68" i="1"/>
  <c r="Y69" i="1"/>
  <c r="Y125" i="1"/>
  <c r="Y93" i="1"/>
  <c r="Y117" i="1"/>
  <c r="Y29" i="1"/>
  <c r="Y70" i="1"/>
  <c r="Y71" i="1"/>
  <c r="Y30" i="1"/>
  <c r="Y119" i="1"/>
  <c r="Y72" i="1"/>
  <c r="Y73" i="1"/>
  <c r="Y39" i="1"/>
  <c r="Y2" i="1"/>
  <c r="Y74" i="1"/>
  <c r="Y75" i="1"/>
  <c r="Y94" i="1"/>
  <c r="Y3" i="1"/>
  <c r="Y76" i="1"/>
  <c r="Y34" i="1"/>
  <c r="Y40" i="1"/>
  <c r="Y41" i="1"/>
  <c r="Y95" i="1"/>
  <c r="Y42" i="1"/>
  <c r="Y43" i="1"/>
  <c r="Y4" i="1"/>
  <c r="Y44" i="1"/>
  <c r="Y120" i="1"/>
  <c r="Y5" i="1"/>
  <c r="Y31" i="1"/>
  <c r="Y126" i="1"/>
  <c r="Y134" i="1"/>
  <c r="Y45" i="1"/>
  <c r="Y77" i="1"/>
  <c r="Y46" i="1"/>
  <c r="Y110" i="1"/>
  <c r="Y127" i="1"/>
  <c r="Y112" i="1"/>
  <c r="Y35" i="1"/>
  <c r="Y96" i="1"/>
  <c r="Y90" i="1"/>
  <c r="Y91" i="1"/>
  <c r="Y47" i="1"/>
  <c r="Y67" i="1"/>
  <c r="Y48" i="1"/>
  <c r="Y78" i="1"/>
  <c r="Y49" i="1"/>
  <c r="Y50" i="1"/>
  <c r="Y111" i="1"/>
  <c r="Y51" i="1"/>
  <c r="Y52" i="1"/>
  <c r="Y53" i="1"/>
  <c r="Y121" i="1"/>
  <c r="Y36" i="1"/>
  <c r="Y128" i="1"/>
  <c r="Y129" i="1"/>
  <c r="Y113" i="1"/>
  <c r="Y54" i="1"/>
  <c r="Y55" i="1"/>
  <c r="Y6" i="1"/>
  <c r="Y56" i="1"/>
  <c r="Y57" i="1"/>
  <c r="Y58" i="1"/>
  <c r="Y59" i="1"/>
  <c r="Y60" i="1"/>
  <c r="Y61" i="1"/>
  <c r="Y122" i="1"/>
  <c r="Y123" i="1"/>
  <c r="Y66" i="1"/>
  <c r="Y114" i="1"/>
  <c r="Y7" i="1"/>
  <c r="Y37" i="1"/>
  <c r="Y38" i="1"/>
  <c r="Y79" i="1"/>
  <c r="Y80" i="1"/>
  <c r="Y81" i="1"/>
  <c r="Y82" i="1"/>
  <c r="Y83" i="1"/>
  <c r="Y62" i="1"/>
  <c r="Y97" i="1"/>
  <c r="Y84" i="1"/>
  <c r="Y85" i="1"/>
  <c r="Y118" i="1"/>
  <c r="Y63" i="1"/>
  <c r="Y115" i="1"/>
  <c r="Y32" i="1"/>
  <c r="Y33" i="1"/>
  <c r="Y124" i="1"/>
  <c r="Y130" i="1"/>
  <c r="Y131" i="1"/>
  <c r="Y132" i="1"/>
  <c r="Y133" i="1"/>
  <c r="Y64" i="1"/>
  <c r="Y92" i="1"/>
  <c r="Y86" i="1"/>
  <c r="Y87" i="1"/>
  <c r="Y88" i="1"/>
  <c r="Y89" i="1"/>
  <c r="Y116" i="1"/>
  <c r="Y65" i="1"/>
  <c r="Y8" i="1"/>
  <c r="Y9" i="1"/>
  <c r="Y10" i="1"/>
  <c r="Y11" i="1"/>
  <c r="Y12" i="1"/>
  <c r="Y13" i="1"/>
  <c r="Y14" i="1"/>
  <c r="Y15" i="1"/>
  <c r="Y16" i="1"/>
  <c r="Y17" i="1"/>
  <c r="X99" i="1"/>
  <c r="X100" i="1"/>
  <c r="X101" i="1"/>
  <c r="X68" i="1"/>
  <c r="X69" i="1"/>
  <c r="X125" i="1"/>
  <c r="X93" i="1"/>
  <c r="X117" i="1"/>
  <c r="X29" i="1"/>
  <c r="X70" i="1"/>
  <c r="X71" i="1"/>
  <c r="X30" i="1"/>
  <c r="X119" i="1"/>
  <c r="X72" i="1"/>
  <c r="X73" i="1"/>
  <c r="X39" i="1"/>
  <c r="X2" i="1"/>
  <c r="X74" i="1"/>
  <c r="X75" i="1"/>
  <c r="X94" i="1"/>
  <c r="X3" i="1"/>
  <c r="X76" i="1"/>
  <c r="X34" i="1"/>
  <c r="X40" i="1"/>
  <c r="X41" i="1"/>
  <c r="X95" i="1"/>
  <c r="X42" i="1"/>
  <c r="X43" i="1"/>
  <c r="X4" i="1"/>
  <c r="X44" i="1"/>
  <c r="X120" i="1"/>
  <c r="X5" i="1"/>
  <c r="X31" i="1"/>
  <c r="X126" i="1"/>
  <c r="X134" i="1"/>
  <c r="X45" i="1"/>
  <c r="X77" i="1"/>
  <c r="X46" i="1"/>
  <c r="X110" i="1"/>
  <c r="X127" i="1"/>
  <c r="X112" i="1"/>
  <c r="X35" i="1"/>
  <c r="X96" i="1"/>
  <c r="X90" i="1"/>
  <c r="X91" i="1"/>
  <c r="X47" i="1"/>
  <c r="X67" i="1"/>
  <c r="X48" i="1"/>
  <c r="X78" i="1"/>
  <c r="X49" i="1"/>
  <c r="X50" i="1"/>
  <c r="X111" i="1"/>
  <c r="X51" i="1"/>
  <c r="X52" i="1"/>
  <c r="X53" i="1"/>
  <c r="X121" i="1"/>
  <c r="X36" i="1"/>
  <c r="X128" i="1"/>
  <c r="X129" i="1"/>
  <c r="X113" i="1"/>
  <c r="X54" i="1"/>
  <c r="X55" i="1"/>
  <c r="X6" i="1"/>
  <c r="X56" i="1"/>
  <c r="X57" i="1"/>
  <c r="X58" i="1"/>
  <c r="X59" i="1"/>
  <c r="X60" i="1"/>
  <c r="X61" i="1"/>
  <c r="X122" i="1"/>
  <c r="X123" i="1"/>
  <c r="X66" i="1"/>
  <c r="X114" i="1"/>
  <c r="X7" i="1"/>
  <c r="X37" i="1"/>
  <c r="X38" i="1"/>
  <c r="X79" i="1"/>
  <c r="X80" i="1"/>
  <c r="X81" i="1"/>
  <c r="X82" i="1"/>
  <c r="X83" i="1"/>
  <c r="X62" i="1"/>
  <c r="X97" i="1"/>
  <c r="X84" i="1"/>
  <c r="X85" i="1"/>
  <c r="X118" i="1"/>
  <c r="X63" i="1"/>
  <c r="X115" i="1"/>
  <c r="X32" i="1"/>
  <c r="X33" i="1"/>
  <c r="X124" i="1"/>
  <c r="X130" i="1"/>
  <c r="X131" i="1"/>
  <c r="X132" i="1"/>
  <c r="X133" i="1"/>
  <c r="X64" i="1"/>
  <c r="X92" i="1"/>
  <c r="X86" i="1"/>
  <c r="X87" i="1"/>
  <c r="X88" i="1"/>
  <c r="X89" i="1"/>
  <c r="X116" i="1"/>
  <c r="X65" i="1"/>
  <c r="X8" i="1"/>
  <c r="X9" i="1"/>
  <c r="X10" i="1"/>
  <c r="X11" i="1"/>
  <c r="X12" i="1"/>
  <c r="X13" i="1"/>
  <c r="X14" i="1"/>
  <c r="X15" i="1"/>
  <c r="X16" i="1"/>
  <c r="X17" i="1"/>
  <c r="W99" i="1"/>
  <c r="W100" i="1"/>
  <c r="W101" i="1"/>
  <c r="W68" i="1"/>
  <c r="W69" i="1"/>
  <c r="W125" i="1"/>
  <c r="W93" i="1"/>
  <c r="W117" i="1"/>
  <c r="W29" i="1"/>
  <c r="W70" i="1"/>
  <c r="W71" i="1"/>
  <c r="W30" i="1"/>
  <c r="W119" i="1"/>
  <c r="W72" i="1"/>
  <c r="W73" i="1"/>
  <c r="W39" i="1"/>
  <c r="W2" i="1"/>
  <c r="W74" i="1"/>
  <c r="W75" i="1"/>
  <c r="W94" i="1"/>
  <c r="W3" i="1"/>
  <c r="W76" i="1"/>
  <c r="W34" i="1"/>
  <c r="W40" i="1"/>
  <c r="W41" i="1"/>
  <c r="W95" i="1"/>
  <c r="W42" i="1"/>
  <c r="W43" i="1"/>
  <c r="W4" i="1"/>
  <c r="W44" i="1"/>
  <c r="W120" i="1"/>
  <c r="W5" i="1"/>
  <c r="W31" i="1"/>
  <c r="W126" i="1"/>
  <c r="W134" i="1"/>
  <c r="W45" i="1"/>
  <c r="W77" i="1"/>
  <c r="W46" i="1"/>
  <c r="W110" i="1"/>
  <c r="W127" i="1"/>
  <c r="W112" i="1"/>
  <c r="W35" i="1"/>
  <c r="W96" i="1"/>
  <c r="W90" i="1"/>
  <c r="W91" i="1"/>
  <c r="W47" i="1"/>
  <c r="W67" i="1"/>
  <c r="W48" i="1"/>
  <c r="W78" i="1"/>
  <c r="W49" i="1"/>
  <c r="W50" i="1"/>
  <c r="W111" i="1"/>
  <c r="W51" i="1"/>
  <c r="W52" i="1"/>
  <c r="W53" i="1"/>
  <c r="W121" i="1"/>
  <c r="W36" i="1"/>
  <c r="V99" i="1"/>
  <c r="V100" i="1"/>
  <c r="V101" i="1"/>
  <c r="V68" i="1"/>
  <c r="V69" i="1"/>
  <c r="V125" i="1"/>
  <c r="V93" i="1"/>
  <c r="V117" i="1"/>
  <c r="V29" i="1"/>
  <c r="V70" i="1"/>
  <c r="V71" i="1"/>
  <c r="V30" i="1"/>
  <c r="V119" i="1"/>
  <c r="V72" i="1"/>
  <c r="V73" i="1"/>
  <c r="V39" i="1"/>
  <c r="V2" i="1"/>
  <c r="V74" i="1"/>
  <c r="V75" i="1"/>
  <c r="V94" i="1"/>
  <c r="V3" i="1"/>
  <c r="V76" i="1"/>
  <c r="V34" i="1"/>
  <c r="V40" i="1"/>
  <c r="V41" i="1"/>
  <c r="V95" i="1"/>
  <c r="V42" i="1"/>
  <c r="V43" i="1"/>
  <c r="V4" i="1"/>
  <c r="V44" i="1"/>
  <c r="V120" i="1"/>
  <c r="V5" i="1"/>
  <c r="V31" i="1"/>
  <c r="V126" i="1"/>
  <c r="V134" i="1"/>
  <c r="V45" i="1"/>
  <c r="V77" i="1"/>
  <c r="V46" i="1"/>
  <c r="V110" i="1"/>
  <c r="V127" i="1"/>
  <c r="V112" i="1"/>
  <c r="V35" i="1"/>
  <c r="V96" i="1"/>
  <c r="V90" i="1"/>
  <c r="V91" i="1"/>
  <c r="V47" i="1"/>
  <c r="V67" i="1"/>
  <c r="V48" i="1"/>
  <c r="V78" i="1"/>
  <c r="V49" i="1"/>
  <c r="V50" i="1"/>
  <c r="V111" i="1"/>
  <c r="V51" i="1"/>
  <c r="V52" i="1"/>
  <c r="V53" i="1"/>
  <c r="V121" i="1"/>
  <c r="V36" i="1"/>
  <c r="V128" i="1"/>
  <c r="V129" i="1"/>
  <c r="V113" i="1"/>
  <c r="V54" i="1"/>
  <c r="V55" i="1"/>
  <c r="V6" i="1"/>
  <c r="V56" i="1"/>
  <c r="V57" i="1"/>
  <c r="V58" i="1"/>
  <c r="V59" i="1"/>
  <c r="V60" i="1"/>
  <c r="V61" i="1"/>
  <c r="V122" i="1"/>
  <c r="V123" i="1"/>
  <c r="V66" i="1"/>
  <c r="V114" i="1"/>
  <c r="V7" i="1"/>
  <c r="V37" i="1"/>
  <c r="V38" i="1"/>
  <c r="V79" i="1"/>
  <c r="V80" i="1"/>
  <c r="V81" i="1"/>
  <c r="V82" i="1"/>
  <c r="V83" i="1"/>
  <c r="V62" i="1"/>
  <c r="V97" i="1"/>
  <c r="V84" i="1"/>
  <c r="V85" i="1"/>
  <c r="V118" i="1"/>
  <c r="V63" i="1"/>
  <c r="V115" i="1"/>
  <c r="V32" i="1"/>
  <c r="V33" i="1"/>
  <c r="V124" i="1"/>
  <c r="V130" i="1"/>
  <c r="V131" i="1"/>
  <c r="V132" i="1"/>
  <c r="V133" i="1"/>
  <c r="V64" i="1"/>
  <c r="V92" i="1"/>
  <c r="V86" i="1"/>
  <c r="V87" i="1"/>
  <c r="V88" i="1"/>
  <c r="V89" i="1"/>
  <c r="V116" i="1"/>
  <c r="V65" i="1"/>
  <c r="V8" i="1"/>
  <c r="V9" i="1"/>
  <c r="V10" i="1"/>
  <c r="V11" i="1"/>
  <c r="V12" i="1"/>
  <c r="V13" i="1"/>
  <c r="V14" i="1"/>
  <c r="V15" i="1"/>
  <c r="V16" i="1"/>
  <c r="V17" i="1"/>
  <c r="U99" i="1"/>
  <c r="U100" i="1"/>
  <c r="U101" i="1"/>
  <c r="U68" i="1"/>
  <c r="U69" i="1"/>
  <c r="U125" i="1"/>
  <c r="U93" i="1"/>
  <c r="U117" i="1"/>
  <c r="U29" i="1"/>
  <c r="U70" i="1"/>
  <c r="U71" i="1"/>
  <c r="U30" i="1"/>
  <c r="U119" i="1"/>
  <c r="U72" i="1"/>
  <c r="U73" i="1"/>
  <c r="U39" i="1"/>
  <c r="U2" i="1"/>
  <c r="U74" i="1"/>
  <c r="U75" i="1"/>
  <c r="U94" i="1"/>
  <c r="U3" i="1"/>
  <c r="U76" i="1"/>
  <c r="U34" i="1"/>
  <c r="U40" i="1"/>
  <c r="U41" i="1"/>
  <c r="U95" i="1"/>
  <c r="U42" i="1"/>
  <c r="U43" i="1"/>
  <c r="U4" i="1"/>
  <c r="U44" i="1"/>
  <c r="U120" i="1"/>
  <c r="U5" i="1"/>
  <c r="U31" i="1"/>
  <c r="U126" i="1"/>
  <c r="U134" i="1"/>
  <c r="U45" i="1"/>
  <c r="U77" i="1"/>
  <c r="U46" i="1"/>
  <c r="U110" i="1"/>
  <c r="U127" i="1"/>
  <c r="U112" i="1"/>
  <c r="U35" i="1"/>
  <c r="U96" i="1"/>
  <c r="U90" i="1"/>
  <c r="U91" i="1"/>
  <c r="U47" i="1"/>
  <c r="U67" i="1"/>
  <c r="U48" i="1"/>
  <c r="U78" i="1"/>
  <c r="U49" i="1"/>
  <c r="U50" i="1"/>
  <c r="U111" i="1"/>
  <c r="U51" i="1"/>
  <c r="U52" i="1"/>
  <c r="U53" i="1"/>
  <c r="U121" i="1"/>
  <c r="U36" i="1"/>
  <c r="U128" i="1"/>
  <c r="U129" i="1"/>
  <c r="U113" i="1"/>
  <c r="U54" i="1"/>
  <c r="U55" i="1"/>
  <c r="U6" i="1"/>
  <c r="U56" i="1"/>
  <c r="U57" i="1"/>
  <c r="U58" i="1"/>
  <c r="U59" i="1"/>
  <c r="U60" i="1"/>
  <c r="U61" i="1"/>
  <c r="U122" i="1"/>
  <c r="U123" i="1"/>
  <c r="U66" i="1"/>
  <c r="U114" i="1"/>
  <c r="U7" i="1"/>
  <c r="U37" i="1"/>
  <c r="U38" i="1"/>
  <c r="U79" i="1"/>
  <c r="U80" i="1"/>
  <c r="U81" i="1"/>
  <c r="U82" i="1"/>
  <c r="U83" i="1"/>
  <c r="U62" i="1"/>
  <c r="U97" i="1"/>
  <c r="U84" i="1"/>
  <c r="U85" i="1"/>
  <c r="U118" i="1"/>
  <c r="U63" i="1"/>
  <c r="U115" i="1"/>
  <c r="U32" i="1"/>
  <c r="U33" i="1"/>
  <c r="U124" i="1"/>
  <c r="U130" i="1"/>
  <c r="U131" i="1"/>
  <c r="U132" i="1"/>
  <c r="U133" i="1"/>
  <c r="U64" i="1"/>
  <c r="U92" i="1"/>
  <c r="U86" i="1"/>
  <c r="U87" i="1"/>
  <c r="U88" i="1"/>
  <c r="U89" i="1"/>
  <c r="U116" i="1"/>
  <c r="U65" i="1"/>
  <c r="U8" i="1"/>
  <c r="U9" i="1"/>
  <c r="U10" i="1"/>
  <c r="U11" i="1"/>
  <c r="U12" i="1"/>
  <c r="U13" i="1"/>
  <c r="U14" i="1"/>
  <c r="U15" i="1"/>
  <c r="U16" i="1"/>
  <c r="U17" i="1"/>
  <c r="C881" i="2"/>
  <c r="C880" i="2"/>
  <c r="C874" i="2"/>
  <c r="C879" i="2"/>
  <c r="C373" i="2"/>
  <c r="S107" i="1" l="1"/>
  <c r="S18" i="1"/>
  <c r="S20" i="1"/>
  <c r="S19" i="1"/>
  <c r="S103" i="1"/>
  <c r="S26" i="1"/>
  <c r="S28" i="1"/>
  <c r="S27" i="1"/>
  <c r="S21" i="1"/>
  <c r="S22" i="1"/>
  <c r="S102" i="1"/>
  <c r="S24" i="1"/>
  <c r="S23" i="1"/>
  <c r="S25" i="1"/>
  <c r="T69" i="1"/>
  <c r="T125" i="1"/>
  <c r="T93" i="1"/>
  <c r="T117" i="1"/>
  <c r="T29" i="1"/>
  <c r="S29" i="1" s="1"/>
  <c r="T70" i="1"/>
  <c r="S70" i="1" s="1"/>
  <c r="T71" i="1"/>
  <c r="S71" i="1" s="1"/>
  <c r="T30" i="1"/>
  <c r="S30" i="1" s="1"/>
  <c r="T119" i="1"/>
  <c r="S119" i="1" s="1"/>
  <c r="T72" i="1"/>
  <c r="S72" i="1" s="1"/>
  <c r="T73" i="1"/>
  <c r="S73" i="1" s="1"/>
  <c r="T98" i="1"/>
  <c r="U98" i="1"/>
  <c r="V98" i="1"/>
  <c r="W98" i="1"/>
  <c r="X98" i="1"/>
  <c r="Y98" i="1"/>
  <c r="Z98" i="1"/>
  <c r="T39" i="1"/>
  <c r="S39" i="1" s="1"/>
  <c r="T99" i="1"/>
  <c r="T100" i="1"/>
  <c r="T2" i="1"/>
  <c r="S2" i="1" s="1"/>
  <c r="T74" i="1"/>
  <c r="S74" i="1" s="1"/>
  <c r="T75" i="1"/>
  <c r="S75" i="1" s="1"/>
  <c r="T94" i="1"/>
  <c r="S94" i="1" s="1"/>
  <c r="T3" i="1"/>
  <c r="S3" i="1" s="1"/>
  <c r="T76" i="1"/>
  <c r="S76" i="1" s="1"/>
  <c r="T34" i="1"/>
  <c r="S34" i="1" s="1"/>
  <c r="T40" i="1"/>
  <c r="S40" i="1" s="1"/>
  <c r="T41" i="1"/>
  <c r="S41" i="1" s="1"/>
  <c r="T95" i="1"/>
  <c r="S95" i="1" s="1"/>
  <c r="T42" i="1"/>
  <c r="S42" i="1" s="1"/>
  <c r="T43" i="1"/>
  <c r="S43" i="1" s="1"/>
  <c r="T4" i="1"/>
  <c r="S4" i="1" s="1"/>
  <c r="T44" i="1"/>
  <c r="S44" i="1" s="1"/>
  <c r="T120" i="1"/>
  <c r="S120" i="1" s="1"/>
  <c r="T5" i="1"/>
  <c r="S5" i="1" s="1"/>
  <c r="T31" i="1"/>
  <c r="S31" i="1" s="1"/>
  <c r="T126" i="1"/>
  <c r="S126" i="1" s="1"/>
  <c r="T134" i="1"/>
  <c r="S134" i="1" s="1"/>
  <c r="T45" i="1"/>
  <c r="S45" i="1" s="1"/>
  <c r="T77" i="1"/>
  <c r="S77" i="1" s="1"/>
  <c r="T46" i="1"/>
  <c r="S46" i="1" s="1"/>
  <c r="T110" i="1"/>
  <c r="S110" i="1" s="1"/>
  <c r="T127" i="1"/>
  <c r="S127" i="1" s="1"/>
  <c r="T112" i="1"/>
  <c r="S112" i="1" s="1"/>
  <c r="T35" i="1"/>
  <c r="S35" i="1" s="1"/>
  <c r="T96" i="1"/>
  <c r="S96" i="1" s="1"/>
  <c r="T90" i="1"/>
  <c r="S90" i="1" s="1"/>
  <c r="T91" i="1"/>
  <c r="S91" i="1" s="1"/>
  <c r="T47" i="1"/>
  <c r="S47" i="1" s="1"/>
  <c r="T67" i="1"/>
  <c r="S67" i="1" s="1"/>
  <c r="T48" i="1"/>
  <c r="S48" i="1" s="1"/>
  <c r="T78" i="1"/>
  <c r="S78" i="1" s="1"/>
  <c r="T49" i="1"/>
  <c r="S49" i="1" s="1"/>
  <c r="T50" i="1"/>
  <c r="S50" i="1" s="1"/>
  <c r="T111" i="1"/>
  <c r="S111" i="1" s="1"/>
  <c r="T51" i="1"/>
  <c r="S51" i="1" s="1"/>
  <c r="T52" i="1"/>
  <c r="S52" i="1" s="1"/>
  <c r="T53" i="1"/>
  <c r="S53" i="1" s="1"/>
  <c r="T121" i="1"/>
  <c r="S121" i="1" s="1"/>
  <c r="T36" i="1"/>
  <c r="S36" i="1" s="1"/>
  <c r="T128" i="1"/>
  <c r="S128" i="1" s="1"/>
  <c r="T129" i="1"/>
  <c r="S129" i="1" s="1"/>
  <c r="T113" i="1"/>
  <c r="S113" i="1" s="1"/>
  <c r="T54" i="1"/>
  <c r="S54" i="1" s="1"/>
  <c r="T55" i="1"/>
  <c r="S55" i="1" s="1"/>
  <c r="T6" i="1"/>
  <c r="S6" i="1" s="1"/>
  <c r="T56" i="1"/>
  <c r="S56" i="1" s="1"/>
  <c r="T57" i="1"/>
  <c r="S57" i="1" s="1"/>
  <c r="T58" i="1"/>
  <c r="S58" i="1" s="1"/>
  <c r="T59" i="1"/>
  <c r="S59" i="1" s="1"/>
  <c r="T60" i="1"/>
  <c r="S60" i="1" s="1"/>
  <c r="T61" i="1"/>
  <c r="S61" i="1" s="1"/>
  <c r="T122" i="1"/>
  <c r="S122" i="1" s="1"/>
  <c r="T123" i="1"/>
  <c r="S123" i="1" s="1"/>
  <c r="T66" i="1"/>
  <c r="S66" i="1" s="1"/>
  <c r="T114" i="1"/>
  <c r="S114" i="1" s="1"/>
  <c r="T7" i="1"/>
  <c r="S7" i="1" s="1"/>
  <c r="T37" i="1"/>
  <c r="S37" i="1" s="1"/>
  <c r="T38" i="1"/>
  <c r="S38" i="1" s="1"/>
  <c r="T79" i="1"/>
  <c r="S79" i="1" s="1"/>
  <c r="T80" i="1"/>
  <c r="S80" i="1" s="1"/>
  <c r="T81" i="1"/>
  <c r="S81" i="1" s="1"/>
  <c r="T82" i="1"/>
  <c r="S82" i="1" s="1"/>
  <c r="T83" i="1"/>
  <c r="S83" i="1" s="1"/>
  <c r="T62" i="1"/>
  <c r="S62" i="1" s="1"/>
  <c r="T97" i="1"/>
  <c r="S97" i="1" s="1"/>
  <c r="T84" i="1"/>
  <c r="S84" i="1" s="1"/>
  <c r="T85" i="1"/>
  <c r="S85" i="1" s="1"/>
  <c r="T118" i="1"/>
  <c r="S118" i="1" s="1"/>
  <c r="T101" i="1"/>
  <c r="T63" i="1"/>
  <c r="S63" i="1" s="1"/>
  <c r="T115" i="1"/>
  <c r="S115" i="1" s="1"/>
  <c r="T32" i="1"/>
  <c r="S32" i="1" s="1"/>
  <c r="T33" i="1"/>
  <c r="S33" i="1" s="1"/>
  <c r="T124" i="1"/>
  <c r="S124" i="1" s="1"/>
  <c r="T130" i="1"/>
  <c r="S130" i="1" s="1"/>
  <c r="T131" i="1"/>
  <c r="S131" i="1" s="1"/>
  <c r="T132" i="1"/>
  <c r="S132" i="1" s="1"/>
  <c r="T133" i="1"/>
  <c r="S133" i="1" s="1"/>
  <c r="T64" i="1"/>
  <c r="S64" i="1" s="1"/>
  <c r="T92" i="1"/>
  <c r="S92" i="1" s="1"/>
  <c r="T86" i="1"/>
  <c r="S86" i="1" s="1"/>
  <c r="T87" i="1"/>
  <c r="S87" i="1" s="1"/>
  <c r="T88" i="1"/>
  <c r="S88" i="1" s="1"/>
  <c r="T89" i="1"/>
  <c r="S89" i="1" s="1"/>
  <c r="T116" i="1"/>
  <c r="S116" i="1" s="1"/>
  <c r="T65" i="1"/>
  <c r="S65" i="1" s="1"/>
  <c r="T8" i="1"/>
  <c r="S8" i="1" s="1"/>
  <c r="T9" i="1"/>
  <c r="S9" i="1" s="1"/>
  <c r="T10" i="1"/>
  <c r="S10" i="1" s="1"/>
  <c r="T11" i="1"/>
  <c r="S11" i="1" s="1"/>
  <c r="T12" i="1"/>
  <c r="S12" i="1" s="1"/>
  <c r="T13" i="1"/>
  <c r="S13" i="1" s="1"/>
  <c r="T14" i="1"/>
  <c r="S14" i="1" s="1"/>
  <c r="T15" i="1"/>
  <c r="S15" i="1" s="1"/>
  <c r="T16" i="1"/>
  <c r="S16" i="1" s="1"/>
  <c r="T17" i="1"/>
  <c r="S17" i="1" s="1"/>
  <c r="T68" i="1"/>
  <c r="C794" i="2"/>
  <c r="C843" i="2"/>
  <c r="C485" i="2"/>
  <c r="C1024" i="2"/>
  <c r="C1023" i="2"/>
  <c r="C1022" i="2"/>
  <c r="C1021" i="2"/>
  <c r="C1020" i="2"/>
  <c r="C1019" i="2"/>
  <c r="C440" i="2"/>
  <c r="C385" i="2"/>
  <c r="C126" i="2"/>
  <c r="C237" i="2"/>
  <c r="C977" i="2"/>
  <c r="C976" i="2"/>
  <c r="C975" i="2"/>
  <c r="C974" i="2"/>
  <c r="C973" i="2"/>
  <c r="C188" i="2"/>
  <c r="C1018" i="2"/>
  <c r="C1017" i="2"/>
  <c r="C1016" i="2"/>
  <c r="C1015" i="2"/>
  <c r="C1014" i="2"/>
  <c r="C1013"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5" i="2"/>
  <c r="C876" i="2"/>
  <c r="C877" i="2"/>
  <c r="C878"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 r="S68" i="1" l="1"/>
  <c r="S99" i="1"/>
  <c r="S98" i="1"/>
  <c r="S117" i="1"/>
  <c r="S125" i="1"/>
  <c r="S101" i="1"/>
  <c r="S100" i="1"/>
  <c r="S93" i="1"/>
  <c r="S69" i="1"/>
</calcChain>
</file>

<file path=xl/sharedStrings.xml><?xml version="1.0" encoding="utf-8"?>
<sst xmlns="http://schemas.openxmlformats.org/spreadsheetml/2006/main" count="13001" uniqueCount="4267">
  <si>
    <t>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</si>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</sst>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4"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5">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2" borderId="0" xfId="0" applyFont="1" applyFill="1" applyAlignment="1">
      <alignment horizontal="right"/>
    </xf>
    <xf numFmtId="0" fontId="7" fillId="0" borderId="0" xfId="0" applyFont="1" applyAlignment="1">
      <alignment horizontal="right"/>
    </xf>
    <xf numFmtId="0" fontId="7"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8" fillId="0" borderId="0" xfId="0" applyFont="1"/>
    <xf numFmtId="0" fontId="0" fillId="0" borderId="0" xfId="0" applyAlignment="1">
      <alignment horizontal="right" wrapText="1"/>
    </xf>
    <xf numFmtId="0" fontId="0" fillId="0" borderId="0" xfId="0" quotePrefix="1" applyAlignment="1">
      <alignment horizontal="right"/>
    </xf>
    <xf numFmtId="0" fontId="9" fillId="0" borderId="0" xfId="0" applyFont="1"/>
    <xf numFmtId="0" fontId="11" fillId="0" borderId="0" xfId="0" applyFont="1"/>
    <xf numFmtId="0" fontId="10" fillId="0" borderId="0" xfId="0" applyFont="1"/>
    <xf numFmtId="49" fontId="10" fillId="0" borderId="0" xfId="0" applyNumberFormat="1" applyFont="1"/>
    <xf numFmtId="0" fontId="10" fillId="0" borderId="0" xfId="0" applyFont="1" applyAlignment="1">
      <alignment horizontal="left"/>
    </xf>
    <xf numFmtId="0" fontId="12" fillId="0" borderId="0" xfId="0" applyFont="1" applyAlignment="1">
      <alignment horizontal="right" vertical="center"/>
    </xf>
    <xf numFmtId="0" fontId="8" fillId="0" borderId="0" xfId="0" applyFont="1" applyAlignment="1">
      <alignment horizontal="right"/>
    </xf>
    <xf numFmtId="0" fontId="10" fillId="0" borderId="0" xfId="0" applyFont="1" applyAlignment="1">
      <alignment horizontal="right"/>
    </xf>
    <xf numFmtId="0" fontId="13" fillId="0" borderId="0" xfId="0" applyFont="1"/>
    <xf numFmtId="0" fontId="0" fillId="0" borderId="0" xfId="0" applyAlignment="1">
      <alignment wrapText="1"/>
    </xf>
  </cellXfs>
  <cellStyles count="1">
    <cellStyle name="Normal" xfId="0" builtinId="0"/>
  </cellStyles>
  <dxfs count="9">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F157"/>
  <sheetViews>
    <sheetView tabSelected="1" zoomScale="120" zoomScaleNormal="120" workbookViewId="0">
      <pane ySplit="1" topLeftCell="A83" activePane="bottomLeft" state="frozen"/>
      <selection pane="bottomLeft" activeCell="C99" sqref="C99"/>
    </sheetView>
  </sheetViews>
  <sheetFormatPr baseColWidth="10" defaultColWidth="10.6640625" defaultRowHeight="13" x14ac:dyDescent="0.15"/>
  <cols>
    <col min="1" max="1" width="24.6640625" customWidth="1"/>
    <col min="2" max="2" width="77.6640625" customWidth="1"/>
    <col min="3" max="3" width="73.5" customWidth="1"/>
    <col min="4" max="5" width="32.6640625" customWidth="1"/>
    <col min="8" max="8" width="17.1640625" style="1" customWidth="1"/>
    <col min="9" max="9" width="11.6640625" customWidth="1"/>
    <col min="10" max="10" width="11" customWidth="1"/>
    <col min="11" max="12" width="10.6640625" style="2" customWidth="1"/>
    <col min="13" max="14" width="15.6640625" style="1" customWidth="1"/>
    <col min="15" max="15" width="20.6640625" style="1" customWidth="1"/>
    <col min="16" max="16" width="15.6640625" style="1" customWidth="1"/>
    <col min="17" max="17" width="19.1640625" style="1" customWidth="1"/>
    <col min="18" max="18" width="22" style="1" customWidth="1"/>
    <col min="19" max="19" width="37.6640625" customWidth="1"/>
  </cols>
  <sheetData>
    <row r="1" spans="1:1020" s="3" customFormat="1" ht="38" customHeight="1" x14ac:dyDescent="0.15">
      <c r="A1" s="3" t="s">
        <v>0</v>
      </c>
      <c r="B1" s="3" t="s">
        <v>4072</v>
      </c>
      <c r="C1" s="3" t="s">
        <v>3963</v>
      </c>
      <c r="D1" s="3" t="s">
        <v>1</v>
      </c>
      <c r="E1" s="3" t="s">
        <v>4122</v>
      </c>
      <c r="F1" s="3" t="s">
        <v>2</v>
      </c>
      <c r="G1" s="3" t="s">
        <v>4116</v>
      </c>
      <c r="H1" s="4" t="s">
        <v>3</v>
      </c>
      <c r="I1" s="3" t="s">
        <v>4</v>
      </c>
      <c r="J1" s="3" t="s">
        <v>5</v>
      </c>
      <c r="K1" s="3" t="s">
        <v>6</v>
      </c>
      <c r="L1" s="3" t="s">
        <v>7</v>
      </c>
      <c r="M1" s="4" t="s">
        <v>8</v>
      </c>
      <c r="N1" s="4" t="s">
        <v>9</v>
      </c>
      <c r="O1" s="4" t="s">
        <v>10</v>
      </c>
      <c r="P1" s="4" t="s">
        <v>11</v>
      </c>
      <c r="Q1" s="4" t="s">
        <v>12</v>
      </c>
      <c r="R1" s="4" t="s">
        <v>3852</v>
      </c>
      <c r="S1" s="3" t="s">
        <v>4115</v>
      </c>
      <c r="T1" s="3" t="s">
        <v>7</v>
      </c>
      <c r="U1" s="4" t="s">
        <v>8</v>
      </c>
      <c r="V1" s="4" t="s">
        <v>9</v>
      </c>
      <c r="W1" s="4" t="s">
        <v>10</v>
      </c>
      <c r="X1" s="4" t="s">
        <v>11</v>
      </c>
      <c r="Y1" s="4" t="s">
        <v>12</v>
      </c>
      <c r="Z1" s="4" t="s">
        <v>3852</v>
      </c>
      <c r="AA1" s="3" t="s">
        <v>2525</v>
      </c>
      <c r="AB1" s="3" t="s">
        <v>4125</v>
      </c>
      <c r="ALZ1" s="5"/>
      <c r="AMA1" s="5"/>
      <c r="AMB1" s="5"/>
      <c r="AMC1" s="5"/>
      <c r="AMD1"/>
      <c r="AME1"/>
      <c r="AMF1"/>
    </row>
    <row r="2" spans="1:1020" x14ac:dyDescent="0.15">
      <c r="A2" t="s">
        <v>176</v>
      </c>
      <c r="D2" t="s">
        <v>2777</v>
      </c>
      <c r="F2">
        <v>800</v>
      </c>
      <c r="G2" t="b">
        <v>0</v>
      </c>
      <c r="H2" s="1" t="s">
        <v>16</v>
      </c>
      <c r="I2" t="s">
        <v>177</v>
      </c>
      <c r="J2">
        <v>0</v>
      </c>
      <c r="K2" s="7" t="b">
        <v>0</v>
      </c>
      <c r="L2" s="7" t="b">
        <v>0</v>
      </c>
      <c r="M2" s="1" t="s">
        <v>16</v>
      </c>
      <c r="N2" s="1" t="s">
        <v>18</v>
      </c>
      <c r="O2" s="1" t="s">
        <v>16</v>
      </c>
      <c r="P2" s="1" t="s">
        <v>16</v>
      </c>
      <c r="Q2" s="1" t="s">
        <v>16</v>
      </c>
      <c r="R2" s="1" t="s">
        <v>16</v>
      </c>
      <c r="S2" t="str">
        <f t="shared" ref="S2:S33" si="0">_xlfn.TEXTJOIN("|",TRUE,T2:AB2)</f>
        <v>user</v>
      </c>
      <c r="T2" t="str">
        <f t="shared" ref="T2:T33" si="1">IF(L2,"mandatory","")</f>
        <v/>
      </c>
      <c r="U2" t="str">
        <f t="shared" ref="U2:U33" si="2">IF(M2,"filter","")</f>
        <v/>
      </c>
      <c r="V2" t="str">
        <f t="shared" ref="V2:V33" si="3">IF(N2,"user","")</f>
        <v>user</v>
      </c>
      <c r="W2" t="str">
        <f t="shared" ref="W2:W33" si="4">IF(O2,"genotype","")</f>
        <v/>
      </c>
      <c r="X2" t="str">
        <f t="shared" ref="X2:X33" si="5">IF(P2,"qc","")</f>
        <v/>
      </c>
      <c r="Y2" t="str">
        <f t="shared" ref="Y2:Y33" si="6">IF(Q2,"dataset","")</f>
        <v/>
      </c>
      <c r="Z2" t="str">
        <f t="shared" ref="Z2:Z33" si="7">IF(R2,"sample","")</f>
        <v/>
      </c>
    </row>
    <row r="3" spans="1:1020" x14ac:dyDescent="0.15">
      <c r="A3" t="s">
        <v>178</v>
      </c>
      <c r="D3" t="s">
        <v>179</v>
      </c>
      <c r="F3">
        <v>700</v>
      </c>
      <c r="G3" t="b">
        <v>0</v>
      </c>
      <c r="H3" s="1" t="s">
        <v>16</v>
      </c>
      <c r="I3" t="s">
        <v>177</v>
      </c>
      <c r="J3">
        <v>0</v>
      </c>
      <c r="K3" s="7" t="b">
        <v>0</v>
      </c>
      <c r="L3" s="7" t="b">
        <v>0</v>
      </c>
      <c r="M3" s="1" t="s">
        <v>16</v>
      </c>
      <c r="N3" s="1" t="s">
        <v>18</v>
      </c>
      <c r="O3" s="1" t="s">
        <v>16</v>
      </c>
      <c r="P3" s="1" t="s">
        <v>16</v>
      </c>
      <c r="Q3" s="1" t="s">
        <v>16</v>
      </c>
      <c r="R3" s="1" t="s">
        <v>16</v>
      </c>
      <c r="S3" t="str">
        <f t="shared" si="0"/>
        <v>user</v>
      </c>
      <c r="T3" t="str">
        <f t="shared" si="1"/>
        <v/>
      </c>
      <c r="U3" t="str">
        <f t="shared" si="2"/>
        <v/>
      </c>
      <c r="V3" t="str">
        <f t="shared" si="3"/>
        <v>user</v>
      </c>
      <c r="W3" t="str">
        <f t="shared" si="4"/>
        <v/>
      </c>
      <c r="X3" t="str">
        <f t="shared" si="5"/>
        <v/>
      </c>
      <c r="Y3" t="str">
        <f t="shared" si="6"/>
        <v/>
      </c>
      <c r="Z3" t="str">
        <f t="shared" si="7"/>
        <v/>
      </c>
    </row>
    <row r="4" spans="1:1020" x14ac:dyDescent="0.15">
      <c r="A4" t="s">
        <v>182</v>
      </c>
      <c r="D4" t="s">
        <v>183</v>
      </c>
      <c r="F4">
        <v>600</v>
      </c>
      <c r="G4" t="b">
        <v>0</v>
      </c>
      <c r="H4" s="1" t="s">
        <v>16</v>
      </c>
      <c r="I4" t="s">
        <v>177</v>
      </c>
      <c r="J4">
        <v>0</v>
      </c>
      <c r="K4" s="7" t="b">
        <v>0</v>
      </c>
      <c r="L4" s="7" t="b">
        <v>0</v>
      </c>
      <c r="M4" s="1" t="s">
        <v>16</v>
      </c>
      <c r="N4" s="1" t="s">
        <v>18</v>
      </c>
      <c r="O4" s="1" t="s">
        <v>16</v>
      </c>
      <c r="P4" s="1" t="s">
        <v>16</v>
      </c>
      <c r="Q4" s="1" t="s">
        <v>16</v>
      </c>
      <c r="R4" s="1" t="s">
        <v>16</v>
      </c>
      <c r="S4" t="str">
        <f t="shared" si="0"/>
        <v>user</v>
      </c>
      <c r="T4" t="str">
        <f t="shared" si="1"/>
        <v/>
      </c>
      <c r="U4" t="str">
        <f t="shared" si="2"/>
        <v/>
      </c>
      <c r="V4" t="str">
        <f t="shared" si="3"/>
        <v>user</v>
      </c>
      <c r="W4" t="str">
        <f t="shared" si="4"/>
        <v/>
      </c>
      <c r="X4" t="str">
        <f t="shared" si="5"/>
        <v/>
      </c>
      <c r="Y4" t="str">
        <f t="shared" si="6"/>
        <v/>
      </c>
      <c r="Z4" t="str">
        <f t="shared" si="7"/>
        <v/>
      </c>
    </row>
    <row r="5" spans="1:1020" x14ac:dyDescent="0.15">
      <c r="A5" t="s">
        <v>180</v>
      </c>
      <c r="D5" t="s">
        <v>181</v>
      </c>
      <c r="F5">
        <v>550</v>
      </c>
      <c r="G5" t="b">
        <v>0</v>
      </c>
      <c r="H5" s="1" t="s">
        <v>16</v>
      </c>
      <c r="I5" t="s">
        <v>177</v>
      </c>
      <c r="J5">
        <v>0</v>
      </c>
      <c r="K5" s="7" t="b">
        <v>0</v>
      </c>
      <c r="L5" s="7" t="b">
        <v>0</v>
      </c>
      <c r="M5" s="1" t="s">
        <v>18</v>
      </c>
      <c r="N5" s="1" t="s">
        <v>18</v>
      </c>
      <c r="O5" s="1" t="s">
        <v>16</v>
      </c>
      <c r="P5" s="1" t="s">
        <v>16</v>
      </c>
      <c r="Q5" s="1" t="s">
        <v>16</v>
      </c>
      <c r="R5" s="1" t="s">
        <v>16</v>
      </c>
      <c r="S5" t="str">
        <f t="shared" si="0"/>
        <v>filter|user</v>
      </c>
      <c r="T5" t="str">
        <f t="shared" si="1"/>
        <v/>
      </c>
      <c r="U5" t="str">
        <f t="shared" si="2"/>
        <v>filter</v>
      </c>
      <c r="V5" t="str">
        <f t="shared" si="3"/>
        <v>user</v>
      </c>
      <c r="W5" t="str">
        <f t="shared" si="4"/>
        <v/>
      </c>
      <c r="X5" t="str">
        <f t="shared" si="5"/>
        <v/>
      </c>
      <c r="Y5" t="str">
        <f t="shared" si="6"/>
        <v/>
      </c>
      <c r="Z5" t="str">
        <f t="shared" si="7"/>
        <v/>
      </c>
    </row>
    <row r="6" spans="1:1020" s="26" customFormat="1" x14ac:dyDescent="0.15">
      <c r="A6" t="s">
        <v>184</v>
      </c>
      <c r="B6"/>
      <c r="C6"/>
      <c r="D6" t="s">
        <v>185</v>
      </c>
      <c r="E6"/>
      <c r="F6">
        <v>500</v>
      </c>
      <c r="G6" t="b">
        <v>0</v>
      </c>
      <c r="H6" s="1" t="s">
        <v>16</v>
      </c>
      <c r="I6" t="s">
        <v>177</v>
      </c>
      <c r="J6">
        <v>0</v>
      </c>
      <c r="K6" s="7" t="b">
        <v>0</v>
      </c>
      <c r="L6" s="7" t="b">
        <v>0</v>
      </c>
      <c r="M6" s="1" t="s">
        <v>18</v>
      </c>
      <c r="N6" s="1" t="s">
        <v>18</v>
      </c>
      <c r="O6" s="1" t="s">
        <v>16</v>
      </c>
      <c r="P6" s="1" t="s">
        <v>16</v>
      </c>
      <c r="Q6" s="1" t="s">
        <v>16</v>
      </c>
      <c r="R6" s="1" t="s">
        <v>16</v>
      </c>
      <c r="S6" t="str">
        <f t="shared" si="0"/>
        <v>filter|user</v>
      </c>
      <c r="T6" t="str">
        <f t="shared" si="1"/>
        <v/>
      </c>
      <c r="U6" t="str">
        <f t="shared" si="2"/>
        <v>filter</v>
      </c>
      <c r="V6" t="str">
        <f t="shared" si="3"/>
        <v>user</v>
      </c>
      <c r="W6" t="str">
        <f t="shared" si="4"/>
        <v/>
      </c>
      <c r="X6" t="str">
        <f t="shared" si="5"/>
        <v/>
      </c>
      <c r="Y6" t="str">
        <f t="shared" si="6"/>
        <v/>
      </c>
      <c r="Z6" t="str">
        <f t="shared" si="7"/>
        <v/>
      </c>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c r="ALY6"/>
      <c r="ALZ6"/>
      <c r="AMA6"/>
      <c r="AMB6"/>
      <c r="AMC6"/>
      <c r="AMD6"/>
      <c r="AME6"/>
      <c r="AMF6"/>
    </row>
    <row r="7" spans="1:1020" x14ac:dyDescent="0.15">
      <c r="A7" t="s">
        <v>186</v>
      </c>
      <c r="D7" t="s">
        <v>187</v>
      </c>
      <c r="F7">
        <v>300</v>
      </c>
      <c r="G7" t="b">
        <v>0</v>
      </c>
      <c r="H7" s="1" t="s">
        <v>16</v>
      </c>
      <c r="I7" t="s">
        <v>177</v>
      </c>
      <c r="J7">
        <v>0</v>
      </c>
      <c r="K7" s="7" t="b">
        <v>0</v>
      </c>
      <c r="L7" s="7" t="b">
        <v>0</v>
      </c>
      <c r="M7" s="1" t="s">
        <v>16</v>
      </c>
      <c r="N7" s="1" t="s">
        <v>18</v>
      </c>
      <c r="O7" s="1" t="s">
        <v>16</v>
      </c>
      <c r="P7" s="1" t="s">
        <v>16</v>
      </c>
      <c r="Q7" s="1" t="s">
        <v>16</v>
      </c>
      <c r="R7" s="1" t="s">
        <v>16</v>
      </c>
      <c r="S7" t="str">
        <f t="shared" si="0"/>
        <v>user</v>
      </c>
      <c r="T7" t="str">
        <f t="shared" si="1"/>
        <v/>
      </c>
      <c r="U7" t="str">
        <f t="shared" si="2"/>
        <v/>
      </c>
      <c r="V7" t="str">
        <f t="shared" si="3"/>
        <v>user</v>
      </c>
      <c r="W7" t="str">
        <f t="shared" si="4"/>
        <v/>
      </c>
      <c r="X7" t="str">
        <f t="shared" si="5"/>
        <v/>
      </c>
      <c r="Y7" t="str">
        <f t="shared" si="6"/>
        <v/>
      </c>
      <c r="Z7" t="str">
        <f t="shared" si="7"/>
        <v/>
      </c>
    </row>
    <row r="8" spans="1:1020" x14ac:dyDescent="0.15">
      <c r="A8" s="30" t="s">
        <v>4061</v>
      </c>
      <c r="B8" s="30"/>
      <c r="C8" t="s">
        <v>14</v>
      </c>
      <c r="D8" s="6" t="s">
        <v>4117</v>
      </c>
      <c r="E8" s="6" t="s">
        <v>4119</v>
      </c>
      <c r="F8">
        <v>500</v>
      </c>
      <c r="G8" t="b">
        <v>1</v>
      </c>
      <c r="H8" s="1" t="s">
        <v>16</v>
      </c>
      <c r="I8" t="s">
        <v>3112</v>
      </c>
      <c r="J8">
        <v>2</v>
      </c>
      <c r="K8" s="7" t="b">
        <v>0</v>
      </c>
      <c r="L8" s="7" t="b">
        <v>0</v>
      </c>
      <c r="M8" s="1" t="s">
        <v>18</v>
      </c>
      <c r="N8" s="1" t="s">
        <v>16</v>
      </c>
      <c r="O8" s="1" t="s">
        <v>16</v>
      </c>
      <c r="P8" s="1" t="s">
        <v>16</v>
      </c>
      <c r="Q8" s="1" t="s">
        <v>18</v>
      </c>
      <c r="R8" s="1" t="s">
        <v>18</v>
      </c>
      <c r="S8" t="str">
        <f t="shared" si="0"/>
        <v>filter|dataset|sample</v>
      </c>
      <c r="T8" t="str">
        <f t="shared" si="1"/>
        <v/>
      </c>
      <c r="U8" t="str">
        <f t="shared" si="2"/>
        <v>filter</v>
      </c>
      <c r="V8" t="str">
        <f t="shared" si="3"/>
        <v/>
      </c>
      <c r="W8" t="str">
        <f t="shared" si="4"/>
        <v/>
      </c>
      <c r="X8" t="str">
        <f t="shared" si="5"/>
        <v/>
      </c>
      <c r="Y8" t="str">
        <f t="shared" si="6"/>
        <v>dataset</v>
      </c>
      <c r="Z8" t="str">
        <f t="shared" si="7"/>
        <v>sample</v>
      </c>
    </row>
    <row r="9" spans="1:1020" x14ac:dyDescent="0.15">
      <c r="A9" s="8" t="s">
        <v>4062</v>
      </c>
      <c r="B9" s="8"/>
      <c r="D9" s="6" t="s">
        <v>3984</v>
      </c>
      <c r="E9" s="6" t="s">
        <v>2736</v>
      </c>
      <c r="F9">
        <v>500</v>
      </c>
      <c r="G9" t="b">
        <v>1</v>
      </c>
      <c r="H9" s="1" t="s">
        <v>16</v>
      </c>
      <c r="I9" t="s">
        <v>3112</v>
      </c>
      <c r="J9">
        <v>2</v>
      </c>
      <c r="K9" s="7" t="b">
        <v>0</v>
      </c>
      <c r="L9" s="7" t="b">
        <v>0</v>
      </c>
      <c r="M9" s="1" t="s">
        <v>18</v>
      </c>
      <c r="N9" s="1" t="s">
        <v>16</v>
      </c>
      <c r="O9" s="1" t="s">
        <v>16</v>
      </c>
      <c r="P9" s="1" t="s">
        <v>16</v>
      </c>
      <c r="Q9" s="1" t="s">
        <v>18</v>
      </c>
      <c r="R9" s="1" t="s">
        <v>18</v>
      </c>
      <c r="S9" t="str">
        <f t="shared" si="0"/>
        <v>filter|dataset|sample</v>
      </c>
      <c r="T9" t="str">
        <f t="shared" si="1"/>
        <v/>
      </c>
      <c r="U9" t="str">
        <f t="shared" si="2"/>
        <v>filter</v>
      </c>
      <c r="V9" t="str">
        <f t="shared" si="3"/>
        <v/>
      </c>
      <c r="W9" t="str">
        <f t="shared" si="4"/>
        <v/>
      </c>
      <c r="X9" t="str">
        <f t="shared" si="5"/>
        <v/>
      </c>
      <c r="Y9" t="str">
        <f t="shared" si="6"/>
        <v>dataset</v>
      </c>
      <c r="Z9" t="str">
        <f t="shared" si="7"/>
        <v>sample</v>
      </c>
    </row>
    <row r="10" spans="1:1020" x14ac:dyDescent="0.15">
      <c r="A10" s="8" t="s">
        <v>4063</v>
      </c>
      <c r="B10" s="8"/>
      <c r="D10" s="6" t="s">
        <v>3991</v>
      </c>
      <c r="E10" s="6" t="s">
        <v>4118</v>
      </c>
      <c r="F10">
        <v>500</v>
      </c>
      <c r="G10" t="b">
        <v>1</v>
      </c>
      <c r="H10" s="1" t="s">
        <v>16</v>
      </c>
      <c r="I10" t="s">
        <v>3112</v>
      </c>
      <c r="J10">
        <v>2</v>
      </c>
      <c r="K10" s="7" t="b">
        <v>0</v>
      </c>
      <c r="L10" s="7" t="b">
        <v>0</v>
      </c>
      <c r="M10" s="1" t="s">
        <v>18</v>
      </c>
      <c r="N10" s="1" t="s">
        <v>16</v>
      </c>
      <c r="O10" s="1" t="s">
        <v>16</v>
      </c>
      <c r="P10" s="1" t="s">
        <v>16</v>
      </c>
      <c r="Q10" s="1" t="s">
        <v>18</v>
      </c>
      <c r="R10" s="1" t="s">
        <v>18</v>
      </c>
      <c r="S10" t="str">
        <f t="shared" si="0"/>
        <v>filter|dataset|sample</v>
      </c>
      <c r="T10" t="str">
        <f t="shared" si="1"/>
        <v/>
      </c>
      <c r="U10" t="str">
        <f t="shared" si="2"/>
        <v>filter</v>
      </c>
      <c r="V10" t="str">
        <f t="shared" si="3"/>
        <v/>
      </c>
      <c r="W10" t="str">
        <f t="shared" si="4"/>
        <v/>
      </c>
      <c r="X10" t="str">
        <f t="shared" si="5"/>
        <v/>
      </c>
      <c r="Y10" t="str">
        <f t="shared" si="6"/>
        <v>dataset</v>
      </c>
      <c r="Z10" t="str">
        <f t="shared" si="7"/>
        <v>sample</v>
      </c>
    </row>
    <row r="11" spans="1:1020" x14ac:dyDescent="0.15">
      <c r="A11" s="8" t="s">
        <v>4228</v>
      </c>
      <c r="B11" s="8"/>
      <c r="D11" s="6" t="s">
        <v>4231</v>
      </c>
      <c r="E11" s="6"/>
      <c r="F11">
        <v>800</v>
      </c>
      <c r="G11" t="b">
        <v>1</v>
      </c>
      <c r="H11" s="1" t="s">
        <v>16</v>
      </c>
      <c r="I11" t="s">
        <v>3112</v>
      </c>
      <c r="J11">
        <v>2</v>
      </c>
      <c r="K11" s="7" t="b">
        <v>0</v>
      </c>
      <c r="L11" s="7" t="b">
        <v>0</v>
      </c>
      <c r="M11" s="1" t="s">
        <v>18</v>
      </c>
      <c r="N11" s="1" t="s">
        <v>16</v>
      </c>
      <c r="O11" s="1" t="s">
        <v>16</v>
      </c>
      <c r="P11" s="1" t="s">
        <v>16</v>
      </c>
      <c r="Q11" s="1" t="s">
        <v>18</v>
      </c>
      <c r="R11" s="1" t="s">
        <v>18</v>
      </c>
      <c r="S11" t="str">
        <f t="shared" si="0"/>
        <v>filter|dataset|sample</v>
      </c>
      <c r="T11" t="str">
        <f t="shared" si="1"/>
        <v/>
      </c>
      <c r="U11" t="str">
        <f t="shared" si="2"/>
        <v>filter</v>
      </c>
      <c r="V11" t="str">
        <f t="shared" si="3"/>
        <v/>
      </c>
      <c r="W11" t="str">
        <f t="shared" si="4"/>
        <v/>
      </c>
      <c r="X11" t="str">
        <f t="shared" si="5"/>
        <v/>
      </c>
      <c r="Y11" t="str">
        <f t="shared" si="6"/>
        <v>dataset</v>
      </c>
      <c r="Z11" t="str">
        <f t="shared" si="7"/>
        <v>sample</v>
      </c>
    </row>
    <row r="12" spans="1:1020" x14ac:dyDescent="0.15">
      <c r="A12" s="8" t="s">
        <v>4065</v>
      </c>
      <c r="B12" s="8"/>
      <c r="D12" s="6" t="s">
        <v>4087</v>
      </c>
      <c r="E12" s="6" t="s">
        <v>4023</v>
      </c>
      <c r="F12">
        <v>500</v>
      </c>
      <c r="G12" t="b">
        <v>1</v>
      </c>
      <c r="H12" s="1" t="s">
        <v>16</v>
      </c>
      <c r="I12" t="s">
        <v>3112</v>
      </c>
      <c r="J12">
        <v>2</v>
      </c>
      <c r="K12" s="7" t="b">
        <v>0</v>
      </c>
      <c r="L12" s="7" t="b">
        <v>0</v>
      </c>
      <c r="M12" s="1" t="s">
        <v>18</v>
      </c>
      <c r="N12" s="1" t="s">
        <v>16</v>
      </c>
      <c r="O12" s="1" t="s">
        <v>16</v>
      </c>
      <c r="P12" s="1" t="s">
        <v>16</v>
      </c>
      <c r="Q12" s="1" t="s">
        <v>18</v>
      </c>
      <c r="R12" s="1" t="s">
        <v>18</v>
      </c>
      <c r="S12" t="str">
        <f t="shared" si="0"/>
        <v>filter|dataset|sample</v>
      </c>
      <c r="T12" t="str">
        <f t="shared" si="1"/>
        <v/>
      </c>
      <c r="U12" t="str">
        <f t="shared" si="2"/>
        <v>filter</v>
      </c>
      <c r="V12" t="str">
        <f t="shared" si="3"/>
        <v/>
      </c>
      <c r="W12" t="str">
        <f t="shared" si="4"/>
        <v/>
      </c>
      <c r="X12" t="str">
        <f t="shared" si="5"/>
        <v/>
      </c>
      <c r="Y12" t="str">
        <f t="shared" si="6"/>
        <v>dataset</v>
      </c>
      <c r="Z12" t="str">
        <f t="shared" si="7"/>
        <v>sample</v>
      </c>
    </row>
    <row r="13" spans="1:1020" s="26" customFormat="1" x14ac:dyDescent="0.15">
      <c r="A13" s="8" t="s">
        <v>4066</v>
      </c>
      <c r="B13" s="8"/>
      <c r="C13"/>
      <c r="D13" s="6" t="s">
        <v>4088</v>
      </c>
      <c r="E13" s="6" t="s">
        <v>4123</v>
      </c>
      <c r="F13">
        <v>500</v>
      </c>
      <c r="G13" t="b">
        <v>1</v>
      </c>
      <c r="H13" s="1" t="s">
        <v>16</v>
      </c>
      <c r="I13" t="s">
        <v>3112</v>
      </c>
      <c r="J13">
        <v>2</v>
      </c>
      <c r="K13" s="7" t="b">
        <v>0</v>
      </c>
      <c r="L13" s="7" t="b">
        <v>0</v>
      </c>
      <c r="M13" s="1" t="s">
        <v>18</v>
      </c>
      <c r="N13" s="1" t="s">
        <v>16</v>
      </c>
      <c r="O13" s="1" t="s">
        <v>16</v>
      </c>
      <c r="P13" s="1" t="s">
        <v>16</v>
      </c>
      <c r="Q13" s="1" t="s">
        <v>18</v>
      </c>
      <c r="R13" s="1" t="s">
        <v>18</v>
      </c>
      <c r="S13" t="str">
        <f t="shared" si="0"/>
        <v>filter|dataset|sample</v>
      </c>
      <c r="T13" t="str">
        <f t="shared" si="1"/>
        <v/>
      </c>
      <c r="U13" t="str">
        <f t="shared" si="2"/>
        <v>filter</v>
      </c>
      <c r="V13" t="str">
        <f t="shared" si="3"/>
        <v/>
      </c>
      <c r="W13" t="str">
        <f t="shared" si="4"/>
        <v/>
      </c>
      <c r="X13" t="str">
        <f t="shared" si="5"/>
        <v/>
      </c>
      <c r="Y13" t="str">
        <f t="shared" si="6"/>
        <v>dataset</v>
      </c>
      <c r="Z13" t="str">
        <f t="shared" si="7"/>
        <v>sample</v>
      </c>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row>
    <row r="14" spans="1:1020" s="27" customFormat="1" x14ac:dyDescent="0.15">
      <c r="A14" s="8" t="s">
        <v>3968</v>
      </c>
      <c r="B14" s="8"/>
      <c r="C14"/>
      <c r="D14" s="6" t="s">
        <v>3970</v>
      </c>
      <c r="E14" s="6" t="s">
        <v>2526</v>
      </c>
      <c r="F14">
        <v>500</v>
      </c>
      <c r="G14" t="b">
        <v>1</v>
      </c>
      <c r="H14" s="1" t="s">
        <v>16</v>
      </c>
      <c r="I14" t="s">
        <v>3112</v>
      </c>
      <c r="J14">
        <v>2</v>
      </c>
      <c r="K14" s="7" t="b">
        <v>0</v>
      </c>
      <c r="L14" s="7" t="b">
        <v>0</v>
      </c>
      <c r="M14" s="1" t="s">
        <v>18</v>
      </c>
      <c r="N14" s="1" t="s">
        <v>16</v>
      </c>
      <c r="O14" s="1" t="s">
        <v>16</v>
      </c>
      <c r="P14" s="1" t="s">
        <v>16</v>
      </c>
      <c r="Q14" s="1" t="s">
        <v>18</v>
      </c>
      <c r="R14" s="1" t="s">
        <v>18</v>
      </c>
      <c r="S14" t="str">
        <f t="shared" si="0"/>
        <v>filter|dataset|sample</v>
      </c>
      <c r="T14" t="str">
        <f t="shared" si="1"/>
        <v/>
      </c>
      <c r="U14" t="str">
        <f t="shared" si="2"/>
        <v>filter</v>
      </c>
      <c r="V14" t="str">
        <f t="shared" si="3"/>
        <v/>
      </c>
      <c r="W14" t="str">
        <f t="shared" si="4"/>
        <v/>
      </c>
      <c r="X14" t="str">
        <f t="shared" si="5"/>
        <v/>
      </c>
      <c r="Y14" t="str">
        <f t="shared" si="6"/>
        <v>dataset</v>
      </c>
      <c r="Z14" t="str">
        <f t="shared" si="7"/>
        <v>sample</v>
      </c>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row>
    <row r="15" spans="1:1020" x14ac:dyDescent="0.15">
      <c r="A15" s="8" t="s">
        <v>3966</v>
      </c>
      <c r="B15" s="8"/>
      <c r="D15" s="6" t="s">
        <v>4018</v>
      </c>
      <c r="E15" s="6" t="s">
        <v>4120</v>
      </c>
      <c r="F15">
        <v>500</v>
      </c>
      <c r="G15" t="b">
        <v>1</v>
      </c>
      <c r="H15" s="1" t="s">
        <v>16</v>
      </c>
      <c r="I15" t="s">
        <v>3112</v>
      </c>
      <c r="J15">
        <v>2</v>
      </c>
      <c r="K15" s="7" t="b">
        <v>0</v>
      </c>
      <c r="L15" s="7" t="b">
        <v>0</v>
      </c>
      <c r="M15" s="1" t="s">
        <v>18</v>
      </c>
      <c r="N15" s="1" t="s">
        <v>16</v>
      </c>
      <c r="O15" s="1" t="s">
        <v>16</v>
      </c>
      <c r="P15" s="1" t="s">
        <v>16</v>
      </c>
      <c r="Q15" s="1" t="s">
        <v>18</v>
      </c>
      <c r="R15" s="1" t="s">
        <v>18</v>
      </c>
      <c r="S15" t="str">
        <f t="shared" si="0"/>
        <v>filter|dataset|sample</v>
      </c>
      <c r="T15" t="str">
        <f t="shared" si="1"/>
        <v/>
      </c>
      <c r="U15" t="str">
        <f t="shared" si="2"/>
        <v>filter</v>
      </c>
      <c r="V15" t="str">
        <f t="shared" si="3"/>
        <v/>
      </c>
      <c r="W15" t="str">
        <f t="shared" si="4"/>
        <v/>
      </c>
      <c r="X15" t="str">
        <f t="shared" si="5"/>
        <v/>
      </c>
      <c r="Y15" t="str">
        <f t="shared" si="6"/>
        <v>dataset</v>
      </c>
      <c r="Z15" t="str">
        <f t="shared" si="7"/>
        <v>sample</v>
      </c>
    </row>
    <row r="16" spans="1:1020" x14ac:dyDescent="0.15">
      <c r="A16" s="8" t="s">
        <v>3971</v>
      </c>
      <c r="B16" s="8"/>
      <c r="D16" s="6" t="s">
        <v>3972</v>
      </c>
      <c r="E16" s="6" t="s">
        <v>3229</v>
      </c>
      <c r="F16">
        <v>500</v>
      </c>
      <c r="G16" t="b">
        <v>1</v>
      </c>
      <c r="H16" s="1" t="s">
        <v>16</v>
      </c>
      <c r="I16" t="s">
        <v>3112</v>
      </c>
      <c r="J16">
        <v>2</v>
      </c>
      <c r="K16" s="7" t="b">
        <v>0</v>
      </c>
      <c r="L16" s="7" t="b">
        <v>0</v>
      </c>
      <c r="M16" s="1" t="s">
        <v>18</v>
      </c>
      <c r="N16" s="1" t="s">
        <v>16</v>
      </c>
      <c r="O16" s="1" t="s">
        <v>16</v>
      </c>
      <c r="P16" s="1" t="s">
        <v>16</v>
      </c>
      <c r="Q16" s="1" t="s">
        <v>18</v>
      </c>
      <c r="R16" s="1" t="s">
        <v>18</v>
      </c>
      <c r="S16" t="str">
        <f t="shared" si="0"/>
        <v>filter|dataset|sample</v>
      </c>
      <c r="T16" t="str">
        <f t="shared" si="1"/>
        <v/>
      </c>
      <c r="U16" t="str">
        <f t="shared" si="2"/>
        <v>filter</v>
      </c>
      <c r="V16" t="str">
        <f t="shared" si="3"/>
        <v/>
      </c>
      <c r="W16" t="str">
        <f t="shared" si="4"/>
        <v/>
      </c>
      <c r="X16" t="str">
        <f t="shared" si="5"/>
        <v/>
      </c>
      <c r="Y16" t="str">
        <f t="shared" si="6"/>
        <v>dataset</v>
      </c>
      <c r="Z16" t="str">
        <f t="shared" si="7"/>
        <v>sample</v>
      </c>
    </row>
    <row r="17" spans="1:1020" x14ac:dyDescent="0.15">
      <c r="A17" s="8" t="s">
        <v>4067</v>
      </c>
      <c r="B17" s="8"/>
      <c r="D17" s="6" t="s">
        <v>4032</v>
      </c>
      <c r="E17" s="6" t="s">
        <v>4019</v>
      </c>
      <c r="F17">
        <v>500</v>
      </c>
      <c r="G17" t="b">
        <v>1</v>
      </c>
      <c r="H17" s="1" t="s">
        <v>16</v>
      </c>
      <c r="I17" t="s">
        <v>3112</v>
      </c>
      <c r="J17">
        <v>2</v>
      </c>
      <c r="K17" s="7" t="b">
        <v>0</v>
      </c>
      <c r="L17" s="7" t="b">
        <v>0</v>
      </c>
      <c r="M17" s="1" t="s">
        <v>18</v>
      </c>
      <c r="N17" s="1" t="s">
        <v>16</v>
      </c>
      <c r="O17" s="1" t="s">
        <v>16</v>
      </c>
      <c r="P17" s="1" t="s">
        <v>16</v>
      </c>
      <c r="Q17" s="1" t="s">
        <v>18</v>
      </c>
      <c r="R17" s="1" t="s">
        <v>18</v>
      </c>
      <c r="S17" t="str">
        <f t="shared" si="0"/>
        <v>filter|dataset|sample</v>
      </c>
      <c r="T17" t="str">
        <f t="shared" si="1"/>
        <v/>
      </c>
      <c r="U17" t="str">
        <f t="shared" si="2"/>
        <v>filter</v>
      </c>
      <c r="V17" t="str">
        <f t="shared" si="3"/>
        <v/>
      </c>
      <c r="W17" t="str">
        <f t="shared" si="4"/>
        <v/>
      </c>
      <c r="X17" t="str">
        <f t="shared" si="5"/>
        <v/>
      </c>
      <c r="Y17" t="str">
        <f t="shared" si="6"/>
        <v>dataset</v>
      </c>
      <c r="Z17" t="str">
        <f t="shared" si="7"/>
        <v>sample</v>
      </c>
    </row>
    <row r="18" spans="1:1020" x14ac:dyDescent="0.15">
      <c r="A18" s="8" t="s">
        <v>4068</v>
      </c>
      <c r="B18" s="8"/>
      <c r="D18" s="6" t="s">
        <v>1766</v>
      </c>
      <c r="E18" s="6"/>
      <c r="F18">
        <v>500</v>
      </c>
      <c r="G18" t="b">
        <v>1</v>
      </c>
      <c r="H18" s="1" t="s">
        <v>16</v>
      </c>
      <c r="I18" t="s">
        <v>3112</v>
      </c>
      <c r="J18">
        <v>2</v>
      </c>
      <c r="K18" s="7" t="b">
        <v>0</v>
      </c>
      <c r="L18" s="7" t="b">
        <v>0</v>
      </c>
      <c r="M18" s="1" t="s">
        <v>18</v>
      </c>
      <c r="N18" s="1" t="s">
        <v>16</v>
      </c>
      <c r="O18" s="1" t="s">
        <v>16</v>
      </c>
      <c r="P18" s="1" t="s">
        <v>16</v>
      </c>
      <c r="Q18" s="1" t="s">
        <v>18</v>
      </c>
      <c r="R18" s="1" t="s">
        <v>18</v>
      </c>
      <c r="S18" t="str">
        <f t="shared" si="0"/>
        <v>filter|dataset|sample</v>
      </c>
      <c r="T18" t="str">
        <f t="shared" si="1"/>
        <v/>
      </c>
      <c r="U18" t="str">
        <f t="shared" si="2"/>
        <v>filter</v>
      </c>
      <c r="V18" t="str">
        <f t="shared" si="3"/>
        <v/>
      </c>
      <c r="W18" t="str">
        <f t="shared" si="4"/>
        <v/>
      </c>
      <c r="X18" t="str">
        <f t="shared" si="5"/>
        <v/>
      </c>
      <c r="Y18" t="str">
        <f t="shared" si="6"/>
        <v>dataset</v>
      </c>
      <c r="Z18" t="str">
        <f t="shared" si="7"/>
        <v>sample</v>
      </c>
    </row>
    <row r="19" spans="1:1020" x14ac:dyDescent="0.15">
      <c r="A19" s="8" t="s">
        <v>1163</v>
      </c>
      <c r="B19" s="8"/>
      <c r="D19" s="6" t="s">
        <v>4047</v>
      </c>
      <c r="E19" s="6"/>
      <c r="F19">
        <v>500</v>
      </c>
      <c r="G19" t="b">
        <v>1</v>
      </c>
      <c r="H19" s="1" t="s">
        <v>16</v>
      </c>
      <c r="I19" t="s">
        <v>3112</v>
      </c>
      <c r="J19">
        <v>2</v>
      </c>
      <c r="K19" s="7" t="b">
        <v>0</v>
      </c>
      <c r="L19" s="7" t="b">
        <v>0</v>
      </c>
      <c r="M19" s="1" t="s">
        <v>18</v>
      </c>
      <c r="N19" s="1" t="s">
        <v>16</v>
      </c>
      <c r="O19" s="1" t="s">
        <v>16</v>
      </c>
      <c r="P19" s="1" t="s">
        <v>16</v>
      </c>
      <c r="Q19" s="1" t="s">
        <v>18</v>
      </c>
      <c r="R19" s="1" t="s">
        <v>18</v>
      </c>
      <c r="S19" t="str">
        <f t="shared" si="0"/>
        <v>filter|dataset|sample</v>
      </c>
      <c r="T19" t="str">
        <f t="shared" si="1"/>
        <v/>
      </c>
      <c r="U19" t="str">
        <f t="shared" si="2"/>
        <v>filter</v>
      </c>
      <c r="V19" t="str">
        <f t="shared" si="3"/>
        <v/>
      </c>
      <c r="W19" t="str">
        <f t="shared" si="4"/>
        <v/>
      </c>
      <c r="X19" t="str">
        <f t="shared" si="5"/>
        <v/>
      </c>
      <c r="Y19" t="str">
        <f t="shared" si="6"/>
        <v>dataset</v>
      </c>
      <c r="Z19" t="str">
        <f t="shared" si="7"/>
        <v>sample</v>
      </c>
    </row>
    <row r="20" spans="1:1020" x14ac:dyDescent="0.15">
      <c r="A20" s="8" t="s">
        <v>4069</v>
      </c>
      <c r="B20" s="8"/>
      <c r="D20" s="6" t="s">
        <v>4051</v>
      </c>
      <c r="E20" s="6" t="s">
        <v>4052</v>
      </c>
      <c r="F20">
        <v>500</v>
      </c>
      <c r="G20" t="b">
        <v>1</v>
      </c>
      <c r="H20" s="1" t="s">
        <v>16</v>
      </c>
      <c r="I20" t="s">
        <v>3112</v>
      </c>
      <c r="J20">
        <v>2</v>
      </c>
      <c r="K20" s="7" t="b">
        <v>0</v>
      </c>
      <c r="L20" s="7" t="b">
        <v>0</v>
      </c>
      <c r="M20" s="1" t="s">
        <v>18</v>
      </c>
      <c r="N20" s="1" t="s">
        <v>16</v>
      </c>
      <c r="O20" s="1" t="s">
        <v>16</v>
      </c>
      <c r="P20" s="1" t="s">
        <v>16</v>
      </c>
      <c r="Q20" s="1" t="s">
        <v>18</v>
      </c>
      <c r="R20" s="1" t="s">
        <v>18</v>
      </c>
      <c r="S20" t="str">
        <f t="shared" si="0"/>
        <v>filter|dataset|sample</v>
      </c>
      <c r="T20" t="str">
        <f t="shared" si="1"/>
        <v/>
      </c>
      <c r="U20" t="str">
        <f t="shared" si="2"/>
        <v>filter</v>
      </c>
      <c r="V20" t="str">
        <f t="shared" si="3"/>
        <v/>
      </c>
      <c r="W20" t="str">
        <f t="shared" si="4"/>
        <v/>
      </c>
      <c r="X20" t="str">
        <f t="shared" si="5"/>
        <v/>
      </c>
      <c r="Y20" t="str">
        <f t="shared" si="6"/>
        <v>dataset</v>
      </c>
      <c r="Z20" t="str">
        <f t="shared" si="7"/>
        <v>sample</v>
      </c>
    </row>
    <row r="21" spans="1:1020" ht="49" customHeight="1" x14ac:dyDescent="0.15">
      <c r="A21" s="8" t="s">
        <v>4070</v>
      </c>
      <c r="B21" s="8"/>
      <c r="D21" s="6" t="s">
        <v>4054</v>
      </c>
      <c r="E21" s="6"/>
      <c r="F21">
        <v>500</v>
      </c>
      <c r="G21" t="b">
        <v>1</v>
      </c>
      <c r="H21" s="1" t="s">
        <v>16</v>
      </c>
      <c r="I21" t="s">
        <v>3112</v>
      </c>
      <c r="J21">
        <v>2</v>
      </c>
      <c r="K21" s="7" t="b">
        <v>0</v>
      </c>
      <c r="L21" s="7" t="b">
        <v>0</v>
      </c>
      <c r="M21" s="1" t="s">
        <v>18</v>
      </c>
      <c r="N21" s="1" t="s">
        <v>16</v>
      </c>
      <c r="O21" s="1" t="s">
        <v>16</v>
      </c>
      <c r="P21" s="1" t="s">
        <v>16</v>
      </c>
      <c r="Q21" s="1" t="s">
        <v>18</v>
      </c>
      <c r="R21" s="1" t="s">
        <v>18</v>
      </c>
      <c r="S21" t="str">
        <f t="shared" si="0"/>
        <v>filter|dataset|sample</v>
      </c>
      <c r="T21" t="str">
        <f t="shared" si="1"/>
        <v/>
      </c>
      <c r="U21" t="str">
        <f t="shared" si="2"/>
        <v>filter</v>
      </c>
      <c r="V21" t="str">
        <f t="shared" si="3"/>
        <v/>
      </c>
      <c r="W21" t="str">
        <f t="shared" si="4"/>
        <v/>
      </c>
      <c r="X21" t="str">
        <f t="shared" si="5"/>
        <v/>
      </c>
      <c r="Y21" t="str">
        <f t="shared" si="6"/>
        <v>dataset</v>
      </c>
      <c r="Z21" t="str">
        <f t="shared" si="7"/>
        <v>sample</v>
      </c>
    </row>
    <row r="22" spans="1:1020" x14ac:dyDescent="0.15">
      <c r="A22" s="8" t="s">
        <v>4071</v>
      </c>
      <c r="B22" s="8"/>
      <c r="D22" s="6" t="s">
        <v>4055</v>
      </c>
      <c r="E22" s="6"/>
      <c r="F22">
        <v>500</v>
      </c>
      <c r="G22" t="b">
        <v>1</v>
      </c>
      <c r="H22" s="1" t="s">
        <v>16</v>
      </c>
      <c r="I22" t="s">
        <v>3112</v>
      </c>
      <c r="J22">
        <v>2</v>
      </c>
      <c r="K22" s="7" t="b">
        <v>0</v>
      </c>
      <c r="L22" s="7" t="b">
        <v>0</v>
      </c>
      <c r="M22" s="1" t="s">
        <v>18</v>
      </c>
      <c r="N22" s="1" t="s">
        <v>16</v>
      </c>
      <c r="O22" s="1" t="s">
        <v>16</v>
      </c>
      <c r="P22" s="1" t="s">
        <v>16</v>
      </c>
      <c r="Q22" s="1" t="s">
        <v>18</v>
      </c>
      <c r="R22" s="1" t="s">
        <v>18</v>
      </c>
      <c r="S22" t="str">
        <f t="shared" si="0"/>
        <v>filter|dataset|sample</v>
      </c>
      <c r="T22" t="str">
        <f t="shared" si="1"/>
        <v/>
      </c>
      <c r="U22" t="str">
        <f t="shared" si="2"/>
        <v>filter</v>
      </c>
      <c r="V22" t="str">
        <f t="shared" si="3"/>
        <v/>
      </c>
      <c r="W22" t="str">
        <f t="shared" si="4"/>
        <v/>
      </c>
      <c r="X22" t="str">
        <f t="shared" si="5"/>
        <v/>
      </c>
      <c r="Y22" t="str">
        <f t="shared" si="6"/>
        <v>dataset</v>
      </c>
      <c r="Z22" t="str">
        <f t="shared" si="7"/>
        <v>sample</v>
      </c>
    </row>
    <row r="23" spans="1:1020" x14ac:dyDescent="0.15">
      <c r="A23" t="s">
        <v>4077</v>
      </c>
      <c r="D23" s="6" t="s">
        <v>4089</v>
      </c>
      <c r="E23" s="6" t="s">
        <v>4121</v>
      </c>
      <c r="F23">
        <v>500</v>
      </c>
      <c r="G23" t="b">
        <v>1</v>
      </c>
      <c r="H23" s="1" t="s">
        <v>16</v>
      </c>
      <c r="I23" t="s">
        <v>3112</v>
      </c>
      <c r="J23">
        <v>2</v>
      </c>
      <c r="K23" s="7" t="b">
        <v>0</v>
      </c>
      <c r="L23" s="7" t="b">
        <v>0</v>
      </c>
      <c r="M23" s="1" t="s">
        <v>18</v>
      </c>
      <c r="N23" s="1" t="s">
        <v>16</v>
      </c>
      <c r="O23" s="1" t="s">
        <v>16</v>
      </c>
      <c r="P23" s="1" t="s">
        <v>16</v>
      </c>
      <c r="Q23" s="1" t="s">
        <v>18</v>
      </c>
      <c r="R23" s="1" t="s">
        <v>18</v>
      </c>
      <c r="S23" t="str">
        <f t="shared" si="0"/>
        <v>filter|dataset|sample</v>
      </c>
      <c r="T23" t="str">
        <f t="shared" si="1"/>
        <v/>
      </c>
      <c r="U23" t="str">
        <f t="shared" si="2"/>
        <v>filter</v>
      </c>
      <c r="V23" t="str">
        <f t="shared" si="3"/>
        <v/>
      </c>
      <c r="W23" t="str">
        <f t="shared" si="4"/>
        <v/>
      </c>
      <c r="X23" t="str">
        <f t="shared" si="5"/>
        <v/>
      </c>
      <c r="Y23" t="str">
        <f t="shared" si="6"/>
        <v>dataset</v>
      </c>
      <c r="Z23" t="str">
        <f t="shared" si="7"/>
        <v>sample</v>
      </c>
    </row>
    <row r="24" spans="1:1020" x14ac:dyDescent="0.15">
      <c r="A24" s="8" t="s">
        <v>4141</v>
      </c>
      <c r="B24" s="8"/>
      <c r="D24" s="6" t="s">
        <v>4142</v>
      </c>
      <c r="E24" s="6" t="s">
        <v>3231</v>
      </c>
      <c r="F24">
        <v>500</v>
      </c>
      <c r="G24" t="b">
        <v>1</v>
      </c>
      <c r="H24" s="1" t="s">
        <v>16</v>
      </c>
      <c r="I24" t="s">
        <v>3112</v>
      </c>
      <c r="J24">
        <v>2</v>
      </c>
      <c r="K24" s="7" t="b">
        <v>0</v>
      </c>
      <c r="L24" s="7" t="b">
        <v>0</v>
      </c>
      <c r="M24" s="1" t="s">
        <v>18</v>
      </c>
      <c r="N24" s="1" t="s">
        <v>16</v>
      </c>
      <c r="O24" s="1" t="s">
        <v>16</v>
      </c>
      <c r="P24" s="1" t="s">
        <v>16</v>
      </c>
      <c r="Q24" s="1" t="s">
        <v>18</v>
      </c>
      <c r="R24" s="1" t="s">
        <v>18</v>
      </c>
      <c r="S24" t="str">
        <f t="shared" si="0"/>
        <v>filter|dataset|sample</v>
      </c>
      <c r="T24" t="str">
        <f t="shared" si="1"/>
        <v/>
      </c>
      <c r="U24" t="str">
        <f t="shared" si="2"/>
        <v>filter</v>
      </c>
      <c r="V24" t="str">
        <f t="shared" si="3"/>
        <v/>
      </c>
      <c r="W24" t="str">
        <f t="shared" si="4"/>
        <v/>
      </c>
      <c r="X24" t="str">
        <f t="shared" si="5"/>
        <v/>
      </c>
      <c r="Y24" t="str">
        <f t="shared" si="6"/>
        <v>dataset</v>
      </c>
      <c r="Z24" t="str">
        <f t="shared" si="7"/>
        <v>sample</v>
      </c>
    </row>
    <row r="25" spans="1:1020" x14ac:dyDescent="0.15">
      <c r="A25" s="8" t="s">
        <v>4143</v>
      </c>
      <c r="B25" s="8"/>
      <c r="D25" s="6" t="s">
        <v>4144</v>
      </c>
      <c r="E25" s="6" t="s">
        <v>3230</v>
      </c>
      <c r="F25">
        <v>500</v>
      </c>
      <c r="G25" t="b">
        <v>1</v>
      </c>
      <c r="H25" s="1" t="s">
        <v>16</v>
      </c>
      <c r="I25" t="s">
        <v>3112</v>
      </c>
      <c r="J25">
        <v>2</v>
      </c>
      <c r="K25" s="7" t="b">
        <v>0</v>
      </c>
      <c r="L25" s="7" t="b">
        <v>0</v>
      </c>
      <c r="M25" s="1" t="s">
        <v>18</v>
      </c>
      <c r="N25" s="1" t="s">
        <v>16</v>
      </c>
      <c r="O25" s="1" t="s">
        <v>16</v>
      </c>
      <c r="P25" s="1" t="s">
        <v>16</v>
      </c>
      <c r="Q25" s="1" t="s">
        <v>18</v>
      </c>
      <c r="R25" s="1" t="s">
        <v>18</v>
      </c>
      <c r="S25" t="str">
        <f t="shared" si="0"/>
        <v>filter|dataset|sample</v>
      </c>
      <c r="T25" t="str">
        <f t="shared" si="1"/>
        <v/>
      </c>
      <c r="U25" t="str">
        <f t="shared" si="2"/>
        <v>filter</v>
      </c>
      <c r="V25" t="str">
        <f t="shared" si="3"/>
        <v/>
      </c>
      <c r="W25" t="str">
        <f t="shared" si="4"/>
        <v/>
      </c>
      <c r="X25" t="str">
        <f t="shared" si="5"/>
        <v/>
      </c>
      <c r="Y25" t="str">
        <f t="shared" si="6"/>
        <v>dataset</v>
      </c>
      <c r="Z25" t="str">
        <f t="shared" si="7"/>
        <v>sample</v>
      </c>
    </row>
    <row r="26" spans="1:1020" x14ac:dyDescent="0.15">
      <c r="A26" s="8" t="s">
        <v>4148</v>
      </c>
      <c r="B26" s="8"/>
      <c r="D26" s="6" t="s">
        <v>4146</v>
      </c>
      <c r="E26" s="6" t="s">
        <v>4147</v>
      </c>
      <c r="F26">
        <v>500</v>
      </c>
      <c r="G26" t="b">
        <v>1</v>
      </c>
      <c r="H26" s="1" t="s">
        <v>16</v>
      </c>
      <c r="I26" t="s">
        <v>3112</v>
      </c>
      <c r="J26">
        <v>2</v>
      </c>
      <c r="K26" s="7" t="b">
        <v>0</v>
      </c>
      <c r="L26" s="7" t="b">
        <v>0</v>
      </c>
      <c r="M26" s="1" t="s">
        <v>18</v>
      </c>
      <c r="N26" s="1" t="s">
        <v>16</v>
      </c>
      <c r="O26" s="1" t="s">
        <v>16</v>
      </c>
      <c r="P26" s="1" t="s">
        <v>16</v>
      </c>
      <c r="Q26" s="1" t="s">
        <v>18</v>
      </c>
      <c r="R26" s="1" t="s">
        <v>18</v>
      </c>
      <c r="S26" t="str">
        <f t="shared" si="0"/>
        <v>filter|dataset|sample</v>
      </c>
      <c r="T26" t="str">
        <f t="shared" si="1"/>
        <v/>
      </c>
      <c r="U26" t="str">
        <f t="shared" si="2"/>
        <v>filter</v>
      </c>
      <c r="V26" t="str">
        <f t="shared" si="3"/>
        <v/>
      </c>
      <c r="W26" t="str">
        <f t="shared" si="4"/>
        <v/>
      </c>
      <c r="X26" t="str">
        <f t="shared" si="5"/>
        <v/>
      </c>
      <c r="Y26" t="str">
        <f t="shared" si="6"/>
        <v>dataset</v>
      </c>
      <c r="Z26" t="str">
        <f t="shared" si="7"/>
        <v>sample</v>
      </c>
    </row>
    <row r="27" spans="1:1020" s="26" customFormat="1" x14ac:dyDescent="0.15">
      <c r="A27" s="8" t="s">
        <v>4149</v>
      </c>
      <c r="B27" s="8"/>
      <c r="C27"/>
      <c r="D27" s="6" t="s">
        <v>4150</v>
      </c>
      <c r="E27" s="6" t="s">
        <v>4151</v>
      </c>
      <c r="F27">
        <v>500</v>
      </c>
      <c r="G27" t="b">
        <v>1</v>
      </c>
      <c r="H27" s="1" t="s">
        <v>16</v>
      </c>
      <c r="I27" t="s">
        <v>3112</v>
      </c>
      <c r="J27">
        <v>2</v>
      </c>
      <c r="K27" s="7" t="b">
        <v>0</v>
      </c>
      <c r="L27" s="7" t="b">
        <v>0</v>
      </c>
      <c r="M27" s="1" t="s">
        <v>18</v>
      </c>
      <c r="N27" s="1" t="s">
        <v>16</v>
      </c>
      <c r="O27" s="1" t="s">
        <v>16</v>
      </c>
      <c r="P27" s="1" t="s">
        <v>16</v>
      </c>
      <c r="Q27" s="1" t="s">
        <v>18</v>
      </c>
      <c r="R27" s="1" t="s">
        <v>18</v>
      </c>
      <c r="S27" t="str">
        <f t="shared" si="0"/>
        <v>filter|dataset|sample</v>
      </c>
      <c r="T27" t="str">
        <f t="shared" si="1"/>
        <v/>
      </c>
      <c r="U27" t="str">
        <f t="shared" si="2"/>
        <v>filter</v>
      </c>
      <c r="V27" t="str">
        <f t="shared" si="3"/>
        <v/>
      </c>
      <c r="W27" t="str">
        <f t="shared" si="4"/>
        <v/>
      </c>
      <c r="X27" t="str">
        <f t="shared" si="5"/>
        <v/>
      </c>
      <c r="Y27" t="str">
        <f t="shared" si="6"/>
        <v>dataset</v>
      </c>
      <c r="Z27" t="str">
        <f t="shared" si="7"/>
        <v>sample</v>
      </c>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c r="ALY27"/>
      <c r="ALZ27"/>
      <c r="AMA27"/>
      <c r="AMB27"/>
      <c r="AMC27"/>
      <c r="AMD27"/>
      <c r="AME27"/>
      <c r="AMF27"/>
    </row>
    <row r="28" spans="1:1020" x14ac:dyDescent="0.15">
      <c r="A28" s="8" t="s">
        <v>4156</v>
      </c>
      <c r="D28" s="6" t="s">
        <v>4157</v>
      </c>
      <c r="E28" s="6" t="s">
        <v>4158</v>
      </c>
      <c r="F28">
        <v>500</v>
      </c>
      <c r="G28" t="b">
        <v>1</v>
      </c>
      <c r="H28" s="1" t="s">
        <v>16</v>
      </c>
      <c r="I28" t="s">
        <v>3112</v>
      </c>
      <c r="J28">
        <v>2</v>
      </c>
      <c r="K28" s="7" t="b">
        <v>0</v>
      </c>
      <c r="L28" s="7" t="b">
        <v>0</v>
      </c>
      <c r="M28" s="1" t="s">
        <v>18</v>
      </c>
      <c r="N28" s="1" t="s">
        <v>16</v>
      </c>
      <c r="O28" s="1" t="s">
        <v>16</v>
      </c>
      <c r="P28" s="1" t="s">
        <v>16</v>
      </c>
      <c r="Q28" s="1" t="s">
        <v>18</v>
      </c>
      <c r="R28" s="1" t="s">
        <v>18</v>
      </c>
      <c r="S28" t="str">
        <f t="shared" si="0"/>
        <v>filter|dataset|sample</v>
      </c>
      <c r="T28" t="str">
        <f t="shared" si="1"/>
        <v/>
      </c>
      <c r="U28" t="str">
        <f t="shared" si="2"/>
        <v>filter</v>
      </c>
      <c r="V28" t="str">
        <f t="shared" si="3"/>
        <v/>
      </c>
      <c r="W28" t="str">
        <f t="shared" si="4"/>
        <v/>
      </c>
      <c r="X28" t="str">
        <f t="shared" si="5"/>
        <v/>
      </c>
      <c r="Y28" t="str">
        <f t="shared" si="6"/>
        <v>dataset</v>
      </c>
      <c r="Z28" t="str">
        <f t="shared" si="7"/>
        <v>sample</v>
      </c>
    </row>
    <row r="29" spans="1:1020" x14ac:dyDescent="0.15">
      <c r="A29" s="6" t="s">
        <v>13</v>
      </c>
      <c r="B29" s="6"/>
      <c r="C29" s="6"/>
      <c r="D29" t="s">
        <v>15</v>
      </c>
      <c r="F29">
        <v>500</v>
      </c>
      <c r="G29" t="b">
        <v>0</v>
      </c>
      <c r="H29" s="1" t="s">
        <v>16</v>
      </c>
      <c r="I29" t="s">
        <v>17</v>
      </c>
      <c r="J29">
        <v>0</v>
      </c>
      <c r="K29" s="7" t="b">
        <v>0</v>
      </c>
      <c r="L29" s="7" t="b">
        <v>0</v>
      </c>
      <c r="M29" s="1" t="s">
        <v>18</v>
      </c>
      <c r="N29" s="1" t="s">
        <v>16</v>
      </c>
      <c r="O29" s="1" t="s">
        <v>16</v>
      </c>
      <c r="P29" s="1" t="s">
        <v>16</v>
      </c>
      <c r="Q29" s="1" t="s">
        <v>18</v>
      </c>
      <c r="R29" s="1" t="s">
        <v>16</v>
      </c>
      <c r="S29" t="str">
        <f t="shared" si="0"/>
        <v>filter|dataset</v>
      </c>
      <c r="T29" t="str">
        <f t="shared" si="1"/>
        <v/>
      </c>
      <c r="U29" t="str">
        <f t="shared" si="2"/>
        <v>filter</v>
      </c>
      <c r="V29" t="str">
        <f t="shared" si="3"/>
        <v/>
      </c>
      <c r="W29" t="str">
        <f t="shared" si="4"/>
        <v/>
      </c>
      <c r="X29" t="str">
        <f t="shared" si="5"/>
        <v/>
      </c>
      <c r="Y29" t="str">
        <f t="shared" si="6"/>
        <v>dataset</v>
      </c>
      <c r="Z29" t="str">
        <f t="shared" si="7"/>
        <v/>
      </c>
    </row>
    <row r="30" spans="1:1020" x14ac:dyDescent="0.15">
      <c r="A30" s="6" t="s">
        <v>84</v>
      </c>
      <c r="B30" s="6"/>
      <c r="C30" s="6" t="s">
        <v>4063</v>
      </c>
      <c r="D30" t="s">
        <v>85</v>
      </c>
      <c r="F30">
        <v>500</v>
      </c>
      <c r="G30" t="b">
        <v>0</v>
      </c>
      <c r="H30" s="1" t="s">
        <v>16</v>
      </c>
      <c r="I30" t="s">
        <v>17</v>
      </c>
      <c r="J30">
        <v>0</v>
      </c>
      <c r="K30" s="7" t="b">
        <v>0</v>
      </c>
      <c r="L30" s="7" t="b">
        <v>0</v>
      </c>
      <c r="M30" s="1" t="s">
        <v>18</v>
      </c>
      <c r="N30" s="1" t="s">
        <v>16</v>
      </c>
      <c r="O30" s="1" t="s">
        <v>16</v>
      </c>
      <c r="P30" s="1" t="s">
        <v>16</v>
      </c>
      <c r="Q30" s="1" t="s">
        <v>18</v>
      </c>
      <c r="R30" s="1" t="s">
        <v>16</v>
      </c>
      <c r="S30" t="str">
        <f t="shared" si="0"/>
        <v>filter|dataset</v>
      </c>
      <c r="T30" t="str">
        <f t="shared" si="1"/>
        <v/>
      </c>
      <c r="U30" t="str">
        <f t="shared" si="2"/>
        <v>filter</v>
      </c>
      <c r="V30" t="str">
        <f t="shared" si="3"/>
        <v/>
      </c>
      <c r="W30" t="str">
        <f t="shared" si="4"/>
        <v/>
      </c>
      <c r="X30" t="str">
        <f t="shared" si="5"/>
        <v/>
      </c>
      <c r="Y30" t="str">
        <f t="shared" si="6"/>
        <v>dataset</v>
      </c>
      <c r="Z30" t="str">
        <f t="shared" si="7"/>
        <v/>
      </c>
    </row>
    <row r="31" spans="1:1020" x14ac:dyDescent="0.15">
      <c r="A31" s="6" t="s">
        <v>202</v>
      </c>
      <c r="B31" s="6"/>
      <c r="C31" s="6"/>
      <c r="D31" t="s">
        <v>3136</v>
      </c>
      <c r="F31">
        <v>500</v>
      </c>
      <c r="G31" t="b">
        <v>0</v>
      </c>
      <c r="H31" s="1" t="s">
        <v>16</v>
      </c>
      <c r="I31" t="s">
        <v>17</v>
      </c>
      <c r="J31">
        <v>0</v>
      </c>
      <c r="K31" s="7" t="b">
        <v>0</v>
      </c>
      <c r="L31" s="7" t="b">
        <v>0</v>
      </c>
      <c r="M31" s="1" t="s">
        <v>18</v>
      </c>
      <c r="N31" s="1" t="s">
        <v>16</v>
      </c>
      <c r="O31" s="1" t="s">
        <v>16</v>
      </c>
      <c r="P31" s="1" t="s">
        <v>16</v>
      </c>
      <c r="Q31" s="1" t="s">
        <v>18</v>
      </c>
      <c r="R31" s="1" t="s">
        <v>16</v>
      </c>
      <c r="S31" t="str">
        <f t="shared" si="0"/>
        <v>filter|dataset</v>
      </c>
      <c r="T31" t="str">
        <f t="shared" si="1"/>
        <v/>
      </c>
      <c r="U31" t="str">
        <f t="shared" si="2"/>
        <v>filter</v>
      </c>
      <c r="V31" t="str">
        <f t="shared" si="3"/>
        <v/>
      </c>
      <c r="W31" t="str">
        <f t="shared" si="4"/>
        <v/>
      </c>
      <c r="X31" t="str">
        <f t="shared" si="5"/>
        <v/>
      </c>
      <c r="Y31" t="str">
        <f t="shared" si="6"/>
        <v>dataset</v>
      </c>
      <c r="Z31" t="str">
        <f t="shared" si="7"/>
        <v/>
      </c>
    </row>
    <row r="32" spans="1:1020" x14ac:dyDescent="0.15">
      <c r="A32" t="s">
        <v>2739</v>
      </c>
      <c r="D32" t="s">
        <v>2740</v>
      </c>
      <c r="F32">
        <v>500</v>
      </c>
      <c r="G32" t="b">
        <v>0</v>
      </c>
      <c r="H32" s="1" t="s">
        <v>16</v>
      </c>
      <c r="I32" t="s">
        <v>17</v>
      </c>
      <c r="J32">
        <v>0</v>
      </c>
      <c r="K32" s="2" t="b">
        <v>0</v>
      </c>
      <c r="L32" s="7" t="b">
        <v>0</v>
      </c>
      <c r="M32" s="1" t="s">
        <v>18</v>
      </c>
      <c r="N32" s="1" t="s">
        <v>16</v>
      </c>
      <c r="O32" s="1" t="s">
        <v>16</v>
      </c>
      <c r="P32" s="1" t="s">
        <v>16</v>
      </c>
      <c r="Q32" s="1" t="s">
        <v>18</v>
      </c>
      <c r="R32" s="1" t="s">
        <v>16</v>
      </c>
      <c r="S32" t="str">
        <f t="shared" si="0"/>
        <v>filter|dataset</v>
      </c>
      <c r="T32" t="str">
        <f t="shared" si="1"/>
        <v/>
      </c>
      <c r="U32" t="str">
        <f t="shared" si="2"/>
        <v>filter</v>
      </c>
      <c r="V32" t="str">
        <f t="shared" si="3"/>
        <v/>
      </c>
      <c r="W32" t="str">
        <f t="shared" si="4"/>
        <v/>
      </c>
      <c r="X32" t="str">
        <f t="shared" si="5"/>
        <v/>
      </c>
      <c r="Y32" t="str">
        <f t="shared" si="6"/>
        <v>dataset</v>
      </c>
      <c r="Z32" t="str">
        <f t="shared" si="7"/>
        <v/>
      </c>
    </row>
    <row r="33" spans="1:1020" x14ac:dyDescent="0.15">
      <c r="A33" s="6" t="s">
        <v>58</v>
      </c>
      <c r="B33" s="6"/>
      <c r="C33" s="6" t="s">
        <v>3964</v>
      </c>
      <c r="D33" t="s">
        <v>59</v>
      </c>
      <c r="F33">
        <v>600</v>
      </c>
      <c r="G33" t="b">
        <v>0</v>
      </c>
      <c r="H33" s="1" t="s">
        <v>16</v>
      </c>
      <c r="I33" t="s">
        <v>17</v>
      </c>
      <c r="J33">
        <v>0</v>
      </c>
      <c r="K33" s="7" t="b">
        <v>0</v>
      </c>
      <c r="L33" s="7" t="b">
        <v>0</v>
      </c>
      <c r="M33" s="1" t="s">
        <v>18</v>
      </c>
      <c r="N33" s="1" t="s">
        <v>16</v>
      </c>
      <c r="O33" s="1" t="s">
        <v>16</v>
      </c>
      <c r="P33" s="1" t="s">
        <v>16</v>
      </c>
      <c r="Q33" s="1" t="s">
        <v>18</v>
      </c>
      <c r="R33" s="1" t="s">
        <v>18</v>
      </c>
      <c r="S33" t="str">
        <f t="shared" si="0"/>
        <v>filter|dataset|sample</v>
      </c>
      <c r="T33" t="str">
        <f t="shared" si="1"/>
        <v/>
      </c>
      <c r="U33" t="str">
        <f t="shared" si="2"/>
        <v>filter</v>
      </c>
      <c r="V33" t="str">
        <f t="shared" si="3"/>
        <v/>
      </c>
      <c r="W33" t="str">
        <f t="shared" si="4"/>
        <v/>
      </c>
      <c r="X33" t="str">
        <f t="shared" si="5"/>
        <v/>
      </c>
      <c r="Y33" t="str">
        <f t="shared" si="6"/>
        <v>dataset</v>
      </c>
      <c r="Z33" t="str">
        <f t="shared" si="7"/>
        <v>sample</v>
      </c>
    </row>
    <row r="34" spans="1:1020" x14ac:dyDescent="0.15">
      <c r="A34" t="s">
        <v>2837</v>
      </c>
      <c r="D34" t="s">
        <v>3086</v>
      </c>
      <c r="F34">
        <v>650</v>
      </c>
      <c r="G34" t="b">
        <v>0</v>
      </c>
      <c r="H34" s="1" t="s">
        <v>16</v>
      </c>
      <c r="I34" t="s">
        <v>43</v>
      </c>
      <c r="J34">
        <v>0</v>
      </c>
      <c r="K34" s="2" t="b">
        <v>0</v>
      </c>
      <c r="L34" s="2" t="b">
        <v>0</v>
      </c>
      <c r="M34" s="1" t="s">
        <v>18</v>
      </c>
      <c r="N34" s="1" t="s">
        <v>16</v>
      </c>
      <c r="O34" s="1" t="s">
        <v>16</v>
      </c>
      <c r="P34" s="1" t="s">
        <v>16</v>
      </c>
      <c r="Q34" s="1" t="s">
        <v>18</v>
      </c>
      <c r="R34" s="1" t="s">
        <v>18</v>
      </c>
      <c r="S34" t="str">
        <f t="shared" ref="S34:S65" si="8">_xlfn.TEXTJOIN("|",TRUE,T34:AB34)</f>
        <v>filter|dataset|sample</v>
      </c>
      <c r="T34" t="str">
        <f t="shared" ref="T34:T65" si="9">IF(L34,"mandatory","")</f>
        <v/>
      </c>
      <c r="U34" t="str">
        <f t="shared" ref="U34:U65" si="10">IF(M34,"filter","")</f>
        <v>filter</v>
      </c>
      <c r="V34" t="str">
        <f t="shared" ref="V34:V65" si="11">IF(N34,"user","")</f>
        <v/>
      </c>
      <c r="W34" t="str">
        <f t="shared" ref="W34:W65" si="12">IF(O34,"genotype","")</f>
        <v/>
      </c>
      <c r="X34" t="str">
        <f t="shared" ref="X34:X65" si="13">IF(P34,"qc","")</f>
        <v/>
      </c>
      <c r="Y34" t="str">
        <f t="shared" ref="Y34:Y65" si="14">IF(Q34,"dataset","")</f>
        <v>dataset</v>
      </c>
      <c r="Z34" t="str">
        <f t="shared" ref="Z34:Z65" si="15">IF(R34,"sample","")</f>
        <v>sample</v>
      </c>
    </row>
    <row r="35" spans="1:1020" x14ac:dyDescent="0.15">
      <c r="A35" t="s">
        <v>1163</v>
      </c>
      <c r="D35" s="6" t="s">
        <v>3098</v>
      </c>
      <c r="E35" s="6"/>
      <c r="F35">
        <v>500</v>
      </c>
      <c r="G35" t="b">
        <v>0</v>
      </c>
      <c r="H35" s="1" t="s">
        <v>16</v>
      </c>
      <c r="I35" t="s">
        <v>43</v>
      </c>
      <c r="J35">
        <v>0</v>
      </c>
      <c r="K35" s="7" t="b">
        <v>0</v>
      </c>
      <c r="L35" s="7" t="b">
        <v>0</v>
      </c>
      <c r="M35" s="1" t="s">
        <v>18</v>
      </c>
      <c r="N35" s="1" t="s">
        <v>16</v>
      </c>
      <c r="O35" s="1" t="s">
        <v>16</v>
      </c>
      <c r="P35" s="1" t="s">
        <v>16</v>
      </c>
      <c r="Q35" s="1" t="s">
        <v>18</v>
      </c>
      <c r="R35" s="1" t="s">
        <v>18</v>
      </c>
      <c r="S35" t="str">
        <f t="shared" si="8"/>
        <v>filter|dataset|sample</v>
      </c>
      <c r="T35" t="str">
        <f t="shared" si="9"/>
        <v/>
      </c>
      <c r="U35" t="str">
        <f t="shared" si="10"/>
        <v>filter</v>
      </c>
      <c r="V35" t="str">
        <f t="shared" si="11"/>
        <v/>
      </c>
      <c r="W35" t="str">
        <f t="shared" si="12"/>
        <v/>
      </c>
      <c r="X35" t="str">
        <f t="shared" si="13"/>
        <v/>
      </c>
      <c r="Y35" t="str">
        <f t="shared" si="14"/>
        <v>dataset</v>
      </c>
      <c r="Z35" t="str">
        <f t="shared" si="15"/>
        <v>sample</v>
      </c>
    </row>
    <row r="36" spans="1:1020" x14ac:dyDescent="0.15">
      <c r="A36" t="s">
        <v>2882</v>
      </c>
      <c r="D36" t="s">
        <v>2883</v>
      </c>
      <c r="F36">
        <v>500</v>
      </c>
      <c r="G36" t="b">
        <v>0</v>
      </c>
      <c r="H36" s="1" t="s">
        <v>16</v>
      </c>
      <c r="I36" t="s">
        <v>43</v>
      </c>
      <c r="J36">
        <v>1</v>
      </c>
      <c r="K36" s="7" t="b">
        <v>0</v>
      </c>
      <c r="L36" s="7" t="b">
        <v>0</v>
      </c>
      <c r="M36" s="1" t="s">
        <v>18</v>
      </c>
      <c r="N36" s="1" t="s">
        <v>16</v>
      </c>
      <c r="O36" s="1" t="s">
        <v>16</v>
      </c>
      <c r="P36" s="1" t="s">
        <v>16</v>
      </c>
      <c r="Q36" s="1" t="s">
        <v>18</v>
      </c>
      <c r="R36" s="1" t="s">
        <v>18</v>
      </c>
      <c r="S36" t="str">
        <f t="shared" si="8"/>
        <v>filter|dataset|sample</v>
      </c>
      <c r="T36" t="str">
        <f t="shared" si="9"/>
        <v/>
      </c>
      <c r="U36" t="str">
        <f t="shared" si="10"/>
        <v>filter</v>
      </c>
      <c r="V36" t="str">
        <f t="shared" si="11"/>
        <v/>
      </c>
      <c r="W36" t="str">
        <f t="shared" si="12"/>
        <v/>
      </c>
      <c r="X36" t="str">
        <f t="shared" si="13"/>
        <v/>
      </c>
      <c r="Y36" t="str">
        <f t="shared" si="14"/>
        <v>dataset</v>
      </c>
      <c r="Z36" t="str">
        <f t="shared" si="15"/>
        <v>sample</v>
      </c>
    </row>
    <row r="37" spans="1:1020" x14ac:dyDescent="0.15">
      <c r="A37" s="6" t="s">
        <v>41</v>
      </c>
      <c r="B37" s="6"/>
      <c r="C37" s="6"/>
      <c r="D37" t="s">
        <v>42</v>
      </c>
      <c r="F37">
        <v>200</v>
      </c>
      <c r="G37" t="b">
        <v>0</v>
      </c>
      <c r="H37" s="1" t="s">
        <v>16</v>
      </c>
      <c r="I37" t="s">
        <v>43</v>
      </c>
      <c r="J37">
        <v>1</v>
      </c>
      <c r="K37" s="7" t="b">
        <v>0</v>
      </c>
      <c r="L37" s="7" t="b">
        <v>0</v>
      </c>
      <c r="M37" s="1" t="s">
        <v>18</v>
      </c>
      <c r="N37" s="1" t="s">
        <v>16</v>
      </c>
      <c r="O37" s="1" t="s">
        <v>16</v>
      </c>
      <c r="P37" s="1" t="s">
        <v>16</v>
      </c>
      <c r="Q37" s="1" t="s">
        <v>18</v>
      </c>
      <c r="R37" s="1" t="s">
        <v>16</v>
      </c>
      <c r="S37" t="str">
        <f t="shared" si="8"/>
        <v>filter|dataset</v>
      </c>
      <c r="T37" t="str">
        <f t="shared" si="9"/>
        <v/>
      </c>
      <c r="U37" t="str">
        <f t="shared" si="10"/>
        <v>filter</v>
      </c>
      <c r="V37" t="str">
        <f t="shared" si="11"/>
        <v/>
      </c>
      <c r="W37" t="str">
        <f t="shared" si="12"/>
        <v/>
      </c>
      <c r="X37" t="str">
        <f t="shared" si="13"/>
        <v/>
      </c>
      <c r="Y37" t="str">
        <f t="shared" si="14"/>
        <v>dataset</v>
      </c>
      <c r="Z37" t="str">
        <f t="shared" si="15"/>
        <v/>
      </c>
    </row>
    <row r="38" spans="1:1020" x14ac:dyDescent="0.15">
      <c r="A38" s="6" t="s">
        <v>44</v>
      </c>
      <c r="B38" s="6"/>
      <c r="C38" s="6"/>
      <c r="D38" t="s">
        <v>45</v>
      </c>
      <c r="F38">
        <v>200</v>
      </c>
      <c r="G38" t="b">
        <v>0</v>
      </c>
      <c r="H38" s="1" t="s">
        <v>16</v>
      </c>
      <c r="I38" t="s">
        <v>43</v>
      </c>
      <c r="J38">
        <v>1</v>
      </c>
      <c r="K38" s="7" t="b">
        <v>0</v>
      </c>
      <c r="L38" s="7" t="b">
        <v>0</v>
      </c>
      <c r="M38" s="1" t="s">
        <v>18</v>
      </c>
      <c r="N38" s="1" t="s">
        <v>16</v>
      </c>
      <c r="O38" s="1" t="s">
        <v>16</v>
      </c>
      <c r="P38" s="1" t="s">
        <v>16</v>
      </c>
      <c r="Q38" s="1" t="s">
        <v>18</v>
      </c>
      <c r="R38" s="1" t="s">
        <v>16</v>
      </c>
      <c r="S38" t="str">
        <f t="shared" si="8"/>
        <v>filter|dataset</v>
      </c>
      <c r="T38" t="str">
        <f t="shared" si="9"/>
        <v/>
      </c>
      <c r="U38" t="str">
        <f t="shared" si="10"/>
        <v>filter</v>
      </c>
      <c r="V38" t="str">
        <f t="shared" si="11"/>
        <v/>
      </c>
      <c r="W38" t="str">
        <f t="shared" si="12"/>
        <v/>
      </c>
      <c r="X38" t="str">
        <f t="shared" si="13"/>
        <v/>
      </c>
      <c r="Y38" t="str">
        <f t="shared" si="14"/>
        <v>dataset</v>
      </c>
      <c r="Z38" t="str">
        <f t="shared" si="15"/>
        <v/>
      </c>
    </row>
    <row r="39" spans="1:1020" x14ac:dyDescent="0.15">
      <c r="A39" s="6" t="s">
        <v>2881</v>
      </c>
      <c r="B39" s="6"/>
      <c r="C39" s="6"/>
      <c r="D39" t="s">
        <v>2893</v>
      </c>
      <c r="F39">
        <v>500</v>
      </c>
      <c r="G39" t="b">
        <v>0</v>
      </c>
      <c r="H39" s="1" t="s">
        <v>16</v>
      </c>
      <c r="I39" t="s">
        <v>38</v>
      </c>
      <c r="J39">
        <v>0</v>
      </c>
      <c r="K39" s="7" t="b">
        <v>0</v>
      </c>
      <c r="L39" s="7" t="b">
        <v>0</v>
      </c>
      <c r="M39" s="21" t="b">
        <v>0</v>
      </c>
      <c r="N39" s="21" t="b">
        <v>0</v>
      </c>
      <c r="O39" s="21" t="b">
        <v>0</v>
      </c>
      <c r="P39" s="21" t="b">
        <v>0</v>
      </c>
      <c r="Q39" s="21" t="b">
        <v>1</v>
      </c>
      <c r="R39" s="11" t="s">
        <v>18</v>
      </c>
      <c r="S39" t="str">
        <f t="shared" si="8"/>
        <v>dataset|sample</v>
      </c>
      <c r="T39" t="str">
        <f t="shared" si="9"/>
        <v/>
      </c>
      <c r="U39" t="str">
        <f t="shared" si="10"/>
        <v/>
      </c>
      <c r="V39" t="str">
        <f t="shared" si="11"/>
        <v/>
      </c>
      <c r="W39" t="str">
        <f t="shared" si="12"/>
        <v/>
      </c>
      <c r="X39" t="str">
        <f t="shared" si="13"/>
        <v/>
      </c>
      <c r="Y39" t="str">
        <f t="shared" si="14"/>
        <v>dataset</v>
      </c>
      <c r="Z39" t="str">
        <f t="shared" si="15"/>
        <v>sample</v>
      </c>
    </row>
    <row r="40" spans="1:1020" x14ac:dyDescent="0.15">
      <c r="A40" t="s">
        <v>39</v>
      </c>
      <c r="C40" t="s">
        <v>4156</v>
      </c>
      <c r="D40" t="s">
        <v>40</v>
      </c>
      <c r="F40">
        <v>600</v>
      </c>
      <c r="G40" t="b">
        <v>0</v>
      </c>
      <c r="H40" s="1" t="s">
        <v>16</v>
      </c>
      <c r="I40" t="s">
        <v>38</v>
      </c>
      <c r="J40">
        <v>0</v>
      </c>
      <c r="K40" s="7" t="b">
        <v>0</v>
      </c>
      <c r="L40" s="7" t="b">
        <v>0</v>
      </c>
      <c r="M40" s="1" t="s">
        <v>18</v>
      </c>
      <c r="N40" s="1" t="s">
        <v>16</v>
      </c>
      <c r="O40" s="1" t="s">
        <v>16</v>
      </c>
      <c r="P40" s="1" t="s">
        <v>16</v>
      </c>
      <c r="Q40" s="1" t="s">
        <v>18</v>
      </c>
      <c r="R40" s="1" t="s">
        <v>16</v>
      </c>
      <c r="S40" t="str">
        <f t="shared" si="8"/>
        <v>filter|dataset</v>
      </c>
      <c r="T40" t="str">
        <f t="shared" si="9"/>
        <v/>
      </c>
      <c r="U40" t="str">
        <f t="shared" si="10"/>
        <v>filter</v>
      </c>
      <c r="V40" t="str">
        <f t="shared" si="11"/>
        <v/>
      </c>
      <c r="W40" t="str">
        <f t="shared" si="12"/>
        <v/>
      </c>
      <c r="X40" t="str">
        <f t="shared" si="13"/>
        <v/>
      </c>
      <c r="Y40" t="str">
        <f t="shared" si="14"/>
        <v>dataset</v>
      </c>
      <c r="Z40" t="str">
        <f t="shared" si="15"/>
        <v/>
      </c>
    </row>
    <row r="41" spans="1:1020" x14ac:dyDescent="0.15">
      <c r="A41" t="s">
        <v>2938</v>
      </c>
      <c r="D41" t="s">
        <v>2939</v>
      </c>
      <c r="F41">
        <v>600</v>
      </c>
      <c r="G41" t="b">
        <v>0</v>
      </c>
      <c r="H41" s="1" t="s">
        <v>16</v>
      </c>
      <c r="I41" t="s">
        <v>38</v>
      </c>
      <c r="J41">
        <v>0</v>
      </c>
      <c r="K41" s="7" t="b">
        <v>0</v>
      </c>
      <c r="L41" s="7" t="b">
        <v>0</v>
      </c>
      <c r="M41" s="1" t="s">
        <v>16</v>
      </c>
      <c r="N41" s="1" t="s">
        <v>16</v>
      </c>
      <c r="O41" s="1" t="s">
        <v>16</v>
      </c>
      <c r="P41" s="1" t="s">
        <v>16</v>
      </c>
      <c r="Q41" s="1" t="s">
        <v>16</v>
      </c>
      <c r="R41" s="1" t="s">
        <v>16</v>
      </c>
      <c r="S41" t="str">
        <f t="shared" si="8"/>
        <v/>
      </c>
      <c r="T41" t="str">
        <f t="shared" si="9"/>
        <v/>
      </c>
      <c r="U41" t="str">
        <f t="shared" si="10"/>
        <v/>
      </c>
      <c r="V41" t="str">
        <f t="shared" si="11"/>
        <v/>
      </c>
      <c r="W41" t="str">
        <f t="shared" si="12"/>
        <v/>
      </c>
      <c r="X41" t="str">
        <f t="shared" si="13"/>
        <v/>
      </c>
      <c r="Y41" t="str">
        <f t="shared" si="14"/>
        <v/>
      </c>
      <c r="Z41" t="str">
        <f t="shared" si="15"/>
        <v/>
      </c>
    </row>
    <row r="42" spans="1:1020" x14ac:dyDescent="0.15">
      <c r="A42" s="6" t="s">
        <v>2981</v>
      </c>
      <c r="B42" s="6"/>
      <c r="C42" s="6"/>
      <c r="D42" t="s">
        <v>3204</v>
      </c>
      <c r="F42">
        <v>600</v>
      </c>
      <c r="G42" t="b">
        <v>0</v>
      </c>
      <c r="H42" s="1" t="s">
        <v>16</v>
      </c>
      <c r="I42" t="s">
        <v>38</v>
      </c>
      <c r="J42">
        <v>0</v>
      </c>
      <c r="K42" s="7" t="b">
        <v>0</v>
      </c>
      <c r="L42" s="7" t="b">
        <v>0</v>
      </c>
      <c r="M42" s="1" t="s">
        <v>18</v>
      </c>
      <c r="N42" s="1" t="s">
        <v>16</v>
      </c>
      <c r="O42" s="1" t="s">
        <v>16</v>
      </c>
      <c r="P42" s="1" t="s">
        <v>16</v>
      </c>
      <c r="Q42" s="1" t="s">
        <v>18</v>
      </c>
      <c r="R42" s="1" t="s">
        <v>18</v>
      </c>
      <c r="S42" t="str">
        <f t="shared" si="8"/>
        <v>filter|dataset|sample</v>
      </c>
      <c r="T42" t="str">
        <f t="shared" si="9"/>
        <v/>
      </c>
      <c r="U42" t="str">
        <f t="shared" si="10"/>
        <v>filter</v>
      </c>
      <c r="V42" t="str">
        <f t="shared" si="11"/>
        <v/>
      </c>
      <c r="W42" t="str">
        <f t="shared" si="12"/>
        <v/>
      </c>
      <c r="X42" t="str">
        <f t="shared" si="13"/>
        <v/>
      </c>
      <c r="Y42" t="str">
        <f t="shared" si="14"/>
        <v>dataset</v>
      </c>
      <c r="Z42" t="str">
        <f t="shared" si="15"/>
        <v>sample</v>
      </c>
    </row>
    <row r="43" spans="1:1020" s="27" customFormat="1" x14ac:dyDescent="0.15">
      <c r="A43" s="6" t="s">
        <v>3113</v>
      </c>
      <c r="B43" s="6"/>
      <c r="C43" s="6"/>
      <c r="D43" t="s">
        <v>3236</v>
      </c>
      <c r="E43"/>
      <c r="F43">
        <v>600</v>
      </c>
      <c r="G43" t="b">
        <v>0</v>
      </c>
      <c r="H43" s="1" t="s">
        <v>16</v>
      </c>
      <c r="I43" t="s">
        <v>38</v>
      </c>
      <c r="J43">
        <v>0</v>
      </c>
      <c r="K43" s="7" t="b">
        <v>0</v>
      </c>
      <c r="L43" s="7" t="b">
        <v>0</v>
      </c>
      <c r="M43" s="1" t="s">
        <v>18</v>
      </c>
      <c r="N43" s="1" t="s">
        <v>16</v>
      </c>
      <c r="O43" s="1" t="s">
        <v>16</v>
      </c>
      <c r="P43" s="1" t="s">
        <v>16</v>
      </c>
      <c r="Q43" s="1" t="s">
        <v>18</v>
      </c>
      <c r="R43" s="1" t="s">
        <v>18</v>
      </c>
      <c r="S43" t="str">
        <f t="shared" si="8"/>
        <v>filter|dataset|sample</v>
      </c>
      <c r="T43" t="str">
        <f t="shared" si="9"/>
        <v/>
      </c>
      <c r="U43" t="str">
        <f t="shared" si="10"/>
        <v>filter</v>
      </c>
      <c r="V43" t="str">
        <f t="shared" si="11"/>
        <v/>
      </c>
      <c r="W43" t="str">
        <f t="shared" si="12"/>
        <v/>
      </c>
      <c r="X43" t="str">
        <f t="shared" si="13"/>
        <v/>
      </c>
      <c r="Y43" t="str">
        <f t="shared" si="14"/>
        <v>dataset</v>
      </c>
      <c r="Z43" t="str">
        <f t="shared" si="15"/>
        <v>sample</v>
      </c>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c r="ALY43"/>
      <c r="ALZ43"/>
      <c r="AMA43"/>
      <c r="AMB43"/>
      <c r="AMC43"/>
      <c r="AMD43"/>
      <c r="AME43"/>
      <c r="AMF43"/>
    </row>
    <row r="44" spans="1:1020" x14ac:dyDescent="0.15">
      <c r="A44" t="s">
        <v>2872</v>
      </c>
      <c r="D44" t="s">
        <v>2873</v>
      </c>
      <c r="F44">
        <v>550</v>
      </c>
      <c r="G44" t="b">
        <v>0</v>
      </c>
      <c r="H44" s="1" t="s">
        <v>16</v>
      </c>
      <c r="I44" t="s">
        <v>38</v>
      </c>
      <c r="J44">
        <v>0</v>
      </c>
      <c r="K44" s="7" t="b">
        <v>0</v>
      </c>
      <c r="L44" s="7" t="b">
        <v>0</v>
      </c>
      <c r="M44" s="1" t="s">
        <v>18</v>
      </c>
      <c r="N44" s="1" t="s">
        <v>16</v>
      </c>
      <c r="O44" s="1" t="s">
        <v>16</v>
      </c>
      <c r="P44" s="1" t="s">
        <v>16</v>
      </c>
      <c r="Q44" s="1" t="s">
        <v>18</v>
      </c>
      <c r="R44" s="1" t="s">
        <v>18</v>
      </c>
      <c r="S44" t="str">
        <f t="shared" si="8"/>
        <v>filter|dataset|sample</v>
      </c>
      <c r="T44" t="str">
        <f t="shared" si="9"/>
        <v/>
      </c>
      <c r="U44" t="str">
        <f t="shared" si="10"/>
        <v>filter</v>
      </c>
      <c r="V44" t="str">
        <f t="shared" si="11"/>
        <v/>
      </c>
      <c r="W44" t="str">
        <f t="shared" si="12"/>
        <v/>
      </c>
      <c r="X44" t="str">
        <f t="shared" si="13"/>
        <v/>
      </c>
      <c r="Y44" t="str">
        <f t="shared" si="14"/>
        <v>dataset</v>
      </c>
      <c r="Z44" t="str">
        <f t="shared" si="15"/>
        <v>sample</v>
      </c>
    </row>
    <row r="45" spans="1:1020" x14ac:dyDescent="0.15">
      <c r="A45" t="s">
        <v>36</v>
      </c>
      <c r="D45" t="s">
        <v>37</v>
      </c>
      <c r="F45">
        <v>500</v>
      </c>
      <c r="G45" t="b">
        <v>0</v>
      </c>
      <c r="H45" s="1" t="s">
        <v>16</v>
      </c>
      <c r="I45" t="s">
        <v>38</v>
      </c>
      <c r="J45">
        <v>0</v>
      </c>
      <c r="K45" s="7" t="b">
        <v>0</v>
      </c>
      <c r="L45" s="7" t="b">
        <v>0</v>
      </c>
      <c r="M45" s="1" t="s">
        <v>18</v>
      </c>
      <c r="N45" s="1" t="s">
        <v>16</v>
      </c>
      <c r="O45" s="1" t="s">
        <v>16</v>
      </c>
      <c r="P45" s="1" t="s">
        <v>16</v>
      </c>
      <c r="Q45" s="1" t="s">
        <v>18</v>
      </c>
      <c r="R45" s="1" t="s">
        <v>16</v>
      </c>
      <c r="S45" t="str">
        <f t="shared" si="8"/>
        <v>filter|dataset</v>
      </c>
      <c r="T45" t="str">
        <f t="shared" si="9"/>
        <v/>
      </c>
      <c r="U45" t="str">
        <f t="shared" si="10"/>
        <v>filter</v>
      </c>
      <c r="V45" t="str">
        <f t="shared" si="11"/>
        <v/>
      </c>
      <c r="W45" t="str">
        <f t="shared" si="12"/>
        <v/>
      </c>
      <c r="X45" t="str">
        <f t="shared" si="13"/>
        <v/>
      </c>
      <c r="Y45" t="str">
        <f t="shared" si="14"/>
        <v>dataset</v>
      </c>
      <c r="Z45" t="str">
        <f t="shared" si="15"/>
        <v/>
      </c>
    </row>
    <row r="46" spans="1:1020" x14ac:dyDescent="0.15">
      <c r="A46" t="s">
        <v>82</v>
      </c>
      <c r="D46" t="s">
        <v>83</v>
      </c>
      <c r="F46">
        <v>500</v>
      </c>
      <c r="G46" t="b">
        <v>0</v>
      </c>
      <c r="H46" s="1" t="s">
        <v>16</v>
      </c>
      <c r="I46" t="s">
        <v>38</v>
      </c>
      <c r="J46">
        <v>0</v>
      </c>
      <c r="K46" s="7" t="b">
        <v>0</v>
      </c>
      <c r="L46" s="7" t="b">
        <v>0</v>
      </c>
      <c r="M46" s="1" t="s">
        <v>18</v>
      </c>
      <c r="N46" s="1" t="s">
        <v>16</v>
      </c>
      <c r="O46" s="1" t="s">
        <v>16</v>
      </c>
      <c r="P46" s="1" t="s">
        <v>16</v>
      </c>
      <c r="Q46" s="1" t="s">
        <v>18</v>
      </c>
      <c r="R46" s="1" t="s">
        <v>16</v>
      </c>
      <c r="S46" t="str">
        <f t="shared" si="8"/>
        <v>filter|dataset</v>
      </c>
      <c r="T46" t="str">
        <f t="shared" si="9"/>
        <v/>
      </c>
      <c r="U46" t="str">
        <f t="shared" si="10"/>
        <v>filter</v>
      </c>
      <c r="V46" t="str">
        <f t="shared" si="11"/>
        <v/>
      </c>
      <c r="W46" t="str">
        <f t="shared" si="12"/>
        <v/>
      </c>
      <c r="X46" t="str">
        <f t="shared" si="13"/>
        <v/>
      </c>
      <c r="Y46" t="str">
        <f t="shared" si="14"/>
        <v>dataset</v>
      </c>
      <c r="Z46" t="str">
        <f t="shared" si="15"/>
        <v/>
      </c>
    </row>
    <row r="47" spans="1:1020" x14ac:dyDescent="0.15">
      <c r="A47" s="6" t="s">
        <v>119</v>
      </c>
      <c r="B47" s="6"/>
      <c r="C47" s="6"/>
      <c r="D47" t="s">
        <v>120</v>
      </c>
      <c r="F47">
        <v>500</v>
      </c>
      <c r="G47" t="b">
        <v>0</v>
      </c>
      <c r="H47" s="1" t="s">
        <v>16</v>
      </c>
      <c r="I47" t="s">
        <v>38</v>
      </c>
      <c r="J47">
        <v>0</v>
      </c>
      <c r="K47" s="7" t="b">
        <v>0</v>
      </c>
      <c r="L47" s="7" t="b">
        <v>0</v>
      </c>
      <c r="M47" s="1" t="s">
        <v>18</v>
      </c>
      <c r="N47" s="1" t="s">
        <v>16</v>
      </c>
      <c r="O47" s="1" t="s">
        <v>16</v>
      </c>
      <c r="P47" s="1" t="s">
        <v>16</v>
      </c>
      <c r="Q47" s="1" t="s">
        <v>18</v>
      </c>
      <c r="R47" s="1" t="s">
        <v>16</v>
      </c>
      <c r="S47" t="str">
        <f t="shared" si="8"/>
        <v>filter|dataset</v>
      </c>
      <c r="T47" t="str">
        <f t="shared" si="9"/>
        <v/>
      </c>
      <c r="U47" t="str">
        <f t="shared" si="10"/>
        <v>filter</v>
      </c>
      <c r="V47" t="str">
        <f t="shared" si="11"/>
        <v/>
      </c>
      <c r="W47" t="str">
        <f t="shared" si="12"/>
        <v/>
      </c>
      <c r="X47" t="str">
        <f t="shared" si="13"/>
        <v/>
      </c>
      <c r="Y47" t="str">
        <f t="shared" si="14"/>
        <v>dataset</v>
      </c>
      <c r="Z47" t="str">
        <f t="shared" si="15"/>
        <v/>
      </c>
    </row>
    <row r="48" spans="1:1020" x14ac:dyDescent="0.15">
      <c r="A48" t="s">
        <v>124</v>
      </c>
      <c r="D48" t="s">
        <v>125</v>
      </c>
      <c r="F48">
        <v>500</v>
      </c>
      <c r="G48" t="b">
        <v>0</v>
      </c>
      <c r="H48" s="1" t="s">
        <v>16</v>
      </c>
      <c r="I48" t="s">
        <v>38</v>
      </c>
      <c r="J48">
        <v>0</v>
      </c>
      <c r="K48" s="7" t="b">
        <v>0</v>
      </c>
      <c r="L48" s="7" t="b">
        <v>0</v>
      </c>
      <c r="M48" s="1" t="s">
        <v>18</v>
      </c>
      <c r="N48" s="1" t="s">
        <v>16</v>
      </c>
      <c r="O48" s="1" t="s">
        <v>16</v>
      </c>
      <c r="P48" s="1" t="s">
        <v>16</v>
      </c>
      <c r="Q48" s="1" t="s">
        <v>18</v>
      </c>
      <c r="R48" s="1" t="s">
        <v>16</v>
      </c>
      <c r="S48" t="str">
        <f t="shared" si="8"/>
        <v>filter|dataset</v>
      </c>
      <c r="T48" t="str">
        <f t="shared" si="9"/>
        <v/>
      </c>
      <c r="U48" t="str">
        <f t="shared" si="10"/>
        <v>filter</v>
      </c>
      <c r="V48" t="str">
        <f t="shared" si="11"/>
        <v/>
      </c>
      <c r="W48" t="str">
        <f t="shared" si="12"/>
        <v/>
      </c>
      <c r="X48" t="str">
        <f t="shared" si="13"/>
        <v/>
      </c>
      <c r="Y48" t="str">
        <f t="shared" si="14"/>
        <v>dataset</v>
      </c>
      <c r="Z48" t="str">
        <f t="shared" si="15"/>
        <v/>
      </c>
    </row>
    <row r="49" spans="1:26" x14ac:dyDescent="0.15">
      <c r="A49" t="s">
        <v>138</v>
      </c>
      <c r="D49" t="s">
        <v>2727</v>
      </c>
      <c r="F49">
        <v>500</v>
      </c>
      <c r="G49" t="b">
        <v>0</v>
      </c>
      <c r="H49" s="1" t="s">
        <v>16</v>
      </c>
      <c r="I49" t="s">
        <v>38</v>
      </c>
      <c r="J49">
        <v>0</v>
      </c>
      <c r="K49" s="7" t="b">
        <v>0</v>
      </c>
      <c r="L49" s="7" t="b">
        <v>0</v>
      </c>
      <c r="M49" s="1" t="s">
        <v>18</v>
      </c>
      <c r="N49" s="1" t="s">
        <v>16</v>
      </c>
      <c r="O49" s="1" t="s">
        <v>16</v>
      </c>
      <c r="P49" s="1" t="s">
        <v>16</v>
      </c>
      <c r="Q49" s="1" t="s">
        <v>18</v>
      </c>
      <c r="R49" s="1" t="s">
        <v>16</v>
      </c>
      <c r="S49" t="str">
        <f t="shared" si="8"/>
        <v>filter|dataset</v>
      </c>
      <c r="T49" t="str">
        <f t="shared" si="9"/>
        <v/>
      </c>
      <c r="U49" t="str">
        <f t="shared" si="10"/>
        <v>filter</v>
      </c>
      <c r="V49" t="str">
        <f t="shared" si="11"/>
        <v/>
      </c>
      <c r="W49" t="str">
        <f t="shared" si="12"/>
        <v/>
      </c>
      <c r="X49" t="str">
        <f t="shared" si="13"/>
        <v/>
      </c>
      <c r="Y49" t="str">
        <f t="shared" si="14"/>
        <v>dataset</v>
      </c>
      <c r="Z49" t="str">
        <f t="shared" si="15"/>
        <v/>
      </c>
    </row>
    <row r="50" spans="1:26" x14ac:dyDescent="0.15">
      <c r="A50" t="s">
        <v>3010</v>
      </c>
      <c r="D50" t="s">
        <v>3011</v>
      </c>
      <c r="F50">
        <v>500</v>
      </c>
      <c r="G50" t="b">
        <v>0</v>
      </c>
      <c r="H50" s="1" t="s">
        <v>16</v>
      </c>
      <c r="I50" t="s">
        <v>38</v>
      </c>
      <c r="J50">
        <v>0</v>
      </c>
      <c r="K50" s="7" t="b">
        <v>0</v>
      </c>
      <c r="L50" s="7" t="b">
        <v>0</v>
      </c>
      <c r="M50" s="1" t="s">
        <v>18</v>
      </c>
      <c r="N50" s="1" t="s">
        <v>16</v>
      </c>
      <c r="O50" s="1" t="s">
        <v>16</v>
      </c>
      <c r="P50" s="1" t="s">
        <v>16</v>
      </c>
      <c r="Q50" s="1" t="s">
        <v>18</v>
      </c>
      <c r="R50" s="1" t="s">
        <v>16</v>
      </c>
      <c r="S50" t="str">
        <f t="shared" si="8"/>
        <v>filter|dataset</v>
      </c>
      <c r="T50" t="str">
        <f t="shared" si="9"/>
        <v/>
      </c>
      <c r="U50" t="str">
        <f t="shared" si="10"/>
        <v>filter</v>
      </c>
      <c r="V50" t="str">
        <f t="shared" si="11"/>
        <v/>
      </c>
      <c r="W50" t="str">
        <f t="shared" si="12"/>
        <v/>
      </c>
      <c r="X50" t="str">
        <f t="shared" si="13"/>
        <v/>
      </c>
      <c r="Y50" t="str">
        <f t="shared" si="14"/>
        <v>dataset</v>
      </c>
      <c r="Z50" t="str">
        <f t="shared" si="15"/>
        <v/>
      </c>
    </row>
    <row r="51" spans="1:26" x14ac:dyDescent="0.15">
      <c r="A51" t="s">
        <v>139</v>
      </c>
      <c r="D51" t="s">
        <v>150</v>
      </c>
      <c r="F51">
        <v>500</v>
      </c>
      <c r="G51" t="b">
        <v>0</v>
      </c>
      <c r="H51" s="1" t="s">
        <v>16</v>
      </c>
      <c r="I51" t="s">
        <v>38</v>
      </c>
      <c r="J51">
        <v>0</v>
      </c>
      <c r="K51" s="7" t="b">
        <v>0</v>
      </c>
      <c r="L51" s="7" t="b">
        <v>0</v>
      </c>
      <c r="M51" s="1" t="s">
        <v>18</v>
      </c>
      <c r="N51" s="1" t="s">
        <v>16</v>
      </c>
      <c r="O51" s="1" t="s">
        <v>16</v>
      </c>
      <c r="P51" s="1" t="s">
        <v>16</v>
      </c>
      <c r="Q51" s="1" t="s">
        <v>18</v>
      </c>
      <c r="R51" s="1" t="s">
        <v>16</v>
      </c>
      <c r="S51" t="str">
        <f t="shared" si="8"/>
        <v>filter|dataset</v>
      </c>
      <c r="T51" t="str">
        <f t="shared" si="9"/>
        <v/>
      </c>
      <c r="U51" t="str">
        <f t="shared" si="10"/>
        <v>filter</v>
      </c>
      <c r="V51" t="str">
        <f t="shared" si="11"/>
        <v/>
      </c>
      <c r="W51" t="str">
        <f t="shared" si="12"/>
        <v/>
      </c>
      <c r="X51" t="str">
        <f t="shared" si="13"/>
        <v/>
      </c>
      <c r="Y51" t="str">
        <f t="shared" si="14"/>
        <v>dataset</v>
      </c>
      <c r="Z51" t="str">
        <f t="shared" si="15"/>
        <v/>
      </c>
    </row>
    <row r="52" spans="1:26" x14ac:dyDescent="0.15">
      <c r="A52" s="6" t="s">
        <v>3106</v>
      </c>
      <c r="B52" s="6"/>
      <c r="C52" s="6"/>
      <c r="D52" t="s">
        <v>3105</v>
      </c>
      <c r="F52">
        <v>500</v>
      </c>
      <c r="G52" t="b">
        <v>0</v>
      </c>
      <c r="H52" s="1" t="s">
        <v>16</v>
      </c>
      <c r="I52" t="s">
        <v>38</v>
      </c>
      <c r="J52">
        <v>0</v>
      </c>
      <c r="K52" s="7" t="b">
        <v>1</v>
      </c>
      <c r="L52" s="7" t="b">
        <v>1</v>
      </c>
      <c r="M52" s="1" t="s">
        <v>18</v>
      </c>
      <c r="N52" s="1" t="s">
        <v>16</v>
      </c>
      <c r="O52" s="1" t="s">
        <v>16</v>
      </c>
      <c r="P52" s="1" t="s">
        <v>16</v>
      </c>
      <c r="Q52" s="1" t="s">
        <v>18</v>
      </c>
      <c r="R52" s="1" t="s">
        <v>16</v>
      </c>
      <c r="S52" t="str">
        <f t="shared" si="8"/>
        <v>mandatory|filter|dataset</v>
      </c>
      <c r="T52" t="str">
        <f t="shared" si="9"/>
        <v>mandatory</v>
      </c>
      <c r="U52" t="str">
        <f t="shared" si="10"/>
        <v>filter</v>
      </c>
      <c r="V52" t="str">
        <f t="shared" si="11"/>
        <v/>
      </c>
      <c r="W52" t="str">
        <f t="shared" si="12"/>
        <v/>
      </c>
      <c r="X52" t="str">
        <f t="shared" si="13"/>
        <v/>
      </c>
      <c r="Y52" t="str">
        <f t="shared" si="14"/>
        <v>dataset</v>
      </c>
      <c r="Z52" t="str">
        <f t="shared" si="15"/>
        <v/>
      </c>
    </row>
    <row r="53" spans="1:26" x14ac:dyDescent="0.15">
      <c r="A53" t="s">
        <v>153</v>
      </c>
      <c r="D53" t="s">
        <v>154</v>
      </c>
      <c r="F53">
        <v>500</v>
      </c>
      <c r="G53" t="b">
        <v>0</v>
      </c>
      <c r="H53" s="1" t="s">
        <v>16</v>
      </c>
      <c r="I53" t="s">
        <v>38</v>
      </c>
      <c r="J53">
        <v>0</v>
      </c>
      <c r="K53" s="7" t="b">
        <v>0</v>
      </c>
      <c r="L53" s="7" t="b">
        <v>0</v>
      </c>
      <c r="M53" s="1" t="s">
        <v>18</v>
      </c>
      <c r="N53" s="1" t="s">
        <v>16</v>
      </c>
      <c r="O53" s="1" t="s">
        <v>16</v>
      </c>
      <c r="P53" s="1" t="s">
        <v>16</v>
      </c>
      <c r="Q53" s="1" t="s">
        <v>18</v>
      </c>
      <c r="R53" s="1" t="s">
        <v>16</v>
      </c>
      <c r="S53" t="str">
        <f t="shared" si="8"/>
        <v>filter|dataset</v>
      </c>
      <c r="T53" t="str">
        <f t="shared" si="9"/>
        <v/>
      </c>
      <c r="U53" t="str">
        <f t="shared" si="10"/>
        <v>filter</v>
      </c>
      <c r="V53" t="str">
        <f t="shared" si="11"/>
        <v/>
      </c>
      <c r="W53" t="str">
        <f t="shared" si="12"/>
        <v/>
      </c>
      <c r="X53" t="str">
        <f t="shared" si="13"/>
        <v/>
      </c>
      <c r="Y53" t="str">
        <f t="shared" si="14"/>
        <v>dataset</v>
      </c>
      <c r="Z53" t="str">
        <f t="shared" si="15"/>
        <v/>
      </c>
    </row>
    <row r="54" spans="1:26" x14ac:dyDescent="0.15">
      <c r="A54" s="6" t="s">
        <v>171</v>
      </c>
      <c r="B54" s="6"/>
      <c r="C54" s="6"/>
      <c r="D54" t="s">
        <v>172</v>
      </c>
      <c r="F54">
        <v>500</v>
      </c>
      <c r="G54" t="b">
        <v>0</v>
      </c>
      <c r="H54" s="1" t="s">
        <v>16</v>
      </c>
      <c r="I54" t="s">
        <v>38</v>
      </c>
      <c r="J54">
        <v>0</v>
      </c>
      <c r="K54" s="7" t="b">
        <v>0</v>
      </c>
      <c r="L54" s="7" t="b">
        <v>0</v>
      </c>
      <c r="M54" s="1" t="s">
        <v>18</v>
      </c>
      <c r="N54" s="1" t="s">
        <v>16</v>
      </c>
      <c r="O54" s="1" t="s">
        <v>16</v>
      </c>
      <c r="P54" s="1" t="s">
        <v>16</v>
      </c>
      <c r="Q54" s="1" t="s">
        <v>18</v>
      </c>
      <c r="R54" s="1" t="s">
        <v>16</v>
      </c>
      <c r="S54" t="str">
        <f t="shared" si="8"/>
        <v>filter|dataset</v>
      </c>
      <c r="T54" t="str">
        <f t="shared" si="9"/>
        <v/>
      </c>
      <c r="U54" t="str">
        <f t="shared" si="10"/>
        <v>filter</v>
      </c>
      <c r="V54" t="str">
        <f t="shared" si="11"/>
        <v/>
      </c>
      <c r="W54" t="str">
        <f t="shared" si="12"/>
        <v/>
      </c>
      <c r="X54" t="str">
        <f t="shared" si="13"/>
        <v/>
      </c>
      <c r="Y54" t="str">
        <f t="shared" si="14"/>
        <v>dataset</v>
      </c>
      <c r="Z54" t="str">
        <f t="shared" si="15"/>
        <v/>
      </c>
    </row>
    <row r="55" spans="1:26" x14ac:dyDescent="0.15">
      <c r="A55" s="6" t="s">
        <v>173</v>
      </c>
      <c r="B55" s="6"/>
      <c r="C55" s="6"/>
      <c r="D55" t="s">
        <v>2730</v>
      </c>
      <c r="F55">
        <v>500</v>
      </c>
      <c r="G55" t="b">
        <v>0</v>
      </c>
      <c r="H55" s="1" t="s">
        <v>16</v>
      </c>
      <c r="I55" t="s">
        <v>38</v>
      </c>
      <c r="J55">
        <v>0</v>
      </c>
      <c r="K55" s="7" t="b">
        <v>0</v>
      </c>
      <c r="L55" s="7" t="b">
        <v>0</v>
      </c>
      <c r="M55" s="1" t="s">
        <v>18</v>
      </c>
      <c r="N55" s="1" t="s">
        <v>16</v>
      </c>
      <c r="O55" s="1" t="s">
        <v>16</v>
      </c>
      <c r="P55" s="1" t="s">
        <v>16</v>
      </c>
      <c r="Q55" s="1" t="s">
        <v>18</v>
      </c>
      <c r="R55" s="1" t="s">
        <v>16</v>
      </c>
      <c r="S55" t="str">
        <f t="shared" si="8"/>
        <v>filter|dataset</v>
      </c>
      <c r="T55" t="str">
        <f t="shared" si="9"/>
        <v/>
      </c>
      <c r="U55" t="str">
        <f t="shared" si="10"/>
        <v>filter</v>
      </c>
      <c r="V55" t="str">
        <f t="shared" si="11"/>
        <v/>
      </c>
      <c r="W55" t="str">
        <f t="shared" si="12"/>
        <v/>
      </c>
      <c r="X55" t="str">
        <f t="shared" si="13"/>
        <v/>
      </c>
      <c r="Y55" t="str">
        <f t="shared" si="14"/>
        <v>dataset</v>
      </c>
      <c r="Z55" t="str">
        <f t="shared" si="15"/>
        <v/>
      </c>
    </row>
    <row r="56" spans="1:26" x14ac:dyDescent="0.15">
      <c r="A56" t="s">
        <v>2831</v>
      </c>
      <c r="C56" t="s">
        <v>4228</v>
      </c>
      <c r="D56" t="s">
        <v>2832</v>
      </c>
      <c r="F56">
        <v>500</v>
      </c>
      <c r="G56" t="b">
        <v>0</v>
      </c>
      <c r="H56" s="1" t="s">
        <v>18</v>
      </c>
      <c r="I56" t="s">
        <v>38</v>
      </c>
      <c r="J56">
        <v>0</v>
      </c>
      <c r="K56" s="2" t="b">
        <v>0</v>
      </c>
      <c r="L56" s="2" t="b">
        <v>0</v>
      </c>
      <c r="M56" s="1" t="s">
        <v>16</v>
      </c>
      <c r="N56" s="1" t="s">
        <v>16</v>
      </c>
      <c r="O56" s="1" t="s">
        <v>16</v>
      </c>
      <c r="P56" s="1" t="s">
        <v>16</v>
      </c>
      <c r="Q56" s="1" t="s">
        <v>18</v>
      </c>
      <c r="R56" s="1" t="s">
        <v>16</v>
      </c>
      <c r="S56" t="str">
        <f t="shared" si="8"/>
        <v>dataset</v>
      </c>
      <c r="T56" t="str">
        <f t="shared" si="9"/>
        <v/>
      </c>
      <c r="U56" t="str">
        <f t="shared" si="10"/>
        <v/>
      </c>
      <c r="V56" t="str">
        <f t="shared" si="11"/>
        <v/>
      </c>
      <c r="W56" t="str">
        <f t="shared" si="12"/>
        <v/>
      </c>
      <c r="X56" t="str">
        <f t="shared" si="13"/>
        <v/>
      </c>
      <c r="Y56" t="str">
        <f t="shared" si="14"/>
        <v>dataset</v>
      </c>
      <c r="Z56" t="str">
        <f t="shared" si="15"/>
        <v/>
      </c>
    </row>
    <row r="57" spans="1:26" x14ac:dyDescent="0.15">
      <c r="A57" t="s">
        <v>4097</v>
      </c>
      <c r="D57" t="s">
        <v>2950</v>
      </c>
      <c r="F57">
        <v>500</v>
      </c>
      <c r="G57" t="b">
        <v>0</v>
      </c>
      <c r="H57" s="1" t="s">
        <v>16</v>
      </c>
      <c r="I57" t="s">
        <v>38</v>
      </c>
      <c r="J57">
        <v>0</v>
      </c>
      <c r="K57" s="2" t="b">
        <v>0</v>
      </c>
      <c r="L57" s="2" t="b">
        <v>0</v>
      </c>
      <c r="M57" s="1" t="s">
        <v>18</v>
      </c>
      <c r="N57" s="1" t="s">
        <v>16</v>
      </c>
      <c r="O57" s="1" t="s">
        <v>16</v>
      </c>
      <c r="P57" s="1" t="s">
        <v>16</v>
      </c>
      <c r="Q57" s="1" t="s">
        <v>18</v>
      </c>
      <c r="R57" s="1" t="s">
        <v>18</v>
      </c>
      <c r="S57" t="str">
        <f t="shared" si="8"/>
        <v>filter|dataset|sample</v>
      </c>
      <c r="T57" t="str">
        <f t="shared" si="9"/>
        <v/>
      </c>
      <c r="U57" t="str">
        <f t="shared" si="10"/>
        <v>filter</v>
      </c>
      <c r="V57" t="str">
        <f t="shared" si="11"/>
        <v/>
      </c>
      <c r="W57" t="str">
        <f t="shared" si="12"/>
        <v/>
      </c>
      <c r="X57" t="str">
        <f t="shared" si="13"/>
        <v/>
      </c>
      <c r="Y57" t="str">
        <f t="shared" si="14"/>
        <v>dataset</v>
      </c>
      <c r="Z57" t="str">
        <f t="shared" si="15"/>
        <v>sample</v>
      </c>
    </row>
    <row r="58" spans="1:26" x14ac:dyDescent="0.15">
      <c r="A58" t="s">
        <v>3088</v>
      </c>
      <c r="D58" t="s">
        <v>3087</v>
      </c>
      <c r="F58">
        <v>500</v>
      </c>
      <c r="G58" t="b">
        <v>0</v>
      </c>
      <c r="H58" s="1" t="s">
        <v>16</v>
      </c>
      <c r="I58" t="s">
        <v>38</v>
      </c>
      <c r="J58">
        <v>0</v>
      </c>
      <c r="K58" s="2" t="b">
        <v>0</v>
      </c>
      <c r="L58" s="2" t="b">
        <v>0</v>
      </c>
      <c r="M58" s="1" t="s">
        <v>18</v>
      </c>
      <c r="N58" s="1" t="s">
        <v>16</v>
      </c>
      <c r="O58" s="1" t="s">
        <v>16</v>
      </c>
      <c r="P58" s="1" t="s">
        <v>16</v>
      </c>
      <c r="Q58" s="1" t="s">
        <v>18</v>
      </c>
      <c r="R58" s="1" t="s">
        <v>18</v>
      </c>
      <c r="S58" t="str">
        <f t="shared" si="8"/>
        <v>filter|dataset|sample</v>
      </c>
      <c r="T58" t="str">
        <f t="shared" si="9"/>
        <v/>
      </c>
      <c r="U58" t="str">
        <f t="shared" si="10"/>
        <v>filter</v>
      </c>
      <c r="V58" t="str">
        <f t="shared" si="11"/>
        <v/>
      </c>
      <c r="W58" t="str">
        <f t="shared" si="12"/>
        <v/>
      </c>
      <c r="X58" t="str">
        <f t="shared" si="13"/>
        <v/>
      </c>
      <c r="Y58" t="str">
        <f t="shared" si="14"/>
        <v>dataset</v>
      </c>
      <c r="Z58" t="str">
        <f t="shared" si="15"/>
        <v>sample</v>
      </c>
    </row>
    <row r="59" spans="1:26" x14ac:dyDescent="0.15">
      <c r="A59" t="s">
        <v>3123</v>
      </c>
      <c r="D59" t="s">
        <v>3122</v>
      </c>
      <c r="F59">
        <v>500</v>
      </c>
      <c r="G59" t="b">
        <v>0</v>
      </c>
      <c r="H59" s="1" t="s">
        <v>16</v>
      </c>
      <c r="I59" t="s">
        <v>38</v>
      </c>
      <c r="J59">
        <v>0</v>
      </c>
      <c r="K59" s="2" t="b">
        <v>0</v>
      </c>
      <c r="L59" s="2" t="b">
        <v>0</v>
      </c>
      <c r="M59" s="1" t="s">
        <v>18</v>
      </c>
      <c r="N59" s="1" t="s">
        <v>16</v>
      </c>
      <c r="O59" s="1" t="s">
        <v>16</v>
      </c>
      <c r="P59" s="1" t="s">
        <v>16</v>
      </c>
      <c r="Q59" s="1" t="s">
        <v>18</v>
      </c>
      <c r="R59" s="1" t="s">
        <v>18</v>
      </c>
      <c r="S59" t="str">
        <f t="shared" si="8"/>
        <v>filter|dataset|sample</v>
      </c>
      <c r="T59" t="str">
        <f t="shared" si="9"/>
        <v/>
      </c>
      <c r="U59" t="str">
        <f t="shared" si="10"/>
        <v>filter</v>
      </c>
      <c r="V59" t="str">
        <f t="shared" si="11"/>
        <v/>
      </c>
      <c r="W59" t="str">
        <f t="shared" si="12"/>
        <v/>
      </c>
      <c r="X59" t="str">
        <f t="shared" si="13"/>
        <v/>
      </c>
      <c r="Y59" t="str">
        <f t="shared" si="14"/>
        <v>dataset</v>
      </c>
      <c r="Z59" t="str">
        <f t="shared" si="15"/>
        <v>sample</v>
      </c>
    </row>
    <row r="60" spans="1:26" ht="16" x14ac:dyDescent="0.2">
      <c r="A60" s="22" t="s">
        <v>3139</v>
      </c>
      <c r="B60" s="22"/>
      <c r="C60" s="22"/>
      <c r="D60" t="s">
        <v>3144</v>
      </c>
      <c r="F60">
        <v>500</v>
      </c>
      <c r="G60" t="b">
        <v>0</v>
      </c>
      <c r="H60" s="1" t="s">
        <v>16</v>
      </c>
      <c r="I60" t="s">
        <v>38</v>
      </c>
      <c r="J60">
        <v>0</v>
      </c>
      <c r="K60" s="2" t="b">
        <v>0</v>
      </c>
      <c r="L60" s="2" t="b">
        <v>0</v>
      </c>
      <c r="M60" s="1" t="s">
        <v>18</v>
      </c>
      <c r="N60" s="1" t="s">
        <v>16</v>
      </c>
      <c r="O60" s="1" t="s">
        <v>16</v>
      </c>
      <c r="P60" s="1" t="s">
        <v>16</v>
      </c>
      <c r="Q60" s="1" t="s">
        <v>18</v>
      </c>
      <c r="R60" s="1" t="s">
        <v>18</v>
      </c>
      <c r="S60" t="str">
        <f t="shared" si="8"/>
        <v>filter|dataset|sample</v>
      </c>
      <c r="T60" t="str">
        <f t="shared" si="9"/>
        <v/>
      </c>
      <c r="U60" t="str">
        <f t="shared" si="10"/>
        <v>filter</v>
      </c>
      <c r="V60" t="str">
        <f t="shared" si="11"/>
        <v/>
      </c>
      <c r="W60" t="str">
        <f t="shared" si="12"/>
        <v/>
      </c>
      <c r="X60" t="str">
        <f t="shared" si="13"/>
        <v/>
      </c>
      <c r="Y60" t="str">
        <f t="shared" si="14"/>
        <v>dataset</v>
      </c>
      <c r="Z60" t="str">
        <f t="shared" si="15"/>
        <v>sample</v>
      </c>
    </row>
    <row r="61" spans="1:26" x14ac:dyDescent="0.15">
      <c r="A61" t="s">
        <v>3145</v>
      </c>
      <c r="D61" t="s">
        <v>3207</v>
      </c>
      <c r="F61">
        <v>500</v>
      </c>
      <c r="G61" t="b">
        <v>0</v>
      </c>
      <c r="H61" s="1" t="s">
        <v>16</v>
      </c>
      <c r="I61" t="s">
        <v>38</v>
      </c>
      <c r="J61">
        <v>0</v>
      </c>
      <c r="K61" s="2" t="b">
        <v>0</v>
      </c>
      <c r="L61" s="2" t="b">
        <v>0</v>
      </c>
      <c r="M61" s="1" t="s">
        <v>18</v>
      </c>
      <c r="N61" s="1" t="s">
        <v>16</v>
      </c>
      <c r="O61" s="1" t="s">
        <v>16</v>
      </c>
      <c r="P61" s="1" t="s">
        <v>16</v>
      </c>
      <c r="Q61" s="1" t="s">
        <v>18</v>
      </c>
      <c r="R61" s="1" t="s">
        <v>18</v>
      </c>
      <c r="S61" t="str">
        <f t="shared" si="8"/>
        <v>filter|dataset|sample</v>
      </c>
      <c r="T61" t="str">
        <f t="shared" si="9"/>
        <v/>
      </c>
      <c r="U61" t="str">
        <f t="shared" si="10"/>
        <v>filter</v>
      </c>
      <c r="V61" t="str">
        <f t="shared" si="11"/>
        <v/>
      </c>
      <c r="W61" t="str">
        <f t="shared" si="12"/>
        <v/>
      </c>
      <c r="X61" t="str">
        <f t="shared" si="13"/>
        <v/>
      </c>
      <c r="Y61" t="str">
        <f t="shared" si="14"/>
        <v>dataset</v>
      </c>
      <c r="Z61" t="str">
        <f t="shared" si="15"/>
        <v>sample</v>
      </c>
    </row>
    <row r="62" spans="1:26" x14ac:dyDescent="0.15">
      <c r="A62" t="s">
        <v>3161</v>
      </c>
      <c r="D62" t="s">
        <v>3162</v>
      </c>
      <c r="F62">
        <v>600</v>
      </c>
      <c r="G62" t="b">
        <v>0</v>
      </c>
      <c r="H62" s="1" t="s">
        <v>16</v>
      </c>
      <c r="I62" t="s">
        <v>38</v>
      </c>
      <c r="J62">
        <v>0</v>
      </c>
      <c r="K62" s="2" t="b">
        <v>0</v>
      </c>
      <c r="L62" s="2" t="b">
        <v>0</v>
      </c>
      <c r="M62" s="1" t="s">
        <v>18</v>
      </c>
      <c r="N62" s="1" t="s">
        <v>16</v>
      </c>
      <c r="O62" s="1" t="s">
        <v>16</v>
      </c>
      <c r="P62" s="1" t="s">
        <v>18</v>
      </c>
      <c r="Q62" s="1" t="s">
        <v>16</v>
      </c>
      <c r="R62" s="1" t="s">
        <v>16</v>
      </c>
      <c r="S62" t="str">
        <f t="shared" si="8"/>
        <v>filter|qc</v>
      </c>
      <c r="T62" t="str">
        <f t="shared" si="9"/>
        <v/>
      </c>
      <c r="U62" t="str">
        <f t="shared" si="10"/>
        <v>filter</v>
      </c>
      <c r="V62" t="str">
        <f t="shared" si="11"/>
        <v/>
      </c>
      <c r="W62" t="str">
        <f t="shared" si="12"/>
        <v/>
      </c>
      <c r="X62" t="str">
        <f t="shared" si="13"/>
        <v>qc</v>
      </c>
      <c r="Y62" t="str">
        <f t="shared" si="14"/>
        <v/>
      </c>
      <c r="Z62" t="str">
        <f t="shared" si="15"/>
        <v/>
      </c>
    </row>
    <row r="63" spans="1:26" x14ac:dyDescent="0.15">
      <c r="A63" t="s">
        <v>2769</v>
      </c>
      <c r="D63" t="s">
        <v>3225</v>
      </c>
      <c r="F63">
        <v>500</v>
      </c>
      <c r="G63" t="b">
        <v>0</v>
      </c>
      <c r="H63" s="1" t="s">
        <v>18</v>
      </c>
      <c r="I63" t="s">
        <v>38</v>
      </c>
      <c r="J63">
        <v>0</v>
      </c>
      <c r="K63" s="2" t="b">
        <v>0</v>
      </c>
      <c r="L63" s="7" t="b">
        <v>0</v>
      </c>
      <c r="M63" s="1" t="s">
        <v>18</v>
      </c>
      <c r="N63" s="1" t="s">
        <v>16</v>
      </c>
      <c r="O63" s="1" t="s">
        <v>16</v>
      </c>
      <c r="P63" s="1" t="s">
        <v>16</v>
      </c>
      <c r="Q63" s="1" t="s">
        <v>18</v>
      </c>
      <c r="R63" s="1" t="s">
        <v>16</v>
      </c>
      <c r="S63" t="str">
        <f t="shared" si="8"/>
        <v>filter|dataset</v>
      </c>
      <c r="T63" t="str">
        <f t="shared" si="9"/>
        <v/>
      </c>
      <c r="U63" t="str">
        <f t="shared" si="10"/>
        <v>filter</v>
      </c>
      <c r="V63" t="str">
        <f t="shared" si="11"/>
        <v/>
      </c>
      <c r="W63" t="str">
        <f t="shared" si="12"/>
        <v/>
      </c>
      <c r="X63" t="str">
        <f t="shared" si="13"/>
        <v/>
      </c>
      <c r="Y63" t="str">
        <f t="shared" si="14"/>
        <v>dataset</v>
      </c>
      <c r="Z63" t="str">
        <f t="shared" si="15"/>
        <v/>
      </c>
    </row>
    <row r="64" spans="1:26" x14ac:dyDescent="0.15">
      <c r="A64" t="s">
        <v>3951</v>
      </c>
      <c r="C64" t="s">
        <v>3964</v>
      </c>
      <c r="D64" t="s">
        <v>3952</v>
      </c>
      <c r="F64">
        <v>200</v>
      </c>
      <c r="G64" t="b">
        <v>0</v>
      </c>
      <c r="H64" s="1" t="s">
        <v>16</v>
      </c>
      <c r="I64" t="s">
        <v>38</v>
      </c>
      <c r="J64">
        <v>0</v>
      </c>
      <c r="K64" s="7" t="b">
        <v>0</v>
      </c>
      <c r="L64" s="7" t="b">
        <v>0</v>
      </c>
      <c r="M64" s="1" t="s">
        <v>18</v>
      </c>
      <c r="N64" s="1" t="s">
        <v>16</v>
      </c>
      <c r="O64" s="1" t="s">
        <v>16</v>
      </c>
      <c r="P64" s="1" t="s">
        <v>16</v>
      </c>
      <c r="Q64" s="1" t="s">
        <v>18</v>
      </c>
      <c r="R64" s="1" t="s">
        <v>18</v>
      </c>
      <c r="S64" t="str">
        <f t="shared" si="8"/>
        <v>filter|dataset|sample</v>
      </c>
      <c r="T64" t="str">
        <f t="shared" si="9"/>
        <v/>
      </c>
      <c r="U64" t="str">
        <f t="shared" si="10"/>
        <v>filter</v>
      </c>
      <c r="V64" t="str">
        <f t="shared" si="11"/>
        <v/>
      </c>
      <c r="W64" t="str">
        <f t="shared" si="12"/>
        <v/>
      </c>
      <c r="X64" t="str">
        <f t="shared" si="13"/>
        <v/>
      </c>
      <c r="Y64" t="str">
        <f t="shared" si="14"/>
        <v>dataset</v>
      </c>
      <c r="Z64" t="str">
        <f t="shared" si="15"/>
        <v>sample</v>
      </c>
    </row>
    <row r="65" spans="1:1020" x14ac:dyDescent="0.15">
      <c r="A65" s="6" t="s">
        <v>3243</v>
      </c>
      <c r="B65" s="6"/>
      <c r="C65" s="6"/>
      <c r="D65" t="s">
        <v>3244</v>
      </c>
      <c r="F65">
        <v>659</v>
      </c>
      <c r="G65" t="b">
        <v>0</v>
      </c>
      <c r="H65" s="1" t="s">
        <v>16</v>
      </c>
      <c r="I65" t="s">
        <v>38</v>
      </c>
      <c r="J65">
        <v>0</v>
      </c>
      <c r="K65" s="7" t="b">
        <v>0</v>
      </c>
      <c r="L65" s="7" t="b">
        <v>0</v>
      </c>
      <c r="M65" s="1" t="s">
        <v>18</v>
      </c>
      <c r="N65" s="1" t="s">
        <v>16</v>
      </c>
      <c r="O65" s="1" t="s">
        <v>16</v>
      </c>
      <c r="P65" s="1" t="s">
        <v>16</v>
      </c>
      <c r="Q65" s="1" t="s">
        <v>18</v>
      </c>
      <c r="R65" s="1" t="s">
        <v>18</v>
      </c>
      <c r="S65" t="str">
        <f t="shared" si="8"/>
        <v>filter|dataset|sample</v>
      </c>
      <c r="T65" t="str">
        <f t="shared" si="9"/>
        <v/>
      </c>
      <c r="U65" t="str">
        <f t="shared" si="10"/>
        <v>filter</v>
      </c>
      <c r="V65" t="str">
        <f t="shared" si="11"/>
        <v/>
      </c>
      <c r="W65" t="str">
        <f t="shared" si="12"/>
        <v/>
      </c>
      <c r="X65" t="str">
        <f t="shared" si="13"/>
        <v/>
      </c>
      <c r="Y65" t="str">
        <f t="shared" si="14"/>
        <v>dataset</v>
      </c>
      <c r="Z65" t="str">
        <f t="shared" si="15"/>
        <v>sample</v>
      </c>
    </row>
    <row r="66" spans="1:1020" x14ac:dyDescent="0.15">
      <c r="A66" t="s">
        <v>3943</v>
      </c>
      <c r="D66" t="s">
        <v>3944</v>
      </c>
      <c r="F66">
        <v>450</v>
      </c>
      <c r="G66" t="b">
        <v>0</v>
      </c>
      <c r="H66" s="1" t="s">
        <v>16</v>
      </c>
      <c r="I66" t="s">
        <v>3945</v>
      </c>
      <c r="J66">
        <v>0</v>
      </c>
      <c r="K66" s="2" t="b">
        <v>0</v>
      </c>
      <c r="L66" s="2" t="b">
        <v>0</v>
      </c>
      <c r="M66" s="1" t="s">
        <v>16</v>
      </c>
      <c r="N66" s="1" t="s">
        <v>16</v>
      </c>
      <c r="O66" s="1" t="s">
        <v>16</v>
      </c>
      <c r="P66" s="1" t="s">
        <v>16</v>
      </c>
      <c r="Q66" s="1" t="s">
        <v>18</v>
      </c>
      <c r="R66" s="1" t="s">
        <v>18</v>
      </c>
      <c r="S66" t="str">
        <f t="shared" ref="S66:S97" si="16">_xlfn.TEXTJOIN("|",TRUE,T66:AB66)</f>
        <v>dataset|sample</v>
      </c>
      <c r="T66" t="str">
        <f t="shared" ref="T66:T97" si="17">IF(L66,"mandatory","")</f>
        <v/>
      </c>
      <c r="U66" t="str">
        <f t="shared" ref="U66:U101" si="18">IF(M66,"filter","")</f>
        <v/>
      </c>
      <c r="V66" t="str">
        <f t="shared" ref="V66:V97" si="19">IF(N66,"user","")</f>
        <v/>
      </c>
      <c r="W66" t="str">
        <f t="shared" ref="W66:W97" si="20">IF(O66,"genotype","")</f>
        <v/>
      </c>
      <c r="X66" t="str">
        <f t="shared" ref="X66:X97" si="21">IF(P66,"qc","")</f>
        <v/>
      </c>
      <c r="Y66" t="str">
        <f t="shared" ref="Y66:Y97" si="22">IF(Q66,"dataset","")</f>
        <v>dataset</v>
      </c>
      <c r="Z66" t="str">
        <f t="shared" ref="Z66:Z97" si="23">IF(R66,"sample","")</f>
        <v>sample</v>
      </c>
    </row>
    <row r="67" spans="1:1020" x14ac:dyDescent="0.15">
      <c r="A67" t="s">
        <v>121</v>
      </c>
      <c r="D67" t="s">
        <v>122</v>
      </c>
      <c r="F67">
        <v>500</v>
      </c>
      <c r="G67" t="b">
        <v>0</v>
      </c>
      <c r="H67" s="1" t="s">
        <v>16</v>
      </c>
      <c r="I67" t="s">
        <v>123</v>
      </c>
      <c r="J67">
        <v>0</v>
      </c>
      <c r="K67" s="7" t="b">
        <v>0</v>
      </c>
      <c r="L67" s="7" t="b">
        <v>0</v>
      </c>
      <c r="M67" s="1" t="s">
        <v>18</v>
      </c>
      <c r="N67" s="1" t="s">
        <v>16</v>
      </c>
      <c r="O67" s="1" t="s">
        <v>16</v>
      </c>
      <c r="P67" s="1" t="s">
        <v>16</v>
      </c>
      <c r="Q67" s="1" t="s">
        <v>18</v>
      </c>
      <c r="R67" s="1" t="s">
        <v>16</v>
      </c>
      <c r="S67" t="str">
        <f t="shared" si="16"/>
        <v>filter|dataset</v>
      </c>
      <c r="T67" t="str">
        <f t="shared" si="17"/>
        <v/>
      </c>
      <c r="U67" t="str">
        <f t="shared" si="18"/>
        <v>filter</v>
      </c>
      <c r="V67" t="str">
        <f t="shared" si="19"/>
        <v/>
      </c>
      <c r="W67" t="str">
        <f t="shared" si="20"/>
        <v/>
      </c>
      <c r="X67" t="str">
        <f t="shared" si="21"/>
        <v/>
      </c>
      <c r="Y67" t="str">
        <f t="shared" si="22"/>
        <v>dataset</v>
      </c>
      <c r="Z67" t="str">
        <f t="shared" si="23"/>
        <v/>
      </c>
    </row>
    <row r="68" spans="1:1020" x14ac:dyDescent="0.15">
      <c r="A68" t="s">
        <v>35</v>
      </c>
      <c r="C68" t="s">
        <v>3965</v>
      </c>
      <c r="D68" t="s">
        <v>128</v>
      </c>
      <c r="F68">
        <v>500</v>
      </c>
      <c r="G68" t="b">
        <v>0</v>
      </c>
      <c r="H68" s="1" t="s">
        <v>16</v>
      </c>
      <c r="I68" t="s">
        <v>22</v>
      </c>
      <c r="J68">
        <v>2</v>
      </c>
      <c r="K68" s="7" t="b">
        <v>0</v>
      </c>
      <c r="L68" s="7" t="b">
        <v>1</v>
      </c>
      <c r="M68" s="1" t="s">
        <v>18</v>
      </c>
      <c r="N68" s="1" t="s">
        <v>16</v>
      </c>
      <c r="O68" s="1" t="s">
        <v>16</v>
      </c>
      <c r="P68" s="1" t="s">
        <v>18</v>
      </c>
      <c r="Q68" s="1" t="s">
        <v>18</v>
      </c>
      <c r="R68" s="1" t="s">
        <v>18</v>
      </c>
      <c r="S68" t="str">
        <f t="shared" si="16"/>
        <v>mandatory|filter|qc|dataset|sample</v>
      </c>
      <c r="T68" t="str">
        <f t="shared" si="17"/>
        <v>mandatory</v>
      </c>
      <c r="U68" t="str">
        <f t="shared" si="18"/>
        <v>filter</v>
      </c>
      <c r="V68" t="str">
        <f t="shared" si="19"/>
        <v/>
      </c>
      <c r="W68" t="str">
        <f t="shared" si="20"/>
        <v/>
      </c>
      <c r="X68" t="str">
        <f t="shared" si="21"/>
        <v>qc</v>
      </c>
      <c r="Y68" t="str">
        <f t="shared" si="22"/>
        <v>dataset</v>
      </c>
      <c r="Z68" t="str">
        <f t="shared" si="23"/>
        <v>sample</v>
      </c>
    </row>
    <row r="69" spans="1:1020" x14ac:dyDescent="0.15">
      <c r="A69" t="s">
        <v>89</v>
      </c>
      <c r="C69" t="s">
        <v>3966</v>
      </c>
      <c r="D69" s="6" t="s">
        <v>3120</v>
      </c>
      <c r="E69" s="6"/>
      <c r="F69">
        <v>500</v>
      </c>
      <c r="G69" t="b">
        <v>0</v>
      </c>
      <c r="H69" s="1" t="s">
        <v>16</v>
      </c>
      <c r="I69" t="s">
        <v>22</v>
      </c>
      <c r="J69">
        <v>2</v>
      </c>
      <c r="K69" s="7" t="b">
        <v>0</v>
      </c>
      <c r="L69" s="7" t="b">
        <v>0</v>
      </c>
      <c r="M69" s="1" t="s">
        <v>18</v>
      </c>
      <c r="N69" s="1" t="s">
        <v>16</v>
      </c>
      <c r="O69" s="1" t="s">
        <v>16</v>
      </c>
      <c r="P69" s="1" t="s">
        <v>16</v>
      </c>
      <c r="Q69" s="1" t="s">
        <v>18</v>
      </c>
      <c r="R69" s="1" t="s">
        <v>18</v>
      </c>
      <c r="S69" t="str">
        <f t="shared" si="16"/>
        <v>filter|dataset|sample</v>
      </c>
      <c r="T69" t="str">
        <f t="shared" si="17"/>
        <v/>
      </c>
      <c r="U69" t="str">
        <f t="shared" si="18"/>
        <v>filter</v>
      </c>
      <c r="V69" t="str">
        <f t="shared" si="19"/>
        <v/>
      </c>
      <c r="W69" t="str">
        <f t="shared" si="20"/>
        <v/>
      </c>
      <c r="X69" t="str">
        <f t="shared" si="21"/>
        <v/>
      </c>
      <c r="Y69" t="str">
        <f t="shared" si="22"/>
        <v>dataset</v>
      </c>
      <c r="Z69" t="str">
        <f t="shared" si="23"/>
        <v>sample</v>
      </c>
    </row>
    <row r="70" spans="1:1020" x14ac:dyDescent="0.15">
      <c r="A70" s="6" t="s">
        <v>69</v>
      </c>
      <c r="B70" s="6"/>
      <c r="C70" s="6"/>
      <c r="D70" s="6" t="s">
        <v>3208</v>
      </c>
      <c r="E70" s="6"/>
      <c r="F70">
        <v>500</v>
      </c>
      <c r="G70" t="b">
        <v>0</v>
      </c>
      <c r="H70" s="1" t="s">
        <v>16</v>
      </c>
      <c r="I70" t="s">
        <v>22</v>
      </c>
      <c r="J70">
        <v>2</v>
      </c>
      <c r="K70" s="7" t="b">
        <v>0</v>
      </c>
      <c r="L70" s="7" t="b">
        <v>0</v>
      </c>
      <c r="M70" s="1" t="s">
        <v>18</v>
      </c>
      <c r="N70" s="1" t="s">
        <v>16</v>
      </c>
      <c r="O70" s="1" t="s">
        <v>16</v>
      </c>
      <c r="P70" s="1" t="s">
        <v>16</v>
      </c>
      <c r="Q70" s="1" t="s">
        <v>18</v>
      </c>
      <c r="R70" s="1" t="s">
        <v>18</v>
      </c>
      <c r="S70" t="str">
        <f t="shared" si="16"/>
        <v>filter|dataset|sample</v>
      </c>
      <c r="T70" t="str">
        <f t="shared" si="17"/>
        <v/>
      </c>
      <c r="U70" t="str">
        <f t="shared" si="18"/>
        <v>filter</v>
      </c>
      <c r="V70" t="str">
        <f t="shared" si="19"/>
        <v/>
      </c>
      <c r="W70" t="str">
        <f t="shared" si="20"/>
        <v/>
      </c>
      <c r="X70" t="str">
        <f t="shared" si="21"/>
        <v/>
      </c>
      <c r="Y70" t="str">
        <f t="shared" si="22"/>
        <v>dataset</v>
      </c>
      <c r="Z70" t="str">
        <f t="shared" si="23"/>
        <v>sample</v>
      </c>
    </row>
    <row r="71" spans="1:1020" x14ac:dyDescent="0.15">
      <c r="A71" s="6" t="s">
        <v>3967</v>
      </c>
      <c r="B71" s="6"/>
      <c r="C71" s="6" t="s">
        <v>3968</v>
      </c>
      <c r="D71" s="6" t="s">
        <v>3969</v>
      </c>
      <c r="E71" s="6"/>
      <c r="F71">
        <v>500</v>
      </c>
      <c r="G71" t="b">
        <v>0</v>
      </c>
      <c r="H71" s="1" t="s">
        <v>16</v>
      </c>
      <c r="I71" s="6" t="s">
        <v>22</v>
      </c>
      <c r="J71">
        <v>2</v>
      </c>
      <c r="K71" s="7" t="b">
        <v>0</v>
      </c>
      <c r="L71" s="7" t="b">
        <v>0</v>
      </c>
      <c r="M71" s="1" t="s">
        <v>16</v>
      </c>
      <c r="N71" s="1" t="s">
        <v>16</v>
      </c>
      <c r="O71" s="1" t="s">
        <v>16</v>
      </c>
      <c r="P71" s="1" t="s">
        <v>18</v>
      </c>
      <c r="Q71" s="1" t="s">
        <v>18</v>
      </c>
      <c r="R71" s="1" t="s">
        <v>18</v>
      </c>
      <c r="S71" t="str">
        <f t="shared" si="16"/>
        <v>qc|dataset|sample</v>
      </c>
      <c r="T71" t="str">
        <f t="shared" si="17"/>
        <v/>
      </c>
      <c r="U71" t="str">
        <f t="shared" si="18"/>
        <v/>
      </c>
      <c r="V71" t="str">
        <f t="shared" si="19"/>
        <v/>
      </c>
      <c r="W71" t="str">
        <f t="shared" si="20"/>
        <v/>
      </c>
      <c r="X71" t="str">
        <f t="shared" si="21"/>
        <v>qc</v>
      </c>
      <c r="Y71" t="str">
        <f t="shared" si="22"/>
        <v>dataset</v>
      </c>
      <c r="Z71" t="str">
        <f t="shared" si="23"/>
        <v>sample</v>
      </c>
    </row>
    <row r="72" spans="1:1020" x14ac:dyDescent="0.15">
      <c r="A72" t="s">
        <v>92</v>
      </c>
      <c r="B72" t="s">
        <v>4086</v>
      </c>
      <c r="C72" s="6" t="s">
        <v>3968</v>
      </c>
      <c r="D72" s="6" t="s">
        <v>93</v>
      </c>
      <c r="E72" s="6"/>
      <c r="F72">
        <v>500</v>
      </c>
      <c r="G72" t="b">
        <v>0</v>
      </c>
      <c r="H72" s="1" t="s">
        <v>16</v>
      </c>
      <c r="I72" t="s">
        <v>22</v>
      </c>
      <c r="J72">
        <v>2</v>
      </c>
      <c r="K72" s="7" t="b">
        <v>0</v>
      </c>
      <c r="L72" s="7" t="b">
        <v>0</v>
      </c>
      <c r="M72" s="1" t="s">
        <v>18</v>
      </c>
      <c r="N72" s="1" t="s">
        <v>16</v>
      </c>
      <c r="O72" s="1" t="s">
        <v>16</v>
      </c>
      <c r="P72" s="1" t="s">
        <v>16</v>
      </c>
      <c r="Q72" s="1" t="s">
        <v>18</v>
      </c>
      <c r="R72" s="1" t="s">
        <v>18</v>
      </c>
      <c r="S72" t="str">
        <f t="shared" si="16"/>
        <v>filter|dataset|sample</v>
      </c>
      <c r="T72" t="str">
        <f t="shared" si="17"/>
        <v/>
      </c>
      <c r="U72" t="str">
        <f t="shared" si="18"/>
        <v>filter</v>
      </c>
      <c r="V72" t="str">
        <f t="shared" si="19"/>
        <v/>
      </c>
      <c r="W72" t="str">
        <f t="shared" si="20"/>
        <v/>
      </c>
      <c r="X72" t="str">
        <f t="shared" si="21"/>
        <v/>
      </c>
      <c r="Y72" t="str">
        <f t="shared" si="22"/>
        <v>dataset</v>
      </c>
      <c r="Z72" t="str">
        <f t="shared" si="23"/>
        <v>sample</v>
      </c>
    </row>
    <row r="73" spans="1:1020" x14ac:dyDescent="0.15">
      <c r="A73" t="s">
        <v>94</v>
      </c>
      <c r="B73" t="s">
        <v>4086</v>
      </c>
      <c r="C73" s="6" t="s">
        <v>3968</v>
      </c>
      <c r="D73" s="6" t="s">
        <v>95</v>
      </c>
      <c r="E73" s="6"/>
      <c r="F73">
        <v>500</v>
      </c>
      <c r="G73" t="b">
        <v>0</v>
      </c>
      <c r="H73" s="1" t="s">
        <v>16</v>
      </c>
      <c r="I73" t="s">
        <v>22</v>
      </c>
      <c r="J73">
        <v>2</v>
      </c>
      <c r="K73" s="7" t="b">
        <v>0</v>
      </c>
      <c r="L73" s="7" t="b">
        <v>0</v>
      </c>
      <c r="M73" s="1" t="s">
        <v>18</v>
      </c>
      <c r="N73" s="1" t="s">
        <v>16</v>
      </c>
      <c r="O73" s="1" t="s">
        <v>16</v>
      </c>
      <c r="P73" s="1" t="s">
        <v>16</v>
      </c>
      <c r="Q73" s="1" t="s">
        <v>18</v>
      </c>
      <c r="R73" s="1" t="s">
        <v>18</v>
      </c>
      <c r="S73" t="str">
        <f t="shared" si="16"/>
        <v>filter|dataset|sample</v>
      </c>
      <c r="T73" t="str">
        <f t="shared" si="17"/>
        <v/>
      </c>
      <c r="U73" t="str">
        <f t="shared" si="18"/>
        <v>filter</v>
      </c>
      <c r="V73" t="str">
        <f t="shared" si="19"/>
        <v/>
      </c>
      <c r="W73" t="str">
        <f t="shared" si="20"/>
        <v/>
      </c>
      <c r="X73" t="str">
        <f t="shared" si="21"/>
        <v/>
      </c>
      <c r="Y73" t="str">
        <f t="shared" si="22"/>
        <v>dataset</v>
      </c>
      <c r="Z73" t="str">
        <f t="shared" si="23"/>
        <v>sample</v>
      </c>
    </row>
    <row r="74" spans="1:1020" s="26" customFormat="1" x14ac:dyDescent="0.15">
      <c r="A74" t="s">
        <v>3851</v>
      </c>
      <c r="B74"/>
      <c r="C74" t="s">
        <v>20</v>
      </c>
      <c r="D74" t="s">
        <v>126</v>
      </c>
      <c r="E74"/>
      <c r="F74">
        <v>720</v>
      </c>
      <c r="G74" t="b">
        <v>0</v>
      </c>
      <c r="H74" s="1" t="s">
        <v>16</v>
      </c>
      <c r="I74" t="s">
        <v>22</v>
      </c>
      <c r="J74">
        <v>2</v>
      </c>
      <c r="K74" s="7" t="b">
        <v>0</v>
      </c>
      <c r="L74" s="7" t="b">
        <v>1</v>
      </c>
      <c r="M74" s="1" t="s">
        <v>18</v>
      </c>
      <c r="N74" s="1" t="s">
        <v>16</v>
      </c>
      <c r="O74" s="1" t="s">
        <v>16</v>
      </c>
      <c r="P74" s="1" t="s">
        <v>18</v>
      </c>
      <c r="Q74" s="1" t="s">
        <v>18</v>
      </c>
      <c r="R74" s="1" t="s">
        <v>18</v>
      </c>
      <c r="S74" t="str">
        <f t="shared" si="16"/>
        <v>mandatory|filter|qc|dataset|sample|instrumenttype</v>
      </c>
      <c r="T74" t="str">
        <f t="shared" si="17"/>
        <v>mandatory</v>
      </c>
      <c r="U74" t="str">
        <f t="shared" si="18"/>
        <v>filter</v>
      </c>
      <c r="V74" t="str">
        <f t="shared" si="19"/>
        <v/>
      </c>
      <c r="W74" t="str">
        <f t="shared" si="20"/>
        <v/>
      </c>
      <c r="X74" t="str">
        <f t="shared" si="21"/>
        <v>qc</v>
      </c>
      <c r="Y74" t="str">
        <f t="shared" si="22"/>
        <v>dataset</v>
      </c>
      <c r="Z74" t="str">
        <f t="shared" si="23"/>
        <v>sample</v>
      </c>
      <c r="AA74"/>
      <c r="AB74" t="s">
        <v>4125</v>
      </c>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c r="ALY74"/>
      <c r="ALZ74"/>
      <c r="AMA74"/>
      <c r="AMB74"/>
      <c r="AMC74"/>
      <c r="AMD74"/>
      <c r="AME74"/>
      <c r="AMF74"/>
    </row>
    <row r="75" spans="1:1020" x14ac:dyDescent="0.15">
      <c r="A75" t="s">
        <v>20</v>
      </c>
      <c r="C75" t="s">
        <v>19</v>
      </c>
      <c r="D75" t="s">
        <v>129</v>
      </c>
      <c r="F75">
        <v>710</v>
      </c>
      <c r="G75" t="b">
        <v>0</v>
      </c>
      <c r="H75" s="1" t="s">
        <v>16</v>
      </c>
      <c r="I75" t="s">
        <v>22</v>
      </c>
      <c r="J75">
        <v>2</v>
      </c>
      <c r="K75" s="7" t="b">
        <v>0</v>
      </c>
      <c r="L75" s="7" t="b">
        <v>1</v>
      </c>
      <c r="M75" s="1" t="s">
        <v>18</v>
      </c>
      <c r="N75" s="1" t="s">
        <v>16</v>
      </c>
      <c r="O75" s="1" t="s">
        <v>16</v>
      </c>
      <c r="P75" s="1" t="s">
        <v>18</v>
      </c>
      <c r="Q75" s="1" t="s">
        <v>18</v>
      </c>
      <c r="R75" s="1" t="s">
        <v>18</v>
      </c>
      <c r="S75" t="str">
        <f t="shared" si="16"/>
        <v>mandatory|filter|qc|dataset|sample|instrument</v>
      </c>
      <c r="T75" t="str">
        <f t="shared" si="17"/>
        <v>mandatory</v>
      </c>
      <c r="U75" t="str">
        <f t="shared" si="18"/>
        <v>filter</v>
      </c>
      <c r="V75" t="str">
        <f t="shared" si="19"/>
        <v/>
      </c>
      <c r="W75" t="str">
        <f t="shared" si="20"/>
        <v/>
      </c>
      <c r="X75" t="str">
        <f t="shared" si="21"/>
        <v>qc</v>
      </c>
      <c r="Y75" t="str">
        <f t="shared" si="22"/>
        <v>dataset</v>
      </c>
      <c r="Z75" t="str">
        <f t="shared" si="23"/>
        <v>sample</v>
      </c>
      <c r="AA75" t="s">
        <v>2525</v>
      </c>
    </row>
    <row r="76" spans="1:1020" x14ac:dyDescent="0.15">
      <c r="A76" s="6" t="s">
        <v>19</v>
      </c>
      <c r="B76" s="6"/>
      <c r="C76" s="6" t="s">
        <v>4076</v>
      </c>
      <c r="D76" t="s">
        <v>21</v>
      </c>
      <c r="F76">
        <v>680</v>
      </c>
      <c r="G76" t="b">
        <v>0</v>
      </c>
      <c r="H76" s="1" t="s">
        <v>16</v>
      </c>
      <c r="I76" t="s">
        <v>22</v>
      </c>
      <c r="J76">
        <v>2</v>
      </c>
      <c r="K76" s="7" t="b">
        <v>0</v>
      </c>
      <c r="L76" s="7" t="b">
        <v>1</v>
      </c>
      <c r="M76" s="1" t="s">
        <v>18</v>
      </c>
      <c r="N76" s="1" t="s">
        <v>16</v>
      </c>
      <c r="O76" s="1" t="s">
        <v>16</v>
      </c>
      <c r="P76" s="1" t="s">
        <v>18</v>
      </c>
      <c r="Q76" s="1" t="s">
        <v>18</v>
      </c>
      <c r="R76" s="1" t="s">
        <v>18</v>
      </c>
      <c r="S76" t="str">
        <f t="shared" si="16"/>
        <v>mandatory|filter|qc|dataset|sample</v>
      </c>
      <c r="T76" t="str">
        <f t="shared" si="17"/>
        <v>mandatory</v>
      </c>
      <c r="U76" t="str">
        <f t="shared" si="18"/>
        <v>filter</v>
      </c>
      <c r="V76" t="str">
        <f t="shared" si="19"/>
        <v/>
      </c>
      <c r="W76" t="str">
        <f t="shared" si="20"/>
        <v/>
      </c>
      <c r="X76" t="str">
        <f t="shared" si="21"/>
        <v>qc</v>
      </c>
      <c r="Y76" t="str">
        <f t="shared" si="22"/>
        <v>dataset</v>
      </c>
      <c r="Z76" t="str">
        <f t="shared" si="23"/>
        <v>sample</v>
      </c>
    </row>
    <row r="77" spans="1:1020" x14ac:dyDescent="0.15">
      <c r="A77" s="6" t="s">
        <v>46</v>
      </c>
      <c r="B77" s="6"/>
      <c r="C77" s="6"/>
      <c r="D77" s="6" t="s">
        <v>47</v>
      </c>
      <c r="E77" s="6"/>
      <c r="F77">
        <v>500</v>
      </c>
      <c r="G77" t="b">
        <v>0</v>
      </c>
      <c r="H77" s="1" t="s">
        <v>16</v>
      </c>
      <c r="I77" t="s">
        <v>22</v>
      </c>
      <c r="J77">
        <v>2</v>
      </c>
      <c r="K77" s="7" t="b">
        <v>0</v>
      </c>
      <c r="L77" s="7" t="b">
        <v>0</v>
      </c>
      <c r="M77" s="1" t="s">
        <v>18</v>
      </c>
      <c r="N77" s="1" t="s">
        <v>16</v>
      </c>
      <c r="O77" s="1" t="s">
        <v>16</v>
      </c>
      <c r="P77" s="1" t="s">
        <v>16</v>
      </c>
      <c r="Q77" s="1" t="s">
        <v>18</v>
      </c>
      <c r="R77" s="1" t="s">
        <v>18</v>
      </c>
      <c r="S77" t="str">
        <f t="shared" si="16"/>
        <v>filter|dataset|sample</v>
      </c>
      <c r="T77" t="str">
        <f t="shared" si="17"/>
        <v/>
      </c>
      <c r="U77" t="str">
        <f t="shared" si="18"/>
        <v>filter</v>
      </c>
      <c r="V77" t="str">
        <f t="shared" si="19"/>
        <v/>
      </c>
      <c r="W77" t="str">
        <f t="shared" si="20"/>
        <v/>
      </c>
      <c r="X77" t="str">
        <f t="shared" si="21"/>
        <v/>
      </c>
      <c r="Y77" t="str">
        <f t="shared" si="22"/>
        <v>dataset</v>
      </c>
      <c r="Z77" t="str">
        <f t="shared" si="23"/>
        <v>sample</v>
      </c>
    </row>
    <row r="78" spans="1:1020" x14ac:dyDescent="0.15">
      <c r="A78" s="6" t="s">
        <v>90</v>
      </c>
      <c r="B78" s="6"/>
      <c r="C78" s="6"/>
      <c r="D78" t="s">
        <v>127</v>
      </c>
      <c r="F78">
        <v>500</v>
      </c>
      <c r="G78" t="b">
        <v>0</v>
      </c>
      <c r="H78" s="1" t="s">
        <v>16</v>
      </c>
      <c r="I78" t="s">
        <v>22</v>
      </c>
      <c r="J78">
        <v>2</v>
      </c>
      <c r="K78" s="7" t="b">
        <v>0</v>
      </c>
      <c r="L78" s="7" t="b">
        <v>0</v>
      </c>
      <c r="M78" s="1" t="s">
        <v>18</v>
      </c>
      <c r="N78" s="1" t="s">
        <v>16</v>
      </c>
      <c r="O78" s="1" t="s">
        <v>16</v>
      </c>
      <c r="P78" s="1" t="s">
        <v>18</v>
      </c>
      <c r="Q78" s="1" t="s">
        <v>18</v>
      </c>
      <c r="R78" s="1" t="s">
        <v>18</v>
      </c>
      <c r="S78" t="str">
        <f t="shared" si="16"/>
        <v>filter|qc|dataset|sample</v>
      </c>
      <c r="T78" t="str">
        <f t="shared" si="17"/>
        <v/>
      </c>
      <c r="U78" t="str">
        <f t="shared" si="18"/>
        <v>filter</v>
      </c>
      <c r="V78" t="str">
        <f t="shared" si="19"/>
        <v/>
      </c>
      <c r="W78" t="str">
        <f t="shared" si="20"/>
        <v/>
      </c>
      <c r="X78" t="str">
        <f t="shared" si="21"/>
        <v>qc</v>
      </c>
      <c r="Y78" t="str">
        <f t="shared" si="22"/>
        <v>dataset</v>
      </c>
      <c r="Z78" t="str">
        <f t="shared" si="23"/>
        <v>sample</v>
      </c>
    </row>
    <row r="79" spans="1:1020" x14ac:dyDescent="0.15">
      <c r="A79" s="6" t="s">
        <v>108</v>
      </c>
      <c r="B79" s="6" t="s">
        <v>4085</v>
      </c>
      <c r="C79" s="6"/>
      <c r="D79" s="6" t="s">
        <v>3206</v>
      </c>
      <c r="E79" s="6"/>
      <c r="F79">
        <v>500</v>
      </c>
      <c r="G79" t="b">
        <v>0</v>
      </c>
      <c r="H79" s="1" t="s">
        <v>16</v>
      </c>
      <c r="I79" t="s">
        <v>22</v>
      </c>
      <c r="J79">
        <v>2</v>
      </c>
      <c r="K79" s="7" t="b">
        <v>0</v>
      </c>
      <c r="L79" s="7" t="b">
        <v>0</v>
      </c>
      <c r="M79" s="1" t="s">
        <v>18</v>
      </c>
      <c r="N79" s="1" t="s">
        <v>16</v>
      </c>
      <c r="O79" s="1" t="s">
        <v>16</v>
      </c>
      <c r="P79" s="1" t="s">
        <v>16</v>
      </c>
      <c r="Q79" s="1" t="s">
        <v>18</v>
      </c>
      <c r="R79" s="1" t="s">
        <v>18</v>
      </c>
      <c r="S79" t="str">
        <f t="shared" si="16"/>
        <v>filter|dataset|sample</v>
      </c>
      <c r="T79" t="str">
        <f t="shared" si="17"/>
        <v/>
      </c>
      <c r="U79" t="str">
        <f t="shared" si="18"/>
        <v>filter</v>
      </c>
      <c r="V79" t="str">
        <f t="shared" si="19"/>
        <v/>
      </c>
      <c r="W79" t="str">
        <f t="shared" si="20"/>
        <v/>
      </c>
      <c r="X79" t="str">
        <f t="shared" si="21"/>
        <v/>
      </c>
      <c r="Y79" t="str">
        <f t="shared" si="22"/>
        <v>dataset</v>
      </c>
      <c r="Z79" t="str">
        <f t="shared" si="23"/>
        <v>sample</v>
      </c>
    </row>
    <row r="80" spans="1:1020" x14ac:dyDescent="0.15">
      <c r="A80" s="6" t="s">
        <v>130</v>
      </c>
      <c r="B80" s="6"/>
      <c r="C80" s="6"/>
      <c r="D80" t="s">
        <v>3209</v>
      </c>
      <c r="F80">
        <v>500</v>
      </c>
      <c r="G80" t="b">
        <v>0</v>
      </c>
      <c r="H80" s="1" t="s">
        <v>16</v>
      </c>
      <c r="I80" t="s">
        <v>22</v>
      </c>
      <c r="J80">
        <v>2</v>
      </c>
      <c r="K80" s="7" t="b">
        <v>0</v>
      </c>
      <c r="L80" s="7" t="b">
        <v>0</v>
      </c>
      <c r="M80" s="1" t="s">
        <v>18</v>
      </c>
      <c r="N80" s="1" t="s">
        <v>16</v>
      </c>
      <c r="O80" s="1" t="s">
        <v>16</v>
      </c>
      <c r="P80" s="1" t="s">
        <v>16</v>
      </c>
      <c r="Q80" s="1" t="s">
        <v>18</v>
      </c>
      <c r="R80" s="1" t="s">
        <v>18</v>
      </c>
      <c r="S80" t="str">
        <f t="shared" si="16"/>
        <v>filter|dataset|sample</v>
      </c>
      <c r="T80" t="str">
        <f t="shared" si="17"/>
        <v/>
      </c>
      <c r="U80" t="str">
        <f t="shared" si="18"/>
        <v>filter</v>
      </c>
      <c r="V80" t="str">
        <f t="shared" si="19"/>
        <v/>
      </c>
      <c r="W80" t="str">
        <f t="shared" si="20"/>
        <v/>
      </c>
      <c r="X80" t="str">
        <f t="shared" si="21"/>
        <v/>
      </c>
      <c r="Y80" t="str">
        <f t="shared" si="22"/>
        <v>dataset</v>
      </c>
      <c r="Z80" t="str">
        <f t="shared" si="23"/>
        <v>sample</v>
      </c>
    </row>
    <row r="81" spans="1:1020" x14ac:dyDescent="0.15">
      <c r="A81" s="6" t="s">
        <v>132</v>
      </c>
      <c r="B81" s="6"/>
      <c r="C81" s="6"/>
      <c r="D81" t="s">
        <v>3210</v>
      </c>
      <c r="F81">
        <v>500</v>
      </c>
      <c r="G81" t="b">
        <v>0</v>
      </c>
      <c r="H81" s="1" t="s">
        <v>16</v>
      </c>
      <c r="I81" t="s">
        <v>22</v>
      </c>
      <c r="J81">
        <v>2</v>
      </c>
      <c r="K81" s="7" t="b">
        <v>0</v>
      </c>
      <c r="L81" s="7" t="b">
        <v>0</v>
      </c>
      <c r="M81" s="1" t="s">
        <v>18</v>
      </c>
      <c r="N81" s="1" t="s">
        <v>16</v>
      </c>
      <c r="O81" s="1" t="s">
        <v>16</v>
      </c>
      <c r="P81" s="1" t="s">
        <v>16</v>
      </c>
      <c r="Q81" s="1" t="s">
        <v>18</v>
      </c>
      <c r="R81" s="1" t="s">
        <v>18</v>
      </c>
      <c r="S81" t="str">
        <f t="shared" si="16"/>
        <v>filter|dataset|sample</v>
      </c>
      <c r="T81" t="str">
        <f t="shared" si="17"/>
        <v/>
      </c>
      <c r="U81" t="str">
        <f t="shared" si="18"/>
        <v>filter</v>
      </c>
      <c r="V81" t="str">
        <f t="shared" si="19"/>
        <v/>
      </c>
      <c r="W81" t="str">
        <f t="shared" si="20"/>
        <v/>
      </c>
      <c r="X81" t="str">
        <f t="shared" si="21"/>
        <v/>
      </c>
      <c r="Y81" t="str">
        <f t="shared" si="22"/>
        <v>dataset</v>
      </c>
      <c r="Z81" t="str">
        <f t="shared" si="23"/>
        <v>sample</v>
      </c>
    </row>
    <row r="82" spans="1:1020" x14ac:dyDescent="0.15">
      <c r="A82" s="6" t="s">
        <v>134</v>
      </c>
      <c r="B82" s="6"/>
      <c r="C82" s="6"/>
      <c r="D82" t="s">
        <v>3211</v>
      </c>
      <c r="F82">
        <v>500</v>
      </c>
      <c r="G82" t="b">
        <v>0</v>
      </c>
      <c r="H82" s="1" t="s">
        <v>16</v>
      </c>
      <c r="I82" t="s">
        <v>22</v>
      </c>
      <c r="J82">
        <v>2</v>
      </c>
      <c r="K82" s="7" t="b">
        <v>0</v>
      </c>
      <c r="L82" s="7" t="b">
        <v>0</v>
      </c>
      <c r="M82" s="1" t="s">
        <v>18</v>
      </c>
      <c r="N82" s="1" t="s">
        <v>16</v>
      </c>
      <c r="O82" s="1" t="s">
        <v>16</v>
      </c>
      <c r="P82" s="1" t="s">
        <v>16</v>
      </c>
      <c r="Q82" s="1" t="s">
        <v>18</v>
      </c>
      <c r="R82" s="1" t="s">
        <v>18</v>
      </c>
      <c r="S82" t="str">
        <f t="shared" si="16"/>
        <v>filter|dataset|sample</v>
      </c>
      <c r="T82" t="str">
        <f t="shared" si="17"/>
        <v/>
      </c>
      <c r="U82" t="str">
        <f t="shared" si="18"/>
        <v>filter</v>
      </c>
      <c r="V82" t="str">
        <f t="shared" si="19"/>
        <v/>
      </c>
      <c r="W82" t="str">
        <f t="shared" si="20"/>
        <v/>
      </c>
      <c r="X82" t="str">
        <f t="shared" si="21"/>
        <v/>
      </c>
      <c r="Y82" t="str">
        <f t="shared" si="22"/>
        <v>dataset</v>
      </c>
      <c r="Z82" t="str">
        <f t="shared" si="23"/>
        <v>sample</v>
      </c>
    </row>
    <row r="83" spans="1:1020" x14ac:dyDescent="0.15">
      <c r="A83" s="6" t="s">
        <v>136</v>
      </c>
      <c r="B83" s="6"/>
      <c r="C83" s="6"/>
      <c r="D83" t="s">
        <v>3212</v>
      </c>
      <c r="F83">
        <v>500</v>
      </c>
      <c r="G83" t="b">
        <v>0</v>
      </c>
      <c r="H83" s="1" t="s">
        <v>16</v>
      </c>
      <c r="I83" t="s">
        <v>22</v>
      </c>
      <c r="J83">
        <v>2</v>
      </c>
      <c r="K83" s="7" t="b">
        <v>0</v>
      </c>
      <c r="L83" s="7" t="b">
        <v>0</v>
      </c>
      <c r="M83" s="1" t="s">
        <v>18</v>
      </c>
      <c r="N83" s="1" t="s">
        <v>16</v>
      </c>
      <c r="O83" s="1" t="s">
        <v>16</v>
      </c>
      <c r="P83" s="1" t="s">
        <v>16</v>
      </c>
      <c r="Q83" s="1" t="s">
        <v>18</v>
      </c>
      <c r="R83" s="1" t="s">
        <v>18</v>
      </c>
      <c r="S83" t="str">
        <f t="shared" si="16"/>
        <v>filter|dataset|sample</v>
      </c>
      <c r="T83" t="str">
        <f t="shared" si="17"/>
        <v/>
      </c>
      <c r="U83" t="str">
        <f t="shared" si="18"/>
        <v>filter</v>
      </c>
      <c r="V83" t="str">
        <f t="shared" si="19"/>
        <v/>
      </c>
      <c r="W83" t="str">
        <f t="shared" si="20"/>
        <v/>
      </c>
      <c r="X83" t="str">
        <f t="shared" si="21"/>
        <v/>
      </c>
      <c r="Y83" t="str">
        <f t="shared" si="22"/>
        <v>dataset</v>
      </c>
      <c r="Z83" t="str">
        <f t="shared" si="23"/>
        <v>sample</v>
      </c>
    </row>
    <row r="84" spans="1:1020" x14ac:dyDescent="0.15">
      <c r="A84" t="s">
        <v>166</v>
      </c>
      <c r="D84" t="s">
        <v>167</v>
      </c>
      <c r="F84">
        <v>500</v>
      </c>
      <c r="G84" t="b">
        <v>0</v>
      </c>
      <c r="H84" s="1" t="s">
        <v>16</v>
      </c>
      <c r="I84" t="s">
        <v>22</v>
      </c>
      <c r="J84">
        <v>2</v>
      </c>
      <c r="K84" s="7" t="b">
        <v>0</v>
      </c>
      <c r="L84" s="7" t="b">
        <v>0</v>
      </c>
      <c r="M84" s="1" t="s">
        <v>18</v>
      </c>
      <c r="N84" s="1" t="s">
        <v>16</v>
      </c>
      <c r="O84" s="1" t="s">
        <v>16</v>
      </c>
      <c r="P84" s="1" t="s">
        <v>18</v>
      </c>
      <c r="Q84" s="1" t="s">
        <v>18</v>
      </c>
      <c r="R84" s="1" t="s">
        <v>18</v>
      </c>
      <c r="S84" t="str">
        <f t="shared" si="16"/>
        <v>filter|qc|dataset|sample</v>
      </c>
      <c r="T84" t="str">
        <f t="shared" si="17"/>
        <v/>
      </c>
      <c r="U84" t="str">
        <f t="shared" si="18"/>
        <v>filter</v>
      </c>
      <c r="V84" t="str">
        <f t="shared" si="19"/>
        <v/>
      </c>
      <c r="W84" t="str">
        <f t="shared" si="20"/>
        <v/>
      </c>
      <c r="X84" t="str">
        <f t="shared" si="21"/>
        <v>qc</v>
      </c>
      <c r="Y84" t="str">
        <f t="shared" si="22"/>
        <v>dataset</v>
      </c>
      <c r="Z84" t="str">
        <f t="shared" si="23"/>
        <v>sample</v>
      </c>
    </row>
    <row r="85" spans="1:1020" s="26" customFormat="1" x14ac:dyDescent="0.15">
      <c r="A85" t="s">
        <v>91</v>
      </c>
      <c r="B85" t="s">
        <v>4086</v>
      </c>
      <c r="C85"/>
      <c r="D85" s="6" t="s">
        <v>3205</v>
      </c>
      <c r="E85" s="6"/>
      <c r="F85">
        <v>500</v>
      </c>
      <c r="G85" t="b">
        <v>0</v>
      </c>
      <c r="H85" s="1" t="s">
        <v>16</v>
      </c>
      <c r="I85" t="s">
        <v>22</v>
      </c>
      <c r="J85">
        <v>2</v>
      </c>
      <c r="K85" s="7" t="b">
        <v>0</v>
      </c>
      <c r="L85" s="7" t="b">
        <v>0</v>
      </c>
      <c r="M85" s="1" t="s">
        <v>18</v>
      </c>
      <c r="N85" s="1" t="s">
        <v>16</v>
      </c>
      <c r="O85" s="1" t="s">
        <v>16</v>
      </c>
      <c r="P85" s="1" t="s">
        <v>16</v>
      </c>
      <c r="Q85" s="1" t="s">
        <v>18</v>
      </c>
      <c r="R85" s="1" t="s">
        <v>18</v>
      </c>
      <c r="S85" t="str">
        <f t="shared" si="16"/>
        <v>filter|dataset|sample</v>
      </c>
      <c r="T85" t="str">
        <f t="shared" si="17"/>
        <v/>
      </c>
      <c r="U85" t="str">
        <f t="shared" si="18"/>
        <v>filter</v>
      </c>
      <c r="V85" t="str">
        <f t="shared" si="19"/>
        <v/>
      </c>
      <c r="W85" t="str">
        <f t="shared" si="20"/>
        <v/>
      </c>
      <c r="X85" t="str">
        <f t="shared" si="21"/>
        <v/>
      </c>
      <c r="Y85" t="str">
        <f t="shared" si="22"/>
        <v>dataset</v>
      </c>
      <c r="Z85" t="str">
        <f t="shared" si="23"/>
        <v>sample</v>
      </c>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c r="ALY85"/>
      <c r="ALZ85"/>
      <c r="AMA85"/>
      <c r="AMB85"/>
      <c r="AMC85"/>
      <c r="AMD85"/>
      <c r="AME85"/>
      <c r="AMF85"/>
    </row>
    <row r="86" spans="1:1020" x14ac:dyDescent="0.15">
      <c r="A86" t="s">
        <v>131</v>
      </c>
      <c r="C86" t="s">
        <v>4068</v>
      </c>
      <c r="D86" s="6" t="s">
        <v>133</v>
      </c>
      <c r="E86" s="6"/>
      <c r="F86">
        <v>500</v>
      </c>
      <c r="G86" t="b">
        <v>0</v>
      </c>
      <c r="H86" s="1" t="s">
        <v>16</v>
      </c>
      <c r="I86" t="s">
        <v>22</v>
      </c>
      <c r="J86">
        <v>2</v>
      </c>
      <c r="K86" s="7" t="b">
        <v>0</v>
      </c>
      <c r="L86" s="7" t="b">
        <v>0</v>
      </c>
      <c r="M86" s="1" t="s">
        <v>18</v>
      </c>
      <c r="N86" s="1" t="s">
        <v>16</v>
      </c>
      <c r="O86" s="1" t="s">
        <v>16</v>
      </c>
      <c r="P86" s="1" t="s">
        <v>16</v>
      </c>
      <c r="Q86" s="1" t="s">
        <v>18</v>
      </c>
      <c r="R86" s="1" t="s">
        <v>18</v>
      </c>
      <c r="S86" t="str">
        <f t="shared" si="16"/>
        <v>filter|dataset|sample</v>
      </c>
      <c r="T86" t="str">
        <f t="shared" si="17"/>
        <v/>
      </c>
      <c r="U86" t="str">
        <f t="shared" si="18"/>
        <v>filter</v>
      </c>
      <c r="V86" t="str">
        <f t="shared" si="19"/>
        <v/>
      </c>
      <c r="W86" t="str">
        <f t="shared" si="20"/>
        <v/>
      </c>
      <c r="X86" t="str">
        <f t="shared" si="21"/>
        <v/>
      </c>
      <c r="Y86" t="str">
        <f t="shared" si="22"/>
        <v>dataset</v>
      </c>
      <c r="Z86" t="str">
        <f t="shared" si="23"/>
        <v>sample</v>
      </c>
    </row>
    <row r="87" spans="1:1020" ht="13.5" customHeight="1" x14ac:dyDescent="0.15">
      <c r="A87" t="s">
        <v>135</v>
      </c>
      <c r="C87" t="s">
        <v>4068</v>
      </c>
      <c r="D87" s="6" t="s">
        <v>137</v>
      </c>
      <c r="E87" s="6"/>
      <c r="F87">
        <v>500</v>
      </c>
      <c r="G87" t="b">
        <v>0</v>
      </c>
      <c r="H87" s="1" t="s">
        <v>16</v>
      </c>
      <c r="I87" t="s">
        <v>22</v>
      </c>
      <c r="J87">
        <v>2</v>
      </c>
      <c r="K87" s="7" t="b">
        <v>0</v>
      </c>
      <c r="L87" s="7" t="b">
        <v>0</v>
      </c>
      <c r="M87" s="1" t="s">
        <v>18</v>
      </c>
      <c r="N87" s="1" t="s">
        <v>16</v>
      </c>
      <c r="O87" s="1" t="s">
        <v>16</v>
      </c>
      <c r="P87" s="1" t="s">
        <v>16</v>
      </c>
      <c r="Q87" s="1" t="s">
        <v>18</v>
      </c>
      <c r="R87" s="1" t="s">
        <v>18</v>
      </c>
      <c r="S87" t="str">
        <f t="shared" si="16"/>
        <v>filter|dataset|sample</v>
      </c>
      <c r="T87" t="str">
        <f t="shared" si="17"/>
        <v/>
      </c>
      <c r="U87" t="str">
        <f t="shared" si="18"/>
        <v>filter</v>
      </c>
      <c r="V87" t="str">
        <f t="shared" si="19"/>
        <v/>
      </c>
      <c r="W87" t="str">
        <f t="shared" si="20"/>
        <v/>
      </c>
      <c r="X87" t="str">
        <f t="shared" si="21"/>
        <v/>
      </c>
      <c r="Y87" t="str">
        <f t="shared" si="22"/>
        <v>dataset</v>
      </c>
      <c r="Z87" t="str">
        <f t="shared" si="23"/>
        <v>sample</v>
      </c>
    </row>
    <row r="88" spans="1:1020" x14ac:dyDescent="0.15">
      <c r="A88" s="6" t="s">
        <v>3045</v>
      </c>
      <c r="B88" s="6"/>
      <c r="C88" s="6"/>
      <c r="D88" s="6" t="s">
        <v>3060</v>
      </c>
      <c r="E88" s="6"/>
      <c r="F88">
        <v>500</v>
      </c>
      <c r="G88" t="b">
        <v>0</v>
      </c>
      <c r="H88" s="1" t="s">
        <v>16</v>
      </c>
      <c r="I88" t="s">
        <v>22</v>
      </c>
      <c r="J88">
        <v>2</v>
      </c>
      <c r="K88" s="7" t="b">
        <v>0</v>
      </c>
      <c r="L88" s="7" t="b">
        <v>0</v>
      </c>
      <c r="M88" s="1" t="s">
        <v>18</v>
      </c>
      <c r="N88" s="1" t="s">
        <v>16</v>
      </c>
      <c r="O88" s="1" t="s">
        <v>16</v>
      </c>
      <c r="P88" s="1" t="s">
        <v>16</v>
      </c>
      <c r="Q88" s="1" t="s">
        <v>18</v>
      </c>
      <c r="R88" s="1" t="s">
        <v>18</v>
      </c>
      <c r="S88" t="str">
        <f t="shared" si="16"/>
        <v>filter|dataset|sample</v>
      </c>
      <c r="T88" t="str">
        <f t="shared" si="17"/>
        <v/>
      </c>
      <c r="U88" t="str">
        <f t="shared" si="18"/>
        <v>filter</v>
      </c>
      <c r="V88" t="str">
        <f t="shared" si="19"/>
        <v/>
      </c>
      <c r="W88" t="str">
        <f t="shared" si="20"/>
        <v/>
      </c>
      <c r="X88" t="str">
        <f t="shared" si="21"/>
        <v/>
      </c>
      <c r="Y88" t="str">
        <f t="shared" si="22"/>
        <v>dataset</v>
      </c>
      <c r="Z88" t="str">
        <f t="shared" si="23"/>
        <v>sample</v>
      </c>
    </row>
    <row r="89" spans="1:1020" x14ac:dyDescent="0.15">
      <c r="A89" s="6" t="s">
        <v>3046</v>
      </c>
      <c r="B89" s="6"/>
      <c r="C89" s="6"/>
      <c r="D89" s="6" t="s">
        <v>3061</v>
      </c>
      <c r="E89" s="6"/>
      <c r="F89">
        <v>500</v>
      </c>
      <c r="G89" t="b">
        <v>0</v>
      </c>
      <c r="H89" s="1" t="s">
        <v>16</v>
      </c>
      <c r="I89" t="s">
        <v>22</v>
      </c>
      <c r="J89">
        <v>2</v>
      </c>
      <c r="K89" s="7" t="b">
        <v>0</v>
      </c>
      <c r="L89" s="7" t="b">
        <v>0</v>
      </c>
      <c r="M89" s="1" t="s">
        <v>18</v>
      </c>
      <c r="N89" s="1" t="s">
        <v>16</v>
      </c>
      <c r="O89" s="1" t="s">
        <v>16</v>
      </c>
      <c r="P89" s="1" t="s">
        <v>16</v>
      </c>
      <c r="Q89" s="1" t="s">
        <v>18</v>
      </c>
      <c r="R89" s="1" t="s">
        <v>18</v>
      </c>
      <c r="S89" t="str">
        <f t="shared" si="16"/>
        <v>filter|dataset|sample</v>
      </c>
      <c r="T89" t="str">
        <f t="shared" si="17"/>
        <v/>
      </c>
      <c r="U89" t="str">
        <f t="shared" si="18"/>
        <v>filter</v>
      </c>
      <c r="V89" t="str">
        <f t="shared" si="19"/>
        <v/>
      </c>
      <c r="W89" t="str">
        <f t="shared" si="20"/>
        <v/>
      </c>
      <c r="X89" t="str">
        <f t="shared" si="21"/>
        <v/>
      </c>
      <c r="Y89" t="str">
        <f t="shared" si="22"/>
        <v>dataset</v>
      </c>
      <c r="Z89" t="str">
        <f t="shared" si="23"/>
        <v>sample</v>
      </c>
    </row>
    <row r="90" spans="1:1020" x14ac:dyDescent="0.15">
      <c r="A90" s="6" t="s">
        <v>116</v>
      </c>
      <c r="B90" s="6"/>
      <c r="C90" s="6"/>
      <c r="D90" t="s">
        <v>117</v>
      </c>
      <c r="F90">
        <v>500</v>
      </c>
      <c r="G90" t="b">
        <v>0</v>
      </c>
      <c r="H90" s="1" t="s">
        <v>16</v>
      </c>
      <c r="I90" t="s">
        <v>73</v>
      </c>
      <c r="J90">
        <v>1</v>
      </c>
      <c r="K90" s="7" t="b">
        <v>0</v>
      </c>
      <c r="L90" s="7" t="b">
        <v>0</v>
      </c>
      <c r="M90" s="1" t="s">
        <v>18</v>
      </c>
      <c r="N90" s="1" t="s">
        <v>16</v>
      </c>
      <c r="O90" s="1" t="s">
        <v>16</v>
      </c>
      <c r="P90" s="1" t="s">
        <v>16</v>
      </c>
      <c r="Q90" s="1" t="s">
        <v>18</v>
      </c>
      <c r="R90" s="1" t="s">
        <v>18</v>
      </c>
      <c r="S90" t="str">
        <f t="shared" si="16"/>
        <v>filter|dataset|sample</v>
      </c>
      <c r="T90" t="str">
        <f t="shared" si="17"/>
        <v/>
      </c>
      <c r="U90" t="str">
        <f t="shared" si="18"/>
        <v>filter</v>
      </c>
      <c r="V90" t="str">
        <f t="shared" si="19"/>
        <v/>
      </c>
      <c r="W90" t="str">
        <f t="shared" si="20"/>
        <v/>
      </c>
      <c r="X90" t="str">
        <f t="shared" si="21"/>
        <v/>
      </c>
      <c r="Y90" t="str">
        <f t="shared" si="22"/>
        <v>dataset</v>
      </c>
      <c r="Z90" t="str">
        <f t="shared" si="23"/>
        <v>sample</v>
      </c>
    </row>
    <row r="91" spans="1:1020" x14ac:dyDescent="0.15">
      <c r="A91" s="6" t="s">
        <v>71</v>
      </c>
      <c r="B91" s="6"/>
      <c r="C91" s="6" t="s">
        <v>116</v>
      </c>
      <c r="D91" t="s">
        <v>118</v>
      </c>
      <c r="F91">
        <v>500</v>
      </c>
      <c r="G91" t="b">
        <v>0</v>
      </c>
      <c r="H91" s="1" t="s">
        <v>16</v>
      </c>
      <c r="I91" t="s">
        <v>73</v>
      </c>
      <c r="J91">
        <v>1</v>
      </c>
      <c r="K91" s="7" t="b">
        <v>0</v>
      </c>
      <c r="L91" s="7" t="b">
        <v>0</v>
      </c>
      <c r="M91" s="1" t="s">
        <v>18</v>
      </c>
      <c r="N91" s="1" t="s">
        <v>16</v>
      </c>
      <c r="O91" s="1" t="s">
        <v>16</v>
      </c>
      <c r="P91" s="1" t="s">
        <v>16</v>
      </c>
      <c r="Q91" s="1" t="s">
        <v>18</v>
      </c>
      <c r="R91" s="1" t="s">
        <v>16</v>
      </c>
      <c r="S91" t="str">
        <f t="shared" si="16"/>
        <v>filter|dataset</v>
      </c>
      <c r="T91" t="str">
        <f t="shared" si="17"/>
        <v/>
      </c>
      <c r="U91" t="str">
        <f t="shared" si="18"/>
        <v>filter</v>
      </c>
      <c r="V91" t="str">
        <f t="shared" si="19"/>
        <v/>
      </c>
      <c r="W91" t="str">
        <f t="shared" si="20"/>
        <v/>
      </c>
      <c r="X91" t="str">
        <f t="shared" si="21"/>
        <v/>
      </c>
      <c r="Y91" t="str">
        <f t="shared" si="22"/>
        <v>dataset</v>
      </c>
      <c r="Z91" t="str">
        <f t="shared" si="23"/>
        <v/>
      </c>
    </row>
    <row r="92" spans="1:1020" x14ac:dyDescent="0.15">
      <c r="A92" s="6" t="s">
        <v>70</v>
      </c>
      <c r="B92" s="6"/>
      <c r="C92" s="6" t="s">
        <v>4061</v>
      </c>
      <c r="D92" s="6" t="s">
        <v>72</v>
      </c>
      <c r="E92" s="6"/>
      <c r="F92">
        <v>450</v>
      </c>
      <c r="G92" t="b">
        <v>0</v>
      </c>
      <c r="H92" s="1" t="s">
        <v>16</v>
      </c>
      <c r="I92" t="s">
        <v>73</v>
      </c>
      <c r="J92">
        <v>1</v>
      </c>
      <c r="K92" s="7" t="b">
        <v>0</v>
      </c>
      <c r="L92" s="7" t="b">
        <v>0</v>
      </c>
      <c r="M92" s="1" t="s">
        <v>18</v>
      </c>
      <c r="N92" s="1" t="s">
        <v>16</v>
      </c>
      <c r="O92" s="1" t="s">
        <v>16</v>
      </c>
      <c r="P92" s="1" t="s">
        <v>16</v>
      </c>
      <c r="Q92" s="1" t="s">
        <v>18</v>
      </c>
      <c r="R92" s="1" t="s">
        <v>18</v>
      </c>
      <c r="S92" t="str">
        <f t="shared" si="16"/>
        <v>filter|dataset|sample</v>
      </c>
      <c r="T92" t="str">
        <f t="shared" si="17"/>
        <v/>
      </c>
      <c r="U92" t="str">
        <f t="shared" si="18"/>
        <v>filter</v>
      </c>
      <c r="V92" t="str">
        <f t="shared" si="19"/>
        <v/>
      </c>
      <c r="W92" t="str">
        <f t="shared" si="20"/>
        <v/>
      </c>
      <c r="X92" t="str">
        <f t="shared" si="21"/>
        <v/>
      </c>
      <c r="Y92" t="str">
        <f t="shared" si="22"/>
        <v>dataset</v>
      </c>
      <c r="Z92" t="str">
        <f t="shared" si="23"/>
        <v>sample</v>
      </c>
    </row>
    <row r="93" spans="1:1020" x14ac:dyDescent="0.15">
      <c r="A93" s="6" t="s">
        <v>3213</v>
      </c>
      <c r="B93" s="6"/>
      <c r="C93" s="6" t="s">
        <v>4063</v>
      </c>
      <c r="D93" t="s">
        <v>3217</v>
      </c>
      <c r="F93">
        <v>600</v>
      </c>
      <c r="G93" t="b">
        <v>0</v>
      </c>
      <c r="H93" s="1" t="s">
        <v>16</v>
      </c>
      <c r="I93" t="s">
        <v>50</v>
      </c>
      <c r="J93">
        <v>2</v>
      </c>
      <c r="K93" s="7" t="b">
        <v>0</v>
      </c>
      <c r="L93" s="7" t="b">
        <v>0</v>
      </c>
      <c r="M93" s="1" t="s">
        <v>18</v>
      </c>
      <c r="N93" s="1" t="s">
        <v>16</v>
      </c>
      <c r="O93" s="1" t="s">
        <v>16</v>
      </c>
      <c r="P93" s="1" t="s">
        <v>16</v>
      </c>
      <c r="Q93" s="1" t="s">
        <v>18</v>
      </c>
      <c r="R93" s="1" t="s">
        <v>18</v>
      </c>
      <c r="S93" t="str">
        <f t="shared" si="16"/>
        <v>filter|dataset|sample</v>
      </c>
      <c r="T93" t="str">
        <f t="shared" si="17"/>
        <v/>
      </c>
      <c r="U93" t="str">
        <f t="shared" si="18"/>
        <v>filter</v>
      </c>
      <c r="V93" t="str">
        <f t="shared" si="19"/>
        <v/>
      </c>
      <c r="W93" t="str">
        <f t="shared" si="20"/>
        <v/>
      </c>
      <c r="X93" t="str">
        <f t="shared" si="21"/>
        <v/>
      </c>
      <c r="Y93" t="str">
        <f t="shared" si="22"/>
        <v>dataset</v>
      </c>
      <c r="Z93" t="str">
        <f t="shared" si="23"/>
        <v>sample</v>
      </c>
    </row>
    <row r="94" spans="1:1020" ht="28" x14ac:dyDescent="0.15">
      <c r="A94" t="s">
        <v>49</v>
      </c>
      <c r="C94" s="34" t="s">
        <v>4155</v>
      </c>
      <c r="D94" t="s">
        <v>57</v>
      </c>
      <c r="F94">
        <v>700</v>
      </c>
      <c r="G94" t="b">
        <v>0</v>
      </c>
      <c r="H94" s="1" t="s">
        <v>16</v>
      </c>
      <c r="I94" t="s">
        <v>50</v>
      </c>
      <c r="J94">
        <v>2</v>
      </c>
      <c r="K94" s="7" t="b">
        <v>0</v>
      </c>
      <c r="L94" s="7" t="b">
        <v>0</v>
      </c>
      <c r="M94" s="1" t="s">
        <v>18</v>
      </c>
      <c r="N94" s="1" t="s">
        <v>16</v>
      </c>
      <c r="O94" s="1" t="s">
        <v>16</v>
      </c>
      <c r="P94" s="1" t="s">
        <v>18</v>
      </c>
      <c r="Q94" s="1" t="s">
        <v>18</v>
      </c>
      <c r="R94" s="1" t="s">
        <v>18</v>
      </c>
      <c r="S94" t="str">
        <f t="shared" si="16"/>
        <v>filter|qc|dataset|sample</v>
      </c>
      <c r="T94" t="str">
        <f t="shared" si="17"/>
        <v/>
      </c>
      <c r="U94" t="str">
        <f t="shared" si="18"/>
        <v>filter</v>
      </c>
      <c r="V94" t="str">
        <f t="shared" si="19"/>
        <v/>
      </c>
      <c r="W94" t="str">
        <f t="shared" si="20"/>
        <v/>
      </c>
      <c r="X94" t="str">
        <f t="shared" si="21"/>
        <v>qc</v>
      </c>
      <c r="Y94" t="str">
        <f t="shared" si="22"/>
        <v>dataset</v>
      </c>
      <c r="Z94" t="str">
        <f t="shared" si="23"/>
        <v>sample</v>
      </c>
    </row>
    <row r="95" spans="1:1020" x14ac:dyDescent="0.15">
      <c r="A95" t="s">
        <v>4095</v>
      </c>
      <c r="C95" t="s">
        <v>4096</v>
      </c>
      <c r="D95" t="s">
        <v>2728</v>
      </c>
      <c r="F95">
        <v>600</v>
      </c>
      <c r="G95" t="b">
        <v>0</v>
      </c>
      <c r="H95" s="1" t="s">
        <v>16</v>
      </c>
      <c r="I95" t="s">
        <v>50</v>
      </c>
      <c r="J95">
        <v>2</v>
      </c>
      <c r="K95" s="7" t="b">
        <v>0</v>
      </c>
      <c r="L95" s="7" t="b">
        <v>1</v>
      </c>
      <c r="M95" s="1" t="s">
        <v>18</v>
      </c>
      <c r="N95" s="1" t="s">
        <v>16</v>
      </c>
      <c r="O95" s="1" t="s">
        <v>16</v>
      </c>
      <c r="P95" s="1" t="s">
        <v>18</v>
      </c>
      <c r="Q95" s="1" t="s">
        <v>18</v>
      </c>
      <c r="R95" s="1" t="s">
        <v>18</v>
      </c>
      <c r="S95" t="str">
        <f t="shared" si="16"/>
        <v>mandatory|filter|qc|dataset|sample|instrumenttype</v>
      </c>
      <c r="T95" t="str">
        <f t="shared" si="17"/>
        <v>mandatory</v>
      </c>
      <c r="U95" t="str">
        <f t="shared" si="18"/>
        <v>filter</v>
      </c>
      <c r="V95" t="str">
        <f t="shared" si="19"/>
        <v/>
      </c>
      <c r="W95" t="str">
        <f t="shared" si="20"/>
        <v/>
      </c>
      <c r="X95" t="str">
        <f t="shared" si="21"/>
        <v>qc</v>
      </c>
      <c r="Y95" t="str">
        <f t="shared" si="22"/>
        <v>dataset</v>
      </c>
      <c r="Z95" t="str">
        <f t="shared" si="23"/>
        <v>sample</v>
      </c>
      <c r="AB95" t="s">
        <v>4125</v>
      </c>
    </row>
    <row r="96" spans="1:1020" x14ac:dyDescent="0.15">
      <c r="A96" t="s">
        <v>4096</v>
      </c>
      <c r="C96" t="s">
        <v>3213</v>
      </c>
      <c r="D96" t="s">
        <v>2729</v>
      </c>
      <c r="F96">
        <v>500</v>
      </c>
      <c r="G96" t="b">
        <v>0</v>
      </c>
      <c r="H96" s="1" t="s">
        <v>16</v>
      </c>
      <c r="I96" t="s">
        <v>50</v>
      </c>
      <c r="J96">
        <v>2</v>
      </c>
      <c r="K96" s="7" t="b">
        <v>0</v>
      </c>
      <c r="L96" s="7" t="b">
        <v>1</v>
      </c>
      <c r="M96" s="1" t="s">
        <v>18</v>
      </c>
      <c r="N96" s="1" t="s">
        <v>16</v>
      </c>
      <c r="O96" s="1" t="s">
        <v>16</v>
      </c>
      <c r="P96" s="1" t="s">
        <v>18</v>
      </c>
      <c r="Q96" s="1" t="s">
        <v>18</v>
      </c>
      <c r="R96" s="1" t="s">
        <v>18</v>
      </c>
      <c r="S96" t="str">
        <f t="shared" si="16"/>
        <v>mandatory|filter|qc|dataset|sample|instrument</v>
      </c>
      <c r="T96" t="str">
        <f t="shared" si="17"/>
        <v>mandatory</v>
      </c>
      <c r="U96" t="str">
        <f t="shared" si="18"/>
        <v>filter</v>
      </c>
      <c r="V96" t="str">
        <f t="shared" si="19"/>
        <v/>
      </c>
      <c r="W96" t="str">
        <f t="shared" si="20"/>
        <v/>
      </c>
      <c r="X96" t="str">
        <f t="shared" si="21"/>
        <v>qc</v>
      </c>
      <c r="Y96" t="str">
        <f t="shared" si="22"/>
        <v>dataset</v>
      </c>
      <c r="Z96" t="str">
        <f t="shared" si="23"/>
        <v>sample</v>
      </c>
      <c r="AA96" t="s">
        <v>2525</v>
      </c>
    </row>
    <row r="97" spans="1:26" x14ac:dyDescent="0.15">
      <c r="A97" t="s">
        <v>55</v>
      </c>
      <c r="C97" s="8"/>
      <c r="D97" t="s">
        <v>56</v>
      </c>
      <c r="F97">
        <v>500</v>
      </c>
      <c r="G97" t="b">
        <v>0</v>
      </c>
      <c r="H97" s="1" t="s">
        <v>16</v>
      </c>
      <c r="I97" t="s">
        <v>50</v>
      </c>
      <c r="J97">
        <v>2</v>
      </c>
      <c r="K97" s="7" t="b">
        <v>0</v>
      </c>
      <c r="L97" s="7" t="b">
        <v>0</v>
      </c>
      <c r="M97" s="1" t="s">
        <v>16</v>
      </c>
      <c r="N97" s="1" t="s">
        <v>16</v>
      </c>
      <c r="O97" s="1" t="s">
        <v>16</v>
      </c>
      <c r="P97" s="1" t="s">
        <v>18</v>
      </c>
      <c r="Q97" s="1" t="s">
        <v>18</v>
      </c>
      <c r="R97" s="1" t="s">
        <v>18</v>
      </c>
      <c r="S97" t="str">
        <f t="shared" si="16"/>
        <v>qc|dataset|sample</v>
      </c>
      <c r="T97" t="str">
        <f t="shared" si="17"/>
        <v/>
      </c>
      <c r="U97" t="str">
        <f t="shared" si="18"/>
        <v/>
      </c>
      <c r="V97" t="str">
        <f t="shared" si="19"/>
        <v/>
      </c>
      <c r="W97" t="str">
        <f t="shared" si="20"/>
        <v/>
      </c>
      <c r="X97" t="str">
        <f t="shared" si="21"/>
        <v>qc</v>
      </c>
      <c r="Y97" t="str">
        <f t="shared" si="22"/>
        <v>dataset</v>
      </c>
      <c r="Z97" t="str">
        <f t="shared" si="23"/>
        <v>sample</v>
      </c>
    </row>
    <row r="98" spans="1:26" x14ac:dyDescent="0.15">
      <c r="A98" t="s">
        <v>157</v>
      </c>
      <c r="B98" t="s">
        <v>4266</v>
      </c>
      <c r="C98" t="s">
        <v>159</v>
      </c>
      <c r="D98" t="s">
        <v>158</v>
      </c>
      <c r="F98">
        <v>400</v>
      </c>
      <c r="G98" t="b">
        <v>0</v>
      </c>
      <c r="H98" s="1" t="s">
        <v>16</v>
      </c>
      <c r="I98" t="s">
        <v>104</v>
      </c>
      <c r="J98">
        <v>0</v>
      </c>
      <c r="K98" s="7" t="b">
        <v>0</v>
      </c>
      <c r="L98" s="7" t="b">
        <v>0</v>
      </c>
      <c r="M98" s="1" t="s">
        <v>18</v>
      </c>
      <c r="N98" s="1" t="s">
        <v>16</v>
      </c>
      <c r="O98" s="1" t="s">
        <v>18</v>
      </c>
      <c r="P98" s="1" t="s">
        <v>16</v>
      </c>
      <c r="Q98" s="1" t="s">
        <v>16</v>
      </c>
      <c r="R98" s="1" t="s">
        <v>16</v>
      </c>
      <c r="S98" t="str">
        <f t="shared" ref="S98:S129" si="24">_xlfn.TEXTJOIN("|",TRUE,T98:AB98)</f>
        <v>filter|genotype</v>
      </c>
      <c r="T98" t="str">
        <f t="shared" ref="T98:T134" si="25">IF(L98,"mandatory","")</f>
        <v/>
      </c>
      <c r="U98" t="str">
        <f t="shared" si="18"/>
        <v>filter</v>
      </c>
      <c r="V98" t="str">
        <f t="shared" ref="V98:V134" si="26">IF(N98,"user","")</f>
        <v/>
      </c>
      <c r="W98" t="str">
        <f t="shared" ref="W98:W134" si="27">IF(O98,"genotype","")</f>
        <v>genotype</v>
      </c>
      <c r="X98" t="str">
        <f t="shared" ref="X98:X108" si="28">IF(P98,"qc","")</f>
        <v/>
      </c>
      <c r="Y98" t="str">
        <f t="shared" ref="Y98:Y108" si="29">IF(Q98,"dataset","")</f>
        <v/>
      </c>
      <c r="Z98" t="str">
        <f t="shared" ref="Z98:Z108" si="30">IF(R98,"sample","")</f>
        <v/>
      </c>
    </row>
    <row r="99" spans="1:26" x14ac:dyDescent="0.15">
      <c r="A99" t="s">
        <v>101</v>
      </c>
      <c r="C99" t="s">
        <v>4181</v>
      </c>
      <c r="D99" t="s">
        <v>103</v>
      </c>
      <c r="F99">
        <v>520</v>
      </c>
      <c r="G99" t="b">
        <v>0</v>
      </c>
      <c r="H99" s="1" t="s">
        <v>16</v>
      </c>
      <c r="I99" t="s">
        <v>104</v>
      </c>
      <c r="J99">
        <v>0</v>
      </c>
      <c r="K99" s="7" t="b">
        <v>0</v>
      </c>
      <c r="L99" s="7" t="b">
        <v>0</v>
      </c>
      <c r="M99" s="1" t="s">
        <v>18</v>
      </c>
      <c r="N99" s="1" t="s">
        <v>16</v>
      </c>
      <c r="O99" s="1" t="s">
        <v>18</v>
      </c>
      <c r="P99" s="1" t="s">
        <v>16</v>
      </c>
      <c r="Q99" s="1" t="s">
        <v>16</v>
      </c>
      <c r="R99" s="1" t="s">
        <v>16</v>
      </c>
      <c r="S99" t="str">
        <f t="shared" si="24"/>
        <v>filter|genotype</v>
      </c>
      <c r="T99" t="str">
        <f t="shared" si="25"/>
        <v/>
      </c>
      <c r="U99" t="str">
        <f t="shared" si="18"/>
        <v>filter</v>
      </c>
      <c r="V99" t="str">
        <f t="shared" si="26"/>
        <v/>
      </c>
      <c r="W99" t="str">
        <f t="shared" si="27"/>
        <v>genotype</v>
      </c>
      <c r="X99" t="str">
        <f t="shared" si="28"/>
        <v/>
      </c>
      <c r="Y99" t="str">
        <f t="shared" si="29"/>
        <v/>
      </c>
      <c r="Z99" t="str">
        <f t="shared" si="30"/>
        <v/>
      </c>
    </row>
    <row r="100" spans="1:26" x14ac:dyDescent="0.15">
      <c r="A100" t="s">
        <v>102</v>
      </c>
      <c r="D100" t="s">
        <v>107</v>
      </c>
      <c r="F100">
        <v>550</v>
      </c>
      <c r="G100" t="b">
        <v>0</v>
      </c>
      <c r="H100" s="1" t="s">
        <v>16</v>
      </c>
      <c r="I100" t="s">
        <v>104</v>
      </c>
      <c r="J100">
        <v>0</v>
      </c>
      <c r="K100" s="7" t="b">
        <v>0</v>
      </c>
      <c r="L100" s="7" t="b">
        <v>0</v>
      </c>
      <c r="M100" s="1" t="s">
        <v>18</v>
      </c>
      <c r="N100" s="1" t="s">
        <v>16</v>
      </c>
      <c r="O100" s="1" t="s">
        <v>18</v>
      </c>
      <c r="P100" s="1" t="s">
        <v>16</v>
      </c>
      <c r="Q100" s="1" t="s">
        <v>16</v>
      </c>
      <c r="R100" s="1" t="s">
        <v>16</v>
      </c>
      <c r="S100" t="str">
        <f t="shared" si="24"/>
        <v>filter|genotype</v>
      </c>
      <c r="T100" t="str">
        <f t="shared" si="25"/>
        <v/>
      </c>
      <c r="U100" t="str">
        <f t="shared" si="18"/>
        <v>filter</v>
      </c>
      <c r="V100" t="str">
        <f t="shared" si="26"/>
        <v/>
      </c>
      <c r="W100" t="str">
        <f t="shared" si="27"/>
        <v>genotype</v>
      </c>
      <c r="X100" t="str">
        <f t="shared" si="28"/>
        <v/>
      </c>
      <c r="Y100" t="str">
        <f t="shared" si="29"/>
        <v/>
      </c>
      <c r="Z100" t="str">
        <f t="shared" si="30"/>
        <v/>
      </c>
    </row>
    <row r="101" spans="1:26" x14ac:dyDescent="0.15">
      <c r="A101" t="s">
        <v>105</v>
      </c>
      <c r="C101" t="s">
        <v>4229</v>
      </c>
      <c r="D101" t="s">
        <v>106</v>
      </c>
      <c r="F101">
        <v>650</v>
      </c>
      <c r="G101" t="b">
        <v>0</v>
      </c>
      <c r="H101" s="1" t="s">
        <v>16</v>
      </c>
      <c r="I101" t="s">
        <v>104</v>
      </c>
      <c r="J101">
        <v>0</v>
      </c>
      <c r="K101" s="7" t="b">
        <v>0</v>
      </c>
      <c r="L101" s="7" t="b">
        <v>0</v>
      </c>
      <c r="M101" s="1" t="s">
        <v>18</v>
      </c>
      <c r="N101" s="1" t="s">
        <v>16</v>
      </c>
      <c r="O101" s="1" t="s">
        <v>18</v>
      </c>
      <c r="P101" s="1" t="s">
        <v>16</v>
      </c>
      <c r="Q101" s="1" t="s">
        <v>16</v>
      </c>
      <c r="R101" s="1" t="s">
        <v>16</v>
      </c>
      <c r="S101" t="str">
        <f t="shared" si="24"/>
        <v>filter|genotype</v>
      </c>
      <c r="T101" t="str">
        <f t="shared" si="25"/>
        <v/>
      </c>
      <c r="U101" t="str">
        <f t="shared" si="18"/>
        <v>filter</v>
      </c>
      <c r="V101" t="str">
        <f t="shared" si="26"/>
        <v/>
      </c>
      <c r="W101" t="str">
        <f t="shared" si="27"/>
        <v>genotype</v>
      </c>
      <c r="X101" t="str">
        <f t="shared" si="28"/>
        <v/>
      </c>
      <c r="Y101" t="str">
        <f t="shared" si="29"/>
        <v/>
      </c>
      <c r="Z101" t="str">
        <f t="shared" si="30"/>
        <v/>
      </c>
    </row>
    <row r="102" spans="1:26" x14ac:dyDescent="0.15">
      <c r="A102" s="6" t="s">
        <v>4163</v>
      </c>
      <c r="B102" t="s">
        <v>4177</v>
      </c>
      <c r="D102" s="6" t="s">
        <v>4176</v>
      </c>
      <c r="E102" s="6" t="s">
        <v>1228</v>
      </c>
      <c r="F102">
        <v>500</v>
      </c>
      <c r="G102" t="b">
        <v>1</v>
      </c>
      <c r="H102" s="1" t="s">
        <v>16</v>
      </c>
      <c r="I102" t="s">
        <v>104</v>
      </c>
      <c r="J102">
        <v>0</v>
      </c>
      <c r="K102" s="7" t="b">
        <v>0</v>
      </c>
      <c r="L102" s="7" t="b">
        <v>0</v>
      </c>
      <c r="M102" s="1" t="s">
        <v>16</v>
      </c>
      <c r="N102" s="1" t="s">
        <v>16</v>
      </c>
      <c r="O102" s="1" t="s">
        <v>18</v>
      </c>
      <c r="P102" s="1" t="s">
        <v>16</v>
      </c>
      <c r="Q102" s="1" t="s">
        <v>16</v>
      </c>
      <c r="R102" s="1" t="s">
        <v>16</v>
      </c>
      <c r="S102" t="str">
        <f t="shared" si="24"/>
        <v>filter|genotype</v>
      </c>
      <c r="T102" t="str">
        <f t="shared" si="25"/>
        <v/>
      </c>
      <c r="U102" t="s">
        <v>4145</v>
      </c>
      <c r="V102" t="str">
        <f t="shared" si="26"/>
        <v/>
      </c>
      <c r="W102" t="str">
        <f t="shared" si="27"/>
        <v>genotype</v>
      </c>
      <c r="X102" t="str">
        <f t="shared" si="28"/>
        <v/>
      </c>
      <c r="Y102" t="str">
        <f t="shared" si="29"/>
        <v/>
      </c>
      <c r="Z102" t="str">
        <f t="shared" si="30"/>
        <v/>
      </c>
    </row>
    <row r="103" spans="1:26" x14ac:dyDescent="0.15">
      <c r="A103" s="6" t="s">
        <v>4178</v>
      </c>
      <c r="B103" t="s">
        <v>4180</v>
      </c>
      <c r="D103" s="6" t="s">
        <v>4197</v>
      </c>
      <c r="E103" s="6" t="s">
        <v>4179</v>
      </c>
      <c r="F103">
        <v>500</v>
      </c>
      <c r="G103" t="b">
        <v>1</v>
      </c>
      <c r="H103" s="1" t="s">
        <v>16</v>
      </c>
      <c r="I103" t="s">
        <v>104</v>
      </c>
      <c r="J103">
        <v>0</v>
      </c>
      <c r="K103" s="7" t="b">
        <v>0</v>
      </c>
      <c r="L103" s="7" t="b">
        <v>0</v>
      </c>
      <c r="M103" s="1" t="s">
        <v>16</v>
      </c>
      <c r="N103" s="1" t="s">
        <v>16</v>
      </c>
      <c r="O103" s="1" t="s">
        <v>18</v>
      </c>
      <c r="P103" s="1" t="s">
        <v>16</v>
      </c>
      <c r="Q103" s="1" t="s">
        <v>16</v>
      </c>
      <c r="R103" s="1" t="s">
        <v>16</v>
      </c>
      <c r="S103" t="str">
        <f t="shared" si="24"/>
        <v>filter|genotype</v>
      </c>
      <c r="T103" t="str">
        <f t="shared" si="25"/>
        <v/>
      </c>
      <c r="U103" t="s">
        <v>4145</v>
      </c>
      <c r="V103" t="str">
        <f t="shared" si="26"/>
        <v/>
      </c>
      <c r="W103" t="str">
        <f t="shared" si="27"/>
        <v>genotype</v>
      </c>
      <c r="X103" t="str">
        <f t="shared" si="28"/>
        <v/>
      </c>
      <c r="Y103" t="str">
        <f t="shared" si="29"/>
        <v/>
      </c>
      <c r="Z103" t="str">
        <f t="shared" si="30"/>
        <v/>
      </c>
    </row>
    <row r="104" spans="1:26" x14ac:dyDescent="0.15">
      <c r="A104" t="s">
        <v>159</v>
      </c>
      <c r="C104" t="s">
        <v>4195</v>
      </c>
      <c r="D104" t="s">
        <v>4188</v>
      </c>
      <c r="F104">
        <v>500</v>
      </c>
      <c r="G104" t="b">
        <v>0</v>
      </c>
      <c r="H104" s="1" t="s">
        <v>16</v>
      </c>
      <c r="I104" t="s">
        <v>104</v>
      </c>
      <c r="J104">
        <v>0</v>
      </c>
      <c r="K104" s="7" t="b">
        <v>0</v>
      </c>
      <c r="L104" s="7" t="b">
        <v>0</v>
      </c>
      <c r="M104" s="1" t="s">
        <v>16</v>
      </c>
      <c r="N104" s="1" t="s">
        <v>16</v>
      </c>
      <c r="O104" s="1" t="s">
        <v>18</v>
      </c>
      <c r="P104" s="1" t="s">
        <v>16</v>
      </c>
      <c r="Q104" s="1" t="s">
        <v>16</v>
      </c>
      <c r="R104" s="1" t="s">
        <v>16</v>
      </c>
      <c r="S104" t="str">
        <f t="shared" si="24"/>
        <v>filter|genotype</v>
      </c>
      <c r="T104" t="str">
        <f t="shared" si="25"/>
        <v/>
      </c>
      <c r="U104" t="s">
        <v>4145</v>
      </c>
      <c r="V104" t="str">
        <f t="shared" si="26"/>
        <v/>
      </c>
      <c r="W104" t="str">
        <f t="shared" si="27"/>
        <v>genotype</v>
      </c>
      <c r="X104" t="str">
        <f t="shared" si="28"/>
        <v/>
      </c>
      <c r="Y104" t="str">
        <f t="shared" si="29"/>
        <v/>
      </c>
      <c r="Z104" t="str">
        <f t="shared" si="30"/>
        <v/>
      </c>
    </row>
    <row r="105" spans="1:26" x14ac:dyDescent="0.15">
      <c r="A105" t="s">
        <v>4189</v>
      </c>
      <c r="B105" t="s">
        <v>4192</v>
      </c>
      <c r="D105" t="s">
        <v>4055</v>
      </c>
      <c r="F105">
        <v>500</v>
      </c>
      <c r="G105" t="b">
        <v>1</v>
      </c>
      <c r="H105" s="1" t="s">
        <v>16</v>
      </c>
      <c r="I105" t="s">
        <v>104</v>
      </c>
      <c r="J105">
        <v>0</v>
      </c>
      <c r="K105" s="7" t="b">
        <v>0</v>
      </c>
      <c r="L105" s="7" t="b">
        <v>0</v>
      </c>
      <c r="M105" s="1" t="s">
        <v>16</v>
      </c>
      <c r="N105" s="1" t="s">
        <v>16</v>
      </c>
      <c r="O105" s="1" t="s">
        <v>18</v>
      </c>
      <c r="P105" s="1" t="s">
        <v>16</v>
      </c>
      <c r="Q105" s="1" t="s">
        <v>16</v>
      </c>
      <c r="R105" s="1" t="s">
        <v>16</v>
      </c>
      <c r="S105" t="str">
        <f t="shared" si="24"/>
        <v>filter|genotype</v>
      </c>
      <c r="T105" t="str">
        <f t="shared" si="25"/>
        <v/>
      </c>
      <c r="U105" t="s">
        <v>4145</v>
      </c>
      <c r="V105" t="str">
        <f t="shared" si="26"/>
        <v/>
      </c>
      <c r="W105" t="str">
        <f t="shared" si="27"/>
        <v>genotype</v>
      </c>
      <c r="X105" t="str">
        <f t="shared" si="28"/>
        <v/>
      </c>
      <c r="Y105" t="str">
        <f t="shared" si="29"/>
        <v/>
      </c>
      <c r="Z105" t="str">
        <f t="shared" si="30"/>
        <v/>
      </c>
    </row>
    <row r="106" spans="1:26" x14ac:dyDescent="0.15">
      <c r="A106" t="s">
        <v>4190</v>
      </c>
      <c r="B106" t="s">
        <v>4193</v>
      </c>
      <c r="D106" t="s">
        <v>4198</v>
      </c>
      <c r="F106">
        <v>600</v>
      </c>
      <c r="G106" t="b">
        <v>1</v>
      </c>
      <c r="H106" s="1" t="s">
        <v>16</v>
      </c>
      <c r="I106" t="s">
        <v>104</v>
      </c>
      <c r="J106">
        <v>0</v>
      </c>
      <c r="K106" s="7" t="b">
        <v>0</v>
      </c>
      <c r="L106" s="7" t="b">
        <v>0</v>
      </c>
      <c r="M106" s="1" t="s">
        <v>16</v>
      </c>
      <c r="N106" s="1" t="s">
        <v>16</v>
      </c>
      <c r="O106" s="1" t="s">
        <v>18</v>
      </c>
      <c r="P106" s="1" t="s">
        <v>16</v>
      </c>
      <c r="Q106" s="1" t="s">
        <v>16</v>
      </c>
      <c r="R106" s="1" t="s">
        <v>16</v>
      </c>
      <c r="S106" t="str">
        <f t="shared" si="24"/>
        <v>filter|genotype</v>
      </c>
      <c r="T106" t="str">
        <f t="shared" si="25"/>
        <v/>
      </c>
      <c r="U106" t="s">
        <v>4145</v>
      </c>
      <c r="V106" t="str">
        <f t="shared" si="26"/>
        <v/>
      </c>
      <c r="W106" t="str">
        <f t="shared" si="27"/>
        <v>genotype</v>
      </c>
      <c r="X106" t="str">
        <f t="shared" si="28"/>
        <v/>
      </c>
      <c r="Y106" t="str">
        <f t="shared" si="29"/>
        <v/>
      </c>
      <c r="Z106" t="str">
        <f t="shared" si="30"/>
        <v/>
      </c>
    </row>
    <row r="107" spans="1:26" x14ac:dyDescent="0.15">
      <c r="A107" t="s">
        <v>4191</v>
      </c>
      <c r="B107" t="s">
        <v>4193</v>
      </c>
      <c r="D107" t="s">
        <v>4199</v>
      </c>
      <c r="F107">
        <v>500</v>
      </c>
      <c r="G107" t="b">
        <v>1</v>
      </c>
      <c r="H107" s="1" t="s">
        <v>16</v>
      </c>
      <c r="I107" t="s">
        <v>104</v>
      </c>
      <c r="J107">
        <v>0</v>
      </c>
      <c r="K107" s="7" t="b">
        <v>0</v>
      </c>
      <c r="L107" s="7" t="b">
        <v>0</v>
      </c>
      <c r="M107" s="1" t="s">
        <v>16</v>
      </c>
      <c r="N107" s="1" t="s">
        <v>16</v>
      </c>
      <c r="O107" s="1" t="s">
        <v>18</v>
      </c>
      <c r="P107" s="1" t="s">
        <v>16</v>
      </c>
      <c r="Q107" s="1" t="s">
        <v>16</v>
      </c>
      <c r="R107" s="1" t="s">
        <v>16</v>
      </c>
      <c r="S107" t="str">
        <f t="shared" si="24"/>
        <v>filter|genotype</v>
      </c>
      <c r="T107" t="str">
        <f t="shared" si="25"/>
        <v/>
      </c>
      <c r="U107" t="s">
        <v>4145</v>
      </c>
      <c r="V107" t="str">
        <f t="shared" si="26"/>
        <v/>
      </c>
      <c r="W107" t="str">
        <f t="shared" si="27"/>
        <v>genotype</v>
      </c>
      <c r="X107" t="str">
        <f t="shared" si="28"/>
        <v/>
      </c>
      <c r="Y107" t="str">
        <f t="shared" si="29"/>
        <v/>
      </c>
      <c r="Z107" t="str">
        <f t="shared" si="30"/>
        <v/>
      </c>
    </row>
    <row r="108" spans="1:26" x14ac:dyDescent="0.15">
      <c r="A108" t="s">
        <v>4194</v>
      </c>
      <c r="B108" t="s">
        <v>4196</v>
      </c>
      <c r="D108" t="s">
        <v>4200</v>
      </c>
      <c r="F108">
        <v>500</v>
      </c>
      <c r="G108" t="b">
        <v>1</v>
      </c>
      <c r="H108" s="1" t="s">
        <v>16</v>
      </c>
      <c r="I108" t="s">
        <v>104</v>
      </c>
      <c r="J108">
        <v>0</v>
      </c>
      <c r="K108" s="7" t="b">
        <v>0</v>
      </c>
      <c r="L108" s="7" t="b">
        <v>0</v>
      </c>
      <c r="M108" s="1" t="s">
        <v>16</v>
      </c>
      <c r="N108" s="1" t="s">
        <v>16</v>
      </c>
      <c r="O108" s="1" t="s">
        <v>18</v>
      </c>
      <c r="P108" s="1" t="s">
        <v>16</v>
      </c>
      <c r="Q108" s="1" t="s">
        <v>16</v>
      </c>
      <c r="R108" s="1" t="s">
        <v>16</v>
      </c>
      <c r="S108" t="str">
        <f t="shared" si="24"/>
        <v>filter|genotype</v>
      </c>
      <c r="T108" t="str">
        <f t="shared" si="25"/>
        <v/>
      </c>
      <c r="U108" t="s">
        <v>4145</v>
      </c>
      <c r="V108" t="str">
        <f t="shared" si="26"/>
        <v/>
      </c>
      <c r="W108" t="str">
        <f t="shared" si="27"/>
        <v>genotype</v>
      </c>
      <c r="X108" t="str">
        <f t="shared" si="28"/>
        <v/>
      </c>
      <c r="Y108" t="str">
        <f t="shared" si="29"/>
        <v/>
      </c>
      <c r="Z108" t="str">
        <f t="shared" si="30"/>
        <v/>
      </c>
    </row>
    <row r="109" spans="1:26" x14ac:dyDescent="0.15">
      <c r="A109" t="s">
        <v>4204</v>
      </c>
      <c r="B109" t="s">
        <v>4205</v>
      </c>
      <c r="D109" t="s">
        <v>4206</v>
      </c>
      <c r="F109">
        <v>500</v>
      </c>
      <c r="G109" t="b">
        <v>0</v>
      </c>
      <c r="H109" s="1" t="s">
        <v>16</v>
      </c>
      <c r="I109" t="s">
        <v>104</v>
      </c>
      <c r="J109">
        <v>0</v>
      </c>
      <c r="K109" s="7" t="b">
        <v>0</v>
      </c>
      <c r="L109" s="7" t="b">
        <v>0</v>
      </c>
      <c r="M109" s="1" t="s">
        <v>16</v>
      </c>
      <c r="N109" s="1" t="s">
        <v>16</v>
      </c>
      <c r="O109" s="1" t="s">
        <v>18</v>
      </c>
      <c r="P109" s="1" t="s">
        <v>16</v>
      </c>
      <c r="Q109" s="1" t="s">
        <v>16</v>
      </c>
      <c r="R109" s="1" t="s">
        <v>16</v>
      </c>
      <c r="S109" t="str">
        <f t="shared" si="24"/>
        <v>filter|genotype</v>
      </c>
      <c r="T109" t="str">
        <f t="shared" si="25"/>
        <v/>
      </c>
      <c r="U109" t="s">
        <v>4145</v>
      </c>
      <c r="V109" t="str">
        <f t="shared" si="26"/>
        <v/>
      </c>
      <c r="W109" t="str">
        <f t="shared" si="27"/>
        <v>genotype</v>
      </c>
    </row>
    <row r="110" spans="1:26" x14ac:dyDescent="0.15">
      <c r="A110" t="s">
        <v>86</v>
      </c>
      <c r="D110" t="s">
        <v>87</v>
      </c>
      <c r="F110">
        <v>500</v>
      </c>
      <c r="G110" t="b">
        <v>0</v>
      </c>
      <c r="H110" s="1" t="s">
        <v>16</v>
      </c>
      <c r="I110" t="s">
        <v>88</v>
      </c>
      <c r="J110">
        <v>0</v>
      </c>
      <c r="K110" s="7" t="b">
        <v>1</v>
      </c>
      <c r="L110" s="7" t="b">
        <v>1</v>
      </c>
      <c r="M110" s="1" t="s">
        <v>18</v>
      </c>
      <c r="N110" s="1" t="s">
        <v>16</v>
      </c>
      <c r="O110" s="1" t="s">
        <v>16</v>
      </c>
      <c r="P110" s="1" t="s">
        <v>16</v>
      </c>
      <c r="Q110" s="1" t="s">
        <v>18</v>
      </c>
      <c r="R110" s="1" t="s">
        <v>16</v>
      </c>
      <c r="S110" t="str">
        <f t="shared" si="24"/>
        <v>mandatory|filter|dataset</v>
      </c>
      <c r="T110" t="str">
        <f t="shared" si="25"/>
        <v>mandatory</v>
      </c>
      <c r="U110" t="str">
        <f t="shared" ref="U110:U134" si="31">IF(M110,"filter","")</f>
        <v>filter</v>
      </c>
      <c r="V110" t="str">
        <f t="shared" si="26"/>
        <v/>
      </c>
      <c r="W110" t="str">
        <f t="shared" si="27"/>
        <v/>
      </c>
      <c r="X110" t="str">
        <f t="shared" ref="X110:X134" si="32">IF(P110,"qc","")</f>
        <v/>
      </c>
      <c r="Y110" t="str">
        <f t="shared" ref="Y110:Y134" si="33">IF(Q110,"dataset","")</f>
        <v>dataset</v>
      </c>
      <c r="Z110" t="str">
        <f t="shared" ref="Z110:Z134" si="34">IF(R110,"sample","")</f>
        <v/>
      </c>
    </row>
    <row r="111" spans="1:26" x14ac:dyDescent="0.15">
      <c r="A111" t="s">
        <v>148</v>
      </c>
      <c r="D111" t="s">
        <v>149</v>
      </c>
      <c r="F111">
        <v>500</v>
      </c>
      <c r="G111" t="b">
        <v>0</v>
      </c>
      <c r="H111" s="1" t="s">
        <v>16</v>
      </c>
      <c r="I111" t="s">
        <v>88</v>
      </c>
      <c r="J111">
        <v>0</v>
      </c>
      <c r="K111" s="7" t="b">
        <v>1</v>
      </c>
      <c r="L111" s="7" t="b">
        <v>1</v>
      </c>
      <c r="M111" s="1" t="s">
        <v>18</v>
      </c>
      <c r="N111" s="1" t="s">
        <v>16</v>
      </c>
      <c r="O111" s="1" t="s">
        <v>16</v>
      </c>
      <c r="P111" s="1" t="s">
        <v>16</v>
      </c>
      <c r="Q111" s="1" t="s">
        <v>18</v>
      </c>
      <c r="R111" s="1" t="s">
        <v>16</v>
      </c>
      <c r="S111" t="str">
        <f t="shared" si="24"/>
        <v>mandatory|filter|dataset</v>
      </c>
      <c r="T111" t="str">
        <f t="shared" si="25"/>
        <v>mandatory</v>
      </c>
      <c r="U111" t="str">
        <f t="shared" si="31"/>
        <v>filter</v>
      </c>
      <c r="V111" t="str">
        <f t="shared" si="26"/>
        <v/>
      </c>
      <c r="W111" t="str">
        <f t="shared" si="27"/>
        <v/>
      </c>
      <c r="X111" t="str">
        <f t="shared" si="32"/>
        <v/>
      </c>
      <c r="Y111" t="str">
        <f t="shared" si="33"/>
        <v>dataset</v>
      </c>
      <c r="Z111" t="str">
        <f t="shared" si="34"/>
        <v/>
      </c>
    </row>
    <row r="112" spans="1:26" x14ac:dyDescent="0.15">
      <c r="A112" t="s">
        <v>98</v>
      </c>
      <c r="D112" t="s">
        <v>99</v>
      </c>
      <c r="F112">
        <v>500</v>
      </c>
      <c r="G112" t="b">
        <v>0</v>
      </c>
      <c r="H112" s="1" t="s">
        <v>16</v>
      </c>
      <c r="I112" t="s">
        <v>100</v>
      </c>
      <c r="J112">
        <v>0</v>
      </c>
      <c r="K112" s="7" t="b">
        <v>0</v>
      </c>
      <c r="L112" s="7" t="b">
        <v>0</v>
      </c>
      <c r="M112" s="1" t="s">
        <v>18</v>
      </c>
      <c r="N112" s="1" t="s">
        <v>16</v>
      </c>
      <c r="O112" s="1" t="s">
        <v>16</v>
      </c>
      <c r="P112" s="1" t="s">
        <v>16</v>
      </c>
      <c r="Q112" s="1" t="s">
        <v>18</v>
      </c>
      <c r="R112" s="1" t="s">
        <v>16</v>
      </c>
      <c r="S112" t="str">
        <f t="shared" si="24"/>
        <v>filter|dataset</v>
      </c>
      <c r="T112" t="str">
        <f t="shared" si="25"/>
        <v/>
      </c>
      <c r="U112" t="str">
        <f t="shared" si="31"/>
        <v>filter</v>
      </c>
      <c r="V112" t="str">
        <f t="shared" si="26"/>
        <v/>
      </c>
      <c r="W112" t="str">
        <f t="shared" si="27"/>
        <v/>
      </c>
      <c r="X112" t="str">
        <f t="shared" si="32"/>
        <v/>
      </c>
      <c r="Y112" t="str">
        <f t="shared" si="33"/>
        <v>dataset</v>
      </c>
      <c r="Z112" t="str">
        <f t="shared" si="34"/>
        <v/>
      </c>
    </row>
    <row r="113" spans="1:1020" x14ac:dyDescent="0.15">
      <c r="A113" s="6" t="s">
        <v>169</v>
      </c>
      <c r="B113" s="6"/>
      <c r="C113" s="6"/>
      <c r="D113" t="s">
        <v>170</v>
      </c>
      <c r="F113">
        <v>500</v>
      </c>
      <c r="G113" t="b">
        <v>0</v>
      </c>
      <c r="H113" s="1" t="s">
        <v>16</v>
      </c>
      <c r="I113" t="s">
        <v>144</v>
      </c>
      <c r="J113">
        <v>1</v>
      </c>
      <c r="K113" s="7" t="b">
        <v>0</v>
      </c>
      <c r="L113" s="7" t="b">
        <v>0</v>
      </c>
      <c r="M113" s="1" t="s">
        <v>18</v>
      </c>
      <c r="N113" s="1" t="s">
        <v>16</v>
      </c>
      <c r="O113" s="1" t="s">
        <v>16</v>
      </c>
      <c r="P113" s="1" t="s">
        <v>16</v>
      </c>
      <c r="Q113" s="1" t="s">
        <v>18</v>
      </c>
      <c r="R113" s="1" t="s">
        <v>16</v>
      </c>
      <c r="S113" t="str">
        <f t="shared" si="24"/>
        <v>filter|dataset</v>
      </c>
      <c r="T113" t="str">
        <f t="shared" si="25"/>
        <v/>
      </c>
      <c r="U113" t="str">
        <f t="shared" si="31"/>
        <v>filter</v>
      </c>
      <c r="V113" t="str">
        <f t="shared" si="26"/>
        <v/>
      </c>
      <c r="W113" t="str">
        <f t="shared" si="27"/>
        <v/>
      </c>
      <c r="X113" t="str">
        <f t="shared" si="32"/>
        <v/>
      </c>
      <c r="Y113" t="str">
        <f t="shared" si="33"/>
        <v>dataset</v>
      </c>
      <c r="Z113" t="str">
        <f t="shared" si="34"/>
        <v/>
      </c>
    </row>
    <row r="114" spans="1:1020" x14ac:dyDescent="0.15">
      <c r="A114" s="6" t="s">
        <v>141</v>
      </c>
      <c r="B114" s="6"/>
      <c r="C114" s="6"/>
      <c r="D114" s="6" t="s">
        <v>143</v>
      </c>
      <c r="E114" s="6"/>
      <c r="F114">
        <v>400</v>
      </c>
      <c r="G114" t="b">
        <v>0</v>
      </c>
      <c r="H114" s="1" t="s">
        <v>16</v>
      </c>
      <c r="I114" t="s">
        <v>144</v>
      </c>
      <c r="J114">
        <v>1</v>
      </c>
      <c r="K114" s="7" t="b">
        <v>0</v>
      </c>
      <c r="L114" s="7" t="b">
        <v>0</v>
      </c>
      <c r="M114" s="1" t="s">
        <v>18</v>
      </c>
      <c r="N114" s="1" t="s">
        <v>16</v>
      </c>
      <c r="O114" s="1" t="s">
        <v>16</v>
      </c>
      <c r="P114" s="1" t="s">
        <v>16</v>
      </c>
      <c r="Q114" s="1" t="s">
        <v>18</v>
      </c>
      <c r="R114" s="1" t="s">
        <v>16</v>
      </c>
      <c r="S114" t="str">
        <f t="shared" si="24"/>
        <v>filter|dataset</v>
      </c>
      <c r="T114" t="str">
        <f t="shared" si="25"/>
        <v/>
      </c>
      <c r="U114" t="str">
        <f t="shared" si="31"/>
        <v>filter</v>
      </c>
      <c r="V114" t="str">
        <f t="shared" si="26"/>
        <v/>
      </c>
      <c r="W114" t="str">
        <f t="shared" si="27"/>
        <v/>
      </c>
      <c r="X114" t="str">
        <f t="shared" si="32"/>
        <v/>
      </c>
      <c r="Y114" t="str">
        <f t="shared" si="33"/>
        <v>dataset</v>
      </c>
      <c r="Z114" t="str">
        <f t="shared" si="34"/>
        <v/>
      </c>
    </row>
    <row r="115" spans="1:1020" x14ac:dyDescent="0.15">
      <c r="A115" s="6" t="s">
        <v>142</v>
      </c>
      <c r="B115" s="6"/>
      <c r="C115" s="6"/>
      <c r="D115" t="s">
        <v>147</v>
      </c>
      <c r="F115">
        <v>400</v>
      </c>
      <c r="G115" t="b">
        <v>0</v>
      </c>
      <c r="H115" s="1" t="s">
        <v>16</v>
      </c>
      <c r="I115" t="s">
        <v>144</v>
      </c>
      <c r="J115">
        <v>1</v>
      </c>
      <c r="K115" s="7" t="b">
        <v>0</v>
      </c>
      <c r="L115" s="7" t="b">
        <v>0</v>
      </c>
      <c r="M115" s="1" t="s">
        <v>18</v>
      </c>
      <c r="N115" s="1" t="s">
        <v>16</v>
      </c>
      <c r="O115" s="1" t="s">
        <v>16</v>
      </c>
      <c r="P115" s="1" t="s">
        <v>16</v>
      </c>
      <c r="Q115" s="1" t="s">
        <v>18</v>
      </c>
      <c r="R115" s="1" t="s">
        <v>16</v>
      </c>
      <c r="S115" t="str">
        <f t="shared" si="24"/>
        <v>filter|dataset</v>
      </c>
      <c r="T115" t="str">
        <f t="shared" si="25"/>
        <v/>
      </c>
      <c r="U115" t="str">
        <f t="shared" si="31"/>
        <v>filter</v>
      </c>
      <c r="V115" t="str">
        <f t="shared" si="26"/>
        <v/>
      </c>
      <c r="W115" t="str">
        <f t="shared" si="27"/>
        <v/>
      </c>
      <c r="X115" t="str">
        <f t="shared" si="32"/>
        <v/>
      </c>
      <c r="Y115" t="str">
        <f t="shared" si="33"/>
        <v>dataset</v>
      </c>
      <c r="Z115" t="str">
        <f t="shared" si="34"/>
        <v/>
      </c>
    </row>
    <row r="116" spans="1:1020" x14ac:dyDescent="0.15">
      <c r="A116" s="6" t="s">
        <v>145</v>
      </c>
      <c r="B116" s="6"/>
      <c r="C116" s="6"/>
      <c r="D116" s="6" t="s">
        <v>146</v>
      </c>
      <c r="E116" s="6"/>
      <c r="F116">
        <v>400</v>
      </c>
      <c r="G116" t="b">
        <v>0</v>
      </c>
      <c r="H116" s="1" t="s">
        <v>16</v>
      </c>
      <c r="I116" t="s">
        <v>144</v>
      </c>
      <c r="J116">
        <v>1</v>
      </c>
      <c r="K116" s="7" t="b">
        <v>0</v>
      </c>
      <c r="L116" s="7" t="b">
        <v>0</v>
      </c>
      <c r="M116" s="1" t="s">
        <v>16</v>
      </c>
      <c r="N116" s="1" t="s">
        <v>16</v>
      </c>
      <c r="O116" s="1" t="s">
        <v>16</v>
      </c>
      <c r="P116" s="1" t="s">
        <v>16</v>
      </c>
      <c r="Q116" s="1" t="s">
        <v>16</v>
      </c>
      <c r="R116" s="1" t="s">
        <v>18</v>
      </c>
      <c r="S116" t="str">
        <f t="shared" si="24"/>
        <v>sample</v>
      </c>
      <c r="T116" t="str">
        <f t="shared" si="25"/>
        <v/>
      </c>
      <c r="U116" t="str">
        <f t="shared" si="31"/>
        <v/>
      </c>
      <c r="V116" t="str">
        <f t="shared" si="26"/>
        <v/>
      </c>
      <c r="W116" t="str">
        <f t="shared" si="27"/>
        <v/>
      </c>
      <c r="X116" t="str">
        <f t="shared" si="32"/>
        <v/>
      </c>
      <c r="Y116" t="str">
        <f t="shared" si="33"/>
        <v/>
      </c>
      <c r="Z116" t="str">
        <f t="shared" si="34"/>
        <v>sample</v>
      </c>
    </row>
    <row r="117" spans="1:1020" x14ac:dyDescent="0.15">
      <c r="A117" s="6" t="s">
        <v>109</v>
      </c>
      <c r="B117" s="6"/>
      <c r="C117" s="6" t="s">
        <v>4230</v>
      </c>
      <c r="D117" t="s">
        <v>2768</v>
      </c>
      <c r="F117">
        <v>500</v>
      </c>
      <c r="G117" t="b">
        <v>0</v>
      </c>
      <c r="H117" s="1" t="s">
        <v>16</v>
      </c>
      <c r="I117" s="26" t="s">
        <v>3843</v>
      </c>
      <c r="J117">
        <v>0</v>
      </c>
      <c r="K117" s="7" t="b">
        <v>0</v>
      </c>
      <c r="L117" s="7" t="b">
        <v>0</v>
      </c>
      <c r="M117" s="1" t="s">
        <v>18</v>
      </c>
      <c r="N117" s="1" t="s">
        <v>16</v>
      </c>
      <c r="O117" s="1" t="s">
        <v>16</v>
      </c>
      <c r="P117" s="1" t="s">
        <v>16</v>
      </c>
      <c r="Q117" s="1" t="s">
        <v>18</v>
      </c>
      <c r="R117" s="1" t="s">
        <v>16</v>
      </c>
      <c r="S117" t="str">
        <f t="shared" si="24"/>
        <v>filter|dataset</v>
      </c>
      <c r="T117" t="str">
        <f t="shared" si="25"/>
        <v/>
      </c>
      <c r="U117" t="str">
        <f t="shared" si="31"/>
        <v>filter</v>
      </c>
      <c r="V117" t="str">
        <f t="shared" si="26"/>
        <v/>
      </c>
      <c r="W117" t="str">
        <f t="shared" si="27"/>
        <v/>
      </c>
      <c r="X117" t="str">
        <f t="shared" si="32"/>
        <v/>
      </c>
      <c r="Y117" t="str">
        <f t="shared" si="33"/>
        <v>dataset</v>
      </c>
      <c r="Z117" t="str">
        <f t="shared" si="34"/>
        <v/>
      </c>
    </row>
    <row r="118" spans="1:1020" x14ac:dyDescent="0.15">
      <c r="A118" s="27" t="s">
        <v>3841</v>
      </c>
      <c r="B118" s="27"/>
      <c r="C118" s="27"/>
      <c r="D118" s="29" t="s">
        <v>3842</v>
      </c>
      <c r="E118" s="29"/>
      <c r="F118" s="27">
        <v>800</v>
      </c>
      <c r="G118" t="b">
        <v>0</v>
      </c>
      <c r="H118" s="28" t="s">
        <v>16</v>
      </c>
      <c r="I118" s="27" t="s">
        <v>3843</v>
      </c>
      <c r="J118" s="27">
        <v>0</v>
      </c>
      <c r="K118" s="7" t="b">
        <v>0</v>
      </c>
      <c r="L118" s="7" t="b">
        <v>0</v>
      </c>
      <c r="M118" s="1" t="s">
        <v>18</v>
      </c>
      <c r="N118" s="1" t="s">
        <v>16</v>
      </c>
      <c r="O118" s="1" t="s">
        <v>16</v>
      </c>
      <c r="P118" s="1" t="s">
        <v>16</v>
      </c>
      <c r="Q118" s="1" t="s">
        <v>18</v>
      </c>
      <c r="R118" s="1" t="s">
        <v>18</v>
      </c>
      <c r="S118" t="str">
        <f t="shared" si="24"/>
        <v>filter|dataset|sample</v>
      </c>
      <c r="T118" t="str">
        <f t="shared" si="25"/>
        <v/>
      </c>
      <c r="U118" t="str">
        <f t="shared" si="31"/>
        <v>filter</v>
      </c>
      <c r="V118" t="str">
        <f t="shared" si="26"/>
        <v/>
      </c>
      <c r="W118" t="str">
        <f t="shared" si="27"/>
        <v/>
      </c>
      <c r="X118" t="str">
        <f t="shared" si="32"/>
        <v/>
      </c>
      <c r="Y118" t="str">
        <f t="shared" si="33"/>
        <v>dataset</v>
      </c>
      <c r="Z118" t="str">
        <f t="shared" si="34"/>
        <v>sample</v>
      </c>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c r="EA118" s="27"/>
      <c r="EB118" s="27"/>
      <c r="EC118" s="27"/>
      <c r="ED118" s="27"/>
      <c r="EE118" s="27"/>
      <c r="EF118" s="27"/>
      <c r="EG118" s="27"/>
      <c r="EH118" s="27"/>
      <c r="EI118" s="27"/>
      <c r="EJ118" s="27"/>
      <c r="EK118" s="27"/>
      <c r="EL118" s="27"/>
      <c r="EM118" s="27"/>
      <c r="EN118" s="27"/>
      <c r="EO118" s="27"/>
      <c r="EP118" s="27"/>
      <c r="EQ118" s="27"/>
      <c r="ER118" s="27"/>
      <c r="ES118" s="27"/>
      <c r="ET118" s="27"/>
      <c r="EU118" s="27"/>
      <c r="EV118" s="27"/>
      <c r="EW118" s="27"/>
      <c r="EX118" s="27"/>
      <c r="EY118" s="27"/>
      <c r="EZ118" s="27"/>
      <c r="FA118" s="27"/>
      <c r="FB118" s="27"/>
      <c r="FC118" s="27"/>
      <c r="FD118" s="27"/>
      <c r="FE118" s="27"/>
      <c r="FF118" s="27"/>
      <c r="FG118" s="27"/>
      <c r="FH118" s="27"/>
      <c r="FI118" s="27"/>
      <c r="FJ118" s="27"/>
      <c r="FK118" s="27"/>
      <c r="FL118" s="27"/>
      <c r="FM118" s="27"/>
      <c r="FN118" s="27"/>
      <c r="FO118" s="27"/>
      <c r="FP118" s="27"/>
      <c r="FQ118" s="27"/>
      <c r="FR118" s="27"/>
      <c r="FS118" s="27"/>
      <c r="FT118" s="27"/>
      <c r="FU118" s="27"/>
      <c r="FV118" s="27"/>
      <c r="FW118" s="27"/>
      <c r="FX118" s="27"/>
      <c r="FY118" s="27"/>
      <c r="FZ118" s="27"/>
      <c r="GA118" s="27"/>
      <c r="GB118" s="27"/>
      <c r="GC118" s="27"/>
      <c r="GD118" s="27"/>
      <c r="GE118" s="27"/>
      <c r="GF118" s="27"/>
      <c r="GG118" s="27"/>
      <c r="GH118" s="27"/>
      <c r="GI118" s="27"/>
      <c r="GJ118" s="27"/>
      <c r="GK118" s="27"/>
      <c r="GL118" s="27"/>
      <c r="GM118" s="27"/>
      <c r="GN118" s="27"/>
      <c r="GO118" s="27"/>
      <c r="GP118" s="27"/>
      <c r="GQ118" s="27"/>
      <c r="GR118" s="27"/>
      <c r="GS118" s="27"/>
      <c r="GT118" s="27"/>
      <c r="GU118" s="27"/>
      <c r="GV118" s="27"/>
      <c r="GW118" s="27"/>
      <c r="GX118" s="27"/>
      <c r="GY118" s="27"/>
      <c r="GZ118" s="27"/>
      <c r="HA118" s="27"/>
      <c r="HB118" s="27"/>
      <c r="HC118" s="27"/>
      <c r="HD118" s="27"/>
      <c r="HE118" s="27"/>
      <c r="HF118" s="27"/>
      <c r="HG118" s="27"/>
      <c r="HH118" s="27"/>
      <c r="HI118" s="27"/>
      <c r="HJ118" s="27"/>
      <c r="HK118" s="27"/>
      <c r="HL118" s="27"/>
      <c r="HM118" s="27"/>
      <c r="HN118" s="27"/>
      <c r="HO118" s="27"/>
      <c r="HP118" s="27"/>
      <c r="HQ118" s="27"/>
      <c r="HR118" s="27"/>
      <c r="HS118" s="27"/>
      <c r="HT118" s="27"/>
      <c r="HU118" s="27"/>
      <c r="HV118" s="27"/>
      <c r="HW118" s="27"/>
      <c r="HX118" s="27"/>
      <c r="HY118" s="27"/>
      <c r="HZ118" s="27"/>
      <c r="IA118" s="27"/>
      <c r="IB118" s="27"/>
      <c r="IC118" s="27"/>
      <c r="ID118" s="27"/>
      <c r="IE118" s="27"/>
      <c r="IF118" s="27"/>
      <c r="IG118" s="27"/>
      <c r="IH118" s="27"/>
      <c r="II118" s="27"/>
      <c r="IJ118" s="27"/>
      <c r="IK118" s="27"/>
      <c r="IL118" s="27"/>
      <c r="IM118" s="27"/>
      <c r="IN118" s="27"/>
      <c r="IO118" s="27"/>
      <c r="IP118" s="27"/>
      <c r="IQ118" s="27"/>
      <c r="IR118" s="27"/>
      <c r="IS118" s="27"/>
      <c r="IT118" s="27"/>
      <c r="IU118" s="27"/>
      <c r="IV118" s="27"/>
      <c r="IW118" s="27"/>
      <c r="IX118" s="27"/>
      <c r="IY118" s="27"/>
      <c r="IZ118" s="27"/>
      <c r="JA118" s="27"/>
      <c r="JB118" s="27"/>
      <c r="JC118" s="27"/>
      <c r="JD118" s="27"/>
      <c r="JE118" s="27"/>
      <c r="JF118" s="27"/>
      <c r="JG118" s="27"/>
      <c r="JH118" s="27"/>
      <c r="JI118" s="27"/>
      <c r="JJ118" s="27"/>
      <c r="JK118" s="27"/>
      <c r="JL118" s="27"/>
      <c r="JM118" s="27"/>
      <c r="JN118" s="27"/>
      <c r="JO118" s="27"/>
      <c r="JP118" s="27"/>
      <c r="JQ118" s="27"/>
      <c r="JR118" s="27"/>
      <c r="JS118" s="27"/>
      <c r="JT118" s="27"/>
      <c r="JU118" s="27"/>
      <c r="JV118" s="27"/>
      <c r="JW118" s="27"/>
      <c r="JX118" s="27"/>
      <c r="JY118" s="27"/>
      <c r="JZ118" s="27"/>
      <c r="KA118" s="27"/>
      <c r="KB118" s="27"/>
      <c r="KC118" s="27"/>
      <c r="KD118" s="27"/>
      <c r="KE118" s="27"/>
      <c r="KF118" s="27"/>
      <c r="KG118" s="27"/>
      <c r="KH118" s="27"/>
      <c r="KI118" s="27"/>
      <c r="KJ118" s="27"/>
      <c r="KK118" s="27"/>
      <c r="KL118" s="27"/>
      <c r="KM118" s="27"/>
      <c r="KN118" s="27"/>
      <c r="KO118" s="27"/>
      <c r="KP118" s="27"/>
      <c r="KQ118" s="27"/>
      <c r="KR118" s="27"/>
      <c r="KS118" s="27"/>
      <c r="KT118" s="27"/>
      <c r="KU118" s="27"/>
      <c r="KV118" s="27"/>
      <c r="KW118" s="27"/>
      <c r="KX118" s="27"/>
      <c r="KY118" s="27"/>
      <c r="KZ118" s="27"/>
      <c r="LA118" s="27"/>
      <c r="LB118" s="27"/>
      <c r="LC118" s="27"/>
      <c r="LD118" s="27"/>
      <c r="LE118" s="27"/>
      <c r="LF118" s="27"/>
      <c r="LG118" s="27"/>
      <c r="LH118" s="27"/>
      <c r="LI118" s="27"/>
      <c r="LJ118" s="27"/>
      <c r="LK118" s="27"/>
      <c r="LL118" s="27"/>
      <c r="LM118" s="27"/>
      <c r="LN118" s="27"/>
      <c r="LO118" s="27"/>
      <c r="LP118" s="27"/>
      <c r="LQ118" s="27"/>
      <c r="LR118" s="27"/>
      <c r="LS118" s="27"/>
      <c r="LT118" s="27"/>
      <c r="LU118" s="27"/>
      <c r="LV118" s="27"/>
      <c r="LW118" s="27"/>
      <c r="LX118" s="27"/>
      <c r="LY118" s="27"/>
      <c r="LZ118" s="27"/>
      <c r="MA118" s="27"/>
      <c r="MB118" s="27"/>
      <c r="MC118" s="27"/>
      <c r="MD118" s="27"/>
      <c r="ME118" s="27"/>
      <c r="MF118" s="27"/>
      <c r="MG118" s="27"/>
      <c r="MH118" s="27"/>
      <c r="MI118" s="27"/>
      <c r="MJ118" s="27"/>
      <c r="MK118" s="27"/>
      <c r="ML118" s="27"/>
      <c r="MM118" s="27"/>
      <c r="MN118" s="27"/>
      <c r="MO118" s="27"/>
      <c r="MP118" s="27"/>
      <c r="MQ118" s="27"/>
      <c r="MR118" s="27"/>
      <c r="MS118" s="27"/>
      <c r="MT118" s="27"/>
      <c r="MU118" s="27"/>
      <c r="MV118" s="27"/>
      <c r="MW118" s="27"/>
      <c r="MX118" s="27"/>
      <c r="MY118" s="27"/>
      <c r="MZ118" s="27"/>
      <c r="NA118" s="27"/>
      <c r="NB118" s="27"/>
      <c r="NC118" s="27"/>
      <c r="ND118" s="27"/>
      <c r="NE118" s="27"/>
      <c r="NF118" s="27"/>
      <c r="NG118" s="27"/>
      <c r="NH118" s="27"/>
      <c r="NI118" s="27"/>
      <c r="NJ118" s="27"/>
      <c r="NK118" s="27"/>
      <c r="NL118" s="27"/>
      <c r="NM118" s="27"/>
      <c r="NN118" s="27"/>
      <c r="NO118" s="27"/>
      <c r="NP118" s="27"/>
      <c r="NQ118" s="27"/>
      <c r="NR118" s="27"/>
      <c r="NS118" s="27"/>
      <c r="NT118" s="27"/>
      <c r="NU118" s="27"/>
      <c r="NV118" s="27"/>
      <c r="NW118" s="27"/>
      <c r="NX118" s="27"/>
      <c r="NY118" s="27"/>
      <c r="NZ118" s="27"/>
      <c r="OA118" s="27"/>
      <c r="OB118" s="27"/>
      <c r="OC118" s="27"/>
      <c r="OD118" s="27"/>
      <c r="OE118" s="27"/>
      <c r="OF118" s="27"/>
      <c r="OG118" s="27"/>
      <c r="OH118" s="27"/>
      <c r="OI118" s="27"/>
      <c r="OJ118" s="27"/>
      <c r="OK118" s="27"/>
      <c r="OL118" s="27"/>
      <c r="OM118" s="27"/>
      <c r="ON118" s="27"/>
      <c r="OO118" s="27"/>
      <c r="OP118" s="27"/>
      <c r="OQ118" s="27"/>
      <c r="OR118" s="27"/>
      <c r="OS118" s="27"/>
      <c r="OT118" s="27"/>
      <c r="OU118" s="27"/>
      <c r="OV118" s="27"/>
      <c r="OW118" s="27"/>
      <c r="OX118" s="27"/>
      <c r="OY118" s="27"/>
      <c r="OZ118" s="27"/>
      <c r="PA118" s="27"/>
      <c r="PB118" s="27"/>
      <c r="PC118" s="27"/>
      <c r="PD118" s="27"/>
      <c r="PE118" s="27"/>
      <c r="PF118" s="27"/>
      <c r="PG118" s="27"/>
      <c r="PH118" s="27"/>
      <c r="PI118" s="27"/>
      <c r="PJ118" s="27"/>
      <c r="PK118" s="27"/>
      <c r="PL118" s="27"/>
      <c r="PM118" s="27"/>
      <c r="PN118" s="27"/>
      <c r="PO118" s="27"/>
      <c r="PP118" s="27"/>
      <c r="PQ118" s="27"/>
      <c r="PR118" s="27"/>
      <c r="PS118" s="27"/>
      <c r="PT118" s="27"/>
      <c r="PU118" s="27"/>
      <c r="PV118" s="27"/>
      <c r="PW118" s="27"/>
      <c r="PX118" s="27"/>
      <c r="PY118" s="27"/>
      <c r="PZ118" s="27"/>
      <c r="QA118" s="27"/>
      <c r="QB118" s="27"/>
      <c r="QC118" s="27"/>
      <c r="QD118" s="27"/>
      <c r="QE118" s="27"/>
      <c r="QF118" s="27"/>
      <c r="QG118" s="27"/>
      <c r="QH118" s="27"/>
      <c r="QI118" s="27"/>
      <c r="QJ118" s="27"/>
      <c r="QK118" s="27"/>
      <c r="QL118" s="27"/>
      <c r="QM118" s="27"/>
      <c r="QN118" s="27"/>
      <c r="QO118" s="27"/>
      <c r="QP118" s="27"/>
      <c r="QQ118" s="27"/>
      <c r="QR118" s="27"/>
      <c r="QS118" s="27"/>
      <c r="QT118" s="27"/>
      <c r="QU118" s="27"/>
      <c r="QV118" s="27"/>
      <c r="QW118" s="27"/>
      <c r="QX118" s="27"/>
      <c r="QY118" s="27"/>
      <c r="QZ118" s="27"/>
      <c r="RA118" s="27"/>
      <c r="RB118" s="27"/>
      <c r="RC118" s="27"/>
      <c r="RD118" s="27"/>
      <c r="RE118" s="27"/>
      <c r="RF118" s="27"/>
      <c r="RG118" s="27"/>
      <c r="RH118" s="27"/>
      <c r="RI118" s="27"/>
      <c r="RJ118" s="27"/>
      <c r="RK118" s="27"/>
      <c r="RL118" s="27"/>
      <c r="RM118" s="27"/>
      <c r="RN118" s="27"/>
      <c r="RO118" s="27"/>
      <c r="RP118" s="27"/>
      <c r="RQ118" s="27"/>
      <c r="RR118" s="27"/>
      <c r="RS118" s="27"/>
      <c r="RT118" s="27"/>
      <c r="RU118" s="27"/>
      <c r="RV118" s="27"/>
      <c r="RW118" s="27"/>
      <c r="RX118" s="27"/>
      <c r="RY118" s="27"/>
      <c r="RZ118" s="27"/>
      <c r="SA118" s="27"/>
      <c r="SB118" s="27"/>
      <c r="SC118" s="27"/>
      <c r="SD118" s="27"/>
      <c r="SE118" s="27"/>
      <c r="SF118" s="27"/>
      <c r="SG118" s="27"/>
      <c r="SH118" s="27"/>
      <c r="SI118" s="27"/>
      <c r="SJ118" s="27"/>
      <c r="SK118" s="27"/>
      <c r="SL118" s="27"/>
      <c r="SM118" s="27"/>
      <c r="SN118" s="27"/>
      <c r="SO118" s="27"/>
      <c r="SP118" s="27"/>
      <c r="SQ118" s="27"/>
      <c r="SR118" s="27"/>
      <c r="SS118" s="27"/>
      <c r="ST118" s="27"/>
      <c r="SU118" s="27"/>
      <c r="SV118" s="27"/>
      <c r="SW118" s="27"/>
      <c r="SX118" s="27"/>
      <c r="SY118" s="27"/>
      <c r="SZ118" s="27"/>
      <c r="TA118" s="27"/>
      <c r="TB118" s="27"/>
      <c r="TC118" s="27"/>
      <c r="TD118" s="27"/>
      <c r="TE118" s="27"/>
      <c r="TF118" s="27"/>
      <c r="TG118" s="27"/>
      <c r="TH118" s="27"/>
      <c r="TI118" s="27"/>
      <c r="TJ118" s="27"/>
      <c r="TK118" s="27"/>
      <c r="TL118" s="27"/>
      <c r="TM118" s="27"/>
      <c r="TN118" s="27"/>
      <c r="TO118" s="27"/>
      <c r="TP118" s="27"/>
      <c r="TQ118" s="27"/>
      <c r="TR118" s="27"/>
      <c r="TS118" s="27"/>
      <c r="TT118" s="27"/>
      <c r="TU118" s="27"/>
      <c r="TV118" s="27"/>
      <c r="TW118" s="27"/>
      <c r="TX118" s="27"/>
      <c r="TY118" s="27"/>
      <c r="TZ118" s="27"/>
      <c r="UA118" s="27"/>
      <c r="UB118" s="27"/>
      <c r="UC118" s="27"/>
      <c r="UD118" s="27"/>
      <c r="UE118" s="27"/>
      <c r="UF118" s="27"/>
      <c r="UG118" s="27"/>
      <c r="UH118" s="27"/>
      <c r="UI118" s="27"/>
      <c r="UJ118" s="27"/>
      <c r="UK118" s="27"/>
      <c r="UL118" s="27"/>
      <c r="UM118" s="27"/>
      <c r="UN118" s="27"/>
      <c r="UO118" s="27"/>
      <c r="UP118" s="27"/>
      <c r="UQ118" s="27"/>
      <c r="UR118" s="27"/>
      <c r="US118" s="27"/>
      <c r="UT118" s="27"/>
      <c r="UU118" s="27"/>
      <c r="UV118" s="27"/>
      <c r="UW118" s="27"/>
      <c r="UX118" s="27"/>
      <c r="UY118" s="27"/>
      <c r="UZ118" s="27"/>
      <c r="VA118" s="27"/>
      <c r="VB118" s="27"/>
      <c r="VC118" s="27"/>
      <c r="VD118" s="27"/>
      <c r="VE118" s="27"/>
      <c r="VF118" s="27"/>
      <c r="VG118" s="27"/>
      <c r="VH118" s="27"/>
      <c r="VI118" s="27"/>
      <c r="VJ118" s="27"/>
      <c r="VK118" s="27"/>
      <c r="VL118" s="27"/>
      <c r="VM118" s="27"/>
      <c r="VN118" s="27"/>
      <c r="VO118" s="27"/>
      <c r="VP118" s="27"/>
      <c r="VQ118" s="27"/>
      <c r="VR118" s="27"/>
      <c r="VS118" s="27"/>
      <c r="VT118" s="27"/>
      <c r="VU118" s="27"/>
      <c r="VV118" s="27"/>
      <c r="VW118" s="27"/>
      <c r="VX118" s="27"/>
      <c r="VY118" s="27"/>
      <c r="VZ118" s="27"/>
      <c r="WA118" s="27"/>
      <c r="WB118" s="27"/>
      <c r="WC118" s="27"/>
      <c r="WD118" s="27"/>
      <c r="WE118" s="27"/>
      <c r="WF118" s="27"/>
      <c r="WG118" s="27"/>
      <c r="WH118" s="27"/>
      <c r="WI118" s="27"/>
      <c r="WJ118" s="27"/>
      <c r="WK118" s="27"/>
      <c r="WL118" s="27"/>
      <c r="WM118" s="27"/>
      <c r="WN118" s="27"/>
      <c r="WO118" s="27"/>
      <c r="WP118" s="27"/>
      <c r="WQ118" s="27"/>
      <c r="WR118" s="27"/>
      <c r="WS118" s="27"/>
      <c r="WT118" s="27"/>
      <c r="WU118" s="27"/>
      <c r="WV118" s="27"/>
      <c r="WW118" s="27"/>
      <c r="WX118" s="27"/>
      <c r="WY118" s="27"/>
      <c r="WZ118" s="27"/>
      <c r="XA118" s="27"/>
      <c r="XB118" s="27"/>
      <c r="XC118" s="27"/>
      <c r="XD118" s="27"/>
      <c r="XE118" s="27"/>
      <c r="XF118" s="27"/>
      <c r="XG118" s="27"/>
      <c r="XH118" s="27"/>
      <c r="XI118" s="27"/>
      <c r="XJ118" s="27"/>
      <c r="XK118" s="27"/>
      <c r="XL118" s="27"/>
      <c r="XM118" s="27"/>
      <c r="XN118" s="27"/>
      <c r="XO118" s="27"/>
      <c r="XP118" s="27"/>
      <c r="XQ118" s="27"/>
      <c r="XR118" s="27"/>
      <c r="XS118" s="27"/>
      <c r="XT118" s="27"/>
      <c r="XU118" s="27"/>
      <c r="XV118" s="27"/>
      <c r="XW118" s="27"/>
      <c r="XX118" s="27"/>
      <c r="XY118" s="27"/>
      <c r="XZ118" s="27"/>
      <c r="YA118" s="27"/>
      <c r="YB118" s="27"/>
      <c r="YC118" s="27"/>
      <c r="YD118" s="27"/>
      <c r="YE118" s="27"/>
      <c r="YF118" s="27"/>
      <c r="YG118" s="27"/>
      <c r="YH118" s="27"/>
      <c r="YI118" s="27"/>
      <c r="YJ118" s="27"/>
      <c r="YK118" s="27"/>
      <c r="YL118" s="27"/>
      <c r="YM118" s="27"/>
      <c r="YN118" s="27"/>
      <c r="YO118" s="27"/>
      <c r="YP118" s="27"/>
      <c r="YQ118" s="27"/>
      <c r="YR118" s="27"/>
      <c r="YS118" s="27"/>
      <c r="YT118" s="27"/>
      <c r="YU118" s="27"/>
      <c r="YV118" s="27"/>
      <c r="YW118" s="27"/>
      <c r="YX118" s="27"/>
      <c r="YY118" s="27"/>
      <c r="YZ118" s="27"/>
      <c r="ZA118" s="27"/>
      <c r="ZB118" s="27"/>
      <c r="ZC118" s="27"/>
      <c r="ZD118" s="27"/>
      <c r="ZE118" s="27"/>
      <c r="ZF118" s="27"/>
      <c r="ZG118" s="27"/>
      <c r="ZH118" s="27"/>
      <c r="ZI118" s="27"/>
      <c r="ZJ118" s="27"/>
      <c r="ZK118" s="27"/>
      <c r="ZL118" s="27"/>
      <c r="ZM118" s="27"/>
      <c r="ZN118" s="27"/>
      <c r="ZO118" s="27"/>
      <c r="ZP118" s="27"/>
      <c r="ZQ118" s="27"/>
      <c r="ZR118" s="27"/>
      <c r="ZS118" s="27"/>
      <c r="ZT118" s="27"/>
      <c r="ZU118" s="27"/>
      <c r="ZV118" s="27"/>
      <c r="ZW118" s="27"/>
      <c r="ZX118" s="27"/>
      <c r="ZY118" s="27"/>
      <c r="ZZ118" s="27"/>
      <c r="AAA118" s="27"/>
      <c r="AAB118" s="27"/>
      <c r="AAC118" s="27"/>
      <c r="AAD118" s="27"/>
      <c r="AAE118" s="27"/>
      <c r="AAF118" s="27"/>
      <c r="AAG118" s="27"/>
      <c r="AAH118" s="27"/>
      <c r="AAI118" s="27"/>
      <c r="AAJ118" s="27"/>
      <c r="AAK118" s="27"/>
      <c r="AAL118" s="27"/>
      <c r="AAM118" s="27"/>
      <c r="AAN118" s="27"/>
      <c r="AAO118" s="27"/>
      <c r="AAP118" s="27"/>
      <c r="AAQ118" s="27"/>
      <c r="AAR118" s="27"/>
      <c r="AAS118" s="27"/>
      <c r="AAT118" s="27"/>
      <c r="AAU118" s="27"/>
      <c r="AAV118" s="27"/>
      <c r="AAW118" s="27"/>
      <c r="AAX118" s="27"/>
      <c r="AAY118" s="27"/>
      <c r="AAZ118" s="27"/>
      <c r="ABA118" s="27"/>
      <c r="ABB118" s="27"/>
      <c r="ABC118" s="27"/>
      <c r="ABD118" s="27"/>
      <c r="ABE118" s="27"/>
      <c r="ABF118" s="27"/>
      <c r="ABG118" s="27"/>
      <c r="ABH118" s="27"/>
      <c r="ABI118" s="27"/>
      <c r="ABJ118" s="27"/>
      <c r="ABK118" s="27"/>
      <c r="ABL118" s="27"/>
      <c r="ABM118" s="27"/>
      <c r="ABN118" s="27"/>
      <c r="ABO118" s="27"/>
      <c r="ABP118" s="27"/>
      <c r="ABQ118" s="27"/>
      <c r="ABR118" s="27"/>
      <c r="ABS118" s="27"/>
      <c r="ABT118" s="27"/>
      <c r="ABU118" s="27"/>
      <c r="ABV118" s="27"/>
      <c r="ABW118" s="27"/>
      <c r="ABX118" s="27"/>
      <c r="ABY118" s="27"/>
      <c r="ABZ118" s="27"/>
      <c r="ACA118" s="27"/>
      <c r="ACB118" s="27"/>
      <c r="ACC118" s="27"/>
      <c r="ACD118" s="27"/>
      <c r="ACE118" s="27"/>
      <c r="ACF118" s="27"/>
      <c r="ACG118" s="27"/>
      <c r="ACH118" s="27"/>
      <c r="ACI118" s="27"/>
      <c r="ACJ118" s="27"/>
      <c r="ACK118" s="27"/>
      <c r="ACL118" s="27"/>
      <c r="ACM118" s="27"/>
      <c r="ACN118" s="27"/>
      <c r="ACO118" s="27"/>
      <c r="ACP118" s="27"/>
      <c r="ACQ118" s="27"/>
      <c r="ACR118" s="27"/>
      <c r="ACS118" s="27"/>
      <c r="ACT118" s="27"/>
      <c r="ACU118" s="27"/>
      <c r="ACV118" s="27"/>
      <c r="ACW118" s="27"/>
      <c r="ACX118" s="27"/>
      <c r="ACY118" s="27"/>
      <c r="ACZ118" s="27"/>
      <c r="ADA118" s="27"/>
      <c r="ADB118" s="27"/>
      <c r="ADC118" s="27"/>
      <c r="ADD118" s="27"/>
      <c r="ADE118" s="27"/>
      <c r="ADF118" s="27"/>
      <c r="ADG118" s="27"/>
      <c r="ADH118" s="27"/>
      <c r="ADI118" s="27"/>
      <c r="ADJ118" s="27"/>
      <c r="ADK118" s="27"/>
      <c r="ADL118" s="27"/>
      <c r="ADM118" s="27"/>
      <c r="ADN118" s="27"/>
      <c r="ADO118" s="27"/>
      <c r="ADP118" s="27"/>
      <c r="ADQ118" s="27"/>
      <c r="ADR118" s="27"/>
      <c r="ADS118" s="27"/>
      <c r="ADT118" s="27"/>
      <c r="ADU118" s="27"/>
      <c r="ADV118" s="27"/>
      <c r="ADW118" s="27"/>
      <c r="ADX118" s="27"/>
      <c r="ADY118" s="27"/>
      <c r="ADZ118" s="27"/>
      <c r="AEA118" s="27"/>
      <c r="AEB118" s="27"/>
      <c r="AEC118" s="27"/>
      <c r="AED118" s="27"/>
      <c r="AEE118" s="27"/>
      <c r="AEF118" s="27"/>
      <c r="AEG118" s="27"/>
      <c r="AEH118" s="27"/>
      <c r="AEI118" s="27"/>
      <c r="AEJ118" s="27"/>
      <c r="AEK118" s="27"/>
      <c r="AEL118" s="27"/>
      <c r="AEM118" s="27"/>
      <c r="AEN118" s="27"/>
      <c r="AEO118" s="27"/>
      <c r="AEP118" s="27"/>
      <c r="AEQ118" s="27"/>
      <c r="AER118" s="27"/>
      <c r="AES118" s="27"/>
      <c r="AET118" s="27"/>
      <c r="AEU118" s="27"/>
      <c r="AEV118" s="27"/>
      <c r="AEW118" s="27"/>
      <c r="AEX118" s="27"/>
      <c r="AEY118" s="27"/>
      <c r="AEZ118" s="27"/>
      <c r="AFA118" s="27"/>
      <c r="AFB118" s="27"/>
      <c r="AFC118" s="27"/>
      <c r="AFD118" s="27"/>
      <c r="AFE118" s="27"/>
      <c r="AFF118" s="27"/>
      <c r="AFG118" s="27"/>
      <c r="AFH118" s="27"/>
      <c r="AFI118" s="27"/>
      <c r="AFJ118" s="27"/>
      <c r="AFK118" s="27"/>
      <c r="AFL118" s="27"/>
      <c r="AFM118" s="27"/>
      <c r="AFN118" s="27"/>
      <c r="AFO118" s="27"/>
      <c r="AFP118" s="27"/>
      <c r="AFQ118" s="27"/>
      <c r="AFR118" s="27"/>
      <c r="AFS118" s="27"/>
      <c r="AFT118" s="27"/>
      <c r="AFU118" s="27"/>
      <c r="AFV118" s="27"/>
      <c r="AFW118" s="27"/>
      <c r="AFX118" s="27"/>
      <c r="AFY118" s="27"/>
      <c r="AFZ118" s="27"/>
      <c r="AGA118" s="27"/>
      <c r="AGB118" s="27"/>
      <c r="AGC118" s="27"/>
      <c r="AGD118" s="27"/>
      <c r="AGE118" s="27"/>
      <c r="AGF118" s="27"/>
      <c r="AGG118" s="27"/>
      <c r="AGH118" s="27"/>
      <c r="AGI118" s="27"/>
      <c r="AGJ118" s="27"/>
      <c r="AGK118" s="27"/>
      <c r="AGL118" s="27"/>
      <c r="AGM118" s="27"/>
      <c r="AGN118" s="27"/>
      <c r="AGO118" s="27"/>
      <c r="AGP118" s="27"/>
      <c r="AGQ118" s="27"/>
      <c r="AGR118" s="27"/>
      <c r="AGS118" s="27"/>
      <c r="AGT118" s="27"/>
      <c r="AGU118" s="27"/>
      <c r="AGV118" s="27"/>
      <c r="AGW118" s="27"/>
      <c r="AGX118" s="27"/>
      <c r="AGY118" s="27"/>
      <c r="AGZ118" s="27"/>
      <c r="AHA118" s="27"/>
      <c r="AHB118" s="27"/>
      <c r="AHC118" s="27"/>
      <c r="AHD118" s="27"/>
      <c r="AHE118" s="27"/>
      <c r="AHF118" s="27"/>
      <c r="AHG118" s="27"/>
      <c r="AHH118" s="27"/>
      <c r="AHI118" s="27"/>
      <c r="AHJ118" s="27"/>
      <c r="AHK118" s="27"/>
      <c r="AHL118" s="27"/>
      <c r="AHM118" s="27"/>
      <c r="AHN118" s="27"/>
      <c r="AHO118" s="27"/>
      <c r="AHP118" s="27"/>
      <c r="AHQ118" s="27"/>
      <c r="AHR118" s="27"/>
      <c r="AHS118" s="27"/>
      <c r="AHT118" s="27"/>
      <c r="AHU118" s="27"/>
      <c r="AHV118" s="27"/>
      <c r="AHW118" s="27"/>
      <c r="AHX118" s="27"/>
      <c r="AHY118" s="27"/>
      <c r="AHZ118" s="27"/>
      <c r="AIA118" s="27"/>
      <c r="AIB118" s="27"/>
      <c r="AIC118" s="27"/>
      <c r="AID118" s="27"/>
      <c r="AIE118" s="27"/>
      <c r="AIF118" s="27"/>
      <c r="AIG118" s="27"/>
      <c r="AIH118" s="27"/>
      <c r="AII118" s="27"/>
      <c r="AIJ118" s="27"/>
      <c r="AIK118" s="27"/>
      <c r="AIL118" s="27"/>
      <c r="AIM118" s="27"/>
      <c r="AIN118" s="27"/>
      <c r="AIO118" s="27"/>
      <c r="AIP118" s="27"/>
      <c r="AIQ118" s="27"/>
      <c r="AIR118" s="27"/>
      <c r="AIS118" s="27"/>
      <c r="AIT118" s="27"/>
      <c r="AIU118" s="27"/>
      <c r="AIV118" s="27"/>
      <c r="AIW118" s="27"/>
      <c r="AIX118" s="27"/>
      <c r="AIY118" s="27"/>
      <c r="AIZ118" s="27"/>
      <c r="AJA118" s="27"/>
      <c r="AJB118" s="27"/>
      <c r="AJC118" s="27"/>
      <c r="AJD118" s="27"/>
      <c r="AJE118" s="27"/>
      <c r="AJF118" s="27"/>
      <c r="AJG118" s="27"/>
      <c r="AJH118" s="27"/>
      <c r="AJI118" s="27"/>
      <c r="AJJ118" s="27"/>
      <c r="AJK118" s="27"/>
      <c r="AJL118" s="27"/>
      <c r="AJM118" s="27"/>
      <c r="AJN118" s="27"/>
      <c r="AJO118" s="27"/>
      <c r="AJP118" s="27"/>
      <c r="AJQ118" s="27"/>
      <c r="AJR118" s="27"/>
      <c r="AJS118" s="27"/>
      <c r="AJT118" s="27"/>
      <c r="AJU118" s="27"/>
      <c r="AJV118" s="27"/>
      <c r="AJW118" s="27"/>
      <c r="AJX118" s="27"/>
      <c r="AJY118" s="27"/>
      <c r="AJZ118" s="27"/>
      <c r="AKA118" s="27"/>
      <c r="AKB118" s="27"/>
      <c r="AKC118" s="27"/>
      <c r="AKD118" s="27"/>
      <c r="AKE118" s="27"/>
      <c r="AKF118" s="27"/>
      <c r="AKG118" s="27"/>
      <c r="AKH118" s="27"/>
      <c r="AKI118" s="27"/>
      <c r="AKJ118" s="27"/>
      <c r="AKK118" s="27"/>
      <c r="AKL118" s="27"/>
      <c r="AKM118" s="27"/>
      <c r="AKN118" s="27"/>
      <c r="AKO118" s="27"/>
      <c r="AKP118" s="27"/>
      <c r="AKQ118" s="27"/>
      <c r="AKR118" s="27"/>
      <c r="AKS118" s="27"/>
      <c r="AKT118" s="27"/>
      <c r="AKU118" s="27"/>
      <c r="AKV118" s="27"/>
      <c r="AKW118" s="27"/>
      <c r="AKX118" s="27"/>
      <c r="AKY118" s="27"/>
      <c r="AKZ118" s="27"/>
      <c r="ALA118" s="27"/>
      <c r="ALB118" s="27"/>
      <c r="ALC118" s="27"/>
      <c r="ALD118" s="27"/>
      <c r="ALE118" s="27"/>
      <c r="ALF118" s="27"/>
      <c r="ALG118" s="27"/>
      <c r="ALH118" s="27"/>
      <c r="ALI118" s="27"/>
      <c r="ALJ118" s="27"/>
      <c r="ALK118" s="27"/>
      <c r="ALL118" s="27"/>
      <c r="ALM118" s="27"/>
      <c r="ALN118" s="27"/>
      <c r="ALO118" s="27"/>
      <c r="ALP118" s="27"/>
      <c r="ALQ118" s="27"/>
      <c r="ALR118" s="27"/>
      <c r="ALS118" s="27"/>
      <c r="ALT118" s="27"/>
      <c r="ALU118" s="27"/>
      <c r="ALV118" s="27"/>
      <c r="ALW118" s="27"/>
      <c r="ALX118" s="27"/>
      <c r="ALY118" s="27"/>
      <c r="ALZ118" s="27"/>
      <c r="AMA118" s="27"/>
      <c r="AMB118" s="27"/>
      <c r="AMC118" s="27"/>
      <c r="AMD118" s="27"/>
      <c r="AME118" s="27"/>
      <c r="AMF118" s="27"/>
    </row>
    <row r="119" spans="1:1020" x14ac:dyDescent="0.15">
      <c r="A119" s="6" t="s">
        <v>24</v>
      </c>
      <c r="B119" s="6"/>
      <c r="C119" s="6" t="s">
        <v>4162</v>
      </c>
      <c r="D119" t="s">
        <v>77</v>
      </c>
      <c r="F119">
        <v>500</v>
      </c>
      <c r="G119" t="b">
        <v>0</v>
      </c>
      <c r="H119" s="1" t="s">
        <v>16</v>
      </c>
      <c r="I119" t="s">
        <v>26</v>
      </c>
      <c r="J119">
        <v>1</v>
      </c>
      <c r="K119" s="7" t="b">
        <v>0</v>
      </c>
      <c r="L119" s="7" t="b">
        <v>1</v>
      </c>
      <c r="M119" s="1" t="s">
        <v>18</v>
      </c>
      <c r="N119" s="1" t="s">
        <v>16</v>
      </c>
      <c r="O119" s="1" t="s">
        <v>16</v>
      </c>
      <c r="P119" s="1" t="s">
        <v>16</v>
      </c>
      <c r="Q119" s="1" t="s">
        <v>18</v>
      </c>
      <c r="R119" s="1" t="s">
        <v>16</v>
      </c>
      <c r="S119" t="str">
        <f t="shared" si="24"/>
        <v>mandatory|filter|dataset</v>
      </c>
      <c r="T119" t="str">
        <f t="shared" si="25"/>
        <v>mandatory</v>
      </c>
      <c r="U119" t="str">
        <f t="shared" si="31"/>
        <v>filter</v>
      </c>
      <c r="V119" t="str">
        <f t="shared" si="26"/>
        <v/>
      </c>
      <c r="W119" t="str">
        <f t="shared" si="27"/>
        <v/>
      </c>
      <c r="X119" t="str">
        <f t="shared" si="32"/>
        <v/>
      </c>
      <c r="Y119" t="str">
        <f t="shared" si="33"/>
        <v>dataset</v>
      </c>
      <c r="Z119" t="str">
        <f t="shared" si="34"/>
        <v/>
      </c>
    </row>
    <row r="120" spans="1:1020" x14ac:dyDescent="0.15">
      <c r="A120" s="6" t="s">
        <v>164</v>
      </c>
      <c r="B120" s="6"/>
      <c r="C120" s="6" t="s">
        <v>4099</v>
      </c>
      <c r="D120" s="6" t="s">
        <v>165</v>
      </c>
      <c r="E120" s="6"/>
      <c r="F120">
        <v>550</v>
      </c>
      <c r="G120" t="b">
        <v>0</v>
      </c>
      <c r="H120" s="1" t="s">
        <v>16</v>
      </c>
      <c r="I120" t="s">
        <v>26</v>
      </c>
      <c r="J120">
        <v>1</v>
      </c>
      <c r="K120" s="7" t="b">
        <v>0</v>
      </c>
      <c r="L120" s="7" t="b">
        <v>0</v>
      </c>
      <c r="M120" s="1" t="s">
        <v>18</v>
      </c>
      <c r="N120" s="1" t="s">
        <v>16</v>
      </c>
      <c r="O120" s="1" t="s">
        <v>16</v>
      </c>
      <c r="P120" s="1" t="s">
        <v>16</v>
      </c>
      <c r="Q120" s="1" t="s">
        <v>18</v>
      </c>
      <c r="R120" s="1" t="s">
        <v>16</v>
      </c>
      <c r="S120" t="str">
        <f t="shared" si="24"/>
        <v>filter|dataset</v>
      </c>
      <c r="T120" t="str">
        <f t="shared" si="25"/>
        <v/>
      </c>
      <c r="U120" t="str">
        <f t="shared" si="31"/>
        <v>filter</v>
      </c>
      <c r="V120" t="str">
        <f t="shared" si="26"/>
        <v/>
      </c>
      <c r="W120" t="str">
        <f t="shared" si="27"/>
        <v/>
      </c>
      <c r="X120" t="str">
        <f t="shared" si="32"/>
        <v/>
      </c>
      <c r="Y120" t="str">
        <f t="shared" si="33"/>
        <v>dataset</v>
      </c>
      <c r="Z120" t="str">
        <f t="shared" si="34"/>
        <v/>
      </c>
    </row>
    <row r="121" spans="1:1020" x14ac:dyDescent="0.15">
      <c r="A121" s="6" t="s">
        <v>155</v>
      </c>
      <c r="B121" s="6"/>
      <c r="C121" s="6"/>
      <c r="D121" s="6" t="s">
        <v>156</v>
      </c>
      <c r="E121" s="6"/>
      <c r="F121">
        <v>500</v>
      </c>
      <c r="G121" t="b">
        <v>0</v>
      </c>
      <c r="H121" s="1" t="s">
        <v>16</v>
      </c>
      <c r="I121" t="s">
        <v>26</v>
      </c>
      <c r="J121">
        <v>1</v>
      </c>
      <c r="K121" s="7" t="b">
        <v>0</v>
      </c>
      <c r="L121" s="7" t="b">
        <v>1</v>
      </c>
      <c r="M121" s="1" t="s">
        <v>18</v>
      </c>
      <c r="N121" s="1" t="s">
        <v>16</v>
      </c>
      <c r="O121" s="1" t="s">
        <v>16</v>
      </c>
      <c r="P121" s="1" t="s">
        <v>16</v>
      </c>
      <c r="Q121" s="1" t="s">
        <v>18</v>
      </c>
      <c r="R121" s="1" t="s">
        <v>16</v>
      </c>
      <c r="S121" t="str">
        <f t="shared" si="24"/>
        <v>mandatory|filter|dataset</v>
      </c>
      <c r="T121" t="str">
        <f t="shared" si="25"/>
        <v>mandatory</v>
      </c>
      <c r="U121" t="str">
        <f t="shared" si="31"/>
        <v>filter</v>
      </c>
      <c r="V121" t="str">
        <f t="shared" si="26"/>
        <v/>
      </c>
      <c r="W121" t="str">
        <f t="shared" si="27"/>
        <v/>
      </c>
      <c r="X121" t="str">
        <f t="shared" si="32"/>
        <v/>
      </c>
      <c r="Y121" t="str">
        <f t="shared" si="33"/>
        <v>dataset</v>
      </c>
      <c r="Z121" t="str">
        <f t="shared" si="34"/>
        <v/>
      </c>
    </row>
    <row r="122" spans="1:1020" x14ac:dyDescent="0.15">
      <c r="A122" s="6" t="s">
        <v>4083</v>
      </c>
      <c r="B122" s="6"/>
      <c r="C122" s="6" t="s">
        <v>4067</v>
      </c>
      <c r="D122" s="6" t="s">
        <v>4084</v>
      </c>
      <c r="E122" s="6"/>
      <c r="F122">
        <v>450</v>
      </c>
      <c r="G122" t="b">
        <v>0</v>
      </c>
      <c r="H122" s="1" t="s">
        <v>16</v>
      </c>
      <c r="I122" t="s">
        <v>26</v>
      </c>
      <c r="J122">
        <v>1</v>
      </c>
      <c r="K122" s="7" t="b">
        <v>0</v>
      </c>
      <c r="L122" s="7" t="b">
        <v>0</v>
      </c>
      <c r="M122" s="1" t="s">
        <v>18</v>
      </c>
      <c r="N122" s="1" t="s">
        <v>16</v>
      </c>
      <c r="O122" s="1" t="s">
        <v>16</v>
      </c>
      <c r="P122" s="1" t="s">
        <v>16</v>
      </c>
      <c r="Q122" s="1" t="s">
        <v>18</v>
      </c>
      <c r="R122" s="1" t="s">
        <v>16</v>
      </c>
      <c r="S122" t="str">
        <f t="shared" si="24"/>
        <v>filter|dataset</v>
      </c>
      <c r="T122" t="str">
        <f t="shared" si="25"/>
        <v/>
      </c>
      <c r="U122" t="str">
        <f t="shared" si="31"/>
        <v>filter</v>
      </c>
      <c r="V122" t="str">
        <f t="shared" si="26"/>
        <v/>
      </c>
      <c r="W122" t="str">
        <f t="shared" si="27"/>
        <v/>
      </c>
      <c r="X122" t="str">
        <f t="shared" si="32"/>
        <v/>
      </c>
      <c r="Y122" t="str">
        <f t="shared" si="33"/>
        <v>dataset</v>
      </c>
      <c r="Z122" t="str">
        <f t="shared" si="34"/>
        <v/>
      </c>
    </row>
    <row r="123" spans="1:1020" x14ac:dyDescent="0.15">
      <c r="A123" s="6" t="s">
        <v>114</v>
      </c>
      <c r="B123" s="6"/>
      <c r="C123" s="6"/>
      <c r="D123" s="6" t="s">
        <v>115</v>
      </c>
      <c r="E123" s="6"/>
      <c r="F123">
        <v>450</v>
      </c>
      <c r="G123" t="b">
        <v>0</v>
      </c>
      <c r="H123" s="1" t="s">
        <v>16</v>
      </c>
      <c r="I123" t="s">
        <v>26</v>
      </c>
      <c r="J123">
        <v>1</v>
      </c>
      <c r="K123" s="7" t="b">
        <v>0</v>
      </c>
      <c r="L123" s="7" t="b">
        <v>0</v>
      </c>
      <c r="M123" s="1" t="s">
        <v>18</v>
      </c>
      <c r="N123" s="1" t="s">
        <v>16</v>
      </c>
      <c r="O123" s="1" t="s">
        <v>16</v>
      </c>
      <c r="P123" s="1" t="s">
        <v>16</v>
      </c>
      <c r="Q123" s="1" t="s">
        <v>18</v>
      </c>
      <c r="R123" s="1" t="s">
        <v>16</v>
      </c>
      <c r="S123" t="str">
        <f t="shared" si="24"/>
        <v>filter|dataset</v>
      </c>
      <c r="T123" t="str">
        <f t="shared" si="25"/>
        <v/>
      </c>
      <c r="U123" t="str">
        <f t="shared" si="31"/>
        <v>filter</v>
      </c>
      <c r="V123" t="str">
        <f t="shared" si="26"/>
        <v/>
      </c>
      <c r="W123" t="str">
        <f t="shared" si="27"/>
        <v/>
      </c>
      <c r="X123" t="str">
        <f t="shared" si="32"/>
        <v/>
      </c>
      <c r="Y123" t="str">
        <f t="shared" si="33"/>
        <v>dataset</v>
      </c>
      <c r="Z123" t="str">
        <f t="shared" si="34"/>
        <v/>
      </c>
    </row>
    <row r="124" spans="1:1020" x14ac:dyDescent="0.15">
      <c r="A124" s="6" t="s">
        <v>23</v>
      </c>
      <c r="B124" s="6"/>
      <c r="C124" s="6" t="s">
        <v>3964</v>
      </c>
      <c r="D124" s="6" t="s">
        <v>25</v>
      </c>
      <c r="E124" s="6"/>
      <c r="F124">
        <v>550</v>
      </c>
      <c r="G124" t="b">
        <v>0</v>
      </c>
      <c r="H124" s="1" t="s">
        <v>16</v>
      </c>
      <c r="I124" t="s">
        <v>26</v>
      </c>
      <c r="J124">
        <v>1</v>
      </c>
      <c r="K124" s="7" t="b">
        <v>0</v>
      </c>
      <c r="L124" s="7" t="b">
        <v>0</v>
      </c>
      <c r="M124" s="1" t="s">
        <v>18</v>
      </c>
      <c r="N124" s="1" t="s">
        <v>16</v>
      </c>
      <c r="O124" s="1" t="s">
        <v>16</v>
      </c>
      <c r="P124" s="1" t="s">
        <v>16</v>
      </c>
      <c r="Q124" s="1" t="s">
        <v>18</v>
      </c>
      <c r="R124" s="1" t="s">
        <v>16</v>
      </c>
      <c r="S124" t="str">
        <f t="shared" si="24"/>
        <v>filter|dataset</v>
      </c>
      <c r="T124" t="str">
        <f t="shared" si="25"/>
        <v/>
      </c>
      <c r="U124" t="str">
        <f t="shared" si="31"/>
        <v>filter</v>
      </c>
      <c r="V124" t="str">
        <f t="shared" si="26"/>
        <v/>
      </c>
      <c r="W124" t="str">
        <f t="shared" si="27"/>
        <v/>
      </c>
      <c r="X124" t="str">
        <f t="shared" si="32"/>
        <v/>
      </c>
      <c r="Y124" t="str">
        <f t="shared" si="33"/>
        <v>dataset</v>
      </c>
      <c r="Z124" t="str">
        <f t="shared" si="34"/>
        <v/>
      </c>
    </row>
    <row r="125" spans="1:1020" x14ac:dyDescent="0.15">
      <c r="A125" t="s">
        <v>28</v>
      </c>
      <c r="C125" t="s">
        <v>4069</v>
      </c>
      <c r="D125" t="s">
        <v>168</v>
      </c>
      <c r="F125">
        <v>500</v>
      </c>
      <c r="G125" t="b">
        <v>0</v>
      </c>
      <c r="H125" s="1" t="s">
        <v>16</v>
      </c>
      <c r="I125" t="s">
        <v>30</v>
      </c>
      <c r="J125">
        <v>3</v>
      </c>
      <c r="K125" s="7" t="b">
        <v>0</v>
      </c>
      <c r="L125" s="7" t="b">
        <v>1</v>
      </c>
      <c r="M125" s="1" t="s">
        <v>18</v>
      </c>
      <c r="N125" s="1" t="s">
        <v>16</v>
      </c>
      <c r="O125" s="1" t="s">
        <v>16</v>
      </c>
      <c r="P125" s="1" t="s">
        <v>16</v>
      </c>
      <c r="Q125" s="1" t="s">
        <v>18</v>
      </c>
      <c r="R125" s="1" t="s">
        <v>16</v>
      </c>
      <c r="S125" t="str">
        <f t="shared" si="24"/>
        <v>mandatory|filter|dataset</v>
      </c>
      <c r="T125" t="str">
        <f t="shared" si="25"/>
        <v>mandatory</v>
      </c>
      <c r="U125" t="str">
        <f t="shared" si="31"/>
        <v>filter</v>
      </c>
      <c r="V125" t="str">
        <f t="shared" si="26"/>
        <v/>
      </c>
      <c r="W125" t="str">
        <f t="shared" si="27"/>
        <v/>
      </c>
      <c r="X125" t="str">
        <f t="shared" si="32"/>
        <v/>
      </c>
      <c r="Y125" t="str">
        <f t="shared" si="33"/>
        <v>dataset</v>
      </c>
      <c r="Z125" t="str">
        <f t="shared" si="34"/>
        <v/>
      </c>
    </row>
    <row r="126" spans="1:1020" x14ac:dyDescent="0.15">
      <c r="A126" s="6" t="s">
        <v>27</v>
      </c>
      <c r="B126" s="6"/>
      <c r="C126" s="6"/>
      <c r="D126" t="s">
        <v>29</v>
      </c>
      <c r="F126">
        <v>500</v>
      </c>
      <c r="G126" t="b">
        <v>0</v>
      </c>
      <c r="H126" s="1" t="s">
        <v>16</v>
      </c>
      <c r="I126" t="s">
        <v>30</v>
      </c>
      <c r="J126">
        <v>3</v>
      </c>
      <c r="K126" s="7" t="b">
        <v>0</v>
      </c>
      <c r="L126" s="7" t="b">
        <v>0</v>
      </c>
      <c r="M126" s="1" t="s">
        <v>18</v>
      </c>
      <c r="N126" s="1" t="s">
        <v>16</v>
      </c>
      <c r="O126" s="1" t="s">
        <v>16</v>
      </c>
      <c r="P126" s="1" t="s">
        <v>16</v>
      </c>
      <c r="Q126" s="1" t="s">
        <v>18</v>
      </c>
      <c r="R126" s="1" t="s">
        <v>16</v>
      </c>
      <c r="S126" t="str">
        <f t="shared" si="24"/>
        <v>filter|dataset</v>
      </c>
      <c r="T126" t="str">
        <f t="shared" si="25"/>
        <v/>
      </c>
      <c r="U126" t="str">
        <f t="shared" si="31"/>
        <v>filter</v>
      </c>
      <c r="V126" t="str">
        <f t="shared" si="26"/>
        <v/>
      </c>
      <c r="W126" t="str">
        <f t="shared" si="27"/>
        <v/>
      </c>
      <c r="X126" t="str">
        <f t="shared" si="32"/>
        <v/>
      </c>
      <c r="Y126" t="str">
        <f t="shared" si="33"/>
        <v>dataset</v>
      </c>
      <c r="Z126" t="str">
        <f t="shared" si="34"/>
        <v/>
      </c>
    </row>
    <row r="127" spans="1:1020" x14ac:dyDescent="0.15">
      <c r="A127" s="6" t="s">
        <v>96</v>
      </c>
      <c r="B127" s="6"/>
      <c r="C127" s="6"/>
      <c r="D127" t="s">
        <v>97</v>
      </c>
      <c r="F127">
        <v>500</v>
      </c>
      <c r="G127" t="b">
        <v>0</v>
      </c>
      <c r="H127" s="1" t="s">
        <v>16</v>
      </c>
      <c r="I127" t="s">
        <v>30</v>
      </c>
      <c r="J127">
        <v>0</v>
      </c>
      <c r="K127" s="7" t="b">
        <v>0</v>
      </c>
      <c r="L127" s="7" t="b">
        <v>0</v>
      </c>
      <c r="M127" s="1" t="s">
        <v>18</v>
      </c>
      <c r="N127" s="1" t="s">
        <v>16</v>
      </c>
      <c r="O127" s="1" t="s">
        <v>16</v>
      </c>
      <c r="P127" s="1" t="s">
        <v>16</v>
      </c>
      <c r="Q127" s="1" t="s">
        <v>18</v>
      </c>
      <c r="R127" s="1" t="s">
        <v>16</v>
      </c>
      <c r="S127" t="str">
        <f t="shared" si="24"/>
        <v>filter|dataset</v>
      </c>
      <c r="T127" t="str">
        <f t="shared" si="25"/>
        <v/>
      </c>
      <c r="U127" t="str">
        <f t="shared" si="31"/>
        <v>filter</v>
      </c>
      <c r="V127" t="str">
        <f t="shared" si="26"/>
        <v/>
      </c>
      <c r="W127" t="str">
        <f t="shared" si="27"/>
        <v/>
      </c>
      <c r="X127" t="str">
        <f t="shared" si="32"/>
        <v/>
      </c>
      <c r="Y127" t="str">
        <f t="shared" si="33"/>
        <v>dataset</v>
      </c>
      <c r="Z127" t="str">
        <f t="shared" si="34"/>
        <v/>
      </c>
    </row>
    <row r="128" spans="1:1020" x14ac:dyDescent="0.15">
      <c r="A128" s="6" t="s">
        <v>160</v>
      </c>
      <c r="B128" s="6"/>
      <c r="C128" s="6"/>
      <c r="D128" t="s">
        <v>162</v>
      </c>
      <c r="F128">
        <v>500</v>
      </c>
      <c r="G128" t="b">
        <v>0</v>
      </c>
      <c r="H128" s="1" t="s">
        <v>16</v>
      </c>
      <c r="I128" t="s">
        <v>30</v>
      </c>
      <c r="J128">
        <v>3</v>
      </c>
      <c r="K128" s="7" t="b">
        <v>0</v>
      </c>
      <c r="L128" s="7" t="b">
        <v>1</v>
      </c>
      <c r="M128" s="1" t="s">
        <v>18</v>
      </c>
      <c r="N128" s="1" t="s">
        <v>16</v>
      </c>
      <c r="O128" s="1" t="s">
        <v>16</v>
      </c>
      <c r="P128" s="1" t="s">
        <v>16</v>
      </c>
      <c r="Q128" s="1" t="s">
        <v>18</v>
      </c>
      <c r="R128" s="1" t="s">
        <v>16</v>
      </c>
      <c r="S128" t="str">
        <f t="shared" si="24"/>
        <v>mandatory|filter|dataset</v>
      </c>
      <c r="T128" t="str">
        <f t="shared" si="25"/>
        <v>mandatory</v>
      </c>
      <c r="U128" t="str">
        <f t="shared" si="31"/>
        <v>filter</v>
      </c>
      <c r="V128" t="str">
        <f t="shared" si="26"/>
        <v/>
      </c>
      <c r="W128" t="str">
        <f t="shared" si="27"/>
        <v/>
      </c>
      <c r="X128" t="str">
        <f t="shared" si="32"/>
        <v/>
      </c>
      <c r="Y128" t="str">
        <f t="shared" si="33"/>
        <v>dataset</v>
      </c>
      <c r="Z128" t="str">
        <f t="shared" si="34"/>
        <v/>
      </c>
    </row>
    <row r="129" spans="1:26" x14ac:dyDescent="0.15">
      <c r="A129" s="6" t="s">
        <v>161</v>
      </c>
      <c r="B129" s="6"/>
      <c r="C129" s="6"/>
      <c r="D129" t="s">
        <v>163</v>
      </c>
      <c r="F129">
        <v>500</v>
      </c>
      <c r="G129" t="b">
        <v>0</v>
      </c>
      <c r="H129" s="1" t="s">
        <v>16</v>
      </c>
      <c r="I129" t="s">
        <v>30</v>
      </c>
      <c r="J129">
        <v>3</v>
      </c>
      <c r="K129" s="7" t="b">
        <v>0</v>
      </c>
      <c r="L129" s="7" t="b">
        <v>1</v>
      </c>
      <c r="M129" s="1" t="s">
        <v>18</v>
      </c>
      <c r="N129" s="1" t="s">
        <v>16</v>
      </c>
      <c r="O129" s="1" t="s">
        <v>16</v>
      </c>
      <c r="P129" s="1" t="s">
        <v>16</v>
      </c>
      <c r="Q129" s="1" t="s">
        <v>18</v>
      </c>
      <c r="R129" s="1" t="s">
        <v>16</v>
      </c>
      <c r="S129" t="str">
        <f t="shared" si="24"/>
        <v>mandatory|filter|dataset</v>
      </c>
      <c r="T129" t="str">
        <f t="shared" si="25"/>
        <v>mandatory</v>
      </c>
      <c r="U129" t="str">
        <f t="shared" si="31"/>
        <v>filter</v>
      </c>
      <c r="V129" t="str">
        <f t="shared" si="26"/>
        <v/>
      </c>
      <c r="W129" t="str">
        <f t="shared" si="27"/>
        <v/>
      </c>
      <c r="X129" t="str">
        <f t="shared" si="32"/>
        <v/>
      </c>
      <c r="Y129" t="str">
        <f t="shared" si="33"/>
        <v>dataset</v>
      </c>
      <c r="Z129" t="str">
        <f t="shared" si="34"/>
        <v/>
      </c>
    </row>
    <row r="130" spans="1:26" x14ac:dyDescent="0.15">
      <c r="A130" t="s">
        <v>60</v>
      </c>
      <c r="D130" t="s">
        <v>61</v>
      </c>
      <c r="F130">
        <v>200</v>
      </c>
      <c r="G130" t="b">
        <v>0</v>
      </c>
      <c r="H130" s="1" t="s">
        <v>16</v>
      </c>
      <c r="I130" t="s">
        <v>62</v>
      </c>
      <c r="J130">
        <v>0</v>
      </c>
      <c r="K130" s="7" t="b">
        <v>0</v>
      </c>
      <c r="L130" s="7" t="b">
        <v>0</v>
      </c>
      <c r="M130" s="1" t="s">
        <v>18</v>
      </c>
      <c r="N130" s="1" t="s">
        <v>16</v>
      </c>
      <c r="O130" s="1" t="s">
        <v>16</v>
      </c>
      <c r="P130" s="1" t="s">
        <v>16</v>
      </c>
      <c r="Q130" s="1" t="s">
        <v>18</v>
      </c>
      <c r="R130" s="1" t="s">
        <v>16</v>
      </c>
      <c r="S130" t="str">
        <f t="shared" ref="S130:S135" si="35">_xlfn.TEXTJOIN("|",TRUE,T130:AB130)</f>
        <v>filter|dataset</v>
      </c>
      <c r="T130" t="str">
        <f t="shared" si="25"/>
        <v/>
      </c>
      <c r="U130" t="str">
        <f t="shared" si="31"/>
        <v>filter</v>
      </c>
      <c r="V130" t="str">
        <f t="shared" si="26"/>
        <v/>
      </c>
      <c r="W130" t="str">
        <f t="shared" si="27"/>
        <v/>
      </c>
      <c r="X130" t="str">
        <f t="shared" si="32"/>
        <v/>
      </c>
      <c r="Y130" t="str">
        <f t="shared" si="33"/>
        <v>dataset</v>
      </c>
      <c r="Z130" t="str">
        <f t="shared" si="34"/>
        <v/>
      </c>
    </row>
    <row r="131" spans="1:26" x14ac:dyDescent="0.15">
      <c r="A131" t="s">
        <v>63</v>
      </c>
      <c r="D131" t="s">
        <v>64</v>
      </c>
      <c r="F131">
        <v>200</v>
      </c>
      <c r="G131" t="b">
        <v>0</v>
      </c>
      <c r="H131" s="1" t="s">
        <v>16</v>
      </c>
      <c r="I131" t="s">
        <v>62</v>
      </c>
      <c r="J131">
        <v>0</v>
      </c>
      <c r="K131" s="7" t="b">
        <v>0</v>
      </c>
      <c r="L131" s="7" t="b">
        <v>0</v>
      </c>
      <c r="M131" s="1" t="s">
        <v>18</v>
      </c>
      <c r="N131" s="1" t="s">
        <v>16</v>
      </c>
      <c r="O131" s="1" t="s">
        <v>16</v>
      </c>
      <c r="P131" s="1" t="s">
        <v>16</v>
      </c>
      <c r="Q131" s="1" t="s">
        <v>18</v>
      </c>
      <c r="R131" s="1" t="s">
        <v>16</v>
      </c>
      <c r="S131" t="str">
        <f t="shared" si="35"/>
        <v>filter|dataset</v>
      </c>
      <c r="T131" t="str">
        <f t="shared" si="25"/>
        <v/>
      </c>
      <c r="U131" t="str">
        <f t="shared" si="31"/>
        <v>filter</v>
      </c>
      <c r="V131" t="str">
        <f t="shared" si="26"/>
        <v/>
      </c>
      <c r="W131" t="str">
        <f t="shared" si="27"/>
        <v/>
      </c>
      <c r="X131" t="str">
        <f t="shared" si="32"/>
        <v/>
      </c>
      <c r="Y131" t="str">
        <f t="shared" si="33"/>
        <v>dataset</v>
      </c>
      <c r="Z131" t="str">
        <f t="shared" si="34"/>
        <v/>
      </c>
    </row>
    <row r="132" spans="1:26" x14ac:dyDescent="0.15">
      <c r="A132" s="6" t="s">
        <v>65</v>
      </c>
      <c r="B132" s="6"/>
      <c r="C132" s="6"/>
      <c r="D132" t="s">
        <v>66</v>
      </c>
      <c r="F132">
        <v>200</v>
      </c>
      <c r="G132" t="b">
        <v>0</v>
      </c>
      <c r="H132" s="1" t="s">
        <v>16</v>
      </c>
      <c r="I132" t="s">
        <v>62</v>
      </c>
      <c r="J132">
        <v>0</v>
      </c>
      <c r="K132" s="7" t="b">
        <v>0</v>
      </c>
      <c r="L132" s="7" t="b">
        <v>0</v>
      </c>
      <c r="M132" s="1" t="s">
        <v>18</v>
      </c>
      <c r="N132" s="1" t="s">
        <v>16</v>
      </c>
      <c r="O132" s="1" t="s">
        <v>16</v>
      </c>
      <c r="P132" s="1" t="s">
        <v>16</v>
      </c>
      <c r="Q132" s="1" t="s">
        <v>18</v>
      </c>
      <c r="R132" s="1" t="s">
        <v>16</v>
      </c>
      <c r="S132" t="str">
        <f t="shared" si="35"/>
        <v>filter|dataset</v>
      </c>
      <c r="T132" t="str">
        <f t="shared" si="25"/>
        <v/>
      </c>
      <c r="U132" t="str">
        <f t="shared" si="31"/>
        <v>filter</v>
      </c>
      <c r="V132" t="str">
        <f t="shared" si="26"/>
        <v/>
      </c>
      <c r="W132" t="str">
        <f t="shared" si="27"/>
        <v/>
      </c>
      <c r="X132" t="str">
        <f t="shared" si="32"/>
        <v/>
      </c>
      <c r="Y132" t="str">
        <f t="shared" si="33"/>
        <v>dataset</v>
      </c>
      <c r="Z132" t="str">
        <f t="shared" si="34"/>
        <v/>
      </c>
    </row>
    <row r="133" spans="1:26" x14ac:dyDescent="0.15">
      <c r="A133" t="s">
        <v>67</v>
      </c>
      <c r="D133" t="s">
        <v>68</v>
      </c>
      <c r="F133">
        <v>200</v>
      </c>
      <c r="G133" t="b">
        <v>0</v>
      </c>
      <c r="H133" s="1" t="s">
        <v>16</v>
      </c>
      <c r="I133" t="s">
        <v>62</v>
      </c>
      <c r="J133">
        <v>0</v>
      </c>
      <c r="K133" s="7" t="b">
        <v>0</v>
      </c>
      <c r="L133" s="7" t="b">
        <v>0</v>
      </c>
      <c r="M133" s="1" t="s">
        <v>18</v>
      </c>
      <c r="N133" s="1" t="s">
        <v>16</v>
      </c>
      <c r="O133" s="1" t="s">
        <v>16</v>
      </c>
      <c r="P133" s="1" t="s">
        <v>16</v>
      </c>
      <c r="Q133" s="1" t="s">
        <v>18</v>
      </c>
      <c r="R133" s="1" t="s">
        <v>16</v>
      </c>
      <c r="S133" t="str">
        <f t="shared" si="35"/>
        <v>filter|dataset</v>
      </c>
      <c r="T133" t="str">
        <f t="shared" si="25"/>
        <v/>
      </c>
      <c r="U133" t="str">
        <f t="shared" si="31"/>
        <v>filter</v>
      </c>
      <c r="V133" t="str">
        <f t="shared" si="26"/>
        <v/>
      </c>
      <c r="W133" t="str">
        <f t="shared" si="27"/>
        <v/>
      </c>
      <c r="X133" t="str">
        <f t="shared" si="32"/>
        <v/>
      </c>
      <c r="Y133" t="str">
        <f t="shared" si="33"/>
        <v>dataset</v>
      </c>
      <c r="Z133" t="str">
        <f t="shared" si="34"/>
        <v/>
      </c>
    </row>
    <row r="134" spans="1:26" x14ac:dyDescent="0.15">
      <c r="A134" t="s">
        <v>31</v>
      </c>
      <c r="D134" t="s">
        <v>32</v>
      </c>
      <c r="F134">
        <v>500</v>
      </c>
      <c r="G134" t="b">
        <v>0</v>
      </c>
      <c r="H134" s="1" t="s">
        <v>16</v>
      </c>
      <c r="I134" t="s">
        <v>33</v>
      </c>
      <c r="J134">
        <v>0</v>
      </c>
      <c r="K134" s="7" t="b">
        <v>0</v>
      </c>
      <c r="L134" s="7" t="b">
        <v>0</v>
      </c>
      <c r="M134" s="1" t="s">
        <v>16</v>
      </c>
      <c r="N134" s="1" t="s">
        <v>16</v>
      </c>
      <c r="O134" s="1" t="s">
        <v>16</v>
      </c>
      <c r="P134" s="1" t="s">
        <v>16</v>
      </c>
      <c r="Q134" s="1" t="s">
        <v>18</v>
      </c>
      <c r="R134" s="1" t="s">
        <v>16</v>
      </c>
      <c r="S134" t="str">
        <f t="shared" si="35"/>
        <v>dataset|sample</v>
      </c>
      <c r="T134" t="str">
        <f t="shared" si="25"/>
        <v/>
      </c>
      <c r="U134" t="str">
        <f t="shared" si="31"/>
        <v/>
      </c>
      <c r="V134" t="str">
        <f t="shared" si="26"/>
        <v/>
      </c>
      <c r="W134" t="str">
        <f t="shared" si="27"/>
        <v/>
      </c>
      <c r="X134" t="str">
        <f t="shared" si="32"/>
        <v/>
      </c>
      <c r="Y134" t="str">
        <f t="shared" si="33"/>
        <v>dataset</v>
      </c>
      <c r="Z134" t="s">
        <v>4234</v>
      </c>
    </row>
    <row r="135" spans="1:26" x14ac:dyDescent="0.15">
      <c r="A135" t="s">
        <v>4232</v>
      </c>
      <c r="C135" t="s">
        <v>3964</v>
      </c>
      <c r="D135" t="s">
        <v>4233</v>
      </c>
      <c r="F135">
        <v>600</v>
      </c>
      <c r="G135" t="b">
        <v>0</v>
      </c>
      <c r="H135" s="1" t="s">
        <v>16</v>
      </c>
      <c r="I135" t="s">
        <v>38</v>
      </c>
      <c r="J135">
        <v>0</v>
      </c>
      <c r="K135" s="7" t="b">
        <v>0</v>
      </c>
      <c r="L135" s="7" t="b">
        <v>0</v>
      </c>
      <c r="M135" s="1" t="s">
        <v>16</v>
      </c>
      <c r="N135" s="1" t="s">
        <v>16</v>
      </c>
      <c r="O135" s="1" t="s">
        <v>16</v>
      </c>
      <c r="P135" s="1" t="s">
        <v>16</v>
      </c>
      <c r="Q135" s="1" t="s">
        <v>18</v>
      </c>
      <c r="R135" s="1" t="s">
        <v>16</v>
      </c>
      <c r="S135" t="str">
        <f t="shared" si="35"/>
        <v>dataset|sample</v>
      </c>
      <c r="Y135" t="s">
        <v>2506</v>
      </c>
      <c r="Z135" t="s">
        <v>4234</v>
      </c>
    </row>
    <row r="141" spans="1:26" x14ac:dyDescent="0.15">
      <c r="B141" s="8"/>
      <c r="C141" s="8"/>
    </row>
    <row r="142" spans="1:26" x14ac:dyDescent="0.15">
      <c r="B142" s="8"/>
      <c r="C142" s="8"/>
    </row>
    <row r="153" spans="1:2" x14ac:dyDescent="0.15">
      <c r="A153" s="8"/>
      <c r="B153" s="8"/>
    </row>
    <row r="154" spans="1:2" x14ac:dyDescent="0.15">
      <c r="A154" s="8"/>
      <c r="B154" s="8"/>
    </row>
    <row r="155" spans="1:2" x14ac:dyDescent="0.15">
      <c r="A155" s="8"/>
      <c r="B155" s="8"/>
    </row>
    <row r="156" spans="1:2" x14ac:dyDescent="0.15">
      <c r="A156" s="8"/>
      <c r="B156" s="8"/>
    </row>
    <row r="157" spans="1:2" x14ac:dyDescent="0.15">
      <c r="A157" s="8"/>
      <c r="B157" s="8"/>
    </row>
  </sheetData>
  <autoFilter ref="A1:AMF128" xr:uid="{00000000-0001-0000-0000-000000000000}">
    <sortState xmlns:xlrd2="http://schemas.microsoft.com/office/spreadsheetml/2017/richdata2" ref="A2:AMF134">
      <sortCondition descending="1" ref="I1:I134"/>
    </sortState>
  </autoFilter>
  <conditionalFormatting sqref="H1:H95 K2:R95">
    <cfRule type="containsText" dxfId="8" priority="2" operator="containsText" text="TRUE">
      <formula>NOT(ISERROR(SEARCH("TRUE",H1)))</formula>
    </cfRule>
  </conditionalFormatting>
  <conditionalFormatting sqref="L96:R97">
    <cfRule type="containsText" dxfId="7" priority="4" operator="containsText" text="TRUE">
      <formula>NOT(ISERROR(SEARCH("TRUE",L96)))</formula>
    </cfRule>
  </conditionalFormatting>
  <conditionalFormatting sqref="M1:R1">
    <cfRule type="containsText" dxfId="6" priority="7" operator="containsText" text="TRUE">
      <formula>NOT(ISERROR(SEARCH("TRUE",M1)))</formula>
    </cfRule>
  </conditionalFormatting>
  <conditionalFormatting sqref="O98:R98">
    <cfRule type="containsText" dxfId="5" priority="3" operator="containsText" text="TRUE">
      <formula>NOT(ISERROR(SEARCH("TRUE",O98)))</formula>
    </cfRule>
  </conditionalFormatting>
  <conditionalFormatting sqref="U1:Z1">
    <cfRule type="containsText" dxfId="4" priority="1" operator="containsText" text="TRUE">
      <formula>NOT(ISERROR(SEARCH("TRUE",U1)))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3" t="s">
        <v>0</v>
      </c>
      <c r="B1" s="3" t="s">
        <v>3963</v>
      </c>
    </row>
    <row r="2" spans="1:2" x14ac:dyDescent="0.15">
      <c r="A2" t="s">
        <v>176</v>
      </c>
    </row>
    <row r="3" spans="1:2" x14ac:dyDescent="0.15">
      <c r="A3" t="s">
        <v>178</v>
      </c>
    </row>
    <row r="4" spans="1:2" x14ac:dyDescent="0.15">
      <c r="A4" t="s">
        <v>182</v>
      </c>
    </row>
    <row r="5" spans="1:2" x14ac:dyDescent="0.15">
      <c r="A5" t="s">
        <v>180</v>
      </c>
    </row>
    <row r="6" spans="1:2" x14ac:dyDescent="0.15">
      <c r="A6" t="s">
        <v>184</v>
      </c>
    </row>
    <row r="7" spans="1:2" x14ac:dyDescent="0.15">
      <c r="A7" t="s">
        <v>186</v>
      </c>
    </row>
    <row r="8" spans="1:2" x14ac:dyDescent="0.15">
      <c r="A8" s="30" t="s">
        <v>4061</v>
      </c>
      <c r="B8" t="s">
        <v>14</v>
      </c>
    </row>
    <row r="9" spans="1:2" x14ac:dyDescent="0.15">
      <c r="A9" s="8" t="s">
        <v>4062</v>
      </c>
    </row>
    <row r="10" spans="1:2" x14ac:dyDescent="0.15">
      <c r="A10" s="8" t="s">
        <v>4063</v>
      </c>
    </row>
    <row r="11" spans="1:2" x14ac:dyDescent="0.15">
      <c r="A11" s="8" t="s">
        <v>4228</v>
      </c>
    </row>
    <row r="12" spans="1:2" x14ac:dyDescent="0.15">
      <c r="A12" s="8" t="s">
        <v>4065</v>
      </c>
    </row>
    <row r="13" spans="1:2" x14ac:dyDescent="0.15">
      <c r="A13" s="8" t="s">
        <v>4066</v>
      </c>
    </row>
    <row r="14" spans="1:2" x14ac:dyDescent="0.15">
      <c r="A14" s="8" t="s">
        <v>3968</v>
      </c>
    </row>
    <row r="15" spans="1:2" x14ac:dyDescent="0.15">
      <c r="A15" s="8" t="s">
        <v>3966</v>
      </c>
    </row>
    <row r="16" spans="1:2" x14ac:dyDescent="0.15">
      <c r="A16" s="8" t="s">
        <v>3971</v>
      </c>
    </row>
    <row r="17" spans="1:2" x14ac:dyDescent="0.15">
      <c r="A17" s="8" t="s">
        <v>4067</v>
      </c>
    </row>
    <row r="18" spans="1:2" x14ac:dyDescent="0.15">
      <c r="A18" s="8" t="s">
        <v>4068</v>
      </c>
    </row>
    <row r="19" spans="1:2" x14ac:dyDescent="0.15">
      <c r="A19" s="8" t="s">
        <v>1163</v>
      </c>
    </row>
    <row r="20" spans="1:2" x14ac:dyDescent="0.15">
      <c r="A20" s="8" t="s">
        <v>4069</v>
      </c>
    </row>
    <row r="21" spans="1:2" x14ac:dyDescent="0.15">
      <c r="A21" s="8" t="s">
        <v>4070</v>
      </c>
    </row>
    <row r="22" spans="1:2" x14ac:dyDescent="0.15">
      <c r="A22" s="8" t="s">
        <v>4071</v>
      </c>
    </row>
    <row r="23" spans="1:2" x14ac:dyDescent="0.15">
      <c r="A23" t="s">
        <v>4077</v>
      </c>
    </row>
    <row r="24" spans="1:2" x14ac:dyDescent="0.15">
      <c r="A24" s="8" t="s">
        <v>4141</v>
      </c>
    </row>
    <row r="25" spans="1:2" x14ac:dyDescent="0.15">
      <c r="A25" s="8" t="s">
        <v>4143</v>
      </c>
    </row>
    <row r="26" spans="1:2" x14ac:dyDescent="0.15">
      <c r="A26" s="8" t="s">
        <v>4148</v>
      </c>
    </row>
    <row r="27" spans="1:2" x14ac:dyDescent="0.15">
      <c r="A27" s="8" t="s">
        <v>4149</v>
      </c>
    </row>
    <row r="28" spans="1:2" x14ac:dyDescent="0.15">
      <c r="A28" s="8" t="s">
        <v>4156</v>
      </c>
    </row>
    <row r="29" spans="1:2" x14ac:dyDescent="0.15">
      <c r="A29" s="6" t="s">
        <v>13</v>
      </c>
      <c r="B29" s="6"/>
    </row>
    <row r="30" spans="1:2" x14ac:dyDescent="0.15">
      <c r="A30" s="6" t="s">
        <v>84</v>
      </c>
      <c r="B30" s="6" t="s">
        <v>4063</v>
      </c>
    </row>
    <row r="31" spans="1:2" x14ac:dyDescent="0.15">
      <c r="A31" s="6" t="s">
        <v>202</v>
      </c>
      <c r="B31" s="6"/>
    </row>
    <row r="32" spans="1:2" x14ac:dyDescent="0.15">
      <c r="A32" t="s">
        <v>2739</v>
      </c>
    </row>
    <row r="33" spans="1:2" x14ac:dyDescent="0.15">
      <c r="A33" s="6" t="s">
        <v>58</v>
      </c>
      <c r="B33" s="6" t="s">
        <v>3964</v>
      </c>
    </row>
    <row r="34" spans="1:2" x14ac:dyDescent="0.15">
      <c r="A34" t="s">
        <v>2837</v>
      </c>
    </row>
    <row r="35" spans="1:2" x14ac:dyDescent="0.15">
      <c r="A35" t="s">
        <v>1163</v>
      </c>
    </row>
    <row r="36" spans="1:2" x14ac:dyDescent="0.15">
      <c r="A36" t="s">
        <v>2882</v>
      </c>
    </row>
    <row r="37" spans="1:2" x14ac:dyDescent="0.15">
      <c r="A37" s="6" t="s">
        <v>41</v>
      </c>
      <c r="B37" s="6"/>
    </row>
    <row r="38" spans="1:2" x14ac:dyDescent="0.15">
      <c r="A38" s="6" t="s">
        <v>44</v>
      </c>
      <c r="B38" s="6"/>
    </row>
    <row r="39" spans="1:2" x14ac:dyDescent="0.15">
      <c r="A39" s="6" t="s">
        <v>2881</v>
      </c>
      <c r="B39" s="6"/>
    </row>
    <row r="40" spans="1:2" x14ac:dyDescent="0.15">
      <c r="A40" t="s">
        <v>39</v>
      </c>
      <c r="B40" t="s">
        <v>4156</v>
      </c>
    </row>
    <row r="41" spans="1:2" x14ac:dyDescent="0.15">
      <c r="A41" t="s">
        <v>2938</v>
      </c>
    </row>
    <row r="42" spans="1:2" x14ac:dyDescent="0.15">
      <c r="A42" s="6" t="s">
        <v>2981</v>
      </c>
      <c r="B42" s="6"/>
    </row>
    <row r="43" spans="1:2" x14ac:dyDescent="0.15">
      <c r="A43" s="6" t="s">
        <v>3113</v>
      </c>
      <c r="B43" s="6"/>
    </row>
    <row r="44" spans="1:2" x14ac:dyDescent="0.15">
      <c r="A44" t="s">
        <v>2872</v>
      </c>
    </row>
    <row r="45" spans="1:2" x14ac:dyDescent="0.15">
      <c r="A45" t="s">
        <v>36</v>
      </c>
    </row>
    <row r="46" spans="1:2" x14ac:dyDescent="0.15">
      <c r="A46" t="s">
        <v>82</v>
      </c>
    </row>
    <row r="47" spans="1:2" x14ac:dyDescent="0.15">
      <c r="A47" s="6" t="s">
        <v>119</v>
      </c>
      <c r="B47" s="6"/>
    </row>
    <row r="48" spans="1:2" x14ac:dyDescent="0.15">
      <c r="A48" t="s">
        <v>124</v>
      </c>
    </row>
    <row r="49" spans="1:2" x14ac:dyDescent="0.15">
      <c r="A49" t="s">
        <v>138</v>
      </c>
    </row>
    <row r="50" spans="1:2" x14ac:dyDescent="0.15">
      <c r="A50" t="s">
        <v>3010</v>
      </c>
    </row>
    <row r="51" spans="1:2" x14ac:dyDescent="0.15">
      <c r="A51" t="s">
        <v>139</v>
      </c>
    </row>
    <row r="52" spans="1:2" x14ac:dyDescent="0.15">
      <c r="A52" s="6" t="s">
        <v>3106</v>
      </c>
      <c r="B52" s="6"/>
    </row>
    <row r="53" spans="1:2" x14ac:dyDescent="0.15">
      <c r="A53" t="s">
        <v>153</v>
      </c>
    </row>
    <row r="54" spans="1:2" x14ac:dyDescent="0.15">
      <c r="A54" s="6" t="s">
        <v>171</v>
      </c>
      <c r="B54" s="6"/>
    </row>
    <row r="55" spans="1:2" x14ac:dyDescent="0.15">
      <c r="A55" s="6" t="s">
        <v>173</v>
      </c>
      <c r="B55" s="6"/>
    </row>
    <row r="56" spans="1:2" x14ac:dyDescent="0.15">
      <c r="A56" t="s">
        <v>2831</v>
      </c>
      <c r="B56" t="s">
        <v>4228</v>
      </c>
    </row>
    <row r="57" spans="1:2" x14ac:dyDescent="0.15">
      <c r="A57" t="s">
        <v>4097</v>
      </c>
    </row>
    <row r="58" spans="1:2" x14ac:dyDescent="0.15">
      <c r="A58" t="s">
        <v>3088</v>
      </c>
    </row>
    <row r="59" spans="1:2" x14ac:dyDescent="0.15">
      <c r="A59" t="s">
        <v>3123</v>
      </c>
    </row>
    <row r="60" spans="1:2" ht="16" x14ac:dyDescent="0.2">
      <c r="A60" s="22" t="s">
        <v>3139</v>
      </c>
      <c r="B60" s="22"/>
    </row>
    <row r="61" spans="1:2" x14ac:dyDescent="0.15">
      <c r="A61" t="s">
        <v>3145</v>
      </c>
    </row>
    <row r="62" spans="1:2" x14ac:dyDescent="0.15">
      <c r="A62" t="s">
        <v>3161</v>
      </c>
    </row>
    <row r="63" spans="1:2" x14ac:dyDescent="0.15">
      <c r="A63" t="s">
        <v>2769</v>
      </c>
    </row>
    <row r="64" spans="1:2" x14ac:dyDescent="0.15">
      <c r="A64" t="s">
        <v>3951</v>
      </c>
      <c r="B64" t="s">
        <v>3964</v>
      </c>
    </row>
    <row r="65" spans="1:2" x14ac:dyDescent="0.15">
      <c r="A65" s="6" t="s">
        <v>3243</v>
      </c>
      <c r="B65" s="6"/>
    </row>
    <row r="66" spans="1:2" x14ac:dyDescent="0.15">
      <c r="A66" t="s">
        <v>3943</v>
      </c>
    </row>
    <row r="67" spans="1:2" x14ac:dyDescent="0.15">
      <c r="A67" t="s">
        <v>121</v>
      </c>
    </row>
    <row r="68" spans="1:2" x14ac:dyDescent="0.15">
      <c r="A68" t="s">
        <v>35</v>
      </c>
      <c r="B68" t="s">
        <v>3965</v>
      </c>
    </row>
    <row r="69" spans="1:2" x14ac:dyDescent="0.15">
      <c r="A69" t="s">
        <v>89</v>
      </c>
      <c r="B69" t="s">
        <v>3966</v>
      </c>
    </row>
    <row r="70" spans="1:2" x14ac:dyDescent="0.15">
      <c r="A70" s="6" t="s">
        <v>69</v>
      </c>
      <c r="B70" s="6"/>
    </row>
    <row r="71" spans="1:2" x14ac:dyDescent="0.15">
      <c r="A71" s="6" t="s">
        <v>3967</v>
      </c>
      <c r="B71" s="6" t="s">
        <v>3968</v>
      </c>
    </row>
    <row r="72" spans="1:2" x14ac:dyDescent="0.15">
      <c r="A72" t="s">
        <v>92</v>
      </c>
      <c r="B72" s="6" t="s">
        <v>3968</v>
      </c>
    </row>
    <row r="73" spans="1:2" x14ac:dyDescent="0.15">
      <c r="A73" t="s">
        <v>94</v>
      </c>
      <c r="B73" s="6" t="s">
        <v>3968</v>
      </c>
    </row>
    <row r="74" spans="1:2" x14ac:dyDescent="0.15">
      <c r="A74" t="s">
        <v>3851</v>
      </c>
      <c r="B74" t="s">
        <v>20</v>
      </c>
    </row>
    <row r="75" spans="1:2" x14ac:dyDescent="0.15">
      <c r="A75" t="s">
        <v>20</v>
      </c>
      <c r="B75" t="s">
        <v>19</v>
      </c>
    </row>
    <row r="76" spans="1:2" x14ac:dyDescent="0.15">
      <c r="A76" s="6" t="s">
        <v>19</v>
      </c>
      <c r="B76" s="6" t="s">
        <v>4076</v>
      </c>
    </row>
    <row r="77" spans="1:2" x14ac:dyDescent="0.15">
      <c r="A77" s="6" t="s">
        <v>46</v>
      </c>
      <c r="B77" s="6"/>
    </row>
    <row r="78" spans="1:2" x14ac:dyDescent="0.15">
      <c r="A78" s="6" t="s">
        <v>90</v>
      </c>
      <c r="B78" s="6"/>
    </row>
    <row r="79" spans="1:2" x14ac:dyDescent="0.15">
      <c r="A79" s="6" t="s">
        <v>108</v>
      </c>
      <c r="B79" s="6"/>
    </row>
    <row r="80" spans="1:2" x14ac:dyDescent="0.15">
      <c r="A80" s="6" t="s">
        <v>130</v>
      </c>
      <c r="B80" s="6"/>
    </row>
    <row r="81" spans="1:2" x14ac:dyDescent="0.15">
      <c r="A81" s="6" t="s">
        <v>132</v>
      </c>
      <c r="B81" s="6"/>
    </row>
    <row r="82" spans="1:2" x14ac:dyDescent="0.15">
      <c r="A82" s="6" t="s">
        <v>134</v>
      </c>
      <c r="B82" s="6"/>
    </row>
    <row r="83" spans="1:2" x14ac:dyDescent="0.15">
      <c r="A83" s="6" t="s">
        <v>136</v>
      </c>
      <c r="B83" s="6"/>
    </row>
    <row r="84" spans="1:2" x14ac:dyDescent="0.15">
      <c r="A84" t="s">
        <v>166</v>
      </c>
    </row>
    <row r="85" spans="1:2" x14ac:dyDescent="0.15">
      <c r="A85" t="s">
        <v>91</v>
      </c>
    </row>
    <row r="86" spans="1:2" x14ac:dyDescent="0.15">
      <c r="A86" t="s">
        <v>131</v>
      </c>
      <c r="B86" t="s">
        <v>4068</v>
      </c>
    </row>
    <row r="87" spans="1:2" x14ac:dyDescent="0.15">
      <c r="A87" t="s">
        <v>135</v>
      </c>
      <c r="B87" t="s">
        <v>4068</v>
      </c>
    </row>
    <row r="88" spans="1:2" x14ac:dyDescent="0.15">
      <c r="A88" s="6" t="s">
        <v>3045</v>
      </c>
      <c r="B88" s="6"/>
    </row>
    <row r="89" spans="1:2" x14ac:dyDescent="0.15">
      <c r="A89" s="6" t="s">
        <v>3046</v>
      </c>
      <c r="B89" s="6"/>
    </row>
    <row r="90" spans="1:2" x14ac:dyDescent="0.15">
      <c r="A90" s="6" t="s">
        <v>116</v>
      </c>
      <c r="B90" s="6"/>
    </row>
    <row r="91" spans="1:2" x14ac:dyDescent="0.15">
      <c r="A91" s="6" t="s">
        <v>71</v>
      </c>
      <c r="B91" s="6" t="s">
        <v>116</v>
      </c>
    </row>
    <row r="92" spans="1:2" x14ac:dyDescent="0.15">
      <c r="A92" s="6" t="s">
        <v>70</v>
      </c>
      <c r="B92" s="6" t="s">
        <v>4061</v>
      </c>
    </row>
    <row r="93" spans="1:2" x14ac:dyDescent="0.15">
      <c r="A93" s="6" t="s">
        <v>3213</v>
      </c>
      <c r="B93" s="6" t="s">
        <v>4063</v>
      </c>
    </row>
    <row r="94" spans="1:2" ht="28" x14ac:dyDescent="0.15">
      <c r="A94" t="s">
        <v>49</v>
      </c>
      <c r="B94" s="34" t="s">
        <v>4155</v>
      </c>
    </row>
    <row r="95" spans="1:2" x14ac:dyDescent="0.15">
      <c r="A95" t="s">
        <v>4095</v>
      </c>
      <c r="B95" t="s">
        <v>4096</v>
      </c>
    </row>
    <row r="96" spans="1:2" x14ac:dyDescent="0.15">
      <c r="A96" t="s">
        <v>4096</v>
      </c>
      <c r="B96" t="s">
        <v>3213</v>
      </c>
    </row>
    <row r="97" spans="1:2" x14ac:dyDescent="0.15">
      <c r="A97" t="s">
        <v>55</v>
      </c>
      <c r="B97" s="8"/>
    </row>
    <row r="98" spans="1:2" x14ac:dyDescent="0.15">
      <c r="A98" t="s">
        <v>157</v>
      </c>
      <c r="B98" t="s">
        <v>159</v>
      </c>
    </row>
    <row r="99" spans="1:2" x14ac:dyDescent="0.15">
      <c r="A99" t="s">
        <v>101</v>
      </c>
      <c r="B99" t="s">
        <v>4181</v>
      </c>
    </row>
    <row r="100" spans="1:2" x14ac:dyDescent="0.15">
      <c r="A100" t="s">
        <v>102</v>
      </c>
    </row>
    <row r="101" spans="1:2" x14ac:dyDescent="0.15">
      <c r="A101" t="s">
        <v>105</v>
      </c>
      <c r="B101" t="s">
        <v>4229</v>
      </c>
    </row>
    <row r="102" spans="1:2" x14ac:dyDescent="0.15">
      <c r="A102" s="6" t="s">
        <v>4163</v>
      </c>
    </row>
    <row r="103" spans="1:2" x14ac:dyDescent="0.15">
      <c r="A103" s="6" t="s">
        <v>4178</v>
      </c>
    </row>
    <row r="104" spans="1:2" x14ac:dyDescent="0.15">
      <c r="A104" t="s">
        <v>159</v>
      </c>
      <c r="B104" t="s">
        <v>4195</v>
      </c>
    </row>
    <row r="105" spans="1:2" x14ac:dyDescent="0.15">
      <c r="A105" t="s">
        <v>4189</v>
      </c>
    </row>
    <row r="106" spans="1:2" x14ac:dyDescent="0.15">
      <c r="A106" t="s">
        <v>4190</v>
      </c>
    </row>
    <row r="107" spans="1:2" x14ac:dyDescent="0.15">
      <c r="A107" t="s">
        <v>4191</v>
      </c>
    </row>
    <row r="108" spans="1:2" x14ac:dyDescent="0.15">
      <c r="A108" t="s">
        <v>4194</v>
      </c>
    </row>
    <row r="109" spans="1:2" x14ac:dyDescent="0.15">
      <c r="A109" t="s">
        <v>4204</v>
      </c>
    </row>
    <row r="110" spans="1:2" x14ac:dyDescent="0.15">
      <c r="A110" t="s">
        <v>86</v>
      </c>
    </row>
    <row r="111" spans="1:2" x14ac:dyDescent="0.15">
      <c r="A111" t="s">
        <v>148</v>
      </c>
    </row>
    <row r="112" spans="1:2" x14ac:dyDescent="0.15">
      <c r="A112" t="s">
        <v>98</v>
      </c>
    </row>
    <row r="113" spans="1:2" x14ac:dyDescent="0.15">
      <c r="A113" s="6" t="s">
        <v>169</v>
      </c>
      <c r="B113" s="6"/>
    </row>
    <row r="114" spans="1:2" x14ac:dyDescent="0.15">
      <c r="A114" s="6" t="s">
        <v>141</v>
      </c>
      <c r="B114" s="6"/>
    </row>
    <row r="115" spans="1:2" x14ac:dyDescent="0.15">
      <c r="A115" s="6" t="s">
        <v>142</v>
      </c>
      <c r="B115" s="6"/>
    </row>
    <row r="116" spans="1:2" x14ac:dyDescent="0.15">
      <c r="A116" s="6" t="s">
        <v>145</v>
      </c>
      <c r="B116" s="6"/>
    </row>
    <row r="117" spans="1:2" x14ac:dyDescent="0.15">
      <c r="A117" s="6" t="s">
        <v>109</v>
      </c>
      <c r="B117" s="6" t="s">
        <v>4230</v>
      </c>
    </row>
    <row r="118" spans="1:2" x14ac:dyDescent="0.15">
      <c r="A118" s="27" t="s">
        <v>3841</v>
      </c>
      <c r="B118" s="27"/>
    </row>
    <row r="119" spans="1:2" x14ac:dyDescent="0.15">
      <c r="A119" s="6" t="s">
        <v>24</v>
      </c>
      <c r="B119" s="6" t="s">
        <v>4162</v>
      </c>
    </row>
    <row r="120" spans="1:2" x14ac:dyDescent="0.15">
      <c r="A120" s="6" t="s">
        <v>164</v>
      </c>
      <c r="B120" s="6" t="s">
        <v>4099</v>
      </c>
    </row>
    <row r="121" spans="1:2" x14ac:dyDescent="0.15">
      <c r="A121" s="6" t="s">
        <v>155</v>
      </c>
      <c r="B121" s="6"/>
    </row>
    <row r="122" spans="1:2" x14ac:dyDescent="0.15">
      <c r="A122" s="6" t="s">
        <v>4083</v>
      </c>
      <c r="B122" s="6" t="s">
        <v>4067</v>
      </c>
    </row>
    <row r="123" spans="1:2" x14ac:dyDescent="0.15">
      <c r="A123" s="6" t="s">
        <v>114</v>
      </c>
      <c r="B123" s="6"/>
    </row>
    <row r="124" spans="1:2" x14ac:dyDescent="0.15">
      <c r="A124" s="6" t="s">
        <v>23</v>
      </c>
      <c r="B124" s="6" t="s">
        <v>3964</v>
      </c>
    </row>
    <row r="125" spans="1:2" x14ac:dyDescent="0.15">
      <c r="A125" t="s">
        <v>28</v>
      </c>
      <c r="B125" t="s">
        <v>4069</v>
      </c>
    </row>
    <row r="126" spans="1:2" x14ac:dyDescent="0.15">
      <c r="A126" s="6" t="s">
        <v>27</v>
      </c>
      <c r="B126" s="6"/>
    </row>
    <row r="127" spans="1:2" x14ac:dyDescent="0.15">
      <c r="A127" s="6" t="s">
        <v>96</v>
      </c>
      <c r="B127" s="6"/>
    </row>
    <row r="128" spans="1:2" x14ac:dyDescent="0.15">
      <c r="A128" s="6" t="s">
        <v>160</v>
      </c>
      <c r="B128" s="6"/>
    </row>
    <row r="129" spans="1:2" x14ac:dyDescent="0.15">
      <c r="A129" s="6" t="s">
        <v>161</v>
      </c>
      <c r="B129" s="6"/>
    </row>
    <row r="130" spans="1:2" x14ac:dyDescent="0.15">
      <c r="A130" t="s">
        <v>60</v>
      </c>
    </row>
    <row r="131" spans="1:2" x14ac:dyDescent="0.15">
      <c r="A131" t="s">
        <v>63</v>
      </c>
    </row>
    <row r="132" spans="1:2" x14ac:dyDescent="0.15">
      <c r="A132" s="6" t="s">
        <v>65</v>
      </c>
      <c r="B132" s="6"/>
    </row>
    <row r="133" spans="1:2" x14ac:dyDescent="0.15">
      <c r="A133" t="s">
        <v>67</v>
      </c>
    </row>
    <row r="134" spans="1:2" x14ac:dyDescent="0.15">
      <c r="A134" t="s">
        <v>31</v>
      </c>
    </row>
    <row r="135" spans="1:2" x14ac:dyDescent="0.15">
      <c r="A135" t="s">
        <v>4232</v>
      </c>
      <c r="B135" t="s">
        <v>3964</v>
      </c>
    </row>
    <row r="141" spans="1:2" x14ac:dyDescent="0.15">
      <c r="B141" s="8"/>
    </row>
    <row r="142" spans="1:2" x14ac:dyDescent="0.15">
      <c r="B142" s="8"/>
    </row>
    <row r="153" spans="1:1" x14ac:dyDescent="0.15">
      <c r="A153" s="8"/>
    </row>
    <row r="154" spans="1:1" x14ac:dyDescent="0.15">
      <c r="A154" s="8"/>
    </row>
    <row r="155" spans="1:1" x14ac:dyDescent="0.15">
      <c r="A155" s="8"/>
    </row>
    <row r="156" spans="1:1" x14ac:dyDescent="0.15">
      <c r="A156" s="8"/>
    </row>
    <row r="157" spans="1:1" x14ac:dyDescent="0.15">
      <c r="A157"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353"/>
  <sheetViews>
    <sheetView topLeftCell="A1076" zoomScale="120" zoomScaleNormal="120" workbookViewId="0">
      <selection activeCell="E1336" sqref="E133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1" width="10.6640625" style="8"/>
    <col min="12" max="12" width="43.83203125" style="8" customWidth="1"/>
    <col min="13" max="1008" width="10.6640625" style="8"/>
  </cols>
  <sheetData>
    <row r="1" spans="1:1010" s="17" customFormat="1" x14ac:dyDescent="0.15">
      <c r="A1" s="17" t="s">
        <v>2724</v>
      </c>
      <c r="B1" s="17" t="s">
        <v>188</v>
      </c>
      <c r="C1" s="17" t="s">
        <v>0</v>
      </c>
      <c r="D1" s="17" t="s">
        <v>189</v>
      </c>
      <c r="E1" s="17" t="s">
        <v>1</v>
      </c>
      <c r="F1" s="17" t="s">
        <v>190</v>
      </c>
      <c r="G1" s="17" t="s">
        <v>2</v>
      </c>
      <c r="H1" s="17" t="s">
        <v>4098</v>
      </c>
      <c r="ALR1" s="18"/>
      <c r="ALS1" s="18"/>
      <c r="ALT1" s="18"/>
      <c r="ALU1" s="19"/>
      <c r="ALV1" s="19"/>
    </row>
    <row r="2" spans="1:1010" x14ac:dyDescent="0.15">
      <c r="A2" s="8" t="s">
        <v>191</v>
      </c>
      <c r="B2" s="8" t="s">
        <v>121</v>
      </c>
      <c r="C2" s="8" t="str">
        <f>A2</f>
        <v>steroid_synthesis</v>
      </c>
      <c r="D2" s="9" t="s">
        <v>14</v>
      </c>
      <c r="E2" s="8" t="s">
        <v>192</v>
      </c>
      <c r="F2" s="8" t="s">
        <v>193</v>
      </c>
      <c r="G2" s="8">
        <v>500</v>
      </c>
    </row>
    <row r="3" spans="1:1010" x14ac:dyDescent="0.15">
      <c r="A3" s="8" t="s">
        <v>194</v>
      </c>
      <c r="B3" s="8" t="s">
        <v>121</v>
      </c>
      <c r="C3" s="8" t="str">
        <f t="shared" ref="C3:C66" si="0">A3</f>
        <v>q_linked_reactions</v>
      </c>
      <c r="D3" s="9" t="s">
        <v>14</v>
      </c>
      <c r="E3" s="8" t="s">
        <v>195</v>
      </c>
      <c r="F3" s="8" t="s">
        <v>196</v>
      </c>
      <c r="G3" s="8">
        <v>500</v>
      </c>
    </row>
    <row r="4" spans="1:1010" x14ac:dyDescent="0.15">
      <c r="A4" s="8" t="s">
        <v>197</v>
      </c>
      <c r="B4" s="8" t="s">
        <v>121</v>
      </c>
      <c r="C4" s="8" t="str">
        <f t="shared" si="0"/>
        <v>protein_import</v>
      </c>
      <c r="D4" s="9" t="s">
        <v>14</v>
      </c>
      <c r="E4" s="8" t="s">
        <v>198</v>
      </c>
      <c r="F4" s="8" t="s">
        <v>198</v>
      </c>
      <c r="G4" s="8">
        <v>500</v>
      </c>
    </row>
    <row r="5" spans="1:1010" x14ac:dyDescent="0.15">
      <c r="A5" s="8" t="s">
        <v>199</v>
      </c>
      <c r="B5" s="8" t="s">
        <v>52</v>
      </c>
      <c r="C5" s="8" t="str">
        <f t="shared" si="0"/>
        <v>360um</v>
      </c>
      <c r="D5" s="9" t="s">
        <v>14</v>
      </c>
      <c r="E5" s="8">
        <v>360</v>
      </c>
      <c r="F5" s="8" t="s">
        <v>200</v>
      </c>
      <c r="G5" s="8">
        <v>500</v>
      </c>
    </row>
    <row r="6" spans="1:1010" x14ac:dyDescent="0.15">
      <c r="A6" s="8" t="s">
        <v>201</v>
      </c>
      <c r="B6" s="8" t="s">
        <v>202</v>
      </c>
      <c r="C6" s="8" t="str">
        <f t="shared" si="0"/>
        <v>arginine</v>
      </c>
      <c r="D6" s="8" t="s">
        <v>201</v>
      </c>
      <c r="E6" s="8" t="s">
        <v>203</v>
      </c>
      <c r="F6" s="8" t="s">
        <v>204</v>
      </c>
      <c r="G6" s="8">
        <v>500</v>
      </c>
    </row>
    <row r="7" spans="1:1010" x14ac:dyDescent="0.15">
      <c r="A7" s="8" t="s">
        <v>205</v>
      </c>
      <c r="B7" s="8" t="s">
        <v>202</v>
      </c>
      <c r="C7" s="8" t="str">
        <f t="shared" si="0"/>
        <v>asparagine</v>
      </c>
      <c r="D7" s="8" t="s">
        <v>205</v>
      </c>
      <c r="E7" s="8" t="s">
        <v>206</v>
      </c>
      <c r="F7" s="8" t="s">
        <v>207</v>
      </c>
      <c r="G7" s="8">
        <v>500</v>
      </c>
    </row>
    <row r="8" spans="1:1010" x14ac:dyDescent="0.15">
      <c r="A8" s="8" t="s">
        <v>208</v>
      </c>
      <c r="B8" s="8" t="s">
        <v>202</v>
      </c>
      <c r="C8" s="8" t="str">
        <f t="shared" si="0"/>
        <v>asparticacid</v>
      </c>
      <c r="D8" s="8" t="s">
        <v>208</v>
      </c>
      <c r="E8" s="8" t="s">
        <v>209</v>
      </c>
      <c r="F8" s="8" t="s">
        <v>210</v>
      </c>
      <c r="G8" s="8">
        <v>500</v>
      </c>
    </row>
    <row r="9" spans="1:1010" x14ac:dyDescent="0.15">
      <c r="A9" s="8" t="s">
        <v>211</v>
      </c>
      <c r="B9" s="8" t="s">
        <v>202</v>
      </c>
      <c r="C9" s="8" t="str">
        <f t="shared" si="0"/>
        <v>cysteine</v>
      </c>
      <c r="D9" s="8" t="s">
        <v>211</v>
      </c>
      <c r="E9" s="8" t="s">
        <v>212</v>
      </c>
      <c r="F9" s="8" t="s">
        <v>213</v>
      </c>
      <c r="G9" s="8">
        <v>500</v>
      </c>
    </row>
    <row r="10" spans="1:1010" x14ac:dyDescent="0.15">
      <c r="A10" s="8" t="s">
        <v>214</v>
      </c>
      <c r="B10" s="8" t="s">
        <v>202</v>
      </c>
      <c r="C10" s="8" t="str">
        <f t="shared" si="0"/>
        <v>glutamicacid</v>
      </c>
      <c r="D10" s="8" t="s">
        <v>214</v>
      </c>
      <c r="E10" s="8" t="s">
        <v>215</v>
      </c>
      <c r="F10" s="8" t="s">
        <v>216</v>
      </c>
      <c r="G10" s="8">
        <v>500</v>
      </c>
    </row>
    <row r="11" spans="1:1010" x14ac:dyDescent="0.15">
      <c r="A11" s="8" t="s">
        <v>217</v>
      </c>
      <c r="B11" s="8" t="s">
        <v>202</v>
      </c>
      <c r="C11" s="8" t="str">
        <f t="shared" si="0"/>
        <v>glutamine</v>
      </c>
      <c r="D11" s="8" t="s">
        <v>217</v>
      </c>
      <c r="E11" s="8" t="s">
        <v>218</v>
      </c>
      <c r="F11" s="8" t="s">
        <v>219</v>
      </c>
      <c r="G11" s="8">
        <v>500</v>
      </c>
    </row>
    <row r="12" spans="1:1010" x14ac:dyDescent="0.15">
      <c r="A12" s="8" t="s">
        <v>220</v>
      </c>
      <c r="B12" s="8" t="s">
        <v>202</v>
      </c>
      <c r="C12" s="8" t="str">
        <f t="shared" si="0"/>
        <v>glycine</v>
      </c>
      <c r="D12" s="8" t="s">
        <v>220</v>
      </c>
      <c r="E12" s="8" t="s">
        <v>221</v>
      </c>
      <c r="F12" s="8" t="s">
        <v>222</v>
      </c>
      <c r="G12" s="8">
        <v>500</v>
      </c>
    </row>
    <row r="13" spans="1:1010" x14ac:dyDescent="0.15">
      <c r="A13" s="8" t="s">
        <v>223</v>
      </c>
      <c r="B13" s="8" t="s">
        <v>202</v>
      </c>
      <c r="C13" s="8" t="str">
        <f t="shared" si="0"/>
        <v>histidine</v>
      </c>
      <c r="D13" s="8" t="s">
        <v>223</v>
      </c>
      <c r="E13" s="8" t="s">
        <v>224</v>
      </c>
      <c r="F13" s="8" t="s">
        <v>225</v>
      </c>
      <c r="G13" s="8">
        <v>500</v>
      </c>
    </row>
    <row r="14" spans="1:1010" x14ac:dyDescent="0.15">
      <c r="A14" s="8" t="s">
        <v>226</v>
      </c>
      <c r="B14" s="8" t="s">
        <v>202</v>
      </c>
      <c r="C14" s="8" t="str">
        <f t="shared" si="0"/>
        <v>isoleucine</v>
      </c>
      <c r="D14" s="8" t="s">
        <v>226</v>
      </c>
      <c r="E14" s="8" t="s">
        <v>227</v>
      </c>
      <c r="F14" s="8" t="s">
        <v>228</v>
      </c>
      <c r="G14" s="8">
        <v>500</v>
      </c>
    </row>
    <row r="15" spans="1:1010" x14ac:dyDescent="0.15">
      <c r="A15" s="8" t="s">
        <v>229</v>
      </c>
      <c r="B15" s="8" t="s">
        <v>202</v>
      </c>
      <c r="C15" s="8" t="str">
        <f t="shared" si="0"/>
        <v>leucine</v>
      </c>
      <c r="D15" s="8" t="s">
        <v>229</v>
      </c>
      <c r="E15" s="8" t="s">
        <v>230</v>
      </c>
      <c r="F15" s="8" t="s">
        <v>231</v>
      </c>
      <c r="G15" s="8">
        <v>500</v>
      </c>
    </row>
    <row r="16" spans="1:1010" x14ac:dyDescent="0.15">
      <c r="A16" s="8" t="s">
        <v>232</v>
      </c>
      <c r="B16" s="8" t="s">
        <v>202</v>
      </c>
      <c r="C16" s="8" t="str">
        <f t="shared" si="0"/>
        <v>lysine</v>
      </c>
      <c r="D16" s="8" t="s">
        <v>232</v>
      </c>
      <c r="E16" s="8" t="s">
        <v>233</v>
      </c>
      <c r="F16" s="8" t="s">
        <v>234</v>
      </c>
      <c r="G16" s="8">
        <v>500</v>
      </c>
    </row>
    <row r="17" spans="1:7" x14ac:dyDescent="0.15">
      <c r="A17" s="8" t="s">
        <v>235</v>
      </c>
      <c r="B17" s="8" t="s">
        <v>202</v>
      </c>
      <c r="C17" s="8" t="str">
        <f t="shared" si="0"/>
        <v>methionine</v>
      </c>
      <c r="D17" s="8" t="s">
        <v>235</v>
      </c>
      <c r="E17" s="8" t="s">
        <v>236</v>
      </c>
      <c r="F17" s="8" t="s">
        <v>237</v>
      </c>
      <c r="G17" s="8">
        <v>500</v>
      </c>
    </row>
    <row r="18" spans="1:7" x14ac:dyDescent="0.15">
      <c r="A18" s="8" t="s">
        <v>238</v>
      </c>
      <c r="B18" s="8" t="s">
        <v>202</v>
      </c>
      <c r="C18" s="8" t="str">
        <f t="shared" si="0"/>
        <v>phenylalanine</v>
      </c>
      <c r="D18" s="8" t="s">
        <v>238</v>
      </c>
      <c r="E18" s="8" t="s">
        <v>239</v>
      </c>
      <c r="F18" s="8" t="s">
        <v>240</v>
      </c>
      <c r="G18" s="8">
        <v>500</v>
      </c>
    </row>
    <row r="19" spans="1:7" x14ac:dyDescent="0.15">
      <c r="A19" s="8" t="s">
        <v>241</v>
      </c>
      <c r="B19" s="8" t="s">
        <v>202</v>
      </c>
      <c r="C19" s="8" t="str">
        <f t="shared" si="0"/>
        <v>proline</v>
      </c>
      <c r="D19" s="8" t="s">
        <v>241</v>
      </c>
      <c r="E19" s="8" t="s">
        <v>242</v>
      </c>
      <c r="F19" s="8" t="s">
        <v>243</v>
      </c>
      <c r="G19" s="8">
        <v>500</v>
      </c>
    </row>
    <row r="20" spans="1:7" x14ac:dyDescent="0.15">
      <c r="A20" s="8" t="s">
        <v>244</v>
      </c>
      <c r="B20" s="8" t="s">
        <v>202</v>
      </c>
      <c r="C20" s="8" t="str">
        <f t="shared" si="0"/>
        <v>serine</v>
      </c>
      <c r="D20" s="8" t="s">
        <v>244</v>
      </c>
      <c r="E20" s="8" t="s">
        <v>245</v>
      </c>
      <c r="F20" s="8" t="s">
        <v>246</v>
      </c>
      <c r="G20" s="8">
        <v>500</v>
      </c>
    </row>
    <row r="21" spans="1:7" x14ac:dyDescent="0.15">
      <c r="A21" s="8" t="s">
        <v>247</v>
      </c>
      <c r="B21" s="8" t="s">
        <v>202</v>
      </c>
      <c r="C21" s="8" t="str">
        <f t="shared" si="0"/>
        <v>threonine</v>
      </c>
      <c r="D21" s="8" t="s">
        <v>247</v>
      </c>
      <c r="E21" s="8" t="s">
        <v>248</v>
      </c>
      <c r="F21" s="8" t="s">
        <v>249</v>
      </c>
      <c r="G21" s="8">
        <v>500</v>
      </c>
    </row>
    <row r="22" spans="1:7" x14ac:dyDescent="0.15">
      <c r="A22" s="8" t="s">
        <v>250</v>
      </c>
      <c r="B22" s="8" t="s">
        <v>202</v>
      </c>
      <c r="C22" s="8" t="str">
        <f t="shared" si="0"/>
        <v>tryptophan</v>
      </c>
      <c r="D22" s="8" t="s">
        <v>250</v>
      </c>
      <c r="E22" s="8" t="s">
        <v>251</v>
      </c>
      <c r="F22" s="8" t="s">
        <v>252</v>
      </c>
      <c r="G22" s="8">
        <v>500</v>
      </c>
    </row>
    <row r="23" spans="1:7" x14ac:dyDescent="0.15">
      <c r="A23" s="8" t="s">
        <v>253</v>
      </c>
      <c r="B23" s="8" t="s">
        <v>202</v>
      </c>
      <c r="C23" s="8" t="str">
        <f t="shared" si="0"/>
        <v>tyrosine</v>
      </c>
      <c r="D23" s="8" t="s">
        <v>253</v>
      </c>
      <c r="E23" s="8" t="s">
        <v>254</v>
      </c>
      <c r="F23" s="8" t="s">
        <v>255</v>
      </c>
      <c r="G23" s="8">
        <v>500</v>
      </c>
    </row>
    <row r="24" spans="1:7" x14ac:dyDescent="0.15">
      <c r="A24" s="8" t="s">
        <v>256</v>
      </c>
      <c r="B24" s="8" t="s">
        <v>202</v>
      </c>
      <c r="C24" s="8" t="str">
        <f t="shared" si="0"/>
        <v>valine</v>
      </c>
      <c r="D24" s="8" t="s">
        <v>256</v>
      </c>
      <c r="E24" s="8" t="s">
        <v>257</v>
      </c>
      <c r="F24" s="8" t="s">
        <v>258</v>
      </c>
      <c r="G24" s="8">
        <v>500</v>
      </c>
    </row>
    <row r="25" spans="1:7" x14ac:dyDescent="0.15">
      <c r="A25" s="8" t="s">
        <v>201</v>
      </c>
      <c r="B25" s="8" t="s">
        <v>13</v>
      </c>
      <c r="C25" s="8" t="str">
        <f t="shared" si="0"/>
        <v>arginine</v>
      </c>
      <c r="D25" s="9" t="s">
        <v>14</v>
      </c>
      <c r="E25" s="8" t="s">
        <v>203</v>
      </c>
      <c r="F25" s="8" t="s">
        <v>204</v>
      </c>
      <c r="G25" s="8">
        <v>500</v>
      </c>
    </row>
    <row r="26" spans="1:7" x14ac:dyDescent="0.15">
      <c r="A26" s="8" t="s">
        <v>205</v>
      </c>
      <c r="B26" s="8" t="s">
        <v>13</v>
      </c>
      <c r="C26" s="8" t="str">
        <f t="shared" si="0"/>
        <v>asparagine</v>
      </c>
      <c r="D26" s="9" t="s">
        <v>14</v>
      </c>
      <c r="E26" s="8" t="s">
        <v>206</v>
      </c>
      <c r="F26" s="8" t="s">
        <v>207</v>
      </c>
      <c r="G26" s="8">
        <v>500</v>
      </c>
    </row>
    <row r="27" spans="1:7" x14ac:dyDescent="0.15">
      <c r="A27" s="8" t="s">
        <v>208</v>
      </c>
      <c r="B27" s="8" t="s">
        <v>13</v>
      </c>
      <c r="C27" s="8" t="str">
        <f t="shared" si="0"/>
        <v>asparticacid</v>
      </c>
      <c r="D27" s="9" t="s">
        <v>14</v>
      </c>
      <c r="E27" s="8" t="s">
        <v>209</v>
      </c>
      <c r="F27" s="8" t="s">
        <v>210</v>
      </c>
      <c r="G27" s="8">
        <v>500</v>
      </c>
    </row>
    <row r="28" spans="1:7" x14ac:dyDescent="0.15">
      <c r="A28" s="8" t="s">
        <v>211</v>
      </c>
      <c r="B28" s="8" t="s">
        <v>13</v>
      </c>
      <c r="C28" s="8" t="str">
        <f t="shared" si="0"/>
        <v>cysteine</v>
      </c>
      <c r="D28" s="9" t="s">
        <v>14</v>
      </c>
      <c r="E28" s="8" t="s">
        <v>212</v>
      </c>
      <c r="F28" s="8" t="s">
        <v>213</v>
      </c>
      <c r="G28" s="8">
        <v>500</v>
      </c>
    </row>
    <row r="29" spans="1:7" x14ac:dyDescent="0.15">
      <c r="A29" s="8" t="s">
        <v>214</v>
      </c>
      <c r="B29" s="8" t="s">
        <v>13</v>
      </c>
      <c r="C29" s="8" t="str">
        <f t="shared" si="0"/>
        <v>glutamicacid</v>
      </c>
      <c r="D29" s="9" t="s">
        <v>14</v>
      </c>
      <c r="E29" s="8" t="s">
        <v>215</v>
      </c>
      <c r="F29" s="8" t="s">
        <v>216</v>
      </c>
      <c r="G29" s="8">
        <v>500</v>
      </c>
    </row>
    <row r="30" spans="1:7" x14ac:dyDescent="0.15">
      <c r="A30" s="8" t="s">
        <v>217</v>
      </c>
      <c r="B30" s="8" t="s">
        <v>13</v>
      </c>
      <c r="C30" s="8" t="str">
        <f t="shared" si="0"/>
        <v>glutamine</v>
      </c>
      <c r="D30" s="9" t="s">
        <v>14</v>
      </c>
      <c r="E30" s="8" t="s">
        <v>218</v>
      </c>
      <c r="F30" s="8" t="s">
        <v>219</v>
      </c>
      <c r="G30" s="8">
        <v>500</v>
      </c>
    </row>
    <row r="31" spans="1:7" x14ac:dyDescent="0.15">
      <c r="A31" s="8" t="s">
        <v>220</v>
      </c>
      <c r="B31" s="8" t="s">
        <v>13</v>
      </c>
      <c r="C31" s="8" t="str">
        <f t="shared" si="0"/>
        <v>glycine</v>
      </c>
      <c r="D31" s="9" t="s">
        <v>14</v>
      </c>
      <c r="E31" s="8" t="s">
        <v>221</v>
      </c>
      <c r="F31" s="8" t="s">
        <v>222</v>
      </c>
      <c r="G31" s="8">
        <v>500</v>
      </c>
    </row>
    <row r="32" spans="1:7" x14ac:dyDescent="0.15">
      <c r="A32" s="8" t="s">
        <v>223</v>
      </c>
      <c r="B32" s="8" t="s">
        <v>13</v>
      </c>
      <c r="C32" s="8" t="str">
        <f t="shared" si="0"/>
        <v>histidine</v>
      </c>
      <c r="D32" s="9" t="s">
        <v>14</v>
      </c>
      <c r="E32" s="8" t="s">
        <v>224</v>
      </c>
      <c r="F32" s="8" t="s">
        <v>225</v>
      </c>
      <c r="G32" s="8">
        <v>500</v>
      </c>
    </row>
    <row r="33" spans="1:7" x14ac:dyDescent="0.15">
      <c r="A33" s="8" t="s">
        <v>226</v>
      </c>
      <c r="B33" s="8" t="s">
        <v>13</v>
      </c>
      <c r="C33" s="8" t="str">
        <f t="shared" si="0"/>
        <v>isoleucine</v>
      </c>
      <c r="D33" s="9" t="s">
        <v>14</v>
      </c>
      <c r="E33" s="8" t="s">
        <v>227</v>
      </c>
      <c r="F33" s="8" t="s">
        <v>228</v>
      </c>
      <c r="G33" s="8">
        <v>500</v>
      </c>
    </row>
    <row r="34" spans="1:7" x14ac:dyDescent="0.15">
      <c r="A34" s="8" t="s">
        <v>229</v>
      </c>
      <c r="B34" s="8" t="s">
        <v>13</v>
      </c>
      <c r="C34" s="8" t="str">
        <f t="shared" si="0"/>
        <v>leucine</v>
      </c>
      <c r="D34" s="9" t="s">
        <v>14</v>
      </c>
      <c r="E34" s="8" t="s">
        <v>230</v>
      </c>
      <c r="F34" s="8" t="s">
        <v>231</v>
      </c>
      <c r="G34" s="8">
        <v>500</v>
      </c>
    </row>
    <row r="35" spans="1:7" x14ac:dyDescent="0.15">
      <c r="A35" s="8" t="s">
        <v>232</v>
      </c>
      <c r="B35" s="8" t="s">
        <v>13</v>
      </c>
      <c r="C35" s="8" t="str">
        <f t="shared" si="0"/>
        <v>lysine</v>
      </c>
      <c r="D35" s="9" t="s">
        <v>14</v>
      </c>
      <c r="E35" s="8" t="s">
        <v>233</v>
      </c>
      <c r="F35" s="8" t="s">
        <v>234</v>
      </c>
      <c r="G35" s="8">
        <v>500</v>
      </c>
    </row>
    <row r="36" spans="1:7" x14ac:dyDescent="0.15">
      <c r="A36" s="8" t="s">
        <v>235</v>
      </c>
      <c r="B36" s="8" t="s">
        <v>13</v>
      </c>
      <c r="C36" s="8" t="str">
        <f t="shared" si="0"/>
        <v>methionine</v>
      </c>
      <c r="D36" s="9" t="s">
        <v>14</v>
      </c>
      <c r="E36" s="8" t="s">
        <v>236</v>
      </c>
      <c r="F36" s="8" t="s">
        <v>237</v>
      </c>
      <c r="G36" s="8">
        <v>500</v>
      </c>
    </row>
    <row r="37" spans="1:7" x14ac:dyDescent="0.15">
      <c r="A37" s="8" t="s">
        <v>238</v>
      </c>
      <c r="B37" s="8" t="s">
        <v>13</v>
      </c>
      <c r="C37" s="8" t="str">
        <f t="shared" si="0"/>
        <v>phenylalanine</v>
      </c>
      <c r="D37" s="9" t="s">
        <v>14</v>
      </c>
      <c r="E37" s="8" t="s">
        <v>239</v>
      </c>
      <c r="F37" s="8" t="s">
        <v>240</v>
      </c>
      <c r="G37" s="8">
        <v>500</v>
      </c>
    </row>
    <row r="38" spans="1:7" x14ac:dyDescent="0.15">
      <c r="A38" s="8" t="s">
        <v>241</v>
      </c>
      <c r="B38" s="8" t="s">
        <v>13</v>
      </c>
      <c r="C38" s="8" t="str">
        <f t="shared" si="0"/>
        <v>proline</v>
      </c>
      <c r="D38" s="9" t="s">
        <v>14</v>
      </c>
      <c r="E38" s="8" t="s">
        <v>242</v>
      </c>
      <c r="F38" s="8" t="s">
        <v>243</v>
      </c>
      <c r="G38" s="8">
        <v>500</v>
      </c>
    </row>
    <row r="39" spans="1:7" x14ac:dyDescent="0.15">
      <c r="A39" s="8" t="s">
        <v>244</v>
      </c>
      <c r="B39" s="8" t="s">
        <v>13</v>
      </c>
      <c r="C39" s="8" t="str">
        <f t="shared" si="0"/>
        <v>serine</v>
      </c>
      <c r="D39" s="9" t="s">
        <v>14</v>
      </c>
      <c r="E39" s="8" t="s">
        <v>245</v>
      </c>
      <c r="F39" s="8" t="s">
        <v>246</v>
      </c>
      <c r="G39" s="8">
        <v>500</v>
      </c>
    </row>
    <row r="40" spans="1:7" x14ac:dyDescent="0.15">
      <c r="A40" s="8" t="s">
        <v>247</v>
      </c>
      <c r="B40" s="8" t="s">
        <v>13</v>
      </c>
      <c r="C40" s="8" t="str">
        <f t="shared" si="0"/>
        <v>threonine</v>
      </c>
      <c r="D40" s="9" t="s">
        <v>14</v>
      </c>
      <c r="E40" s="8" t="s">
        <v>248</v>
      </c>
      <c r="F40" s="8" t="s">
        <v>249</v>
      </c>
      <c r="G40" s="8">
        <v>500</v>
      </c>
    </row>
    <row r="41" spans="1:7" x14ac:dyDescent="0.15">
      <c r="A41" s="8" t="s">
        <v>250</v>
      </c>
      <c r="B41" s="8" t="s">
        <v>13</v>
      </c>
      <c r="C41" s="8" t="str">
        <f t="shared" si="0"/>
        <v>tryptophan</v>
      </c>
      <c r="D41" s="9" t="s">
        <v>14</v>
      </c>
      <c r="E41" s="8" t="s">
        <v>251</v>
      </c>
      <c r="F41" s="8" t="s">
        <v>252</v>
      </c>
      <c r="G41" s="8">
        <v>500</v>
      </c>
    </row>
    <row r="42" spans="1:7" x14ac:dyDescent="0.15">
      <c r="A42" s="8" t="s">
        <v>253</v>
      </c>
      <c r="B42" s="8" t="s">
        <v>13</v>
      </c>
      <c r="C42" s="8" t="str">
        <f t="shared" si="0"/>
        <v>tyrosine</v>
      </c>
      <c r="D42" s="9" t="s">
        <v>14</v>
      </c>
      <c r="E42" s="8" t="s">
        <v>254</v>
      </c>
      <c r="F42" s="8" t="s">
        <v>255</v>
      </c>
      <c r="G42" s="8">
        <v>500</v>
      </c>
    </row>
    <row r="43" spans="1:7" x14ac:dyDescent="0.15">
      <c r="A43" s="8" t="s">
        <v>256</v>
      </c>
      <c r="B43" s="8" t="s">
        <v>13</v>
      </c>
      <c r="C43" s="8" t="str">
        <f t="shared" si="0"/>
        <v>valine</v>
      </c>
      <c r="D43" s="9" t="s">
        <v>14</v>
      </c>
      <c r="E43" s="8" t="s">
        <v>257</v>
      </c>
      <c r="F43" s="8" t="s">
        <v>258</v>
      </c>
      <c r="G43" s="8">
        <v>500</v>
      </c>
    </row>
    <row r="44" spans="1:7" x14ac:dyDescent="0.15">
      <c r="A44" s="8" t="s">
        <v>274</v>
      </c>
      <c r="B44" s="8" t="s">
        <v>13</v>
      </c>
      <c r="C44" s="8" t="str">
        <f t="shared" si="0"/>
        <v>none</v>
      </c>
      <c r="D44" s="9" t="s">
        <v>14</v>
      </c>
      <c r="E44" s="8" t="s">
        <v>3008</v>
      </c>
      <c r="F44" s="8" t="s">
        <v>3009</v>
      </c>
      <c r="G44" s="8">
        <v>500</v>
      </c>
    </row>
    <row r="45" spans="1:7" x14ac:dyDescent="0.15">
      <c r="A45" s="8" t="s">
        <v>259</v>
      </c>
      <c r="B45" s="8" t="s">
        <v>19</v>
      </c>
      <c r="C45" s="8" t="str">
        <f t="shared" si="0"/>
        <v>dda</v>
      </c>
      <c r="D45" s="8" t="s">
        <v>259</v>
      </c>
      <c r="E45" s="8" t="s">
        <v>260</v>
      </c>
      <c r="F45" s="8" t="s">
        <v>261</v>
      </c>
      <c r="G45" s="8">
        <v>500</v>
      </c>
    </row>
    <row r="46" spans="1:7" x14ac:dyDescent="0.15">
      <c r="A46" s="8" t="s">
        <v>262</v>
      </c>
      <c r="B46" s="8" t="s">
        <v>19</v>
      </c>
      <c r="C46" s="8" t="str">
        <f t="shared" si="0"/>
        <v>dia</v>
      </c>
      <c r="D46" s="8" t="s">
        <v>262</v>
      </c>
      <c r="E46" s="8" t="s">
        <v>263</v>
      </c>
      <c r="F46" s="8" t="s">
        <v>264</v>
      </c>
      <c r="G46" s="8">
        <v>500</v>
      </c>
    </row>
    <row r="47" spans="1:7" x14ac:dyDescent="0.15">
      <c r="A47" s="8" t="s">
        <v>265</v>
      </c>
      <c r="B47" s="8" t="s">
        <v>19</v>
      </c>
      <c r="C47" s="8" t="str">
        <f t="shared" si="0"/>
        <v>srm</v>
      </c>
      <c r="D47" s="8" t="s">
        <v>265</v>
      </c>
      <c r="E47" s="8" t="s">
        <v>266</v>
      </c>
      <c r="F47" s="8" t="s">
        <v>267</v>
      </c>
      <c r="G47" s="8">
        <v>500</v>
      </c>
    </row>
    <row r="48" spans="1:7" x14ac:dyDescent="0.15">
      <c r="A48" s="8" t="s">
        <v>268</v>
      </c>
      <c r="B48" s="8" t="s">
        <v>23</v>
      </c>
      <c r="C48" s="8" t="str">
        <f t="shared" si="0"/>
        <v>caa</v>
      </c>
      <c r="D48" s="9" t="s">
        <v>14</v>
      </c>
      <c r="E48" s="8" t="s">
        <v>269</v>
      </c>
      <c r="F48" s="8" t="s">
        <v>270</v>
      </c>
      <c r="G48" s="8">
        <v>500</v>
      </c>
    </row>
    <row r="49" spans="1:7" x14ac:dyDescent="0.15">
      <c r="A49" s="8" t="s">
        <v>271</v>
      </c>
      <c r="B49" s="8" t="s">
        <v>23</v>
      </c>
      <c r="C49" s="8" t="str">
        <f t="shared" si="0"/>
        <v>iaa</v>
      </c>
      <c r="D49" s="9" t="s">
        <v>14</v>
      </c>
      <c r="E49" s="8" t="s">
        <v>272</v>
      </c>
      <c r="F49" s="8" t="s">
        <v>273</v>
      </c>
      <c r="G49" s="8">
        <v>500</v>
      </c>
    </row>
    <row r="50" spans="1:7" x14ac:dyDescent="0.15">
      <c r="A50" s="8" t="s">
        <v>274</v>
      </c>
      <c r="B50" s="8" t="s">
        <v>23</v>
      </c>
      <c r="C50" s="8" t="str">
        <f t="shared" si="0"/>
        <v>none</v>
      </c>
      <c r="D50" s="9" t="s">
        <v>14</v>
      </c>
      <c r="E50" s="8" t="s">
        <v>275</v>
      </c>
      <c r="F50" s="8" t="s">
        <v>276</v>
      </c>
      <c r="G50" s="8">
        <v>500</v>
      </c>
    </row>
    <row r="51" spans="1:7" x14ac:dyDescent="0.15">
      <c r="A51" s="8" t="s">
        <v>277</v>
      </c>
      <c r="B51" s="8" t="s">
        <v>27</v>
      </c>
      <c r="C51" s="8" t="str">
        <f t="shared" si="0"/>
        <v>directdia</v>
      </c>
      <c r="D51" s="9" t="s">
        <v>14</v>
      </c>
      <c r="E51" s="8" t="s">
        <v>278</v>
      </c>
      <c r="F51" s="8" t="s">
        <v>279</v>
      </c>
      <c r="G51" s="8">
        <v>500</v>
      </c>
    </row>
    <row r="52" spans="1:7" x14ac:dyDescent="0.15">
      <c r="A52" s="8" t="s">
        <v>280</v>
      </c>
      <c r="B52" s="8" t="s">
        <v>27</v>
      </c>
      <c r="C52" s="8" t="str">
        <f t="shared" si="0"/>
        <v>libdia</v>
      </c>
      <c r="D52" s="9" t="s">
        <v>14</v>
      </c>
      <c r="E52" s="8" t="s">
        <v>281</v>
      </c>
      <c r="F52" s="8" t="s">
        <v>282</v>
      </c>
      <c r="G52" s="8">
        <v>500</v>
      </c>
    </row>
    <row r="53" spans="1:7" x14ac:dyDescent="0.15">
      <c r="A53" s="8" t="s">
        <v>283</v>
      </c>
      <c r="B53" s="8" t="s">
        <v>284</v>
      </c>
      <c r="C53" s="8" t="str">
        <f t="shared" si="0"/>
        <v>adipoq_cre</v>
      </c>
      <c r="D53" s="9" t="s">
        <v>14</v>
      </c>
      <c r="E53" s="8" t="s">
        <v>285</v>
      </c>
      <c r="F53" s="8" t="s">
        <v>286</v>
      </c>
      <c r="G53" s="8">
        <v>500</v>
      </c>
    </row>
    <row r="54" spans="1:7" x14ac:dyDescent="0.15">
      <c r="A54" s="8" t="s">
        <v>287</v>
      </c>
      <c r="B54" s="8" t="s">
        <v>284</v>
      </c>
      <c r="C54" s="8" t="str">
        <f t="shared" si="0"/>
        <v>alb_cre</v>
      </c>
      <c r="D54" s="9" t="s">
        <v>14</v>
      </c>
      <c r="E54" s="8" t="s">
        <v>288</v>
      </c>
      <c r="F54" s="8" t="s">
        <v>289</v>
      </c>
      <c r="G54" s="8">
        <v>500</v>
      </c>
    </row>
    <row r="55" spans="1:7" x14ac:dyDescent="0.15">
      <c r="A55" s="8" t="s">
        <v>290</v>
      </c>
      <c r="B55" s="8" t="s">
        <v>284</v>
      </c>
      <c r="C55" s="8" t="str">
        <f t="shared" si="0"/>
        <v>asc_ko</v>
      </c>
      <c r="D55" s="9" t="s">
        <v>14</v>
      </c>
      <c r="E55" s="8" t="s">
        <v>291</v>
      </c>
      <c r="F55" s="8" t="s">
        <v>291</v>
      </c>
      <c r="G55" s="8">
        <v>500</v>
      </c>
    </row>
    <row r="56" spans="1:7" x14ac:dyDescent="0.15">
      <c r="A56" s="8" t="s">
        <v>292</v>
      </c>
      <c r="B56" s="8" t="s">
        <v>284</v>
      </c>
      <c r="C56" s="8" t="str">
        <f t="shared" si="0"/>
        <v>baf53b_cre</v>
      </c>
      <c r="D56" s="9" t="s">
        <v>14</v>
      </c>
      <c r="E56" s="8" t="s">
        <v>293</v>
      </c>
      <c r="F56" s="8" t="s">
        <v>294</v>
      </c>
      <c r="G56" s="8">
        <v>500</v>
      </c>
    </row>
    <row r="57" spans="1:7" x14ac:dyDescent="0.15">
      <c r="A57" s="8" t="s">
        <v>295</v>
      </c>
      <c r="B57" s="8" t="s">
        <v>284</v>
      </c>
      <c r="C57" s="8" t="str">
        <f t="shared" si="0"/>
        <v>c57_bl6j</v>
      </c>
      <c r="D57" s="9" t="s">
        <v>14</v>
      </c>
      <c r="E57" s="8" t="s">
        <v>296</v>
      </c>
      <c r="F57" s="8" t="s">
        <v>296</v>
      </c>
      <c r="G57" s="8">
        <v>500</v>
      </c>
    </row>
    <row r="58" spans="1:7" x14ac:dyDescent="0.15">
      <c r="A58" s="8" t="s">
        <v>297</v>
      </c>
      <c r="B58" s="8" t="s">
        <v>284</v>
      </c>
      <c r="C58" s="8" t="str">
        <f t="shared" si="0"/>
        <v>clec4f_cre</v>
      </c>
      <c r="D58" s="9" t="s">
        <v>14</v>
      </c>
      <c r="E58" s="8" t="s">
        <v>298</v>
      </c>
      <c r="F58" s="8" t="s">
        <v>299</v>
      </c>
      <c r="G58" s="8">
        <v>500</v>
      </c>
    </row>
    <row r="59" spans="1:7" x14ac:dyDescent="0.15">
      <c r="A59" s="8" t="s">
        <v>300</v>
      </c>
      <c r="B59" s="8" t="s">
        <v>284</v>
      </c>
      <c r="C59" s="8" t="str">
        <f t="shared" si="0"/>
        <v>cx3cr1_cre</v>
      </c>
      <c r="D59" s="9" t="s">
        <v>14</v>
      </c>
      <c r="E59" s="8" t="s">
        <v>301</v>
      </c>
      <c r="F59" s="8" t="s">
        <v>302</v>
      </c>
      <c r="G59" s="8">
        <v>500</v>
      </c>
    </row>
    <row r="60" spans="1:7" x14ac:dyDescent="0.15">
      <c r="A60" s="8" t="s">
        <v>303</v>
      </c>
      <c r="B60" s="8" t="s">
        <v>284</v>
      </c>
      <c r="C60" s="8" t="str">
        <f t="shared" si="0"/>
        <v>cxcr4creert2</v>
      </c>
      <c r="D60" s="9" t="s">
        <v>14</v>
      </c>
      <c r="E60" s="8" t="s">
        <v>304</v>
      </c>
      <c r="F60" s="8" t="s">
        <v>304</v>
      </c>
      <c r="G60" s="8">
        <v>500</v>
      </c>
    </row>
    <row r="61" spans="1:7" x14ac:dyDescent="0.15">
      <c r="A61" s="8" t="s">
        <v>305</v>
      </c>
      <c r="B61" s="8" t="s">
        <v>284</v>
      </c>
      <c r="C61" s="8" t="str">
        <f t="shared" si="0"/>
        <v>glast_cre</v>
      </c>
      <c r="D61" s="9" t="s">
        <v>14</v>
      </c>
      <c r="E61" s="8" t="s">
        <v>306</v>
      </c>
      <c r="F61" s="8" t="s">
        <v>307</v>
      </c>
      <c r="G61" s="8">
        <v>500</v>
      </c>
    </row>
    <row r="62" spans="1:7" x14ac:dyDescent="0.15">
      <c r="A62" s="8" t="s">
        <v>308</v>
      </c>
      <c r="B62" s="8" t="s">
        <v>284</v>
      </c>
      <c r="C62" s="8" t="str">
        <f t="shared" si="0"/>
        <v>lrat_cre</v>
      </c>
      <c r="D62" s="9" t="s">
        <v>14</v>
      </c>
      <c r="E62" s="8" t="s">
        <v>309</v>
      </c>
      <c r="F62" s="8" t="s">
        <v>310</v>
      </c>
      <c r="G62" s="8">
        <v>500</v>
      </c>
    </row>
    <row r="63" spans="1:7" x14ac:dyDescent="0.15">
      <c r="A63" s="8" t="s">
        <v>311</v>
      </c>
      <c r="B63" s="8" t="s">
        <v>284</v>
      </c>
      <c r="C63" s="8" t="str">
        <f t="shared" si="0"/>
        <v>lysm_cre</v>
      </c>
      <c r="D63" s="9" t="s">
        <v>14</v>
      </c>
      <c r="E63" s="8" t="s">
        <v>312</v>
      </c>
      <c r="F63" s="8" t="s">
        <v>313</v>
      </c>
      <c r="G63" s="8">
        <v>500</v>
      </c>
    </row>
    <row r="64" spans="1:7" x14ac:dyDescent="0.15">
      <c r="A64" s="8" t="s">
        <v>314</v>
      </c>
      <c r="B64" s="8" t="s">
        <v>284</v>
      </c>
      <c r="C64" s="8" t="str">
        <f t="shared" si="0"/>
        <v>ms4a3_cre</v>
      </c>
      <c r="D64" s="9" t="s">
        <v>14</v>
      </c>
      <c r="E64" s="8" t="s">
        <v>315</v>
      </c>
      <c r="F64" s="8" t="s">
        <v>316</v>
      </c>
      <c r="G64" s="8">
        <v>500</v>
      </c>
    </row>
    <row r="65" spans="1:7" x14ac:dyDescent="0.15">
      <c r="A65" s="8" t="s">
        <v>317</v>
      </c>
      <c r="B65" s="8" t="s">
        <v>284</v>
      </c>
      <c r="C65" s="8" t="str">
        <f t="shared" si="0"/>
        <v>mt_nlrp3_cre</v>
      </c>
      <c r="D65" s="9" t="s">
        <v>14</v>
      </c>
      <c r="E65" s="8" t="s">
        <v>318</v>
      </c>
      <c r="F65" s="8" t="s">
        <v>319</v>
      </c>
      <c r="G65" s="8">
        <v>500</v>
      </c>
    </row>
    <row r="66" spans="1:7" x14ac:dyDescent="0.15">
      <c r="A66" s="8" t="s">
        <v>320</v>
      </c>
      <c r="B66" s="8" t="s">
        <v>284</v>
      </c>
      <c r="C66" s="8" t="str">
        <f t="shared" si="0"/>
        <v>nlrp3_flox</v>
      </c>
      <c r="D66" s="9" t="s">
        <v>14</v>
      </c>
      <c r="E66" s="8" t="s">
        <v>321</v>
      </c>
      <c r="F66" s="8" t="s">
        <v>321</v>
      </c>
      <c r="G66" s="8">
        <v>500</v>
      </c>
    </row>
    <row r="67" spans="1:7" x14ac:dyDescent="0.15">
      <c r="A67" s="8" t="s">
        <v>322</v>
      </c>
      <c r="B67" s="8" t="s">
        <v>284</v>
      </c>
      <c r="C67" s="8" t="str">
        <f t="shared" ref="C67:C131" si="1">A67</f>
        <v>nlrp3_ko</v>
      </c>
      <c r="D67" s="9" t="s">
        <v>14</v>
      </c>
      <c r="E67" s="8" t="s">
        <v>323</v>
      </c>
      <c r="F67" s="8" t="s">
        <v>323</v>
      </c>
      <c r="G67" s="8">
        <v>500</v>
      </c>
    </row>
    <row r="68" spans="1:7" x14ac:dyDescent="0.15">
      <c r="A68" s="8" t="s">
        <v>324</v>
      </c>
      <c r="B68" s="8" t="s">
        <v>284</v>
      </c>
      <c r="C68" s="8" t="str">
        <f t="shared" si="1"/>
        <v>oaf</v>
      </c>
      <c r="D68" s="9" t="s">
        <v>14</v>
      </c>
      <c r="E68" s="8" t="s">
        <v>325</v>
      </c>
      <c r="F68" s="8" t="s">
        <v>325</v>
      </c>
      <c r="G68" s="8">
        <v>500</v>
      </c>
    </row>
    <row r="69" spans="1:7" x14ac:dyDescent="0.15">
      <c r="A69" s="8" t="s">
        <v>326</v>
      </c>
      <c r="B69" s="8" t="s">
        <v>284</v>
      </c>
      <c r="C69" s="8" t="str">
        <f t="shared" si="1"/>
        <v>r26_ert2cre</v>
      </c>
      <c r="D69" s="9" t="s">
        <v>14</v>
      </c>
      <c r="E69" s="8" t="s">
        <v>327</v>
      </c>
      <c r="F69" s="8" t="s">
        <v>328</v>
      </c>
      <c r="G69" s="8">
        <v>500</v>
      </c>
    </row>
    <row r="70" spans="1:7" x14ac:dyDescent="0.15">
      <c r="A70" s="8" t="s">
        <v>329</v>
      </c>
      <c r="B70" s="8" t="s">
        <v>284</v>
      </c>
      <c r="C70" s="8" t="str">
        <f t="shared" si="1"/>
        <v>r26_metrs_flox</v>
      </c>
      <c r="D70" s="9" t="s">
        <v>14</v>
      </c>
      <c r="E70" s="9" t="s">
        <v>330</v>
      </c>
      <c r="F70" s="8" t="s">
        <v>331</v>
      </c>
      <c r="G70" s="8">
        <v>500</v>
      </c>
    </row>
    <row r="71" spans="1:7" x14ac:dyDescent="0.15">
      <c r="A71" s="8" t="s">
        <v>332</v>
      </c>
      <c r="B71" s="8" t="s">
        <v>284</v>
      </c>
      <c r="C71" s="8" t="str">
        <f t="shared" si="1"/>
        <v>r26_nlrp3_flox</v>
      </c>
      <c r="D71" s="9" t="s">
        <v>14</v>
      </c>
      <c r="E71" s="8" t="s">
        <v>333</v>
      </c>
      <c r="F71" s="8" t="s">
        <v>333</v>
      </c>
      <c r="G71" s="8">
        <v>500</v>
      </c>
    </row>
    <row r="72" spans="1:7" x14ac:dyDescent="0.15">
      <c r="A72" s="8" t="s">
        <v>334</v>
      </c>
      <c r="B72" s="8" t="s">
        <v>284</v>
      </c>
      <c r="C72" s="8" t="str">
        <f t="shared" si="1"/>
        <v>ribotag_lox</v>
      </c>
      <c r="D72" s="9" t="s">
        <v>14</v>
      </c>
      <c r="E72" s="8" t="s">
        <v>335</v>
      </c>
      <c r="F72" s="9" t="s">
        <v>14</v>
      </c>
      <c r="G72" s="8">
        <v>500</v>
      </c>
    </row>
    <row r="73" spans="1:7" x14ac:dyDescent="0.15">
      <c r="A73" s="8" t="s">
        <v>336</v>
      </c>
      <c r="B73" s="8" t="s">
        <v>284</v>
      </c>
      <c r="C73" s="8" t="str">
        <f t="shared" si="1"/>
        <v>sox10_cre</v>
      </c>
      <c r="D73" s="9" t="s">
        <v>14</v>
      </c>
      <c r="E73" s="8" t="s">
        <v>337</v>
      </c>
      <c r="F73" s="8" t="s">
        <v>338</v>
      </c>
      <c r="G73" s="8">
        <v>500</v>
      </c>
    </row>
    <row r="74" spans="1:7" x14ac:dyDescent="0.15">
      <c r="A74" s="8" t="s">
        <v>339</v>
      </c>
      <c r="B74" s="8" t="s">
        <v>284</v>
      </c>
      <c r="C74" s="8" t="str">
        <f t="shared" si="1"/>
        <v>ucp1_cre</v>
      </c>
      <c r="D74" s="9" t="s">
        <v>14</v>
      </c>
      <c r="E74" s="8" t="s">
        <v>340</v>
      </c>
      <c r="F74" s="8" t="s">
        <v>341</v>
      </c>
      <c r="G74" s="8">
        <v>500</v>
      </c>
    </row>
    <row r="75" spans="1:7" x14ac:dyDescent="0.15">
      <c r="A75" s="8" t="s">
        <v>342</v>
      </c>
      <c r="B75" s="8" t="s">
        <v>284</v>
      </c>
      <c r="C75" s="8" t="str">
        <f t="shared" si="1"/>
        <v>vil_cre</v>
      </c>
      <c r="D75" s="9" t="s">
        <v>14</v>
      </c>
      <c r="E75" s="8" t="s">
        <v>343</v>
      </c>
      <c r="F75" s="8" t="s">
        <v>344</v>
      </c>
      <c r="G75" s="8">
        <v>500</v>
      </c>
    </row>
    <row r="76" spans="1:7" x14ac:dyDescent="0.15">
      <c r="A76" s="8" t="s">
        <v>345</v>
      </c>
      <c r="B76" s="8" t="s">
        <v>36</v>
      </c>
      <c r="C76" s="8" t="str">
        <f t="shared" si="1"/>
        <v>adipose_macrophages</v>
      </c>
      <c r="D76" s="8" t="s">
        <v>346</v>
      </c>
      <c r="E76" s="8" t="s">
        <v>347</v>
      </c>
      <c r="F76" s="8" t="s">
        <v>348</v>
      </c>
      <c r="G76" s="8">
        <v>500</v>
      </c>
    </row>
    <row r="77" spans="1:7" x14ac:dyDescent="0.15">
      <c r="A77" s="8" t="s">
        <v>349</v>
      </c>
      <c r="B77" s="8" t="s">
        <v>36</v>
      </c>
      <c r="C77" s="8" t="str">
        <f t="shared" si="1"/>
        <v>astrocytes</v>
      </c>
      <c r="D77" s="8" t="s">
        <v>349</v>
      </c>
      <c r="E77" s="8" t="s">
        <v>307</v>
      </c>
      <c r="F77" s="8" t="s">
        <v>307</v>
      </c>
      <c r="G77" s="8">
        <v>500</v>
      </c>
    </row>
    <row r="78" spans="1:7" x14ac:dyDescent="0.15">
      <c r="A78" s="8" t="s">
        <v>350</v>
      </c>
      <c r="B78" s="8" t="s">
        <v>36</v>
      </c>
      <c r="C78" s="8" t="str">
        <f t="shared" si="1"/>
        <v>basophils</v>
      </c>
      <c r="D78" s="8" t="s">
        <v>350</v>
      </c>
      <c r="E78" s="8" t="s">
        <v>351</v>
      </c>
      <c r="F78" s="8" t="s">
        <v>352</v>
      </c>
      <c r="G78" s="8">
        <v>500</v>
      </c>
    </row>
    <row r="79" spans="1:7" x14ac:dyDescent="0.15">
      <c r="A79" s="8" t="s">
        <v>353</v>
      </c>
      <c r="B79" s="8" t="s">
        <v>36</v>
      </c>
      <c r="C79" s="8" t="str">
        <f t="shared" si="1"/>
        <v>bcells</v>
      </c>
      <c r="D79" s="8" t="s">
        <v>353</v>
      </c>
      <c r="E79" s="8" t="s">
        <v>354</v>
      </c>
      <c r="F79" s="8" t="s">
        <v>354</v>
      </c>
      <c r="G79" s="8">
        <v>500</v>
      </c>
    </row>
    <row r="80" spans="1:7" x14ac:dyDescent="0.15">
      <c r="A80" s="8" t="s">
        <v>355</v>
      </c>
      <c r="B80" s="8" t="s">
        <v>36</v>
      </c>
      <c r="C80" s="8" t="str">
        <f t="shared" si="1"/>
        <v>cytotoxict</v>
      </c>
      <c r="D80" s="8" t="s">
        <v>355</v>
      </c>
      <c r="E80" s="8" t="s">
        <v>356</v>
      </c>
      <c r="F80" s="8" t="s">
        <v>357</v>
      </c>
      <c r="G80" s="8">
        <v>500</v>
      </c>
    </row>
    <row r="81" spans="1:7" x14ac:dyDescent="0.15">
      <c r="A81" s="8" t="s">
        <v>358</v>
      </c>
      <c r="B81" s="8" t="s">
        <v>36</v>
      </c>
      <c r="C81" s="8" t="str">
        <f t="shared" si="1"/>
        <v>endothelial</v>
      </c>
      <c r="D81" s="8" t="s">
        <v>358</v>
      </c>
      <c r="E81" s="8" t="s">
        <v>359</v>
      </c>
      <c r="F81" s="8" t="s">
        <v>360</v>
      </c>
      <c r="G81" s="8">
        <v>500</v>
      </c>
    </row>
    <row r="82" spans="1:7" x14ac:dyDescent="0.15">
      <c r="A82" s="8" t="s">
        <v>361</v>
      </c>
      <c r="B82" s="8" t="s">
        <v>36</v>
      </c>
      <c r="C82" s="8" t="str">
        <f t="shared" si="1"/>
        <v>eosinophils</v>
      </c>
      <c r="D82" s="8" t="s">
        <v>361</v>
      </c>
      <c r="E82" s="8" t="s">
        <v>362</v>
      </c>
      <c r="F82" s="8" t="s">
        <v>363</v>
      </c>
      <c r="G82" s="8">
        <v>500</v>
      </c>
    </row>
    <row r="83" spans="1:7" x14ac:dyDescent="0.15">
      <c r="A83" s="8" t="s">
        <v>364</v>
      </c>
      <c r="B83" s="8" t="s">
        <v>36</v>
      </c>
      <c r="C83" s="8" t="str">
        <f t="shared" si="1"/>
        <v>epithelioid</v>
      </c>
      <c r="D83" s="8" t="s">
        <v>364</v>
      </c>
      <c r="E83" s="8" t="s">
        <v>365</v>
      </c>
      <c r="F83" s="8" t="s">
        <v>366</v>
      </c>
      <c r="G83" s="8">
        <v>500</v>
      </c>
    </row>
    <row r="84" spans="1:7" x14ac:dyDescent="0.15">
      <c r="A84" s="8" t="s">
        <v>367</v>
      </c>
      <c r="B84" s="8" t="s">
        <v>36</v>
      </c>
      <c r="C84" s="8" t="str">
        <f t="shared" si="1"/>
        <v>erythrocytes</v>
      </c>
      <c r="D84" s="8" t="s">
        <v>367</v>
      </c>
      <c r="E84" s="8" t="s">
        <v>368</v>
      </c>
      <c r="F84" s="8" t="s">
        <v>369</v>
      </c>
      <c r="G84" s="8">
        <v>500</v>
      </c>
    </row>
    <row r="85" spans="1:7" x14ac:dyDescent="0.15">
      <c r="A85" s="8" t="s">
        <v>370</v>
      </c>
      <c r="B85" s="8" t="s">
        <v>36</v>
      </c>
      <c r="C85" s="8" t="str">
        <f t="shared" si="1"/>
        <v>gammadeltat</v>
      </c>
      <c r="D85" s="8" t="s">
        <v>370</v>
      </c>
      <c r="E85" s="8" t="s">
        <v>371</v>
      </c>
      <c r="F85" s="8" t="s">
        <v>372</v>
      </c>
      <c r="G85" s="8">
        <v>500</v>
      </c>
    </row>
    <row r="86" spans="1:7" x14ac:dyDescent="0.15">
      <c r="A86" s="8" t="s">
        <v>373</v>
      </c>
      <c r="B86" s="8" t="s">
        <v>36</v>
      </c>
      <c r="C86" s="8" t="str">
        <f t="shared" si="1"/>
        <v>hofbauer</v>
      </c>
      <c r="D86" s="8" t="s">
        <v>373</v>
      </c>
      <c r="E86" s="8" t="s">
        <v>374</v>
      </c>
      <c r="F86" s="8" t="s">
        <v>375</v>
      </c>
      <c r="G86" s="8">
        <v>500</v>
      </c>
    </row>
    <row r="87" spans="1:7" x14ac:dyDescent="0.15">
      <c r="A87" s="8" t="s">
        <v>376</v>
      </c>
      <c r="B87" s="8" t="s">
        <v>36</v>
      </c>
      <c r="C87" s="8" t="str">
        <f t="shared" si="1"/>
        <v>keratinocytes</v>
      </c>
      <c r="D87" s="8" t="s">
        <v>376</v>
      </c>
      <c r="E87" s="8" t="s">
        <v>377</v>
      </c>
      <c r="F87" s="8" t="s">
        <v>378</v>
      </c>
      <c r="G87" s="8">
        <v>500</v>
      </c>
    </row>
    <row r="88" spans="1:7" x14ac:dyDescent="0.15">
      <c r="A88" s="8" t="s">
        <v>379</v>
      </c>
      <c r="B88" s="8" t="s">
        <v>36</v>
      </c>
      <c r="C88" s="8" t="str">
        <f t="shared" si="1"/>
        <v>kupffer</v>
      </c>
      <c r="D88" s="8" t="s">
        <v>379</v>
      </c>
      <c r="E88" s="8" t="s">
        <v>380</v>
      </c>
      <c r="F88" s="8" t="s">
        <v>381</v>
      </c>
      <c r="G88" s="8">
        <v>500</v>
      </c>
    </row>
    <row r="89" spans="1:7" x14ac:dyDescent="0.15">
      <c r="A89" s="8" t="s">
        <v>382</v>
      </c>
      <c r="B89" s="8" t="s">
        <v>36</v>
      </c>
      <c r="C89" s="8" t="str">
        <f t="shared" si="1"/>
        <v>langerhans</v>
      </c>
      <c r="D89" s="8" t="s">
        <v>382</v>
      </c>
      <c r="E89" s="8" t="s">
        <v>383</v>
      </c>
      <c r="F89" s="8" t="s">
        <v>384</v>
      </c>
      <c r="G89" s="8">
        <v>500</v>
      </c>
    </row>
    <row r="90" spans="1:7" x14ac:dyDescent="0.15">
      <c r="A90" s="8" t="s">
        <v>385</v>
      </c>
      <c r="B90" s="8" t="s">
        <v>36</v>
      </c>
      <c r="C90" s="8" t="str">
        <f t="shared" si="1"/>
        <v>leukocytes</v>
      </c>
      <c r="D90" s="8" t="s">
        <v>385</v>
      </c>
      <c r="E90" s="8" t="s">
        <v>386</v>
      </c>
      <c r="F90" s="8" t="s">
        <v>387</v>
      </c>
      <c r="G90" s="8">
        <v>500</v>
      </c>
    </row>
    <row r="91" spans="1:7" x14ac:dyDescent="0.15">
      <c r="A91" s="8" t="s">
        <v>388</v>
      </c>
      <c r="B91" s="8" t="s">
        <v>36</v>
      </c>
      <c r="C91" s="8" t="str">
        <f t="shared" si="1"/>
        <v>lymphocytes</v>
      </c>
      <c r="D91" s="8" t="s">
        <v>388</v>
      </c>
      <c r="E91" s="8" t="s">
        <v>389</v>
      </c>
      <c r="F91" s="8" t="s">
        <v>390</v>
      </c>
      <c r="G91" s="8">
        <v>500</v>
      </c>
    </row>
    <row r="92" spans="1:7" x14ac:dyDescent="0.15">
      <c r="A92" s="8" t="s">
        <v>391</v>
      </c>
      <c r="B92" s="8" t="s">
        <v>36</v>
      </c>
      <c r="C92" s="8" t="str">
        <f t="shared" si="1"/>
        <v>macrophage</v>
      </c>
      <c r="D92" s="8" t="s">
        <v>391</v>
      </c>
      <c r="E92" s="8" t="s">
        <v>392</v>
      </c>
      <c r="F92" s="8" t="s">
        <v>392</v>
      </c>
      <c r="G92" s="8">
        <v>500</v>
      </c>
    </row>
    <row r="93" spans="1:7" x14ac:dyDescent="0.15">
      <c r="A93" s="8" t="s">
        <v>393</v>
      </c>
      <c r="B93" s="8" t="s">
        <v>36</v>
      </c>
      <c r="C93" s="8" t="str">
        <f t="shared" si="1"/>
        <v>microglia</v>
      </c>
      <c r="D93" s="8" t="s">
        <v>393</v>
      </c>
      <c r="E93" s="8" t="s">
        <v>394</v>
      </c>
      <c r="F93" s="8" t="s">
        <v>395</v>
      </c>
      <c r="G93" s="8">
        <v>500</v>
      </c>
    </row>
    <row r="94" spans="1:7" x14ac:dyDescent="0.15">
      <c r="A94" s="8" t="s">
        <v>396</v>
      </c>
      <c r="B94" s="8" t="s">
        <v>36</v>
      </c>
      <c r="C94" s="8" t="str">
        <f t="shared" si="1"/>
        <v>monoblast</v>
      </c>
      <c r="D94" s="8" t="s">
        <v>396</v>
      </c>
      <c r="E94" s="8" t="s">
        <v>397</v>
      </c>
      <c r="F94" s="8" t="s">
        <v>397</v>
      </c>
      <c r="G94" s="8">
        <v>500</v>
      </c>
    </row>
    <row r="95" spans="1:7" x14ac:dyDescent="0.15">
      <c r="A95" s="8" t="s">
        <v>398</v>
      </c>
      <c r="B95" s="8" t="s">
        <v>36</v>
      </c>
      <c r="C95" s="8" t="str">
        <f t="shared" si="1"/>
        <v>monocytes</v>
      </c>
      <c r="D95" s="8" t="s">
        <v>398</v>
      </c>
      <c r="E95" s="8" t="s">
        <v>316</v>
      </c>
      <c r="F95" s="8" t="s">
        <v>399</v>
      </c>
      <c r="G95" s="8">
        <v>500</v>
      </c>
    </row>
    <row r="96" spans="1:7" x14ac:dyDescent="0.15">
      <c r="A96" s="8" t="s">
        <v>400</v>
      </c>
      <c r="B96" s="8" t="s">
        <v>36</v>
      </c>
      <c r="C96" s="8" t="str">
        <f t="shared" si="1"/>
        <v>neutrophils</v>
      </c>
      <c r="D96" s="8" t="s">
        <v>400</v>
      </c>
      <c r="E96" s="8" t="s">
        <v>401</v>
      </c>
      <c r="F96" s="8" t="s">
        <v>402</v>
      </c>
      <c r="G96" s="8">
        <v>500</v>
      </c>
    </row>
    <row r="97" spans="1:7" x14ac:dyDescent="0.15">
      <c r="A97" s="8" t="s">
        <v>403</v>
      </c>
      <c r="B97" s="8" t="s">
        <v>36</v>
      </c>
      <c r="C97" s="8" t="str">
        <f t="shared" si="1"/>
        <v>nk</v>
      </c>
      <c r="D97" s="8" t="s">
        <v>403</v>
      </c>
      <c r="E97" s="8" t="s">
        <v>404</v>
      </c>
      <c r="F97" s="8" t="s">
        <v>405</v>
      </c>
      <c r="G97" s="8">
        <v>500</v>
      </c>
    </row>
    <row r="98" spans="1:7" x14ac:dyDescent="0.15">
      <c r="A98" s="8" t="s">
        <v>406</v>
      </c>
      <c r="B98" s="8" t="s">
        <v>36</v>
      </c>
      <c r="C98" s="8" t="str">
        <f t="shared" si="1"/>
        <v>osteoblast</v>
      </c>
      <c r="D98" s="8" t="s">
        <v>406</v>
      </c>
      <c r="E98" s="8" t="s">
        <v>407</v>
      </c>
      <c r="F98" s="8" t="s">
        <v>408</v>
      </c>
      <c r="G98" s="8">
        <v>500</v>
      </c>
    </row>
    <row r="99" spans="1:7" x14ac:dyDescent="0.15">
      <c r="A99" s="8" t="s">
        <v>409</v>
      </c>
      <c r="B99" s="8" t="s">
        <v>36</v>
      </c>
      <c r="C99" s="8" t="str">
        <f t="shared" si="1"/>
        <v>osteoclast</v>
      </c>
      <c r="D99" s="8" t="s">
        <v>409</v>
      </c>
      <c r="E99" s="8" t="s">
        <v>410</v>
      </c>
      <c r="F99" s="8" t="s">
        <v>411</v>
      </c>
      <c r="G99" s="8">
        <v>500</v>
      </c>
    </row>
    <row r="100" spans="1:7" x14ac:dyDescent="0.15">
      <c r="A100" s="8" t="s">
        <v>412</v>
      </c>
      <c r="B100" s="8" t="s">
        <v>36</v>
      </c>
      <c r="C100" s="8" t="str">
        <f t="shared" si="1"/>
        <v>osteocytes</v>
      </c>
      <c r="D100" s="8" t="s">
        <v>412</v>
      </c>
      <c r="E100" s="8" t="s">
        <v>413</v>
      </c>
      <c r="F100" s="8" t="s">
        <v>414</v>
      </c>
      <c r="G100" s="8">
        <v>500</v>
      </c>
    </row>
    <row r="101" spans="1:7" x14ac:dyDescent="0.15">
      <c r="A101" s="8" t="s">
        <v>415</v>
      </c>
      <c r="B101" s="8" t="s">
        <v>36</v>
      </c>
      <c r="C101" s="8" t="str">
        <f t="shared" si="1"/>
        <v>osteogenic</v>
      </c>
      <c r="D101" s="8" t="s">
        <v>415</v>
      </c>
      <c r="E101" s="8" t="s">
        <v>416</v>
      </c>
      <c r="F101" s="8" t="s">
        <v>417</v>
      </c>
      <c r="G101" s="8">
        <v>500</v>
      </c>
    </row>
    <row r="102" spans="1:7" x14ac:dyDescent="0.15">
      <c r="A102" s="8" t="s">
        <v>418</v>
      </c>
      <c r="B102" s="8" t="s">
        <v>36</v>
      </c>
      <c r="C102" s="8" t="str">
        <f t="shared" si="1"/>
        <v>regt</v>
      </c>
      <c r="D102" s="8" t="s">
        <v>418</v>
      </c>
      <c r="E102" s="8" t="s">
        <v>419</v>
      </c>
      <c r="F102" s="8" t="s">
        <v>420</v>
      </c>
      <c r="G102" s="8">
        <v>500</v>
      </c>
    </row>
    <row r="103" spans="1:7" x14ac:dyDescent="0.15">
      <c r="A103" s="8" t="s">
        <v>421</v>
      </c>
      <c r="B103" s="8" t="s">
        <v>36</v>
      </c>
      <c r="C103" s="8" t="str">
        <f t="shared" si="1"/>
        <v>stemcells</v>
      </c>
      <c r="D103" s="8" t="s">
        <v>421</v>
      </c>
      <c r="E103" s="8" t="s">
        <v>422</v>
      </c>
      <c r="F103" s="8" t="s">
        <v>423</v>
      </c>
      <c r="G103" s="8">
        <v>500</v>
      </c>
    </row>
    <row r="104" spans="1:7" x14ac:dyDescent="0.15">
      <c r="A104" s="8" t="s">
        <v>424</v>
      </c>
      <c r="B104" s="8" t="s">
        <v>36</v>
      </c>
      <c r="C104" s="8" t="str">
        <f t="shared" si="1"/>
        <v>tcells</v>
      </c>
      <c r="D104" s="8" t="s">
        <v>424</v>
      </c>
      <c r="E104" s="8" t="s">
        <v>425</v>
      </c>
      <c r="F104" s="8" t="s">
        <v>425</v>
      </c>
      <c r="G104" s="8">
        <v>500</v>
      </c>
    </row>
    <row r="105" spans="1:7" x14ac:dyDescent="0.15">
      <c r="A105" s="8" t="s">
        <v>426</v>
      </c>
      <c r="B105" s="8" t="s">
        <v>36</v>
      </c>
      <c r="C105" s="8" t="str">
        <f t="shared" si="1"/>
        <v>thelper</v>
      </c>
      <c r="D105" s="8" t="s">
        <v>426</v>
      </c>
      <c r="E105" s="8" t="s">
        <v>427</v>
      </c>
      <c r="F105" s="8" t="s">
        <v>428</v>
      </c>
      <c r="G105" s="8">
        <v>500</v>
      </c>
    </row>
    <row r="106" spans="1:7" x14ac:dyDescent="0.15">
      <c r="A106" s="8" t="s">
        <v>429</v>
      </c>
      <c r="B106" s="8" t="s">
        <v>36</v>
      </c>
      <c r="C106" s="8" t="str">
        <f t="shared" si="1"/>
        <v>thrombocytes</v>
      </c>
      <c r="D106" s="8" t="s">
        <v>429</v>
      </c>
      <c r="E106" s="8" t="s">
        <v>430</v>
      </c>
      <c r="F106" s="8" t="s">
        <v>431</v>
      </c>
      <c r="G106" s="8">
        <v>500</v>
      </c>
    </row>
    <row r="107" spans="1:7" x14ac:dyDescent="0.15">
      <c r="A107" s="8" t="s">
        <v>432</v>
      </c>
      <c r="B107" s="8" t="s">
        <v>39</v>
      </c>
      <c r="C107" s="8" t="str">
        <f t="shared" si="1"/>
        <v>786_0</v>
      </c>
      <c r="D107" s="8">
        <v>786</v>
      </c>
      <c r="E107" s="8" t="s">
        <v>433</v>
      </c>
      <c r="F107" s="8" t="s">
        <v>434</v>
      </c>
      <c r="G107" s="8">
        <v>500</v>
      </c>
    </row>
    <row r="108" spans="1:7" x14ac:dyDescent="0.15">
      <c r="A108" s="8" t="s">
        <v>435</v>
      </c>
      <c r="B108" s="8" t="s">
        <v>39</v>
      </c>
      <c r="C108" s="8" t="str">
        <f t="shared" si="1"/>
        <v>a498</v>
      </c>
      <c r="D108" s="8" t="s">
        <v>435</v>
      </c>
      <c r="E108" s="8" t="s">
        <v>436</v>
      </c>
      <c r="F108" s="8" t="s">
        <v>434</v>
      </c>
      <c r="G108" s="8">
        <v>500</v>
      </c>
    </row>
    <row r="109" spans="1:7" x14ac:dyDescent="0.15">
      <c r="A109" s="8" t="s">
        <v>437</v>
      </c>
      <c r="B109" s="8" t="s">
        <v>39</v>
      </c>
      <c r="C109" s="8" t="str">
        <f t="shared" si="1"/>
        <v>a549</v>
      </c>
      <c r="D109" s="8" t="s">
        <v>437</v>
      </c>
      <c r="E109" s="8" t="s">
        <v>438</v>
      </c>
      <c r="F109" s="8" t="s">
        <v>439</v>
      </c>
      <c r="G109" s="8">
        <v>500</v>
      </c>
    </row>
    <row r="110" spans="1:7" x14ac:dyDescent="0.15">
      <c r="A110" s="8" t="s">
        <v>440</v>
      </c>
      <c r="B110" s="8" t="s">
        <v>39</v>
      </c>
      <c r="C110" s="8" t="str">
        <f t="shared" si="1"/>
        <v>achn</v>
      </c>
      <c r="D110" s="8" t="s">
        <v>440</v>
      </c>
      <c r="E110" s="8" t="s">
        <v>441</v>
      </c>
      <c r="F110" s="8" t="s">
        <v>434</v>
      </c>
      <c r="G110" s="8">
        <v>500</v>
      </c>
    </row>
    <row r="111" spans="1:7" x14ac:dyDescent="0.15">
      <c r="A111" s="8" t="s">
        <v>442</v>
      </c>
      <c r="B111" s="8" t="s">
        <v>39</v>
      </c>
      <c r="C111" s="8" t="str">
        <f t="shared" si="1"/>
        <v>bmdc</v>
      </c>
      <c r="D111" s="8" t="s">
        <v>442</v>
      </c>
      <c r="E111" s="8" t="s">
        <v>443</v>
      </c>
      <c r="F111" s="8" t="s">
        <v>443</v>
      </c>
      <c r="G111" s="8">
        <v>500</v>
      </c>
    </row>
    <row r="112" spans="1:7" x14ac:dyDescent="0.15">
      <c r="A112" s="8" t="s">
        <v>444</v>
      </c>
      <c r="B112" s="8" t="s">
        <v>39</v>
      </c>
      <c r="C112" s="8" t="str">
        <f t="shared" si="1"/>
        <v>bmm</v>
      </c>
      <c r="D112" s="8" t="s">
        <v>444</v>
      </c>
      <c r="E112" s="8" t="s">
        <v>445</v>
      </c>
      <c r="F112" s="8" t="s">
        <v>446</v>
      </c>
      <c r="G112" s="8">
        <v>500</v>
      </c>
    </row>
    <row r="113" spans="1:7" x14ac:dyDescent="0.15">
      <c r="A113" s="8" t="s">
        <v>447</v>
      </c>
      <c r="B113" s="8" t="s">
        <v>39</v>
      </c>
      <c r="C113" s="8" t="str">
        <f t="shared" si="1"/>
        <v>bt549</v>
      </c>
      <c r="D113" s="8" t="s">
        <v>447</v>
      </c>
      <c r="E113" s="8" t="s">
        <v>448</v>
      </c>
      <c r="F113" s="8" t="s">
        <v>449</v>
      </c>
      <c r="G113" s="8">
        <v>500</v>
      </c>
    </row>
    <row r="114" spans="1:7" x14ac:dyDescent="0.15">
      <c r="A114" s="8" t="s">
        <v>450</v>
      </c>
      <c r="B114" s="8" t="s">
        <v>39</v>
      </c>
      <c r="C114" s="8" t="str">
        <f t="shared" si="1"/>
        <v>caki1</v>
      </c>
      <c r="D114" s="8" t="s">
        <v>450</v>
      </c>
      <c r="E114" s="8" t="s">
        <v>451</v>
      </c>
      <c r="F114" s="8" t="s">
        <v>434</v>
      </c>
      <c r="G114" s="8">
        <v>500</v>
      </c>
    </row>
    <row r="115" spans="1:7" x14ac:dyDescent="0.15">
      <c r="A115" s="8" t="s">
        <v>452</v>
      </c>
      <c r="B115" s="8" t="s">
        <v>39</v>
      </c>
      <c r="C115" s="8" t="str">
        <f t="shared" si="1"/>
        <v>cho</v>
      </c>
      <c r="D115" s="8" t="s">
        <v>452</v>
      </c>
      <c r="E115" s="8" t="s">
        <v>453</v>
      </c>
      <c r="F115" s="8" t="s">
        <v>454</v>
      </c>
      <c r="G115" s="8">
        <v>500</v>
      </c>
    </row>
    <row r="116" spans="1:7" x14ac:dyDescent="0.15">
      <c r="A116" s="8" t="s">
        <v>455</v>
      </c>
      <c r="B116" s="8" t="s">
        <v>39</v>
      </c>
      <c r="C116" s="8" t="str">
        <f t="shared" si="1"/>
        <v>colo205</v>
      </c>
      <c r="D116" s="8" t="s">
        <v>455</v>
      </c>
      <c r="E116" s="8" t="s">
        <v>456</v>
      </c>
      <c r="F116" s="8" t="s">
        <v>457</v>
      </c>
      <c r="G116" s="8">
        <v>500</v>
      </c>
    </row>
    <row r="117" spans="1:7" x14ac:dyDescent="0.15">
      <c r="A117" s="8" t="s">
        <v>458</v>
      </c>
      <c r="B117" s="8" t="s">
        <v>39</v>
      </c>
      <c r="C117" s="8" t="str">
        <f t="shared" si="1"/>
        <v>crfcem</v>
      </c>
      <c r="D117" s="8" t="s">
        <v>458</v>
      </c>
      <c r="E117" s="8" t="s">
        <v>459</v>
      </c>
      <c r="F117" s="8" t="s">
        <v>460</v>
      </c>
      <c r="G117" s="8">
        <v>500</v>
      </c>
    </row>
    <row r="118" spans="1:7" x14ac:dyDescent="0.15">
      <c r="A118" s="8" t="s">
        <v>461</v>
      </c>
      <c r="B118" s="8" t="s">
        <v>39</v>
      </c>
      <c r="C118" s="8" t="str">
        <f t="shared" si="1"/>
        <v>du145</v>
      </c>
      <c r="D118" s="8" t="s">
        <v>461</v>
      </c>
      <c r="E118" s="8" t="s">
        <v>462</v>
      </c>
      <c r="F118" s="8" t="s">
        <v>463</v>
      </c>
      <c r="G118" s="8">
        <v>500</v>
      </c>
    </row>
    <row r="119" spans="1:7" x14ac:dyDescent="0.15">
      <c r="A119" s="8" t="s">
        <v>464</v>
      </c>
      <c r="B119" s="8" t="s">
        <v>39</v>
      </c>
      <c r="C119" s="8" t="str">
        <f t="shared" si="1"/>
        <v>ekvx</v>
      </c>
      <c r="D119" s="8" t="s">
        <v>464</v>
      </c>
      <c r="E119" s="8" t="s">
        <v>465</v>
      </c>
      <c r="F119" s="8" t="s">
        <v>439</v>
      </c>
      <c r="G119" s="8">
        <v>500</v>
      </c>
    </row>
    <row r="120" spans="1:7" x14ac:dyDescent="0.15">
      <c r="A120" s="8" t="s">
        <v>466</v>
      </c>
      <c r="B120" s="8" t="s">
        <v>39</v>
      </c>
      <c r="C120" s="8" t="str">
        <f t="shared" si="1"/>
        <v>hcc2998</v>
      </c>
      <c r="D120" s="8" t="s">
        <v>466</v>
      </c>
      <c r="E120" s="8" t="s">
        <v>467</v>
      </c>
      <c r="F120" s="8" t="s">
        <v>457</v>
      </c>
      <c r="G120" s="8">
        <v>500</v>
      </c>
    </row>
    <row r="121" spans="1:7" x14ac:dyDescent="0.15">
      <c r="A121" s="8" t="s">
        <v>468</v>
      </c>
      <c r="B121" s="8" t="s">
        <v>39</v>
      </c>
      <c r="C121" s="8" t="str">
        <f t="shared" si="1"/>
        <v>hct116</v>
      </c>
      <c r="D121" s="8" t="s">
        <v>468</v>
      </c>
      <c r="E121" s="8" t="s">
        <v>469</v>
      </c>
      <c r="F121" s="8" t="s">
        <v>457</v>
      </c>
      <c r="G121" s="8">
        <v>500</v>
      </c>
    </row>
    <row r="122" spans="1:7" x14ac:dyDescent="0.15">
      <c r="A122" s="8" t="s">
        <v>470</v>
      </c>
      <c r="B122" s="8" t="s">
        <v>39</v>
      </c>
      <c r="C122" s="8" t="str">
        <f t="shared" si="1"/>
        <v>hct15</v>
      </c>
      <c r="D122" s="8" t="s">
        <v>470</v>
      </c>
      <c r="E122" s="8" t="s">
        <v>471</v>
      </c>
      <c r="F122" s="8" t="s">
        <v>457</v>
      </c>
      <c r="G122" s="8">
        <v>500</v>
      </c>
    </row>
    <row r="123" spans="1:7" x14ac:dyDescent="0.15">
      <c r="A123" s="8" t="s">
        <v>472</v>
      </c>
      <c r="B123" s="8" t="s">
        <v>39</v>
      </c>
      <c r="C123" s="8" t="str">
        <f t="shared" si="1"/>
        <v>hek293</v>
      </c>
      <c r="D123" s="8" t="s">
        <v>472</v>
      </c>
      <c r="E123" s="8" t="s">
        <v>473</v>
      </c>
      <c r="F123" s="8" t="s">
        <v>474</v>
      </c>
      <c r="G123" s="8">
        <v>500</v>
      </c>
    </row>
    <row r="124" spans="1:7" x14ac:dyDescent="0.15">
      <c r="A124" s="8" t="s">
        <v>475</v>
      </c>
      <c r="B124" s="8" t="s">
        <v>39</v>
      </c>
      <c r="C124" s="8" t="str">
        <f t="shared" si="1"/>
        <v>hek293t</v>
      </c>
      <c r="D124" s="8" t="s">
        <v>475</v>
      </c>
      <c r="E124" s="8" t="s">
        <v>476</v>
      </c>
      <c r="F124" s="8" t="s">
        <v>477</v>
      </c>
      <c r="G124" s="8">
        <v>500</v>
      </c>
    </row>
    <row r="125" spans="1:7" x14ac:dyDescent="0.15">
      <c r="A125" s="8" t="s">
        <v>478</v>
      </c>
      <c r="B125" s="8" t="s">
        <v>39</v>
      </c>
      <c r="C125" s="8" t="str">
        <f t="shared" si="1"/>
        <v>hela</v>
      </c>
      <c r="D125" s="8" t="s">
        <v>478</v>
      </c>
      <c r="E125" s="8" t="s">
        <v>479</v>
      </c>
      <c r="F125" s="8" t="s">
        <v>480</v>
      </c>
      <c r="G125" s="8">
        <v>500</v>
      </c>
    </row>
    <row r="126" spans="1:7" x14ac:dyDescent="0.15">
      <c r="A126" s="8" t="s">
        <v>3192</v>
      </c>
      <c r="B126" s="8" t="s">
        <v>39</v>
      </c>
      <c r="C126" s="8" t="str">
        <f t="shared" si="1"/>
        <v>trexflip</v>
      </c>
      <c r="D126" s="8" t="s">
        <v>3193</v>
      </c>
      <c r="E126" s="8" t="s">
        <v>3194</v>
      </c>
      <c r="F126" s="8" t="s">
        <v>3195</v>
      </c>
      <c r="G126" s="8">
        <v>500</v>
      </c>
    </row>
    <row r="127" spans="1:7" x14ac:dyDescent="0.15">
      <c r="A127" s="8" t="s">
        <v>481</v>
      </c>
      <c r="B127" s="8" t="s">
        <v>39</v>
      </c>
      <c r="C127" s="8" t="str">
        <f t="shared" si="1"/>
        <v>hl60</v>
      </c>
      <c r="D127" s="8" t="s">
        <v>481</v>
      </c>
      <c r="E127" s="8" t="s">
        <v>482</v>
      </c>
      <c r="F127" s="8" t="s">
        <v>460</v>
      </c>
      <c r="G127" s="8">
        <v>500</v>
      </c>
    </row>
    <row r="128" spans="1:7" x14ac:dyDescent="0.15">
      <c r="A128" s="8" t="s">
        <v>483</v>
      </c>
      <c r="B128" s="8" t="s">
        <v>39</v>
      </c>
      <c r="C128" s="8" t="str">
        <f t="shared" si="1"/>
        <v>hop62</v>
      </c>
      <c r="D128" s="8" t="s">
        <v>483</v>
      </c>
      <c r="E128" s="8" t="s">
        <v>484</v>
      </c>
      <c r="F128" s="8" t="s">
        <v>439</v>
      </c>
      <c r="G128" s="8">
        <v>500</v>
      </c>
    </row>
    <row r="129" spans="1:7" x14ac:dyDescent="0.15">
      <c r="A129" s="8" t="s">
        <v>485</v>
      </c>
      <c r="B129" s="8" t="s">
        <v>39</v>
      </c>
      <c r="C129" s="8" t="str">
        <f t="shared" si="1"/>
        <v>hop92</v>
      </c>
      <c r="D129" s="8" t="s">
        <v>485</v>
      </c>
      <c r="E129" s="8" t="s">
        <v>486</v>
      </c>
      <c r="F129" s="8" t="s">
        <v>439</v>
      </c>
      <c r="G129" s="8">
        <v>500</v>
      </c>
    </row>
    <row r="130" spans="1:7" x14ac:dyDescent="0.15">
      <c r="A130" s="8" t="s">
        <v>487</v>
      </c>
      <c r="B130" s="8" t="s">
        <v>39</v>
      </c>
      <c r="C130" s="8" t="str">
        <f t="shared" si="1"/>
        <v>hs578t</v>
      </c>
      <c r="D130" s="8" t="s">
        <v>487</v>
      </c>
      <c r="E130" s="8" t="s">
        <v>488</v>
      </c>
      <c r="F130" s="8" t="s">
        <v>449</v>
      </c>
      <c r="G130" s="8">
        <v>500</v>
      </c>
    </row>
    <row r="131" spans="1:7" x14ac:dyDescent="0.15">
      <c r="A131" s="8" t="s">
        <v>489</v>
      </c>
      <c r="B131" s="8" t="s">
        <v>39</v>
      </c>
      <c r="C131" s="8" t="str">
        <f t="shared" si="1"/>
        <v>ht29</v>
      </c>
      <c r="D131" s="8" t="s">
        <v>489</v>
      </c>
      <c r="E131" s="8" t="s">
        <v>490</v>
      </c>
      <c r="F131" s="8" t="s">
        <v>457</v>
      </c>
      <c r="G131" s="8">
        <v>500</v>
      </c>
    </row>
    <row r="132" spans="1:7" x14ac:dyDescent="0.15">
      <c r="A132" s="8" t="s">
        <v>491</v>
      </c>
      <c r="B132" s="8" t="s">
        <v>39</v>
      </c>
      <c r="C132" s="8" t="str">
        <f t="shared" ref="C132:C196" si="2">A132</f>
        <v>igrov1</v>
      </c>
      <c r="D132" s="8" t="s">
        <v>491</v>
      </c>
      <c r="E132" s="8" t="s">
        <v>492</v>
      </c>
      <c r="F132" s="8" t="s">
        <v>493</v>
      </c>
      <c r="G132" s="8">
        <v>500</v>
      </c>
    </row>
    <row r="133" spans="1:7" x14ac:dyDescent="0.15">
      <c r="A133" s="8" t="s">
        <v>494</v>
      </c>
      <c r="B133" s="8" t="s">
        <v>39</v>
      </c>
      <c r="C133" s="8" t="str">
        <f t="shared" si="2"/>
        <v>immmef</v>
      </c>
      <c r="D133" s="8" t="s">
        <v>494</v>
      </c>
      <c r="E133" s="8" t="s">
        <v>495</v>
      </c>
      <c r="F133" s="8" t="s">
        <v>496</v>
      </c>
      <c r="G133" s="8">
        <v>500</v>
      </c>
    </row>
    <row r="134" spans="1:7" x14ac:dyDescent="0.15">
      <c r="A134" s="8" t="s">
        <v>497</v>
      </c>
      <c r="B134" s="8" t="s">
        <v>39</v>
      </c>
      <c r="C134" s="8" t="str">
        <f t="shared" si="2"/>
        <v>jeko1</v>
      </c>
      <c r="D134" s="8" t="s">
        <v>497</v>
      </c>
      <c r="E134" s="8" t="s">
        <v>498</v>
      </c>
      <c r="F134" s="8" t="s">
        <v>499</v>
      </c>
      <c r="G134" s="8">
        <v>500</v>
      </c>
    </row>
    <row r="135" spans="1:7" x14ac:dyDescent="0.15">
      <c r="A135" s="8" t="s">
        <v>500</v>
      </c>
      <c r="B135" s="8" t="s">
        <v>39</v>
      </c>
      <c r="C135" s="8" t="str">
        <f t="shared" si="2"/>
        <v>jurkat</v>
      </c>
      <c r="D135" s="8" t="s">
        <v>500</v>
      </c>
      <c r="E135" s="8" t="s">
        <v>501</v>
      </c>
      <c r="F135" s="8" t="s">
        <v>502</v>
      </c>
      <c r="G135" s="8">
        <v>500</v>
      </c>
    </row>
    <row r="136" spans="1:7" x14ac:dyDescent="0.15">
      <c r="A136" s="8" t="s">
        <v>503</v>
      </c>
      <c r="B136" s="8" t="s">
        <v>39</v>
      </c>
      <c r="C136" s="8" t="str">
        <f t="shared" si="2"/>
        <v>jvm13</v>
      </c>
      <c r="D136" s="8" t="s">
        <v>503</v>
      </c>
      <c r="E136" s="8" t="s">
        <v>504</v>
      </c>
      <c r="F136" s="8" t="s">
        <v>499</v>
      </c>
      <c r="G136" s="8">
        <v>500</v>
      </c>
    </row>
    <row r="137" spans="1:7" x14ac:dyDescent="0.15">
      <c r="A137" s="8" t="s">
        <v>505</v>
      </c>
      <c r="B137" s="8" t="s">
        <v>39</v>
      </c>
      <c r="C137" s="8" t="str">
        <f t="shared" si="2"/>
        <v>jvm2</v>
      </c>
      <c r="D137" s="8" t="s">
        <v>505</v>
      </c>
      <c r="E137" s="8" t="s">
        <v>506</v>
      </c>
      <c r="F137" s="8" t="s">
        <v>499</v>
      </c>
      <c r="G137" s="8">
        <v>500</v>
      </c>
    </row>
    <row r="138" spans="1:7" x14ac:dyDescent="0.15">
      <c r="A138" s="8" t="s">
        <v>507</v>
      </c>
      <c r="B138" s="8" t="s">
        <v>39</v>
      </c>
      <c r="C138" s="8" t="str">
        <f t="shared" si="2"/>
        <v>k562</v>
      </c>
      <c r="D138" s="8" t="s">
        <v>507</v>
      </c>
      <c r="E138" s="8" t="s">
        <v>508</v>
      </c>
      <c r="F138" s="8" t="s">
        <v>460</v>
      </c>
      <c r="G138" s="8">
        <v>500</v>
      </c>
    </row>
    <row r="139" spans="1:7" x14ac:dyDescent="0.15">
      <c r="A139" s="8" t="s">
        <v>509</v>
      </c>
      <c r="B139" s="8" t="s">
        <v>39</v>
      </c>
      <c r="C139" s="8" t="str">
        <f t="shared" si="2"/>
        <v>km12</v>
      </c>
      <c r="D139" s="8" t="s">
        <v>509</v>
      </c>
      <c r="E139" s="8" t="s">
        <v>510</v>
      </c>
      <c r="F139" s="8" t="s">
        <v>457</v>
      </c>
      <c r="G139" s="8">
        <v>500</v>
      </c>
    </row>
    <row r="140" spans="1:7" x14ac:dyDescent="0.15">
      <c r="A140" s="8" t="s">
        <v>511</v>
      </c>
      <c r="B140" s="8" t="s">
        <v>39</v>
      </c>
      <c r="C140" s="8" t="str">
        <f t="shared" si="2"/>
        <v>lox_imvi</v>
      </c>
      <c r="D140" s="8" t="s">
        <v>511</v>
      </c>
      <c r="E140" s="8" t="s">
        <v>512</v>
      </c>
      <c r="F140" s="8" t="s">
        <v>513</v>
      </c>
      <c r="G140" s="8">
        <v>500</v>
      </c>
    </row>
    <row r="141" spans="1:7" x14ac:dyDescent="0.15">
      <c r="A141" s="8" t="s">
        <v>514</v>
      </c>
      <c r="B141" s="8" t="s">
        <v>39</v>
      </c>
      <c r="C141" s="8" t="str">
        <f t="shared" si="2"/>
        <v>m14</v>
      </c>
      <c r="D141" s="8" t="s">
        <v>514</v>
      </c>
      <c r="E141" s="8" t="s">
        <v>515</v>
      </c>
      <c r="F141" s="8" t="s">
        <v>513</v>
      </c>
      <c r="G141" s="8">
        <v>500</v>
      </c>
    </row>
    <row r="142" spans="1:7" x14ac:dyDescent="0.15">
      <c r="A142" s="8" t="s">
        <v>516</v>
      </c>
      <c r="B142" s="8" t="s">
        <v>39</v>
      </c>
      <c r="C142" s="8" t="str">
        <f t="shared" si="2"/>
        <v>malme3m</v>
      </c>
      <c r="D142" s="8" t="s">
        <v>516</v>
      </c>
      <c r="E142" s="8" t="s">
        <v>517</v>
      </c>
      <c r="F142" s="8" t="s">
        <v>513</v>
      </c>
      <c r="G142" s="8">
        <v>500</v>
      </c>
    </row>
    <row r="143" spans="1:7" x14ac:dyDescent="0.15">
      <c r="A143" s="8" t="s">
        <v>518</v>
      </c>
      <c r="B143" s="8" t="s">
        <v>39</v>
      </c>
      <c r="C143" s="8" t="str">
        <f t="shared" si="2"/>
        <v>maver1</v>
      </c>
      <c r="D143" s="8" t="s">
        <v>518</v>
      </c>
      <c r="E143" s="8" t="s">
        <v>519</v>
      </c>
      <c r="F143" s="8" t="s">
        <v>499</v>
      </c>
      <c r="G143" s="8">
        <v>500</v>
      </c>
    </row>
    <row r="144" spans="1:7" x14ac:dyDescent="0.15">
      <c r="A144" s="8" t="s">
        <v>520</v>
      </c>
      <c r="B144" s="8" t="s">
        <v>39</v>
      </c>
      <c r="C144" s="8" t="str">
        <f t="shared" si="2"/>
        <v>mcf7</v>
      </c>
      <c r="D144" s="8" t="s">
        <v>520</v>
      </c>
      <c r="E144" s="8" t="s">
        <v>521</v>
      </c>
      <c r="F144" s="8" t="s">
        <v>449</v>
      </c>
      <c r="G144" s="8">
        <v>500</v>
      </c>
    </row>
    <row r="145" spans="1:7" x14ac:dyDescent="0.15">
      <c r="A145" s="8" t="s">
        <v>522</v>
      </c>
      <c r="B145" s="8" t="s">
        <v>39</v>
      </c>
      <c r="C145" s="8" t="str">
        <f t="shared" si="2"/>
        <v>mdamb231</v>
      </c>
      <c r="D145" s="8" t="s">
        <v>522</v>
      </c>
      <c r="E145" s="8" t="s">
        <v>523</v>
      </c>
      <c r="F145" s="8" t="s">
        <v>449</v>
      </c>
      <c r="G145" s="8">
        <v>500</v>
      </c>
    </row>
    <row r="146" spans="1:7" x14ac:dyDescent="0.15">
      <c r="A146" s="8" t="s">
        <v>524</v>
      </c>
      <c r="B146" s="8" t="s">
        <v>39</v>
      </c>
      <c r="C146" s="8" t="str">
        <f t="shared" si="2"/>
        <v>mdamb435</v>
      </c>
      <c r="D146" s="8" t="s">
        <v>524</v>
      </c>
      <c r="E146" s="8" t="s">
        <v>525</v>
      </c>
      <c r="F146" s="8" t="s">
        <v>513</v>
      </c>
      <c r="G146" s="8">
        <v>500</v>
      </c>
    </row>
    <row r="147" spans="1:7" x14ac:dyDescent="0.15">
      <c r="A147" s="8" t="s">
        <v>526</v>
      </c>
      <c r="B147" s="8" t="s">
        <v>39</v>
      </c>
      <c r="C147" s="8" t="str">
        <f t="shared" si="2"/>
        <v>mdamb468</v>
      </c>
      <c r="D147" s="8" t="s">
        <v>526</v>
      </c>
      <c r="E147" s="8" t="s">
        <v>527</v>
      </c>
      <c r="F147" s="8" t="s">
        <v>449</v>
      </c>
      <c r="G147" s="8">
        <v>500</v>
      </c>
    </row>
    <row r="148" spans="1:7" x14ac:dyDescent="0.15">
      <c r="A148" s="8" t="s">
        <v>528</v>
      </c>
      <c r="B148" s="8" t="s">
        <v>39</v>
      </c>
      <c r="C148" s="8" t="str">
        <f t="shared" si="2"/>
        <v>mef</v>
      </c>
      <c r="D148" s="8" t="s">
        <v>528</v>
      </c>
      <c r="E148" s="8" t="s">
        <v>529</v>
      </c>
      <c r="F148" s="8" t="s">
        <v>530</v>
      </c>
      <c r="G148" s="8">
        <v>500</v>
      </c>
    </row>
    <row r="149" spans="1:7" x14ac:dyDescent="0.15">
      <c r="A149" s="8" t="s">
        <v>531</v>
      </c>
      <c r="B149" s="8" t="s">
        <v>39</v>
      </c>
      <c r="C149" s="8" t="str">
        <f t="shared" si="2"/>
        <v>mino</v>
      </c>
      <c r="D149" s="8" t="s">
        <v>531</v>
      </c>
      <c r="E149" s="8" t="s">
        <v>532</v>
      </c>
      <c r="F149" s="8" t="s">
        <v>499</v>
      </c>
      <c r="G149" s="8">
        <v>500</v>
      </c>
    </row>
    <row r="150" spans="1:7" x14ac:dyDescent="0.15">
      <c r="A150" s="8" t="s">
        <v>533</v>
      </c>
      <c r="B150" s="8" t="s">
        <v>39</v>
      </c>
      <c r="C150" s="8" t="str">
        <f t="shared" si="2"/>
        <v>molt4</v>
      </c>
      <c r="D150" s="8" t="s">
        <v>533</v>
      </c>
      <c r="E150" s="8" t="s">
        <v>534</v>
      </c>
      <c r="F150" s="8" t="s">
        <v>460</v>
      </c>
      <c r="G150" s="8">
        <v>500</v>
      </c>
    </row>
    <row r="151" spans="1:7" x14ac:dyDescent="0.15">
      <c r="A151" s="8" t="s">
        <v>535</v>
      </c>
      <c r="B151" s="8" t="s">
        <v>39</v>
      </c>
      <c r="C151" s="8" t="str">
        <f t="shared" si="2"/>
        <v>nceb1</v>
      </c>
      <c r="D151" s="8" t="s">
        <v>535</v>
      </c>
      <c r="E151" s="8" t="s">
        <v>536</v>
      </c>
      <c r="F151" s="8" t="s">
        <v>499</v>
      </c>
      <c r="G151" s="8">
        <v>500</v>
      </c>
    </row>
    <row r="152" spans="1:7" x14ac:dyDescent="0.15">
      <c r="A152" s="8" t="s">
        <v>537</v>
      </c>
      <c r="B152" s="8" t="s">
        <v>39</v>
      </c>
      <c r="C152" s="8" t="str">
        <f t="shared" si="2"/>
        <v>nci_adrres</v>
      </c>
      <c r="D152" s="8" t="s">
        <v>538</v>
      </c>
      <c r="E152" s="8" t="s">
        <v>539</v>
      </c>
      <c r="F152" s="8" t="s">
        <v>493</v>
      </c>
      <c r="G152" s="8">
        <v>500</v>
      </c>
    </row>
    <row r="153" spans="1:7" x14ac:dyDescent="0.15">
      <c r="A153" s="8" t="s">
        <v>540</v>
      </c>
      <c r="B153" s="8" t="s">
        <v>39</v>
      </c>
      <c r="C153" s="8" t="str">
        <f t="shared" si="2"/>
        <v>nci_h226</v>
      </c>
      <c r="D153" s="8" t="s">
        <v>541</v>
      </c>
      <c r="E153" s="8" t="s">
        <v>542</v>
      </c>
      <c r="F153" s="8" t="s">
        <v>439</v>
      </c>
      <c r="G153" s="8">
        <v>500</v>
      </c>
    </row>
    <row r="154" spans="1:7" x14ac:dyDescent="0.15">
      <c r="A154" s="8" t="s">
        <v>543</v>
      </c>
      <c r="B154" s="8" t="s">
        <v>39</v>
      </c>
      <c r="C154" s="8" t="str">
        <f t="shared" si="2"/>
        <v>nci_h23</v>
      </c>
      <c r="D154" s="8" t="s">
        <v>544</v>
      </c>
      <c r="E154" s="8" t="s">
        <v>545</v>
      </c>
      <c r="F154" s="8" t="s">
        <v>439</v>
      </c>
      <c r="G154" s="8">
        <v>500</v>
      </c>
    </row>
    <row r="155" spans="1:7" x14ac:dyDescent="0.15">
      <c r="A155" s="8" t="s">
        <v>546</v>
      </c>
      <c r="B155" s="8" t="s">
        <v>39</v>
      </c>
      <c r="C155" s="8" t="str">
        <f t="shared" si="2"/>
        <v>nci_h322m</v>
      </c>
      <c r="D155" s="8" t="s">
        <v>547</v>
      </c>
      <c r="E155" s="8" t="s">
        <v>548</v>
      </c>
      <c r="F155" s="8" t="s">
        <v>439</v>
      </c>
      <c r="G155" s="8">
        <v>500</v>
      </c>
    </row>
    <row r="156" spans="1:7" x14ac:dyDescent="0.15">
      <c r="A156" s="8" t="s">
        <v>549</v>
      </c>
      <c r="B156" s="8" t="s">
        <v>39</v>
      </c>
      <c r="C156" s="8" t="str">
        <f t="shared" si="2"/>
        <v>nci_h460</v>
      </c>
      <c r="D156" s="8" t="s">
        <v>550</v>
      </c>
      <c r="E156" s="8" t="s">
        <v>551</v>
      </c>
      <c r="F156" s="8" t="s">
        <v>439</v>
      </c>
      <c r="G156" s="8">
        <v>500</v>
      </c>
    </row>
    <row r="157" spans="1:7" x14ac:dyDescent="0.15">
      <c r="A157" s="8" t="s">
        <v>552</v>
      </c>
      <c r="B157" s="8" t="s">
        <v>39</v>
      </c>
      <c r="C157" s="8" t="str">
        <f t="shared" si="2"/>
        <v>nci_h522</v>
      </c>
      <c r="D157" s="8" t="s">
        <v>553</v>
      </c>
      <c r="E157" s="8" t="s">
        <v>554</v>
      </c>
      <c r="F157" s="8" t="s">
        <v>439</v>
      </c>
      <c r="G157" s="8">
        <v>500</v>
      </c>
    </row>
    <row r="158" spans="1:7" x14ac:dyDescent="0.15">
      <c r="A158" s="8" t="s">
        <v>555</v>
      </c>
      <c r="B158" s="8" t="s">
        <v>39</v>
      </c>
      <c r="C158" s="8" t="str">
        <f t="shared" si="2"/>
        <v>ovcar3</v>
      </c>
      <c r="D158" s="8" t="s">
        <v>555</v>
      </c>
      <c r="E158" s="8" t="s">
        <v>556</v>
      </c>
      <c r="F158" s="8" t="s">
        <v>493</v>
      </c>
      <c r="G158" s="8">
        <v>500</v>
      </c>
    </row>
    <row r="159" spans="1:7" x14ac:dyDescent="0.15">
      <c r="A159" s="8" t="s">
        <v>557</v>
      </c>
      <c r="B159" s="8" t="s">
        <v>39</v>
      </c>
      <c r="C159" s="8" t="str">
        <f t="shared" si="2"/>
        <v>ovcar4</v>
      </c>
      <c r="D159" s="8" t="s">
        <v>557</v>
      </c>
      <c r="E159" s="8" t="s">
        <v>558</v>
      </c>
      <c r="F159" s="8" t="s">
        <v>493</v>
      </c>
      <c r="G159" s="8">
        <v>500</v>
      </c>
    </row>
    <row r="160" spans="1:7" x14ac:dyDescent="0.15">
      <c r="A160" s="8" t="s">
        <v>559</v>
      </c>
      <c r="B160" s="8" t="s">
        <v>39</v>
      </c>
      <c r="C160" s="8" t="str">
        <f t="shared" si="2"/>
        <v>ovcar5</v>
      </c>
      <c r="D160" s="8" t="s">
        <v>559</v>
      </c>
      <c r="E160" s="8" t="s">
        <v>560</v>
      </c>
      <c r="F160" s="8" t="s">
        <v>493</v>
      </c>
      <c r="G160" s="8">
        <v>500</v>
      </c>
    </row>
    <row r="161" spans="1:7" x14ac:dyDescent="0.15">
      <c r="A161" s="8" t="s">
        <v>561</v>
      </c>
      <c r="B161" s="8" t="s">
        <v>39</v>
      </c>
      <c r="C161" s="8" t="str">
        <f t="shared" si="2"/>
        <v>ovcar8</v>
      </c>
      <c r="D161" s="8" t="s">
        <v>561</v>
      </c>
      <c r="E161" s="8" t="s">
        <v>562</v>
      </c>
      <c r="F161" s="8" t="s">
        <v>493</v>
      </c>
      <c r="G161" s="8">
        <v>500</v>
      </c>
    </row>
    <row r="162" spans="1:7" x14ac:dyDescent="0.15">
      <c r="A162" s="8" t="s">
        <v>563</v>
      </c>
      <c r="B162" s="8" t="s">
        <v>39</v>
      </c>
      <c r="C162" s="8" t="str">
        <f t="shared" si="2"/>
        <v>p388</v>
      </c>
      <c r="D162" s="8" t="s">
        <v>563</v>
      </c>
      <c r="E162" s="8" t="s">
        <v>564</v>
      </c>
      <c r="F162" s="8" t="s">
        <v>565</v>
      </c>
      <c r="G162" s="8">
        <v>500</v>
      </c>
    </row>
    <row r="163" spans="1:7" x14ac:dyDescent="0.15">
      <c r="A163" s="8" t="s">
        <v>566</v>
      </c>
      <c r="B163" s="8" t="s">
        <v>39</v>
      </c>
      <c r="C163" s="8" t="str">
        <f t="shared" si="2"/>
        <v>pc3</v>
      </c>
      <c r="D163" s="8" t="s">
        <v>566</v>
      </c>
      <c r="E163" s="8" t="s">
        <v>567</v>
      </c>
      <c r="F163" s="8" t="s">
        <v>463</v>
      </c>
      <c r="G163" s="8">
        <v>500</v>
      </c>
    </row>
    <row r="164" spans="1:7" x14ac:dyDescent="0.15">
      <c r="A164" s="8" t="s">
        <v>568</v>
      </c>
      <c r="B164" s="8" t="s">
        <v>39</v>
      </c>
      <c r="C164" s="8" t="str">
        <f t="shared" si="2"/>
        <v>rec1</v>
      </c>
      <c r="D164" s="8" t="s">
        <v>568</v>
      </c>
      <c r="E164" s="8" t="s">
        <v>569</v>
      </c>
      <c r="F164" s="8" t="s">
        <v>499</v>
      </c>
      <c r="G164" s="8">
        <v>500</v>
      </c>
    </row>
    <row r="165" spans="1:7" x14ac:dyDescent="0.15">
      <c r="A165" s="8" t="s">
        <v>570</v>
      </c>
      <c r="B165" s="8" t="s">
        <v>39</v>
      </c>
      <c r="C165" s="8" t="str">
        <f t="shared" si="2"/>
        <v>rpmi8226</v>
      </c>
      <c r="D165" s="8" t="s">
        <v>570</v>
      </c>
      <c r="E165" s="8" t="s">
        <v>571</v>
      </c>
      <c r="F165" s="8" t="s">
        <v>460</v>
      </c>
      <c r="G165" s="8">
        <v>500</v>
      </c>
    </row>
    <row r="166" spans="1:7" x14ac:dyDescent="0.15">
      <c r="A166" s="8" t="s">
        <v>572</v>
      </c>
      <c r="B166" s="8" t="s">
        <v>39</v>
      </c>
      <c r="C166" s="8" t="str">
        <f t="shared" si="2"/>
        <v>rxf393</v>
      </c>
      <c r="D166" s="8" t="s">
        <v>572</v>
      </c>
      <c r="E166" s="8" t="s">
        <v>573</v>
      </c>
      <c r="F166" s="8" t="s">
        <v>434</v>
      </c>
      <c r="G166" s="8">
        <v>500</v>
      </c>
    </row>
    <row r="167" spans="1:7" x14ac:dyDescent="0.15">
      <c r="A167" s="8" t="s">
        <v>574</v>
      </c>
      <c r="B167" s="8" t="s">
        <v>39</v>
      </c>
      <c r="C167" s="8" t="str">
        <f t="shared" si="2"/>
        <v>sf268</v>
      </c>
      <c r="D167" s="8" t="s">
        <v>574</v>
      </c>
      <c r="E167" s="8" t="s">
        <v>575</v>
      </c>
      <c r="F167" s="8" t="s">
        <v>576</v>
      </c>
      <c r="G167" s="8">
        <v>500</v>
      </c>
    </row>
    <row r="168" spans="1:7" x14ac:dyDescent="0.15">
      <c r="A168" s="8" t="s">
        <v>577</v>
      </c>
      <c r="B168" s="8" t="s">
        <v>39</v>
      </c>
      <c r="C168" s="8" t="str">
        <f t="shared" si="2"/>
        <v>sf295</v>
      </c>
      <c r="D168" s="8" t="s">
        <v>577</v>
      </c>
      <c r="E168" s="8" t="s">
        <v>578</v>
      </c>
      <c r="F168" s="8" t="s">
        <v>576</v>
      </c>
      <c r="G168" s="8">
        <v>500</v>
      </c>
    </row>
    <row r="169" spans="1:7" x14ac:dyDescent="0.15">
      <c r="A169" s="8" t="s">
        <v>579</v>
      </c>
      <c r="B169" s="8" t="s">
        <v>39</v>
      </c>
      <c r="C169" s="8" t="str">
        <f t="shared" si="2"/>
        <v>sf539</v>
      </c>
      <c r="D169" s="8" t="s">
        <v>579</v>
      </c>
      <c r="E169" s="8" t="s">
        <v>580</v>
      </c>
      <c r="F169" s="8" t="s">
        <v>576</v>
      </c>
      <c r="G169" s="8">
        <v>500</v>
      </c>
    </row>
    <row r="170" spans="1:7" x14ac:dyDescent="0.15">
      <c r="A170" s="8" t="s">
        <v>581</v>
      </c>
      <c r="B170" s="8" t="s">
        <v>39</v>
      </c>
      <c r="C170" s="8" t="str">
        <f t="shared" si="2"/>
        <v>skmel2</v>
      </c>
      <c r="D170" s="8" t="s">
        <v>581</v>
      </c>
      <c r="E170" s="8" t="s">
        <v>582</v>
      </c>
      <c r="F170" s="8" t="s">
        <v>513</v>
      </c>
      <c r="G170" s="8">
        <v>500</v>
      </c>
    </row>
    <row r="171" spans="1:7" x14ac:dyDescent="0.15">
      <c r="A171" s="8" t="s">
        <v>583</v>
      </c>
      <c r="B171" s="8" t="s">
        <v>39</v>
      </c>
      <c r="C171" s="8" t="str">
        <f t="shared" si="2"/>
        <v>skmel28</v>
      </c>
      <c r="D171" s="8" t="s">
        <v>583</v>
      </c>
      <c r="E171" s="8" t="s">
        <v>584</v>
      </c>
      <c r="F171" s="8" t="s">
        <v>513</v>
      </c>
      <c r="G171" s="8">
        <v>500</v>
      </c>
    </row>
    <row r="172" spans="1:7" x14ac:dyDescent="0.15">
      <c r="A172" s="8" t="s">
        <v>585</v>
      </c>
      <c r="B172" s="8" t="s">
        <v>39</v>
      </c>
      <c r="C172" s="8" t="str">
        <f t="shared" si="2"/>
        <v>skmel5</v>
      </c>
      <c r="D172" s="8" t="s">
        <v>585</v>
      </c>
      <c r="E172" s="8" t="s">
        <v>586</v>
      </c>
      <c r="F172" s="8" t="s">
        <v>513</v>
      </c>
      <c r="G172" s="8">
        <v>500</v>
      </c>
    </row>
    <row r="173" spans="1:7" x14ac:dyDescent="0.15">
      <c r="A173" s="8" t="s">
        <v>587</v>
      </c>
      <c r="B173" s="8" t="s">
        <v>39</v>
      </c>
      <c r="C173" s="8" t="str">
        <f t="shared" si="2"/>
        <v>skov3</v>
      </c>
      <c r="D173" s="8" t="s">
        <v>587</v>
      </c>
      <c r="E173" s="8" t="s">
        <v>588</v>
      </c>
      <c r="F173" s="8" t="s">
        <v>493</v>
      </c>
      <c r="G173" s="8">
        <v>500</v>
      </c>
    </row>
    <row r="174" spans="1:7" x14ac:dyDescent="0.15">
      <c r="A174" s="8" t="s">
        <v>589</v>
      </c>
      <c r="B174" s="8" t="s">
        <v>39</v>
      </c>
      <c r="C174" s="8" t="str">
        <f t="shared" si="2"/>
        <v>sn12c</v>
      </c>
      <c r="D174" s="8" t="s">
        <v>589</v>
      </c>
      <c r="E174" s="8" t="s">
        <v>590</v>
      </c>
      <c r="F174" s="8" t="s">
        <v>434</v>
      </c>
      <c r="G174" s="8">
        <v>500</v>
      </c>
    </row>
    <row r="175" spans="1:7" x14ac:dyDescent="0.15">
      <c r="A175" s="8" t="s">
        <v>591</v>
      </c>
      <c r="B175" s="8" t="s">
        <v>39</v>
      </c>
      <c r="C175" s="8" t="str">
        <f t="shared" si="2"/>
        <v>snb19</v>
      </c>
      <c r="D175" s="8" t="s">
        <v>591</v>
      </c>
      <c r="E175" s="8" t="s">
        <v>592</v>
      </c>
      <c r="F175" s="8" t="s">
        <v>576</v>
      </c>
      <c r="G175" s="8">
        <v>500</v>
      </c>
    </row>
    <row r="176" spans="1:7" x14ac:dyDescent="0.15">
      <c r="A176" s="8" t="s">
        <v>593</v>
      </c>
      <c r="B176" s="8" t="s">
        <v>39</v>
      </c>
      <c r="C176" s="8" t="str">
        <f t="shared" si="2"/>
        <v>snb75</v>
      </c>
      <c r="D176" s="8" t="s">
        <v>593</v>
      </c>
      <c r="E176" s="8" t="s">
        <v>594</v>
      </c>
      <c r="F176" s="8" t="s">
        <v>576</v>
      </c>
      <c r="G176" s="8">
        <v>500</v>
      </c>
    </row>
    <row r="177" spans="1:7" x14ac:dyDescent="0.15">
      <c r="A177" s="8" t="s">
        <v>595</v>
      </c>
      <c r="B177" s="8" t="s">
        <v>39</v>
      </c>
      <c r="C177" s="8" t="str">
        <f t="shared" si="2"/>
        <v>sr</v>
      </c>
      <c r="D177" s="8" t="s">
        <v>595</v>
      </c>
      <c r="E177" s="8" t="s">
        <v>596</v>
      </c>
      <c r="F177" s="8" t="s">
        <v>460</v>
      </c>
      <c r="G177" s="8">
        <v>500</v>
      </c>
    </row>
    <row r="178" spans="1:7" x14ac:dyDescent="0.15">
      <c r="A178" s="8" t="s">
        <v>597</v>
      </c>
      <c r="B178" s="8" t="s">
        <v>39</v>
      </c>
      <c r="C178" s="8" t="str">
        <f t="shared" si="2"/>
        <v>sw620</v>
      </c>
      <c r="D178" s="8" t="s">
        <v>597</v>
      </c>
      <c r="E178" s="8" t="s">
        <v>598</v>
      </c>
      <c r="F178" s="8" t="s">
        <v>457</v>
      </c>
      <c r="G178" s="8">
        <v>500</v>
      </c>
    </row>
    <row r="179" spans="1:7" x14ac:dyDescent="0.15">
      <c r="A179" s="8" t="s">
        <v>599</v>
      </c>
      <c r="B179" s="8" t="s">
        <v>39</v>
      </c>
      <c r="C179" s="8" t="str">
        <f t="shared" si="2"/>
        <v>t47d</v>
      </c>
      <c r="D179" s="8" t="s">
        <v>599</v>
      </c>
      <c r="E179" s="8" t="s">
        <v>600</v>
      </c>
      <c r="F179" s="8" t="s">
        <v>449</v>
      </c>
      <c r="G179" s="8">
        <v>500</v>
      </c>
    </row>
    <row r="180" spans="1:7" x14ac:dyDescent="0.15">
      <c r="A180" s="8" t="s">
        <v>601</v>
      </c>
      <c r="B180" s="8" t="s">
        <v>39</v>
      </c>
      <c r="C180" s="8" t="str">
        <f t="shared" si="2"/>
        <v>thp1</v>
      </c>
      <c r="D180" s="8" t="s">
        <v>601</v>
      </c>
      <c r="E180" s="8" t="s">
        <v>602</v>
      </c>
      <c r="F180" s="8" t="s">
        <v>603</v>
      </c>
      <c r="G180" s="8">
        <v>500</v>
      </c>
    </row>
    <row r="181" spans="1:7" x14ac:dyDescent="0.15">
      <c r="A181" s="8" t="s">
        <v>604</v>
      </c>
      <c r="B181" s="8" t="s">
        <v>39</v>
      </c>
      <c r="C181" s="8" t="str">
        <f t="shared" si="2"/>
        <v>tk10</v>
      </c>
      <c r="D181" s="8" t="s">
        <v>604</v>
      </c>
      <c r="E181" s="8" t="s">
        <v>605</v>
      </c>
      <c r="F181" s="8" t="s">
        <v>434</v>
      </c>
      <c r="G181" s="8">
        <v>500</v>
      </c>
    </row>
    <row r="182" spans="1:7" x14ac:dyDescent="0.15">
      <c r="A182" s="8" t="s">
        <v>606</v>
      </c>
      <c r="B182" s="8" t="s">
        <v>39</v>
      </c>
      <c r="C182" s="8" t="str">
        <f t="shared" si="2"/>
        <v>u251</v>
      </c>
      <c r="D182" s="8" t="s">
        <v>606</v>
      </c>
      <c r="E182" s="8" t="s">
        <v>607</v>
      </c>
      <c r="F182" s="8" t="s">
        <v>576</v>
      </c>
      <c r="G182" s="8">
        <v>500</v>
      </c>
    </row>
    <row r="183" spans="1:7" x14ac:dyDescent="0.15">
      <c r="A183" s="8" t="s">
        <v>608</v>
      </c>
      <c r="B183" s="8" t="s">
        <v>39</v>
      </c>
      <c r="C183" s="8" t="str">
        <f t="shared" si="2"/>
        <v>u937</v>
      </c>
      <c r="D183" s="8" t="s">
        <v>608</v>
      </c>
      <c r="E183" s="8" t="s">
        <v>609</v>
      </c>
      <c r="F183" s="8" t="s">
        <v>610</v>
      </c>
      <c r="G183" s="8">
        <v>500</v>
      </c>
    </row>
    <row r="184" spans="1:7" x14ac:dyDescent="0.15">
      <c r="A184" s="8" t="s">
        <v>611</v>
      </c>
      <c r="B184" s="8" t="s">
        <v>39</v>
      </c>
      <c r="C184" s="8" t="str">
        <f t="shared" si="2"/>
        <v>uacc257</v>
      </c>
      <c r="D184" s="8" t="s">
        <v>611</v>
      </c>
      <c r="E184" s="8" t="s">
        <v>612</v>
      </c>
      <c r="F184" s="8" t="s">
        <v>513</v>
      </c>
      <c r="G184" s="8">
        <v>500</v>
      </c>
    </row>
    <row r="185" spans="1:7" x14ac:dyDescent="0.15">
      <c r="A185" s="8" t="s">
        <v>613</v>
      </c>
      <c r="B185" s="8" t="s">
        <v>39</v>
      </c>
      <c r="C185" s="8" t="str">
        <f t="shared" si="2"/>
        <v>uacc62</v>
      </c>
      <c r="D185" s="8" t="s">
        <v>613</v>
      </c>
      <c r="E185" s="8" t="s">
        <v>614</v>
      </c>
      <c r="F185" s="8" t="s">
        <v>513</v>
      </c>
      <c r="G185" s="8">
        <v>500</v>
      </c>
    </row>
    <row r="186" spans="1:7" x14ac:dyDescent="0.15">
      <c r="A186" s="8" t="s">
        <v>615</v>
      </c>
      <c r="B186" s="8" t="s">
        <v>39</v>
      </c>
      <c r="C186" s="8" t="str">
        <f t="shared" si="2"/>
        <v>uo31</v>
      </c>
      <c r="D186" s="8" t="s">
        <v>615</v>
      </c>
      <c r="E186" s="8" t="s">
        <v>616</v>
      </c>
      <c r="F186" s="8" t="s">
        <v>434</v>
      </c>
      <c r="G186" s="8">
        <v>500</v>
      </c>
    </row>
    <row r="187" spans="1:7" x14ac:dyDescent="0.15">
      <c r="A187" s="8" t="s">
        <v>617</v>
      </c>
      <c r="B187" s="8" t="s">
        <v>39</v>
      </c>
      <c r="C187" s="8" t="str">
        <f t="shared" si="2"/>
        <v>z138</v>
      </c>
      <c r="D187" s="8" t="s">
        <v>617</v>
      </c>
      <c r="E187" s="8" t="s">
        <v>618</v>
      </c>
      <c r="F187" s="8" t="s">
        <v>499</v>
      </c>
      <c r="G187" s="8">
        <v>500</v>
      </c>
    </row>
    <row r="188" spans="1:7" x14ac:dyDescent="0.15">
      <c r="A188" s="8" t="s">
        <v>3173</v>
      </c>
      <c r="B188" s="8" t="s">
        <v>39</v>
      </c>
      <c r="C188" s="8" t="str">
        <f t="shared" si="2"/>
        <v>bv2</v>
      </c>
      <c r="D188" s="8" t="s">
        <v>3173</v>
      </c>
      <c r="E188" s="8" t="s">
        <v>3171</v>
      </c>
      <c r="F188" s="25" t="s">
        <v>3172</v>
      </c>
      <c r="G188" s="8">
        <v>500</v>
      </c>
    </row>
    <row r="189" spans="1:7" x14ac:dyDescent="0.15">
      <c r="A189" s="8" t="s">
        <v>619</v>
      </c>
      <c r="B189" s="8" t="s">
        <v>48</v>
      </c>
      <c r="C189" s="8" t="str">
        <f t="shared" si="2"/>
        <v>75um</v>
      </c>
      <c r="D189" s="9" t="s">
        <v>14</v>
      </c>
      <c r="E189" s="8">
        <v>75</v>
      </c>
      <c r="F189" s="8" t="s">
        <v>620</v>
      </c>
      <c r="G189" s="8">
        <v>500</v>
      </c>
    </row>
    <row r="190" spans="1:7" x14ac:dyDescent="0.15">
      <c r="A190" s="8" t="s">
        <v>621</v>
      </c>
      <c r="B190" s="8" t="s">
        <v>51</v>
      </c>
      <c r="C190" s="8" t="str">
        <f t="shared" si="2"/>
        <v>15cm</v>
      </c>
      <c r="D190" s="8" t="s">
        <v>621</v>
      </c>
      <c r="E190" s="8">
        <v>15</v>
      </c>
      <c r="F190" s="8" t="s">
        <v>622</v>
      </c>
      <c r="G190" s="8">
        <v>500</v>
      </c>
    </row>
    <row r="191" spans="1:7" x14ac:dyDescent="0.15">
      <c r="A191" s="8" t="s">
        <v>623</v>
      </c>
      <c r="B191" s="8" t="s">
        <v>51</v>
      </c>
      <c r="C191" s="8" t="str">
        <f t="shared" si="2"/>
        <v>30cm</v>
      </c>
      <c r="D191" s="8" t="s">
        <v>623</v>
      </c>
      <c r="E191" s="8">
        <v>30</v>
      </c>
      <c r="F191" s="8" t="s">
        <v>624</v>
      </c>
      <c r="G191" s="8">
        <v>500</v>
      </c>
    </row>
    <row r="192" spans="1:7" x14ac:dyDescent="0.15">
      <c r="A192" s="8" t="s">
        <v>625</v>
      </c>
      <c r="B192" s="8" t="s">
        <v>51</v>
      </c>
      <c r="C192" s="8" t="str">
        <f t="shared" si="2"/>
        <v>50cm</v>
      </c>
      <c r="D192" s="8" t="s">
        <v>625</v>
      </c>
      <c r="E192" s="8">
        <v>50</v>
      </c>
      <c r="F192" s="8" t="s">
        <v>626</v>
      </c>
      <c r="G192" s="8">
        <v>500</v>
      </c>
    </row>
    <row r="193" spans="1:7" x14ac:dyDescent="0.15">
      <c r="A193" s="8" t="s">
        <v>627</v>
      </c>
      <c r="B193" s="8" t="s">
        <v>51</v>
      </c>
      <c r="C193" s="8" t="str">
        <f t="shared" si="2"/>
        <v>5cm</v>
      </c>
      <c r="D193" s="8" t="s">
        <v>627</v>
      </c>
      <c r="E193" s="8">
        <v>5</v>
      </c>
      <c r="F193" s="8" t="s">
        <v>2999</v>
      </c>
      <c r="G193" s="8">
        <v>500</v>
      </c>
    </row>
    <row r="194" spans="1:7" x14ac:dyDescent="0.15">
      <c r="A194" s="8" t="s">
        <v>2998</v>
      </c>
      <c r="B194" s="8" t="s">
        <v>51</v>
      </c>
      <c r="C194" s="8" t="str">
        <f t="shared" si="2"/>
        <v>40cm</v>
      </c>
      <c r="D194" s="8">
        <v>40</v>
      </c>
      <c r="E194" s="8">
        <v>40</v>
      </c>
      <c r="F194" s="8" t="s">
        <v>3000</v>
      </c>
      <c r="G194" s="8">
        <v>500</v>
      </c>
    </row>
    <row r="195" spans="1:7" x14ac:dyDescent="0.15">
      <c r="A195" s="8" t="s">
        <v>3107</v>
      </c>
      <c r="B195" s="8" t="s">
        <v>51</v>
      </c>
      <c r="C195" s="8" t="str">
        <f t="shared" si="2"/>
        <v>60cm</v>
      </c>
      <c r="D195" s="8" t="s">
        <v>3107</v>
      </c>
      <c r="E195" s="8">
        <v>60</v>
      </c>
      <c r="F195" s="8" t="s">
        <v>3108</v>
      </c>
      <c r="G195" s="8">
        <v>500</v>
      </c>
    </row>
    <row r="196" spans="1:7" x14ac:dyDescent="0.15">
      <c r="A196" s="8" t="s">
        <v>628</v>
      </c>
      <c r="B196" s="8" t="s">
        <v>53</v>
      </c>
      <c r="C196" s="8" t="str">
        <f t="shared" si="2"/>
        <v>40c</v>
      </c>
      <c r="D196" s="9" t="s">
        <v>14</v>
      </c>
      <c r="E196" s="8">
        <v>40</v>
      </c>
      <c r="F196" s="9" t="s">
        <v>3002</v>
      </c>
      <c r="G196" s="8">
        <v>500</v>
      </c>
    </row>
    <row r="197" spans="1:7" x14ac:dyDescent="0.15">
      <c r="A197" s="8" t="s">
        <v>3001</v>
      </c>
      <c r="B197" s="8" t="s">
        <v>53</v>
      </c>
      <c r="C197" s="8" t="str">
        <f t="shared" ref="C197:C261" si="3">A197</f>
        <v>50c</v>
      </c>
      <c r="D197" s="9" t="s">
        <v>14</v>
      </c>
      <c r="E197" s="8">
        <v>50</v>
      </c>
      <c r="F197" s="9" t="s">
        <v>3003</v>
      </c>
      <c r="G197" s="8">
        <v>500</v>
      </c>
    </row>
    <row r="198" spans="1:7" x14ac:dyDescent="0.15">
      <c r="A198" s="8" t="s">
        <v>629</v>
      </c>
      <c r="B198" s="8" t="s">
        <v>53</v>
      </c>
      <c r="C198" s="8" t="str">
        <f t="shared" si="3"/>
        <v>55c</v>
      </c>
      <c r="D198" s="9" t="s">
        <v>14</v>
      </c>
      <c r="E198" s="8">
        <v>55</v>
      </c>
      <c r="F198" s="9" t="s">
        <v>3004</v>
      </c>
      <c r="G198" s="8">
        <v>500</v>
      </c>
    </row>
    <row r="199" spans="1:7" x14ac:dyDescent="0.15">
      <c r="A199" s="8" t="s">
        <v>630</v>
      </c>
      <c r="B199" s="8" t="s">
        <v>54</v>
      </c>
      <c r="C199" s="8" t="str">
        <f t="shared" si="3"/>
        <v>170nm</v>
      </c>
      <c r="D199" s="9" t="s">
        <v>14</v>
      </c>
      <c r="E199" s="8">
        <v>1.7</v>
      </c>
      <c r="F199" s="8" t="s">
        <v>631</v>
      </c>
      <c r="G199" s="8">
        <v>500</v>
      </c>
    </row>
    <row r="200" spans="1:7" x14ac:dyDescent="0.15">
      <c r="A200" s="8" t="s">
        <v>632</v>
      </c>
      <c r="B200" s="8" t="s">
        <v>54</v>
      </c>
      <c r="C200" s="8" t="str">
        <f t="shared" si="3"/>
        <v>270nm</v>
      </c>
      <c r="D200" s="9" t="s">
        <v>14</v>
      </c>
      <c r="E200" s="8">
        <v>2.7</v>
      </c>
      <c r="F200" s="8" t="s">
        <v>633</v>
      </c>
      <c r="G200" s="8">
        <v>500</v>
      </c>
    </row>
    <row r="201" spans="1:7" x14ac:dyDescent="0.15">
      <c r="A201" s="8" t="s">
        <v>634</v>
      </c>
      <c r="B201" s="8" t="s">
        <v>55</v>
      </c>
      <c r="C201" s="8" t="str">
        <f t="shared" si="3"/>
        <v>c18</v>
      </c>
      <c r="D201" s="9" t="s">
        <v>14</v>
      </c>
      <c r="E201" s="8" t="s">
        <v>635</v>
      </c>
      <c r="F201" s="8" t="s">
        <v>636</v>
      </c>
      <c r="G201" s="8">
        <v>500</v>
      </c>
    </row>
    <row r="202" spans="1:7" x14ac:dyDescent="0.15">
      <c r="A202" s="8" t="s">
        <v>637</v>
      </c>
      <c r="B202" s="8" t="s">
        <v>55</v>
      </c>
      <c r="C202" s="8" t="str">
        <f t="shared" si="3"/>
        <v>c8</v>
      </c>
      <c r="D202" s="9" t="s">
        <v>14</v>
      </c>
      <c r="E202" s="8" t="s">
        <v>638</v>
      </c>
      <c r="F202" s="8" t="s">
        <v>639</v>
      </c>
      <c r="G202" s="8">
        <v>500</v>
      </c>
    </row>
    <row r="203" spans="1:7" x14ac:dyDescent="0.15">
      <c r="A203" s="8" t="s">
        <v>640</v>
      </c>
      <c r="B203" s="8" t="s">
        <v>49</v>
      </c>
      <c r="C203" s="8" t="str">
        <f t="shared" si="3"/>
        <v>aurora</v>
      </c>
      <c r="D203" s="9" t="s">
        <v>14</v>
      </c>
      <c r="E203" s="8" t="s">
        <v>2775</v>
      </c>
      <c r="F203" s="8" t="s">
        <v>2776</v>
      </c>
      <c r="G203" s="8">
        <v>500</v>
      </c>
    </row>
    <row r="204" spans="1:7" x14ac:dyDescent="0.15">
      <c r="A204" s="8" t="s">
        <v>643</v>
      </c>
      <c r="B204" s="8" t="s">
        <v>49</v>
      </c>
      <c r="C204" s="8" t="str">
        <f t="shared" si="3"/>
        <v>easyspray</v>
      </c>
      <c r="D204" s="9" t="s">
        <v>14</v>
      </c>
      <c r="E204" s="8" t="s">
        <v>644</v>
      </c>
      <c r="F204" s="8" t="s">
        <v>645</v>
      </c>
      <c r="G204" s="8">
        <v>500</v>
      </c>
    </row>
    <row r="205" spans="1:7" x14ac:dyDescent="0.15">
      <c r="A205" s="8" t="s">
        <v>646</v>
      </c>
      <c r="B205" s="8" t="s">
        <v>49</v>
      </c>
      <c r="C205" s="8" t="str">
        <f t="shared" si="3"/>
        <v>inhouse</v>
      </c>
      <c r="D205" s="9" t="s">
        <v>14</v>
      </c>
      <c r="E205" s="8" t="s">
        <v>647</v>
      </c>
      <c r="F205" s="8" t="s">
        <v>648</v>
      </c>
      <c r="G205" s="8">
        <v>500</v>
      </c>
    </row>
    <row r="206" spans="1:7" x14ac:dyDescent="0.15">
      <c r="A206" s="8" t="s">
        <v>649</v>
      </c>
      <c r="B206" s="8" t="s">
        <v>49</v>
      </c>
      <c r="C206" s="8" t="str">
        <f t="shared" si="3"/>
        <v>upac_doubleviper</v>
      </c>
      <c r="D206" s="9" t="s">
        <v>14</v>
      </c>
      <c r="E206" s="8" t="s">
        <v>650</v>
      </c>
      <c r="F206" s="8" t="s">
        <v>651</v>
      </c>
      <c r="G206" s="8">
        <v>500</v>
      </c>
    </row>
    <row r="207" spans="1:7" x14ac:dyDescent="0.15">
      <c r="A207" s="8" t="s">
        <v>652</v>
      </c>
      <c r="B207" s="8" t="s">
        <v>49</v>
      </c>
      <c r="C207" s="8" t="str">
        <f t="shared" si="3"/>
        <v>upac_low_loadneo</v>
      </c>
      <c r="D207" s="9" t="s">
        <v>14</v>
      </c>
      <c r="E207" s="8" t="s">
        <v>653</v>
      </c>
      <c r="F207" s="8" t="s">
        <v>654</v>
      </c>
      <c r="G207" s="8">
        <v>500</v>
      </c>
    </row>
    <row r="208" spans="1:7" x14ac:dyDescent="0.15">
      <c r="A208" s="8" t="s">
        <v>655</v>
      </c>
      <c r="B208" s="8" t="s">
        <v>49</v>
      </c>
      <c r="C208" s="8" t="str">
        <f t="shared" si="3"/>
        <v>upac_neo</v>
      </c>
      <c r="D208" s="9" t="s">
        <v>14</v>
      </c>
      <c r="E208" s="8" t="s">
        <v>656</v>
      </c>
      <c r="F208" s="8" t="s">
        <v>657</v>
      </c>
      <c r="G208" s="8">
        <v>500</v>
      </c>
    </row>
    <row r="209" spans="1:7" x14ac:dyDescent="0.15">
      <c r="A209" s="8" t="s">
        <v>3047</v>
      </c>
      <c r="B209" s="8" t="s">
        <v>49</v>
      </c>
      <c r="C209" s="8" t="str">
        <f t="shared" si="3"/>
        <v>pepsep</v>
      </c>
      <c r="D209" s="9" t="s">
        <v>3047</v>
      </c>
      <c r="E209" s="8" t="s">
        <v>3048</v>
      </c>
      <c r="F209" s="8" t="s">
        <v>3049</v>
      </c>
      <c r="G209" s="8">
        <v>500</v>
      </c>
    </row>
    <row r="210" spans="1:7" x14ac:dyDescent="0.15">
      <c r="A210" s="8" t="s">
        <v>3050</v>
      </c>
      <c r="B210" s="8" t="s">
        <v>49</v>
      </c>
      <c r="C210" s="8" t="str">
        <f t="shared" si="3"/>
        <v>pepsepultra</v>
      </c>
      <c r="D210" s="9" t="s">
        <v>3047</v>
      </c>
      <c r="E210" s="8" t="s">
        <v>3051</v>
      </c>
      <c r="F210" s="8" t="s">
        <v>3059</v>
      </c>
      <c r="G210" s="8">
        <v>500</v>
      </c>
    </row>
    <row r="211" spans="1:7" x14ac:dyDescent="0.15">
      <c r="A211" s="8" t="s">
        <v>3052</v>
      </c>
      <c r="B211" s="8" t="s">
        <v>49</v>
      </c>
      <c r="C211" s="8" t="str">
        <f t="shared" si="3"/>
        <v>pepsepmax</v>
      </c>
      <c r="D211" s="9" t="s">
        <v>3047</v>
      </c>
      <c r="E211" s="8" t="s">
        <v>3053</v>
      </c>
      <c r="F211" s="8" t="s">
        <v>3058</v>
      </c>
      <c r="G211" s="8">
        <v>500</v>
      </c>
    </row>
    <row r="212" spans="1:7" x14ac:dyDescent="0.15">
      <c r="A212" s="8" t="s">
        <v>3054</v>
      </c>
      <c r="B212" s="8" t="s">
        <v>49</v>
      </c>
      <c r="C212" s="8" t="str">
        <f t="shared" si="3"/>
        <v>pepsepmaxht</v>
      </c>
      <c r="D212" s="9" t="s">
        <v>3055</v>
      </c>
      <c r="E212" s="8" t="s">
        <v>3056</v>
      </c>
      <c r="F212" s="8" t="s">
        <v>3057</v>
      </c>
      <c r="G212" s="8">
        <v>500</v>
      </c>
    </row>
    <row r="213" spans="1:7" x14ac:dyDescent="0.15">
      <c r="A213" s="8" t="s">
        <v>658</v>
      </c>
      <c r="B213" s="8" t="s">
        <v>58</v>
      </c>
      <c r="C213" s="8" t="str">
        <f t="shared" si="3"/>
        <v>5_fluorouracil</v>
      </c>
      <c r="D213" s="8" t="s">
        <v>659</v>
      </c>
      <c r="E213" s="8" t="s">
        <v>660</v>
      </c>
      <c r="F213" s="8" t="s">
        <v>661</v>
      </c>
      <c r="G213" s="8">
        <v>500</v>
      </c>
    </row>
    <row r="214" spans="1:7" x14ac:dyDescent="0.15">
      <c r="A214" s="8" t="s">
        <v>662</v>
      </c>
      <c r="B214" s="8" t="s">
        <v>58</v>
      </c>
      <c r="C214" s="8" t="str">
        <f t="shared" si="3"/>
        <v>anisomycin</v>
      </c>
      <c r="D214" s="8" t="s">
        <v>662</v>
      </c>
      <c r="E214" s="8" t="s">
        <v>663</v>
      </c>
      <c r="F214" s="8" t="s">
        <v>663</v>
      </c>
      <c r="G214" s="8">
        <v>500</v>
      </c>
    </row>
    <row r="215" spans="1:7" x14ac:dyDescent="0.15">
      <c r="A215" s="8" t="s">
        <v>664</v>
      </c>
      <c r="B215" s="8" t="s">
        <v>58</v>
      </c>
      <c r="C215" s="8" t="str">
        <f t="shared" si="3"/>
        <v>antimycin</v>
      </c>
      <c r="D215" s="8" t="s">
        <v>664</v>
      </c>
      <c r="E215" s="8" t="s">
        <v>665</v>
      </c>
      <c r="F215" s="8" t="s">
        <v>666</v>
      </c>
      <c r="G215" s="8">
        <v>500</v>
      </c>
    </row>
    <row r="216" spans="1:7" x14ac:dyDescent="0.15">
      <c r="A216" s="8" t="s">
        <v>667</v>
      </c>
      <c r="B216" s="8" t="s">
        <v>58</v>
      </c>
      <c r="C216" s="8" t="str">
        <f t="shared" si="3"/>
        <v>atp</v>
      </c>
      <c r="D216" s="8" t="s">
        <v>667</v>
      </c>
      <c r="E216" s="8" t="s">
        <v>668</v>
      </c>
      <c r="F216" s="8" t="s">
        <v>669</v>
      </c>
      <c r="G216" s="8">
        <v>500</v>
      </c>
    </row>
    <row r="217" spans="1:7" x14ac:dyDescent="0.15">
      <c r="A217" s="8" t="s">
        <v>670</v>
      </c>
      <c r="B217" s="8" t="s">
        <v>58</v>
      </c>
      <c r="C217" s="8" t="str">
        <f t="shared" si="3"/>
        <v>berzosertib</v>
      </c>
      <c r="D217" s="8" t="s">
        <v>670</v>
      </c>
      <c r="E217" s="8" t="s">
        <v>670</v>
      </c>
      <c r="F217" s="8" t="s">
        <v>671</v>
      </c>
      <c r="G217" s="8">
        <v>500</v>
      </c>
    </row>
    <row r="218" spans="1:7" x14ac:dyDescent="0.15">
      <c r="A218" s="8" t="s">
        <v>672</v>
      </c>
      <c r="B218" s="8" t="s">
        <v>58</v>
      </c>
      <c r="C218" s="8" t="str">
        <f t="shared" si="3"/>
        <v>bortezomib</v>
      </c>
      <c r="D218" s="8" t="s">
        <v>672</v>
      </c>
      <c r="E218" s="8" t="s">
        <v>672</v>
      </c>
      <c r="F218" s="8" t="s">
        <v>673</v>
      </c>
      <c r="G218" s="8">
        <v>500</v>
      </c>
    </row>
    <row r="219" spans="1:7" x14ac:dyDescent="0.15">
      <c r="A219" s="8" t="s">
        <v>674</v>
      </c>
      <c r="B219" s="8" t="s">
        <v>58</v>
      </c>
      <c r="C219" s="8" t="str">
        <f t="shared" si="3"/>
        <v>cccp</v>
      </c>
      <c r="D219" s="8" t="s">
        <v>674</v>
      </c>
      <c r="E219" s="8" t="s">
        <v>675</v>
      </c>
      <c r="F219" s="8" t="s">
        <v>676</v>
      </c>
      <c r="G219" s="8">
        <v>500</v>
      </c>
    </row>
    <row r="220" spans="1:7" x14ac:dyDescent="0.15">
      <c r="A220" s="8" t="s">
        <v>677</v>
      </c>
      <c r="B220" s="8" t="s">
        <v>58</v>
      </c>
      <c r="C220" s="8" t="str">
        <f t="shared" si="3"/>
        <v>cycloheximide</v>
      </c>
      <c r="D220" s="8" t="s">
        <v>677</v>
      </c>
      <c r="E220" s="8" t="s">
        <v>678</v>
      </c>
      <c r="F220" s="8" t="s">
        <v>678</v>
      </c>
      <c r="G220" s="8">
        <v>500</v>
      </c>
    </row>
    <row r="221" spans="1:7" x14ac:dyDescent="0.15">
      <c r="A221" s="8" t="s">
        <v>679</v>
      </c>
      <c r="B221" s="8" t="s">
        <v>58</v>
      </c>
      <c r="C221" s="8" t="str">
        <f t="shared" si="3"/>
        <v>dmso</v>
      </c>
      <c r="D221" s="8" t="s">
        <v>679</v>
      </c>
      <c r="E221" s="8" t="s">
        <v>680</v>
      </c>
      <c r="F221" s="8" t="s">
        <v>681</v>
      </c>
      <c r="G221" s="8">
        <v>500</v>
      </c>
    </row>
    <row r="222" spans="1:7" x14ac:dyDescent="0.15">
      <c r="A222" s="8" t="s">
        <v>682</v>
      </c>
      <c r="B222" s="8" t="s">
        <v>58</v>
      </c>
      <c r="C222" s="8" t="str">
        <f t="shared" si="3"/>
        <v>doxorubicin</v>
      </c>
      <c r="D222" s="8" t="s">
        <v>682</v>
      </c>
      <c r="E222" s="8" t="s">
        <v>683</v>
      </c>
      <c r="F222" s="8" t="s">
        <v>684</v>
      </c>
      <c r="G222" s="8">
        <v>500</v>
      </c>
    </row>
    <row r="223" spans="1:7" x14ac:dyDescent="0.15">
      <c r="A223" s="8" t="s">
        <v>685</v>
      </c>
      <c r="B223" s="8" t="s">
        <v>58</v>
      </c>
      <c r="C223" s="8" t="str">
        <f t="shared" si="3"/>
        <v>doxycycline</v>
      </c>
      <c r="D223" s="8" t="s">
        <v>685</v>
      </c>
      <c r="E223" s="8" t="s">
        <v>686</v>
      </c>
      <c r="F223" s="8" t="s">
        <v>687</v>
      </c>
      <c r="G223" s="8">
        <v>500</v>
      </c>
    </row>
    <row r="224" spans="1:7" x14ac:dyDescent="0.15">
      <c r="A224" s="8" t="s">
        <v>2787</v>
      </c>
      <c r="B224" s="8" t="s">
        <v>58</v>
      </c>
      <c r="C224" s="8" t="str">
        <f t="shared" si="3"/>
        <v>epoximicin</v>
      </c>
      <c r="D224" s="8" t="s">
        <v>2786</v>
      </c>
      <c r="E224" s="8" t="s">
        <v>2785</v>
      </c>
      <c r="F224" s="8" t="s">
        <v>2788</v>
      </c>
      <c r="G224" s="8">
        <v>500</v>
      </c>
    </row>
    <row r="225" spans="1:7" x14ac:dyDescent="0.15">
      <c r="A225" s="8" t="s">
        <v>688</v>
      </c>
      <c r="B225" s="8" t="s">
        <v>58</v>
      </c>
      <c r="C225" s="8" t="str">
        <f t="shared" si="3"/>
        <v>etoposide</v>
      </c>
      <c r="D225" s="8" t="s">
        <v>688</v>
      </c>
      <c r="E225" s="8" t="s">
        <v>689</v>
      </c>
      <c r="F225" s="8" t="s">
        <v>690</v>
      </c>
      <c r="G225" s="8">
        <v>500</v>
      </c>
    </row>
    <row r="226" spans="1:7" x14ac:dyDescent="0.15">
      <c r="A226" s="8" t="s">
        <v>691</v>
      </c>
      <c r="B226" s="8" t="s">
        <v>58</v>
      </c>
      <c r="C226" s="8" t="str">
        <f t="shared" si="3"/>
        <v>fccp</v>
      </c>
      <c r="D226" s="8" t="s">
        <v>691</v>
      </c>
      <c r="E226" s="8" t="s">
        <v>692</v>
      </c>
      <c r="F226" s="8" t="s">
        <v>693</v>
      </c>
      <c r="G226" s="8">
        <v>500</v>
      </c>
    </row>
    <row r="227" spans="1:7" x14ac:dyDescent="0.15">
      <c r="A227" s="8" t="s">
        <v>694</v>
      </c>
      <c r="B227" s="8" t="s">
        <v>58</v>
      </c>
      <c r="C227" s="8" t="str">
        <f t="shared" si="3"/>
        <v>h2o</v>
      </c>
      <c r="D227" s="8" t="s">
        <v>694</v>
      </c>
      <c r="E227" s="8" t="s">
        <v>695</v>
      </c>
      <c r="F227" s="8" t="s">
        <v>696</v>
      </c>
      <c r="G227" s="8">
        <v>500</v>
      </c>
    </row>
    <row r="228" spans="1:7" x14ac:dyDescent="0.15">
      <c r="A228" s="8" t="s">
        <v>2782</v>
      </c>
      <c r="B228" s="8" t="s">
        <v>58</v>
      </c>
      <c r="C228" s="8" t="str">
        <f t="shared" si="3"/>
        <v>h2o2</v>
      </c>
      <c r="D228" s="8" t="s">
        <v>2782</v>
      </c>
      <c r="E228" s="8" t="s">
        <v>2783</v>
      </c>
      <c r="F228" s="8" t="s">
        <v>2784</v>
      </c>
      <c r="G228" s="8">
        <v>500</v>
      </c>
    </row>
    <row r="229" spans="1:7" x14ac:dyDescent="0.15">
      <c r="A229" s="8" t="s">
        <v>697</v>
      </c>
      <c r="B229" s="8" t="s">
        <v>58</v>
      </c>
      <c r="C229" s="8" t="str">
        <f t="shared" si="3"/>
        <v>hydroxyurea</v>
      </c>
      <c r="D229" s="8" t="s">
        <v>697</v>
      </c>
      <c r="E229" s="8" t="s">
        <v>698</v>
      </c>
      <c r="F229" s="8" t="s">
        <v>699</v>
      </c>
      <c r="G229" s="8">
        <v>500</v>
      </c>
    </row>
    <row r="230" spans="1:7" x14ac:dyDescent="0.15">
      <c r="A230" s="8" t="s">
        <v>700</v>
      </c>
      <c r="B230" s="8" t="s">
        <v>58</v>
      </c>
      <c r="C230" s="8" t="str">
        <f t="shared" si="3"/>
        <v>oligomycin</v>
      </c>
      <c r="D230" s="8" t="s">
        <v>700</v>
      </c>
      <c r="E230" s="8" t="s">
        <v>701</v>
      </c>
      <c r="F230" s="8" t="s">
        <v>702</v>
      </c>
      <c r="G230" s="8">
        <v>500</v>
      </c>
    </row>
    <row r="231" spans="1:7" x14ac:dyDescent="0.15">
      <c r="A231" s="8" t="s">
        <v>703</v>
      </c>
      <c r="B231" s="8" t="s">
        <v>58</v>
      </c>
      <c r="C231" s="8" t="str">
        <f t="shared" si="3"/>
        <v>rapamycin</v>
      </c>
      <c r="D231" s="8" t="s">
        <v>703</v>
      </c>
      <c r="E231" s="8" t="s">
        <v>704</v>
      </c>
      <c r="F231" s="8" t="s">
        <v>705</v>
      </c>
      <c r="G231" s="8">
        <v>500</v>
      </c>
    </row>
    <row r="232" spans="1:7" x14ac:dyDescent="0.15">
      <c r="A232" s="8" t="s">
        <v>706</v>
      </c>
      <c r="B232" s="8" t="s">
        <v>58</v>
      </c>
      <c r="C232" s="8" t="str">
        <f t="shared" si="3"/>
        <v>rotenone</v>
      </c>
      <c r="D232" s="8" t="s">
        <v>706</v>
      </c>
      <c r="E232" s="8" t="s">
        <v>707</v>
      </c>
      <c r="F232" s="8" t="s">
        <v>708</v>
      </c>
      <c r="G232" s="8">
        <v>500</v>
      </c>
    </row>
    <row r="233" spans="1:7" x14ac:dyDescent="0.15">
      <c r="A233" s="8" t="s">
        <v>709</v>
      </c>
      <c r="B233" s="8" t="s">
        <v>58</v>
      </c>
      <c r="C233" s="8" t="str">
        <f t="shared" si="3"/>
        <v>tamoxifen</v>
      </c>
      <c r="D233" s="8" t="s">
        <v>709</v>
      </c>
      <c r="E233" s="8" t="s">
        <v>709</v>
      </c>
      <c r="F233" s="8" t="s">
        <v>710</v>
      </c>
      <c r="G233" s="8">
        <v>500</v>
      </c>
    </row>
    <row r="234" spans="1:7" x14ac:dyDescent="0.15">
      <c r="A234" s="8" t="s">
        <v>711</v>
      </c>
      <c r="B234" s="8" t="s">
        <v>58</v>
      </c>
      <c r="C234" s="8" t="str">
        <f t="shared" si="3"/>
        <v>torin</v>
      </c>
      <c r="D234" s="8" t="s">
        <v>711</v>
      </c>
      <c r="E234" s="8" t="s">
        <v>712</v>
      </c>
      <c r="F234" s="8" t="s">
        <v>713</v>
      </c>
      <c r="G234" s="8">
        <v>500</v>
      </c>
    </row>
    <row r="235" spans="1:7" x14ac:dyDescent="0.15">
      <c r="A235" s="8" t="s">
        <v>714</v>
      </c>
      <c r="B235" s="8" t="s">
        <v>58</v>
      </c>
      <c r="C235" s="8" t="str">
        <f t="shared" si="3"/>
        <v>trametinib</v>
      </c>
      <c r="D235" s="8" t="s">
        <v>714</v>
      </c>
      <c r="E235" s="8" t="s">
        <v>714</v>
      </c>
      <c r="F235" s="8" t="s">
        <v>715</v>
      </c>
      <c r="G235" s="8">
        <v>500</v>
      </c>
    </row>
    <row r="236" spans="1:7" x14ac:dyDescent="0.15">
      <c r="A236" s="8" t="s">
        <v>716</v>
      </c>
      <c r="B236" s="8" t="s">
        <v>58</v>
      </c>
      <c r="C236" s="8" t="str">
        <f t="shared" si="3"/>
        <v>unstimulated</v>
      </c>
      <c r="D236" s="8" t="s">
        <v>716</v>
      </c>
      <c r="E236" s="8" t="s">
        <v>717</v>
      </c>
      <c r="F236" s="8" t="s">
        <v>718</v>
      </c>
      <c r="G236" s="8">
        <v>500</v>
      </c>
    </row>
    <row r="237" spans="1:7" x14ac:dyDescent="0.15">
      <c r="A237" s="8" t="s">
        <v>3189</v>
      </c>
      <c r="B237" s="8" t="s">
        <v>58</v>
      </c>
      <c r="C237" s="8" t="str">
        <f t="shared" si="3"/>
        <v>pbs</v>
      </c>
      <c r="D237" s="8" t="s">
        <v>3189</v>
      </c>
      <c r="E237" s="8" t="s">
        <v>3190</v>
      </c>
      <c r="F237" s="8" t="s">
        <v>3191</v>
      </c>
      <c r="G237" s="8">
        <v>500</v>
      </c>
    </row>
    <row r="238" spans="1:7" x14ac:dyDescent="0.15">
      <c r="A238" s="8" t="s">
        <v>719</v>
      </c>
      <c r="B238" s="8" t="s">
        <v>58</v>
      </c>
      <c r="C238" s="8" t="str">
        <f t="shared" si="3"/>
        <v>microenvironment</v>
      </c>
      <c r="D238" s="9" t="s">
        <v>14</v>
      </c>
      <c r="E238" s="8" t="s">
        <v>719</v>
      </c>
      <c r="F238" s="8" t="s">
        <v>719</v>
      </c>
      <c r="G238" s="8">
        <v>500</v>
      </c>
    </row>
    <row r="239" spans="1:7" x14ac:dyDescent="0.15">
      <c r="A239" s="8" t="s">
        <v>720</v>
      </c>
      <c r="B239" s="8" t="s">
        <v>60</v>
      </c>
      <c r="C239" s="8" t="str">
        <f t="shared" si="3"/>
        <v>egs</v>
      </c>
      <c r="D239" s="9" t="s">
        <v>14</v>
      </c>
      <c r="E239" s="8" t="s">
        <v>721</v>
      </c>
      <c r="F239" s="8" t="s">
        <v>722</v>
      </c>
      <c r="G239" s="8">
        <v>500</v>
      </c>
    </row>
    <row r="240" spans="1:7" x14ac:dyDescent="0.15">
      <c r="A240" s="8" t="s">
        <v>723</v>
      </c>
      <c r="B240" s="8" t="s">
        <v>60</v>
      </c>
      <c r="C240" s="8" t="str">
        <f t="shared" si="3"/>
        <v>suflo_egs</v>
      </c>
      <c r="D240" s="9" t="s">
        <v>14</v>
      </c>
      <c r="E240" s="8" t="s">
        <v>724</v>
      </c>
      <c r="F240" s="8" t="s">
        <v>725</v>
      </c>
      <c r="G240" s="8">
        <v>500</v>
      </c>
    </row>
    <row r="241" spans="1:7" x14ac:dyDescent="0.15">
      <c r="A241" s="8" t="s">
        <v>726</v>
      </c>
      <c r="B241" s="8" t="s">
        <v>63</v>
      </c>
      <c r="C241" s="8" t="str">
        <f t="shared" si="3"/>
        <v>dsbu</v>
      </c>
      <c r="D241" s="9" t="s">
        <v>14</v>
      </c>
      <c r="E241" s="8" t="s">
        <v>727</v>
      </c>
      <c r="F241" s="8" t="s">
        <v>728</v>
      </c>
      <c r="G241" s="8">
        <v>500</v>
      </c>
    </row>
    <row r="242" spans="1:7" x14ac:dyDescent="0.15">
      <c r="A242" s="8" t="s">
        <v>729</v>
      </c>
      <c r="B242" s="8" t="s">
        <v>63</v>
      </c>
      <c r="C242" s="8" t="str">
        <f t="shared" si="3"/>
        <v>dsso</v>
      </c>
      <c r="D242" s="9" t="s">
        <v>14</v>
      </c>
      <c r="E242" s="8" t="s">
        <v>730</v>
      </c>
      <c r="F242" s="8" t="s">
        <v>731</v>
      </c>
      <c r="G242" s="8">
        <v>500</v>
      </c>
    </row>
    <row r="243" spans="1:7" x14ac:dyDescent="0.15">
      <c r="A243" s="8" t="s">
        <v>732</v>
      </c>
      <c r="B243" s="8" t="s">
        <v>65</v>
      </c>
      <c r="C243" s="8" t="str">
        <f t="shared" si="3"/>
        <v>amas</v>
      </c>
      <c r="D243" s="9" t="s">
        <v>14</v>
      </c>
      <c r="E243" s="8" t="s">
        <v>733</v>
      </c>
      <c r="F243" s="8" t="s">
        <v>734</v>
      </c>
      <c r="G243" s="8">
        <v>500</v>
      </c>
    </row>
    <row r="244" spans="1:7" x14ac:dyDescent="0.15">
      <c r="A244" s="8" t="s">
        <v>735</v>
      </c>
      <c r="B244" s="8" t="s">
        <v>65</v>
      </c>
      <c r="C244" s="8" t="str">
        <f t="shared" si="3"/>
        <v>bm_peg_3</v>
      </c>
      <c r="D244" s="9" t="s">
        <v>14</v>
      </c>
      <c r="E244" s="8" t="s">
        <v>736</v>
      </c>
      <c r="F244" s="8" t="s">
        <v>737</v>
      </c>
      <c r="G244" s="8">
        <v>500</v>
      </c>
    </row>
    <row r="245" spans="1:7" x14ac:dyDescent="0.15">
      <c r="A245" s="8" t="s">
        <v>738</v>
      </c>
      <c r="B245" s="8" t="s">
        <v>65</v>
      </c>
      <c r="C245" s="8" t="str">
        <f t="shared" si="3"/>
        <v>bmb</v>
      </c>
      <c r="D245" s="9" t="s">
        <v>14</v>
      </c>
      <c r="E245" s="8" t="s">
        <v>739</v>
      </c>
      <c r="F245" s="8" t="s">
        <v>740</v>
      </c>
      <c r="G245" s="8">
        <v>500</v>
      </c>
    </row>
    <row r="246" spans="1:7" x14ac:dyDescent="0.15">
      <c r="A246" s="8" t="s">
        <v>741</v>
      </c>
      <c r="B246" s="8" t="s">
        <v>65</v>
      </c>
      <c r="C246" s="8" t="str">
        <f t="shared" si="3"/>
        <v>bmh</v>
      </c>
      <c r="D246" s="9" t="s">
        <v>14</v>
      </c>
      <c r="E246" s="8" t="s">
        <v>742</v>
      </c>
      <c r="F246" s="8" t="s">
        <v>743</v>
      </c>
      <c r="G246" s="8">
        <v>500</v>
      </c>
    </row>
    <row r="247" spans="1:7" x14ac:dyDescent="0.15">
      <c r="A247" s="8" t="s">
        <v>744</v>
      </c>
      <c r="B247" s="8" t="s">
        <v>65</v>
      </c>
      <c r="C247" s="8" t="str">
        <f t="shared" si="3"/>
        <v>bmoe</v>
      </c>
      <c r="D247" s="9" t="s">
        <v>14</v>
      </c>
      <c r="E247" s="8" t="s">
        <v>745</v>
      </c>
      <c r="F247" s="8" t="s">
        <v>746</v>
      </c>
      <c r="G247" s="8">
        <v>500</v>
      </c>
    </row>
    <row r="248" spans="1:7" x14ac:dyDescent="0.15">
      <c r="A248" s="8" t="s">
        <v>747</v>
      </c>
      <c r="B248" s="8" t="s">
        <v>65</v>
      </c>
      <c r="C248" s="8" t="str">
        <f t="shared" si="3"/>
        <v>bmph</v>
      </c>
      <c r="D248" s="9" t="s">
        <v>14</v>
      </c>
      <c r="E248" s="8" t="s">
        <v>748</v>
      </c>
      <c r="F248" s="8" t="s">
        <v>749</v>
      </c>
      <c r="G248" s="8">
        <v>500</v>
      </c>
    </row>
    <row r="249" spans="1:7" x14ac:dyDescent="0.15">
      <c r="A249" s="8" t="s">
        <v>750</v>
      </c>
      <c r="B249" s="8" t="s">
        <v>65</v>
      </c>
      <c r="C249" s="8" t="str">
        <f t="shared" si="3"/>
        <v>bmps</v>
      </c>
      <c r="D249" s="9" t="s">
        <v>14</v>
      </c>
      <c r="E249" s="8" t="s">
        <v>751</v>
      </c>
      <c r="F249" s="8" t="s">
        <v>752</v>
      </c>
      <c r="G249" s="8">
        <v>500</v>
      </c>
    </row>
    <row r="250" spans="1:7" x14ac:dyDescent="0.15">
      <c r="A250" s="8" t="s">
        <v>753</v>
      </c>
      <c r="B250" s="8" t="s">
        <v>65</v>
      </c>
      <c r="C250" s="8" t="str">
        <f t="shared" si="3"/>
        <v>bs_peg_5</v>
      </c>
      <c r="D250" s="9" t="s">
        <v>14</v>
      </c>
      <c r="E250" s="8" t="s">
        <v>754</v>
      </c>
      <c r="F250" s="8" t="s">
        <v>755</v>
      </c>
      <c r="G250" s="8">
        <v>500</v>
      </c>
    </row>
    <row r="251" spans="1:7" x14ac:dyDescent="0.15">
      <c r="A251" s="8" t="s">
        <v>756</v>
      </c>
      <c r="B251" s="8" t="s">
        <v>65</v>
      </c>
      <c r="C251" s="8" t="str">
        <f t="shared" si="3"/>
        <v>bs_peg_9</v>
      </c>
      <c r="D251" s="9" t="s">
        <v>14</v>
      </c>
      <c r="E251" s="8" t="s">
        <v>757</v>
      </c>
      <c r="F251" s="8" t="s">
        <v>758</v>
      </c>
      <c r="G251" s="8">
        <v>500</v>
      </c>
    </row>
    <row r="252" spans="1:7" x14ac:dyDescent="0.15">
      <c r="A252" s="8" t="s">
        <v>759</v>
      </c>
      <c r="B252" s="8" t="s">
        <v>65</v>
      </c>
      <c r="C252" s="8" t="str">
        <f t="shared" si="3"/>
        <v>bs2g_d0</v>
      </c>
      <c r="D252" s="9" t="s">
        <v>14</v>
      </c>
      <c r="E252" s="8" t="s">
        <v>760</v>
      </c>
      <c r="F252" s="8" t="s">
        <v>761</v>
      </c>
      <c r="G252" s="8">
        <v>500</v>
      </c>
    </row>
    <row r="253" spans="1:7" x14ac:dyDescent="0.15">
      <c r="A253" s="8" t="s">
        <v>762</v>
      </c>
      <c r="B253" s="8" t="s">
        <v>65</v>
      </c>
      <c r="C253" s="8" t="str">
        <f t="shared" si="3"/>
        <v>bs3</v>
      </c>
      <c r="D253" s="9" t="s">
        <v>14</v>
      </c>
      <c r="E253" s="8" t="s">
        <v>763</v>
      </c>
      <c r="F253" s="8" t="s">
        <v>764</v>
      </c>
      <c r="G253" s="8">
        <v>500</v>
      </c>
    </row>
    <row r="254" spans="1:7" ht="10.5" customHeight="1" x14ac:dyDescent="0.15">
      <c r="A254" s="8" t="s">
        <v>765</v>
      </c>
      <c r="B254" s="8" t="s">
        <v>65</v>
      </c>
      <c r="C254" s="8" t="str">
        <f t="shared" si="3"/>
        <v>bs3_d0</v>
      </c>
      <c r="D254" s="9" t="s">
        <v>14</v>
      </c>
      <c r="E254" s="8" t="s">
        <v>766</v>
      </c>
      <c r="F254" s="8" t="s">
        <v>767</v>
      </c>
      <c r="G254" s="8">
        <v>500</v>
      </c>
    </row>
    <row r="255" spans="1:7" x14ac:dyDescent="0.15">
      <c r="A255" s="8" t="s">
        <v>768</v>
      </c>
      <c r="B255" s="8" t="s">
        <v>65</v>
      </c>
      <c r="C255" s="8" t="str">
        <f t="shared" si="3"/>
        <v>bs3_d4</v>
      </c>
      <c r="D255" s="9" t="s">
        <v>14</v>
      </c>
      <c r="E255" s="8" t="s">
        <v>769</v>
      </c>
      <c r="F255" s="8" t="s">
        <v>767</v>
      </c>
      <c r="G255" s="8">
        <v>500</v>
      </c>
    </row>
    <row r="256" spans="1:7" x14ac:dyDescent="0.15">
      <c r="A256" s="8" t="s">
        <v>770</v>
      </c>
      <c r="B256" s="8" t="s">
        <v>65</v>
      </c>
      <c r="C256" s="8" t="str">
        <f t="shared" si="3"/>
        <v>dmp</v>
      </c>
      <c r="D256" s="9" t="s">
        <v>14</v>
      </c>
      <c r="E256" s="8" t="s">
        <v>771</v>
      </c>
      <c r="F256" s="8" t="s">
        <v>772</v>
      </c>
      <c r="G256" s="8">
        <v>500</v>
      </c>
    </row>
    <row r="257" spans="1:7" x14ac:dyDescent="0.15">
      <c r="A257" s="8" t="s">
        <v>773</v>
      </c>
      <c r="B257" s="8" t="s">
        <v>65</v>
      </c>
      <c r="C257" s="8" t="str">
        <f t="shared" si="3"/>
        <v>dms</v>
      </c>
      <c r="D257" s="9" t="s">
        <v>14</v>
      </c>
      <c r="E257" s="8" t="s">
        <v>774</v>
      </c>
      <c r="F257" s="8" t="s">
        <v>775</v>
      </c>
      <c r="G257" s="8">
        <v>500</v>
      </c>
    </row>
    <row r="258" spans="1:7" x14ac:dyDescent="0.15">
      <c r="A258" s="8" t="s">
        <v>776</v>
      </c>
      <c r="B258" s="8" t="s">
        <v>65</v>
      </c>
      <c r="C258" s="8" t="str">
        <f t="shared" si="3"/>
        <v>dss</v>
      </c>
      <c r="D258" s="9" t="s">
        <v>14</v>
      </c>
      <c r="E258" s="8" t="s">
        <v>777</v>
      </c>
      <c r="F258" s="8" t="s">
        <v>778</v>
      </c>
      <c r="G258" s="8">
        <v>500</v>
      </c>
    </row>
    <row r="259" spans="1:7" x14ac:dyDescent="0.15">
      <c r="A259" s="8" t="s">
        <v>779</v>
      </c>
      <c r="B259" s="8" t="s">
        <v>65</v>
      </c>
      <c r="C259" s="8" t="str">
        <f t="shared" si="3"/>
        <v>edc</v>
      </c>
      <c r="D259" s="9" t="s">
        <v>14</v>
      </c>
      <c r="E259" s="8" t="s">
        <v>780</v>
      </c>
      <c r="F259" s="8" t="s">
        <v>781</v>
      </c>
      <c r="G259" s="8">
        <v>500</v>
      </c>
    </row>
    <row r="260" spans="1:7" x14ac:dyDescent="0.15">
      <c r="A260" s="8" t="s">
        <v>782</v>
      </c>
      <c r="B260" s="8" t="s">
        <v>65</v>
      </c>
      <c r="C260" s="8" t="str">
        <f t="shared" si="3"/>
        <v>emch</v>
      </c>
      <c r="D260" s="9" t="s">
        <v>14</v>
      </c>
      <c r="E260" s="8" t="s">
        <v>783</v>
      </c>
      <c r="F260" s="8" t="s">
        <v>784</v>
      </c>
      <c r="G260" s="8">
        <v>500</v>
      </c>
    </row>
    <row r="261" spans="1:7" x14ac:dyDescent="0.15">
      <c r="A261" s="8" t="s">
        <v>785</v>
      </c>
      <c r="B261" s="8" t="s">
        <v>65</v>
      </c>
      <c r="C261" s="8" t="str">
        <f t="shared" si="3"/>
        <v>emcs</v>
      </c>
      <c r="D261" s="9" t="s">
        <v>14</v>
      </c>
      <c r="E261" s="8" t="s">
        <v>786</v>
      </c>
      <c r="F261" s="8" t="s">
        <v>787</v>
      </c>
      <c r="G261" s="8">
        <v>500</v>
      </c>
    </row>
    <row r="262" spans="1:7" x14ac:dyDescent="0.15">
      <c r="A262" s="8" t="s">
        <v>788</v>
      </c>
      <c r="B262" s="8" t="s">
        <v>65</v>
      </c>
      <c r="C262" s="8" t="str">
        <f t="shared" ref="C262:C325" si="4">A262</f>
        <v>gmbs</v>
      </c>
      <c r="D262" s="9" t="s">
        <v>14</v>
      </c>
      <c r="E262" s="8" t="s">
        <v>789</v>
      </c>
      <c r="F262" s="8" t="s">
        <v>790</v>
      </c>
      <c r="G262" s="8">
        <v>500</v>
      </c>
    </row>
    <row r="263" spans="1:7" x14ac:dyDescent="0.15">
      <c r="A263" s="8" t="s">
        <v>791</v>
      </c>
      <c r="B263" s="8" t="s">
        <v>65</v>
      </c>
      <c r="C263" s="8" t="str">
        <f t="shared" si="4"/>
        <v>kmuh</v>
      </c>
      <c r="D263" s="9" t="s">
        <v>14</v>
      </c>
      <c r="E263" s="8" t="s">
        <v>792</v>
      </c>
      <c r="F263" s="8" t="s">
        <v>793</v>
      </c>
      <c r="G263" s="8">
        <v>500</v>
      </c>
    </row>
    <row r="264" spans="1:7" x14ac:dyDescent="0.15">
      <c r="A264" s="8" t="s">
        <v>794</v>
      </c>
      <c r="B264" s="8" t="s">
        <v>65</v>
      </c>
      <c r="C264" s="8" t="str">
        <f t="shared" si="4"/>
        <v>l_photo_methionine</v>
      </c>
      <c r="D264" s="9" t="s">
        <v>14</v>
      </c>
      <c r="E264" s="8" t="s">
        <v>795</v>
      </c>
      <c r="F264" s="8" t="s">
        <v>796</v>
      </c>
      <c r="G264" s="8">
        <v>500</v>
      </c>
    </row>
    <row r="265" spans="1:7" x14ac:dyDescent="0.15">
      <c r="A265" s="8" t="s">
        <v>797</v>
      </c>
      <c r="B265" s="8" t="s">
        <v>65</v>
      </c>
      <c r="C265" s="8" t="str">
        <f t="shared" si="4"/>
        <v>lc_smcc</v>
      </c>
      <c r="D265" s="9" t="s">
        <v>14</v>
      </c>
      <c r="E265" s="8" t="s">
        <v>798</v>
      </c>
      <c r="F265" s="8" t="s">
        <v>799</v>
      </c>
      <c r="G265" s="8">
        <v>500</v>
      </c>
    </row>
    <row r="266" spans="1:7" x14ac:dyDescent="0.15">
      <c r="A266" s="8" t="s">
        <v>800</v>
      </c>
      <c r="B266" s="8" t="s">
        <v>65</v>
      </c>
      <c r="C266" s="8" t="str">
        <f t="shared" si="4"/>
        <v>maleimide_peg4_dbco</v>
      </c>
      <c r="D266" s="9" t="s">
        <v>14</v>
      </c>
      <c r="E266" s="8" t="s">
        <v>801</v>
      </c>
      <c r="F266" s="8" t="s">
        <v>802</v>
      </c>
      <c r="G266" s="8">
        <v>500</v>
      </c>
    </row>
    <row r="267" spans="1:7" x14ac:dyDescent="0.15">
      <c r="A267" s="8" t="s">
        <v>803</v>
      </c>
      <c r="B267" s="8" t="s">
        <v>65</v>
      </c>
      <c r="C267" s="8" t="str">
        <f t="shared" si="4"/>
        <v>mpbh</v>
      </c>
      <c r="D267" s="9" t="s">
        <v>14</v>
      </c>
      <c r="E267" s="8" t="s">
        <v>804</v>
      </c>
      <c r="F267" s="8" t="s">
        <v>805</v>
      </c>
      <c r="G267" s="8">
        <v>500</v>
      </c>
    </row>
    <row r="268" spans="1:7" x14ac:dyDescent="0.15">
      <c r="A268" s="8" t="s">
        <v>806</v>
      </c>
      <c r="B268" s="8" t="s">
        <v>65</v>
      </c>
      <c r="C268" s="8" t="str">
        <f t="shared" si="4"/>
        <v>nhs</v>
      </c>
      <c r="D268" s="9" t="s">
        <v>14</v>
      </c>
      <c r="E268" s="8" t="s">
        <v>807</v>
      </c>
      <c r="F268" s="8" t="s">
        <v>808</v>
      </c>
      <c r="G268" s="8">
        <v>500</v>
      </c>
    </row>
    <row r="269" spans="1:7" x14ac:dyDescent="0.15">
      <c r="A269" s="8" t="s">
        <v>809</v>
      </c>
      <c r="B269" s="8" t="s">
        <v>65</v>
      </c>
      <c r="C269" s="8" t="str">
        <f t="shared" si="4"/>
        <v>nhs_azide</v>
      </c>
      <c r="D269" s="9" t="s">
        <v>14</v>
      </c>
      <c r="E269" s="8" t="s">
        <v>810</v>
      </c>
      <c r="F269" s="8" t="s">
        <v>811</v>
      </c>
      <c r="G269" s="8">
        <v>500</v>
      </c>
    </row>
    <row r="270" spans="1:7" x14ac:dyDescent="0.15">
      <c r="A270" s="8" t="s">
        <v>812</v>
      </c>
      <c r="B270" s="8" t="s">
        <v>65</v>
      </c>
      <c r="C270" s="8" t="str">
        <f t="shared" si="4"/>
        <v>nhs_peg4_azide</v>
      </c>
      <c r="D270" s="9" t="s">
        <v>14</v>
      </c>
      <c r="E270" s="8" t="s">
        <v>813</v>
      </c>
      <c r="F270" s="8" t="s">
        <v>814</v>
      </c>
      <c r="G270" s="8">
        <v>500</v>
      </c>
    </row>
    <row r="271" spans="1:7" x14ac:dyDescent="0.15">
      <c r="A271" s="8" t="s">
        <v>815</v>
      </c>
      <c r="B271" s="8" t="s">
        <v>65</v>
      </c>
      <c r="C271" s="8" t="str">
        <f t="shared" si="4"/>
        <v>nhs_phosphine</v>
      </c>
      <c r="D271" s="9" t="s">
        <v>14</v>
      </c>
      <c r="E271" s="8" t="s">
        <v>816</v>
      </c>
      <c r="F271" s="8" t="s">
        <v>817</v>
      </c>
      <c r="G271" s="8">
        <v>500</v>
      </c>
    </row>
    <row r="272" spans="1:7" x14ac:dyDescent="0.15">
      <c r="A272" s="8" t="s">
        <v>818</v>
      </c>
      <c r="B272" s="8" t="s">
        <v>65</v>
      </c>
      <c r="C272" s="8" t="str">
        <f t="shared" si="4"/>
        <v>pmpi</v>
      </c>
      <c r="D272" s="9" t="s">
        <v>14</v>
      </c>
      <c r="E272" s="8" t="s">
        <v>819</v>
      </c>
      <c r="F272" s="8" t="s">
        <v>820</v>
      </c>
      <c r="G272" s="8">
        <v>500</v>
      </c>
    </row>
    <row r="273" spans="1:7" x14ac:dyDescent="0.15">
      <c r="A273" s="8" t="s">
        <v>821</v>
      </c>
      <c r="B273" s="8" t="s">
        <v>65</v>
      </c>
      <c r="C273" s="8" t="str">
        <f t="shared" si="4"/>
        <v>sbap</v>
      </c>
      <c r="D273" s="9" t="s">
        <v>14</v>
      </c>
      <c r="E273" s="8" t="s">
        <v>822</v>
      </c>
      <c r="F273" s="8" t="s">
        <v>823</v>
      </c>
      <c r="G273" s="8">
        <v>500</v>
      </c>
    </row>
    <row r="274" spans="1:7" x14ac:dyDescent="0.15">
      <c r="A274" s="8" t="s">
        <v>824</v>
      </c>
      <c r="B274" s="8" t="s">
        <v>65</v>
      </c>
      <c r="C274" s="8" t="str">
        <f t="shared" si="4"/>
        <v>sda</v>
      </c>
      <c r="D274" s="9" t="s">
        <v>14</v>
      </c>
      <c r="E274" s="8" t="s">
        <v>825</v>
      </c>
      <c r="F274" s="8" t="s">
        <v>826</v>
      </c>
      <c r="G274" s="8">
        <v>500</v>
      </c>
    </row>
    <row r="275" spans="1:7" x14ac:dyDescent="0.15">
      <c r="A275" s="8" t="s">
        <v>827</v>
      </c>
      <c r="B275" s="8" t="s">
        <v>65</v>
      </c>
      <c r="C275" s="8" t="str">
        <f t="shared" si="4"/>
        <v>sia</v>
      </c>
      <c r="D275" s="9" t="s">
        <v>14</v>
      </c>
      <c r="E275" s="8" t="s">
        <v>828</v>
      </c>
      <c r="F275" s="8" t="s">
        <v>829</v>
      </c>
      <c r="G275" s="8">
        <v>500</v>
      </c>
    </row>
    <row r="276" spans="1:7" x14ac:dyDescent="0.15">
      <c r="A276" s="8" t="s">
        <v>830</v>
      </c>
      <c r="B276" s="8" t="s">
        <v>65</v>
      </c>
      <c r="C276" s="8" t="str">
        <f t="shared" si="4"/>
        <v>smpb</v>
      </c>
      <c r="D276" s="9" t="s">
        <v>14</v>
      </c>
      <c r="E276" s="8" t="s">
        <v>831</v>
      </c>
      <c r="F276" s="8" t="s">
        <v>832</v>
      </c>
      <c r="G276" s="8">
        <v>500</v>
      </c>
    </row>
    <row r="277" spans="1:7" x14ac:dyDescent="0.15">
      <c r="A277" s="8" t="s">
        <v>833</v>
      </c>
      <c r="B277" s="8" t="s">
        <v>65</v>
      </c>
      <c r="C277" s="8" t="str">
        <f t="shared" si="4"/>
        <v>smph</v>
      </c>
      <c r="D277" s="9" t="s">
        <v>14</v>
      </c>
      <c r="E277" s="8" t="s">
        <v>834</v>
      </c>
      <c r="F277" s="8" t="s">
        <v>835</v>
      </c>
      <c r="G277" s="8">
        <v>500</v>
      </c>
    </row>
    <row r="278" spans="1:7" x14ac:dyDescent="0.15">
      <c r="A278" s="8" t="s">
        <v>836</v>
      </c>
      <c r="B278" s="8" t="s">
        <v>65</v>
      </c>
      <c r="C278" s="8" t="str">
        <f t="shared" si="4"/>
        <v>spb</v>
      </c>
      <c r="D278" s="9" t="s">
        <v>14</v>
      </c>
      <c r="E278" s="8" t="s">
        <v>837</v>
      </c>
      <c r="F278" s="8" t="s">
        <v>838</v>
      </c>
      <c r="G278" s="8">
        <v>500</v>
      </c>
    </row>
    <row r="279" spans="1:7" x14ac:dyDescent="0.15">
      <c r="A279" s="8" t="s">
        <v>839</v>
      </c>
      <c r="B279" s="8" t="s">
        <v>65</v>
      </c>
      <c r="C279" s="8" t="str">
        <f t="shared" si="4"/>
        <v>sulfo_emcs</v>
      </c>
      <c r="D279" s="9" t="s">
        <v>14</v>
      </c>
      <c r="E279" s="8" t="s">
        <v>840</v>
      </c>
      <c r="F279" s="8" t="s">
        <v>841</v>
      </c>
      <c r="G279" s="8">
        <v>500</v>
      </c>
    </row>
    <row r="280" spans="1:7" x14ac:dyDescent="0.15">
      <c r="A280" s="8" t="s">
        <v>842</v>
      </c>
      <c r="B280" s="8" t="s">
        <v>65</v>
      </c>
      <c r="C280" s="8" t="str">
        <f t="shared" si="4"/>
        <v>sulfo_kmus</v>
      </c>
      <c r="D280" s="9" t="s">
        <v>14</v>
      </c>
      <c r="E280" s="8" t="s">
        <v>843</v>
      </c>
      <c r="F280" s="8" t="s">
        <v>844</v>
      </c>
      <c r="G280" s="8">
        <v>500</v>
      </c>
    </row>
    <row r="281" spans="1:7" x14ac:dyDescent="0.15">
      <c r="A281" s="8" t="s">
        <v>845</v>
      </c>
      <c r="B281" s="8" t="s">
        <v>65</v>
      </c>
      <c r="C281" s="8" t="str">
        <f t="shared" si="4"/>
        <v>sulfo_lc_sda</v>
      </c>
      <c r="D281" s="9" t="s">
        <v>14</v>
      </c>
      <c r="E281" s="8" t="s">
        <v>846</v>
      </c>
      <c r="F281" s="8" t="s">
        <v>847</v>
      </c>
      <c r="G281" s="8">
        <v>500</v>
      </c>
    </row>
    <row r="282" spans="1:7" x14ac:dyDescent="0.15">
      <c r="A282" s="8" t="s">
        <v>848</v>
      </c>
      <c r="B282" s="8" t="s">
        <v>65</v>
      </c>
      <c r="C282" s="8" t="str">
        <f t="shared" si="4"/>
        <v>sulfo_mbs</v>
      </c>
      <c r="D282" s="9" t="s">
        <v>14</v>
      </c>
      <c r="E282" s="8" t="s">
        <v>849</v>
      </c>
      <c r="F282" s="8" t="s">
        <v>850</v>
      </c>
      <c r="G282" s="8">
        <v>500</v>
      </c>
    </row>
    <row r="283" spans="1:7" x14ac:dyDescent="0.15">
      <c r="A283" s="8" t="s">
        <v>851</v>
      </c>
      <c r="B283" s="8" t="s">
        <v>65</v>
      </c>
      <c r="C283" s="8" t="str">
        <f t="shared" si="4"/>
        <v>sulfo_sda</v>
      </c>
      <c r="D283" s="9" t="s">
        <v>14</v>
      </c>
      <c r="E283" s="8" t="s">
        <v>852</v>
      </c>
      <c r="F283" s="8" t="s">
        <v>853</v>
      </c>
      <c r="G283" s="8">
        <v>500</v>
      </c>
    </row>
    <row r="284" spans="1:7" x14ac:dyDescent="0.15">
      <c r="A284" s="8" t="s">
        <v>854</v>
      </c>
      <c r="B284" s="8" t="s">
        <v>65</v>
      </c>
      <c r="C284" s="8" t="str">
        <f t="shared" si="4"/>
        <v>sulfo_siab</v>
      </c>
      <c r="D284" s="9" t="s">
        <v>14</v>
      </c>
      <c r="E284" s="8" t="s">
        <v>855</v>
      </c>
      <c r="F284" s="8" t="s">
        <v>856</v>
      </c>
      <c r="G284" s="8">
        <v>500</v>
      </c>
    </row>
    <row r="285" spans="1:7" x14ac:dyDescent="0.15">
      <c r="A285" s="8" t="s">
        <v>857</v>
      </c>
      <c r="B285" s="8" t="s">
        <v>65</v>
      </c>
      <c r="C285" s="8" t="str">
        <f t="shared" si="4"/>
        <v>sulfo_smcc</v>
      </c>
      <c r="D285" s="9" t="s">
        <v>14</v>
      </c>
      <c r="E285" s="8" t="s">
        <v>858</v>
      </c>
      <c r="F285" s="8" t="s">
        <v>859</v>
      </c>
      <c r="G285" s="8">
        <v>500</v>
      </c>
    </row>
    <row r="286" spans="1:7" x14ac:dyDescent="0.15">
      <c r="A286" s="8" t="s">
        <v>860</v>
      </c>
      <c r="B286" s="8" t="s">
        <v>65</v>
      </c>
      <c r="C286" s="8" t="str">
        <f t="shared" si="4"/>
        <v>sulfo_smpb</v>
      </c>
      <c r="D286" s="9" t="s">
        <v>14</v>
      </c>
      <c r="E286" s="8" t="s">
        <v>861</v>
      </c>
      <c r="F286" s="8" t="s">
        <v>862</v>
      </c>
      <c r="G286" s="8">
        <v>500</v>
      </c>
    </row>
    <row r="287" spans="1:7" x14ac:dyDescent="0.15">
      <c r="A287" s="8" t="s">
        <v>863</v>
      </c>
      <c r="B287" s="8" t="s">
        <v>65</v>
      </c>
      <c r="C287" s="8" t="str">
        <f t="shared" si="4"/>
        <v>tbdspp</v>
      </c>
      <c r="D287" s="9" t="s">
        <v>14</v>
      </c>
      <c r="E287" s="8" t="s">
        <v>864</v>
      </c>
      <c r="F287" s="8" t="s">
        <v>865</v>
      </c>
      <c r="G287" s="8">
        <v>500</v>
      </c>
    </row>
    <row r="288" spans="1:7" x14ac:dyDescent="0.15">
      <c r="A288" s="8" t="s">
        <v>866</v>
      </c>
      <c r="B288" s="8" t="s">
        <v>65</v>
      </c>
      <c r="C288" s="8" t="str">
        <f t="shared" si="4"/>
        <v>tfpester_peg12_dbco</v>
      </c>
      <c r="D288" s="9" t="s">
        <v>14</v>
      </c>
      <c r="E288" s="8" t="s">
        <v>867</v>
      </c>
      <c r="F288" s="8" t="s">
        <v>868</v>
      </c>
      <c r="G288" s="8">
        <v>500</v>
      </c>
    </row>
    <row r="289" spans="1:7" x14ac:dyDescent="0.15">
      <c r="A289" s="8" t="s">
        <v>869</v>
      </c>
      <c r="B289" s="8" t="s">
        <v>65</v>
      </c>
      <c r="C289" s="8" t="str">
        <f t="shared" si="4"/>
        <v>tfpester_peg4_dbco</v>
      </c>
      <c r="D289" s="9" t="s">
        <v>14</v>
      </c>
      <c r="E289" s="8" t="s">
        <v>870</v>
      </c>
      <c r="F289" s="8" t="s">
        <v>871</v>
      </c>
      <c r="G289" s="8">
        <v>500</v>
      </c>
    </row>
    <row r="290" spans="1:7" x14ac:dyDescent="0.15">
      <c r="A290" s="8" t="s">
        <v>872</v>
      </c>
      <c r="B290" s="8" t="s">
        <v>65</v>
      </c>
      <c r="C290" s="8" t="str">
        <f t="shared" si="4"/>
        <v>tmea</v>
      </c>
      <c r="D290" s="9" t="s">
        <v>14</v>
      </c>
      <c r="E290" s="8" t="s">
        <v>873</v>
      </c>
      <c r="F290" s="8" t="s">
        <v>874</v>
      </c>
      <c r="G290" s="8">
        <v>500</v>
      </c>
    </row>
    <row r="291" spans="1:7" x14ac:dyDescent="0.15">
      <c r="A291" s="8" t="s">
        <v>875</v>
      </c>
      <c r="B291" s="8" t="s">
        <v>65</v>
      </c>
      <c r="C291" s="8" t="str">
        <f t="shared" si="4"/>
        <v>tsat</v>
      </c>
      <c r="D291" s="9" t="s">
        <v>14</v>
      </c>
      <c r="E291" s="8" t="s">
        <v>876</v>
      </c>
      <c r="F291" s="8" t="s">
        <v>877</v>
      </c>
      <c r="G291" s="8">
        <v>500</v>
      </c>
    </row>
    <row r="292" spans="1:7" x14ac:dyDescent="0.15">
      <c r="A292" s="8" t="s">
        <v>878</v>
      </c>
      <c r="B292" s="8" t="s">
        <v>67</v>
      </c>
      <c r="C292" s="8" t="str">
        <f t="shared" si="4"/>
        <v>dsp</v>
      </c>
      <c r="D292" s="9" t="s">
        <v>14</v>
      </c>
      <c r="E292" s="8" t="s">
        <v>879</v>
      </c>
      <c r="F292" s="8" t="s">
        <v>880</v>
      </c>
      <c r="G292" s="8">
        <v>500</v>
      </c>
    </row>
    <row r="293" spans="1:7" x14ac:dyDescent="0.15">
      <c r="A293" s="8" t="s">
        <v>881</v>
      </c>
      <c r="B293" s="8" t="s">
        <v>67</v>
      </c>
      <c r="C293" s="8" t="str">
        <f t="shared" si="4"/>
        <v>dtbp</v>
      </c>
      <c r="D293" s="9" t="s">
        <v>14</v>
      </c>
      <c r="E293" s="8" t="s">
        <v>882</v>
      </c>
      <c r="F293" s="8" t="s">
        <v>883</v>
      </c>
      <c r="G293" s="8">
        <v>500</v>
      </c>
    </row>
    <row r="294" spans="1:7" x14ac:dyDescent="0.15">
      <c r="A294" s="8" t="s">
        <v>884</v>
      </c>
      <c r="B294" s="8" t="s">
        <v>67</v>
      </c>
      <c r="C294" s="8" t="str">
        <f t="shared" si="4"/>
        <v>dtme</v>
      </c>
      <c r="D294" s="9" t="s">
        <v>14</v>
      </c>
      <c r="E294" s="8" t="s">
        <v>885</v>
      </c>
      <c r="F294" s="8" t="s">
        <v>886</v>
      </c>
      <c r="G294" s="8">
        <v>500</v>
      </c>
    </row>
    <row r="295" spans="1:7" x14ac:dyDescent="0.15">
      <c r="A295" s="8" t="s">
        <v>887</v>
      </c>
      <c r="B295" s="8" t="s">
        <v>67</v>
      </c>
      <c r="C295" s="8" t="str">
        <f t="shared" si="4"/>
        <v>dtssp</v>
      </c>
      <c r="D295" s="9" t="s">
        <v>14</v>
      </c>
      <c r="E295" s="8" t="s">
        <v>888</v>
      </c>
      <c r="F295" s="8" t="s">
        <v>889</v>
      </c>
      <c r="G295" s="8">
        <v>500</v>
      </c>
    </row>
    <row r="296" spans="1:7" x14ac:dyDescent="0.15">
      <c r="A296" s="8" t="s">
        <v>890</v>
      </c>
      <c r="B296" s="8" t="s">
        <v>67</v>
      </c>
      <c r="C296" s="8" t="str">
        <f t="shared" si="4"/>
        <v>lc_spdp</v>
      </c>
      <c r="D296" s="9" t="s">
        <v>14</v>
      </c>
      <c r="E296" s="8" t="s">
        <v>891</v>
      </c>
      <c r="F296" s="8" t="s">
        <v>892</v>
      </c>
      <c r="G296" s="8">
        <v>500</v>
      </c>
    </row>
    <row r="297" spans="1:7" x14ac:dyDescent="0.15">
      <c r="A297" s="8" t="s">
        <v>893</v>
      </c>
      <c r="B297" s="8" t="s">
        <v>67</v>
      </c>
      <c r="C297" s="8" t="str">
        <f t="shared" si="4"/>
        <v>pdph</v>
      </c>
      <c r="D297" s="9" t="s">
        <v>14</v>
      </c>
      <c r="E297" s="8" t="s">
        <v>894</v>
      </c>
      <c r="F297" s="8" t="s">
        <v>895</v>
      </c>
      <c r="G297" s="8">
        <v>500</v>
      </c>
    </row>
    <row r="298" spans="1:7" x14ac:dyDescent="0.15">
      <c r="A298" s="8" t="s">
        <v>896</v>
      </c>
      <c r="B298" s="8" t="s">
        <v>67</v>
      </c>
      <c r="C298" s="8" t="str">
        <f t="shared" si="4"/>
        <v>peg12_spdp</v>
      </c>
      <c r="D298" s="9" t="s">
        <v>14</v>
      </c>
      <c r="E298" s="8" t="s">
        <v>897</v>
      </c>
      <c r="F298" s="8" t="s">
        <v>898</v>
      </c>
      <c r="G298" s="8">
        <v>500</v>
      </c>
    </row>
    <row r="299" spans="1:7" x14ac:dyDescent="0.15">
      <c r="A299" s="8" t="s">
        <v>899</v>
      </c>
      <c r="B299" s="8" t="s">
        <v>67</v>
      </c>
      <c r="C299" s="8" t="str">
        <f t="shared" si="4"/>
        <v>peg4_spdp</v>
      </c>
      <c r="D299" s="9" t="s">
        <v>14</v>
      </c>
      <c r="E299" s="8" t="s">
        <v>900</v>
      </c>
      <c r="F299" s="8" t="s">
        <v>901</v>
      </c>
      <c r="G299" s="8">
        <v>500</v>
      </c>
    </row>
    <row r="300" spans="1:7" x14ac:dyDescent="0.15">
      <c r="A300" s="8" t="s">
        <v>902</v>
      </c>
      <c r="B300" s="8" t="s">
        <v>67</v>
      </c>
      <c r="C300" s="8" t="str">
        <f t="shared" si="4"/>
        <v>sdad</v>
      </c>
      <c r="D300" s="9" t="s">
        <v>14</v>
      </c>
      <c r="E300" s="8" t="s">
        <v>903</v>
      </c>
      <c r="F300" s="8" t="s">
        <v>904</v>
      </c>
      <c r="G300" s="8">
        <v>500</v>
      </c>
    </row>
    <row r="301" spans="1:7" x14ac:dyDescent="0.15">
      <c r="A301" s="8" t="s">
        <v>905</v>
      </c>
      <c r="B301" s="8" t="s">
        <v>67</v>
      </c>
      <c r="C301" s="8" t="str">
        <f t="shared" si="4"/>
        <v>smcc</v>
      </c>
      <c r="D301" s="9" t="s">
        <v>14</v>
      </c>
      <c r="E301" s="8" t="s">
        <v>906</v>
      </c>
      <c r="F301" s="8" t="s">
        <v>907</v>
      </c>
      <c r="G301" s="8">
        <v>500</v>
      </c>
    </row>
    <row r="302" spans="1:7" x14ac:dyDescent="0.15">
      <c r="A302" s="8" t="s">
        <v>908</v>
      </c>
      <c r="B302" s="8" t="s">
        <v>67</v>
      </c>
      <c r="C302" s="8" t="str">
        <f t="shared" si="4"/>
        <v>smpt</v>
      </c>
      <c r="D302" s="9" t="s">
        <v>14</v>
      </c>
      <c r="E302" s="8" t="s">
        <v>909</v>
      </c>
      <c r="F302" s="8" t="s">
        <v>910</v>
      </c>
      <c r="G302" s="8">
        <v>500</v>
      </c>
    </row>
    <row r="303" spans="1:7" x14ac:dyDescent="0.15">
      <c r="A303" s="8" t="s">
        <v>911</v>
      </c>
      <c r="B303" s="8" t="s">
        <v>67</v>
      </c>
      <c r="C303" s="8" t="str">
        <f t="shared" si="4"/>
        <v>spdp</v>
      </c>
      <c r="D303" s="9" t="s">
        <v>14</v>
      </c>
      <c r="E303" s="8" t="s">
        <v>912</v>
      </c>
      <c r="F303" s="8" t="s">
        <v>913</v>
      </c>
      <c r="G303" s="8">
        <v>500</v>
      </c>
    </row>
    <row r="304" spans="1:7" x14ac:dyDescent="0.15">
      <c r="A304" s="8" t="s">
        <v>914</v>
      </c>
      <c r="B304" s="8" t="s">
        <v>67</v>
      </c>
      <c r="C304" s="8" t="str">
        <f t="shared" si="4"/>
        <v>sulfo_lc_spdp</v>
      </c>
      <c r="D304" s="9" t="s">
        <v>14</v>
      </c>
      <c r="E304" s="8" t="s">
        <v>915</v>
      </c>
      <c r="F304" s="8" t="s">
        <v>916</v>
      </c>
      <c r="G304" s="8">
        <v>500</v>
      </c>
    </row>
    <row r="305" spans="1:7" x14ac:dyDescent="0.15">
      <c r="A305" s="8" t="s">
        <v>917</v>
      </c>
      <c r="B305" s="8" t="s">
        <v>67</v>
      </c>
      <c r="C305" s="8" t="str">
        <f t="shared" si="4"/>
        <v>sulfo_sanpah</v>
      </c>
      <c r="D305" s="9" t="s">
        <v>14</v>
      </c>
      <c r="E305" s="8" t="s">
        <v>918</v>
      </c>
      <c r="F305" s="8" t="s">
        <v>919</v>
      </c>
      <c r="G305" s="8">
        <v>500</v>
      </c>
    </row>
    <row r="306" spans="1:7" x14ac:dyDescent="0.15">
      <c r="A306" s="8" t="s">
        <v>920</v>
      </c>
      <c r="B306" s="8" t="s">
        <v>67</v>
      </c>
      <c r="C306" s="8" t="str">
        <f t="shared" si="4"/>
        <v>sulfo_sdad</v>
      </c>
      <c r="D306" s="9" t="s">
        <v>14</v>
      </c>
      <c r="E306" s="8" t="s">
        <v>921</v>
      </c>
      <c r="F306" s="8" t="s">
        <v>922</v>
      </c>
      <c r="G306" s="8">
        <v>500</v>
      </c>
    </row>
    <row r="307" spans="1:7" x14ac:dyDescent="0.15">
      <c r="A307" s="8" t="s">
        <v>923</v>
      </c>
      <c r="B307" s="8" t="s">
        <v>924</v>
      </c>
      <c r="C307" s="8" t="str">
        <f t="shared" si="4"/>
        <v>database_orf_search</v>
      </c>
      <c r="D307" s="9" t="s">
        <v>14</v>
      </c>
      <c r="E307" s="8" t="s">
        <v>925</v>
      </c>
      <c r="F307" s="8" t="s">
        <v>926</v>
      </c>
      <c r="G307" s="8">
        <v>500</v>
      </c>
    </row>
    <row r="308" spans="1:7" x14ac:dyDescent="0.15">
      <c r="A308" s="8" t="s">
        <v>927</v>
      </c>
      <c r="B308" s="8" t="s">
        <v>924</v>
      </c>
      <c r="C308" s="8" t="str">
        <f t="shared" si="4"/>
        <v>database_search</v>
      </c>
      <c r="D308" s="9" t="s">
        <v>14</v>
      </c>
      <c r="E308" s="8" t="s">
        <v>928</v>
      </c>
      <c r="F308" s="8" t="s">
        <v>929</v>
      </c>
      <c r="G308" s="8">
        <v>500</v>
      </c>
    </row>
    <row r="309" spans="1:7" x14ac:dyDescent="0.15">
      <c r="A309" s="8" t="s">
        <v>930</v>
      </c>
      <c r="B309" s="8" t="s">
        <v>924</v>
      </c>
      <c r="C309" s="8" t="str">
        <f t="shared" si="4"/>
        <v>de_novo</v>
      </c>
      <c r="D309" s="9" t="s">
        <v>14</v>
      </c>
      <c r="E309" s="8" t="s">
        <v>931</v>
      </c>
      <c r="F309" s="8" t="s">
        <v>931</v>
      </c>
      <c r="G309" s="8">
        <v>500</v>
      </c>
    </row>
    <row r="310" spans="1:7" x14ac:dyDescent="0.15">
      <c r="A310" s="8" t="s">
        <v>932</v>
      </c>
      <c r="B310" s="8" t="s">
        <v>70</v>
      </c>
      <c r="C310" s="8" t="str">
        <f t="shared" si="4"/>
        <v>chaps</v>
      </c>
      <c r="D310" s="9" t="s">
        <v>14</v>
      </c>
      <c r="E310" s="8" t="s">
        <v>933</v>
      </c>
      <c r="F310" s="8" t="s">
        <v>934</v>
      </c>
      <c r="G310" s="8">
        <v>500</v>
      </c>
    </row>
    <row r="311" spans="1:7" x14ac:dyDescent="0.15">
      <c r="A311" s="8" t="s">
        <v>935</v>
      </c>
      <c r="B311" s="8" t="s">
        <v>70</v>
      </c>
      <c r="C311" s="8" t="str">
        <f t="shared" si="4"/>
        <v>dmm</v>
      </c>
      <c r="D311" s="9" t="s">
        <v>14</v>
      </c>
      <c r="E311" s="8" t="s">
        <v>936</v>
      </c>
      <c r="F311" s="8" t="s">
        <v>937</v>
      </c>
      <c r="G311" s="8">
        <v>500</v>
      </c>
    </row>
    <row r="312" spans="1:7" x14ac:dyDescent="0.15">
      <c r="A312" s="8" t="s">
        <v>938</v>
      </c>
      <c r="B312" s="8" t="s">
        <v>70</v>
      </c>
      <c r="C312" s="8" t="str">
        <f t="shared" si="4"/>
        <v>np40</v>
      </c>
      <c r="D312" s="9" t="s">
        <v>14</v>
      </c>
      <c r="E312" s="8" t="s">
        <v>939</v>
      </c>
      <c r="F312" s="8" t="s">
        <v>940</v>
      </c>
      <c r="G312" s="8">
        <v>500</v>
      </c>
    </row>
    <row r="313" spans="1:7" x14ac:dyDescent="0.15">
      <c r="A313" s="8" t="s">
        <v>941</v>
      </c>
      <c r="B313" s="8" t="s">
        <v>70</v>
      </c>
      <c r="C313" s="8" t="str">
        <f t="shared" si="4"/>
        <v>og</v>
      </c>
      <c r="D313" s="9" t="s">
        <v>14</v>
      </c>
      <c r="E313" s="8" t="s">
        <v>942</v>
      </c>
      <c r="F313" s="8" t="s">
        <v>943</v>
      </c>
      <c r="G313" s="8">
        <v>500</v>
      </c>
    </row>
    <row r="314" spans="1:7" x14ac:dyDescent="0.15">
      <c r="A314" s="8" t="s">
        <v>944</v>
      </c>
      <c r="B314" s="8" t="s">
        <v>70</v>
      </c>
      <c r="C314" s="8" t="str">
        <f t="shared" si="4"/>
        <v>otg</v>
      </c>
      <c r="D314" s="9" t="s">
        <v>14</v>
      </c>
      <c r="E314" s="8" t="s">
        <v>945</v>
      </c>
      <c r="F314" s="8" t="s">
        <v>946</v>
      </c>
      <c r="G314" s="8">
        <v>500</v>
      </c>
    </row>
    <row r="315" spans="1:7" x14ac:dyDescent="0.15">
      <c r="A315" s="8" t="s">
        <v>947</v>
      </c>
      <c r="B315" s="8" t="s">
        <v>70</v>
      </c>
      <c r="C315" s="8" t="str">
        <f t="shared" si="4"/>
        <v>sds</v>
      </c>
      <c r="D315" s="9" t="s">
        <v>14</v>
      </c>
      <c r="E315" s="8" t="s">
        <v>948</v>
      </c>
      <c r="F315" s="8" t="s">
        <v>949</v>
      </c>
      <c r="G315" s="8">
        <v>500</v>
      </c>
    </row>
    <row r="316" spans="1:7" x14ac:dyDescent="0.15">
      <c r="A316" s="8" t="s">
        <v>950</v>
      </c>
      <c r="B316" s="8" t="s">
        <v>70</v>
      </c>
      <c r="C316" s="8" t="str">
        <f t="shared" si="4"/>
        <v>tritonx100</v>
      </c>
      <c r="D316" s="9" t="s">
        <v>14</v>
      </c>
      <c r="E316" s="8" t="s">
        <v>951</v>
      </c>
      <c r="F316" s="8" t="s">
        <v>952</v>
      </c>
      <c r="G316" s="8">
        <v>500</v>
      </c>
    </row>
    <row r="317" spans="1:7" x14ac:dyDescent="0.15">
      <c r="A317" s="8" t="s">
        <v>953</v>
      </c>
      <c r="B317" s="8" t="s">
        <v>70</v>
      </c>
      <c r="C317" s="8" t="str">
        <f t="shared" si="4"/>
        <v>tween20</v>
      </c>
      <c r="D317" s="9" t="s">
        <v>14</v>
      </c>
      <c r="E317" s="8" t="s">
        <v>954</v>
      </c>
      <c r="F317" s="8" t="s">
        <v>955</v>
      </c>
      <c r="G317" s="8">
        <v>500</v>
      </c>
    </row>
    <row r="318" spans="1:7" x14ac:dyDescent="0.15">
      <c r="A318" s="8" t="s">
        <v>956</v>
      </c>
      <c r="B318" s="8" t="s">
        <v>70</v>
      </c>
      <c r="C318" s="8" t="str">
        <f t="shared" si="4"/>
        <v>tween80</v>
      </c>
      <c r="D318" s="9" t="s">
        <v>14</v>
      </c>
      <c r="E318" s="8" t="s">
        <v>957</v>
      </c>
      <c r="F318" s="8" t="s">
        <v>958</v>
      </c>
      <c r="G318" s="8">
        <v>500</v>
      </c>
    </row>
    <row r="319" spans="1:7" x14ac:dyDescent="0.15">
      <c r="A319" s="8">
        <v>1200</v>
      </c>
      <c r="B319" s="8" t="s">
        <v>74</v>
      </c>
      <c r="C319" s="8">
        <f t="shared" si="4"/>
        <v>1200</v>
      </c>
      <c r="D319" s="9" t="s">
        <v>14</v>
      </c>
      <c r="E319" s="8">
        <v>1200</v>
      </c>
      <c r="F319" s="9" t="s">
        <v>14</v>
      </c>
      <c r="G319" s="8">
        <v>500</v>
      </c>
    </row>
    <row r="320" spans="1:7" x14ac:dyDescent="0.15">
      <c r="A320" s="8">
        <v>800</v>
      </c>
      <c r="B320" s="8" t="s">
        <v>74</v>
      </c>
      <c r="C320" s="8">
        <f t="shared" si="4"/>
        <v>800</v>
      </c>
      <c r="D320" s="9" t="s">
        <v>14</v>
      </c>
      <c r="E320" s="8">
        <v>800</v>
      </c>
      <c r="F320" s="9" t="s">
        <v>14</v>
      </c>
      <c r="G320" s="8">
        <v>500</v>
      </c>
    </row>
    <row r="321" spans="1:7" x14ac:dyDescent="0.15">
      <c r="A321" s="8">
        <v>400</v>
      </c>
      <c r="B321" s="8" t="s">
        <v>76</v>
      </c>
      <c r="C321" s="8">
        <f t="shared" si="4"/>
        <v>400</v>
      </c>
      <c r="D321" s="9" t="s">
        <v>14</v>
      </c>
      <c r="E321" s="8">
        <v>400</v>
      </c>
      <c r="F321" s="9" t="s">
        <v>14</v>
      </c>
      <c r="G321" s="8">
        <v>500</v>
      </c>
    </row>
    <row r="322" spans="1:7" x14ac:dyDescent="0.15">
      <c r="A322" s="8">
        <v>30</v>
      </c>
      <c r="B322" s="8" t="s">
        <v>75</v>
      </c>
      <c r="C322" s="8">
        <f t="shared" si="4"/>
        <v>30</v>
      </c>
      <c r="D322" s="9" t="s">
        <v>14</v>
      </c>
      <c r="E322" s="8">
        <v>30</v>
      </c>
      <c r="F322" s="8" t="s">
        <v>959</v>
      </c>
      <c r="G322" s="8">
        <v>500</v>
      </c>
    </row>
    <row r="323" spans="1:7" x14ac:dyDescent="0.15">
      <c r="A323" s="8">
        <v>34</v>
      </c>
      <c r="B323" s="8" t="s">
        <v>75</v>
      </c>
      <c r="C323" s="8">
        <f t="shared" si="4"/>
        <v>34</v>
      </c>
      <c r="D323" s="9" t="s">
        <v>14</v>
      </c>
      <c r="E323" s="8">
        <v>30</v>
      </c>
      <c r="F323" s="8" t="s">
        <v>3121</v>
      </c>
      <c r="G323" s="8">
        <v>500</v>
      </c>
    </row>
    <row r="324" spans="1:7" x14ac:dyDescent="0.15">
      <c r="A324" s="8">
        <v>40</v>
      </c>
      <c r="B324" s="8" t="s">
        <v>75</v>
      </c>
      <c r="C324" s="8">
        <f t="shared" si="4"/>
        <v>40</v>
      </c>
      <c r="D324" s="9" t="s">
        <v>14</v>
      </c>
      <c r="E324" s="8">
        <v>40</v>
      </c>
      <c r="F324" s="8" t="s">
        <v>960</v>
      </c>
      <c r="G324" s="8">
        <v>500</v>
      </c>
    </row>
    <row r="325" spans="1:7" x14ac:dyDescent="0.15">
      <c r="A325" s="8" t="s">
        <v>961</v>
      </c>
      <c r="B325" s="8" t="s">
        <v>24</v>
      </c>
      <c r="C325" s="8" t="str">
        <f t="shared" si="4"/>
        <v>fasp</v>
      </c>
      <c r="D325" s="9" t="s">
        <v>14</v>
      </c>
      <c r="E325" s="8" t="s">
        <v>962</v>
      </c>
      <c r="F325" s="8" t="s">
        <v>963</v>
      </c>
      <c r="G325" s="8">
        <v>500</v>
      </c>
    </row>
    <row r="326" spans="1:7" x14ac:dyDescent="0.15">
      <c r="A326" s="8" t="s">
        <v>964</v>
      </c>
      <c r="B326" s="8" t="s">
        <v>24</v>
      </c>
      <c r="C326" s="8" t="str">
        <f t="shared" ref="C326:C392" si="5">A326</f>
        <v>ingel</v>
      </c>
      <c r="D326" s="9" t="s">
        <v>14</v>
      </c>
      <c r="E326" s="8" t="s">
        <v>965</v>
      </c>
      <c r="F326" s="8" t="s">
        <v>966</v>
      </c>
      <c r="G326" s="8">
        <v>500</v>
      </c>
    </row>
    <row r="327" spans="1:7" x14ac:dyDescent="0.15">
      <c r="A327" s="8" t="s">
        <v>967</v>
      </c>
      <c r="B327" s="8" t="s">
        <v>24</v>
      </c>
      <c r="C327" s="8" t="str">
        <f t="shared" si="5"/>
        <v>insol</v>
      </c>
      <c r="D327" s="9" t="s">
        <v>14</v>
      </c>
      <c r="E327" s="8" t="s">
        <v>968</v>
      </c>
      <c r="F327" s="8" t="s">
        <v>969</v>
      </c>
      <c r="G327" s="8">
        <v>500</v>
      </c>
    </row>
    <row r="328" spans="1:7" x14ac:dyDescent="0.15">
      <c r="A328" s="8" t="s">
        <v>970</v>
      </c>
      <c r="B328" s="8" t="s">
        <v>24</v>
      </c>
      <c r="C328" s="8" t="str">
        <f t="shared" si="5"/>
        <v>sp3</v>
      </c>
      <c r="D328" s="9" t="s">
        <v>14</v>
      </c>
      <c r="E328" s="8" t="s">
        <v>971</v>
      </c>
      <c r="F328" s="8" t="s">
        <v>972</v>
      </c>
      <c r="G328" s="8">
        <v>500</v>
      </c>
    </row>
    <row r="329" spans="1:7" x14ac:dyDescent="0.15">
      <c r="A329" s="8" t="s">
        <v>973</v>
      </c>
      <c r="B329" s="8" t="s">
        <v>78</v>
      </c>
      <c r="C329" s="8" t="str">
        <f t="shared" si="5"/>
        <v>23c</v>
      </c>
      <c r="D329" s="9" t="s">
        <v>14</v>
      </c>
      <c r="E329" s="8" t="s">
        <v>974</v>
      </c>
      <c r="F329" s="8" t="s">
        <v>975</v>
      </c>
      <c r="G329" s="8">
        <v>500</v>
      </c>
    </row>
    <row r="330" spans="1:7" x14ac:dyDescent="0.15">
      <c r="A330" s="8" t="s">
        <v>976</v>
      </c>
      <c r="B330" s="8" t="s">
        <v>78</v>
      </c>
      <c r="C330" s="8" t="str">
        <f t="shared" si="5"/>
        <v>37c</v>
      </c>
      <c r="D330" s="9" t="s">
        <v>14</v>
      </c>
      <c r="E330" s="8" t="s">
        <v>977</v>
      </c>
      <c r="F330" s="8" t="s">
        <v>978</v>
      </c>
      <c r="G330" s="8">
        <v>500</v>
      </c>
    </row>
    <row r="331" spans="1:7" x14ac:dyDescent="0.15">
      <c r="A331" s="8" t="s">
        <v>979</v>
      </c>
      <c r="B331" s="8" t="s">
        <v>79</v>
      </c>
      <c r="C331" s="8" t="str">
        <f t="shared" si="5"/>
        <v>12h</v>
      </c>
      <c r="D331" s="9" t="s">
        <v>14</v>
      </c>
      <c r="E331" s="8" t="s">
        <v>980</v>
      </c>
      <c r="F331" s="8" t="s">
        <v>981</v>
      </c>
      <c r="G331" s="8">
        <v>500</v>
      </c>
    </row>
    <row r="332" spans="1:7" x14ac:dyDescent="0.15">
      <c r="A332" s="8" t="s">
        <v>982</v>
      </c>
      <c r="B332" s="8" t="s">
        <v>79</v>
      </c>
      <c r="C332" s="8" t="str">
        <f t="shared" si="5"/>
        <v>16h</v>
      </c>
      <c r="D332" s="9" t="s">
        <v>14</v>
      </c>
      <c r="E332" s="8" t="s">
        <v>983</v>
      </c>
      <c r="F332" s="8" t="s">
        <v>984</v>
      </c>
      <c r="G332" s="8">
        <v>500</v>
      </c>
    </row>
    <row r="333" spans="1:7" x14ac:dyDescent="0.15">
      <c r="A333" s="8" t="s">
        <v>985</v>
      </c>
      <c r="B333" s="8" t="s">
        <v>79</v>
      </c>
      <c r="C333" s="8" t="str">
        <f t="shared" si="5"/>
        <v>8h</v>
      </c>
      <c r="D333" s="9" t="s">
        <v>14</v>
      </c>
      <c r="E333" s="8" t="s">
        <v>986</v>
      </c>
      <c r="F333" s="8" t="s">
        <v>987</v>
      </c>
      <c r="G333" s="8">
        <v>500</v>
      </c>
    </row>
    <row r="334" spans="1:7" x14ac:dyDescent="0.15">
      <c r="A334" s="8" t="s">
        <v>988</v>
      </c>
      <c r="B334" s="8" t="s">
        <v>80</v>
      </c>
      <c r="C334" s="8" t="str">
        <f t="shared" si="5"/>
        <v>384well_plate</v>
      </c>
      <c r="D334" s="9" t="s">
        <v>14</v>
      </c>
      <c r="E334" s="8" t="s">
        <v>989</v>
      </c>
      <c r="F334" s="8" t="s">
        <v>989</v>
      </c>
      <c r="G334" s="8">
        <v>500</v>
      </c>
    </row>
    <row r="335" spans="1:7" x14ac:dyDescent="0.15">
      <c r="A335" s="8" t="s">
        <v>990</v>
      </c>
      <c r="B335" s="8" t="s">
        <v>80</v>
      </c>
      <c r="C335" s="8" t="str">
        <f t="shared" si="5"/>
        <v>96well_plate</v>
      </c>
      <c r="D335" s="9" t="s">
        <v>14</v>
      </c>
      <c r="E335" s="8" t="s">
        <v>991</v>
      </c>
      <c r="F335" s="8" t="s">
        <v>992</v>
      </c>
      <c r="G335" s="8">
        <v>500</v>
      </c>
    </row>
    <row r="336" spans="1:7" x14ac:dyDescent="0.15">
      <c r="A336" s="8" t="s">
        <v>993</v>
      </c>
      <c r="B336" s="8" t="s">
        <v>80</v>
      </c>
      <c r="C336" s="8" t="str">
        <f t="shared" si="5"/>
        <v>onefive_ml_tube</v>
      </c>
      <c r="D336" s="9" t="s">
        <v>14</v>
      </c>
      <c r="E336" s="8" t="s">
        <v>994</v>
      </c>
      <c r="F336" s="8" t="s">
        <v>995</v>
      </c>
      <c r="G336" s="8">
        <v>500</v>
      </c>
    </row>
    <row r="337" spans="1:7" x14ac:dyDescent="0.15">
      <c r="A337" s="8" t="s">
        <v>996</v>
      </c>
      <c r="B337" s="8" t="s">
        <v>80</v>
      </c>
      <c r="C337" s="8" t="str">
        <f t="shared" si="5"/>
        <v>pcrstripe</v>
      </c>
      <c r="D337" s="9" t="s">
        <v>14</v>
      </c>
      <c r="E337" s="8" t="s">
        <v>997</v>
      </c>
      <c r="F337" s="8" t="s">
        <v>997</v>
      </c>
      <c r="G337" s="8">
        <v>500</v>
      </c>
    </row>
    <row r="338" spans="1:7" x14ac:dyDescent="0.15">
      <c r="A338" s="8" t="s">
        <v>998</v>
      </c>
      <c r="B338" s="8" t="s">
        <v>80</v>
      </c>
      <c r="C338" s="8" t="str">
        <f t="shared" si="5"/>
        <v>two_ml_tube</v>
      </c>
      <c r="D338" s="9" t="s">
        <v>14</v>
      </c>
      <c r="E338" s="8" t="s">
        <v>999</v>
      </c>
      <c r="F338" s="8" t="s">
        <v>1000</v>
      </c>
      <c r="G338" s="8">
        <v>500</v>
      </c>
    </row>
    <row r="339" spans="1:7" x14ac:dyDescent="0.15">
      <c r="A339" s="8" t="s">
        <v>1001</v>
      </c>
      <c r="B339" s="8" t="s">
        <v>82</v>
      </c>
      <c r="C339" s="8" t="str">
        <f t="shared" si="5"/>
        <v>als</v>
      </c>
      <c r="D339" s="8" t="s">
        <v>1001</v>
      </c>
      <c r="E339" s="8" t="s">
        <v>1002</v>
      </c>
      <c r="F339" s="8" t="s">
        <v>1003</v>
      </c>
      <c r="G339" s="8">
        <v>500</v>
      </c>
    </row>
    <row r="340" spans="1:7" x14ac:dyDescent="0.15">
      <c r="A340" s="8" t="s">
        <v>1004</v>
      </c>
      <c r="B340" s="8" t="s">
        <v>82</v>
      </c>
      <c r="C340" s="8" t="str">
        <f t="shared" si="5"/>
        <v>alzheimer</v>
      </c>
      <c r="D340" s="8" t="s">
        <v>1004</v>
      </c>
      <c r="E340" s="8" t="s">
        <v>1005</v>
      </c>
      <c r="F340" s="8" t="s">
        <v>1006</v>
      </c>
      <c r="G340" s="8">
        <v>500</v>
      </c>
    </row>
    <row r="341" spans="1:7" x14ac:dyDescent="0.15">
      <c r="A341" s="8" t="s">
        <v>1007</v>
      </c>
      <c r="B341" s="8" t="s">
        <v>82</v>
      </c>
      <c r="C341" s="8" t="str">
        <f t="shared" si="5"/>
        <v>autoimmune</v>
      </c>
      <c r="D341" s="8" t="s">
        <v>1007</v>
      </c>
      <c r="E341" s="8" t="s">
        <v>1008</v>
      </c>
      <c r="F341" s="8" t="s">
        <v>1009</v>
      </c>
      <c r="G341" s="8">
        <v>500</v>
      </c>
    </row>
    <row r="342" spans="1:7" x14ac:dyDescent="0.15">
      <c r="A342" s="8" t="s">
        <v>1010</v>
      </c>
      <c r="B342" s="8" t="s">
        <v>82</v>
      </c>
      <c r="C342" s="8" t="str">
        <f t="shared" si="5"/>
        <v>cancer</v>
      </c>
      <c r="D342" s="8" t="s">
        <v>1010</v>
      </c>
      <c r="E342" s="8" t="s">
        <v>1011</v>
      </c>
      <c r="F342" s="8" t="s">
        <v>1012</v>
      </c>
      <c r="G342" s="8">
        <v>500</v>
      </c>
    </row>
    <row r="343" spans="1:7" x14ac:dyDescent="0.15">
      <c r="A343" s="8" t="s">
        <v>1013</v>
      </c>
      <c r="B343" s="8" t="s">
        <v>82</v>
      </c>
      <c r="C343" s="8" t="str">
        <f t="shared" si="5"/>
        <v>cardiovascular_diseases</v>
      </c>
      <c r="D343" s="8" t="s">
        <v>1014</v>
      </c>
      <c r="E343" s="8" t="s">
        <v>1015</v>
      </c>
      <c r="F343" s="8" t="s">
        <v>1016</v>
      </c>
      <c r="G343" s="8">
        <v>500</v>
      </c>
    </row>
    <row r="344" spans="1:7" x14ac:dyDescent="0.15">
      <c r="A344" s="8" t="s">
        <v>1017</v>
      </c>
      <c r="B344" s="8" t="s">
        <v>82</v>
      </c>
      <c r="C344" s="8" t="str">
        <f t="shared" si="5"/>
        <v>chronic_inflammation</v>
      </c>
      <c r="D344" s="8" t="s">
        <v>1018</v>
      </c>
      <c r="E344" s="8" t="s">
        <v>1019</v>
      </c>
      <c r="F344" s="8" t="s">
        <v>1020</v>
      </c>
      <c r="G344" s="8">
        <v>500</v>
      </c>
    </row>
    <row r="345" spans="1:7" x14ac:dyDescent="0.15">
      <c r="A345" s="8" t="s">
        <v>1021</v>
      </c>
      <c r="B345" s="8" t="s">
        <v>82</v>
      </c>
      <c r="C345" s="8" t="str">
        <f t="shared" si="5"/>
        <v>coeliac</v>
      </c>
      <c r="D345" s="8" t="s">
        <v>1021</v>
      </c>
      <c r="E345" s="8" t="s">
        <v>1022</v>
      </c>
      <c r="F345" s="8" t="s">
        <v>1023</v>
      </c>
      <c r="G345" s="8">
        <v>500</v>
      </c>
    </row>
    <row r="346" spans="1:7" x14ac:dyDescent="0.15">
      <c r="A346" s="8" t="s">
        <v>1024</v>
      </c>
      <c r="B346" s="8" t="s">
        <v>82</v>
      </c>
      <c r="C346" s="8" t="str">
        <f t="shared" si="5"/>
        <v>covid19</v>
      </c>
      <c r="D346" s="8" t="s">
        <v>1024</v>
      </c>
      <c r="E346" s="8" t="s">
        <v>1025</v>
      </c>
      <c r="F346" s="8" t="s">
        <v>1026</v>
      </c>
      <c r="G346" s="8">
        <v>500</v>
      </c>
    </row>
    <row r="347" spans="1:7" x14ac:dyDescent="0.15">
      <c r="A347" s="8" t="s">
        <v>1027</v>
      </c>
      <c r="B347" s="8" t="s">
        <v>82</v>
      </c>
      <c r="C347" s="8" t="str">
        <f t="shared" si="5"/>
        <v>dementia</v>
      </c>
      <c r="D347" s="8" t="s">
        <v>1027</v>
      </c>
      <c r="E347" s="8" t="s">
        <v>1028</v>
      </c>
      <c r="F347" s="8" t="s">
        <v>1028</v>
      </c>
      <c r="G347" s="8">
        <v>500</v>
      </c>
    </row>
    <row r="348" spans="1:7" x14ac:dyDescent="0.15">
      <c r="A348" s="8" t="s">
        <v>1029</v>
      </c>
      <c r="B348" s="8" t="s">
        <v>82</v>
      </c>
      <c r="C348" s="8" t="str">
        <f t="shared" si="5"/>
        <v>demyelinating</v>
      </c>
      <c r="D348" s="8" t="s">
        <v>1029</v>
      </c>
      <c r="E348" s="8" t="s">
        <v>1030</v>
      </c>
      <c r="F348" s="8" t="s">
        <v>1031</v>
      </c>
      <c r="G348" s="8">
        <v>500</v>
      </c>
    </row>
    <row r="349" spans="1:7" x14ac:dyDescent="0.15">
      <c r="A349" s="8" t="s">
        <v>1032</v>
      </c>
      <c r="B349" s="8" t="s">
        <v>82</v>
      </c>
      <c r="C349" s="8" t="str">
        <f t="shared" si="5"/>
        <v>diabetes</v>
      </c>
      <c r="D349" s="8" t="s">
        <v>1032</v>
      </c>
      <c r="E349" s="8" t="s">
        <v>1033</v>
      </c>
      <c r="F349" s="8" t="s">
        <v>1033</v>
      </c>
      <c r="G349" s="8">
        <v>500</v>
      </c>
    </row>
    <row r="350" spans="1:7" x14ac:dyDescent="0.15">
      <c r="A350" s="8" t="s">
        <v>1034</v>
      </c>
      <c r="B350" s="8" t="s">
        <v>82</v>
      </c>
      <c r="C350" s="8" t="str">
        <f t="shared" si="5"/>
        <v>glioblastoma</v>
      </c>
      <c r="D350" s="8" t="s">
        <v>1034</v>
      </c>
      <c r="E350" s="8" t="s">
        <v>1035</v>
      </c>
      <c r="F350" s="8" t="s">
        <v>1036</v>
      </c>
      <c r="G350" s="8">
        <v>500</v>
      </c>
    </row>
    <row r="351" spans="1:7" x14ac:dyDescent="0.15">
      <c r="A351" s="8" t="s">
        <v>1037</v>
      </c>
      <c r="B351" s="8" t="s">
        <v>82</v>
      </c>
      <c r="C351" s="8" t="str">
        <f t="shared" si="5"/>
        <v>hiv</v>
      </c>
      <c r="D351" s="8" t="s">
        <v>1037</v>
      </c>
      <c r="E351" s="8" t="s">
        <v>1038</v>
      </c>
      <c r="F351" s="8" t="s">
        <v>1039</v>
      </c>
      <c r="G351" s="8">
        <v>500</v>
      </c>
    </row>
    <row r="352" spans="1:7" x14ac:dyDescent="0.15">
      <c r="A352" s="8" t="s">
        <v>1040</v>
      </c>
      <c r="B352" s="8" t="s">
        <v>82</v>
      </c>
      <c r="C352" s="8" t="str">
        <f t="shared" si="5"/>
        <v>huntington</v>
      </c>
      <c r="D352" s="8" t="s">
        <v>1040</v>
      </c>
      <c r="E352" s="8" t="s">
        <v>1041</v>
      </c>
      <c r="F352" s="8" t="s">
        <v>1042</v>
      </c>
      <c r="G352" s="8">
        <v>500</v>
      </c>
    </row>
    <row r="353" spans="1:7" x14ac:dyDescent="0.15">
      <c r="A353" s="8" t="s">
        <v>1043</v>
      </c>
      <c r="B353" s="8" t="s">
        <v>82</v>
      </c>
      <c r="C353" s="8" t="str">
        <f t="shared" si="5"/>
        <v>ibd</v>
      </c>
      <c r="D353" s="8" t="s">
        <v>1043</v>
      </c>
      <c r="E353" s="8" t="s">
        <v>1044</v>
      </c>
      <c r="F353" s="8" t="s">
        <v>1045</v>
      </c>
      <c r="G353" s="8">
        <v>500</v>
      </c>
    </row>
    <row r="354" spans="1:7" x14ac:dyDescent="0.15">
      <c r="A354" s="8" t="s">
        <v>1046</v>
      </c>
      <c r="B354" s="8" t="s">
        <v>82</v>
      </c>
      <c r="C354" s="8" t="str">
        <f t="shared" si="5"/>
        <v>infection</v>
      </c>
      <c r="D354" s="8" t="s">
        <v>1046</v>
      </c>
      <c r="E354" s="8" t="s">
        <v>1047</v>
      </c>
      <c r="F354" s="8" t="s">
        <v>1048</v>
      </c>
      <c r="G354" s="8">
        <v>500</v>
      </c>
    </row>
    <row r="355" spans="1:7" x14ac:dyDescent="0.15">
      <c r="A355" s="8" t="s">
        <v>1049</v>
      </c>
      <c r="B355" s="8" t="s">
        <v>82</v>
      </c>
      <c r="C355" s="8" t="str">
        <f t="shared" si="5"/>
        <v>influenza</v>
      </c>
      <c r="D355" s="8" t="s">
        <v>1049</v>
      </c>
      <c r="E355" s="8" t="s">
        <v>1050</v>
      </c>
      <c r="F355" s="8" t="s">
        <v>1051</v>
      </c>
      <c r="G355" s="8">
        <v>500</v>
      </c>
    </row>
    <row r="356" spans="1:7" x14ac:dyDescent="0.15">
      <c r="A356" s="8" t="s">
        <v>1052</v>
      </c>
      <c r="B356" s="8" t="s">
        <v>82</v>
      </c>
      <c r="C356" s="8" t="str">
        <f t="shared" si="5"/>
        <v>leukemia</v>
      </c>
      <c r="D356" s="8" t="s">
        <v>1052</v>
      </c>
      <c r="E356" s="8" t="s">
        <v>565</v>
      </c>
      <c r="F356" s="8" t="s">
        <v>1053</v>
      </c>
      <c r="G356" s="8">
        <v>500</v>
      </c>
    </row>
    <row r="357" spans="1:7" x14ac:dyDescent="0.15">
      <c r="A357" s="8" t="s">
        <v>1054</v>
      </c>
      <c r="B357" s="8" t="s">
        <v>82</v>
      </c>
      <c r="C357" s="8" t="str">
        <f t="shared" si="5"/>
        <v>lymphoma</v>
      </c>
      <c r="D357" s="8" t="s">
        <v>1054</v>
      </c>
      <c r="E357" s="8" t="s">
        <v>1055</v>
      </c>
      <c r="F357" s="8" t="s">
        <v>1056</v>
      </c>
      <c r="G357" s="8">
        <v>500</v>
      </c>
    </row>
    <row r="358" spans="1:7" x14ac:dyDescent="0.15">
      <c r="A358" s="8" t="s">
        <v>1057</v>
      </c>
      <c r="B358" s="8" t="s">
        <v>82</v>
      </c>
      <c r="C358" s="8" t="str">
        <f t="shared" si="5"/>
        <v>malaria</v>
      </c>
      <c r="D358" s="8" t="s">
        <v>1057</v>
      </c>
      <c r="E358" s="8" t="s">
        <v>1058</v>
      </c>
      <c r="F358" s="8" t="s">
        <v>1059</v>
      </c>
      <c r="G358" s="8">
        <v>500</v>
      </c>
    </row>
    <row r="359" spans="1:7" x14ac:dyDescent="0.15">
      <c r="A359" s="8" t="s">
        <v>22</v>
      </c>
      <c r="B359" s="8" t="s">
        <v>82</v>
      </c>
      <c r="C359" s="8" t="str">
        <f t="shared" si="5"/>
        <v>ms</v>
      </c>
      <c r="D359" s="8" t="s">
        <v>22</v>
      </c>
      <c r="E359" s="8" t="s">
        <v>1060</v>
      </c>
      <c r="F359" s="8" t="s">
        <v>1061</v>
      </c>
      <c r="G359" s="8">
        <v>500</v>
      </c>
    </row>
    <row r="360" spans="1:7" x14ac:dyDescent="0.15">
      <c r="A360" s="8" t="s">
        <v>1062</v>
      </c>
      <c r="B360" s="8" t="s">
        <v>82</v>
      </c>
      <c r="C360" s="8" t="str">
        <f t="shared" si="5"/>
        <v>msa</v>
      </c>
      <c r="D360" s="8" t="s">
        <v>1062</v>
      </c>
      <c r="E360" s="8" t="s">
        <v>1063</v>
      </c>
      <c r="F360" s="8" t="s">
        <v>1064</v>
      </c>
      <c r="G360" s="8">
        <v>500</v>
      </c>
    </row>
    <row r="361" spans="1:7" x14ac:dyDescent="0.15">
      <c r="A361" s="8" t="s">
        <v>1065</v>
      </c>
      <c r="B361" s="8" t="s">
        <v>82</v>
      </c>
      <c r="C361" s="8" t="str">
        <f t="shared" si="5"/>
        <v>neurodegenerative</v>
      </c>
      <c r="D361" s="8" t="s">
        <v>1065</v>
      </c>
      <c r="E361" s="8" t="s">
        <v>1066</v>
      </c>
      <c r="F361" s="8" t="s">
        <v>1067</v>
      </c>
      <c r="G361" s="8">
        <v>500</v>
      </c>
    </row>
    <row r="362" spans="1:7" x14ac:dyDescent="0.15">
      <c r="A362" s="8" t="s">
        <v>1068</v>
      </c>
      <c r="B362" s="8" t="s">
        <v>82</v>
      </c>
      <c r="C362" s="8" t="str">
        <f t="shared" si="5"/>
        <v>parkinson</v>
      </c>
      <c r="D362" s="8" t="s">
        <v>1068</v>
      </c>
      <c r="E362" s="8" t="s">
        <v>1069</v>
      </c>
      <c r="F362" s="8" t="s">
        <v>1070</v>
      </c>
      <c r="G362" s="8">
        <v>500</v>
      </c>
    </row>
    <row r="363" spans="1:7" x14ac:dyDescent="0.15">
      <c r="A363" s="8" t="s">
        <v>1071</v>
      </c>
      <c r="B363" s="8" t="s">
        <v>82</v>
      </c>
      <c r="C363" s="8" t="str">
        <f t="shared" si="5"/>
        <v>prion</v>
      </c>
      <c r="D363" s="8" t="s">
        <v>1071</v>
      </c>
      <c r="E363" s="8" t="s">
        <v>1072</v>
      </c>
      <c r="F363" s="8" t="s">
        <v>1073</v>
      </c>
      <c r="G363" s="8">
        <v>500</v>
      </c>
    </row>
    <row r="364" spans="1:7" x14ac:dyDescent="0.15">
      <c r="A364" s="8" t="s">
        <v>1074</v>
      </c>
      <c r="B364" s="8" t="s">
        <v>82</v>
      </c>
      <c r="C364" s="8" t="str">
        <f t="shared" si="5"/>
        <v>rheumatoid</v>
      </c>
      <c r="D364" s="8" t="s">
        <v>1074</v>
      </c>
      <c r="E364" s="8" t="s">
        <v>1075</v>
      </c>
      <c r="F364" s="8" t="s">
        <v>1076</v>
      </c>
      <c r="G364" s="8">
        <v>500</v>
      </c>
    </row>
    <row r="365" spans="1:7" x14ac:dyDescent="0.15">
      <c r="A365" s="8" t="s">
        <v>1077</v>
      </c>
      <c r="B365" s="8" t="s">
        <v>82</v>
      </c>
      <c r="C365" s="8" t="str">
        <f t="shared" si="5"/>
        <v>stress</v>
      </c>
      <c r="D365" s="8" t="s">
        <v>1077</v>
      </c>
      <c r="E365" s="8" t="s">
        <v>1078</v>
      </c>
      <c r="F365" s="8" t="s">
        <v>1079</v>
      </c>
      <c r="G365" s="8">
        <v>500</v>
      </c>
    </row>
    <row r="366" spans="1:7" x14ac:dyDescent="0.15">
      <c r="A366" s="8" t="s">
        <v>1080</v>
      </c>
      <c r="B366" s="8" t="s">
        <v>82</v>
      </c>
      <c r="C366" s="8" t="str">
        <f t="shared" si="5"/>
        <v>stroke</v>
      </c>
      <c r="D366" s="8" t="s">
        <v>1080</v>
      </c>
      <c r="E366" s="8" t="s">
        <v>1081</v>
      </c>
      <c r="F366" s="8" t="s">
        <v>1082</v>
      </c>
      <c r="G366" s="8">
        <v>500</v>
      </c>
    </row>
    <row r="367" spans="1:7" x14ac:dyDescent="0.15">
      <c r="A367" s="8" t="s">
        <v>1083</v>
      </c>
      <c r="B367" s="8" t="s">
        <v>82</v>
      </c>
      <c r="C367" s="8" t="str">
        <f t="shared" si="5"/>
        <v>tuberculosis</v>
      </c>
      <c r="D367" s="8" t="s">
        <v>1083</v>
      </c>
      <c r="E367" s="8" t="s">
        <v>1084</v>
      </c>
      <c r="F367" s="8" t="s">
        <v>1085</v>
      </c>
      <c r="G367" s="8">
        <v>500</v>
      </c>
    </row>
    <row r="368" spans="1:7" x14ac:dyDescent="0.15">
      <c r="A368" s="8" t="s">
        <v>1086</v>
      </c>
      <c r="B368" s="8" t="s">
        <v>84</v>
      </c>
      <c r="C368" s="8" t="str">
        <f t="shared" si="5"/>
        <v>hypoxia</v>
      </c>
      <c r="D368" s="8" t="s">
        <v>1086</v>
      </c>
      <c r="E368" s="8" t="s">
        <v>1087</v>
      </c>
      <c r="F368" s="8" t="s">
        <v>1088</v>
      </c>
      <c r="G368" s="8">
        <v>500</v>
      </c>
    </row>
    <row r="369" spans="1:7" x14ac:dyDescent="0.15">
      <c r="A369" s="8" t="s">
        <v>1089</v>
      </c>
      <c r="B369" s="8" t="s">
        <v>84</v>
      </c>
      <c r="C369" s="8" t="str">
        <f t="shared" si="5"/>
        <v>normoxia</v>
      </c>
      <c r="D369" s="8" t="s">
        <v>1089</v>
      </c>
      <c r="E369" s="8" t="s">
        <v>1090</v>
      </c>
      <c r="F369" s="8" t="s">
        <v>1091</v>
      </c>
      <c r="G369" s="8">
        <v>500</v>
      </c>
    </row>
    <row r="370" spans="1:7" x14ac:dyDescent="0.15">
      <c r="A370" s="8" t="s">
        <v>1092</v>
      </c>
      <c r="B370" s="8" t="s">
        <v>86</v>
      </c>
      <c r="C370" s="8" t="str">
        <f t="shared" si="5"/>
        <v>acetylome</v>
      </c>
      <c r="D370" s="8" t="s">
        <v>1092</v>
      </c>
      <c r="E370" s="8" t="s">
        <v>1093</v>
      </c>
      <c r="F370" s="8" t="s">
        <v>1093</v>
      </c>
      <c r="G370" s="8">
        <v>500</v>
      </c>
    </row>
    <row r="371" spans="1:7" x14ac:dyDescent="0.15">
      <c r="A371" s="8" t="s">
        <v>1094</v>
      </c>
      <c r="B371" s="8" t="s">
        <v>86</v>
      </c>
      <c r="C371" s="8" t="str">
        <f t="shared" si="5"/>
        <v>dvp</v>
      </c>
      <c r="D371" s="8" t="s">
        <v>1094</v>
      </c>
      <c r="E371" s="8" t="s">
        <v>1095</v>
      </c>
      <c r="F371" s="8" t="s">
        <v>1096</v>
      </c>
      <c r="G371" s="8">
        <v>500</v>
      </c>
    </row>
    <row r="372" spans="1:7" x14ac:dyDescent="0.15">
      <c r="A372" s="8" t="s">
        <v>1097</v>
      </c>
      <c r="B372" s="8" t="s">
        <v>86</v>
      </c>
      <c r="C372" s="8" t="str">
        <f t="shared" si="5"/>
        <v>expression_proteome</v>
      </c>
      <c r="D372" s="8" t="s">
        <v>1098</v>
      </c>
      <c r="E372" s="8" t="s">
        <v>1099</v>
      </c>
      <c r="F372" s="8" t="s">
        <v>4124</v>
      </c>
      <c r="G372" s="8">
        <v>600</v>
      </c>
    </row>
    <row r="373" spans="1:7" x14ac:dyDescent="0.15">
      <c r="A373" s="8" t="s">
        <v>4126</v>
      </c>
      <c r="B373" s="8" t="s">
        <v>86</v>
      </c>
      <c r="C373" s="8" t="str">
        <f t="shared" si="5"/>
        <v>microscoop</v>
      </c>
      <c r="D373" s="8" t="s">
        <v>4126</v>
      </c>
      <c r="E373" s="8" t="s">
        <v>4127</v>
      </c>
      <c r="F373" s="8" t="s">
        <v>4128</v>
      </c>
      <c r="G373" s="8">
        <v>500</v>
      </c>
    </row>
    <row r="374" spans="1:7" x14ac:dyDescent="0.15">
      <c r="A374" s="8" t="s">
        <v>3116</v>
      </c>
      <c r="B374" s="8" t="s">
        <v>86</v>
      </c>
      <c r="C374" s="8" t="str">
        <f t="shared" si="5"/>
        <v>proximity</v>
      </c>
      <c r="D374" s="8" t="s">
        <v>3117</v>
      </c>
      <c r="E374" s="8" t="s">
        <v>3118</v>
      </c>
      <c r="F374" s="8" t="s">
        <v>3119</v>
      </c>
      <c r="G374" s="8">
        <v>500</v>
      </c>
    </row>
    <row r="375" spans="1:7" x14ac:dyDescent="0.15">
      <c r="A375" s="8" t="s">
        <v>1100</v>
      </c>
      <c r="B375" s="8" t="s">
        <v>86</v>
      </c>
      <c r="C375" s="8" t="str">
        <f t="shared" si="5"/>
        <v>interaction</v>
      </c>
      <c r="D375" s="8" t="s">
        <v>1100</v>
      </c>
      <c r="E375" s="8" t="s">
        <v>1101</v>
      </c>
      <c r="F375" s="8" t="s">
        <v>1101</v>
      </c>
      <c r="G375" s="8">
        <v>500</v>
      </c>
    </row>
    <row r="376" spans="1:7" x14ac:dyDescent="0.15">
      <c r="A376" s="8" t="s">
        <v>1102</v>
      </c>
      <c r="B376" s="8" t="s">
        <v>86</v>
      </c>
      <c r="C376" s="8" t="str">
        <f t="shared" si="5"/>
        <v>metrs</v>
      </c>
      <c r="D376" s="8" t="s">
        <v>1102</v>
      </c>
      <c r="E376" s="8" t="s">
        <v>1103</v>
      </c>
      <c r="F376" s="8" t="s">
        <v>1103</v>
      </c>
      <c r="G376" s="8">
        <v>500</v>
      </c>
    </row>
    <row r="377" spans="1:7" x14ac:dyDescent="0.15">
      <c r="A377" s="8" t="s">
        <v>1104</v>
      </c>
      <c r="B377" s="8" t="s">
        <v>86</v>
      </c>
      <c r="C377" s="8" t="str">
        <f t="shared" si="5"/>
        <v>neo_nterm_enrichment</v>
      </c>
      <c r="D377" s="8" t="s">
        <v>1105</v>
      </c>
      <c r="E377" s="8" t="s">
        <v>1106</v>
      </c>
      <c r="F377" s="8" t="s">
        <v>1106</v>
      </c>
      <c r="G377" s="8">
        <v>500</v>
      </c>
    </row>
    <row r="378" spans="1:7" x14ac:dyDescent="0.15">
      <c r="A378" s="8" t="s">
        <v>1107</v>
      </c>
      <c r="B378" s="8" t="s">
        <v>86</v>
      </c>
      <c r="C378" s="8" t="str">
        <f t="shared" si="5"/>
        <v>oxinome</v>
      </c>
      <c r="D378" s="8" t="s">
        <v>1107</v>
      </c>
      <c r="E378" s="8" t="s">
        <v>1108</v>
      </c>
      <c r="F378" s="8" t="s">
        <v>1108</v>
      </c>
      <c r="G378" s="8">
        <v>500</v>
      </c>
    </row>
    <row r="379" spans="1:7" x14ac:dyDescent="0.15">
      <c r="A379" s="8" t="s">
        <v>1109</v>
      </c>
      <c r="B379" s="8" t="s">
        <v>86</v>
      </c>
      <c r="C379" s="8" t="str">
        <f t="shared" si="5"/>
        <v>phosphoproteome</v>
      </c>
      <c r="D379" s="8" t="s">
        <v>1109</v>
      </c>
      <c r="E379" s="8" t="s">
        <v>1110</v>
      </c>
      <c r="F379" s="8" t="s">
        <v>1110</v>
      </c>
      <c r="G379" s="8">
        <v>500</v>
      </c>
    </row>
    <row r="380" spans="1:7" x14ac:dyDescent="0.15">
      <c r="A380" s="8" t="s">
        <v>1111</v>
      </c>
      <c r="B380" s="8" t="s">
        <v>86</v>
      </c>
      <c r="C380" s="8" t="str">
        <f t="shared" si="5"/>
        <v>pulse_silac</v>
      </c>
      <c r="D380" s="8" t="s">
        <v>1111</v>
      </c>
      <c r="E380" s="8" t="s">
        <v>1112</v>
      </c>
      <c r="F380" s="8" t="s">
        <v>1112</v>
      </c>
      <c r="G380" s="8">
        <v>500</v>
      </c>
    </row>
    <row r="381" spans="1:7" x14ac:dyDescent="0.15">
      <c r="A381" s="8" t="s">
        <v>1113</v>
      </c>
      <c r="B381" s="8" t="s">
        <v>86</v>
      </c>
      <c r="C381" s="8" t="str">
        <f t="shared" si="5"/>
        <v>secretome</v>
      </c>
      <c r="D381" s="8" t="s">
        <v>1113</v>
      </c>
      <c r="E381" s="8" t="s">
        <v>1114</v>
      </c>
      <c r="F381" s="8" t="s">
        <v>1114</v>
      </c>
      <c r="G381" s="8">
        <v>500</v>
      </c>
    </row>
    <row r="382" spans="1:7" x14ac:dyDescent="0.15">
      <c r="A382" s="8" t="s">
        <v>1115</v>
      </c>
      <c r="B382" s="8" t="s">
        <v>86</v>
      </c>
      <c r="C382" s="8" t="str">
        <f t="shared" si="5"/>
        <v>spatial</v>
      </c>
      <c r="D382" s="8" t="s">
        <v>1115</v>
      </c>
      <c r="E382" s="8" t="s">
        <v>1116</v>
      </c>
      <c r="F382" s="8" t="s">
        <v>1116</v>
      </c>
      <c r="G382" s="8">
        <v>500</v>
      </c>
    </row>
    <row r="383" spans="1:7" x14ac:dyDescent="0.15">
      <c r="A383" s="8" t="s">
        <v>1117</v>
      </c>
      <c r="B383" s="8" t="s">
        <v>86</v>
      </c>
      <c r="C383" s="8" t="str">
        <f t="shared" si="5"/>
        <v>ubiquitinome</v>
      </c>
      <c r="D383" s="8" t="s">
        <v>1117</v>
      </c>
      <c r="E383" s="8" t="s">
        <v>1118</v>
      </c>
      <c r="F383" s="8" t="s">
        <v>1118</v>
      </c>
      <c r="G383" s="8">
        <v>500</v>
      </c>
    </row>
    <row r="384" spans="1:7" x14ac:dyDescent="0.15">
      <c r="A384" s="8" t="s">
        <v>3099</v>
      </c>
      <c r="B384" s="8" t="s">
        <v>86</v>
      </c>
      <c r="C384" s="8" t="str">
        <f t="shared" si="5"/>
        <v>solub</v>
      </c>
      <c r="D384" s="8" t="s">
        <v>3100</v>
      </c>
      <c r="E384" s="8" t="s">
        <v>3101</v>
      </c>
      <c r="F384" s="8" t="s">
        <v>3102</v>
      </c>
      <c r="G384" s="8">
        <v>500</v>
      </c>
    </row>
    <row r="385" spans="1:7" x14ac:dyDescent="0.15">
      <c r="A385" s="8" t="s">
        <v>3196</v>
      </c>
      <c r="B385" s="8" t="s">
        <v>86</v>
      </c>
      <c r="C385" s="8" t="str">
        <f t="shared" si="5"/>
        <v>pisa</v>
      </c>
      <c r="D385" s="8" t="s">
        <v>3197</v>
      </c>
      <c r="E385" s="8" t="s">
        <v>3198</v>
      </c>
      <c r="F385" s="8" t="s">
        <v>3199</v>
      </c>
      <c r="G385" s="8">
        <v>500</v>
      </c>
    </row>
    <row r="386" spans="1:7" x14ac:dyDescent="0.15">
      <c r="A386" s="8" t="s">
        <v>3202</v>
      </c>
      <c r="B386" s="8" t="s">
        <v>3200</v>
      </c>
      <c r="C386" s="8" t="s">
        <v>3196</v>
      </c>
      <c r="D386" s="8" t="s">
        <v>3196</v>
      </c>
      <c r="E386" s="8" t="s">
        <v>3201</v>
      </c>
      <c r="F386" s="8" t="s">
        <v>3203</v>
      </c>
      <c r="G386" s="8">
        <v>500</v>
      </c>
    </row>
    <row r="387" spans="1:7" x14ac:dyDescent="0.15">
      <c r="A387" s="8" t="s">
        <v>1119</v>
      </c>
      <c r="B387" s="8" t="s">
        <v>92</v>
      </c>
      <c r="C387" s="8" t="str">
        <f t="shared" si="5"/>
        <v>100c</v>
      </c>
      <c r="D387" s="9" t="s">
        <v>14</v>
      </c>
      <c r="E387" s="8">
        <v>100</v>
      </c>
      <c r="F387" s="9" t="s">
        <v>14</v>
      </c>
      <c r="G387" s="8">
        <v>500</v>
      </c>
    </row>
    <row r="388" spans="1:7" x14ac:dyDescent="0.15">
      <c r="A388" s="8" t="s">
        <v>1120</v>
      </c>
      <c r="B388" s="8" t="s">
        <v>92</v>
      </c>
      <c r="C388" s="8" t="str">
        <f t="shared" si="5"/>
        <v>95c</v>
      </c>
      <c r="D388" s="9" t="s">
        <v>14</v>
      </c>
      <c r="E388" s="8">
        <v>95</v>
      </c>
      <c r="F388" s="9" t="s">
        <v>14</v>
      </c>
      <c r="G388" s="8">
        <v>500</v>
      </c>
    </row>
    <row r="389" spans="1:7" x14ac:dyDescent="0.15">
      <c r="A389" s="8" t="s">
        <v>1121</v>
      </c>
      <c r="B389" s="8" t="s">
        <v>92</v>
      </c>
      <c r="C389" s="8" t="str">
        <f t="shared" si="5"/>
        <v>96c</v>
      </c>
      <c r="D389" s="9" t="s">
        <v>14</v>
      </c>
      <c r="E389" s="8">
        <v>96</v>
      </c>
      <c r="F389" s="9" t="s">
        <v>14</v>
      </c>
      <c r="G389" s="8">
        <v>500</v>
      </c>
    </row>
    <row r="390" spans="1:7" x14ac:dyDescent="0.15">
      <c r="A390" s="8" t="s">
        <v>1122</v>
      </c>
      <c r="B390" s="8" t="s">
        <v>92</v>
      </c>
      <c r="C390" s="8" t="str">
        <f t="shared" si="5"/>
        <v>97c</v>
      </c>
      <c r="D390" s="9" t="s">
        <v>14</v>
      </c>
      <c r="E390" s="8">
        <v>97</v>
      </c>
      <c r="F390" s="9" t="s">
        <v>14</v>
      </c>
      <c r="G390" s="8">
        <v>500</v>
      </c>
    </row>
    <row r="391" spans="1:7" x14ac:dyDescent="0.15">
      <c r="A391" s="8" t="s">
        <v>1123</v>
      </c>
      <c r="B391" s="8" t="s">
        <v>92</v>
      </c>
      <c r="C391" s="8" t="str">
        <f t="shared" si="5"/>
        <v>98c</v>
      </c>
      <c r="D391" s="9" t="s">
        <v>14</v>
      </c>
      <c r="E391" s="8">
        <v>98</v>
      </c>
      <c r="F391" s="9" t="s">
        <v>14</v>
      </c>
      <c r="G391" s="8">
        <v>500</v>
      </c>
    </row>
    <row r="392" spans="1:7" x14ac:dyDescent="0.15">
      <c r="A392" s="8" t="s">
        <v>1124</v>
      </c>
      <c r="B392" s="8" t="s">
        <v>92</v>
      </c>
      <c r="C392" s="8" t="str">
        <f t="shared" si="5"/>
        <v>99c</v>
      </c>
      <c r="D392" s="9" t="s">
        <v>14</v>
      </c>
      <c r="E392" s="8">
        <v>99</v>
      </c>
      <c r="F392" s="9" t="s">
        <v>14</v>
      </c>
      <c r="G392" s="8">
        <v>500</v>
      </c>
    </row>
    <row r="393" spans="1:7" x14ac:dyDescent="0.15">
      <c r="A393" s="8" t="s">
        <v>1119</v>
      </c>
      <c r="B393" s="8" t="s">
        <v>94</v>
      </c>
      <c r="C393" s="8" t="str">
        <f t="shared" ref="C393:C454" si="6">A393</f>
        <v>100c</v>
      </c>
      <c r="D393" s="9" t="s">
        <v>14</v>
      </c>
      <c r="E393" s="8">
        <v>100</v>
      </c>
      <c r="F393" s="9" t="s">
        <v>14</v>
      </c>
      <c r="G393" s="8">
        <v>500</v>
      </c>
    </row>
    <row r="394" spans="1:7" x14ac:dyDescent="0.15">
      <c r="A394" s="8" t="s">
        <v>1120</v>
      </c>
      <c r="B394" s="8" t="s">
        <v>94</v>
      </c>
      <c r="C394" s="8" t="str">
        <f t="shared" si="6"/>
        <v>95c</v>
      </c>
      <c r="D394" s="9" t="s">
        <v>14</v>
      </c>
      <c r="E394" s="8">
        <v>95</v>
      </c>
      <c r="F394" s="9" t="s">
        <v>14</v>
      </c>
      <c r="G394" s="8">
        <v>500</v>
      </c>
    </row>
    <row r="395" spans="1:7" x14ac:dyDescent="0.15">
      <c r="A395" s="8" t="s">
        <v>1121</v>
      </c>
      <c r="B395" s="8" t="s">
        <v>94</v>
      </c>
      <c r="C395" s="8" t="str">
        <f t="shared" si="6"/>
        <v>96c</v>
      </c>
      <c r="D395" s="9" t="s">
        <v>14</v>
      </c>
      <c r="E395" s="8">
        <v>96</v>
      </c>
      <c r="F395" s="9" t="s">
        <v>14</v>
      </c>
      <c r="G395" s="8">
        <v>500</v>
      </c>
    </row>
    <row r="396" spans="1:7" x14ac:dyDescent="0.15">
      <c r="A396" s="8" t="s">
        <v>1122</v>
      </c>
      <c r="B396" s="8" t="s">
        <v>94</v>
      </c>
      <c r="C396" s="8" t="str">
        <f t="shared" si="6"/>
        <v>97c</v>
      </c>
      <c r="D396" s="9" t="s">
        <v>14</v>
      </c>
      <c r="E396" s="8">
        <v>97</v>
      </c>
      <c r="F396" s="9" t="s">
        <v>14</v>
      </c>
      <c r="G396" s="8">
        <v>500</v>
      </c>
    </row>
    <row r="397" spans="1:7" x14ac:dyDescent="0.15">
      <c r="A397" s="8" t="s">
        <v>1123</v>
      </c>
      <c r="B397" s="8" t="s">
        <v>94</v>
      </c>
      <c r="C397" s="8" t="str">
        <f t="shared" si="6"/>
        <v>98c</v>
      </c>
      <c r="D397" s="9" t="s">
        <v>14</v>
      </c>
      <c r="E397" s="8">
        <v>98</v>
      </c>
      <c r="F397" s="9" t="s">
        <v>14</v>
      </c>
      <c r="G397" s="8">
        <v>500</v>
      </c>
    </row>
    <row r="398" spans="1:7" x14ac:dyDescent="0.15">
      <c r="A398" s="8" t="s">
        <v>1124</v>
      </c>
      <c r="B398" s="8" t="s">
        <v>94</v>
      </c>
      <c r="C398" s="8" t="str">
        <f t="shared" si="6"/>
        <v>99c</v>
      </c>
      <c r="D398" s="9" t="s">
        <v>14</v>
      </c>
      <c r="E398" s="8">
        <v>99</v>
      </c>
      <c r="F398" s="9" t="s">
        <v>14</v>
      </c>
      <c r="G398" s="8">
        <v>500</v>
      </c>
    </row>
    <row r="399" spans="1:7" x14ac:dyDescent="0.15">
      <c r="A399" s="8" t="s">
        <v>1125</v>
      </c>
      <c r="B399" s="8" t="s">
        <v>1126</v>
      </c>
      <c r="C399" s="8" t="str">
        <f t="shared" si="6"/>
        <v>bal</v>
      </c>
      <c r="D399" s="9" t="s">
        <v>14</v>
      </c>
      <c r="E399" s="8" t="s">
        <v>1127</v>
      </c>
      <c r="F399" s="8" t="s">
        <v>1128</v>
      </c>
      <c r="G399" s="8">
        <v>500</v>
      </c>
    </row>
    <row r="400" spans="1:7" x14ac:dyDescent="0.15">
      <c r="A400" s="8" t="s">
        <v>1129</v>
      </c>
      <c r="B400" s="8" t="s">
        <v>1126</v>
      </c>
      <c r="C400" s="8" t="str">
        <f t="shared" si="6"/>
        <v>cerebrospinal</v>
      </c>
      <c r="D400" s="9" t="s">
        <v>14</v>
      </c>
      <c r="E400" s="8" t="s">
        <v>1130</v>
      </c>
      <c r="F400" s="8" t="s">
        <v>1131</v>
      </c>
      <c r="G400" s="8">
        <v>500</v>
      </c>
    </row>
    <row r="401" spans="1:7" x14ac:dyDescent="0.15">
      <c r="A401" s="8" t="s">
        <v>1132</v>
      </c>
      <c r="B401" s="8" t="s">
        <v>1126</v>
      </c>
      <c r="C401" s="8" t="str">
        <f t="shared" si="6"/>
        <v>feces</v>
      </c>
      <c r="D401" s="9" t="s">
        <v>14</v>
      </c>
      <c r="E401" s="8" t="s">
        <v>1133</v>
      </c>
      <c r="F401" s="8" t="s">
        <v>1134</v>
      </c>
      <c r="G401" s="8">
        <v>500</v>
      </c>
    </row>
    <row r="402" spans="1:7" x14ac:dyDescent="0.15">
      <c r="A402" s="8" t="s">
        <v>1135</v>
      </c>
      <c r="B402" s="8" t="s">
        <v>1126</v>
      </c>
      <c r="C402" s="8" t="str">
        <f t="shared" si="6"/>
        <v>interstitial</v>
      </c>
      <c r="D402" s="9" t="s">
        <v>14</v>
      </c>
      <c r="E402" s="8" t="s">
        <v>1136</v>
      </c>
      <c r="F402" s="8" t="s">
        <v>1137</v>
      </c>
      <c r="G402" s="8">
        <v>500</v>
      </c>
    </row>
    <row r="403" spans="1:7" x14ac:dyDescent="0.15">
      <c r="A403" s="8" t="s">
        <v>1138</v>
      </c>
      <c r="B403" s="8" t="s">
        <v>1126</v>
      </c>
      <c r="C403" s="8" t="str">
        <f t="shared" si="6"/>
        <v>lymph</v>
      </c>
      <c r="D403" s="9" t="s">
        <v>14</v>
      </c>
      <c r="E403" s="8" t="s">
        <v>1139</v>
      </c>
      <c r="F403" s="8" t="s">
        <v>1140</v>
      </c>
      <c r="G403" s="8">
        <v>500</v>
      </c>
    </row>
    <row r="404" spans="1:7" x14ac:dyDescent="0.15">
      <c r="A404" s="8" t="s">
        <v>1141</v>
      </c>
      <c r="B404" s="8" t="s">
        <v>1126</v>
      </c>
      <c r="C404" s="8" t="str">
        <f t="shared" si="6"/>
        <v>peritoneal</v>
      </c>
      <c r="D404" s="9" t="s">
        <v>14</v>
      </c>
      <c r="E404" s="8" t="s">
        <v>1142</v>
      </c>
      <c r="F404" s="8" t="s">
        <v>1143</v>
      </c>
      <c r="G404" s="8">
        <v>500</v>
      </c>
    </row>
    <row r="405" spans="1:7" x14ac:dyDescent="0.15">
      <c r="A405" s="8" t="s">
        <v>1144</v>
      </c>
      <c r="B405" s="8" t="s">
        <v>1126</v>
      </c>
      <c r="C405" s="8" t="str">
        <f t="shared" si="6"/>
        <v>plasma</v>
      </c>
      <c r="D405" s="9" t="s">
        <v>14</v>
      </c>
      <c r="E405" s="8" t="s">
        <v>1145</v>
      </c>
      <c r="F405" s="8" t="s">
        <v>1146</v>
      </c>
      <c r="G405" s="8">
        <v>500</v>
      </c>
    </row>
    <row r="406" spans="1:7" x14ac:dyDescent="0.15">
      <c r="A406" s="8" t="s">
        <v>1147</v>
      </c>
      <c r="B406" s="8" t="s">
        <v>1126</v>
      </c>
      <c r="C406" s="8" t="str">
        <f t="shared" si="6"/>
        <v>pleural</v>
      </c>
      <c r="D406" s="9" t="s">
        <v>14</v>
      </c>
      <c r="E406" s="8" t="s">
        <v>1148</v>
      </c>
      <c r="F406" s="8" t="s">
        <v>1149</v>
      </c>
      <c r="G406" s="8">
        <v>500</v>
      </c>
    </row>
    <row r="407" spans="1:7" x14ac:dyDescent="0.15">
      <c r="A407" s="8" t="s">
        <v>1150</v>
      </c>
      <c r="B407" s="8" t="s">
        <v>1126</v>
      </c>
      <c r="C407" s="8" t="str">
        <f t="shared" si="6"/>
        <v>saliva</v>
      </c>
      <c r="D407" s="9" t="s">
        <v>14</v>
      </c>
      <c r="E407" s="8" t="s">
        <v>1151</v>
      </c>
      <c r="F407" s="8" t="s">
        <v>1152</v>
      </c>
      <c r="G407" s="8">
        <v>500</v>
      </c>
    </row>
    <row r="408" spans="1:7" x14ac:dyDescent="0.15">
      <c r="A408" s="8" t="s">
        <v>1153</v>
      </c>
      <c r="B408" s="8" t="s">
        <v>1126</v>
      </c>
      <c r="C408" s="8" t="str">
        <f t="shared" si="6"/>
        <v>seminal</v>
      </c>
      <c r="D408" s="9" t="s">
        <v>14</v>
      </c>
      <c r="E408" s="8" t="s">
        <v>1154</v>
      </c>
      <c r="F408" s="8" t="s">
        <v>1155</v>
      </c>
      <c r="G408" s="8">
        <v>500</v>
      </c>
    </row>
    <row r="409" spans="1:7" x14ac:dyDescent="0.15">
      <c r="A409" s="8" t="s">
        <v>1156</v>
      </c>
      <c r="B409" s="8" t="s">
        <v>1126</v>
      </c>
      <c r="C409" s="8" t="str">
        <f t="shared" si="6"/>
        <v>serum</v>
      </c>
      <c r="D409" s="9" t="s">
        <v>14</v>
      </c>
      <c r="E409" s="8" t="s">
        <v>1157</v>
      </c>
      <c r="F409" s="8" t="s">
        <v>1158</v>
      </c>
      <c r="G409" s="8">
        <v>500</v>
      </c>
    </row>
    <row r="410" spans="1:7" x14ac:dyDescent="0.15">
      <c r="A410" s="8" t="s">
        <v>1159</v>
      </c>
      <c r="B410" s="8" t="s">
        <v>1126</v>
      </c>
      <c r="C410" s="8" t="str">
        <f t="shared" si="6"/>
        <v>urine</v>
      </c>
      <c r="D410" s="9" t="s">
        <v>14</v>
      </c>
      <c r="E410" s="8" t="s">
        <v>1160</v>
      </c>
      <c r="F410" s="8" t="s">
        <v>1161</v>
      </c>
      <c r="G410" s="8">
        <v>500</v>
      </c>
    </row>
    <row r="411" spans="1:7" x14ac:dyDescent="0.15">
      <c r="A411" s="8" t="s">
        <v>1162</v>
      </c>
      <c r="B411" s="8" t="s">
        <v>1163</v>
      </c>
      <c r="C411" s="8" t="str">
        <f t="shared" si="6"/>
        <v>01k</v>
      </c>
      <c r="D411" s="8" t="s">
        <v>1162</v>
      </c>
      <c r="E411" s="8" t="s">
        <v>1162</v>
      </c>
      <c r="F411" s="8" t="s">
        <v>1164</v>
      </c>
      <c r="G411" s="8">
        <v>500</v>
      </c>
    </row>
    <row r="412" spans="1:7" x14ac:dyDescent="0.15">
      <c r="A412" s="8" t="s">
        <v>1165</v>
      </c>
      <c r="B412" s="8" t="s">
        <v>1163</v>
      </c>
      <c r="C412" s="8" t="str">
        <f t="shared" si="6"/>
        <v>05k</v>
      </c>
      <c r="D412" s="8" t="s">
        <v>1165</v>
      </c>
      <c r="E412" s="8" t="s">
        <v>1165</v>
      </c>
      <c r="F412" s="8" t="s">
        <v>1166</v>
      </c>
      <c r="G412" s="8">
        <v>500</v>
      </c>
    </row>
    <row r="413" spans="1:7" x14ac:dyDescent="0.15">
      <c r="A413" s="8" t="s">
        <v>1167</v>
      </c>
      <c r="B413" s="8" t="s">
        <v>1163</v>
      </c>
      <c r="C413" s="8" t="str">
        <f t="shared" si="6"/>
        <v>12k</v>
      </c>
      <c r="D413" s="8" t="s">
        <v>1167</v>
      </c>
      <c r="E413" s="8" t="s">
        <v>1167</v>
      </c>
      <c r="F413" s="8" t="s">
        <v>1168</v>
      </c>
      <c r="G413" s="8">
        <v>500</v>
      </c>
    </row>
    <row r="414" spans="1:7" x14ac:dyDescent="0.15">
      <c r="A414" s="8" t="s">
        <v>1169</v>
      </c>
      <c r="B414" s="8" t="s">
        <v>1163</v>
      </c>
      <c r="C414" s="8" t="str">
        <f t="shared" si="6"/>
        <v>24k</v>
      </c>
      <c r="D414" s="8" t="s">
        <v>1169</v>
      </c>
      <c r="E414" s="8" t="s">
        <v>1169</v>
      </c>
      <c r="F414" s="8" t="s">
        <v>1170</v>
      </c>
      <c r="G414" s="8">
        <v>500</v>
      </c>
    </row>
    <row r="415" spans="1:7" x14ac:dyDescent="0.15">
      <c r="A415" s="8" t="s">
        <v>1171</v>
      </c>
      <c r="B415" s="8" t="s">
        <v>1163</v>
      </c>
      <c r="C415" s="8" t="str">
        <f t="shared" si="6"/>
        <v>79k</v>
      </c>
      <c r="D415" s="8" t="s">
        <v>1171</v>
      </c>
      <c r="E415" s="8" t="s">
        <v>1171</v>
      </c>
      <c r="F415" s="8" t="s">
        <v>1172</v>
      </c>
      <c r="G415" s="8">
        <v>500</v>
      </c>
    </row>
    <row r="416" spans="1:7" x14ac:dyDescent="0.15">
      <c r="A416" s="8" t="s">
        <v>1173</v>
      </c>
      <c r="B416" s="8" t="s">
        <v>1163</v>
      </c>
      <c r="C416" s="8" t="str">
        <f t="shared" si="6"/>
        <v>crude_mito</v>
      </c>
      <c r="D416" s="8" t="s">
        <v>1174</v>
      </c>
      <c r="E416" s="8" t="s">
        <v>1175</v>
      </c>
      <c r="F416" s="8" t="s">
        <v>1176</v>
      </c>
      <c r="G416" s="8">
        <v>500</v>
      </c>
    </row>
    <row r="417" spans="1:7" x14ac:dyDescent="0.15">
      <c r="A417" s="8" t="s">
        <v>1177</v>
      </c>
      <c r="B417" s="8" t="s">
        <v>1163</v>
      </c>
      <c r="C417" s="8" t="str">
        <f t="shared" si="6"/>
        <v>cytosolic</v>
      </c>
      <c r="D417" s="8" t="s">
        <v>1177</v>
      </c>
      <c r="E417" s="8" t="s">
        <v>1178</v>
      </c>
      <c r="F417" s="8" t="s">
        <v>1179</v>
      </c>
      <c r="G417" s="8">
        <v>500</v>
      </c>
    </row>
    <row r="418" spans="1:7" x14ac:dyDescent="0.15">
      <c r="A418" s="8" t="s">
        <v>1180</v>
      </c>
      <c r="B418" s="8" t="s">
        <v>1163</v>
      </c>
      <c r="C418" s="8" t="str">
        <f t="shared" si="6"/>
        <v>total</v>
      </c>
      <c r="D418" s="8" t="s">
        <v>1180</v>
      </c>
      <c r="E418" s="8" t="s">
        <v>1181</v>
      </c>
      <c r="F418" s="8" t="s">
        <v>1182</v>
      </c>
      <c r="G418" s="8">
        <v>500</v>
      </c>
    </row>
    <row r="419" spans="1:7" x14ac:dyDescent="0.15">
      <c r="A419" s="8" t="s">
        <v>3082</v>
      </c>
      <c r="B419" s="8" t="s">
        <v>1163</v>
      </c>
      <c r="C419" s="8" t="str">
        <f t="shared" si="6"/>
        <v>pellet</v>
      </c>
      <c r="D419" s="8" t="s">
        <v>3082</v>
      </c>
      <c r="E419" s="8" t="s">
        <v>3083</v>
      </c>
      <c r="F419" s="8" t="s">
        <v>3085</v>
      </c>
      <c r="G419" s="8">
        <v>500</v>
      </c>
    </row>
    <row r="420" spans="1:7" x14ac:dyDescent="0.15">
      <c r="A420" s="8" t="s">
        <v>2919</v>
      </c>
      <c r="B420" s="8" t="s">
        <v>1163</v>
      </c>
      <c r="C420" s="8" t="str">
        <f t="shared" si="6"/>
        <v>supernatant</v>
      </c>
      <c r="D420" s="8" t="s">
        <v>2919</v>
      </c>
      <c r="E420" s="8" t="s">
        <v>2920</v>
      </c>
      <c r="F420" s="8" t="s">
        <v>3084</v>
      </c>
      <c r="G420" s="8">
        <v>500</v>
      </c>
    </row>
    <row r="421" spans="1:7" x14ac:dyDescent="0.15">
      <c r="A421" s="8" t="s">
        <v>2878</v>
      </c>
      <c r="B421" s="8" t="s">
        <v>101</v>
      </c>
      <c r="C421" s="8" t="str">
        <f t="shared" si="6"/>
        <v>homologrecombination</v>
      </c>
      <c r="D421" s="8" t="s">
        <v>14</v>
      </c>
      <c r="E421" s="8" t="s">
        <v>2879</v>
      </c>
      <c r="F421" s="8" t="s">
        <v>2880</v>
      </c>
      <c r="G421" s="8">
        <v>500</v>
      </c>
    </row>
    <row r="422" spans="1:7" x14ac:dyDescent="0.15">
      <c r="A422" s="8" t="s">
        <v>1183</v>
      </c>
      <c r="B422" s="8" t="s">
        <v>101</v>
      </c>
      <c r="C422" s="8" t="str">
        <f t="shared" si="6"/>
        <v>biggybac</v>
      </c>
      <c r="D422" s="9" t="s">
        <v>14</v>
      </c>
      <c r="E422" s="8" t="s">
        <v>1184</v>
      </c>
      <c r="F422" s="8" t="s">
        <v>1185</v>
      </c>
      <c r="G422" s="8">
        <v>500</v>
      </c>
    </row>
    <row r="423" spans="1:7" x14ac:dyDescent="0.15">
      <c r="A423" s="8" t="s">
        <v>1186</v>
      </c>
      <c r="B423" s="8" t="s">
        <v>101</v>
      </c>
      <c r="C423" s="8" t="str">
        <f t="shared" si="6"/>
        <v>crispr</v>
      </c>
      <c r="D423" s="9" t="s">
        <v>14</v>
      </c>
      <c r="E423" s="8" t="s">
        <v>1187</v>
      </c>
      <c r="F423" s="8" t="s">
        <v>1188</v>
      </c>
      <c r="G423" s="8">
        <v>500</v>
      </c>
    </row>
    <row r="424" spans="1:7" x14ac:dyDescent="0.15">
      <c r="A424" s="8" t="s">
        <v>1189</v>
      </c>
      <c r="B424" s="8" t="s">
        <v>101</v>
      </c>
      <c r="C424" s="8" t="str">
        <f t="shared" si="6"/>
        <v>crispr_hdr</v>
      </c>
      <c r="D424" s="9" t="s">
        <v>14</v>
      </c>
      <c r="E424" s="8" t="s">
        <v>1190</v>
      </c>
      <c r="F424" s="8" t="s">
        <v>1191</v>
      </c>
      <c r="G424" s="8">
        <v>500</v>
      </c>
    </row>
    <row r="425" spans="1:7" x14ac:dyDescent="0.15">
      <c r="A425" s="8" t="s">
        <v>1192</v>
      </c>
      <c r="B425" s="8" t="s">
        <v>101</v>
      </c>
      <c r="C425" s="8" t="str">
        <f t="shared" si="6"/>
        <v>lentiviral</v>
      </c>
      <c r="D425" s="9" t="s">
        <v>14</v>
      </c>
      <c r="E425" s="8" t="s">
        <v>1193</v>
      </c>
      <c r="F425" s="8" t="s">
        <v>1194</v>
      </c>
      <c r="G425" s="8">
        <v>500</v>
      </c>
    </row>
    <row r="426" spans="1:7" x14ac:dyDescent="0.15">
      <c r="A426" s="8" t="s">
        <v>1195</v>
      </c>
      <c r="B426" s="8" t="s">
        <v>101</v>
      </c>
      <c r="C426" s="8" t="str">
        <f t="shared" si="6"/>
        <v>talen</v>
      </c>
      <c r="D426" s="9" t="s">
        <v>14</v>
      </c>
      <c r="E426" s="8" t="s">
        <v>1196</v>
      </c>
      <c r="F426" s="8" t="s">
        <v>1197</v>
      </c>
      <c r="G426" s="8">
        <v>500</v>
      </c>
    </row>
    <row r="427" spans="1:7" x14ac:dyDescent="0.15">
      <c r="A427" s="8" t="s">
        <v>1198</v>
      </c>
      <c r="B427" s="8" t="s">
        <v>101</v>
      </c>
      <c r="C427" s="8" t="str">
        <f t="shared" si="6"/>
        <v>zincfinger</v>
      </c>
      <c r="D427" s="9" t="s">
        <v>14</v>
      </c>
      <c r="E427" s="8" t="s">
        <v>1199</v>
      </c>
      <c r="F427" s="8" t="s">
        <v>1200</v>
      </c>
      <c r="G427" s="8">
        <v>500</v>
      </c>
    </row>
    <row r="428" spans="1:7" x14ac:dyDescent="0.15">
      <c r="A428" s="8" t="s">
        <v>1201</v>
      </c>
      <c r="B428" s="8" t="s">
        <v>105</v>
      </c>
      <c r="C428" s="8" t="str">
        <f t="shared" si="6"/>
        <v>deletion</v>
      </c>
      <c r="D428" s="9" t="s">
        <v>14</v>
      </c>
      <c r="E428" s="8" t="s">
        <v>1202</v>
      </c>
      <c r="F428" s="8" t="s">
        <v>1203</v>
      </c>
      <c r="G428" s="8">
        <v>500</v>
      </c>
    </row>
    <row r="429" spans="1:7" x14ac:dyDescent="0.15">
      <c r="A429" s="8" t="s">
        <v>1204</v>
      </c>
      <c r="B429" s="8" t="s">
        <v>105</v>
      </c>
      <c r="C429" s="8" t="str">
        <f t="shared" si="6"/>
        <v>inducible_expression</v>
      </c>
      <c r="D429" s="9" t="s">
        <v>14</v>
      </c>
      <c r="E429" s="8" t="s">
        <v>1205</v>
      </c>
      <c r="F429" s="8" t="s">
        <v>1206</v>
      </c>
      <c r="G429" s="8">
        <v>500</v>
      </c>
    </row>
    <row r="430" spans="1:7" x14ac:dyDescent="0.15">
      <c r="A430" s="8" t="s">
        <v>1207</v>
      </c>
      <c r="B430" s="8" t="s">
        <v>105</v>
      </c>
      <c r="C430" s="8" t="str">
        <f t="shared" si="6"/>
        <v>knockin</v>
      </c>
      <c r="D430" s="9" t="s">
        <v>14</v>
      </c>
      <c r="E430" s="8" t="s">
        <v>1208</v>
      </c>
      <c r="F430" s="8" t="s">
        <v>1209</v>
      </c>
      <c r="G430" s="8">
        <v>500</v>
      </c>
    </row>
    <row r="431" spans="1:7" x14ac:dyDescent="0.15">
      <c r="A431" s="8" t="s">
        <v>1210</v>
      </c>
      <c r="B431" s="8" t="s">
        <v>105</v>
      </c>
      <c r="C431" s="8" t="str">
        <f t="shared" si="6"/>
        <v>ko</v>
      </c>
      <c r="D431" s="9" t="s">
        <v>14</v>
      </c>
      <c r="E431" s="8" t="s">
        <v>1211</v>
      </c>
      <c r="F431" s="8" t="s">
        <v>1212</v>
      </c>
      <c r="G431" s="8">
        <v>500</v>
      </c>
    </row>
    <row r="432" spans="1:7" x14ac:dyDescent="0.15">
      <c r="A432" s="8" t="s">
        <v>1213</v>
      </c>
      <c r="B432" s="8" t="s">
        <v>105</v>
      </c>
      <c r="C432" s="8" t="str">
        <f t="shared" si="6"/>
        <v>stable_expression</v>
      </c>
      <c r="D432" s="9" t="s">
        <v>14</v>
      </c>
      <c r="E432" s="8" t="s">
        <v>1214</v>
      </c>
      <c r="F432" s="8" t="s">
        <v>1215</v>
      </c>
      <c r="G432" s="8">
        <v>500</v>
      </c>
    </row>
    <row r="433" spans="1:7" x14ac:dyDescent="0.15">
      <c r="A433" s="8" t="s">
        <v>3946</v>
      </c>
      <c r="B433" s="8" t="s">
        <v>102</v>
      </c>
      <c r="C433" s="8" t="str">
        <f t="shared" si="6"/>
        <v>hetero</v>
      </c>
      <c r="D433" s="9" t="s">
        <v>14</v>
      </c>
      <c r="E433" s="8" t="s">
        <v>1216</v>
      </c>
      <c r="F433" s="8" t="s">
        <v>1217</v>
      </c>
      <c r="G433" s="8">
        <v>500</v>
      </c>
    </row>
    <row r="434" spans="1:7" x14ac:dyDescent="0.15">
      <c r="A434" s="8" t="s">
        <v>3947</v>
      </c>
      <c r="B434" s="8" t="s">
        <v>102</v>
      </c>
      <c r="C434" s="8" t="str">
        <f t="shared" si="6"/>
        <v>homozygot</v>
      </c>
      <c r="D434" s="9" t="s">
        <v>14</v>
      </c>
      <c r="E434" s="8" t="s">
        <v>1218</v>
      </c>
      <c r="F434" s="8" t="s">
        <v>1219</v>
      </c>
      <c r="G434" s="8">
        <v>500</v>
      </c>
    </row>
    <row r="435" spans="1:7" x14ac:dyDescent="0.15">
      <c r="A435" s="8" t="s">
        <v>2609</v>
      </c>
      <c r="B435" s="8" t="s">
        <v>102</v>
      </c>
      <c r="C435" s="8" t="str">
        <f t="shared" si="6"/>
        <v>wt</v>
      </c>
      <c r="D435" s="9" t="s">
        <v>14</v>
      </c>
      <c r="E435" s="8" t="s">
        <v>2725</v>
      </c>
      <c r="F435" s="8" t="s">
        <v>2726</v>
      </c>
      <c r="G435" s="8">
        <v>500</v>
      </c>
    </row>
    <row r="436" spans="1:7" x14ac:dyDescent="0.15">
      <c r="A436" s="8" t="s">
        <v>2940</v>
      </c>
      <c r="B436" s="8" t="s">
        <v>102</v>
      </c>
      <c r="C436" s="8" t="str">
        <f t="shared" si="6"/>
        <v>hemi</v>
      </c>
      <c r="D436" s="9" t="s">
        <v>14</v>
      </c>
      <c r="E436" s="8" t="s">
        <v>2941</v>
      </c>
      <c r="F436" s="8" t="s">
        <v>2942</v>
      </c>
      <c r="G436" s="8">
        <v>500</v>
      </c>
    </row>
    <row r="437" spans="1:7" x14ac:dyDescent="0.15">
      <c r="A437" s="8" t="s">
        <v>2733</v>
      </c>
      <c r="B437" s="8" t="s">
        <v>102</v>
      </c>
      <c r="C437" s="8" t="str">
        <f t="shared" si="6"/>
        <v>unknown</v>
      </c>
      <c r="D437" s="9" t="s">
        <v>14</v>
      </c>
      <c r="E437" s="8" t="s">
        <v>2778</v>
      </c>
      <c r="F437" s="8" t="s">
        <v>2734</v>
      </c>
      <c r="G437" s="8">
        <v>500</v>
      </c>
    </row>
    <row r="438" spans="1:7" x14ac:dyDescent="0.15">
      <c r="A438" s="8" t="s">
        <v>2874</v>
      </c>
      <c r="B438" s="8" t="s">
        <v>2872</v>
      </c>
      <c r="C438" s="8" t="str">
        <f t="shared" si="6"/>
        <v>male</v>
      </c>
      <c r="D438" s="9" t="s">
        <v>14</v>
      </c>
      <c r="E438" s="8" t="s">
        <v>2875</v>
      </c>
      <c r="F438" s="8" t="s">
        <v>2875</v>
      </c>
      <c r="G438" s="8">
        <v>500</v>
      </c>
    </row>
    <row r="439" spans="1:7" x14ac:dyDescent="0.15">
      <c r="A439" s="8" t="s">
        <v>2876</v>
      </c>
      <c r="B439" s="8" t="s">
        <v>2872</v>
      </c>
      <c r="C439" s="8" t="str">
        <f t="shared" si="6"/>
        <v>female</v>
      </c>
      <c r="D439" s="9" t="s">
        <v>14</v>
      </c>
      <c r="E439" s="8" t="s">
        <v>2877</v>
      </c>
      <c r="F439" s="8" t="s">
        <v>2877</v>
      </c>
      <c r="G439" s="8">
        <v>500</v>
      </c>
    </row>
    <row r="440" spans="1:7" x14ac:dyDescent="0.15">
      <c r="A440" s="8" t="s">
        <v>3214</v>
      </c>
      <c r="B440" s="8" t="s">
        <v>3213</v>
      </c>
      <c r="C440" s="8" t="str">
        <f t="shared" si="6"/>
        <v>binary</v>
      </c>
      <c r="D440" s="9" t="s">
        <v>14</v>
      </c>
      <c r="E440" s="8" t="s">
        <v>3215</v>
      </c>
      <c r="F440" s="8" t="s">
        <v>3216</v>
      </c>
      <c r="G440" s="8">
        <v>500</v>
      </c>
    </row>
    <row r="441" spans="1:7" x14ac:dyDescent="0.15">
      <c r="A441" s="8" t="s">
        <v>1220</v>
      </c>
      <c r="B441" s="8" t="s">
        <v>108</v>
      </c>
      <c r="C441" s="8" t="str">
        <f t="shared" si="6"/>
        <v>14dia</v>
      </c>
      <c r="D441" s="9" t="s">
        <v>14</v>
      </c>
      <c r="E441" s="8">
        <v>14</v>
      </c>
      <c r="F441" s="8" t="s">
        <v>1221</v>
      </c>
      <c r="G441" s="8">
        <v>500</v>
      </c>
    </row>
    <row r="442" spans="1:7" x14ac:dyDescent="0.15">
      <c r="A442" s="8" t="s">
        <v>1222</v>
      </c>
      <c r="B442" s="8" t="s">
        <v>108</v>
      </c>
      <c r="C442" s="8" t="str">
        <f t="shared" si="6"/>
        <v>onepointfour</v>
      </c>
      <c r="D442" s="9" t="s">
        <v>14</v>
      </c>
      <c r="E442" s="8">
        <v>1.4</v>
      </c>
      <c r="F442" s="8" t="s">
        <v>1223</v>
      </c>
      <c r="G442" s="8">
        <v>500</v>
      </c>
    </row>
    <row r="443" spans="1:7" x14ac:dyDescent="0.15">
      <c r="A443" s="8" t="s">
        <v>1224</v>
      </c>
      <c r="B443" s="8" t="s">
        <v>109</v>
      </c>
      <c r="C443" s="8" t="str">
        <f t="shared" si="6"/>
        <v>esirna</v>
      </c>
      <c r="D443" s="8" t="s">
        <v>1224</v>
      </c>
      <c r="E443" s="8" t="s">
        <v>1225</v>
      </c>
      <c r="F443" s="8" t="s">
        <v>1226</v>
      </c>
      <c r="G443" s="8">
        <v>500</v>
      </c>
    </row>
    <row r="444" spans="1:7" x14ac:dyDescent="0.15">
      <c r="A444" s="8" t="s">
        <v>1227</v>
      </c>
      <c r="B444" s="8" t="s">
        <v>109</v>
      </c>
      <c r="C444" s="8" t="str">
        <f t="shared" si="6"/>
        <v>grna</v>
      </c>
      <c r="D444" s="8" t="s">
        <v>1227</v>
      </c>
      <c r="E444" s="8" t="s">
        <v>1228</v>
      </c>
      <c r="F444" s="8" t="s">
        <v>1229</v>
      </c>
      <c r="G444" s="8">
        <v>500</v>
      </c>
    </row>
    <row r="445" spans="1:7" x14ac:dyDescent="0.15">
      <c r="A445" s="8" t="s">
        <v>1230</v>
      </c>
      <c r="B445" s="8" t="s">
        <v>109</v>
      </c>
      <c r="C445" s="8" t="str">
        <f t="shared" si="6"/>
        <v>mirna</v>
      </c>
      <c r="D445" s="8" t="s">
        <v>1230</v>
      </c>
      <c r="E445" s="8" t="s">
        <v>1231</v>
      </c>
      <c r="F445" s="8" t="s">
        <v>1232</v>
      </c>
      <c r="G445" s="8">
        <v>500</v>
      </c>
    </row>
    <row r="446" spans="1:7" x14ac:dyDescent="0.15">
      <c r="A446" s="8" t="s">
        <v>1233</v>
      </c>
      <c r="B446" s="8" t="s">
        <v>109</v>
      </c>
      <c r="C446" s="8" t="str">
        <f t="shared" si="6"/>
        <v>shrna</v>
      </c>
      <c r="D446" s="8" t="s">
        <v>1233</v>
      </c>
      <c r="E446" s="8" t="s">
        <v>1234</v>
      </c>
      <c r="F446" s="8" t="s">
        <v>1235</v>
      </c>
      <c r="G446" s="8">
        <v>500</v>
      </c>
    </row>
    <row r="447" spans="1:7" x14ac:dyDescent="0.15">
      <c r="A447" s="8" t="s">
        <v>1236</v>
      </c>
      <c r="B447" s="8" t="s">
        <v>109</v>
      </c>
      <c r="C447" s="8" t="str">
        <f t="shared" si="6"/>
        <v>sirna</v>
      </c>
      <c r="D447" s="8" t="s">
        <v>1236</v>
      </c>
      <c r="E447" s="8" t="s">
        <v>1237</v>
      </c>
      <c r="F447" s="8" t="s">
        <v>1238</v>
      </c>
      <c r="G447" s="8">
        <v>500</v>
      </c>
    </row>
    <row r="448" spans="1:7" x14ac:dyDescent="0.15">
      <c r="A448" s="8" t="s">
        <v>3104</v>
      </c>
      <c r="B448" s="8" t="s">
        <v>112</v>
      </c>
      <c r="C448" s="8" t="str">
        <f t="shared" si="6"/>
        <v>185nlmin</v>
      </c>
      <c r="D448" s="9" t="s">
        <v>14</v>
      </c>
      <c r="E448" s="8">
        <v>185</v>
      </c>
      <c r="F448" s="8" t="s">
        <v>3103</v>
      </c>
      <c r="G448" s="8">
        <v>500</v>
      </c>
    </row>
    <row r="449" spans="1:7" x14ac:dyDescent="0.15">
      <c r="A449" s="8" t="s">
        <v>1239</v>
      </c>
      <c r="B449" s="8" t="s">
        <v>112</v>
      </c>
      <c r="C449" s="8" t="str">
        <f t="shared" si="6"/>
        <v>200nlmin</v>
      </c>
      <c r="D449" s="9" t="s">
        <v>14</v>
      </c>
      <c r="E449" s="8">
        <v>200</v>
      </c>
      <c r="F449" s="8" t="s">
        <v>1240</v>
      </c>
      <c r="G449" s="8">
        <v>500</v>
      </c>
    </row>
    <row r="450" spans="1:7" x14ac:dyDescent="0.15">
      <c r="A450" s="8" t="s">
        <v>1241</v>
      </c>
      <c r="B450" s="8" t="s">
        <v>112</v>
      </c>
      <c r="C450" s="8" t="str">
        <f t="shared" si="6"/>
        <v>250nlmin</v>
      </c>
      <c r="D450" s="9" t="s">
        <v>14</v>
      </c>
      <c r="E450" s="8">
        <v>250</v>
      </c>
      <c r="F450" s="8" t="s">
        <v>1242</v>
      </c>
      <c r="G450" s="8">
        <v>500</v>
      </c>
    </row>
    <row r="451" spans="1:7" x14ac:dyDescent="0.15">
      <c r="A451" s="8" t="s">
        <v>1243</v>
      </c>
      <c r="B451" s="8" t="s">
        <v>112</v>
      </c>
      <c r="C451" s="8" t="str">
        <f t="shared" si="6"/>
        <v>500nlmin</v>
      </c>
      <c r="D451" s="9" t="s">
        <v>14</v>
      </c>
      <c r="E451" s="8">
        <v>500</v>
      </c>
      <c r="F451" s="8" t="s">
        <v>1244</v>
      </c>
      <c r="G451" s="8">
        <v>500</v>
      </c>
    </row>
    <row r="452" spans="1:7" x14ac:dyDescent="0.15">
      <c r="A452" s="8" t="s">
        <v>1245</v>
      </c>
      <c r="B452" s="8" t="s">
        <v>4095</v>
      </c>
      <c r="C452" s="8" t="str">
        <f t="shared" si="6"/>
        <v>e1000</v>
      </c>
      <c r="D452" s="8" t="s">
        <v>1245</v>
      </c>
      <c r="E452" s="8" t="s">
        <v>1246</v>
      </c>
      <c r="F452" s="8" t="s">
        <v>1247</v>
      </c>
      <c r="G452" s="8">
        <v>500</v>
      </c>
    </row>
    <row r="453" spans="1:7" x14ac:dyDescent="0.15">
      <c r="A453" s="8" t="s">
        <v>1248</v>
      </c>
      <c r="B453" s="8" t="s">
        <v>4095</v>
      </c>
      <c r="C453" s="8" t="str">
        <f t="shared" si="6"/>
        <v>e1200</v>
      </c>
      <c r="D453" s="8" t="s">
        <v>1248</v>
      </c>
      <c r="E453" s="8" t="s">
        <v>1249</v>
      </c>
      <c r="F453" s="8" t="s">
        <v>1250</v>
      </c>
      <c r="G453" s="8">
        <v>500</v>
      </c>
    </row>
    <row r="454" spans="1:7" x14ac:dyDescent="0.15">
      <c r="A454" s="8" t="s">
        <v>1251</v>
      </c>
      <c r="B454" s="8" t="s">
        <v>4095</v>
      </c>
      <c r="C454" s="8" t="str">
        <f t="shared" si="6"/>
        <v>evosep</v>
      </c>
      <c r="D454" s="8" t="s">
        <v>1251</v>
      </c>
      <c r="E454" s="8" t="s">
        <v>1252</v>
      </c>
      <c r="F454" s="8" t="s">
        <v>1252</v>
      </c>
      <c r="G454" s="8">
        <v>500</v>
      </c>
    </row>
    <row r="455" spans="1:7" x14ac:dyDescent="0.15">
      <c r="A455" s="8" t="s">
        <v>1253</v>
      </c>
      <c r="B455" s="8" t="s">
        <v>4095</v>
      </c>
      <c r="C455" s="8" t="str">
        <f t="shared" ref="C455:C521" si="7">A455</f>
        <v>nanoelute</v>
      </c>
      <c r="D455" s="8" t="s">
        <v>1253</v>
      </c>
      <c r="E455" s="8" t="s">
        <v>1254</v>
      </c>
      <c r="F455" s="8" t="s">
        <v>1255</v>
      </c>
      <c r="G455" s="8">
        <v>500</v>
      </c>
    </row>
    <row r="456" spans="1:7" x14ac:dyDescent="0.15">
      <c r="A456" s="8" t="s">
        <v>1256</v>
      </c>
      <c r="B456" s="8" t="s">
        <v>4095</v>
      </c>
      <c r="C456" s="8" t="str">
        <f t="shared" si="7"/>
        <v>ultimate</v>
      </c>
      <c r="D456" s="8" t="s">
        <v>1256</v>
      </c>
      <c r="E456" s="8" t="s">
        <v>1257</v>
      </c>
      <c r="F456" s="8" t="s">
        <v>1258</v>
      </c>
      <c r="G456" s="8">
        <v>500</v>
      </c>
    </row>
    <row r="457" spans="1:7" x14ac:dyDescent="0.15">
      <c r="A457" s="8" t="s">
        <v>1259</v>
      </c>
      <c r="B457" s="8" t="s">
        <v>4095</v>
      </c>
      <c r="C457" s="8" t="str">
        <f t="shared" si="7"/>
        <v>vanquish</v>
      </c>
      <c r="D457" s="8" t="s">
        <v>1259</v>
      </c>
      <c r="E457" s="8" t="s">
        <v>1260</v>
      </c>
      <c r="F457" s="8" t="s">
        <v>1261</v>
      </c>
      <c r="G457" s="8">
        <v>500</v>
      </c>
    </row>
    <row r="458" spans="1:7" x14ac:dyDescent="0.15">
      <c r="A458" s="8" t="s">
        <v>2934</v>
      </c>
      <c r="B458" s="8" t="s">
        <v>4096</v>
      </c>
      <c r="C458" s="8" t="str">
        <f t="shared" si="7"/>
        <v>easy1200mpi</v>
      </c>
      <c r="D458" s="8" t="s">
        <v>14</v>
      </c>
      <c r="E458" s="8" t="s">
        <v>2935</v>
      </c>
      <c r="F458" s="8" t="s">
        <v>2936</v>
      </c>
      <c r="G458" s="8">
        <v>500</v>
      </c>
    </row>
    <row r="459" spans="1:7" x14ac:dyDescent="0.15">
      <c r="A459" s="8" t="s">
        <v>1262</v>
      </c>
      <c r="B459" s="8" t="s">
        <v>4096</v>
      </c>
      <c r="C459" s="8" t="str">
        <f t="shared" si="7"/>
        <v>easylc1</v>
      </c>
      <c r="D459" s="9" t="s">
        <v>14</v>
      </c>
      <c r="E459" s="8" t="s">
        <v>1263</v>
      </c>
      <c r="F459" s="8" t="s">
        <v>1263</v>
      </c>
      <c r="G459" s="8">
        <v>500</v>
      </c>
    </row>
    <row r="460" spans="1:7" x14ac:dyDescent="0.15">
      <c r="A460" s="8" t="s">
        <v>1264</v>
      </c>
      <c r="B460" s="8" t="s">
        <v>4096</v>
      </c>
      <c r="C460" s="8" t="str">
        <f t="shared" si="7"/>
        <v>easylc2</v>
      </c>
      <c r="D460" s="9" t="s">
        <v>14</v>
      </c>
      <c r="E460" s="8" t="s">
        <v>1265</v>
      </c>
      <c r="F460" s="8" t="s">
        <v>1265</v>
      </c>
      <c r="G460" s="8">
        <v>500</v>
      </c>
    </row>
    <row r="461" spans="1:7" x14ac:dyDescent="0.15">
      <c r="A461" s="8" t="s">
        <v>1266</v>
      </c>
      <c r="B461" s="8" t="s">
        <v>4096</v>
      </c>
      <c r="C461" s="8" t="str">
        <f t="shared" si="7"/>
        <v>evosep1</v>
      </c>
      <c r="D461" s="9" t="s">
        <v>14</v>
      </c>
      <c r="E461" s="8" t="s">
        <v>1267</v>
      </c>
      <c r="F461" s="8" t="s">
        <v>1268</v>
      </c>
      <c r="G461" s="8">
        <v>500</v>
      </c>
    </row>
    <row r="462" spans="1:7" x14ac:dyDescent="0.15">
      <c r="A462" s="8" t="s">
        <v>1269</v>
      </c>
      <c r="B462" s="8" t="s">
        <v>4096</v>
      </c>
      <c r="C462" s="8" t="str">
        <f t="shared" si="7"/>
        <v>vanquishneo1</v>
      </c>
      <c r="D462" s="9" t="s">
        <v>14</v>
      </c>
      <c r="E462" s="8" t="s">
        <v>1270</v>
      </c>
      <c r="F462" s="8" t="s">
        <v>1270</v>
      </c>
      <c r="G462" s="8">
        <v>500</v>
      </c>
    </row>
    <row r="463" spans="1:7" x14ac:dyDescent="0.15">
      <c r="A463" s="8" t="s">
        <v>1271</v>
      </c>
      <c r="B463" s="8" t="s">
        <v>114</v>
      </c>
      <c r="C463" s="8" t="str">
        <f t="shared" si="7"/>
        <v>bravo</v>
      </c>
      <c r="D463" s="8" t="s">
        <v>1271</v>
      </c>
      <c r="E463" s="8" t="s">
        <v>1272</v>
      </c>
      <c r="F463" s="8" t="s">
        <v>1273</v>
      </c>
      <c r="G463" s="8">
        <v>500</v>
      </c>
    </row>
    <row r="464" spans="1:7" x14ac:dyDescent="0.15">
      <c r="A464" s="8" t="s">
        <v>1274</v>
      </c>
      <c r="B464" s="8" t="s">
        <v>114</v>
      </c>
      <c r="C464" s="8" t="str">
        <f t="shared" si="7"/>
        <v>felix</v>
      </c>
      <c r="D464" s="8" t="s">
        <v>1274</v>
      </c>
      <c r="E464" s="8" t="s">
        <v>1275</v>
      </c>
      <c r="F464" s="8" t="s">
        <v>1276</v>
      </c>
      <c r="G464" s="8">
        <v>500</v>
      </c>
    </row>
    <row r="465" spans="1:7" x14ac:dyDescent="0.15">
      <c r="A465" s="8" t="s">
        <v>1277</v>
      </c>
      <c r="B465" s="8" t="s">
        <v>114</v>
      </c>
      <c r="C465" s="8" t="str">
        <f t="shared" si="7"/>
        <v>kingfisher</v>
      </c>
      <c r="D465" s="8" t="s">
        <v>1277</v>
      </c>
      <c r="E465" s="8" t="s">
        <v>1278</v>
      </c>
      <c r="F465" s="8" t="s">
        <v>1279</v>
      </c>
      <c r="G465" s="8">
        <v>500</v>
      </c>
    </row>
    <row r="466" spans="1:7" x14ac:dyDescent="0.15">
      <c r="A466" s="8" t="s">
        <v>1280</v>
      </c>
      <c r="B466" s="8" t="s">
        <v>114</v>
      </c>
      <c r="C466" s="8" t="str">
        <f t="shared" si="7"/>
        <v>microlabhamilton</v>
      </c>
      <c r="D466" s="8" t="s">
        <v>1280</v>
      </c>
      <c r="E466" s="8" t="s">
        <v>1281</v>
      </c>
      <c r="F466" s="8" t="s">
        <v>1282</v>
      </c>
      <c r="G466" s="8">
        <v>500</v>
      </c>
    </row>
    <row r="467" spans="1:7" x14ac:dyDescent="0.15">
      <c r="A467" s="8" t="s">
        <v>1283</v>
      </c>
      <c r="B467" s="8" t="s">
        <v>114</v>
      </c>
      <c r="C467" s="8" t="str">
        <f t="shared" si="7"/>
        <v>mosquitoHV</v>
      </c>
      <c r="D467" s="8" t="s">
        <v>1283</v>
      </c>
      <c r="E467" s="8" t="s">
        <v>1284</v>
      </c>
      <c r="F467" s="8" t="s">
        <v>1285</v>
      </c>
      <c r="G467" s="8">
        <v>500</v>
      </c>
    </row>
    <row r="468" spans="1:7" x14ac:dyDescent="0.15">
      <c r="A468" s="8" t="s">
        <v>1286</v>
      </c>
      <c r="B468" s="8" t="s">
        <v>114</v>
      </c>
      <c r="C468" s="8" t="str">
        <f t="shared" si="7"/>
        <v>mosquitoLV</v>
      </c>
      <c r="D468" s="8" t="s">
        <v>1286</v>
      </c>
      <c r="E468" s="8" t="s">
        <v>1287</v>
      </c>
      <c r="F468" s="8" t="s">
        <v>1288</v>
      </c>
      <c r="G468" s="8">
        <v>500</v>
      </c>
    </row>
    <row r="469" spans="1:7" x14ac:dyDescent="0.15">
      <c r="A469" s="8" t="s">
        <v>1289</v>
      </c>
      <c r="B469" s="8" t="s">
        <v>114</v>
      </c>
      <c r="C469" s="8" t="str">
        <f t="shared" si="7"/>
        <v>opentrons</v>
      </c>
      <c r="D469" s="8" t="s">
        <v>1289</v>
      </c>
      <c r="E469" s="8" t="s">
        <v>2773</v>
      </c>
      <c r="F469" s="8" t="s">
        <v>2773</v>
      </c>
      <c r="G469" s="8">
        <v>500</v>
      </c>
    </row>
    <row r="470" spans="1:7" x14ac:dyDescent="0.15">
      <c r="A470" s="8" t="s">
        <v>2937</v>
      </c>
      <c r="B470" s="8" t="s">
        <v>114</v>
      </c>
      <c r="C470" s="8" t="str">
        <f t="shared" si="7"/>
        <v>opentronsot2</v>
      </c>
      <c r="D470" s="8" t="s">
        <v>1289</v>
      </c>
      <c r="E470" s="8" t="s">
        <v>2774</v>
      </c>
      <c r="F470" s="8" t="s">
        <v>2774</v>
      </c>
      <c r="G470" s="8">
        <v>500</v>
      </c>
    </row>
    <row r="471" spans="1:7" x14ac:dyDescent="0.15">
      <c r="A471" s="8" t="s">
        <v>1291</v>
      </c>
      <c r="B471" s="8" t="s">
        <v>114</v>
      </c>
      <c r="C471" s="8" t="str">
        <f t="shared" si="7"/>
        <v>tecan</v>
      </c>
      <c r="D471" s="8" t="s">
        <v>1291</v>
      </c>
      <c r="E471" s="8" t="s">
        <v>1292</v>
      </c>
      <c r="F471" s="8" t="s">
        <v>1293</v>
      </c>
      <c r="G471" s="8">
        <v>500</v>
      </c>
    </row>
    <row r="472" spans="1:7" x14ac:dyDescent="0.15">
      <c r="A472" s="8" t="s">
        <v>274</v>
      </c>
      <c r="B472" s="8" t="s">
        <v>114</v>
      </c>
      <c r="C472" s="8" t="str">
        <f t="shared" si="7"/>
        <v>none</v>
      </c>
      <c r="D472" s="8" t="s">
        <v>3109</v>
      </c>
      <c r="E472" s="8" t="s">
        <v>3110</v>
      </c>
      <c r="F472" s="8" t="s">
        <v>3111</v>
      </c>
      <c r="G472" s="8">
        <v>500</v>
      </c>
    </row>
    <row r="473" spans="1:7" x14ac:dyDescent="0.15">
      <c r="A473" s="8" t="s">
        <v>1294</v>
      </c>
      <c r="B473" s="8" t="s">
        <v>116</v>
      </c>
      <c r="C473" s="8" t="str">
        <f t="shared" si="7"/>
        <v>one_sdc</v>
      </c>
      <c r="D473" s="9" t="s">
        <v>14</v>
      </c>
      <c r="E473" s="8" t="s">
        <v>1295</v>
      </c>
      <c r="F473" s="8" t="s">
        <v>1296</v>
      </c>
      <c r="G473" s="8">
        <v>500</v>
      </c>
    </row>
    <row r="474" spans="1:7" x14ac:dyDescent="0.15">
      <c r="A474" s="8" t="s">
        <v>947</v>
      </c>
      <c r="B474" s="8" t="s">
        <v>116</v>
      </c>
      <c r="C474" s="8" t="str">
        <f t="shared" si="7"/>
        <v>sds</v>
      </c>
      <c r="D474" s="9" t="s">
        <v>14</v>
      </c>
      <c r="E474" s="8" t="s">
        <v>1297</v>
      </c>
      <c r="F474" s="8" t="s">
        <v>1298</v>
      </c>
      <c r="G474" s="8">
        <v>500</v>
      </c>
    </row>
    <row r="475" spans="1:7" x14ac:dyDescent="0.15">
      <c r="A475" s="8" t="s">
        <v>1299</v>
      </c>
      <c r="B475" s="8" t="s">
        <v>116</v>
      </c>
      <c r="C475" s="8" t="str">
        <f t="shared" si="7"/>
        <v>two_sdc</v>
      </c>
      <c r="D475" s="9" t="s">
        <v>14</v>
      </c>
      <c r="E475" s="8" t="s">
        <v>1300</v>
      </c>
      <c r="F475" s="8" t="s">
        <v>1301</v>
      </c>
      <c r="G475" s="8">
        <v>500</v>
      </c>
    </row>
    <row r="476" spans="1:7" x14ac:dyDescent="0.15">
      <c r="A476" s="8" t="s">
        <v>1302</v>
      </c>
      <c r="B476" s="8" t="s">
        <v>116</v>
      </c>
      <c r="C476" s="8" t="str">
        <f t="shared" si="7"/>
        <v>urea</v>
      </c>
      <c r="D476" s="9" t="s">
        <v>14</v>
      </c>
      <c r="E476" s="8" t="s">
        <v>1303</v>
      </c>
      <c r="F476" s="8" t="s">
        <v>1304</v>
      </c>
      <c r="G476" s="8">
        <v>500</v>
      </c>
    </row>
    <row r="477" spans="1:7" x14ac:dyDescent="0.15">
      <c r="A477" s="8" t="s">
        <v>3092</v>
      </c>
      <c r="B477" s="8" t="s">
        <v>116</v>
      </c>
      <c r="C477" s="8" t="str">
        <f t="shared" si="7"/>
        <v>ripa</v>
      </c>
      <c r="D477" s="9" t="s">
        <v>14</v>
      </c>
      <c r="E477" s="8" t="s">
        <v>3093</v>
      </c>
      <c r="F477" s="8" t="s">
        <v>3094</v>
      </c>
      <c r="G477" s="8">
        <v>500</v>
      </c>
    </row>
    <row r="478" spans="1:7" x14ac:dyDescent="0.15">
      <c r="A478" s="8" t="s">
        <v>3095</v>
      </c>
      <c r="B478" s="8" t="s">
        <v>116</v>
      </c>
      <c r="C478" s="8" t="str">
        <f t="shared" si="7"/>
        <v>ripasds</v>
      </c>
      <c r="D478" s="9" t="s">
        <v>14</v>
      </c>
      <c r="E478" s="8" t="s">
        <v>3096</v>
      </c>
      <c r="F478" s="8" t="s">
        <v>3097</v>
      </c>
      <c r="G478" s="8">
        <v>500</v>
      </c>
    </row>
    <row r="479" spans="1:7" x14ac:dyDescent="0.15">
      <c r="A479" s="8" t="s">
        <v>2770</v>
      </c>
      <c r="B479" s="8" t="s">
        <v>71</v>
      </c>
      <c r="C479" s="8" t="str">
        <f t="shared" si="7"/>
        <v>chemical</v>
      </c>
      <c r="D479" s="9" t="s">
        <v>14</v>
      </c>
      <c r="E479" s="8" t="s">
        <v>2771</v>
      </c>
      <c r="F479" s="8" t="s">
        <v>2772</v>
      </c>
      <c r="G479" s="8">
        <v>500</v>
      </c>
    </row>
    <row r="480" spans="1:7" x14ac:dyDescent="0.15">
      <c r="A480" s="8" t="s">
        <v>2780</v>
      </c>
      <c r="B480" s="8" t="s">
        <v>71</v>
      </c>
      <c r="C480" s="8" t="str">
        <f t="shared" si="7"/>
        <v>sonicaton</v>
      </c>
      <c r="D480" s="9" t="s">
        <v>14</v>
      </c>
      <c r="E480" s="8" t="s">
        <v>2781</v>
      </c>
      <c r="F480" s="8" t="s">
        <v>2779</v>
      </c>
      <c r="G480" s="8">
        <v>500</v>
      </c>
    </row>
    <row r="481" spans="1:1008" x14ac:dyDescent="0.15">
      <c r="A481" s="8" t="s">
        <v>1305</v>
      </c>
      <c r="B481" s="8" t="s">
        <v>71</v>
      </c>
      <c r="C481" s="8" t="str">
        <f t="shared" si="7"/>
        <v>dounce</v>
      </c>
      <c r="D481" s="9" t="s">
        <v>14</v>
      </c>
      <c r="E481" s="8" t="s">
        <v>1306</v>
      </c>
      <c r="F481" s="8" t="s">
        <v>1307</v>
      </c>
      <c r="G481" s="8">
        <v>500</v>
      </c>
    </row>
    <row r="482" spans="1:1008" x14ac:dyDescent="0.15">
      <c r="A482" s="8" t="s">
        <v>1308</v>
      </c>
      <c r="B482" s="8" t="s">
        <v>71</v>
      </c>
      <c r="C482" s="8" t="str">
        <f t="shared" si="7"/>
        <v>motar_pestle</v>
      </c>
      <c r="D482" s="9" t="s">
        <v>14</v>
      </c>
      <c r="E482" s="8" t="s">
        <v>1309</v>
      </c>
      <c r="F482" s="8" t="s">
        <v>1310</v>
      </c>
      <c r="G482" s="8">
        <v>500</v>
      </c>
    </row>
    <row r="483" spans="1:1008" x14ac:dyDescent="0.15">
      <c r="A483" s="8" t="s">
        <v>1311</v>
      </c>
      <c r="B483" s="8" t="s">
        <v>71</v>
      </c>
      <c r="C483" s="8" t="str">
        <f t="shared" si="7"/>
        <v>paracyllus</v>
      </c>
      <c r="D483" s="9" t="s">
        <v>14</v>
      </c>
      <c r="E483" s="8" t="s">
        <v>1312</v>
      </c>
      <c r="F483" s="8" t="s">
        <v>1313</v>
      </c>
      <c r="G483" s="8">
        <v>500</v>
      </c>
    </row>
    <row r="484" spans="1:1008" ht="56" x14ac:dyDescent="0.15">
      <c r="A484" s="8" t="s">
        <v>2457</v>
      </c>
      <c r="B484" s="8" t="s">
        <v>3113</v>
      </c>
      <c r="C484" s="8" t="str">
        <f t="shared" si="7"/>
        <v>c57bl6j</v>
      </c>
      <c r="D484" s="9" t="s">
        <v>14</v>
      </c>
      <c r="E484" s="8" t="s">
        <v>3114</v>
      </c>
      <c r="F484" s="23" t="s">
        <v>3115</v>
      </c>
      <c r="G484" s="8">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4" x14ac:dyDescent="0.15">
      <c r="A485" s="8" t="s">
        <v>3237</v>
      </c>
      <c r="B485" s="8" t="s">
        <v>3113</v>
      </c>
      <c r="C485" s="8" t="str">
        <f t="shared" si="7"/>
        <v>c57bl6n</v>
      </c>
      <c r="D485" s="9" t="s">
        <v>14</v>
      </c>
      <c r="E485" s="8" t="s">
        <v>3238</v>
      </c>
      <c r="F485" s="23" t="s">
        <v>3239</v>
      </c>
      <c r="G485" s="8">
        <v>500</v>
      </c>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1" x14ac:dyDescent="0.2">
      <c r="A486" s="8" t="s">
        <v>3240</v>
      </c>
      <c r="B486" s="8" t="s">
        <v>3113</v>
      </c>
      <c r="C486" s="8" t="s">
        <v>3240</v>
      </c>
      <c r="D486" s="9" t="s">
        <v>14</v>
      </c>
      <c r="E486" s="8" t="s">
        <v>3241</v>
      </c>
      <c r="F486" s="23" t="s">
        <v>3242</v>
      </c>
      <c r="G486" s="8">
        <v>500</v>
      </c>
      <c r="H486"/>
      <c r="I486" s="33"/>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27" x14ac:dyDescent="0.2">
      <c r="A487" s="8" t="s">
        <v>4094</v>
      </c>
      <c r="B487" s="8" t="s">
        <v>3113</v>
      </c>
      <c r="C487" s="8" t="s">
        <v>4094</v>
      </c>
      <c r="D487" s="9"/>
      <c r="E487" s="8" t="s">
        <v>4092</v>
      </c>
      <c r="F487" s="23" t="s">
        <v>4093</v>
      </c>
      <c r="H487"/>
      <c r="I487" s="33"/>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x14ac:dyDescent="0.15">
      <c r="A488" s="8" t="s">
        <v>1314</v>
      </c>
      <c r="B488" s="8" t="s">
        <v>119</v>
      </c>
      <c r="C488" s="8" t="str">
        <f t="shared" si="7"/>
        <v>arg0</v>
      </c>
      <c r="D488" s="9" t="s">
        <v>14</v>
      </c>
      <c r="E488" s="8" t="s">
        <v>1315</v>
      </c>
      <c r="F488" s="8" t="s">
        <v>1316</v>
      </c>
      <c r="G488" s="8">
        <v>500</v>
      </c>
    </row>
    <row r="489" spans="1:1008" x14ac:dyDescent="0.15">
      <c r="A489" s="8" t="s">
        <v>1317</v>
      </c>
      <c r="B489" s="8" t="s">
        <v>119</v>
      </c>
      <c r="C489" s="8" t="str">
        <f t="shared" si="7"/>
        <v>arg10</v>
      </c>
      <c r="D489" s="9" t="s">
        <v>14</v>
      </c>
      <c r="E489" s="8" t="s">
        <v>1318</v>
      </c>
      <c r="F489" s="8" t="s">
        <v>1319</v>
      </c>
      <c r="G489" s="8">
        <v>500</v>
      </c>
    </row>
    <row r="490" spans="1:1008" x14ac:dyDescent="0.15">
      <c r="A490" s="8" t="s">
        <v>1320</v>
      </c>
      <c r="B490" s="8" t="s">
        <v>119</v>
      </c>
      <c r="C490" s="8" t="str">
        <f t="shared" si="7"/>
        <v>arg6</v>
      </c>
      <c r="D490" s="9" t="s">
        <v>14</v>
      </c>
      <c r="E490" s="8" t="s">
        <v>1321</v>
      </c>
      <c r="F490" s="8" t="s">
        <v>1322</v>
      </c>
      <c r="G490" s="8">
        <v>500</v>
      </c>
    </row>
    <row r="491" spans="1:1008" x14ac:dyDescent="0.15">
      <c r="A491" s="8" t="s">
        <v>1323</v>
      </c>
      <c r="B491" s="8" t="s">
        <v>119</v>
      </c>
      <c r="C491" s="8" t="str">
        <f t="shared" si="7"/>
        <v>lys0</v>
      </c>
      <c r="D491" s="9" t="s">
        <v>14</v>
      </c>
      <c r="E491" s="8" t="s">
        <v>1324</v>
      </c>
      <c r="F491" s="9" t="s">
        <v>2859</v>
      </c>
      <c r="G491" s="8">
        <v>500</v>
      </c>
    </row>
    <row r="492" spans="1:1008" x14ac:dyDescent="0.15">
      <c r="A492" s="8" t="s">
        <v>1325</v>
      </c>
      <c r="B492" s="8" t="s">
        <v>119</v>
      </c>
      <c r="C492" s="8" t="str">
        <f t="shared" si="7"/>
        <v>lys4</v>
      </c>
      <c r="D492" s="9" t="s">
        <v>14</v>
      </c>
      <c r="E492" s="8" t="s">
        <v>1326</v>
      </c>
      <c r="F492" s="8" t="s">
        <v>1327</v>
      </c>
      <c r="G492" s="8">
        <v>500</v>
      </c>
    </row>
    <row r="493" spans="1:1008" x14ac:dyDescent="0.15">
      <c r="A493" s="8" t="s">
        <v>1328</v>
      </c>
      <c r="B493" s="8" t="s">
        <v>119</v>
      </c>
      <c r="C493" s="8" t="str">
        <f t="shared" si="7"/>
        <v>lys6</v>
      </c>
      <c r="D493" s="9" t="s">
        <v>14</v>
      </c>
      <c r="E493" s="8" t="s">
        <v>1329</v>
      </c>
      <c r="F493" s="8" t="s">
        <v>1330</v>
      </c>
      <c r="G493" s="8">
        <v>500</v>
      </c>
    </row>
    <row r="494" spans="1:1008" x14ac:dyDescent="0.15">
      <c r="A494" s="8" t="s">
        <v>1331</v>
      </c>
      <c r="B494" s="8" t="s">
        <v>119</v>
      </c>
      <c r="C494" s="8" t="str">
        <f t="shared" si="7"/>
        <v>lys8</v>
      </c>
      <c r="D494" s="9" t="s">
        <v>14</v>
      </c>
      <c r="E494" s="8" t="s">
        <v>1332</v>
      </c>
      <c r="F494" s="8" t="s">
        <v>1333</v>
      </c>
      <c r="G494" s="8">
        <v>500</v>
      </c>
    </row>
    <row r="495" spans="1:1008" x14ac:dyDescent="0.15">
      <c r="A495" s="8" t="s">
        <v>2861</v>
      </c>
      <c r="B495" s="8" t="s">
        <v>119</v>
      </c>
      <c r="C495" s="8" t="str">
        <f t="shared" si="7"/>
        <v>lys0arg0</v>
      </c>
      <c r="D495" s="9" t="s">
        <v>14</v>
      </c>
      <c r="E495" s="8" t="s">
        <v>2860</v>
      </c>
      <c r="F495" s="8" t="s">
        <v>2868</v>
      </c>
      <c r="G495" s="8">
        <v>500</v>
      </c>
    </row>
    <row r="496" spans="1:1008" x14ac:dyDescent="0.15">
      <c r="A496" s="8" t="s">
        <v>2862</v>
      </c>
      <c r="B496" s="8" t="s">
        <v>119</v>
      </c>
      <c r="C496" s="8" t="str">
        <f t="shared" si="7"/>
        <v>lys4arg6</v>
      </c>
      <c r="D496" s="9"/>
      <c r="E496" s="8" t="s">
        <v>2863</v>
      </c>
      <c r="F496" s="8" t="s">
        <v>2867</v>
      </c>
      <c r="G496" s="8">
        <v>500</v>
      </c>
    </row>
    <row r="497" spans="1:7" x14ac:dyDescent="0.15">
      <c r="A497" s="8" t="s">
        <v>2864</v>
      </c>
      <c r="B497" s="8" t="s">
        <v>119</v>
      </c>
      <c r="C497" s="8" t="str">
        <f t="shared" si="7"/>
        <v>lys8arg10</v>
      </c>
      <c r="D497" s="9"/>
      <c r="E497" s="8" t="s">
        <v>2865</v>
      </c>
      <c r="F497" s="8" t="s">
        <v>2866</v>
      </c>
      <c r="G497" s="8">
        <v>500</v>
      </c>
    </row>
    <row r="498" spans="1:7" x14ac:dyDescent="0.15">
      <c r="A498" s="8" t="s">
        <v>1334</v>
      </c>
      <c r="B498" s="8" t="s">
        <v>121</v>
      </c>
      <c r="C498" s="8" t="str">
        <f t="shared" si="7"/>
        <v>abc_transporters</v>
      </c>
      <c r="D498" s="9" t="s">
        <v>14</v>
      </c>
      <c r="E498" s="8" t="s">
        <v>1335</v>
      </c>
      <c r="F498" s="8" t="s">
        <v>1336</v>
      </c>
      <c r="G498" s="8">
        <v>500</v>
      </c>
    </row>
    <row r="499" spans="1:7" x14ac:dyDescent="0.15">
      <c r="A499" s="8" t="s">
        <v>1337</v>
      </c>
      <c r="B499" s="8" t="s">
        <v>121</v>
      </c>
      <c r="C499" s="8" t="str">
        <f t="shared" si="7"/>
        <v>amidoxime_reducing_complex</v>
      </c>
      <c r="D499" s="9" t="s">
        <v>14</v>
      </c>
      <c r="E499" s="8" t="s">
        <v>1338</v>
      </c>
      <c r="F499" s="8" t="s">
        <v>1339</v>
      </c>
      <c r="G499" s="8">
        <v>500</v>
      </c>
    </row>
    <row r="500" spans="1:7" x14ac:dyDescent="0.15">
      <c r="A500" s="8" t="s">
        <v>1340</v>
      </c>
      <c r="B500" s="8" t="s">
        <v>121</v>
      </c>
      <c r="C500" s="8" t="str">
        <f t="shared" si="7"/>
        <v>amino_acid_metabolism</v>
      </c>
      <c r="D500" s="9" t="s">
        <v>14</v>
      </c>
      <c r="E500" s="8" t="s">
        <v>1341</v>
      </c>
      <c r="F500" s="8" t="s">
        <v>1342</v>
      </c>
      <c r="G500" s="8">
        <v>500</v>
      </c>
    </row>
    <row r="501" spans="1:7" x14ac:dyDescent="0.15">
      <c r="A501" s="8" t="s">
        <v>1343</v>
      </c>
      <c r="B501" s="8" t="s">
        <v>121</v>
      </c>
      <c r="C501" s="8" t="str">
        <f t="shared" si="7"/>
        <v>apoptosis</v>
      </c>
      <c r="D501" s="9" t="s">
        <v>14</v>
      </c>
      <c r="E501" s="8" t="s">
        <v>1344</v>
      </c>
      <c r="F501" s="8" t="s">
        <v>1345</v>
      </c>
      <c r="G501" s="8">
        <v>500</v>
      </c>
    </row>
    <row r="502" spans="1:7" x14ac:dyDescent="0.15">
      <c r="A502" s="8" t="s">
        <v>1346</v>
      </c>
      <c r="B502" s="8" t="s">
        <v>121</v>
      </c>
      <c r="C502" s="8" t="str">
        <f t="shared" si="7"/>
        <v>autophagy</v>
      </c>
      <c r="D502" s="9" t="s">
        <v>14</v>
      </c>
      <c r="E502" s="8" t="s">
        <v>1347</v>
      </c>
      <c r="F502" s="8" t="s">
        <v>1348</v>
      </c>
      <c r="G502" s="8">
        <v>500</v>
      </c>
    </row>
    <row r="503" spans="1:7" x14ac:dyDescent="0.15">
      <c r="A503" s="8" t="s">
        <v>1349</v>
      </c>
      <c r="B503" s="8" t="s">
        <v>121</v>
      </c>
      <c r="C503" s="8" t="str">
        <f t="shared" si="7"/>
        <v>biotin_utilizing_proteins</v>
      </c>
      <c r="D503" s="9" t="s">
        <v>14</v>
      </c>
      <c r="E503" s="8" t="s">
        <v>1350</v>
      </c>
      <c r="F503" s="8" t="s">
        <v>1351</v>
      </c>
      <c r="G503" s="8">
        <v>500</v>
      </c>
    </row>
    <row r="504" spans="1:7" x14ac:dyDescent="0.15">
      <c r="A504" s="8" t="s">
        <v>1352</v>
      </c>
      <c r="B504" s="8" t="s">
        <v>121</v>
      </c>
      <c r="C504" s="8" t="str">
        <f t="shared" si="7"/>
        <v>branched_chain_amino_acid_dehydrogenase_complex</v>
      </c>
      <c r="D504" s="9" t="s">
        <v>14</v>
      </c>
      <c r="E504" s="8" t="s">
        <v>1353</v>
      </c>
      <c r="F504" s="8" t="s">
        <v>1354</v>
      </c>
      <c r="G504" s="8">
        <v>500</v>
      </c>
    </row>
    <row r="505" spans="1:7" x14ac:dyDescent="0.15">
      <c r="A505" s="8" t="s">
        <v>1355</v>
      </c>
      <c r="B505" s="8" t="s">
        <v>121</v>
      </c>
      <c r="C505" s="8" t="str">
        <f t="shared" si="7"/>
        <v>branched_chain_amino_acid_metabolism</v>
      </c>
      <c r="D505" s="9" t="s">
        <v>14</v>
      </c>
      <c r="E505" s="8" t="s">
        <v>1356</v>
      </c>
      <c r="F505" s="8" t="s">
        <v>1357</v>
      </c>
      <c r="G505" s="8">
        <v>500</v>
      </c>
    </row>
    <row r="506" spans="1:7" x14ac:dyDescent="0.15">
      <c r="A506" s="8" t="s">
        <v>1358</v>
      </c>
      <c r="B506" s="8" t="s">
        <v>121</v>
      </c>
      <c r="C506" s="8" t="str">
        <f t="shared" si="7"/>
        <v>calcium_cycle</v>
      </c>
      <c r="D506" s="9" t="s">
        <v>14</v>
      </c>
      <c r="E506" s="8" t="s">
        <v>1359</v>
      </c>
      <c r="F506" s="8" t="s">
        <v>1360</v>
      </c>
      <c r="G506" s="8">
        <v>500</v>
      </c>
    </row>
    <row r="507" spans="1:7" x14ac:dyDescent="0.15">
      <c r="A507" s="8" t="s">
        <v>1361</v>
      </c>
      <c r="B507" s="8" t="s">
        <v>121</v>
      </c>
      <c r="C507" s="8" t="str">
        <f t="shared" si="7"/>
        <v>calcium_homeostasis</v>
      </c>
      <c r="D507" s="9" t="s">
        <v>14</v>
      </c>
      <c r="E507" s="8" t="s">
        <v>1362</v>
      </c>
      <c r="F507" s="8" t="s">
        <v>1363</v>
      </c>
      <c r="G507" s="8">
        <v>500</v>
      </c>
    </row>
    <row r="508" spans="1:7" x14ac:dyDescent="0.15">
      <c r="A508" s="8" t="s">
        <v>1364</v>
      </c>
      <c r="B508" s="8" t="s">
        <v>121</v>
      </c>
      <c r="C508" s="8" t="str">
        <f t="shared" si="7"/>
        <v>calcium_uniporter</v>
      </c>
      <c r="D508" s="9" t="s">
        <v>14</v>
      </c>
      <c r="E508" s="8" t="s">
        <v>1365</v>
      </c>
      <c r="F508" s="8" t="s">
        <v>1366</v>
      </c>
      <c r="G508" s="8">
        <v>500</v>
      </c>
    </row>
    <row r="509" spans="1:7" x14ac:dyDescent="0.15">
      <c r="A509" s="8" t="s">
        <v>1367</v>
      </c>
      <c r="B509" s="8" t="s">
        <v>121</v>
      </c>
      <c r="C509" s="8" t="str">
        <f t="shared" si="7"/>
        <v>camp_pka_signaling</v>
      </c>
      <c r="D509" s="9" t="s">
        <v>14</v>
      </c>
      <c r="E509" s="8" t="s">
        <v>1368</v>
      </c>
      <c r="F509" s="8" t="s">
        <v>1369</v>
      </c>
      <c r="G509" s="8">
        <v>500</v>
      </c>
    </row>
    <row r="510" spans="1:7" x14ac:dyDescent="0.15">
      <c r="A510" s="8" t="s">
        <v>1370</v>
      </c>
      <c r="B510" s="8" t="s">
        <v>121</v>
      </c>
      <c r="C510" s="8" t="str">
        <f t="shared" si="7"/>
        <v>carbohydrate_metabolism</v>
      </c>
      <c r="D510" s="9" t="s">
        <v>14</v>
      </c>
      <c r="E510" s="8" t="s">
        <v>1371</v>
      </c>
      <c r="F510" s="8" t="s">
        <v>1372</v>
      </c>
      <c r="G510" s="8">
        <v>500</v>
      </c>
    </row>
    <row r="511" spans="1:7" x14ac:dyDescent="0.15">
      <c r="A511" s="8" t="s">
        <v>1373</v>
      </c>
      <c r="B511" s="8" t="s">
        <v>121</v>
      </c>
      <c r="C511" s="8" t="str">
        <f t="shared" si="7"/>
        <v>cardiolipin_synthesis</v>
      </c>
      <c r="D511" s="9" t="s">
        <v>14</v>
      </c>
      <c r="E511" s="8" t="s">
        <v>1374</v>
      </c>
      <c r="F511" s="8" t="s">
        <v>1375</v>
      </c>
      <c r="G511" s="8">
        <v>500</v>
      </c>
    </row>
    <row r="512" spans="1:7" x14ac:dyDescent="0.15">
      <c r="A512" s="8" t="s">
        <v>1376</v>
      </c>
      <c r="B512" s="8" t="s">
        <v>121</v>
      </c>
      <c r="C512" s="8" t="str">
        <f t="shared" si="7"/>
        <v>carnitine_shuttle</v>
      </c>
      <c r="D512" s="9" t="s">
        <v>14</v>
      </c>
      <c r="E512" s="8" t="s">
        <v>1377</v>
      </c>
      <c r="F512" s="8" t="s">
        <v>1378</v>
      </c>
      <c r="G512" s="8">
        <v>500</v>
      </c>
    </row>
    <row r="513" spans="1:7" x14ac:dyDescent="0.15">
      <c r="A513" s="8" t="s">
        <v>1379</v>
      </c>
      <c r="B513" s="8" t="s">
        <v>121</v>
      </c>
      <c r="C513" s="8" t="str">
        <f t="shared" si="7"/>
        <v>carnitine_synthesis_and_transport</v>
      </c>
      <c r="D513" s="9" t="s">
        <v>14</v>
      </c>
      <c r="E513" s="8" t="s">
        <v>1380</v>
      </c>
      <c r="F513" s="8" t="s">
        <v>1381</v>
      </c>
      <c r="G513" s="8">
        <v>500</v>
      </c>
    </row>
    <row r="514" spans="1:7" x14ac:dyDescent="0.15">
      <c r="A514" s="8" t="s">
        <v>1382</v>
      </c>
      <c r="B514" s="8" t="s">
        <v>121</v>
      </c>
      <c r="C514" s="8" t="str">
        <f t="shared" si="7"/>
        <v>catechol_metabolism</v>
      </c>
      <c r="D514" s="9" t="s">
        <v>14</v>
      </c>
      <c r="E514" s="8" t="s">
        <v>1383</v>
      </c>
      <c r="F514" s="8" t="s">
        <v>1384</v>
      </c>
      <c r="G514" s="8">
        <v>500</v>
      </c>
    </row>
    <row r="515" spans="1:7" x14ac:dyDescent="0.15">
      <c r="A515" s="8" t="s">
        <v>1385</v>
      </c>
      <c r="B515" s="8" t="s">
        <v>121</v>
      </c>
      <c r="C515" s="8" t="str">
        <f t="shared" si="7"/>
        <v>chaperones</v>
      </c>
      <c r="D515" s="9" t="s">
        <v>14</v>
      </c>
      <c r="E515" s="8" t="s">
        <v>1386</v>
      </c>
      <c r="F515" s="8" t="s">
        <v>1387</v>
      </c>
      <c r="G515" s="8">
        <v>500</v>
      </c>
    </row>
    <row r="516" spans="1:7" x14ac:dyDescent="0.15">
      <c r="A516" s="8" t="s">
        <v>1388</v>
      </c>
      <c r="B516" s="8" t="s">
        <v>121</v>
      </c>
      <c r="C516" s="8" t="str">
        <f t="shared" si="7"/>
        <v>cholesterol_associated</v>
      </c>
      <c r="D516" s="9" t="s">
        <v>14</v>
      </c>
      <c r="E516" s="8" t="s">
        <v>1389</v>
      </c>
      <c r="F516" s="8" t="s">
        <v>1390</v>
      </c>
      <c r="G516" s="8">
        <v>500</v>
      </c>
    </row>
    <row r="517" spans="1:7" x14ac:dyDescent="0.15">
      <c r="A517" s="8" t="s">
        <v>1391</v>
      </c>
      <c r="B517" s="8" t="s">
        <v>121</v>
      </c>
      <c r="C517" s="8" t="str">
        <f t="shared" si="7"/>
        <v>choline_and_betaine_metabolism</v>
      </c>
      <c r="D517" s="9" t="s">
        <v>14</v>
      </c>
      <c r="E517" s="8" t="s">
        <v>1392</v>
      </c>
      <c r="F517" s="8" t="s">
        <v>1393</v>
      </c>
      <c r="G517" s="8">
        <v>500</v>
      </c>
    </row>
    <row r="518" spans="1:7" x14ac:dyDescent="0.15">
      <c r="A518" s="8" t="s">
        <v>1394</v>
      </c>
      <c r="B518" s="8" t="s">
        <v>121</v>
      </c>
      <c r="C518" s="8" t="str">
        <f t="shared" si="7"/>
        <v>ci_assembly_factors</v>
      </c>
      <c r="D518" s="9" t="s">
        <v>14</v>
      </c>
      <c r="E518" s="8" t="s">
        <v>1395</v>
      </c>
      <c r="F518" s="8" t="s">
        <v>1396</v>
      </c>
      <c r="G518" s="8">
        <v>500</v>
      </c>
    </row>
    <row r="519" spans="1:7" x14ac:dyDescent="0.15">
      <c r="A519" s="8" t="s">
        <v>1397</v>
      </c>
      <c r="B519" s="8" t="s">
        <v>121</v>
      </c>
      <c r="C519" s="8" t="str">
        <f t="shared" si="7"/>
        <v>ci_subunits</v>
      </c>
      <c r="D519" s="9" t="s">
        <v>14</v>
      </c>
      <c r="E519" s="8" t="s">
        <v>1398</v>
      </c>
      <c r="F519" s="8" t="s">
        <v>1399</v>
      </c>
      <c r="G519" s="8">
        <v>500</v>
      </c>
    </row>
    <row r="520" spans="1:7" x14ac:dyDescent="0.15">
      <c r="A520" s="8" t="s">
        <v>1400</v>
      </c>
      <c r="B520" s="8" t="s">
        <v>121</v>
      </c>
      <c r="C520" s="8" t="str">
        <f t="shared" si="7"/>
        <v>cii_assembly_factors</v>
      </c>
      <c r="D520" s="9" t="s">
        <v>14</v>
      </c>
      <c r="E520" s="8" t="s">
        <v>1401</v>
      </c>
      <c r="F520" s="8" t="s">
        <v>1402</v>
      </c>
      <c r="G520" s="8">
        <v>500</v>
      </c>
    </row>
    <row r="521" spans="1:7" x14ac:dyDescent="0.15">
      <c r="A521" s="8" t="s">
        <v>1403</v>
      </c>
      <c r="B521" s="8" t="s">
        <v>121</v>
      </c>
      <c r="C521" s="8" t="str">
        <f t="shared" si="7"/>
        <v>cii_subunits</v>
      </c>
      <c r="D521" s="9" t="s">
        <v>14</v>
      </c>
      <c r="E521" s="8" t="s">
        <v>1404</v>
      </c>
      <c r="F521" s="8" t="s">
        <v>1405</v>
      </c>
      <c r="G521" s="8">
        <v>500</v>
      </c>
    </row>
    <row r="522" spans="1:7" x14ac:dyDescent="0.15">
      <c r="A522" s="8" t="s">
        <v>1406</v>
      </c>
      <c r="B522" s="8" t="s">
        <v>121</v>
      </c>
      <c r="C522" s="8" t="str">
        <f t="shared" ref="C522:C585" si="8">A522</f>
        <v>ciii_assembly_factors</v>
      </c>
      <c r="D522" s="9" t="s">
        <v>14</v>
      </c>
      <c r="E522" s="8" t="s">
        <v>1407</v>
      </c>
      <c r="F522" s="8" t="s">
        <v>1408</v>
      </c>
      <c r="G522" s="8">
        <v>500</v>
      </c>
    </row>
    <row r="523" spans="1:7" x14ac:dyDescent="0.15">
      <c r="A523" s="8" t="s">
        <v>1409</v>
      </c>
      <c r="B523" s="8" t="s">
        <v>121</v>
      </c>
      <c r="C523" s="8" t="str">
        <f t="shared" si="8"/>
        <v>ciii_subunits</v>
      </c>
      <c r="D523" s="9" t="s">
        <v>14</v>
      </c>
      <c r="E523" s="8" t="s">
        <v>1410</v>
      </c>
      <c r="F523" s="8" t="s">
        <v>1411</v>
      </c>
      <c r="G523" s="8">
        <v>500</v>
      </c>
    </row>
    <row r="524" spans="1:7" x14ac:dyDescent="0.15">
      <c r="A524" s="8" t="s">
        <v>1412</v>
      </c>
      <c r="B524" s="8" t="s">
        <v>121</v>
      </c>
      <c r="C524" s="8" t="str">
        <f t="shared" si="8"/>
        <v>civ_assembly_factors</v>
      </c>
      <c r="D524" s="9" t="s">
        <v>14</v>
      </c>
      <c r="E524" s="8" t="s">
        <v>1413</v>
      </c>
      <c r="F524" s="8" t="s">
        <v>1414</v>
      </c>
      <c r="G524" s="8">
        <v>500</v>
      </c>
    </row>
    <row r="525" spans="1:7" x14ac:dyDescent="0.15">
      <c r="A525" s="8" t="s">
        <v>1415</v>
      </c>
      <c r="B525" s="8" t="s">
        <v>121</v>
      </c>
      <c r="C525" s="8" t="str">
        <f t="shared" si="8"/>
        <v>civ_subunits</v>
      </c>
      <c r="D525" s="9" t="s">
        <v>14</v>
      </c>
      <c r="E525" s="8" t="s">
        <v>1416</v>
      </c>
      <c r="F525" s="8" t="s">
        <v>1417</v>
      </c>
      <c r="G525" s="8">
        <v>500</v>
      </c>
    </row>
    <row r="526" spans="1:7" x14ac:dyDescent="0.15">
      <c r="A526" s="8" t="s">
        <v>1418</v>
      </c>
      <c r="B526" s="8" t="s">
        <v>121</v>
      </c>
      <c r="C526" s="8" t="str">
        <f t="shared" si="8"/>
        <v>coenzyme_a_metabolism</v>
      </c>
      <c r="D526" s="9" t="s">
        <v>14</v>
      </c>
      <c r="E526" s="8" t="s">
        <v>1419</v>
      </c>
      <c r="F526" s="8" t="s">
        <v>1420</v>
      </c>
      <c r="G526" s="8">
        <v>500</v>
      </c>
    </row>
    <row r="527" spans="1:7" x14ac:dyDescent="0.15">
      <c r="A527" s="8" t="s">
        <v>1421</v>
      </c>
      <c r="B527" s="8" t="s">
        <v>121</v>
      </c>
      <c r="C527" s="8" t="str">
        <f t="shared" si="8"/>
        <v>coenzyme_q_metabolism</v>
      </c>
      <c r="D527" s="9" t="s">
        <v>14</v>
      </c>
      <c r="E527" s="8" t="s">
        <v>1422</v>
      </c>
      <c r="F527" s="8" t="s">
        <v>1423</v>
      </c>
      <c r="G527" s="8">
        <v>500</v>
      </c>
    </row>
    <row r="528" spans="1:7" x14ac:dyDescent="0.15">
      <c r="A528" s="8" t="s">
        <v>1424</v>
      </c>
      <c r="B528" s="8" t="s">
        <v>121</v>
      </c>
      <c r="C528" s="8" t="str">
        <f t="shared" si="8"/>
        <v>complex_i</v>
      </c>
      <c r="D528" s="9" t="s">
        <v>14</v>
      </c>
      <c r="E528" s="8" t="s">
        <v>1425</v>
      </c>
      <c r="F528" s="8" t="s">
        <v>1426</v>
      </c>
      <c r="G528" s="8">
        <v>500</v>
      </c>
    </row>
    <row r="529" spans="1:7" x14ac:dyDescent="0.15">
      <c r="A529" s="8" t="s">
        <v>1427</v>
      </c>
      <c r="B529" s="8" t="s">
        <v>121</v>
      </c>
      <c r="C529" s="8" t="str">
        <f t="shared" si="8"/>
        <v>complex_ii</v>
      </c>
      <c r="D529" s="9" t="s">
        <v>14</v>
      </c>
      <c r="E529" s="8" t="s">
        <v>1428</v>
      </c>
      <c r="F529" s="8" t="s">
        <v>1429</v>
      </c>
      <c r="G529" s="8">
        <v>500</v>
      </c>
    </row>
    <row r="530" spans="1:7" x14ac:dyDescent="0.15">
      <c r="A530" s="8" t="s">
        <v>1430</v>
      </c>
      <c r="B530" s="8" t="s">
        <v>121</v>
      </c>
      <c r="C530" s="8" t="str">
        <f t="shared" si="8"/>
        <v>complex_iii</v>
      </c>
      <c r="D530" s="9" t="s">
        <v>14</v>
      </c>
      <c r="E530" s="8" t="s">
        <v>1431</v>
      </c>
      <c r="F530" s="8" t="s">
        <v>1432</v>
      </c>
      <c r="G530" s="8">
        <v>500</v>
      </c>
    </row>
    <row r="531" spans="1:7" x14ac:dyDescent="0.15">
      <c r="A531" s="8" t="s">
        <v>1433</v>
      </c>
      <c r="B531" s="8" t="s">
        <v>121</v>
      </c>
      <c r="C531" s="8" t="str">
        <f t="shared" si="8"/>
        <v>complex_iv</v>
      </c>
      <c r="D531" s="9" t="s">
        <v>14</v>
      </c>
      <c r="E531" s="8" t="s">
        <v>1434</v>
      </c>
      <c r="F531" s="8" t="s">
        <v>1435</v>
      </c>
      <c r="G531" s="8">
        <v>500</v>
      </c>
    </row>
    <row r="532" spans="1:7" x14ac:dyDescent="0.15">
      <c r="A532" s="8" t="s">
        <v>1436</v>
      </c>
      <c r="B532" s="8" t="s">
        <v>121</v>
      </c>
      <c r="C532" s="8" t="str">
        <f t="shared" si="8"/>
        <v>complex_v</v>
      </c>
      <c r="D532" s="9" t="s">
        <v>14</v>
      </c>
      <c r="E532" s="8" t="s">
        <v>1437</v>
      </c>
      <c r="F532" s="8" t="s">
        <v>1438</v>
      </c>
      <c r="G532" s="8">
        <v>500</v>
      </c>
    </row>
    <row r="533" spans="1:7" x14ac:dyDescent="0.15">
      <c r="A533" s="8" t="s">
        <v>1439</v>
      </c>
      <c r="B533" s="8" t="s">
        <v>121</v>
      </c>
      <c r="C533" s="8" t="str">
        <f t="shared" si="8"/>
        <v>copper_metabolism</v>
      </c>
      <c r="D533" s="9" t="s">
        <v>14</v>
      </c>
      <c r="E533" s="8" t="s">
        <v>1440</v>
      </c>
      <c r="F533" s="8" t="s">
        <v>1441</v>
      </c>
      <c r="G533" s="8">
        <v>500</v>
      </c>
    </row>
    <row r="534" spans="1:7" x14ac:dyDescent="0.15">
      <c r="A534" s="8" t="s">
        <v>1442</v>
      </c>
      <c r="B534" s="8" t="s">
        <v>121</v>
      </c>
      <c r="C534" s="8" t="str">
        <f t="shared" si="8"/>
        <v>creatine_metabolism</v>
      </c>
      <c r="D534" s="9" t="s">
        <v>14</v>
      </c>
      <c r="E534" s="8" t="s">
        <v>1443</v>
      </c>
      <c r="F534" s="8" t="s">
        <v>1444</v>
      </c>
      <c r="G534" s="8">
        <v>500</v>
      </c>
    </row>
    <row r="535" spans="1:7" x14ac:dyDescent="0.15">
      <c r="A535" s="8" t="s">
        <v>1445</v>
      </c>
      <c r="B535" s="8" t="s">
        <v>121</v>
      </c>
      <c r="C535" s="8" t="str">
        <f t="shared" si="8"/>
        <v>cristae_formation</v>
      </c>
      <c r="D535" s="9" t="s">
        <v>14</v>
      </c>
      <c r="E535" s="8" t="s">
        <v>1446</v>
      </c>
      <c r="F535" s="8" t="s">
        <v>1447</v>
      </c>
      <c r="G535" s="8">
        <v>500</v>
      </c>
    </row>
    <row r="536" spans="1:7" x14ac:dyDescent="0.15">
      <c r="A536" s="8" t="s">
        <v>1448</v>
      </c>
      <c r="B536" s="8" t="s">
        <v>121</v>
      </c>
      <c r="C536" s="8" t="str">
        <f t="shared" si="8"/>
        <v>cv_assembly_factors</v>
      </c>
      <c r="D536" s="9" t="s">
        <v>14</v>
      </c>
      <c r="E536" s="8" t="s">
        <v>1449</v>
      </c>
      <c r="F536" s="8" t="s">
        <v>1450</v>
      </c>
      <c r="G536" s="8">
        <v>500</v>
      </c>
    </row>
    <row r="537" spans="1:7" x14ac:dyDescent="0.15">
      <c r="A537" s="8" t="s">
        <v>1451</v>
      </c>
      <c r="B537" s="8" t="s">
        <v>121</v>
      </c>
      <c r="C537" s="8" t="str">
        <f t="shared" si="8"/>
        <v>cv_subunits</v>
      </c>
      <c r="D537" s="9" t="s">
        <v>14</v>
      </c>
      <c r="E537" s="8" t="s">
        <v>1452</v>
      </c>
      <c r="F537" s="8" t="s">
        <v>1453</v>
      </c>
      <c r="G537" s="8">
        <v>500</v>
      </c>
    </row>
    <row r="538" spans="1:7" x14ac:dyDescent="0.15">
      <c r="A538" s="8" t="s">
        <v>1454</v>
      </c>
      <c r="B538" s="8" t="s">
        <v>121</v>
      </c>
      <c r="C538" s="8" t="str">
        <f t="shared" si="8"/>
        <v>cytochrome_c</v>
      </c>
      <c r="D538" s="9" t="s">
        <v>14</v>
      </c>
      <c r="E538" s="8" t="s">
        <v>1455</v>
      </c>
      <c r="F538" s="8" t="s">
        <v>1456</v>
      </c>
      <c r="G538" s="8">
        <v>500</v>
      </c>
    </row>
    <row r="539" spans="1:7" x14ac:dyDescent="0.15">
      <c r="A539" s="8" t="s">
        <v>1457</v>
      </c>
      <c r="B539" s="8" t="s">
        <v>121</v>
      </c>
      <c r="C539" s="8" t="str">
        <f t="shared" si="8"/>
        <v>cytochromes</v>
      </c>
      <c r="D539" s="9" t="s">
        <v>14</v>
      </c>
      <c r="E539" s="8" t="s">
        <v>1458</v>
      </c>
      <c r="F539" s="8" t="s">
        <v>1459</v>
      </c>
      <c r="G539" s="8">
        <v>500</v>
      </c>
    </row>
    <row r="540" spans="1:7" x14ac:dyDescent="0.15">
      <c r="A540" s="8" t="s">
        <v>1460</v>
      </c>
      <c r="B540" s="8" t="s">
        <v>121</v>
      </c>
      <c r="C540" s="8" t="str">
        <f t="shared" si="8"/>
        <v>detoxification</v>
      </c>
      <c r="D540" s="9" t="s">
        <v>14</v>
      </c>
      <c r="E540" s="8" t="s">
        <v>1461</v>
      </c>
      <c r="F540" s="8" t="s">
        <v>1462</v>
      </c>
      <c r="G540" s="8">
        <v>500</v>
      </c>
    </row>
    <row r="541" spans="1:7" x14ac:dyDescent="0.15">
      <c r="A541" s="8" t="s">
        <v>1463</v>
      </c>
      <c r="B541" s="8" t="s">
        <v>121</v>
      </c>
      <c r="C541" s="8" t="str">
        <f t="shared" si="8"/>
        <v>ef_hand_proteins</v>
      </c>
      <c r="D541" s="9" t="s">
        <v>14</v>
      </c>
      <c r="E541" s="8" t="s">
        <v>1464</v>
      </c>
      <c r="F541" s="8" t="s">
        <v>1465</v>
      </c>
      <c r="G541" s="8">
        <v>500</v>
      </c>
    </row>
    <row r="542" spans="1:7" x14ac:dyDescent="0.15">
      <c r="A542" s="8" t="s">
        <v>1466</v>
      </c>
      <c r="B542" s="8" t="s">
        <v>121</v>
      </c>
      <c r="C542" s="8" t="str">
        <f t="shared" si="8"/>
        <v>eicosanoid_metabolism</v>
      </c>
      <c r="D542" s="9" t="s">
        <v>14</v>
      </c>
      <c r="E542" s="8" t="s">
        <v>1467</v>
      </c>
      <c r="F542" s="8" t="s">
        <v>1468</v>
      </c>
      <c r="G542" s="8">
        <v>500</v>
      </c>
    </row>
    <row r="543" spans="1:7" x14ac:dyDescent="0.15">
      <c r="A543" s="8" t="s">
        <v>1469</v>
      </c>
      <c r="B543" s="8" t="s">
        <v>121</v>
      </c>
      <c r="C543" s="8" t="str">
        <f t="shared" si="8"/>
        <v>electron_carriers</v>
      </c>
      <c r="D543" s="9" t="s">
        <v>14</v>
      </c>
      <c r="E543" s="8" t="s">
        <v>1470</v>
      </c>
      <c r="F543" s="8" t="s">
        <v>1471</v>
      </c>
      <c r="G543" s="8">
        <v>500</v>
      </c>
    </row>
    <row r="544" spans="1:7" x14ac:dyDescent="0.15">
      <c r="A544" s="8" t="s">
        <v>1472</v>
      </c>
      <c r="B544" s="8" t="s">
        <v>121</v>
      </c>
      <c r="C544" s="8" t="str">
        <f t="shared" si="8"/>
        <v>fatty_acid_oxidation</v>
      </c>
      <c r="D544" s="9" t="s">
        <v>14</v>
      </c>
      <c r="E544" s="8" t="s">
        <v>1473</v>
      </c>
      <c r="F544" s="8" t="s">
        <v>1474</v>
      </c>
      <c r="G544" s="8">
        <v>500</v>
      </c>
    </row>
    <row r="545" spans="1:7" x14ac:dyDescent="0.15">
      <c r="A545" s="8" t="s">
        <v>1475</v>
      </c>
      <c r="B545" s="8" t="s">
        <v>121</v>
      </c>
      <c r="C545" s="8" t="str">
        <f t="shared" si="8"/>
        <v>fe_s_cluster_biosynthesis</v>
      </c>
      <c r="D545" s="9" t="s">
        <v>14</v>
      </c>
      <c r="E545" s="8" t="s">
        <v>1476</v>
      </c>
      <c r="F545" s="8" t="s">
        <v>1477</v>
      </c>
      <c r="G545" s="8">
        <v>500</v>
      </c>
    </row>
    <row r="546" spans="1:7" x14ac:dyDescent="0.15">
      <c r="A546" s="8" t="s">
        <v>1478</v>
      </c>
      <c r="B546" s="8" t="s">
        <v>121</v>
      </c>
      <c r="C546" s="8" t="str">
        <f t="shared" si="8"/>
        <v>fe_s_containing_proteins</v>
      </c>
      <c r="D546" s="9" t="s">
        <v>14</v>
      </c>
      <c r="E546" s="8" t="s">
        <v>1479</v>
      </c>
      <c r="F546" s="8" t="s">
        <v>1480</v>
      </c>
      <c r="G546" s="8">
        <v>500</v>
      </c>
    </row>
    <row r="547" spans="1:7" x14ac:dyDescent="0.15">
      <c r="A547" s="8" t="s">
        <v>1481</v>
      </c>
      <c r="B547" s="8" t="s">
        <v>121</v>
      </c>
      <c r="C547" s="8" t="str">
        <f t="shared" si="8"/>
        <v>fission</v>
      </c>
      <c r="D547" s="9" t="s">
        <v>14</v>
      </c>
      <c r="E547" s="8" t="s">
        <v>1482</v>
      </c>
      <c r="F547" s="8" t="s">
        <v>1483</v>
      </c>
      <c r="G547" s="8">
        <v>500</v>
      </c>
    </row>
    <row r="548" spans="1:7" x14ac:dyDescent="0.15">
      <c r="A548" s="8" t="s">
        <v>1484</v>
      </c>
      <c r="B548" s="8" t="s">
        <v>121</v>
      </c>
      <c r="C548" s="8" t="str">
        <f t="shared" si="8"/>
        <v>fmet_processing</v>
      </c>
      <c r="D548" s="9" t="s">
        <v>14</v>
      </c>
      <c r="E548" s="8" t="s">
        <v>1485</v>
      </c>
      <c r="F548" s="8" t="s">
        <v>1486</v>
      </c>
      <c r="G548" s="8">
        <v>500</v>
      </c>
    </row>
    <row r="549" spans="1:7" x14ac:dyDescent="0.15">
      <c r="A549" s="8" t="s">
        <v>1487</v>
      </c>
      <c r="B549" s="8" t="s">
        <v>121</v>
      </c>
      <c r="C549" s="8" t="str">
        <f t="shared" si="8"/>
        <v>folate_and_1_c_metabolism</v>
      </c>
      <c r="D549" s="9" t="s">
        <v>14</v>
      </c>
      <c r="E549" s="8" t="s">
        <v>1488</v>
      </c>
      <c r="F549" s="8" t="s">
        <v>1489</v>
      </c>
      <c r="G549" s="8">
        <v>500</v>
      </c>
    </row>
    <row r="550" spans="1:7" x14ac:dyDescent="0.15">
      <c r="A550" s="8" t="s">
        <v>1490</v>
      </c>
      <c r="B550" s="8" t="s">
        <v>121</v>
      </c>
      <c r="C550" s="8" t="str">
        <f t="shared" si="8"/>
        <v>fusion</v>
      </c>
      <c r="D550" s="9" t="s">
        <v>14</v>
      </c>
      <c r="E550" s="8" t="s">
        <v>1491</v>
      </c>
      <c r="F550" s="8" t="s">
        <v>1492</v>
      </c>
      <c r="G550" s="8">
        <v>500</v>
      </c>
    </row>
    <row r="551" spans="1:7" x14ac:dyDescent="0.15">
      <c r="A551" s="8" t="s">
        <v>1493</v>
      </c>
      <c r="B551" s="8" t="s">
        <v>121</v>
      </c>
      <c r="C551" s="8" t="str">
        <f t="shared" si="8"/>
        <v>gaba_metabolism</v>
      </c>
      <c r="D551" s="9" t="s">
        <v>14</v>
      </c>
      <c r="E551" s="8" t="s">
        <v>1494</v>
      </c>
      <c r="F551" s="8" t="s">
        <v>1495</v>
      </c>
      <c r="G551" s="8">
        <v>500</v>
      </c>
    </row>
    <row r="552" spans="1:7" x14ac:dyDescent="0.15">
      <c r="A552" s="8" t="s">
        <v>1496</v>
      </c>
      <c r="B552" s="8" t="s">
        <v>121</v>
      </c>
      <c r="C552" s="8" t="str">
        <f t="shared" si="8"/>
        <v>gluconeogenesis</v>
      </c>
      <c r="D552" s="9" t="s">
        <v>14</v>
      </c>
      <c r="E552" s="8" t="s">
        <v>1497</v>
      </c>
      <c r="F552" s="8" t="s">
        <v>1498</v>
      </c>
      <c r="G552" s="8">
        <v>500</v>
      </c>
    </row>
    <row r="553" spans="1:7" x14ac:dyDescent="0.15">
      <c r="A553" s="8" t="s">
        <v>1499</v>
      </c>
      <c r="B553" s="8" t="s">
        <v>121</v>
      </c>
      <c r="C553" s="8" t="str">
        <f t="shared" si="8"/>
        <v>glutamate_metabolism</v>
      </c>
      <c r="D553" s="9" t="s">
        <v>14</v>
      </c>
      <c r="E553" s="8" t="s">
        <v>1500</v>
      </c>
      <c r="F553" s="8" t="s">
        <v>1501</v>
      </c>
      <c r="G553" s="8">
        <v>500</v>
      </c>
    </row>
    <row r="554" spans="1:7" x14ac:dyDescent="0.15">
      <c r="A554" s="8" t="s">
        <v>1502</v>
      </c>
      <c r="B554" s="8" t="s">
        <v>121</v>
      </c>
      <c r="C554" s="8" t="str">
        <f t="shared" si="8"/>
        <v>glycerol_phosphate_shuttle</v>
      </c>
      <c r="D554" s="9" t="s">
        <v>14</v>
      </c>
      <c r="E554" s="8" t="s">
        <v>1503</v>
      </c>
      <c r="F554" s="8" t="s">
        <v>1504</v>
      </c>
      <c r="G554" s="8">
        <v>500</v>
      </c>
    </row>
    <row r="555" spans="1:7" x14ac:dyDescent="0.15">
      <c r="A555" s="8" t="s">
        <v>1505</v>
      </c>
      <c r="B555" s="8" t="s">
        <v>121</v>
      </c>
      <c r="C555" s="8" t="str">
        <f t="shared" si="8"/>
        <v>glycine_cleavage_system</v>
      </c>
      <c r="D555" s="9" t="s">
        <v>14</v>
      </c>
      <c r="E555" s="8" t="s">
        <v>1506</v>
      </c>
      <c r="F555" s="8" t="s">
        <v>1507</v>
      </c>
      <c r="G555" s="8">
        <v>500</v>
      </c>
    </row>
    <row r="556" spans="1:7" x14ac:dyDescent="0.15">
      <c r="A556" s="8" t="s">
        <v>1508</v>
      </c>
      <c r="B556" s="8" t="s">
        <v>121</v>
      </c>
      <c r="C556" s="8" t="str">
        <f t="shared" si="8"/>
        <v>glycine_metabolism</v>
      </c>
      <c r="D556" s="9" t="s">
        <v>14</v>
      </c>
      <c r="E556" s="8" t="s">
        <v>1509</v>
      </c>
      <c r="F556" s="8" t="s">
        <v>1510</v>
      </c>
      <c r="G556" s="8">
        <v>500</v>
      </c>
    </row>
    <row r="557" spans="1:7" x14ac:dyDescent="0.15">
      <c r="A557" s="8" t="s">
        <v>1511</v>
      </c>
      <c r="B557" s="8" t="s">
        <v>121</v>
      </c>
      <c r="C557" s="8" t="str">
        <f t="shared" si="8"/>
        <v>glyoxylate_metabolism</v>
      </c>
      <c r="D557" s="9" t="s">
        <v>14</v>
      </c>
      <c r="E557" s="8" t="s">
        <v>1512</v>
      </c>
      <c r="F557" s="8" t="s">
        <v>1513</v>
      </c>
      <c r="G557" s="8">
        <v>500</v>
      </c>
    </row>
    <row r="558" spans="1:7" x14ac:dyDescent="0.15">
      <c r="A558" s="8" t="s">
        <v>1514</v>
      </c>
      <c r="B558" s="8" t="s">
        <v>121</v>
      </c>
      <c r="C558" s="8" t="str">
        <f t="shared" si="8"/>
        <v>heme_containing_proteins</v>
      </c>
      <c r="D558" s="9" t="s">
        <v>14</v>
      </c>
      <c r="E558" s="8" t="s">
        <v>1515</v>
      </c>
      <c r="F558" s="8" t="s">
        <v>1516</v>
      </c>
      <c r="G558" s="8">
        <v>500</v>
      </c>
    </row>
    <row r="559" spans="1:7" x14ac:dyDescent="0.15">
      <c r="A559" s="8" t="s">
        <v>1517</v>
      </c>
      <c r="B559" s="8" t="s">
        <v>121</v>
      </c>
      <c r="C559" s="8" t="str">
        <f t="shared" si="8"/>
        <v>heme_synthesis_and_processing</v>
      </c>
      <c r="D559" s="9" t="s">
        <v>14</v>
      </c>
      <c r="E559" s="8" t="s">
        <v>1518</v>
      </c>
      <c r="F559" s="8" t="s">
        <v>1519</v>
      </c>
      <c r="G559" s="8">
        <v>500</v>
      </c>
    </row>
    <row r="560" spans="1:7" x14ac:dyDescent="0.15">
      <c r="A560" s="8" t="s">
        <v>1520</v>
      </c>
      <c r="B560" s="8" t="s">
        <v>121</v>
      </c>
      <c r="C560" s="8" t="str">
        <f t="shared" si="8"/>
        <v>immune_response</v>
      </c>
      <c r="D560" s="9" t="s">
        <v>14</v>
      </c>
      <c r="E560" s="8" t="s">
        <v>1521</v>
      </c>
      <c r="F560" s="8" t="s">
        <v>1522</v>
      </c>
      <c r="G560" s="8">
        <v>500</v>
      </c>
    </row>
    <row r="561" spans="1:7" x14ac:dyDescent="0.15">
      <c r="A561" s="8" t="s">
        <v>1523</v>
      </c>
      <c r="B561" s="8" t="s">
        <v>121</v>
      </c>
      <c r="C561" s="8" t="str">
        <f t="shared" si="8"/>
        <v>import_motor</v>
      </c>
      <c r="D561" s="9" t="s">
        <v>14</v>
      </c>
      <c r="E561" s="8" t="s">
        <v>1524</v>
      </c>
      <c r="F561" s="8" t="s">
        <v>1525</v>
      </c>
      <c r="G561" s="8">
        <v>500</v>
      </c>
    </row>
    <row r="562" spans="1:7" x14ac:dyDescent="0.15">
      <c r="A562" s="8" t="s">
        <v>1526</v>
      </c>
      <c r="B562" s="8" t="s">
        <v>121</v>
      </c>
      <c r="C562" s="8" t="str">
        <f t="shared" si="8"/>
        <v>intramitochondrial_membrane_interactions</v>
      </c>
      <c r="D562" s="9" t="s">
        <v>14</v>
      </c>
      <c r="E562" s="8" t="s">
        <v>1527</v>
      </c>
      <c r="F562" s="8" t="s">
        <v>1528</v>
      </c>
      <c r="G562" s="8">
        <v>500</v>
      </c>
    </row>
    <row r="563" spans="1:7" x14ac:dyDescent="0.15">
      <c r="A563" s="8" t="s">
        <v>1529</v>
      </c>
      <c r="B563" s="8" t="s">
        <v>121</v>
      </c>
      <c r="C563" s="8" t="str">
        <f t="shared" si="8"/>
        <v>iron_homeostasis</v>
      </c>
      <c r="D563" s="9" t="s">
        <v>14</v>
      </c>
      <c r="E563" s="8" t="s">
        <v>1530</v>
      </c>
      <c r="F563" s="8" t="s">
        <v>1531</v>
      </c>
      <c r="G563" s="8">
        <v>500</v>
      </c>
    </row>
    <row r="564" spans="1:7" x14ac:dyDescent="0.15">
      <c r="A564" s="8" t="s">
        <v>1532</v>
      </c>
      <c r="B564" s="8" t="s">
        <v>121</v>
      </c>
      <c r="C564" s="8" t="str">
        <f t="shared" si="8"/>
        <v>itaconate_metabolism</v>
      </c>
      <c r="D564" s="9" t="s">
        <v>14</v>
      </c>
      <c r="E564" s="8" t="s">
        <v>1533</v>
      </c>
      <c r="F564" s="8" t="s">
        <v>1534</v>
      </c>
      <c r="G564" s="8">
        <v>500</v>
      </c>
    </row>
    <row r="565" spans="1:7" x14ac:dyDescent="0.15">
      <c r="A565" s="8" t="s">
        <v>1535</v>
      </c>
      <c r="B565" s="8" t="s">
        <v>121</v>
      </c>
      <c r="C565" s="8" t="str">
        <f t="shared" si="8"/>
        <v>ketone_metabolism</v>
      </c>
      <c r="D565" s="9" t="s">
        <v>14</v>
      </c>
      <c r="E565" s="8" t="s">
        <v>1536</v>
      </c>
      <c r="F565" s="8" t="s">
        <v>1537</v>
      </c>
      <c r="G565" s="8">
        <v>500</v>
      </c>
    </row>
    <row r="566" spans="1:7" x14ac:dyDescent="0.15">
      <c r="A566" s="8" t="s">
        <v>1538</v>
      </c>
      <c r="B566" s="8" t="s">
        <v>121</v>
      </c>
      <c r="C566" s="8" t="str">
        <f t="shared" si="8"/>
        <v>kynurenine_metabolism</v>
      </c>
      <c r="D566" s="9" t="s">
        <v>14</v>
      </c>
      <c r="E566" s="8" t="s">
        <v>1539</v>
      </c>
      <c r="F566" s="8" t="s">
        <v>1540</v>
      </c>
      <c r="G566" s="8">
        <v>500</v>
      </c>
    </row>
    <row r="567" spans="1:7" x14ac:dyDescent="0.15">
      <c r="A567" s="8" t="s">
        <v>1541</v>
      </c>
      <c r="B567" s="8" t="s">
        <v>121</v>
      </c>
      <c r="C567" s="8" t="str">
        <f t="shared" si="8"/>
        <v>lipid_metabolism</v>
      </c>
      <c r="D567" s="9" t="s">
        <v>14</v>
      </c>
      <c r="E567" s="8" t="s">
        <v>1542</v>
      </c>
      <c r="F567" s="8" t="s">
        <v>1543</v>
      </c>
      <c r="G567" s="8">
        <v>500</v>
      </c>
    </row>
    <row r="568" spans="1:7" x14ac:dyDescent="0.15">
      <c r="A568" s="8" t="s">
        <v>1544</v>
      </c>
      <c r="B568" s="8" t="s">
        <v>121</v>
      </c>
      <c r="C568" s="8" t="str">
        <f t="shared" si="8"/>
        <v>lipoate_insertion</v>
      </c>
      <c r="D568" s="9" t="s">
        <v>14</v>
      </c>
      <c r="E568" s="8" t="s">
        <v>1545</v>
      </c>
      <c r="F568" s="8" t="s">
        <v>1546</v>
      </c>
      <c r="G568" s="8">
        <v>500</v>
      </c>
    </row>
    <row r="569" spans="1:7" x14ac:dyDescent="0.15">
      <c r="A569" s="8" t="s">
        <v>1547</v>
      </c>
      <c r="B569" s="8" t="s">
        <v>121</v>
      </c>
      <c r="C569" s="8" t="str">
        <f t="shared" si="8"/>
        <v>lysine_metabolism</v>
      </c>
      <c r="D569" s="9" t="s">
        <v>14</v>
      </c>
      <c r="E569" s="8" t="s">
        <v>1548</v>
      </c>
      <c r="F569" s="8" t="s">
        <v>1549</v>
      </c>
      <c r="G569" s="8">
        <v>500</v>
      </c>
    </row>
    <row r="570" spans="1:7" x14ac:dyDescent="0.15">
      <c r="A570" s="8" t="s">
        <v>1550</v>
      </c>
      <c r="B570" s="8" t="s">
        <v>121</v>
      </c>
      <c r="C570" s="8" t="str">
        <f t="shared" si="8"/>
        <v>malate_aspartate_shuttle</v>
      </c>
      <c r="D570" s="9" t="s">
        <v>14</v>
      </c>
      <c r="E570" s="8" t="s">
        <v>1551</v>
      </c>
      <c r="F570" s="8" t="s">
        <v>1552</v>
      </c>
      <c r="G570" s="8">
        <v>500</v>
      </c>
    </row>
    <row r="571" spans="1:7" x14ac:dyDescent="0.15">
      <c r="A571" s="8" t="s">
        <v>1553</v>
      </c>
      <c r="B571" s="8" t="s">
        <v>121</v>
      </c>
      <c r="C571" s="8" t="str">
        <f t="shared" si="8"/>
        <v>metabolism</v>
      </c>
      <c r="D571" s="9" t="s">
        <v>14</v>
      </c>
      <c r="E571" s="8" t="s">
        <v>1554</v>
      </c>
      <c r="F571" s="8" t="s">
        <v>1554</v>
      </c>
      <c r="G571" s="8">
        <v>500</v>
      </c>
    </row>
    <row r="572" spans="1:7" x14ac:dyDescent="0.15">
      <c r="A572" s="8" t="s">
        <v>1555</v>
      </c>
      <c r="B572" s="8" t="s">
        <v>121</v>
      </c>
      <c r="C572" s="8" t="str">
        <f t="shared" si="8"/>
        <v>metals_and_cofactors</v>
      </c>
      <c r="D572" s="9" t="s">
        <v>14</v>
      </c>
      <c r="E572" s="8" t="s">
        <v>1556</v>
      </c>
      <c r="F572" s="8" t="s">
        <v>1557</v>
      </c>
      <c r="G572" s="8">
        <v>500</v>
      </c>
    </row>
    <row r="573" spans="1:7" x14ac:dyDescent="0.15">
      <c r="A573" s="8" t="s">
        <v>1558</v>
      </c>
      <c r="B573" s="8" t="s">
        <v>121</v>
      </c>
      <c r="C573" s="8" t="str">
        <f t="shared" si="8"/>
        <v>mia40</v>
      </c>
      <c r="D573" s="9" t="s">
        <v>14</v>
      </c>
      <c r="E573" s="8" t="s">
        <v>1559</v>
      </c>
      <c r="F573" s="8" t="s">
        <v>1560</v>
      </c>
      <c r="G573" s="8">
        <v>500</v>
      </c>
    </row>
    <row r="574" spans="1:7" x14ac:dyDescent="0.15">
      <c r="A574" s="8" t="s">
        <v>1561</v>
      </c>
      <c r="B574" s="8" t="s">
        <v>121</v>
      </c>
      <c r="C574" s="8" t="str">
        <f t="shared" si="8"/>
        <v>micos_complex</v>
      </c>
      <c r="D574" s="9" t="s">
        <v>14</v>
      </c>
      <c r="E574" s="8" t="s">
        <v>1562</v>
      </c>
      <c r="F574" s="8" t="s">
        <v>1563</v>
      </c>
      <c r="G574" s="8">
        <v>500</v>
      </c>
    </row>
    <row r="575" spans="1:7" x14ac:dyDescent="0.15">
      <c r="A575" s="8" t="s">
        <v>1564</v>
      </c>
      <c r="B575" s="8" t="s">
        <v>121</v>
      </c>
      <c r="C575" s="8" t="str">
        <f t="shared" si="8"/>
        <v>mitochondrial_dynamics_and_surveillance</v>
      </c>
      <c r="D575" s="9" t="s">
        <v>14</v>
      </c>
      <c r="E575" s="8" t="s">
        <v>1565</v>
      </c>
      <c r="F575" s="8" t="s">
        <v>1565</v>
      </c>
      <c r="G575" s="8">
        <v>500</v>
      </c>
    </row>
    <row r="576" spans="1:7" x14ac:dyDescent="0.15">
      <c r="A576" s="8" t="s">
        <v>1566</v>
      </c>
      <c r="B576" s="8" t="s">
        <v>121</v>
      </c>
      <c r="C576" s="8" t="str">
        <f t="shared" si="8"/>
        <v>mitochondrial_permeability_transition_pore</v>
      </c>
      <c r="D576" s="9" t="s">
        <v>14</v>
      </c>
      <c r="E576" s="8" t="s">
        <v>1567</v>
      </c>
      <c r="F576" s="8" t="s">
        <v>1568</v>
      </c>
      <c r="G576" s="8">
        <v>500</v>
      </c>
    </row>
    <row r="577" spans="1:7" x14ac:dyDescent="0.15">
      <c r="A577" s="8" t="s">
        <v>1569</v>
      </c>
      <c r="B577" s="8" t="s">
        <v>121</v>
      </c>
      <c r="C577" s="8" t="str">
        <f t="shared" si="8"/>
        <v>mitochondrial_ribosome</v>
      </c>
      <c r="D577" s="9" t="s">
        <v>14</v>
      </c>
      <c r="E577" s="8" t="s">
        <v>1570</v>
      </c>
      <c r="F577" s="8" t="s">
        <v>1571</v>
      </c>
      <c r="G577" s="8">
        <v>500</v>
      </c>
    </row>
    <row r="578" spans="1:7" x14ac:dyDescent="0.15">
      <c r="A578" s="8" t="s">
        <v>1572</v>
      </c>
      <c r="B578" s="8" t="s">
        <v>121</v>
      </c>
      <c r="C578" s="8" t="str">
        <f t="shared" si="8"/>
        <v>mitochondrial_ribosome_assembly</v>
      </c>
      <c r="D578" s="9" t="s">
        <v>14</v>
      </c>
      <c r="E578" s="8" t="s">
        <v>1573</v>
      </c>
      <c r="F578" s="8" t="s">
        <v>1574</v>
      </c>
      <c r="G578" s="8">
        <v>500</v>
      </c>
    </row>
    <row r="579" spans="1:7" x14ac:dyDescent="0.15">
      <c r="A579" s="8" t="s">
        <v>1575</v>
      </c>
      <c r="B579" s="8" t="s">
        <v>121</v>
      </c>
      <c r="C579" s="8" t="str">
        <f t="shared" si="8"/>
        <v>mitophagy</v>
      </c>
      <c r="D579" s="9" t="s">
        <v>14</v>
      </c>
      <c r="E579" s="8" t="s">
        <v>1576</v>
      </c>
      <c r="F579" s="8" t="s">
        <v>1577</v>
      </c>
      <c r="G579" s="8">
        <v>500</v>
      </c>
    </row>
    <row r="580" spans="1:7" x14ac:dyDescent="0.15">
      <c r="A580" s="8" t="s">
        <v>1578</v>
      </c>
      <c r="B580" s="8" t="s">
        <v>121</v>
      </c>
      <c r="C580" s="8" t="str">
        <f t="shared" si="8"/>
        <v>molybdenum_cofactor_synthesis_and_proteins</v>
      </c>
      <c r="D580" s="9" t="s">
        <v>14</v>
      </c>
      <c r="E580" s="8" t="s">
        <v>1579</v>
      </c>
      <c r="F580" s="8" t="s">
        <v>1580</v>
      </c>
      <c r="G580" s="8">
        <v>500</v>
      </c>
    </row>
    <row r="581" spans="1:7" x14ac:dyDescent="0.15">
      <c r="A581" s="8" t="s">
        <v>1581</v>
      </c>
      <c r="B581" s="8" t="s">
        <v>121</v>
      </c>
      <c r="C581" s="8" t="str">
        <f t="shared" si="8"/>
        <v>mt_mrna_modifications</v>
      </c>
      <c r="D581" s="9" t="s">
        <v>14</v>
      </c>
      <c r="E581" s="8" t="s">
        <v>1582</v>
      </c>
      <c r="F581" s="8" t="s">
        <v>1583</v>
      </c>
      <c r="G581" s="8">
        <v>500</v>
      </c>
    </row>
    <row r="582" spans="1:7" x14ac:dyDescent="0.15">
      <c r="A582" s="8" t="s">
        <v>1584</v>
      </c>
      <c r="B582" s="8" t="s">
        <v>121</v>
      </c>
      <c r="C582" s="8" t="str">
        <f t="shared" si="8"/>
        <v>mt_rrna_modifications</v>
      </c>
      <c r="D582" s="9" t="s">
        <v>14</v>
      </c>
      <c r="E582" s="8" t="s">
        <v>1585</v>
      </c>
      <c r="F582" s="8" t="s">
        <v>1586</v>
      </c>
      <c r="G582" s="8">
        <v>500</v>
      </c>
    </row>
    <row r="583" spans="1:7" x14ac:dyDescent="0.15">
      <c r="A583" s="8" t="s">
        <v>1587</v>
      </c>
      <c r="B583" s="8" t="s">
        <v>121</v>
      </c>
      <c r="C583" s="8" t="str">
        <f t="shared" si="8"/>
        <v>mt_trna_modifications</v>
      </c>
      <c r="D583" s="9" t="s">
        <v>14</v>
      </c>
      <c r="E583" s="8" t="s">
        <v>1588</v>
      </c>
      <c r="F583" s="8" t="s">
        <v>1589</v>
      </c>
      <c r="G583" s="8">
        <v>500</v>
      </c>
    </row>
    <row r="584" spans="1:7" x14ac:dyDescent="0.15">
      <c r="A584" s="8" t="s">
        <v>1590</v>
      </c>
      <c r="B584" s="8" t="s">
        <v>121</v>
      </c>
      <c r="C584" s="8" t="str">
        <f t="shared" si="8"/>
        <v>mt_trna_synthetases</v>
      </c>
      <c r="D584" s="9" t="s">
        <v>14</v>
      </c>
      <c r="E584" s="8" t="s">
        <v>1591</v>
      </c>
      <c r="F584" s="8" t="s">
        <v>1592</v>
      </c>
      <c r="G584" s="8">
        <v>500</v>
      </c>
    </row>
    <row r="585" spans="1:7" x14ac:dyDescent="0.15">
      <c r="A585" s="8" t="s">
        <v>1593</v>
      </c>
      <c r="B585" s="8" t="s">
        <v>121</v>
      </c>
      <c r="C585" s="8" t="str">
        <f t="shared" si="8"/>
        <v>mtdna_maintenance</v>
      </c>
      <c r="D585" s="9" t="s">
        <v>14</v>
      </c>
      <c r="E585" s="8" t="s">
        <v>1594</v>
      </c>
      <c r="F585" s="8" t="s">
        <v>1595</v>
      </c>
      <c r="G585" s="8">
        <v>500</v>
      </c>
    </row>
    <row r="586" spans="1:7" x14ac:dyDescent="0.15">
      <c r="A586" s="8" t="s">
        <v>1596</v>
      </c>
      <c r="B586" s="8" t="s">
        <v>121</v>
      </c>
      <c r="C586" s="8" t="str">
        <f t="shared" ref="C586:C649" si="9">A586</f>
        <v>mtdna_modifications</v>
      </c>
      <c r="D586" s="9" t="s">
        <v>14</v>
      </c>
      <c r="E586" s="8" t="s">
        <v>1597</v>
      </c>
      <c r="F586" s="8" t="s">
        <v>1598</v>
      </c>
      <c r="G586" s="8">
        <v>500</v>
      </c>
    </row>
    <row r="587" spans="1:7" x14ac:dyDescent="0.15">
      <c r="A587" s="8" t="s">
        <v>1599</v>
      </c>
      <c r="B587" s="8" t="s">
        <v>121</v>
      </c>
      <c r="C587" s="8" t="str">
        <f t="shared" si="9"/>
        <v>mtdna_nucleoid</v>
      </c>
      <c r="D587" s="9" t="s">
        <v>14</v>
      </c>
      <c r="E587" s="8" t="s">
        <v>1600</v>
      </c>
      <c r="F587" s="8" t="s">
        <v>1601</v>
      </c>
      <c r="G587" s="8">
        <v>500</v>
      </c>
    </row>
    <row r="588" spans="1:7" x14ac:dyDescent="0.15">
      <c r="A588" s="8" t="s">
        <v>1602</v>
      </c>
      <c r="B588" s="8" t="s">
        <v>121</v>
      </c>
      <c r="C588" s="8" t="str">
        <f t="shared" si="9"/>
        <v>mtdna_repair</v>
      </c>
      <c r="D588" s="9" t="s">
        <v>14</v>
      </c>
      <c r="E588" s="8" t="s">
        <v>1603</v>
      </c>
      <c r="F588" s="8" t="s">
        <v>1604</v>
      </c>
      <c r="G588" s="8">
        <v>500</v>
      </c>
    </row>
    <row r="589" spans="1:7" x14ac:dyDescent="0.15">
      <c r="A589" s="8" t="s">
        <v>1605</v>
      </c>
      <c r="B589" s="8" t="s">
        <v>121</v>
      </c>
      <c r="C589" s="8" t="str">
        <f t="shared" si="9"/>
        <v>mtdna_replication</v>
      </c>
      <c r="D589" s="9" t="s">
        <v>14</v>
      </c>
      <c r="E589" s="8" t="s">
        <v>1606</v>
      </c>
      <c r="F589" s="8" t="s">
        <v>1607</v>
      </c>
      <c r="G589" s="8">
        <v>500</v>
      </c>
    </row>
    <row r="590" spans="1:7" x14ac:dyDescent="0.15">
      <c r="A590" s="8" t="s">
        <v>1608</v>
      </c>
      <c r="B590" s="8" t="s">
        <v>121</v>
      </c>
      <c r="C590" s="8" t="str">
        <f t="shared" si="9"/>
        <v>mtdna_stability_and_decay</v>
      </c>
      <c r="D590" s="9" t="s">
        <v>14</v>
      </c>
      <c r="E590" s="8" t="s">
        <v>1609</v>
      </c>
      <c r="F590" s="8" t="s">
        <v>1610</v>
      </c>
      <c r="G590" s="8">
        <v>500</v>
      </c>
    </row>
    <row r="591" spans="1:7" x14ac:dyDescent="0.15">
      <c r="A591" s="8" t="s">
        <v>1611</v>
      </c>
      <c r="B591" s="8" t="s">
        <v>121</v>
      </c>
      <c r="C591" s="8" t="str">
        <f t="shared" si="9"/>
        <v>mtrna_granules</v>
      </c>
      <c r="D591" s="9" t="s">
        <v>14</v>
      </c>
      <c r="E591" s="8" t="s">
        <v>1612</v>
      </c>
      <c r="F591" s="8" t="s">
        <v>1613</v>
      </c>
      <c r="G591" s="8">
        <v>500</v>
      </c>
    </row>
    <row r="592" spans="1:7" x14ac:dyDescent="0.15">
      <c r="A592" s="8" t="s">
        <v>1614</v>
      </c>
      <c r="B592" s="8" t="s">
        <v>121</v>
      </c>
      <c r="C592" s="8" t="str">
        <f t="shared" si="9"/>
        <v>mtrna_metabolism</v>
      </c>
      <c r="D592" s="9" t="s">
        <v>14</v>
      </c>
      <c r="E592" s="8" t="s">
        <v>1615</v>
      </c>
      <c r="F592" s="8" t="s">
        <v>1616</v>
      </c>
      <c r="G592" s="8">
        <v>500</v>
      </c>
    </row>
    <row r="593" spans="1:7" x14ac:dyDescent="0.15">
      <c r="A593" s="8" t="s">
        <v>1617</v>
      </c>
      <c r="B593" s="8" t="s">
        <v>121</v>
      </c>
      <c r="C593" s="8" t="str">
        <f t="shared" si="9"/>
        <v>mtrna_stability_and_decay</v>
      </c>
      <c r="D593" s="9" t="s">
        <v>14</v>
      </c>
      <c r="E593" s="8" t="s">
        <v>1618</v>
      </c>
      <c r="F593" s="8" t="s">
        <v>1619</v>
      </c>
      <c r="G593" s="8">
        <v>500</v>
      </c>
    </row>
    <row r="594" spans="1:7" x14ac:dyDescent="0.15">
      <c r="A594" s="8" t="s">
        <v>1620</v>
      </c>
      <c r="B594" s="8" t="s">
        <v>121</v>
      </c>
      <c r="C594" s="8" t="str">
        <f t="shared" si="9"/>
        <v>nad_biosynthesis_and_metabolism</v>
      </c>
      <c r="D594" s="9" t="s">
        <v>14</v>
      </c>
      <c r="E594" s="8" t="s">
        <v>1621</v>
      </c>
      <c r="F594" s="8" t="s">
        <v>1622</v>
      </c>
      <c r="G594" s="8">
        <v>500</v>
      </c>
    </row>
    <row r="595" spans="1:7" x14ac:dyDescent="0.15">
      <c r="A595" s="8" t="s">
        <v>1623</v>
      </c>
      <c r="B595" s="8" t="s">
        <v>121</v>
      </c>
      <c r="C595" s="8" t="str">
        <f t="shared" si="9"/>
        <v>nucleotide_import</v>
      </c>
      <c r="D595" s="9" t="s">
        <v>14</v>
      </c>
      <c r="E595" s="8" t="s">
        <v>1624</v>
      </c>
      <c r="F595" s="8" t="s">
        <v>1625</v>
      </c>
      <c r="G595" s="8">
        <v>500</v>
      </c>
    </row>
    <row r="596" spans="1:7" x14ac:dyDescent="0.15">
      <c r="A596" s="8" t="s">
        <v>1626</v>
      </c>
      <c r="B596" s="8" t="s">
        <v>121</v>
      </c>
      <c r="C596" s="8" t="str">
        <f t="shared" si="9"/>
        <v>nucleotide_metabolism</v>
      </c>
      <c r="D596" s="9" t="s">
        <v>14</v>
      </c>
      <c r="E596" s="8" t="s">
        <v>1627</v>
      </c>
      <c r="F596" s="8" t="s">
        <v>1628</v>
      </c>
      <c r="G596" s="8">
        <v>500</v>
      </c>
    </row>
    <row r="597" spans="1:7" x14ac:dyDescent="0.15">
      <c r="A597" s="8" t="s">
        <v>1629</v>
      </c>
      <c r="B597" s="8" t="s">
        <v>121</v>
      </c>
      <c r="C597" s="8" t="str">
        <f t="shared" si="9"/>
        <v>nucleotide_synthesis_and_processing</v>
      </c>
      <c r="D597" s="9" t="s">
        <v>14</v>
      </c>
      <c r="E597" s="8" t="s">
        <v>1630</v>
      </c>
      <c r="F597" s="8" t="s">
        <v>1631</v>
      </c>
      <c r="G597" s="8">
        <v>500</v>
      </c>
    </row>
    <row r="598" spans="1:7" x14ac:dyDescent="0.15">
      <c r="A598" s="8" t="s">
        <v>1632</v>
      </c>
      <c r="B598" s="8" t="s">
        <v>121</v>
      </c>
      <c r="C598" s="8" t="str">
        <f t="shared" si="9"/>
        <v>organelle_contact_sites</v>
      </c>
      <c r="D598" s="9" t="s">
        <v>14</v>
      </c>
      <c r="E598" s="8" t="s">
        <v>1633</v>
      </c>
      <c r="F598" s="8" t="s">
        <v>1634</v>
      </c>
      <c r="G598" s="8">
        <v>500</v>
      </c>
    </row>
    <row r="599" spans="1:7" x14ac:dyDescent="0.15">
      <c r="A599" s="8" t="s">
        <v>1635</v>
      </c>
      <c r="B599" s="8" t="s">
        <v>121</v>
      </c>
      <c r="C599" s="8" t="str">
        <f t="shared" si="9"/>
        <v>oxa</v>
      </c>
      <c r="D599" s="9" t="s">
        <v>14</v>
      </c>
      <c r="E599" s="8" t="s">
        <v>1636</v>
      </c>
      <c r="F599" s="8" t="s">
        <v>1637</v>
      </c>
      <c r="G599" s="8">
        <v>500</v>
      </c>
    </row>
    <row r="600" spans="1:7" x14ac:dyDescent="0.15">
      <c r="A600" s="8" t="s">
        <v>1638</v>
      </c>
      <c r="B600" s="8" t="s">
        <v>121</v>
      </c>
      <c r="C600" s="8" t="str">
        <f t="shared" si="9"/>
        <v>oxphos</v>
      </c>
      <c r="D600" s="9" t="s">
        <v>14</v>
      </c>
      <c r="E600" s="8" t="s">
        <v>1639</v>
      </c>
      <c r="F600" s="8" t="s">
        <v>1639</v>
      </c>
      <c r="G600" s="8">
        <v>500</v>
      </c>
    </row>
    <row r="601" spans="1:7" x14ac:dyDescent="0.15">
      <c r="A601" s="8" t="s">
        <v>1640</v>
      </c>
      <c r="B601" s="8" t="s">
        <v>121</v>
      </c>
      <c r="C601" s="8" t="str">
        <f t="shared" si="9"/>
        <v>oxphos_assembly_factors</v>
      </c>
      <c r="D601" s="9" t="s">
        <v>14</v>
      </c>
      <c r="E601" s="8" t="s">
        <v>1641</v>
      </c>
      <c r="F601" s="8" t="s">
        <v>1642</v>
      </c>
      <c r="G601" s="8">
        <v>500</v>
      </c>
    </row>
    <row r="602" spans="1:7" x14ac:dyDescent="0.15">
      <c r="A602" s="8" t="s">
        <v>1643</v>
      </c>
      <c r="B602" s="8" t="s">
        <v>121</v>
      </c>
      <c r="C602" s="8" t="str">
        <f t="shared" si="9"/>
        <v>oxphos_subunits</v>
      </c>
      <c r="D602" s="9" t="s">
        <v>14</v>
      </c>
      <c r="E602" s="8" t="s">
        <v>1644</v>
      </c>
      <c r="F602" s="8" t="s">
        <v>1645</v>
      </c>
      <c r="G602" s="8">
        <v>500</v>
      </c>
    </row>
    <row r="603" spans="1:7" x14ac:dyDescent="0.15">
      <c r="A603" s="8" t="s">
        <v>1646</v>
      </c>
      <c r="B603" s="8" t="s">
        <v>121</v>
      </c>
      <c r="C603" s="8" t="str">
        <f t="shared" si="9"/>
        <v>phospholipid_metabolism</v>
      </c>
      <c r="D603" s="9" t="s">
        <v>14</v>
      </c>
      <c r="E603" s="8" t="s">
        <v>1647</v>
      </c>
      <c r="F603" s="8" t="s">
        <v>1648</v>
      </c>
      <c r="G603" s="8">
        <v>500</v>
      </c>
    </row>
    <row r="604" spans="1:7" x14ac:dyDescent="0.15">
      <c r="A604" s="8" t="s">
        <v>1649</v>
      </c>
      <c r="B604" s="8" t="s">
        <v>121</v>
      </c>
      <c r="C604" s="8" t="str">
        <f t="shared" si="9"/>
        <v>polycistronic_mtrna_processing</v>
      </c>
      <c r="D604" s="9" t="s">
        <v>14</v>
      </c>
      <c r="E604" s="8" t="s">
        <v>1650</v>
      </c>
      <c r="F604" s="8" t="s">
        <v>1651</v>
      </c>
      <c r="G604" s="8">
        <v>500</v>
      </c>
    </row>
    <row r="605" spans="1:7" x14ac:dyDescent="0.15">
      <c r="A605" s="8" t="s">
        <v>1652</v>
      </c>
      <c r="B605" s="8" t="s">
        <v>121</v>
      </c>
      <c r="C605" s="8" t="str">
        <f t="shared" si="9"/>
        <v>preprotein_cleavage</v>
      </c>
      <c r="D605" s="9" t="s">
        <v>14</v>
      </c>
      <c r="E605" s="8" t="s">
        <v>1653</v>
      </c>
      <c r="F605" s="8" t="s">
        <v>1654</v>
      </c>
      <c r="G605" s="8">
        <v>500</v>
      </c>
    </row>
    <row r="606" spans="1:7" x14ac:dyDescent="0.15">
      <c r="A606" s="8" t="s">
        <v>1655</v>
      </c>
      <c r="B606" s="8" t="s">
        <v>121</v>
      </c>
      <c r="C606" s="8" t="str">
        <f t="shared" si="9"/>
        <v>proline_metabolism</v>
      </c>
      <c r="D606" s="9" t="s">
        <v>14</v>
      </c>
      <c r="E606" s="8" t="s">
        <v>1656</v>
      </c>
      <c r="F606" s="8" t="s">
        <v>1657</v>
      </c>
      <c r="G606" s="8">
        <v>500</v>
      </c>
    </row>
    <row r="607" spans="1:7" x14ac:dyDescent="0.15">
      <c r="A607" s="8" t="s">
        <v>1658</v>
      </c>
      <c r="B607" s="8" t="s">
        <v>121</v>
      </c>
      <c r="C607" s="8" t="str">
        <f t="shared" si="9"/>
        <v>propanoate_metabolism</v>
      </c>
      <c r="D607" s="9" t="s">
        <v>14</v>
      </c>
      <c r="E607" s="8" t="s">
        <v>1659</v>
      </c>
      <c r="F607" s="8" t="s">
        <v>1660</v>
      </c>
      <c r="G607" s="8">
        <v>500</v>
      </c>
    </row>
    <row r="608" spans="1:7" x14ac:dyDescent="0.15">
      <c r="A608" s="8" t="s">
        <v>1661</v>
      </c>
      <c r="B608" s="8" t="s">
        <v>121</v>
      </c>
      <c r="C608" s="8" t="str">
        <f t="shared" si="9"/>
        <v>proteases</v>
      </c>
      <c r="D608" s="9" t="s">
        <v>14</v>
      </c>
      <c r="E608" s="8" t="s">
        <v>1662</v>
      </c>
      <c r="F608" s="8" t="s">
        <v>1663</v>
      </c>
      <c r="G608" s="8">
        <v>500</v>
      </c>
    </row>
    <row r="609" spans="1:7" x14ac:dyDescent="0.15">
      <c r="A609" s="8" t="s">
        <v>1664</v>
      </c>
      <c r="B609" s="8" t="s">
        <v>121</v>
      </c>
      <c r="C609" s="8" t="str">
        <f t="shared" si="9"/>
        <v>protein_homeostasis</v>
      </c>
      <c r="D609" s="9" t="s">
        <v>14</v>
      </c>
      <c r="E609" s="8" t="s">
        <v>1665</v>
      </c>
      <c r="F609" s="8" t="s">
        <v>1666</v>
      </c>
      <c r="G609" s="8">
        <v>500</v>
      </c>
    </row>
    <row r="610" spans="1:7" x14ac:dyDescent="0.15">
      <c r="A610" s="8" t="s">
        <v>1667</v>
      </c>
      <c r="B610" s="8" t="s">
        <v>121</v>
      </c>
      <c r="C610" s="8" t="str">
        <f t="shared" si="9"/>
        <v>protein_import_and_sorting</v>
      </c>
      <c r="D610" s="9" t="s">
        <v>14</v>
      </c>
      <c r="E610" s="8" t="s">
        <v>1668</v>
      </c>
      <c r="F610" s="8" t="s">
        <v>1669</v>
      </c>
      <c r="G610" s="8">
        <v>500</v>
      </c>
    </row>
    <row r="611" spans="1:7" x14ac:dyDescent="0.15">
      <c r="A611" s="8" t="s">
        <v>1670</v>
      </c>
      <c r="B611" s="8" t="s">
        <v>121</v>
      </c>
      <c r="C611" s="8" t="str">
        <f t="shared" si="9"/>
        <v>pyruvate_metabolism</v>
      </c>
      <c r="D611" s="9" t="s">
        <v>14</v>
      </c>
      <c r="E611" s="8" t="s">
        <v>1671</v>
      </c>
      <c r="F611" s="8" t="s">
        <v>1672</v>
      </c>
      <c r="G611" s="8">
        <v>500</v>
      </c>
    </row>
    <row r="612" spans="1:7" x14ac:dyDescent="0.15">
      <c r="A612" s="8" t="s">
        <v>1673</v>
      </c>
      <c r="B612" s="8" t="s">
        <v>121</v>
      </c>
      <c r="C612" s="8" t="str">
        <f t="shared" si="9"/>
        <v>respirasome_assembly</v>
      </c>
      <c r="D612" s="9" t="s">
        <v>14</v>
      </c>
      <c r="E612" s="8" t="s">
        <v>1674</v>
      </c>
      <c r="F612" s="8" t="s">
        <v>1675</v>
      </c>
      <c r="G612" s="8">
        <v>500</v>
      </c>
    </row>
    <row r="613" spans="1:7" x14ac:dyDescent="0.15">
      <c r="A613" s="8" t="s">
        <v>1676</v>
      </c>
      <c r="B613" s="8" t="s">
        <v>121</v>
      </c>
      <c r="C613" s="8" t="str">
        <f t="shared" si="9"/>
        <v>ros_and_glutathione_metabolism</v>
      </c>
      <c r="D613" s="9" t="s">
        <v>14</v>
      </c>
      <c r="E613" s="8" t="s">
        <v>1677</v>
      </c>
      <c r="F613" s="8" t="s">
        <v>1678</v>
      </c>
      <c r="G613" s="8">
        <v>500</v>
      </c>
    </row>
    <row r="614" spans="1:7" x14ac:dyDescent="0.15">
      <c r="A614" s="8" t="s">
        <v>1679</v>
      </c>
      <c r="B614" s="8" t="s">
        <v>121</v>
      </c>
      <c r="C614" s="8" t="str">
        <f t="shared" si="9"/>
        <v>sam</v>
      </c>
      <c r="D614" s="9" t="s">
        <v>14</v>
      </c>
      <c r="E614" s="8" t="s">
        <v>1680</v>
      </c>
      <c r="F614" s="8" t="s">
        <v>1681</v>
      </c>
      <c r="G614" s="8">
        <v>500</v>
      </c>
    </row>
    <row r="615" spans="1:7" x14ac:dyDescent="0.15">
      <c r="A615" s="8" t="s">
        <v>1682</v>
      </c>
      <c r="B615" s="8" t="s">
        <v>121</v>
      </c>
      <c r="C615" s="8" t="str">
        <f t="shared" si="9"/>
        <v>selenoproteins</v>
      </c>
      <c r="D615" s="9" t="s">
        <v>14</v>
      </c>
      <c r="E615" s="8" t="s">
        <v>1683</v>
      </c>
      <c r="F615" s="8" t="s">
        <v>1684</v>
      </c>
      <c r="G615" s="8">
        <v>500</v>
      </c>
    </row>
    <row r="616" spans="1:7" x14ac:dyDescent="0.15">
      <c r="A616" s="8" t="s">
        <v>1685</v>
      </c>
      <c r="B616" s="8" t="s">
        <v>121</v>
      </c>
      <c r="C616" s="8" t="str">
        <f t="shared" si="9"/>
        <v>serine_metabolism</v>
      </c>
      <c r="D616" s="9" t="s">
        <v>14</v>
      </c>
      <c r="E616" s="8" t="s">
        <v>1686</v>
      </c>
      <c r="F616" s="8" t="s">
        <v>1687</v>
      </c>
      <c r="G616" s="8">
        <v>500</v>
      </c>
    </row>
    <row r="617" spans="1:7" x14ac:dyDescent="0.15">
      <c r="A617" s="8" t="s">
        <v>1688</v>
      </c>
      <c r="B617" s="8" t="s">
        <v>121</v>
      </c>
      <c r="C617" s="8" t="str">
        <f t="shared" si="9"/>
        <v>sideroflexins</v>
      </c>
      <c r="D617" s="9" t="s">
        <v>14</v>
      </c>
      <c r="E617" s="8" t="s">
        <v>1689</v>
      </c>
      <c r="F617" s="8" t="s">
        <v>1690</v>
      </c>
      <c r="G617" s="8">
        <v>500</v>
      </c>
    </row>
    <row r="618" spans="1:7" x14ac:dyDescent="0.15">
      <c r="A618" s="8" t="s">
        <v>1691</v>
      </c>
      <c r="B618" s="8" t="s">
        <v>121</v>
      </c>
      <c r="C618" s="8" t="str">
        <f t="shared" si="9"/>
        <v>signaling</v>
      </c>
      <c r="D618" s="9" t="s">
        <v>14</v>
      </c>
      <c r="E618" s="8" t="s">
        <v>1692</v>
      </c>
      <c r="F618" s="8" t="s">
        <v>1692</v>
      </c>
      <c r="G618" s="8">
        <v>500</v>
      </c>
    </row>
    <row r="619" spans="1:7" x14ac:dyDescent="0.15">
      <c r="A619" s="8" t="s">
        <v>1693</v>
      </c>
      <c r="B619" s="8" t="s">
        <v>121</v>
      </c>
      <c r="C619" s="8" t="str">
        <f t="shared" si="9"/>
        <v>slc25a_family</v>
      </c>
      <c r="D619" s="9" t="s">
        <v>14</v>
      </c>
      <c r="E619" s="8" t="s">
        <v>1694</v>
      </c>
      <c r="F619" s="8" t="s">
        <v>1695</v>
      </c>
      <c r="G619" s="8">
        <v>500</v>
      </c>
    </row>
    <row r="620" spans="1:7" x14ac:dyDescent="0.15">
      <c r="A620" s="8" t="s">
        <v>1696</v>
      </c>
      <c r="B620" s="8" t="s">
        <v>121</v>
      </c>
      <c r="C620" s="8" t="str">
        <f t="shared" si="9"/>
        <v>small_molecule_transport</v>
      </c>
      <c r="D620" s="9" t="s">
        <v>14</v>
      </c>
      <c r="E620" s="8" t="s">
        <v>1697</v>
      </c>
      <c r="F620" s="8" t="s">
        <v>1697</v>
      </c>
      <c r="G620" s="8">
        <v>500</v>
      </c>
    </row>
    <row r="621" spans="1:7" x14ac:dyDescent="0.15">
      <c r="A621" s="8" t="s">
        <v>1698</v>
      </c>
      <c r="B621" s="8" t="s">
        <v>121</v>
      </c>
      <c r="C621" s="8" t="str">
        <f t="shared" si="9"/>
        <v>sulfur_metabolism</v>
      </c>
      <c r="D621" s="9" t="s">
        <v>14</v>
      </c>
      <c r="E621" s="8" t="s">
        <v>1699</v>
      </c>
      <c r="F621" s="8" t="s">
        <v>1700</v>
      </c>
      <c r="G621" s="8">
        <v>500</v>
      </c>
    </row>
    <row r="622" spans="1:7" x14ac:dyDescent="0.15">
      <c r="A622" s="8" t="s">
        <v>1701</v>
      </c>
      <c r="B622" s="8" t="s">
        <v>121</v>
      </c>
      <c r="C622" s="8" t="str">
        <f t="shared" si="9"/>
        <v>tca_associated</v>
      </c>
      <c r="D622" s="9" t="s">
        <v>14</v>
      </c>
      <c r="E622" s="8" t="s">
        <v>1702</v>
      </c>
      <c r="F622" s="8" t="s">
        <v>1703</v>
      </c>
      <c r="G622" s="8">
        <v>500</v>
      </c>
    </row>
    <row r="623" spans="1:7" x14ac:dyDescent="0.15">
      <c r="A623" s="8" t="s">
        <v>1704</v>
      </c>
      <c r="B623" s="8" t="s">
        <v>121</v>
      </c>
      <c r="C623" s="8" t="str">
        <f t="shared" si="9"/>
        <v>tca_cycle</v>
      </c>
      <c r="D623" s="9" t="s">
        <v>14</v>
      </c>
      <c r="E623" s="8" t="s">
        <v>1705</v>
      </c>
      <c r="F623" s="8" t="s">
        <v>1706</v>
      </c>
      <c r="G623" s="8">
        <v>500</v>
      </c>
    </row>
    <row r="624" spans="1:7" x14ac:dyDescent="0.15">
      <c r="A624" s="8" t="s">
        <v>1707</v>
      </c>
      <c r="B624" s="8" t="s">
        <v>121</v>
      </c>
      <c r="C624" s="8" t="str">
        <f t="shared" si="9"/>
        <v>tetrahydrobiopterin_synthesis</v>
      </c>
      <c r="D624" s="9" t="s">
        <v>14</v>
      </c>
      <c r="E624" s="8" t="s">
        <v>1708</v>
      </c>
      <c r="F624" s="8" t="s">
        <v>1709</v>
      </c>
      <c r="G624" s="8">
        <v>500</v>
      </c>
    </row>
    <row r="625" spans="1:7" x14ac:dyDescent="0.15">
      <c r="A625" s="8" t="s">
        <v>1710</v>
      </c>
      <c r="B625" s="8" t="s">
        <v>121</v>
      </c>
      <c r="C625" s="8" t="str">
        <f t="shared" si="9"/>
        <v>tim22_carrier_pathway</v>
      </c>
      <c r="D625" s="9" t="s">
        <v>14</v>
      </c>
      <c r="E625" s="8" t="s">
        <v>1711</v>
      </c>
      <c r="F625" s="8" t="s">
        <v>1712</v>
      </c>
      <c r="G625" s="8">
        <v>500</v>
      </c>
    </row>
    <row r="626" spans="1:7" x14ac:dyDescent="0.15">
      <c r="A626" s="8" t="s">
        <v>1713</v>
      </c>
      <c r="B626" s="8" t="s">
        <v>121</v>
      </c>
      <c r="C626" s="8" t="str">
        <f t="shared" si="9"/>
        <v>tim23_presequence_pathway</v>
      </c>
      <c r="D626" s="9" t="s">
        <v>14</v>
      </c>
      <c r="E626" s="8" t="s">
        <v>1714</v>
      </c>
      <c r="F626" s="8" t="s">
        <v>1715</v>
      </c>
      <c r="G626" s="8">
        <v>500</v>
      </c>
    </row>
    <row r="627" spans="1:7" x14ac:dyDescent="0.15">
      <c r="A627" s="8" t="s">
        <v>1716</v>
      </c>
      <c r="B627" s="8" t="s">
        <v>121</v>
      </c>
      <c r="C627" s="8" t="str">
        <f t="shared" si="9"/>
        <v>tom</v>
      </c>
      <c r="D627" s="9" t="s">
        <v>14</v>
      </c>
      <c r="E627" s="8" t="s">
        <v>1717</v>
      </c>
      <c r="F627" s="8" t="s">
        <v>1718</v>
      </c>
      <c r="G627" s="8">
        <v>500</v>
      </c>
    </row>
    <row r="628" spans="1:7" x14ac:dyDescent="0.15">
      <c r="A628" s="8" t="s">
        <v>1719</v>
      </c>
      <c r="B628" s="8" t="s">
        <v>121</v>
      </c>
      <c r="C628" s="8" t="str">
        <f t="shared" si="9"/>
        <v>trafficking</v>
      </c>
      <c r="D628" s="9" t="s">
        <v>14</v>
      </c>
      <c r="E628" s="8" t="s">
        <v>1720</v>
      </c>
      <c r="F628" s="8" t="s">
        <v>1721</v>
      </c>
      <c r="G628" s="8">
        <v>500</v>
      </c>
    </row>
    <row r="629" spans="1:7" x14ac:dyDescent="0.15">
      <c r="A629" s="8" t="s">
        <v>1722</v>
      </c>
      <c r="B629" s="8" t="s">
        <v>121</v>
      </c>
      <c r="C629" s="8" t="str">
        <f t="shared" si="9"/>
        <v>transcription</v>
      </c>
      <c r="D629" s="9" t="s">
        <v>14</v>
      </c>
      <c r="E629" s="8" t="s">
        <v>1723</v>
      </c>
      <c r="F629" s="8" t="s">
        <v>1724</v>
      </c>
      <c r="G629" s="8">
        <v>500</v>
      </c>
    </row>
    <row r="630" spans="1:7" x14ac:dyDescent="0.15">
      <c r="A630" s="8" t="s">
        <v>1725</v>
      </c>
      <c r="B630" s="8" t="s">
        <v>121</v>
      </c>
      <c r="C630" s="8" t="str">
        <f t="shared" si="9"/>
        <v>translation</v>
      </c>
      <c r="D630" s="9" t="s">
        <v>14</v>
      </c>
      <c r="E630" s="8" t="s">
        <v>1726</v>
      </c>
      <c r="F630" s="8" t="s">
        <v>1727</v>
      </c>
      <c r="G630" s="8">
        <v>500</v>
      </c>
    </row>
    <row r="631" spans="1:7" x14ac:dyDescent="0.15">
      <c r="A631" s="8" t="s">
        <v>1728</v>
      </c>
      <c r="B631" s="8" t="s">
        <v>121</v>
      </c>
      <c r="C631" s="8" t="str">
        <f t="shared" si="9"/>
        <v>translation_factors</v>
      </c>
      <c r="D631" s="9" t="s">
        <v>14</v>
      </c>
      <c r="E631" s="8" t="s">
        <v>1729</v>
      </c>
      <c r="F631" s="8" t="s">
        <v>1730</v>
      </c>
      <c r="G631" s="8">
        <v>500</v>
      </c>
    </row>
    <row r="632" spans="1:7" x14ac:dyDescent="0.15">
      <c r="A632" s="8" t="s">
        <v>1731</v>
      </c>
      <c r="B632" s="8" t="s">
        <v>121</v>
      </c>
      <c r="C632" s="8" t="str">
        <f t="shared" si="9"/>
        <v>type_ii_fatty_acid_synthesis</v>
      </c>
      <c r="D632" s="9" t="s">
        <v>14</v>
      </c>
      <c r="E632" s="8" t="s">
        <v>1732</v>
      </c>
      <c r="F632" s="8" t="s">
        <v>1733</v>
      </c>
      <c r="G632" s="8">
        <v>500</v>
      </c>
    </row>
    <row r="633" spans="1:7" x14ac:dyDescent="0.15">
      <c r="A633" s="8" t="s">
        <v>1734</v>
      </c>
      <c r="B633" s="8" t="s">
        <v>121</v>
      </c>
      <c r="C633" s="8" t="str">
        <f t="shared" si="9"/>
        <v>urea_cycle</v>
      </c>
      <c r="D633" s="9" t="s">
        <v>14</v>
      </c>
      <c r="E633" s="8" t="s">
        <v>1735</v>
      </c>
      <c r="F633" s="8" t="s">
        <v>1736</v>
      </c>
      <c r="G633" s="8">
        <v>500</v>
      </c>
    </row>
    <row r="634" spans="1:7" x14ac:dyDescent="0.15">
      <c r="A634" s="8" t="s">
        <v>1737</v>
      </c>
      <c r="B634" s="8" t="s">
        <v>121</v>
      </c>
      <c r="C634" s="8" t="str">
        <f t="shared" si="9"/>
        <v>vitamin_a_metabolism</v>
      </c>
      <c r="D634" s="9" t="s">
        <v>14</v>
      </c>
      <c r="E634" s="8" t="s">
        <v>1738</v>
      </c>
      <c r="F634" s="8" t="s">
        <v>1739</v>
      </c>
      <c r="G634" s="8">
        <v>500</v>
      </c>
    </row>
    <row r="635" spans="1:7" x14ac:dyDescent="0.15">
      <c r="A635" s="8" t="s">
        <v>1740</v>
      </c>
      <c r="B635" s="8" t="s">
        <v>121</v>
      </c>
      <c r="C635" s="8" t="str">
        <f t="shared" si="9"/>
        <v>vitamin_b1_metabolism</v>
      </c>
      <c r="D635" s="9" t="s">
        <v>14</v>
      </c>
      <c r="E635" s="8" t="s">
        <v>1741</v>
      </c>
      <c r="F635" s="8" t="s">
        <v>1742</v>
      </c>
      <c r="G635" s="8">
        <v>500</v>
      </c>
    </row>
    <row r="636" spans="1:7" x14ac:dyDescent="0.15">
      <c r="A636" s="8" t="s">
        <v>1743</v>
      </c>
      <c r="B636" s="8" t="s">
        <v>121</v>
      </c>
      <c r="C636" s="8" t="str">
        <f t="shared" si="9"/>
        <v>vitamin_b12_metabolism</v>
      </c>
      <c r="D636" s="9" t="s">
        <v>14</v>
      </c>
      <c r="E636" s="8" t="s">
        <v>1744</v>
      </c>
      <c r="F636" s="8" t="s">
        <v>1745</v>
      </c>
      <c r="G636" s="8">
        <v>500</v>
      </c>
    </row>
    <row r="637" spans="1:7" x14ac:dyDescent="0.15">
      <c r="A637" s="8" t="s">
        <v>1746</v>
      </c>
      <c r="B637" s="8" t="s">
        <v>121</v>
      </c>
      <c r="C637" s="8" t="str">
        <f t="shared" si="9"/>
        <v>vitamin_b2_metabolism</v>
      </c>
      <c r="D637" s="9" t="s">
        <v>14</v>
      </c>
      <c r="E637" s="8" t="s">
        <v>1747</v>
      </c>
      <c r="F637" s="8" t="s">
        <v>1748</v>
      </c>
      <c r="G637" s="8">
        <v>500</v>
      </c>
    </row>
    <row r="638" spans="1:7" x14ac:dyDescent="0.15">
      <c r="A638" s="8" t="s">
        <v>1749</v>
      </c>
      <c r="B638" s="8" t="s">
        <v>121</v>
      </c>
      <c r="C638" s="8" t="str">
        <f t="shared" si="9"/>
        <v>vitamin_b6_metabolism</v>
      </c>
      <c r="D638" s="9" t="s">
        <v>14</v>
      </c>
      <c r="E638" s="8" t="s">
        <v>1750</v>
      </c>
      <c r="F638" s="8" t="s">
        <v>1751</v>
      </c>
      <c r="G638" s="8">
        <v>500</v>
      </c>
    </row>
    <row r="639" spans="1:7" x14ac:dyDescent="0.15">
      <c r="A639" s="8" t="s">
        <v>1752</v>
      </c>
      <c r="B639" s="8" t="s">
        <v>121</v>
      </c>
      <c r="C639" s="8" t="str">
        <f t="shared" si="9"/>
        <v>vitamin_c_metabolism</v>
      </c>
      <c r="D639" s="9" t="s">
        <v>14</v>
      </c>
      <c r="E639" s="8" t="s">
        <v>1753</v>
      </c>
      <c r="F639" s="8" t="s">
        <v>1754</v>
      </c>
      <c r="G639" s="8">
        <v>500</v>
      </c>
    </row>
    <row r="640" spans="1:7" x14ac:dyDescent="0.15">
      <c r="A640" s="8" t="s">
        <v>1755</v>
      </c>
      <c r="B640" s="8" t="s">
        <v>121</v>
      </c>
      <c r="C640" s="8" t="str">
        <f t="shared" si="9"/>
        <v>vitamin_d_metabolism</v>
      </c>
      <c r="D640" s="9" t="s">
        <v>14</v>
      </c>
      <c r="E640" s="8" t="s">
        <v>1756</v>
      </c>
      <c r="F640" s="8" t="s">
        <v>1757</v>
      </c>
      <c r="G640" s="8">
        <v>500</v>
      </c>
    </row>
    <row r="641" spans="1:7" x14ac:dyDescent="0.15">
      <c r="A641" s="8" t="s">
        <v>1758</v>
      </c>
      <c r="B641" s="8" t="s">
        <v>121</v>
      </c>
      <c r="C641" s="8" t="str">
        <f t="shared" si="9"/>
        <v>vitamin_metabolism</v>
      </c>
      <c r="D641" s="9" t="s">
        <v>14</v>
      </c>
      <c r="E641" s="8" t="s">
        <v>1759</v>
      </c>
      <c r="F641" s="8" t="s">
        <v>1760</v>
      </c>
      <c r="G641" s="8">
        <v>500</v>
      </c>
    </row>
    <row r="642" spans="1:7" x14ac:dyDescent="0.15">
      <c r="A642" s="8" t="s">
        <v>1761</v>
      </c>
      <c r="B642" s="8" t="s">
        <v>121</v>
      </c>
      <c r="C642" s="8" t="str">
        <f t="shared" si="9"/>
        <v>xenobiotic_metabolism</v>
      </c>
      <c r="D642" s="9" t="s">
        <v>14</v>
      </c>
      <c r="E642" s="8" t="s">
        <v>1762</v>
      </c>
      <c r="F642" s="8" t="s">
        <v>1763</v>
      </c>
      <c r="G642" s="8">
        <v>500</v>
      </c>
    </row>
    <row r="643" spans="1:7" x14ac:dyDescent="0.15">
      <c r="A643" s="8" t="s">
        <v>1764</v>
      </c>
      <c r="B643" s="8" t="s">
        <v>1765</v>
      </c>
      <c r="C643" s="8" t="str">
        <f t="shared" si="9"/>
        <v>arbitrary</v>
      </c>
      <c r="D643" s="9" t="s">
        <v>14</v>
      </c>
      <c r="E643" s="8" t="s">
        <v>1766</v>
      </c>
      <c r="F643" s="8" t="s">
        <v>1767</v>
      </c>
      <c r="G643" s="8">
        <v>500</v>
      </c>
    </row>
    <row r="644" spans="1:7" x14ac:dyDescent="0.15">
      <c r="A644" s="8" t="s">
        <v>1768</v>
      </c>
      <c r="B644" s="8" t="s">
        <v>1765</v>
      </c>
      <c r="C644" s="8" t="str">
        <f t="shared" si="9"/>
        <v>random</v>
      </c>
      <c r="D644" s="9" t="s">
        <v>14</v>
      </c>
      <c r="E644" s="8" t="s">
        <v>1769</v>
      </c>
      <c r="F644" s="8" t="s">
        <v>1767</v>
      </c>
      <c r="G644" s="8">
        <v>500</v>
      </c>
    </row>
    <row r="645" spans="1:7" x14ac:dyDescent="0.15">
      <c r="A645" s="8" t="s">
        <v>1770</v>
      </c>
      <c r="B645" s="8" t="s">
        <v>124</v>
      </c>
      <c r="C645" s="8" t="str">
        <f t="shared" si="9"/>
        <v>in_vitro</v>
      </c>
      <c r="D645" s="9" t="s">
        <v>14</v>
      </c>
      <c r="E645" s="8" t="s">
        <v>1771</v>
      </c>
      <c r="F645" s="8" t="s">
        <v>1772</v>
      </c>
      <c r="G645" s="8">
        <v>500</v>
      </c>
    </row>
    <row r="646" spans="1:7" x14ac:dyDescent="0.15">
      <c r="A646" s="8" t="s">
        <v>1773</v>
      </c>
      <c r="B646" s="8" t="s">
        <v>124</v>
      </c>
      <c r="C646" s="8" t="str">
        <f t="shared" si="9"/>
        <v>in_vivo</v>
      </c>
      <c r="D646" s="9" t="s">
        <v>14</v>
      </c>
      <c r="E646" s="8" t="s">
        <v>1774</v>
      </c>
      <c r="F646" s="8" t="s">
        <v>1775</v>
      </c>
      <c r="G646" s="8">
        <v>500</v>
      </c>
    </row>
    <row r="647" spans="1:7" s="6" customFormat="1" x14ac:dyDescent="0.15">
      <c r="A647" s="8" t="s">
        <v>1776</v>
      </c>
      <c r="B647" s="8" t="s">
        <v>124</v>
      </c>
      <c r="C647" s="8" t="str">
        <f t="shared" si="9"/>
        <v>xenografts</v>
      </c>
      <c r="D647" s="9" t="s">
        <v>14</v>
      </c>
      <c r="E647" s="8" t="s">
        <v>1776</v>
      </c>
      <c r="F647" s="8" t="s">
        <v>1777</v>
      </c>
      <c r="G647" s="8">
        <v>500</v>
      </c>
    </row>
    <row r="648" spans="1:7" s="6" customFormat="1" x14ac:dyDescent="0.15">
      <c r="A648" s="8" t="s">
        <v>2983</v>
      </c>
      <c r="B648" s="8" t="s">
        <v>2981</v>
      </c>
      <c r="C648" s="8" t="str">
        <f t="shared" si="9"/>
        <v>nestincre</v>
      </c>
      <c r="D648" s="8" t="s">
        <v>14</v>
      </c>
      <c r="E648" s="8" t="s">
        <v>2982</v>
      </c>
      <c r="F648" s="8" t="s">
        <v>2995</v>
      </c>
      <c r="G648" s="8">
        <v>500</v>
      </c>
    </row>
    <row r="649" spans="1:7" x14ac:dyDescent="0.15">
      <c r="A649" s="8" t="s">
        <v>2985</v>
      </c>
      <c r="B649" s="8" t="s">
        <v>2981</v>
      </c>
      <c r="C649" s="8" t="str">
        <f t="shared" si="9"/>
        <v>cmvcre</v>
      </c>
      <c r="D649" s="8" t="s">
        <v>14</v>
      </c>
      <c r="E649" s="8" t="s">
        <v>2984</v>
      </c>
      <c r="F649" s="8" t="s">
        <v>2994</v>
      </c>
      <c r="G649" s="8">
        <v>500</v>
      </c>
    </row>
    <row r="650" spans="1:7" x14ac:dyDescent="0.15">
      <c r="A650" s="8" t="s">
        <v>2988</v>
      </c>
      <c r="B650" s="8" t="s">
        <v>2981</v>
      </c>
      <c r="C650" s="8" t="str">
        <f t="shared" ref="C650:C713" si="10">A650</f>
        <v>myh6cre</v>
      </c>
      <c r="D650" s="8" t="s">
        <v>14</v>
      </c>
      <c r="E650" s="8" t="s">
        <v>2987</v>
      </c>
      <c r="F650" s="8" t="s">
        <v>2986</v>
      </c>
      <c r="G650" s="8">
        <v>500</v>
      </c>
    </row>
    <row r="651" spans="1:7" x14ac:dyDescent="0.15">
      <c r="A651" s="8" t="s">
        <v>2454</v>
      </c>
      <c r="B651" s="8" t="s">
        <v>2981</v>
      </c>
      <c r="C651" s="8" t="str">
        <f t="shared" si="10"/>
        <v>albcre</v>
      </c>
      <c r="D651" s="8" t="s">
        <v>14</v>
      </c>
      <c r="E651" s="8" t="s">
        <v>2989</v>
      </c>
      <c r="F651" s="8" t="s">
        <v>2993</v>
      </c>
      <c r="G651" s="8">
        <v>500</v>
      </c>
    </row>
    <row r="652" spans="1:7" x14ac:dyDescent="0.15">
      <c r="A652" s="8" t="s">
        <v>2990</v>
      </c>
      <c r="B652" s="8" t="s">
        <v>2981</v>
      </c>
      <c r="C652" s="8" t="str">
        <f t="shared" si="10"/>
        <v>ucpcre</v>
      </c>
      <c r="D652" s="8" t="s">
        <v>14</v>
      </c>
      <c r="E652" s="8" t="s">
        <v>2991</v>
      </c>
      <c r="F652" s="8" t="s">
        <v>2992</v>
      </c>
      <c r="G652" s="8">
        <v>500</v>
      </c>
    </row>
    <row r="653" spans="1:7" x14ac:dyDescent="0.15">
      <c r="A653" s="8" t="s">
        <v>2451</v>
      </c>
      <c r="B653" s="8" t="s">
        <v>2981</v>
      </c>
      <c r="C653" s="8" t="str">
        <f t="shared" si="10"/>
        <v>adipoqcre</v>
      </c>
      <c r="D653" s="8" t="s">
        <v>14</v>
      </c>
      <c r="E653" s="8" t="s">
        <v>2996</v>
      </c>
      <c r="F653" s="8" t="s">
        <v>2997</v>
      </c>
      <c r="G653" s="8">
        <v>500</v>
      </c>
    </row>
    <row r="654" spans="1:7" x14ac:dyDescent="0.15">
      <c r="A654" s="8" t="s">
        <v>3005</v>
      </c>
      <c r="B654" s="8" t="s">
        <v>2981</v>
      </c>
      <c r="C654" s="8" t="str">
        <f t="shared" si="10"/>
        <v>ckmmcre</v>
      </c>
      <c r="D654" s="8" t="s">
        <v>14</v>
      </c>
      <c r="E654" s="8" t="s">
        <v>3006</v>
      </c>
      <c r="F654" s="8" t="s">
        <v>3007</v>
      </c>
      <c r="G654" s="8">
        <v>500</v>
      </c>
    </row>
    <row r="655" spans="1:7" x14ac:dyDescent="0.15">
      <c r="A655" s="8" t="s">
        <v>1778</v>
      </c>
      <c r="B655" s="8" t="s">
        <v>3851</v>
      </c>
      <c r="C655" s="8" t="str">
        <f t="shared" si="10"/>
        <v>eclips</v>
      </c>
      <c r="D655" s="9" t="s">
        <v>14</v>
      </c>
      <c r="E655" s="8" t="s">
        <v>1779</v>
      </c>
      <c r="F655" s="8" t="s">
        <v>1779</v>
      </c>
      <c r="G655" s="8">
        <v>500</v>
      </c>
    </row>
    <row r="656" spans="1:7" x14ac:dyDescent="0.15">
      <c r="A656" s="8" t="s">
        <v>1780</v>
      </c>
      <c r="B656" s="8" t="s">
        <v>3851</v>
      </c>
      <c r="C656" s="8" t="str">
        <f t="shared" si="10"/>
        <v>exploris240</v>
      </c>
      <c r="D656" s="9" t="s">
        <v>14</v>
      </c>
      <c r="E656" s="8" t="s">
        <v>1781</v>
      </c>
      <c r="F656" s="8" t="s">
        <v>1782</v>
      </c>
      <c r="G656" s="8">
        <v>500</v>
      </c>
    </row>
    <row r="657" spans="1:7" x14ac:dyDescent="0.15">
      <c r="A657" s="8" t="s">
        <v>1783</v>
      </c>
      <c r="B657" s="8" t="s">
        <v>3851</v>
      </c>
      <c r="C657" s="8" t="str">
        <f t="shared" si="10"/>
        <v>exploris480</v>
      </c>
      <c r="D657" s="9" t="s">
        <v>14</v>
      </c>
      <c r="E657" s="8" t="s">
        <v>1784</v>
      </c>
      <c r="F657" s="8" t="s">
        <v>1785</v>
      </c>
      <c r="G657" s="8">
        <v>500</v>
      </c>
    </row>
    <row r="658" spans="1:7" x14ac:dyDescent="0.15">
      <c r="A658" s="8" t="s">
        <v>1786</v>
      </c>
      <c r="B658" s="8" t="s">
        <v>3851</v>
      </c>
      <c r="C658" s="8" t="str">
        <f t="shared" si="10"/>
        <v>qex</v>
      </c>
      <c r="D658" s="9" t="s">
        <v>14</v>
      </c>
      <c r="E658" s="8" t="s">
        <v>1787</v>
      </c>
      <c r="F658" s="8" t="s">
        <v>1788</v>
      </c>
      <c r="G658" s="8">
        <v>500</v>
      </c>
    </row>
    <row r="659" spans="1:7" x14ac:dyDescent="0.15">
      <c r="A659" s="8" t="s">
        <v>1789</v>
      </c>
      <c r="B659" s="8" t="s">
        <v>3851</v>
      </c>
      <c r="C659" s="8" t="str">
        <f t="shared" si="10"/>
        <v>qexplus</v>
      </c>
      <c r="D659" s="9" t="s">
        <v>14</v>
      </c>
      <c r="E659" s="8" t="s">
        <v>1790</v>
      </c>
      <c r="F659" s="8" t="s">
        <v>1791</v>
      </c>
      <c r="G659" s="8">
        <v>500</v>
      </c>
    </row>
    <row r="660" spans="1:7" x14ac:dyDescent="0.15">
      <c r="A660" s="8" t="s">
        <v>3077</v>
      </c>
      <c r="B660" s="8" t="s">
        <v>3851</v>
      </c>
      <c r="C660" s="8" t="str">
        <f t="shared" si="10"/>
        <v>tofpro2</v>
      </c>
      <c r="D660" s="9" t="s">
        <v>14</v>
      </c>
      <c r="E660" s="8" t="s">
        <v>3078</v>
      </c>
      <c r="F660" s="8" t="s">
        <v>3079</v>
      </c>
      <c r="G660" s="8">
        <v>500</v>
      </c>
    </row>
    <row r="661" spans="1:7" x14ac:dyDescent="0.15">
      <c r="A661" s="8" t="s">
        <v>1792</v>
      </c>
      <c r="B661" s="8" t="s">
        <v>3851</v>
      </c>
      <c r="C661" s="8" t="str">
        <f t="shared" si="10"/>
        <v>ttofhct</v>
      </c>
      <c r="D661" s="9" t="s">
        <v>14</v>
      </c>
      <c r="E661" s="8" t="s">
        <v>1793</v>
      </c>
      <c r="F661" s="8" t="s">
        <v>3080</v>
      </c>
      <c r="G661" s="8">
        <v>500</v>
      </c>
    </row>
    <row r="662" spans="1:7" x14ac:dyDescent="0.15">
      <c r="A662" s="8" t="s">
        <v>1794</v>
      </c>
      <c r="B662" s="8" t="s">
        <v>3851</v>
      </c>
      <c r="C662" s="8" t="str">
        <f t="shared" si="10"/>
        <v>ttofscp</v>
      </c>
      <c r="D662" s="9" t="s">
        <v>14</v>
      </c>
      <c r="E662" s="8" t="s">
        <v>1795</v>
      </c>
      <c r="F662" s="8" t="s">
        <v>3081</v>
      </c>
      <c r="G662" s="8">
        <v>500</v>
      </c>
    </row>
    <row r="663" spans="1:7" x14ac:dyDescent="0.15">
      <c r="A663" s="8" t="s">
        <v>1796</v>
      </c>
      <c r="B663" s="8" t="s">
        <v>90</v>
      </c>
      <c r="C663" s="8" t="str">
        <f t="shared" si="10"/>
        <v>faims</v>
      </c>
      <c r="D663" s="9" t="s">
        <v>14</v>
      </c>
      <c r="E663" s="8" t="s">
        <v>1797</v>
      </c>
      <c r="F663" s="8" t="s">
        <v>1798</v>
      </c>
      <c r="G663" s="8">
        <v>500</v>
      </c>
    </row>
    <row r="664" spans="1:7" x14ac:dyDescent="0.15">
      <c r="A664" s="8" t="s">
        <v>3170</v>
      </c>
      <c r="B664" s="8" t="s">
        <v>90</v>
      </c>
      <c r="C664" s="8" t="str">
        <f t="shared" si="10"/>
        <v>no_interface</v>
      </c>
      <c r="D664" s="9" t="s">
        <v>14</v>
      </c>
      <c r="E664" s="8" t="s">
        <v>1799</v>
      </c>
      <c r="F664" s="8" t="s">
        <v>1800</v>
      </c>
      <c r="G664" s="8">
        <v>500</v>
      </c>
    </row>
    <row r="665" spans="1:7" x14ac:dyDescent="0.15">
      <c r="A665" s="8" t="s">
        <v>1801</v>
      </c>
      <c r="B665" s="8" t="s">
        <v>35</v>
      </c>
      <c r="C665" s="8" t="str">
        <f t="shared" si="10"/>
        <v>easy_spray</v>
      </c>
      <c r="D665" s="9" t="s">
        <v>14</v>
      </c>
      <c r="E665" s="8" t="s">
        <v>1802</v>
      </c>
      <c r="F665" s="8" t="s">
        <v>1803</v>
      </c>
      <c r="G665" s="8">
        <v>500</v>
      </c>
    </row>
    <row r="666" spans="1:7" x14ac:dyDescent="0.15">
      <c r="A666" s="8" t="s">
        <v>1804</v>
      </c>
      <c r="B666" s="8" t="s">
        <v>35</v>
      </c>
      <c r="C666" s="8" t="str">
        <f t="shared" si="10"/>
        <v>flex</v>
      </c>
      <c r="D666" s="9" t="s">
        <v>14</v>
      </c>
      <c r="E666" s="8" t="s">
        <v>1805</v>
      </c>
      <c r="F666" s="8" t="s">
        <v>1806</v>
      </c>
      <c r="G666" s="8">
        <v>500</v>
      </c>
    </row>
    <row r="667" spans="1:7" x14ac:dyDescent="0.15">
      <c r="A667" s="8" t="s">
        <v>1807</v>
      </c>
      <c r="B667" s="8" t="s">
        <v>35</v>
      </c>
      <c r="C667" s="8" t="str">
        <f t="shared" si="10"/>
        <v>ion_max</v>
      </c>
      <c r="D667" s="9" t="s">
        <v>14</v>
      </c>
      <c r="E667" s="8" t="s">
        <v>1808</v>
      </c>
      <c r="F667" s="8" t="s">
        <v>1809</v>
      </c>
      <c r="G667" s="8">
        <v>500</v>
      </c>
    </row>
    <row r="668" spans="1:7" x14ac:dyDescent="0.15">
      <c r="A668" s="8" t="s">
        <v>3063</v>
      </c>
      <c r="B668" s="8" t="s">
        <v>35</v>
      </c>
      <c r="C668" s="8" t="str">
        <f t="shared" si="10"/>
        <v>captivespray</v>
      </c>
      <c r="D668" s="9" t="s">
        <v>3062</v>
      </c>
      <c r="E668" s="8" t="s">
        <v>3067</v>
      </c>
      <c r="F668" s="8" t="s">
        <v>3069</v>
      </c>
      <c r="G668" s="8">
        <v>500</v>
      </c>
    </row>
    <row r="669" spans="1:7" x14ac:dyDescent="0.15">
      <c r="A669" s="8" t="s">
        <v>3064</v>
      </c>
      <c r="B669" s="8" t="s">
        <v>35</v>
      </c>
      <c r="C669" s="8" t="str">
        <f t="shared" si="10"/>
        <v>captivespraytwo</v>
      </c>
      <c r="D669" s="9" t="s">
        <v>3065</v>
      </c>
      <c r="E669" s="8" t="s">
        <v>3066</v>
      </c>
      <c r="F669" s="8" t="s">
        <v>3068</v>
      </c>
      <c r="G669" s="8">
        <v>500</v>
      </c>
    </row>
    <row r="670" spans="1:7" x14ac:dyDescent="0.15">
      <c r="A670" s="8" t="s">
        <v>3070</v>
      </c>
      <c r="B670" s="8" t="s">
        <v>35</v>
      </c>
      <c r="C670" s="8" t="str">
        <f t="shared" si="10"/>
        <v>captiivespraypro</v>
      </c>
      <c r="D670" s="9" t="s">
        <v>3071</v>
      </c>
      <c r="E670" s="8" t="s">
        <v>3072</v>
      </c>
      <c r="F670" s="8" t="s">
        <v>3073</v>
      </c>
      <c r="G670" s="8">
        <v>500</v>
      </c>
    </row>
    <row r="671" spans="1:7" x14ac:dyDescent="0.15">
      <c r="A671" s="8" t="s">
        <v>1810</v>
      </c>
      <c r="B671" s="8" t="s">
        <v>20</v>
      </c>
      <c r="C671" s="8" t="str">
        <f t="shared" si="10"/>
        <v>e1</v>
      </c>
      <c r="D671" s="8" t="s">
        <v>1810</v>
      </c>
      <c r="E671" s="8" t="s">
        <v>1811</v>
      </c>
      <c r="F671" s="8" t="s">
        <v>1812</v>
      </c>
      <c r="G671" s="8">
        <v>500</v>
      </c>
    </row>
    <row r="672" spans="1:7" x14ac:dyDescent="0.15">
      <c r="A672" s="8" t="s">
        <v>1813</v>
      </c>
      <c r="B672" s="8" t="s">
        <v>20</v>
      </c>
      <c r="C672" s="8" t="str">
        <f t="shared" si="10"/>
        <v>e2</v>
      </c>
      <c r="D672" s="8" t="s">
        <v>1813</v>
      </c>
      <c r="E672" s="8" t="s">
        <v>1814</v>
      </c>
      <c r="F672" s="8" t="s">
        <v>1815</v>
      </c>
      <c r="G672" s="8">
        <v>500</v>
      </c>
    </row>
    <row r="673" spans="1:7" x14ac:dyDescent="0.15">
      <c r="A673" s="8" t="s">
        <v>1816</v>
      </c>
      <c r="B673" s="8" t="s">
        <v>20</v>
      </c>
      <c r="C673" s="8" t="str">
        <f t="shared" si="10"/>
        <v>expl480</v>
      </c>
      <c r="D673" s="8" t="s">
        <v>1816</v>
      </c>
      <c r="E673" s="8" t="s">
        <v>1817</v>
      </c>
      <c r="F673" s="8" t="s">
        <v>2933</v>
      </c>
      <c r="G673" s="8">
        <v>500</v>
      </c>
    </row>
    <row r="674" spans="1:7" x14ac:dyDescent="0.15">
      <c r="A674" s="8" t="s">
        <v>2930</v>
      </c>
      <c r="B674" s="8" t="s">
        <v>20</v>
      </c>
      <c r="C674" s="8" t="str">
        <f t="shared" si="10"/>
        <v>hfxage</v>
      </c>
      <c r="D674" s="8" t="s">
        <v>14</v>
      </c>
      <c r="E674" s="8" t="s">
        <v>2931</v>
      </c>
      <c r="F674" s="8" t="s">
        <v>2932</v>
      </c>
      <c r="G674" s="8">
        <v>500</v>
      </c>
    </row>
    <row r="675" spans="1:7" x14ac:dyDescent="0.15">
      <c r="A675" s="8" t="s">
        <v>1818</v>
      </c>
      <c r="B675" s="8" t="s">
        <v>20</v>
      </c>
      <c r="C675" s="8" t="str">
        <f t="shared" si="10"/>
        <v>ignarius</v>
      </c>
      <c r="D675" s="8" t="s">
        <v>1818</v>
      </c>
      <c r="E675" s="8" t="s">
        <v>1819</v>
      </c>
      <c r="F675" s="8" t="s">
        <v>1820</v>
      </c>
      <c r="G675" s="8">
        <v>500</v>
      </c>
    </row>
    <row r="676" spans="1:7" x14ac:dyDescent="0.15">
      <c r="A676" s="8" t="s">
        <v>1821</v>
      </c>
      <c r="B676" s="8" t="s">
        <v>20</v>
      </c>
      <c r="C676" s="8" t="str">
        <f t="shared" si="10"/>
        <v>timstof</v>
      </c>
      <c r="D676" s="8" t="s">
        <v>1821</v>
      </c>
      <c r="E676" s="8" t="s">
        <v>1822</v>
      </c>
      <c r="F676" s="8" t="s">
        <v>1823</v>
      </c>
      <c r="G676" s="8">
        <v>500</v>
      </c>
    </row>
    <row r="677" spans="1:7" x14ac:dyDescent="0.15">
      <c r="A677" s="8" t="s">
        <v>1824</v>
      </c>
      <c r="B677" s="8" t="s">
        <v>135</v>
      </c>
      <c r="C677" s="8" t="str">
        <f t="shared" si="10"/>
        <v>120000res</v>
      </c>
      <c r="D677" s="9" t="s">
        <v>14</v>
      </c>
      <c r="E677" s="8">
        <v>120000</v>
      </c>
      <c r="F677" s="8" t="s">
        <v>1825</v>
      </c>
      <c r="G677" s="8">
        <v>500</v>
      </c>
    </row>
    <row r="678" spans="1:7" x14ac:dyDescent="0.15">
      <c r="A678" s="8" t="s">
        <v>1826</v>
      </c>
      <c r="B678" s="8" t="s">
        <v>135</v>
      </c>
      <c r="C678" s="8" t="str">
        <f t="shared" si="10"/>
        <v>15000res</v>
      </c>
      <c r="D678" s="9" t="s">
        <v>14</v>
      </c>
      <c r="E678" s="8">
        <v>15000</v>
      </c>
      <c r="F678" s="8" t="s">
        <v>1825</v>
      </c>
      <c r="G678" s="8">
        <v>500</v>
      </c>
    </row>
    <row r="679" spans="1:7" x14ac:dyDescent="0.15">
      <c r="A679" s="8" t="s">
        <v>1827</v>
      </c>
      <c r="B679" s="8" t="s">
        <v>135</v>
      </c>
      <c r="C679" s="8" t="str">
        <f t="shared" si="10"/>
        <v>17500res</v>
      </c>
      <c r="D679" s="9" t="s">
        <v>14</v>
      </c>
      <c r="E679" s="8">
        <v>17500</v>
      </c>
      <c r="F679" s="8" t="s">
        <v>1828</v>
      </c>
      <c r="G679" s="8">
        <v>500</v>
      </c>
    </row>
    <row r="680" spans="1:7" x14ac:dyDescent="0.15">
      <c r="A680" s="8" t="s">
        <v>1829</v>
      </c>
      <c r="B680" s="8" t="s">
        <v>135</v>
      </c>
      <c r="C680" s="8" t="str">
        <f t="shared" si="10"/>
        <v>30000res</v>
      </c>
      <c r="D680" s="9" t="s">
        <v>14</v>
      </c>
      <c r="E680" s="8">
        <v>30000</v>
      </c>
      <c r="F680" s="8" t="s">
        <v>1825</v>
      </c>
      <c r="G680" s="8">
        <v>500</v>
      </c>
    </row>
    <row r="681" spans="1:7" x14ac:dyDescent="0.15">
      <c r="A681" s="8" t="s">
        <v>1830</v>
      </c>
      <c r="B681" s="8" t="s">
        <v>135</v>
      </c>
      <c r="C681" s="8" t="str">
        <f t="shared" si="10"/>
        <v>35000res</v>
      </c>
      <c r="D681" s="9" t="s">
        <v>14</v>
      </c>
      <c r="E681" s="8">
        <v>35000</v>
      </c>
      <c r="F681" s="8" t="s">
        <v>1828</v>
      </c>
      <c r="G681" s="8">
        <v>500</v>
      </c>
    </row>
    <row r="682" spans="1:7" x14ac:dyDescent="0.15">
      <c r="A682" s="8" t="s">
        <v>1831</v>
      </c>
      <c r="B682" s="8" t="s">
        <v>135</v>
      </c>
      <c r="C682" s="8" t="str">
        <f t="shared" si="10"/>
        <v>45000res</v>
      </c>
      <c r="D682" s="9" t="s">
        <v>14</v>
      </c>
      <c r="E682" s="8">
        <v>45000</v>
      </c>
      <c r="F682" s="8" t="s">
        <v>1825</v>
      </c>
      <c r="G682" s="8">
        <v>500</v>
      </c>
    </row>
    <row r="683" spans="1:7" x14ac:dyDescent="0.15">
      <c r="A683" s="8" t="s">
        <v>1832</v>
      </c>
      <c r="B683" s="8" t="s">
        <v>135</v>
      </c>
      <c r="C683" s="8" t="str">
        <f t="shared" si="10"/>
        <v>60000res</v>
      </c>
      <c r="D683" s="9" t="s">
        <v>14</v>
      </c>
      <c r="E683" s="8">
        <v>60000</v>
      </c>
      <c r="F683" s="8" t="s">
        <v>1825</v>
      </c>
      <c r="G683" s="8">
        <v>500</v>
      </c>
    </row>
    <row r="684" spans="1:7" x14ac:dyDescent="0.15">
      <c r="A684" s="8" t="s">
        <v>1833</v>
      </c>
      <c r="B684" s="8" t="s">
        <v>135</v>
      </c>
      <c r="C684" s="8" t="str">
        <f t="shared" si="10"/>
        <v>7500res</v>
      </c>
      <c r="D684" s="9" t="s">
        <v>14</v>
      </c>
      <c r="E684" s="8">
        <v>7500</v>
      </c>
      <c r="F684" s="8" t="s">
        <v>1825</v>
      </c>
      <c r="G684" s="8">
        <v>500</v>
      </c>
    </row>
    <row r="685" spans="1:7" x14ac:dyDescent="0.15">
      <c r="A685" s="8" t="s">
        <v>1834</v>
      </c>
      <c r="B685" s="8" t="s">
        <v>138</v>
      </c>
      <c r="C685" s="8" t="str">
        <f t="shared" si="10"/>
        <v>ab</v>
      </c>
      <c r="D685" s="9" t="s">
        <v>14</v>
      </c>
      <c r="E685" s="8" t="s">
        <v>1836</v>
      </c>
      <c r="F685" s="8" t="s">
        <v>1835</v>
      </c>
      <c r="G685" s="8">
        <v>500</v>
      </c>
    </row>
    <row r="686" spans="1:7" x14ac:dyDescent="0.15">
      <c r="A686" s="8" t="s">
        <v>1837</v>
      </c>
      <c r="B686" s="8" t="s">
        <v>138</v>
      </c>
      <c r="C686" s="8" t="str">
        <f t="shared" si="10"/>
        <v>al</v>
      </c>
      <c r="D686" s="9" t="s">
        <v>14</v>
      </c>
      <c r="E686" s="8" t="s">
        <v>1839</v>
      </c>
      <c r="F686" s="8" t="s">
        <v>1838</v>
      </c>
      <c r="G686" s="8">
        <v>500</v>
      </c>
    </row>
    <row r="687" spans="1:7" x14ac:dyDescent="0.15">
      <c r="A687" s="8" t="s">
        <v>1840</v>
      </c>
      <c r="B687" s="8" t="s">
        <v>138</v>
      </c>
      <c r="C687" s="8" t="str">
        <f t="shared" si="10"/>
        <v>am</v>
      </c>
      <c r="D687" s="9" t="s">
        <v>14</v>
      </c>
      <c r="E687" s="8" t="s">
        <v>1842</v>
      </c>
      <c r="F687" s="8" t="s">
        <v>1841</v>
      </c>
      <c r="G687" s="8">
        <v>500</v>
      </c>
    </row>
    <row r="688" spans="1:7" x14ac:dyDescent="0.15">
      <c r="A688" s="8" t="s">
        <v>1843</v>
      </c>
      <c r="B688" s="8" t="s">
        <v>138</v>
      </c>
      <c r="C688" s="8" t="str">
        <f t="shared" si="10"/>
        <v>an</v>
      </c>
      <c r="D688" s="9" t="s">
        <v>14</v>
      </c>
      <c r="E688" s="8" t="s">
        <v>1845</v>
      </c>
      <c r="F688" s="8" t="s">
        <v>1844</v>
      </c>
      <c r="G688" s="8">
        <v>500</v>
      </c>
    </row>
    <row r="689" spans="1:7" x14ac:dyDescent="0.15">
      <c r="A689" s="8" t="s">
        <v>1846</v>
      </c>
      <c r="B689" s="8" t="s">
        <v>138</v>
      </c>
      <c r="C689" s="8" t="str">
        <f t="shared" si="10"/>
        <v>bbl</v>
      </c>
      <c r="D689" s="9" t="s">
        <v>14</v>
      </c>
      <c r="E689" s="8" t="s">
        <v>1848</v>
      </c>
      <c r="F689" s="8" t="s">
        <v>1847</v>
      </c>
      <c r="G689" s="8">
        <v>500</v>
      </c>
    </row>
    <row r="690" spans="1:7" x14ac:dyDescent="0.15">
      <c r="A690" s="8" t="s">
        <v>1849</v>
      </c>
      <c r="B690" s="8" t="s">
        <v>138</v>
      </c>
      <c r="C690" s="8" t="str">
        <f t="shared" si="10"/>
        <v>bbs</v>
      </c>
      <c r="D690" s="9" t="s">
        <v>14</v>
      </c>
      <c r="E690" s="8" t="s">
        <v>1851</v>
      </c>
      <c r="F690" s="8" t="s">
        <v>1850</v>
      </c>
      <c r="G690" s="8">
        <v>500</v>
      </c>
    </row>
    <row r="691" spans="1:7" x14ac:dyDescent="0.15">
      <c r="A691" s="8" t="s">
        <v>1852</v>
      </c>
      <c r="B691" s="8" t="s">
        <v>138</v>
      </c>
      <c r="C691" s="8" t="str">
        <f t="shared" si="10"/>
        <v>bfa</v>
      </c>
      <c r="D691" s="9" t="s">
        <v>14</v>
      </c>
      <c r="E691" s="8" t="s">
        <v>1854</v>
      </c>
      <c r="F691" s="8" t="s">
        <v>1853</v>
      </c>
      <c r="G691" s="8">
        <v>500</v>
      </c>
    </row>
    <row r="692" spans="1:7" x14ac:dyDescent="0.15">
      <c r="A692" s="8" t="s">
        <v>1855</v>
      </c>
      <c r="B692" s="8" t="s">
        <v>138</v>
      </c>
      <c r="C692" s="8" t="str">
        <f t="shared" si="10"/>
        <v>bfp_ca</v>
      </c>
      <c r="D692" s="9" t="s">
        <v>14</v>
      </c>
      <c r="E692" s="8" t="s">
        <v>1857</v>
      </c>
      <c r="F692" s="8" t="s">
        <v>1856</v>
      </c>
      <c r="G692" s="8">
        <v>500</v>
      </c>
    </row>
    <row r="693" spans="1:7" x14ac:dyDescent="0.15">
      <c r="A693" s="8" t="s">
        <v>1858</v>
      </c>
      <c r="B693" s="8" t="s">
        <v>138</v>
      </c>
      <c r="C693" s="8" t="str">
        <f t="shared" si="10"/>
        <v>bfp_cr</v>
      </c>
      <c r="D693" s="9" t="s">
        <v>14</v>
      </c>
      <c r="E693" s="8" t="s">
        <v>1860</v>
      </c>
      <c r="F693" s="8" t="s">
        <v>1859</v>
      </c>
      <c r="G693" s="8">
        <v>500</v>
      </c>
    </row>
    <row r="694" spans="1:7" x14ac:dyDescent="0.15">
      <c r="A694" s="8" t="s">
        <v>1861</v>
      </c>
      <c r="B694" s="8" t="s">
        <v>138</v>
      </c>
      <c r="C694" s="8" t="str">
        <f t="shared" si="10"/>
        <v>bfp_mi</v>
      </c>
      <c r="D694" s="9" t="s">
        <v>14</v>
      </c>
      <c r="E694" s="8" t="s">
        <v>1863</v>
      </c>
      <c r="F694" s="8" t="s">
        <v>1862</v>
      </c>
      <c r="G694" s="8">
        <v>500</v>
      </c>
    </row>
    <row r="695" spans="1:7" x14ac:dyDescent="0.15">
      <c r="A695" s="8" t="s">
        <v>1864</v>
      </c>
      <c r="B695" s="8" t="s">
        <v>138</v>
      </c>
      <c r="C695" s="8" t="str">
        <f t="shared" si="10"/>
        <v>bra</v>
      </c>
      <c r="D695" s="9" t="s">
        <v>14</v>
      </c>
      <c r="E695" s="8" t="s">
        <v>1866</v>
      </c>
      <c r="F695" s="8" t="s">
        <v>1865</v>
      </c>
      <c r="G695" s="8">
        <v>500</v>
      </c>
    </row>
    <row r="696" spans="1:7" x14ac:dyDescent="0.15">
      <c r="A696" s="8" t="s">
        <v>1867</v>
      </c>
      <c r="B696" s="8" t="s">
        <v>138</v>
      </c>
      <c r="C696" s="8" t="str">
        <f t="shared" si="10"/>
        <v>cf</v>
      </c>
      <c r="D696" s="9" t="s">
        <v>14</v>
      </c>
      <c r="E696" s="8" t="s">
        <v>1869</v>
      </c>
      <c r="F696" s="8" t="s">
        <v>1868</v>
      </c>
      <c r="G696" s="8">
        <v>500</v>
      </c>
    </row>
    <row r="697" spans="1:7" x14ac:dyDescent="0.15">
      <c r="A697" s="8" t="s">
        <v>1870</v>
      </c>
      <c r="B697" s="8" t="s">
        <v>138</v>
      </c>
      <c r="C697" s="8" t="str">
        <f t="shared" si="10"/>
        <v>cor</v>
      </c>
      <c r="D697" s="9" t="s">
        <v>14</v>
      </c>
      <c r="E697" s="8" t="s">
        <v>1872</v>
      </c>
      <c r="F697" s="8" t="s">
        <v>1871</v>
      </c>
      <c r="G697" s="8">
        <v>500</v>
      </c>
    </row>
    <row r="698" spans="1:7" x14ac:dyDescent="0.15">
      <c r="A698" s="8" t="s">
        <v>1873</v>
      </c>
      <c r="B698" s="8" t="s">
        <v>138</v>
      </c>
      <c r="C698" s="8" t="str">
        <f t="shared" si="10"/>
        <v>ecrb</v>
      </c>
      <c r="D698" s="9" t="s">
        <v>14</v>
      </c>
      <c r="E698" s="8" t="s">
        <v>1875</v>
      </c>
      <c r="F698" s="8" t="s">
        <v>1874</v>
      </c>
      <c r="G698" s="8">
        <v>500</v>
      </c>
    </row>
    <row r="699" spans="1:7" x14ac:dyDescent="0.15">
      <c r="A699" s="8" t="s">
        <v>1876</v>
      </c>
      <c r="B699" s="8" t="s">
        <v>138</v>
      </c>
      <c r="C699" s="8" t="str">
        <f t="shared" si="10"/>
        <v>ecrl</v>
      </c>
      <c r="D699" s="9" t="s">
        <v>14</v>
      </c>
      <c r="E699" s="8" t="s">
        <v>1878</v>
      </c>
      <c r="F699" s="8" t="s">
        <v>1877</v>
      </c>
      <c r="G699" s="8">
        <v>500</v>
      </c>
    </row>
    <row r="700" spans="1:7" x14ac:dyDescent="0.15">
      <c r="A700" s="8" t="s">
        <v>1879</v>
      </c>
      <c r="B700" s="8" t="s">
        <v>138</v>
      </c>
      <c r="C700" s="8" t="str">
        <f t="shared" si="10"/>
        <v>ecu</v>
      </c>
      <c r="D700" s="9" t="s">
        <v>14</v>
      </c>
      <c r="E700" s="8" t="s">
        <v>1881</v>
      </c>
      <c r="F700" s="8" t="s">
        <v>1880</v>
      </c>
      <c r="G700" s="8">
        <v>500</v>
      </c>
    </row>
    <row r="701" spans="1:7" x14ac:dyDescent="0.15">
      <c r="A701" s="8" t="s">
        <v>1882</v>
      </c>
      <c r="B701" s="8" t="s">
        <v>138</v>
      </c>
      <c r="C701" s="8" t="str">
        <f t="shared" si="10"/>
        <v>edl</v>
      </c>
      <c r="D701" s="9" t="s">
        <v>14</v>
      </c>
      <c r="E701" s="8" t="s">
        <v>1884</v>
      </c>
      <c r="F701" s="8" t="s">
        <v>1883</v>
      </c>
      <c r="G701" s="8">
        <v>500</v>
      </c>
    </row>
    <row r="702" spans="1:7" x14ac:dyDescent="0.15">
      <c r="A702" s="8" t="s">
        <v>1885</v>
      </c>
      <c r="B702" s="8" t="s">
        <v>138</v>
      </c>
      <c r="C702" s="8" t="str">
        <f t="shared" si="10"/>
        <v>ehl</v>
      </c>
      <c r="D702" s="9" t="s">
        <v>14</v>
      </c>
      <c r="E702" s="8" t="s">
        <v>1887</v>
      </c>
      <c r="F702" s="8" t="s">
        <v>1886</v>
      </c>
      <c r="G702" s="8">
        <v>500</v>
      </c>
    </row>
    <row r="703" spans="1:7" x14ac:dyDescent="0.15">
      <c r="A703" s="8" t="s">
        <v>1888</v>
      </c>
      <c r="B703" s="8" t="s">
        <v>138</v>
      </c>
      <c r="C703" s="8" t="str">
        <f t="shared" si="10"/>
        <v>eip1</v>
      </c>
      <c r="D703" s="9" t="s">
        <v>14</v>
      </c>
      <c r="E703" s="8" t="s">
        <v>1890</v>
      </c>
      <c r="F703" s="8" t="s">
        <v>1889</v>
      </c>
      <c r="G703" s="8">
        <v>500</v>
      </c>
    </row>
    <row r="704" spans="1:7" x14ac:dyDescent="0.15">
      <c r="A704" s="8" t="s">
        <v>1891</v>
      </c>
      <c r="B704" s="8" t="s">
        <v>138</v>
      </c>
      <c r="C704" s="8" t="str">
        <f t="shared" si="10"/>
        <v>eip2</v>
      </c>
      <c r="D704" s="9" t="s">
        <v>14</v>
      </c>
      <c r="E704" s="8" t="s">
        <v>1893</v>
      </c>
      <c r="F704" s="8" t="s">
        <v>1892</v>
      </c>
      <c r="G704" s="8">
        <v>500</v>
      </c>
    </row>
    <row r="705" spans="1:7" x14ac:dyDescent="0.15">
      <c r="A705" s="8" t="s">
        <v>1894</v>
      </c>
      <c r="B705" s="8" t="s">
        <v>138</v>
      </c>
      <c r="C705" s="8" t="str">
        <f t="shared" si="10"/>
        <v>fcr</v>
      </c>
      <c r="D705" s="9" t="s">
        <v>14</v>
      </c>
      <c r="E705" s="8" t="s">
        <v>1896</v>
      </c>
      <c r="F705" s="8" t="s">
        <v>1895</v>
      </c>
      <c r="G705" s="8">
        <v>500</v>
      </c>
    </row>
    <row r="706" spans="1:7" x14ac:dyDescent="0.15">
      <c r="A706" s="8" t="s">
        <v>1897</v>
      </c>
      <c r="B706" s="8" t="s">
        <v>138</v>
      </c>
      <c r="C706" s="8" t="str">
        <f t="shared" si="10"/>
        <v>fcu</v>
      </c>
      <c r="D706" s="9" t="s">
        <v>14</v>
      </c>
      <c r="E706" s="8" t="s">
        <v>1899</v>
      </c>
      <c r="F706" s="8" t="s">
        <v>1898</v>
      </c>
      <c r="G706" s="8">
        <v>500</v>
      </c>
    </row>
    <row r="707" spans="1:7" x14ac:dyDescent="0.15">
      <c r="A707" s="8" t="s">
        <v>1900</v>
      </c>
      <c r="B707" s="8" t="s">
        <v>138</v>
      </c>
      <c r="C707" s="8" t="str">
        <f t="shared" si="10"/>
        <v>fdl</v>
      </c>
      <c r="D707" s="9" t="s">
        <v>14</v>
      </c>
      <c r="E707" s="8" t="s">
        <v>1902</v>
      </c>
      <c r="F707" s="8" t="s">
        <v>1901</v>
      </c>
      <c r="G707" s="8">
        <v>500</v>
      </c>
    </row>
    <row r="708" spans="1:7" x14ac:dyDescent="0.15">
      <c r="A708" s="8" t="s">
        <v>1903</v>
      </c>
      <c r="B708" s="8" t="s">
        <v>138</v>
      </c>
      <c r="C708" s="8" t="str">
        <f t="shared" si="10"/>
        <v>ga</v>
      </c>
      <c r="D708" s="9" t="s">
        <v>14</v>
      </c>
      <c r="E708" s="8" t="s">
        <v>1905</v>
      </c>
      <c r="F708" s="8" t="s">
        <v>1904</v>
      </c>
      <c r="G708" s="8">
        <v>500</v>
      </c>
    </row>
    <row r="709" spans="1:7" x14ac:dyDescent="0.15">
      <c r="A709" s="8" t="s">
        <v>1906</v>
      </c>
      <c r="B709" s="8" t="s">
        <v>138</v>
      </c>
      <c r="C709" s="8" t="str">
        <f t="shared" si="10"/>
        <v>gem</v>
      </c>
      <c r="D709" s="9" t="s">
        <v>14</v>
      </c>
      <c r="E709" s="8" t="s">
        <v>1908</v>
      </c>
      <c r="F709" s="8" t="s">
        <v>1907</v>
      </c>
      <c r="G709" s="8">
        <v>500</v>
      </c>
    </row>
    <row r="710" spans="1:7" x14ac:dyDescent="0.15">
      <c r="A710" s="8" t="s">
        <v>1909</v>
      </c>
      <c r="B710" s="8" t="s">
        <v>138</v>
      </c>
      <c r="C710" s="8" t="str">
        <f t="shared" si="10"/>
        <v>gm</v>
      </c>
      <c r="D710" s="9" t="s">
        <v>14</v>
      </c>
      <c r="E710" s="8" t="s">
        <v>1911</v>
      </c>
      <c r="F710" s="8" t="s">
        <v>1910</v>
      </c>
      <c r="G710" s="8">
        <v>500</v>
      </c>
    </row>
    <row r="711" spans="1:7" x14ac:dyDescent="0.15">
      <c r="A711" s="8" t="s">
        <v>1912</v>
      </c>
      <c r="B711" s="8" t="s">
        <v>138</v>
      </c>
      <c r="C711" s="8" t="str">
        <f t="shared" si="10"/>
        <v>gm_dr</v>
      </c>
      <c r="D711" s="9" t="s">
        <v>14</v>
      </c>
      <c r="E711" s="8" t="s">
        <v>1914</v>
      </c>
      <c r="F711" s="8" t="s">
        <v>1913</v>
      </c>
      <c r="G711" s="8">
        <v>500</v>
      </c>
    </row>
    <row r="712" spans="1:7" x14ac:dyDescent="0.15">
      <c r="A712" s="8" t="s">
        <v>1915</v>
      </c>
      <c r="B712" s="8" t="s">
        <v>138</v>
      </c>
      <c r="C712" s="8" t="str">
        <f t="shared" si="10"/>
        <v>gm_mi</v>
      </c>
      <c r="D712" s="9" t="s">
        <v>14</v>
      </c>
      <c r="E712" s="8" t="s">
        <v>1917</v>
      </c>
      <c r="F712" s="8" t="s">
        <v>1916</v>
      </c>
      <c r="G712" s="8">
        <v>500</v>
      </c>
    </row>
    <row r="713" spans="1:7" x14ac:dyDescent="0.15">
      <c r="A713" s="8" t="s">
        <v>1918</v>
      </c>
      <c r="B713" s="8" t="s">
        <v>138</v>
      </c>
      <c r="C713" s="8" t="str">
        <f t="shared" si="10"/>
        <v>gm_ve</v>
      </c>
      <c r="D713" s="9" t="s">
        <v>14</v>
      </c>
      <c r="E713" s="8" t="s">
        <v>1920</v>
      </c>
      <c r="F713" s="8" t="s">
        <v>1919</v>
      </c>
      <c r="G713" s="8">
        <v>500</v>
      </c>
    </row>
    <row r="714" spans="1:7" x14ac:dyDescent="0.15">
      <c r="A714" s="8" t="s">
        <v>1921</v>
      </c>
      <c r="B714" s="8" t="s">
        <v>138</v>
      </c>
      <c r="C714" s="8" t="str">
        <f t="shared" ref="C714:C777" si="11">A714</f>
        <v>gp</v>
      </c>
      <c r="D714" s="9" t="s">
        <v>14</v>
      </c>
      <c r="E714" s="8" t="s">
        <v>1923</v>
      </c>
      <c r="F714" s="8" t="s">
        <v>1922</v>
      </c>
      <c r="G714" s="8">
        <v>500</v>
      </c>
    </row>
    <row r="715" spans="1:7" x14ac:dyDescent="0.15">
      <c r="A715" s="8" t="s">
        <v>1924</v>
      </c>
      <c r="B715" s="8" t="s">
        <v>138</v>
      </c>
      <c r="C715" s="8" t="str">
        <f t="shared" si="11"/>
        <v>ili</v>
      </c>
      <c r="D715" s="9" t="s">
        <v>14</v>
      </c>
      <c r="E715" s="8" t="s">
        <v>1926</v>
      </c>
      <c r="F715" s="8" t="s">
        <v>1925</v>
      </c>
      <c r="G715" s="8">
        <v>500</v>
      </c>
    </row>
    <row r="716" spans="1:7" x14ac:dyDescent="0.15">
      <c r="A716" s="8" t="s">
        <v>1927</v>
      </c>
      <c r="B716" s="8" t="s">
        <v>138</v>
      </c>
      <c r="C716" s="8" t="str">
        <f t="shared" si="11"/>
        <v>lg</v>
      </c>
      <c r="D716" s="9" t="s">
        <v>14</v>
      </c>
      <c r="E716" s="8" t="s">
        <v>1929</v>
      </c>
      <c r="F716" s="8" t="s">
        <v>1928</v>
      </c>
      <c r="G716" s="8">
        <v>500</v>
      </c>
    </row>
    <row r="717" spans="1:7" x14ac:dyDescent="0.15">
      <c r="A717" s="8" t="s">
        <v>1930</v>
      </c>
      <c r="B717" s="8" t="s">
        <v>138</v>
      </c>
      <c r="C717" s="8" t="str">
        <f t="shared" si="11"/>
        <v>mg</v>
      </c>
      <c r="D717" s="9" t="s">
        <v>14</v>
      </c>
      <c r="E717" s="8" t="s">
        <v>1932</v>
      </c>
      <c r="F717" s="8" t="s">
        <v>1931</v>
      </c>
      <c r="G717" s="8">
        <v>500</v>
      </c>
    </row>
    <row r="718" spans="1:7" x14ac:dyDescent="0.15">
      <c r="A718" s="8" t="s">
        <v>1933</v>
      </c>
      <c r="B718" s="8" t="s">
        <v>138</v>
      </c>
      <c r="C718" s="8" t="str">
        <f t="shared" si="11"/>
        <v>oe</v>
      </c>
      <c r="D718" s="9" t="s">
        <v>14</v>
      </c>
      <c r="E718" s="8" t="s">
        <v>1935</v>
      </c>
      <c r="F718" s="8" t="s">
        <v>1934</v>
      </c>
      <c r="G718" s="8">
        <v>500</v>
      </c>
    </row>
    <row r="719" spans="1:7" x14ac:dyDescent="0.15">
      <c r="A719" s="8" t="s">
        <v>1936</v>
      </c>
      <c r="B719" s="8" t="s">
        <v>138</v>
      </c>
      <c r="C719" s="8" t="str">
        <f t="shared" si="11"/>
        <v>oi</v>
      </c>
      <c r="D719" s="9" t="s">
        <v>14</v>
      </c>
      <c r="E719" s="8" t="s">
        <v>1938</v>
      </c>
      <c r="F719" s="8" t="s">
        <v>1937</v>
      </c>
      <c r="G719" s="8">
        <v>500</v>
      </c>
    </row>
    <row r="720" spans="1:7" x14ac:dyDescent="0.15">
      <c r="A720" s="8" t="s">
        <v>1939</v>
      </c>
      <c r="B720" s="8" t="s">
        <v>138</v>
      </c>
      <c r="C720" s="8" t="str">
        <f t="shared" si="11"/>
        <v>pb</v>
      </c>
      <c r="D720" s="9" t="s">
        <v>14</v>
      </c>
      <c r="E720" s="8" t="s">
        <v>1941</v>
      </c>
      <c r="F720" s="8" t="s">
        <v>1940</v>
      </c>
      <c r="G720" s="8">
        <v>500</v>
      </c>
    </row>
    <row r="721" spans="1:7" x14ac:dyDescent="0.15">
      <c r="A721" s="8" t="s">
        <v>1942</v>
      </c>
      <c r="B721" s="8" t="s">
        <v>138</v>
      </c>
      <c r="C721" s="8" t="str">
        <f t="shared" si="11"/>
        <v>pdqa</v>
      </c>
      <c r="D721" s="9" t="s">
        <v>14</v>
      </c>
      <c r="E721" s="8" t="s">
        <v>1944</v>
      </c>
      <c r="F721" s="8" t="s">
        <v>1943</v>
      </c>
      <c r="G721" s="8">
        <v>500</v>
      </c>
    </row>
    <row r="722" spans="1:7" x14ac:dyDescent="0.15">
      <c r="A722" s="8" t="s">
        <v>1945</v>
      </c>
      <c r="B722" s="8" t="s">
        <v>138</v>
      </c>
      <c r="C722" s="8" t="str">
        <f t="shared" si="11"/>
        <v>pdqi</v>
      </c>
      <c r="D722" s="9" t="s">
        <v>14</v>
      </c>
      <c r="E722" s="8" t="s">
        <v>1947</v>
      </c>
      <c r="F722" s="8" t="s">
        <v>1946</v>
      </c>
      <c r="G722" s="8">
        <v>500</v>
      </c>
    </row>
    <row r="723" spans="1:7" x14ac:dyDescent="0.15">
      <c r="A723" s="8" t="s">
        <v>1948</v>
      </c>
      <c r="B723" s="8" t="s">
        <v>138</v>
      </c>
      <c r="C723" s="8" t="str">
        <f t="shared" si="11"/>
        <v>pect</v>
      </c>
      <c r="D723" s="9" t="s">
        <v>14</v>
      </c>
      <c r="E723" s="8" t="s">
        <v>1950</v>
      </c>
      <c r="F723" s="8" t="s">
        <v>1949</v>
      </c>
      <c r="G723" s="8">
        <v>500</v>
      </c>
    </row>
    <row r="724" spans="1:7" x14ac:dyDescent="0.15">
      <c r="A724" s="8" t="s">
        <v>1951</v>
      </c>
      <c r="B724" s="8" t="s">
        <v>138</v>
      </c>
      <c r="C724" s="8" t="str">
        <f t="shared" si="11"/>
        <v>pl</v>
      </c>
      <c r="D724" s="9" t="s">
        <v>14</v>
      </c>
      <c r="E724" s="8" t="s">
        <v>1953</v>
      </c>
      <c r="F724" s="8" t="s">
        <v>1952</v>
      </c>
      <c r="G724" s="8">
        <v>500</v>
      </c>
    </row>
    <row r="725" spans="1:7" x14ac:dyDescent="0.15">
      <c r="A725" s="8" t="s">
        <v>1954</v>
      </c>
      <c r="B725" s="8" t="s">
        <v>138</v>
      </c>
      <c r="C725" s="8" t="str">
        <f t="shared" si="11"/>
        <v>plant</v>
      </c>
      <c r="D725" s="9" t="s">
        <v>14</v>
      </c>
      <c r="E725" s="8" t="s">
        <v>1956</v>
      </c>
      <c r="F725" s="8" t="s">
        <v>1955</v>
      </c>
      <c r="G725" s="8">
        <v>500</v>
      </c>
    </row>
    <row r="726" spans="1:7" x14ac:dyDescent="0.15">
      <c r="A726" s="8" t="s">
        <v>1957</v>
      </c>
      <c r="B726" s="8" t="s">
        <v>138</v>
      </c>
      <c r="C726" s="8" t="str">
        <f t="shared" si="11"/>
        <v>plo</v>
      </c>
      <c r="D726" s="9" t="s">
        <v>14</v>
      </c>
      <c r="E726" s="8" t="s">
        <v>1959</v>
      </c>
      <c r="F726" s="8" t="s">
        <v>1958</v>
      </c>
      <c r="G726" s="8">
        <v>500</v>
      </c>
    </row>
    <row r="727" spans="1:7" x14ac:dyDescent="0.15">
      <c r="A727" s="8" t="s">
        <v>1960</v>
      </c>
      <c r="B727" s="8" t="s">
        <v>138</v>
      </c>
      <c r="C727" s="8" t="str">
        <f t="shared" si="11"/>
        <v>pma</v>
      </c>
      <c r="D727" s="9" t="s">
        <v>14</v>
      </c>
      <c r="E727" s="8" t="s">
        <v>1962</v>
      </c>
      <c r="F727" s="8" t="s">
        <v>1961</v>
      </c>
      <c r="G727" s="8">
        <v>500</v>
      </c>
    </row>
    <row r="728" spans="1:7" x14ac:dyDescent="0.15">
      <c r="A728" s="8" t="s">
        <v>1963</v>
      </c>
      <c r="B728" s="8" t="s">
        <v>138</v>
      </c>
      <c r="C728" s="8" t="str">
        <f t="shared" si="11"/>
        <v>pmi</v>
      </c>
      <c r="D728" s="9" t="s">
        <v>14</v>
      </c>
      <c r="E728" s="8" t="s">
        <v>1965</v>
      </c>
      <c r="F728" s="8" t="s">
        <v>1964</v>
      </c>
      <c r="G728" s="8">
        <v>500</v>
      </c>
    </row>
    <row r="729" spans="1:7" x14ac:dyDescent="0.15">
      <c r="A729" s="8" t="s">
        <v>1966</v>
      </c>
      <c r="B729" s="8" t="s">
        <v>138</v>
      </c>
      <c r="C729" s="8" t="str">
        <f t="shared" si="11"/>
        <v>pop</v>
      </c>
      <c r="D729" s="9" t="s">
        <v>14</v>
      </c>
      <c r="E729" s="8" t="s">
        <v>1968</v>
      </c>
      <c r="F729" s="8" t="s">
        <v>1967</v>
      </c>
      <c r="G729" s="8">
        <v>500</v>
      </c>
    </row>
    <row r="730" spans="1:7" x14ac:dyDescent="0.15">
      <c r="A730" s="8" t="s">
        <v>1969</v>
      </c>
      <c r="B730" s="8" t="s">
        <v>138</v>
      </c>
      <c r="C730" s="8" t="str">
        <f t="shared" si="11"/>
        <v>pt</v>
      </c>
      <c r="D730" s="9" t="s">
        <v>14</v>
      </c>
      <c r="E730" s="8" t="s">
        <v>1971</v>
      </c>
      <c r="F730" s="8" t="s">
        <v>1970</v>
      </c>
      <c r="G730" s="8">
        <v>500</v>
      </c>
    </row>
    <row r="731" spans="1:7" x14ac:dyDescent="0.15">
      <c r="A731" s="8" t="s">
        <v>1972</v>
      </c>
      <c r="B731" s="8" t="s">
        <v>138</v>
      </c>
      <c r="C731" s="8" t="str">
        <f t="shared" si="11"/>
        <v>pte</v>
      </c>
      <c r="D731" s="9" t="s">
        <v>14</v>
      </c>
      <c r="E731" s="8" t="s">
        <v>1974</v>
      </c>
      <c r="F731" s="8" t="s">
        <v>1973</v>
      </c>
      <c r="G731" s="8">
        <v>500</v>
      </c>
    </row>
    <row r="732" spans="1:7" x14ac:dyDescent="0.15">
      <c r="A732" s="8" t="s">
        <v>1975</v>
      </c>
      <c r="B732" s="8" t="s">
        <v>138</v>
      </c>
      <c r="C732" s="8" t="str">
        <f t="shared" si="11"/>
        <v>qf</v>
      </c>
      <c r="D732" s="9" t="s">
        <v>14</v>
      </c>
      <c r="E732" s="8" t="s">
        <v>1977</v>
      </c>
      <c r="F732" s="8" t="s">
        <v>1976</v>
      </c>
      <c r="G732" s="8">
        <v>500</v>
      </c>
    </row>
    <row r="733" spans="1:7" x14ac:dyDescent="0.15">
      <c r="A733" s="8" t="s">
        <v>1978</v>
      </c>
      <c r="B733" s="8" t="s">
        <v>138</v>
      </c>
      <c r="C733" s="8" t="str">
        <f t="shared" si="11"/>
        <v>rf</v>
      </c>
      <c r="D733" s="9" t="s">
        <v>14</v>
      </c>
      <c r="E733" s="8" t="s">
        <v>1980</v>
      </c>
      <c r="F733" s="8" t="s">
        <v>1979</v>
      </c>
      <c r="G733" s="8">
        <v>500</v>
      </c>
    </row>
    <row r="734" spans="1:7" x14ac:dyDescent="0.15">
      <c r="A734" s="8" t="s">
        <v>1981</v>
      </c>
      <c r="B734" s="8" t="s">
        <v>138</v>
      </c>
      <c r="C734" s="8" t="str">
        <f t="shared" si="11"/>
        <v>sm</v>
      </c>
      <c r="D734" s="9" t="s">
        <v>14</v>
      </c>
      <c r="E734" s="8" t="s">
        <v>1983</v>
      </c>
      <c r="F734" s="8" t="s">
        <v>1982</v>
      </c>
      <c r="G734" s="8">
        <v>500</v>
      </c>
    </row>
    <row r="735" spans="1:7" x14ac:dyDescent="0.15">
      <c r="A735" s="8" t="s">
        <v>1984</v>
      </c>
      <c r="B735" s="8" t="s">
        <v>138</v>
      </c>
      <c r="C735" s="8" t="str">
        <f t="shared" si="11"/>
        <v>sol</v>
      </c>
      <c r="D735" s="9" t="s">
        <v>14</v>
      </c>
      <c r="E735" s="8" t="s">
        <v>1986</v>
      </c>
      <c r="F735" s="8" t="s">
        <v>1985</v>
      </c>
      <c r="G735" s="8">
        <v>500</v>
      </c>
    </row>
    <row r="736" spans="1:7" x14ac:dyDescent="0.15">
      <c r="A736" s="8" t="s">
        <v>1987</v>
      </c>
      <c r="B736" s="8" t="s">
        <v>138</v>
      </c>
      <c r="C736" s="8" t="str">
        <f t="shared" si="11"/>
        <v>st</v>
      </c>
      <c r="D736" s="9" t="s">
        <v>14</v>
      </c>
      <c r="E736" s="8" t="s">
        <v>1989</v>
      </c>
      <c r="F736" s="8" t="s">
        <v>1988</v>
      </c>
      <c r="G736" s="8">
        <v>500</v>
      </c>
    </row>
    <row r="737" spans="1:7" x14ac:dyDescent="0.15">
      <c r="A737" s="8" t="s">
        <v>1990</v>
      </c>
      <c r="B737" s="8" t="s">
        <v>138</v>
      </c>
      <c r="C737" s="8" t="str">
        <f t="shared" si="11"/>
        <v>ta</v>
      </c>
      <c r="D737" s="9" t="s">
        <v>14</v>
      </c>
      <c r="E737" s="8" t="s">
        <v>1992</v>
      </c>
      <c r="F737" s="8" t="s">
        <v>1991</v>
      </c>
      <c r="G737" s="8">
        <v>500</v>
      </c>
    </row>
    <row r="738" spans="1:7" x14ac:dyDescent="0.15">
      <c r="A738" s="8" t="s">
        <v>1993</v>
      </c>
      <c r="B738" s="8" t="s">
        <v>138</v>
      </c>
      <c r="C738" s="8" t="str">
        <f t="shared" si="11"/>
        <v>tbl</v>
      </c>
      <c r="D738" s="9" t="s">
        <v>14</v>
      </c>
      <c r="E738" s="8" t="s">
        <v>1995</v>
      </c>
      <c r="F738" s="8" t="s">
        <v>1994</v>
      </c>
      <c r="G738" s="8">
        <v>500</v>
      </c>
    </row>
    <row r="739" spans="1:7" x14ac:dyDescent="0.15">
      <c r="A739" s="8" t="s">
        <v>1996</v>
      </c>
      <c r="B739" s="8" t="s">
        <v>138</v>
      </c>
      <c r="C739" s="8" t="str">
        <f t="shared" si="11"/>
        <v>tbm</v>
      </c>
      <c r="D739" s="9" t="s">
        <v>14</v>
      </c>
      <c r="E739" s="8" t="s">
        <v>1998</v>
      </c>
      <c r="F739" s="8" t="s">
        <v>1997</v>
      </c>
      <c r="G739" s="8">
        <v>500</v>
      </c>
    </row>
    <row r="740" spans="1:7" x14ac:dyDescent="0.15">
      <c r="A740" s="8" t="s">
        <v>1999</v>
      </c>
      <c r="B740" s="8" t="s">
        <v>138</v>
      </c>
      <c r="C740" s="8" t="str">
        <f t="shared" si="11"/>
        <v>tbo</v>
      </c>
      <c r="D740" s="9" t="s">
        <v>14</v>
      </c>
      <c r="E740" s="8" t="s">
        <v>2001</v>
      </c>
      <c r="F740" s="8" t="s">
        <v>2000</v>
      </c>
      <c r="G740" s="8">
        <v>500</v>
      </c>
    </row>
    <row r="741" spans="1:7" x14ac:dyDescent="0.15">
      <c r="A741" s="8" t="s">
        <v>2002</v>
      </c>
      <c r="B741" s="8" t="s">
        <v>138</v>
      </c>
      <c r="C741" s="8" t="str">
        <f t="shared" si="11"/>
        <v>tp</v>
      </c>
      <c r="D741" s="9" t="s">
        <v>14</v>
      </c>
      <c r="E741" s="8" t="s">
        <v>2004</v>
      </c>
      <c r="F741" s="8" t="s">
        <v>2003</v>
      </c>
      <c r="G741" s="8">
        <v>500</v>
      </c>
    </row>
    <row r="742" spans="1:7" x14ac:dyDescent="0.15">
      <c r="A742" s="8" t="s">
        <v>2005</v>
      </c>
      <c r="B742" s="8" t="s">
        <v>138</v>
      </c>
      <c r="C742" s="8" t="str">
        <f t="shared" si="11"/>
        <v>vi</v>
      </c>
      <c r="D742" s="9" t="s">
        <v>14</v>
      </c>
      <c r="E742" s="8" t="s">
        <v>2007</v>
      </c>
      <c r="F742" s="8" t="s">
        <v>2006</v>
      </c>
      <c r="G742" s="8">
        <v>500</v>
      </c>
    </row>
    <row r="743" spans="1:7" x14ac:dyDescent="0.15">
      <c r="A743" s="8" t="s">
        <v>2008</v>
      </c>
      <c r="B743" s="8" t="s">
        <v>138</v>
      </c>
      <c r="C743" s="8" t="str">
        <f t="shared" si="11"/>
        <v>vl</v>
      </c>
      <c r="D743" s="9" t="s">
        <v>14</v>
      </c>
      <c r="E743" s="8" t="s">
        <v>2010</v>
      </c>
      <c r="F743" s="8" t="s">
        <v>2009</v>
      </c>
      <c r="G743" s="8">
        <v>500</v>
      </c>
    </row>
    <row r="744" spans="1:7" x14ac:dyDescent="0.15">
      <c r="A744" s="8" t="s">
        <v>2011</v>
      </c>
      <c r="B744" s="8" t="s">
        <v>138</v>
      </c>
      <c r="C744" s="8" t="str">
        <f t="shared" si="11"/>
        <v>vm</v>
      </c>
      <c r="D744" s="9" t="s">
        <v>14</v>
      </c>
      <c r="E744" s="8" t="s">
        <v>2013</v>
      </c>
      <c r="F744" s="8" t="s">
        <v>2012</v>
      </c>
      <c r="G744" s="8">
        <v>500</v>
      </c>
    </row>
    <row r="745" spans="1:7" x14ac:dyDescent="0.15">
      <c r="A745" s="8" t="s">
        <v>2735</v>
      </c>
      <c r="B745" s="8" t="s">
        <v>138</v>
      </c>
      <c r="C745" s="8" t="str">
        <f t="shared" si="11"/>
        <v>quad</v>
      </c>
      <c r="D745" s="9" t="s">
        <v>14</v>
      </c>
      <c r="E745" s="8" t="s">
        <v>2737</v>
      </c>
      <c r="F745" s="8" t="s">
        <v>2736</v>
      </c>
      <c r="G745" s="8">
        <v>500</v>
      </c>
    </row>
    <row r="746" spans="1:7" x14ac:dyDescent="0.15">
      <c r="A746" s="8" t="s">
        <v>2014</v>
      </c>
      <c r="B746" s="8" t="s">
        <v>141</v>
      </c>
      <c r="C746" s="8" t="str">
        <f t="shared" si="11"/>
        <v>zirconium</v>
      </c>
      <c r="D746" s="9" t="s">
        <v>14</v>
      </c>
      <c r="E746" s="8" t="s">
        <v>2015</v>
      </c>
      <c r="F746" s="8" t="s">
        <v>2016</v>
      </c>
      <c r="G746" s="8">
        <v>500</v>
      </c>
    </row>
    <row r="747" spans="1:7" x14ac:dyDescent="0.15">
      <c r="A747" s="8" t="s">
        <v>2017</v>
      </c>
      <c r="B747" s="8" t="s">
        <v>142</v>
      </c>
      <c r="C747" s="8" t="str">
        <f t="shared" si="11"/>
        <v>bgpage</v>
      </c>
      <c r="D747" s="9" t="s">
        <v>14</v>
      </c>
      <c r="E747" s="8" t="s">
        <v>2018</v>
      </c>
      <c r="F747" s="8" t="s">
        <v>2019</v>
      </c>
      <c r="G747" s="8">
        <v>500</v>
      </c>
    </row>
    <row r="748" spans="1:7" x14ac:dyDescent="0.15">
      <c r="A748" s="8" t="s">
        <v>2020</v>
      </c>
      <c r="B748" s="8" t="s">
        <v>142</v>
      </c>
      <c r="C748" s="8" t="str">
        <f t="shared" si="11"/>
        <v>highph_hplc</v>
      </c>
      <c r="D748" s="9" t="s">
        <v>14</v>
      </c>
      <c r="E748" s="8" t="s">
        <v>2021</v>
      </c>
      <c r="F748" s="8" t="s">
        <v>2022</v>
      </c>
      <c r="G748" s="8">
        <v>500</v>
      </c>
    </row>
    <row r="749" spans="1:7" x14ac:dyDescent="0.15">
      <c r="A749" s="8" t="s">
        <v>2023</v>
      </c>
      <c r="B749" s="8" t="s">
        <v>142</v>
      </c>
      <c r="C749" s="8" t="str">
        <f t="shared" si="11"/>
        <v>highph_tip</v>
      </c>
      <c r="D749" s="9" t="s">
        <v>14</v>
      </c>
      <c r="E749" s="8" t="s">
        <v>2024</v>
      </c>
      <c r="F749" s="8" t="s">
        <v>2025</v>
      </c>
      <c r="G749" s="8">
        <v>500</v>
      </c>
    </row>
    <row r="750" spans="1:7" x14ac:dyDescent="0.15">
      <c r="A750" s="8" t="s">
        <v>2026</v>
      </c>
      <c r="B750" s="8" t="s">
        <v>142</v>
      </c>
      <c r="C750" s="8" t="str">
        <f t="shared" si="11"/>
        <v>sax</v>
      </c>
      <c r="D750" s="9" t="s">
        <v>14</v>
      </c>
      <c r="E750" s="8" t="s">
        <v>2027</v>
      </c>
      <c r="F750" s="8" t="s">
        <v>2028</v>
      </c>
      <c r="G750" s="8">
        <v>500</v>
      </c>
    </row>
    <row r="751" spans="1:7" x14ac:dyDescent="0.15">
      <c r="A751" s="8" t="s">
        <v>2029</v>
      </c>
      <c r="B751" s="8" t="s">
        <v>142</v>
      </c>
      <c r="C751" s="8" t="str">
        <f t="shared" si="11"/>
        <v>scx</v>
      </c>
      <c r="D751" s="9" t="s">
        <v>14</v>
      </c>
      <c r="E751" s="8" t="s">
        <v>2030</v>
      </c>
      <c r="F751" s="8" t="s">
        <v>2031</v>
      </c>
      <c r="G751" s="8">
        <v>500</v>
      </c>
    </row>
    <row r="752" spans="1:7" x14ac:dyDescent="0.15">
      <c r="A752" s="8" t="s">
        <v>2032</v>
      </c>
      <c r="B752" s="8" t="s">
        <v>142</v>
      </c>
      <c r="C752" s="8" t="str">
        <f t="shared" si="11"/>
        <v>sdspage</v>
      </c>
      <c r="D752" s="9" t="s">
        <v>14</v>
      </c>
      <c r="E752" s="8" t="s">
        <v>2033</v>
      </c>
      <c r="F752" s="8" t="s">
        <v>2034</v>
      </c>
      <c r="G752" s="8">
        <v>500</v>
      </c>
    </row>
    <row r="753" spans="1:7" x14ac:dyDescent="0.15">
      <c r="A753" s="8" t="s">
        <v>2035</v>
      </c>
      <c r="B753" s="8" t="s">
        <v>148</v>
      </c>
      <c r="C753" s="8" t="str">
        <f t="shared" si="11"/>
        <v>proteomics</v>
      </c>
      <c r="D753" s="9" t="s">
        <v>14</v>
      </c>
      <c r="E753" s="8" t="s">
        <v>2036</v>
      </c>
      <c r="F753" s="8" t="s">
        <v>2037</v>
      </c>
      <c r="G753" s="8">
        <v>500</v>
      </c>
    </row>
    <row r="754" spans="1:7" x14ac:dyDescent="0.15">
      <c r="A754" s="8" t="s">
        <v>2038</v>
      </c>
      <c r="B754" s="8" t="s">
        <v>139</v>
      </c>
      <c r="C754" s="8" t="str">
        <f t="shared" si="11"/>
        <v>appendix</v>
      </c>
      <c r="D754" s="8" t="s">
        <v>2038</v>
      </c>
      <c r="E754" s="8" t="s">
        <v>2039</v>
      </c>
      <c r="F754" s="8" t="s">
        <v>2039</v>
      </c>
      <c r="G754" s="8">
        <v>500</v>
      </c>
    </row>
    <row r="755" spans="1:7" x14ac:dyDescent="0.15">
      <c r="A755" s="8" t="s">
        <v>2040</v>
      </c>
      <c r="B755" s="8" t="s">
        <v>139</v>
      </c>
      <c r="C755" s="8" t="str">
        <f t="shared" si="11"/>
        <v>arteries</v>
      </c>
      <c r="D755" s="8" t="s">
        <v>2040</v>
      </c>
      <c r="E755" s="8" t="s">
        <v>2041</v>
      </c>
      <c r="F755" s="8" t="s">
        <v>2041</v>
      </c>
      <c r="G755" s="8">
        <v>500</v>
      </c>
    </row>
    <row r="756" spans="1:7" x14ac:dyDescent="0.15">
      <c r="A756" s="8" t="s">
        <v>2042</v>
      </c>
      <c r="B756" s="8" t="s">
        <v>139</v>
      </c>
      <c r="C756" s="8" t="str">
        <f t="shared" si="11"/>
        <v>bladder</v>
      </c>
      <c r="D756" s="8" t="s">
        <v>2042</v>
      </c>
      <c r="E756" s="8" t="s">
        <v>2043</v>
      </c>
      <c r="F756" s="8" t="s">
        <v>2043</v>
      </c>
      <c r="G756" s="8">
        <v>500</v>
      </c>
    </row>
    <row r="757" spans="1:7" x14ac:dyDescent="0.15">
      <c r="A757" s="8" t="s">
        <v>2044</v>
      </c>
      <c r="B757" s="8" t="s">
        <v>139</v>
      </c>
      <c r="C757" s="8" t="str">
        <f t="shared" si="11"/>
        <v>bone_marrow</v>
      </c>
      <c r="D757" s="8" t="s">
        <v>2044</v>
      </c>
      <c r="E757" s="8" t="s">
        <v>2045</v>
      </c>
      <c r="F757" s="8" t="s">
        <v>2045</v>
      </c>
      <c r="G757" s="8">
        <v>500</v>
      </c>
    </row>
    <row r="758" spans="1:7" x14ac:dyDescent="0.15">
      <c r="A758" s="8" t="s">
        <v>2046</v>
      </c>
      <c r="B758" s="8" t="s">
        <v>139</v>
      </c>
      <c r="C758" s="8" t="str">
        <f t="shared" si="11"/>
        <v>brain</v>
      </c>
      <c r="D758" s="8" t="s">
        <v>2046</v>
      </c>
      <c r="E758" s="8" t="s">
        <v>2047</v>
      </c>
      <c r="F758" s="8" t="s">
        <v>2047</v>
      </c>
      <c r="G758" s="8">
        <v>500</v>
      </c>
    </row>
    <row r="759" spans="1:7" x14ac:dyDescent="0.15">
      <c r="A759" s="8" t="s">
        <v>2048</v>
      </c>
      <c r="B759" s="8" t="s">
        <v>139</v>
      </c>
      <c r="C759" s="8" t="str">
        <f t="shared" si="11"/>
        <v>bronchi</v>
      </c>
      <c r="D759" s="8" t="s">
        <v>2048</v>
      </c>
      <c r="E759" s="8" t="s">
        <v>2049</v>
      </c>
      <c r="F759" s="8" t="s">
        <v>2049</v>
      </c>
      <c r="G759" s="8">
        <v>500</v>
      </c>
    </row>
    <row r="760" spans="1:7" x14ac:dyDescent="0.15">
      <c r="A760" s="8" t="s">
        <v>2050</v>
      </c>
      <c r="B760" s="8" t="s">
        <v>139</v>
      </c>
      <c r="C760" s="8" t="str">
        <f t="shared" si="11"/>
        <v>cecum</v>
      </c>
      <c r="D760" s="8" t="s">
        <v>2050</v>
      </c>
      <c r="E760" s="8" t="s">
        <v>2051</v>
      </c>
      <c r="F760" s="8" t="s">
        <v>2051</v>
      </c>
      <c r="G760" s="8">
        <v>500</v>
      </c>
    </row>
    <row r="761" spans="1:7" x14ac:dyDescent="0.15">
      <c r="A761" s="8" t="s">
        <v>2052</v>
      </c>
      <c r="B761" s="8" t="s">
        <v>139</v>
      </c>
      <c r="C761" s="8" t="str">
        <f t="shared" si="11"/>
        <v>cerebellum</v>
      </c>
      <c r="D761" s="8" t="s">
        <v>2052</v>
      </c>
      <c r="E761" s="8" t="s">
        <v>2053</v>
      </c>
      <c r="F761" s="8" t="s">
        <v>2053</v>
      </c>
      <c r="G761" s="8">
        <v>500</v>
      </c>
    </row>
    <row r="762" spans="1:7" x14ac:dyDescent="0.15">
      <c r="A762" s="8" t="s">
        <v>2054</v>
      </c>
      <c r="B762" s="8" t="s">
        <v>139</v>
      </c>
      <c r="C762" s="8" t="str">
        <f t="shared" si="11"/>
        <v>cerebrum</v>
      </c>
      <c r="D762" s="8" t="s">
        <v>2054</v>
      </c>
      <c r="E762" s="8" t="s">
        <v>2055</v>
      </c>
      <c r="F762" s="8" t="s">
        <v>2055</v>
      </c>
      <c r="G762" s="8">
        <v>500</v>
      </c>
    </row>
    <row r="763" spans="1:7" x14ac:dyDescent="0.15">
      <c r="A763" s="8" t="s">
        <v>2056</v>
      </c>
      <c r="B763" s="8" t="s">
        <v>139</v>
      </c>
      <c r="C763" s="8" t="str">
        <f t="shared" si="11"/>
        <v>ear</v>
      </c>
      <c r="D763" s="8" t="s">
        <v>2056</v>
      </c>
      <c r="E763" s="8" t="s">
        <v>2057</v>
      </c>
      <c r="F763" s="8" t="s">
        <v>2057</v>
      </c>
      <c r="G763" s="8">
        <v>500</v>
      </c>
    </row>
    <row r="764" spans="1:7" x14ac:dyDescent="0.15">
      <c r="A764" s="8" t="s">
        <v>2058</v>
      </c>
      <c r="B764" s="8" t="s">
        <v>139</v>
      </c>
      <c r="C764" s="8" t="str">
        <f t="shared" si="11"/>
        <v>esophagus</v>
      </c>
      <c r="D764" s="8" t="s">
        <v>2058</v>
      </c>
      <c r="E764" s="8" t="s">
        <v>2059</v>
      </c>
      <c r="F764" s="8" t="s">
        <v>2059</v>
      </c>
      <c r="G764" s="8">
        <v>500</v>
      </c>
    </row>
    <row r="765" spans="1:7" x14ac:dyDescent="0.15">
      <c r="A765" s="8" t="s">
        <v>2060</v>
      </c>
      <c r="B765" s="8" t="s">
        <v>139</v>
      </c>
      <c r="C765" s="8" t="str">
        <f t="shared" si="11"/>
        <v>eye</v>
      </c>
      <c r="D765" s="8" t="s">
        <v>2060</v>
      </c>
      <c r="E765" s="8" t="s">
        <v>2061</v>
      </c>
      <c r="F765" s="8" t="s">
        <v>2061</v>
      </c>
      <c r="G765" s="8">
        <v>500</v>
      </c>
    </row>
    <row r="766" spans="1:7" x14ac:dyDescent="0.15">
      <c r="A766" s="8" t="s">
        <v>2062</v>
      </c>
      <c r="B766" s="8" t="s">
        <v>139</v>
      </c>
      <c r="C766" s="8" t="str">
        <f t="shared" si="11"/>
        <v>gallbladder</v>
      </c>
      <c r="D766" s="8" t="s">
        <v>2062</v>
      </c>
      <c r="E766" s="8" t="s">
        <v>2063</v>
      </c>
      <c r="F766" s="8" t="s">
        <v>2063</v>
      </c>
      <c r="G766" s="8">
        <v>500</v>
      </c>
    </row>
    <row r="767" spans="1:7" x14ac:dyDescent="0.15">
      <c r="A767" s="8" t="s">
        <v>2064</v>
      </c>
      <c r="B767" s="8" t="s">
        <v>139</v>
      </c>
      <c r="C767" s="8" t="str">
        <f t="shared" si="11"/>
        <v>ganglia</v>
      </c>
      <c r="D767" s="8" t="s">
        <v>2064</v>
      </c>
      <c r="E767" s="8" t="s">
        <v>2065</v>
      </c>
      <c r="F767" s="8" t="s">
        <v>2065</v>
      </c>
      <c r="G767" s="8">
        <v>500</v>
      </c>
    </row>
    <row r="768" spans="1:7" x14ac:dyDescent="0.15">
      <c r="A768" s="8" t="s">
        <v>2066</v>
      </c>
      <c r="B768" s="8" t="s">
        <v>139</v>
      </c>
      <c r="C768" s="8" t="str">
        <f t="shared" si="11"/>
        <v>heart</v>
      </c>
      <c r="D768" s="8" t="s">
        <v>2066</v>
      </c>
      <c r="E768" s="8" t="s">
        <v>2067</v>
      </c>
      <c r="F768" s="8" t="s">
        <v>2067</v>
      </c>
      <c r="G768" s="8">
        <v>500</v>
      </c>
    </row>
    <row r="769" spans="1:7" x14ac:dyDescent="0.15">
      <c r="A769" s="8" t="s">
        <v>2068</v>
      </c>
      <c r="B769" s="8" t="s">
        <v>139</v>
      </c>
      <c r="C769" s="8" t="str">
        <f t="shared" si="11"/>
        <v>hypothalamus</v>
      </c>
      <c r="D769" s="8" t="s">
        <v>2068</v>
      </c>
      <c r="E769" s="8" t="s">
        <v>2069</v>
      </c>
      <c r="F769" s="8" t="s">
        <v>2069</v>
      </c>
      <c r="G769" s="8">
        <v>500</v>
      </c>
    </row>
    <row r="770" spans="1:7" x14ac:dyDescent="0.15">
      <c r="A770" s="8" t="s">
        <v>2070</v>
      </c>
      <c r="B770" s="8" t="s">
        <v>139</v>
      </c>
      <c r="C770" s="8" t="str">
        <f t="shared" si="11"/>
        <v>kidney</v>
      </c>
      <c r="D770" s="8" t="s">
        <v>2070</v>
      </c>
      <c r="E770" s="8" t="s">
        <v>2071</v>
      </c>
      <c r="F770" s="8" t="s">
        <v>2071</v>
      </c>
      <c r="G770" s="8">
        <v>500</v>
      </c>
    </row>
    <row r="771" spans="1:7" x14ac:dyDescent="0.15">
      <c r="A771" s="8" t="s">
        <v>2072</v>
      </c>
      <c r="B771" s="8" t="s">
        <v>139</v>
      </c>
      <c r="C771" s="8" t="str">
        <f t="shared" si="11"/>
        <v>large_intestine</v>
      </c>
      <c r="D771" s="8" t="s">
        <v>2073</v>
      </c>
      <c r="E771" s="8" t="s">
        <v>2074</v>
      </c>
      <c r="F771" s="8" t="s">
        <v>2075</v>
      </c>
      <c r="G771" s="8">
        <v>500</v>
      </c>
    </row>
    <row r="772" spans="1:7" x14ac:dyDescent="0.15">
      <c r="A772" s="8" t="s">
        <v>2076</v>
      </c>
      <c r="B772" s="8" t="s">
        <v>139</v>
      </c>
      <c r="C772" s="8" t="str">
        <f t="shared" si="11"/>
        <v>liver</v>
      </c>
      <c r="D772" s="8" t="s">
        <v>2076</v>
      </c>
      <c r="E772" s="8" t="s">
        <v>2077</v>
      </c>
      <c r="F772" s="8" t="s">
        <v>2077</v>
      </c>
      <c r="G772" s="8">
        <v>500</v>
      </c>
    </row>
    <row r="773" spans="1:7" x14ac:dyDescent="0.15">
      <c r="A773" s="8" t="s">
        <v>2078</v>
      </c>
      <c r="B773" s="8" t="s">
        <v>139</v>
      </c>
      <c r="C773" s="8" t="str">
        <f t="shared" si="11"/>
        <v>lung</v>
      </c>
      <c r="D773" s="8" t="s">
        <v>2078</v>
      </c>
      <c r="E773" s="8" t="s">
        <v>2079</v>
      </c>
      <c r="F773" s="8" t="s">
        <v>2079</v>
      </c>
      <c r="G773" s="8">
        <v>500</v>
      </c>
    </row>
    <row r="774" spans="1:7" x14ac:dyDescent="0.15">
      <c r="A774" s="8" t="s">
        <v>2080</v>
      </c>
      <c r="B774" s="8" t="s">
        <v>139</v>
      </c>
      <c r="C774" s="8" t="str">
        <f t="shared" si="11"/>
        <v>lymph_node</v>
      </c>
      <c r="D774" s="8" t="s">
        <v>1138</v>
      </c>
      <c r="E774" s="8" t="s">
        <v>2081</v>
      </c>
      <c r="F774" s="8" t="s">
        <v>2081</v>
      </c>
      <c r="G774" s="8">
        <v>500</v>
      </c>
    </row>
    <row r="775" spans="1:7" x14ac:dyDescent="0.15">
      <c r="A775" s="8" t="s">
        <v>2082</v>
      </c>
      <c r="B775" s="8" t="s">
        <v>139</v>
      </c>
      <c r="C775" s="8" t="str">
        <f t="shared" si="11"/>
        <v>medulla</v>
      </c>
      <c r="D775" s="8" t="s">
        <v>2082</v>
      </c>
      <c r="E775" s="8" t="s">
        <v>2083</v>
      </c>
      <c r="F775" s="8" t="s">
        <v>2083</v>
      </c>
      <c r="G775" s="8">
        <v>500</v>
      </c>
    </row>
    <row r="776" spans="1:7" x14ac:dyDescent="0.15">
      <c r="A776" s="8" t="s">
        <v>2084</v>
      </c>
      <c r="B776" s="8" t="s">
        <v>139</v>
      </c>
      <c r="C776" s="8" t="str">
        <f t="shared" si="11"/>
        <v>mesentery</v>
      </c>
      <c r="D776" s="8" t="s">
        <v>2084</v>
      </c>
      <c r="E776" s="8" t="s">
        <v>2085</v>
      </c>
      <c r="F776" s="8" t="s">
        <v>2085</v>
      </c>
      <c r="G776" s="8">
        <v>500</v>
      </c>
    </row>
    <row r="777" spans="1:7" x14ac:dyDescent="0.15">
      <c r="A777" s="8" t="s">
        <v>2086</v>
      </c>
      <c r="B777" s="8" t="s">
        <v>139</v>
      </c>
      <c r="C777" s="8" t="str">
        <f t="shared" si="11"/>
        <v>midbrain</v>
      </c>
      <c r="D777" s="8" t="s">
        <v>2086</v>
      </c>
      <c r="E777" s="8" t="s">
        <v>2087</v>
      </c>
      <c r="F777" s="8" t="s">
        <v>2087</v>
      </c>
      <c r="G777" s="8">
        <v>500</v>
      </c>
    </row>
    <row r="778" spans="1:7" x14ac:dyDescent="0.15">
      <c r="A778" s="8" t="s">
        <v>2088</v>
      </c>
      <c r="B778" s="8" t="s">
        <v>139</v>
      </c>
      <c r="C778" s="8" t="str">
        <f t="shared" ref="C778:C843" si="12">A778</f>
        <v>ovaries</v>
      </c>
      <c r="D778" s="8" t="s">
        <v>2088</v>
      </c>
      <c r="E778" s="8" t="s">
        <v>2089</v>
      </c>
      <c r="F778" s="8" t="s">
        <v>2089</v>
      </c>
      <c r="G778" s="8">
        <v>500</v>
      </c>
    </row>
    <row r="779" spans="1:7" x14ac:dyDescent="0.15">
      <c r="A779" s="8" t="s">
        <v>2090</v>
      </c>
      <c r="B779" s="8" t="s">
        <v>139</v>
      </c>
      <c r="C779" s="8" t="str">
        <f t="shared" si="12"/>
        <v>pancreas</v>
      </c>
      <c r="D779" s="8" t="s">
        <v>2090</v>
      </c>
      <c r="E779" s="8" t="s">
        <v>2091</v>
      </c>
      <c r="F779" s="8" t="s">
        <v>2091</v>
      </c>
      <c r="G779" s="8">
        <v>500</v>
      </c>
    </row>
    <row r="780" spans="1:7" x14ac:dyDescent="0.15">
      <c r="A780" s="8" t="s">
        <v>2092</v>
      </c>
      <c r="B780" s="8" t="s">
        <v>139</v>
      </c>
      <c r="C780" s="8" t="str">
        <f t="shared" si="12"/>
        <v>pons</v>
      </c>
      <c r="D780" s="8" t="s">
        <v>2092</v>
      </c>
      <c r="E780" s="8" t="s">
        <v>2093</v>
      </c>
      <c r="F780" s="8" t="s">
        <v>2093</v>
      </c>
      <c r="G780" s="8">
        <v>500</v>
      </c>
    </row>
    <row r="781" spans="1:7" x14ac:dyDescent="0.15">
      <c r="A781" s="8" t="s">
        <v>2094</v>
      </c>
      <c r="B781" s="8" t="s">
        <v>139</v>
      </c>
      <c r="C781" s="8" t="str">
        <f t="shared" si="12"/>
        <v>prostate</v>
      </c>
      <c r="D781" s="8" t="s">
        <v>2094</v>
      </c>
      <c r="E781" s="8" t="s">
        <v>2095</v>
      </c>
      <c r="F781" s="8" t="s">
        <v>2095</v>
      </c>
      <c r="G781" s="8">
        <v>500</v>
      </c>
    </row>
    <row r="782" spans="1:7" x14ac:dyDescent="0.15">
      <c r="A782" s="8" t="s">
        <v>2096</v>
      </c>
      <c r="B782" s="8" t="s">
        <v>139</v>
      </c>
      <c r="C782" s="8" t="str">
        <f t="shared" si="12"/>
        <v>rectum</v>
      </c>
      <c r="D782" s="8" t="s">
        <v>2096</v>
      </c>
      <c r="E782" s="8" t="s">
        <v>2097</v>
      </c>
      <c r="F782" s="8" t="s">
        <v>2097</v>
      </c>
      <c r="G782" s="8">
        <v>500</v>
      </c>
    </row>
    <row r="783" spans="1:7" x14ac:dyDescent="0.15">
      <c r="A783" s="8" t="s">
        <v>2098</v>
      </c>
      <c r="B783" s="8" t="s">
        <v>139</v>
      </c>
      <c r="C783" s="8" t="str">
        <f t="shared" si="12"/>
        <v>small_intestine</v>
      </c>
      <c r="D783" s="8" t="s">
        <v>2099</v>
      </c>
      <c r="E783" s="8" t="s">
        <v>2100</v>
      </c>
      <c r="F783" s="8" t="s">
        <v>2101</v>
      </c>
      <c r="G783" s="8">
        <v>500</v>
      </c>
    </row>
    <row r="784" spans="1:7" x14ac:dyDescent="0.15">
      <c r="A784" s="8" t="s">
        <v>2102</v>
      </c>
      <c r="B784" s="8" t="s">
        <v>139</v>
      </c>
      <c r="C784" s="8" t="str">
        <f t="shared" si="12"/>
        <v>spinal_cord</v>
      </c>
      <c r="D784" s="8" t="s">
        <v>2102</v>
      </c>
      <c r="E784" s="8" t="s">
        <v>2103</v>
      </c>
      <c r="F784" s="8" t="s">
        <v>2104</v>
      </c>
      <c r="G784" s="8">
        <v>500</v>
      </c>
    </row>
    <row r="785" spans="1:7" x14ac:dyDescent="0.15">
      <c r="A785" s="8" t="s">
        <v>2105</v>
      </c>
      <c r="B785" s="8" t="s">
        <v>139</v>
      </c>
      <c r="C785" s="8" t="str">
        <f t="shared" si="12"/>
        <v>spleen</v>
      </c>
      <c r="D785" s="8" t="s">
        <v>2105</v>
      </c>
      <c r="E785" s="8" t="s">
        <v>2106</v>
      </c>
      <c r="F785" s="8" t="s">
        <v>2106</v>
      </c>
      <c r="G785" s="8">
        <v>500</v>
      </c>
    </row>
    <row r="786" spans="1:7" x14ac:dyDescent="0.15">
      <c r="A786" s="8" t="s">
        <v>2107</v>
      </c>
      <c r="B786" s="8" t="s">
        <v>139</v>
      </c>
      <c r="C786" s="8" t="str">
        <f t="shared" si="12"/>
        <v>stomach</v>
      </c>
      <c r="D786" s="8" t="s">
        <v>2107</v>
      </c>
      <c r="E786" s="8" t="s">
        <v>2108</v>
      </c>
      <c r="F786" s="8" t="s">
        <v>2108</v>
      </c>
      <c r="G786" s="8">
        <v>500</v>
      </c>
    </row>
    <row r="787" spans="1:7" x14ac:dyDescent="0.15">
      <c r="A787" s="8" t="s">
        <v>2109</v>
      </c>
      <c r="B787" s="8" t="s">
        <v>139</v>
      </c>
      <c r="C787" s="8" t="str">
        <f t="shared" si="12"/>
        <v>testicles</v>
      </c>
      <c r="D787" s="8" t="s">
        <v>2109</v>
      </c>
      <c r="E787" s="8" t="s">
        <v>2110</v>
      </c>
      <c r="F787" s="8" t="s">
        <v>2110</v>
      </c>
      <c r="G787" s="8">
        <v>500</v>
      </c>
    </row>
    <row r="788" spans="1:7" x14ac:dyDescent="0.15">
      <c r="A788" s="8" t="s">
        <v>2111</v>
      </c>
      <c r="B788" s="8" t="s">
        <v>139</v>
      </c>
      <c r="C788" s="8" t="str">
        <f t="shared" si="12"/>
        <v>thalamus</v>
      </c>
      <c r="D788" s="8" t="s">
        <v>2111</v>
      </c>
      <c r="E788" s="8" t="s">
        <v>2112</v>
      </c>
      <c r="F788" s="8" t="s">
        <v>2112</v>
      </c>
      <c r="G788" s="8">
        <v>500</v>
      </c>
    </row>
    <row r="789" spans="1:7" x14ac:dyDescent="0.15">
      <c r="A789" s="8" t="s">
        <v>2113</v>
      </c>
      <c r="B789" s="8" t="s">
        <v>139</v>
      </c>
      <c r="C789" s="8" t="str">
        <f t="shared" si="12"/>
        <v>thymus</v>
      </c>
      <c r="D789" s="8" t="s">
        <v>2113</v>
      </c>
      <c r="E789" s="8" t="s">
        <v>2114</v>
      </c>
      <c r="F789" s="8" t="s">
        <v>2114</v>
      </c>
      <c r="G789" s="8">
        <v>500</v>
      </c>
    </row>
    <row r="790" spans="1:7" x14ac:dyDescent="0.15">
      <c r="A790" s="8" t="s">
        <v>2115</v>
      </c>
      <c r="B790" s="8" t="s">
        <v>139</v>
      </c>
      <c r="C790" s="8" t="str">
        <f t="shared" si="12"/>
        <v>tongue</v>
      </c>
      <c r="D790" s="8" t="s">
        <v>2115</v>
      </c>
      <c r="E790" s="8" t="s">
        <v>2116</v>
      </c>
      <c r="F790" s="8" t="s">
        <v>2116</v>
      </c>
      <c r="G790" s="8">
        <v>500</v>
      </c>
    </row>
    <row r="791" spans="1:7" x14ac:dyDescent="0.15">
      <c r="A791" s="8" t="s">
        <v>2117</v>
      </c>
      <c r="B791" s="8" t="s">
        <v>139</v>
      </c>
      <c r="C791" s="8" t="str">
        <f t="shared" si="12"/>
        <v>tonsils</v>
      </c>
      <c r="D791" s="8" t="s">
        <v>2117</v>
      </c>
      <c r="E791" s="8" t="s">
        <v>2118</v>
      </c>
      <c r="F791" s="8" t="s">
        <v>2118</v>
      </c>
      <c r="G791" s="8">
        <v>500</v>
      </c>
    </row>
    <row r="792" spans="1:7" x14ac:dyDescent="0.15">
      <c r="A792" s="8" t="s">
        <v>2119</v>
      </c>
      <c r="B792" s="8" t="s">
        <v>139</v>
      </c>
      <c r="C792" s="8" t="str">
        <f t="shared" si="12"/>
        <v>uterus</v>
      </c>
      <c r="D792" s="8" t="s">
        <v>2119</v>
      </c>
      <c r="E792" s="8" t="s">
        <v>2120</v>
      </c>
      <c r="F792" s="8" t="s">
        <v>2120</v>
      </c>
      <c r="G792" s="8">
        <v>500</v>
      </c>
    </row>
    <row r="793" spans="1:7" x14ac:dyDescent="0.15">
      <c r="A793" s="8" t="s">
        <v>2121</v>
      </c>
      <c r="B793" s="8" t="s">
        <v>139</v>
      </c>
      <c r="C793" s="8" t="str">
        <f t="shared" si="12"/>
        <v>veins</v>
      </c>
      <c r="D793" s="8" t="s">
        <v>2121</v>
      </c>
      <c r="E793" s="8" t="s">
        <v>2122</v>
      </c>
      <c r="F793" s="8" t="s">
        <v>2122</v>
      </c>
      <c r="G793" s="8">
        <v>500</v>
      </c>
    </row>
    <row r="794" spans="1:7" x14ac:dyDescent="0.15">
      <c r="A794" s="8" t="s">
        <v>4090</v>
      </c>
      <c r="B794" s="8" t="s">
        <v>139</v>
      </c>
      <c r="C794" s="8" t="str">
        <f t="shared" si="12"/>
        <v>skmuscle</v>
      </c>
      <c r="D794" s="8" t="s">
        <v>4091</v>
      </c>
      <c r="E794" s="8" t="s">
        <v>2738</v>
      </c>
      <c r="F794" s="8" t="s">
        <v>2738</v>
      </c>
    </row>
    <row r="795" spans="1:7" x14ac:dyDescent="0.15">
      <c r="A795" s="8" t="s">
        <v>2836</v>
      </c>
      <c r="B795" s="8" t="s">
        <v>151</v>
      </c>
      <c r="C795" s="8" t="str">
        <f t="shared" si="12"/>
        <v>controls</v>
      </c>
      <c r="D795" s="8" t="s">
        <v>2833</v>
      </c>
      <c r="E795" s="8" t="s">
        <v>2834</v>
      </c>
      <c r="F795" s="8" t="s">
        <v>2835</v>
      </c>
      <c r="G795" s="8">
        <v>500</v>
      </c>
    </row>
    <row r="796" spans="1:7" x14ac:dyDescent="0.15">
      <c r="A796" s="8" t="s">
        <v>2143</v>
      </c>
      <c r="B796" s="8" t="s">
        <v>2144</v>
      </c>
      <c r="C796" s="8" t="str">
        <f t="shared" si="12"/>
        <v>cardiovascular</v>
      </c>
      <c r="D796" s="9" t="s">
        <v>14</v>
      </c>
      <c r="E796" s="8" t="s">
        <v>2145</v>
      </c>
      <c r="F796" s="8" t="s">
        <v>2146</v>
      </c>
      <c r="G796" s="8">
        <v>500</v>
      </c>
    </row>
    <row r="797" spans="1:7" x14ac:dyDescent="0.15">
      <c r="A797" s="8" t="s">
        <v>2147</v>
      </c>
      <c r="B797" s="8" t="s">
        <v>2144</v>
      </c>
      <c r="C797" s="8" t="str">
        <f t="shared" si="12"/>
        <v>digestive</v>
      </c>
      <c r="D797" s="9" t="s">
        <v>14</v>
      </c>
      <c r="E797" s="8" t="s">
        <v>2148</v>
      </c>
      <c r="F797" s="8" t="s">
        <v>2149</v>
      </c>
      <c r="G797" s="8">
        <v>500</v>
      </c>
    </row>
    <row r="798" spans="1:7" x14ac:dyDescent="0.15">
      <c r="A798" s="8" t="s">
        <v>2150</v>
      </c>
      <c r="B798" s="8" t="s">
        <v>2144</v>
      </c>
      <c r="C798" s="8" t="str">
        <f t="shared" si="12"/>
        <v>endocrine</v>
      </c>
      <c r="D798" s="9" t="s">
        <v>14</v>
      </c>
      <c r="E798" s="8" t="s">
        <v>2151</v>
      </c>
      <c r="F798" s="8" t="s">
        <v>2152</v>
      </c>
      <c r="G798" s="8">
        <v>500</v>
      </c>
    </row>
    <row r="799" spans="1:7" x14ac:dyDescent="0.15">
      <c r="A799" s="8" t="s">
        <v>2153</v>
      </c>
      <c r="B799" s="8" t="s">
        <v>2144</v>
      </c>
      <c r="C799" s="8" t="str">
        <f t="shared" si="12"/>
        <v>excretory</v>
      </c>
      <c r="D799" s="9" t="s">
        <v>14</v>
      </c>
      <c r="E799" s="8" t="s">
        <v>2154</v>
      </c>
      <c r="F799" s="8" t="s">
        <v>2155</v>
      </c>
      <c r="G799" s="8">
        <v>500</v>
      </c>
    </row>
    <row r="800" spans="1:7" x14ac:dyDescent="0.15">
      <c r="A800" s="8" t="s">
        <v>2156</v>
      </c>
      <c r="B800" s="8" t="s">
        <v>2144</v>
      </c>
      <c r="C800" s="8" t="str">
        <f t="shared" si="12"/>
        <v>integumentary</v>
      </c>
      <c r="D800" s="9" t="s">
        <v>14</v>
      </c>
      <c r="E800" s="8" t="s">
        <v>2157</v>
      </c>
      <c r="F800" s="8" t="s">
        <v>2158</v>
      </c>
      <c r="G800" s="8">
        <v>500</v>
      </c>
    </row>
    <row r="801" spans="1:7" x14ac:dyDescent="0.15">
      <c r="A801" s="8" t="s">
        <v>2159</v>
      </c>
      <c r="B801" s="8" t="s">
        <v>2144</v>
      </c>
      <c r="C801" s="8" t="str">
        <f t="shared" si="12"/>
        <v>lymphatic</v>
      </c>
      <c r="D801" s="9" t="s">
        <v>14</v>
      </c>
      <c r="E801" s="8" t="s">
        <v>2160</v>
      </c>
      <c r="F801" s="8" t="s">
        <v>2161</v>
      </c>
      <c r="G801" s="8">
        <v>500</v>
      </c>
    </row>
    <row r="802" spans="1:7" x14ac:dyDescent="0.15">
      <c r="A802" s="8" t="s">
        <v>2162</v>
      </c>
      <c r="B802" s="8" t="s">
        <v>2144</v>
      </c>
      <c r="C802" s="8" t="str">
        <f t="shared" si="12"/>
        <v>muscular</v>
      </c>
      <c r="D802" s="9" t="s">
        <v>14</v>
      </c>
      <c r="E802" s="8" t="s">
        <v>2163</v>
      </c>
      <c r="F802" s="8" t="s">
        <v>2164</v>
      </c>
      <c r="G802" s="8">
        <v>500</v>
      </c>
    </row>
    <row r="803" spans="1:7" x14ac:dyDescent="0.15">
      <c r="A803" s="8" t="s">
        <v>2165</v>
      </c>
      <c r="B803" s="8" t="s">
        <v>2144</v>
      </c>
      <c r="C803" s="8" t="str">
        <f t="shared" si="12"/>
        <v>nervous_system</v>
      </c>
      <c r="D803" s="9" t="s">
        <v>14</v>
      </c>
      <c r="E803" s="8" t="s">
        <v>2166</v>
      </c>
      <c r="F803" s="8" t="s">
        <v>2167</v>
      </c>
      <c r="G803" s="8">
        <v>500</v>
      </c>
    </row>
    <row r="804" spans="1:7" x14ac:dyDescent="0.15">
      <c r="A804" s="8" t="s">
        <v>2168</v>
      </c>
      <c r="B804" s="8" t="s">
        <v>2144</v>
      </c>
      <c r="C804" s="8" t="str">
        <f t="shared" si="12"/>
        <v>reproductive</v>
      </c>
      <c r="D804" s="9" t="s">
        <v>14</v>
      </c>
      <c r="E804" s="8" t="s">
        <v>2169</v>
      </c>
      <c r="F804" s="8" t="s">
        <v>2170</v>
      </c>
      <c r="G804" s="8">
        <v>500</v>
      </c>
    </row>
    <row r="805" spans="1:7" x14ac:dyDescent="0.15">
      <c r="A805" s="8" t="s">
        <v>2171</v>
      </c>
      <c r="B805" s="8" t="s">
        <v>2144</v>
      </c>
      <c r="C805" s="8" t="str">
        <f t="shared" si="12"/>
        <v>respiratory</v>
      </c>
      <c r="D805" s="9" t="s">
        <v>14</v>
      </c>
      <c r="E805" s="8" t="s">
        <v>2172</v>
      </c>
      <c r="F805" s="8" t="s">
        <v>2173</v>
      </c>
      <c r="G805" s="8">
        <v>500</v>
      </c>
    </row>
    <row r="806" spans="1:7" x14ac:dyDescent="0.15">
      <c r="A806" s="8" t="s">
        <v>2174</v>
      </c>
      <c r="B806" s="8" t="s">
        <v>2144</v>
      </c>
      <c r="C806" s="8" t="str">
        <f t="shared" si="12"/>
        <v>skeletal</v>
      </c>
      <c r="D806" s="9" t="s">
        <v>14</v>
      </c>
      <c r="E806" s="8" t="s">
        <v>2175</v>
      </c>
      <c r="F806" s="8" t="s">
        <v>2176</v>
      </c>
      <c r="G806" s="8">
        <v>500</v>
      </c>
    </row>
    <row r="807" spans="1:7" x14ac:dyDescent="0.15">
      <c r="A807" s="8" t="s">
        <v>2177</v>
      </c>
      <c r="B807" s="8" t="s">
        <v>2144</v>
      </c>
      <c r="C807" s="8" t="str">
        <f t="shared" si="12"/>
        <v>urinary</v>
      </c>
      <c r="D807" s="9" t="s">
        <v>14</v>
      </c>
      <c r="E807" s="8" t="s">
        <v>2178</v>
      </c>
      <c r="F807" s="8" t="s">
        <v>2179</v>
      </c>
      <c r="G807" s="8">
        <v>500</v>
      </c>
    </row>
    <row r="808" spans="1:7" x14ac:dyDescent="0.15">
      <c r="A808" s="8" t="s">
        <v>2180</v>
      </c>
      <c r="B808" s="8" t="s">
        <v>153</v>
      </c>
      <c r="C808" s="8" t="str">
        <f t="shared" si="12"/>
        <v>intervalcardio</v>
      </c>
      <c r="D808" s="9" t="s">
        <v>14</v>
      </c>
      <c r="E808" s="8" t="s">
        <v>2181</v>
      </c>
      <c r="F808" s="8" t="s">
        <v>2182</v>
      </c>
      <c r="G808" s="8">
        <v>500</v>
      </c>
    </row>
    <row r="809" spans="1:7" x14ac:dyDescent="0.15">
      <c r="A809" s="8" t="s">
        <v>2183</v>
      </c>
      <c r="B809" s="8" t="s">
        <v>153</v>
      </c>
      <c r="C809" s="8" t="str">
        <f t="shared" si="12"/>
        <v>steadycardio</v>
      </c>
      <c r="D809" s="9" t="s">
        <v>14</v>
      </c>
      <c r="E809" s="8" t="s">
        <v>2755</v>
      </c>
      <c r="F809" s="8" t="s">
        <v>2184</v>
      </c>
      <c r="G809" s="8">
        <v>500</v>
      </c>
    </row>
    <row r="810" spans="1:7" x14ac:dyDescent="0.15">
      <c r="A810" s="8" t="s">
        <v>2185</v>
      </c>
      <c r="B810" s="8" t="s">
        <v>153</v>
      </c>
      <c r="C810" s="8" t="str">
        <f t="shared" si="12"/>
        <v>strength</v>
      </c>
      <c r="D810" s="9" t="s">
        <v>14</v>
      </c>
      <c r="E810" s="8" t="s">
        <v>2186</v>
      </c>
      <c r="F810" s="8" t="s">
        <v>2187</v>
      </c>
      <c r="G810" s="8">
        <v>500</v>
      </c>
    </row>
    <row r="811" spans="1:7" x14ac:dyDescent="0.15">
      <c r="A811" s="8" t="s">
        <v>2756</v>
      </c>
      <c r="B811" s="8" t="s">
        <v>153</v>
      </c>
      <c r="C811" s="8" t="str">
        <f t="shared" si="12"/>
        <v>hiit</v>
      </c>
      <c r="D811" s="9" t="s">
        <v>14</v>
      </c>
      <c r="E811" s="8" t="s">
        <v>2757</v>
      </c>
      <c r="F811" s="8" t="s">
        <v>2758</v>
      </c>
      <c r="G811" s="8">
        <v>500</v>
      </c>
    </row>
    <row r="812" spans="1:7" x14ac:dyDescent="0.15">
      <c r="A812" s="8" t="s">
        <v>2188</v>
      </c>
      <c r="B812" s="8" t="s">
        <v>155</v>
      </c>
      <c r="C812" s="8" t="str">
        <f t="shared" si="12"/>
        <v>argc</v>
      </c>
      <c r="D812" s="9" t="s">
        <v>14</v>
      </c>
      <c r="E812" s="8" t="s">
        <v>2189</v>
      </c>
      <c r="F812" s="8" t="s">
        <v>2190</v>
      </c>
      <c r="G812" s="8">
        <v>500</v>
      </c>
    </row>
    <row r="813" spans="1:7" x14ac:dyDescent="0.15">
      <c r="A813" s="8" t="s">
        <v>2191</v>
      </c>
      <c r="B813" s="8" t="s">
        <v>155</v>
      </c>
      <c r="C813" s="8" t="str">
        <f t="shared" si="12"/>
        <v>aspn</v>
      </c>
      <c r="D813" s="9" t="s">
        <v>14</v>
      </c>
      <c r="E813" s="8" t="s">
        <v>2192</v>
      </c>
      <c r="F813" s="8" t="s">
        <v>2193</v>
      </c>
      <c r="G813" s="8">
        <v>500</v>
      </c>
    </row>
    <row r="814" spans="1:7" x14ac:dyDescent="0.15">
      <c r="A814" s="8" t="s">
        <v>2194</v>
      </c>
      <c r="B814" s="8" t="s">
        <v>155</v>
      </c>
      <c r="C814" s="8" t="str">
        <f t="shared" si="12"/>
        <v>chymotrypsin</v>
      </c>
      <c r="D814" s="9" t="s">
        <v>14</v>
      </c>
      <c r="E814" s="8" t="s">
        <v>2195</v>
      </c>
      <c r="F814" s="8" t="s">
        <v>2196</v>
      </c>
      <c r="G814" s="8">
        <v>500</v>
      </c>
    </row>
    <row r="815" spans="1:7" x14ac:dyDescent="0.15">
      <c r="A815" s="8" t="s">
        <v>2197</v>
      </c>
      <c r="B815" s="8" t="s">
        <v>155</v>
      </c>
      <c r="C815" s="8" t="str">
        <f t="shared" si="12"/>
        <v>elastase</v>
      </c>
      <c r="D815" s="9" t="s">
        <v>14</v>
      </c>
      <c r="E815" s="8" t="s">
        <v>2198</v>
      </c>
      <c r="F815" s="8" t="s">
        <v>2199</v>
      </c>
      <c r="G815" s="8">
        <v>500</v>
      </c>
    </row>
    <row r="816" spans="1:7" x14ac:dyDescent="0.15">
      <c r="A816" s="8" t="s">
        <v>2200</v>
      </c>
      <c r="B816" s="8" t="s">
        <v>155</v>
      </c>
      <c r="C816" s="8" t="str">
        <f t="shared" si="12"/>
        <v>gluc</v>
      </c>
      <c r="D816" s="9" t="s">
        <v>14</v>
      </c>
      <c r="E816" s="8" t="s">
        <v>2201</v>
      </c>
      <c r="F816" s="8" t="s">
        <v>2202</v>
      </c>
      <c r="G816" s="8">
        <v>500</v>
      </c>
    </row>
    <row r="817" spans="1:7" x14ac:dyDescent="0.15">
      <c r="A817" s="8" t="s">
        <v>2203</v>
      </c>
      <c r="B817" s="8" t="s">
        <v>155</v>
      </c>
      <c r="C817" s="8" t="str">
        <f t="shared" si="12"/>
        <v>lysc</v>
      </c>
      <c r="D817" s="9" t="s">
        <v>14</v>
      </c>
      <c r="E817" s="8" t="s">
        <v>2204</v>
      </c>
      <c r="F817" s="8" t="s">
        <v>2205</v>
      </c>
      <c r="G817" s="8">
        <v>500</v>
      </c>
    </row>
    <row r="818" spans="1:7" x14ac:dyDescent="0.15">
      <c r="A818" s="8" t="s">
        <v>2206</v>
      </c>
      <c r="B818" s="8" t="s">
        <v>155</v>
      </c>
      <c r="C818" s="8" t="str">
        <f t="shared" si="12"/>
        <v>raspn</v>
      </c>
      <c r="D818" s="9" t="s">
        <v>14</v>
      </c>
      <c r="E818" s="8" t="s">
        <v>2207</v>
      </c>
      <c r="F818" s="8" t="s">
        <v>2208</v>
      </c>
      <c r="G818" s="8">
        <v>500</v>
      </c>
    </row>
    <row r="819" spans="1:7" x14ac:dyDescent="0.15">
      <c r="A819" s="8" t="s">
        <v>2209</v>
      </c>
      <c r="B819" s="8" t="s">
        <v>155</v>
      </c>
      <c r="C819" s="8" t="str">
        <f t="shared" si="12"/>
        <v>trypsin</v>
      </c>
      <c r="D819" s="9" t="s">
        <v>14</v>
      </c>
      <c r="E819" s="8" t="s">
        <v>2210</v>
      </c>
      <c r="F819" s="8" t="s">
        <v>2211</v>
      </c>
      <c r="G819" s="8">
        <v>500</v>
      </c>
    </row>
    <row r="820" spans="1:7" x14ac:dyDescent="0.15">
      <c r="A820" s="8" t="s">
        <v>2759</v>
      </c>
      <c r="B820" s="8" t="s">
        <v>157</v>
      </c>
      <c r="C820" s="8" t="str">
        <f t="shared" si="12"/>
        <v>apex</v>
      </c>
      <c r="D820" s="9" t="s">
        <v>14</v>
      </c>
      <c r="E820" s="8" t="s">
        <v>2760</v>
      </c>
      <c r="F820" s="8" t="s">
        <v>2761</v>
      </c>
      <c r="G820" s="8">
        <v>500</v>
      </c>
    </row>
    <row r="821" spans="1:7" x14ac:dyDescent="0.15">
      <c r="A821" s="8" t="s">
        <v>2762</v>
      </c>
      <c r="B821" s="8" t="s">
        <v>157</v>
      </c>
      <c r="C821" s="8" t="str">
        <f t="shared" si="12"/>
        <v>bioid</v>
      </c>
      <c r="D821" s="9" t="s">
        <v>14</v>
      </c>
      <c r="E821" s="8" t="s">
        <v>2763</v>
      </c>
      <c r="F821" s="8" t="s">
        <v>2764</v>
      </c>
      <c r="G821" s="8">
        <v>500</v>
      </c>
    </row>
    <row r="822" spans="1:7" x14ac:dyDescent="0.15">
      <c r="A822" s="8" t="s">
        <v>2765</v>
      </c>
      <c r="B822" s="8" t="s">
        <v>157</v>
      </c>
      <c r="C822" s="8" t="str">
        <f t="shared" si="12"/>
        <v>turboid</v>
      </c>
      <c r="D822" s="9" t="s">
        <v>14</v>
      </c>
      <c r="E822" s="8" t="s">
        <v>2766</v>
      </c>
      <c r="F822" s="8" t="s">
        <v>2767</v>
      </c>
      <c r="G822" s="8">
        <v>500</v>
      </c>
    </row>
    <row r="823" spans="1:7" x14ac:dyDescent="0.15">
      <c r="A823" s="8" t="s">
        <v>1201</v>
      </c>
      <c r="B823" s="8" t="s">
        <v>157</v>
      </c>
      <c r="C823" s="8" t="str">
        <f t="shared" si="12"/>
        <v>deletion</v>
      </c>
      <c r="D823" s="9" t="s">
        <v>14</v>
      </c>
      <c r="E823" s="8" t="s">
        <v>2212</v>
      </c>
      <c r="F823" s="8" t="s">
        <v>2213</v>
      </c>
      <c r="G823" s="8">
        <v>500</v>
      </c>
    </row>
    <row r="824" spans="1:7" x14ac:dyDescent="0.15">
      <c r="A824" s="8" t="s">
        <v>2214</v>
      </c>
      <c r="B824" s="8" t="s">
        <v>157</v>
      </c>
      <c r="C824" s="8" t="str">
        <f t="shared" si="12"/>
        <v>flag</v>
      </c>
      <c r="D824" s="9" t="s">
        <v>14</v>
      </c>
      <c r="E824" s="8" t="s">
        <v>2215</v>
      </c>
      <c r="F824" s="8" t="s">
        <v>2216</v>
      </c>
      <c r="G824" s="8">
        <v>500</v>
      </c>
    </row>
    <row r="825" spans="1:7" x14ac:dyDescent="0.15">
      <c r="A825" s="8" t="s">
        <v>2217</v>
      </c>
      <c r="B825" s="8" t="s">
        <v>157</v>
      </c>
      <c r="C825" s="8" t="str">
        <f t="shared" si="12"/>
        <v>frameshift</v>
      </c>
      <c r="D825" s="9" t="s">
        <v>14</v>
      </c>
      <c r="E825" s="8" t="s">
        <v>2218</v>
      </c>
      <c r="F825" s="8" t="s">
        <v>2219</v>
      </c>
      <c r="G825" s="8">
        <v>500</v>
      </c>
    </row>
    <row r="826" spans="1:7" x14ac:dyDescent="0.15">
      <c r="A826" s="8" t="s">
        <v>2220</v>
      </c>
      <c r="B826" s="8" t="s">
        <v>157</v>
      </c>
      <c r="C826" s="8" t="str">
        <f t="shared" si="12"/>
        <v>gfp</v>
      </c>
      <c r="D826" s="9" t="s">
        <v>14</v>
      </c>
      <c r="E826" s="8" t="s">
        <v>2221</v>
      </c>
      <c r="F826" s="8" t="s">
        <v>2222</v>
      </c>
      <c r="G826" s="8">
        <v>500</v>
      </c>
    </row>
    <row r="827" spans="1:7" x14ac:dyDescent="0.15">
      <c r="A827" s="8" t="s">
        <v>2223</v>
      </c>
      <c r="B827" s="8" t="s">
        <v>157</v>
      </c>
      <c r="C827" s="8" t="str">
        <f t="shared" si="12"/>
        <v>ha</v>
      </c>
      <c r="D827" s="9" t="s">
        <v>14</v>
      </c>
      <c r="E827" s="8" t="s">
        <v>2224</v>
      </c>
      <c r="F827" s="8" t="s">
        <v>2225</v>
      </c>
      <c r="G827" s="8">
        <v>500</v>
      </c>
    </row>
    <row r="828" spans="1:7" x14ac:dyDescent="0.15">
      <c r="A828" s="8" t="s">
        <v>2226</v>
      </c>
      <c r="B828" s="8" t="s">
        <v>157</v>
      </c>
      <c r="C828" s="8" t="str">
        <f t="shared" si="12"/>
        <v>his</v>
      </c>
      <c r="D828" s="9" t="s">
        <v>14</v>
      </c>
      <c r="E828" s="8" t="s">
        <v>2227</v>
      </c>
      <c r="F828" s="8" t="s">
        <v>2228</v>
      </c>
      <c r="G828" s="8">
        <v>500</v>
      </c>
    </row>
    <row r="829" spans="1:7" x14ac:dyDescent="0.15">
      <c r="A829" s="8" t="s">
        <v>2229</v>
      </c>
      <c r="B829" s="8" t="s">
        <v>157</v>
      </c>
      <c r="C829" s="8" t="str">
        <f t="shared" si="12"/>
        <v>insertion</v>
      </c>
      <c r="D829" s="9" t="s">
        <v>14</v>
      </c>
      <c r="E829" s="8" t="s">
        <v>2230</v>
      </c>
      <c r="F829" s="8" t="s">
        <v>2231</v>
      </c>
      <c r="G829" s="8">
        <v>500</v>
      </c>
    </row>
    <row r="830" spans="1:7" x14ac:dyDescent="0.15">
      <c r="A830" s="8" t="s">
        <v>2232</v>
      </c>
      <c r="B830" s="8" t="s">
        <v>157</v>
      </c>
      <c r="C830" s="8" t="str">
        <f t="shared" si="12"/>
        <v>myc</v>
      </c>
      <c r="D830" s="9" t="s">
        <v>14</v>
      </c>
      <c r="E830" s="8" t="s">
        <v>2233</v>
      </c>
      <c r="F830" s="8" t="s">
        <v>2234</v>
      </c>
      <c r="G830" s="8">
        <v>500</v>
      </c>
    </row>
    <row r="831" spans="1:7" x14ac:dyDescent="0.15">
      <c r="A831" s="8" t="s">
        <v>2235</v>
      </c>
      <c r="B831" s="8" t="s">
        <v>157</v>
      </c>
      <c r="C831" s="8" t="str">
        <f t="shared" si="12"/>
        <v>pep86</v>
      </c>
      <c r="D831" s="9" t="s">
        <v>14</v>
      </c>
      <c r="E831" s="8" t="s">
        <v>2731</v>
      </c>
      <c r="F831" s="8" t="s">
        <v>2236</v>
      </c>
      <c r="G831" s="8">
        <v>500</v>
      </c>
    </row>
    <row r="832" spans="1:7" x14ac:dyDescent="0.15">
      <c r="A832" s="8" t="s">
        <v>2237</v>
      </c>
      <c r="B832" s="8" t="s">
        <v>157</v>
      </c>
      <c r="C832" s="8" t="str">
        <f t="shared" si="12"/>
        <v>substitution</v>
      </c>
      <c r="D832" s="9" t="s">
        <v>14</v>
      </c>
      <c r="E832" s="8" t="s">
        <v>2238</v>
      </c>
      <c r="F832" s="8" t="s">
        <v>2239</v>
      </c>
      <c r="G832" s="8">
        <v>500</v>
      </c>
    </row>
    <row r="833" spans="1:1008" x14ac:dyDescent="0.15">
      <c r="A833" s="8" t="s">
        <v>2240</v>
      </c>
      <c r="B833" s="8" t="s">
        <v>157</v>
      </c>
      <c r="C833" s="8" t="str">
        <f t="shared" si="12"/>
        <v>truncation</v>
      </c>
      <c r="D833" s="9" t="s">
        <v>14</v>
      </c>
      <c r="E833" s="8" t="s">
        <v>2241</v>
      </c>
      <c r="F833" s="8" t="s">
        <v>2242</v>
      </c>
      <c r="G833" s="8">
        <v>500</v>
      </c>
    </row>
    <row r="834" spans="1:1008" x14ac:dyDescent="0.15">
      <c r="A834" s="8" t="s">
        <v>274</v>
      </c>
      <c r="B834" s="8" t="s">
        <v>157</v>
      </c>
      <c r="C834" s="8" t="str">
        <f t="shared" si="12"/>
        <v>none</v>
      </c>
      <c r="D834" s="9" t="s">
        <v>14</v>
      </c>
      <c r="E834" s="8" t="s">
        <v>1799</v>
      </c>
      <c r="F834" s="8" t="s">
        <v>2732</v>
      </c>
      <c r="G834" s="8">
        <v>500</v>
      </c>
    </row>
    <row r="835" spans="1:1008" x14ac:dyDescent="0.15">
      <c r="A835" s="8" t="s">
        <v>2243</v>
      </c>
      <c r="B835" s="8" t="s">
        <v>159</v>
      </c>
      <c r="C835" s="8" t="str">
        <f t="shared" si="12"/>
        <v>aa</v>
      </c>
      <c r="D835" s="9" t="s">
        <v>14</v>
      </c>
      <c r="E835" s="8" t="s">
        <v>2244</v>
      </c>
      <c r="F835" s="8" t="s">
        <v>2245</v>
      </c>
      <c r="G835" s="8">
        <v>500</v>
      </c>
    </row>
    <row r="836" spans="1:1008" x14ac:dyDescent="0.15">
      <c r="A836" s="8" t="s">
        <v>2246</v>
      </c>
      <c r="B836" s="8" t="s">
        <v>159</v>
      </c>
      <c r="C836" s="8" t="str">
        <f t="shared" si="12"/>
        <v>cterm</v>
      </c>
      <c r="D836" s="9" t="s">
        <v>14</v>
      </c>
      <c r="E836" s="8" t="s">
        <v>2247</v>
      </c>
      <c r="F836" s="8" t="s">
        <v>2248</v>
      </c>
      <c r="G836" s="8">
        <v>500</v>
      </c>
    </row>
    <row r="837" spans="1:1008" x14ac:dyDescent="0.15">
      <c r="A837" s="8" t="s">
        <v>2249</v>
      </c>
      <c r="B837" s="8" t="s">
        <v>159</v>
      </c>
      <c r="C837" s="8" t="str">
        <f t="shared" si="12"/>
        <v>nterm</v>
      </c>
      <c r="D837" s="9" t="s">
        <v>14</v>
      </c>
      <c r="E837" s="8" t="s">
        <v>2250</v>
      </c>
      <c r="F837" s="8" t="s">
        <v>2251</v>
      </c>
      <c r="G837" s="8">
        <v>500</v>
      </c>
    </row>
    <row r="838" spans="1:1008" x14ac:dyDescent="0.15">
      <c r="A838" s="8" t="s">
        <v>2252</v>
      </c>
      <c r="B838" s="8" t="s">
        <v>159</v>
      </c>
      <c r="C838" s="8" t="str">
        <f t="shared" si="12"/>
        <v>region</v>
      </c>
      <c r="D838" s="9" t="s">
        <v>14</v>
      </c>
      <c r="E838" s="8" t="s">
        <v>2253</v>
      </c>
      <c r="F838" s="8" t="s">
        <v>2254</v>
      </c>
      <c r="G838" s="8">
        <v>500</v>
      </c>
      <c r="H838"/>
      <c r="I838"/>
      <c r="J838"/>
      <c r="K838"/>
      <c r="L838"/>
      <c r="M838"/>
      <c r="N838"/>
      <c r="O838"/>
      <c r="P838"/>
      <c r="Q838"/>
      <c r="R838"/>
      <c r="S838"/>
      <c r="T838"/>
      <c r="U838"/>
      <c r="V838"/>
      <c r="W838"/>
      <c r="X838"/>
      <c r="Y838"/>
      <c r="Z838"/>
      <c r="AA838"/>
      <c r="AB838"/>
      <c r="AC838"/>
      <c r="AD838"/>
      <c r="AE838"/>
      <c r="AF838"/>
      <c r="AG838"/>
      <c r="AH838"/>
      <c r="AI838"/>
      <c r="AJ838"/>
      <c r="AK838"/>
      <c r="AL838"/>
      <c r="AM838"/>
      <c r="AN838"/>
      <c r="AO838"/>
      <c r="AP838"/>
      <c r="AQ838"/>
      <c r="AR838"/>
      <c r="AS838"/>
      <c r="AT838"/>
      <c r="AU838"/>
      <c r="AV838"/>
      <c r="AW838"/>
      <c r="AX838"/>
      <c r="AY838"/>
      <c r="AZ838"/>
      <c r="BA838"/>
      <c r="BB838"/>
      <c r="BC838"/>
      <c r="BD838"/>
      <c r="BE838"/>
      <c r="BF838"/>
      <c r="BG838"/>
      <c r="BH838"/>
      <c r="BI838"/>
      <c r="BJ838"/>
      <c r="BK838"/>
      <c r="BL838"/>
      <c r="BM838"/>
      <c r="BN838"/>
      <c r="BO838"/>
      <c r="BP838"/>
      <c r="BQ838"/>
      <c r="BR838"/>
      <c r="BS838"/>
      <c r="BT838"/>
      <c r="BU838"/>
      <c r="BV838"/>
      <c r="BW838"/>
      <c r="BX838"/>
      <c r="BY838"/>
      <c r="BZ838"/>
      <c r="CA838"/>
      <c r="CB838"/>
      <c r="CC838"/>
      <c r="CD838"/>
      <c r="CE838"/>
      <c r="CF838"/>
      <c r="CG838"/>
      <c r="CH838"/>
      <c r="CI838"/>
      <c r="CJ838"/>
      <c r="CK838"/>
      <c r="CL838"/>
      <c r="CM838"/>
      <c r="CN838"/>
      <c r="CO838"/>
      <c r="CP838"/>
      <c r="CQ838"/>
      <c r="CR838"/>
      <c r="CS838"/>
      <c r="CT838"/>
      <c r="CU838"/>
      <c r="CV838"/>
      <c r="CW838"/>
      <c r="CX838"/>
      <c r="CY838"/>
      <c r="CZ838"/>
      <c r="DA838"/>
      <c r="DB838"/>
      <c r="DC838"/>
      <c r="DD838"/>
      <c r="DE838"/>
      <c r="DF838"/>
      <c r="DG838"/>
      <c r="DH838"/>
      <c r="DI838"/>
      <c r="DJ838"/>
      <c r="DK838"/>
      <c r="DL838"/>
      <c r="DM838"/>
      <c r="DN838"/>
      <c r="DO838"/>
      <c r="DP838"/>
      <c r="DQ838"/>
      <c r="DR838"/>
      <c r="DS838"/>
      <c r="DT838"/>
      <c r="DU838"/>
      <c r="DV838"/>
      <c r="DW838"/>
      <c r="DX838"/>
      <c r="DY838"/>
      <c r="DZ838"/>
      <c r="EA838"/>
      <c r="EB838"/>
      <c r="EC838"/>
      <c r="ED838"/>
      <c r="EE838"/>
      <c r="EF838"/>
      <c r="EG838"/>
      <c r="EH838"/>
      <c r="EI838"/>
      <c r="EJ838"/>
      <c r="EK838"/>
      <c r="EL838"/>
      <c r="EM838"/>
      <c r="EN838"/>
      <c r="EO838"/>
      <c r="EP838"/>
      <c r="EQ838"/>
      <c r="ER838"/>
      <c r="ES838"/>
      <c r="ET838"/>
      <c r="EU838"/>
      <c r="EV838"/>
      <c r="EW838"/>
      <c r="EX838"/>
      <c r="EY838"/>
      <c r="EZ838"/>
      <c r="FA838"/>
      <c r="FB838"/>
      <c r="FC838"/>
      <c r="FD838"/>
      <c r="FE838"/>
      <c r="FF838"/>
      <c r="FG838"/>
      <c r="FH838"/>
      <c r="FI838"/>
      <c r="FJ838"/>
      <c r="FK838"/>
      <c r="FL838"/>
      <c r="FM838"/>
      <c r="FN838"/>
      <c r="FO838"/>
      <c r="FP838"/>
      <c r="FQ838"/>
      <c r="FR838"/>
      <c r="FS838"/>
      <c r="FT838"/>
      <c r="FU838"/>
      <c r="FV838"/>
      <c r="FW838"/>
      <c r="FX838"/>
      <c r="FY838"/>
      <c r="FZ838"/>
      <c r="GA838"/>
      <c r="GB838"/>
      <c r="GC838"/>
      <c r="GD838"/>
      <c r="GE838"/>
      <c r="GF838"/>
      <c r="GG838"/>
      <c r="GH838"/>
      <c r="GI838"/>
      <c r="GJ838"/>
      <c r="GK838"/>
      <c r="GL838"/>
      <c r="GM838"/>
      <c r="GN838"/>
      <c r="GO838"/>
      <c r="GP838"/>
      <c r="GQ838"/>
      <c r="GR838"/>
      <c r="GS838"/>
      <c r="GT838"/>
      <c r="GU838"/>
      <c r="GV838"/>
      <c r="GW838"/>
      <c r="GX838"/>
      <c r="GY838"/>
      <c r="GZ838"/>
      <c r="HA838"/>
      <c r="HB838"/>
      <c r="HC838"/>
      <c r="HD838"/>
      <c r="HE838"/>
      <c r="HF838"/>
      <c r="HG838"/>
      <c r="HH838"/>
      <c r="HI838"/>
      <c r="HJ838"/>
      <c r="HK838"/>
      <c r="HL838"/>
      <c r="HM838"/>
      <c r="HN838"/>
      <c r="HO838"/>
      <c r="HP838"/>
      <c r="HQ838"/>
      <c r="HR838"/>
      <c r="HS838"/>
      <c r="HT838"/>
      <c r="HU838"/>
      <c r="HV838"/>
      <c r="HW838"/>
      <c r="HX838"/>
      <c r="HY838"/>
      <c r="HZ838"/>
      <c r="IA838"/>
      <c r="IB838"/>
      <c r="IC838"/>
      <c r="ID838"/>
      <c r="IE838"/>
      <c r="IF838"/>
      <c r="IG838"/>
      <c r="IH838"/>
      <c r="II838"/>
      <c r="IJ838"/>
      <c r="IK838"/>
      <c r="IL838"/>
      <c r="IM838"/>
      <c r="IN838"/>
      <c r="IO838"/>
      <c r="IP838"/>
      <c r="IQ838"/>
      <c r="IR838"/>
      <c r="IS838"/>
      <c r="IT838"/>
      <c r="IU838"/>
      <c r="IV838"/>
      <c r="IW838"/>
      <c r="IX838"/>
      <c r="IY838"/>
      <c r="IZ838"/>
      <c r="JA838"/>
      <c r="JB838"/>
      <c r="JC838"/>
      <c r="JD838"/>
      <c r="JE838"/>
      <c r="JF838"/>
      <c r="JG838"/>
      <c r="JH838"/>
      <c r="JI838"/>
      <c r="JJ838"/>
      <c r="JK838"/>
      <c r="JL838"/>
      <c r="JM838"/>
      <c r="JN838"/>
      <c r="JO838"/>
      <c r="JP838"/>
      <c r="JQ838"/>
      <c r="JR838"/>
      <c r="JS838"/>
      <c r="JT838"/>
      <c r="JU838"/>
      <c r="JV838"/>
      <c r="JW838"/>
      <c r="JX838"/>
      <c r="JY838"/>
      <c r="JZ838"/>
      <c r="KA838"/>
      <c r="KB838"/>
      <c r="KC838"/>
      <c r="KD838"/>
      <c r="KE838"/>
      <c r="KF838"/>
      <c r="KG838"/>
      <c r="KH838"/>
      <c r="KI838"/>
      <c r="KJ838"/>
      <c r="KK838"/>
      <c r="KL838"/>
      <c r="KM838"/>
      <c r="KN838"/>
      <c r="KO838"/>
      <c r="KP838"/>
      <c r="KQ838"/>
      <c r="KR838"/>
      <c r="KS838"/>
      <c r="KT838"/>
      <c r="KU838"/>
      <c r="KV838"/>
      <c r="KW838"/>
      <c r="KX838"/>
      <c r="KY838"/>
      <c r="KZ838"/>
      <c r="LA838"/>
      <c r="LB838"/>
      <c r="LC838"/>
      <c r="LD838"/>
      <c r="LE838"/>
      <c r="LF838"/>
      <c r="LG838"/>
      <c r="LH838"/>
      <c r="LI838"/>
      <c r="LJ838"/>
      <c r="LK838"/>
      <c r="LL838"/>
      <c r="LM838"/>
      <c r="LN838"/>
      <c r="LO838"/>
      <c r="LP838"/>
      <c r="LQ838"/>
      <c r="LR838"/>
      <c r="LS838"/>
      <c r="LT838"/>
      <c r="LU838"/>
      <c r="LV838"/>
      <c r="LW838"/>
      <c r="LX838"/>
      <c r="LY838"/>
      <c r="LZ838"/>
      <c r="MA838"/>
      <c r="MB838"/>
      <c r="MC838"/>
      <c r="MD838"/>
      <c r="ME838"/>
      <c r="MF838"/>
      <c r="MG838"/>
      <c r="MH838"/>
      <c r="MI838"/>
      <c r="MJ838"/>
      <c r="MK838"/>
      <c r="ML838"/>
      <c r="MM838"/>
      <c r="MN838"/>
      <c r="MO838"/>
      <c r="MP838"/>
      <c r="MQ838"/>
      <c r="MR838"/>
      <c r="MS838"/>
      <c r="MT838"/>
      <c r="MU838"/>
      <c r="MV838"/>
      <c r="MW838"/>
      <c r="MX838"/>
      <c r="MY838"/>
      <c r="MZ838"/>
      <c r="NA838"/>
      <c r="NB838"/>
      <c r="NC838"/>
      <c r="ND838"/>
      <c r="NE838"/>
      <c r="NF838"/>
      <c r="NG838"/>
      <c r="NH838"/>
      <c r="NI838"/>
      <c r="NJ838"/>
      <c r="NK838"/>
      <c r="NL838"/>
      <c r="NM838"/>
      <c r="NN838"/>
      <c r="NO838"/>
      <c r="NP838"/>
      <c r="NQ838"/>
      <c r="NR838"/>
      <c r="NS838"/>
      <c r="NT838"/>
      <c r="NU838"/>
      <c r="NV838"/>
      <c r="NW838"/>
      <c r="NX838"/>
      <c r="NY838"/>
      <c r="NZ838"/>
      <c r="OA838"/>
      <c r="OB838"/>
      <c r="OC838"/>
      <c r="OD838"/>
      <c r="OE838"/>
      <c r="OF838"/>
      <c r="OG838"/>
      <c r="OH838"/>
      <c r="OI838"/>
      <c r="OJ838"/>
      <c r="OK838"/>
      <c r="OL838"/>
      <c r="OM838"/>
      <c r="ON838"/>
      <c r="OO838"/>
      <c r="OP838"/>
      <c r="OQ838"/>
      <c r="OR838"/>
      <c r="OS838"/>
      <c r="OT838"/>
      <c r="OU838"/>
      <c r="OV838"/>
      <c r="OW838"/>
      <c r="OX838"/>
      <c r="OY838"/>
      <c r="OZ838"/>
      <c r="PA838"/>
      <c r="PB838"/>
      <c r="PC838"/>
      <c r="PD838"/>
      <c r="PE838"/>
      <c r="PF838"/>
      <c r="PG838"/>
      <c r="PH838"/>
      <c r="PI838"/>
      <c r="PJ838"/>
      <c r="PK838"/>
      <c r="PL838"/>
      <c r="PM838"/>
      <c r="PN838"/>
      <c r="PO838"/>
      <c r="PP838"/>
      <c r="PQ838"/>
      <c r="PR838"/>
      <c r="PS838"/>
      <c r="PT838"/>
      <c r="PU838"/>
      <c r="PV838"/>
      <c r="PW838"/>
      <c r="PX838"/>
      <c r="PY838"/>
      <c r="PZ838"/>
      <c r="QA838"/>
      <c r="QB838"/>
      <c r="QC838"/>
      <c r="QD838"/>
      <c r="QE838"/>
      <c r="QF838"/>
      <c r="QG838"/>
      <c r="QH838"/>
      <c r="QI838"/>
      <c r="QJ838"/>
      <c r="QK838"/>
      <c r="QL838"/>
      <c r="QM838"/>
      <c r="QN838"/>
      <c r="QO838"/>
      <c r="QP838"/>
      <c r="QQ838"/>
      <c r="QR838"/>
      <c r="QS838"/>
      <c r="QT838"/>
      <c r="QU838"/>
      <c r="QV838"/>
      <c r="QW838"/>
      <c r="QX838"/>
      <c r="QY838"/>
      <c r="QZ838"/>
      <c r="RA838"/>
      <c r="RB838"/>
      <c r="RC838"/>
      <c r="RD838"/>
      <c r="RE838"/>
      <c r="RF838"/>
      <c r="RG838"/>
      <c r="RH838"/>
      <c r="RI838"/>
      <c r="RJ838"/>
      <c r="RK838"/>
      <c r="RL838"/>
      <c r="RM838"/>
      <c r="RN838"/>
      <c r="RO838"/>
      <c r="RP838"/>
      <c r="RQ838"/>
      <c r="RR838"/>
      <c r="RS838"/>
      <c r="RT838"/>
      <c r="RU838"/>
      <c r="RV838"/>
      <c r="RW838"/>
      <c r="RX838"/>
      <c r="RY838"/>
      <c r="RZ838"/>
      <c r="SA838"/>
      <c r="SB838"/>
      <c r="SC838"/>
      <c r="SD838"/>
      <c r="SE838"/>
      <c r="SF838"/>
      <c r="SG838"/>
      <c r="SH838"/>
      <c r="SI838"/>
      <c r="SJ838"/>
      <c r="SK838"/>
      <c r="SL838"/>
      <c r="SM838"/>
      <c r="SN838"/>
      <c r="SO838"/>
      <c r="SP838"/>
      <c r="SQ838"/>
      <c r="SR838"/>
      <c r="SS838"/>
      <c r="ST838"/>
      <c r="SU838"/>
      <c r="SV838"/>
      <c r="SW838"/>
      <c r="SX838"/>
      <c r="SY838"/>
      <c r="SZ838"/>
      <c r="TA838"/>
      <c r="TB838"/>
      <c r="TC838"/>
      <c r="TD838"/>
      <c r="TE838"/>
      <c r="TF838"/>
      <c r="TG838"/>
      <c r="TH838"/>
      <c r="TI838"/>
      <c r="TJ838"/>
      <c r="TK838"/>
      <c r="TL838"/>
      <c r="TM838"/>
      <c r="TN838"/>
      <c r="TO838"/>
      <c r="TP838"/>
      <c r="TQ838"/>
      <c r="TR838"/>
      <c r="TS838"/>
      <c r="TT838"/>
      <c r="TU838"/>
      <c r="TV838"/>
      <c r="TW838"/>
      <c r="TX838"/>
      <c r="TY838"/>
      <c r="TZ838"/>
      <c r="UA838"/>
      <c r="UB838"/>
      <c r="UC838"/>
      <c r="UD838"/>
      <c r="UE838"/>
      <c r="UF838"/>
      <c r="UG838"/>
      <c r="UH838"/>
      <c r="UI838"/>
      <c r="UJ838"/>
      <c r="UK838"/>
      <c r="UL838"/>
      <c r="UM838"/>
      <c r="UN838"/>
      <c r="UO838"/>
      <c r="UP838"/>
      <c r="UQ838"/>
      <c r="UR838"/>
      <c r="US838"/>
      <c r="UT838"/>
      <c r="UU838"/>
      <c r="UV838"/>
      <c r="UW838"/>
      <c r="UX838"/>
      <c r="UY838"/>
      <c r="UZ838"/>
      <c r="VA838"/>
      <c r="VB838"/>
      <c r="VC838"/>
      <c r="VD838"/>
      <c r="VE838"/>
      <c r="VF838"/>
      <c r="VG838"/>
      <c r="VH838"/>
      <c r="VI838"/>
      <c r="VJ838"/>
      <c r="VK838"/>
      <c r="VL838"/>
      <c r="VM838"/>
      <c r="VN838"/>
      <c r="VO838"/>
      <c r="VP838"/>
      <c r="VQ838"/>
      <c r="VR838"/>
      <c r="VS838"/>
      <c r="VT838"/>
      <c r="VU838"/>
      <c r="VV838"/>
      <c r="VW838"/>
      <c r="VX838"/>
      <c r="VY838"/>
      <c r="VZ838"/>
      <c r="WA838"/>
      <c r="WB838"/>
      <c r="WC838"/>
      <c r="WD838"/>
      <c r="WE838"/>
      <c r="WF838"/>
      <c r="WG838"/>
      <c r="WH838"/>
      <c r="WI838"/>
      <c r="WJ838"/>
      <c r="WK838"/>
      <c r="WL838"/>
      <c r="WM838"/>
      <c r="WN838"/>
      <c r="WO838"/>
      <c r="WP838"/>
      <c r="WQ838"/>
      <c r="WR838"/>
      <c r="WS838"/>
      <c r="WT838"/>
      <c r="WU838"/>
      <c r="WV838"/>
      <c r="WW838"/>
      <c r="WX838"/>
      <c r="WY838"/>
      <c r="WZ838"/>
      <c r="XA838"/>
      <c r="XB838"/>
      <c r="XC838"/>
      <c r="XD838"/>
      <c r="XE838"/>
      <c r="XF838"/>
      <c r="XG838"/>
      <c r="XH838"/>
      <c r="XI838"/>
      <c r="XJ838"/>
      <c r="XK838"/>
      <c r="XL838"/>
      <c r="XM838"/>
      <c r="XN838"/>
      <c r="XO838"/>
      <c r="XP838"/>
      <c r="XQ838"/>
      <c r="XR838"/>
      <c r="XS838"/>
      <c r="XT838"/>
      <c r="XU838"/>
      <c r="XV838"/>
      <c r="XW838"/>
      <c r="XX838"/>
      <c r="XY838"/>
      <c r="XZ838"/>
      <c r="YA838"/>
      <c r="YB838"/>
      <c r="YC838"/>
      <c r="YD838"/>
      <c r="YE838"/>
      <c r="YF838"/>
      <c r="YG838"/>
      <c r="YH838"/>
      <c r="YI838"/>
      <c r="YJ838"/>
      <c r="YK838"/>
      <c r="YL838"/>
      <c r="YM838"/>
      <c r="YN838"/>
      <c r="YO838"/>
      <c r="YP838"/>
      <c r="YQ838"/>
      <c r="YR838"/>
      <c r="YS838"/>
      <c r="YT838"/>
      <c r="YU838"/>
      <c r="YV838"/>
      <c r="YW838"/>
      <c r="YX838"/>
      <c r="YY838"/>
      <c r="YZ838"/>
      <c r="ZA838"/>
      <c r="ZB838"/>
      <c r="ZC838"/>
      <c r="ZD838"/>
      <c r="ZE838"/>
      <c r="ZF838"/>
      <c r="ZG838"/>
      <c r="ZH838"/>
      <c r="ZI838"/>
      <c r="ZJ838"/>
      <c r="ZK838"/>
      <c r="ZL838"/>
      <c r="ZM838"/>
      <c r="ZN838"/>
      <c r="ZO838"/>
      <c r="ZP838"/>
      <c r="ZQ838"/>
      <c r="ZR838"/>
      <c r="ZS838"/>
      <c r="ZT838"/>
      <c r="ZU838"/>
      <c r="ZV838"/>
      <c r="ZW838"/>
      <c r="ZX838"/>
      <c r="ZY838"/>
      <c r="ZZ838"/>
      <c r="AAA838"/>
      <c r="AAB838"/>
      <c r="AAC838"/>
      <c r="AAD838"/>
      <c r="AAE838"/>
      <c r="AAF838"/>
      <c r="AAG838"/>
      <c r="AAH838"/>
      <c r="AAI838"/>
      <c r="AAJ838"/>
      <c r="AAK838"/>
      <c r="AAL838"/>
      <c r="AAM838"/>
      <c r="AAN838"/>
      <c r="AAO838"/>
      <c r="AAP838"/>
      <c r="AAQ838"/>
      <c r="AAR838"/>
      <c r="AAS838"/>
      <c r="AAT838"/>
      <c r="AAU838"/>
      <c r="AAV838"/>
      <c r="AAW838"/>
      <c r="AAX838"/>
      <c r="AAY838"/>
      <c r="AAZ838"/>
      <c r="ABA838"/>
      <c r="ABB838"/>
      <c r="ABC838"/>
      <c r="ABD838"/>
      <c r="ABE838"/>
      <c r="ABF838"/>
      <c r="ABG838"/>
      <c r="ABH838"/>
      <c r="ABI838"/>
      <c r="ABJ838"/>
      <c r="ABK838"/>
      <c r="ABL838"/>
      <c r="ABM838"/>
      <c r="ABN838"/>
      <c r="ABO838"/>
      <c r="ABP838"/>
      <c r="ABQ838"/>
      <c r="ABR838"/>
      <c r="ABS838"/>
      <c r="ABT838"/>
      <c r="ABU838"/>
      <c r="ABV838"/>
      <c r="ABW838"/>
      <c r="ABX838"/>
      <c r="ABY838"/>
      <c r="ABZ838"/>
      <c r="ACA838"/>
      <c r="ACB838"/>
      <c r="ACC838"/>
      <c r="ACD838"/>
      <c r="ACE838"/>
      <c r="ACF838"/>
      <c r="ACG838"/>
      <c r="ACH838"/>
      <c r="ACI838"/>
      <c r="ACJ838"/>
      <c r="ACK838"/>
      <c r="ACL838"/>
      <c r="ACM838"/>
      <c r="ACN838"/>
      <c r="ACO838"/>
      <c r="ACP838"/>
      <c r="ACQ838"/>
      <c r="ACR838"/>
      <c r="ACS838"/>
      <c r="ACT838"/>
      <c r="ACU838"/>
      <c r="ACV838"/>
      <c r="ACW838"/>
      <c r="ACX838"/>
      <c r="ACY838"/>
      <c r="ACZ838"/>
      <c r="ADA838"/>
      <c r="ADB838"/>
      <c r="ADC838"/>
      <c r="ADD838"/>
      <c r="ADE838"/>
      <c r="ADF838"/>
      <c r="ADG838"/>
      <c r="ADH838"/>
      <c r="ADI838"/>
      <c r="ADJ838"/>
      <c r="ADK838"/>
      <c r="ADL838"/>
      <c r="ADM838"/>
      <c r="ADN838"/>
      <c r="ADO838"/>
      <c r="ADP838"/>
      <c r="ADQ838"/>
      <c r="ADR838"/>
      <c r="ADS838"/>
      <c r="ADT838"/>
      <c r="ADU838"/>
      <c r="ADV838"/>
      <c r="ADW838"/>
      <c r="ADX838"/>
      <c r="ADY838"/>
      <c r="ADZ838"/>
      <c r="AEA838"/>
      <c r="AEB838"/>
      <c r="AEC838"/>
      <c r="AED838"/>
      <c r="AEE838"/>
      <c r="AEF838"/>
      <c r="AEG838"/>
      <c r="AEH838"/>
      <c r="AEI838"/>
      <c r="AEJ838"/>
      <c r="AEK838"/>
      <c r="AEL838"/>
      <c r="AEM838"/>
      <c r="AEN838"/>
      <c r="AEO838"/>
      <c r="AEP838"/>
      <c r="AEQ838"/>
      <c r="AER838"/>
      <c r="AES838"/>
      <c r="AET838"/>
      <c r="AEU838"/>
      <c r="AEV838"/>
      <c r="AEW838"/>
      <c r="AEX838"/>
      <c r="AEY838"/>
      <c r="AEZ838"/>
      <c r="AFA838"/>
      <c r="AFB838"/>
      <c r="AFC838"/>
      <c r="AFD838"/>
      <c r="AFE838"/>
      <c r="AFF838"/>
      <c r="AFG838"/>
      <c r="AFH838"/>
      <c r="AFI838"/>
      <c r="AFJ838"/>
      <c r="AFK838"/>
      <c r="AFL838"/>
      <c r="AFM838"/>
      <c r="AFN838"/>
      <c r="AFO838"/>
      <c r="AFP838"/>
      <c r="AFQ838"/>
      <c r="AFR838"/>
      <c r="AFS838"/>
      <c r="AFT838"/>
      <c r="AFU838"/>
      <c r="AFV838"/>
      <c r="AFW838"/>
      <c r="AFX838"/>
      <c r="AFY838"/>
      <c r="AFZ838"/>
      <c r="AGA838"/>
      <c r="AGB838"/>
      <c r="AGC838"/>
      <c r="AGD838"/>
      <c r="AGE838"/>
      <c r="AGF838"/>
      <c r="AGG838"/>
      <c r="AGH838"/>
      <c r="AGI838"/>
      <c r="AGJ838"/>
      <c r="AGK838"/>
      <c r="AGL838"/>
      <c r="AGM838"/>
      <c r="AGN838"/>
      <c r="AGO838"/>
      <c r="AGP838"/>
      <c r="AGQ838"/>
      <c r="AGR838"/>
      <c r="AGS838"/>
      <c r="AGT838"/>
      <c r="AGU838"/>
      <c r="AGV838"/>
      <c r="AGW838"/>
      <c r="AGX838"/>
      <c r="AGY838"/>
      <c r="AGZ838"/>
      <c r="AHA838"/>
      <c r="AHB838"/>
      <c r="AHC838"/>
      <c r="AHD838"/>
      <c r="AHE838"/>
      <c r="AHF838"/>
      <c r="AHG838"/>
      <c r="AHH838"/>
      <c r="AHI838"/>
      <c r="AHJ838"/>
      <c r="AHK838"/>
      <c r="AHL838"/>
      <c r="AHM838"/>
      <c r="AHN838"/>
      <c r="AHO838"/>
      <c r="AHP838"/>
      <c r="AHQ838"/>
      <c r="AHR838"/>
      <c r="AHS838"/>
      <c r="AHT838"/>
      <c r="AHU838"/>
      <c r="AHV838"/>
      <c r="AHW838"/>
      <c r="AHX838"/>
      <c r="AHY838"/>
      <c r="AHZ838"/>
      <c r="AIA838"/>
      <c r="AIB838"/>
      <c r="AIC838"/>
      <c r="AID838"/>
      <c r="AIE838"/>
      <c r="AIF838"/>
      <c r="AIG838"/>
      <c r="AIH838"/>
      <c r="AII838"/>
      <c r="AIJ838"/>
      <c r="AIK838"/>
      <c r="AIL838"/>
      <c r="AIM838"/>
      <c r="AIN838"/>
      <c r="AIO838"/>
      <c r="AIP838"/>
      <c r="AIQ838"/>
      <c r="AIR838"/>
      <c r="AIS838"/>
      <c r="AIT838"/>
      <c r="AIU838"/>
      <c r="AIV838"/>
      <c r="AIW838"/>
      <c r="AIX838"/>
      <c r="AIY838"/>
      <c r="AIZ838"/>
      <c r="AJA838"/>
      <c r="AJB838"/>
      <c r="AJC838"/>
      <c r="AJD838"/>
      <c r="AJE838"/>
      <c r="AJF838"/>
      <c r="AJG838"/>
      <c r="AJH838"/>
      <c r="AJI838"/>
      <c r="AJJ838"/>
      <c r="AJK838"/>
      <c r="AJL838"/>
      <c r="AJM838"/>
      <c r="AJN838"/>
      <c r="AJO838"/>
      <c r="AJP838"/>
      <c r="AJQ838"/>
      <c r="AJR838"/>
      <c r="AJS838"/>
      <c r="AJT838"/>
      <c r="AJU838"/>
      <c r="AJV838"/>
      <c r="AJW838"/>
      <c r="AJX838"/>
      <c r="AJY838"/>
      <c r="AJZ838"/>
      <c r="AKA838"/>
      <c r="AKB838"/>
      <c r="AKC838"/>
      <c r="AKD838"/>
      <c r="AKE838"/>
      <c r="AKF838"/>
      <c r="AKG838"/>
      <c r="AKH838"/>
      <c r="AKI838"/>
      <c r="AKJ838"/>
      <c r="AKK838"/>
      <c r="AKL838"/>
      <c r="AKM838"/>
      <c r="AKN838"/>
      <c r="AKO838"/>
      <c r="AKP838"/>
      <c r="AKQ838"/>
      <c r="AKR838"/>
      <c r="AKS838"/>
      <c r="AKT838"/>
      <c r="AKU838"/>
      <c r="AKV838"/>
      <c r="AKW838"/>
      <c r="AKX838"/>
      <c r="AKY838"/>
      <c r="AKZ838"/>
      <c r="ALA838"/>
      <c r="ALB838"/>
      <c r="ALC838"/>
      <c r="ALD838"/>
      <c r="ALE838"/>
      <c r="ALF838"/>
      <c r="ALG838"/>
      <c r="ALH838"/>
      <c r="ALI838"/>
      <c r="ALJ838"/>
      <c r="ALK838"/>
      <c r="ALL838"/>
      <c r="ALM838"/>
      <c r="ALN838"/>
      <c r="ALO838"/>
      <c r="ALP838"/>
      <c r="ALQ838"/>
      <c r="ALR838"/>
      <c r="ALS838"/>
      <c r="ALT838"/>
    </row>
    <row r="839" spans="1:1008" x14ac:dyDescent="0.15">
      <c r="A839" s="8" t="s">
        <v>2884</v>
      </c>
      <c r="B839" s="8" t="s">
        <v>2882</v>
      </c>
      <c r="C839" s="8" t="str">
        <f t="shared" si="12"/>
        <v>antibody</v>
      </c>
      <c r="D839" s="9" t="s">
        <v>14</v>
      </c>
      <c r="E839" s="8" t="s">
        <v>2885</v>
      </c>
      <c r="F839" s="8" t="s">
        <v>2886</v>
      </c>
      <c r="G839" s="8">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x14ac:dyDescent="0.15">
      <c r="A840" s="8" t="s">
        <v>2887</v>
      </c>
      <c r="B840" s="8" t="s">
        <v>2882</v>
      </c>
      <c r="C840" s="8" t="str">
        <f t="shared" si="12"/>
        <v>metal</v>
      </c>
      <c r="D840" s="9" t="s">
        <v>14</v>
      </c>
      <c r="E840" s="8" t="s">
        <v>2888</v>
      </c>
      <c r="F840" s="8" t="s">
        <v>2889</v>
      </c>
      <c r="G840" s="8">
        <v>500</v>
      </c>
      <c r="H840"/>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x14ac:dyDescent="0.15">
      <c r="A841" s="8" t="s">
        <v>2892</v>
      </c>
      <c r="B841" s="8" t="s">
        <v>2882</v>
      </c>
      <c r="C841" s="8" t="str">
        <f t="shared" si="12"/>
        <v>ionchromatography</v>
      </c>
      <c r="D841" s="9" t="s">
        <v>14</v>
      </c>
      <c r="E841" s="8" t="s">
        <v>2890</v>
      </c>
      <c r="F841" s="8" t="s">
        <v>2891</v>
      </c>
      <c r="G841" s="8">
        <v>500</v>
      </c>
    </row>
    <row r="842" spans="1:1008" x14ac:dyDescent="0.15">
      <c r="A842" s="8" t="s">
        <v>2255</v>
      </c>
      <c r="B842" s="8" t="s">
        <v>160</v>
      </c>
      <c r="C842" s="8" t="str">
        <f t="shared" si="12"/>
        <v>directlfq</v>
      </c>
      <c r="D842" s="9" t="s">
        <v>14</v>
      </c>
      <c r="E842" s="8" t="s">
        <v>2256</v>
      </c>
      <c r="F842" s="9" t="s">
        <v>14</v>
      </c>
      <c r="G842" s="8">
        <v>500</v>
      </c>
    </row>
    <row r="843" spans="1:1008" x14ac:dyDescent="0.15">
      <c r="A843" s="8" t="s">
        <v>3948</v>
      </c>
      <c r="B843" s="8" t="s">
        <v>160</v>
      </c>
      <c r="C843" s="8" t="str">
        <f t="shared" si="12"/>
        <v>ibaq</v>
      </c>
      <c r="D843" s="9" t="s">
        <v>14</v>
      </c>
      <c r="E843" s="8" t="s">
        <v>3949</v>
      </c>
      <c r="F843" s="9" t="s">
        <v>3950</v>
      </c>
      <c r="G843" s="8">
        <v>500</v>
      </c>
    </row>
    <row r="844" spans="1:1008" x14ac:dyDescent="0.15">
      <c r="A844" s="8" t="s">
        <v>2257</v>
      </c>
      <c r="B844" s="8" t="s">
        <v>160</v>
      </c>
      <c r="C844" s="8" t="str">
        <f t="shared" ref="C844:C911" si="13">A844</f>
        <v>maxlfq</v>
      </c>
      <c r="D844" s="9" t="s">
        <v>14</v>
      </c>
      <c r="E844" s="8" t="s">
        <v>2258</v>
      </c>
      <c r="F844" s="9" t="s">
        <v>14</v>
      </c>
      <c r="G844" s="8">
        <v>500</v>
      </c>
    </row>
    <row r="845" spans="1:1008" x14ac:dyDescent="0.15">
      <c r="A845" s="8" t="s">
        <v>2259</v>
      </c>
      <c r="B845" s="8" t="s">
        <v>160</v>
      </c>
      <c r="C845" s="8" t="str">
        <f t="shared" si="13"/>
        <v>speccount</v>
      </c>
      <c r="D845" s="9" t="s">
        <v>14</v>
      </c>
      <c r="E845" s="8" t="s">
        <v>2260</v>
      </c>
      <c r="F845" s="9" t="s">
        <v>14</v>
      </c>
      <c r="G845" s="8">
        <v>500</v>
      </c>
    </row>
    <row r="846" spans="1:1008" x14ac:dyDescent="0.15">
      <c r="A846" s="8" t="s">
        <v>2261</v>
      </c>
      <c r="B846" s="8" t="s">
        <v>161</v>
      </c>
      <c r="C846" s="8" t="str">
        <f t="shared" si="13"/>
        <v>isobaric</v>
      </c>
      <c r="D846" s="9" t="s">
        <v>14</v>
      </c>
      <c r="E846" s="8" t="s">
        <v>2261</v>
      </c>
      <c r="F846" s="8" t="s">
        <v>2262</v>
      </c>
      <c r="G846" s="8">
        <v>500</v>
      </c>
    </row>
    <row r="847" spans="1:1008" x14ac:dyDescent="0.15">
      <c r="A847" s="8" t="s">
        <v>2263</v>
      </c>
      <c r="B847" s="8" t="s">
        <v>161</v>
      </c>
      <c r="C847" s="8" t="str">
        <f t="shared" si="13"/>
        <v>istopic</v>
      </c>
      <c r="D847" s="9" t="s">
        <v>14</v>
      </c>
      <c r="E847" s="8" t="s">
        <v>2263</v>
      </c>
      <c r="F847" s="8" t="s">
        <v>2264</v>
      </c>
      <c r="G847" s="8">
        <v>500</v>
      </c>
    </row>
    <row r="848" spans="1:1008" x14ac:dyDescent="0.15">
      <c r="A848" s="8" t="s">
        <v>2265</v>
      </c>
      <c r="B848" s="8" t="s">
        <v>161</v>
      </c>
      <c r="C848" s="8" t="str">
        <f t="shared" si="13"/>
        <v>label_free</v>
      </c>
      <c r="D848" s="9" t="s">
        <v>14</v>
      </c>
      <c r="E848" s="8" t="s">
        <v>2266</v>
      </c>
      <c r="F848" s="8" t="s">
        <v>2267</v>
      </c>
      <c r="G848" s="8">
        <v>500</v>
      </c>
    </row>
    <row r="849" spans="1:7" x14ac:dyDescent="0.15">
      <c r="A849" s="8" t="s">
        <v>2268</v>
      </c>
      <c r="B849" s="8" t="s">
        <v>161</v>
      </c>
      <c r="C849" s="8" t="str">
        <f t="shared" si="13"/>
        <v>silac</v>
      </c>
      <c r="D849" s="9" t="s">
        <v>14</v>
      </c>
      <c r="E849" s="8" t="s">
        <v>2268</v>
      </c>
      <c r="F849" s="8" t="s">
        <v>2269</v>
      </c>
      <c r="G849" s="8">
        <v>500</v>
      </c>
    </row>
    <row r="850" spans="1:7" x14ac:dyDescent="0.15">
      <c r="A850" s="8" t="s">
        <v>2270</v>
      </c>
      <c r="B850" s="8" t="s">
        <v>164</v>
      </c>
      <c r="C850" s="8" t="str">
        <f t="shared" si="13"/>
        <v>dtt</v>
      </c>
      <c r="D850" s="9" t="s">
        <v>14</v>
      </c>
      <c r="E850" s="8" t="s">
        <v>2271</v>
      </c>
      <c r="F850" s="8" t="s">
        <v>2272</v>
      </c>
      <c r="G850" s="8">
        <v>500</v>
      </c>
    </row>
    <row r="851" spans="1:7" x14ac:dyDescent="0.15">
      <c r="A851" s="8" t="s">
        <v>3169</v>
      </c>
      <c r="B851" s="8" t="s">
        <v>164</v>
      </c>
      <c r="C851" s="8" t="str">
        <f t="shared" si="13"/>
        <v>no_reduction</v>
      </c>
      <c r="D851" s="9" t="s">
        <v>14</v>
      </c>
      <c r="E851" s="8" t="s">
        <v>275</v>
      </c>
      <c r="F851" s="8" t="s">
        <v>2273</v>
      </c>
      <c r="G851" s="8">
        <v>500</v>
      </c>
    </row>
    <row r="852" spans="1:7" x14ac:dyDescent="0.15">
      <c r="A852" s="8" t="s">
        <v>2274</v>
      </c>
      <c r="B852" s="8" t="s">
        <v>164</v>
      </c>
      <c r="C852" s="8" t="str">
        <f t="shared" si="13"/>
        <v>tcep</v>
      </c>
      <c r="D852" s="9" t="s">
        <v>14</v>
      </c>
      <c r="E852" s="8" t="s">
        <v>2275</v>
      </c>
      <c r="F852" s="8" t="s">
        <v>2276</v>
      </c>
      <c r="G852" s="8">
        <v>500</v>
      </c>
    </row>
    <row r="853" spans="1:7" x14ac:dyDescent="0.15">
      <c r="A853" s="8" t="s">
        <v>1343</v>
      </c>
      <c r="B853" s="8" t="s">
        <v>2277</v>
      </c>
      <c r="C853" s="8" t="str">
        <f t="shared" si="13"/>
        <v>apoptosis</v>
      </c>
      <c r="D853" s="9" t="s">
        <v>14</v>
      </c>
      <c r="E853" s="8" t="s">
        <v>1344</v>
      </c>
      <c r="F853" s="8" t="s">
        <v>2278</v>
      </c>
      <c r="G853" s="8">
        <v>500</v>
      </c>
    </row>
    <row r="854" spans="1:7" x14ac:dyDescent="0.15">
      <c r="A854" s="8" t="s">
        <v>2279</v>
      </c>
      <c r="B854" s="8" t="s">
        <v>2277</v>
      </c>
      <c r="C854" s="8" t="str">
        <f t="shared" si="13"/>
        <v>autocrine</v>
      </c>
      <c r="D854" s="9" t="s">
        <v>14</v>
      </c>
      <c r="E854" s="8" t="s">
        <v>2280</v>
      </c>
      <c r="F854" s="8" t="s">
        <v>2281</v>
      </c>
      <c r="G854" s="8">
        <v>500</v>
      </c>
    </row>
    <row r="855" spans="1:7" x14ac:dyDescent="0.15">
      <c r="A855" s="8" t="s">
        <v>2282</v>
      </c>
      <c r="B855" s="8" t="s">
        <v>2277</v>
      </c>
      <c r="C855" s="8" t="str">
        <f t="shared" si="13"/>
        <v>complement</v>
      </c>
      <c r="D855" s="9" t="s">
        <v>14</v>
      </c>
      <c r="E855" s="8" t="s">
        <v>2283</v>
      </c>
      <c r="F855" s="8" t="s">
        <v>2284</v>
      </c>
      <c r="G855" s="8">
        <v>500</v>
      </c>
    </row>
    <row r="856" spans="1:7" x14ac:dyDescent="0.15">
      <c r="A856" s="8" t="s">
        <v>2285</v>
      </c>
      <c r="B856" s="8" t="s">
        <v>2277</v>
      </c>
      <c r="C856" s="8" t="str">
        <f t="shared" si="13"/>
        <v>cytokines</v>
      </c>
      <c r="D856" s="9" t="s">
        <v>14</v>
      </c>
      <c r="E856" s="8" t="s">
        <v>2286</v>
      </c>
      <c r="F856" s="8" t="s">
        <v>2287</v>
      </c>
      <c r="G856" s="8">
        <v>500</v>
      </c>
    </row>
    <row r="857" spans="1:7" x14ac:dyDescent="0.15">
      <c r="A857" s="8" t="s">
        <v>2288</v>
      </c>
      <c r="B857" s="8" t="s">
        <v>2277</v>
      </c>
      <c r="C857" s="8" t="str">
        <f t="shared" si="13"/>
        <v>inflammation</v>
      </c>
      <c r="D857" s="9" t="s">
        <v>14</v>
      </c>
      <c r="E857" s="8" t="s">
        <v>2289</v>
      </c>
      <c r="F857" s="8" t="s">
        <v>2290</v>
      </c>
      <c r="G857" s="8">
        <v>500</v>
      </c>
    </row>
    <row r="858" spans="1:7" x14ac:dyDescent="0.15">
      <c r="A858" s="8" t="s">
        <v>2291</v>
      </c>
      <c r="B858" s="8" t="s">
        <v>2277</v>
      </c>
      <c r="C858" s="8" t="str">
        <f t="shared" si="13"/>
        <v>insulin</v>
      </c>
      <c r="D858" s="9" t="s">
        <v>14</v>
      </c>
      <c r="E858" s="8" t="s">
        <v>2292</v>
      </c>
      <c r="F858" s="8" t="s">
        <v>2293</v>
      </c>
      <c r="G858" s="8">
        <v>500</v>
      </c>
    </row>
    <row r="859" spans="1:7" x14ac:dyDescent="0.15">
      <c r="A859" s="8" t="s">
        <v>2294</v>
      </c>
      <c r="B859" s="8" t="s">
        <v>2277</v>
      </c>
      <c r="C859" s="8" t="str">
        <f t="shared" si="13"/>
        <v>juxtacrine</v>
      </c>
      <c r="D859" s="9" t="s">
        <v>14</v>
      </c>
      <c r="E859" s="8" t="s">
        <v>2295</v>
      </c>
      <c r="F859" s="8" t="s">
        <v>2296</v>
      </c>
      <c r="G859" s="8">
        <v>500</v>
      </c>
    </row>
    <row r="860" spans="1:7" x14ac:dyDescent="0.15">
      <c r="A860" s="8" t="s">
        <v>2297</v>
      </c>
      <c r="B860" s="8" t="s">
        <v>2277</v>
      </c>
      <c r="C860" s="8" t="str">
        <f t="shared" si="13"/>
        <v>necrosis</v>
      </c>
      <c r="D860" s="9" t="s">
        <v>14</v>
      </c>
      <c r="E860" s="8" t="s">
        <v>2298</v>
      </c>
      <c r="F860" s="8" t="s">
        <v>2299</v>
      </c>
      <c r="G860" s="8">
        <v>500</v>
      </c>
    </row>
    <row r="861" spans="1:7" x14ac:dyDescent="0.15">
      <c r="A861" s="8" t="s">
        <v>2300</v>
      </c>
      <c r="B861" s="8" t="s">
        <v>2277</v>
      </c>
      <c r="C861" s="8" t="str">
        <f t="shared" si="13"/>
        <v>paracrine</v>
      </c>
      <c r="D861" s="9" t="s">
        <v>14</v>
      </c>
      <c r="E861" s="8" t="s">
        <v>2301</v>
      </c>
      <c r="F861" s="8" t="s">
        <v>2302</v>
      </c>
      <c r="G861" s="8">
        <v>500</v>
      </c>
    </row>
    <row r="862" spans="1:7" x14ac:dyDescent="0.15">
      <c r="A862" s="8" t="s">
        <v>1691</v>
      </c>
      <c r="B862" s="8" t="s">
        <v>2277</v>
      </c>
      <c r="C862" s="8" t="str">
        <f t="shared" si="13"/>
        <v>signaling</v>
      </c>
      <c r="D862" s="9" t="s">
        <v>14</v>
      </c>
      <c r="E862" s="8" t="s">
        <v>1692</v>
      </c>
      <c r="F862" s="8" t="s">
        <v>2303</v>
      </c>
      <c r="G862" s="8">
        <v>500</v>
      </c>
    </row>
    <row r="863" spans="1:7" x14ac:dyDescent="0.15">
      <c r="A863" s="8" t="s">
        <v>2304</v>
      </c>
      <c r="B863" s="8" t="s">
        <v>28</v>
      </c>
      <c r="C863" s="8" t="str">
        <f t="shared" si="13"/>
        <v>diann</v>
      </c>
      <c r="D863" s="9" t="s">
        <v>14</v>
      </c>
      <c r="E863" s="8" t="s">
        <v>2305</v>
      </c>
      <c r="F863" s="8" t="s">
        <v>2306</v>
      </c>
      <c r="G863" s="8">
        <v>500</v>
      </c>
    </row>
    <row r="864" spans="1:7" x14ac:dyDescent="0.15">
      <c r="A864" s="8" t="s">
        <v>2307</v>
      </c>
      <c r="B864" s="8" t="s">
        <v>28</v>
      </c>
      <c r="C864" s="8" t="str">
        <f t="shared" si="13"/>
        <v>maxquant</v>
      </c>
      <c r="D864" s="9" t="s">
        <v>14</v>
      </c>
      <c r="E864" s="8" t="s">
        <v>2308</v>
      </c>
      <c r="F864" s="8" t="s">
        <v>2309</v>
      </c>
      <c r="G864" s="8">
        <v>500</v>
      </c>
    </row>
    <row r="865" spans="1:7" x14ac:dyDescent="0.15">
      <c r="A865" s="8" t="s">
        <v>2310</v>
      </c>
      <c r="B865" s="8" t="s">
        <v>28</v>
      </c>
      <c r="C865" s="8" t="str">
        <f t="shared" si="13"/>
        <v>metamorpheus</v>
      </c>
      <c r="D865" s="9" t="s">
        <v>14</v>
      </c>
      <c r="E865" s="8" t="s">
        <v>2311</v>
      </c>
      <c r="F865" s="8" t="s">
        <v>2312</v>
      </c>
      <c r="G865" s="8">
        <v>500</v>
      </c>
    </row>
    <row r="866" spans="1:7" x14ac:dyDescent="0.15">
      <c r="A866" s="8" t="s">
        <v>2313</v>
      </c>
      <c r="B866" s="8" t="s">
        <v>28</v>
      </c>
      <c r="C866" s="8" t="str">
        <f t="shared" si="13"/>
        <v>minora</v>
      </c>
      <c r="D866" s="9" t="s">
        <v>14</v>
      </c>
      <c r="E866" s="8" t="s">
        <v>2314</v>
      </c>
      <c r="F866" s="8" t="s">
        <v>2315</v>
      </c>
      <c r="G866" s="8">
        <v>500</v>
      </c>
    </row>
    <row r="867" spans="1:7" x14ac:dyDescent="0.15">
      <c r="A867" s="8" t="s">
        <v>2316</v>
      </c>
      <c r="B867" s="8" t="s">
        <v>28</v>
      </c>
      <c r="C867" s="8" t="str">
        <f t="shared" si="13"/>
        <v>msfragger</v>
      </c>
      <c r="D867" s="9" t="s">
        <v>14</v>
      </c>
      <c r="E867" s="8" t="s">
        <v>2317</v>
      </c>
      <c r="F867" s="8" t="s">
        <v>2318</v>
      </c>
      <c r="G867" s="8">
        <v>500</v>
      </c>
    </row>
    <row r="868" spans="1:7" x14ac:dyDescent="0.15">
      <c r="A868" s="8" t="s">
        <v>2319</v>
      </c>
      <c r="B868" s="8" t="s">
        <v>28</v>
      </c>
      <c r="C868" s="8" t="str">
        <f t="shared" si="13"/>
        <v>msgf</v>
      </c>
      <c r="D868" s="9" t="s">
        <v>14</v>
      </c>
      <c r="E868" s="8" t="s">
        <v>2320</v>
      </c>
      <c r="F868" s="8" t="s">
        <v>2321</v>
      </c>
      <c r="G868" s="8">
        <v>500</v>
      </c>
    </row>
    <row r="869" spans="1:7" x14ac:dyDescent="0.15">
      <c r="A869" s="8" t="s">
        <v>2322</v>
      </c>
      <c r="B869" s="8" t="s">
        <v>28</v>
      </c>
      <c r="C869" s="8" t="str">
        <f t="shared" si="13"/>
        <v>spectronaut</v>
      </c>
      <c r="D869" s="9" t="s">
        <v>14</v>
      </c>
      <c r="E869" s="8" t="s">
        <v>2323</v>
      </c>
      <c r="F869" s="8" t="s">
        <v>2324</v>
      </c>
      <c r="G869" s="8">
        <v>500</v>
      </c>
    </row>
    <row r="870" spans="1:7" x14ac:dyDescent="0.15">
      <c r="A870" s="8" t="s">
        <v>2838</v>
      </c>
      <c r="B870" s="8" t="s">
        <v>2837</v>
      </c>
      <c r="C870" s="8" t="str">
        <f t="shared" si="13"/>
        <v>wc</v>
      </c>
      <c r="D870" s="9" t="s">
        <v>14</v>
      </c>
      <c r="E870" s="8" t="s">
        <v>2839</v>
      </c>
      <c r="F870" s="8" t="s">
        <v>2840</v>
      </c>
      <c r="G870" s="8">
        <v>500</v>
      </c>
    </row>
    <row r="871" spans="1:7" x14ac:dyDescent="0.15">
      <c r="A871" s="8" t="s">
        <v>2842</v>
      </c>
      <c r="B871" s="8" t="s">
        <v>2837</v>
      </c>
      <c r="C871" s="8" t="str">
        <f t="shared" si="13"/>
        <v>membrane</v>
      </c>
      <c r="D871" s="9" t="s">
        <v>14</v>
      </c>
      <c r="E871" s="8" t="s">
        <v>2843</v>
      </c>
      <c r="F871" s="8" t="s">
        <v>2844</v>
      </c>
      <c r="G871" s="8">
        <v>500</v>
      </c>
    </row>
    <row r="872" spans="1:7" x14ac:dyDescent="0.15">
      <c r="A872" s="8" t="s">
        <v>2841</v>
      </c>
      <c r="B872" s="8" t="s">
        <v>2837</v>
      </c>
      <c r="C872" s="8" t="str">
        <f t="shared" si="13"/>
        <v>mitochondria</v>
      </c>
      <c r="D872" s="9" t="s">
        <v>14</v>
      </c>
      <c r="E872" s="8" t="s">
        <v>2858</v>
      </c>
      <c r="F872" s="8" t="s">
        <v>2857</v>
      </c>
      <c r="G872" s="8">
        <v>500</v>
      </c>
    </row>
    <row r="873" spans="1:7" x14ac:dyDescent="0.15">
      <c r="A873" s="8" t="s">
        <v>2871</v>
      </c>
      <c r="B873" s="8" t="s">
        <v>2837</v>
      </c>
      <c r="C873" s="8" t="str">
        <f t="shared" si="13"/>
        <v>mitochondriapk</v>
      </c>
      <c r="D873" s="9" t="s">
        <v>14</v>
      </c>
      <c r="E873" s="8" t="s">
        <v>2869</v>
      </c>
      <c r="F873" s="8" t="s">
        <v>2870</v>
      </c>
      <c r="G873" s="8">
        <v>500</v>
      </c>
    </row>
    <row r="874" spans="1:7" x14ac:dyDescent="0.15">
      <c r="A874" s="8" t="s">
        <v>4134</v>
      </c>
      <c r="B874" s="8" t="s">
        <v>2837</v>
      </c>
      <c r="C874" s="8" t="str">
        <f t="shared" ref="C874" si="14">A874</f>
        <v>mitochondriace</v>
      </c>
      <c r="D874" s="9" t="s">
        <v>14</v>
      </c>
      <c r="E874" s="8" t="s">
        <v>4132</v>
      </c>
      <c r="F874" s="8" t="s">
        <v>4133</v>
      </c>
      <c r="G874" s="8">
        <v>500</v>
      </c>
    </row>
    <row r="875" spans="1:7" x14ac:dyDescent="0.15">
      <c r="A875" s="8" t="s">
        <v>2845</v>
      </c>
      <c r="B875" s="8" t="s">
        <v>2837</v>
      </c>
      <c r="C875" s="8" t="str">
        <f t="shared" si="13"/>
        <v>golgi</v>
      </c>
      <c r="D875" s="9" t="s">
        <v>14</v>
      </c>
      <c r="E875" s="8" t="s">
        <v>2846</v>
      </c>
      <c r="F875" s="8" t="s">
        <v>2847</v>
      </c>
      <c r="G875" s="8">
        <v>500</v>
      </c>
    </row>
    <row r="876" spans="1:7" x14ac:dyDescent="0.15">
      <c r="A876" s="8" t="s">
        <v>2848</v>
      </c>
      <c r="B876" s="8" t="s">
        <v>2837</v>
      </c>
      <c r="C876" s="8" t="str">
        <f t="shared" si="13"/>
        <v>plasmamembrane</v>
      </c>
      <c r="D876" s="9" t="s">
        <v>14</v>
      </c>
      <c r="E876" s="8" t="s">
        <v>2856</v>
      </c>
      <c r="F876" s="8" t="s">
        <v>2849</v>
      </c>
      <c r="G876" s="8">
        <v>500</v>
      </c>
    </row>
    <row r="877" spans="1:7" x14ac:dyDescent="0.15">
      <c r="A877" s="8" t="s">
        <v>2850</v>
      </c>
      <c r="B877" s="8" t="s">
        <v>2837</v>
      </c>
      <c r="C877" s="8" t="str">
        <f t="shared" si="13"/>
        <v>nucleus</v>
      </c>
      <c r="D877" s="9" t="s">
        <v>14</v>
      </c>
      <c r="E877" s="8" t="s">
        <v>2851</v>
      </c>
      <c r="F877" s="8" t="s">
        <v>2852</v>
      </c>
      <c r="G877" s="8">
        <v>500</v>
      </c>
    </row>
    <row r="878" spans="1:7" x14ac:dyDescent="0.15">
      <c r="A878" s="8" t="s">
        <v>2853</v>
      </c>
      <c r="B878" s="8" t="s">
        <v>2837</v>
      </c>
      <c r="C878" s="8" t="str">
        <f t="shared" si="13"/>
        <v>cytosol</v>
      </c>
      <c r="D878" s="9" t="s">
        <v>14</v>
      </c>
      <c r="E878" s="8" t="s">
        <v>2854</v>
      </c>
      <c r="F878" s="8" t="s">
        <v>2855</v>
      </c>
      <c r="G878" s="8">
        <v>500</v>
      </c>
    </row>
    <row r="879" spans="1:7" x14ac:dyDescent="0.15">
      <c r="A879" s="8" t="s">
        <v>4129</v>
      </c>
      <c r="B879" s="8" t="s">
        <v>2837</v>
      </c>
      <c r="C879" s="8" t="str">
        <f t="shared" si="13"/>
        <v>er</v>
      </c>
      <c r="D879" s="9" t="s">
        <v>14</v>
      </c>
      <c r="E879" s="8" t="s">
        <v>4131</v>
      </c>
      <c r="F879" s="8" t="s">
        <v>4130</v>
      </c>
      <c r="G879" s="8">
        <v>500</v>
      </c>
    </row>
    <row r="880" spans="1:7" x14ac:dyDescent="0.15">
      <c r="A880" s="8" t="s">
        <v>4139</v>
      </c>
      <c r="B880" s="8" t="s">
        <v>2837</v>
      </c>
      <c r="C880" s="8" t="str">
        <f t="shared" si="13"/>
        <v>ercesup</v>
      </c>
      <c r="D880" s="9" t="s">
        <v>14</v>
      </c>
      <c r="E880" s="8" t="s">
        <v>4135</v>
      </c>
      <c r="F880" s="8" t="s">
        <v>4137</v>
      </c>
      <c r="G880" s="8">
        <v>500</v>
      </c>
    </row>
    <row r="881" spans="1:7" x14ac:dyDescent="0.15">
      <c r="A881" s="8" t="s">
        <v>4140</v>
      </c>
      <c r="B881" s="8" t="s">
        <v>2837</v>
      </c>
      <c r="C881" s="8" t="str">
        <f t="shared" ref="C881" si="15">A881</f>
        <v>ercepellet</v>
      </c>
      <c r="D881" s="9" t="s">
        <v>14</v>
      </c>
      <c r="E881" s="8" t="s">
        <v>4136</v>
      </c>
      <c r="F881" s="8" t="s">
        <v>4138</v>
      </c>
      <c r="G881" s="8">
        <v>500</v>
      </c>
    </row>
    <row r="882" spans="1:7" x14ac:dyDescent="0.15">
      <c r="A882" s="8" t="s">
        <v>2325</v>
      </c>
      <c r="B882" s="8" t="s">
        <v>171</v>
      </c>
      <c r="C882" s="8" t="str">
        <f t="shared" si="13"/>
        <v>adipose</v>
      </c>
      <c r="D882" s="8" t="s">
        <v>2325</v>
      </c>
      <c r="E882" s="8" t="s">
        <v>2326</v>
      </c>
      <c r="F882" s="8" t="s">
        <v>2327</v>
      </c>
      <c r="G882" s="8">
        <v>500</v>
      </c>
    </row>
    <row r="883" spans="1:7" x14ac:dyDescent="0.15">
      <c r="A883" s="8" t="s">
        <v>2328</v>
      </c>
      <c r="B883" s="8" t="s">
        <v>171</v>
      </c>
      <c r="C883" s="8" t="str">
        <f t="shared" si="13"/>
        <v>areolar</v>
      </c>
      <c r="D883" s="8" t="s">
        <v>2328</v>
      </c>
      <c r="E883" s="8" t="s">
        <v>2329</v>
      </c>
      <c r="F883" s="8" t="s">
        <v>2330</v>
      </c>
      <c r="G883" s="8">
        <v>500</v>
      </c>
    </row>
    <row r="884" spans="1:7" x14ac:dyDescent="0.15">
      <c r="A884" s="8" t="s">
        <v>2331</v>
      </c>
      <c r="B884" s="8" t="s">
        <v>171</v>
      </c>
      <c r="C884" s="8" t="str">
        <f t="shared" si="13"/>
        <v>blood</v>
      </c>
      <c r="D884" s="8" t="s">
        <v>2331</v>
      </c>
      <c r="E884" s="8" t="s">
        <v>2332</v>
      </c>
      <c r="F884" s="8" t="s">
        <v>2332</v>
      </c>
      <c r="G884" s="8">
        <v>500</v>
      </c>
    </row>
    <row r="885" spans="1:7" x14ac:dyDescent="0.15">
      <c r="A885" s="8" t="s">
        <v>2333</v>
      </c>
      <c r="B885" s="8" t="s">
        <v>171</v>
      </c>
      <c r="C885" s="8" t="str">
        <f t="shared" si="13"/>
        <v>connective</v>
      </c>
      <c r="D885" s="8" t="s">
        <v>2333</v>
      </c>
      <c r="E885" s="8" t="s">
        <v>2334</v>
      </c>
      <c r="F885" s="8" t="s">
        <v>2335</v>
      </c>
      <c r="G885" s="8">
        <v>500</v>
      </c>
    </row>
    <row r="886" spans="1:7" x14ac:dyDescent="0.15">
      <c r="A886" s="8" t="s">
        <v>2336</v>
      </c>
      <c r="B886" s="8" t="s">
        <v>171</v>
      </c>
      <c r="C886" s="8" t="str">
        <f t="shared" si="13"/>
        <v>dermis</v>
      </c>
      <c r="D886" s="8" t="s">
        <v>2336</v>
      </c>
      <c r="E886" s="8" t="s">
        <v>2337</v>
      </c>
      <c r="F886" s="8" t="s">
        <v>2337</v>
      </c>
      <c r="G886" s="8">
        <v>500</v>
      </c>
    </row>
    <row r="887" spans="1:7" x14ac:dyDescent="0.15">
      <c r="A887" s="8" t="s">
        <v>2338</v>
      </c>
      <c r="B887" s="8" t="s">
        <v>171</v>
      </c>
      <c r="C887" s="8" t="str">
        <f t="shared" si="13"/>
        <v>epidermis</v>
      </c>
      <c r="D887" s="8" t="s">
        <v>2338</v>
      </c>
      <c r="E887" s="8" t="s">
        <v>2339</v>
      </c>
      <c r="F887" s="8" t="s">
        <v>2339</v>
      </c>
      <c r="G887" s="8">
        <v>500</v>
      </c>
    </row>
    <row r="888" spans="1:7" x14ac:dyDescent="0.15">
      <c r="A888" s="8" t="s">
        <v>2340</v>
      </c>
      <c r="B888" s="8" t="s">
        <v>171</v>
      </c>
      <c r="C888" s="8" t="str">
        <f t="shared" si="13"/>
        <v>epithelial</v>
      </c>
      <c r="D888" s="8" t="s">
        <v>2340</v>
      </c>
      <c r="E888" s="8" t="s">
        <v>2341</v>
      </c>
      <c r="F888" s="8" t="s">
        <v>2342</v>
      </c>
      <c r="G888" s="8">
        <v>500</v>
      </c>
    </row>
    <row r="889" spans="1:7" x14ac:dyDescent="0.15">
      <c r="A889" s="8" t="s">
        <v>2343</v>
      </c>
      <c r="B889" s="8" t="s">
        <v>171</v>
      </c>
      <c r="C889" s="8" t="str">
        <f t="shared" si="13"/>
        <v>hypodermis</v>
      </c>
      <c r="D889" s="8" t="s">
        <v>2343</v>
      </c>
      <c r="E889" s="8" t="s">
        <v>2344</v>
      </c>
      <c r="F889" s="8" t="s">
        <v>2344</v>
      </c>
      <c r="G889" s="8">
        <v>500</v>
      </c>
    </row>
    <row r="890" spans="1:7" x14ac:dyDescent="0.15">
      <c r="A890" s="8" t="s">
        <v>2345</v>
      </c>
      <c r="B890" s="8" t="s">
        <v>171</v>
      </c>
      <c r="C890" s="8" t="str">
        <f t="shared" si="13"/>
        <v>muscle</v>
      </c>
      <c r="D890" s="8" t="s">
        <v>2345</v>
      </c>
      <c r="E890" s="8" t="s">
        <v>2738</v>
      </c>
      <c r="F890" s="8" t="s">
        <v>2346</v>
      </c>
      <c r="G890" s="8">
        <v>500</v>
      </c>
    </row>
    <row r="891" spans="1:7" x14ac:dyDescent="0.15">
      <c r="A891" s="8" t="s">
        <v>2347</v>
      </c>
      <c r="B891" s="8" t="s">
        <v>171</v>
      </c>
      <c r="C891" s="8" t="str">
        <f t="shared" si="13"/>
        <v>nervous</v>
      </c>
      <c r="D891" s="8" t="s">
        <v>2347</v>
      </c>
      <c r="E891" s="8" t="s">
        <v>2166</v>
      </c>
      <c r="F891" s="8" t="s">
        <v>2348</v>
      </c>
      <c r="G891" s="8">
        <v>500</v>
      </c>
    </row>
    <row r="892" spans="1:7" x14ac:dyDescent="0.15">
      <c r="A892" s="8" t="s">
        <v>2349</v>
      </c>
      <c r="B892" s="8" t="s">
        <v>171</v>
      </c>
      <c r="C892" s="8" t="str">
        <f t="shared" si="13"/>
        <v>reticular</v>
      </c>
      <c r="D892" s="8" t="s">
        <v>2349</v>
      </c>
      <c r="E892" s="8" t="s">
        <v>2350</v>
      </c>
      <c r="F892" s="8" t="s">
        <v>2351</v>
      </c>
      <c r="G892" s="8">
        <v>500</v>
      </c>
    </row>
    <row r="893" spans="1:7" x14ac:dyDescent="0.15">
      <c r="A893" s="8" t="s">
        <v>2352</v>
      </c>
      <c r="B893" s="8" t="s">
        <v>171</v>
      </c>
      <c r="C893" s="8" t="str">
        <f t="shared" si="13"/>
        <v>stromal</v>
      </c>
      <c r="D893" s="8" t="s">
        <v>2352</v>
      </c>
      <c r="E893" s="8" t="s">
        <v>2353</v>
      </c>
      <c r="F893" s="8" t="s">
        <v>2354</v>
      </c>
      <c r="G893" s="8">
        <v>500</v>
      </c>
    </row>
    <row r="894" spans="1:7" x14ac:dyDescent="0.15">
      <c r="A894" s="8" t="s">
        <v>2355</v>
      </c>
      <c r="B894" s="8" t="s">
        <v>173</v>
      </c>
      <c r="C894" s="8" t="str">
        <f t="shared" si="13"/>
        <v>tmt10_126</v>
      </c>
      <c r="D894" s="9" t="s">
        <v>14</v>
      </c>
      <c r="E894" s="8">
        <v>126</v>
      </c>
      <c r="F894" s="9" t="s">
        <v>14</v>
      </c>
      <c r="G894" s="8">
        <v>500</v>
      </c>
    </row>
    <row r="895" spans="1:7" x14ac:dyDescent="0.15">
      <c r="A895" s="8" t="s">
        <v>2356</v>
      </c>
      <c r="B895" s="8" t="s">
        <v>173</v>
      </c>
      <c r="C895" s="8" t="str">
        <f t="shared" si="13"/>
        <v>tmt10_127C</v>
      </c>
      <c r="D895" s="9" t="s">
        <v>14</v>
      </c>
      <c r="E895" s="8" t="s">
        <v>2357</v>
      </c>
      <c r="F895" s="9" t="s">
        <v>14</v>
      </c>
      <c r="G895" s="8">
        <v>500</v>
      </c>
    </row>
    <row r="896" spans="1:7" x14ac:dyDescent="0.15">
      <c r="A896" s="8" t="s">
        <v>2358</v>
      </c>
      <c r="B896" s="8" t="s">
        <v>173</v>
      </c>
      <c r="C896" s="8" t="str">
        <f t="shared" si="13"/>
        <v>tmt10_127N</v>
      </c>
      <c r="D896" s="9" t="s">
        <v>14</v>
      </c>
      <c r="E896" s="8" t="s">
        <v>2359</v>
      </c>
      <c r="F896" s="9" t="s">
        <v>14</v>
      </c>
      <c r="G896" s="8">
        <v>500</v>
      </c>
    </row>
    <row r="897" spans="1:7" x14ac:dyDescent="0.15">
      <c r="A897" s="8" t="s">
        <v>2360</v>
      </c>
      <c r="B897" s="8" t="s">
        <v>173</v>
      </c>
      <c r="C897" s="8" t="str">
        <f t="shared" si="13"/>
        <v>tmt10_128C</v>
      </c>
      <c r="D897" s="9" t="s">
        <v>14</v>
      </c>
      <c r="E897" s="8" t="s">
        <v>2361</v>
      </c>
      <c r="F897" s="9" t="s">
        <v>14</v>
      </c>
      <c r="G897" s="8">
        <v>500</v>
      </c>
    </row>
    <row r="898" spans="1:7" x14ac:dyDescent="0.15">
      <c r="A898" s="8" t="s">
        <v>2362</v>
      </c>
      <c r="B898" s="8" t="s">
        <v>173</v>
      </c>
      <c r="C898" s="8" t="str">
        <f t="shared" si="13"/>
        <v>tmt10_128N</v>
      </c>
      <c r="D898" s="9" t="s">
        <v>14</v>
      </c>
      <c r="E898" s="8" t="s">
        <v>2363</v>
      </c>
      <c r="F898" s="9" t="s">
        <v>14</v>
      </c>
      <c r="G898" s="8">
        <v>500</v>
      </c>
    </row>
    <row r="899" spans="1:7" x14ac:dyDescent="0.15">
      <c r="A899" s="8" t="s">
        <v>2364</v>
      </c>
      <c r="B899" s="8" t="s">
        <v>173</v>
      </c>
      <c r="C899" s="8" t="str">
        <f t="shared" si="13"/>
        <v>tmt10_129C</v>
      </c>
      <c r="D899" s="9" t="s">
        <v>14</v>
      </c>
      <c r="E899" s="8" t="s">
        <v>2365</v>
      </c>
      <c r="F899" s="9" t="s">
        <v>14</v>
      </c>
      <c r="G899" s="8">
        <v>500</v>
      </c>
    </row>
    <row r="900" spans="1:7" x14ac:dyDescent="0.15">
      <c r="A900" s="8" t="s">
        <v>2366</v>
      </c>
      <c r="B900" s="8" t="s">
        <v>173</v>
      </c>
      <c r="C900" s="8" t="str">
        <f t="shared" si="13"/>
        <v>tmt10_129N</v>
      </c>
      <c r="D900" s="9" t="s">
        <v>14</v>
      </c>
      <c r="E900" s="8" t="s">
        <v>2367</v>
      </c>
      <c r="F900" s="9" t="s">
        <v>14</v>
      </c>
      <c r="G900" s="8">
        <v>500</v>
      </c>
    </row>
    <row r="901" spans="1:7" x14ac:dyDescent="0.15">
      <c r="A901" s="8" t="s">
        <v>2368</v>
      </c>
      <c r="B901" s="8" t="s">
        <v>173</v>
      </c>
      <c r="C901" s="8" t="str">
        <f t="shared" si="13"/>
        <v>tmt10_130C</v>
      </c>
      <c r="D901" s="9" t="s">
        <v>14</v>
      </c>
      <c r="E901" s="8" t="s">
        <v>2369</v>
      </c>
      <c r="F901" s="9" t="s">
        <v>14</v>
      </c>
      <c r="G901" s="8">
        <v>500</v>
      </c>
    </row>
    <row r="902" spans="1:7" x14ac:dyDescent="0.15">
      <c r="A902" s="8" t="s">
        <v>2370</v>
      </c>
      <c r="B902" s="8" t="s">
        <v>173</v>
      </c>
      <c r="C902" s="8" t="str">
        <f t="shared" si="13"/>
        <v>tmt10_130N</v>
      </c>
      <c r="D902" s="9" t="s">
        <v>14</v>
      </c>
      <c r="E902" s="8" t="s">
        <v>2371</v>
      </c>
      <c r="F902" s="9" t="s">
        <v>14</v>
      </c>
      <c r="G902" s="8">
        <v>500</v>
      </c>
    </row>
    <row r="903" spans="1:7" x14ac:dyDescent="0.15">
      <c r="A903" s="8" t="s">
        <v>2372</v>
      </c>
      <c r="B903" s="8" t="s">
        <v>173</v>
      </c>
      <c r="C903" s="8" t="str">
        <f t="shared" si="13"/>
        <v>tmt10_131</v>
      </c>
      <c r="D903" s="9" t="s">
        <v>14</v>
      </c>
      <c r="E903" s="8">
        <v>131</v>
      </c>
      <c r="F903" s="9" t="s">
        <v>14</v>
      </c>
      <c r="G903" s="8">
        <v>500</v>
      </c>
    </row>
    <row r="904" spans="1:7" x14ac:dyDescent="0.15">
      <c r="A904" s="8" t="s">
        <v>2373</v>
      </c>
      <c r="B904" s="8" t="s">
        <v>173</v>
      </c>
      <c r="C904" s="8" t="str">
        <f t="shared" si="13"/>
        <v>tmt11_126</v>
      </c>
      <c r="D904" s="9" t="s">
        <v>14</v>
      </c>
      <c r="E904" s="8">
        <v>126</v>
      </c>
      <c r="F904" s="9" t="s">
        <v>14</v>
      </c>
      <c r="G904" s="8">
        <v>500</v>
      </c>
    </row>
    <row r="905" spans="1:7" x14ac:dyDescent="0.15">
      <c r="A905" s="8" t="s">
        <v>2374</v>
      </c>
      <c r="B905" s="8" t="s">
        <v>173</v>
      </c>
      <c r="C905" s="8" t="str">
        <f t="shared" si="13"/>
        <v>tmt11_127C</v>
      </c>
      <c r="D905" s="9" t="s">
        <v>14</v>
      </c>
      <c r="E905" s="8" t="s">
        <v>2357</v>
      </c>
      <c r="F905" s="9" t="s">
        <v>14</v>
      </c>
      <c r="G905" s="8">
        <v>500</v>
      </c>
    </row>
    <row r="906" spans="1:7" x14ac:dyDescent="0.15">
      <c r="A906" s="8" t="s">
        <v>2375</v>
      </c>
      <c r="B906" s="8" t="s">
        <v>173</v>
      </c>
      <c r="C906" s="8" t="str">
        <f t="shared" si="13"/>
        <v>tmt11_127N</v>
      </c>
      <c r="D906" s="9" t="s">
        <v>14</v>
      </c>
      <c r="E906" s="8" t="s">
        <v>2359</v>
      </c>
      <c r="F906" s="9" t="s">
        <v>14</v>
      </c>
      <c r="G906" s="8">
        <v>500</v>
      </c>
    </row>
    <row r="907" spans="1:7" x14ac:dyDescent="0.15">
      <c r="A907" s="8" t="s">
        <v>2376</v>
      </c>
      <c r="B907" s="8" t="s">
        <v>173</v>
      </c>
      <c r="C907" s="8" t="str">
        <f t="shared" si="13"/>
        <v>tmt11_128C</v>
      </c>
      <c r="D907" s="9" t="s">
        <v>14</v>
      </c>
      <c r="E907" s="8" t="s">
        <v>2361</v>
      </c>
      <c r="F907" s="9" t="s">
        <v>14</v>
      </c>
      <c r="G907" s="8">
        <v>500</v>
      </c>
    </row>
    <row r="908" spans="1:7" x14ac:dyDescent="0.15">
      <c r="A908" s="8" t="s">
        <v>2377</v>
      </c>
      <c r="B908" s="8" t="s">
        <v>173</v>
      </c>
      <c r="C908" s="8" t="str">
        <f t="shared" si="13"/>
        <v>tmt11_128N</v>
      </c>
      <c r="D908" s="9" t="s">
        <v>14</v>
      </c>
      <c r="E908" s="8" t="s">
        <v>2363</v>
      </c>
      <c r="F908" s="9" t="s">
        <v>14</v>
      </c>
      <c r="G908" s="8">
        <v>500</v>
      </c>
    </row>
    <row r="909" spans="1:7" x14ac:dyDescent="0.15">
      <c r="A909" s="8" t="s">
        <v>2378</v>
      </c>
      <c r="B909" s="8" t="s">
        <v>173</v>
      </c>
      <c r="C909" s="8" t="str">
        <f t="shared" si="13"/>
        <v>tmt11_129C</v>
      </c>
      <c r="D909" s="9" t="s">
        <v>14</v>
      </c>
      <c r="E909" s="8" t="s">
        <v>2365</v>
      </c>
      <c r="F909" s="9" t="s">
        <v>14</v>
      </c>
      <c r="G909" s="8">
        <v>500</v>
      </c>
    </row>
    <row r="910" spans="1:7" x14ac:dyDescent="0.15">
      <c r="A910" s="8" t="s">
        <v>2379</v>
      </c>
      <c r="B910" s="8" t="s">
        <v>173</v>
      </c>
      <c r="C910" s="8" t="str">
        <f t="shared" si="13"/>
        <v>tmt11_129N</v>
      </c>
      <c r="D910" s="9" t="s">
        <v>14</v>
      </c>
      <c r="E910" s="8" t="s">
        <v>2367</v>
      </c>
      <c r="F910" s="9" t="s">
        <v>14</v>
      </c>
      <c r="G910" s="8">
        <v>500</v>
      </c>
    </row>
    <row r="911" spans="1:7" x14ac:dyDescent="0.15">
      <c r="A911" s="8" t="s">
        <v>2380</v>
      </c>
      <c r="B911" s="8" t="s">
        <v>173</v>
      </c>
      <c r="C911" s="8" t="str">
        <f t="shared" si="13"/>
        <v>tmt11_130C</v>
      </c>
      <c r="D911" s="9" t="s">
        <v>14</v>
      </c>
      <c r="E911" s="8" t="s">
        <v>2369</v>
      </c>
      <c r="F911" s="9" t="s">
        <v>14</v>
      </c>
      <c r="G911" s="8">
        <v>500</v>
      </c>
    </row>
    <row r="912" spans="1:7" x14ac:dyDescent="0.15">
      <c r="A912" s="8" t="s">
        <v>2381</v>
      </c>
      <c r="B912" s="8" t="s">
        <v>173</v>
      </c>
      <c r="C912" s="8" t="str">
        <f t="shared" ref="C912:C980" si="16">A912</f>
        <v>tmt11_130N</v>
      </c>
      <c r="D912" s="9" t="s">
        <v>14</v>
      </c>
      <c r="E912" s="8" t="s">
        <v>2371</v>
      </c>
      <c r="F912" s="9" t="s">
        <v>14</v>
      </c>
      <c r="G912" s="8">
        <v>500</v>
      </c>
    </row>
    <row r="913" spans="1:7" x14ac:dyDescent="0.15">
      <c r="A913" s="8" t="s">
        <v>2382</v>
      </c>
      <c r="B913" s="8" t="s">
        <v>173</v>
      </c>
      <c r="C913" s="8" t="str">
        <f t="shared" si="16"/>
        <v>tmt11_131C</v>
      </c>
      <c r="D913" s="9" t="s">
        <v>14</v>
      </c>
      <c r="E913" s="8" t="s">
        <v>2383</v>
      </c>
      <c r="F913" s="9" t="s">
        <v>14</v>
      </c>
      <c r="G913" s="8">
        <v>500</v>
      </c>
    </row>
    <row r="914" spans="1:7" x14ac:dyDescent="0.15">
      <c r="A914" s="8" t="s">
        <v>2384</v>
      </c>
      <c r="B914" s="8" t="s">
        <v>173</v>
      </c>
      <c r="C914" s="8" t="str">
        <f t="shared" si="16"/>
        <v>tmt11_131N</v>
      </c>
      <c r="D914" s="9" t="s">
        <v>14</v>
      </c>
      <c r="E914" s="8" t="s">
        <v>2385</v>
      </c>
      <c r="F914" s="9" t="s">
        <v>14</v>
      </c>
      <c r="G914" s="8">
        <v>500</v>
      </c>
    </row>
    <row r="915" spans="1:7" x14ac:dyDescent="0.15">
      <c r="A915" s="8" t="s">
        <v>2386</v>
      </c>
      <c r="B915" s="8" t="s">
        <v>173</v>
      </c>
      <c r="C915" s="8" t="str">
        <f t="shared" si="16"/>
        <v>tmt18_126</v>
      </c>
      <c r="D915" s="9" t="s">
        <v>14</v>
      </c>
      <c r="E915" s="8">
        <v>126</v>
      </c>
      <c r="F915" s="9" t="s">
        <v>14</v>
      </c>
      <c r="G915" s="8">
        <v>500</v>
      </c>
    </row>
    <row r="916" spans="1:7" x14ac:dyDescent="0.15">
      <c r="A916" s="8" t="s">
        <v>2387</v>
      </c>
      <c r="B916" s="8" t="s">
        <v>173</v>
      </c>
      <c r="C916" s="8" t="str">
        <f t="shared" si="16"/>
        <v>tmt18_127C</v>
      </c>
      <c r="D916" s="9" t="s">
        <v>14</v>
      </c>
      <c r="E916" s="8" t="s">
        <v>2357</v>
      </c>
      <c r="F916" s="9" t="s">
        <v>14</v>
      </c>
      <c r="G916" s="8">
        <v>500</v>
      </c>
    </row>
    <row r="917" spans="1:7" x14ac:dyDescent="0.15">
      <c r="A917" s="8" t="s">
        <v>2388</v>
      </c>
      <c r="B917" s="8" t="s">
        <v>173</v>
      </c>
      <c r="C917" s="8" t="str">
        <f t="shared" si="16"/>
        <v>tmt18_127N</v>
      </c>
      <c r="D917" s="9" t="s">
        <v>14</v>
      </c>
      <c r="E917" s="8" t="s">
        <v>2359</v>
      </c>
      <c r="F917" s="9" t="s">
        <v>14</v>
      </c>
      <c r="G917" s="8">
        <v>500</v>
      </c>
    </row>
    <row r="918" spans="1:7" x14ac:dyDescent="0.15">
      <c r="A918" s="8" t="s">
        <v>2389</v>
      </c>
      <c r="B918" s="8" t="s">
        <v>173</v>
      </c>
      <c r="C918" s="8" t="str">
        <f t="shared" si="16"/>
        <v>tmt18_128C</v>
      </c>
      <c r="D918" s="9" t="s">
        <v>14</v>
      </c>
      <c r="E918" s="8" t="s">
        <v>2361</v>
      </c>
      <c r="F918" s="9" t="s">
        <v>14</v>
      </c>
      <c r="G918" s="8">
        <v>500</v>
      </c>
    </row>
    <row r="919" spans="1:7" x14ac:dyDescent="0.15">
      <c r="A919" s="8" t="s">
        <v>2390</v>
      </c>
      <c r="B919" s="8" t="s">
        <v>173</v>
      </c>
      <c r="C919" s="8" t="str">
        <f t="shared" si="16"/>
        <v>tmt18_128N</v>
      </c>
      <c r="D919" s="9" t="s">
        <v>14</v>
      </c>
      <c r="E919" s="8" t="s">
        <v>2363</v>
      </c>
      <c r="F919" s="9" t="s">
        <v>14</v>
      </c>
      <c r="G919" s="8">
        <v>500</v>
      </c>
    </row>
    <row r="920" spans="1:7" x14ac:dyDescent="0.15">
      <c r="A920" s="8" t="s">
        <v>2391</v>
      </c>
      <c r="B920" s="8" t="s">
        <v>173</v>
      </c>
      <c r="C920" s="8" t="str">
        <f t="shared" si="16"/>
        <v>tmt18_129C</v>
      </c>
      <c r="D920" s="9" t="s">
        <v>14</v>
      </c>
      <c r="E920" s="8" t="s">
        <v>2365</v>
      </c>
      <c r="F920" s="9" t="s">
        <v>14</v>
      </c>
      <c r="G920" s="8">
        <v>500</v>
      </c>
    </row>
    <row r="921" spans="1:7" x14ac:dyDescent="0.15">
      <c r="A921" s="8" t="s">
        <v>2392</v>
      </c>
      <c r="B921" s="8" t="s">
        <v>173</v>
      </c>
      <c r="C921" s="8" t="str">
        <f t="shared" si="16"/>
        <v>tmt18_129N</v>
      </c>
      <c r="D921" s="9" t="s">
        <v>14</v>
      </c>
      <c r="E921" s="8" t="s">
        <v>2367</v>
      </c>
      <c r="F921" s="9" t="s">
        <v>14</v>
      </c>
      <c r="G921" s="8">
        <v>500</v>
      </c>
    </row>
    <row r="922" spans="1:7" x14ac:dyDescent="0.15">
      <c r="A922" s="8" t="s">
        <v>2393</v>
      </c>
      <c r="B922" s="8" t="s">
        <v>173</v>
      </c>
      <c r="C922" s="8" t="str">
        <f t="shared" si="16"/>
        <v>tmt18_130C</v>
      </c>
      <c r="D922" s="9" t="s">
        <v>14</v>
      </c>
      <c r="E922" s="8" t="s">
        <v>2369</v>
      </c>
      <c r="F922" s="9" t="s">
        <v>14</v>
      </c>
      <c r="G922" s="8">
        <v>500</v>
      </c>
    </row>
    <row r="923" spans="1:7" x14ac:dyDescent="0.15">
      <c r="A923" s="8" t="s">
        <v>2394</v>
      </c>
      <c r="B923" s="8" t="s">
        <v>173</v>
      </c>
      <c r="C923" s="8" t="str">
        <f t="shared" si="16"/>
        <v>tmt18_130N</v>
      </c>
      <c r="D923" s="9" t="s">
        <v>14</v>
      </c>
      <c r="E923" s="8" t="s">
        <v>2371</v>
      </c>
      <c r="F923" s="9" t="s">
        <v>14</v>
      </c>
      <c r="G923" s="8">
        <v>500</v>
      </c>
    </row>
    <row r="924" spans="1:7" x14ac:dyDescent="0.15">
      <c r="A924" s="8" t="s">
        <v>2395</v>
      </c>
      <c r="B924" s="8" t="s">
        <v>173</v>
      </c>
      <c r="C924" s="8" t="str">
        <f t="shared" si="16"/>
        <v>tmt18_131C</v>
      </c>
      <c r="D924" s="9" t="s">
        <v>14</v>
      </c>
      <c r="E924" s="8" t="s">
        <v>2383</v>
      </c>
      <c r="F924" s="9" t="s">
        <v>14</v>
      </c>
      <c r="G924" s="8">
        <v>500</v>
      </c>
    </row>
    <row r="925" spans="1:7" x14ac:dyDescent="0.15">
      <c r="A925" s="8" t="s">
        <v>2396</v>
      </c>
      <c r="B925" s="8" t="s">
        <v>173</v>
      </c>
      <c r="C925" s="8" t="str">
        <f t="shared" si="16"/>
        <v>tmt18_131N</v>
      </c>
      <c r="D925" s="9" t="s">
        <v>14</v>
      </c>
      <c r="E925" s="8" t="s">
        <v>2385</v>
      </c>
      <c r="F925" s="9" t="s">
        <v>14</v>
      </c>
      <c r="G925" s="8">
        <v>500</v>
      </c>
    </row>
    <row r="926" spans="1:7" x14ac:dyDescent="0.15">
      <c r="A926" s="8" t="s">
        <v>2397</v>
      </c>
      <c r="B926" s="8" t="s">
        <v>173</v>
      </c>
      <c r="C926" s="8" t="str">
        <f t="shared" si="16"/>
        <v>tmt18_132C</v>
      </c>
      <c r="D926" s="9" t="s">
        <v>14</v>
      </c>
      <c r="E926" s="8" t="s">
        <v>2398</v>
      </c>
      <c r="F926" s="9" t="s">
        <v>14</v>
      </c>
      <c r="G926" s="8">
        <v>500</v>
      </c>
    </row>
    <row r="927" spans="1:7" x14ac:dyDescent="0.15">
      <c r="A927" s="8" t="s">
        <v>2399</v>
      </c>
      <c r="B927" s="8" t="s">
        <v>173</v>
      </c>
      <c r="C927" s="8" t="str">
        <f t="shared" si="16"/>
        <v>tmt18_132N</v>
      </c>
      <c r="D927" s="9" t="s">
        <v>14</v>
      </c>
      <c r="E927" s="8" t="s">
        <v>2400</v>
      </c>
      <c r="F927" s="9" t="s">
        <v>14</v>
      </c>
      <c r="G927" s="8">
        <v>500</v>
      </c>
    </row>
    <row r="928" spans="1:7" x14ac:dyDescent="0.15">
      <c r="A928" s="8" t="s">
        <v>2401</v>
      </c>
      <c r="B928" s="8" t="s">
        <v>173</v>
      </c>
      <c r="C928" s="8" t="str">
        <f t="shared" si="16"/>
        <v>tmt18_133C</v>
      </c>
      <c r="D928" s="9" t="s">
        <v>14</v>
      </c>
      <c r="E928" s="8" t="s">
        <v>2402</v>
      </c>
      <c r="F928" s="9" t="s">
        <v>14</v>
      </c>
      <c r="G928" s="8">
        <v>500</v>
      </c>
    </row>
    <row r="929" spans="1:7" x14ac:dyDescent="0.15">
      <c r="A929" s="8" t="s">
        <v>2403</v>
      </c>
      <c r="B929" s="8" t="s">
        <v>173</v>
      </c>
      <c r="C929" s="8" t="str">
        <f t="shared" si="16"/>
        <v>tmt18_133N</v>
      </c>
      <c r="D929" s="9" t="s">
        <v>14</v>
      </c>
      <c r="E929" s="8" t="s">
        <v>2404</v>
      </c>
      <c r="F929" s="9" t="s">
        <v>14</v>
      </c>
      <c r="G929" s="8">
        <v>500</v>
      </c>
    </row>
    <row r="930" spans="1:7" x14ac:dyDescent="0.15">
      <c r="A930" s="8" t="s">
        <v>2405</v>
      </c>
      <c r="B930" s="8" t="s">
        <v>173</v>
      </c>
      <c r="C930" s="8" t="str">
        <f t="shared" si="16"/>
        <v>tmt18_134C</v>
      </c>
      <c r="D930" s="9" t="s">
        <v>14</v>
      </c>
      <c r="E930" s="8" t="s">
        <v>2406</v>
      </c>
      <c r="F930" s="9" t="s">
        <v>14</v>
      </c>
      <c r="G930" s="8">
        <v>500</v>
      </c>
    </row>
    <row r="931" spans="1:7" x14ac:dyDescent="0.15">
      <c r="A931" s="8" t="s">
        <v>2407</v>
      </c>
      <c r="B931" s="8" t="s">
        <v>173</v>
      </c>
      <c r="C931" s="8" t="str">
        <f t="shared" si="16"/>
        <v>tmt18_134N</v>
      </c>
      <c r="D931" s="9" t="s">
        <v>14</v>
      </c>
      <c r="E931" s="8" t="s">
        <v>2408</v>
      </c>
      <c r="F931" s="9" t="s">
        <v>14</v>
      </c>
      <c r="G931" s="8">
        <v>500</v>
      </c>
    </row>
    <row r="932" spans="1:7" x14ac:dyDescent="0.15">
      <c r="A932" s="8" t="s">
        <v>2409</v>
      </c>
      <c r="B932" s="8" t="s">
        <v>173</v>
      </c>
      <c r="C932" s="8" t="str">
        <f t="shared" si="16"/>
        <v>tmt18_135N</v>
      </c>
      <c r="D932" s="9" t="s">
        <v>14</v>
      </c>
      <c r="E932" s="8" t="s">
        <v>2410</v>
      </c>
      <c r="F932" s="9" t="s">
        <v>14</v>
      </c>
      <c r="G932" s="8">
        <v>500</v>
      </c>
    </row>
    <row r="933" spans="1:7" x14ac:dyDescent="0.15">
      <c r="A933" s="8" t="s">
        <v>2411</v>
      </c>
      <c r="B933" s="8" t="s">
        <v>173</v>
      </c>
      <c r="C933" s="8" t="str">
        <f t="shared" si="16"/>
        <v>tmt6_126</v>
      </c>
      <c r="D933" s="9" t="s">
        <v>14</v>
      </c>
      <c r="E933" s="8">
        <v>126</v>
      </c>
      <c r="F933" s="9" t="s">
        <v>14</v>
      </c>
      <c r="G933" s="8">
        <v>500</v>
      </c>
    </row>
    <row r="934" spans="1:7" x14ac:dyDescent="0.15">
      <c r="A934" s="8" t="s">
        <v>2412</v>
      </c>
      <c r="B934" s="8" t="s">
        <v>173</v>
      </c>
      <c r="C934" s="8" t="str">
        <f t="shared" si="16"/>
        <v>tmt6_127</v>
      </c>
      <c r="D934" s="9" t="s">
        <v>14</v>
      </c>
      <c r="E934" s="8">
        <v>127</v>
      </c>
      <c r="F934" s="9" t="s">
        <v>14</v>
      </c>
      <c r="G934" s="8">
        <v>500</v>
      </c>
    </row>
    <row r="935" spans="1:7" x14ac:dyDescent="0.15">
      <c r="A935" s="8" t="s">
        <v>2413</v>
      </c>
      <c r="B935" s="8" t="s">
        <v>173</v>
      </c>
      <c r="C935" s="8" t="str">
        <f t="shared" si="16"/>
        <v>tmt6_128</v>
      </c>
      <c r="D935" s="9" t="s">
        <v>14</v>
      </c>
      <c r="E935" s="8">
        <v>128</v>
      </c>
      <c r="F935" s="9" t="s">
        <v>14</v>
      </c>
      <c r="G935" s="8">
        <v>500</v>
      </c>
    </row>
    <row r="936" spans="1:7" x14ac:dyDescent="0.15">
      <c r="A936" s="8" t="s">
        <v>2414</v>
      </c>
      <c r="B936" s="8" t="s">
        <v>173</v>
      </c>
      <c r="C936" s="8" t="str">
        <f t="shared" si="16"/>
        <v>tmt6_129</v>
      </c>
      <c r="D936" s="9" t="s">
        <v>14</v>
      </c>
      <c r="E936" s="8">
        <v>129</v>
      </c>
      <c r="F936" s="9" t="s">
        <v>14</v>
      </c>
      <c r="G936" s="8">
        <v>500</v>
      </c>
    </row>
    <row r="937" spans="1:7" x14ac:dyDescent="0.15">
      <c r="A937" s="8" t="s">
        <v>2415</v>
      </c>
      <c r="B937" s="8" t="s">
        <v>173</v>
      </c>
      <c r="C937" s="8" t="str">
        <f t="shared" si="16"/>
        <v>tmt6_130</v>
      </c>
      <c r="D937" s="9" t="s">
        <v>14</v>
      </c>
      <c r="E937" s="8">
        <v>130</v>
      </c>
      <c r="F937" s="9" t="s">
        <v>14</v>
      </c>
      <c r="G937" s="8">
        <v>500</v>
      </c>
    </row>
    <row r="938" spans="1:7" x14ac:dyDescent="0.15">
      <c r="A938" s="8" t="s">
        <v>2416</v>
      </c>
      <c r="B938" s="8" t="s">
        <v>173</v>
      </c>
      <c r="C938" s="8" t="str">
        <f t="shared" si="16"/>
        <v>tmt6_131</v>
      </c>
      <c r="D938" s="9" t="s">
        <v>14</v>
      </c>
      <c r="E938" s="8">
        <v>131</v>
      </c>
      <c r="F938" s="9" t="s">
        <v>14</v>
      </c>
      <c r="G938" s="8">
        <v>500</v>
      </c>
    </row>
    <row r="939" spans="1:7" x14ac:dyDescent="0.15">
      <c r="A939" s="8" t="s">
        <v>2417</v>
      </c>
      <c r="B939" s="8" t="s">
        <v>180</v>
      </c>
      <c r="C939" s="8" t="str">
        <f t="shared" si="16"/>
        <v>biochem</v>
      </c>
      <c r="D939" s="9" t="s">
        <v>14</v>
      </c>
      <c r="E939" s="8" t="s">
        <v>2418</v>
      </c>
      <c r="F939" s="8" t="s">
        <v>2419</v>
      </c>
      <c r="G939" s="8">
        <v>500</v>
      </c>
    </row>
    <row r="940" spans="1:7" x14ac:dyDescent="0.15">
      <c r="A940" s="8" t="s">
        <v>2420</v>
      </c>
      <c r="B940" s="8" t="s">
        <v>180</v>
      </c>
      <c r="C940" s="8" t="str">
        <f t="shared" si="16"/>
        <v>cecad</v>
      </c>
      <c r="D940" s="9" t="s">
        <v>14</v>
      </c>
      <c r="E940" s="8" t="s">
        <v>2421</v>
      </c>
      <c r="F940" s="8" t="s">
        <v>2422</v>
      </c>
      <c r="G940" s="8">
        <v>500</v>
      </c>
    </row>
    <row r="941" spans="1:7" x14ac:dyDescent="0.15">
      <c r="A941" s="8" t="s">
        <v>2423</v>
      </c>
      <c r="B941" s="8" t="s">
        <v>180</v>
      </c>
      <c r="C941" s="8" t="str">
        <f t="shared" si="16"/>
        <v>mpiage</v>
      </c>
      <c r="D941" s="9" t="s">
        <v>14</v>
      </c>
      <c r="E941" s="8" t="s">
        <v>2424</v>
      </c>
      <c r="F941" s="8" t="s">
        <v>2425</v>
      </c>
      <c r="G941" s="8">
        <v>500</v>
      </c>
    </row>
    <row r="942" spans="1:7" x14ac:dyDescent="0.15">
      <c r="A942" s="8" t="s">
        <v>2426</v>
      </c>
      <c r="B942" s="8" t="s">
        <v>180</v>
      </c>
      <c r="C942" s="8" t="str">
        <f t="shared" si="16"/>
        <v>mpimetab</v>
      </c>
      <c r="D942" s="9" t="s">
        <v>14</v>
      </c>
      <c r="E942" s="8" t="s">
        <v>2427</v>
      </c>
      <c r="F942" s="8" t="s">
        <v>2428</v>
      </c>
      <c r="G942" s="8">
        <v>500</v>
      </c>
    </row>
    <row r="943" spans="1:7" x14ac:dyDescent="0.15">
      <c r="A943" s="8" t="s">
        <v>2977</v>
      </c>
      <c r="B943" s="8" t="s">
        <v>180</v>
      </c>
      <c r="C943" s="8" t="str">
        <f t="shared" si="16"/>
        <v>unibonn</v>
      </c>
      <c r="D943" s="9" t="s">
        <v>14</v>
      </c>
      <c r="E943" s="8" t="s">
        <v>2978</v>
      </c>
      <c r="F943" s="8" t="s">
        <v>2978</v>
      </c>
      <c r="G943" s="8">
        <v>500</v>
      </c>
    </row>
    <row r="944" spans="1:7" x14ac:dyDescent="0.15">
      <c r="A944" s="8" t="s">
        <v>2429</v>
      </c>
      <c r="B944" s="8" t="s">
        <v>184</v>
      </c>
      <c r="C944" s="8" t="str">
        <f t="shared" si="16"/>
        <v>mitoprotea</v>
      </c>
      <c r="D944" s="8" t="s">
        <v>14</v>
      </c>
      <c r="E944" s="8" t="s">
        <v>2430</v>
      </c>
      <c r="F944" s="8" t="s">
        <v>2431</v>
      </c>
      <c r="G944" s="8">
        <v>500</v>
      </c>
    </row>
    <row r="945" spans="1:7" x14ac:dyDescent="0.15">
      <c r="A945" s="8" t="s">
        <v>2432</v>
      </c>
      <c r="B945" s="8" t="s">
        <v>184</v>
      </c>
      <c r="C945" s="8" t="str">
        <f t="shared" si="16"/>
        <v>molageing</v>
      </c>
      <c r="D945" s="8" t="s">
        <v>14</v>
      </c>
      <c r="E945" s="8" t="s">
        <v>2433</v>
      </c>
      <c r="F945" s="8" t="s">
        <v>2434</v>
      </c>
      <c r="G945" s="8">
        <v>500</v>
      </c>
    </row>
    <row r="946" spans="1:7" x14ac:dyDescent="0.15">
      <c r="A946" s="8" t="s">
        <v>3076</v>
      </c>
      <c r="B946" s="8" t="s">
        <v>184</v>
      </c>
      <c r="C946" s="8" t="str">
        <f t="shared" si="16"/>
        <v>protfa</v>
      </c>
      <c r="D946" s="8" t="s">
        <v>14</v>
      </c>
      <c r="E946" s="8" t="s">
        <v>3075</v>
      </c>
      <c r="F946" s="8" t="s">
        <v>3074</v>
      </c>
      <c r="G946" s="8">
        <v>500</v>
      </c>
    </row>
    <row r="947" spans="1:7" x14ac:dyDescent="0.15">
      <c r="A947" s="8" t="s">
        <v>2789</v>
      </c>
      <c r="B947" s="8" t="s">
        <v>184</v>
      </c>
      <c r="C947" s="8" t="str">
        <f t="shared" si="16"/>
        <v>frezza</v>
      </c>
      <c r="D947" s="8" t="s">
        <v>14</v>
      </c>
      <c r="E947" s="8" t="s">
        <v>2790</v>
      </c>
      <c r="F947" s="8" t="s">
        <v>2791</v>
      </c>
      <c r="G947" s="8">
        <v>500</v>
      </c>
    </row>
    <row r="948" spans="1:7" x14ac:dyDescent="0.15">
      <c r="A948" s="8" t="s">
        <v>2792</v>
      </c>
      <c r="B948" s="8" t="s">
        <v>184</v>
      </c>
      <c r="C948" s="8" t="str">
        <f t="shared" si="16"/>
        <v>krueger</v>
      </c>
      <c r="D948" s="8" t="s">
        <v>14</v>
      </c>
      <c r="E948" s="8" t="s">
        <v>2793</v>
      </c>
      <c r="F948" s="8" t="s">
        <v>2794</v>
      </c>
      <c r="G948" s="8">
        <v>500</v>
      </c>
    </row>
    <row r="949" spans="1:7" x14ac:dyDescent="0.15">
      <c r="A949" s="8" t="s">
        <v>2795</v>
      </c>
      <c r="B949" s="8" t="s">
        <v>184</v>
      </c>
      <c r="C949" s="8" t="str">
        <f t="shared" si="16"/>
        <v>rugarli</v>
      </c>
      <c r="D949" s="8" t="s">
        <v>14</v>
      </c>
      <c r="E949" s="8" t="s">
        <v>2796</v>
      </c>
      <c r="F949" s="8" t="s">
        <v>2794</v>
      </c>
      <c r="G949" s="8">
        <v>500</v>
      </c>
    </row>
    <row r="950" spans="1:7" x14ac:dyDescent="0.15">
      <c r="A950" s="8" t="s">
        <v>2797</v>
      </c>
      <c r="B950" s="8" t="s">
        <v>184</v>
      </c>
      <c r="C950" s="8" t="str">
        <f t="shared" si="16"/>
        <v>trifunovic</v>
      </c>
      <c r="D950" s="8" t="s">
        <v>14</v>
      </c>
      <c r="E950" s="8" t="s">
        <v>2798</v>
      </c>
      <c r="F950" s="8" t="s">
        <v>2799</v>
      </c>
      <c r="G950" s="8">
        <v>500</v>
      </c>
    </row>
    <row r="951" spans="1:7" x14ac:dyDescent="0.15">
      <c r="A951" s="8" t="s">
        <v>2951</v>
      </c>
      <c r="B951" s="8" t="s">
        <v>184</v>
      </c>
      <c r="C951" s="8" t="str">
        <f t="shared" si="16"/>
        <v>bergmani</v>
      </c>
      <c r="D951" s="8" t="s">
        <v>14</v>
      </c>
      <c r="E951" s="8" t="s">
        <v>2959</v>
      </c>
      <c r="F951" s="8" t="s">
        <v>2969</v>
      </c>
      <c r="G951" s="8">
        <v>500</v>
      </c>
    </row>
    <row r="952" spans="1:7" x14ac:dyDescent="0.15">
      <c r="A952" s="8" t="s">
        <v>2952</v>
      </c>
      <c r="B952" s="8" t="s">
        <v>184</v>
      </c>
      <c r="C952" s="8" t="str">
        <f t="shared" si="16"/>
        <v>motori</v>
      </c>
      <c r="D952" s="8" t="s">
        <v>14</v>
      </c>
      <c r="E952" s="8" t="s">
        <v>2960</v>
      </c>
      <c r="F952" s="8" t="s">
        <v>2970</v>
      </c>
      <c r="G952" s="8">
        <v>500</v>
      </c>
    </row>
    <row r="953" spans="1:7" x14ac:dyDescent="0.15">
      <c r="A953" s="8" t="s">
        <v>2953</v>
      </c>
      <c r="B953" s="8" t="s">
        <v>184</v>
      </c>
      <c r="C953" s="8" t="str">
        <f t="shared" si="16"/>
        <v>becker</v>
      </c>
      <c r="D953" s="8" t="s">
        <v>14</v>
      </c>
      <c r="E953" s="8" t="s">
        <v>2961</v>
      </c>
      <c r="F953" s="8" t="s">
        <v>2976</v>
      </c>
      <c r="G953" s="8">
        <v>500</v>
      </c>
    </row>
    <row r="954" spans="1:7" x14ac:dyDescent="0.15">
      <c r="A954" s="8" t="s">
        <v>2954</v>
      </c>
      <c r="B954" s="8" t="s">
        <v>184</v>
      </c>
      <c r="C954" s="8" t="str">
        <f t="shared" si="16"/>
        <v>bruening</v>
      </c>
      <c r="D954" s="8" t="s">
        <v>14</v>
      </c>
      <c r="E954" s="8" t="s">
        <v>2974</v>
      </c>
      <c r="F954" s="8" t="s">
        <v>2973</v>
      </c>
      <c r="G954" s="8">
        <v>500</v>
      </c>
    </row>
    <row r="955" spans="1:7" x14ac:dyDescent="0.15">
      <c r="A955" s="8" t="s">
        <v>2963</v>
      </c>
      <c r="B955" s="8" t="s">
        <v>184</v>
      </c>
      <c r="C955" s="8" t="str">
        <f t="shared" si="16"/>
        <v>escobar</v>
      </c>
      <c r="D955" s="8" t="s">
        <v>14</v>
      </c>
      <c r="E955" s="8" t="s">
        <v>2962</v>
      </c>
      <c r="F955" s="8" t="s">
        <v>2971</v>
      </c>
      <c r="G955" s="8">
        <v>500</v>
      </c>
    </row>
    <row r="956" spans="1:7" x14ac:dyDescent="0.15">
      <c r="A956" s="8" t="s">
        <v>2826</v>
      </c>
      <c r="B956" s="8" t="s">
        <v>184</v>
      </c>
      <c r="C956" s="8" t="str">
        <f t="shared" si="16"/>
        <v>garcia</v>
      </c>
      <c r="D956" s="8" t="s">
        <v>14</v>
      </c>
      <c r="E956" s="8" t="s">
        <v>2827</v>
      </c>
      <c r="F956" s="8" t="s">
        <v>2972</v>
      </c>
      <c r="G956" s="8">
        <v>500</v>
      </c>
    </row>
    <row r="957" spans="1:7" x14ac:dyDescent="0.15">
      <c r="A957" s="8" t="s">
        <v>2955</v>
      </c>
      <c r="B957" s="8" t="s">
        <v>184</v>
      </c>
      <c r="C957" s="8" t="str">
        <f t="shared" si="16"/>
        <v>piano</v>
      </c>
      <c r="D957" s="8" t="s">
        <v>14</v>
      </c>
      <c r="E957" s="8" t="s">
        <v>2964</v>
      </c>
      <c r="F957" s="8" t="s">
        <v>2979</v>
      </c>
      <c r="G957" s="8">
        <v>500</v>
      </c>
    </row>
    <row r="958" spans="1:7" x14ac:dyDescent="0.15">
      <c r="A958" s="8" t="s">
        <v>2956</v>
      </c>
      <c r="B958" s="8" t="s">
        <v>184</v>
      </c>
      <c r="C958" s="8" t="str">
        <f t="shared" si="16"/>
        <v>schwarz</v>
      </c>
      <c r="D958" s="8" t="s">
        <v>14</v>
      </c>
      <c r="E958" s="8" t="s">
        <v>2965</v>
      </c>
      <c r="F958" s="8" t="s">
        <v>2975</v>
      </c>
      <c r="G958" s="8">
        <v>500</v>
      </c>
    </row>
    <row r="959" spans="1:7" x14ac:dyDescent="0.15">
      <c r="A959" s="8" t="s">
        <v>2957</v>
      </c>
      <c r="B959" s="8" t="s">
        <v>184</v>
      </c>
      <c r="C959" s="8" t="str">
        <f t="shared" si="16"/>
        <v>corrado</v>
      </c>
      <c r="D959" s="8" t="s">
        <v>14</v>
      </c>
      <c r="E959" s="8" t="s">
        <v>2966</v>
      </c>
      <c r="F959" s="8" t="s">
        <v>2980</v>
      </c>
      <c r="G959" s="8">
        <v>500</v>
      </c>
    </row>
    <row r="960" spans="1:7" x14ac:dyDescent="0.15">
      <c r="A960" s="8" t="s">
        <v>2958</v>
      </c>
      <c r="B960" s="8" t="s">
        <v>184</v>
      </c>
      <c r="C960" s="8" t="str">
        <f t="shared" si="16"/>
        <v>eming</v>
      </c>
      <c r="D960" s="8" t="s">
        <v>14</v>
      </c>
      <c r="E960" s="8" t="s">
        <v>2967</v>
      </c>
      <c r="F960" s="8" t="s">
        <v>2968</v>
      </c>
      <c r="G960" s="8">
        <v>500</v>
      </c>
    </row>
    <row r="961" spans="1:7" x14ac:dyDescent="0.15">
      <c r="A961" s="8" t="s">
        <v>2823</v>
      </c>
      <c r="B961" s="8" t="s">
        <v>184</v>
      </c>
      <c r="C961" s="8" t="str">
        <f t="shared" si="16"/>
        <v>hoppe</v>
      </c>
      <c r="D961" s="8" t="s">
        <v>14</v>
      </c>
      <c r="E961" s="8" t="s">
        <v>2824</v>
      </c>
      <c r="F961" s="8" t="s">
        <v>2825</v>
      </c>
      <c r="G961" s="8">
        <v>500</v>
      </c>
    </row>
    <row r="962" spans="1:7" x14ac:dyDescent="0.15">
      <c r="A962" s="8" t="s">
        <v>2826</v>
      </c>
      <c r="B962" s="8" t="s">
        <v>184</v>
      </c>
      <c r="C962" s="8" t="str">
        <f t="shared" si="16"/>
        <v>garcia</v>
      </c>
      <c r="D962" s="8" t="s">
        <v>14</v>
      </c>
      <c r="E962" s="8" t="s">
        <v>2827</v>
      </c>
      <c r="F962" s="8" t="s">
        <v>2825</v>
      </c>
      <c r="G962" s="8">
        <v>500</v>
      </c>
    </row>
    <row r="963" spans="1:7" x14ac:dyDescent="0.15">
      <c r="A963" s="8" t="s">
        <v>2828</v>
      </c>
      <c r="B963" s="8" t="s">
        <v>184</v>
      </c>
      <c r="C963" s="8" t="str">
        <f t="shared" si="16"/>
        <v>khaskar</v>
      </c>
      <c r="D963" s="8" t="s">
        <v>14</v>
      </c>
      <c r="E963" s="8" t="s">
        <v>2829</v>
      </c>
      <c r="F963" s="8" t="s">
        <v>2830</v>
      </c>
      <c r="G963" s="8">
        <v>500</v>
      </c>
    </row>
    <row r="964" spans="1:7" x14ac:dyDescent="0.15">
      <c r="A964" s="8" t="s">
        <v>2947</v>
      </c>
      <c r="B964" s="8" t="s">
        <v>184</v>
      </c>
      <c r="C964" s="8" t="str">
        <f t="shared" si="16"/>
        <v>riemer</v>
      </c>
      <c r="D964" s="8" t="s">
        <v>14</v>
      </c>
      <c r="E964" s="8" t="s">
        <v>2948</v>
      </c>
      <c r="F964" s="8" t="s">
        <v>2949</v>
      </c>
      <c r="G964" s="8">
        <v>500</v>
      </c>
    </row>
    <row r="965" spans="1:7" x14ac:dyDescent="0.15">
      <c r="A965" s="8" t="s">
        <v>2743</v>
      </c>
      <c r="B965" s="20" t="s">
        <v>2739</v>
      </c>
      <c r="C965" s="8" t="str">
        <f t="shared" si="16"/>
        <v>wd</v>
      </c>
      <c r="D965" s="8" t="s">
        <v>14</v>
      </c>
      <c r="E965" s="8" t="s">
        <v>2742</v>
      </c>
      <c r="F965" s="8" t="s">
        <v>2741</v>
      </c>
      <c r="G965" s="8">
        <v>500</v>
      </c>
    </row>
    <row r="966" spans="1:7" x14ac:dyDescent="0.15">
      <c r="A966" s="8" t="s">
        <v>2744</v>
      </c>
      <c r="B966" s="20" t="s">
        <v>2739</v>
      </c>
      <c r="C966" s="8" t="str">
        <f t="shared" si="16"/>
        <v>sd</v>
      </c>
      <c r="D966" s="8" t="s">
        <v>14</v>
      </c>
      <c r="E966" s="8" t="s">
        <v>2745</v>
      </c>
      <c r="G966" s="8">
        <v>500</v>
      </c>
    </row>
    <row r="967" spans="1:7" x14ac:dyDescent="0.15">
      <c r="A967" s="8" t="s">
        <v>2746</v>
      </c>
      <c r="B967" s="20" t="s">
        <v>2739</v>
      </c>
      <c r="C967" s="8" t="str">
        <f t="shared" si="16"/>
        <v>veg</v>
      </c>
      <c r="D967" s="8" t="s">
        <v>14</v>
      </c>
      <c r="E967" s="8" t="s">
        <v>2747</v>
      </c>
      <c r="F967" s="8" t="s">
        <v>2748</v>
      </c>
      <c r="G967" s="8">
        <v>500</v>
      </c>
    </row>
    <row r="968" spans="1:7" x14ac:dyDescent="0.15">
      <c r="A968" s="8" t="s">
        <v>2751</v>
      </c>
      <c r="B968" s="20" t="s">
        <v>2739</v>
      </c>
      <c r="C968" s="8" t="str">
        <f t="shared" si="16"/>
        <v>hg</v>
      </c>
      <c r="D968" s="8" t="s">
        <v>14</v>
      </c>
      <c r="E968" s="8" t="s">
        <v>2749</v>
      </c>
      <c r="F968" s="8" t="s">
        <v>2750</v>
      </c>
      <c r="G968" s="8">
        <v>500</v>
      </c>
    </row>
    <row r="969" spans="1:7" x14ac:dyDescent="0.15">
      <c r="A969" s="8" t="s">
        <v>2754</v>
      </c>
      <c r="B969" s="8" t="s">
        <v>2739</v>
      </c>
      <c r="C969" s="8" t="str">
        <f t="shared" si="16"/>
        <v>hfd</v>
      </c>
      <c r="D969" s="8" t="s">
        <v>14</v>
      </c>
      <c r="E969" s="8" t="s">
        <v>2752</v>
      </c>
      <c r="F969" s="8" t="s">
        <v>2753</v>
      </c>
      <c r="G969" s="8">
        <v>500</v>
      </c>
    </row>
    <row r="970" spans="1:7" x14ac:dyDescent="0.15">
      <c r="A970" s="8" t="s">
        <v>2489</v>
      </c>
      <c r="B970" s="8" t="s">
        <v>58</v>
      </c>
      <c r="C970" s="8" t="str">
        <f t="shared" si="16"/>
        <v>lps</v>
      </c>
      <c r="D970" s="8" t="s">
        <v>14</v>
      </c>
      <c r="E970" s="8" t="s">
        <v>2490</v>
      </c>
      <c r="F970" s="8" t="s">
        <v>2491</v>
      </c>
      <c r="G970" s="8">
        <v>500</v>
      </c>
    </row>
    <row r="971" spans="1:7" x14ac:dyDescent="0.15">
      <c r="A971" s="8" t="s">
        <v>2500</v>
      </c>
      <c r="B971" s="8" t="s">
        <v>58</v>
      </c>
      <c r="C971" s="8" t="str">
        <f t="shared" si="16"/>
        <v>r848</v>
      </c>
      <c r="D971" s="8" t="s">
        <v>14</v>
      </c>
      <c r="E971" s="8" t="s">
        <v>2501</v>
      </c>
      <c r="F971" s="8" t="s">
        <v>2894</v>
      </c>
      <c r="G971" s="8">
        <v>500</v>
      </c>
    </row>
    <row r="972" spans="1:7" x14ac:dyDescent="0.15">
      <c r="A972" s="8" t="s">
        <v>3135</v>
      </c>
      <c r="B972" s="8" t="s">
        <v>58</v>
      </c>
      <c r="C972" s="8" t="str">
        <f t="shared" si="16"/>
        <v>mitoblock10</v>
      </c>
      <c r="D972" s="8" t="s">
        <v>14</v>
      </c>
      <c r="E972" s="8" t="s">
        <v>3133</v>
      </c>
      <c r="F972" s="8" t="s">
        <v>3134</v>
      </c>
      <c r="G972" s="8">
        <v>500</v>
      </c>
    </row>
    <row r="973" spans="1:7" x14ac:dyDescent="0.15">
      <c r="A973" s="8" t="s">
        <v>3174</v>
      </c>
      <c r="B973" s="8" t="s">
        <v>58</v>
      </c>
      <c r="C973" s="8" t="str">
        <f t="shared" si="16"/>
        <v>ifng</v>
      </c>
      <c r="D973" s="8" t="s">
        <v>14</v>
      </c>
      <c r="E973" s="8" t="s">
        <v>3175</v>
      </c>
      <c r="F973" s="8" t="s">
        <v>3176</v>
      </c>
      <c r="G973" s="8">
        <v>500</v>
      </c>
    </row>
    <row r="974" spans="1:7" x14ac:dyDescent="0.15">
      <c r="A974" s="8" t="s">
        <v>3177</v>
      </c>
      <c r="B974" s="8" t="s">
        <v>58</v>
      </c>
      <c r="C974" s="8" t="str">
        <f t="shared" si="16"/>
        <v>il4</v>
      </c>
      <c r="D974" s="8" t="s">
        <v>14</v>
      </c>
      <c r="E974" s="8" t="s">
        <v>3178</v>
      </c>
      <c r="F974" s="8" t="s">
        <v>3179</v>
      </c>
      <c r="G974" s="8">
        <v>500</v>
      </c>
    </row>
    <row r="975" spans="1:7" x14ac:dyDescent="0.15">
      <c r="A975" s="8" t="s">
        <v>3180</v>
      </c>
      <c r="B975" s="8" t="s">
        <v>58</v>
      </c>
      <c r="C975" s="8" t="str">
        <f t="shared" si="16"/>
        <v>il13</v>
      </c>
      <c r="D975" s="8" t="s">
        <v>14</v>
      </c>
      <c r="E975" s="8" t="s">
        <v>3181</v>
      </c>
      <c r="F975" s="8" t="s">
        <v>3182</v>
      </c>
      <c r="G975" s="8">
        <v>500</v>
      </c>
    </row>
    <row r="976" spans="1:7" x14ac:dyDescent="0.15">
      <c r="A976" s="8" t="s">
        <v>3183</v>
      </c>
      <c r="B976" s="8" t="s">
        <v>58</v>
      </c>
      <c r="C976" s="8" t="str">
        <f t="shared" si="16"/>
        <v>asynlow</v>
      </c>
      <c r="D976" s="8" t="s">
        <v>14</v>
      </c>
      <c r="E976" s="8" t="s">
        <v>3184</v>
      </c>
      <c r="F976" s="8" t="s">
        <v>3187</v>
      </c>
      <c r="G976" s="8">
        <v>500</v>
      </c>
    </row>
    <row r="977" spans="1:7" x14ac:dyDescent="0.15">
      <c r="A977" s="8" t="s">
        <v>3185</v>
      </c>
      <c r="B977" s="8" t="s">
        <v>58</v>
      </c>
      <c r="C977" s="8" t="str">
        <f t="shared" si="16"/>
        <v>asynhigh</v>
      </c>
      <c r="D977" s="8" t="s">
        <v>14</v>
      </c>
      <c r="E977" s="8" t="s">
        <v>3186</v>
      </c>
      <c r="F977" s="8" t="s">
        <v>3188</v>
      </c>
      <c r="G977" s="8">
        <v>500</v>
      </c>
    </row>
    <row r="978" spans="1:7" x14ac:dyDescent="0.15">
      <c r="A978" s="8" t="s">
        <v>2895</v>
      </c>
      <c r="B978" s="8" t="s">
        <v>36</v>
      </c>
      <c r="C978" s="8" t="str">
        <f t="shared" si="16"/>
        <v>mdc</v>
      </c>
      <c r="D978" s="8" t="s">
        <v>14</v>
      </c>
      <c r="E978" s="8" t="s">
        <v>2916</v>
      </c>
      <c r="F978" s="8" t="s">
        <v>2915</v>
      </c>
      <c r="G978" s="8">
        <v>500</v>
      </c>
    </row>
    <row r="979" spans="1:7" x14ac:dyDescent="0.15">
      <c r="A979" s="8" t="s">
        <v>2896</v>
      </c>
      <c r="B979" s="8" t="s">
        <v>36</v>
      </c>
      <c r="C979" s="8" t="str">
        <f t="shared" si="16"/>
        <v>mtregs</v>
      </c>
      <c r="D979" s="8" t="s">
        <v>14</v>
      </c>
      <c r="E979" s="8" t="s">
        <v>2914</v>
      </c>
      <c r="F979" s="8" t="s">
        <v>2913</v>
      </c>
      <c r="G979" s="8">
        <v>500</v>
      </c>
    </row>
    <row r="980" spans="1:7" x14ac:dyDescent="0.15">
      <c r="A980" s="8" t="s">
        <v>2897</v>
      </c>
      <c r="B980" s="8" t="s">
        <v>36</v>
      </c>
      <c r="C980" s="8" t="str">
        <f t="shared" si="16"/>
        <v>pdc</v>
      </c>
      <c r="D980" s="8" t="s">
        <v>14</v>
      </c>
      <c r="E980" s="8" t="s">
        <v>2917</v>
      </c>
      <c r="F980" s="8" t="s">
        <v>2912</v>
      </c>
      <c r="G980" s="8">
        <v>500</v>
      </c>
    </row>
    <row r="981" spans="1:7" x14ac:dyDescent="0.15">
      <c r="A981" s="8" t="s">
        <v>2898</v>
      </c>
      <c r="B981" s="8" t="s">
        <v>36</v>
      </c>
      <c r="C981" s="8" t="str">
        <f t="shared" ref="C981:C1024" si="17">A981</f>
        <v>attregs</v>
      </c>
      <c r="D981" s="8" t="s">
        <v>14</v>
      </c>
      <c r="E981" s="8" t="s">
        <v>2911</v>
      </c>
      <c r="F981" s="8" t="s">
        <v>2918</v>
      </c>
      <c r="G981" s="8">
        <v>500</v>
      </c>
    </row>
    <row r="982" spans="1:7" x14ac:dyDescent="0.15">
      <c r="A982" s="8" t="s">
        <v>2899</v>
      </c>
      <c r="B982" s="8" t="s">
        <v>36</v>
      </c>
      <c r="C982" s="8" t="str">
        <f t="shared" si="17"/>
        <v>infdc</v>
      </c>
      <c r="D982" s="8" t="s">
        <v>14</v>
      </c>
      <c r="E982" s="8" t="s">
        <v>2910</v>
      </c>
      <c r="F982" s="8" t="s">
        <v>2909</v>
      </c>
      <c r="G982" s="8">
        <v>500</v>
      </c>
    </row>
    <row r="983" spans="1:7" x14ac:dyDescent="0.15">
      <c r="A983" s="8" t="s">
        <v>2900</v>
      </c>
      <c r="B983" s="8" t="s">
        <v>36</v>
      </c>
      <c r="C983" s="8" t="str">
        <f t="shared" si="17"/>
        <v>itgres</v>
      </c>
      <c r="D983" s="8" t="s">
        <v>14</v>
      </c>
      <c r="E983" s="8" t="s">
        <v>2908</v>
      </c>
      <c r="F983" s="8" t="s">
        <v>2907</v>
      </c>
      <c r="G983" s="8">
        <v>500</v>
      </c>
    </row>
    <row r="984" spans="1:7" x14ac:dyDescent="0.15">
      <c r="A984" s="8" t="s">
        <v>2901</v>
      </c>
      <c r="B984" s="8" t="s">
        <v>36</v>
      </c>
      <c r="C984" s="8" t="str">
        <f t="shared" si="17"/>
        <v>dendritic</v>
      </c>
      <c r="D984" s="8" t="s">
        <v>14</v>
      </c>
      <c r="E984" s="8" t="s">
        <v>2906</v>
      </c>
      <c r="F984" s="8" t="s">
        <v>2905</v>
      </c>
      <c r="G984" s="8">
        <v>500</v>
      </c>
    </row>
    <row r="985" spans="1:7" x14ac:dyDescent="0.15">
      <c r="A985" s="8" t="s">
        <v>2902</v>
      </c>
      <c r="B985" s="8" t="s">
        <v>36</v>
      </c>
      <c r="C985" s="8" t="str">
        <f t="shared" si="17"/>
        <v>ememcell</v>
      </c>
      <c r="D985" s="8" t="s">
        <v>14</v>
      </c>
      <c r="E985" s="8" t="s">
        <v>2904</v>
      </c>
      <c r="F985" s="8" t="s">
        <v>2903</v>
      </c>
      <c r="G985" s="8">
        <v>500</v>
      </c>
    </row>
    <row r="986" spans="1:7" x14ac:dyDescent="0.15">
      <c r="A986" s="8" t="s">
        <v>2919</v>
      </c>
      <c r="B986" s="8" t="s">
        <v>2837</v>
      </c>
      <c r="C986" s="8" t="str">
        <f t="shared" si="17"/>
        <v>supernatant</v>
      </c>
      <c r="D986" s="8" t="s">
        <v>14</v>
      </c>
      <c r="E986" s="8" t="s">
        <v>2920</v>
      </c>
      <c r="F986" s="8" t="s">
        <v>2921</v>
      </c>
      <c r="G986" s="8">
        <v>500</v>
      </c>
    </row>
    <row r="987" spans="1:7" x14ac:dyDescent="0.15">
      <c r="A987" s="8" t="s">
        <v>2923</v>
      </c>
      <c r="B987" s="8" t="s">
        <v>2922</v>
      </c>
      <c r="C987" s="8" t="str">
        <f t="shared" si="17"/>
        <v>leftatrium</v>
      </c>
      <c r="D987" s="8" t="s">
        <v>14</v>
      </c>
      <c r="E987" s="8" t="s">
        <v>2924</v>
      </c>
      <c r="F987" s="8" t="s">
        <v>2925</v>
      </c>
      <c r="G987" s="8">
        <v>500</v>
      </c>
    </row>
    <row r="988" spans="1:7" x14ac:dyDescent="0.15">
      <c r="A988" s="8" t="s">
        <v>2926</v>
      </c>
      <c r="B988" s="8" t="s">
        <v>2922</v>
      </c>
      <c r="C988" s="8" t="str">
        <f t="shared" si="17"/>
        <v>rightatrium</v>
      </c>
      <c r="D988" s="8" t="s">
        <v>14</v>
      </c>
      <c r="E988" s="8" t="s">
        <v>2927</v>
      </c>
      <c r="F988" s="8" t="s">
        <v>2928</v>
      </c>
      <c r="G988" s="8">
        <v>500</v>
      </c>
    </row>
    <row r="989" spans="1:7" x14ac:dyDescent="0.15">
      <c r="A989" s="8" t="s">
        <v>2945</v>
      </c>
      <c r="B989" s="8" t="s">
        <v>2922</v>
      </c>
      <c r="C989" s="8" t="str">
        <f t="shared" si="17"/>
        <v>leftventri</v>
      </c>
      <c r="D989" s="8" t="s">
        <v>14</v>
      </c>
      <c r="E989" s="8" t="s">
        <v>2943</v>
      </c>
      <c r="F989" s="8" t="s">
        <v>2929</v>
      </c>
      <c r="G989" s="8">
        <v>500</v>
      </c>
    </row>
    <row r="990" spans="1:7" x14ac:dyDescent="0.15">
      <c r="A990" s="8" t="s">
        <v>2946</v>
      </c>
      <c r="B990" s="8" t="s">
        <v>2922</v>
      </c>
      <c r="C990" s="8" t="str">
        <f t="shared" si="17"/>
        <v>rightventri</v>
      </c>
      <c r="D990" s="8" t="s">
        <v>14</v>
      </c>
      <c r="E990" s="8" t="s">
        <v>2944</v>
      </c>
      <c r="F990" s="8" t="s">
        <v>2929</v>
      </c>
      <c r="G990" s="8">
        <v>500</v>
      </c>
    </row>
    <row r="991" spans="1:7" x14ac:dyDescent="0.15">
      <c r="A991" s="8" t="s">
        <v>3012</v>
      </c>
      <c r="B991" s="8" t="s">
        <v>3010</v>
      </c>
      <c r="C991" s="8" t="str">
        <f t="shared" si="17"/>
        <v>type1</v>
      </c>
      <c r="D991" s="8" t="s">
        <v>14</v>
      </c>
      <c r="E991" s="8" t="s">
        <v>3030</v>
      </c>
      <c r="F991" s="8" t="s">
        <v>3035</v>
      </c>
      <c r="G991" s="8">
        <v>500</v>
      </c>
    </row>
    <row r="992" spans="1:7" x14ac:dyDescent="0.15">
      <c r="A992" s="8" t="s">
        <v>3013</v>
      </c>
      <c r="B992" s="8" t="s">
        <v>3010</v>
      </c>
      <c r="C992" s="8" t="str">
        <f t="shared" si="17"/>
        <v>type2a</v>
      </c>
      <c r="D992" s="8" t="s">
        <v>14</v>
      </c>
      <c r="E992" s="8" t="s">
        <v>3031</v>
      </c>
      <c r="F992" s="8" t="s">
        <v>3036</v>
      </c>
      <c r="G992" s="8">
        <v>500</v>
      </c>
    </row>
    <row r="993" spans="1:7" x14ac:dyDescent="0.15">
      <c r="A993" s="8" t="s">
        <v>3014</v>
      </c>
      <c r="B993" s="8" t="s">
        <v>3010</v>
      </c>
      <c r="C993" s="8" t="str">
        <f t="shared" si="17"/>
        <v>type2b</v>
      </c>
      <c r="D993" s="8" t="s">
        <v>14</v>
      </c>
      <c r="E993" s="8" t="s">
        <v>3032</v>
      </c>
      <c r="F993" s="8" t="s">
        <v>3037</v>
      </c>
      <c r="G993" s="8">
        <v>500</v>
      </c>
    </row>
    <row r="994" spans="1:7" x14ac:dyDescent="0.15">
      <c r="A994" s="8" t="s">
        <v>3015</v>
      </c>
      <c r="B994" s="8" t="s">
        <v>3010</v>
      </c>
      <c r="C994" s="8" t="str">
        <f t="shared" si="17"/>
        <v>type2x</v>
      </c>
      <c r="D994" s="8" t="s">
        <v>14</v>
      </c>
      <c r="E994" s="8" t="s">
        <v>3033</v>
      </c>
      <c r="F994" s="8" t="s">
        <v>3038</v>
      </c>
      <c r="G994" s="8">
        <v>500</v>
      </c>
    </row>
    <row r="995" spans="1:7" x14ac:dyDescent="0.15">
      <c r="A995" s="8" t="s">
        <v>3016</v>
      </c>
      <c r="B995" s="8" t="s">
        <v>3010</v>
      </c>
      <c r="C995" s="8" t="str">
        <f t="shared" si="17"/>
        <v>type2d</v>
      </c>
      <c r="D995" s="8" t="s">
        <v>14</v>
      </c>
      <c r="E995" s="8" t="s">
        <v>3034</v>
      </c>
      <c r="F995" s="8" t="s">
        <v>3017</v>
      </c>
      <c r="G995" s="8">
        <v>500</v>
      </c>
    </row>
    <row r="996" spans="1:7" x14ac:dyDescent="0.15">
      <c r="A996" s="8" t="s">
        <v>3018</v>
      </c>
      <c r="B996" s="8" t="s">
        <v>3010</v>
      </c>
      <c r="C996" s="8" t="str">
        <f t="shared" si="17"/>
        <v>mixedt12a</v>
      </c>
      <c r="D996" s="8" t="s">
        <v>14</v>
      </c>
      <c r="E996" s="8" t="s">
        <v>3019</v>
      </c>
      <c r="F996" s="8" t="s">
        <v>3040</v>
      </c>
      <c r="G996" s="8">
        <v>500</v>
      </c>
    </row>
    <row r="997" spans="1:7" x14ac:dyDescent="0.15">
      <c r="A997" s="8" t="s">
        <v>3020</v>
      </c>
      <c r="B997" s="8" t="s">
        <v>3010</v>
      </c>
      <c r="C997" s="8" t="str">
        <f t="shared" si="17"/>
        <v>mixedt12x</v>
      </c>
      <c r="D997" s="8" t="s">
        <v>14</v>
      </c>
      <c r="E997" s="8" t="s">
        <v>3021</v>
      </c>
      <c r="F997" s="8" t="s">
        <v>3039</v>
      </c>
      <c r="G997" s="8">
        <v>500</v>
      </c>
    </row>
    <row r="998" spans="1:7" x14ac:dyDescent="0.15">
      <c r="A998" s="8" t="s">
        <v>3022</v>
      </c>
      <c r="B998" s="8" t="s">
        <v>3010</v>
      </c>
      <c r="C998" s="8" t="str">
        <f t="shared" si="17"/>
        <v>mixedt1tb</v>
      </c>
      <c r="D998" s="8" t="s">
        <v>14</v>
      </c>
      <c r="E998" s="8" t="s">
        <v>3023</v>
      </c>
      <c r="F998" s="8" t="s">
        <v>3041</v>
      </c>
      <c r="G998" s="8">
        <v>500</v>
      </c>
    </row>
    <row r="999" spans="1:7" x14ac:dyDescent="0.15">
      <c r="A999" s="8" t="s">
        <v>3024</v>
      </c>
      <c r="B999" s="8" t="s">
        <v>3010</v>
      </c>
      <c r="C999" s="8" t="str">
        <f t="shared" si="17"/>
        <v>mixed2a2b</v>
      </c>
      <c r="D999" s="8" t="s">
        <v>14</v>
      </c>
      <c r="E999" s="8" t="s">
        <v>3025</v>
      </c>
      <c r="F999" s="8" t="s">
        <v>3042</v>
      </c>
      <c r="G999" s="8">
        <v>500</v>
      </c>
    </row>
    <row r="1000" spans="1:7" x14ac:dyDescent="0.15">
      <c r="A1000" s="8" t="s">
        <v>3026</v>
      </c>
      <c r="B1000" s="8" t="s">
        <v>3010</v>
      </c>
      <c r="C1000" s="8" t="str">
        <f t="shared" si="17"/>
        <v>mixed2a2x</v>
      </c>
      <c r="D1000" s="8" t="s">
        <v>14</v>
      </c>
      <c r="E1000" s="8" t="s">
        <v>3027</v>
      </c>
      <c r="F1000" s="8" t="s">
        <v>3043</v>
      </c>
      <c r="G1000" s="8">
        <v>500</v>
      </c>
    </row>
    <row r="1001" spans="1:7" x14ac:dyDescent="0.15">
      <c r="A1001" s="8" t="s">
        <v>3028</v>
      </c>
      <c r="B1001" s="8" t="s">
        <v>3010</v>
      </c>
      <c r="C1001" s="8" t="str">
        <f t="shared" si="17"/>
        <v>mixed2b2x</v>
      </c>
      <c r="D1001" s="8" t="s">
        <v>14</v>
      </c>
      <c r="E1001" s="8" t="s">
        <v>3029</v>
      </c>
      <c r="F1001" s="8" t="s">
        <v>3044</v>
      </c>
      <c r="G1001" s="8">
        <v>500</v>
      </c>
    </row>
    <row r="1002" spans="1:7" x14ac:dyDescent="0.15">
      <c r="A1002" s="8" t="s">
        <v>3147</v>
      </c>
      <c r="B1002" s="8" t="s">
        <v>3088</v>
      </c>
      <c r="C1002" s="8" t="str">
        <f t="shared" si="17"/>
        <v>sol_pellet</v>
      </c>
      <c r="D1002" s="8" t="s">
        <v>14</v>
      </c>
      <c r="E1002" s="8" t="s">
        <v>3083</v>
      </c>
      <c r="F1002" s="8" t="s">
        <v>3089</v>
      </c>
      <c r="G1002" s="8">
        <v>500</v>
      </c>
    </row>
    <row r="1003" spans="1:7" x14ac:dyDescent="0.15">
      <c r="A1003" s="8" t="s">
        <v>3146</v>
      </c>
      <c r="B1003" s="8" t="s">
        <v>3088</v>
      </c>
      <c r="C1003" s="8" t="str">
        <f t="shared" si="17"/>
        <v>sol_total</v>
      </c>
      <c r="D1003" s="8" t="s">
        <v>14</v>
      </c>
      <c r="E1003" s="8" t="s">
        <v>1181</v>
      </c>
      <c r="F1003" s="8" t="s">
        <v>3090</v>
      </c>
      <c r="G1003" s="8">
        <v>500</v>
      </c>
    </row>
    <row r="1004" spans="1:7" x14ac:dyDescent="0.15">
      <c r="A1004" s="8" t="s">
        <v>3148</v>
      </c>
      <c r="B1004" s="8" t="s">
        <v>3088</v>
      </c>
      <c r="C1004" s="8" t="str">
        <f t="shared" si="17"/>
        <v>sol_supernatant</v>
      </c>
      <c r="D1004" s="8" t="s">
        <v>14</v>
      </c>
      <c r="E1004" s="8" t="s">
        <v>2920</v>
      </c>
      <c r="F1004" s="8" t="s">
        <v>3091</v>
      </c>
      <c r="G1004" s="8">
        <v>500</v>
      </c>
    </row>
    <row r="1005" spans="1:7" x14ac:dyDescent="0.15">
      <c r="A1005" s="8">
        <v>275</v>
      </c>
      <c r="B1005" s="8" t="s">
        <v>34</v>
      </c>
      <c r="C1005" s="8">
        <f t="shared" si="17"/>
        <v>275</v>
      </c>
      <c r="D1005" s="8" t="s">
        <v>14</v>
      </c>
      <c r="E1005" s="8">
        <v>275</v>
      </c>
      <c r="F1005" s="8" t="s">
        <v>14</v>
      </c>
      <c r="G1005" s="8">
        <v>500</v>
      </c>
    </row>
    <row r="1006" spans="1:7" x14ac:dyDescent="0.15">
      <c r="A1006" s="8">
        <v>320</v>
      </c>
      <c r="B1006" s="8" t="s">
        <v>34</v>
      </c>
      <c r="C1006" s="8">
        <f t="shared" si="17"/>
        <v>320</v>
      </c>
      <c r="D1006" s="8" t="s">
        <v>14</v>
      </c>
      <c r="E1006" s="8">
        <v>320</v>
      </c>
      <c r="F1006" s="8" t="s">
        <v>14</v>
      </c>
      <c r="G1006" s="8">
        <v>500</v>
      </c>
    </row>
    <row r="1007" spans="1:7" x14ac:dyDescent="0.15">
      <c r="A1007" s="8">
        <v>-45</v>
      </c>
      <c r="B1007" s="8" t="s">
        <v>89</v>
      </c>
      <c r="C1007" s="8">
        <f t="shared" si="17"/>
        <v>-45</v>
      </c>
      <c r="D1007" s="8" t="s">
        <v>14</v>
      </c>
      <c r="E1007" s="8">
        <v>-45</v>
      </c>
      <c r="F1007" s="8" t="s">
        <v>14</v>
      </c>
      <c r="G1007" s="8">
        <v>500</v>
      </c>
    </row>
    <row r="1008" spans="1:7" x14ac:dyDescent="0.15">
      <c r="A1008" s="8" t="s">
        <v>3124</v>
      </c>
      <c r="B1008" s="8" t="s">
        <v>3123</v>
      </c>
      <c r="C1008" s="8" t="str">
        <f t="shared" si="17"/>
        <v>input</v>
      </c>
      <c r="D1008" s="8" t="s">
        <v>14</v>
      </c>
      <c r="E1008" s="8" t="s">
        <v>3125</v>
      </c>
      <c r="F1008" t="s">
        <v>3126</v>
      </c>
      <c r="G1008" s="8">
        <v>500</v>
      </c>
    </row>
    <row r="1009" spans="1:7" x14ac:dyDescent="0.15">
      <c r="A1009" s="8" t="s">
        <v>3130</v>
      </c>
      <c r="B1009" s="8" t="s">
        <v>3123</v>
      </c>
      <c r="C1009" s="8" t="str">
        <f t="shared" si="17"/>
        <v>elution</v>
      </c>
      <c r="D1009" s="8" t="s">
        <v>14</v>
      </c>
      <c r="E1009" s="8" t="s">
        <v>3127</v>
      </c>
      <c r="F1009" s="8" t="s">
        <v>3132</v>
      </c>
      <c r="G1009" s="8">
        <v>500</v>
      </c>
    </row>
    <row r="1010" spans="1:7" x14ac:dyDescent="0.15">
      <c r="A1010" s="8" t="s">
        <v>3129</v>
      </c>
      <c r="B1010" s="8" t="s">
        <v>3123</v>
      </c>
      <c r="C1010" s="8" t="str">
        <f t="shared" si="17"/>
        <v>wash</v>
      </c>
      <c r="D1010" s="8" t="s">
        <v>14</v>
      </c>
      <c r="E1010" s="8" t="s">
        <v>3128</v>
      </c>
      <c r="F1010" s="8" t="s">
        <v>3131</v>
      </c>
      <c r="G1010" s="8">
        <v>500</v>
      </c>
    </row>
    <row r="1011" spans="1:7" ht="16" x14ac:dyDescent="0.2">
      <c r="A1011" s="8" t="s">
        <v>3137</v>
      </c>
      <c r="B1011" s="31" t="s">
        <v>3139</v>
      </c>
      <c r="C1011" s="8" t="str">
        <f t="shared" si="17"/>
        <v>fbs</v>
      </c>
      <c r="D1011" s="8" t="s">
        <v>14</v>
      </c>
      <c r="E1011" s="8" t="s">
        <v>3140</v>
      </c>
      <c r="F1011" s="24" t="s">
        <v>3143</v>
      </c>
      <c r="G1011" s="8">
        <v>500</v>
      </c>
    </row>
    <row r="1012" spans="1:7" ht="16" x14ac:dyDescent="0.2">
      <c r="A1012" s="8" t="s">
        <v>3138</v>
      </c>
      <c r="B1012" s="31" t="s">
        <v>3139</v>
      </c>
      <c r="C1012" s="8" t="str">
        <f t="shared" si="17"/>
        <v>nofbs</v>
      </c>
      <c r="D1012" s="8" t="s">
        <v>14</v>
      </c>
      <c r="E1012" s="8" t="s">
        <v>3141</v>
      </c>
      <c r="F1012" s="8" t="s">
        <v>3142</v>
      </c>
      <c r="G1012" s="8">
        <v>500</v>
      </c>
    </row>
    <row r="1013" spans="1:7" x14ac:dyDescent="0.15">
      <c r="A1013" s="8" t="s">
        <v>3149</v>
      </c>
      <c r="B1013" s="8" t="s">
        <v>3145</v>
      </c>
      <c r="C1013" s="8" t="str">
        <f t="shared" si="17"/>
        <v>embryo</v>
      </c>
      <c r="D1013" s="8" t="s">
        <v>14</v>
      </c>
      <c r="E1013" s="8" t="s">
        <v>3154</v>
      </c>
      <c r="F1013" s="8" t="s">
        <v>3153</v>
      </c>
      <c r="G1013" s="8">
        <v>500</v>
      </c>
    </row>
    <row r="1014" spans="1:7" x14ac:dyDescent="0.15">
      <c r="A1014" s="8" t="s">
        <v>3150</v>
      </c>
      <c r="B1014" s="8" t="s">
        <v>3145</v>
      </c>
      <c r="C1014" s="8" t="str">
        <f t="shared" si="17"/>
        <v>young</v>
      </c>
      <c r="D1014" s="8" t="s">
        <v>14</v>
      </c>
      <c r="E1014" s="8" t="s">
        <v>3155</v>
      </c>
      <c r="F1014" s="8" t="s">
        <v>3158</v>
      </c>
      <c r="G1014" s="8">
        <v>500</v>
      </c>
    </row>
    <row r="1015" spans="1:7" x14ac:dyDescent="0.15">
      <c r="A1015" s="8" t="s">
        <v>3151</v>
      </c>
      <c r="B1015" s="8" t="s">
        <v>3145</v>
      </c>
      <c r="C1015" s="8" t="str">
        <f t="shared" si="17"/>
        <v>adult</v>
      </c>
      <c r="D1015" s="8" t="s">
        <v>14</v>
      </c>
      <c r="E1015" s="8" t="s">
        <v>3156</v>
      </c>
      <c r="F1015" s="8" t="s">
        <v>3160</v>
      </c>
      <c r="G1015" s="8">
        <v>500</v>
      </c>
    </row>
    <row r="1016" spans="1:7" x14ac:dyDescent="0.15">
      <c r="A1016" s="8" t="s">
        <v>3152</v>
      </c>
      <c r="B1016" s="8" t="s">
        <v>3145</v>
      </c>
      <c r="C1016" s="8" t="str">
        <f t="shared" si="17"/>
        <v>old</v>
      </c>
      <c r="D1016" s="8" t="s">
        <v>14</v>
      </c>
      <c r="E1016" s="8" t="s">
        <v>3157</v>
      </c>
      <c r="F1016" s="8" t="s">
        <v>3159</v>
      </c>
      <c r="G1016" s="8">
        <v>500</v>
      </c>
    </row>
    <row r="1017" spans="1:7" x14ac:dyDescent="0.15">
      <c r="A1017" s="8" t="s">
        <v>3163</v>
      </c>
      <c r="B1017" s="8" t="s">
        <v>3161</v>
      </c>
      <c r="C1017" s="8" t="str">
        <f t="shared" si="17"/>
        <v>qc_hela</v>
      </c>
      <c r="D1017" s="8" t="s">
        <v>14</v>
      </c>
      <c r="E1017" s="8" t="s">
        <v>3164</v>
      </c>
      <c r="F1017" s="8" t="s">
        <v>3165</v>
      </c>
      <c r="G1017" s="8">
        <v>500</v>
      </c>
    </row>
    <row r="1018" spans="1:7" x14ac:dyDescent="0.15">
      <c r="A1018" s="8" t="s">
        <v>3166</v>
      </c>
      <c r="B1018" s="8" t="s">
        <v>3161</v>
      </c>
      <c r="C1018" s="8" t="str">
        <f t="shared" si="17"/>
        <v>qc_base</v>
      </c>
      <c r="D1018" s="8" t="s">
        <v>14</v>
      </c>
      <c r="E1018" s="8" t="s">
        <v>3167</v>
      </c>
      <c r="F1018" s="8" t="s">
        <v>3168</v>
      </c>
      <c r="G1018" s="8">
        <v>500</v>
      </c>
    </row>
    <row r="1019" spans="1:7" x14ac:dyDescent="0.15">
      <c r="A1019" s="8" t="s">
        <v>3218</v>
      </c>
      <c r="B1019" s="8" t="s">
        <v>2769</v>
      </c>
      <c r="C1019" s="8" t="str">
        <f t="shared" si="17"/>
        <v>endog</v>
      </c>
      <c r="D1019" s="8" t="s">
        <v>14</v>
      </c>
      <c r="E1019" s="8" t="s">
        <v>3219</v>
      </c>
      <c r="F1019" s="8" t="s">
        <v>3220</v>
      </c>
      <c r="G1019" s="8">
        <v>500</v>
      </c>
    </row>
    <row r="1020" spans="1:7" x14ac:dyDescent="0.15">
      <c r="A1020" s="8" t="s">
        <v>2214</v>
      </c>
      <c r="B1020" s="8" t="s">
        <v>2769</v>
      </c>
      <c r="C1020" s="8" t="str">
        <f t="shared" si="17"/>
        <v>flag</v>
      </c>
      <c r="D1020" s="8" t="s">
        <v>14</v>
      </c>
      <c r="E1020" s="8" t="s">
        <v>3223</v>
      </c>
      <c r="F1020" s="8" t="s">
        <v>3221</v>
      </c>
      <c r="G1020" s="8">
        <v>500</v>
      </c>
    </row>
    <row r="1021" spans="1:7" x14ac:dyDescent="0.15">
      <c r="A1021" s="8" t="s">
        <v>3222</v>
      </c>
      <c r="B1021" s="8" t="s">
        <v>2769</v>
      </c>
      <c r="C1021" s="8" t="str">
        <f t="shared" si="17"/>
        <v>GST</v>
      </c>
      <c r="D1021" s="8" t="s">
        <v>14</v>
      </c>
      <c r="E1021" s="8" t="s">
        <v>3222</v>
      </c>
      <c r="F1021" s="8" t="s">
        <v>3224</v>
      </c>
      <c r="G1021" s="8">
        <v>500</v>
      </c>
    </row>
    <row r="1022" spans="1:7" x14ac:dyDescent="0.15">
      <c r="A1022" s="8" t="s">
        <v>3227</v>
      </c>
      <c r="B1022" s="32" t="s">
        <v>3226</v>
      </c>
      <c r="C1022" s="8" t="str">
        <f t="shared" si="17"/>
        <v>column_length</v>
      </c>
      <c r="D1022" s="8" t="s">
        <v>14</v>
      </c>
      <c r="E1022" s="8" t="s">
        <v>3229</v>
      </c>
      <c r="F1022" s="8" t="s">
        <v>3235</v>
      </c>
      <c r="G1022" s="8">
        <v>500</v>
      </c>
    </row>
    <row r="1023" spans="1:7" x14ac:dyDescent="0.15">
      <c r="A1023" s="8" t="s">
        <v>3234</v>
      </c>
      <c r="B1023" s="32" t="s">
        <v>3226</v>
      </c>
      <c r="C1023" s="8" t="str">
        <f t="shared" si="17"/>
        <v>column_inner_diameter</v>
      </c>
      <c r="D1023" s="8" t="s">
        <v>14</v>
      </c>
      <c r="E1023" s="8" t="s">
        <v>3230</v>
      </c>
      <c r="F1023" s="8" t="s">
        <v>3232</v>
      </c>
      <c r="G1023" s="8">
        <v>500</v>
      </c>
    </row>
    <row r="1024" spans="1:7" x14ac:dyDescent="0.15">
      <c r="A1024" s="8" t="s">
        <v>3228</v>
      </c>
      <c r="B1024" s="32" t="s">
        <v>3226</v>
      </c>
      <c r="C1024" s="8" t="str">
        <f t="shared" si="17"/>
        <v>column_outer_diameter</v>
      </c>
      <c r="D1024" s="8" t="s">
        <v>14</v>
      </c>
      <c r="E1024" s="8" t="s">
        <v>3231</v>
      </c>
      <c r="F1024" s="8" t="s">
        <v>3233</v>
      </c>
      <c r="G1024" s="8">
        <v>500</v>
      </c>
    </row>
    <row r="1025" spans="1:7" ht="16" x14ac:dyDescent="0.2">
      <c r="A1025" t="s">
        <v>3429</v>
      </c>
      <c r="B1025" s="31" t="s">
        <v>3243</v>
      </c>
      <c r="C1025" t="s">
        <v>3429</v>
      </c>
      <c r="D1025" s="8" t="s">
        <v>14</v>
      </c>
      <c r="E1025" s="8" t="s">
        <v>3245</v>
      </c>
      <c r="F1025" s="8" t="s">
        <v>3430</v>
      </c>
      <c r="G1025" s="8">
        <v>500</v>
      </c>
    </row>
    <row r="1026" spans="1:7" ht="16" x14ac:dyDescent="0.2">
      <c r="A1026" t="s">
        <v>3431</v>
      </c>
      <c r="B1026" s="31" t="s">
        <v>3243</v>
      </c>
      <c r="C1026" t="s">
        <v>3431</v>
      </c>
      <c r="D1026" s="8" t="s">
        <v>14</v>
      </c>
      <c r="E1026" s="8" t="s">
        <v>3246</v>
      </c>
      <c r="F1026" s="8" t="s">
        <v>3432</v>
      </c>
      <c r="G1026" s="8">
        <v>500</v>
      </c>
    </row>
    <row r="1027" spans="1:7" ht="16" x14ac:dyDescent="0.2">
      <c r="A1027" t="s">
        <v>3433</v>
      </c>
      <c r="B1027" s="31" t="s">
        <v>3243</v>
      </c>
      <c r="C1027" t="s">
        <v>3433</v>
      </c>
      <c r="D1027" s="8" t="s">
        <v>14</v>
      </c>
      <c r="E1027" s="8" t="s">
        <v>3247</v>
      </c>
      <c r="F1027" s="8" t="s">
        <v>3434</v>
      </c>
      <c r="G1027" s="8">
        <v>500</v>
      </c>
    </row>
    <row r="1028" spans="1:7" ht="16" x14ac:dyDescent="0.2">
      <c r="A1028" t="s">
        <v>3435</v>
      </c>
      <c r="B1028" s="31" t="s">
        <v>3243</v>
      </c>
      <c r="C1028" t="s">
        <v>3435</v>
      </c>
      <c r="D1028" s="8" t="s">
        <v>14</v>
      </c>
      <c r="E1028" s="8" t="s">
        <v>3248</v>
      </c>
      <c r="F1028" s="8" t="s">
        <v>3436</v>
      </c>
      <c r="G1028" s="8">
        <v>500</v>
      </c>
    </row>
    <row r="1029" spans="1:7" ht="16" x14ac:dyDescent="0.2">
      <c r="A1029" t="s">
        <v>3437</v>
      </c>
      <c r="B1029" s="31" t="s">
        <v>3243</v>
      </c>
      <c r="C1029" t="s">
        <v>3437</v>
      </c>
      <c r="D1029" s="8" t="s">
        <v>14</v>
      </c>
      <c r="E1029" s="8" t="s">
        <v>3249</v>
      </c>
      <c r="F1029" s="8" t="s">
        <v>3438</v>
      </c>
      <c r="G1029" s="8">
        <v>500</v>
      </c>
    </row>
    <row r="1030" spans="1:7" ht="16" x14ac:dyDescent="0.2">
      <c r="A1030" t="s">
        <v>3439</v>
      </c>
      <c r="B1030" s="31" t="s">
        <v>3243</v>
      </c>
      <c r="C1030" t="s">
        <v>3439</v>
      </c>
      <c r="D1030" s="8" t="s">
        <v>14</v>
      </c>
      <c r="E1030" s="8" t="s">
        <v>3250</v>
      </c>
      <c r="F1030" s="8" t="s">
        <v>3440</v>
      </c>
      <c r="G1030" s="8">
        <v>500</v>
      </c>
    </row>
    <row r="1031" spans="1:7" ht="16" x14ac:dyDescent="0.2">
      <c r="A1031" t="s">
        <v>3441</v>
      </c>
      <c r="B1031" s="31" t="s">
        <v>3243</v>
      </c>
      <c r="C1031" t="s">
        <v>3441</v>
      </c>
      <c r="D1031" s="8" t="s">
        <v>14</v>
      </c>
      <c r="E1031" s="8" t="s">
        <v>3251</v>
      </c>
      <c r="F1031" s="8" t="s">
        <v>3442</v>
      </c>
      <c r="G1031" s="8">
        <v>500</v>
      </c>
    </row>
    <row r="1032" spans="1:7" ht="16" x14ac:dyDescent="0.2">
      <c r="A1032" t="s">
        <v>3443</v>
      </c>
      <c r="B1032" s="31" t="s">
        <v>3243</v>
      </c>
      <c r="C1032" t="s">
        <v>3443</v>
      </c>
      <c r="D1032" s="8" t="s">
        <v>14</v>
      </c>
      <c r="E1032" s="8" t="s">
        <v>3252</v>
      </c>
      <c r="F1032" s="8" t="s">
        <v>3444</v>
      </c>
      <c r="G1032" s="8">
        <v>500</v>
      </c>
    </row>
    <row r="1033" spans="1:7" ht="16" x14ac:dyDescent="0.2">
      <c r="A1033" t="s">
        <v>3445</v>
      </c>
      <c r="B1033" s="31" t="s">
        <v>3243</v>
      </c>
      <c r="C1033" t="s">
        <v>3445</v>
      </c>
      <c r="D1033" s="8" t="s">
        <v>14</v>
      </c>
      <c r="E1033" s="8" t="s">
        <v>3253</v>
      </c>
      <c r="F1033" s="8" t="s">
        <v>3446</v>
      </c>
      <c r="G1033" s="8">
        <v>500</v>
      </c>
    </row>
    <row r="1034" spans="1:7" ht="16" x14ac:dyDescent="0.2">
      <c r="A1034" t="s">
        <v>3447</v>
      </c>
      <c r="B1034" s="31" t="s">
        <v>3243</v>
      </c>
      <c r="C1034" t="s">
        <v>3447</v>
      </c>
      <c r="D1034" s="8" t="s">
        <v>14</v>
      </c>
      <c r="E1034" s="8" t="s">
        <v>3254</v>
      </c>
      <c r="F1034" s="8" t="s">
        <v>3448</v>
      </c>
      <c r="G1034" s="8">
        <v>500</v>
      </c>
    </row>
    <row r="1035" spans="1:7" ht="16" x14ac:dyDescent="0.2">
      <c r="A1035" t="s">
        <v>3449</v>
      </c>
      <c r="B1035" s="31" t="s">
        <v>3243</v>
      </c>
      <c r="C1035" t="s">
        <v>3449</v>
      </c>
      <c r="D1035" s="8" t="s">
        <v>14</v>
      </c>
      <c r="E1035" s="8" t="s">
        <v>3255</v>
      </c>
      <c r="F1035" s="8" t="s">
        <v>3450</v>
      </c>
      <c r="G1035" s="8">
        <v>500</v>
      </c>
    </row>
    <row r="1036" spans="1:7" ht="16" x14ac:dyDescent="0.2">
      <c r="A1036" t="s">
        <v>3451</v>
      </c>
      <c r="B1036" s="31" t="s">
        <v>3243</v>
      </c>
      <c r="C1036" t="s">
        <v>3451</v>
      </c>
      <c r="D1036" s="8" t="s">
        <v>14</v>
      </c>
      <c r="E1036" s="8" t="s">
        <v>3256</v>
      </c>
      <c r="F1036" s="8" t="s">
        <v>3452</v>
      </c>
      <c r="G1036" s="8">
        <v>500</v>
      </c>
    </row>
    <row r="1037" spans="1:7" ht="16" x14ac:dyDescent="0.2">
      <c r="A1037" t="s">
        <v>3453</v>
      </c>
      <c r="B1037" s="31" t="s">
        <v>3243</v>
      </c>
      <c r="C1037" t="s">
        <v>3453</v>
      </c>
      <c r="D1037" s="8" t="s">
        <v>14</v>
      </c>
      <c r="E1037" s="8" t="s">
        <v>3257</v>
      </c>
      <c r="F1037" s="8" t="s">
        <v>3454</v>
      </c>
      <c r="G1037" s="8">
        <v>500</v>
      </c>
    </row>
    <row r="1038" spans="1:7" ht="16" x14ac:dyDescent="0.2">
      <c r="A1038" t="s">
        <v>3455</v>
      </c>
      <c r="B1038" s="31" t="s">
        <v>3243</v>
      </c>
      <c r="C1038" t="s">
        <v>3455</v>
      </c>
      <c r="D1038" s="8" t="s">
        <v>14</v>
      </c>
      <c r="E1038" s="8" t="s">
        <v>3258</v>
      </c>
      <c r="F1038" s="8" t="s">
        <v>3456</v>
      </c>
      <c r="G1038" s="8">
        <v>500</v>
      </c>
    </row>
    <row r="1039" spans="1:7" ht="16" x14ac:dyDescent="0.2">
      <c r="A1039" t="s">
        <v>3457</v>
      </c>
      <c r="B1039" s="31" t="s">
        <v>3243</v>
      </c>
      <c r="C1039" t="s">
        <v>3457</v>
      </c>
      <c r="D1039" s="8" t="s">
        <v>14</v>
      </c>
      <c r="E1039" s="8" t="s">
        <v>3259</v>
      </c>
      <c r="F1039" s="8" t="s">
        <v>3458</v>
      </c>
      <c r="G1039" s="8">
        <v>500</v>
      </c>
    </row>
    <row r="1040" spans="1:7" ht="16" x14ac:dyDescent="0.2">
      <c r="A1040" t="s">
        <v>3459</v>
      </c>
      <c r="B1040" s="31" t="s">
        <v>3243</v>
      </c>
      <c r="C1040" t="s">
        <v>3459</v>
      </c>
      <c r="D1040" s="8" t="s">
        <v>14</v>
      </c>
      <c r="E1040" s="8" t="s">
        <v>3260</v>
      </c>
      <c r="F1040" s="8" t="s">
        <v>3460</v>
      </c>
      <c r="G1040" s="8">
        <v>500</v>
      </c>
    </row>
    <row r="1041" spans="1:7" ht="16" x14ac:dyDescent="0.2">
      <c r="A1041" t="s">
        <v>3461</v>
      </c>
      <c r="B1041" s="31" t="s">
        <v>3243</v>
      </c>
      <c r="C1041" t="s">
        <v>3461</v>
      </c>
      <c r="D1041" s="8" t="s">
        <v>14</v>
      </c>
      <c r="E1041" s="8" t="s">
        <v>3261</v>
      </c>
      <c r="F1041" s="8" t="s">
        <v>3462</v>
      </c>
      <c r="G1041" s="8">
        <v>500</v>
      </c>
    </row>
    <row r="1042" spans="1:7" ht="16" x14ac:dyDescent="0.2">
      <c r="A1042" t="s">
        <v>3463</v>
      </c>
      <c r="B1042" s="31" t="s">
        <v>3243</v>
      </c>
      <c r="C1042" t="s">
        <v>3463</v>
      </c>
      <c r="D1042" s="8" t="s">
        <v>14</v>
      </c>
      <c r="E1042" s="8" t="s">
        <v>3262</v>
      </c>
      <c r="F1042" s="8" t="s">
        <v>3464</v>
      </c>
      <c r="G1042" s="8">
        <v>500</v>
      </c>
    </row>
    <row r="1043" spans="1:7" ht="16" x14ac:dyDescent="0.2">
      <c r="A1043" t="s">
        <v>3465</v>
      </c>
      <c r="B1043" s="31" t="s">
        <v>3243</v>
      </c>
      <c r="C1043" t="s">
        <v>3465</v>
      </c>
      <c r="D1043" s="8" t="s">
        <v>14</v>
      </c>
      <c r="E1043" s="8" t="s">
        <v>3263</v>
      </c>
      <c r="F1043" s="8" t="s">
        <v>3466</v>
      </c>
      <c r="G1043" s="8">
        <v>500</v>
      </c>
    </row>
    <row r="1044" spans="1:7" ht="16" x14ac:dyDescent="0.2">
      <c r="A1044" t="s">
        <v>3467</v>
      </c>
      <c r="B1044" s="31" t="s">
        <v>3243</v>
      </c>
      <c r="C1044" t="s">
        <v>3467</v>
      </c>
      <c r="D1044" s="8" t="s">
        <v>14</v>
      </c>
      <c r="E1044" s="8" t="s">
        <v>3264</v>
      </c>
      <c r="F1044" s="8" t="s">
        <v>3468</v>
      </c>
      <c r="G1044" s="8">
        <v>500</v>
      </c>
    </row>
    <row r="1045" spans="1:7" ht="16" x14ac:dyDescent="0.2">
      <c r="A1045" t="s">
        <v>3469</v>
      </c>
      <c r="B1045" s="31" t="s">
        <v>3243</v>
      </c>
      <c r="C1045" t="s">
        <v>3469</v>
      </c>
      <c r="D1045" s="8" t="s">
        <v>14</v>
      </c>
      <c r="E1045" s="8" t="s">
        <v>3265</v>
      </c>
      <c r="F1045" s="8" t="s">
        <v>3470</v>
      </c>
      <c r="G1045" s="8">
        <v>500</v>
      </c>
    </row>
    <row r="1046" spans="1:7" ht="16" x14ac:dyDescent="0.2">
      <c r="A1046" t="s">
        <v>3471</v>
      </c>
      <c r="B1046" s="31" t="s">
        <v>3243</v>
      </c>
      <c r="C1046" t="s">
        <v>3471</v>
      </c>
      <c r="D1046" s="8" t="s">
        <v>14</v>
      </c>
      <c r="E1046" s="8" t="s">
        <v>3266</v>
      </c>
      <c r="F1046" s="8" t="s">
        <v>3472</v>
      </c>
      <c r="G1046" s="8">
        <v>500</v>
      </c>
    </row>
    <row r="1047" spans="1:7" ht="16" x14ac:dyDescent="0.2">
      <c r="A1047" t="s">
        <v>3473</v>
      </c>
      <c r="B1047" s="31" t="s">
        <v>3243</v>
      </c>
      <c r="C1047" t="s">
        <v>3473</v>
      </c>
      <c r="D1047" s="8" t="s">
        <v>14</v>
      </c>
      <c r="E1047" s="8" t="s">
        <v>3267</v>
      </c>
      <c r="F1047" s="8" t="s">
        <v>3474</v>
      </c>
      <c r="G1047" s="8">
        <v>500</v>
      </c>
    </row>
    <row r="1048" spans="1:7" ht="16" x14ac:dyDescent="0.2">
      <c r="A1048" t="s">
        <v>3475</v>
      </c>
      <c r="B1048" s="31" t="s">
        <v>3243</v>
      </c>
      <c r="C1048" t="s">
        <v>3475</v>
      </c>
      <c r="D1048" s="8" t="s">
        <v>14</v>
      </c>
      <c r="E1048" s="8" t="s">
        <v>3268</v>
      </c>
      <c r="F1048" s="8" t="s">
        <v>3476</v>
      </c>
      <c r="G1048" s="8">
        <v>500</v>
      </c>
    </row>
    <row r="1049" spans="1:7" ht="16" x14ac:dyDescent="0.2">
      <c r="A1049" t="s">
        <v>3477</v>
      </c>
      <c r="B1049" s="31" t="s">
        <v>3243</v>
      </c>
      <c r="C1049" t="s">
        <v>3477</v>
      </c>
      <c r="D1049" s="8" t="s">
        <v>14</v>
      </c>
      <c r="E1049" s="8" t="s">
        <v>3269</v>
      </c>
      <c r="F1049" s="8" t="s">
        <v>3478</v>
      </c>
      <c r="G1049" s="8">
        <v>500</v>
      </c>
    </row>
    <row r="1050" spans="1:7" ht="16" x14ac:dyDescent="0.2">
      <c r="A1050" t="s">
        <v>3479</v>
      </c>
      <c r="B1050" s="31" t="s">
        <v>3243</v>
      </c>
      <c r="C1050" t="s">
        <v>3479</v>
      </c>
      <c r="D1050" s="8" t="s">
        <v>14</v>
      </c>
      <c r="E1050" s="8" t="s">
        <v>3270</v>
      </c>
      <c r="F1050" s="8" t="s">
        <v>3480</v>
      </c>
      <c r="G1050" s="8">
        <v>500</v>
      </c>
    </row>
    <row r="1051" spans="1:7" ht="16" x14ac:dyDescent="0.2">
      <c r="A1051" t="s">
        <v>3481</v>
      </c>
      <c r="B1051" s="31" t="s">
        <v>3243</v>
      </c>
      <c r="C1051" t="s">
        <v>3481</v>
      </c>
      <c r="D1051" s="8" t="s">
        <v>14</v>
      </c>
      <c r="E1051" s="8" t="s">
        <v>3271</v>
      </c>
      <c r="F1051" s="8" t="s">
        <v>3482</v>
      </c>
      <c r="G1051" s="8">
        <v>500</v>
      </c>
    </row>
    <row r="1052" spans="1:7" ht="16" x14ac:dyDescent="0.2">
      <c r="A1052" t="s">
        <v>3483</v>
      </c>
      <c r="B1052" s="31" t="s">
        <v>3243</v>
      </c>
      <c r="C1052" t="s">
        <v>3483</v>
      </c>
      <c r="D1052" s="8" t="s">
        <v>14</v>
      </c>
      <c r="E1052" s="8" t="s">
        <v>3272</v>
      </c>
      <c r="F1052" s="8" t="s">
        <v>3484</v>
      </c>
      <c r="G1052" s="8">
        <v>500</v>
      </c>
    </row>
    <row r="1053" spans="1:7" ht="16" x14ac:dyDescent="0.2">
      <c r="A1053" t="s">
        <v>3485</v>
      </c>
      <c r="B1053" s="31" t="s">
        <v>3243</v>
      </c>
      <c r="C1053" t="s">
        <v>3485</v>
      </c>
      <c r="D1053" s="8" t="s">
        <v>14</v>
      </c>
      <c r="E1053" s="8" t="s">
        <v>3273</v>
      </c>
      <c r="F1053" s="8" t="s">
        <v>3486</v>
      </c>
      <c r="G1053" s="8">
        <v>500</v>
      </c>
    </row>
    <row r="1054" spans="1:7" ht="16" x14ac:dyDescent="0.2">
      <c r="A1054" t="s">
        <v>3487</v>
      </c>
      <c r="B1054" s="31" t="s">
        <v>3243</v>
      </c>
      <c r="C1054" t="s">
        <v>3487</v>
      </c>
      <c r="D1054" s="8" t="s">
        <v>14</v>
      </c>
      <c r="E1054" s="8" t="s">
        <v>3274</v>
      </c>
      <c r="F1054" s="8" t="s">
        <v>3488</v>
      </c>
      <c r="G1054" s="8">
        <v>500</v>
      </c>
    </row>
    <row r="1055" spans="1:7" ht="16" x14ac:dyDescent="0.2">
      <c r="A1055" t="s">
        <v>3489</v>
      </c>
      <c r="B1055" s="31" t="s">
        <v>3243</v>
      </c>
      <c r="C1055" t="s">
        <v>3489</v>
      </c>
      <c r="D1055" s="8" t="s">
        <v>14</v>
      </c>
      <c r="E1055" s="8" t="s">
        <v>3275</v>
      </c>
      <c r="F1055" s="8" t="s">
        <v>3490</v>
      </c>
      <c r="G1055" s="8">
        <v>500</v>
      </c>
    </row>
    <row r="1056" spans="1:7" ht="16" x14ac:dyDescent="0.2">
      <c r="A1056" t="s">
        <v>3491</v>
      </c>
      <c r="B1056" s="31" t="s">
        <v>3243</v>
      </c>
      <c r="C1056" t="s">
        <v>3491</v>
      </c>
      <c r="D1056" s="8" t="s">
        <v>14</v>
      </c>
      <c r="E1056" s="8" t="s">
        <v>3276</v>
      </c>
      <c r="F1056" s="8" t="s">
        <v>3492</v>
      </c>
      <c r="G1056" s="8">
        <v>500</v>
      </c>
    </row>
    <row r="1057" spans="1:7" ht="16" x14ac:dyDescent="0.2">
      <c r="A1057" t="s">
        <v>3493</v>
      </c>
      <c r="B1057" s="31" t="s">
        <v>3243</v>
      </c>
      <c r="C1057" t="s">
        <v>3493</v>
      </c>
      <c r="D1057" s="8" t="s">
        <v>14</v>
      </c>
      <c r="E1057" s="8" t="s">
        <v>3277</v>
      </c>
      <c r="F1057" s="8" t="s">
        <v>3494</v>
      </c>
      <c r="G1057" s="8">
        <v>500</v>
      </c>
    </row>
    <row r="1058" spans="1:7" ht="16" x14ac:dyDescent="0.2">
      <c r="A1058" t="s">
        <v>3495</v>
      </c>
      <c r="B1058" s="31" t="s">
        <v>3243</v>
      </c>
      <c r="C1058" t="s">
        <v>3495</v>
      </c>
      <c r="D1058" s="8" t="s">
        <v>14</v>
      </c>
      <c r="E1058" s="8" t="s">
        <v>3278</v>
      </c>
      <c r="F1058" s="8" t="s">
        <v>3496</v>
      </c>
      <c r="G1058" s="8">
        <v>500</v>
      </c>
    </row>
    <row r="1059" spans="1:7" ht="16" x14ac:dyDescent="0.2">
      <c r="A1059" t="s">
        <v>3497</v>
      </c>
      <c r="B1059" s="31" t="s">
        <v>3243</v>
      </c>
      <c r="C1059" t="s">
        <v>3497</v>
      </c>
      <c r="D1059" s="8" t="s">
        <v>14</v>
      </c>
      <c r="E1059" s="8" t="s">
        <v>3279</v>
      </c>
      <c r="F1059" s="8" t="s">
        <v>3498</v>
      </c>
      <c r="G1059" s="8">
        <v>500</v>
      </c>
    </row>
    <row r="1060" spans="1:7" ht="16" x14ac:dyDescent="0.2">
      <c r="A1060" t="s">
        <v>3499</v>
      </c>
      <c r="B1060" s="31" t="s">
        <v>3243</v>
      </c>
      <c r="C1060" t="s">
        <v>3499</v>
      </c>
      <c r="D1060" s="8" t="s">
        <v>14</v>
      </c>
      <c r="E1060" s="8" t="s">
        <v>3280</v>
      </c>
      <c r="F1060" s="8" t="s">
        <v>3500</v>
      </c>
      <c r="G1060" s="8">
        <v>500</v>
      </c>
    </row>
    <row r="1061" spans="1:7" ht="16" x14ac:dyDescent="0.2">
      <c r="A1061" t="s">
        <v>3501</v>
      </c>
      <c r="B1061" s="31" t="s">
        <v>3243</v>
      </c>
      <c r="C1061" t="s">
        <v>3501</v>
      </c>
      <c r="D1061" s="8" t="s">
        <v>14</v>
      </c>
      <c r="E1061" s="8" t="s">
        <v>3281</v>
      </c>
      <c r="F1061" s="8" t="s">
        <v>3502</v>
      </c>
      <c r="G1061" s="8">
        <v>500</v>
      </c>
    </row>
    <row r="1062" spans="1:7" ht="16" x14ac:dyDescent="0.2">
      <c r="A1062" t="s">
        <v>3503</v>
      </c>
      <c r="B1062" s="31" t="s">
        <v>3243</v>
      </c>
      <c r="C1062" t="s">
        <v>3503</v>
      </c>
      <c r="D1062" s="8" t="s">
        <v>14</v>
      </c>
      <c r="E1062" s="8" t="s">
        <v>3282</v>
      </c>
      <c r="F1062" s="8" t="s">
        <v>3504</v>
      </c>
      <c r="G1062" s="8">
        <v>500</v>
      </c>
    </row>
    <row r="1063" spans="1:7" ht="16" x14ac:dyDescent="0.2">
      <c r="A1063" t="s">
        <v>3505</v>
      </c>
      <c r="B1063" s="31" t="s">
        <v>3243</v>
      </c>
      <c r="C1063" t="s">
        <v>3505</v>
      </c>
      <c r="D1063" s="8" t="s">
        <v>14</v>
      </c>
      <c r="E1063" s="8" t="s">
        <v>3283</v>
      </c>
      <c r="F1063" s="8" t="s">
        <v>3506</v>
      </c>
      <c r="G1063" s="8">
        <v>500</v>
      </c>
    </row>
    <row r="1064" spans="1:7" ht="16" x14ac:dyDescent="0.2">
      <c r="A1064" t="s">
        <v>3507</v>
      </c>
      <c r="B1064" s="31" t="s">
        <v>3243</v>
      </c>
      <c r="C1064" t="s">
        <v>3507</v>
      </c>
      <c r="D1064" s="8" t="s">
        <v>14</v>
      </c>
      <c r="E1064" s="8" t="s">
        <v>3284</v>
      </c>
      <c r="F1064" s="8" t="s">
        <v>3508</v>
      </c>
      <c r="G1064" s="8">
        <v>500</v>
      </c>
    </row>
    <row r="1065" spans="1:7" ht="16" x14ac:dyDescent="0.2">
      <c r="A1065" t="s">
        <v>3509</v>
      </c>
      <c r="B1065" s="31" t="s">
        <v>3243</v>
      </c>
      <c r="C1065" t="s">
        <v>3509</v>
      </c>
      <c r="D1065" s="8" t="s">
        <v>14</v>
      </c>
      <c r="E1065" s="8" t="s">
        <v>3285</v>
      </c>
      <c r="F1065" s="8" t="s">
        <v>3510</v>
      </c>
      <c r="G1065" s="8">
        <v>500</v>
      </c>
    </row>
    <row r="1066" spans="1:7" ht="16" x14ac:dyDescent="0.2">
      <c r="A1066" t="s">
        <v>3511</v>
      </c>
      <c r="B1066" s="31" t="s">
        <v>3243</v>
      </c>
      <c r="C1066" t="s">
        <v>3511</v>
      </c>
      <c r="D1066" s="8" t="s">
        <v>14</v>
      </c>
      <c r="E1066" s="8" t="s">
        <v>3286</v>
      </c>
      <c r="F1066" s="8" t="s">
        <v>3512</v>
      </c>
      <c r="G1066" s="8">
        <v>500</v>
      </c>
    </row>
    <row r="1067" spans="1:7" ht="16" x14ac:dyDescent="0.2">
      <c r="A1067" t="s">
        <v>3513</v>
      </c>
      <c r="B1067" s="31" t="s">
        <v>3243</v>
      </c>
      <c r="C1067" t="s">
        <v>3513</v>
      </c>
      <c r="D1067" s="8" t="s">
        <v>14</v>
      </c>
      <c r="E1067" s="8" t="s">
        <v>3287</v>
      </c>
      <c r="F1067" s="8" t="s">
        <v>3514</v>
      </c>
      <c r="G1067" s="8">
        <v>500</v>
      </c>
    </row>
    <row r="1068" spans="1:7" ht="16" x14ac:dyDescent="0.2">
      <c r="A1068" t="s">
        <v>3515</v>
      </c>
      <c r="B1068" s="31" t="s">
        <v>3243</v>
      </c>
      <c r="C1068" t="s">
        <v>3515</v>
      </c>
      <c r="D1068" s="8" t="s">
        <v>14</v>
      </c>
      <c r="E1068" s="8" t="s">
        <v>3288</v>
      </c>
      <c r="F1068" s="8" t="s">
        <v>3516</v>
      </c>
      <c r="G1068" s="8">
        <v>500</v>
      </c>
    </row>
    <row r="1069" spans="1:7" ht="16" x14ac:dyDescent="0.2">
      <c r="A1069" t="s">
        <v>3517</v>
      </c>
      <c r="B1069" s="31" t="s">
        <v>3243</v>
      </c>
      <c r="C1069" t="s">
        <v>3517</v>
      </c>
      <c r="D1069" s="8" t="s">
        <v>14</v>
      </c>
      <c r="E1069" s="8" t="s">
        <v>3289</v>
      </c>
      <c r="F1069" s="8" t="s">
        <v>3518</v>
      </c>
      <c r="G1069" s="8">
        <v>500</v>
      </c>
    </row>
    <row r="1070" spans="1:7" ht="16" x14ac:dyDescent="0.2">
      <c r="A1070" t="s">
        <v>3519</v>
      </c>
      <c r="B1070" s="31" t="s">
        <v>3243</v>
      </c>
      <c r="C1070" t="s">
        <v>3519</v>
      </c>
      <c r="D1070" s="8" t="s">
        <v>14</v>
      </c>
      <c r="E1070" s="8" t="s">
        <v>3290</v>
      </c>
      <c r="F1070" s="8" t="s">
        <v>3520</v>
      </c>
      <c r="G1070" s="8">
        <v>500</v>
      </c>
    </row>
    <row r="1071" spans="1:7" ht="16" x14ac:dyDescent="0.2">
      <c r="A1071" t="s">
        <v>3521</v>
      </c>
      <c r="B1071" s="31" t="s">
        <v>3243</v>
      </c>
      <c r="C1071" t="s">
        <v>3521</v>
      </c>
      <c r="D1071" s="8" t="s">
        <v>14</v>
      </c>
      <c r="E1071" s="8" t="s">
        <v>3291</v>
      </c>
      <c r="F1071" s="8" t="s">
        <v>3522</v>
      </c>
      <c r="G1071" s="8">
        <v>500</v>
      </c>
    </row>
    <row r="1072" spans="1:7" ht="16" x14ac:dyDescent="0.2">
      <c r="A1072" t="s">
        <v>3523</v>
      </c>
      <c r="B1072" s="31" t="s">
        <v>3243</v>
      </c>
      <c r="C1072" t="s">
        <v>3523</v>
      </c>
      <c r="D1072" s="8" t="s">
        <v>14</v>
      </c>
      <c r="E1072" s="8" t="s">
        <v>3292</v>
      </c>
      <c r="F1072" s="8" t="s">
        <v>3524</v>
      </c>
      <c r="G1072" s="8">
        <v>500</v>
      </c>
    </row>
    <row r="1073" spans="1:7" ht="16" x14ac:dyDescent="0.2">
      <c r="A1073" t="s">
        <v>3525</v>
      </c>
      <c r="B1073" s="31" t="s">
        <v>3243</v>
      </c>
      <c r="C1073" t="s">
        <v>3525</v>
      </c>
      <c r="D1073" s="8" t="s">
        <v>14</v>
      </c>
      <c r="E1073" s="8" t="s">
        <v>3293</v>
      </c>
      <c r="F1073" s="8" t="s">
        <v>3526</v>
      </c>
      <c r="G1073" s="8">
        <v>500</v>
      </c>
    </row>
    <row r="1074" spans="1:7" ht="16" x14ac:dyDescent="0.2">
      <c r="A1074" t="s">
        <v>3527</v>
      </c>
      <c r="B1074" s="31" t="s">
        <v>3243</v>
      </c>
      <c r="C1074" t="s">
        <v>3527</v>
      </c>
      <c r="D1074" s="8" t="s">
        <v>14</v>
      </c>
      <c r="E1074" s="8" t="s">
        <v>3294</v>
      </c>
      <c r="F1074" s="8" t="s">
        <v>3528</v>
      </c>
      <c r="G1074" s="8">
        <v>500</v>
      </c>
    </row>
    <row r="1075" spans="1:7" ht="16" x14ac:dyDescent="0.2">
      <c r="A1075" t="s">
        <v>3529</v>
      </c>
      <c r="B1075" s="31" t="s">
        <v>3243</v>
      </c>
      <c r="C1075" t="s">
        <v>3529</v>
      </c>
      <c r="D1075" s="8" t="s">
        <v>14</v>
      </c>
      <c r="E1075" s="8" t="s">
        <v>3295</v>
      </c>
      <c r="F1075" s="8" t="s">
        <v>3530</v>
      </c>
      <c r="G1075" s="8">
        <v>500</v>
      </c>
    </row>
    <row r="1076" spans="1:7" ht="16" x14ac:dyDescent="0.2">
      <c r="A1076" t="s">
        <v>3531</v>
      </c>
      <c r="B1076" s="31" t="s">
        <v>3243</v>
      </c>
      <c r="C1076" t="s">
        <v>3531</v>
      </c>
      <c r="D1076" s="8" t="s">
        <v>14</v>
      </c>
      <c r="E1076" s="8" t="s">
        <v>3296</v>
      </c>
      <c r="F1076" s="8" t="s">
        <v>3532</v>
      </c>
      <c r="G1076" s="8">
        <v>500</v>
      </c>
    </row>
    <row r="1077" spans="1:7" ht="16" x14ac:dyDescent="0.2">
      <c r="A1077" t="s">
        <v>3533</v>
      </c>
      <c r="B1077" s="31" t="s">
        <v>3243</v>
      </c>
      <c r="C1077" t="s">
        <v>3533</v>
      </c>
      <c r="D1077" s="8" t="s">
        <v>14</v>
      </c>
      <c r="E1077" s="8" t="s">
        <v>3297</v>
      </c>
      <c r="F1077" s="8" t="s">
        <v>3534</v>
      </c>
      <c r="G1077" s="8">
        <v>500</v>
      </c>
    </row>
    <row r="1078" spans="1:7" ht="16" x14ac:dyDescent="0.2">
      <c r="A1078" t="s">
        <v>3535</v>
      </c>
      <c r="B1078" s="31" t="s">
        <v>3243</v>
      </c>
      <c r="C1078" t="s">
        <v>3535</v>
      </c>
      <c r="D1078" s="8" t="s">
        <v>14</v>
      </c>
      <c r="E1078" s="8" t="s">
        <v>3536</v>
      </c>
      <c r="F1078" s="8" t="s">
        <v>3537</v>
      </c>
      <c r="G1078" s="8">
        <v>500</v>
      </c>
    </row>
    <row r="1079" spans="1:7" ht="16" x14ac:dyDescent="0.2">
      <c r="A1079" t="s">
        <v>3538</v>
      </c>
      <c r="B1079" s="31" t="s">
        <v>3243</v>
      </c>
      <c r="C1079" t="s">
        <v>3538</v>
      </c>
      <c r="D1079" s="8" t="s">
        <v>14</v>
      </c>
      <c r="E1079" s="8" t="s">
        <v>3539</v>
      </c>
      <c r="F1079" s="8" t="s">
        <v>3540</v>
      </c>
      <c r="G1079" s="8">
        <v>500</v>
      </c>
    </row>
    <row r="1080" spans="1:7" ht="16" x14ac:dyDescent="0.2">
      <c r="A1080" t="s">
        <v>3541</v>
      </c>
      <c r="B1080" s="31" t="s">
        <v>3243</v>
      </c>
      <c r="C1080" t="s">
        <v>3541</v>
      </c>
      <c r="D1080" s="8" t="s">
        <v>14</v>
      </c>
      <c r="E1080" s="8" t="s">
        <v>3298</v>
      </c>
      <c r="F1080" s="8" t="s">
        <v>3542</v>
      </c>
      <c r="G1080" s="8">
        <v>500</v>
      </c>
    </row>
    <row r="1081" spans="1:7" ht="16" x14ac:dyDescent="0.2">
      <c r="A1081" t="s">
        <v>3543</v>
      </c>
      <c r="B1081" s="31" t="s">
        <v>3243</v>
      </c>
      <c r="C1081" t="s">
        <v>3543</v>
      </c>
      <c r="D1081" s="8" t="s">
        <v>14</v>
      </c>
      <c r="E1081" s="8" t="s">
        <v>3299</v>
      </c>
      <c r="F1081" s="8" t="s">
        <v>3544</v>
      </c>
      <c r="G1081" s="8">
        <v>500</v>
      </c>
    </row>
    <row r="1082" spans="1:7" ht="16" x14ac:dyDescent="0.2">
      <c r="A1082" t="s">
        <v>3545</v>
      </c>
      <c r="B1082" s="31" t="s">
        <v>3243</v>
      </c>
      <c r="C1082" t="s">
        <v>3545</v>
      </c>
      <c r="D1082" s="8" t="s">
        <v>14</v>
      </c>
      <c r="E1082" s="8" t="s">
        <v>3300</v>
      </c>
      <c r="F1082" s="8" t="s">
        <v>3546</v>
      </c>
      <c r="G1082" s="8">
        <v>500</v>
      </c>
    </row>
    <row r="1083" spans="1:7" ht="16" x14ac:dyDescent="0.2">
      <c r="A1083" t="s">
        <v>3547</v>
      </c>
      <c r="B1083" s="31" t="s">
        <v>3243</v>
      </c>
      <c r="C1083" t="s">
        <v>3547</v>
      </c>
      <c r="D1083" s="8" t="s">
        <v>14</v>
      </c>
      <c r="E1083" s="8" t="s">
        <v>3301</v>
      </c>
      <c r="F1083" s="8" t="s">
        <v>3548</v>
      </c>
      <c r="G1083" s="8">
        <v>500</v>
      </c>
    </row>
    <row r="1084" spans="1:7" ht="16" x14ac:dyDescent="0.2">
      <c r="A1084" t="s">
        <v>3549</v>
      </c>
      <c r="B1084" s="31" t="s">
        <v>3243</v>
      </c>
      <c r="C1084" t="s">
        <v>3549</v>
      </c>
      <c r="D1084" s="8" t="s">
        <v>14</v>
      </c>
      <c r="E1084" s="8" t="s">
        <v>3302</v>
      </c>
      <c r="F1084" s="8" t="s">
        <v>3550</v>
      </c>
      <c r="G1084" s="8">
        <v>500</v>
      </c>
    </row>
    <row r="1085" spans="1:7" ht="16" x14ac:dyDescent="0.2">
      <c r="A1085" t="s">
        <v>3551</v>
      </c>
      <c r="B1085" s="31" t="s">
        <v>3243</v>
      </c>
      <c r="C1085" t="s">
        <v>3551</v>
      </c>
      <c r="D1085" s="8" t="s">
        <v>14</v>
      </c>
      <c r="E1085" s="8" t="s">
        <v>3303</v>
      </c>
      <c r="F1085" s="8" t="s">
        <v>3552</v>
      </c>
      <c r="G1085" s="8">
        <v>500</v>
      </c>
    </row>
    <row r="1086" spans="1:7" ht="16" x14ac:dyDescent="0.2">
      <c r="A1086" t="s">
        <v>3553</v>
      </c>
      <c r="B1086" s="31" t="s">
        <v>3243</v>
      </c>
      <c r="C1086" t="s">
        <v>3553</v>
      </c>
      <c r="D1086" s="8" t="s">
        <v>14</v>
      </c>
      <c r="E1086" s="8" t="s">
        <v>3304</v>
      </c>
      <c r="F1086" s="8" t="s">
        <v>3554</v>
      </c>
      <c r="G1086" s="8">
        <v>500</v>
      </c>
    </row>
    <row r="1087" spans="1:7" ht="16" x14ac:dyDescent="0.2">
      <c r="A1087" t="s">
        <v>3555</v>
      </c>
      <c r="B1087" s="31" t="s">
        <v>3243</v>
      </c>
      <c r="C1087" t="s">
        <v>3555</v>
      </c>
      <c r="D1087" s="8" t="s">
        <v>14</v>
      </c>
      <c r="E1087" s="8" t="s">
        <v>3556</v>
      </c>
      <c r="F1087" s="8" t="s">
        <v>3557</v>
      </c>
      <c r="G1087" s="8">
        <v>500</v>
      </c>
    </row>
    <row r="1088" spans="1:7" ht="16" x14ac:dyDescent="0.2">
      <c r="A1088" t="s">
        <v>3558</v>
      </c>
      <c r="B1088" s="31" t="s">
        <v>3243</v>
      </c>
      <c r="C1088" t="s">
        <v>3558</v>
      </c>
      <c r="D1088" s="8" t="s">
        <v>14</v>
      </c>
      <c r="E1088" s="8" t="s">
        <v>3559</v>
      </c>
      <c r="F1088" s="8" t="s">
        <v>3560</v>
      </c>
      <c r="G1088" s="8">
        <v>500</v>
      </c>
    </row>
    <row r="1089" spans="1:7" ht="16" x14ac:dyDescent="0.2">
      <c r="A1089" t="s">
        <v>3561</v>
      </c>
      <c r="B1089" s="31" t="s">
        <v>3243</v>
      </c>
      <c r="C1089" t="s">
        <v>3561</v>
      </c>
      <c r="D1089" s="8" t="s">
        <v>14</v>
      </c>
      <c r="E1089" s="8" t="s">
        <v>3559</v>
      </c>
      <c r="F1089" s="8" t="s">
        <v>3562</v>
      </c>
      <c r="G1089" s="8">
        <v>500</v>
      </c>
    </row>
    <row r="1090" spans="1:7" ht="16" x14ac:dyDescent="0.2">
      <c r="A1090" t="s">
        <v>3563</v>
      </c>
      <c r="B1090" s="31" t="s">
        <v>3243</v>
      </c>
      <c r="C1090" t="s">
        <v>3563</v>
      </c>
      <c r="D1090" s="8" t="s">
        <v>14</v>
      </c>
      <c r="E1090" s="8" t="s">
        <v>3305</v>
      </c>
      <c r="F1090" s="8" t="s">
        <v>3564</v>
      </c>
      <c r="G1090" s="8">
        <v>500</v>
      </c>
    </row>
    <row r="1091" spans="1:7" ht="16" x14ac:dyDescent="0.2">
      <c r="A1091" t="s">
        <v>3565</v>
      </c>
      <c r="B1091" s="31" t="s">
        <v>3243</v>
      </c>
      <c r="C1091" t="s">
        <v>3565</v>
      </c>
      <c r="D1091" s="8" t="s">
        <v>14</v>
      </c>
      <c r="E1091" s="8" t="s">
        <v>3306</v>
      </c>
      <c r="F1091" s="8" t="s">
        <v>3566</v>
      </c>
      <c r="G1091" s="8">
        <v>500</v>
      </c>
    </row>
    <row r="1092" spans="1:7" ht="16" x14ac:dyDescent="0.2">
      <c r="A1092" t="s">
        <v>3567</v>
      </c>
      <c r="B1092" s="31" t="s">
        <v>3243</v>
      </c>
      <c r="C1092" t="s">
        <v>3567</v>
      </c>
      <c r="D1092" s="8" t="s">
        <v>14</v>
      </c>
      <c r="E1092" s="8" t="s">
        <v>3307</v>
      </c>
      <c r="F1092" s="8" t="s">
        <v>3568</v>
      </c>
      <c r="G1092" s="8">
        <v>500</v>
      </c>
    </row>
    <row r="1093" spans="1:7" ht="16" x14ac:dyDescent="0.2">
      <c r="A1093" t="s">
        <v>3569</v>
      </c>
      <c r="B1093" s="31" t="s">
        <v>3243</v>
      </c>
      <c r="C1093" t="s">
        <v>3569</v>
      </c>
      <c r="D1093" s="8" t="s">
        <v>14</v>
      </c>
      <c r="E1093" s="8" t="s">
        <v>3308</v>
      </c>
      <c r="F1093" s="8" t="s">
        <v>3570</v>
      </c>
      <c r="G1093" s="8">
        <v>500</v>
      </c>
    </row>
    <row r="1094" spans="1:7" ht="16" x14ac:dyDescent="0.2">
      <c r="A1094" t="s">
        <v>3571</v>
      </c>
      <c r="B1094" s="31" t="s">
        <v>3243</v>
      </c>
      <c r="C1094" t="s">
        <v>3571</v>
      </c>
      <c r="D1094" s="8" t="s">
        <v>14</v>
      </c>
      <c r="E1094" s="8" t="s">
        <v>3309</v>
      </c>
      <c r="F1094" s="8" t="s">
        <v>3572</v>
      </c>
      <c r="G1094" s="8">
        <v>500</v>
      </c>
    </row>
    <row r="1095" spans="1:7" ht="16" x14ac:dyDescent="0.2">
      <c r="A1095" t="s">
        <v>3573</v>
      </c>
      <c r="B1095" s="31" t="s">
        <v>3243</v>
      </c>
      <c r="C1095" t="s">
        <v>3573</v>
      </c>
      <c r="D1095" s="8" t="s">
        <v>14</v>
      </c>
      <c r="E1095" s="8" t="s">
        <v>3310</v>
      </c>
      <c r="F1095" s="8" t="s">
        <v>3574</v>
      </c>
      <c r="G1095" s="8">
        <v>500</v>
      </c>
    </row>
    <row r="1096" spans="1:7" ht="16" x14ac:dyDescent="0.2">
      <c r="A1096" t="s">
        <v>3575</v>
      </c>
      <c r="B1096" s="31" t="s">
        <v>3243</v>
      </c>
      <c r="C1096" t="s">
        <v>3575</v>
      </c>
      <c r="D1096" s="8" t="s">
        <v>14</v>
      </c>
      <c r="E1096" s="8" t="s">
        <v>3311</v>
      </c>
      <c r="F1096" s="8" t="s">
        <v>3576</v>
      </c>
      <c r="G1096" s="8">
        <v>500</v>
      </c>
    </row>
    <row r="1097" spans="1:7" ht="16" x14ac:dyDescent="0.2">
      <c r="A1097" t="s">
        <v>3577</v>
      </c>
      <c r="B1097" s="31" t="s">
        <v>3243</v>
      </c>
      <c r="C1097" t="s">
        <v>3577</v>
      </c>
      <c r="D1097" s="8" t="s">
        <v>14</v>
      </c>
      <c r="E1097" s="8" t="s">
        <v>3312</v>
      </c>
      <c r="F1097" s="8" t="s">
        <v>3578</v>
      </c>
      <c r="G1097" s="8">
        <v>500</v>
      </c>
    </row>
    <row r="1098" spans="1:7" ht="16" x14ac:dyDescent="0.2">
      <c r="A1098" t="s">
        <v>3579</v>
      </c>
      <c r="B1098" s="31" t="s">
        <v>3243</v>
      </c>
      <c r="C1098" t="s">
        <v>3579</v>
      </c>
      <c r="D1098" s="8" t="s">
        <v>14</v>
      </c>
      <c r="E1098" s="8" t="s">
        <v>3313</v>
      </c>
      <c r="F1098" s="8" t="s">
        <v>3580</v>
      </c>
      <c r="G1098" s="8">
        <v>500</v>
      </c>
    </row>
    <row r="1099" spans="1:7" ht="16" x14ac:dyDescent="0.2">
      <c r="A1099" t="s">
        <v>3581</v>
      </c>
      <c r="B1099" s="31" t="s">
        <v>3243</v>
      </c>
      <c r="C1099" t="s">
        <v>3581</v>
      </c>
      <c r="D1099" s="8" t="s">
        <v>14</v>
      </c>
      <c r="E1099" s="8" t="s">
        <v>3314</v>
      </c>
      <c r="F1099" s="8" t="s">
        <v>3582</v>
      </c>
      <c r="G1099" s="8">
        <v>500</v>
      </c>
    </row>
    <row r="1100" spans="1:7" ht="16" x14ac:dyDescent="0.2">
      <c r="A1100" t="s">
        <v>3583</v>
      </c>
      <c r="B1100" s="31" t="s">
        <v>3243</v>
      </c>
      <c r="C1100" t="s">
        <v>3583</v>
      </c>
      <c r="D1100" s="8" t="s">
        <v>14</v>
      </c>
      <c r="E1100" s="8" t="s">
        <v>3315</v>
      </c>
      <c r="F1100" s="8" t="s">
        <v>3584</v>
      </c>
      <c r="G1100" s="8">
        <v>500</v>
      </c>
    </row>
    <row r="1101" spans="1:7" ht="16" x14ac:dyDescent="0.2">
      <c r="A1101" t="s">
        <v>3585</v>
      </c>
      <c r="B1101" s="31" t="s">
        <v>3243</v>
      </c>
      <c r="C1101" t="s">
        <v>3585</v>
      </c>
      <c r="D1101" s="8" t="s">
        <v>14</v>
      </c>
      <c r="E1101" s="8" t="s">
        <v>3316</v>
      </c>
      <c r="F1101" s="8" t="s">
        <v>3586</v>
      </c>
      <c r="G1101" s="8">
        <v>500</v>
      </c>
    </row>
    <row r="1102" spans="1:7" ht="16" x14ac:dyDescent="0.2">
      <c r="A1102" t="s">
        <v>3587</v>
      </c>
      <c r="B1102" s="31" t="s">
        <v>3243</v>
      </c>
      <c r="C1102" t="s">
        <v>3587</v>
      </c>
      <c r="D1102" s="8" t="s">
        <v>14</v>
      </c>
      <c r="E1102" s="8" t="s">
        <v>3317</v>
      </c>
      <c r="F1102" s="8" t="s">
        <v>3588</v>
      </c>
      <c r="G1102" s="8">
        <v>500</v>
      </c>
    </row>
    <row r="1103" spans="1:7" ht="16" x14ac:dyDescent="0.2">
      <c r="A1103" t="s">
        <v>3589</v>
      </c>
      <c r="B1103" s="31" t="s">
        <v>3243</v>
      </c>
      <c r="C1103" t="s">
        <v>3589</v>
      </c>
      <c r="D1103" s="8" t="s">
        <v>14</v>
      </c>
      <c r="E1103" s="8" t="s">
        <v>3318</v>
      </c>
      <c r="F1103" s="8" t="s">
        <v>3590</v>
      </c>
      <c r="G1103" s="8">
        <v>500</v>
      </c>
    </row>
    <row r="1104" spans="1:7" ht="16" x14ac:dyDescent="0.2">
      <c r="A1104" t="s">
        <v>3591</v>
      </c>
      <c r="B1104" s="31" t="s">
        <v>3243</v>
      </c>
      <c r="C1104" t="s">
        <v>3591</v>
      </c>
      <c r="D1104" s="8" t="s">
        <v>14</v>
      </c>
      <c r="E1104" s="8" t="s">
        <v>3319</v>
      </c>
      <c r="F1104" s="8" t="s">
        <v>3592</v>
      </c>
      <c r="G1104" s="8">
        <v>500</v>
      </c>
    </row>
    <row r="1105" spans="1:7" ht="16" x14ac:dyDescent="0.2">
      <c r="A1105" t="s">
        <v>3593</v>
      </c>
      <c r="B1105" s="31" t="s">
        <v>3243</v>
      </c>
      <c r="C1105" t="s">
        <v>3593</v>
      </c>
      <c r="D1105" s="8" t="s">
        <v>14</v>
      </c>
      <c r="E1105" s="8" t="s">
        <v>3320</v>
      </c>
      <c r="F1105" s="8" t="s">
        <v>3594</v>
      </c>
      <c r="G1105" s="8">
        <v>500</v>
      </c>
    </row>
    <row r="1106" spans="1:7" ht="16" x14ac:dyDescent="0.2">
      <c r="A1106" t="s">
        <v>3595</v>
      </c>
      <c r="B1106" s="31" t="s">
        <v>3243</v>
      </c>
      <c r="C1106" t="s">
        <v>3595</v>
      </c>
      <c r="D1106" s="8" t="s">
        <v>14</v>
      </c>
      <c r="E1106" s="8" t="s">
        <v>3321</v>
      </c>
      <c r="F1106" s="8" t="s">
        <v>3596</v>
      </c>
      <c r="G1106" s="8">
        <v>500</v>
      </c>
    </row>
    <row r="1107" spans="1:7" ht="16" x14ac:dyDescent="0.2">
      <c r="A1107" t="s">
        <v>3597</v>
      </c>
      <c r="B1107" s="31" t="s">
        <v>3243</v>
      </c>
      <c r="C1107" t="s">
        <v>3597</v>
      </c>
      <c r="D1107" s="8" t="s">
        <v>14</v>
      </c>
      <c r="E1107" s="8" t="s">
        <v>3839</v>
      </c>
      <c r="F1107" s="8" t="s">
        <v>3840</v>
      </c>
      <c r="G1107" s="8">
        <v>500</v>
      </c>
    </row>
    <row r="1108" spans="1:7" ht="16" x14ac:dyDescent="0.2">
      <c r="A1108" t="s">
        <v>3598</v>
      </c>
      <c r="B1108" s="31" t="s">
        <v>3243</v>
      </c>
      <c r="C1108" t="s">
        <v>3598</v>
      </c>
      <c r="D1108" s="8" t="s">
        <v>14</v>
      </c>
      <c r="E1108" s="8" t="s">
        <v>3322</v>
      </c>
      <c r="F1108" s="8" t="s">
        <v>3599</v>
      </c>
      <c r="G1108" s="8">
        <v>500</v>
      </c>
    </row>
    <row r="1109" spans="1:7" ht="16" x14ac:dyDescent="0.2">
      <c r="A1109" t="s">
        <v>3600</v>
      </c>
      <c r="B1109" s="31" t="s">
        <v>3243</v>
      </c>
      <c r="C1109" t="s">
        <v>3600</v>
      </c>
      <c r="D1109" s="8" t="s">
        <v>14</v>
      </c>
      <c r="E1109" s="8" t="s">
        <v>3323</v>
      </c>
      <c r="F1109" s="8" t="s">
        <v>3601</v>
      </c>
      <c r="G1109" s="8">
        <v>500</v>
      </c>
    </row>
    <row r="1110" spans="1:7" ht="16" x14ac:dyDescent="0.2">
      <c r="A1110" t="s">
        <v>3602</v>
      </c>
      <c r="B1110" s="31" t="s">
        <v>3243</v>
      </c>
      <c r="C1110" t="s">
        <v>3602</v>
      </c>
      <c r="D1110" s="8" t="s">
        <v>14</v>
      </c>
      <c r="E1110" s="8" t="s">
        <v>3324</v>
      </c>
      <c r="F1110" s="8" t="s">
        <v>3603</v>
      </c>
      <c r="G1110" s="8">
        <v>500</v>
      </c>
    </row>
    <row r="1111" spans="1:7" ht="16" x14ac:dyDescent="0.2">
      <c r="A1111" t="s">
        <v>3604</v>
      </c>
      <c r="B1111" s="31" t="s">
        <v>3243</v>
      </c>
      <c r="C1111" t="s">
        <v>3604</v>
      </c>
      <c r="D1111" s="8" t="s">
        <v>14</v>
      </c>
      <c r="E1111" s="8" t="s">
        <v>3325</v>
      </c>
      <c r="F1111" s="8" t="s">
        <v>3605</v>
      </c>
      <c r="G1111" s="8">
        <v>500</v>
      </c>
    </row>
    <row r="1112" spans="1:7" ht="16" x14ac:dyDescent="0.2">
      <c r="A1112" t="s">
        <v>3606</v>
      </c>
      <c r="B1112" s="31" t="s">
        <v>3243</v>
      </c>
      <c r="C1112" t="s">
        <v>3606</v>
      </c>
      <c r="D1112" s="8" t="s">
        <v>14</v>
      </c>
      <c r="E1112" s="8" t="s">
        <v>3326</v>
      </c>
      <c r="F1112" s="8" t="s">
        <v>3607</v>
      </c>
      <c r="G1112" s="8">
        <v>500</v>
      </c>
    </row>
    <row r="1113" spans="1:7" ht="16" x14ac:dyDescent="0.2">
      <c r="A1113" t="s">
        <v>3608</v>
      </c>
      <c r="B1113" s="31" t="s">
        <v>3243</v>
      </c>
      <c r="C1113" t="s">
        <v>3608</v>
      </c>
      <c r="D1113" s="8" t="s">
        <v>14</v>
      </c>
      <c r="E1113" s="8" t="s">
        <v>3609</v>
      </c>
      <c r="F1113" s="8" t="s">
        <v>3610</v>
      </c>
      <c r="G1113" s="8">
        <v>500</v>
      </c>
    </row>
    <row r="1114" spans="1:7" ht="16" x14ac:dyDescent="0.2">
      <c r="A1114" t="s">
        <v>3611</v>
      </c>
      <c r="B1114" s="31" t="s">
        <v>3243</v>
      </c>
      <c r="C1114" t="s">
        <v>3611</v>
      </c>
      <c r="D1114" s="8" t="s">
        <v>14</v>
      </c>
      <c r="E1114" s="8" t="s">
        <v>3612</v>
      </c>
      <c r="F1114" s="8" t="s">
        <v>3613</v>
      </c>
      <c r="G1114" s="8">
        <v>500</v>
      </c>
    </row>
    <row r="1115" spans="1:7" ht="16" x14ac:dyDescent="0.2">
      <c r="A1115" t="s">
        <v>3614</v>
      </c>
      <c r="B1115" s="31" t="s">
        <v>3243</v>
      </c>
      <c r="C1115" t="s">
        <v>3614</v>
      </c>
      <c r="D1115" s="8" t="s">
        <v>14</v>
      </c>
      <c r="E1115" s="8" t="s">
        <v>3327</v>
      </c>
      <c r="F1115" s="8" t="s">
        <v>3615</v>
      </c>
      <c r="G1115" s="8">
        <v>500</v>
      </c>
    </row>
    <row r="1116" spans="1:7" ht="16" x14ac:dyDescent="0.2">
      <c r="A1116" t="s">
        <v>3616</v>
      </c>
      <c r="B1116" s="31" t="s">
        <v>3243</v>
      </c>
      <c r="C1116" t="s">
        <v>3616</v>
      </c>
      <c r="D1116" s="8" t="s">
        <v>14</v>
      </c>
      <c r="E1116" s="8" t="s">
        <v>3328</v>
      </c>
      <c r="F1116" s="8" t="s">
        <v>3617</v>
      </c>
      <c r="G1116" s="8">
        <v>500</v>
      </c>
    </row>
    <row r="1117" spans="1:7" ht="16" x14ac:dyDescent="0.2">
      <c r="A1117" t="s">
        <v>3618</v>
      </c>
      <c r="B1117" s="31" t="s">
        <v>3243</v>
      </c>
      <c r="C1117" t="s">
        <v>3618</v>
      </c>
      <c r="D1117" s="8" t="s">
        <v>14</v>
      </c>
      <c r="E1117" s="8" t="s">
        <v>3329</v>
      </c>
      <c r="F1117" s="8" t="s">
        <v>3619</v>
      </c>
      <c r="G1117" s="8">
        <v>500</v>
      </c>
    </row>
    <row r="1118" spans="1:7" ht="16" x14ac:dyDescent="0.2">
      <c r="A1118" t="s">
        <v>3620</v>
      </c>
      <c r="B1118" s="31" t="s">
        <v>3243</v>
      </c>
      <c r="C1118" t="s">
        <v>3620</v>
      </c>
      <c r="D1118" s="8" t="s">
        <v>14</v>
      </c>
      <c r="E1118" s="8" t="s">
        <v>3330</v>
      </c>
      <c r="F1118" s="8" t="s">
        <v>3621</v>
      </c>
      <c r="G1118" s="8">
        <v>500</v>
      </c>
    </row>
    <row r="1119" spans="1:7" ht="16" x14ac:dyDescent="0.2">
      <c r="A1119" t="s">
        <v>3622</v>
      </c>
      <c r="B1119" s="31" t="s">
        <v>3243</v>
      </c>
      <c r="C1119" t="s">
        <v>3622</v>
      </c>
      <c r="D1119" s="8" t="s">
        <v>14</v>
      </c>
      <c r="E1119" s="8" t="s">
        <v>3331</v>
      </c>
      <c r="F1119" s="8" t="s">
        <v>3623</v>
      </c>
      <c r="G1119" s="8">
        <v>500</v>
      </c>
    </row>
    <row r="1120" spans="1:7" ht="16" x14ac:dyDescent="0.2">
      <c r="A1120" t="s">
        <v>3624</v>
      </c>
      <c r="B1120" s="31" t="s">
        <v>3243</v>
      </c>
      <c r="C1120" t="s">
        <v>3624</v>
      </c>
      <c r="D1120" s="8" t="s">
        <v>14</v>
      </c>
      <c r="E1120" s="8" t="s">
        <v>3332</v>
      </c>
      <c r="F1120" s="8" t="s">
        <v>3625</v>
      </c>
      <c r="G1120" s="8">
        <v>500</v>
      </c>
    </row>
    <row r="1121" spans="1:7" ht="16" x14ac:dyDescent="0.2">
      <c r="A1121" t="s">
        <v>3626</v>
      </c>
      <c r="B1121" s="31" t="s">
        <v>3243</v>
      </c>
      <c r="C1121" t="s">
        <v>3626</v>
      </c>
      <c r="D1121" s="8" t="s">
        <v>14</v>
      </c>
      <c r="E1121" s="8" t="s">
        <v>3333</v>
      </c>
      <c r="F1121" s="8" t="s">
        <v>3627</v>
      </c>
      <c r="G1121" s="8">
        <v>500</v>
      </c>
    </row>
    <row r="1122" spans="1:7" ht="16" x14ac:dyDescent="0.2">
      <c r="A1122" t="s">
        <v>3628</v>
      </c>
      <c r="B1122" s="31" t="s">
        <v>3243</v>
      </c>
      <c r="C1122" t="s">
        <v>3628</v>
      </c>
      <c r="D1122" s="8" t="s">
        <v>14</v>
      </c>
      <c r="E1122" s="8" t="s">
        <v>3629</v>
      </c>
      <c r="F1122" s="8" t="s">
        <v>3630</v>
      </c>
      <c r="G1122" s="8">
        <v>500</v>
      </c>
    </row>
    <row r="1123" spans="1:7" ht="16" x14ac:dyDescent="0.2">
      <c r="A1123" t="s">
        <v>3631</v>
      </c>
      <c r="B1123" s="31" t="s">
        <v>3243</v>
      </c>
      <c r="C1123" t="s">
        <v>3631</v>
      </c>
      <c r="D1123" s="8" t="s">
        <v>14</v>
      </c>
      <c r="E1123" s="8" t="s">
        <v>3334</v>
      </c>
      <c r="F1123" s="8" t="s">
        <v>3632</v>
      </c>
      <c r="G1123" s="8">
        <v>500</v>
      </c>
    </row>
    <row r="1124" spans="1:7" ht="16" x14ac:dyDescent="0.2">
      <c r="A1124" t="s">
        <v>3633</v>
      </c>
      <c r="B1124" s="31" t="s">
        <v>3243</v>
      </c>
      <c r="C1124" t="s">
        <v>3633</v>
      </c>
      <c r="D1124" s="8" t="s">
        <v>14</v>
      </c>
      <c r="E1124" s="8" t="s">
        <v>3335</v>
      </c>
      <c r="F1124" s="8" t="s">
        <v>3634</v>
      </c>
      <c r="G1124" s="8">
        <v>500</v>
      </c>
    </row>
    <row r="1125" spans="1:7" ht="16" x14ac:dyDescent="0.2">
      <c r="A1125" t="s">
        <v>3635</v>
      </c>
      <c r="B1125" s="31" t="s">
        <v>3243</v>
      </c>
      <c r="C1125" t="s">
        <v>3635</v>
      </c>
      <c r="D1125" s="8" t="s">
        <v>14</v>
      </c>
      <c r="E1125" s="8" t="s">
        <v>3336</v>
      </c>
      <c r="F1125" s="8" t="s">
        <v>3636</v>
      </c>
      <c r="G1125" s="8">
        <v>500</v>
      </c>
    </row>
    <row r="1126" spans="1:7" ht="16" x14ac:dyDescent="0.2">
      <c r="A1126" t="s">
        <v>3637</v>
      </c>
      <c r="B1126" s="31" t="s">
        <v>3243</v>
      </c>
      <c r="C1126" t="s">
        <v>3637</v>
      </c>
      <c r="D1126" s="8" t="s">
        <v>14</v>
      </c>
      <c r="E1126" s="8" t="s">
        <v>3337</v>
      </c>
      <c r="F1126" s="8" t="s">
        <v>3638</v>
      </c>
      <c r="G1126" s="8">
        <v>500</v>
      </c>
    </row>
    <row r="1127" spans="1:7" ht="16" x14ac:dyDescent="0.2">
      <c r="A1127" t="s">
        <v>3639</v>
      </c>
      <c r="B1127" s="31" t="s">
        <v>3243</v>
      </c>
      <c r="C1127" t="s">
        <v>3639</v>
      </c>
      <c r="D1127" s="8" t="s">
        <v>14</v>
      </c>
      <c r="E1127" s="8" t="s">
        <v>3338</v>
      </c>
      <c r="F1127" s="8" t="s">
        <v>3640</v>
      </c>
      <c r="G1127" s="8">
        <v>500</v>
      </c>
    </row>
    <row r="1128" spans="1:7" ht="16" x14ac:dyDescent="0.2">
      <c r="A1128" t="s">
        <v>3641</v>
      </c>
      <c r="B1128" s="31" t="s">
        <v>3243</v>
      </c>
      <c r="C1128" t="s">
        <v>3641</v>
      </c>
      <c r="D1128" s="8" t="s">
        <v>14</v>
      </c>
      <c r="E1128" s="8" t="s">
        <v>3339</v>
      </c>
      <c r="F1128" s="8" t="s">
        <v>3642</v>
      </c>
      <c r="G1128" s="8">
        <v>500</v>
      </c>
    </row>
    <row r="1129" spans="1:7" ht="16" x14ac:dyDescent="0.2">
      <c r="A1129" t="s">
        <v>3643</v>
      </c>
      <c r="B1129" s="31" t="s">
        <v>3243</v>
      </c>
      <c r="C1129" t="s">
        <v>3643</v>
      </c>
      <c r="D1129" s="8" t="s">
        <v>14</v>
      </c>
      <c r="E1129" s="8" t="s">
        <v>3340</v>
      </c>
      <c r="F1129" s="8" t="s">
        <v>3644</v>
      </c>
      <c r="G1129" s="8">
        <v>500</v>
      </c>
    </row>
    <row r="1130" spans="1:7" ht="16" x14ac:dyDescent="0.2">
      <c r="A1130" t="s">
        <v>3645</v>
      </c>
      <c r="B1130" s="31" t="s">
        <v>3243</v>
      </c>
      <c r="C1130" t="s">
        <v>3645</v>
      </c>
      <c r="D1130" s="8" t="s">
        <v>14</v>
      </c>
      <c r="E1130" s="8" t="s">
        <v>3341</v>
      </c>
      <c r="F1130" s="8" t="s">
        <v>3646</v>
      </c>
      <c r="G1130" s="8">
        <v>500</v>
      </c>
    </row>
    <row r="1131" spans="1:7" ht="16" x14ac:dyDescent="0.2">
      <c r="A1131" t="s">
        <v>3647</v>
      </c>
      <c r="B1131" s="31" t="s">
        <v>3243</v>
      </c>
      <c r="C1131" t="s">
        <v>3647</v>
      </c>
      <c r="D1131" s="8" t="s">
        <v>14</v>
      </c>
      <c r="E1131" s="8" t="s">
        <v>3342</v>
      </c>
      <c r="F1131" s="8" t="s">
        <v>3648</v>
      </c>
      <c r="G1131" s="8">
        <v>500</v>
      </c>
    </row>
    <row r="1132" spans="1:7" ht="16" x14ac:dyDescent="0.2">
      <c r="A1132" t="s">
        <v>3649</v>
      </c>
      <c r="B1132" s="31" t="s">
        <v>3243</v>
      </c>
      <c r="C1132" t="s">
        <v>3649</v>
      </c>
      <c r="D1132" s="8" t="s">
        <v>14</v>
      </c>
      <c r="E1132" s="8" t="s">
        <v>3343</v>
      </c>
      <c r="F1132" s="8" t="s">
        <v>3650</v>
      </c>
      <c r="G1132" s="8">
        <v>500</v>
      </c>
    </row>
    <row r="1133" spans="1:7" ht="16" x14ac:dyDescent="0.2">
      <c r="A1133" t="s">
        <v>3651</v>
      </c>
      <c r="B1133" s="31" t="s">
        <v>3243</v>
      </c>
      <c r="C1133" t="s">
        <v>3651</v>
      </c>
      <c r="D1133" s="8" t="s">
        <v>14</v>
      </c>
      <c r="E1133" s="8" t="s">
        <v>3344</v>
      </c>
      <c r="F1133" s="8" t="s">
        <v>3652</v>
      </c>
      <c r="G1133" s="8">
        <v>500</v>
      </c>
    </row>
    <row r="1134" spans="1:7" ht="16" x14ac:dyDescent="0.2">
      <c r="A1134" t="s">
        <v>3653</v>
      </c>
      <c r="B1134" s="31" t="s">
        <v>3243</v>
      </c>
      <c r="C1134" t="s">
        <v>3653</v>
      </c>
      <c r="D1134" s="8" t="s">
        <v>14</v>
      </c>
      <c r="E1134" s="8" t="s">
        <v>3345</v>
      </c>
      <c r="F1134" s="8" t="s">
        <v>3654</v>
      </c>
      <c r="G1134" s="8">
        <v>500</v>
      </c>
    </row>
    <row r="1135" spans="1:7" ht="16" x14ac:dyDescent="0.2">
      <c r="A1135" t="s">
        <v>3655</v>
      </c>
      <c r="B1135" s="31" t="s">
        <v>3243</v>
      </c>
      <c r="C1135" t="s">
        <v>3655</v>
      </c>
      <c r="D1135" s="8" t="s">
        <v>14</v>
      </c>
      <c r="E1135" s="8" t="s">
        <v>3346</v>
      </c>
      <c r="F1135" s="8" t="s">
        <v>3656</v>
      </c>
      <c r="G1135" s="8">
        <v>500</v>
      </c>
    </row>
    <row r="1136" spans="1:7" ht="16" x14ac:dyDescent="0.2">
      <c r="A1136" t="s">
        <v>3657</v>
      </c>
      <c r="B1136" s="31" t="s">
        <v>3243</v>
      </c>
      <c r="C1136" t="s">
        <v>3657</v>
      </c>
      <c r="D1136" s="8" t="s">
        <v>14</v>
      </c>
      <c r="E1136" s="8" t="s">
        <v>3347</v>
      </c>
      <c r="F1136" s="8" t="s">
        <v>3658</v>
      </c>
      <c r="G1136" s="8">
        <v>500</v>
      </c>
    </row>
    <row r="1137" spans="1:7" ht="16" x14ac:dyDescent="0.2">
      <c r="A1137" t="s">
        <v>3659</v>
      </c>
      <c r="B1137" s="31" t="s">
        <v>3243</v>
      </c>
      <c r="C1137" t="s">
        <v>3659</v>
      </c>
      <c r="D1137" s="8" t="s">
        <v>14</v>
      </c>
      <c r="E1137" s="8" t="s">
        <v>3348</v>
      </c>
      <c r="F1137" s="8" t="s">
        <v>3660</v>
      </c>
      <c r="G1137" s="8">
        <v>500</v>
      </c>
    </row>
    <row r="1138" spans="1:7" ht="16" x14ac:dyDescent="0.2">
      <c r="A1138" t="s">
        <v>3661</v>
      </c>
      <c r="B1138" s="31" t="s">
        <v>3243</v>
      </c>
      <c r="C1138" t="s">
        <v>3661</v>
      </c>
      <c r="D1138" s="8" t="s">
        <v>14</v>
      </c>
      <c r="E1138" s="8" t="s">
        <v>3349</v>
      </c>
      <c r="F1138" s="8" t="s">
        <v>3662</v>
      </c>
      <c r="G1138" s="8">
        <v>500</v>
      </c>
    </row>
    <row r="1139" spans="1:7" ht="16" x14ac:dyDescent="0.2">
      <c r="A1139" t="s">
        <v>3663</v>
      </c>
      <c r="B1139" s="31" t="s">
        <v>3243</v>
      </c>
      <c r="C1139" t="s">
        <v>3663</v>
      </c>
      <c r="D1139" s="8" t="s">
        <v>14</v>
      </c>
      <c r="E1139" s="8" t="s">
        <v>3350</v>
      </c>
      <c r="F1139" s="8" t="s">
        <v>3664</v>
      </c>
      <c r="G1139" s="8">
        <v>500</v>
      </c>
    </row>
    <row r="1140" spans="1:7" ht="16" x14ac:dyDescent="0.2">
      <c r="A1140" t="s">
        <v>3665</v>
      </c>
      <c r="B1140" s="31" t="s">
        <v>3243</v>
      </c>
      <c r="C1140" t="s">
        <v>3665</v>
      </c>
      <c r="D1140" s="8" t="s">
        <v>14</v>
      </c>
      <c r="E1140" s="8" t="s">
        <v>3351</v>
      </c>
      <c r="F1140" s="8" t="s">
        <v>3666</v>
      </c>
      <c r="G1140" s="8">
        <v>500</v>
      </c>
    </row>
    <row r="1141" spans="1:7" ht="16" x14ac:dyDescent="0.2">
      <c r="A1141" t="s">
        <v>3667</v>
      </c>
      <c r="B1141" s="31" t="s">
        <v>3243</v>
      </c>
      <c r="C1141" t="s">
        <v>3667</v>
      </c>
      <c r="D1141" s="8" t="s">
        <v>14</v>
      </c>
      <c r="E1141" s="8" t="s">
        <v>3352</v>
      </c>
      <c r="F1141" s="8" t="s">
        <v>3668</v>
      </c>
      <c r="G1141" s="8">
        <v>500</v>
      </c>
    </row>
    <row r="1142" spans="1:7" ht="16" x14ac:dyDescent="0.2">
      <c r="A1142" t="s">
        <v>3669</v>
      </c>
      <c r="B1142" s="31" t="s">
        <v>3243</v>
      </c>
      <c r="C1142" t="s">
        <v>3669</v>
      </c>
      <c r="D1142" s="8" t="s">
        <v>14</v>
      </c>
      <c r="E1142" s="8" t="s">
        <v>3353</v>
      </c>
      <c r="F1142" s="8" t="s">
        <v>3670</v>
      </c>
      <c r="G1142" s="8">
        <v>500</v>
      </c>
    </row>
    <row r="1143" spans="1:7" ht="16" x14ac:dyDescent="0.2">
      <c r="A1143" t="s">
        <v>3671</v>
      </c>
      <c r="B1143" s="31" t="s">
        <v>3243</v>
      </c>
      <c r="C1143" t="s">
        <v>3671</v>
      </c>
      <c r="D1143" s="8" t="s">
        <v>14</v>
      </c>
      <c r="E1143" s="8" t="s">
        <v>3672</v>
      </c>
      <c r="F1143" s="8" t="s">
        <v>3673</v>
      </c>
      <c r="G1143" s="8">
        <v>500</v>
      </c>
    </row>
    <row r="1144" spans="1:7" ht="16" x14ac:dyDescent="0.2">
      <c r="A1144" t="s">
        <v>3674</v>
      </c>
      <c r="B1144" s="31" t="s">
        <v>3243</v>
      </c>
      <c r="C1144" t="s">
        <v>3674</v>
      </c>
      <c r="D1144" s="8" t="s">
        <v>14</v>
      </c>
      <c r="E1144" s="8" t="s">
        <v>3354</v>
      </c>
      <c r="F1144" s="8" t="s">
        <v>3675</v>
      </c>
      <c r="G1144" s="8">
        <v>500</v>
      </c>
    </row>
    <row r="1145" spans="1:7" ht="16" x14ac:dyDescent="0.2">
      <c r="A1145" t="s">
        <v>3676</v>
      </c>
      <c r="B1145" s="31" t="s">
        <v>3243</v>
      </c>
      <c r="C1145" t="s">
        <v>3676</v>
      </c>
      <c r="D1145" s="8" t="s">
        <v>14</v>
      </c>
      <c r="E1145" s="8" t="s">
        <v>3355</v>
      </c>
      <c r="F1145" s="8" t="s">
        <v>3677</v>
      </c>
      <c r="G1145" s="8">
        <v>500</v>
      </c>
    </row>
    <row r="1146" spans="1:7" ht="16" x14ac:dyDescent="0.2">
      <c r="A1146" t="s">
        <v>3678</v>
      </c>
      <c r="B1146" s="31" t="s">
        <v>3243</v>
      </c>
      <c r="C1146" t="s">
        <v>3678</v>
      </c>
      <c r="D1146" s="8" t="s">
        <v>14</v>
      </c>
      <c r="E1146" s="8" t="s">
        <v>3356</v>
      </c>
      <c r="F1146" s="8" t="s">
        <v>3679</v>
      </c>
      <c r="G1146" s="8">
        <v>500</v>
      </c>
    </row>
    <row r="1147" spans="1:7" ht="16" x14ac:dyDescent="0.2">
      <c r="A1147" t="s">
        <v>3680</v>
      </c>
      <c r="B1147" s="31" t="s">
        <v>3243</v>
      </c>
      <c r="C1147" t="s">
        <v>3680</v>
      </c>
      <c r="D1147" s="8" t="s">
        <v>14</v>
      </c>
      <c r="E1147" s="8" t="s">
        <v>3681</v>
      </c>
      <c r="F1147" s="8" t="s">
        <v>3682</v>
      </c>
      <c r="G1147" s="8">
        <v>500</v>
      </c>
    </row>
    <row r="1148" spans="1:7" ht="16" x14ac:dyDescent="0.2">
      <c r="A1148" t="s">
        <v>3683</v>
      </c>
      <c r="B1148" s="31" t="s">
        <v>3243</v>
      </c>
      <c r="C1148" t="s">
        <v>3683</v>
      </c>
      <c r="D1148" s="8" t="s">
        <v>14</v>
      </c>
      <c r="E1148" s="8" t="s">
        <v>3357</v>
      </c>
      <c r="F1148" s="8" t="s">
        <v>3684</v>
      </c>
      <c r="G1148" s="8">
        <v>500</v>
      </c>
    </row>
    <row r="1149" spans="1:7" ht="16" x14ac:dyDescent="0.2">
      <c r="A1149" t="s">
        <v>3685</v>
      </c>
      <c r="B1149" s="31" t="s">
        <v>3243</v>
      </c>
      <c r="C1149" t="s">
        <v>3685</v>
      </c>
      <c r="D1149" s="8" t="s">
        <v>14</v>
      </c>
      <c r="E1149" s="8" t="s">
        <v>3358</v>
      </c>
      <c r="F1149" s="8" t="s">
        <v>3686</v>
      </c>
      <c r="G1149" s="8">
        <v>500</v>
      </c>
    </row>
    <row r="1150" spans="1:7" ht="16" x14ac:dyDescent="0.2">
      <c r="A1150" t="s">
        <v>3687</v>
      </c>
      <c r="B1150" s="31" t="s">
        <v>3243</v>
      </c>
      <c r="C1150" t="s">
        <v>3687</v>
      </c>
      <c r="D1150" s="8" t="s">
        <v>14</v>
      </c>
      <c r="E1150" s="8" t="s">
        <v>3359</v>
      </c>
      <c r="F1150" s="8" t="s">
        <v>3688</v>
      </c>
      <c r="G1150" s="8">
        <v>500</v>
      </c>
    </row>
    <row r="1151" spans="1:7" ht="16" x14ac:dyDescent="0.2">
      <c r="A1151" t="s">
        <v>3689</v>
      </c>
      <c r="B1151" s="31" t="s">
        <v>3243</v>
      </c>
      <c r="C1151" t="s">
        <v>3689</v>
      </c>
      <c r="D1151" s="8" t="s">
        <v>14</v>
      </c>
      <c r="E1151" s="8" t="s">
        <v>3360</v>
      </c>
      <c r="F1151" s="8" t="s">
        <v>3690</v>
      </c>
      <c r="G1151" s="8">
        <v>500</v>
      </c>
    </row>
    <row r="1152" spans="1:7" ht="16" x14ac:dyDescent="0.2">
      <c r="A1152" t="s">
        <v>3691</v>
      </c>
      <c r="B1152" s="31" t="s">
        <v>3243</v>
      </c>
      <c r="C1152" t="s">
        <v>3691</v>
      </c>
      <c r="D1152" s="8" t="s">
        <v>14</v>
      </c>
      <c r="E1152" s="8" t="s">
        <v>3361</v>
      </c>
      <c r="F1152" s="8" t="s">
        <v>3692</v>
      </c>
      <c r="G1152" s="8">
        <v>500</v>
      </c>
    </row>
    <row r="1153" spans="1:7" ht="16" x14ac:dyDescent="0.2">
      <c r="A1153" t="s">
        <v>3693</v>
      </c>
      <c r="B1153" s="31" t="s">
        <v>3243</v>
      </c>
      <c r="C1153" t="s">
        <v>3693</v>
      </c>
      <c r="D1153" s="8" t="s">
        <v>14</v>
      </c>
      <c r="E1153" s="8" t="s">
        <v>3362</v>
      </c>
      <c r="F1153" s="8" t="s">
        <v>3694</v>
      </c>
      <c r="G1153" s="8">
        <v>500</v>
      </c>
    </row>
    <row r="1154" spans="1:7" ht="16" x14ac:dyDescent="0.2">
      <c r="A1154" t="s">
        <v>3695</v>
      </c>
      <c r="B1154" s="31" t="s">
        <v>3243</v>
      </c>
      <c r="C1154" t="s">
        <v>3695</v>
      </c>
      <c r="D1154" s="8" t="s">
        <v>14</v>
      </c>
      <c r="E1154" s="8" t="s">
        <v>3363</v>
      </c>
      <c r="F1154" s="8" t="s">
        <v>3696</v>
      </c>
      <c r="G1154" s="8">
        <v>500</v>
      </c>
    </row>
    <row r="1155" spans="1:7" ht="16" x14ac:dyDescent="0.2">
      <c r="A1155" t="s">
        <v>3697</v>
      </c>
      <c r="B1155" s="31" t="s">
        <v>3243</v>
      </c>
      <c r="C1155" t="s">
        <v>3697</v>
      </c>
      <c r="D1155" s="8" t="s">
        <v>14</v>
      </c>
      <c r="E1155" s="8" t="s">
        <v>3364</v>
      </c>
      <c r="F1155" s="8" t="s">
        <v>3698</v>
      </c>
      <c r="G1155" s="8">
        <v>500</v>
      </c>
    </row>
    <row r="1156" spans="1:7" ht="16" x14ac:dyDescent="0.2">
      <c r="A1156" t="s">
        <v>3699</v>
      </c>
      <c r="B1156" s="31" t="s">
        <v>3243</v>
      </c>
      <c r="C1156" t="s">
        <v>3699</v>
      </c>
      <c r="D1156" s="8" t="s">
        <v>14</v>
      </c>
      <c r="E1156" s="8" t="s">
        <v>3365</v>
      </c>
      <c r="F1156" s="8" t="s">
        <v>3700</v>
      </c>
      <c r="G1156" s="8">
        <v>500</v>
      </c>
    </row>
    <row r="1157" spans="1:7" ht="16" x14ac:dyDescent="0.2">
      <c r="A1157" t="s">
        <v>3701</v>
      </c>
      <c r="B1157" s="31" t="s">
        <v>3243</v>
      </c>
      <c r="C1157" t="s">
        <v>3701</v>
      </c>
      <c r="D1157" s="8" t="s">
        <v>14</v>
      </c>
      <c r="E1157" s="8" t="s">
        <v>3366</v>
      </c>
      <c r="F1157" s="8" t="s">
        <v>3702</v>
      </c>
      <c r="G1157" s="8">
        <v>500</v>
      </c>
    </row>
    <row r="1158" spans="1:7" ht="16" x14ac:dyDescent="0.2">
      <c r="A1158" t="s">
        <v>3703</v>
      </c>
      <c r="B1158" s="31" t="s">
        <v>3243</v>
      </c>
      <c r="C1158" t="s">
        <v>3703</v>
      </c>
      <c r="D1158" s="8" t="s">
        <v>14</v>
      </c>
      <c r="E1158" s="8" t="s">
        <v>3367</v>
      </c>
      <c r="F1158" s="8" t="s">
        <v>3704</v>
      </c>
      <c r="G1158" s="8">
        <v>500</v>
      </c>
    </row>
    <row r="1159" spans="1:7" ht="16" x14ac:dyDescent="0.2">
      <c r="A1159" t="s">
        <v>3705</v>
      </c>
      <c r="B1159" s="31" t="s">
        <v>3243</v>
      </c>
      <c r="C1159" t="s">
        <v>3705</v>
      </c>
      <c r="D1159" s="8" t="s">
        <v>14</v>
      </c>
      <c r="E1159" s="8" t="s">
        <v>3368</v>
      </c>
      <c r="F1159" s="8" t="s">
        <v>3706</v>
      </c>
      <c r="G1159" s="8">
        <v>500</v>
      </c>
    </row>
    <row r="1160" spans="1:7" ht="16" x14ac:dyDescent="0.2">
      <c r="A1160" t="s">
        <v>3707</v>
      </c>
      <c r="B1160" s="31" t="s">
        <v>3243</v>
      </c>
      <c r="C1160" t="s">
        <v>3707</v>
      </c>
      <c r="D1160" s="8" t="s">
        <v>14</v>
      </c>
      <c r="E1160" s="8" t="s">
        <v>3369</v>
      </c>
      <c r="F1160" s="8" t="s">
        <v>3708</v>
      </c>
      <c r="G1160" s="8">
        <v>500</v>
      </c>
    </row>
    <row r="1161" spans="1:7" ht="16" x14ac:dyDescent="0.2">
      <c r="A1161" t="s">
        <v>3709</v>
      </c>
      <c r="B1161" s="31" t="s">
        <v>3243</v>
      </c>
      <c r="C1161" t="s">
        <v>3709</v>
      </c>
      <c r="D1161" s="8" t="s">
        <v>14</v>
      </c>
      <c r="E1161" s="8" t="s">
        <v>3370</v>
      </c>
      <c r="F1161" s="8" t="s">
        <v>3710</v>
      </c>
      <c r="G1161" s="8">
        <v>500</v>
      </c>
    </row>
    <row r="1162" spans="1:7" ht="16" x14ac:dyDescent="0.2">
      <c r="A1162" t="s">
        <v>3711</v>
      </c>
      <c r="B1162" s="31" t="s">
        <v>3243</v>
      </c>
      <c r="C1162" t="s">
        <v>3711</v>
      </c>
      <c r="D1162" s="8" t="s">
        <v>14</v>
      </c>
      <c r="E1162" s="8" t="s">
        <v>3371</v>
      </c>
      <c r="F1162" s="8" t="s">
        <v>3712</v>
      </c>
      <c r="G1162" s="8">
        <v>500</v>
      </c>
    </row>
    <row r="1163" spans="1:7" ht="16" x14ac:dyDescent="0.2">
      <c r="A1163" t="s">
        <v>3713</v>
      </c>
      <c r="B1163" s="31" t="s">
        <v>3243</v>
      </c>
      <c r="C1163" t="s">
        <v>3713</v>
      </c>
      <c r="D1163" s="8" t="s">
        <v>14</v>
      </c>
      <c r="E1163" s="8" t="s">
        <v>3372</v>
      </c>
      <c r="F1163" s="8" t="s">
        <v>3714</v>
      </c>
      <c r="G1163" s="8">
        <v>500</v>
      </c>
    </row>
    <row r="1164" spans="1:7" ht="16" x14ac:dyDescent="0.2">
      <c r="A1164" t="s">
        <v>3715</v>
      </c>
      <c r="B1164" s="31" t="s">
        <v>3243</v>
      </c>
      <c r="C1164" t="s">
        <v>3715</v>
      </c>
      <c r="D1164" s="8" t="s">
        <v>14</v>
      </c>
      <c r="E1164" s="8" t="s">
        <v>3373</v>
      </c>
      <c r="F1164" s="8" t="s">
        <v>3716</v>
      </c>
      <c r="G1164" s="8">
        <v>500</v>
      </c>
    </row>
    <row r="1165" spans="1:7" ht="16" x14ac:dyDescent="0.2">
      <c r="A1165" t="s">
        <v>3717</v>
      </c>
      <c r="B1165" s="31" t="s">
        <v>3243</v>
      </c>
      <c r="C1165" t="s">
        <v>3717</v>
      </c>
      <c r="D1165" s="8" t="s">
        <v>14</v>
      </c>
      <c r="E1165" s="8" t="s">
        <v>3374</v>
      </c>
      <c r="F1165" s="8" t="s">
        <v>3718</v>
      </c>
      <c r="G1165" s="8">
        <v>500</v>
      </c>
    </row>
    <row r="1166" spans="1:7" ht="16" x14ac:dyDescent="0.2">
      <c r="A1166" t="s">
        <v>3719</v>
      </c>
      <c r="B1166" s="31" t="s">
        <v>3243</v>
      </c>
      <c r="C1166" t="s">
        <v>3719</v>
      </c>
      <c r="D1166" s="8" t="s">
        <v>14</v>
      </c>
      <c r="E1166" s="8" t="s">
        <v>3375</v>
      </c>
      <c r="F1166" s="8" t="s">
        <v>3720</v>
      </c>
      <c r="G1166" s="8">
        <v>500</v>
      </c>
    </row>
    <row r="1167" spans="1:7" ht="16" x14ac:dyDescent="0.2">
      <c r="A1167" t="s">
        <v>3721</v>
      </c>
      <c r="B1167" s="31" t="s">
        <v>3243</v>
      </c>
      <c r="C1167" t="s">
        <v>3721</v>
      </c>
      <c r="D1167" s="8" t="s">
        <v>14</v>
      </c>
      <c r="E1167" s="8" t="s">
        <v>3376</v>
      </c>
      <c r="F1167" s="8" t="s">
        <v>3722</v>
      </c>
      <c r="G1167" s="8">
        <v>500</v>
      </c>
    </row>
    <row r="1168" spans="1:7" ht="16" x14ac:dyDescent="0.2">
      <c r="A1168" t="s">
        <v>3723</v>
      </c>
      <c r="B1168" s="31" t="s">
        <v>3243</v>
      </c>
      <c r="C1168" t="s">
        <v>3723</v>
      </c>
      <c r="D1168" s="8" t="s">
        <v>14</v>
      </c>
      <c r="E1168" s="8" t="s">
        <v>3377</v>
      </c>
      <c r="F1168" s="8" t="s">
        <v>3724</v>
      </c>
      <c r="G1168" s="8">
        <v>500</v>
      </c>
    </row>
    <row r="1169" spans="1:7" ht="16" x14ac:dyDescent="0.2">
      <c r="A1169" t="s">
        <v>3725</v>
      </c>
      <c r="B1169" s="31" t="s">
        <v>3243</v>
      </c>
      <c r="C1169" t="s">
        <v>3725</v>
      </c>
      <c r="D1169" s="8" t="s">
        <v>14</v>
      </c>
      <c r="E1169" s="8" t="s">
        <v>3378</v>
      </c>
      <c r="F1169" s="8" t="s">
        <v>3726</v>
      </c>
      <c r="G1169" s="8">
        <v>500</v>
      </c>
    </row>
    <row r="1170" spans="1:7" ht="16" x14ac:dyDescent="0.2">
      <c r="A1170" t="s">
        <v>3727</v>
      </c>
      <c r="B1170" s="31" t="s">
        <v>3243</v>
      </c>
      <c r="C1170" t="s">
        <v>3727</v>
      </c>
      <c r="D1170" s="8" t="s">
        <v>14</v>
      </c>
      <c r="E1170" s="8" t="s">
        <v>3379</v>
      </c>
      <c r="F1170" s="8" t="s">
        <v>3728</v>
      </c>
      <c r="G1170" s="8">
        <v>500</v>
      </c>
    </row>
    <row r="1171" spans="1:7" ht="16" x14ac:dyDescent="0.2">
      <c r="A1171" t="s">
        <v>3729</v>
      </c>
      <c r="B1171" s="31" t="s">
        <v>3243</v>
      </c>
      <c r="C1171" t="s">
        <v>3729</v>
      </c>
      <c r="D1171" s="8" t="s">
        <v>14</v>
      </c>
      <c r="E1171" s="8" t="s">
        <v>3380</v>
      </c>
      <c r="F1171" s="8" t="s">
        <v>3730</v>
      </c>
      <c r="G1171" s="8">
        <v>500</v>
      </c>
    </row>
    <row r="1172" spans="1:7" ht="16" x14ac:dyDescent="0.2">
      <c r="A1172" t="s">
        <v>3731</v>
      </c>
      <c r="B1172" s="31" t="s">
        <v>3243</v>
      </c>
      <c r="C1172" t="s">
        <v>3731</v>
      </c>
      <c r="D1172" s="8" t="s">
        <v>14</v>
      </c>
      <c r="E1172" s="8" t="s">
        <v>3381</v>
      </c>
      <c r="F1172" s="8" t="s">
        <v>3732</v>
      </c>
      <c r="G1172" s="8">
        <v>500</v>
      </c>
    </row>
    <row r="1173" spans="1:7" ht="16" x14ac:dyDescent="0.2">
      <c r="A1173" t="s">
        <v>3733</v>
      </c>
      <c r="B1173" s="31" t="s">
        <v>3243</v>
      </c>
      <c r="C1173" t="s">
        <v>3733</v>
      </c>
      <c r="D1173" s="8" t="s">
        <v>14</v>
      </c>
      <c r="E1173" s="8" t="s">
        <v>3382</v>
      </c>
      <c r="F1173" s="8" t="s">
        <v>3734</v>
      </c>
      <c r="G1173" s="8">
        <v>500</v>
      </c>
    </row>
    <row r="1174" spans="1:7" ht="16" x14ac:dyDescent="0.2">
      <c r="A1174" t="s">
        <v>3735</v>
      </c>
      <c r="B1174" s="31" t="s">
        <v>3243</v>
      </c>
      <c r="C1174" t="s">
        <v>3735</v>
      </c>
      <c r="D1174" s="8" t="s">
        <v>14</v>
      </c>
      <c r="E1174" s="8" t="s">
        <v>3383</v>
      </c>
      <c r="F1174" s="8" t="s">
        <v>3736</v>
      </c>
      <c r="G1174" s="8">
        <v>500</v>
      </c>
    </row>
    <row r="1175" spans="1:7" ht="16" x14ac:dyDescent="0.2">
      <c r="A1175" t="s">
        <v>3737</v>
      </c>
      <c r="B1175" s="31" t="s">
        <v>3243</v>
      </c>
      <c r="C1175" t="s">
        <v>3737</v>
      </c>
      <c r="D1175" s="8" t="s">
        <v>14</v>
      </c>
      <c r="E1175" s="8" t="s">
        <v>3384</v>
      </c>
      <c r="F1175" s="8" t="s">
        <v>3738</v>
      </c>
      <c r="G1175" s="8">
        <v>500</v>
      </c>
    </row>
    <row r="1176" spans="1:7" ht="16" x14ac:dyDescent="0.2">
      <c r="A1176" t="s">
        <v>3739</v>
      </c>
      <c r="B1176" s="31" t="s">
        <v>3243</v>
      </c>
      <c r="C1176" t="s">
        <v>3739</v>
      </c>
      <c r="D1176" s="8" t="s">
        <v>14</v>
      </c>
      <c r="E1176" s="8" t="s">
        <v>3385</v>
      </c>
      <c r="F1176" s="8" t="s">
        <v>3740</v>
      </c>
      <c r="G1176" s="8">
        <v>500</v>
      </c>
    </row>
    <row r="1177" spans="1:7" ht="16" x14ac:dyDescent="0.2">
      <c r="A1177" t="s">
        <v>3741</v>
      </c>
      <c r="B1177" s="31" t="s">
        <v>3243</v>
      </c>
      <c r="C1177" t="s">
        <v>3741</v>
      </c>
      <c r="D1177" s="8" t="s">
        <v>14</v>
      </c>
      <c r="E1177" s="8" t="s">
        <v>3386</v>
      </c>
      <c r="F1177" s="8" t="s">
        <v>3742</v>
      </c>
      <c r="G1177" s="8">
        <v>500</v>
      </c>
    </row>
    <row r="1178" spans="1:7" ht="16" x14ac:dyDescent="0.2">
      <c r="A1178" t="s">
        <v>3743</v>
      </c>
      <c r="B1178" s="31" t="s">
        <v>3243</v>
      </c>
      <c r="C1178" t="s">
        <v>3743</v>
      </c>
      <c r="D1178" s="8" t="s">
        <v>14</v>
      </c>
      <c r="E1178" s="8" t="s">
        <v>3387</v>
      </c>
      <c r="F1178" s="8" t="s">
        <v>3744</v>
      </c>
      <c r="G1178" s="8">
        <v>500</v>
      </c>
    </row>
    <row r="1179" spans="1:7" ht="16" x14ac:dyDescent="0.2">
      <c r="A1179" t="s">
        <v>3745</v>
      </c>
      <c r="B1179" s="31" t="s">
        <v>3243</v>
      </c>
      <c r="C1179" t="s">
        <v>3745</v>
      </c>
      <c r="D1179" s="8" t="s">
        <v>14</v>
      </c>
      <c r="E1179" s="8" t="s">
        <v>3388</v>
      </c>
      <c r="F1179" s="8" t="s">
        <v>3746</v>
      </c>
      <c r="G1179" s="8">
        <v>500</v>
      </c>
    </row>
    <row r="1180" spans="1:7" ht="16" x14ac:dyDescent="0.2">
      <c r="A1180" t="s">
        <v>3747</v>
      </c>
      <c r="B1180" s="31" t="s">
        <v>3243</v>
      </c>
      <c r="C1180" t="s">
        <v>3747</v>
      </c>
      <c r="D1180" s="8" t="s">
        <v>14</v>
      </c>
      <c r="E1180" s="8" t="s">
        <v>3389</v>
      </c>
      <c r="F1180" s="8" t="s">
        <v>3748</v>
      </c>
      <c r="G1180" s="8">
        <v>500</v>
      </c>
    </row>
    <row r="1181" spans="1:7" ht="16" x14ac:dyDescent="0.2">
      <c r="A1181" t="s">
        <v>3749</v>
      </c>
      <c r="B1181" s="31" t="s">
        <v>3243</v>
      </c>
      <c r="C1181" t="s">
        <v>3749</v>
      </c>
      <c r="D1181" s="8" t="s">
        <v>14</v>
      </c>
      <c r="E1181" s="8" t="s">
        <v>3750</v>
      </c>
      <c r="F1181" s="8" t="s">
        <v>3751</v>
      </c>
      <c r="G1181" s="8">
        <v>500</v>
      </c>
    </row>
    <row r="1182" spans="1:7" ht="16" x14ac:dyDescent="0.2">
      <c r="A1182" t="s">
        <v>3752</v>
      </c>
      <c r="B1182" s="31" t="s">
        <v>3243</v>
      </c>
      <c r="C1182" t="s">
        <v>3752</v>
      </c>
      <c r="D1182" s="8" t="s">
        <v>14</v>
      </c>
      <c r="E1182" s="8" t="s">
        <v>3390</v>
      </c>
      <c r="F1182" s="8" t="s">
        <v>3753</v>
      </c>
      <c r="G1182" s="8">
        <v>500</v>
      </c>
    </row>
    <row r="1183" spans="1:7" ht="16" x14ac:dyDescent="0.2">
      <c r="A1183" t="s">
        <v>3754</v>
      </c>
      <c r="B1183" s="31" t="s">
        <v>3243</v>
      </c>
      <c r="C1183" t="s">
        <v>3754</v>
      </c>
      <c r="D1183" s="8" t="s">
        <v>14</v>
      </c>
      <c r="E1183" s="8" t="s">
        <v>3755</v>
      </c>
      <c r="F1183" s="8" t="s">
        <v>3756</v>
      </c>
      <c r="G1183" s="8">
        <v>500</v>
      </c>
    </row>
    <row r="1184" spans="1:7" ht="16" x14ac:dyDescent="0.2">
      <c r="A1184" t="s">
        <v>3757</v>
      </c>
      <c r="B1184" s="31" t="s">
        <v>3243</v>
      </c>
      <c r="C1184" t="s">
        <v>3757</v>
      </c>
      <c r="D1184" s="8" t="s">
        <v>14</v>
      </c>
      <c r="E1184" s="8" t="s">
        <v>3391</v>
      </c>
      <c r="F1184" s="8" t="s">
        <v>3758</v>
      </c>
      <c r="G1184" s="8">
        <v>500</v>
      </c>
    </row>
    <row r="1185" spans="1:7" ht="16" x14ac:dyDescent="0.2">
      <c r="A1185" t="s">
        <v>3759</v>
      </c>
      <c r="B1185" s="31" t="s">
        <v>3243</v>
      </c>
      <c r="C1185" t="s">
        <v>3759</v>
      </c>
      <c r="D1185" s="8" t="s">
        <v>14</v>
      </c>
      <c r="E1185" s="8" t="s">
        <v>3760</v>
      </c>
      <c r="F1185" s="8" t="s">
        <v>3761</v>
      </c>
      <c r="G1185" s="8">
        <v>500</v>
      </c>
    </row>
    <row r="1186" spans="1:7" ht="16" x14ac:dyDescent="0.2">
      <c r="A1186" t="s">
        <v>3762</v>
      </c>
      <c r="B1186" s="31" t="s">
        <v>3243</v>
      </c>
      <c r="C1186" t="s">
        <v>3762</v>
      </c>
      <c r="D1186" s="8" t="s">
        <v>14</v>
      </c>
      <c r="E1186" s="8" t="s">
        <v>3763</v>
      </c>
      <c r="F1186" s="8" t="s">
        <v>3764</v>
      </c>
      <c r="G1186" s="8">
        <v>500</v>
      </c>
    </row>
    <row r="1187" spans="1:7" ht="16" x14ac:dyDescent="0.2">
      <c r="A1187" t="s">
        <v>3765</v>
      </c>
      <c r="B1187" s="31" t="s">
        <v>3243</v>
      </c>
      <c r="C1187" t="s">
        <v>3765</v>
      </c>
      <c r="D1187" s="8" t="s">
        <v>14</v>
      </c>
      <c r="E1187" s="8" t="s">
        <v>3392</v>
      </c>
      <c r="F1187" s="8" t="s">
        <v>3766</v>
      </c>
      <c r="G1187" s="8">
        <v>500</v>
      </c>
    </row>
    <row r="1188" spans="1:7" ht="16" x14ac:dyDescent="0.2">
      <c r="A1188" t="s">
        <v>3767</v>
      </c>
      <c r="B1188" s="31" t="s">
        <v>3243</v>
      </c>
      <c r="C1188" t="s">
        <v>3767</v>
      </c>
      <c r="D1188" s="8" t="s">
        <v>14</v>
      </c>
      <c r="E1188" s="8" t="s">
        <v>3393</v>
      </c>
      <c r="F1188" s="8" t="s">
        <v>3768</v>
      </c>
      <c r="G1188" s="8">
        <v>500</v>
      </c>
    </row>
    <row r="1189" spans="1:7" ht="16" x14ac:dyDescent="0.2">
      <c r="A1189" t="s">
        <v>3769</v>
      </c>
      <c r="B1189" s="31" t="s">
        <v>3243</v>
      </c>
      <c r="C1189" t="s">
        <v>3769</v>
      </c>
      <c r="D1189" s="8" t="s">
        <v>14</v>
      </c>
      <c r="E1189" s="8" t="s">
        <v>3394</v>
      </c>
      <c r="F1189" s="8" t="s">
        <v>3770</v>
      </c>
      <c r="G1189" s="8">
        <v>500</v>
      </c>
    </row>
    <row r="1190" spans="1:7" ht="16" x14ac:dyDescent="0.2">
      <c r="A1190" t="s">
        <v>3771</v>
      </c>
      <c r="B1190" s="31" t="s">
        <v>3243</v>
      </c>
      <c r="C1190" t="s">
        <v>3771</v>
      </c>
      <c r="D1190" s="8" t="s">
        <v>14</v>
      </c>
      <c r="E1190" s="8" t="s">
        <v>3395</v>
      </c>
      <c r="F1190" s="8" t="s">
        <v>3772</v>
      </c>
      <c r="G1190" s="8">
        <v>500</v>
      </c>
    </row>
    <row r="1191" spans="1:7" ht="16" x14ac:dyDescent="0.2">
      <c r="A1191" t="s">
        <v>3773</v>
      </c>
      <c r="B1191" s="31" t="s">
        <v>3243</v>
      </c>
      <c r="C1191" t="s">
        <v>3773</v>
      </c>
      <c r="D1191" s="8" t="s">
        <v>14</v>
      </c>
      <c r="E1191" s="8" t="s">
        <v>3396</v>
      </c>
      <c r="F1191" s="8" t="s">
        <v>3774</v>
      </c>
      <c r="G1191" s="8">
        <v>500</v>
      </c>
    </row>
    <row r="1192" spans="1:7" ht="16" x14ac:dyDescent="0.2">
      <c r="A1192" t="s">
        <v>3775</v>
      </c>
      <c r="B1192" s="31" t="s">
        <v>3243</v>
      </c>
      <c r="C1192" t="s">
        <v>3775</v>
      </c>
      <c r="D1192" s="8" t="s">
        <v>14</v>
      </c>
      <c r="E1192" s="8" t="s">
        <v>3397</v>
      </c>
      <c r="F1192" s="8" t="s">
        <v>3776</v>
      </c>
      <c r="G1192" s="8">
        <v>500</v>
      </c>
    </row>
    <row r="1193" spans="1:7" ht="16" x14ac:dyDescent="0.2">
      <c r="A1193" t="s">
        <v>3777</v>
      </c>
      <c r="B1193" s="31" t="s">
        <v>3243</v>
      </c>
      <c r="C1193" t="s">
        <v>3777</v>
      </c>
      <c r="D1193" s="8" t="s">
        <v>14</v>
      </c>
      <c r="E1193" s="8" t="s">
        <v>3398</v>
      </c>
      <c r="F1193" s="8" t="s">
        <v>3778</v>
      </c>
      <c r="G1193" s="8">
        <v>500</v>
      </c>
    </row>
    <row r="1194" spans="1:7" ht="16" x14ac:dyDescent="0.2">
      <c r="A1194" t="s">
        <v>3779</v>
      </c>
      <c r="B1194" s="31" t="s">
        <v>3243</v>
      </c>
      <c r="C1194" t="s">
        <v>3779</v>
      </c>
      <c r="D1194" s="8" t="s">
        <v>14</v>
      </c>
      <c r="E1194" s="8" t="s">
        <v>3399</v>
      </c>
      <c r="F1194" s="8" t="s">
        <v>3780</v>
      </c>
      <c r="G1194" s="8">
        <v>500</v>
      </c>
    </row>
    <row r="1195" spans="1:7" ht="16" x14ac:dyDescent="0.2">
      <c r="A1195" t="s">
        <v>3781</v>
      </c>
      <c r="B1195" s="31" t="s">
        <v>3243</v>
      </c>
      <c r="C1195" t="s">
        <v>3781</v>
      </c>
      <c r="D1195" s="8" t="s">
        <v>14</v>
      </c>
      <c r="E1195" s="8" t="s">
        <v>3400</v>
      </c>
      <c r="F1195" s="8" t="s">
        <v>3782</v>
      </c>
      <c r="G1195" s="8">
        <v>500</v>
      </c>
    </row>
    <row r="1196" spans="1:7" ht="16" x14ac:dyDescent="0.2">
      <c r="A1196" t="s">
        <v>3783</v>
      </c>
      <c r="B1196" s="31" t="s">
        <v>3243</v>
      </c>
      <c r="C1196" t="s">
        <v>3783</v>
      </c>
      <c r="D1196" s="8" t="s">
        <v>14</v>
      </c>
      <c r="E1196" s="8" t="s">
        <v>3401</v>
      </c>
      <c r="F1196" s="8" t="s">
        <v>3784</v>
      </c>
      <c r="G1196" s="8">
        <v>500</v>
      </c>
    </row>
    <row r="1197" spans="1:7" ht="16" x14ac:dyDescent="0.2">
      <c r="A1197" t="s">
        <v>3785</v>
      </c>
      <c r="B1197" s="31" t="s">
        <v>3243</v>
      </c>
      <c r="C1197" t="s">
        <v>3785</v>
      </c>
      <c r="D1197" s="8" t="s">
        <v>14</v>
      </c>
      <c r="E1197" s="8" t="s">
        <v>3402</v>
      </c>
      <c r="F1197" s="8" t="s">
        <v>3786</v>
      </c>
      <c r="G1197" s="8">
        <v>500</v>
      </c>
    </row>
    <row r="1198" spans="1:7" ht="16" x14ac:dyDescent="0.2">
      <c r="A1198" t="s">
        <v>3787</v>
      </c>
      <c r="B1198" s="31" t="s">
        <v>3243</v>
      </c>
      <c r="C1198" t="s">
        <v>3787</v>
      </c>
      <c r="D1198" s="8" t="s">
        <v>14</v>
      </c>
      <c r="E1198" s="8" t="s">
        <v>3403</v>
      </c>
      <c r="F1198" s="8" t="s">
        <v>3788</v>
      </c>
      <c r="G1198" s="8">
        <v>500</v>
      </c>
    </row>
    <row r="1199" spans="1:7" ht="16" x14ac:dyDescent="0.2">
      <c r="A1199" t="s">
        <v>3789</v>
      </c>
      <c r="B1199" s="31" t="s">
        <v>3243</v>
      </c>
      <c r="C1199" t="s">
        <v>3789</v>
      </c>
      <c r="D1199" s="8" t="s">
        <v>14</v>
      </c>
      <c r="E1199" s="8" t="s">
        <v>3404</v>
      </c>
      <c r="F1199" s="8" t="s">
        <v>3790</v>
      </c>
      <c r="G1199" s="8">
        <v>500</v>
      </c>
    </row>
    <row r="1200" spans="1:7" ht="16" x14ac:dyDescent="0.2">
      <c r="A1200" t="s">
        <v>3791</v>
      </c>
      <c r="B1200" s="31" t="s">
        <v>3243</v>
      </c>
      <c r="C1200" t="s">
        <v>3791</v>
      </c>
      <c r="D1200" s="8" t="s">
        <v>14</v>
      </c>
      <c r="E1200" s="8" t="s">
        <v>3405</v>
      </c>
      <c r="F1200" s="8" t="s">
        <v>3792</v>
      </c>
      <c r="G1200" s="8">
        <v>500</v>
      </c>
    </row>
    <row r="1201" spans="1:7" ht="16" x14ac:dyDescent="0.2">
      <c r="A1201" t="s">
        <v>3793</v>
      </c>
      <c r="B1201" s="31" t="s">
        <v>3243</v>
      </c>
      <c r="C1201" t="s">
        <v>3793</v>
      </c>
      <c r="D1201" s="8" t="s">
        <v>14</v>
      </c>
      <c r="E1201" s="8" t="s">
        <v>3406</v>
      </c>
      <c r="F1201" s="8" t="s">
        <v>3794</v>
      </c>
      <c r="G1201" s="8">
        <v>500</v>
      </c>
    </row>
    <row r="1202" spans="1:7" ht="16" x14ac:dyDescent="0.2">
      <c r="A1202" t="s">
        <v>3795</v>
      </c>
      <c r="B1202" s="31" t="s">
        <v>3243</v>
      </c>
      <c r="C1202" t="s">
        <v>3795</v>
      </c>
      <c r="D1202" s="8" t="s">
        <v>14</v>
      </c>
      <c r="E1202" s="8" t="s">
        <v>3407</v>
      </c>
      <c r="F1202" s="8" t="s">
        <v>3796</v>
      </c>
      <c r="G1202" s="8">
        <v>500</v>
      </c>
    </row>
    <row r="1203" spans="1:7" ht="16" x14ac:dyDescent="0.2">
      <c r="A1203" t="s">
        <v>3797</v>
      </c>
      <c r="B1203" s="31" t="s">
        <v>3243</v>
      </c>
      <c r="C1203" t="s">
        <v>3797</v>
      </c>
      <c r="D1203" s="8" t="s">
        <v>14</v>
      </c>
      <c r="E1203" s="8" t="s">
        <v>3408</v>
      </c>
      <c r="F1203" s="8" t="s">
        <v>3798</v>
      </c>
      <c r="G1203" s="8">
        <v>500</v>
      </c>
    </row>
    <row r="1204" spans="1:7" ht="16" x14ac:dyDescent="0.2">
      <c r="A1204" t="s">
        <v>3799</v>
      </c>
      <c r="B1204" s="31" t="s">
        <v>3243</v>
      </c>
      <c r="C1204" t="s">
        <v>3799</v>
      </c>
      <c r="D1204" s="8" t="s">
        <v>14</v>
      </c>
      <c r="E1204" s="8" t="s">
        <v>3409</v>
      </c>
      <c r="F1204" s="8" t="s">
        <v>3800</v>
      </c>
      <c r="G1204" s="8">
        <v>500</v>
      </c>
    </row>
    <row r="1205" spans="1:7" ht="16" x14ac:dyDescent="0.2">
      <c r="A1205" t="s">
        <v>3801</v>
      </c>
      <c r="B1205" s="31" t="s">
        <v>3243</v>
      </c>
      <c r="C1205" t="s">
        <v>3801</v>
      </c>
      <c r="D1205" s="8" t="s">
        <v>14</v>
      </c>
      <c r="E1205" s="8" t="s">
        <v>3410</v>
      </c>
      <c r="F1205" s="8" t="s">
        <v>3802</v>
      </c>
      <c r="G1205" s="8">
        <v>500</v>
      </c>
    </row>
    <row r="1206" spans="1:7" ht="16" x14ac:dyDescent="0.2">
      <c r="A1206" t="s">
        <v>3803</v>
      </c>
      <c r="B1206" s="31" t="s">
        <v>3243</v>
      </c>
      <c r="C1206" t="s">
        <v>3803</v>
      </c>
      <c r="D1206" s="8" t="s">
        <v>14</v>
      </c>
      <c r="E1206" s="8" t="s">
        <v>3411</v>
      </c>
      <c r="F1206" s="8" t="s">
        <v>3804</v>
      </c>
      <c r="G1206" s="8">
        <v>500</v>
      </c>
    </row>
    <row r="1207" spans="1:7" ht="16" x14ac:dyDescent="0.2">
      <c r="A1207" t="s">
        <v>3805</v>
      </c>
      <c r="B1207" s="31" t="s">
        <v>3243</v>
      </c>
      <c r="C1207" t="s">
        <v>3805</v>
      </c>
      <c r="D1207" s="8" t="s">
        <v>14</v>
      </c>
      <c r="E1207" s="8" t="s">
        <v>3412</v>
      </c>
      <c r="F1207" s="8" t="s">
        <v>3806</v>
      </c>
      <c r="G1207" s="8">
        <v>500</v>
      </c>
    </row>
    <row r="1208" spans="1:7" ht="16" x14ac:dyDescent="0.2">
      <c r="A1208" t="s">
        <v>3807</v>
      </c>
      <c r="B1208" s="31" t="s">
        <v>3243</v>
      </c>
      <c r="C1208" t="s">
        <v>3807</v>
      </c>
      <c r="D1208" s="8" t="s">
        <v>14</v>
      </c>
      <c r="E1208" s="8" t="s">
        <v>3413</v>
      </c>
      <c r="F1208" s="8" t="s">
        <v>3808</v>
      </c>
      <c r="G1208" s="8">
        <v>500</v>
      </c>
    </row>
    <row r="1209" spans="1:7" ht="16" x14ac:dyDescent="0.2">
      <c r="A1209" t="s">
        <v>3809</v>
      </c>
      <c r="B1209" s="31" t="s">
        <v>3243</v>
      </c>
      <c r="C1209" t="s">
        <v>3809</v>
      </c>
      <c r="D1209" s="8" t="s">
        <v>14</v>
      </c>
      <c r="E1209" s="8" t="s">
        <v>3414</v>
      </c>
      <c r="F1209" s="8" t="s">
        <v>3810</v>
      </c>
      <c r="G1209" s="8">
        <v>500</v>
      </c>
    </row>
    <row r="1210" spans="1:7" ht="16" x14ac:dyDescent="0.2">
      <c r="A1210" t="s">
        <v>3811</v>
      </c>
      <c r="B1210" s="31" t="s">
        <v>3243</v>
      </c>
      <c r="C1210" t="s">
        <v>3811</v>
      </c>
      <c r="D1210" s="8" t="s">
        <v>14</v>
      </c>
      <c r="E1210" s="8" t="s">
        <v>3415</v>
      </c>
      <c r="F1210" s="8" t="s">
        <v>3812</v>
      </c>
      <c r="G1210" s="8">
        <v>500</v>
      </c>
    </row>
    <row r="1211" spans="1:7" ht="16" x14ac:dyDescent="0.2">
      <c r="A1211" t="s">
        <v>3813</v>
      </c>
      <c r="B1211" s="31" t="s">
        <v>3243</v>
      </c>
      <c r="C1211" t="s">
        <v>3813</v>
      </c>
      <c r="D1211" s="8" t="s">
        <v>14</v>
      </c>
      <c r="E1211" s="8" t="s">
        <v>3416</v>
      </c>
      <c r="F1211" s="8" t="s">
        <v>3814</v>
      </c>
      <c r="G1211" s="8">
        <v>500</v>
      </c>
    </row>
    <row r="1212" spans="1:7" ht="16" x14ac:dyDescent="0.2">
      <c r="A1212" t="s">
        <v>3815</v>
      </c>
      <c r="B1212" s="31" t="s">
        <v>3243</v>
      </c>
      <c r="C1212" t="s">
        <v>3815</v>
      </c>
      <c r="D1212" s="8" t="s">
        <v>14</v>
      </c>
      <c r="E1212" s="8" t="s">
        <v>3417</v>
      </c>
      <c r="F1212" s="8" t="s">
        <v>3816</v>
      </c>
      <c r="G1212" s="8">
        <v>500</v>
      </c>
    </row>
    <row r="1213" spans="1:7" ht="16" x14ac:dyDescent="0.2">
      <c r="A1213" t="s">
        <v>3817</v>
      </c>
      <c r="B1213" s="31" t="s">
        <v>3243</v>
      </c>
      <c r="C1213" t="s">
        <v>3817</v>
      </c>
      <c r="D1213" s="8" t="s">
        <v>14</v>
      </c>
      <c r="E1213" s="8" t="s">
        <v>3418</v>
      </c>
      <c r="F1213" s="8" t="s">
        <v>3818</v>
      </c>
      <c r="G1213" s="8">
        <v>500</v>
      </c>
    </row>
    <row r="1214" spans="1:7" ht="16" x14ac:dyDescent="0.2">
      <c r="A1214" t="s">
        <v>3819</v>
      </c>
      <c r="B1214" s="31" t="s">
        <v>3243</v>
      </c>
      <c r="C1214" t="s">
        <v>3819</v>
      </c>
      <c r="D1214" s="8" t="s">
        <v>14</v>
      </c>
      <c r="E1214" s="8" t="s">
        <v>3419</v>
      </c>
      <c r="F1214" s="8" t="s">
        <v>3820</v>
      </c>
      <c r="G1214" s="8">
        <v>500</v>
      </c>
    </row>
    <row r="1215" spans="1:7" ht="16" x14ac:dyDescent="0.2">
      <c r="A1215" t="s">
        <v>3821</v>
      </c>
      <c r="B1215" s="31" t="s">
        <v>3243</v>
      </c>
      <c r="C1215" t="s">
        <v>3821</v>
      </c>
      <c r="D1215" s="8" t="s">
        <v>14</v>
      </c>
      <c r="E1215" s="8" t="s">
        <v>3420</v>
      </c>
      <c r="F1215" s="8" t="s">
        <v>3822</v>
      </c>
      <c r="G1215" s="8">
        <v>500</v>
      </c>
    </row>
    <row r="1216" spans="1:7" ht="16" x14ac:dyDescent="0.2">
      <c r="A1216" t="s">
        <v>3823</v>
      </c>
      <c r="B1216" s="31" t="s">
        <v>3243</v>
      </c>
      <c r="C1216" t="s">
        <v>3823</v>
      </c>
      <c r="D1216" s="8" t="s">
        <v>14</v>
      </c>
      <c r="E1216" s="8" t="s">
        <v>3421</v>
      </c>
      <c r="F1216" s="8" t="s">
        <v>3824</v>
      </c>
      <c r="G1216" s="8">
        <v>500</v>
      </c>
    </row>
    <row r="1217" spans="1:7" ht="16" x14ac:dyDescent="0.2">
      <c r="A1217" t="s">
        <v>3825</v>
      </c>
      <c r="B1217" s="31" t="s">
        <v>3243</v>
      </c>
      <c r="C1217" t="s">
        <v>3825</v>
      </c>
      <c r="D1217" s="8" t="s">
        <v>14</v>
      </c>
      <c r="E1217" s="8" t="s">
        <v>3422</v>
      </c>
      <c r="F1217" s="8" t="s">
        <v>3826</v>
      </c>
      <c r="G1217" s="8">
        <v>500</v>
      </c>
    </row>
    <row r="1218" spans="1:7" ht="16" x14ac:dyDescent="0.2">
      <c r="A1218" t="s">
        <v>3827</v>
      </c>
      <c r="B1218" s="31" t="s">
        <v>3243</v>
      </c>
      <c r="C1218" t="s">
        <v>3827</v>
      </c>
      <c r="D1218" s="8" t="s">
        <v>14</v>
      </c>
      <c r="E1218" s="8" t="s">
        <v>3423</v>
      </c>
      <c r="F1218" s="8" t="s">
        <v>3828</v>
      </c>
      <c r="G1218" s="8">
        <v>500</v>
      </c>
    </row>
    <row r="1219" spans="1:7" ht="16" x14ac:dyDescent="0.2">
      <c r="A1219" t="s">
        <v>3829</v>
      </c>
      <c r="B1219" s="31" t="s">
        <v>3243</v>
      </c>
      <c r="C1219" t="s">
        <v>3829</v>
      </c>
      <c r="D1219" s="8" t="s">
        <v>14</v>
      </c>
      <c r="E1219" s="8" t="s">
        <v>3424</v>
      </c>
      <c r="F1219" s="8" t="s">
        <v>3830</v>
      </c>
      <c r="G1219" s="8">
        <v>500</v>
      </c>
    </row>
    <row r="1220" spans="1:7" ht="16" x14ac:dyDescent="0.2">
      <c r="A1220" t="s">
        <v>3831</v>
      </c>
      <c r="B1220" s="31" t="s">
        <v>3243</v>
      </c>
      <c r="C1220" t="s">
        <v>3831</v>
      </c>
      <c r="D1220" s="8" t="s">
        <v>14</v>
      </c>
      <c r="E1220" s="8" t="s">
        <v>3425</v>
      </c>
      <c r="F1220" s="8" t="s">
        <v>3832</v>
      </c>
      <c r="G1220" s="8">
        <v>500</v>
      </c>
    </row>
    <row r="1221" spans="1:7" ht="16" x14ac:dyDescent="0.2">
      <c r="A1221" t="s">
        <v>3833</v>
      </c>
      <c r="B1221" s="31" t="s">
        <v>3243</v>
      </c>
      <c r="C1221" t="s">
        <v>3833</v>
      </c>
      <c r="D1221" s="8" t="s">
        <v>14</v>
      </c>
      <c r="E1221" s="8" t="s">
        <v>3426</v>
      </c>
      <c r="F1221" s="8" t="s">
        <v>3834</v>
      </c>
      <c r="G1221" s="8">
        <v>500</v>
      </c>
    </row>
    <row r="1222" spans="1:7" ht="16" x14ac:dyDescent="0.2">
      <c r="A1222" t="s">
        <v>3835</v>
      </c>
      <c r="B1222" s="31" t="s">
        <v>3243</v>
      </c>
      <c r="C1222" t="s">
        <v>3835</v>
      </c>
      <c r="D1222" s="8" t="s">
        <v>14</v>
      </c>
      <c r="E1222" s="8" t="s">
        <v>3427</v>
      </c>
      <c r="F1222" s="8" t="s">
        <v>3836</v>
      </c>
      <c r="G1222" s="8">
        <v>500</v>
      </c>
    </row>
    <row r="1223" spans="1:7" ht="16" x14ac:dyDescent="0.2">
      <c r="A1223" t="s">
        <v>3837</v>
      </c>
      <c r="B1223" s="31" t="s">
        <v>3243</v>
      </c>
      <c r="C1223" t="s">
        <v>3837</v>
      </c>
      <c r="D1223" s="8" t="s">
        <v>14</v>
      </c>
      <c r="E1223" s="8" t="s">
        <v>3428</v>
      </c>
      <c r="F1223" s="8" t="s">
        <v>3838</v>
      </c>
      <c r="G1223" s="8">
        <v>500</v>
      </c>
    </row>
    <row r="1224" spans="1:7" x14ac:dyDescent="0.15">
      <c r="A1224" s="8" t="s">
        <v>110</v>
      </c>
      <c r="B1224" s="32" t="s">
        <v>3841</v>
      </c>
      <c r="C1224" s="8" t="s">
        <v>110</v>
      </c>
      <c r="D1224" s="8" t="s">
        <v>14</v>
      </c>
      <c r="E1224" s="8" t="s">
        <v>3845</v>
      </c>
      <c r="F1224" s="8" t="s">
        <v>3846</v>
      </c>
      <c r="G1224" s="8">
        <v>500</v>
      </c>
    </row>
    <row r="1225" spans="1:7" x14ac:dyDescent="0.15">
      <c r="A1225" s="8" t="s">
        <v>3844</v>
      </c>
      <c r="B1225" s="32" t="s">
        <v>3841</v>
      </c>
      <c r="C1225" s="8" t="s">
        <v>3844</v>
      </c>
      <c r="D1225" s="8" t="s">
        <v>14</v>
      </c>
      <c r="E1225" s="8" t="s">
        <v>1934</v>
      </c>
      <c r="F1225" s="8" t="s">
        <v>3847</v>
      </c>
      <c r="G1225" s="8">
        <v>500</v>
      </c>
    </row>
    <row r="1226" spans="1:7" x14ac:dyDescent="0.15">
      <c r="A1226" s="8" t="s">
        <v>3848</v>
      </c>
      <c r="B1226" s="8" t="s">
        <v>58</v>
      </c>
      <c r="C1226" s="8" t="s">
        <v>3848</v>
      </c>
      <c r="D1226" s="8" t="s">
        <v>14</v>
      </c>
      <c r="E1226" s="8" t="s">
        <v>3849</v>
      </c>
      <c r="F1226" s="8" t="s">
        <v>3850</v>
      </c>
      <c r="G1226" s="8">
        <v>500</v>
      </c>
    </row>
    <row r="1227" spans="1:7" x14ac:dyDescent="0.15">
      <c r="A1227" s="8" t="s">
        <v>3912</v>
      </c>
      <c r="B1227" s="8" t="s">
        <v>3943</v>
      </c>
      <c r="C1227" s="8" t="s">
        <v>3912</v>
      </c>
      <c r="D1227" s="8" t="s">
        <v>14</v>
      </c>
      <c r="E1227" s="8" t="s">
        <v>3853</v>
      </c>
      <c r="F1227" s="8" t="s">
        <v>3854</v>
      </c>
      <c r="G1227" s="8">
        <v>500</v>
      </c>
    </row>
    <row r="1228" spans="1:7" x14ac:dyDescent="0.15">
      <c r="A1228" s="8" t="s">
        <v>3913</v>
      </c>
      <c r="B1228" s="8" t="s">
        <v>3943</v>
      </c>
      <c r="C1228" s="8" t="s">
        <v>3913</v>
      </c>
      <c r="D1228" s="8" t="s">
        <v>14</v>
      </c>
      <c r="E1228" s="8" t="s">
        <v>3855</v>
      </c>
      <c r="F1228" s="8" t="s">
        <v>3856</v>
      </c>
      <c r="G1228" s="8">
        <v>500</v>
      </c>
    </row>
    <row r="1229" spans="1:7" x14ac:dyDescent="0.15">
      <c r="A1229" s="8" t="s">
        <v>3914</v>
      </c>
      <c r="B1229" s="8" t="s">
        <v>3943</v>
      </c>
      <c r="C1229" s="8" t="s">
        <v>3914</v>
      </c>
      <c r="D1229" s="8" t="s">
        <v>14</v>
      </c>
      <c r="E1229" s="8" t="s">
        <v>3857</v>
      </c>
      <c r="F1229" s="8" t="s">
        <v>3858</v>
      </c>
      <c r="G1229" s="8">
        <v>500</v>
      </c>
    </row>
    <row r="1230" spans="1:7" x14ac:dyDescent="0.15">
      <c r="A1230" s="8" t="s">
        <v>3922</v>
      </c>
      <c r="B1230" s="8" t="s">
        <v>3943</v>
      </c>
      <c r="C1230" s="8" t="s">
        <v>3922</v>
      </c>
      <c r="D1230" s="8" t="s">
        <v>14</v>
      </c>
      <c r="E1230" s="8" t="s">
        <v>3859</v>
      </c>
      <c r="F1230" s="8" t="s">
        <v>3860</v>
      </c>
      <c r="G1230" s="8">
        <v>500</v>
      </c>
    </row>
    <row r="1231" spans="1:7" x14ac:dyDescent="0.15">
      <c r="A1231" s="8" t="s">
        <v>3915</v>
      </c>
      <c r="B1231" s="8" t="s">
        <v>3943</v>
      </c>
      <c r="C1231" s="8" t="s">
        <v>3915</v>
      </c>
      <c r="D1231" s="8" t="s">
        <v>14</v>
      </c>
      <c r="E1231" s="8" t="s">
        <v>3861</v>
      </c>
      <c r="F1231" s="8" t="s">
        <v>3862</v>
      </c>
      <c r="G1231" s="8">
        <v>500</v>
      </c>
    </row>
    <row r="1232" spans="1:7" x14ac:dyDescent="0.15">
      <c r="A1232" s="8" t="s">
        <v>3916</v>
      </c>
      <c r="B1232" s="8" t="s">
        <v>3943</v>
      </c>
      <c r="C1232" s="8" t="s">
        <v>3916</v>
      </c>
      <c r="D1232" s="8" t="s">
        <v>14</v>
      </c>
      <c r="E1232" s="8" t="s">
        <v>3863</v>
      </c>
      <c r="F1232" s="8" t="s">
        <v>3864</v>
      </c>
      <c r="G1232" s="8">
        <v>500</v>
      </c>
    </row>
    <row r="1233" spans="1:7" x14ac:dyDescent="0.15">
      <c r="A1233" s="8" t="s">
        <v>3917</v>
      </c>
      <c r="B1233" s="8" t="s">
        <v>3943</v>
      </c>
      <c r="C1233" s="8" t="s">
        <v>3917</v>
      </c>
      <c r="D1233" s="8" t="s">
        <v>14</v>
      </c>
      <c r="E1233" s="8" t="s">
        <v>3865</v>
      </c>
      <c r="F1233" s="8" t="s">
        <v>3866</v>
      </c>
      <c r="G1233" s="8">
        <v>500</v>
      </c>
    </row>
    <row r="1234" spans="1:7" x14ac:dyDescent="0.15">
      <c r="A1234" s="8" t="s">
        <v>3918</v>
      </c>
      <c r="B1234" s="8" t="s">
        <v>3943</v>
      </c>
      <c r="C1234" s="8" t="s">
        <v>3918</v>
      </c>
      <c r="D1234" s="8" t="s">
        <v>14</v>
      </c>
      <c r="E1234" s="8" t="s">
        <v>3867</v>
      </c>
      <c r="F1234" s="8" t="s">
        <v>3868</v>
      </c>
      <c r="G1234" s="8">
        <v>500</v>
      </c>
    </row>
    <row r="1235" spans="1:7" x14ac:dyDescent="0.15">
      <c r="A1235" s="8" t="s">
        <v>3919</v>
      </c>
      <c r="B1235" s="8" t="s">
        <v>3943</v>
      </c>
      <c r="C1235" s="8" t="s">
        <v>3919</v>
      </c>
      <c r="D1235" s="8" t="s">
        <v>14</v>
      </c>
      <c r="E1235" s="8" t="s">
        <v>3869</v>
      </c>
      <c r="F1235" s="8" t="s">
        <v>3870</v>
      </c>
      <c r="G1235" s="8">
        <v>500</v>
      </c>
    </row>
    <row r="1236" spans="1:7" x14ac:dyDescent="0.15">
      <c r="A1236" s="8" t="s">
        <v>3920</v>
      </c>
      <c r="B1236" s="8" t="s">
        <v>3943</v>
      </c>
      <c r="C1236" s="8" t="s">
        <v>3920</v>
      </c>
      <c r="D1236" s="8" t="s">
        <v>14</v>
      </c>
      <c r="E1236" s="8" t="s">
        <v>3871</v>
      </c>
      <c r="F1236" s="8" t="s">
        <v>3872</v>
      </c>
      <c r="G1236" s="8">
        <v>500</v>
      </c>
    </row>
    <row r="1237" spans="1:7" x14ac:dyDescent="0.15">
      <c r="A1237" s="8" t="s">
        <v>3921</v>
      </c>
      <c r="B1237" s="8" t="s">
        <v>3943</v>
      </c>
      <c r="C1237" s="8" t="s">
        <v>3921</v>
      </c>
      <c r="D1237" s="8" t="s">
        <v>14</v>
      </c>
      <c r="E1237" s="8" t="s">
        <v>3873</v>
      </c>
      <c r="F1237" s="8" t="s">
        <v>3874</v>
      </c>
      <c r="G1237" s="8">
        <v>500</v>
      </c>
    </row>
    <row r="1238" spans="1:7" x14ac:dyDescent="0.15">
      <c r="A1238" s="8" t="s">
        <v>3923</v>
      </c>
      <c r="B1238" s="8" t="s">
        <v>3943</v>
      </c>
      <c r="C1238" s="8" t="s">
        <v>3923</v>
      </c>
      <c r="D1238" s="8" t="s">
        <v>14</v>
      </c>
      <c r="E1238" s="8" t="s">
        <v>3875</v>
      </c>
      <c r="F1238" s="8" t="s">
        <v>3876</v>
      </c>
      <c r="G1238" s="8">
        <v>500</v>
      </c>
    </row>
    <row r="1239" spans="1:7" x14ac:dyDescent="0.15">
      <c r="A1239" s="8" t="s">
        <v>3924</v>
      </c>
      <c r="B1239" s="8" t="s">
        <v>3943</v>
      </c>
      <c r="C1239" s="8" t="s">
        <v>3924</v>
      </c>
      <c r="D1239" s="8" t="s">
        <v>14</v>
      </c>
      <c r="E1239" s="8" t="s">
        <v>3877</v>
      </c>
      <c r="F1239" s="8" t="s">
        <v>3878</v>
      </c>
      <c r="G1239" s="8">
        <v>500</v>
      </c>
    </row>
    <row r="1240" spans="1:7" x14ac:dyDescent="0.15">
      <c r="A1240" s="8" t="s">
        <v>3925</v>
      </c>
      <c r="B1240" s="8" t="s">
        <v>3943</v>
      </c>
      <c r="C1240" s="8" t="s">
        <v>3925</v>
      </c>
      <c r="D1240" s="8" t="s">
        <v>14</v>
      </c>
      <c r="E1240" s="8" t="s">
        <v>3879</v>
      </c>
      <c r="F1240" s="8" t="s">
        <v>3880</v>
      </c>
      <c r="G1240" s="8">
        <v>500</v>
      </c>
    </row>
    <row r="1241" spans="1:7" x14ac:dyDescent="0.15">
      <c r="A1241" s="8" t="s">
        <v>3926</v>
      </c>
      <c r="B1241" s="8" t="s">
        <v>3943</v>
      </c>
      <c r="C1241" s="8" t="s">
        <v>3926</v>
      </c>
      <c r="D1241" s="8" t="s">
        <v>14</v>
      </c>
      <c r="E1241" s="8" t="s">
        <v>3881</v>
      </c>
      <c r="F1241" s="8" t="s">
        <v>3882</v>
      </c>
      <c r="G1241" s="8">
        <v>500</v>
      </c>
    </row>
    <row r="1242" spans="1:7" x14ac:dyDescent="0.15">
      <c r="A1242" s="8" t="s">
        <v>3927</v>
      </c>
      <c r="B1242" s="8" t="s">
        <v>3943</v>
      </c>
      <c r="C1242" s="8" t="s">
        <v>3927</v>
      </c>
      <c r="D1242" s="8" t="s">
        <v>14</v>
      </c>
      <c r="E1242" s="8" t="s">
        <v>3883</v>
      </c>
      <c r="F1242" s="8" t="s">
        <v>3884</v>
      </c>
      <c r="G1242" s="8">
        <v>500</v>
      </c>
    </row>
    <row r="1243" spans="1:7" x14ac:dyDescent="0.15">
      <c r="A1243" s="8" t="s">
        <v>3928</v>
      </c>
      <c r="B1243" s="8" t="s">
        <v>3943</v>
      </c>
      <c r="C1243" s="8" t="s">
        <v>3928</v>
      </c>
      <c r="D1243" s="8" t="s">
        <v>14</v>
      </c>
      <c r="E1243" s="8" t="s">
        <v>3885</v>
      </c>
      <c r="F1243" s="8" t="s">
        <v>3886</v>
      </c>
      <c r="G1243" s="8">
        <v>500</v>
      </c>
    </row>
    <row r="1244" spans="1:7" x14ac:dyDescent="0.15">
      <c r="A1244" s="8" t="s">
        <v>3929</v>
      </c>
      <c r="B1244" s="8" t="s">
        <v>3943</v>
      </c>
      <c r="C1244" s="8" t="s">
        <v>3929</v>
      </c>
      <c r="D1244" s="8" t="s">
        <v>14</v>
      </c>
      <c r="E1244" s="8" t="s">
        <v>3887</v>
      </c>
      <c r="F1244" s="8" t="s">
        <v>3888</v>
      </c>
      <c r="G1244" s="8">
        <v>500</v>
      </c>
    </row>
    <row r="1245" spans="1:7" x14ac:dyDescent="0.15">
      <c r="A1245" s="8" t="s">
        <v>3930</v>
      </c>
      <c r="B1245" s="8" t="s">
        <v>3943</v>
      </c>
      <c r="C1245" s="8" t="s">
        <v>3930</v>
      </c>
      <c r="D1245" s="8" t="s">
        <v>14</v>
      </c>
      <c r="E1245" s="8" t="s">
        <v>3889</v>
      </c>
      <c r="F1245" s="8" t="s">
        <v>3890</v>
      </c>
      <c r="G1245" s="8">
        <v>500</v>
      </c>
    </row>
    <row r="1246" spans="1:7" x14ac:dyDescent="0.15">
      <c r="A1246" s="8" t="s">
        <v>3931</v>
      </c>
      <c r="B1246" s="8" t="s">
        <v>3943</v>
      </c>
      <c r="C1246" s="8" t="s">
        <v>3931</v>
      </c>
      <c r="D1246" s="8" t="s">
        <v>14</v>
      </c>
      <c r="E1246" s="8" t="s">
        <v>3891</v>
      </c>
      <c r="F1246" s="8" t="s">
        <v>3892</v>
      </c>
      <c r="G1246" s="8">
        <v>500</v>
      </c>
    </row>
    <row r="1247" spans="1:7" x14ac:dyDescent="0.15">
      <c r="A1247" s="8" t="s">
        <v>3932</v>
      </c>
      <c r="B1247" s="8" t="s">
        <v>3943</v>
      </c>
      <c r="C1247" s="8" t="s">
        <v>3932</v>
      </c>
      <c r="D1247" s="8" t="s">
        <v>14</v>
      </c>
      <c r="E1247" s="8" t="s">
        <v>3893</v>
      </c>
      <c r="F1247" s="8" t="s">
        <v>3894</v>
      </c>
      <c r="G1247" s="8">
        <v>500</v>
      </c>
    </row>
    <row r="1248" spans="1:7" x14ac:dyDescent="0.15">
      <c r="A1248" s="8" t="s">
        <v>3933</v>
      </c>
      <c r="B1248" s="8" t="s">
        <v>3943</v>
      </c>
      <c r="C1248" s="8" t="s">
        <v>3933</v>
      </c>
      <c r="D1248" s="8" t="s">
        <v>14</v>
      </c>
      <c r="E1248" s="8" t="s">
        <v>3895</v>
      </c>
      <c r="F1248" s="8" t="s">
        <v>3896</v>
      </c>
      <c r="G1248" s="8">
        <v>500</v>
      </c>
    </row>
    <row r="1249" spans="1:7" x14ac:dyDescent="0.15">
      <c r="A1249" s="8" t="s">
        <v>3934</v>
      </c>
      <c r="B1249" s="8" t="s">
        <v>3943</v>
      </c>
      <c r="C1249" s="8" t="s">
        <v>3934</v>
      </c>
      <c r="D1249" s="8" t="s">
        <v>14</v>
      </c>
      <c r="E1249" s="8" t="s">
        <v>3897</v>
      </c>
      <c r="F1249" s="8" t="s">
        <v>3898</v>
      </c>
      <c r="G1249" s="8">
        <v>500</v>
      </c>
    </row>
    <row r="1250" spans="1:7" x14ac:dyDescent="0.15">
      <c r="A1250" s="8" t="s">
        <v>3935</v>
      </c>
      <c r="B1250" s="8" t="s">
        <v>3943</v>
      </c>
      <c r="C1250" s="8" t="s">
        <v>3935</v>
      </c>
      <c r="D1250" s="8" t="s">
        <v>14</v>
      </c>
      <c r="E1250" s="8" t="s">
        <v>3899</v>
      </c>
      <c r="F1250" s="8" t="s">
        <v>3900</v>
      </c>
      <c r="G1250" s="8">
        <v>500</v>
      </c>
    </row>
    <row r="1251" spans="1:7" x14ac:dyDescent="0.15">
      <c r="A1251" s="8" t="s">
        <v>3936</v>
      </c>
      <c r="B1251" s="8" t="s">
        <v>3943</v>
      </c>
      <c r="C1251" s="8" t="s">
        <v>3936</v>
      </c>
      <c r="D1251" s="8" t="s">
        <v>14</v>
      </c>
      <c r="E1251" s="8" t="s">
        <v>3901</v>
      </c>
      <c r="F1251" s="8" t="s">
        <v>3902</v>
      </c>
      <c r="G1251" s="8">
        <v>500</v>
      </c>
    </row>
    <row r="1252" spans="1:7" x14ac:dyDescent="0.15">
      <c r="A1252" s="8" t="s">
        <v>3937</v>
      </c>
      <c r="B1252" s="8" t="s">
        <v>3943</v>
      </c>
      <c r="C1252" s="8" t="s">
        <v>3937</v>
      </c>
      <c r="D1252" s="8" t="s">
        <v>14</v>
      </c>
      <c r="E1252" s="8" t="s">
        <v>3903</v>
      </c>
      <c r="F1252" s="8" t="s">
        <v>3904</v>
      </c>
      <c r="G1252" s="8">
        <v>500</v>
      </c>
    </row>
    <row r="1253" spans="1:7" x14ac:dyDescent="0.15">
      <c r="A1253" s="8" t="s">
        <v>3938</v>
      </c>
      <c r="B1253" s="8" t="s">
        <v>3943</v>
      </c>
      <c r="C1253" s="8" t="s">
        <v>3938</v>
      </c>
      <c r="D1253" s="8" t="s">
        <v>14</v>
      </c>
      <c r="E1253" s="8" t="s">
        <v>3905</v>
      </c>
      <c r="F1253" s="8" t="s">
        <v>3906</v>
      </c>
      <c r="G1253" s="8">
        <v>500</v>
      </c>
    </row>
    <row r="1254" spans="1:7" x14ac:dyDescent="0.15">
      <c r="A1254" s="8" t="s">
        <v>3939</v>
      </c>
      <c r="B1254" s="8" t="s">
        <v>3943</v>
      </c>
      <c r="C1254" s="8" t="s">
        <v>3939</v>
      </c>
      <c r="D1254" s="8" t="s">
        <v>14</v>
      </c>
      <c r="E1254" s="8" t="s">
        <v>3940</v>
      </c>
      <c r="F1254" s="8" t="s">
        <v>3907</v>
      </c>
      <c r="G1254" s="8">
        <v>500</v>
      </c>
    </row>
    <row r="1255" spans="1:7" x14ac:dyDescent="0.15">
      <c r="A1255" s="8" t="s">
        <v>3941</v>
      </c>
      <c r="B1255" s="8" t="s">
        <v>3943</v>
      </c>
      <c r="C1255" s="8" t="s">
        <v>3941</v>
      </c>
      <c r="D1255" s="8" t="s">
        <v>14</v>
      </c>
      <c r="E1255" s="8" t="s">
        <v>3908</v>
      </c>
      <c r="F1255" s="8" t="s">
        <v>3909</v>
      </c>
      <c r="G1255" s="8">
        <v>500</v>
      </c>
    </row>
    <row r="1256" spans="1:7" x14ac:dyDescent="0.15">
      <c r="A1256" s="8" t="s">
        <v>3942</v>
      </c>
      <c r="B1256" s="8" t="s">
        <v>3943</v>
      </c>
      <c r="C1256" s="8" t="s">
        <v>3942</v>
      </c>
      <c r="D1256" s="8" t="s">
        <v>14</v>
      </c>
      <c r="E1256" s="8" t="s">
        <v>3910</v>
      </c>
      <c r="F1256" s="8" t="s">
        <v>3911</v>
      </c>
      <c r="G1256" s="8">
        <v>500</v>
      </c>
    </row>
    <row r="1257" spans="1:7" x14ac:dyDescent="0.15">
      <c r="A1257" s="8" t="s">
        <v>3953</v>
      </c>
      <c r="B1257" s="8" t="s">
        <v>3951</v>
      </c>
      <c r="C1257" s="8" t="s">
        <v>3953</v>
      </c>
      <c r="D1257" s="8" t="s">
        <v>3953</v>
      </c>
      <c r="E1257" s="8" t="s">
        <v>3954</v>
      </c>
      <c r="F1257" s="8" t="s">
        <v>3955</v>
      </c>
      <c r="G1257" s="8">
        <v>500</v>
      </c>
    </row>
    <row r="1258" spans="1:7" x14ac:dyDescent="0.15">
      <c r="A1258" s="8" t="s">
        <v>3956</v>
      </c>
      <c r="B1258" s="8" t="s">
        <v>3951</v>
      </c>
      <c r="C1258" s="8" t="s">
        <v>3956</v>
      </c>
      <c r="D1258" s="8" t="s">
        <v>3957</v>
      </c>
      <c r="E1258" s="8" t="s">
        <v>3958</v>
      </c>
      <c r="F1258" s="8" t="s">
        <v>3959</v>
      </c>
      <c r="G1258" s="8">
        <v>500</v>
      </c>
    </row>
    <row r="1259" spans="1:7" x14ac:dyDescent="0.15">
      <c r="A1259" s="8" t="s">
        <v>3960</v>
      </c>
      <c r="B1259" s="8" t="s">
        <v>3951</v>
      </c>
      <c r="C1259" s="8" t="s">
        <v>3960</v>
      </c>
      <c r="D1259" s="8" t="s">
        <v>3960</v>
      </c>
      <c r="E1259" s="8" t="s">
        <v>3961</v>
      </c>
      <c r="F1259" s="8" t="s">
        <v>3962</v>
      </c>
      <c r="G1259" s="8">
        <v>500</v>
      </c>
    </row>
    <row r="1260" spans="1:7" x14ac:dyDescent="0.15">
      <c r="A1260" t="s">
        <v>4109</v>
      </c>
      <c r="B1260" s="30" t="s">
        <v>4061</v>
      </c>
      <c r="C1260" t="s">
        <v>4109</v>
      </c>
      <c r="D1260" s="8" t="s">
        <v>14</v>
      </c>
      <c r="E1260" t="s">
        <v>3973</v>
      </c>
      <c r="F1260" t="s">
        <v>3974</v>
      </c>
      <c r="G1260">
        <v>500</v>
      </c>
    </row>
    <row r="1261" spans="1:7" x14ac:dyDescent="0.15">
      <c r="A1261" t="s">
        <v>4110</v>
      </c>
      <c r="B1261" s="30" t="s">
        <v>4061</v>
      </c>
      <c r="C1261" t="s">
        <v>4110</v>
      </c>
      <c r="D1261" s="8" t="s">
        <v>14</v>
      </c>
      <c r="E1261" t="s">
        <v>3975</v>
      </c>
      <c r="F1261" t="s">
        <v>3976</v>
      </c>
      <c r="G1261">
        <v>500</v>
      </c>
    </row>
    <row r="1262" spans="1:7" x14ac:dyDescent="0.15">
      <c r="A1262" t="s">
        <v>4111</v>
      </c>
      <c r="B1262" s="30" t="s">
        <v>4061</v>
      </c>
      <c r="C1262" t="s">
        <v>4111</v>
      </c>
      <c r="D1262" s="8" t="s">
        <v>14</v>
      </c>
      <c r="E1262" t="s">
        <v>4112</v>
      </c>
      <c r="F1262" t="s">
        <v>3977</v>
      </c>
      <c r="G1262">
        <v>500</v>
      </c>
    </row>
    <row r="1263" spans="1:7" x14ac:dyDescent="0.15">
      <c r="A1263" t="s">
        <v>3978</v>
      </c>
      <c r="B1263" s="8" t="s">
        <v>4061</v>
      </c>
      <c r="C1263" t="s">
        <v>3978</v>
      </c>
      <c r="D1263" s="8" t="s">
        <v>14</v>
      </c>
      <c r="E1263" t="s">
        <v>3978</v>
      </c>
      <c r="F1263" t="s">
        <v>3979</v>
      </c>
      <c r="G1263">
        <v>500</v>
      </c>
    </row>
    <row r="1264" spans="1:7" x14ac:dyDescent="0.15">
      <c r="A1264" t="s">
        <v>4101</v>
      </c>
      <c r="B1264" s="8" t="s">
        <v>4061</v>
      </c>
      <c r="C1264" t="s">
        <v>3980</v>
      </c>
      <c r="D1264" s="8" t="s">
        <v>14</v>
      </c>
      <c r="E1264" t="s">
        <v>3980</v>
      </c>
      <c r="F1264" t="s">
        <v>3981</v>
      </c>
      <c r="G1264">
        <v>600</v>
      </c>
    </row>
    <row r="1265" spans="1:1008" x14ac:dyDescent="0.15">
      <c r="A1265" t="s">
        <v>4100</v>
      </c>
      <c r="B1265" s="8" t="s">
        <v>4061</v>
      </c>
      <c r="C1265" t="s">
        <v>3982</v>
      </c>
      <c r="D1265" s="8" t="s">
        <v>14</v>
      </c>
      <c r="E1265" t="s">
        <v>3982</v>
      </c>
      <c r="F1265" t="s">
        <v>3983</v>
      </c>
      <c r="G1265">
        <v>450</v>
      </c>
    </row>
    <row r="1266" spans="1:1008" x14ac:dyDescent="0.15">
      <c r="A1266" t="s">
        <v>4102</v>
      </c>
      <c r="B1266" s="8" t="s">
        <v>4062</v>
      </c>
      <c r="C1266" t="s">
        <v>4102</v>
      </c>
      <c r="D1266" s="8" t="s">
        <v>14</v>
      </c>
      <c r="E1266" t="s">
        <v>3985</v>
      </c>
      <c r="F1266" t="s">
        <v>3986</v>
      </c>
      <c r="G1266">
        <v>500</v>
      </c>
    </row>
    <row r="1267" spans="1:1008" x14ac:dyDescent="0.15">
      <c r="A1267" t="s">
        <v>4103</v>
      </c>
      <c r="B1267" s="8" t="s">
        <v>4062</v>
      </c>
      <c r="C1267" t="s">
        <v>4103</v>
      </c>
      <c r="D1267" s="8" t="s">
        <v>14</v>
      </c>
      <c r="E1267" t="s">
        <v>3987</v>
      </c>
      <c r="F1267" t="s">
        <v>3988</v>
      </c>
      <c r="G1267">
        <v>550</v>
      </c>
    </row>
    <row r="1268" spans="1:1008" x14ac:dyDescent="0.15">
      <c r="A1268" t="s">
        <v>4104</v>
      </c>
      <c r="B1268" s="8" t="s">
        <v>4062</v>
      </c>
      <c r="C1268" t="s">
        <v>4104</v>
      </c>
      <c r="D1268" s="8" t="s">
        <v>14</v>
      </c>
      <c r="E1268" t="s">
        <v>3989</v>
      </c>
      <c r="F1268" t="s">
        <v>3990</v>
      </c>
      <c r="G1268">
        <v>500</v>
      </c>
    </row>
    <row r="1269" spans="1:1008" x14ac:dyDescent="0.15">
      <c r="A1269" t="s">
        <v>3992</v>
      </c>
      <c r="B1269" s="8" t="s">
        <v>4063</v>
      </c>
      <c r="C1269" t="s">
        <v>3992</v>
      </c>
      <c r="D1269" s="8" t="s">
        <v>14</v>
      </c>
      <c r="E1269" t="s">
        <v>3992</v>
      </c>
      <c r="F1269" t="s">
        <v>3993</v>
      </c>
      <c r="G1269">
        <v>550</v>
      </c>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x14ac:dyDescent="0.15">
      <c r="A1270" t="s">
        <v>3994</v>
      </c>
      <c r="B1270" s="8" t="s">
        <v>4063</v>
      </c>
      <c r="C1270" t="s">
        <v>3994</v>
      </c>
      <c r="D1270" s="8" t="s">
        <v>14</v>
      </c>
      <c r="E1270" t="s">
        <v>3994</v>
      </c>
      <c r="F1270" t="s">
        <v>3995</v>
      </c>
      <c r="G1270">
        <v>500</v>
      </c>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x14ac:dyDescent="0.15">
      <c r="A1271" t="s">
        <v>3996</v>
      </c>
      <c r="B1271" s="8" t="s">
        <v>4063</v>
      </c>
      <c r="C1271" t="s">
        <v>3996</v>
      </c>
      <c r="D1271" s="8" t="s">
        <v>14</v>
      </c>
      <c r="E1271" t="s">
        <v>3996</v>
      </c>
      <c r="F1271" t="s">
        <v>3997</v>
      </c>
      <c r="G1271">
        <v>650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x14ac:dyDescent="0.15">
      <c r="A1272" t="s">
        <v>3998</v>
      </c>
      <c r="B1272" s="8" t="s">
        <v>4063</v>
      </c>
      <c r="C1272" t="s">
        <v>3998</v>
      </c>
      <c r="D1272" s="8" t="s">
        <v>14</v>
      </c>
      <c r="E1272" t="s">
        <v>3998</v>
      </c>
      <c r="F1272" t="s">
        <v>3999</v>
      </c>
      <c r="G1272">
        <v>600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x14ac:dyDescent="0.15">
      <c r="A1273" t="s">
        <v>4000</v>
      </c>
      <c r="B1273" s="8" t="s">
        <v>4063</v>
      </c>
      <c r="C1273" t="s">
        <v>4000</v>
      </c>
      <c r="D1273" s="8" t="s">
        <v>14</v>
      </c>
      <c r="E1273" t="s">
        <v>4000</v>
      </c>
      <c r="F1273" t="s">
        <v>4001</v>
      </c>
      <c r="G1273">
        <v>580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x14ac:dyDescent="0.15">
      <c r="A1274" t="s">
        <v>4002</v>
      </c>
      <c r="B1274" s="8" t="s">
        <v>4063</v>
      </c>
      <c r="C1274" t="s">
        <v>4002</v>
      </c>
      <c r="D1274" s="8" t="s">
        <v>14</v>
      </c>
      <c r="E1274" t="s">
        <v>4002</v>
      </c>
      <c r="F1274" t="s">
        <v>4003</v>
      </c>
      <c r="G1274">
        <v>500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x14ac:dyDescent="0.15">
      <c r="A1275" t="s">
        <v>4004</v>
      </c>
      <c r="B1275" s="8" t="s">
        <v>4065</v>
      </c>
      <c r="C1275" t="s">
        <v>4004</v>
      </c>
      <c r="D1275" s="8" t="s">
        <v>14</v>
      </c>
      <c r="E1275" t="s">
        <v>4004</v>
      </c>
      <c r="F1275" t="s">
        <v>4005</v>
      </c>
      <c r="G1275">
        <v>500</v>
      </c>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x14ac:dyDescent="0.15">
      <c r="A1276" t="s">
        <v>4006</v>
      </c>
      <c r="B1276" s="8" t="s">
        <v>4065</v>
      </c>
      <c r="C1276" t="s">
        <v>4006</v>
      </c>
      <c r="D1276" s="8" t="s">
        <v>14</v>
      </c>
      <c r="E1276" t="s">
        <v>4006</v>
      </c>
      <c r="F1276" t="s">
        <v>4007</v>
      </c>
      <c r="G1276">
        <v>500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x14ac:dyDescent="0.15">
      <c r="A1277" t="s">
        <v>4008</v>
      </c>
      <c r="B1277" s="8" t="s">
        <v>4065</v>
      </c>
      <c r="C1277" t="s">
        <v>4008</v>
      </c>
      <c r="D1277" s="8" t="s">
        <v>14</v>
      </c>
      <c r="E1277" t="s">
        <v>4008</v>
      </c>
      <c r="F1277" t="s">
        <v>4009</v>
      </c>
      <c r="G1277">
        <v>550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x14ac:dyDescent="0.15">
      <c r="A1278" t="s">
        <v>4010</v>
      </c>
      <c r="B1278" s="8" t="s">
        <v>4065</v>
      </c>
      <c r="C1278" t="s">
        <v>4010</v>
      </c>
      <c r="D1278" s="8" t="s">
        <v>14</v>
      </c>
      <c r="E1278" t="s">
        <v>4010</v>
      </c>
      <c r="F1278" t="s">
        <v>4011</v>
      </c>
      <c r="G1278">
        <v>500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x14ac:dyDescent="0.15">
      <c r="A1279" t="s">
        <v>4012</v>
      </c>
      <c r="B1279" s="8" t="s">
        <v>4066</v>
      </c>
      <c r="C1279" t="s">
        <v>4123</v>
      </c>
      <c r="D1279" s="8" t="s">
        <v>14</v>
      </c>
      <c r="E1279" t="s">
        <v>4123</v>
      </c>
      <c r="F1279" t="s">
        <v>4013</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x14ac:dyDescent="0.15">
      <c r="A1280" t="s">
        <v>4073</v>
      </c>
      <c r="B1280" s="8" t="s">
        <v>4066</v>
      </c>
      <c r="C1280" t="s">
        <v>4073</v>
      </c>
      <c r="D1280" s="8" t="s">
        <v>14</v>
      </c>
      <c r="E1280" t="s">
        <v>4074</v>
      </c>
      <c r="F1280" s="8" t="s">
        <v>4075</v>
      </c>
      <c r="G1280">
        <v>500</v>
      </c>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x14ac:dyDescent="0.15">
      <c r="A1281" t="s">
        <v>4014</v>
      </c>
      <c r="B1281" s="8" t="s">
        <v>3968</v>
      </c>
      <c r="C1281" t="s">
        <v>4014</v>
      </c>
      <c r="D1281" s="8" t="s">
        <v>14</v>
      </c>
      <c r="E1281" t="s">
        <v>4014</v>
      </c>
      <c r="F1281" t="s">
        <v>4015</v>
      </c>
      <c r="G1281">
        <v>500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x14ac:dyDescent="0.15">
      <c r="A1282" t="s">
        <v>4105</v>
      </c>
      <c r="B1282" s="8" t="s">
        <v>3968</v>
      </c>
      <c r="C1282" t="s">
        <v>4016</v>
      </c>
      <c r="D1282" s="8" t="s">
        <v>14</v>
      </c>
      <c r="E1282" t="s">
        <v>4016</v>
      </c>
      <c r="F1282" t="s">
        <v>4017</v>
      </c>
      <c r="G1282">
        <v>700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x14ac:dyDescent="0.15">
      <c r="A1283" t="s">
        <v>4019</v>
      </c>
      <c r="B1283" s="8" t="s">
        <v>3966</v>
      </c>
      <c r="C1283" t="s">
        <v>4019</v>
      </c>
      <c r="D1283" s="8" t="s">
        <v>14</v>
      </c>
      <c r="E1283" t="s">
        <v>4019</v>
      </c>
      <c r="F1283" t="s">
        <v>4020</v>
      </c>
      <c r="G1283">
        <v>500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x14ac:dyDescent="0.15">
      <c r="A1284" t="s">
        <v>4021</v>
      </c>
      <c r="B1284" s="8" t="s">
        <v>3966</v>
      </c>
      <c r="C1284" t="s">
        <v>4021</v>
      </c>
      <c r="D1284" s="8" t="s">
        <v>14</v>
      </c>
      <c r="E1284" t="s">
        <v>4021</v>
      </c>
      <c r="F1284" t="s">
        <v>4022</v>
      </c>
      <c r="G1284">
        <v>550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x14ac:dyDescent="0.15">
      <c r="A1285" t="s">
        <v>4023</v>
      </c>
      <c r="B1285" s="8" t="s">
        <v>3971</v>
      </c>
      <c r="C1285" t="s">
        <v>4023</v>
      </c>
      <c r="D1285" s="8" t="s">
        <v>14</v>
      </c>
      <c r="E1285" t="s">
        <v>4023</v>
      </c>
      <c r="F1285" t="s">
        <v>4024</v>
      </c>
      <c r="G1285">
        <v>500</v>
      </c>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x14ac:dyDescent="0.15">
      <c r="A1286" t="s">
        <v>4025</v>
      </c>
      <c r="B1286" s="8" t="s">
        <v>3971</v>
      </c>
      <c r="C1286" t="s">
        <v>4025</v>
      </c>
      <c r="D1286" s="8" t="s">
        <v>14</v>
      </c>
      <c r="E1286" t="s">
        <v>4025</v>
      </c>
      <c r="F1286" t="s">
        <v>4026</v>
      </c>
      <c r="G1286">
        <v>700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x14ac:dyDescent="0.15">
      <c r="A1287" t="s">
        <v>4027</v>
      </c>
      <c r="B1287" s="8" t="s">
        <v>3971</v>
      </c>
      <c r="C1287" t="s">
        <v>4027</v>
      </c>
      <c r="D1287" s="8" t="s">
        <v>14</v>
      </c>
      <c r="E1287" t="s">
        <v>4027</v>
      </c>
      <c r="F1287" t="s">
        <v>4028</v>
      </c>
      <c r="G1287">
        <v>800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x14ac:dyDescent="0.15">
      <c r="A1288" t="s">
        <v>4029</v>
      </c>
      <c r="B1288" s="8" t="s">
        <v>3971</v>
      </c>
      <c r="C1288" t="s">
        <v>4029</v>
      </c>
      <c r="D1288" s="8" t="s">
        <v>14</v>
      </c>
      <c r="E1288" t="s">
        <v>4029</v>
      </c>
      <c r="F1288" t="s">
        <v>4030</v>
      </c>
      <c r="G1288">
        <v>500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x14ac:dyDescent="0.15">
      <c r="A1289" t="s">
        <v>2243</v>
      </c>
      <c r="B1289" s="8" t="s">
        <v>3971</v>
      </c>
      <c r="C1289" t="s">
        <v>2243</v>
      </c>
      <c r="D1289" s="8" t="s">
        <v>14</v>
      </c>
      <c r="E1289" t="s">
        <v>2243</v>
      </c>
      <c r="F1289" t="s">
        <v>4031</v>
      </c>
      <c r="G1289">
        <v>500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x14ac:dyDescent="0.15">
      <c r="A1290" t="s">
        <v>4059</v>
      </c>
      <c r="B1290" s="8" t="s">
        <v>3971</v>
      </c>
      <c r="C1290" t="s">
        <v>4059</v>
      </c>
      <c r="D1290" s="8" t="s">
        <v>14</v>
      </c>
      <c r="E1290" t="s">
        <v>4059</v>
      </c>
      <c r="F1290" t="s">
        <v>4060</v>
      </c>
      <c r="G1290">
        <v>500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x14ac:dyDescent="0.15">
      <c r="A1291" t="s">
        <v>4033</v>
      </c>
      <c r="B1291" s="8" t="s">
        <v>4067</v>
      </c>
      <c r="C1291" t="s">
        <v>4033</v>
      </c>
      <c r="D1291" s="8" t="s">
        <v>14</v>
      </c>
      <c r="E1291" t="s">
        <v>4033</v>
      </c>
      <c r="F1291" t="s">
        <v>4034</v>
      </c>
      <c r="G1291">
        <v>500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x14ac:dyDescent="0.15">
      <c r="A1292" t="s">
        <v>4035</v>
      </c>
      <c r="B1292" s="8" t="s">
        <v>4067</v>
      </c>
      <c r="C1292" t="s">
        <v>4035</v>
      </c>
      <c r="D1292" s="8" t="s">
        <v>14</v>
      </c>
      <c r="E1292" t="s">
        <v>4035</v>
      </c>
      <c r="F1292" t="s">
        <v>4036</v>
      </c>
      <c r="G1292">
        <v>600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x14ac:dyDescent="0.15">
      <c r="A1293" t="s">
        <v>4037</v>
      </c>
      <c r="B1293" s="8" t="s">
        <v>4067</v>
      </c>
      <c r="C1293" t="s">
        <v>4037</v>
      </c>
      <c r="D1293" s="8" t="s">
        <v>14</v>
      </c>
      <c r="E1293" t="s">
        <v>4037</v>
      </c>
      <c r="F1293" t="s">
        <v>4038</v>
      </c>
      <c r="G1293">
        <v>550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x14ac:dyDescent="0.15">
      <c r="A1294" t="s">
        <v>4039</v>
      </c>
      <c r="B1294" s="8" t="s">
        <v>4068</v>
      </c>
      <c r="C1294" t="s">
        <v>4039</v>
      </c>
      <c r="D1294" s="8" t="s">
        <v>14</v>
      </c>
      <c r="E1294" t="s">
        <v>4039</v>
      </c>
      <c r="F1294" t="s">
        <v>4040</v>
      </c>
      <c r="G1294">
        <v>550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x14ac:dyDescent="0.15">
      <c r="A1295" t="s">
        <v>4041</v>
      </c>
      <c r="B1295" s="8" t="s">
        <v>4068</v>
      </c>
      <c r="C1295" t="s">
        <v>4041</v>
      </c>
      <c r="D1295" s="8" t="s">
        <v>14</v>
      </c>
      <c r="E1295" t="s">
        <v>4041</v>
      </c>
      <c r="F1295" t="s">
        <v>4042</v>
      </c>
      <c r="G1295">
        <v>500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x14ac:dyDescent="0.15">
      <c r="A1296" t="s">
        <v>4113</v>
      </c>
      <c r="B1296" s="8" t="s">
        <v>4068</v>
      </c>
      <c r="C1296" t="s">
        <v>4113</v>
      </c>
      <c r="D1296" s="8" t="s">
        <v>14</v>
      </c>
      <c r="E1296" t="s">
        <v>4043</v>
      </c>
      <c r="F1296" t="s">
        <v>4044</v>
      </c>
      <c r="G1296">
        <v>520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x14ac:dyDescent="0.15">
      <c r="A1297" t="s">
        <v>4114</v>
      </c>
      <c r="B1297" s="8" t="s">
        <v>4068</v>
      </c>
      <c r="C1297" t="s">
        <v>4114</v>
      </c>
      <c r="D1297" s="8" t="s">
        <v>14</v>
      </c>
      <c r="E1297" t="s">
        <v>4045</v>
      </c>
      <c r="F1297" t="s">
        <v>4046</v>
      </c>
      <c r="G1297">
        <v>500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x14ac:dyDescent="0.15">
      <c r="A1298" t="s">
        <v>4100</v>
      </c>
      <c r="B1298" s="8" t="s">
        <v>1163</v>
      </c>
      <c r="C1298" t="s">
        <v>4100</v>
      </c>
      <c r="D1298" s="8" t="s">
        <v>14</v>
      </c>
      <c r="E1298" t="s">
        <v>3982</v>
      </c>
      <c r="F1298" t="s">
        <v>3983</v>
      </c>
      <c r="G1298">
        <v>600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x14ac:dyDescent="0.15">
      <c r="A1299" t="s">
        <v>4106</v>
      </c>
      <c r="B1299" s="8" t="s">
        <v>1163</v>
      </c>
      <c r="C1299" t="s">
        <v>4106</v>
      </c>
      <c r="D1299" s="8" t="s">
        <v>14</v>
      </c>
      <c r="E1299" t="s">
        <v>4048</v>
      </c>
      <c r="F1299" t="s">
        <v>4049</v>
      </c>
      <c r="G1299">
        <v>500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x14ac:dyDescent="0.15">
      <c r="A1300" t="s">
        <v>4107</v>
      </c>
      <c r="B1300" s="8" t="s">
        <v>1163</v>
      </c>
      <c r="C1300" t="s">
        <v>4107</v>
      </c>
      <c r="D1300" s="8" t="s">
        <v>14</v>
      </c>
      <c r="E1300" t="s">
        <v>4108</v>
      </c>
      <c r="F1300" t="s">
        <v>4050</v>
      </c>
      <c r="G1300">
        <v>550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x14ac:dyDescent="0.15">
      <c r="A1301" t="s">
        <v>4052</v>
      </c>
      <c r="B1301" s="8" t="s">
        <v>4069</v>
      </c>
      <c r="C1301" t="s">
        <v>4052</v>
      </c>
      <c r="D1301" s="8" t="s">
        <v>14</v>
      </c>
      <c r="E1301" t="s">
        <v>4052</v>
      </c>
      <c r="F1301" t="s">
        <v>4053</v>
      </c>
      <c r="G1301">
        <v>500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x14ac:dyDescent="0.15">
      <c r="A1302" t="s">
        <v>3994</v>
      </c>
      <c r="B1302" s="8" t="s">
        <v>4070</v>
      </c>
      <c r="C1302" t="s">
        <v>3994</v>
      </c>
      <c r="D1302" s="8" t="s">
        <v>14</v>
      </c>
      <c r="E1302" t="s">
        <v>3994</v>
      </c>
      <c r="F1302" t="s">
        <v>3995</v>
      </c>
      <c r="G1302">
        <v>500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x14ac:dyDescent="0.15">
      <c r="A1303" t="s">
        <v>3996</v>
      </c>
      <c r="B1303" s="8" t="s">
        <v>4070</v>
      </c>
      <c r="C1303" t="s">
        <v>3996</v>
      </c>
      <c r="D1303" s="8" t="s">
        <v>14</v>
      </c>
      <c r="E1303" t="s">
        <v>3996</v>
      </c>
      <c r="F1303" t="s">
        <v>3997</v>
      </c>
      <c r="G1303">
        <v>200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x14ac:dyDescent="0.15">
      <c r="A1304" t="s">
        <v>4000</v>
      </c>
      <c r="B1304" s="8" t="s">
        <v>4070</v>
      </c>
      <c r="C1304" t="s">
        <v>4000</v>
      </c>
      <c r="D1304" s="8" t="s">
        <v>14</v>
      </c>
      <c r="E1304" t="s">
        <v>4000</v>
      </c>
      <c r="F1304" t="s">
        <v>4001</v>
      </c>
      <c r="G1304">
        <v>750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x14ac:dyDescent="0.15">
      <c r="A1305" t="s">
        <v>4002</v>
      </c>
      <c r="B1305" s="8" t="s">
        <v>4070</v>
      </c>
      <c r="C1305" t="s">
        <v>4002</v>
      </c>
      <c r="D1305" s="8" t="s">
        <v>14</v>
      </c>
      <c r="E1305" t="s">
        <v>4002</v>
      </c>
      <c r="F1305" t="s">
        <v>4003</v>
      </c>
      <c r="G1305">
        <v>600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x14ac:dyDescent="0.15">
      <c r="A1306" t="s">
        <v>2243</v>
      </c>
      <c r="B1306" s="8" t="s">
        <v>4071</v>
      </c>
      <c r="C1306" t="s">
        <v>2243</v>
      </c>
      <c r="D1306" s="8" t="s">
        <v>14</v>
      </c>
      <c r="E1306" t="s">
        <v>2243</v>
      </c>
      <c r="F1306" t="s">
        <v>4056</v>
      </c>
      <c r="G1306">
        <v>600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x14ac:dyDescent="0.15">
      <c r="A1307" t="s">
        <v>4057</v>
      </c>
      <c r="B1307" s="8" t="s">
        <v>4071</v>
      </c>
      <c r="C1307" t="s">
        <v>4057</v>
      </c>
      <c r="D1307" s="8" t="s">
        <v>14</v>
      </c>
      <c r="E1307" t="s">
        <v>4057</v>
      </c>
      <c r="F1307" t="s">
        <v>4058</v>
      </c>
      <c r="G1307">
        <v>550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x14ac:dyDescent="0.15">
      <c r="A1308" t="s">
        <v>2246</v>
      </c>
      <c r="B1308" s="8" t="s">
        <v>4071</v>
      </c>
      <c r="C1308" t="s">
        <v>2246</v>
      </c>
      <c r="D1308" s="8" t="s">
        <v>14</v>
      </c>
      <c r="E1308" t="s">
        <v>2246</v>
      </c>
      <c r="F1308" t="s">
        <v>2247</v>
      </c>
      <c r="G1308">
        <v>650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x14ac:dyDescent="0.15">
      <c r="A1309" t="s">
        <v>2249</v>
      </c>
      <c r="B1309" s="8" t="s">
        <v>4071</v>
      </c>
      <c r="C1309" t="s">
        <v>2249</v>
      </c>
      <c r="D1309" s="8" t="s">
        <v>14</v>
      </c>
      <c r="E1309" t="s">
        <v>2249</v>
      </c>
      <c r="F1309" t="s">
        <v>2250</v>
      </c>
      <c r="G1309">
        <v>700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x14ac:dyDescent="0.15">
      <c r="A1310" s="8" t="s">
        <v>4078</v>
      </c>
      <c r="B1310" t="s">
        <v>4077</v>
      </c>
      <c r="C1310" s="8" t="s">
        <v>4078</v>
      </c>
      <c r="D1310" s="8" t="s">
        <v>14</v>
      </c>
      <c r="E1310" s="8" t="s">
        <v>4080</v>
      </c>
      <c r="F1310" s="8" t="s">
        <v>4081</v>
      </c>
      <c r="G1310" s="8">
        <v>750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x14ac:dyDescent="0.15">
      <c r="A1311" s="8" t="s">
        <v>4079</v>
      </c>
      <c r="B1311" t="s">
        <v>4077</v>
      </c>
      <c r="C1311" s="8" t="s">
        <v>4079</v>
      </c>
      <c r="E1311" s="8" t="s">
        <v>175</v>
      </c>
      <c r="F1311" s="8" t="s">
        <v>4082</v>
      </c>
      <c r="G1311" s="8">
        <v>500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x14ac:dyDescent="0.15">
      <c r="A1312" t="s">
        <v>4025</v>
      </c>
      <c r="B1312" s="8" t="s">
        <v>4141</v>
      </c>
      <c r="C1312" t="s">
        <v>4025</v>
      </c>
      <c r="D1312" s="8" t="s">
        <v>14</v>
      </c>
      <c r="E1312" t="s">
        <v>4025</v>
      </c>
      <c r="F1312" t="s">
        <v>4026</v>
      </c>
      <c r="G1312">
        <v>700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x14ac:dyDescent="0.15">
      <c r="A1313" t="s">
        <v>4027</v>
      </c>
      <c r="B1313" s="8" t="s">
        <v>4141</v>
      </c>
      <c r="C1313" t="s">
        <v>4027</v>
      </c>
      <c r="D1313" s="8" t="s">
        <v>14</v>
      </c>
      <c r="E1313" t="s">
        <v>4027</v>
      </c>
      <c r="F1313" t="s">
        <v>4028</v>
      </c>
      <c r="G1313">
        <v>800</v>
      </c>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x14ac:dyDescent="0.15">
      <c r="A1314" t="s">
        <v>4029</v>
      </c>
      <c r="B1314" s="8" t="s">
        <v>4141</v>
      </c>
      <c r="C1314" t="s">
        <v>4029</v>
      </c>
      <c r="D1314" s="8" t="s">
        <v>14</v>
      </c>
      <c r="E1314" t="s">
        <v>4029</v>
      </c>
      <c r="F1314" t="s">
        <v>4030</v>
      </c>
      <c r="G1314">
        <v>500</v>
      </c>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x14ac:dyDescent="0.15">
      <c r="A1315" t="s">
        <v>4025</v>
      </c>
      <c r="B1315" s="8" t="s">
        <v>4143</v>
      </c>
      <c r="C1315" t="s">
        <v>4025</v>
      </c>
      <c r="D1315" s="8" t="s">
        <v>14</v>
      </c>
      <c r="E1315" t="s">
        <v>4025</v>
      </c>
      <c r="F1315" t="s">
        <v>4026</v>
      </c>
      <c r="G1315">
        <v>700</v>
      </c>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x14ac:dyDescent="0.15">
      <c r="A1316" t="s">
        <v>4027</v>
      </c>
      <c r="B1316" s="8" t="s">
        <v>4143</v>
      </c>
      <c r="C1316" t="s">
        <v>4027</v>
      </c>
      <c r="D1316" s="8" t="s">
        <v>14</v>
      </c>
      <c r="E1316" t="s">
        <v>4027</v>
      </c>
      <c r="F1316" t="s">
        <v>4028</v>
      </c>
      <c r="G1316">
        <v>800</v>
      </c>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x14ac:dyDescent="0.15">
      <c r="A1317" t="s">
        <v>4029</v>
      </c>
      <c r="B1317" s="8" t="s">
        <v>4143</v>
      </c>
      <c r="C1317" t="s">
        <v>4029</v>
      </c>
      <c r="D1317" s="8" t="s">
        <v>14</v>
      </c>
      <c r="E1317" t="s">
        <v>4029</v>
      </c>
      <c r="F1317" t="s">
        <v>4030</v>
      </c>
      <c r="G1317">
        <v>500</v>
      </c>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x14ac:dyDescent="0.15">
      <c r="A1318" s="8" t="s">
        <v>4152</v>
      </c>
      <c r="B1318" s="8" t="s">
        <v>4149</v>
      </c>
      <c r="C1318" s="8" t="s">
        <v>4152</v>
      </c>
      <c r="D1318" s="8" t="s">
        <v>14</v>
      </c>
      <c r="E1318" s="8" t="s">
        <v>4154</v>
      </c>
      <c r="F1318" s="8" t="s">
        <v>4153</v>
      </c>
      <c r="G1318" s="8">
        <v>600</v>
      </c>
    </row>
    <row r="1319" spans="1:1008" x14ac:dyDescent="0.15">
      <c r="A1319" t="s">
        <v>4025</v>
      </c>
      <c r="B1319" s="8" t="s">
        <v>4148</v>
      </c>
      <c r="C1319" t="s">
        <v>4025</v>
      </c>
      <c r="D1319" s="8" t="s">
        <v>14</v>
      </c>
      <c r="E1319" t="s">
        <v>4025</v>
      </c>
      <c r="F1319" t="s">
        <v>4026</v>
      </c>
      <c r="G1319">
        <v>700</v>
      </c>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c r="AT1319"/>
      <c r="AU1319"/>
      <c r="AV1319"/>
      <c r="AW1319"/>
      <c r="AX1319"/>
      <c r="AY1319"/>
      <c r="AZ1319"/>
      <c r="BA1319"/>
      <c r="BB1319"/>
      <c r="BC1319"/>
      <c r="BD1319"/>
      <c r="BE1319"/>
      <c r="BF1319"/>
      <c r="BG1319"/>
      <c r="BH1319"/>
      <c r="BI1319"/>
      <c r="BJ1319"/>
      <c r="BK1319"/>
      <c r="BL1319"/>
      <c r="BM1319"/>
      <c r="BN1319"/>
      <c r="BO1319"/>
      <c r="BP1319"/>
      <c r="BQ1319"/>
      <c r="BR1319"/>
      <c r="BS1319"/>
      <c r="BT1319"/>
      <c r="BU1319"/>
      <c r="BV1319"/>
      <c r="BW1319"/>
      <c r="BX1319"/>
      <c r="BY1319"/>
      <c r="BZ1319"/>
      <c r="CA1319"/>
      <c r="CB1319"/>
      <c r="CC1319"/>
      <c r="CD1319"/>
      <c r="CE1319"/>
      <c r="CF1319"/>
      <c r="CG1319"/>
      <c r="CH1319"/>
      <c r="CI1319"/>
      <c r="CJ1319"/>
      <c r="CK1319"/>
      <c r="CL1319"/>
      <c r="CM1319"/>
      <c r="CN1319"/>
      <c r="CO1319"/>
      <c r="CP1319"/>
      <c r="CQ1319"/>
      <c r="CR1319"/>
      <c r="CS1319"/>
      <c r="CT1319"/>
      <c r="CU1319"/>
      <c r="CV1319"/>
      <c r="CW1319"/>
      <c r="CX1319"/>
      <c r="CY1319"/>
      <c r="CZ1319"/>
      <c r="DA1319"/>
      <c r="DB1319"/>
      <c r="DC1319"/>
      <c r="DD1319"/>
      <c r="DE1319"/>
      <c r="DF1319"/>
      <c r="DG1319"/>
      <c r="DH1319"/>
      <c r="DI1319"/>
      <c r="DJ1319"/>
      <c r="DK1319"/>
      <c r="DL1319"/>
      <c r="DM1319"/>
      <c r="DN1319"/>
      <c r="DO1319"/>
      <c r="DP1319"/>
      <c r="DQ1319"/>
      <c r="DR1319"/>
      <c r="DS1319"/>
      <c r="DT1319"/>
      <c r="DU1319"/>
      <c r="DV1319"/>
      <c r="DW1319"/>
      <c r="DX1319"/>
      <c r="DY1319"/>
      <c r="DZ1319"/>
      <c r="EA1319"/>
      <c r="EB1319"/>
      <c r="EC1319"/>
      <c r="ED1319"/>
      <c r="EE1319"/>
      <c r="EF1319"/>
      <c r="EG1319"/>
      <c r="EH1319"/>
      <c r="EI1319"/>
      <c r="EJ1319"/>
      <c r="EK1319"/>
      <c r="EL1319"/>
      <c r="EM1319"/>
      <c r="EN1319"/>
      <c r="EO1319"/>
      <c r="EP1319"/>
      <c r="EQ1319"/>
      <c r="ER1319"/>
      <c r="ES1319"/>
      <c r="ET1319"/>
      <c r="EU1319"/>
      <c r="EV1319"/>
      <c r="EW1319"/>
      <c r="EX1319"/>
      <c r="EY1319"/>
      <c r="EZ1319"/>
      <c r="FA1319"/>
      <c r="FB1319"/>
      <c r="FC1319"/>
      <c r="FD1319"/>
      <c r="FE1319"/>
      <c r="FF1319"/>
      <c r="FG1319"/>
      <c r="FH1319"/>
      <c r="FI1319"/>
      <c r="FJ1319"/>
      <c r="FK1319"/>
      <c r="FL1319"/>
      <c r="FM1319"/>
      <c r="FN1319"/>
      <c r="FO1319"/>
      <c r="FP1319"/>
      <c r="FQ1319"/>
      <c r="FR1319"/>
      <c r="FS1319"/>
      <c r="FT1319"/>
      <c r="FU1319"/>
      <c r="FV1319"/>
      <c r="FW1319"/>
      <c r="FX1319"/>
      <c r="FY1319"/>
      <c r="FZ1319"/>
      <c r="GA1319"/>
      <c r="GB1319"/>
      <c r="GC1319"/>
      <c r="GD1319"/>
      <c r="GE1319"/>
      <c r="GF1319"/>
      <c r="GG1319"/>
      <c r="GH1319"/>
      <c r="GI1319"/>
      <c r="GJ1319"/>
      <c r="GK1319"/>
      <c r="GL1319"/>
      <c r="GM1319"/>
      <c r="GN1319"/>
      <c r="GO1319"/>
      <c r="GP1319"/>
      <c r="GQ1319"/>
      <c r="GR1319"/>
      <c r="GS1319"/>
      <c r="GT1319"/>
      <c r="GU1319"/>
      <c r="GV1319"/>
      <c r="GW1319"/>
      <c r="GX1319"/>
      <c r="GY1319"/>
      <c r="GZ1319"/>
      <c r="HA1319"/>
      <c r="HB1319"/>
      <c r="HC1319"/>
      <c r="HD1319"/>
      <c r="HE1319"/>
      <c r="HF1319"/>
      <c r="HG1319"/>
      <c r="HH1319"/>
      <c r="HI1319"/>
      <c r="HJ1319"/>
      <c r="HK1319"/>
      <c r="HL1319"/>
      <c r="HM1319"/>
      <c r="HN1319"/>
      <c r="HO1319"/>
      <c r="HP1319"/>
      <c r="HQ1319"/>
      <c r="HR1319"/>
      <c r="HS1319"/>
      <c r="HT1319"/>
      <c r="HU1319"/>
      <c r="HV1319"/>
      <c r="HW1319"/>
      <c r="HX1319"/>
      <c r="HY1319"/>
      <c r="HZ1319"/>
      <c r="IA1319"/>
      <c r="IB1319"/>
      <c r="IC1319"/>
      <c r="ID1319"/>
      <c r="IE1319"/>
      <c r="IF1319"/>
      <c r="IG1319"/>
      <c r="IH1319"/>
      <c r="II1319"/>
      <c r="IJ1319"/>
      <c r="IK1319"/>
      <c r="IL1319"/>
      <c r="IM1319"/>
      <c r="IN1319"/>
      <c r="IO1319"/>
      <c r="IP1319"/>
      <c r="IQ1319"/>
      <c r="IR1319"/>
      <c r="IS1319"/>
      <c r="IT1319"/>
      <c r="IU1319"/>
      <c r="IV1319"/>
      <c r="IW1319"/>
      <c r="IX1319"/>
      <c r="IY1319"/>
      <c r="IZ1319"/>
      <c r="JA1319"/>
      <c r="JB1319"/>
      <c r="JC1319"/>
      <c r="JD1319"/>
      <c r="JE1319"/>
      <c r="JF1319"/>
      <c r="JG1319"/>
      <c r="JH1319"/>
      <c r="JI1319"/>
      <c r="JJ1319"/>
      <c r="JK1319"/>
      <c r="JL1319"/>
      <c r="JM1319"/>
      <c r="JN1319"/>
      <c r="JO1319"/>
      <c r="JP1319"/>
      <c r="JQ1319"/>
      <c r="JR1319"/>
      <c r="JS1319"/>
      <c r="JT1319"/>
      <c r="JU1319"/>
      <c r="JV1319"/>
      <c r="JW1319"/>
      <c r="JX1319"/>
      <c r="JY1319"/>
      <c r="JZ1319"/>
      <c r="KA1319"/>
      <c r="KB1319"/>
      <c r="KC1319"/>
      <c r="KD1319"/>
      <c r="KE1319"/>
      <c r="KF1319"/>
      <c r="KG1319"/>
      <c r="KH1319"/>
      <c r="KI1319"/>
      <c r="KJ1319"/>
      <c r="KK1319"/>
      <c r="KL1319"/>
      <c r="KM1319"/>
      <c r="KN1319"/>
      <c r="KO1319"/>
      <c r="KP1319"/>
      <c r="KQ1319"/>
      <c r="KR1319"/>
      <c r="KS1319"/>
      <c r="KT1319"/>
      <c r="KU1319"/>
      <c r="KV1319"/>
      <c r="KW1319"/>
      <c r="KX1319"/>
      <c r="KY1319"/>
      <c r="KZ1319"/>
      <c r="LA1319"/>
      <c r="LB1319"/>
      <c r="LC1319"/>
      <c r="LD1319"/>
      <c r="LE1319"/>
      <c r="LF1319"/>
      <c r="LG1319"/>
      <c r="LH1319"/>
      <c r="LI1319"/>
      <c r="LJ1319"/>
      <c r="LK1319"/>
      <c r="LL1319"/>
      <c r="LM1319"/>
      <c r="LN1319"/>
      <c r="LO1319"/>
      <c r="LP1319"/>
      <c r="LQ1319"/>
      <c r="LR1319"/>
      <c r="LS1319"/>
      <c r="LT1319"/>
      <c r="LU1319"/>
      <c r="LV1319"/>
      <c r="LW1319"/>
      <c r="LX1319"/>
      <c r="LY1319"/>
      <c r="LZ1319"/>
      <c r="MA1319"/>
      <c r="MB1319"/>
      <c r="MC1319"/>
      <c r="MD1319"/>
      <c r="ME1319"/>
      <c r="MF1319"/>
      <c r="MG1319"/>
      <c r="MH1319"/>
      <c r="MI1319"/>
      <c r="MJ1319"/>
      <c r="MK1319"/>
      <c r="ML1319"/>
      <c r="MM1319"/>
      <c r="MN1319"/>
      <c r="MO1319"/>
      <c r="MP1319"/>
      <c r="MQ1319"/>
      <c r="MR1319"/>
      <c r="MS1319"/>
      <c r="MT1319"/>
      <c r="MU1319"/>
      <c r="MV1319"/>
      <c r="MW1319"/>
      <c r="MX1319"/>
      <c r="MY1319"/>
      <c r="MZ1319"/>
      <c r="NA1319"/>
      <c r="NB1319"/>
      <c r="NC1319"/>
      <c r="ND1319"/>
      <c r="NE1319"/>
      <c r="NF1319"/>
      <c r="NG1319"/>
      <c r="NH1319"/>
      <c r="NI1319"/>
      <c r="NJ1319"/>
      <c r="NK1319"/>
      <c r="NL1319"/>
      <c r="NM1319"/>
      <c r="NN1319"/>
      <c r="NO1319"/>
      <c r="NP1319"/>
      <c r="NQ1319"/>
      <c r="NR1319"/>
      <c r="NS1319"/>
      <c r="NT1319"/>
      <c r="NU1319"/>
      <c r="NV1319"/>
      <c r="NW1319"/>
      <c r="NX1319"/>
      <c r="NY1319"/>
      <c r="NZ1319"/>
      <c r="OA1319"/>
      <c r="OB1319"/>
      <c r="OC1319"/>
      <c r="OD1319"/>
      <c r="OE1319"/>
      <c r="OF1319"/>
      <c r="OG1319"/>
      <c r="OH1319"/>
      <c r="OI1319"/>
      <c r="OJ1319"/>
      <c r="OK1319"/>
      <c r="OL1319"/>
      <c r="OM1319"/>
      <c r="ON1319"/>
      <c r="OO1319"/>
      <c r="OP1319"/>
      <c r="OQ1319"/>
      <c r="OR1319"/>
      <c r="OS1319"/>
      <c r="OT1319"/>
      <c r="OU1319"/>
      <c r="OV1319"/>
      <c r="OW1319"/>
      <c r="OX1319"/>
      <c r="OY1319"/>
      <c r="OZ1319"/>
      <c r="PA1319"/>
      <c r="PB1319"/>
      <c r="PC1319"/>
      <c r="PD1319"/>
      <c r="PE1319"/>
      <c r="PF1319"/>
      <c r="PG1319"/>
      <c r="PH1319"/>
      <c r="PI1319"/>
      <c r="PJ1319"/>
      <c r="PK1319"/>
      <c r="PL1319"/>
      <c r="PM1319"/>
      <c r="PN1319"/>
      <c r="PO1319"/>
      <c r="PP1319"/>
      <c r="PQ1319"/>
      <c r="PR1319"/>
      <c r="PS1319"/>
      <c r="PT1319"/>
      <c r="PU1319"/>
      <c r="PV1319"/>
      <c r="PW1319"/>
      <c r="PX1319"/>
      <c r="PY1319"/>
      <c r="PZ1319"/>
      <c r="QA1319"/>
      <c r="QB1319"/>
      <c r="QC1319"/>
      <c r="QD1319"/>
      <c r="QE1319"/>
      <c r="QF1319"/>
      <c r="QG1319"/>
      <c r="QH1319"/>
      <c r="QI1319"/>
      <c r="QJ1319"/>
      <c r="QK1319"/>
      <c r="QL1319"/>
      <c r="QM1319"/>
      <c r="QN1319"/>
      <c r="QO1319"/>
      <c r="QP1319"/>
      <c r="QQ1319"/>
      <c r="QR1319"/>
      <c r="QS1319"/>
      <c r="QT1319"/>
      <c r="QU1319"/>
      <c r="QV1319"/>
      <c r="QW1319"/>
      <c r="QX1319"/>
      <c r="QY1319"/>
      <c r="QZ1319"/>
      <c r="RA1319"/>
      <c r="RB1319"/>
      <c r="RC1319"/>
      <c r="RD1319"/>
      <c r="RE1319"/>
      <c r="RF1319"/>
      <c r="RG1319"/>
      <c r="RH1319"/>
      <c r="RI1319"/>
      <c r="RJ1319"/>
      <c r="RK1319"/>
      <c r="RL1319"/>
      <c r="RM1319"/>
      <c r="RN1319"/>
      <c r="RO1319"/>
      <c r="RP1319"/>
      <c r="RQ1319"/>
      <c r="RR1319"/>
      <c r="RS1319"/>
      <c r="RT1319"/>
      <c r="RU1319"/>
      <c r="RV1319"/>
      <c r="RW1319"/>
      <c r="RX1319"/>
      <c r="RY1319"/>
      <c r="RZ1319"/>
      <c r="SA1319"/>
      <c r="SB1319"/>
      <c r="SC1319"/>
      <c r="SD1319"/>
      <c r="SE1319"/>
      <c r="SF1319"/>
      <c r="SG1319"/>
      <c r="SH1319"/>
      <c r="SI1319"/>
      <c r="SJ1319"/>
      <c r="SK1319"/>
      <c r="SL1319"/>
      <c r="SM1319"/>
      <c r="SN1319"/>
      <c r="SO1319"/>
      <c r="SP1319"/>
      <c r="SQ1319"/>
      <c r="SR1319"/>
      <c r="SS1319"/>
      <c r="ST1319"/>
      <c r="SU1319"/>
      <c r="SV1319"/>
      <c r="SW1319"/>
      <c r="SX1319"/>
      <c r="SY1319"/>
      <c r="SZ1319"/>
      <c r="TA1319"/>
      <c r="TB1319"/>
      <c r="TC1319"/>
      <c r="TD1319"/>
      <c r="TE1319"/>
      <c r="TF1319"/>
      <c r="TG1319"/>
      <c r="TH1319"/>
      <c r="TI1319"/>
      <c r="TJ1319"/>
      <c r="TK1319"/>
      <c r="TL1319"/>
      <c r="TM1319"/>
      <c r="TN1319"/>
      <c r="TO1319"/>
      <c r="TP1319"/>
      <c r="TQ1319"/>
      <c r="TR1319"/>
      <c r="TS1319"/>
      <c r="TT1319"/>
      <c r="TU1319"/>
      <c r="TV1319"/>
      <c r="TW1319"/>
      <c r="TX1319"/>
      <c r="TY1319"/>
      <c r="TZ1319"/>
      <c r="UA1319"/>
      <c r="UB1319"/>
      <c r="UC1319"/>
      <c r="UD1319"/>
      <c r="UE1319"/>
      <c r="UF1319"/>
      <c r="UG1319"/>
      <c r="UH1319"/>
      <c r="UI1319"/>
      <c r="UJ1319"/>
      <c r="UK1319"/>
      <c r="UL1319"/>
      <c r="UM1319"/>
      <c r="UN1319"/>
      <c r="UO1319"/>
      <c r="UP1319"/>
      <c r="UQ1319"/>
      <c r="UR1319"/>
      <c r="US1319"/>
      <c r="UT1319"/>
      <c r="UU1319"/>
      <c r="UV1319"/>
      <c r="UW1319"/>
      <c r="UX1319"/>
      <c r="UY1319"/>
      <c r="UZ1319"/>
      <c r="VA1319"/>
      <c r="VB1319"/>
      <c r="VC1319"/>
      <c r="VD1319"/>
      <c r="VE1319"/>
      <c r="VF1319"/>
      <c r="VG1319"/>
      <c r="VH1319"/>
      <c r="VI1319"/>
      <c r="VJ1319"/>
      <c r="VK1319"/>
      <c r="VL1319"/>
      <c r="VM1319"/>
      <c r="VN1319"/>
      <c r="VO1319"/>
      <c r="VP1319"/>
      <c r="VQ1319"/>
      <c r="VR1319"/>
      <c r="VS1319"/>
      <c r="VT1319"/>
      <c r="VU1319"/>
      <c r="VV1319"/>
      <c r="VW1319"/>
      <c r="VX1319"/>
      <c r="VY1319"/>
      <c r="VZ1319"/>
      <c r="WA1319"/>
      <c r="WB1319"/>
      <c r="WC1319"/>
      <c r="WD1319"/>
      <c r="WE1319"/>
      <c r="WF1319"/>
      <c r="WG1319"/>
      <c r="WH1319"/>
      <c r="WI1319"/>
      <c r="WJ1319"/>
      <c r="WK1319"/>
      <c r="WL1319"/>
      <c r="WM1319"/>
      <c r="WN1319"/>
      <c r="WO1319"/>
      <c r="WP1319"/>
      <c r="WQ1319"/>
      <c r="WR1319"/>
      <c r="WS1319"/>
      <c r="WT1319"/>
      <c r="WU1319"/>
      <c r="WV1319"/>
      <c r="WW1319"/>
      <c r="WX1319"/>
      <c r="WY1319"/>
      <c r="WZ1319"/>
      <c r="XA1319"/>
      <c r="XB1319"/>
      <c r="XC1319"/>
      <c r="XD1319"/>
      <c r="XE1319"/>
      <c r="XF1319"/>
      <c r="XG1319"/>
      <c r="XH1319"/>
      <c r="XI1319"/>
      <c r="XJ1319"/>
      <c r="XK1319"/>
      <c r="XL1319"/>
      <c r="XM1319"/>
      <c r="XN1319"/>
      <c r="XO1319"/>
      <c r="XP1319"/>
      <c r="XQ1319"/>
      <c r="XR1319"/>
      <c r="XS1319"/>
      <c r="XT1319"/>
      <c r="XU1319"/>
      <c r="XV1319"/>
      <c r="XW1319"/>
      <c r="XX1319"/>
      <c r="XY1319"/>
      <c r="XZ1319"/>
      <c r="YA1319"/>
      <c r="YB1319"/>
      <c r="YC1319"/>
      <c r="YD1319"/>
      <c r="YE1319"/>
      <c r="YF1319"/>
      <c r="YG1319"/>
      <c r="YH1319"/>
      <c r="YI1319"/>
      <c r="YJ1319"/>
      <c r="YK1319"/>
      <c r="YL1319"/>
      <c r="YM1319"/>
      <c r="YN1319"/>
      <c r="YO1319"/>
      <c r="YP1319"/>
      <c r="YQ1319"/>
      <c r="YR1319"/>
      <c r="YS1319"/>
      <c r="YT1319"/>
      <c r="YU1319"/>
      <c r="YV1319"/>
      <c r="YW1319"/>
      <c r="YX1319"/>
      <c r="YY1319"/>
      <c r="YZ1319"/>
      <c r="ZA1319"/>
      <c r="ZB1319"/>
      <c r="ZC1319"/>
      <c r="ZD1319"/>
      <c r="ZE1319"/>
      <c r="ZF1319"/>
      <c r="ZG1319"/>
      <c r="ZH1319"/>
      <c r="ZI1319"/>
      <c r="ZJ1319"/>
      <c r="ZK1319"/>
      <c r="ZL1319"/>
      <c r="ZM1319"/>
      <c r="ZN1319"/>
      <c r="ZO1319"/>
      <c r="ZP1319"/>
      <c r="ZQ1319"/>
      <c r="ZR1319"/>
      <c r="ZS1319"/>
      <c r="ZT1319"/>
      <c r="ZU1319"/>
      <c r="ZV1319"/>
      <c r="ZW1319"/>
      <c r="ZX1319"/>
      <c r="ZY1319"/>
      <c r="ZZ1319"/>
      <c r="AAA1319"/>
      <c r="AAB1319"/>
      <c r="AAC1319"/>
      <c r="AAD1319"/>
      <c r="AAE1319"/>
      <c r="AAF1319"/>
      <c r="AAG1319"/>
      <c r="AAH1319"/>
      <c r="AAI1319"/>
      <c r="AAJ1319"/>
      <c r="AAK1319"/>
      <c r="AAL1319"/>
      <c r="AAM1319"/>
      <c r="AAN1319"/>
      <c r="AAO1319"/>
      <c r="AAP1319"/>
      <c r="AAQ1319"/>
      <c r="AAR1319"/>
      <c r="AAS1319"/>
      <c r="AAT1319"/>
      <c r="AAU1319"/>
      <c r="AAV1319"/>
      <c r="AAW1319"/>
      <c r="AAX1319"/>
      <c r="AAY1319"/>
      <c r="AAZ1319"/>
      <c r="ABA1319"/>
      <c r="ABB1319"/>
      <c r="ABC1319"/>
      <c r="ABD1319"/>
      <c r="ABE1319"/>
      <c r="ABF1319"/>
      <c r="ABG1319"/>
      <c r="ABH1319"/>
      <c r="ABI1319"/>
      <c r="ABJ1319"/>
      <c r="ABK1319"/>
      <c r="ABL1319"/>
      <c r="ABM1319"/>
      <c r="ABN1319"/>
      <c r="ABO1319"/>
      <c r="ABP1319"/>
      <c r="ABQ1319"/>
      <c r="ABR1319"/>
      <c r="ABS1319"/>
      <c r="ABT1319"/>
      <c r="ABU1319"/>
      <c r="ABV1319"/>
      <c r="ABW1319"/>
      <c r="ABX1319"/>
      <c r="ABY1319"/>
      <c r="ABZ1319"/>
      <c r="ACA1319"/>
      <c r="ACB1319"/>
      <c r="ACC1319"/>
      <c r="ACD1319"/>
      <c r="ACE1319"/>
      <c r="ACF1319"/>
      <c r="ACG1319"/>
      <c r="ACH1319"/>
      <c r="ACI1319"/>
      <c r="ACJ1319"/>
      <c r="ACK1319"/>
      <c r="ACL1319"/>
      <c r="ACM1319"/>
      <c r="ACN1319"/>
      <c r="ACO1319"/>
      <c r="ACP1319"/>
      <c r="ACQ1319"/>
      <c r="ACR1319"/>
      <c r="ACS1319"/>
      <c r="ACT1319"/>
      <c r="ACU1319"/>
      <c r="ACV1319"/>
      <c r="ACW1319"/>
      <c r="ACX1319"/>
      <c r="ACY1319"/>
      <c r="ACZ1319"/>
      <c r="ADA1319"/>
      <c r="ADB1319"/>
      <c r="ADC1319"/>
      <c r="ADD1319"/>
      <c r="ADE1319"/>
      <c r="ADF1319"/>
      <c r="ADG1319"/>
      <c r="ADH1319"/>
      <c r="ADI1319"/>
      <c r="ADJ1319"/>
      <c r="ADK1319"/>
      <c r="ADL1319"/>
      <c r="ADM1319"/>
      <c r="ADN1319"/>
      <c r="ADO1319"/>
      <c r="ADP1319"/>
      <c r="ADQ1319"/>
      <c r="ADR1319"/>
      <c r="ADS1319"/>
      <c r="ADT1319"/>
      <c r="ADU1319"/>
      <c r="ADV1319"/>
      <c r="ADW1319"/>
      <c r="ADX1319"/>
      <c r="ADY1319"/>
      <c r="ADZ1319"/>
      <c r="AEA1319"/>
      <c r="AEB1319"/>
      <c r="AEC1319"/>
      <c r="AED1319"/>
      <c r="AEE1319"/>
      <c r="AEF1319"/>
      <c r="AEG1319"/>
      <c r="AEH1319"/>
      <c r="AEI1319"/>
      <c r="AEJ1319"/>
      <c r="AEK1319"/>
      <c r="AEL1319"/>
      <c r="AEM1319"/>
      <c r="AEN1319"/>
      <c r="AEO1319"/>
      <c r="AEP1319"/>
      <c r="AEQ1319"/>
      <c r="AER1319"/>
      <c r="AES1319"/>
      <c r="AET1319"/>
      <c r="AEU1319"/>
      <c r="AEV1319"/>
      <c r="AEW1319"/>
      <c r="AEX1319"/>
      <c r="AEY1319"/>
      <c r="AEZ1319"/>
      <c r="AFA1319"/>
      <c r="AFB1319"/>
      <c r="AFC1319"/>
      <c r="AFD1319"/>
      <c r="AFE1319"/>
      <c r="AFF1319"/>
      <c r="AFG1319"/>
      <c r="AFH1319"/>
      <c r="AFI1319"/>
      <c r="AFJ1319"/>
      <c r="AFK1319"/>
      <c r="AFL1319"/>
      <c r="AFM1319"/>
      <c r="AFN1319"/>
      <c r="AFO1319"/>
      <c r="AFP1319"/>
      <c r="AFQ1319"/>
      <c r="AFR1319"/>
      <c r="AFS1319"/>
      <c r="AFT1319"/>
      <c r="AFU1319"/>
      <c r="AFV1319"/>
      <c r="AFW1319"/>
      <c r="AFX1319"/>
      <c r="AFY1319"/>
      <c r="AFZ1319"/>
      <c r="AGA1319"/>
      <c r="AGB1319"/>
      <c r="AGC1319"/>
      <c r="AGD1319"/>
      <c r="AGE1319"/>
      <c r="AGF1319"/>
      <c r="AGG1319"/>
      <c r="AGH1319"/>
      <c r="AGI1319"/>
      <c r="AGJ1319"/>
      <c r="AGK1319"/>
      <c r="AGL1319"/>
      <c r="AGM1319"/>
      <c r="AGN1319"/>
      <c r="AGO1319"/>
      <c r="AGP1319"/>
      <c r="AGQ1319"/>
      <c r="AGR1319"/>
      <c r="AGS1319"/>
      <c r="AGT1319"/>
      <c r="AGU1319"/>
      <c r="AGV1319"/>
      <c r="AGW1319"/>
      <c r="AGX1319"/>
      <c r="AGY1319"/>
      <c r="AGZ1319"/>
      <c r="AHA1319"/>
      <c r="AHB1319"/>
      <c r="AHC1319"/>
      <c r="AHD1319"/>
      <c r="AHE1319"/>
      <c r="AHF1319"/>
      <c r="AHG1319"/>
      <c r="AHH1319"/>
      <c r="AHI1319"/>
      <c r="AHJ1319"/>
      <c r="AHK1319"/>
      <c r="AHL1319"/>
      <c r="AHM1319"/>
      <c r="AHN1319"/>
      <c r="AHO1319"/>
      <c r="AHP1319"/>
      <c r="AHQ1319"/>
      <c r="AHR1319"/>
      <c r="AHS1319"/>
      <c r="AHT1319"/>
      <c r="AHU1319"/>
      <c r="AHV1319"/>
      <c r="AHW1319"/>
      <c r="AHX1319"/>
      <c r="AHY1319"/>
      <c r="AHZ1319"/>
      <c r="AIA1319"/>
      <c r="AIB1319"/>
      <c r="AIC1319"/>
      <c r="AID1319"/>
      <c r="AIE1319"/>
      <c r="AIF1319"/>
      <c r="AIG1319"/>
      <c r="AIH1319"/>
      <c r="AII1319"/>
      <c r="AIJ1319"/>
      <c r="AIK1319"/>
      <c r="AIL1319"/>
      <c r="AIM1319"/>
      <c r="AIN1319"/>
      <c r="AIO1319"/>
      <c r="AIP1319"/>
      <c r="AIQ1319"/>
      <c r="AIR1319"/>
      <c r="AIS1319"/>
      <c r="AIT1319"/>
      <c r="AIU1319"/>
      <c r="AIV1319"/>
      <c r="AIW1319"/>
      <c r="AIX1319"/>
      <c r="AIY1319"/>
      <c r="AIZ1319"/>
      <c r="AJA1319"/>
      <c r="AJB1319"/>
      <c r="AJC1319"/>
      <c r="AJD1319"/>
      <c r="AJE1319"/>
      <c r="AJF1319"/>
      <c r="AJG1319"/>
      <c r="AJH1319"/>
      <c r="AJI1319"/>
      <c r="AJJ1319"/>
      <c r="AJK1319"/>
      <c r="AJL1319"/>
      <c r="AJM1319"/>
      <c r="AJN1319"/>
      <c r="AJO1319"/>
      <c r="AJP1319"/>
      <c r="AJQ1319"/>
      <c r="AJR1319"/>
      <c r="AJS1319"/>
      <c r="AJT1319"/>
      <c r="AJU1319"/>
      <c r="AJV1319"/>
      <c r="AJW1319"/>
      <c r="AJX1319"/>
      <c r="AJY1319"/>
      <c r="AJZ1319"/>
      <c r="AKA1319"/>
      <c r="AKB1319"/>
      <c r="AKC1319"/>
      <c r="AKD1319"/>
      <c r="AKE1319"/>
      <c r="AKF1319"/>
      <c r="AKG1319"/>
      <c r="AKH1319"/>
      <c r="AKI1319"/>
      <c r="AKJ1319"/>
      <c r="AKK1319"/>
      <c r="AKL1319"/>
      <c r="AKM1319"/>
      <c r="AKN1319"/>
      <c r="AKO1319"/>
      <c r="AKP1319"/>
      <c r="AKQ1319"/>
      <c r="AKR1319"/>
      <c r="AKS1319"/>
      <c r="AKT1319"/>
      <c r="AKU1319"/>
      <c r="AKV1319"/>
      <c r="AKW1319"/>
      <c r="AKX1319"/>
      <c r="AKY1319"/>
      <c r="AKZ1319"/>
      <c r="ALA1319"/>
      <c r="ALB1319"/>
      <c r="ALC1319"/>
      <c r="ALD1319"/>
      <c r="ALE1319"/>
      <c r="ALF1319"/>
      <c r="ALG1319"/>
      <c r="ALH1319"/>
      <c r="ALI1319"/>
      <c r="ALJ1319"/>
      <c r="ALK1319"/>
      <c r="ALL1319"/>
      <c r="ALM1319"/>
      <c r="ALN1319"/>
      <c r="ALO1319"/>
      <c r="ALP1319"/>
      <c r="ALQ1319"/>
      <c r="ALR1319"/>
      <c r="ALS1319"/>
      <c r="ALT1319"/>
    </row>
    <row r="1320" spans="1:1008" x14ac:dyDescent="0.15">
      <c r="A1320" s="8" t="s">
        <v>4161</v>
      </c>
      <c r="B1320" s="8" t="s">
        <v>4156</v>
      </c>
      <c r="C1320" s="8" t="s">
        <v>4161</v>
      </c>
      <c r="D1320" s="8" t="s">
        <v>14</v>
      </c>
      <c r="E1320" s="8" t="s">
        <v>4160</v>
      </c>
      <c r="F1320" s="8" t="s">
        <v>4159</v>
      </c>
      <c r="G1320" s="8">
        <v>500</v>
      </c>
    </row>
    <row r="1321" spans="1:1008" x14ac:dyDescent="0.15">
      <c r="A1321" s="8" t="s">
        <v>4172</v>
      </c>
      <c r="B1321" s="8" t="s">
        <v>4163</v>
      </c>
      <c r="C1321" s="8" t="s">
        <v>4164</v>
      </c>
      <c r="D1321" s="8" t="s">
        <v>14</v>
      </c>
      <c r="E1321" s="8" t="s">
        <v>4164</v>
      </c>
      <c r="F1321" s="8" t="s">
        <v>4165</v>
      </c>
      <c r="G1321" s="8">
        <v>600</v>
      </c>
    </row>
    <row r="1322" spans="1:1008" x14ac:dyDescent="0.15">
      <c r="A1322" s="8" t="s">
        <v>4173</v>
      </c>
      <c r="B1322" s="8" t="s">
        <v>4163</v>
      </c>
      <c r="C1322" s="8" t="s">
        <v>4166</v>
      </c>
      <c r="D1322" s="8" t="s">
        <v>14</v>
      </c>
      <c r="E1322" s="8" t="s">
        <v>4166</v>
      </c>
      <c r="F1322" s="8" t="s">
        <v>4167</v>
      </c>
      <c r="G1322" s="8">
        <v>600</v>
      </c>
    </row>
    <row r="1323" spans="1:1008" x14ac:dyDescent="0.15">
      <c r="A1323" s="8" t="s">
        <v>4174</v>
      </c>
      <c r="B1323" s="8" t="s">
        <v>4163</v>
      </c>
      <c r="C1323" s="8" t="s">
        <v>4168</v>
      </c>
      <c r="D1323" s="8" t="s">
        <v>14</v>
      </c>
      <c r="E1323" s="8" t="s">
        <v>4168</v>
      </c>
      <c r="F1323" s="8" t="s">
        <v>4169</v>
      </c>
      <c r="G1323" s="8">
        <v>500</v>
      </c>
    </row>
    <row r="1324" spans="1:1008" x14ac:dyDescent="0.15">
      <c r="A1324" s="8" t="s">
        <v>4175</v>
      </c>
      <c r="B1324" s="8" t="s">
        <v>4163</v>
      </c>
      <c r="C1324" s="8" t="s">
        <v>4170</v>
      </c>
      <c r="D1324" s="8" t="s">
        <v>14</v>
      </c>
      <c r="E1324" s="8" t="s">
        <v>4170</v>
      </c>
      <c r="F1324" s="8" t="s">
        <v>4171</v>
      </c>
      <c r="G1324" s="8">
        <v>500</v>
      </c>
    </row>
    <row r="1325" spans="1:1008" x14ac:dyDescent="0.15">
      <c r="A1325" s="8" t="s">
        <v>4182</v>
      </c>
      <c r="B1325" s="8" t="s">
        <v>4178</v>
      </c>
      <c r="C1325" s="8" t="s">
        <v>4184</v>
      </c>
      <c r="D1325" s="8" t="s">
        <v>14</v>
      </c>
      <c r="E1325" s="8" t="s">
        <v>4184</v>
      </c>
      <c r="F1325" s="8" t="s">
        <v>4186</v>
      </c>
      <c r="G1325" s="8">
        <v>500</v>
      </c>
    </row>
    <row r="1326" spans="1:1008" x14ac:dyDescent="0.15">
      <c r="A1326" s="8" t="s">
        <v>4183</v>
      </c>
      <c r="B1326" s="8" t="s">
        <v>4178</v>
      </c>
      <c r="C1326" s="8" t="s">
        <v>4185</v>
      </c>
      <c r="D1326" s="8" t="s">
        <v>14</v>
      </c>
      <c r="E1326" s="8" t="s">
        <v>4185</v>
      </c>
      <c r="F1326" s="8" t="s">
        <v>4187</v>
      </c>
      <c r="G1326" s="8">
        <v>500</v>
      </c>
    </row>
    <row r="1327" spans="1:1008" x14ac:dyDescent="0.15">
      <c r="A1327" s="8" t="s">
        <v>2243</v>
      </c>
      <c r="B1327" t="s">
        <v>4190</v>
      </c>
      <c r="C1327" s="8" t="s">
        <v>2243</v>
      </c>
      <c r="D1327" s="8" t="s">
        <v>14</v>
      </c>
      <c r="E1327" s="8" t="s">
        <v>4201</v>
      </c>
      <c r="F1327" s="8" t="s">
        <v>4202</v>
      </c>
      <c r="G1327" s="8">
        <v>500</v>
      </c>
    </row>
    <row r="1328" spans="1:1008" x14ac:dyDescent="0.15">
      <c r="A1328" s="8" t="s">
        <v>2243</v>
      </c>
      <c r="B1328" t="s">
        <v>4191</v>
      </c>
      <c r="C1328" s="8" t="s">
        <v>2243</v>
      </c>
      <c r="D1328" s="8" t="s">
        <v>14</v>
      </c>
      <c r="E1328" s="8" t="s">
        <v>4201</v>
      </c>
      <c r="F1328" s="8" t="s">
        <v>4202</v>
      </c>
      <c r="G1328" s="8">
        <v>500</v>
      </c>
    </row>
    <row r="1329" spans="1:8" x14ac:dyDescent="0.15">
      <c r="A1329" s="8" t="s">
        <v>2243</v>
      </c>
      <c r="B1329" t="s">
        <v>4194</v>
      </c>
      <c r="C1329" s="8" t="s">
        <v>2243</v>
      </c>
      <c r="D1329" s="8" t="s">
        <v>14</v>
      </c>
      <c r="E1329" s="8" t="s">
        <v>4201</v>
      </c>
      <c r="F1329" s="8" t="s">
        <v>4203</v>
      </c>
      <c r="G1329" s="8">
        <v>500</v>
      </c>
    </row>
    <row r="1330" spans="1:8" x14ac:dyDescent="0.15">
      <c r="A1330" s="8" t="s">
        <v>2243</v>
      </c>
      <c r="B1330" t="s">
        <v>4189</v>
      </c>
      <c r="C1330" s="8" t="s">
        <v>2243</v>
      </c>
      <c r="D1330" s="8" t="s">
        <v>14</v>
      </c>
      <c r="E1330" s="8" t="s">
        <v>4201</v>
      </c>
      <c r="F1330" s="8" t="s">
        <v>4202</v>
      </c>
      <c r="G1330" s="8">
        <v>500</v>
      </c>
    </row>
    <row r="1331" spans="1:8" x14ac:dyDescent="0.15">
      <c r="A1331" s="8" t="s">
        <v>4207</v>
      </c>
      <c r="B1331" t="s">
        <v>4204</v>
      </c>
      <c r="C1331" s="8" t="s">
        <v>4207</v>
      </c>
      <c r="E1331" s="8" t="s">
        <v>4213</v>
      </c>
      <c r="F1331" s="8" t="s">
        <v>4217</v>
      </c>
      <c r="G1331" s="8">
        <v>500</v>
      </c>
    </row>
    <row r="1332" spans="1:8" x14ac:dyDescent="0.15">
      <c r="A1332" s="8" t="s">
        <v>4208</v>
      </c>
      <c r="B1332" t="s">
        <v>4204</v>
      </c>
      <c r="C1332" s="8" t="s">
        <v>4208</v>
      </c>
      <c r="E1332" s="8" t="s">
        <v>4214</v>
      </c>
      <c r="F1332" s="8" t="s">
        <v>4218</v>
      </c>
      <c r="G1332" s="8">
        <v>500</v>
      </c>
    </row>
    <row r="1333" spans="1:8" x14ac:dyDescent="0.15">
      <c r="A1333" s="8" t="s">
        <v>4210</v>
      </c>
      <c r="B1333" t="s">
        <v>4204</v>
      </c>
      <c r="C1333" s="8" t="s">
        <v>4210</v>
      </c>
      <c r="E1333" s="8" t="s">
        <v>4209</v>
      </c>
      <c r="F1333" s="8" t="s">
        <v>4219</v>
      </c>
      <c r="G1333" s="8">
        <v>650</v>
      </c>
    </row>
    <row r="1334" spans="1:8" x14ac:dyDescent="0.15">
      <c r="A1334" s="8" t="s">
        <v>4211</v>
      </c>
      <c r="B1334" t="s">
        <v>4204</v>
      </c>
      <c r="C1334" s="8" t="s">
        <v>4211</v>
      </c>
      <c r="E1334" s="8" t="s">
        <v>4215</v>
      </c>
      <c r="F1334" s="8" t="s">
        <v>4220</v>
      </c>
      <c r="G1334" s="8">
        <v>500</v>
      </c>
    </row>
    <row r="1335" spans="1:8" x14ac:dyDescent="0.15">
      <c r="A1335" s="8" t="s">
        <v>4212</v>
      </c>
      <c r="B1335" t="s">
        <v>4204</v>
      </c>
      <c r="C1335" s="8" t="s">
        <v>4212</v>
      </c>
      <c r="E1335" s="8" t="s">
        <v>4216</v>
      </c>
      <c r="F1335" s="8" t="s">
        <v>4221</v>
      </c>
      <c r="G1335" s="8">
        <v>500</v>
      </c>
    </row>
    <row r="1336" spans="1:8" x14ac:dyDescent="0.15">
      <c r="A1336" s="8" t="s">
        <v>4222</v>
      </c>
      <c r="B1336" t="s">
        <v>4204</v>
      </c>
      <c r="C1336" s="8" t="s">
        <v>4222</v>
      </c>
      <c r="E1336" s="8" t="s">
        <v>4224</v>
      </c>
      <c r="F1336" s="8" t="s">
        <v>4226</v>
      </c>
      <c r="G1336" s="8">
        <v>500</v>
      </c>
    </row>
    <row r="1337" spans="1:8" x14ac:dyDescent="0.15">
      <c r="A1337" s="8" t="s">
        <v>4223</v>
      </c>
      <c r="B1337" t="s">
        <v>4204</v>
      </c>
      <c r="C1337" s="8" t="s">
        <v>4223</v>
      </c>
      <c r="E1337" s="8" t="s">
        <v>4225</v>
      </c>
      <c r="F1337" s="8" t="s">
        <v>4227</v>
      </c>
      <c r="G1337" s="8">
        <v>500</v>
      </c>
    </row>
    <row r="1338" spans="1:8" x14ac:dyDescent="0.15">
      <c r="A1338" s="8" t="s">
        <v>4235</v>
      </c>
      <c r="B1338" t="s">
        <v>4232</v>
      </c>
      <c r="C1338" s="8" t="s">
        <v>4235</v>
      </c>
      <c r="E1338" s="8" t="s">
        <v>4235</v>
      </c>
      <c r="F1338" s="8" t="s">
        <v>4250</v>
      </c>
      <c r="G1338" s="8">
        <v>500</v>
      </c>
      <c r="H1338" s="8" t="s">
        <v>4250</v>
      </c>
    </row>
    <row r="1339" spans="1:8" x14ac:dyDescent="0.15">
      <c r="A1339" s="8" t="s">
        <v>4236</v>
      </c>
      <c r="B1339" t="s">
        <v>4232</v>
      </c>
      <c r="C1339" s="8" t="s">
        <v>4236</v>
      </c>
      <c r="E1339" s="8" t="s">
        <v>4236</v>
      </c>
      <c r="F1339" s="8" t="s">
        <v>4251</v>
      </c>
      <c r="G1339" s="8">
        <v>500</v>
      </c>
      <c r="H1339" s="8" t="s">
        <v>4251</v>
      </c>
    </row>
    <row r="1340" spans="1:8" x14ac:dyDescent="0.15">
      <c r="A1340" s="8" t="s">
        <v>4237</v>
      </c>
      <c r="B1340" t="s">
        <v>4232</v>
      </c>
      <c r="C1340" s="8" t="s">
        <v>4237</v>
      </c>
      <c r="E1340" s="8" t="s">
        <v>4237</v>
      </c>
      <c r="F1340" s="8" t="s">
        <v>4252</v>
      </c>
      <c r="G1340" s="8">
        <v>500</v>
      </c>
      <c r="H1340" s="8" t="s">
        <v>4252</v>
      </c>
    </row>
    <row r="1341" spans="1:8" x14ac:dyDescent="0.15">
      <c r="A1341" s="8" t="s">
        <v>4238</v>
      </c>
      <c r="B1341" t="s">
        <v>4232</v>
      </c>
      <c r="C1341" s="8" t="s">
        <v>4238</v>
      </c>
      <c r="E1341" s="8" t="s">
        <v>4238</v>
      </c>
      <c r="F1341" s="8" t="s">
        <v>4253</v>
      </c>
      <c r="G1341" s="8">
        <v>500</v>
      </c>
      <c r="H1341" s="8" t="s">
        <v>4253</v>
      </c>
    </row>
    <row r="1342" spans="1:8" x14ac:dyDescent="0.15">
      <c r="A1342" s="8" t="s">
        <v>668</v>
      </c>
      <c r="B1342" t="s">
        <v>4232</v>
      </c>
      <c r="C1342" s="8" t="s">
        <v>668</v>
      </c>
      <c r="E1342" s="8" t="s">
        <v>668</v>
      </c>
      <c r="F1342" s="8" t="s">
        <v>4254</v>
      </c>
      <c r="G1342" s="8">
        <v>500</v>
      </c>
      <c r="H1342" s="8" t="s">
        <v>4254</v>
      </c>
    </row>
    <row r="1343" spans="1:8" x14ac:dyDescent="0.15">
      <c r="A1343" s="8" t="s">
        <v>4239</v>
      </c>
      <c r="B1343" t="s">
        <v>4232</v>
      </c>
      <c r="C1343" s="8" t="s">
        <v>4239</v>
      </c>
      <c r="E1343" s="8" t="s">
        <v>4239</v>
      </c>
      <c r="F1343" s="8" t="s">
        <v>4255</v>
      </c>
      <c r="G1343" s="8">
        <v>500</v>
      </c>
      <c r="H1343" s="8" t="s">
        <v>4255</v>
      </c>
    </row>
    <row r="1344" spans="1:8" x14ac:dyDescent="0.15">
      <c r="A1344" s="8" t="s">
        <v>4240</v>
      </c>
      <c r="B1344" t="s">
        <v>4232</v>
      </c>
      <c r="C1344" s="8" t="s">
        <v>4240</v>
      </c>
      <c r="E1344" s="8" t="s">
        <v>4240</v>
      </c>
      <c r="F1344" s="8" t="s">
        <v>4256</v>
      </c>
      <c r="G1344" s="8">
        <v>500</v>
      </c>
      <c r="H1344" s="8" t="s">
        <v>4256</v>
      </c>
    </row>
    <row r="1345" spans="1:8" x14ac:dyDescent="0.15">
      <c r="A1345" s="8" t="s">
        <v>4241</v>
      </c>
      <c r="B1345" t="s">
        <v>4232</v>
      </c>
      <c r="C1345" s="8" t="s">
        <v>4241</v>
      </c>
      <c r="E1345" s="8" t="s">
        <v>4241</v>
      </c>
      <c r="F1345" s="8" t="s">
        <v>4257</v>
      </c>
      <c r="G1345" s="8">
        <v>500</v>
      </c>
      <c r="H1345" s="8" t="s">
        <v>4257</v>
      </c>
    </row>
    <row r="1346" spans="1:8" x14ac:dyDescent="0.15">
      <c r="A1346" s="8" t="s">
        <v>4242</v>
      </c>
      <c r="B1346" t="s">
        <v>4232</v>
      </c>
      <c r="C1346" s="8" t="s">
        <v>4242</v>
      </c>
      <c r="E1346" s="8" t="s">
        <v>4242</v>
      </c>
      <c r="F1346" s="8" t="s">
        <v>4258</v>
      </c>
      <c r="G1346" s="8">
        <v>500</v>
      </c>
      <c r="H1346" s="8" t="s">
        <v>4258</v>
      </c>
    </row>
    <row r="1347" spans="1:8" x14ac:dyDescent="0.15">
      <c r="A1347" s="8" t="s">
        <v>4243</v>
      </c>
      <c r="B1347" t="s">
        <v>4232</v>
      </c>
      <c r="C1347" s="8" t="s">
        <v>4243</v>
      </c>
      <c r="E1347" s="8" t="s">
        <v>4243</v>
      </c>
      <c r="F1347" s="8" t="s">
        <v>4259</v>
      </c>
      <c r="G1347" s="8">
        <v>500</v>
      </c>
      <c r="H1347" s="8" t="s">
        <v>4259</v>
      </c>
    </row>
    <row r="1348" spans="1:8" x14ac:dyDescent="0.15">
      <c r="A1348" s="8" t="s">
        <v>4244</v>
      </c>
      <c r="B1348" t="s">
        <v>4232</v>
      </c>
      <c r="C1348" s="8" t="s">
        <v>4244</v>
      </c>
      <c r="E1348" s="8" t="s">
        <v>4244</v>
      </c>
      <c r="F1348" s="8" t="s">
        <v>4260</v>
      </c>
      <c r="G1348" s="8">
        <v>500</v>
      </c>
      <c r="H1348" s="8" t="s">
        <v>4260</v>
      </c>
    </row>
    <row r="1349" spans="1:8" x14ac:dyDescent="0.15">
      <c r="A1349" s="8" t="s">
        <v>4245</v>
      </c>
      <c r="B1349" t="s">
        <v>4232</v>
      </c>
      <c r="C1349" s="8" t="s">
        <v>4245</v>
      </c>
      <c r="E1349" s="8" t="s">
        <v>4245</v>
      </c>
      <c r="F1349" s="8" t="s">
        <v>4261</v>
      </c>
      <c r="G1349" s="8">
        <v>500</v>
      </c>
      <c r="H1349" s="8" t="s">
        <v>4261</v>
      </c>
    </row>
    <row r="1350" spans="1:8" x14ac:dyDescent="0.15">
      <c r="A1350" s="8" t="s">
        <v>4246</v>
      </c>
      <c r="B1350" t="s">
        <v>4232</v>
      </c>
      <c r="C1350" s="8" t="s">
        <v>4246</v>
      </c>
      <c r="E1350" s="8" t="s">
        <v>4246</v>
      </c>
      <c r="F1350" s="8" t="s">
        <v>4262</v>
      </c>
      <c r="G1350" s="8">
        <v>500</v>
      </c>
      <c r="H1350" s="8" t="s">
        <v>4262</v>
      </c>
    </row>
    <row r="1351" spans="1:8" x14ac:dyDescent="0.15">
      <c r="A1351" s="8" t="s">
        <v>4247</v>
      </c>
      <c r="B1351" t="s">
        <v>4232</v>
      </c>
      <c r="C1351" s="8" t="s">
        <v>4247</v>
      </c>
      <c r="E1351" s="8" t="s">
        <v>4247</v>
      </c>
      <c r="F1351" s="8" t="s">
        <v>4263</v>
      </c>
      <c r="G1351" s="8">
        <v>500</v>
      </c>
      <c r="H1351" s="8" t="s">
        <v>4263</v>
      </c>
    </row>
    <row r="1352" spans="1:8" x14ac:dyDescent="0.15">
      <c r="A1352" s="8" t="s">
        <v>4248</v>
      </c>
      <c r="B1352" t="s">
        <v>4232</v>
      </c>
      <c r="C1352" s="8" t="s">
        <v>4248</v>
      </c>
      <c r="E1352" s="8" t="s">
        <v>4248</v>
      </c>
      <c r="F1352" s="8" t="s">
        <v>4264</v>
      </c>
      <c r="G1352" s="8">
        <v>500</v>
      </c>
      <c r="H1352" s="8" t="s">
        <v>4264</v>
      </c>
    </row>
    <row r="1353" spans="1:8" x14ac:dyDescent="0.15">
      <c r="A1353" s="8" t="s">
        <v>4249</v>
      </c>
      <c r="B1353" t="s">
        <v>4232</v>
      </c>
      <c r="C1353" s="8" t="s">
        <v>4249</v>
      </c>
      <c r="E1353" s="8" t="s">
        <v>4249</v>
      </c>
      <c r="F1353" s="8" t="s">
        <v>4265</v>
      </c>
      <c r="G1353" s="8">
        <v>600</v>
      </c>
      <c r="H1353" s="8" t="s">
        <v>4265</v>
      </c>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30" t="s">
        <v>4061</v>
      </c>
    </row>
    <row r="2" spans="1:1" x14ac:dyDescent="0.15">
      <c r="A2" s="8" t="s">
        <v>4062</v>
      </c>
    </row>
    <row r="3" spans="1:1" x14ac:dyDescent="0.15">
      <c r="A3" s="8" t="s">
        <v>4063</v>
      </c>
    </row>
    <row r="4" spans="1:1" x14ac:dyDescent="0.15">
      <c r="A4" s="8" t="s">
        <v>4064</v>
      </c>
    </row>
    <row r="5" spans="1:1" x14ac:dyDescent="0.15">
      <c r="A5" s="8" t="s">
        <v>4065</v>
      </c>
    </row>
    <row r="6" spans="1:1" x14ac:dyDescent="0.15">
      <c r="A6" s="8" t="s">
        <v>4066</v>
      </c>
    </row>
    <row r="7" spans="1:1" x14ac:dyDescent="0.15">
      <c r="A7" s="8" t="s">
        <v>3968</v>
      </c>
    </row>
    <row r="8" spans="1:1" x14ac:dyDescent="0.15">
      <c r="A8" s="8" t="s">
        <v>3966</v>
      </c>
    </row>
    <row r="9" spans="1:1" x14ac:dyDescent="0.15">
      <c r="A9" s="8" t="s">
        <v>3971</v>
      </c>
    </row>
    <row r="10" spans="1:1" x14ac:dyDescent="0.15">
      <c r="A10" s="8" t="s">
        <v>4067</v>
      </c>
    </row>
    <row r="11" spans="1:1" x14ac:dyDescent="0.15">
      <c r="A11" s="8" t="s">
        <v>4068</v>
      </c>
    </row>
    <row r="12" spans="1:1" x14ac:dyDescent="0.15">
      <c r="A12" s="8" t="s">
        <v>1163</v>
      </c>
    </row>
    <row r="13" spans="1:1" x14ac:dyDescent="0.15">
      <c r="A13" s="8" t="s">
        <v>4069</v>
      </c>
    </row>
    <row r="14" spans="1:1" x14ac:dyDescent="0.15">
      <c r="A14" s="8" t="s">
        <v>4070</v>
      </c>
    </row>
    <row r="15" spans="1:1" x14ac:dyDescent="0.15">
      <c r="A15" s="8" t="s">
        <v>4071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2123</v>
      </c>
      <c r="B2" s="8" t="s">
        <v>151</v>
      </c>
      <c r="C2" s="8" t="str">
        <f>B2&amp;":"&amp;A2</f>
        <v>att_organism:UP000000589</v>
      </c>
      <c r="D2" s="8" t="s">
        <v>2124</v>
      </c>
      <c r="E2" s="8" t="s">
        <v>2125</v>
      </c>
      <c r="F2" s="8" t="s">
        <v>2126</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2127</v>
      </c>
      <c r="B3" s="8" t="s">
        <v>151</v>
      </c>
      <c r="C3" s="8" t="str">
        <f>B3&amp;":"&amp;A3</f>
        <v>att_organism:UP000001940</v>
      </c>
      <c r="D3" s="8" t="s">
        <v>2128</v>
      </c>
      <c r="E3" s="8" t="s">
        <v>2129</v>
      </c>
      <c r="F3" s="8" t="s">
        <v>2130</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2131</v>
      </c>
      <c r="B4" s="8" t="s">
        <v>151</v>
      </c>
      <c r="C4" s="8" t="str">
        <f>B4&amp;":"&amp;A4</f>
        <v>att_organism:UP000002311</v>
      </c>
      <c r="D4" s="8" t="s">
        <v>2132</v>
      </c>
      <c r="E4" s="8" t="s">
        <v>2133</v>
      </c>
      <c r="F4" s="8" t="s">
        <v>2134</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2135</v>
      </c>
      <c r="B5" s="8" t="s">
        <v>151</v>
      </c>
      <c r="C5" s="8" t="str">
        <f>B5&amp;":"&amp;A5</f>
        <v>att_organism:UP000002494</v>
      </c>
      <c r="D5" s="8" t="s">
        <v>2136</v>
      </c>
      <c r="E5" s="8" t="s">
        <v>2137</v>
      </c>
      <c r="F5" s="8" t="s">
        <v>2138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2139</v>
      </c>
      <c r="B6" s="8" t="s">
        <v>151</v>
      </c>
      <c r="C6" s="8" t="str">
        <f>B6&amp;":"&amp;A6</f>
        <v>att_organism:UP000005640</v>
      </c>
      <c r="D6" s="8" t="s">
        <v>2140</v>
      </c>
      <c r="E6" s="8" t="s">
        <v>2141</v>
      </c>
      <c r="F6" s="8" t="s">
        <v>2142</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8" t="s">
        <v>2800</v>
      </c>
      <c r="B1" s="8" t="s">
        <v>184</v>
      </c>
      <c r="C1" s="8" t="str">
        <f t="shared" ref="C1:C8" si="0">B1&amp;":"&amp;A1</f>
        <v>att_user_research_group:niessen</v>
      </c>
      <c r="D1" s="8" t="s">
        <v>14</v>
      </c>
      <c r="E1" s="8" t="s">
        <v>2801</v>
      </c>
      <c r="F1" s="8" t="s">
        <v>2421</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2802</v>
      </c>
      <c r="B2" s="8" t="s">
        <v>184</v>
      </c>
      <c r="C2" s="8" t="str">
        <f t="shared" si="0"/>
        <v>att_user_research_group:gloeckner</v>
      </c>
      <c r="D2" s="8" t="s">
        <v>14</v>
      </c>
      <c r="E2" s="8" t="s">
        <v>2803</v>
      </c>
      <c r="F2" s="8" t="s">
        <v>2804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2805</v>
      </c>
      <c r="B3" s="8" t="s">
        <v>184</v>
      </c>
      <c r="C3" s="8" t="str">
        <f t="shared" si="0"/>
        <v>att_user_research_group:bazzi</v>
      </c>
      <c r="D3" s="8" t="s">
        <v>14</v>
      </c>
      <c r="E3" s="8" t="s">
        <v>2806</v>
      </c>
      <c r="F3" s="8" t="s">
        <v>2807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2808</v>
      </c>
      <c r="B4" s="8" t="s">
        <v>184</v>
      </c>
      <c r="C4" s="8" t="str">
        <f t="shared" si="0"/>
        <v>att_user_research_group:hallek</v>
      </c>
      <c r="D4" s="8" t="s">
        <v>14</v>
      </c>
      <c r="E4" s="8" t="s">
        <v>2809</v>
      </c>
      <c r="F4" s="8" t="s">
        <v>2810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2811</v>
      </c>
      <c r="B5" s="8" t="s">
        <v>184</v>
      </c>
      <c r="C5" s="8" t="str">
        <f t="shared" si="0"/>
        <v>att_user_research_group:benzing</v>
      </c>
      <c r="D5" s="8" t="s">
        <v>14</v>
      </c>
      <c r="E5" s="8" t="s">
        <v>2812</v>
      </c>
      <c r="F5" s="8" t="s">
        <v>2813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2814</v>
      </c>
      <c r="B6" s="8" t="s">
        <v>184</v>
      </c>
      <c r="C6" s="8" t="str">
        <f t="shared" si="0"/>
        <v>att_user_research_group:hennies</v>
      </c>
      <c r="D6" s="8" t="s">
        <v>14</v>
      </c>
      <c r="E6" s="8" t="s">
        <v>2815</v>
      </c>
      <c r="F6" s="8" t="s">
        <v>2816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2817</v>
      </c>
      <c r="B7" s="8" t="s">
        <v>184</v>
      </c>
      <c r="C7" s="8" t="str">
        <f t="shared" si="0"/>
        <v>att_user_research_group:vonkarstedt</v>
      </c>
      <c r="D7" s="8" t="s">
        <v>14</v>
      </c>
      <c r="E7" s="8" t="s">
        <v>2818</v>
      </c>
      <c r="F7" s="8" t="s">
        <v>2819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2820</v>
      </c>
      <c r="B8" s="8" t="s">
        <v>184</v>
      </c>
      <c r="C8" s="8" t="str">
        <f t="shared" si="0"/>
        <v>att_user_research_group:laessig</v>
      </c>
      <c r="D8" s="8" t="s">
        <v>14</v>
      </c>
      <c r="E8" s="8" t="s">
        <v>2821</v>
      </c>
      <c r="F8" s="8" t="s">
        <v>2822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2435</v>
      </c>
      <c r="B1" s="10" t="s">
        <v>2436</v>
      </c>
      <c r="C1" s="10" t="s">
        <v>2437</v>
      </c>
      <c r="D1" s="10" t="s">
        <v>2438</v>
      </c>
      <c r="E1" s="10" t="s">
        <v>2439</v>
      </c>
      <c r="F1" s="10" t="s">
        <v>2440</v>
      </c>
      <c r="G1" s="10" t="s">
        <v>2441</v>
      </c>
      <c r="H1" s="10" t="s">
        <v>2442</v>
      </c>
      <c r="I1" s="10" t="s">
        <v>2443</v>
      </c>
      <c r="J1" s="10" t="s">
        <v>2444</v>
      </c>
      <c r="K1" s="10" t="s">
        <v>2445</v>
      </c>
      <c r="L1" s="10" t="s">
        <v>2446</v>
      </c>
      <c r="M1" s="10" t="s">
        <v>2447</v>
      </c>
      <c r="N1" s="10" t="s">
        <v>2448</v>
      </c>
      <c r="O1" s="10" t="s">
        <v>2449</v>
      </c>
    </row>
    <row r="2" spans="1:15" x14ac:dyDescent="0.15">
      <c r="A2" s="11" t="s">
        <v>18</v>
      </c>
      <c r="B2" s="11"/>
      <c r="C2" s="6" t="s">
        <v>259</v>
      </c>
      <c r="D2" s="6" t="s">
        <v>260</v>
      </c>
      <c r="E2" s="6" t="s">
        <v>14</v>
      </c>
      <c r="F2" s="6" t="s">
        <v>21</v>
      </c>
      <c r="G2" s="6" t="s">
        <v>2450</v>
      </c>
      <c r="H2" s="6" t="str">
        <f t="shared" ref="H2:H65" si="0">"att_"&amp;G2</f>
        <v>att_acquisition</v>
      </c>
      <c r="I2" s="6" t="s">
        <v>259</v>
      </c>
      <c r="J2" s="6" t="str">
        <f t="shared" ref="J2:J65" si="1">H2&amp;":"&amp;I2</f>
        <v>att_acquisition:dda</v>
      </c>
      <c r="K2" s="11" t="s">
        <v>18</v>
      </c>
      <c r="L2" s="6" t="s">
        <v>261</v>
      </c>
      <c r="M2" s="6" t="s">
        <v>14</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18</v>
      </c>
      <c r="B3" s="11"/>
      <c r="C3" s="6" t="s">
        <v>262</v>
      </c>
      <c r="D3" s="6" t="s">
        <v>263</v>
      </c>
      <c r="E3" s="6" t="s">
        <v>14</v>
      </c>
      <c r="F3" s="6" t="s">
        <v>21</v>
      </c>
      <c r="G3" s="6" t="s">
        <v>2450</v>
      </c>
      <c r="H3" s="6" t="str">
        <f t="shared" si="0"/>
        <v>att_acquisition</v>
      </c>
      <c r="I3" s="6" t="s">
        <v>262</v>
      </c>
      <c r="J3" s="6" t="str">
        <f t="shared" si="1"/>
        <v>att_acquisition:dia</v>
      </c>
      <c r="K3" s="11" t="s">
        <v>18</v>
      </c>
      <c r="L3" s="6" t="s">
        <v>264</v>
      </c>
      <c r="M3" s="6" t="s">
        <v>14</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18</v>
      </c>
      <c r="B4" s="11"/>
      <c r="C4" s="6" t="s">
        <v>265</v>
      </c>
      <c r="D4" s="6" t="s">
        <v>266</v>
      </c>
      <c r="E4" s="6" t="s">
        <v>14</v>
      </c>
      <c r="F4" s="6" t="s">
        <v>21</v>
      </c>
      <c r="G4" s="6" t="s">
        <v>2450</v>
      </c>
      <c r="H4" s="6" t="str">
        <f t="shared" si="0"/>
        <v>att_acquisition</v>
      </c>
      <c r="I4" s="6" t="s">
        <v>265</v>
      </c>
      <c r="J4" s="6" t="str">
        <f t="shared" si="1"/>
        <v>att_acquisition:srm</v>
      </c>
      <c r="K4" s="11" t="s">
        <v>18</v>
      </c>
      <c r="L4" s="6" t="s">
        <v>267</v>
      </c>
      <c r="M4" s="6" t="s">
        <v>14</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2451</v>
      </c>
      <c r="D5" s="6" t="s">
        <v>285</v>
      </c>
      <c r="E5" s="6" t="s">
        <v>14</v>
      </c>
      <c r="F5" s="6" t="s">
        <v>2452</v>
      </c>
      <c r="G5" s="6" t="s">
        <v>2453</v>
      </c>
      <c r="H5" s="6" t="str">
        <f t="shared" si="0"/>
        <v>att_animal_model</v>
      </c>
      <c r="I5" s="6" t="s">
        <v>283</v>
      </c>
      <c r="J5" s="6" t="str">
        <f t="shared" si="1"/>
        <v>att_animal_model:adipoq_cre</v>
      </c>
      <c r="K5" s="11" t="s">
        <v>18</v>
      </c>
      <c r="L5" s="6" t="s">
        <v>286</v>
      </c>
      <c r="M5" s="6" t="s">
        <v>14</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2454</v>
      </c>
      <c r="D6" s="6" t="s">
        <v>288</v>
      </c>
      <c r="E6" s="6" t="s">
        <v>14</v>
      </c>
      <c r="F6" s="6" t="s">
        <v>2452</v>
      </c>
      <c r="G6" s="6" t="s">
        <v>2453</v>
      </c>
      <c r="H6" s="6" t="str">
        <f t="shared" si="0"/>
        <v>att_animal_model</v>
      </c>
      <c r="I6" s="6" t="s">
        <v>287</v>
      </c>
      <c r="J6" s="6" t="str">
        <f t="shared" si="1"/>
        <v>att_animal_model:alb_cre</v>
      </c>
      <c r="K6" s="11" t="s">
        <v>18</v>
      </c>
      <c r="L6" s="6" t="s">
        <v>289</v>
      </c>
      <c r="M6" s="6" t="s">
        <v>14</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2455</v>
      </c>
      <c r="D7" s="6" t="s">
        <v>291</v>
      </c>
      <c r="E7" s="6" t="s">
        <v>14</v>
      </c>
      <c r="F7" s="6" t="s">
        <v>2452</v>
      </c>
      <c r="G7" s="6" t="s">
        <v>2453</v>
      </c>
      <c r="H7" s="6" t="str">
        <f t="shared" si="0"/>
        <v>att_animal_model</v>
      </c>
      <c r="I7" s="6" t="s">
        <v>290</v>
      </c>
      <c r="J7" s="6" t="str">
        <f t="shared" si="1"/>
        <v>att_animal_model:asc_ko</v>
      </c>
      <c r="K7" s="11" t="s">
        <v>18</v>
      </c>
      <c r="L7" s="6" t="s">
        <v>291</v>
      </c>
      <c r="M7" s="6" t="s">
        <v>14</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2456</v>
      </c>
      <c r="D8" s="6" t="s">
        <v>293</v>
      </c>
      <c r="E8" s="6" t="s">
        <v>14</v>
      </c>
      <c r="F8" s="6" t="s">
        <v>2452</v>
      </c>
      <c r="G8" s="6" t="s">
        <v>2453</v>
      </c>
      <c r="H8" s="6" t="str">
        <f t="shared" si="0"/>
        <v>att_animal_model</v>
      </c>
      <c r="I8" s="6" t="s">
        <v>292</v>
      </c>
      <c r="J8" s="6" t="str">
        <f t="shared" si="1"/>
        <v>att_animal_model:baf53b_cre</v>
      </c>
      <c r="K8" s="11" t="s">
        <v>18</v>
      </c>
      <c r="L8" s="6" t="s">
        <v>294</v>
      </c>
      <c r="M8" s="6" t="s">
        <v>14</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2457</v>
      </c>
      <c r="D9" s="6" t="s">
        <v>296</v>
      </c>
      <c r="E9" s="6" t="s">
        <v>14</v>
      </c>
      <c r="F9" s="6" t="s">
        <v>2452</v>
      </c>
      <c r="G9" s="6" t="s">
        <v>2453</v>
      </c>
      <c r="H9" s="6" t="str">
        <f t="shared" si="0"/>
        <v>att_animal_model</v>
      </c>
      <c r="I9" s="6" t="s">
        <v>295</v>
      </c>
      <c r="J9" s="6" t="str">
        <f t="shared" si="1"/>
        <v>att_animal_model:c57_bl6j</v>
      </c>
      <c r="K9" s="11" t="s">
        <v>18</v>
      </c>
      <c r="L9" s="6" t="s">
        <v>296</v>
      </c>
      <c r="M9" s="6" t="s">
        <v>14</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2458</v>
      </c>
      <c r="D10" s="6" t="s">
        <v>298</v>
      </c>
      <c r="E10" s="6" t="s">
        <v>14</v>
      </c>
      <c r="F10" s="6" t="s">
        <v>2452</v>
      </c>
      <c r="G10" s="6" t="s">
        <v>2453</v>
      </c>
      <c r="H10" s="6" t="str">
        <f t="shared" si="0"/>
        <v>att_animal_model</v>
      </c>
      <c r="I10" s="6" t="s">
        <v>297</v>
      </c>
      <c r="J10" s="6" t="str">
        <f t="shared" si="1"/>
        <v>att_animal_model:clec4f_cre</v>
      </c>
      <c r="K10" s="11" t="s">
        <v>18</v>
      </c>
      <c r="L10" s="6" t="s">
        <v>299</v>
      </c>
      <c r="M10" s="6" t="s">
        <v>14</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2459</v>
      </c>
      <c r="D11" s="6" t="s">
        <v>301</v>
      </c>
      <c r="E11" s="6" t="s">
        <v>14</v>
      </c>
      <c r="F11" s="6" t="s">
        <v>2452</v>
      </c>
      <c r="G11" s="6" t="s">
        <v>2453</v>
      </c>
      <c r="H11" s="6" t="str">
        <f t="shared" si="0"/>
        <v>att_animal_model</v>
      </c>
      <c r="I11" s="6" t="s">
        <v>300</v>
      </c>
      <c r="J11" s="6" t="str">
        <f t="shared" si="1"/>
        <v>att_animal_model:cx3cr1_cre</v>
      </c>
      <c r="K11" s="11" t="s">
        <v>18</v>
      </c>
      <c r="L11" s="6" t="s">
        <v>302</v>
      </c>
      <c r="M11" s="6" t="s">
        <v>14</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303</v>
      </c>
      <c r="D12" s="6" t="s">
        <v>304</v>
      </c>
      <c r="E12" s="6" t="s">
        <v>14</v>
      </c>
      <c r="F12" s="6" t="s">
        <v>2452</v>
      </c>
      <c r="G12" s="6" t="s">
        <v>2453</v>
      </c>
      <c r="H12" s="6" t="str">
        <f t="shared" si="0"/>
        <v>att_animal_model</v>
      </c>
      <c r="I12" s="6" t="s">
        <v>303</v>
      </c>
      <c r="J12" s="6" t="str">
        <f t="shared" si="1"/>
        <v>att_animal_model:cxcr4creert2</v>
      </c>
      <c r="K12" s="11" t="s">
        <v>18</v>
      </c>
      <c r="L12" s="6" t="s">
        <v>304</v>
      </c>
      <c r="M12" s="6" t="s">
        <v>14</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2460</v>
      </c>
      <c r="D13" s="6" t="s">
        <v>306</v>
      </c>
      <c r="E13" s="6" t="s">
        <v>14</v>
      </c>
      <c r="F13" s="6" t="s">
        <v>2452</v>
      </c>
      <c r="G13" s="6" t="s">
        <v>2453</v>
      </c>
      <c r="H13" s="6" t="str">
        <f t="shared" si="0"/>
        <v>att_animal_model</v>
      </c>
      <c r="I13" s="6" t="s">
        <v>305</v>
      </c>
      <c r="J13" s="6" t="str">
        <f t="shared" si="1"/>
        <v>att_animal_model:glast_cre</v>
      </c>
      <c r="K13" s="11" t="s">
        <v>18</v>
      </c>
      <c r="L13" s="6" t="s">
        <v>307</v>
      </c>
      <c r="M13" s="6" t="s">
        <v>14</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2461</v>
      </c>
      <c r="D14" s="6" t="s">
        <v>309</v>
      </c>
      <c r="E14" s="6" t="s">
        <v>14</v>
      </c>
      <c r="F14" s="6" t="s">
        <v>2452</v>
      </c>
      <c r="G14" s="6" t="s">
        <v>2453</v>
      </c>
      <c r="H14" s="6" t="str">
        <f t="shared" si="0"/>
        <v>att_animal_model</v>
      </c>
      <c r="I14" s="6" t="s">
        <v>308</v>
      </c>
      <c r="J14" s="6" t="str">
        <f t="shared" si="1"/>
        <v>att_animal_model:lrat_cre</v>
      </c>
      <c r="K14" s="11" t="s">
        <v>18</v>
      </c>
      <c r="L14" s="6" t="s">
        <v>310</v>
      </c>
      <c r="M14" s="6" t="s">
        <v>14</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2462</v>
      </c>
      <c r="D15" s="6" t="s">
        <v>312</v>
      </c>
      <c r="E15" s="6" t="s">
        <v>14</v>
      </c>
      <c r="F15" s="6" t="s">
        <v>2452</v>
      </c>
      <c r="G15" s="6" t="s">
        <v>2453</v>
      </c>
      <c r="H15" s="6" t="str">
        <f t="shared" si="0"/>
        <v>att_animal_model</v>
      </c>
      <c r="I15" s="6" t="s">
        <v>311</v>
      </c>
      <c r="J15" s="6" t="str">
        <f t="shared" si="1"/>
        <v>att_animal_model:lysm_cre</v>
      </c>
      <c r="K15" s="11" t="s">
        <v>18</v>
      </c>
      <c r="L15" s="6" t="s">
        <v>313</v>
      </c>
      <c r="M15" s="6" t="s">
        <v>14</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2463</v>
      </c>
      <c r="D16" s="6" t="s">
        <v>315</v>
      </c>
      <c r="E16" s="6" t="s">
        <v>14</v>
      </c>
      <c r="F16" s="6" t="s">
        <v>2452</v>
      </c>
      <c r="G16" s="6" t="s">
        <v>2453</v>
      </c>
      <c r="H16" s="6" t="str">
        <f t="shared" si="0"/>
        <v>att_animal_model</v>
      </c>
      <c r="I16" s="6" t="s">
        <v>314</v>
      </c>
      <c r="J16" s="6" t="str">
        <f t="shared" si="1"/>
        <v>att_animal_model:ms4a3_cre</v>
      </c>
      <c r="K16" s="11" t="s">
        <v>18</v>
      </c>
      <c r="L16" s="6" t="s">
        <v>316</v>
      </c>
      <c r="M16" s="6" t="s">
        <v>14</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2464</v>
      </c>
      <c r="D17" s="6" t="s">
        <v>318</v>
      </c>
      <c r="E17" s="6" t="s">
        <v>14</v>
      </c>
      <c r="F17" s="6" t="s">
        <v>2452</v>
      </c>
      <c r="G17" s="6" t="s">
        <v>2453</v>
      </c>
      <c r="H17" s="6" t="str">
        <f t="shared" si="0"/>
        <v>att_animal_model</v>
      </c>
      <c r="I17" s="6" t="s">
        <v>317</v>
      </c>
      <c r="J17" s="6" t="str">
        <f t="shared" si="1"/>
        <v>att_animal_model:mt_nlrp3_cre</v>
      </c>
      <c r="K17" s="11" t="s">
        <v>18</v>
      </c>
      <c r="L17" s="6" t="s">
        <v>319</v>
      </c>
      <c r="M17" s="6" t="s">
        <v>14</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2465</v>
      </c>
      <c r="D18" s="6" t="s">
        <v>321</v>
      </c>
      <c r="E18" s="6" t="s">
        <v>14</v>
      </c>
      <c r="F18" s="6" t="s">
        <v>2452</v>
      </c>
      <c r="G18" s="6" t="s">
        <v>2453</v>
      </c>
      <c r="H18" s="6" t="str">
        <f t="shared" si="0"/>
        <v>att_animal_model</v>
      </c>
      <c r="I18" s="6" t="s">
        <v>320</v>
      </c>
      <c r="J18" s="6" t="str">
        <f t="shared" si="1"/>
        <v>att_animal_model:nlrp3_flox</v>
      </c>
      <c r="K18" s="11" t="s">
        <v>18</v>
      </c>
      <c r="L18" s="6" t="s">
        <v>321</v>
      </c>
      <c r="M18" s="6" t="s">
        <v>14</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2466</v>
      </c>
      <c r="D19" s="6" t="s">
        <v>323</v>
      </c>
      <c r="E19" s="6" t="s">
        <v>14</v>
      </c>
      <c r="F19" s="6" t="s">
        <v>2452</v>
      </c>
      <c r="G19" s="6" t="s">
        <v>2453</v>
      </c>
      <c r="H19" s="6" t="str">
        <f t="shared" si="0"/>
        <v>att_animal_model</v>
      </c>
      <c r="I19" s="6" t="s">
        <v>322</v>
      </c>
      <c r="J19" s="6" t="str">
        <f t="shared" si="1"/>
        <v>att_animal_model:nlrp3_ko</v>
      </c>
      <c r="K19" s="11" t="s">
        <v>18</v>
      </c>
      <c r="L19" s="6" t="s">
        <v>323</v>
      </c>
      <c r="M19" s="6" t="s">
        <v>14</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324</v>
      </c>
      <c r="D20" s="6" t="s">
        <v>325</v>
      </c>
      <c r="E20" s="6" t="s">
        <v>14</v>
      </c>
      <c r="F20" s="6" t="s">
        <v>2452</v>
      </c>
      <c r="G20" s="6" t="s">
        <v>2453</v>
      </c>
      <c r="H20" s="6" t="str">
        <f t="shared" si="0"/>
        <v>att_animal_model</v>
      </c>
      <c r="I20" s="6" t="s">
        <v>324</v>
      </c>
      <c r="J20" s="6" t="str">
        <f t="shared" si="1"/>
        <v>att_animal_model:oaf</v>
      </c>
      <c r="K20" s="11" t="s">
        <v>18</v>
      </c>
      <c r="L20" s="6" t="s">
        <v>325</v>
      </c>
      <c r="M20" s="6" t="s">
        <v>14</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2467</v>
      </c>
      <c r="D21" s="6" t="s">
        <v>327</v>
      </c>
      <c r="E21" s="6" t="s">
        <v>14</v>
      </c>
      <c r="F21" s="6" t="s">
        <v>2452</v>
      </c>
      <c r="G21" s="6" t="s">
        <v>2453</v>
      </c>
      <c r="H21" s="6" t="str">
        <f t="shared" si="0"/>
        <v>att_animal_model</v>
      </c>
      <c r="I21" s="6" t="s">
        <v>326</v>
      </c>
      <c r="J21" s="6" t="str">
        <f t="shared" si="1"/>
        <v>att_animal_model:r26_ert2cre</v>
      </c>
      <c r="K21" s="11" t="s">
        <v>18</v>
      </c>
      <c r="L21" s="6" t="s">
        <v>328</v>
      </c>
      <c r="M21" s="6" t="s">
        <v>14</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2468</v>
      </c>
      <c r="D22" s="12" t="s">
        <v>330</v>
      </c>
      <c r="E22" s="6" t="s">
        <v>14</v>
      </c>
      <c r="F22" s="6" t="s">
        <v>2452</v>
      </c>
      <c r="G22" s="6" t="s">
        <v>2453</v>
      </c>
      <c r="H22" s="6" t="str">
        <f t="shared" si="0"/>
        <v>att_animal_model</v>
      </c>
      <c r="I22" s="6" t="s">
        <v>329</v>
      </c>
      <c r="J22" s="6" t="str">
        <f t="shared" si="1"/>
        <v>att_animal_model:r26_metrs_flox</v>
      </c>
      <c r="K22" s="11" t="s">
        <v>18</v>
      </c>
      <c r="L22" s="6" t="s">
        <v>331</v>
      </c>
      <c r="M22" s="6" t="s">
        <v>14</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2469</v>
      </c>
      <c r="D23" s="6" t="s">
        <v>333</v>
      </c>
      <c r="E23" s="6" t="s">
        <v>14</v>
      </c>
      <c r="F23" s="6" t="s">
        <v>2452</v>
      </c>
      <c r="G23" s="6" t="s">
        <v>2453</v>
      </c>
      <c r="H23" s="6" t="str">
        <f t="shared" si="0"/>
        <v>att_animal_model</v>
      </c>
      <c r="I23" s="6" t="s">
        <v>332</v>
      </c>
      <c r="J23" s="6" t="str">
        <f t="shared" si="1"/>
        <v>att_animal_model:r26_nlrp3_flox</v>
      </c>
      <c r="K23" s="11" t="s">
        <v>18</v>
      </c>
      <c r="L23" s="6" t="s">
        <v>333</v>
      </c>
      <c r="M23" s="6" t="s">
        <v>14</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2470</v>
      </c>
      <c r="D24" s="6" t="s">
        <v>335</v>
      </c>
      <c r="E24" s="6" t="s">
        <v>14</v>
      </c>
      <c r="F24" s="6" t="s">
        <v>2452</v>
      </c>
      <c r="G24" s="6" t="s">
        <v>2453</v>
      </c>
      <c r="H24" s="6" t="str">
        <f t="shared" si="0"/>
        <v>att_animal_model</v>
      </c>
      <c r="I24" s="6" t="s">
        <v>334</v>
      </c>
      <c r="J24" s="6" t="str">
        <f t="shared" si="1"/>
        <v>att_animal_model:ribotag_lox</v>
      </c>
      <c r="K24" s="11" t="s">
        <v>18</v>
      </c>
      <c r="L24" s="6" t="s">
        <v>328</v>
      </c>
      <c r="M24" s="6" t="s">
        <v>14</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2471</v>
      </c>
      <c r="D25" s="6" t="s">
        <v>337</v>
      </c>
      <c r="E25" s="6" t="s">
        <v>14</v>
      </c>
      <c r="F25" s="6" t="s">
        <v>2452</v>
      </c>
      <c r="G25" s="6" t="s">
        <v>2453</v>
      </c>
      <c r="H25" s="6" t="str">
        <f t="shared" si="0"/>
        <v>att_animal_model</v>
      </c>
      <c r="I25" s="6" t="s">
        <v>336</v>
      </c>
      <c r="J25" s="6" t="str">
        <f t="shared" si="1"/>
        <v>att_animal_model:sox10_cre</v>
      </c>
      <c r="K25" s="11" t="s">
        <v>18</v>
      </c>
      <c r="L25" s="6" t="s">
        <v>338</v>
      </c>
      <c r="M25" s="6" t="s">
        <v>14</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2472</v>
      </c>
      <c r="D26" s="6" t="s">
        <v>340</v>
      </c>
      <c r="E26" s="6" t="s">
        <v>14</v>
      </c>
      <c r="F26" s="6" t="s">
        <v>2452</v>
      </c>
      <c r="G26" s="6" t="s">
        <v>2453</v>
      </c>
      <c r="H26" s="6" t="str">
        <f t="shared" si="0"/>
        <v>att_animal_model</v>
      </c>
      <c r="I26" s="6" t="s">
        <v>339</v>
      </c>
      <c r="J26" s="6" t="str">
        <f t="shared" si="1"/>
        <v>att_animal_model:ucp1_cre</v>
      </c>
      <c r="K26" s="11" t="s">
        <v>18</v>
      </c>
      <c r="L26" s="6" t="s">
        <v>341</v>
      </c>
      <c r="M26" s="6" t="s">
        <v>14</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2473</v>
      </c>
      <c r="D27" s="6" t="s">
        <v>343</v>
      </c>
      <c r="E27" s="6" t="s">
        <v>14</v>
      </c>
      <c r="F27" s="6" t="s">
        <v>2452</v>
      </c>
      <c r="G27" s="6" t="s">
        <v>2453</v>
      </c>
      <c r="H27" s="6" t="str">
        <f t="shared" si="0"/>
        <v>att_animal_model</v>
      </c>
      <c r="I27" s="6" t="s">
        <v>342</v>
      </c>
      <c r="J27" s="6" t="str">
        <f t="shared" si="1"/>
        <v>att_animal_model:vil_cre</v>
      </c>
      <c r="K27" s="11" t="s">
        <v>18</v>
      </c>
      <c r="L27" s="6" t="s">
        <v>344</v>
      </c>
      <c r="M27" s="6" t="s">
        <v>14</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433</v>
      </c>
      <c r="E28" s="6" t="s">
        <v>14</v>
      </c>
      <c r="F28" s="6" t="s">
        <v>2474</v>
      </c>
      <c r="G28" s="6" t="s">
        <v>2475</v>
      </c>
      <c r="H28" s="6" t="str">
        <f t="shared" si="0"/>
        <v>att_celllines</v>
      </c>
      <c r="I28" s="6" t="s">
        <v>432</v>
      </c>
      <c r="J28" s="6" t="str">
        <f t="shared" si="1"/>
        <v>att_celllines:786_0</v>
      </c>
      <c r="K28" s="11" t="s">
        <v>18</v>
      </c>
      <c r="L28" s="6" t="s">
        <v>434</v>
      </c>
      <c r="M28" s="6" t="s">
        <v>2476</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435</v>
      </c>
      <c r="D29" s="6" t="s">
        <v>436</v>
      </c>
      <c r="E29" s="6" t="s">
        <v>14</v>
      </c>
      <c r="F29" s="6" t="s">
        <v>2474</v>
      </c>
      <c r="G29" s="6" t="s">
        <v>2475</v>
      </c>
      <c r="H29" s="6" t="str">
        <f t="shared" si="0"/>
        <v>att_celllines</v>
      </c>
      <c r="I29" s="6" t="s">
        <v>435</v>
      </c>
      <c r="J29" s="6" t="str">
        <f t="shared" si="1"/>
        <v>att_celllines:a498</v>
      </c>
      <c r="K29" s="11" t="s">
        <v>18</v>
      </c>
      <c r="L29" s="6" t="s">
        <v>434</v>
      </c>
      <c r="M29" s="6" t="s">
        <v>2476</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437</v>
      </c>
      <c r="D30" s="6" t="s">
        <v>438</v>
      </c>
      <c r="E30" s="6" t="s">
        <v>14</v>
      </c>
      <c r="F30" s="6" t="s">
        <v>2474</v>
      </c>
      <c r="G30" s="6" t="s">
        <v>2475</v>
      </c>
      <c r="H30" s="6" t="str">
        <f t="shared" si="0"/>
        <v>att_celllines</v>
      </c>
      <c r="I30" s="6" t="s">
        <v>437</v>
      </c>
      <c r="J30" s="6" t="str">
        <f t="shared" si="1"/>
        <v>att_celllines:a549</v>
      </c>
      <c r="K30" s="11" t="s">
        <v>18</v>
      </c>
      <c r="L30" s="6" t="s">
        <v>439</v>
      </c>
      <c r="M30" s="6" t="s">
        <v>2476</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440</v>
      </c>
      <c r="D31" s="6" t="s">
        <v>441</v>
      </c>
      <c r="E31" s="6" t="s">
        <v>14</v>
      </c>
      <c r="F31" s="6" t="s">
        <v>2474</v>
      </c>
      <c r="G31" s="6" t="s">
        <v>2475</v>
      </c>
      <c r="H31" s="6" t="str">
        <f t="shared" si="0"/>
        <v>att_celllines</v>
      </c>
      <c r="I31" s="6" t="s">
        <v>440</v>
      </c>
      <c r="J31" s="6" t="str">
        <f t="shared" si="1"/>
        <v>att_celllines:achn</v>
      </c>
      <c r="K31" s="11" t="s">
        <v>18</v>
      </c>
      <c r="L31" s="6" t="s">
        <v>434</v>
      </c>
      <c r="M31" s="6" t="s">
        <v>2476</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442</v>
      </c>
      <c r="D32" s="6" t="s">
        <v>443</v>
      </c>
      <c r="E32" s="6" t="s">
        <v>14</v>
      </c>
      <c r="F32" s="6" t="s">
        <v>2474</v>
      </c>
      <c r="G32" s="6" t="s">
        <v>2475</v>
      </c>
      <c r="H32" s="6" t="str">
        <f t="shared" si="0"/>
        <v>att_celllines</v>
      </c>
      <c r="I32" s="6" t="s">
        <v>442</v>
      </c>
      <c r="J32" s="6" t="str">
        <f t="shared" si="1"/>
        <v>att_celllines:bmdc</v>
      </c>
      <c r="K32" s="11" t="s">
        <v>18</v>
      </c>
      <c r="L32" s="6" t="s">
        <v>443</v>
      </c>
      <c r="M32" s="6" t="s">
        <v>14</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444</v>
      </c>
      <c r="D33" s="6" t="s">
        <v>445</v>
      </c>
      <c r="E33" s="6" t="s">
        <v>14</v>
      </c>
      <c r="F33" s="6" t="s">
        <v>2474</v>
      </c>
      <c r="G33" s="6" t="s">
        <v>2475</v>
      </c>
      <c r="H33" s="6" t="str">
        <f t="shared" si="0"/>
        <v>att_celllines</v>
      </c>
      <c r="I33" s="6" t="s">
        <v>444</v>
      </c>
      <c r="J33" s="6" t="str">
        <f t="shared" si="1"/>
        <v>att_celllines:bmm</v>
      </c>
      <c r="K33" s="11" t="s">
        <v>18</v>
      </c>
      <c r="L33" s="6" t="s">
        <v>446</v>
      </c>
      <c r="M33" s="6" t="s">
        <v>14</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447</v>
      </c>
      <c r="D34" s="6" t="s">
        <v>448</v>
      </c>
      <c r="E34" s="6" t="s">
        <v>14</v>
      </c>
      <c r="F34" s="6" t="s">
        <v>2474</v>
      </c>
      <c r="G34" s="6" t="s">
        <v>2475</v>
      </c>
      <c r="H34" s="6" t="str">
        <f t="shared" si="0"/>
        <v>att_celllines</v>
      </c>
      <c r="I34" s="6" t="s">
        <v>447</v>
      </c>
      <c r="J34" s="6" t="str">
        <f t="shared" si="1"/>
        <v>att_celllines:bt549</v>
      </c>
      <c r="K34" s="11" t="s">
        <v>18</v>
      </c>
      <c r="L34" s="6" t="s">
        <v>449</v>
      </c>
      <c r="M34" s="6" t="s">
        <v>2476</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450</v>
      </c>
      <c r="D35" s="6" t="s">
        <v>451</v>
      </c>
      <c r="E35" s="6" t="s">
        <v>14</v>
      </c>
      <c r="F35" s="6" t="s">
        <v>2474</v>
      </c>
      <c r="G35" s="6" t="s">
        <v>2475</v>
      </c>
      <c r="H35" s="6" t="str">
        <f t="shared" si="0"/>
        <v>att_celllines</v>
      </c>
      <c r="I35" s="6" t="s">
        <v>450</v>
      </c>
      <c r="J35" s="6" t="str">
        <f t="shared" si="1"/>
        <v>att_celllines:caki1</v>
      </c>
      <c r="K35" s="11" t="s">
        <v>18</v>
      </c>
      <c r="L35" s="6" t="s">
        <v>434</v>
      </c>
      <c r="M35" s="6" t="s">
        <v>2476</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452</v>
      </c>
      <c r="D36" s="6" t="s">
        <v>453</v>
      </c>
      <c r="E36" s="6" t="s">
        <v>14</v>
      </c>
      <c r="F36" s="6" t="s">
        <v>2474</v>
      </c>
      <c r="G36" s="6" t="s">
        <v>2475</v>
      </c>
      <c r="H36" s="6" t="str">
        <f t="shared" si="0"/>
        <v>att_celllines</v>
      </c>
      <c r="I36" s="6" t="s">
        <v>452</v>
      </c>
      <c r="J36" s="6" t="str">
        <f t="shared" si="1"/>
        <v>att_celllines:cho</v>
      </c>
      <c r="K36" s="11" t="s">
        <v>18</v>
      </c>
      <c r="L36" s="6" t="s">
        <v>454</v>
      </c>
      <c r="M36" s="6" t="s">
        <v>2477</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455</v>
      </c>
      <c r="D37" s="6" t="s">
        <v>456</v>
      </c>
      <c r="E37" s="6" t="s">
        <v>14</v>
      </c>
      <c r="F37" s="6" t="s">
        <v>2474</v>
      </c>
      <c r="G37" s="6" t="s">
        <v>2475</v>
      </c>
      <c r="H37" s="6" t="str">
        <f t="shared" si="0"/>
        <v>att_celllines</v>
      </c>
      <c r="I37" s="6" t="s">
        <v>455</v>
      </c>
      <c r="J37" s="6" t="str">
        <f t="shared" si="1"/>
        <v>att_celllines:colo205</v>
      </c>
      <c r="K37" s="11" t="s">
        <v>18</v>
      </c>
      <c r="L37" s="6" t="s">
        <v>457</v>
      </c>
      <c r="M37" s="6" t="s">
        <v>2476</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458</v>
      </c>
      <c r="D38" s="6" t="s">
        <v>459</v>
      </c>
      <c r="E38" s="6" t="s">
        <v>14</v>
      </c>
      <c r="F38" s="6" t="s">
        <v>2474</v>
      </c>
      <c r="G38" s="6" t="s">
        <v>2475</v>
      </c>
      <c r="H38" s="6" t="str">
        <f t="shared" si="0"/>
        <v>att_celllines</v>
      </c>
      <c r="I38" s="6" t="s">
        <v>458</v>
      </c>
      <c r="J38" s="6" t="str">
        <f t="shared" si="1"/>
        <v>att_celllines:crfcem</v>
      </c>
      <c r="K38" s="11" t="s">
        <v>18</v>
      </c>
      <c r="L38" s="6" t="s">
        <v>460</v>
      </c>
      <c r="M38" s="6" t="s">
        <v>2476</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461</v>
      </c>
      <c r="D39" s="6" t="s">
        <v>462</v>
      </c>
      <c r="E39" s="6" t="s">
        <v>14</v>
      </c>
      <c r="F39" s="6" t="s">
        <v>2474</v>
      </c>
      <c r="G39" s="6" t="s">
        <v>2475</v>
      </c>
      <c r="H39" s="6" t="str">
        <f t="shared" si="0"/>
        <v>att_celllines</v>
      </c>
      <c r="I39" s="6" t="s">
        <v>461</v>
      </c>
      <c r="J39" s="6" t="str">
        <f t="shared" si="1"/>
        <v>att_celllines:du145</v>
      </c>
      <c r="K39" s="11" t="s">
        <v>18</v>
      </c>
      <c r="L39" s="6" t="s">
        <v>463</v>
      </c>
      <c r="M39" s="6" t="s">
        <v>2476</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464</v>
      </c>
      <c r="D40" s="6" t="s">
        <v>465</v>
      </c>
      <c r="E40" s="6" t="s">
        <v>14</v>
      </c>
      <c r="F40" s="6" t="s">
        <v>2474</v>
      </c>
      <c r="G40" s="6" t="s">
        <v>2475</v>
      </c>
      <c r="H40" s="6" t="str">
        <f t="shared" si="0"/>
        <v>att_celllines</v>
      </c>
      <c r="I40" s="6" t="s">
        <v>464</v>
      </c>
      <c r="J40" s="6" t="str">
        <f t="shared" si="1"/>
        <v>att_celllines:ekvx</v>
      </c>
      <c r="K40" s="11" t="s">
        <v>18</v>
      </c>
      <c r="L40" s="6" t="s">
        <v>439</v>
      </c>
      <c r="M40" s="6" t="s">
        <v>2476</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466</v>
      </c>
      <c r="D41" s="6" t="s">
        <v>467</v>
      </c>
      <c r="E41" s="6" t="s">
        <v>14</v>
      </c>
      <c r="F41" s="6" t="s">
        <v>2474</v>
      </c>
      <c r="G41" s="6" t="s">
        <v>2475</v>
      </c>
      <c r="H41" s="6" t="str">
        <f t="shared" si="0"/>
        <v>att_celllines</v>
      </c>
      <c r="I41" s="6" t="s">
        <v>466</v>
      </c>
      <c r="J41" s="6" t="str">
        <f t="shared" si="1"/>
        <v>att_celllines:hcc2998</v>
      </c>
      <c r="K41" s="11" t="s">
        <v>18</v>
      </c>
      <c r="L41" s="6" t="s">
        <v>457</v>
      </c>
      <c r="M41" s="6" t="s">
        <v>2476</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468</v>
      </c>
      <c r="D42" s="6" t="s">
        <v>469</v>
      </c>
      <c r="E42" s="6" t="s">
        <v>14</v>
      </c>
      <c r="F42" s="6" t="s">
        <v>2474</v>
      </c>
      <c r="G42" s="6" t="s">
        <v>2475</v>
      </c>
      <c r="H42" s="6" t="str">
        <f t="shared" si="0"/>
        <v>att_celllines</v>
      </c>
      <c r="I42" s="6" t="s">
        <v>468</v>
      </c>
      <c r="J42" s="6" t="str">
        <f t="shared" si="1"/>
        <v>att_celllines:hct116</v>
      </c>
      <c r="K42" s="11" t="s">
        <v>18</v>
      </c>
      <c r="L42" s="6" t="s">
        <v>457</v>
      </c>
      <c r="M42" s="6" t="s">
        <v>2476</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470</v>
      </c>
      <c r="D43" s="6" t="s">
        <v>471</v>
      </c>
      <c r="E43" s="6" t="s">
        <v>14</v>
      </c>
      <c r="F43" s="6" t="s">
        <v>2474</v>
      </c>
      <c r="G43" s="6" t="s">
        <v>2475</v>
      </c>
      <c r="H43" s="6" t="str">
        <f t="shared" si="0"/>
        <v>att_celllines</v>
      </c>
      <c r="I43" s="6" t="s">
        <v>470</v>
      </c>
      <c r="J43" s="6" t="str">
        <f t="shared" si="1"/>
        <v>att_celllines:hct15</v>
      </c>
      <c r="K43" s="11" t="s">
        <v>18</v>
      </c>
      <c r="L43" s="6" t="s">
        <v>457</v>
      </c>
      <c r="M43" s="6" t="s">
        <v>2476</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472</v>
      </c>
      <c r="D44" s="6" t="s">
        <v>473</v>
      </c>
      <c r="E44" s="6" t="s">
        <v>14</v>
      </c>
      <c r="F44" s="6" t="s">
        <v>2474</v>
      </c>
      <c r="G44" s="6" t="s">
        <v>2475</v>
      </c>
      <c r="H44" s="6" t="str">
        <f t="shared" si="0"/>
        <v>att_celllines</v>
      </c>
      <c r="I44" s="6" t="s">
        <v>472</v>
      </c>
      <c r="J44" s="6" t="str">
        <f t="shared" si="1"/>
        <v>att_celllines:hek293</v>
      </c>
      <c r="K44" s="11" t="s">
        <v>18</v>
      </c>
      <c r="L44" s="6" t="s">
        <v>474</v>
      </c>
      <c r="M44" s="6" t="s">
        <v>2477</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475</v>
      </c>
      <c r="D45" s="6" t="s">
        <v>476</v>
      </c>
      <c r="E45" s="6" t="s">
        <v>14</v>
      </c>
      <c r="F45" s="6" t="s">
        <v>2474</v>
      </c>
      <c r="G45" s="6" t="s">
        <v>2475</v>
      </c>
      <c r="H45" s="6" t="str">
        <f t="shared" si="0"/>
        <v>att_celllines</v>
      </c>
      <c r="I45" s="6" t="s">
        <v>475</v>
      </c>
      <c r="J45" s="6" t="str">
        <f t="shared" si="1"/>
        <v>att_celllines:hek293t</v>
      </c>
      <c r="K45" s="11" t="s">
        <v>18</v>
      </c>
      <c r="L45" s="6" t="s">
        <v>477</v>
      </c>
      <c r="M45" s="6" t="s">
        <v>2477</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478</v>
      </c>
      <c r="D46" s="6" t="s">
        <v>479</v>
      </c>
      <c r="E46" s="6" t="s">
        <v>14</v>
      </c>
      <c r="F46" s="6" t="s">
        <v>2474</v>
      </c>
      <c r="G46" s="6" t="s">
        <v>2475</v>
      </c>
      <c r="H46" s="6" t="str">
        <f t="shared" si="0"/>
        <v>att_celllines</v>
      </c>
      <c r="I46" s="6" t="s">
        <v>478</v>
      </c>
      <c r="J46" s="6" t="str">
        <f t="shared" si="1"/>
        <v>att_celllines:hela</v>
      </c>
      <c r="K46" s="11" t="s">
        <v>18</v>
      </c>
      <c r="L46" s="6" t="s">
        <v>480</v>
      </c>
      <c r="M46" s="6" t="s">
        <v>2477</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481</v>
      </c>
      <c r="D47" s="6" t="s">
        <v>482</v>
      </c>
      <c r="E47" s="6" t="s">
        <v>14</v>
      </c>
      <c r="F47" s="6" t="s">
        <v>2474</v>
      </c>
      <c r="G47" s="6" t="s">
        <v>2475</v>
      </c>
      <c r="H47" s="6" t="str">
        <f t="shared" si="0"/>
        <v>att_celllines</v>
      </c>
      <c r="I47" s="6" t="s">
        <v>481</v>
      </c>
      <c r="J47" s="6" t="str">
        <f t="shared" si="1"/>
        <v>att_celllines:hl60</v>
      </c>
      <c r="K47" s="11" t="s">
        <v>18</v>
      </c>
      <c r="L47" s="6" t="s">
        <v>460</v>
      </c>
      <c r="M47" s="6" t="s">
        <v>2476</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483</v>
      </c>
      <c r="D48" s="6" t="s">
        <v>484</v>
      </c>
      <c r="E48" s="6" t="s">
        <v>14</v>
      </c>
      <c r="F48" s="6" t="s">
        <v>2474</v>
      </c>
      <c r="G48" s="6" t="s">
        <v>2475</v>
      </c>
      <c r="H48" s="6" t="str">
        <f t="shared" si="0"/>
        <v>att_celllines</v>
      </c>
      <c r="I48" s="6" t="s">
        <v>483</v>
      </c>
      <c r="J48" s="6" t="str">
        <f t="shared" si="1"/>
        <v>att_celllines:hop62</v>
      </c>
      <c r="K48" s="11" t="s">
        <v>18</v>
      </c>
      <c r="L48" s="6" t="s">
        <v>439</v>
      </c>
      <c r="M48" s="6" t="s">
        <v>2476</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485</v>
      </c>
      <c r="D49" s="6" t="s">
        <v>486</v>
      </c>
      <c r="E49" s="6" t="s">
        <v>14</v>
      </c>
      <c r="F49" s="6" t="s">
        <v>2474</v>
      </c>
      <c r="G49" s="6" t="s">
        <v>2475</v>
      </c>
      <c r="H49" s="6" t="str">
        <f t="shared" si="0"/>
        <v>att_celllines</v>
      </c>
      <c r="I49" s="6" t="s">
        <v>485</v>
      </c>
      <c r="J49" s="6" t="str">
        <f t="shared" si="1"/>
        <v>att_celllines:hop92</v>
      </c>
      <c r="K49" s="11" t="s">
        <v>18</v>
      </c>
      <c r="L49" s="6" t="s">
        <v>439</v>
      </c>
      <c r="M49" s="6" t="s">
        <v>2476</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487</v>
      </c>
      <c r="D50" s="6" t="s">
        <v>488</v>
      </c>
      <c r="E50" s="6" t="s">
        <v>14</v>
      </c>
      <c r="F50" s="6" t="s">
        <v>2474</v>
      </c>
      <c r="G50" s="6" t="s">
        <v>2475</v>
      </c>
      <c r="H50" s="6" t="str">
        <f t="shared" si="0"/>
        <v>att_celllines</v>
      </c>
      <c r="I50" s="6" t="s">
        <v>487</v>
      </c>
      <c r="J50" s="6" t="str">
        <f t="shared" si="1"/>
        <v>att_celllines:hs578t</v>
      </c>
      <c r="K50" s="11" t="s">
        <v>18</v>
      </c>
      <c r="L50" s="6" t="s">
        <v>449</v>
      </c>
      <c r="M50" s="6" t="s">
        <v>2476</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489</v>
      </c>
      <c r="D51" s="6" t="s">
        <v>490</v>
      </c>
      <c r="E51" s="6" t="s">
        <v>14</v>
      </c>
      <c r="F51" s="6" t="s">
        <v>2474</v>
      </c>
      <c r="G51" s="6" t="s">
        <v>2475</v>
      </c>
      <c r="H51" s="6" t="str">
        <f t="shared" si="0"/>
        <v>att_celllines</v>
      </c>
      <c r="I51" s="6" t="s">
        <v>489</v>
      </c>
      <c r="J51" s="6" t="str">
        <f t="shared" si="1"/>
        <v>att_celllines:ht29</v>
      </c>
      <c r="K51" s="11" t="s">
        <v>18</v>
      </c>
      <c r="L51" s="6" t="s">
        <v>457</v>
      </c>
      <c r="M51" s="6" t="s">
        <v>2476</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491</v>
      </c>
      <c r="D52" s="6" t="s">
        <v>492</v>
      </c>
      <c r="E52" s="6" t="s">
        <v>14</v>
      </c>
      <c r="F52" s="6" t="s">
        <v>2474</v>
      </c>
      <c r="G52" s="6" t="s">
        <v>2475</v>
      </c>
      <c r="H52" s="6" t="str">
        <f t="shared" si="0"/>
        <v>att_celllines</v>
      </c>
      <c r="I52" s="6" t="s">
        <v>491</v>
      </c>
      <c r="J52" s="6" t="str">
        <f t="shared" si="1"/>
        <v>att_celllines:igrov1</v>
      </c>
      <c r="K52" s="11" t="s">
        <v>18</v>
      </c>
      <c r="L52" s="6" t="s">
        <v>493</v>
      </c>
      <c r="M52" s="6" t="s">
        <v>2476</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497</v>
      </c>
      <c r="D53" s="6" t="s">
        <v>498</v>
      </c>
      <c r="E53" s="6" t="s">
        <v>14</v>
      </c>
      <c r="F53" s="6" t="s">
        <v>2474</v>
      </c>
      <c r="G53" s="6" t="s">
        <v>2475</v>
      </c>
      <c r="H53" s="6" t="str">
        <f t="shared" si="0"/>
        <v>att_celllines</v>
      </c>
      <c r="I53" s="6" t="s">
        <v>497</v>
      </c>
      <c r="J53" s="6" t="str">
        <f t="shared" si="1"/>
        <v>att_celllines:jeko1</v>
      </c>
      <c r="K53" s="11" t="s">
        <v>18</v>
      </c>
      <c r="L53" s="6" t="s">
        <v>499</v>
      </c>
      <c r="M53" s="6" t="s">
        <v>14</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500</v>
      </c>
      <c r="D54" s="6" t="s">
        <v>501</v>
      </c>
      <c r="E54" s="6" t="s">
        <v>14</v>
      </c>
      <c r="F54" s="6" t="s">
        <v>2474</v>
      </c>
      <c r="G54" s="6" t="s">
        <v>2475</v>
      </c>
      <c r="H54" s="6" t="str">
        <f t="shared" si="0"/>
        <v>att_celllines</v>
      </c>
      <c r="I54" s="6" t="s">
        <v>500</v>
      </c>
      <c r="J54" s="6" t="str">
        <f t="shared" si="1"/>
        <v>att_celllines:jurkat</v>
      </c>
      <c r="K54" s="11" t="s">
        <v>18</v>
      </c>
      <c r="L54" s="6" t="s">
        <v>502</v>
      </c>
      <c r="M54" s="6" t="s">
        <v>14</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503</v>
      </c>
      <c r="D55" s="6" t="s">
        <v>504</v>
      </c>
      <c r="E55" s="6" t="s">
        <v>14</v>
      </c>
      <c r="F55" s="6" t="s">
        <v>2474</v>
      </c>
      <c r="G55" s="6" t="s">
        <v>2475</v>
      </c>
      <c r="H55" s="6" t="str">
        <f t="shared" si="0"/>
        <v>att_celllines</v>
      </c>
      <c r="I55" s="6" t="s">
        <v>503</v>
      </c>
      <c r="J55" s="6" t="str">
        <f t="shared" si="1"/>
        <v>att_celllines:jvm13</v>
      </c>
      <c r="K55" s="11" t="s">
        <v>18</v>
      </c>
      <c r="L55" s="6" t="s">
        <v>499</v>
      </c>
      <c r="M55" s="6" t="s">
        <v>14</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505</v>
      </c>
      <c r="D56" s="6" t="s">
        <v>506</v>
      </c>
      <c r="E56" s="6" t="s">
        <v>14</v>
      </c>
      <c r="F56" s="6" t="s">
        <v>2474</v>
      </c>
      <c r="G56" s="6" t="s">
        <v>2475</v>
      </c>
      <c r="H56" s="6" t="str">
        <f t="shared" si="0"/>
        <v>att_celllines</v>
      </c>
      <c r="I56" s="6" t="s">
        <v>505</v>
      </c>
      <c r="J56" s="6" t="str">
        <f t="shared" si="1"/>
        <v>att_celllines:jvm2</v>
      </c>
      <c r="K56" s="11" t="s">
        <v>18</v>
      </c>
      <c r="L56" s="6" t="s">
        <v>499</v>
      </c>
      <c r="M56" s="6" t="s">
        <v>14</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507</v>
      </c>
      <c r="D57" s="6" t="s">
        <v>508</v>
      </c>
      <c r="E57" s="6" t="s">
        <v>14</v>
      </c>
      <c r="F57" s="6" t="s">
        <v>2474</v>
      </c>
      <c r="G57" s="6" t="s">
        <v>2475</v>
      </c>
      <c r="H57" s="6" t="str">
        <f t="shared" si="0"/>
        <v>att_celllines</v>
      </c>
      <c r="I57" s="6" t="s">
        <v>507</v>
      </c>
      <c r="J57" s="6" t="str">
        <f t="shared" si="1"/>
        <v>att_celllines:k562</v>
      </c>
      <c r="K57" s="11" t="s">
        <v>18</v>
      </c>
      <c r="L57" s="6" t="s">
        <v>460</v>
      </c>
      <c r="M57" s="6" t="s">
        <v>2476</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509</v>
      </c>
      <c r="D58" s="6" t="s">
        <v>510</v>
      </c>
      <c r="E58" s="6" t="s">
        <v>14</v>
      </c>
      <c r="F58" s="6" t="s">
        <v>2474</v>
      </c>
      <c r="G58" s="6" t="s">
        <v>2475</v>
      </c>
      <c r="H58" s="6" t="str">
        <f t="shared" si="0"/>
        <v>att_celllines</v>
      </c>
      <c r="I58" s="6" t="s">
        <v>509</v>
      </c>
      <c r="J58" s="6" t="str">
        <f t="shared" si="1"/>
        <v>att_celllines:km12</v>
      </c>
      <c r="K58" s="11" t="s">
        <v>18</v>
      </c>
      <c r="L58" s="6" t="s">
        <v>457</v>
      </c>
      <c r="M58" s="6" t="s">
        <v>2476</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511</v>
      </c>
      <c r="D59" s="6" t="s">
        <v>512</v>
      </c>
      <c r="E59" s="6" t="s">
        <v>14</v>
      </c>
      <c r="F59" s="6" t="s">
        <v>2474</v>
      </c>
      <c r="G59" s="6" t="s">
        <v>2475</v>
      </c>
      <c r="H59" s="6" t="str">
        <f t="shared" si="0"/>
        <v>att_celllines</v>
      </c>
      <c r="I59" s="6" t="s">
        <v>511</v>
      </c>
      <c r="J59" s="6" t="str">
        <f t="shared" si="1"/>
        <v>att_celllines:lox_imvi</v>
      </c>
      <c r="K59" s="11" t="s">
        <v>18</v>
      </c>
      <c r="L59" s="6" t="s">
        <v>513</v>
      </c>
      <c r="M59" s="6" t="s">
        <v>2476</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514</v>
      </c>
      <c r="D60" s="6" t="s">
        <v>515</v>
      </c>
      <c r="E60" s="6" t="s">
        <v>14</v>
      </c>
      <c r="F60" s="6" t="s">
        <v>2474</v>
      </c>
      <c r="G60" s="6" t="s">
        <v>2475</v>
      </c>
      <c r="H60" s="6" t="str">
        <f t="shared" si="0"/>
        <v>att_celllines</v>
      </c>
      <c r="I60" s="6" t="s">
        <v>514</v>
      </c>
      <c r="J60" s="6" t="str">
        <f t="shared" si="1"/>
        <v>att_celllines:m14</v>
      </c>
      <c r="K60" s="11" t="s">
        <v>18</v>
      </c>
      <c r="L60" s="6" t="s">
        <v>513</v>
      </c>
      <c r="M60" s="6" t="s">
        <v>2476</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516</v>
      </c>
      <c r="D61" s="6" t="s">
        <v>517</v>
      </c>
      <c r="E61" s="6" t="s">
        <v>14</v>
      </c>
      <c r="F61" s="6" t="s">
        <v>2474</v>
      </c>
      <c r="G61" s="6" t="s">
        <v>2475</v>
      </c>
      <c r="H61" s="6" t="str">
        <f t="shared" si="0"/>
        <v>att_celllines</v>
      </c>
      <c r="I61" s="6" t="s">
        <v>516</v>
      </c>
      <c r="J61" s="6" t="str">
        <f t="shared" si="1"/>
        <v>att_celllines:malme3m</v>
      </c>
      <c r="K61" s="11" t="s">
        <v>18</v>
      </c>
      <c r="L61" s="6" t="s">
        <v>513</v>
      </c>
      <c r="M61" s="6" t="s">
        <v>2476</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518</v>
      </c>
      <c r="D62" s="6" t="s">
        <v>519</v>
      </c>
      <c r="E62" s="6" t="s">
        <v>14</v>
      </c>
      <c r="F62" s="6" t="s">
        <v>2474</v>
      </c>
      <c r="G62" s="6" t="s">
        <v>2475</v>
      </c>
      <c r="H62" s="6" t="str">
        <f t="shared" si="0"/>
        <v>att_celllines</v>
      </c>
      <c r="I62" s="6" t="s">
        <v>518</v>
      </c>
      <c r="J62" s="6" t="str">
        <f t="shared" si="1"/>
        <v>att_celllines:maver1</v>
      </c>
      <c r="K62" s="11" t="s">
        <v>18</v>
      </c>
      <c r="L62" s="6" t="s">
        <v>499</v>
      </c>
      <c r="M62" s="6" t="s">
        <v>14</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520</v>
      </c>
      <c r="D63" s="6" t="s">
        <v>521</v>
      </c>
      <c r="E63" s="6" t="s">
        <v>14</v>
      </c>
      <c r="F63" s="6" t="s">
        <v>2474</v>
      </c>
      <c r="G63" s="6" t="s">
        <v>2475</v>
      </c>
      <c r="H63" s="6" t="str">
        <f t="shared" si="0"/>
        <v>att_celllines</v>
      </c>
      <c r="I63" s="6" t="s">
        <v>520</v>
      </c>
      <c r="J63" s="6" t="str">
        <f t="shared" si="1"/>
        <v>att_celllines:mcf7</v>
      </c>
      <c r="K63" s="11" t="s">
        <v>18</v>
      </c>
      <c r="L63" s="6" t="s">
        <v>449</v>
      </c>
      <c r="M63" s="6" t="s">
        <v>2476</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522</v>
      </c>
      <c r="D64" s="6" t="s">
        <v>523</v>
      </c>
      <c r="E64" s="6" t="s">
        <v>14</v>
      </c>
      <c r="F64" s="6" t="s">
        <v>2474</v>
      </c>
      <c r="G64" s="6" t="s">
        <v>2475</v>
      </c>
      <c r="H64" s="6" t="str">
        <f t="shared" si="0"/>
        <v>att_celllines</v>
      </c>
      <c r="I64" s="6" t="s">
        <v>522</v>
      </c>
      <c r="J64" s="6" t="str">
        <f t="shared" si="1"/>
        <v>att_celllines:mdamb231</v>
      </c>
      <c r="K64" s="11" t="s">
        <v>18</v>
      </c>
      <c r="L64" s="6" t="s">
        <v>449</v>
      </c>
      <c r="M64" s="6" t="s">
        <v>2476</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524</v>
      </c>
      <c r="D65" s="6" t="s">
        <v>525</v>
      </c>
      <c r="E65" s="6" t="s">
        <v>14</v>
      </c>
      <c r="F65" s="6" t="s">
        <v>2474</v>
      </c>
      <c r="G65" s="6" t="s">
        <v>2475</v>
      </c>
      <c r="H65" s="6" t="str">
        <f t="shared" si="0"/>
        <v>att_celllines</v>
      </c>
      <c r="I65" s="6" t="s">
        <v>524</v>
      </c>
      <c r="J65" s="6" t="str">
        <f t="shared" si="1"/>
        <v>att_celllines:mdamb435</v>
      </c>
      <c r="K65" s="11" t="s">
        <v>18</v>
      </c>
      <c r="L65" s="6" t="s">
        <v>513</v>
      </c>
      <c r="M65" s="6" t="s">
        <v>2476</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526</v>
      </c>
      <c r="D66" s="6" t="s">
        <v>527</v>
      </c>
      <c r="E66" s="6" t="s">
        <v>14</v>
      </c>
      <c r="F66" s="6" t="s">
        <v>2474</v>
      </c>
      <c r="G66" s="6" t="s">
        <v>2475</v>
      </c>
      <c r="H66" s="6" t="str">
        <f t="shared" ref="H66:H129" si="4">"att_"&amp;G66</f>
        <v>att_celllines</v>
      </c>
      <c r="I66" s="6" t="s">
        <v>526</v>
      </c>
      <c r="J66" s="6" t="str">
        <f t="shared" ref="J66:J129" si="5">H66&amp;":"&amp;I66</f>
        <v>att_celllines:mdamb468</v>
      </c>
      <c r="K66" s="11" t="s">
        <v>18</v>
      </c>
      <c r="L66" s="6" t="s">
        <v>449</v>
      </c>
      <c r="M66" s="6" t="s">
        <v>2476</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531</v>
      </c>
      <c r="D67" s="6" t="s">
        <v>532</v>
      </c>
      <c r="E67" s="6" t="s">
        <v>14</v>
      </c>
      <c r="F67" s="6" t="s">
        <v>2474</v>
      </c>
      <c r="G67" s="6" t="s">
        <v>2475</v>
      </c>
      <c r="H67" s="6" t="str">
        <f t="shared" si="4"/>
        <v>att_celllines</v>
      </c>
      <c r="I67" s="6" t="s">
        <v>531</v>
      </c>
      <c r="J67" s="6" t="str">
        <f t="shared" si="5"/>
        <v>att_celllines:mino</v>
      </c>
      <c r="K67" s="11" t="s">
        <v>18</v>
      </c>
      <c r="L67" s="6" t="s">
        <v>499</v>
      </c>
      <c r="M67" s="6" t="s">
        <v>14</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533</v>
      </c>
      <c r="D68" s="6" t="s">
        <v>534</v>
      </c>
      <c r="E68" s="6" t="s">
        <v>14</v>
      </c>
      <c r="F68" s="6" t="s">
        <v>2474</v>
      </c>
      <c r="G68" s="6" t="s">
        <v>2475</v>
      </c>
      <c r="H68" s="6" t="str">
        <f t="shared" si="4"/>
        <v>att_celllines</v>
      </c>
      <c r="I68" s="6" t="s">
        <v>533</v>
      </c>
      <c r="J68" s="6" t="str">
        <f t="shared" si="5"/>
        <v>att_celllines:molt4</v>
      </c>
      <c r="K68" s="11" t="s">
        <v>18</v>
      </c>
      <c r="L68" s="6" t="s">
        <v>460</v>
      </c>
      <c r="M68" s="6" t="s">
        <v>2476</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535</v>
      </c>
      <c r="D69" s="6" t="s">
        <v>536</v>
      </c>
      <c r="E69" s="6" t="s">
        <v>14</v>
      </c>
      <c r="F69" s="6" t="s">
        <v>2474</v>
      </c>
      <c r="G69" s="6" t="s">
        <v>2475</v>
      </c>
      <c r="H69" s="6" t="str">
        <f t="shared" si="4"/>
        <v>att_celllines</v>
      </c>
      <c r="I69" s="6" t="s">
        <v>535</v>
      </c>
      <c r="J69" s="6" t="str">
        <f t="shared" si="5"/>
        <v>att_celllines:nceb1</v>
      </c>
      <c r="K69" s="11" t="s">
        <v>18</v>
      </c>
      <c r="L69" s="6" t="s">
        <v>499</v>
      </c>
      <c r="M69" s="6" t="s">
        <v>14</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538</v>
      </c>
      <c r="D70" s="6" t="s">
        <v>539</v>
      </c>
      <c r="E70" s="6" t="s">
        <v>14</v>
      </c>
      <c r="F70" s="6" t="s">
        <v>2474</v>
      </c>
      <c r="G70" s="6" t="s">
        <v>2475</v>
      </c>
      <c r="H70" s="6" t="str">
        <f t="shared" si="4"/>
        <v>att_celllines</v>
      </c>
      <c r="I70" s="6" t="s">
        <v>537</v>
      </c>
      <c r="J70" s="6" t="str">
        <f t="shared" si="5"/>
        <v>att_celllines:nci_adrres</v>
      </c>
      <c r="K70" s="11" t="s">
        <v>18</v>
      </c>
      <c r="L70" s="6" t="s">
        <v>493</v>
      </c>
      <c r="M70" s="6" t="s">
        <v>2476</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541</v>
      </c>
      <c r="D71" s="6" t="s">
        <v>542</v>
      </c>
      <c r="E71" s="6" t="s">
        <v>14</v>
      </c>
      <c r="F71" s="6" t="s">
        <v>2474</v>
      </c>
      <c r="G71" s="6" t="s">
        <v>2475</v>
      </c>
      <c r="H71" s="6" t="str">
        <f t="shared" si="4"/>
        <v>att_celllines</v>
      </c>
      <c r="I71" s="6" t="s">
        <v>540</v>
      </c>
      <c r="J71" s="6" t="str">
        <f t="shared" si="5"/>
        <v>att_celllines:nci_h226</v>
      </c>
      <c r="K71" s="11" t="s">
        <v>18</v>
      </c>
      <c r="L71" s="6" t="s">
        <v>439</v>
      </c>
      <c r="M71" s="6" t="s">
        <v>2476</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544</v>
      </c>
      <c r="D72" s="6" t="s">
        <v>545</v>
      </c>
      <c r="E72" s="6" t="s">
        <v>14</v>
      </c>
      <c r="F72" s="6" t="s">
        <v>2474</v>
      </c>
      <c r="G72" s="6" t="s">
        <v>2475</v>
      </c>
      <c r="H72" s="6" t="str">
        <f t="shared" si="4"/>
        <v>att_celllines</v>
      </c>
      <c r="I72" s="6" t="s">
        <v>543</v>
      </c>
      <c r="J72" s="6" t="str">
        <f t="shared" si="5"/>
        <v>att_celllines:nci_h23</v>
      </c>
      <c r="K72" s="11" t="s">
        <v>18</v>
      </c>
      <c r="L72" s="6" t="s">
        <v>439</v>
      </c>
      <c r="M72" s="6" t="s">
        <v>2476</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547</v>
      </c>
      <c r="D73" s="6" t="s">
        <v>548</v>
      </c>
      <c r="E73" s="6" t="s">
        <v>14</v>
      </c>
      <c r="F73" s="6" t="s">
        <v>2474</v>
      </c>
      <c r="G73" s="6" t="s">
        <v>2475</v>
      </c>
      <c r="H73" s="6" t="str">
        <f t="shared" si="4"/>
        <v>att_celllines</v>
      </c>
      <c r="I73" s="6" t="s">
        <v>546</v>
      </c>
      <c r="J73" s="6" t="str">
        <f t="shared" si="5"/>
        <v>att_celllines:nci_h322m</v>
      </c>
      <c r="K73" s="11" t="s">
        <v>18</v>
      </c>
      <c r="L73" s="6" t="s">
        <v>439</v>
      </c>
      <c r="M73" s="6" t="s">
        <v>2476</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550</v>
      </c>
      <c r="D74" s="6" t="s">
        <v>551</v>
      </c>
      <c r="E74" s="6" t="s">
        <v>14</v>
      </c>
      <c r="F74" s="6" t="s">
        <v>2474</v>
      </c>
      <c r="G74" s="6" t="s">
        <v>2475</v>
      </c>
      <c r="H74" s="6" t="str">
        <f t="shared" si="4"/>
        <v>att_celllines</v>
      </c>
      <c r="I74" s="6" t="s">
        <v>549</v>
      </c>
      <c r="J74" s="6" t="str">
        <f t="shared" si="5"/>
        <v>att_celllines:nci_h460</v>
      </c>
      <c r="K74" s="11" t="s">
        <v>18</v>
      </c>
      <c r="L74" s="6" t="s">
        <v>439</v>
      </c>
      <c r="M74" s="6" t="s">
        <v>2476</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553</v>
      </c>
      <c r="D75" s="6" t="s">
        <v>554</v>
      </c>
      <c r="E75" s="6" t="s">
        <v>14</v>
      </c>
      <c r="F75" s="6" t="s">
        <v>2474</v>
      </c>
      <c r="G75" s="6" t="s">
        <v>2475</v>
      </c>
      <c r="H75" s="6" t="str">
        <f t="shared" si="4"/>
        <v>att_celllines</v>
      </c>
      <c r="I75" s="6" t="s">
        <v>552</v>
      </c>
      <c r="J75" s="6" t="str">
        <f t="shared" si="5"/>
        <v>att_celllines:nci_h522</v>
      </c>
      <c r="K75" s="11" t="s">
        <v>18</v>
      </c>
      <c r="L75" s="6" t="s">
        <v>439</v>
      </c>
      <c r="M75" s="6" t="s">
        <v>2476</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555</v>
      </c>
      <c r="D76" s="6" t="s">
        <v>556</v>
      </c>
      <c r="E76" s="6" t="s">
        <v>14</v>
      </c>
      <c r="F76" s="6" t="s">
        <v>2474</v>
      </c>
      <c r="G76" s="6" t="s">
        <v>2475</v>
      </c>
      <c r="H76" s="6" t="str">
        <f t="shared" si="4"/>
        <v>att_celllines</v>
      </c>
      <c r="I76" s="6" t="s">
        <v>555</v>
      </c>
      <c r="J76" s="6" t="str">
        <f t="shared" si="5"/>
        <v>att_celllines:ovcar3</v>
      </c>
      <c r="K76" s="11" t="s">
        <v>18</v>
      </c>
      <c r="L76" s="6" t="s">
        <v>493</v>
      </c>
      <c r="M76" s="6" t="s">
        <v>2476</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557</v>
      </c>
      <c r="D77" s="6" t="s">
        <v>558</v>
      </c>
      <c r="E77" s="6" t="s">
        <v>14</v>
      </c>
      <c r="F77" s="6" t="s">
        <v>2474</v>
      </c>
      <c r="G77" s="6" t="s">
        <v>2475</v>
      </c>
      <c r="H77" s="6" t="str">
        <f t="shared" si="4"/>
        <v>att_celllines</v>
      </c>
      <c r="I77" s="6" t="s">
        <v>557</v>
      </c>
      <c r="J77" s="6" t="str">
        <f t="shared" si="5"/>
        <v>att_celllines:ovcar4</v>
      </c>
      <c r="K77" s="11" t="s">
        <v>18</v>
      </c>
      <c r="L77" s="6" t="s">
        <v>493</v>
      </c>
      <c r="M77" s="6" t="s">
        <v>2476</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559</v>
      </c>
      <c r="D78" s="6" t="s">
        <v>560</v>
      </c>
      <c r="E78" s="6" t="s">
        <v>14</v>
      </c>
      <c r="F78" s="6" t="s">
        <v>2474</v>
      </c>
      <c r="G78" s="6" t="s">
        <v>2475</v>
      </c>
      <c r="H78" s="6" t="str">
        <f t="shared" si="4"/>
        <v>att_celllines</v>
      </c>
      <c r="I78" s="6" t="s">
        <v>559</v>
      </c>
      <c r="J78" s="6" t="str">
        <f t="shared" si="5"/>
        <v>att_celllines:ovcar5</v>
      </c>
      <c r="K78" s="11" t="s">
        <v>18</v>
      </c>
      <c r="L78" s="6" t="s">
        <v>493</v>
      </c>
      <c r="M78" s="6" t="s">
        <v>2476</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561</v>
      </c>
      <c r="D79" s="6" t="s">
        <v>562</v>
      </c>
      <c r="E79" s="6" t="s">
        <v>14</v>
      </c>
      <c r="F79" s="6" t="s">
        <v>2474</v>
      </c>
      <c r="G79" s="6" t="s">
        <v>2475</v>
      </c>
      <c r="H79" s="6" t="str">
        <f t="shared" si="4"/>
        <v>att_celllines</v>
      </c>
      <c r="I79" s="6" t="s">
        <v>561</v>
      </c>
      <c r="J79" s="6" t="str">
        <f t="shared" si="5"/>
        <v>att_celllines:ovcar8</v>
      </c>
      <c r="K79" s="11" t="s">
        <v>18</v>
      </c>
      <c r="L79" s="6" t="s">
        <v>493</v>
      </c>
      <c r="M79" s="6" t="s">
        <v>2476</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563</v>
      </c>
      <c r="D80" s="6" t="s">
        <v>564</v>
      </c>
      <c r="E80" s="6" t="s">
        <v>14</v>
      </c>
      <c r="F80" s="6" t="s">
        <v>2474</v>
      </c>
      <c r="G80" s="6" t="s">
        <v>2475</v>
      </c>
      <c r="H80" s="6" t="str">
        <f t="shared" si="4"/>
        <v>att_celllines</v>
      </c>
      <c r="I80" s="6" t="s">
        <v>563</v>
      </c>
      <c r="J80" s="6" t="str">
        <f t="shared" si="5"/>
        <v>att_celllines:p388</v>
      </c>
      <c r="K80" s="11" t="s">
        <v>18</v>
      </c>
      <c r="L80" s="6" t="s">
        <v>565</v>
      </c>
      <c r="M80" s="6" t="s">
        <v>14</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566</v>
      </c>
      <c r="D81" s="6" t="s">
        <v>567</v>
      </c>
      <c r="E81" s="6" t="s">
        <v>14</v>
      </c>
      <c r="F81" s="6" t="s">
        <v>2474</v>
      </c>
      <c r="G81" s="6" t="s">
        <v>2475</v>
      </c>
      <c r="H81" s="6" t="str">
        <f t="shared" si="4"/>
        <v>att_celllines</v>
      </c>
      <c r="I81" s="6" t="s">
        <v>566</v>
      </c>
      <c r="J81" s="6" t="str">
        <f t="shared" si="5"/>
        <v>att_celllines:pc3</v>
      </c>
      <c r="K81" s="11" t="s">
        <v>18</v>
      </c>
      <c r="L81" s="6" t="s">
        <v>463</v>
      </c>
      <c r="M81" s="6" t="s">
        <v>2476</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568</v>
      </c>
      <c r="D82" s="6" t="s">
        <v>569</v>
      </c>
      <c r="E82" s="6" t="s">
        <v>14</v>
      </c>
      <c r="F82" s="6" t="s">
        <v>2474</v>
      </c>
      <c r="G82" s="6" t="s">
        <v>2475</v>
      </c>
      <c r="H82" s="6" t="str">
        <f t="shared" si="4"/>
        <v>att_celllines</v>
      </c>
      <c r="I82" s="6" t="s">
        <v>568</v>
      </c>
      <c r="J82" s="6" t="str">
        <f t="shared" si="5"/>
        <v>att_celllines:rec1</v>
      </c>
      <c r="K82" s="11" t="s">
        <v>18</v>
      </c>
      <c r="L82" s="6" t="s">
        <v>499</v>
      </c>
      <c r="M82" s="6" t="s">
        <v>14</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570</v>
      </c>
      <c r="D83" s="6" t="s">
        <v>571</v>
      </c>
      <c r="E83" s="6" t="s">
        <v>14</v>
      </c>
      <c r="F83" s="6" t="s">
        <v>2474</v>
      </c>
      <c r="G83" s="6" t="s">
        <v>2475</v>
      </c>
      <c r="H83" s="6" t="str">
        <f t="shared" si="4"/>
        <v>att_celllines</v>
      </c>
      <c r="I83" s="6" t="s">
        <v>570</v>
      </c>
      <c r="J83" s="6" t="str">
        <f t="shared" si="5"/>
        <v>att_celllines:rpmi8226</v>
      </c>
      <c r="K83" s="11" t="s">
        <v>18</v>
      </c>
      <c r="L83" s="6" t="s">
        <v>460</v>
      </c>
      <c r="M83" s="6" t="s">
        <v>2476</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572</v>
      </c>
      <c r="D84" s="6" t="s">
        <v>573</v>
      </c>
      <c r="E84" s="6" t="s">
        <v>14</v>
      </c>
      <c r="F84" s="6" t="s">
        <v>2474</v>
      </c>
      <c r="G84" s="6" t="s">
        <v>2475</v>
      </c>
      <c r="H84" s="6" t="str">
        <f t="shared" si="4"/>
        <v>att_celllines</v>
      </c>
      <c r="I84" s="6" t="s">
        <v>572</v>
      </c>
      <c r="J84" s="6" t="str">
        <f t="shared" si="5"/>
        <v>att_celllines:rxf393</v>
      </c>
      <c r="K84" s="11" t="s">
        <v>18</v>
      </c>
      <c r="L84" s="6" t="s">
        <v>434</v>
      </c>
      <c r="M84" s="6" t="s">
        <v>2476</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574</v>
      </c>
      <c r="D85" s="6" t="s">
        <v>575</v>
      </c>
      <c r="E85" s="6" t="s">
        <v>14</v>
      </c>
      <c r="F85" s="6" t="s">
        <v>2474</v>
      </c>
      <c r="G85" s="6" t="s">
        <v>2475</v>
      </c>
      <c r="H85" s="6" t="str">
        <f t="shared" si="4"/>
        <v>att_celllines</v>
      </c>
      <c r="I85" s="6" t="s">
        <v>574</v>
      </c>
      <c r="J85" s="6" t="str">
        <f t="shared" si="5"/>
        <v>att_celllines:sf268</v>
      </c>
      <c r="K85" s="11" t="s">
        <v>18</v>
      </c>
      <c r="L85" s="6" t="s">
        <v>576</v>
      </c>
      <c r="M85" s="6" t="s">
        <v>2476</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577</v>
      </c>
      <c r="D86" s="6" t="s">
        <v>578</v>
      </c>
      <c r="E86" s="6" t="s">
        <v>14</v>
      </c>
      <c r="F86" s="6" t="s">
        <v>2474</v>
      </c>
      <c r="G86" s="6" t="s">
        <v>2475</v>
      </c>
      <c r="H86" s="6" t="str">
        <f t="shared" si="4"/>
        <v>att_celllines</v>
      </c>
      <c r="I86" s="6" t="s">
        <v>577</v>
      </c>
      <c r="J86" s="6" t="str">
        <f t="shared" si="5"/>
        <v>att_celllines:sf295</v>
      </c>
      <c r="K86" s="11" t="s">
        <v>18</v>
      </c>
      <c r="L86" s="6" t="s">
        <v>576</v>
      </c>
      <c r="M86" s="6" t="s">
        <v>2476</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579</v>
      </c>
      <c r="D87" s="6" t="s">
        <v>580</v>
      </c>
      <c r="E87" s="6" t="s">
        <v>14</v>
      </c>
      <c r="F87" s="6" t="s">
        <v>2474</v>
      </c>
      <c r="G87" s="6" t="s">
        <v>2475</v>
      </c>
      <c r="H87" s="6" t="str">
        <f t="shared" si="4"/>
        <v>att_celllines</v>
      </c>
      <c r="I87" s="6" t="s">
        <v>579</v>
      </c>
      <c r="J87" s="6" t="str">
        <f t="shared" si="5"/>
        <v>att_celllines:sf539</v>
      </c>
      <c r="K87" s="11" t="s">
        <v>18</v>
      </c>
      <c r="L87" s="6" t="s">
        <v>576</v>
      </c>
      <c r="M87" s="6" t="s">
        <v>2476</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581</v>
      </c>
      <c r="D88" s="6" t="s">
        <v>582</v>
      </c>
      <c r="E88" s="6" t="s">
        <v>14</v>
      </c>
      <c r="F88" s="6" t="s">
        <v>2474</v>
      </c>
      <c r="G88" s="6" t="s">
        <v>2475</v>
      </c>
      <c r="H88" s="6" t="str">
        <f t="shared" si="4"/>
        <v>att_celllines</v>
      </c>
      <c r="I88" s="6" t="s">
        <v>581</v>
      </c>
      <c r="J88" s="6" t="str">
        <f t="shared" si="5"/>
        <v>att_celllines:skmel2</v>
      </c>
      <c r="K88" s="11" t="s">
        <v>18</v>
      </c>
      <c r="L88" s="6" t="s">
        <v>513</v>
      </c>
      <c r="M88" s="6" t="s">
        <v>2476</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583</v>
      </c>
      <c r="D89" s="6" t="s">
        <v>584</v>
      </c>
      <c r="E89" s="6" t="s">
        <v>14</v>
      </c>
      <c r="F89" s="6" t="s">
        <v>2474</v>
      </c>
      <c r="G89" s="6" t="s">
        <v>2475</v>
      </c>
      <c r="H89" s="6" t="str">
        <f t="shared" si="4"/>
        <v>att_celllines</v>
      </c>
      <c r="I89" s="6" t="s">
        <v>583</v>
      </c>
      <c r="J89" s="6" t="str">
        <f t="shared" si="5"/>
        <v>att_celllines:skmel28</v>
      </c>
      <c r="K89" s="11" t="s">
        <v>18</v>
      </c>
      <c r="L89" s="6" t="s">
        <v>513</v>
      </c>
      <c r="M89" s="6" t="s">
        <v>2476</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585</v>
      </c>
      <c r="D90" s="6" t="s">
        <v>586</v>
      </c>
      <c r="E90" s="6" t="s">
        <v>14</v>
      </c>
      <c r="F90" s="6" t="s">
        <v>2474</v>
      </c>
      <c r="G90" s="6" t="s">
        <v>2475</v>
      </c>
      <c r="H90" s="6" t="str">
        <f t="shared" si="4"/>
        <v>att_celllines</v>
      </c>
      <c r="I90" s="6" t="s">
        <v>585</v>
      </c>
      <c r="J90" s="6" t="str">
        <f t="shared" si="5"/>
        <v>att_celllines:skmel5</v>
      </c>
      <c r="K90" s="11" t="s">
        <v>18</v>
      </c>
      <c r="L90" s="6" t="s">
        <v>513</v>
      </c>
      <c r="M90" s="6" t="s">
        <v>2476</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587</v>
      </c>
      <c r="D91" s="6" t="s">
        <v>588</v>
      </c>
      <c r="E91" s="6" t="s">
        <v>14</v>
      </c>
      <c r="F91" s="6" t="s">
        <v>2474</v>
      </c>
      <c r="G91" s="6" t="s">
        <v>2475</v>
      </c>
      <c r="H91" s="6" t="str">
        <f t="shared" si="4"/>
        <v>att_celllines</v>
      </c>
      <c r="I91" s="6" t="s">
        <v>587</v>
      </c>
      <c r="J91" s="6" t="str">
        <f t="shared" si="5"/>
        <v>att_celllines:skov3</v>
      </c>
      <c r="K91" s="11" t="s">
        <v>18</v>
      </c>
      <c r="L91" s="6" t="s">
        <v>493</v>
      </c>
      <c r="M91" s="6" t="s">
        <v>2476</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589</v>
      </c>
      <c r="D92" s="6" t="s">
        <v>590</v>
      </c>
      <c r="E92" s="6" t="s">
        <v>14</v>
      </c>
      <c r="F92" s="6" t="s">
        <v>2474</v>
      </c>
      <c r="G92" s="6" t="s">
        <v>2475</v>
      </c>
      <c r="H92" s="6" t="str">
        <f t="shared" si="4"/>
        <v>att_celllines</v>
      </c>
      <c r="I92" s="6" t="s">
        <v>589</v>
      </c>
      <c r="J92" s="6" t="str">
        <f t="shared" si="5"/>
        <v>att_celllines:sn12c</v>
      </c>
      <c r="K92" s="11" t="s">
        <v>18</v>
      </c>
      <c r="L92" s="6" t="s">
        <v>434</v>
      </c>
      <c r="M92" s="6" t="s">
        <v>2476</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591</v>
      </c>
      <c r="D93" s="6" t="s">
        <v>592</v>
      </c>
      <c r="E93" s="6" t="s">
        <v>14</v>
      </c>
      <c r="F93" s="6" t="s">
        <v>2474</v>
      </c>
      <c r="G93" s="6" t="s">
        <v>2475</v>
      </c>
      <c r="H93" s="6" t="str">
        <f t="shared" si="4"/>
        <v>att_celllines</v>
      </c>
      <c r="I93" s="6" t="s">
        <v>591</v>
      </c>
      <c r="J93" s="6" t="str">
        <f t="shared" si="5"/>
        <v>att_celllines:snb19</v>
      </c>
      <c r="K93" s="11" t="s">
        <v>18</v>
      </c>
      <c r="L93" s="6" t="s">
        <v>576</v>
      </c>
      <c r="M93" s="6" t="s">
        <v>2476</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593</v>
      </c>
      <c r="D94" s="6" t="s">
        <v>594</v>
      </c>
      <c r="E94" s="6" t="s">
        <v>14</v>
      </c>
      <c r="F94" s="6" t="s">
        <v>2474</v>
      </c>
      <c r="G94" s="6" t="s">
        <v>2475</v>
      </c>
      <c r="H94" s="6" t="str">
        <f t="shared" si="4"/>
        <v>att_celllines</v>
      </c>
      <c r="I94" s="6" t="s">
        <v>593</v>
      </c>
      <c r="J94" s="6" t="str">
        <f t="shared" si="5"/>
        <v>att_celllines:snb75</v>
      </c>
      <c r="K94" s="11" t="s">
        <v>18</v>
      </c>
      <c r="L94" s="6" t="s">
        <v>576</v>
      </c>
      <c r="M94" s="6" t="s">
        <v>2476</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595</v>
      </c>
      <c r="D95" s="6" t="s">
        <v>596</v>
      </c>
      <c r="E95" s="6" t="s">
        <v>14</v>
      </c>
      <c r="F95" s="6" t="s">
        <v>2474</v>
      </c>
      <c r="G95" s="6" t="s">
        <v>2475</v>
      </c>
      <c r="H95" s="6" t="str">
        <f t="shared" si="4"/>
        <v>att_celllines</v>
      </c>
      <c r="I95" s="6" t="s">
        <v>595</v>
      </c>
      <c r="J95" s="6" t="str">
        <f t="shared" si="5"/>
        <v>att_celllines:sr</v>
      </c>
      <c r="K95" s="11" t="s">
        <v>18</v>
      </c>
      <c r="L95" s="6" t="s">
        <v>460</v>
      </c>
      <c r="M95" s="6" t="s">
        <v>2476</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597</v>
      </c>
      <c r="D96" s="6" t="s">
        <v>598</v>
      </c>
      <c r="E96" s="6" t="s">
        <v>14</v>
      </c>
      <c r="F96" s="6" t="s">
        <v>2474</v>
      </c>
      <c r="G96" s="6" t="s">
        <v>2475</v>
      </c>
      <c r="H96" s="6" t="str">
        <f t="shared" si="4"/>
        <v>att_celllines</v>
      </c>
      <c r="I96" s="6" t="s">
        <v>597</v>
      </c>
      <c r="J96" s="6" t="str">
        <f t="shared" si="5"/>
        <v>att_celllines:sw620</v>
      </c>
      <c r="K96" s="11" t="s">
        <v>18</v>
      </c>
      <c r="L96" s="6" t="s">
        <v>457</v>
      </c>
      <c r="M96" s="6" t="s">
        <v>2476</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599</v>
      </c>
      <c r="D97" s="6" t="s">
        <v>600</v>
      </c>
      <c r="E97" s="6" t="s">
        <v>14</v>
      </c>
      <c r="F97" s="6" t="s">
        <v>2474</v>
      </c>
      <c r="G97" s="6" t="s">
        <v>2475</v>
      </c>
      <c r="H97" s="6" t="str">
        <f t="shared" si="4"/>
        <v>att_celllines</v>
      </c>
      <c r="I97" s="6" t="s">
        <v>599</v>
      </c>
      <c r="J97" s="6" t="str">
        <f t="shared" si="5"/>
        <v>att_celllines:t47d</v>
      </c>
      <c r="K97" s="11" t="s">
        <v>18</v>
      </c>
      <c r="L97" s="6" t="s">
        <v>449</v>
      </c>
      <c r="M97" s="6" t="s">
        <v>2476</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601</v>
      </c>
      <c r="D98" s="6" t="s">
        <v>602</v>
      </c>
      <c r="E98" s="6" t="s">
        <v>14</v>
      </c>
      <c r="F98" s="6" t="s">
        <v>2474</v>
      </c>
      <c r="G98" s="6" t="s">
        <v>2475</v>
      </c>
      <c r="H98" s="6" t="str">
        <f t="shared" si="4"/>
        <v>att_celllines</v>
      </c>
      <c r="I98" s="6" t="s">
        <v>601</v>
      </c>
      <c r="J98" s="6" t="str">
        <f t="shared" si="5"/>
        <v>att_celllines:thp1</v>
      </c>
      <c r="K98" s="11" t="s">
        <v>18</v>
      </c>
      <c r="L98" s="6" t="s">
        <v>603</v>
      </c>
      <c r="M98" s="6" t="s">
        <v>14</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604</v>
      </c>
      <c r="D99" s="6" t="s">
        <v>605</v>
      </c>
      <c r="E99" s="6" t="s">
        <v>14</v>
      </c>
      <c r="F99" s="6" t="s">
        <v>2474</v>
      </c>
      <c r="G99" s="6" t="s">
        <v>2475</v>
      </c>
      <c r="H99" s="6" t="str">
        <f t="shared" si="4"/>
        <v>att_celllines</v>
      </c>
      <c r="I99" s="6" t="s">
        <v>604</v>
      </c>
      <c r="J99" s="6" t="str">
        <f t="shared" si="5"/>
        <v>att_celllines:tk10</v>
      </c>
      <c r="K99" s="11" t="s">
        <v>18</v>
      </c>
      <c r="L99" s="6" t="s">
        <v>434</v>
      </c>
      <c r="M99" s="6" t="s">
        <v>2476</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606</v>
      </c>
      <c r="D100" s="6" t="s">
        <v>607</v>
      </c>
      <c r="E100" s="6" t="s">
        <v>14</v>
      </c>
      <c r="F100" s="6" t="s">
        <v>2474</v>
      </c>
      <c r="G100" s="6" t="s">
        <v>2475</v>
      </c>
      <c r="H100" s="6" t="str">
        <f t="shared" si="4"/>
        <v>att_celllines</v>
      </c>
      <c r="I100" s="6" t="s">
        <v>606</v>
      </c>
      <c r="J100" s="6" t="str">
        <f t="shared" si="5"/>
        <v>att_celllines:u251</v>
      </c>
      <c r="K100" s="11" t="s">
        <v>18</v>
      </c>
      <c r="L100" s="6" t="s">
        <v>576</v>
      </c>
      <c r="M100" s="6" t="s">
        <v>2476</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608</v>
      </c>
      <c r="D101" s="6" t="s">
        <v>609</v>
      </c>
      <c r="E101" s="6" t="s">
        <v>14</v>
      </c>
      <c r="F101" s="6" t="s">
        <v>2474</v>
      </c>
      <c r="G101" s="6" t="s">
        <v>2475</v>
      </c>
      <c r="H101" s="6" t="str">
        <f t="shared" si="4"/>
        <v>att_celllines</v>
      </c>
      <c r="I101" s="6" t="s">
        <v>608</v>
      </c>
      <c r="J101" s="6" t="str">
        <f t="shared" si="5"/>
        <v>att_celllines:u937</v>
      </c>
      <c r="K101" s="11" t="s">
        <v>18</v>
      </c>
      <c r="L101" s="6" t="s">
        <v>610</v>
      </c>
      <c r="M101" s="6" t="s">
        <v>14</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611</v>
      </c>
      <c r="D102" s="6" t="s">
        <v>612</v>
      </c>
      <c r="E102" s="6" t="s">
        <v>14</v>
      </c>
      <c r="F102" s="6" t="s">
        <v>2474</v>
      </c>
      <c r="G102" s="6" t="s">
        <v>2475</v>
      </c>
      <c r="H102" s="6" t="str">
        <f t="shared" si="4"/>
        <v>att_celllines</v>
      </c>
      <c r="I102" s="6" t="s">
        <v>611</v>
      </c>
      <c r="J102" s="6" t="str">
        <f t="shared" si="5"/>
        <v>att_celllines:uacc257</v>
      </c>
      <c r="K102" s="11" t="s">
        <v>18</v>
      </c>
      <c r="L102" s="6" t="s">
        <v>513</v>
      </c>
      <c r="M102" s="6" t="s">
        <v>2476</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613</v>
      </c>
      <c r="D103" s="6" t="s">
        <v>614</v>
      </c>
      <c r="E103" s="6" t="s">
        <v>14</v>
      </c>
      <c r="F103" s="6" t="s">
        <v>2474</v>
      </c>
      <c r="G103" s="6" t="s">
        <v>2475</v>
      </c>
      <c r="H103" s="6" t="str">
        <f t="shared" si="4"/>
        <v>att_celllines</v>
      </c>
      <c r="I103" s="6" t="s">
        <v>613</v>
      </c>
      <c r="J103" s="6" t="str">
        <f t="shared" si="5"/>
        <v>att_celllines:uacc62</v>
      </c>
      <c r="K103" s="11" t="s">
        <v>18</v>
      </c>
      <c r="L103" s="6" t="s">
        <v>513</v>
      </c>
      <c r="M103" s="6" t="s">
        <v>2476</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615</v>
      </c>
      <c r="D104" s="6" t="s">
        <v>616</v>
      </c>
      <c r="E104" s="6" t="s">
        <v>14</v>
      </c>
      <c r="F104" s="6" t="s">
        <v>2474</v>
      </c>
      <c r="G104" s="6" t="s">
        <v>2475</v>
      </c>
      <c r="H104" s="6" t="str">
        <f t="shared" si="4"/>
        <v>att_celllines</v>
      </c>
      <c r="I104" s="6" t="s">
        <v>615</v>
      </c>
      <c r="J104" s="6" t="str">
        <f t="shared" si="5"/>
        <v>att_celllines:uo31</v>
      </c>
      <c r="K104" s="11" t="s">
        <v>18</v>
      </c>
      <c r="L104" s="6" t="s">
        <v>434</v>
      </c>
      <c r="M104" s="6" t="s">
        <v>2476</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617</v>
      </c>
      <c r="D105" s="6" t="s">
        <v>618</v>
      </c>
      <c r="E105" s="6" t="s">
        <v>14</v>
      </c>
      <c r="F105" s="6" t="s">
        <v>2474</v>
      </c>
      <c r="G105" s="6" t="s">
        <v>2475</v>
      </c>
      <c r="H105" s="6" t="str">
        <f t="shared" si="4"/>
        <v>att_celllines</v>
      </c>
      <c r="I105" s="6" t="s">
        <v>617</v>
      </c>
      <c r="J105" s="6" t="str">
        <f t="shared" si="5"/>
        <v>att_celllines:z138</v>
      </c>
      <c r="K105" s="11" t="s">
        <v>18</v>
      </c>
      <c r="L105" s="6" t="s">
        <v>499</v>
      </c>
      <c r="M105" s="6" t="s">
        <v>14</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346</v>
      </c>
      <c r="D106" s="6" t="s">
        <v>347</v>
      </c>
      <c r="E106" s="6" t="s">
        <v>14</v>
      </c>
      <c r="F106" s="6" t="s">
        <v>2478</v>
      </c>
      <c r="G106" s="6" t="s">
        <v>2479</v>
      </c>
      <c r="H106" s="6" t="str">
        <f t="shared" si="4"/>
        <v>att_cells</v>
      </c>
      <c r="I106" s="6" t="s">
        <v>345</v>
      </c>
      <c r="J106" s="6" t="str">
        <f t="shared" si="5"/>
        <v>att_cells:adipose_macrophages</v>
      </c>
      <c r="K106" s="11" t="s">
        <v>18</v>
      </c>
      <c r="L106" s="6" t="s">
        <v>348</v>
      </c>
      <c r="M106" s="6" t="s">
        <v>14</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349</v>
      </c>
      <c r="D107" s="6" t="s">
        <v>307</v>
      </c>
      <c r="E107" s="6" t="s">
        <v>14</v>
      </c>
      <c r="F107" s="6" t="s">
        <v>2478</v>
      </c>
      <c r="G107" s="6" t="s">
        <v>2479</v>
      </c>
      <c r="H107" s="6" t="str">
        <f t="shared" si="4"/>
        <v>att_cells</v>
      </c>
      <c r="I107" s="6" t="s">
        <v>349</v>
      </c>
      <c r="J107" s="6" t="str">
        <f t="shared" si="5"/>
        <v>att_cells:astrocytes</v>
      </c>
      <c r="K107" s="11" t="s">
        <v>18</v>
      </c>
      <c r="L107" s="6" t="s">
        <v>307</v>
      </c>
      <c r="M107" s="6" t="s">
        <v>14</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350</v>
      </c>
      <c r="D108" s="6" t="s">
        <v>351</v>
      </c>
      <c r="E108" s="6" t="s">
        <v>14</v>
      </c>
      <c r="F108" s="6" t="s">
        <v>2478</v>
      </c>
      <c r="G108" s="6" t="s">
        <v>2479</v>
      </c>
      <c r="H108" s="6" t="str">
        <f t="shared" si="4"/>
        <v>att_cells</v>
      </c>
      <c r="I108" s="6" t="s">
        <v>350</v>
      </c>
      <c r="J108" s="6" t="str">
        <f t="shared" si="5"/>
        <v>att_cells:basophils</v>
      </c>
      <c r="K108" s="11" t="s">
        <v>18</v>
      </c>
      <c r="L108" s="6" t="s">
        <v>352</v>
      </c>
      <c r="M108" s="6" t="s">
        <v>14</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353</v>
      </c>
      <c r="D109" s="6" t="s">
        <v>354</v>
      </c>
      <c r="E109" s="6" t="s">
        <v>14</v>
      </c>
      <c r="F109" s="6" t="s">
        <v>2478</v>
      </c>
      <c r="G109" s="6" t="s">
        <v>2479</v>
      </c>
      <c r="H109" s="6" t="str">
        <f t="shared" si="4"/>
        <v>att_cells</v>
      </c>
      <c r="I109" s="6" t="s">
        <v>353</v>
      </c>
      <c r="J109" s="6" t="str">
        <f t="shared" si="5"/>
        <v>att_cells:bcells</v>
      </c>
      <c r="K109" s="11" t="s">
        <v>18</v>
      </c>
      <c r="L109" s="6" t="s">
        <v>354</v>
      </c>
      <c r="M109" s="6" t="s">
        <v>14</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355</v>
      </c>
      <c r="D110" s="6" t="s">
        <v>356</v>
      </c>
      <c r="E110" s="6" t="s">
        <v>14</v>
      </c>
      <c r="F110" s="6" t="s">
        <v>2478</v>
      </c>
      <c r="G110" s="6" t="s">
        <v>2479</v>
      </c>
      <c r="H110" s="6" t="str">
        <f t="shared" si="4"/>
        <v>att_cells</v>
      </c>
      <c r="I110" s="6" t="s">
        <v>355</v>
      </c>
      <c r="J110" s="6" t="str">
        <f t="shared" si="5"/>
        <v>att_cells:cytotoxict</v>
      </c>
      <c r="K110" s="11" t="s">
        <v>18</v>
      </c>
      <c r="L110" s="6" t="s">
        <v>357</v>
      </c>
      <c r="M110" s="6" t="s">
        <v>14</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358</v>
      </c>
      <c r="D111" s="6" t="s">
        <v>359</v>
      </c>
      <c r="E111" s="6" t="s">
        <v>14</v>
      </c>
      <c r="F111" s="6" t="s">
        <v>2478</v>
      </c>
      <c r="G111" s="6" t="s">
        <v>2479</v>
      </c>
      <c r="H111" s="6" t="str">
        <f t="shared" si="4"/>
        <v>att_cells</v>
      </c>
      <c r="I111" s="6" t="s">
        <v>358</v>
      </c>
      <c r="J111" s="6" t="str">
        <f t="shared" si="5"/>
        <v>att_cells:endothelial</v>
      </c>
      <c r="K111" s="11" t="s">
        <v>18</v>
      </c>
      <c r="L111" s="6" t="s">
        <v>360</v>
      </c>
      <c r="M111" s="6" t="s">
        <v>14</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361</v>
      </c>
      <c r="D112" s="6" t="s">
        <v>362</v>
      </c>
      <c r="E112" s="6" t="s">
        <v>14</v>
      </c>
      <c r="F112" s="6" t="s">
        <v>2478</v>
      </c>
      <c r="G112" s="6" t="s">
        <v>2479</v>
      </c>
      <c r="H112" s="6" t="str">
        <f t="shared" si="4"/>
        <v>att_cells</v>
      </c>
      <c r="I112" s="6" t="s">
        <v>361</v>
      </c>
      <c r="J112" s="6" t="str">
        <f t="shared" si="5"/>
        <v>att_cells:eosinophils</v>
      </c>
      <c r="K112" s="11" t="s">
        <v>18</v>
      </c>
      <c r="L112" s="6" t="s">
        <v>363</v>
      </c>
      <c r="M112" s="6" t="s">
        <v>14</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364</v>
      </c>
      <c r="D113" s="6" t="s">
        <v>365</v>
      </c>
      <c r="E113" s="6" t="s">
        <v>14</v>
      </c>
      <c r="F113" s="6" t="s">
        <v>2478</v>
      </c>
      <c r="G113" s="6" t="s">
        <v>2479</v>
      </c>
      <c r="H113" s="6" t="str">
        <f t="shared" si="4"/>
        <v>att_cells</v>
      </c>
      <c r="I113" s="6" t="s">
        <v>364</v>
      </c>
      <c r="J113" s="6" t="str">
        <f t="shared" si="5"/>
        <v>att_cells:epithelioid</v>
      </c>
      <c r="K113" s="11" t="s">
        <v>18</v>
      </c>
      <c r="L113" s="6" t="s">
        <v>366</v>
      </c>
      <c r="M113" s="6" t="s">
        <v>14</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367</v>
      </c>
      <c r="D114" s="6" t="s">
        <v>368</v>
      </c>
      <c r="E114" s="6" t="s">
        <v>14</v>
      </c>
      <c r="F114" s="6" t="s">
        <v>2478</v>
      </c>
      <c r="G114" s="6" t="s">
        <v>2479</v>
      </c>
      <c r="H114" s="6" t="str">
        <f t="shared" si="4"/>
        <v>att_cells</v>
      </c>
      <c r="I114" s="6" t="s">
        <v>367</v>
      </c>
      <c r="J114" s="6" t="str">
        <f t="shared" si="5"/>
        <v>att_cells:erythrocytes</v>
      </c>
      <c r="K114" s="11" t="s">
        <v>18</v>
      </c>
      <c r="L114" s="6" t="s">
        <v>369</v>
      </c>
      <c r="M114" s="6" t="s">
        <v>14</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370</v>
      </c>
      <c r="D115" s="6" t="s">
        <v>371</v>
      </c>
      <c r="E115" s="6" t="s">
        <v>14</v>
      </c>
      <c r="F115" s="6" t="s">
        <v>2478</v>
      </c>
      <c r="G115" s="6" t="s">
        <v>2479</v>
      </c>
      <c r="H115" s="6" t="str">
        <f t="shared" si="4"/>
        <v>att_cells</v>
      </c>
      <c r="I115" s="6" t="s">
        <v>370</v>
      </c>
      <c r="J115" s="6" t="str">
        <f t="shared" si="5"/>
        <v>att_cells:gammadeltat</v>
      </c>
      <c r="K115" s="11" t="s">
        <v>18</v>
      </c>
      <c r="L115" s="6" t="s">
        <v>372</v>
      </c>
      <c r="M115" s="6" t="s">
        <v>14</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373</v>
      </c>
      <c r="D116" s="6" t="s">
        <v>374</v>
      </c>
      <c r="E116" s="6" t="s">
        <v>14</v>
      </c>
      <c r="F116" s="6" t="s">
        <v>2478</v>
      </c>
      <c r="G116" s="6" t="s">
        <v>2479</v>
      </c>
      <c r="H116" s="6" t="str">
        <f t="shared" si="4"/>
        <v>att_cells</v>
      </c>
      <c r="I116" s="6" t="s">
        <v>373</v>
      </c>
      <c r="J116" s="6" t="str">
        <f t="shared" si="5"/>
        <v>att_cells:hofbauer</v>
      </c>
      <c r="K116" s="11" t="s">
        <v>18</v>
      </c>
      <c r="L116" s="6" t="s">
        <v>375</v>
      </c>
      <c r="M116" s="6" t="s">
        <v>14</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376</v>
      </c>
      <c r="D117" s="6" t="s">
        <v>377</v>
      </c>
      <c r="E117" s="6" t="s">
        <v>14</v>
      </c>
      <c r="F117" s="6" t="s">
        <v>2478</v>
      </c>
      <c r="G117" s="6" t="s">
        <v>2479</v>
      </c>
      <c r="H117" s="6" t="str">
        <f t="shared" si="4"/>
        <v>att_cells</v>
      </c>
      <c r="I117" s="6" t="s">
        <v>376</v>
      </c>
      <c r="J117" s="6" t="str">
        <f t="shared" si="5"/>
        <v>att_cells:keratinocytes</v>
      </c>
      <c r="K117" s="11" t="s">
        <v>18</v>
      </c>
      <c r="L117" s="6" t="s">
        <v>378</v>
      </c>
      <c r="M117" s="6" t="s">
        <v>14</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379</v>
      </c>
      <c r="D118" s="6" t="s">
        <v>380</v>
      </c>
      <c r="E118" s="6" t="s">
        <v>14</v>
      </c>
      <c r="F118" s="6" t="s">
        <v>2478</v>
      </c>
      <c r="G118" s="6" t="s">
        <v>2479</v>
      </c>
      <c r="H118" s="6" t="str">
        <f t="shared" si="4"/>
        <v>att_cells</v>
      </c>
      <c r="I118" s="6" t="s">
        <v>379</v>
      </c>
      <c r="J118" s="6" t="str">
        <f t="shared" si="5"/>
        <v>att_cells:kupffer</v>
      </c>
      <c r="K118" s="11" t="s">
        <v>18</v>
      </c>
      <c r="L118" s="6" t="s">
        <v>381</v>
      </c>
      <c r="M118" s="6" t="s">
        <v>14</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382</v>
      </c>
      <c r="D119" s="6" t="s">
        <v>383</v>
      </c>
      <c r="E119" s="6" t="s">
        <v>14</v>
      </c>
      <c r="F119" s="6" t="s">
        <v>2478</v>
      </c>
      <c r="G119" s="6" t="s">
        <v>2479</v>
      </c>
      <c r="H119" s="6" t="str">
        <f t="shared" si="4"/>
        <v>att_cells</v>
      </c>
      <c r="I119" s="6" t="s">
        <v>382</v>
      </c>
      <c r="J119" s="6" t="str">
        <f t="shared" si="5"/>
        <v>att_cells:langerhans</v>
      </c>
      <c r="K119" s="11" t="s">
        <v>18</v>
      </c>
      <c r="L119" s="6" t="s">
        <v>384</v>
      </c>
      <c r="M119" s="6" t="s">
        <v>14</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385</v>
      </c>
      <c r="D120" s="6" t="s">
        <v>386</v>
      </c>
      <c r="E120" s="6" t="s">
        <v>14</v>
      </c>
      <c r="F120" s="6" t="s">
        <v>2478</v>
      </c>
      <c r="G120" s="6" t="s">
        <v>2479</v>
      </c>
      <c r="H120" s="6" t="str">
        <f t="shared" si="4"/>
        <v>att_cells</v>
      </c>
      <c r="I120" s="6" t="s">
        <v>385</v>
      </c>
      <c r="J120" s="6" t="str">
        <f t="shared" si="5"/>
        <v>att_cells:leukocytes</v>
      </c>
      <c r="K120" s="11" t="s">
        <v>18</v>
      </c>
      <c r="L120" s="6" t="s">
        <v>387</v>
      </c>
      <c r="M120" s="6" t="s">
        <v>14</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388</v>
      </c>
      <c r="D121" s="6" t="s">
        <v>389</v>
      </c>
      <c r="E121" s="6" t="s">
        <v>14</v>
      </c>
      <c r="F121" s="6" t="s">
        <v>2478</v>
      </c>
      <c r="G121" s="6" t="s">
        <v>2479</v>
      </c>
      <c r="H121" s="6" t="str">
        <f t="shared" si="4"/>
        <v>att_cells</v>
      </c>
      <c r="I121" s="6" t="s">
        <v>388</v>
      </c>
      <c r="J121" s="6" t="str">
        <f t="shared" si="5"/>
        <v>att_cells:lymphocytes</v>
      </c>
      <c r="K121" s="11" t="s">
        <v>18</v>
      </c>
      <c r="L121" s="6" t="s">
        <v>390</v>
      </c>
      <c r="M121" s="6" t="s">
        <v>14</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391</v>
      </c>
      <c r="D122" s="6" t="s">
        <v>392</v>
      </c>
      <c r="E122" s="6" t="s">
        <v>14</v>
      </c>
      <c r="F122" s="6" t="s">
        <v>2478</v>
      </c>
      <c r="G122" s="6" t="s">
        <v>2479</v>
      </c>
      <c r="H122" s="6" t="str">
        <f t="shared" si="4"/>
        <v>att_cells</v>
      </c>
      <c r="I122" s="6" t="s">
        <v>391</v>
      </c>
      <c r="J122" s="6" t="str">
        <f t="shared" si="5"/>
        <v>att_cells:macrophage</v>
      </c>
      <c r="K122" s="11" t="s">
        <v>18</v>
      </c>
      <c r="L122" s="6" t="s">
        <v>392</v>
      </c>
      <c r="M122" s="6" t="s">
        <v>14</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393</v>
      </c>
      <c r="D123" s="6" t="s">
        <v>394</v>
      </c>
      <c r="E123" s="6" t="s">
        <v>14</v>
      </c>
      <c r="F123" s="6" t="s">
        <v>2478</v>
      </c>
      <c r="G123" s="6" t="s">
        <v>2479</v>
      </c>
      <c r="H123" s="6" t="str">
        <f t="shared" si="4"/>
        <v>att_cells</v>
      </c>
      <c r="I123" s="6" t="s">
        <v>393</v>
      </c>
      <c r="J123" s="6" t="str">
        <f t="shared" si="5"/>
        <v>att_cells:microglia</v>
      </c>
      <c r="K123" s="11" t="s">
        <v>18</v>
      </c>
      <c r="L123" s="6" t="s">
        <v>395</v>
      </c>
      <c r="M123" s="6" t="s">
        <v>14</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396</v>
      </c>
      <c r="D124" s="6" t="s">
        <v>397</v>
      </c>
      <c r="E124" s="6" t="s">
        <v>14</v>
      </c>
      <c r="F124" s="6" t="s">
        <v>2478</v>
      </c>
      <c r="G124" s="6" t="s">
        <v>2479</v>
      </c>
      <c r="H124" s="6" t="str">
        <f t="shared" si="4"/>
        <v>att_cells</v>
      </c>
      <c r="I124" s="6" t="s">
        <v>396</v>
      </c>
      <c r="J124" s="6" t="str">
        <f t="shared" si="5"/>
        <v>att_cells:monoblast</v>
      </c>
      <c r="K124" s="11" t="s">
        <v>18</v>
      </c>
      <c r="L124" s="6" t="s">
        <v>397</v>
      </c>
      <c r="M124" s="6" t="s">
        <v>14</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398</v>
      </c>
      <c r="D125" s="6" t="s">
        <v>316</v>
      </c>
      <c r="E125" s="6" t="s">
        <v>14</v>
      </c>
      <c r="F125" s="6" t="s">
        <v>2478</v>
      </c>
      <c r="G125" s="6" t="s">
        <v>2479</v>
      </c>
      <c r="H125" s="6" t="str">
        <f t="shared" si="4"/>
        <v>att_cells</v>
      </c>
      <c r="I125" s="6" t="s">
        <v>398</v>
      </c>
      <c r="J125" s="6" t="str">
        <f t="shared" si="5"/>
        <v>att_cells:monocytes</v>
      </c>
      <c r="K125" s="11" t="s">
        <v>18</v>
      </c>
      <c r="L125" s="6" t="s">
        <v>399</v>
      </c>
      <c r="M125" s="6" t="s">
        <v>14</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400</v>
      </c>
      <c r="D126" s="6" t="s">
        <v>401</v>
      </c>
      <c r="E126" s="6" t="s">
        <v>14</v>
      </c>
      <c r="F126" s="6" t="s">
        <v>2478</v>
      </c>
      <c r="G126" s="6" t="s">
        <v>2479</v>
      </c>
      <c r="H126" s="6" t="str">
        <f t="shared" si="4"/>
        <v>att_cells</v>
      </c>
      <c r="I126" s="6" t="s">
        <v>400</v>
      </c>
      <c r="J126" s="6" t="str">
        <f t="shared" si="5"/>
        <v>att_cells:neutrophils</v>
      </c>
      <c r="K126" s="11" t="s">
        <v>18</v>
      </c>
      <c r="L126" s="6" t="s">
        <v>402</v>
      </c>
      <c r="M126" s="6" t="s">
        <v>14</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403</v>
      </c>
      <c r="D127" s="6" t="s">
        <v>404</v>
      </c>
      <c r="E127" s="6" t="s">
        <v>14</v>
      </c>
      <c r="F127" s="6" t="s">
        <v>2478</v>
      </c>
      <c r="G127" s="6" t="s">
        <v>2479</v>
      </c>
      <c r="H127" s="6" t="str">
        <f t="shared" si="4"/>
        <v>att_cells</v>
      </c>
      <c r="I127" s="6" t="s">
        <v>403</v>
      </c>
      <c r="J127" s="6" t="str">
        <f t="shared" si="5"/>
        <v>att_cells:nk</v>
      </c>
      <c r="K127" s="11" t="s">
        <v>18</v>
      </c>
      <c r="L127" s="6" t="s">
        <v>405</v>
      </c>
      <c r="M127" s="6" t="s">
        <v>14</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406</v>
      </c>
      <c r="D128" s="6" t="s">
        <v>407</v>
      </c>
      <c r="E128" s="6" t="s">
        <v>14</v>
      </c>
      <c r="F128" s="6" t="s">
        <v>2478</v>
      </c>
      <c r="G128" s="6" t="s">
        <v>2479</v>
      </c>
      <c r="H128" s="6" t="str">
        <f t="shared" si="4"/>
        <v>att_cells</v>
      </c>
      <c r="I128" s="6" t="s">
        <v>406</v>
      </c>
      <c r="J128" s="6" t="str">
        <f t="shared" si="5"/>
        <v>att_cells:osteoblast</v>
      </c>
      <c r="K128" s="11" t="s">
        <v>18</v>
      </c>
      <c r="L128" s="6" t="s">
        <v>408</v>
      </c>
      <c r="M128" s="6" t="s">
        <v>14</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409</v>
      </c>
      <c r="D129" s="6" t="s">
        <v>410</v>
      </c>
      <c r="E129" s="6" t="s">
        <v>14</v>
      </c>
      <c r="F129" s="6" t="s">
        <v>2478</v>
      </c>
      <c r="G129" s="6" t="s">
        <v>2479</v>
      </c>
      <c r="H129" s="6" t="str">
        <f t="shared" si="4"/>
        <v>att_cells</v>
      </c>
      <c r="I129" s="6" t="s">
        <v>409</v>
      </c>
      <c r="J129" s="6" t="str">
        <f t="shared" si="5"/>
        <v>att_cells:osteoclast</v>
      </c>
      <c r="K129" s="11" t="s">
        <v>18</v>
      </c>
      <c r="L129" s="6" t="s">
        <v>411</v>
      </c>
      <c r="M129" s="6" t="s">
        <v>14</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412</v>
      </c>
      <c r="D130" s="6" t="s">
        <v>413</v>
      </c>
      <c r="E130" s="6" t="s">
        <v>14</v>
      </c>
      <c r="F130" s="6" t="s">
        <v>2478</v>
      </c>
      <c r="G130" s="6" t="s">
        <v>2479</v>
      </c>
      <c r="H130" s="6" t="str">
        <f t="shared" ref="H130:H193" si="8">"att_"&amp;G130</f>
        <v>att_cells</v>
      </c>
      <c r="I130" s="6" t="s">
        <v>412</v>
      </c>
      <c r="J130" s="6" t="str">
        <f t="shared" ref="J130:J193" si="9">H130&amp;":"&amp;I130</f>
        <v>att_cells:osteocytes</v>
      </c>
      <c r="K130" s="11" t="s">
        <v>18</v>
      </c>
      <c r="L130" s="6" t="s">
        <v>414</v>
      </c>
      <c r="M130" s="6" t="s">
        <v>14</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415</v>
      </c>
      <c r="D131" s="6" t="s">
        <v>416</v>
      </c>
      <c r="E131" s="6" t="s">
        <v>14</v>
      </c>
      <c r="F131" s="6" t="s">
        <v>2478</v>
      </c>
      <c r="G131" s="6" t="s">
        <v>2479</v>
      </c>
      <c r="H131" s="6" t="str">
        <f t="shared" si="8"/>
        <v>att_cells</v>
      </c>
      <c r="I131" s="6" t="s">
        <v>415</v>
      </c>
      <c r="J131" s="6" t="str">
        <f t="shared" si="9"/>
        <v>att_cells:osteogenic</v>
      </c>
      <c r="K131" s="11" t="s">
        <v>18</v>
      </c>
      <c r="L131" s="6" t="s">
        <v>417</v>
      </c>
      <c r="M131" s="6" t="s">
        <v>14</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418</v>
      </c>
      <c r="D132" s="6" t="s">
        <v>419</v>
      </c>
      <c r="E132" s="6" t="s">
        <v>14</v>
      </c>
      <c r="F132" s="6" t="s">
        <v>2478</v>
      </c>
      <c r="G132" s="6" t="s">
        <v>2479</v>
      </c>
      <c r="H132" s="6" t="str">
        <f t="shared" si="8"/>
        <v>att_cells</v>
      </c>
      <c r="I132" s="6" t="s">
        <v>418</v>
      </c>
      <c r="J132" s="6" t="str">
        <f t="shared" si="9"/>
        <v>att_cells:regt</v>
      </c>
      <c r="K132" s="11" t="s">
        <v>18</v>
      </c>
      <c r="L132" s="6" t="s">
        <v>420</v>
      </c>
      <c r="M132" s="6" t="s">
        <v>14</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421</v>
      </c>
      <c r="D133" s="6" t="s">
        <v>422</v>
      </c>
      <c r="E133" s="6" t="s">
        <v>14</v>
      </c>
      <c r="F133" s="6" t="s">
        <v>2478</v>
      </c>
      <c r="G133" s="6" t="s">
        <v>2479</v>
      </c>
      <c r="H133" s="6" t="str">
        <f t="shared" si="8"/>
        <v>att_cells</v>
      </c>
      <c r="I133" s="6" t="s">
        <v>421</v>
      </c>
      <c r="J133" s="6" t="str">
        <f t="shared" si="9"/>
        <v>att_cells:stemcells</v>
      </c>
      <c r="K133" s="11" t="s">
        <v>18</v>
      </c>
      <c r="L133" s="6" t="s">
        <v>423</v>
      </c>
      <c r="M133" s="6" t="s">
        <v>14</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424</v>
      </c>
      <c r="D134" s="6" t="s">
        <v>425</v>
      </c>
      <c r="E134" s="6" t="s">
        <v>14</v>
      </c>
      <c r="F134" s="6" t="s">
        <v>2478</v>
      </c>
      <c r="G134" s="6" t="s">
        <v>2479</v>
      </c>
      <c r="H134" s="6" t="str">
        <f t="shared" si="8"/>
        <v>att_cells</v>
      </c>
      <c r="I134" s="6" t="s">
        <v>424</v>
      </c>
      <c r="J134" s="6" t="str">
        <f t="shared" si="9"/>
        <v>att_cells:tcells</v>
      </c>
      <c r="K134" s="11" t="s">
        <v>18</v>
      </c>
      <c r="L134" s="6" t="s">
        <v>425</v>
      </c>
      <c r="M134" s="6" t="s">
        <v>14</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426</v>
      </c>
      <c r="D135" s="6" t="s">
        <v>427</v>
      </c>
      <c r="E135" s="6" t="s">
        <v>14</v>
      </c>
      <c r="F135" s="6" t="s">
        <v>2478</v>
      </c>
      <c r="G135" s="6" t="s">
        <v>2479</v>
      </c>
      <c r="H135" s="6" t="str">
        <f t="shared" si="8"/>
        <v>att_cells</v>
      </c>
      <c r="I135" s="6" t="s">
        <v>426</v>
      </c>
      <c r="J135" s="6" t="str">
        <f t="shared" si="9"/>
        <v>att_cells:thelper</v>
      </c>
      <c r="K135" s="11" t="s">
        <v>18</v>
      </c>
      <c r="L135" s="6" t="s">
        <v>428</v>
      </c>
      <c r="M135" s="6" t="s">
        <v>14</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429</v>
      </c>
      <c r="D136" s="6" t="s">
        <v>430</v>
      </c>
      <c r="E136" s="6" t="s">
        <v>14</v>
      </c>
      <c r="F136" s="6" t="s">
        <v>2478</v>
      </c>
      <c r="G136" s="6" t="s">
        <v>2479</v>
      </c>
      <c r="H136" s="6" t="str">
        <f t="shared" si="8"/>
        <v>att_cells</v>
      </c>
      <c r="I136" s="6" t="s">
        <v>429</v>
      </c>
      <c r="J136" s="6" t="str">
        <f t="shared" si="9"/>
        <v>att_cells:thrombocytes</v>
      </c>
      <c r="K136" s="11" t="s">
        <v>18</v>
      </c>
      <c r="L136" s="6" t="s">
        <v>431</v>
      </c>
      <c r="M136" s="6" t="s">
        <v>14</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662</v>
      </c>
      <c r="D137" s="6" t="s">
        <v>663</v>
      </c>
      <c r="E137" s="6" t="s">
        <v>14</v>
      </c>
      <c r="F137" s="6" t="s">
        <v>2480</v>
      </c>
      <c r="G137" s="6" t="s">
        <v>2481</v>
      </c>
      <c r="H137" s="6" t="str">
        <f t="shared" si="8"/>
        <v>att_compound</v>
      </c>
      <c r="I137" s="6" t="s">
        <v>662</v>
      </c>
      <c r="J137" s="6" t="str">
        <f t="shared" si="9"/>
        <v>att_compound:anisomycin</v>
      </c>
      <c r="K137" s="11" t="s">
        <v>18</v>
      </c>
      <c r="L137" s="6" t="s">
        <v>663</v>
      </c>
      <c r="M137" s="6" t="s">
        <v>14</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667</v>
      </c>
      <c r="D138" s="6" t="s">
        <v>668</v>
      </c>
      <c r="E138" s="6" t="s">
        <v>14</v>
      </c>
      <c r="F138" s="6" t="s">
        <v>2480</v>
      </c>
      <c r="G138" s="6" t="s">
        <v>2481</v>
      </c>
      <c r="H138" s="6" t="str">
        <f t="shared" si="8"/>
        <v>att_compound</v>
      </c>
      <c r="I138" s="6" t="s">
        <v>667</v>
      </c>
      <c r="J138" s="6" t="str">
        <f t="shared" si="9"/>
        <v>att_compound:atp</v>
      </c>
      <c r="K138" s="11" t="s">
        <v>18</v>
      </c>
      <c r="L138" s="6" t="s">
        <v>669</v>
      </c>
      <c r="M138" s="6" t="s">
        <v>14</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670</v>
      </c>
      <c r="D139" s="6" t="s">
        <v>670</v>
      </c>
      <c r="E139" s="6" t="s">
        <v>14</v>
      </c>
      <c r="F139" s="6" t="s">
        <v>2480</v>
      </c>
      <c r="G139" s="6" t="s">
        <v>2481</v>
      </c>
      <c r="H139" s="6" t="str">
        <f t="shared" si="8"/>
        <v>att_compound</v>
      </c>
      <c r="I139" s="6" t="s">
        <v>670</v>
      </c>
      <c r="J139" s="6" t="str">
        <f t="shared" si="9"/>
        <v>att_compound:berzosertib</v>
      </c>
      <c r="K139" s="11" t="s">
        <v>18</v>
      </c>
      <c r="L139" s="6" t="s">
        <v>671</v>
      </c>
      <c r="M139" s="6" t="s">
        <v>14</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672</v>
      </c>
      <c r="D140" s="6" t="s">
        <v>672</v>
      </c>
      <c r="E140" s="6" t="s">
        <v>14</v>
      </c>
      <c r="F140" s="6" t="s">
        <v>2480</v>
      </c>
      <c r="G140" s="6" t="s">
        <v>2481</v>
      </c>
      <c r="H140" s="6" t="str">
        <f t="shared" si="8"/>
        <v>att_compound</v>
      </c>
      <c r="I140" s="6" t="s">
        <v>672</v>
      </c>
      <c r="J140" s="6" t="str">
        <f t="shared" si="9"/>
        <v>att_compound:bortezomib</v>
      </c>
      <c r="K140" s="11" t="s">
        <v>18</v>
      </c>
      <c r="L140" s="6" t="s">
        <v>673</v>
      </c>
      <c r="M140" s="6" t="s">
        <v>14</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2482</v>
      </c>
      <c r="D141" s="14" t="s">
        <v>2483</v>
      </c>
      <c r="E141" s="14" t="s">
        <v>14</v>
      </c>
      <c r="F141" s="14" t="s">
        <v>2480</v>
      </c>
      <c r="G141" s="14" t="s">
        <v>2481</v>
      </c>
      <c r="H141" s="14" t="str">
        <f t="shared" si="8"/>
        <v>att_compound</v>
      </c>
      <c r="I141" s="14" t="s">
        <v>2482</v>
      </c>
      <c r="J141" s="14" t="str">
        <f t="shared" si="9"/>
        <v>att_compound:cgas</v>
      </c>
      <c r="K141" s="15" t="s">
        <v>18</v>
      </c>
      <c r="L141" s="14" t="s">
        <v>2483</v>
      </c>
      <c r="M141" s="14" t="s">
        <v>14</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677</v>
      </c>
      <c r="D142" s="6" t="s">
        <v>677</v>
      </c>
      <c r="E142" s="6" t="s">
        <v>14</v>
      </c>
      <c r="F142" s="6" t="s">
        <v>2480</v>
      </c>
      <c r="G142" s="6" t="s">
        <v>2481</v>
      </c>
      <c r="H142" s="6" t="str">
        <f t="shared" si="8"/>
        <v>att_compound</v>
      </c>
      <c r="I142" s="6" t="s">
        <v>677</v>
      </c>
      <c r="J142" s="6" t="str">
        <f t="shared" si="9"/>
        <v>att_compound:cycloheximide</v>
      </c>
      <c r="K142" s="11" t="s">
        <v>18</v>
      </c>
      <c r="L142" s="6" t="s">
        <v>678</v>
      </c>
      <c r="M142" s="6" t="s">
        <v>14</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2484</v>
      </c>
      <c r="D143" s="6" t="s">
        <v>2485</v>
      </c>
      <c r="E143" s="6" t="s">
        <v>14</v>
      </c>
      <c r="F143" s="6" t="s">
        <v>2480</v>
      </c>
      <c r="G143" s="6" t="s">
        <v>2481</v>
      </c>
      <c r="H143" s="6" t="str">
        <f t="shared" si="8"/>
        <v>att_compound</v>
      </c>
      <c r="I143" s="6" t="s">
        <v>2484</v>
      </c>
      <c r="J143" s="6" t="str">
        <f t="shared" si="9"/>
        <v>att_compound:diabzi</v>
      </c>
      <c r="K143" s="11" t="s">
        <v>18</v>
      </c>
      <c r="L143" s="6" t="s">
        <v>2485</v>
      </c>
      <c r="M143" s="6" t="s">
        <v>14</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679</v>
      </c>
      <c r="D144" s="6" t="s">
        <v>680</v>
      </c>
      <c r="E144" s="6" t="s">
        <v>14</v>
      </c>
      <c r="F144" s="6" t="s">
        <v>2480</v>
      </c>
      <c r="G144" s="6" t="s">
        <v>2481</v>
      </c>
      <c r="H144" s="6" t="str">
        <f t="shared" si="8"/>
        <v>att_compound</v>
      </c>
      <c r="I144" s="6" t="s">
        <v>679</v>
      </c>
      <c r="J144" s="6" t="str">
        <f t="shared" si="9"/>
        <v>att_compound:dmso</v>
      </c>
      <c r="K144" s="11" t="s">
        <v>18</v>
      </c>
      <c r="L144" s="6" t="s">
        <v>2486</v>
      </c>
      <c r="M144" s="6" t="s">
        <v>14</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682</v>
      </c>
      <c r="D145" s="6" t="s">
        <v>682</v>
      </c>
      <c r="E145" s="6" t="s">
        <v>14</v>
      </c>
      <c r="F145" s="6" t="s">
        <v>2480</v>
      </c>
      <c r="G145" s="6" t="s">
        <v>2481</v>
      </c>
      <c r="H145" s="6" t="str">
        <f t="shared" si="8"/>
        <v>att_compound</v>
      </c>
      <c r="I145" s="6" t="s">
        <v>682</v>
      </c>
      <c r="J145" s="6" t="str">
        <f t="shared" si="9"/>
        <v>att_compound:doxorubicin</v>
      </c>
      <c r="K145" s="11" t="s">
        <v>18</v>
      </c>
      <c r="L145" s="6" t="s">
        <v>683</v>
      </c>
      <c r="M145" s="6" t="s">
        <v>14</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685</v>
      </c>
      <c r="D146" s="6" t="s">
        <v>685</v>
      </c>
      <c r="E146" s="6" t="s">
        <v>14</v>
      </c>
      <c r="F146" s="6" t="s">
        <v>2480</v>
      </c>
      <c r="G146" s="6" t="s">
        <v>2481</v>
      </c>
      <c r="H146" s="6" t="str">
        <f t="shared" si="8"/>
        <v>att_compound</v>
      </c>
      <c r="I146" s="6" t="s">
        <v>685</v>
      </c>
      <c r="J146" s="6" t="str">
        <f t="shared" si="9"/>
        <v>att_compound:doxycycline</v>
      </c>
      <c r="K146" s="11" t="s">
        <v>18</v>
      </c>
      <c r="L146" s="6" t="s">
        <v>686</v>
      </c>
      <c r="M146" s="6" t="s">
        <v>14</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688</v>
      </c>
      <c r="D147" s="6" t="s">
        <v>688</v>
      </c>
      <c r="E147" s="6" t="s">
        <v>14</v>
      </c>
      <c r="F147" s="6" t="s">
        <v>2480</v>
      </c>
      <c r="G147" s="6" t="s">
        <v>2481</v>
      </c>
      <c r="H147" s="6" t="str">
        <f t="shared" si="8"/>
        <v>att_compound</v>
      </c>
      <c r="I147" s="6" t="s">
        <v>688</v>
      </c>
      <c r="J147" s="6" t="str">
        <f t="shared" si="9"/>
        <v>att_compound:etoposide</v>
      </c>
      <c r="K147" s="11" t="s">
        <v>18</v>
      </c>
      <c r="L147" s="6" t="s">
        <v>688</v>
      </c>
      <c r="M147" s="6" t="s">
        <v>14</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2487</v>
      </c>
      <c r="D148" s="6" t="s">
        <v>2487</v>
      </c>
      <c r="E148" s="6" t="s">
        <v>14</v>
      </c>
      <c r="F148" s="6" t="s">
        <v>2480</v>
      </c>
      <c r="G148" s="6" t="s">
        <v>2481</v>
      </c>
      <c r="H148" s="6" t="str">
        <f t="shared" si="8"/>
        <v>att_compound</v>
      </c>
      <c r="I148" s="6" t="s">
        <v>2487</v>
      </c>
      <c r="J148" s="6" t="str">
        <f t="shared" si="9"/>
        <v>att_compound:lactimidomycin</v>
      </c>
      <c r="K148" s="11" t="s">
        <v>18</v>
      </c>
      <c r="L148" s="6" t="s">
        <v>2488</v>
      </c>
      <c r="M148" s="6" t="s">
        <v>14</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2489</v>
      </c>
      <c r="D149" s="6" t="s">
        <v>2490</v>
      </c>
      <c r="E149" s="6" t="s">
        <v>14</v>
      </c>
      <c r="F149" s="6" t="s">
        <v>2480</v>
      </c>
      <c r="G149" s="6" t="s">
        <v>2481</v>
      </c>
      <c r="H149" s="6" t="str">
        <f t="shared" si="8"/>
        <v>att_compound</v>
      </c>
      <c r="I149" s="6" t="s">
        <v>2489</v>
      </c>
      <c r="J149" s="6" t="str">
        <f t="shared" si="9"/>
        <v>att_compound:lps</v>
      </c>
      <c r="K149" s="11" t="s">
        <v>18</v>
      </c>
      <c r="L149" s="6" t="s">
        <v>2491</v>
      </c>
      <c r="M149" s="6" t="s">
        <v>14</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2492</v>
      </c>
      <c r="D150" s="6" t="s">
        <v>2493</v>
      </c>
      <c r="E150" s="6" t="s">
        <v>14</v>
      </c>
      <c r="F150" s="6" t="s">
        <v>2480</v>
      </c>
      <c r="G150" s="6" t="s">
        <v>2481</v>
      </c>
      <c r="H150" s="6" t="str">
        <f t="shared" si="8"/>
        <v>att_compound</v>
      </c>
      <c r="I150" s="6" t="s">
        <v>2492</v>
      </c>
      <c r="J150" s="6" t="str">
        <f t="shared" si="9"/>
        <v>att_compound:niap</v>
      </c>
      <c r="K150" s="11" t="s">
        <v>18</v>
      </c>
      <c r="L150" s="6" t="s">
        <v>2493</v>
      </c>
      <c r="M150" s="6" t="s">
        <v>14</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2494</v>
      </c>
      <c r="D151" s="6" t="s">
        <v>2495</v>
      </c>
      <c r="E151" s="6" t="s">
        <v>14</v>
      </c>
      <c r="F151" s="6" t="s">
        <v>2480</v>
      </c>
      <c r="G151" s="6" t="s">
        <v>2481</v>
      </c>
      <c r="H151" s="6" t="str">
        <f t="shared" si="8"/>
        <v>att_compound</v>
      </c>
      <c r="I151" s="6" t="s">
        <v>2494</v>
      </c>
      <c r="J151" s="6" t="str">
        <f t="shared" si="9"/>
        <v>att_compound:pam</v>
      </c>
      <c r="K151" s="11" t="s">
        <v>18</v>
      </c>
      <c r="L151" s="6" t="s">
        <v>2496</v>
      </c>
      <c r="M151" s="6" t="s">
        <v>14</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2497</v>
      </c>
      <c r="D152" s="6" t="s">
        <v>2498</v>
      </c>
      <c r="E152" s="6" t="s">
        <v>14</v>
      </c>
      <c r="F152" s="6" t="s">
        <v>2480</v>
      </c>
      <c r="G152" s="6" t="s">
        <v>2481</v>
      </c>
      <c r="H152" s="6" t="str">
        <f t="shared" si="8"/>
        <v>att_compound</v>
      </c>
      <c r="I152" s="6" t="s">
        <v>2497</v>
      </c>
      <c r="J152" s="6" t="str">
        <f t="shared" si="9"/>
        <v>att_compound:r837</v>
      </c>
      <c r="K152" s="11" t="s">
        <v>18</v>
      </c>
      <c r="L152" s="6" t="s">
        <v>2499</v>
      </c>
      <c r="M152" s="6" t="s">
        <v>14</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2500</v>
      </c>
      <c r="D153" s="6" t="s">
        <v>2501</v>
      </c>
      <c r="E153" s="6" t="s">
        <v>14</v>
      </c>
      <c r="F153" s="6" t="s">
        <v>2480</v>
      </c>
      <c r="G153" s="6" t="s">
        <v>2481</v>
      </c>
      <c r="H153" s="6" t="str">
        <f t="shared" si="8"/>
        <v>att_compound</v>
      </c>
      <c r="I153" s="6" t="s">
        <v>2500</v>
      </c>
      <c r="J153" s="6" t="str">
        <f t="shared" si="9"/>
        <v>att_compound:r848</v>
      </c>
      <c r="K153" s="11" t="s">
        <v>18</v>
      </c>
      <c r="L153" s="6" t="s">
        <v>2502</v>
      </c>
      <c r="M153" s="6" t="s">
        <v>14</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709</v>
      </c>
      <c r="D154" s="6" t="s">
        <v>709</v>
      </c>
      <c r="E154" s="6" t="s">
        <v>14</v>
      </c>
      <c r="F154" s="6" t="s">
        <v>2480</v>
      </c>
      <c r="G154" s="6" t="s">
        <v>2481</v>
      </c>
      <c r="H154" s="6" t="str">
        <f t="shared" si="8"/>
        <v>att_compound</v>
      </c>
      <c r="I154" s="6" t="s">
        <v>709</v>
      </c>
      <c r="J154" s="6" t="str">
        <f t="shared" si="9"/>
        <v>att_compound:tamoxifen</v>
      </c>
      <c r="K154" s="11" t="s">
        <v>18</v>
      </c>
      <c r="L154" s="6" t="s">
        <v>710</v>
      </c>
      <c r="M154" s="6" t="s">
        <v>14</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714</v>
      </c>
      <c r="D155" s="6" t="s">
        <v>714</v>
      </c>
      <c r="E155" s="6" t="s">
        <v>14</v>
      </c>
      <c r="F155" s="6" t="s">
        <v>2480</v>
      </c>
      <c r="G155" s="6" t="s">
        <v>2481</v>
      </c>
      <c r="H155" s="6" t="str">
        <f t="shared" si="8"/>
        <v>att_compound</v>
      </c>
      <c r="I155" s="6" t="s">
        <v>714</v>
      </c>
      <c r="J155" s="6" t="str">
        <f t="shared" si="9"/>
        <v>att_compound:trametinib</v>
      </c>
      <c r="K155" s="11" t="s">
        <v>18</v>
      </c>
      <c r="L155" s="6" t="s">
        <v>715</v>
      </c>
      <c r="M155" s="6" t="s">
        <v>14</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716</v>
      </c>
      <c r="D156" s="6" t="s">
        <v>717</v>
      </c>
      <c r="E156" s="6" t="s">
        <v>14</v>
      </c>
      <c r="F156" s="6" t="s">
        <v>2480</v>
      </c>
      <c r="G156" s="6" t="s">
        <v>2481</v>
      </c>
      <c r="H156" s="6" t="str">
        <f t="shared" si="8"/>
        <v>att_compound</v>
      </c>
      <c r="I156" s="6" t="s">
        <v>716</v>
      </c>
      <c r="J156" s="6" t="str">
        <f t="shared" si="9"/>
        <v>att_compound:unstimulated</v>
      </c>
      <c r="K156" s="11" t="s">
        <v>18</v>
      </c>
      <c r="L156" s="6" t="s">
        <v>718</v>
      </c>
      <c r="M156" s="6" t="s">
        <v>14</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719</v>
      </c>
      <c r="D157" s="6" t="s">
        <v>719</v>
      </c>
      <c r="E157" s="6" t="s">
        <v>14</v>
      </c>
      <c r="F157" s="6" t="s">
        <v>2503</v>
      </c>
      <c r="G157" s="6" t="s">
        <v>2504</v>
      </c>
      <c r="H157" s="6" t="str">
        <f t="shared" si="8"/>
        <v>att_context</v>
      </c>
      <c r="I157" s="6" t="s">
        <v>719</v>
      </c>
      <c r="J157" s="6" t="str">
        <f t="shared" si="9"/>
        <v>att_context:microenvironment</v>
      </c>
      <c r="K157" s="11" t="s">
        <v>18</v>
      </c>
      <c r="L157" s="6" t="s">
        <v>719</v>
      </c>
      <c r="M157" s="6" t="s">
        <v>14</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18</v>
      </c>
      <c r="B158" s="11"/>
      <c r="C158" s="6" t="s">
        <v>929</v>
      </c>
      <c r="D158" s="6" t="s">
        <v>928</v>
      </c>
      <c r="E158" s="6" t="s">
        <v>14</v>
      </c>
      <c r="F158" s="6" t="s">
        <v>2505</v>
      </c>
      <c r="G158" s="6" t="s">
        <v>2506</v>
      </c>
      <c r="H158" s="6" t="str">
        <f t="shared" si="8"/>
        <v>att_dataset</v>
      </c>
      <c r="I158" s="6" t="s">
        <v>929</v>
      </c>
      <c r="J158" s="6" t="str">
        <f t="shared" si="9"/>
        <v>att_dataset:database search</v>
      </c>
      <c r="K158" s="11" t="s">
        <v>18</v>
      </c>
      <c r="L158" s="6" t="s">
        <v>929</v>
      </c>
      <c r="M158" s="6" t="s">
        <v>14</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18</v>
      </c>
      <c r="B159" s="11"/>
      <c r="C159" s="6" t="s">
        <v>931</v>
      </c>
      <c r="D159" s="6" t="s">
        <v>931</v>
      </c>
      <c r="E159" s="6" t="s">
        <v>14</v>
      </c>
      <c r="F159" s="6" t="s">
        <v>2505</v>
      </c>
      <c r="G159" s="6" t="s">
        <v>2506</v>
      </c>
      <c r="H159" s="6" t="str">
        <f t="shared" si="8"/>
        <v>att_dataset</v>
      </c>
      <c r="I159" s="6" t="s">
        <v>931</v>
      </c>
      <c r="J159" s="6" t="str">
        <f t="shared" si="9"/>
        <v>att_dataset:de novo</v>
      </c>
      <c r="K159" s="11" t="s">
        <v>18</v>
      </c>
      <c r="L159" s="6" t="s">
        <v>931</v>
      </c>
      <c r="M159" s="6" t="s">
        <v>14</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1001</v>
      </c>
      <c r="D160" s="6" t="s">
        <v>1002</v>
      </c>
      <c r="E160" s="6" t="s">
        <v>14</v>
      </c>
      <c r="F160" s="6" t="s">
        <v>83</v>
      </c>
      <c r="G160" s="6" t="s">
        <v>2507</v>
      </c>
      <c r="H160" s="6" t="str">
        <f t="shared" si="8"/>
        <v>att_disease</v>
      </c>
      <c r="I160" s="6" t="s">
        <v>1001</v>
      </c>
      <c r="J160" s="6" t="str">
        <f t="shared" si="9"/>
        <v>att_disease:als</v>
      </c>
      <c r="K160" s="11" t="s">
        <v>18</v>
      </c>
      <c r="L160" s="6" t="s">
        <v>1003</v>
      </c>
      <c r="M160" s="6" t="s">
        <v>14</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1004</v>
      </c>
      <c r="D161" s="6" t="s">
        <v>1005</v>
      </c>
      <c r="E161" s="6" t="s">
        <v>14</v>
      </c>
      <c r="F161" s="6" t="s">
        <v>83</v>
      </c>
      <c r="G161" s="6" t="s">
        <v>2507</v>
      </c>
      <c r="H161" s="6" t="str">
        <f t="shared" si="8"/>
        <v>att_disease</v>
      </c>
      <c r="I161" s="6" t="s">
        <v>1004</v>
      </c>
      <c r="J161" s="6" t="str">
        <f t="shared" si="9"/>
        <v>att_disease:alzheimer</v>
      </c>
      <c r="K161" s="11" t="s">
        <v>18</v>
      </c>
      <c r="L161" s="6" t="s">
        <v>1006</v>
      </c>
      <c r="M161" s="6" t="s">
        <v>14</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1007</v>
      </c>
      <c r="D162" s="6" t="s">
        <v>1008</v>
      </c>
      <c r="E162" s="6" t="s">
        <v>14</v>
      </c>
      <c r="F162" s="6" t="s">
        <v>83</v>
      </c>
      <c r="G162" s="6" t="s">
        <v>2507</v>
      </c>
      <c r="H162" s="6" t="str">
        <f t="shared" si="8"/>
        <v>att_disease</v>
      </c>
      <c r="I162" s="6" t="s">
        <v>1007</v>
      </c>
      <c r="J162" s="6" t="str">
        <f t="shared" si="9"/>
        <v>att_disease:autoimmune</v>
      </c>
      <c r="K162" s="11" t="s">
        <v>18</v>
      </c>
      <c r="L162" s="6" t="s">
        <v>1009</v>
      </c>
      <c r="M162" s="6" t="s">
        <v>14</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1010</v>
      </c>
      <c r="D163" s="6" t="s">
        <v>1011</v>
      </c>
      <c r="E163" s="6" t="s">
        <v>14</v>
      </c>
      <c r="F163" s="6" t="s">
        <v>83</v>
      </c>
      <c r="G163" s="6" t="s">
        <v>2507</v>
      </c>
      <c r="H163" s="6" t="str">
        <f t="shared" si="8"/>
        <v>att_disease</v>
      </c>
      <c r="I163" s="6" t="s">
        <v>1010</v>
      </c>
      <c r="J163" s="6" t="str">
        <f t="shared" si="9"/>
        <v>att_disease:cancer</v>
      </c>
      <c r="K163" s="11" t="s">
        <v>18</v>
      </c>
      <c r="L163" s="6" t="s">
        <v>1012</v>
      </c>
      <c r="M163" s="6" t="s">
        <v>14</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1014</v>
      </c>
      <c r="D164" s="6" t="s">
        <v>1015</v>
      </c>
      <c r="E164" s="6" t="s">
        <v>14</v>
      </c>
      <c r="F164" s="6" t="s">
        <v>83</v>
      </c>
      <c r="G164" s="6" t="s">
        <v>2507</v>
      </c>
      <c r="H164" s="6" t="str">
        <f t="shared" si="8"/>
        <v>att_disease</v>
      </c>
      <c r="I164" s="6" t="s">
        <v>1013</v>
      </c>
      <c r="J164" s="6" t="str">
        <f t="shared" si="9"/>
        <v>att_disease:cardiovascular_diseases</v>
      </c>
      <c r="K164" s="11" t="s">
        <v>18</v>
      </c>
      <c r="L164" s="6" t="s">
        <v>1016</v>
      </c>
      <c r="M164" s="6" t="s">
        <v>14</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1017</v>
      </c>
      <c r="D165" s="6" t="s">
        <v>1019</v>
      </c>
      <c r="E165" s="6" t="s">
        <v>14</v>
      </c>
      <c r="F165" s="6" t="s">
        <v>83</v>
      </c>
      <c r="G165" s="6" t="s">
        <v>2507</v>
      </c>
      <c r="H165" s="6" t="str">
        <f t="shared" si="8"/>
        <v>att_disease</v>
      </c>
      <c r="I165" s="6" t="s">
        <v>1017</v>
      </c>
      <c r="J165" s="6" t="str">
        <f t="shared" si="9"/>
        <v>att_disease:chronic_inflammation</v>
      </c>
      <c r="K165" s="11" t="s">
        <v>18</v>
      </c>
      <c r="L165" s="6" t="s">
        <v>1020</v>
      </c>
      <c r="M165" s="6" t="s">
        <v>14</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1021</v>
      </c>
      <c r="D166" s="6" t="s">
        <v>1022</v>
      </c>
      <c r="E166" s="6" t="s">
        <v>14</v>
      </c>
      <c r="F166" s="6" t="s">
        <v>83</v>
      </c>
      <c r="G166" s="6" t="s">
        <v>2507</v>
      </c>
      <c r="H166" s="6" t="str">
        <f t="shared" si="8"/>
        <v>att_disease</v>
      </c>
      <c r="I166" s="6" t="s">
        <v>1021</v>
      </c>
      <c r="J166" s="6" t="str">
        <f t="shared" si="9"/>
        <v>att_disease:coeliac</v>
      </c>
      <c r="K166" s="11" t="s">
        <v>18</v>
      </c>
      <c r="L166" s="6" t="s">
        <v>1023</v>
      </c>
      <c r="M166" s="6" t="s">
        <v>14</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1024</v>
      </c>
      <c r="D167" s="6" t="s">
        <v>1025</v>
      </c>
      <c r="E167" s="6" t="s">
        <v>14</v>
      </c>
      <c r="F167" s="6" t="s">
        <v>83</v>
      </c>
      <c r="G167" s="6" t="s">
        <v>2507</v>
      </c>
      <c r="H167" s="6" t="str">
        <f t="shared" si="8"/>
        <v>att_disease</v>
      </c>
      <c r="I167" s="6" t="s">
        <v>1024</v>
      </c>
      <c r="J167" s="6" t="str">
        <f t="shared" si="9"/>
        <v>att_disease:covid19</v>
      </c>
      <c r="K167" s="11" t="s">
        <v>18</v>
      </c>
      <c r="L167" s="6" t="s">
        <v>1026</v>
      </c>
      <c r="M167" s="6" t="s">
        <v>14</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1027</v>
      </c>
      <c r="D168" s="6" t="s">
        <v>1028</v>
      </c>
      <c r="E168" s="6" t="s">
        <v>14</v>
      </c>
      <c r="F168" s="6" t="s">
        <v>83</v>
      </c>
      <c r="G168" s="6" t="s">
        <v>2507</v>
      </c>
      <c r="H168" s="6" t="str">
        <f t="shared" si="8"/>
        <v>att_disease</v>
      </c>
      <c r="I168" s="6" t="s">
        <v>1027</v>
      </c>
      <c r="J168" s="6" t="str">
        <f t="shared" si="9"/>
        <v>att_disease:dementia</v>
      </c>
      <c r="K168" s="11" t="s">
        <v>18</v>
      </c>
      <c r="L168" s="6" t="s">
        <v>1028</v>
      </c>
      <c r="M168" s="6" t="s">
        <v>14</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1029</v>
      </c>
      <c r="D169" s="6" t="s">
        <v>1030</v>
      </c>
      <c r="E169" s="6" t="s">
        <v>14</v>
      </c>
      <c r="F169" s="6" t="s">
        <v>83</v>
      </c>
      <c r="G169" s="6" t="s">
        <v>2507</v>
      </c>
      <c r="H169" s="6" t="str">
        <f t="shared" si="8"/>
        <v>att_disease</v>
      </c>
      <c r="I169" s="6" t="s">
        <v>1029</v>
      </c>
      <c r="J169" s="6" t="str">
        <f t="shared" si="9"/>
        <v>att_disease:demyelinating</v>
      </c>
      <c r="K169" s="11" t="s">
        <v>18</v>
      </c>
      <c r="L169" s="6" t="s">
        <v>1031</v>
      </c>
      <c r="M169" s="6" t="s">
        <v>14</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1032</v>
      </c>
      <c r="D170" s="6" t="s">
        <v>1033</v>
      </c>
      <c r="E170" s="6" t="s">
        <v>14</v>
      </c>
      <c r="F170" s="6" t="s">
        <v>83</v>
      </c>
      <c r="G170" s="6" t="s">
        <v>2507</v>
      </c>
      <c r="H170" s="6" t="str">
        <f t="shared" si="8"/>
        <v>att_disease</v>
      </c>
      <c r="I170" s="6" t="s">
        <v>1032</v>
      </c>
      <c r="J170" s="6" t="str">
        <f t="shared" si="9"/>
        <v>att_disease:diabetes</v>
      </c>
      <c r="K170" s="11" t="s">
        <v>18</v>
      </c>
      <c r="L170" s="6" t="s">
        <v>1033</v>
      </c>
      <c r="M170" s="6" t="s">
        <v>14</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1034</v>
      </c>
      <c r="D171" s="6" t="s">
        <v>1035</v>
      </c>
      <c r="E171" s="6" t="s">
        <v>14</v>
      </c>
      <c r="F171" s="6" t="s">
        <v>83</v>
      </c>
      <c r="G171" s="6" t="s">
        <v>2507</v>
      </c>
      <c r="H171" s="6" t="str">
        <f t="shared" si="8"/>
        <v>att_disease</v>
      </c>
      <c r="I171" s="6" t="s">
        <v>1034</v>
      </c>
      <c r="J171" s="6" t="str">
        <f t="shared" si="9"/>
        <v>att_disease:glioblastoma</v>
      </c>
      <c r="K171" s="11" t="s">
        <v>18</v>
      </c>
      <c r="L171" s="6" t="s">
        <v>1036</v>
      </c>
      <c r="M171" s="6" t="s">
        <v>14</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1037</v>
      </c>
      <c r="D172" s="6" t="s">
        <v>1038</v>
      </c>
      <c r="E172" s="6" t="s">
        <v>14</v>
      </c>
      <c r="F172" s="6" t="s">
        <v>83</v>
      </c>
      <c r="G172" s="6" t="s">
        <v>2507</v>
      </c>
      <c r="H172" s="6" t="str">
        <f t="shared" si="8"/>
        <v>att_disease</v>
      </c>
      <c r="I172" s="6" t="s">
        <v>1037</v>
      </c>
      <c r="J172" s="6" t="str">
        <f t="shared" si="9"/>
        <v>att_disease:hiv</v>
      </c>
      <c r="K172" s="11" t="s">
        <v>18</v>
      </c>
      <c r="L172" s="6" t="s">
        <v>1039</v>
      </c>
      <c r="M172" s="6" t="s">
        <v>14</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1040</v>
      </c>
      <c r="D173" s="6" t="s">
        <v>1041</v>
      </c>
      <c r="E173" s="6" t="s">
        <v>14</v>
      </c>
      <c r="F173" s="6" t="s">
        <v>83</v>
      </c>
      <c r="G173" s="6" t="s">
        <v>2507</v>
      </c>
      <c r="H173" s="6" t="str">
        <f t="shared" si="8"/>
        <v>att_disease</v>
      </c>
      <c r="I173" s="6" t="s">
        <v>1040</v>
      </c>
      <c r="J173" s="6" t="str">
        <f t="shared" si="9"/>
        <v>att_disease:huntington</v>
      </c>
      <c r="K173" s="11" t="s">
        <v>18</v>
      </c>
      <c r="L173" s="6" t="s">
        <v>1042</v>
      </c>
      <c r="M173" s="6" t="s">
        <v>14</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1043</v>
      </c>
      <c r="D174" s="6" t="s">
        <v>1044</v>
      </c>
      <c r="E174" s="6" t="s">
        <v>14</v>
      </c>
      <c r="F174" s="6" t="s">
        <v>83</v>
      </c>
      <c r="G174" s="6" t="s">
        <v>2507</v>
      </c>
      <c r="H174" s="6" t="str">
        <f t="shared" si="8"/>
        <v>att_disease</v>
      </c>
      <c r="I174" s="6" t="s">
        <v>1043</v>
      </c>
      <c r="J174" s="6" t="str">
        <f t="shared" si="9"/>
        <v>att_disease:ibd</v>
      </c>
      <c r="K174" s="11" t="s">
        <v>18</v>
      </c>
      <c r="L174" s="6" t="s">
        <v>1045</v>
      </c>
      <c r="M174" s="6" t="s">
        <v>14</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1046</v>
      </c>
      <c r="D175" s="6" t="s">
        <v>1047</v>
      </c>
      <c r="E175" s="6" t="s">
        <v>14</v>
      </c>
      <c r="F175" s="6" t="s">
        <v>83</v>
      </c>
      <c r="G175" s="6" t="s">
        <v>2507</v>
      </c>
      <c r="H175" s="6" t="str">
        <f t="shared" si="8"/>
        <v>att_disease</v>
      </c>
      <c r="I175" s="6" t="s">
        <v>1046</v>
      </c>
      <c r="J175" s="6" t="str">
        <f t="shared" si="9"/>
        <v>att_disease:infection</v>
      </c>
      <c r="K175" s="11" t="s">
        <v>18</v>
      </c>
      <c r="L175" s="6" t="s">
        <v>1048</v>
      </c>
      <c r="M175" s="6" t="s">
        <v>14</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1049</v>
      </c>
      <c r="D176" s="6" t="s">
        <v>1050</v>
      </c>
      <c r="E176" s="6" t="s">
        <v>14</v>
      </c>
      <c r="F176" s="6" t="s">
        <v>83</v>
      </c>
      <c r="G176" s="6" t="s">
        <v>2507</v>
      </c>
      <c r="H176" s="6" t="str">
        <f t="shared" si="8"/>
        <v>att_disease</v>
      </c>
      <c r="I176" s="6" t="s">
        <v>1049</v>
      </c>
      <c r="J176" s="6" t="str">
        <f t="shared" si="9"/>
        <v>att_disease:influenza</v>
      </c>
      <c r="K176" s="11" t="s">
        <v>18</v>
      </c>
      <c r="L176" s="6" t="s">
        <v>1051</v>
      </c>
      <c r="M176" s="6" t="s">
        <v>14</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1052</v>
      </c>
      <c r="D177" s="6" t="s">
        <v>565</v>
      </c>
      <c r="E177" s="6" t="s">
        <v>14</v>
      </c>
      <c r="F177" s="6" t="s">
        <v>83</v>
      </c>
      <c r="G177" s="6" t="s">
        <v>2507</v>
      </c>
      <c r="H177" s="6" t="str">
        <f t="shared" si="8"/>
        <v>att_disease</v>
      </c>
      <c r="I177" s="6" t="s">
        <v>1052</v>
      </c>
      <c r="J177" s="6" t="str">
        <f t="shared" si="9"/>
        <v>att_disease:leukemia</v>
      </c>
      <c r="K177" s="11" t="s">
        <v>18</v>
      </c>
      <c r="L177" s="6" t="s">
        <v>1053</v>
      </c>
      <c r="M177" s="6" t="s">
        <v>14</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1054</v>
      </c>
      <c r="D178" s="6" t="s">
        <v>1055</v>
      </c>
      <c r="E178" s="6" t="s">
        <v>14</v>
      </c>
      <c r="F178" s="6" t="s">
        <v>83</v>
      </c>
      <c r="G178" s="6" t="s">
        <v>2507</v>
      </c>
      <c r="H178" s="6" t="str">
        <f t="shared" si="8"/>
        <v>att_disease</v>
      </c>
      <c r="I178" s="6" t="s">
        <v>1054</v>
      </c>
      <c r="J178" s="6" t="str">
        <f t="shared" si="9"/>
        <v>att_disease:lymphoma</v>
      </c>
      <c r="K178" s="11" t="s">
        <v>18</v>
      </c>
      <c r="L178" s="6" t="s">
        <v>1056</v>
      </c>
      <c r="M178" s="6" t="s">
        <v>14</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1057</v>
      </c>
      <c r="D179" s="6" t="s">
        <v>1058</v>
      </c>
      <c r="E179" s="6" t="s">
        <v>14</v>
      </c>
      <c r="F179" s="6" t="s">
        <v>83</v>
      </c>
      <c r="G179" s="6" t="s">
        <v>2507</v>
      </c>
      <c r="H179" s="6" t="str">
        <f t="shared" si="8"/>
        <v>att_disease</v>
      </c>
      <c r="I179" s="6" t="s">
        <v>1057</v>
      </c>
      <c r="J179" s="6" t="str">
        <f t="shared" si="9"/>
        <v>att_disease:malaria</v>
      </c>
      <c r="K179" s="11" t="s">
        <v>18</v>
      </c>
      <c r="L179" s="6" t="s">
        <v>1059</v>
      </c>
      <c r="M179" s="6" t="s">
        <v>14</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22</v>
      </c>
      <c r="D180" s="6" t="s">
        <v>1060</v>
      </c>
      <c r="E180" s="6" t="s">
        <v>14</v>
      </c>
      <c r="F180" s="6" t="s">
        <v>83</v>
      </c>
      <c r="G180" s="6" t="s">
        <v>2507</v>
      </c>
      <c r="H180" s="6" t="str">
        <f t="shared" si="8"/>
        <v>att_disease</v>
      </c>
      <c r="I180" s="6" t="s">
        <v>22</v>
      </c>
      <c r="J180" s="6" t="str">
        <f t="shared" si="9"/>
        <v>att_disease:ms</v>
      </c>
      <c r="K180" s="11" t="s">
        <v>18</v>
      </c>
      <c r="L180" s="6" t="s">
        <v>1061</v>
      </c>
      <c r="M180" s="6" t="s">
        <v>14</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1062</v>
      </c>
      <c r="D181" s="6" t="s">
        <v>1063</v>
      </c>
      <c r="E181" s="6" t="s">
        <v>14</v>
      </c>
      <c r="F181" s="6" t="s">
        <v>83</v>
      </c>
      <c r="G181" s="6" t="s">
        <v>2507</v>
      </c>
      <c r="H181" s="6" t="str">
        <f t="shared" si="8"/>
        <v>att_disease</v>
      </c>
      <c r="I181" s="6" t="s">
        <v>1062</v>
      </c>
      <c r="J181" s="6" t="str">
        <f t="shared" si="9"/>
        <v>att_disease:msa</v>
      </c>
      <c r="K181" s="11" t="s">
        <v>18</v>
      </c>
      <c r="L181" s="6" t="s">
        <v>1064</v>
      </c>
      <c r="M181" s="6" t="s">
        <v>14</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1065</v>
      </c>
      <c r="D182" s="6" t="s">
        <v>1066</v>
      </c>
      <c r="E182" s="6" t="s">
        <v>14</v>
      </c>
      <c r="F182" s="6" t="s">
        <v>83</v>
      </c>
      <c r="G182" s="6" t="s">
        <v>2507</v>
      </c>
      <c r="H182" s="6" t="str">
        <f t="shared" si="8"/>
        <v>att_disease</v>
      </c>
      <c r="I182" s="6" t="s">
        <v>1065</v>
      </c>
      <c r="J182" s="6" t="str">
        <f t="shared" si="9"/>
        <v>att_disease:neurodegenerative</v>
      </c>
      <c r="K182" s="11" t="s">
        <v>18</v>
      </c>
      <c r="L182" s="6" t="s">
        <v>1067</v>
      </c>
      <c r="M182" s="6" t="s">
        <v>14</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1068</v>
      </c>
      <c r="D183" s="6" t="s">
        <v>1069</v>
      </c>
      <c r="E183" s="6" t="s">
        <v>14</v>
      </c>
      <c r="F183" s="6" t="s">
        <v>83</v>
      </c>
      <c r="G183" s="6" t="s">
        <v>2507</v>
      </c>
      <c r="H183" s="6" t="str">
        <f t="shared" si="8"/>
        <v>att_disease</v>
      </c>
      <c r="I183" s="6" t="s">
        <v>1068</v>
      </c>
      <c r="J183" s="6" t="str">
        <f t="shared" si="9"/>
        <v>att_disease:parkinson</v>
      </c>
      <c r="K183" s="11" t="s">
        <v>18</v>
      </c>
      <c r="L183" s="6" t="s">
        <v>1070</v>
      </c>
      <c r="M183" s="6" t="s">
        <v>14</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1071</v>
      </c>
      <c r="D184" s="6" t="s">
        <v>1072</v>
      </c>
      <c r="E184" s="6" t="s">
        <v>14</v>
      </c>
      <c r="F184" s="6" t="s">
        <v>83</v>
      </c>
      <c r="G184" s="6" t="s">
        <v>2507</v>
      </c>
      <c r="H184" s="6" t="str">
        <f t="shared" si="8"/>
        <v>att_disease</v>
      </c>
      <c r="I184" s="6" t="s">
        <v>1071</v>
      </c>
      <c r="J184" s="6" t="str">
        <f t="shared" si="9"/>
        <v>att_disease:prion</v>
      </c>
      <c r="K184" s="11" t="s">
        <v>18</v>
      </c>
      <c r="L184" s="6" t="s">
        <v>1073</v>
      </c>
      <c r="M184" s="6" t="s">
        <v>14</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1074</v>
      </c>
      <c r="D185" s="6" t="s">
        <v>1075</v>
      </c>
      <c r="E185" s="6" t="s">
        <v>14</v>
      </c>
      <c r="F185" s="6" t="s">
        <v>83</v>
      </c>
      <c r="G185" s="6" t="s">
        <v>2507</v>
      </c>
      <c r="H185" s="6" t="str">
        <f t="shared" si="8"/>
        <v>att_disease</v>
      </c>
      <c r="I185" s="6" t="s">
        <v>1074</v>
      </c>
      <c r="J185" s="6" t="str">
        <f t="shared" si="9"/>
        <v>att_disease:rheumatoid</v>
      </c>
      <c r="K185" s="11" t="s">
        <v>18</v>
      </c>
      <c r="L185" s="6" t="s">
        <v>1076</v>
      </c>
      <c r="M185" s="6" t="s">
        <v>14</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1077</v>
      </c>
      <c r="D186" s="6" t="s">
        <v>1078</v>
      </c>
      <c r="E186" s="6" t="s">
        <v>14</v>
      </c>
      <c r="F186" s="6" t="s">
        <v>83</v>
      </c>
      <c r="G186" s="6" t="s">
        <v>2507</v>
      </c>
      <c r="H186" s="6" t="str">
        <f t="shared" si="8"/>
        <v>att_disease</v>
      </c>
      <c r="I186" s="6" t="s">
        <v>1077</v>
      </c>
      <c r="J186" s="6" t="str">
        <f t="shared" si="9"/>
        <v>att_disease:stress</v>
      </c>
      <c r="K186" s="11" t="s">
        <v>18</v>
      </c>
      <c r="L186" s="6" t="s">
        <v>1079</v>
      </c>
      <c r="M186" s="6" t="s">
        <v>14</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1080</v>
      </c>
      <c r="D187" s="6" t="s">
        <v>1081</v>
      </c>
      <c r="E187" s="6" t="s">
        <v>14</v>
      </c>
      <c r="F187" s="6" t="s">
        <v>83</v>
      </c>
      <c r="G187" s="6" t="s">
        <v>2507</v>
      </c>
      <c r="H187" s="6" t="str">
        <f t="shared" si="8"/>
        <v>att_disease</v>
      </c>
      <c r="I187" s="6" t="s">
        <v>1080</v>
      </c>
      <c r="J187" s="6" t="str">
        <f t="shared" si="9"/>
        <v>att_disease:stroke</v>
      </c>
      <c r="K187" s="11" t="s">
        <v>18</v>
      </c>
      <c r="L187" s="6" t="s">
        <v>1082</v>
      </c>
      <c r="M187" s="6" t="s">
        <v>14</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1083</v>
      </c>
      <c r="D188" s="6" t="s">
        <v>1084</v>
      </c>
      <c r="E188" s="6" t="s">
        <v>14</v>
      </c>
      <c r="F188" s="6" t="s">
        <v>83</v>
      </c>
      <c r="G188" s="6" t="s">
        <v>2507</v>
      </c>
      <c r="H188" s="6" t="str">
        <f t="shared" si="8"/>
        <v>att_disease</v>
      </c>
      <c r="I188" s="6" t="s">
        <v>1083</v>
      </c>
      <c r="J188" s="6" t="str">
        <f t="shared" si="9"/>
        <v>att_disease:tuberculosis</v>
      </c>
      <c r="K188" s="11" t="s">
        <v>18</v>
      </c>
      <c r="L188" s="6" t="s">
        <v>1085</v>
      </c>
      <c r="M188" s="6" t="s">
        <v>14</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18</v>
      </c>
      <c r="B189" s="11"/>
      <c r="C189" s="6" t="s">
        <v>1092</v>
      </c>
      <c r="D189" s="6" t="s">
        <v>1093</v>
      </c>
      <c r="E189" s="6" t="s">
        <v>14</v>
      </c>
      <c r="F189" s="6" t="s">
        <v>87</v>
      </c>
      <c r="G189" s="6" t="s">
        <v>2508</v>
      </c>
      <c r="H189" s="6" t="str">
        <f t="shared" si="8"/>
        <v>att_experiment</v>
      </c>
      <c r="I189" s="6" t="s">
        <v>1092</v>
      </c>
      <c r="J189" s="6" t="str">
        <f t="shared" si="9"/>
        <v>att_experiment:acetylome</v>
      </c>
      <c r="K189" s="11" t="s">
        <v>18</v>
      </c>
      <c r="L189" s="6" t="s">
        <v>1093</v>
      </c>
      <c r="M189" s="6" t="s">
        <v>14</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18</v>
      </c>
      <c r="B190" s="11"/>
      <c r="C190" s="6" t="s">
        <v>1094</v>
      </c>
      <c r="D190" s="6" t="s">
        <v>1095</v>
      </c>
      <c r="E190" s="6" t="s">
        <v>14</v>
      </c>
      <c r="F190" s="6" t="s">
        <v>87</v>
      </c>
      <c r="G190" s="6" t="s">
        <v>2508</v>
      </c>
      <c r="H190" s="6" t="str">
        <f t="shared" si="8"/>
        <v>att_experiment</v>
      </c>
      <c r="I190" s="6" t="s">
        <v>1094</v>
      </c>
      <c r="J190" s="6" t="str">
        <f t="shared" si="9"/>
        <v>att_experiment:dvp</v>
      </c>
      <c r="K190" s="11" t="s">
        <v>18</v>
      </c>
      <c r="L190" s="6" t="s">
        <v>1096</v>
      </c>
      <c r="M190" s="6" t="s">
        <v>14</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18</v>
      </c>
      <c r="B191" s="11"/>
      <c r="C191" s="6" t="s">
        <v>1097</v>
      </c>
      <c r="D191" s="6" t="s">
        <v>1099</v>
      </c>
      <c r="E191" s="6" t="s">
        <v>14</v>
      </c>
      <c r="F191" s="6" t="s">
        <v>87</v>
      </c>
      <c r="G191" s="6" t="s">
        <v>2508</v>
      </c>
      <c r="H191" s="6" t="str">
        <f t="shared" si="8"/>
        <v>att_experiment</v>
      </c>
      <c r="I191" s="6" t="s">
        <v>1097</v>
      </c>
      <c r="J191" s="6" t="str">
        <f t="shared" si="9"/>
        <v>att_experiment:expression_proteome</v>
      </c>
      <c r="K191" s="11" t="s">
        <v>18</v>
      </c>
      <c r="L191" s="6" t="s">
        <v>1099</v>
      </c>
      <c r="M191" s="6" t="s">
        <v>14</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18</v>
      </c>
      <c r="B192" s="11"/>
      <c r="C192" s="6" t="s">
        <v>1100</v>
      </c>
      <c r="D192" s="6" t="s">
        <v>1101</v>
      </c>
      <c r="E192" s="6" t="s">
        <v>14</v>
      </c>
      <c r="F192" s="6" t="s">
        <v>87</v>
      </c>
      <c r="G192" s="6" t="s">
        <v>2508</v>
      </c>
      <c r="H192" s="6" t="str">
        <f t="shared" si="8"/>
        <v>att_experiment</v>
      </c>
      <c r="I192" s="6" t="s">
        <v>1100</v>
      </c>
      <c r="J192" s="6" t="str">
        <f t="shared" si="9"/>
        <v>att_experiment:interaction</v>
      </c>
      <c r="K192" s="11" t="s">
        <v>18</v>
      </c>
      <c r="L192" s="6" t="s">
        <v>1101</v>
      </c>
      <c r="M192" s="6" t="s">
        <v>14</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18</v>
      </c>
      <c r="B193" s="11"/>
      <c r="C193" s="6" t="s">
        <v>1102</v>
      </c>
      <c r="D193" s="6" t="s">
        <v>1103</v>
      </c>
      <c r="E193" s="6" t="s">
        <v>14</v>
      </c>
      <c r="F193" s="6" t="s">
        <v>87</v>
      </c>
      <c r="G193" s="6" t="s">
        <v>2508</v>
      </c>
      <c r="H193" s="6" t="str">
        <f t="shared" si="8"/>
        <v>att_experiment</v>
      </c>
      <c r="I193" s="6" t="s">
        <v>1102</v>
      </c>
      <c r="J193" s="6" t="str">
        <f t="shared" si="9"/>
        <v>att_experiment:metrs</v>
      </c>
      <c r="K193" s="11" t="s">
        <v>18</v>
      </c>
      <c r="L193" s="6" t="s">
        <v>1103</v>
      </c>
      <c r="M193" s="6" t="s">
        <v>14</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18</v>
      </c>
      <c r="B194" s="11"/>
      <c r="C194" s="6" t="s">
        <v>2509</v>
      </c>
      <c r="D194" s="6" t="s">
        <v>1106</v>
      </c>
      <c r="E194" s="6" t="s">
        <v>14</v>
      </c>
      <c r="F194" s="6" t="s">
        <v>87</v>
      </c>
      <c r="G194" s="6" t="s">
        <v>2508</v>
      </c>
      <c r="H194" s="6" t="str">
        <f t="shared" ref="H194:H221" si="12">"att_"&amp;G194</f>
        <v>att_experiment</v>
      </c>
      <c r="I194" s="6" t="s">
        <v>1104</v>
      </c>
      <c r="J194" s="6" t="str">
        <f t="shared" ref="J194:J221" si="13">H194&amp;":"&amp;I194</f>
        <v>att_experiment:neo_nterm_enrichment</v>
      </c>
      <c r="K194" s="11" t="s">
        <v>18</v>
      </c>
      <c r="L194" s="6" t="s">
        <v>1106</v>
      </c>
      <c r="M194" s="6" t="s">
        <v>14</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18</v>
      </c>
      <c r="B195" s="11"/>
      <c r="C195" s="6" t="s">
        <v>2510</v>
      </c>
      <c r="D195" s="6" t="s">
        <v>2511</v>
      </c>
      <c r="E195" s="6" t="s">
        <v>14</v>
      </c>
      <c r="F195" s="6" t="s">
        <v>87</v>
      </c>
      <c r="G195" s="6" t="s">
        <v>2508</v>
      </c>
      <c r="H195" s="6" t="str">
        <f t="shared" si="12"/>
        <v>att_experiment</v>
      </c>
      <c r="I195" s="6" t="s">
        <v>2510</v>
      </c>
      <c r="J195" s="6" t="str">
        <f t="shared" si="13"/>
        <v>att_experiment:other_ptm</v>
      </c>
      <c r="K195" s="11" t="s">
        <v>18</v>
      </c>
      <c r="L195" s="6" t="s">
        <v>2511</v>
      </c>
      <c r="M195" s="6" t="s">
        <v>14</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18</v>
      </c>
      <c r="B196" s="11"/>
      <c r="C196" s="6" t="s">
        <v>1107</v>
      </c>
      <c r="D196" s="6" t="s">
        <v>1108</v>
      </c>
      <c r="E196" s="6" t="s">
        <v>14</v>
      </c>
      <c r="F196" s="6" t="s">
        <v>87</v>
      </c>
      <c r="G196" s="6" t="s">
        <v>2508</v>
      </c>
      <c r="H196" s="6" t="str">
        <f t="shared" si="12"/>
        <v>att_experiment</v>
      </c>
      <c r="I196" s="6" t="s">
        <v>1107</v>
      </c>
      <c r="J196" s="6" t="str">
        <f t="shared" si="13"/>
        <v>att_experiment:oxinome</v>
      </c>
      <c r="K196" s="11" t="s">
        <v>18</v>
      </c>
      <c r="L196" s="6" t="s">
        <v>1108</v>
      </c>
      <c r="M196" s="6" t="s">
        <v>14</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18</v>
      </c>
      <c r="B197" s="11"/>
      <c r="C197" s="6" t="s">
        <v>1109</v>
      </c>
      <c r="D197" s="6" t="s">
        <v>1110</v>
      </c>
      <c r="E197" s="6" t="s">
        <v>14</v>
      </c>
      <c r="F197" s="6" t="s">
        <v>87</v>
      </c>
      <c r="G197" s="6" t="s">
        <v>2508</v>
      </c>
      <c r="H197" s="6" t="str">
        <f t="shared" si="12"/>
        <v>att_experiment</v>
      </c>
      <c r="I197" s="6" t="s">
        <v>1109</v>
      </c>
      <c r="J197" s="6" t="str">
        <f t="shared" si="13"/>
        <v>att_experiment:phosphoproteome</v>
      </c>
      <c r="K197" s="11" t="s">
        <v>18</v>
      </c>
      <c r="L197" s="6" t="s">
        <v>1110</v>
      </c>
      <c r="M197" s="6" t="s">
        <v>14</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18</v>
      </c>
      <c r="B198" s="11"/>
      <c r="C198" s="6" t="s">
        <v>2512</v>
      </c>
      <c r="D198" s="6" t="s">
        <v>1112</v>
      </c>
      <c r="E198" s="6" t="s">
        <v>14</v>
      </c>
      <c r="F198" s="6" t="s">
        <v>87</v>
      </c>
      <c r="G198" s="6" t="s">
        <v>2508</v>
      </c>
      <c r="H198" s="6" t="str">
        <f t="shared" si="12"/>
        <v>att_experiment</v>
      </c>
      <c r="I198" s="6" t="s">
        <v>1111</v>
      </c>
      <c r="J198" s="6" t="str">
        <f t="shared" si="13"/>
        <v>att_experiment:pulse_silac</v>
      </c>
      <c r="K198" s="11" t="s">
        <v>18</v>
      </c>
      <c r="L198" s="6" t="s">
        <v>1112</v>
      </c>
      <c r="M198" s="6" t="s">
        <v>14</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18</v>
      </c>
      <c r="B199" s="11"/>
      <c r="C199" s="6" t="s">
        <v>1113</v>
      </c>
      <c r="D199" s="6" t="s">
        <v>1114</v>
      </c>
      <c r="E199" s="6" t="s">
        <v>14</v>
      </c>
      <c r="F199" s="6" t="s">
        <v>87</v>
      </c>
      <c r="G199" s="6" t="s">
        <v>2508</v>
      </c>
      <c r="H199" s="6" t="str">
        <f t="shared" si="12"/>
        <v>att_experiment</v>
      </c>
      <c r="I199" s="6" t="s">
        <v>1113</v>
      </c>
      <c r="J199" s="6" t="str">
        <f t="shared" si="13"/>
        <v>att_experiment:secretome</v>
      </c>
      <c r="K199" s="11" t="s">
        <v>18</v>
      </c>
      <c r="L199" s="6" t="s">
        <v>1114</v>
      </c>
      <c r="M199" s="6" t="s">
        <v>14</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18</v>
      </c>
      <c r="B200" s="11"/>
      <c r="C200" s="6" t="s">
        <v>1115</v>
      </c>
      <c r="D200" s="6" t="s">
        <v>1116</v>
      </c>
      <c r="E200" s="6" t="s">
        <v>14</v>
      </c>
      <c r="F200" s="6" t="s">
        <v>87</v>
      </c>
      <c r="G200" s="6" t="s">
        <v>2508</v>
      </c>
      <c r="H200" s="6" t="str">
        <f t="shared" si="12"/>
        <v>att_experiment</v>
      </c>
      <c r="I200" s="6" t="s">
        <v>1115</v>
      </c>
      <c r="J200" s="6" t="str">
        <f t="shared" si="13"/>
        <v>att_experiment:spatial</v>
      </c>
      <c r="K200" s="11" t="s">
        <v>18</v>
      </c>
      <c r="L200" s="6" t="s">
        <v>1116</v>
      </c>
      <c r="M200" s="6" t="s">
        <v>14</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18</v>
      </c>
      <c r="B201" s="11"/>
      <c r="C201" s="6" t="s">
        <v>1117</v>
      </c>
      <c r="D201" s="6" t="s">
        <v>1118</v>
      </c>
      <c r="E201" s="6" t="s">
        <v>14</v>
      </c>
      <c r="F201" s="6" t="s">
        <v>87</v>
      </c>
      <c r="G201" s="6" t="s">
        <v>2508</v>
      </c>
      <c r="H201" s="6" t="str">
        <f t="shared" si="12"/>
        <v>att_experiment</v>
      </c>
      <c r="I201" s="6" t="s">
        <v>1117</v>
      </c>
      <c r="J201" s="6" t="str">
        <f t="shared" si="13"/>
        <v>att_experiment:ubiquitinome</v>
      </c>
      <c r="K201" s="11" t="s">
        <v>18</v>
      </c>
      <c r="L201" s="6" t="s">
        <v>1118</v>
      </c>
      <c r="M201" s="6" t="s">
        <v>14</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1125</v>
      </c>
      <c r="D202" s="6" t="s">
        <v>1127</v>
      </c>
      <c r="E202" s="6" t="s">
        <v>14</v>
      </c>
      <c r="F202" s="6" t="s">
        <v>2513</v>
      </c>
      <c r="G202" s="6" t="s">
        <v>2514</v>
      </c>
      <c r="H202" s="6" t="str">
        <f t="shared" si="12"/>
        <v>att_fluid</v>
      </c>
      <c r="I202" s="6" t="s">
        <v>1125</v>
      </c>
      <c r="J202" s="6" t="str">
        <f t="shared" si="13"/>
        <v>att_fluid:bal</v>
      </c>
      <c r="K202" s="11" t="s">
        <v>18</v>
      </c>
      <c r="L202" s="6" t="s">
        <v>1128</v>
      </c>
      <c r="M202" s="6" t="s">
        <v>14</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1129</v>
      </c>
      <c r="D203" s="6" t="s">
        <v>1130</v>
      </c>
      <c r="E203" s="6" t="s">
        <v>14</v>
      </c>
      <c r="F203" s="6" t="s">
        <v>2513</v>
      </c>
      <c r="G203" s="6" t="s">
        <v>2514</v>
      </c>
      <c r="H203" s="6" t="str">
        <f t="shared" si="12"/>
        <v>att_fluid</v>
      </c>
      <c r="I203" s="6" t="s">
        <v>1129</v>
      </c>
      <c r="J203" s="6" t="str">
        <f t="shared" si="13"/>
        <v>att_fluid:cerebrospinal</v>
      </c>
      <c r="K203" s="11" t="s">
        <v>18</v>
      </c>
      <c r="L203" s="6" t="s">
        <v>1131</v>
      </c>
      <c r="M203" s="6" t="s">
        <v>14</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1132</v>
      </c>
      <c r="D204" s="6" t="s">
        <v>1133</v>
      </c>
      <c r="E204" s="6" t="s">
        <v>14</v>
      </c>
      <c r="F204" s="6" t="s">
        <v>2513</v>
      </c>
      <c r="G204" s="6" t="s">
        <v>2514</v>
      </c>
      <c r="H204" s="6" t="str">
        <f t="shared" si="12"/>
        <v>att_fluid</v>
      </c>
      <c r="I204" s="6" t="s">
        <v>1132</v>
      </c>
      <c r="J204" s="6" t="str">
        <f t="shared" si="13"/>
        <v>att_fluid:feces</v>
      </c>
      <c r="K204" s="11" t="s">
        <v>18</v>
      </c>
      <c r="L204" s="6" t="s">
        <v>1134</v>
      </c>
      <c r="M204" s="6" t="s">
        <v>14</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1135</v>
      </c>
      <c r="D205" s="6" t="s">
        <v>1136</v>
      </c>
      <c r="E205" s="6" t="s">
        <v>14</v>
      </c>
      <c r="F205" s="6" t="s">
        <v>2513</v>
      </c>
      <c r="G205" s="6" t="s">
        <v>2514</v>
      </c>
      <c r="H205" s="6" t="str">
        <f t="shared" si="12"/>
        <v>att_fluid</v>
      </c>
      <c r="I205" s="6" t="s">
        <v>1135</v>
      </c>
      <c r="J205" s="6" t="str">
        <f t="shared" si="13"/>
        <v>att_fluid:interstitial</v>
      </c>
      <c r="K205" s="11" t="s">
        <v>18</v>
      </c>
      <c r="L205" s="6" t="s">
        <v>1137</v>
      </c>
      <c r="M205" s="6" t="s">
        <v>14</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1138</v>
      </c>
      <c r="D206" s="6" t="s">
        <v>1139</v>
      </c>
      <c r="E206" s="6" t="s">
        <v>14</v>
      </c>
      <c r="F206" s="6" t="s">
        <v>2513</v>
      </c>
      <c r="G206" s="6" t="s">
        <v>2514</v>
      </c>
      <c r="H206" s="6" t="str">
        <f t="shared" si="12"/>
        <v>att_fluid</v>
      </c>
      <c r="I206" s="6" t="s">
        <v>1138</v>
      </c>
      <c r="J206" s="6" t="str">
        <f t="shared" si="13"/>
        <v>att_fluid:lymph</v>
      </c>
      <c r="K206" s="11" t="s">
        <v>18</v>
      </c>
      <c r="L206" s="6" t="s">
        <v>1140</v>
      </c>
      <c r="M206" s="6" t="s">
        <v>14</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1141</v>
      </c>
      <c r="D207" s="6" t="s">
        <v>1142</v>
      </c>
      <c r="E207" s="6" t="s">
        <v>14</v>
      </c>
      <c r="F207" s="6" t="s">
        <v>2513</v>
      </c>
      <c r="G207" s="6" t="s">
        <v>2514</v>
      </c>
      <c r="H207" s="6" t="str">
        <f t="shared" si="12"/>
        <v>att_fluid</v>
      </c>
      <c r="I207" s="6" t="s">
        <v>1141</v>
      </c>
      <c r="J207" s="6" t="str">
        <f t="shared" si="13"/>
        <v>att_fluid:peritoneal</v>
      </c>
      <c r="K207" s="11" t="s">
        <v>18</v>
      </c>
      <c r="L207" s="6" t="s">
        <v>1143</v>
      </c>
      <c r="M207" s="6" t="s">
        <v>14</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1144</v>
      </c>
      <c r="D208" s="6" t="s">
        <v>1145</v>
      </c>
      <c r="E208" s="6" t="s">
        <v>14</v>
      </c>
      <c r="F208" s="6" t="s">
        <v>2513</v>
      </c>
      <c r="G208" s="6" t="s">
        <v>2514</v>
      </c>
      <c r="H208" s="6" t="str">
        <f t="shared" si="12"/>
        <v>att_fluid</v>
      </c>
      <c r="I208" s="6" t="s">
        <v>1144</v>
      </c>
      <c r="J208" s="6" t="str">
        <f t="shared" si="13"/>
        <v>att_fluid:plasma</v>
      </c>
      <c r="K208" s="11" t="s">
        <v>18</v>
      </c>
      <c r="L208" s="6" t="s">
        <v>1146</v>
      </c>
      <c r="M208" s="6" t="s">
        <v>14</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1147</v>
      </c>
      <c r="D209" s="6" t="s">
        <v>1148</v>
      </c>
      <c r="E209" s="6" t="s">
        <v>14</v>
      </c>
      <c r="F209" s="6" t="s">
        <v>2513</v>
      </c>
      <c r="G209" s="6" t="s">
        <v>2514</v>
      </c>
      <c r="H209" s="6" t="str">
        <f t="shared" si="12"/>
        <v>att_fluid</v>
      </c>
      <c r="I209" s="6" t="s">
        <v>1147</v>
      </c>
      <c r="J209" s="6" t="str">
        <f t="shared" si="13"/>
        <v>att_fluid:pleural</v>
      </c>
      <c r="K209" s="11" t="s">
        <v>18</v>
      </c>
      <c r="L209" s="6" t="s">
        <v>1149</v>
      </c>
      <c r="M209" s="6" t="s">
        <v>14</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1150</v>
      </c>
      <c r="D210" s="6" t="s">
        <v>1151</v>
      </c>
      <c r="E210" s="6" t="s">
        <v>14</v>
      </c>
      <c r="F210" s="6" t="s">
        <v>2513</v>
      </c>
      <c r="G210" s="6" t="s">
        <v>2514</v>
      </c>
      <c r="H210" s="6" t="str">
        <f t="shared" si="12"/>
        <v>att_fluid</v>
      </c>
      <c r="I210" s="6" t="s">
        <v>1150</v>
      </c>
      <c r="J210" s="6" t="str">
        <f t="shared" si="13"/>
        <v>att_fluid:saliva</v>
      </c>
      <c r="K210" s="11" t="s">
        <v>18</v>
      </c>
      <c r="L210" s="6" t="s">
        <v>1152</v>
      </c>
      <c r="M210" s="6" t="s">
        <v>14</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1153</v>
      </c>
      <c r="D211" s="6" t="s">
        <v>1154</v>
      </c>
      <c r="E211" s="6" t="s">
        <v>14</v>
      </c>
      <c r="F211" s="6" t="s">
        <v>2513</v>
      </c>
      <c r="G211" s="6" t="s">
        <v>2514</v>
      </c>
      <c r="H211" s="6" t="str">
        <f t="shared" si="12"/>
        <v>att_fluid</v>
      </c>
      <c r="I211" s="6" t="s">
        <v>1153</v>
      </c>
      <c r="J211" s="6" t="str">
        <f t="shared" si="13"/>
        <v>att_fluid:seminal</v>
      </c>
      <c r="K211" s="11" t="s">
        <v>18</v>
      </c>
      <c r="L211" s="6" t="s">
        <v>1155</v>
      </c>
      <c r="M211" s="6" t="s">
        <v>14</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1156</v>
      </c>
      <c r="D212" s="6" t="s">
        <v>1157</v>
      </c>
      <c r="E212" s="6" t="s">
        <v>14</v>
      </c>
      <c r="F212" s="6" t="s">
        <v>2513</v>
      </c>
      <c r="G212" s="6" t="s">
        <v>2514</v>
      </c>
      <c r="H212" s="6" t="str">
        <f t="shared" si="12"/>
        <v>att_fluid</v>
      </c>
      <c r="I212" s="6" t="s">
        <v>1156</v>
      </c>
      <c r="J212" s="6" t="str">
        <f t="shared" si="13"/>
        <v>att_fluid:serum</v>
      </c>
      <c r="K212" s="11" t="s">
        <v>18</v>
      </c>
      <c r="L212" s="6" t="s">
        <v>1158</v>
      </c>
      <c r="M212" s="6" t="s">
        <v>14</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1159</v>
      </c>
      <c r="D213" s="6" t="s">
        <v>1160</v>
      </c>
      <c r="E213" s="6" t="s">
        <v>14</v>
      </c>
      <c r="F213" s="6" t="s">
        <v>2513</v>
      </c>
      <c r="G213" s="6" t="s">
        <v>2514</v>
      </c>
      <c r="H213" s="6" t="str">
        <f t="shared" si="12"/>
        <v>att_fluid</v>
      </c>
      <c r="I213" s="6" t="s">
        <v>1159</v>
      </c>
      <c r="J213" s="6" t="str">
        <f t="shared" si="13"/>
        <v>att_fluid:urine</v>
      </c>
      <c r="K213" s="11" t="s">
        <v>18</v>
      </c>
      <c r="L213" s="6" t="s">
        <v>1161</v>
      </c>
      <c r="M213" s="6" t="s">
        <v>14</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1162</v>
      </c>
      <c r="D214" s="6" t="s">
        <v>1162</v>
      </c>
      <c r="E214" s="6" t="s">
        <v>14</v>
      </c>
      <c r="F214" s="6" t="s">
        <v>170</v>
      </c>
      <c r="G214" s="6" t="s">
        <v>2515</v>
      </c>
      <c r="H214" s="6" t="str">
        <f t="shared" si="12"/>
        <v>att_fraction</v>
      </c>
      <c r="I214" s="6" t="s">
        <v>1162</v>
      </c>
      <c r="J214" s="6" t="str">
        <f t="shared" si="13"/>
        <v>att_fraction:01k</v>
      </c>
      <c r="K214" s="11" t="s">
        <v>18</v>
      </c>
      <c r="L214" s="6" t="s">
        <v>2516</v>
      </c>
      <c r="M214" s="6" t="s">
        <v>1115</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1165</v>
      </c>
      <c r="D215" s="6" t="s">
        <v>1165</v>
      </c>
      <c r="E215" s="6" t="s">
        <v>14</v>
      </c>
      <c r="F215" s="6" t="s">
        <v>170</v>
      </c>
      <c r="G215" s="6" t="s">
        <v>2515</v>
      </c>
      <c r="H215" s="6" t="str">
        <f t="shared" si="12"/>
        <v>att_fraction</v>
      </c>
      <c r="I215" s="6" t="s">
        <v>1165</v>
      </c>
      <c r="J215" s="6" t="str">
        <f t="shared" si="13"/>
        <v>att_fraction:05k</v>
      </c>
      <c r="K215" s="11" t="s">
        <v>18</v>
      </c>
      <c r="L215" s="6" t="s">
        <v>2517</v>
      </c>
      <c r="M215" s="6" t="s">
        <v>1115</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1167</v>
      </c>
      <c r="D216" s="6" t="s">
        <v>1167</v>
      </c>
      <c r="E216" s="6" t="s">
        <v>14</v>
      </c>
      <c r="F216" s="6" t="s">
        <v>170</v>
      </c>
      <c r="G216" s="6" t="s">
        <v>2515</v>
      </c>
      <c r="H216" s="6" t="str">
        <f t="shared" si="12"/>
        <v>att_fraction</v>
      </c>
      <c r="I216" s="6" t="s">
        <v>1167</v>
      </c>
      <c r="J216" s="6" t="str">
        <f t="shared" si="13"/>
        <v>att_fraction:12k</v>
      </c>
      <c r="K216" s="11" t="s">
        <v>18</v>
      </c>
      <c r="L216" s="6" t="s">
        <v>2518</v>
      </c>
      <c r="M216" s="6" t="s">
        <v>1115</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1169</v>
      </c>
      <c r="D217" s="6" t="s">
        <v>1169</v>
      </c>
      <c r="E217" s="6" t="s">
        <v>14</v>
      </c>
      <c r="F217" s="6" t="s">
        <v>170</v>
      </c>
      <c r="G217" s="6" t="s">
        <v>2515</v>
      </c>
      <c r="H217" s="6" t="str">
        <f t="shared" si="12"/>
        <v>att_fraction</v>
      </c>
      <c r="I217" s="6" t="s">
        <v>1169</v>
      </c>
      <c r="J217" s="6" t="str">
        <f t="shared" si="13"/>
        <v>att_fraction:24k</v>
      </c>
      <c r="K217" s="11" t="s">
        <v>18</v>
      </c>
      <c r="L217" s="6" t="s">
        <v>2519</v>
      </c>
      <c r="M217" s="6" t="s">
        <v>1115</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1171</v>
      </c>
      <c r="D218" s="6" t="s">
        <v>1171</v>
      </c>
      <c r="E218" s="6" t="s">
        <v>14</v>
      </c>
      <c r="F218" s="6" t="s">
        <v>170</v>
      </c>
      <c r="G218" s="6" t="s">
        <v>2515</v>
      </c>
      <c r="H218" s="6" t="str">
        <f t="shared" si="12"/>
        <v>att_fraction</v>
      </c>
      <c r="I218" s="6" t="s">
        <v>1171</v>
      </c>
      <c r="J218" s="6" t="str">
        <f t="shared" si="13"/>
        <v>att_fraction:79k</v>
      </c>
      <c r="K218" s="11" t="s">
        <v>18</v>
      </c>
      <c r="L218" s="6" t="s">
        <v>2520</v>
      </c>
      <c r="M218" s="6" t="s">
        <v>1115</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1177</v>
      </c>
      <c r="D219" s="6" t="s">
        <v>1178</v>
      </c>
      <c r="E219" s="6" t="s">
        <v>14</v>
      </c>
      <c r="F219" s="6" t="s">
        <v>170</v>
      </c>
      <c r="G219" s="6" t="s">
        <v>2515</v>
      </c>
      <c r="H219" s="6" t="str">
        <f t="shared" si="12"/>
        <v>att_fraction</v>
      </c>
      <c r="I219" s="6" t="s">
        <v>1177</v>
      </c>
      <c r="J219" s="6" t="str">
        <f t="shared" si="13"/>
        <v>att_fraction:cytosolic</v>
      </c>
      <c r="K219" s="11" t="s">
        <v>18</v>
      </c>
      <c r="L219" s="6" t="s">
        <v>1179</v>
      </c>
      <c r="M219" s="6" t="s">
        <v>1115</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1180</v>
      </c>
      <c r="D220" s="6" t="s">
        <v>1181</v>
      </c>
      <c r="E220" s="6" t="s">
        <v>14</v>
      </c>
      <c r="F220" s="6" t="s">
        <v>170</v>
      </c>
      <c r="G220" s="6" t="s">
        <v>2515</v>
      </c>
      <c r="H220" s="6" t="str">
        <f t="shared" si="12"/>
        <v>att_fraction</v>
      </c>
      <c r="I220" s="6" t="s">
        <v>1180</v>
      </c>
      <c r="J220" s="6" t="str">
        <f t="shared" si="13"/>
        <v>att_fraction:total</v>
      </c>
      <c r="K220" s="11" t="s">
        <v>18</v>
      </c>
      <c r="L220" s="6" t="s">
        <v>1182</v>
      </c>
      <c r="M220" s="6" t="s">
        <v>1115</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2521</v>
      </c>
      <c r="D221" s="6" t="s">
        <v>1175</v>
      </c>
      <c r="E221" s="6" t="s">
        <v>14</v>
      </c>
      <c r="F221" s="6" t="s">
        <v>170</v>
      </c>
      <c r="G221" s="6" t="s">
        <v>2515</v>
      </c>
      <c r="H221" s="6" t="str">
        <f t="shared" si="12"/>
        <v>att_fraction</v>
      </c>
      <c r="I221" s="6" t="s">
        <v>1173</v>
      </c>
      <c r="J221" s="6" t="str">
        <f t="shared" si="13"/>
        <v>att_fraction:crude_mito</v>
      </c>
      <c r="K221" s="11" t="s">
        <v>18</v>
      </c>
      <c r="L221" s="6" t="s">
        <v>1176</v>
      </c>
      <c r="M221" s="6" t="s">
        <v>1115</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2522</v>
      </c>
      <c r="D223" s="6" t="s">
        <v>2033</v>
      </c>
      <c r="F223" s="6" t="s">
        <v>147</v>
      </c>
      <c r="G223" s="6" t="s">
        <v>2523</v>
      </c>
      <c r="H223" s="6" t="str">
        <f>"att_"&amp;G223</f>
        <v>att_offline_fractionation</v>
      </c>
      <c r="I223" s="6" t="s">
        <v>2032</v>
      </c>
      <c r="J223" s="6" t="str">
        <f>H223&amp;":"&amp;I223</f>
        <v>att_offline_fractionation:sdspage</v>
      </c>
      <c r="K223" s="11"/>
      <c r="L223" s="6" t="s">
        <v>2034</v>
      </c>
    </row>
    <row r="224" spans="1:15" x14ac:dyDescent="0.15">
      <c r="A224" s="12"/>
      <c r="B224" s="12"/>
      <c r="C224" s="6" t="s">
        <v>2522</v>
      </c>
      <c r="D224" s="6" t="s">
        <v>2021</v>
      </c>
      <c r="F224" s="6" t="s">
        <v>147</v>
      </c>
      <c r="G224" s="6" t="s">
        <v>2523</v>
      </c>
      <c r="H224" s="6" t="str">
        <f>"att_"&amp;G224</f>
        <v>att_offline_fractionation</v>
      </c>
      <c r="I224" s="6" t="s">
        <v>2020</v>
      </c>
      <c r="J224" s="6" t="str">
        <f>H224&amp;":"&amp;I224</f>
        <v>att_offline_fractionation:highph_hplc</v>
      </c>
      <c r="K224" s="11"/>
      <c r="L224" s="6" t="s">
        <v>2022</v>
      </c>
    </row>
    <row r="225" spans="1:15" x14ac:dyDescent="0.15">
      <c r="A225" s="12"/>
      <c r="B225" s="12"/>
      <c r="C225" s="6" t="s">
        <v>2522</v>
      </c>
      <c r="D225" s="6" t="s">
        <v>2024</v>
      </c>
      <c r="F225" s="6" t="s">
        <v>147</v>
      </c>
      <c r="G225" s="6" t="s">
        <v>2523</v>
      </c>
      <c r="H225" s="6" t="str">
        <f>"att_"&amp;G225</f>
        <v>att_offline_fractionation</v>
      </c>
      <c r="I225" s="6" t="s">
        <v>2023</v>
      </c>
      <c r="J225" s="6" t="str">
        <f>H225&amp;":"&amp;I225</f>
        <v>att_offline_fractionation:highph_tip</v>
      </c>
      <c r="K225" s="11"/>
      <c r="L225" s="6" t="s">
        <v>2025</v>
      </c>
    </row>
    <row r="226" spans="1:15" x14ac:dyDescent="0.15">
      <c r="A226" s="12"/>
      <c r="B226" s="12"/>
      <c r="C226" s="6" t="s">
        <v>2522</v>
      </c>
      <c r="D226" s="6" t="s">
        <v>2030</v>
      </c>
      <c r="F226" s="6" t="s">
        <v>147</v>
      </c>
      <c r="G226" s="6" t="s">
        <v>2523</v>
      </c>
      <c r="H226" s="6" t="str">
        <f>"att_"&amp;G226</f>
        <v>att_offline_fractionation</v>
      </c>
      <c r="I226" s="6" t="s">
        <v>2029</v>
      </c>
      <c r="J226" s="6" t="str">
        <f>H226&amp;":"&amp;I226</f>
        <v>att_offline_fractionation:scx</v>
      </c>
      <c r="K226" s="11"/>
      <c r="L226" s="6" t="s">
        <v>2031</v>
      </c>
    </row>
    <row r="227" spans="1:15" x14ac:dyDescent="0.15">
      <c r="A227" s="12"/>
      <c r="B227" s="12"/>
      <c r="C227" s="6" t="s">
        <v>2522</v>
      </c>
      <c r="D227" s="6" t="s">
        <v>2027</v>
      </c>
      <c r="F227" s="6" t="s">
        <v>147</v>
      </c>
      <c r="G227" s="6" t="s">
        <v>2523</v>
      </c>
      <c r="H227" s="6" t="str">
        <f>"att_"&amp;G227</f>
        <v>att_offline_fractionation</v>
      </c>
      <c r="I227" s="6" t="s">
        <v>2026</v>
      </c>
      <c r="J227" s="6" t="str">
        <f>H227&amp;":"&amp;I227</f>
        <v>att_offline_fractionation:sax</v>
      </c>
      <c r="K227" s="11"/>
      <c r="L227" s="6" t="s">
        <v>2028</v>
      </c>
    </row>
    <row r="228" spans="1:15" x14ac:dyDescent="0.15">
      <c r="A228" s="12"/>
      <c r="B228" s="12"/>
      <c r="K228" s="11"/>
    </row>
    <row r="229" spans="1:15" x14ac:dyDescent="0.15">
      <c r="A229" s="12"/>
      <c r="B229" s="12"/>
      <c r="K229" s="11"/>
    </row>
    <row r="230" spans="1:15" x14ac:dyDescent="0.15">
      <c r="A230" s="12" t="b">
        <f>TRUE()</f>
        <v>1</v>
      </c>
      <c r="C230" s="6" t="s">
        <v>1810</v>
      </c>
      <c r="D230" s="6" t="s">
        <v>1811</v>
      </c>
      <c r="E230" s="6" t="s">
        <v>14</v>
      </c>
      <c r="F230" s="6" t="s">
        <v>2524</v>
      </c>
      <c r="G230" s="6" t="s">
        <v>2525</v>
      </c>
      <c r="H230" s="6" t="str">
        <f t="shared" ref="H230:H248" si="16">"att_"&amp;G230</f>
        <v>att_instrument</v>
      </c>
      <c r="I230" s="6" t="s">
        <v>1810</v>
      </c>
      <c r="J230" s="6" t="str">
        <f t="shared" ref="J230:J248" si="17">H230&amp;":"&amp;I230</f>
        <v>att_instrument:e1</v>
      </c>
      <c r="K230" s="11" t="s">
        <v>18</v>
      </c>
      <c r="L230" s="6" t="s">
        <v>1812</v>
      </c>
      <c r="M230" s="6" t="s">
        <v>14</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1813</v>
      </c>
      <c r="D231" s="6" t="s">
        <v>1814</v>
      </c>
      <c r="E231" s="6" t="s">
        <v>14</v>
      </c>
      <c r="F231" s="6" t="s">
        <v>2524</v>
      </c>
      <c r="G231" s="6" t="s">
        <v>2525</v>
      </c>
      <c r="H231" s="6" t="str">
        <f t="shared" si="16"/>
        <v>att_instrument</v>
      </c>
      <c r="I231" s="6" t="s">
        <v>1813</v>
      </c>
      <c r="J231" s="6" t="str">
        <f t="shared" si="17"/>
        <v>att_instrument:e2</v>
      </c>
      <c r="K231" s="11" t="s">
        <v>18</v>
      </c>
      <c r="L231" s="6" t="s">
        <v>1815</v>
      </c>
      <c r="M231" s="6" t="s">
        <v>14</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1818</v>
      </c>
      <c r="D232" s="6" t="s">
        <v>1819</v>
      </c>
      <c r="E232" s="6" t="s">
        <v>14</v>
      </c>
      <c r="F232" s="6" t="s">
        <v>2524</v>
      </c>
      <c r="G232" s="6" t="s">
        <v>2525</v>
      </c>
      <c r="H232" s="6" t="str">
        <f t="shared" si="16"/>
        <v>att_instrument</v>
      </c>
      <c r="I232" s="6" t="s">
        <v>1818</v>
      </c>
      <c r="J232" s="6" t="str">
        <f t="shared" si="17"/>
        <v>att_instrument:ignarius</v>
      </c>
      <c r="K232" s="11" t="s">
        <v>18</v>
      </c>
      <c r="L232" s="6" t="s">
        <v>1820</v>
      </c>
      <c r="M232" s="6" t="s">
        <v>14</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2526</v>
      </c>
      <c r="D233" s="6" t="s">
        <v>1822</v>
      </c>
      <c r="E233" s="6" t="s">
        <v>14</v>
      </c>
      <c r="F233" s="6" t="s">
        <v>2524</v>
      </c>
      <c r="G233" s="6" t="s">
        <v>2525</v>
      </c>
      <c r="H233" s="6" t="str">
        <f t="shared" si="16"/>
        <v>att_instrument</v>
      </c>
      <c r="I233" s="6" t="s">
        <v>2527</v>
      </c>
      <c r="J233" s="6" t="str">
        <f t="shared" si="17"/>
        <v>att_instrument:t</v>
      </c>
      <c r="K233" s="11" t="s">
        <v>18</v>
      </c>
      <c r="L233" s="6" t="s">
        <v>1823</v>
      </c>
      <c r="M233" s="6" t="s">
        <v>14</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2528</v>
      </c>
      <c r="D234" s="14" t="s">
        <v>2529</v>
      </c>
      <c r="E234" s="14" t="s">
        <v>14</v>
      </c>
      <c r="F234" s="14" t="s">
        <v>2530</v>
      </c>
      <c r="G234" s="14" t="s">
        <v>2531</v>
      </c>
      <c r="H234" s="14" t="str">
        <f t="shared" si="16"/>
        <v>att_knockout</v>
      </c>
      <c r="I234" s="14" t="s">
        <v>2528</v>
      </c>
      <c r="J234" s="14" t="str">
        <f t="shared" si="17"/>
        <v>att_knockout:casp1_dko</v>
      </c>
      <c r="K234" s="15" t="s">
        <v>18</v>
      </c>
      <c r="L234" s="14" t="s">
        <v>2532</v>
      </c>
      <c r="M234" s="14" t="s">
        <v>14</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2533</v>
      </c>
      <c r="D235" s="14" t="s">
        <v>2534</v>
      </c>
      <c r="E235" s="14" t="s">
        <v>14</v>
      </c>
      <c r="F235" s="14" t="s">
        <v>2530</v>
      </c>
      <c r="G235" s="14" t="s">
        <v>2531</v>
      </c>
      <c r="H235" s="14" t="str">
        <f t="shared" si="16"/>
        <v>att_knockout</v>
      </c>
      <c r="I235" s="14" t="s">
        <v>2533</v>
      </c>
      <c r="J235" s="14" t="str">
        <f t="shared" si="17"/>
        <v>att_knockout:casp11_dko</v>
      </c>
      <c r="K235" s="15" t="s">
        <v>18</v>
      </c>
      <c r="L235" s="14" t="s">
        <v>2535</v>
      </c>
      <c r="M235" s="14" t="s">
        <v>14</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2536</v>
      </c>
      <c r="D236" s="14" t="s">
        <v>2537</v>
      </c>
      <c r="E236" s="14" t="s">
        <v>14</v>
      </c>
      <c r="F236" s="14" t="s">
        <v>2530</v>
      </c>
      <c r="G236" s="14" t="s">
        <v>2531</v>
      </c>
      <c r="H236" s="14" t="str">
        <f t="shared" si="16"/>
        <v>att_knockout</v>
      </c>
      <c r="I236" s="14" t="s">
        <v>2536</v>
      </c>
      <c r="J236" s="14" t="str">
        <f t="shared" si="17"/>
        <v>att_knockout:gsdmd_dko</v>
      </c>
      <c r="K236" s="15" t="s">
        <v>18</v>
      </c>
      <c r="L236" s="14" t="s">
        <v>2538</v>
      </c>
      <c r="M236" s="14" t="s">
        <v>14</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2539</v>
      </c>
      <c r="D237" s="14" t="s">
        <v>2540</v>
      </c>
      <c r="E237" s="14" t="s">
        <v>14</v>
      </c>
      <c r="F237" s="14" t="s">
        <v>2530</v>
      </c>
      <c r="G237" s="14" t="s">
        <v>2531</v>
      </c>
      <c r="H237" s="14" t="str">
        <f t="shared" si="16"/>
        <v>att_knockout</v>
      </c>
      <c r="I237" s="14" t="s">
        <v>2541</v>
      </c>
      <c r="J237" s="14" t="str">
        <f t="shared" si="17"/>
        <v>att_knockout:il18r_dko</v>
      </c>
      <c r="K237" s="15" t="s">
        <v>18</v>
      </c>
      <c r="L237" s="14" t="s">
        <v>2542</v>
      </c>
      <c r="M237" s="14" t="s">
        <v>14</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2543</v>
      </c>
      <c r="D238" s="14" t="s">
        <v>2544</v>
      </c>
      <c r="E238" s="14" t="s">
        <v>14</v>
      </c>
      <c r="F238" s="14" t="s">
        <v>2530</v>
      </c>
      <c r="G238" s="14" t="s">
        <v>2531</v>
      </c>
      <c r="H238" s="14" t="str">
        <f t="shared" si="16"/>
        <v>att_knockout</v>
      </c>
      <c r="I238" s="14" t="s">
        <v>2545</v>
      </c>
      <c r="J238" s="14" t="str">
        <f t="shared" si="17"/>
        <v>att_knockout:il1r_dko</v>
      </c>
      <c r="K238" s="15" t="s">
        <v>18</v>
      </c>
      <c r="L238" s="14" t="s">
        <v>2546</v>
      </c>
      <c r="M238" s="14" t="s">
        <v>14</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2547</v>
      </c>
      <c r="D239" s="14" t="s">
        <v>2548</v>
      </c>
      <c r="E239" s="14" t="s">
        <v>14</v>
      </c>
      <c r="F239" s="14" t="s">
        <v>2530</v>
      </c>
      <c r="G239" s="14" t="s">
        <v>2531</v>
      </c>
      <c r="H239" s="14" t="str">
        <f t="shared" si="16"/>
        <v>att_knockout</v>
      </c>
      <c r="I239" s="14" t="s">
        <v>2547</v>
      </c>
      <c r="J239" s="14" t="str">
        <f t="shared" si="17"/>
        <v>att_knockout:tlr4_dko</v>
      </c>
      <c r="K239" s="15" t="s">
        <v>18</v>
      </c>
      <c r="L239" s="14" t="s">
        <v>2549</v>
      </c>
      <c r="M239" s="14" t="s">
        <v>14</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18</v>
      </c>
      <c r="B240" s="11"/>
      <c r="C240" s="6" t="s">
        <v>1262</v>
      </c>
      <c r="D240" s="6" t="s">
        <v>1263</v>
      </c>
      <c r="E240" s="6" t="s">
        <v>14</v>
      </c>
      <c r="F240" s="6" t="s">
        <v>113</v>
      </c>
      <c r="G240" s="6" t="s">
        <v>2550</v>
      </c>
      <c r="H240" s="6" t="str">
        <f t="shared" si="16"/>
        <v>att_lc_system</v>
      </c>
      <c r="I240" s="6" t="s">
        <v>1262</v>
      </c>
      <c r="J240" s="6" t="str">
        <f t="shared" si="17"/>
        <v>att_lc_system:easylc1</v>
      </c>
      <c r="K240" s="11" t="s">
        <v>18</v>
      </c>
      <c r="L240" s="6" t="s">
        <v>1263</v>
      </c>
      <c r="M240" s="6" t="s">
        <v>14</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18</v>
      </c>
      <c r="B241" s="11"/>
      <c r="C241" s="6" t="s">
        <v>1264</v>
      </c>
      <c r="D241" s="6" t="s">
        <v>1265</v>
      </c>
      <c r="E241" s="6" t="s">
        <v>14</v>
      </c>
      <c r="F241" s="6" t="s">
        <v>113</v>
      </c>
      <c r="G241" s="6" t="s">
        <v>2550</v>
      </c>
      <c r="H241" s="6" t="str">
        <f t="shared" si="16"/>
        <v>att_lc_system</v>
      </c>
      <c r="I241" s="6" t="s">
        <v>1264</v>
      </c>
      <c r="J241" s="6" t="str">
        <f t="shared" si="17"/>
        <v>att_lc_system:easylc2</v>
      </c>
      <c r="K241" s="11" t="s">
        <v>18</v>
      </c>
      <c r="L241" s="6" t="s">
        <v>1265</v>
      </c>
      <c r="M241" s="6" t="s">
        <v>14</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18</v>
      </c>
      <c r="B242" s="11"/>
      <c r="C242" s="6" t="s">
        <v>1266</v>
      </c>
      <c r="D242" s="6" t="s">
        <v>1267</v>
      </c>
      <c r="E242" s="6" t="s">
        <v>14</v>
      </c>
      <c r="F242" s="6" t="s">
        <v>113</v>
      </c>
      <c r="G242" s="6" t="s">
        <v>2550</v>
      </c>
      <c r="H242" s="6" t="str">
        <f t="shared" si="16"/>
        <v>att_lc_system</v>
      </c>
      <c r="I242" s="6" t="s">
        <v>1266</v>
      </c>
      <c r="J242" s="6" t="str">
        <f t="shared" si="17"/>
        <v>att_lc_system:evosep1</v>
      </c>
      <c r="K242" s="11" t="s">
        <v>18</v>
      </c>
      <c r="L242" s="6" t="s">
        <v>1268</v>
      </c>
      <c r="M242" s="6" t="s">
        <v>14</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18</v>
      </c>
      <c r="B243" s="11"/>
      <c r="C243" s="6" t="s">
        <v>1269</v>
      </c>
      <c r="D243" s="6" t="s">
        <v>1270</v>
      </c>
      <c r="E243" s="6" t="s">
        <v>14</v>
      </c>
      <c r="F243" s="6" t="s">
        <v>113</v>
      </c>
      <c r="G243" s="6" t="s">
        <v>2550</v>
      </c>
      <c r="H243" s="6" t="str">
        <f t="shared" si="16"/>
        <v>att_lc_system</v>
      </c>
      <c r="I243" s="6" t="s">
        <v>1269</v>
      </c>
      <c r="J243" s="6" t="str">
        <f t="shared" si="17"/>
        <v>att_lc_system:vanquishneo1</v>
      </c>
      <c r="K243" s="11" t="s">
        <v>18</v>
      </c>
      <c r="L243" s="6" t="s">
        <v>1270</v>
      </c>
      <c r="M243" s="6" t="s">
        <v>14</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1764</v>
      </c>
      <c r="D244" s="6" t="s">
        <v>1766</v>
      </c>
      <c r="E244" s="6" t="s">
        <v>14</v>
      </c>
      <c r="F244" s="6" t="s">
        <v>2551</v>
      </c>
      <c r="G244" s="6" t="s">
        <v>2552</v>
      </c>
      <c r="H244" s="6" t="str">
        <f t="shared" si="16"/>
        <v>att_mockup</v>
      </c>
      <c r="I244" s="6" t="s">
        <v>1764</v>
      </c>
      <c r="J244" s="6" t="str">
        <f t="shared" si="17"/>
        <v>att_mockup:arbitrary</v>
      </c>
      <c r="K244" s="11" t="s">
        <v>18</v>
      </c>
      <c r="L244" s="6" t="s">
        <v>1767</v>
      </c>
      <c r="M244" s="6" t="s">
        <v>14</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1768</v>
      </c>
      <c r="D245" s="6" t="s">
        <v>1769</v>
      </c>
      <c r="E245" s="6" t="s">
        <v>14</v>
      </c>
      <c r="F245" s="6" t="s">
        <v>2551</v>
      </c>
      <c r="G245" s="6" t="s">
        <v>2552</v>
      </c>
      <c r="H245" s="6" t="str">
        <f t="shared" si="16"/>
        <v>att_mockup</v>
      </c>
      <c r="I245" s="6" t="s">
        <v>1768</v>
      </c>
      <c r="J245" s="6" t="str">
        <f t="shared" si="17"/>
        <v>att_mockup:random</v>
      </c>
      <c r="K245" s="11" t="s">
        <v>18</v>
      </c>
      <c r="L245" s="6" t="s">
        <v>1767</v>
      </c>
      <c r="M245" s="6" t="s">
        <v>14</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2553</v>
      </c>
      <c r="D246" s="6" t="s">
        <v>1771</v>
      </c>
      <c r="E246" s="6" t="s">
        <v>14</v>
      </c>
      <c r="F246" s="6" t="s">
        <v>125</v>
      </c>
      <c r="G246" s="6" t="s">
        <v>2554</v>
      </c>
      <c r="H246" s="6" t="str">
        <f t="shared" si="16"/>
        <v>att_model</v>
      </c>
      <c r="I246" s="6" t="s">
        <v>1770</v>
      </c>
      <c r="J246" s="6" t="str">
        <f t="shared" si="17"/>
        <v>att_model:in_vitro</v>
      </c>
      <c r="K246" s="11" t="s">
        <v>18</v>
      </c>
      <c r="L246" s="6" t="s">
        <v>1772</v>
      </c>
      <c r="M246" s="6" t="s">
        <v>14</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2555</v>
      </c>
      <c r="D247" s="6" t="s">
        <v>1774</v>
      </c>
      <c r="E247" s="6" t="s">
        <v>14</v>
      </c>
      <c r="F247" s="6" t="s">
        <v>125</v>
      </c>
      <c r="G247" s="6" t="s">
        <v>2554</v>
      </c>
      <c r="H247" s="6" t="str">
        <f t="shared" si="16"/>
        <v>att_model</v>
      </c>
      <c r="I247" s="6" t="s">
        <v>1773</v>
      </c>
      <c r="J247" s="6" t="str">
        <f t="shared" si="17"/>
        <v>att_model:in_vivo</v>
      </c>
      <c r="K247" s="11" t="s">
        <v>18</v>
      </c>
      <c r="L247" s="6" t="s">
        <v>1775</v>
      </c>
      <c r="M247" s="6" t="s">
        <v>14</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1776</v>
      </c>
      <c r="D248" s="6" t="s">
        <v>1776</v>
      </c>
      <c r="E248" s="6" t="s">
        <v>14</v>
      </c>
      <c r="F248" s="6" t="s">
        <v>125</v>
      </c>
      <c r="G248" s="6" t="s">
        <v>2554</v>
      </c>
      <c r="H248" s="6" t="str">
        <f t="shared" si="16"/>
        <v>att_model</v>
      </c>
      <c r="I248" s="6" t="s">
        <v>1776</v>
      </c>
      <c r="J248" s="6" t="str">
        <f t="shared" si="17"/>
        <v>att_model:xenografts</v>
      </c>
      <c r="K248" s="11" t="s">
        <v>18</v>
      </c>
      <c r="L248" s="6" t="s">
        <v>1777</v>
      </c>
      <c r="M248" s="6" t="s">
        <v>14</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2556</v>
      </c>
      <c r="D250" s="6" t="s">
        <v>641</v>
      </c>
      <c r="F250" s="6" t="s">
        <v>57</v>
      </c>
      <c r="G250" s="6" t="s">
        <v>2557</v>
      </c>
      <c r="H250" s="6" t="str">
        <f t="shared" ref="H250:H255" si="20">"att_"&amp;G250</f>
        <v>att_column_type</v>
      </c>
      <c r="I250" s="6" t="s">
        <v>640</v>
      </c>
      <c r="J250" s="6" t="str">
        <f t="shared" ref="J250:J255" si="21">H250&amp;":"&amp;I250</f>
        <v>att_column_type:aurora</v>
      </c>
      <c r="K250" s="11"/>
      <c r="L250" s="6" t="s">
        <v>642</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2558</v>
      </c>
      <c r="D251" s="6" t="s">
        <v>647</v>
      </c>
      <c r="F251" s="6" t="s">
        <v>57</v>
      </c>
      <c r="G251" s="6" t="s">
        <v>2557</v>
      </c>
      <c r="H251" s="6" t="str">
        <f t="shared" si="20"/>
        <v>att_column_type</v>
      </c>
      <c r="I251" s="6" t="s">
        <v>646</v>
      </c>
      <c r="J251" s="6" t="str">
        <f t="shared" si="21"/>
        <v>att_column_type:inhouse</v>
      </c>
      <c r="K251" s="11"/>
      <c r="L251" s="6" t="s">
        <v>648</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2559</v>
      </c>
      <c r="D252" s="6" t="s">
        <v>644</v>
      </c>
      <c r="F252" s="6" t="s">
        <v>57</v>
      </c>
      <c r="G252" s="6" t="s">
        <v>2557</v>
      </c>
      <c r="H252" s="6" t="str">
        <f t="shared" si="20"/>
        <v>att_column_type</v>
      </c>
      <c r="I252" s="6" t="s">
        <v>643</v>
      </c>
      <c r="J252" s="6" t="str">
        <f t="shared" si="21"/>
        <v>att_column_type:easyspray</v>
      </c>
      <c r="K252" s="11"/>
      <c r="L252" s="6" t="s">
        <v>645</v>
      </c>
    </row>
    <row r="253" spans="1:15" x14ac:dyDescent="0.15">
      <c r="A253" s="12"/>
      <c r="B253" s="12"/>
      <c r="C253" s="6" t="s">
        <v>2560</v>
      </c>
      <c r="D253" s="6" t="s">
        <v>656</v>
      </c>
      <c r="F253" s="6" t="s">
        <v>57</v>
      </c>
      <c r="G253" s="6" t="s">
        <v>2557</v>
      </c>
      <c r="H253" s="6" t="str">
        <f t="shared" si="20"/>
        <v>att_column_type</v>
      </c>
      <c r="I253" s="6" t="s">
        <v>655</v>
      </c>
      <c r="J253" s="6" t="str">
        <f t="shared" si="21"/>
        <v>att_column_type:upac_neo</v>
      </c>
      <c r="K253" s="11"/>
      <c r="L253" s="6" t="s">
        <v>657</v>
      </c>
    </row>
    <row r="254" spans="1:15" x14ac:dyDescent="0.15">
      <c r="A254" s="12"/>
      <c r="B254" s="12"/>
      <c r="C254" s="6" t="s">
        <v>2561</v>
      </c>
      <c r="D254" s="16" t="s">
        <v>650</v>
      </c>
      <c r="F254" s="6" t="s">
        <v>57</v>
      </c>
      <c r="G254" s="6" t="s">
        <v>2557</v>
      </c>
      <c r="H254" s="6" t="str">
        <f t="shared" si="20"/>
        <v>att_column_type</v>
      </c>
      <c r="I254" s="6" t="s">
        <v>649</v>
      </c>
      <c r="J254" s="6" t="str">
        <f t="shared" si="21"/>
        <v>att_column_type:upac_doubleviper</v>
      </c>
      <c r="K254" s="11"/>
      <c r="L254" s="6" t="s">
        <v>651</v>
      </c>
    </row>
    <row r="255" spans="1:15" x14ac:dyDescent="0.15">
      <c r="A255" s="12"/>
      <c r="B255" s="12"/>
      <c r="C255" s="6" t="s">
        <v>2560</v>
      </c>
      <c r="D255" s="16" t="s">
        <v>653</v>
      </c>
      <c r="F255" s="6" t="s">
        <v>57</v>
      </c>
      <c r="G255" s="6" t="s">
        <v>2557</v>
      </c>
      <c r="H255" s="6" t="str">
        <f t="shared" si="20"/>
        <v>att_column_type</v>
      </c>
      <c r="I255" s="6" t="s">
        <v>652</v>
      </c>
      <c r="J255" s="6" t="str">
        <f t="shared" si="21"/>
        <v>att_column_type:upac_low_loadneo</v>
      </c>
      <c r="K255" s="11"/>
      <c r="L255" s="6" t="s">
        <v>654</v>
      </c>
    </row>
    <row r="256" spans="1:15" x14ac:dyDescent="0.15">
      <c r="A256" s="12"/>
      <c r="B256" s="12"/>
      <c r="D256" s="16"/>
      <c r="K256" s="11"/>
    </row>
    <row r="257" spans="1:15" x14ac:dyDescent="0.15">
      <c r="A257" s="11" t="s">
        <v>18</v>
      </c>
      <c r="B257" s="11"/>
      <c r="C257" s="6" t="s">
        <v>2562</v>
      </c>
      <c r="D257" s="6" t="s">
        <v>2563</v>
      </c>
      <c r="E257" s="6" t="s">
        <v>14</v>
      </c>
      <c r="F257" s="6" t="s">
        <v>2564</v>
      </c>
      <c r="G257" s="6" t="s">
        <v>2565</v>
      </c>
      <c r="H257" s="6" t="str">
        <f t="shared" ref="H257:H262" si="22">"att_"&amp;G257</f>
        <v>att_mslc_column_configuration</v>
      </c>
      <c r="I257" s="6" t="s">
        <v>621</v>
      </c>
      <c r="J257" s="6" t="str">
        <f t="shared" ref="J257:J262" si="23">H257&amp;":"&amp;I257</f>
        <v>att_mslc_column_configuration:15cm</v>
      </c>
      <c r="K257" s="11" t="s">
        <v>18</v>
      </c>
      <c r="L257" s="6" t="s">
        <v>2566</v>
      </c>
      <c r="M257" s="6" t="s">
        <v>14</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18</v>
      </c>
      <c r="B258" s="11"/>
      <c r="C258" s="6" t="s">
        <v>2567</v>
      </c>
      <c r="D258" s="6" t="s">
        <v>2568</v>
      </c>
      <c r="E258" s="6" t="s">
        <v>14</v>
      </c>
      <c r="F258" s="6" t="s">
        <v>2564</v>
      </c>
      <c r="G258" s="6" t="s">
        <v>2565</v>
      </c>
      <c r="H258" s="6" t="str">
        <f t="shared" si="22"/>
        <v>att_mslc_column_configuration</v>
      </c>
      <c r="I258" s="6" t="s">
        <v>2569</v>
      </c>
      <c r="J258" s="6" t="str">
        <f t="shared" si="23"/>
        <v>att_mslc_column_configuration:25cm</v>
      </c>
      <c r="K258" s="11" t="s">
        <v>18</v>
      </c>
      <c r="L258" s="6" t="s">
        <v>2570</v>
      </c>
      <c r="M258" s="6" t="s">
        <v>14</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18</v>
      </c>
      <c r="B259" s="11"/>
      <c r="C259" s="6" t="s">
        <v>2571</v>
      </c>
      <c r="D259" s="6" t="s">
        <v>2572</v>
      </c>
      <c r="E259" s="6" t="s">
        <v>14</v>
      </c>
      <c r="F259" s="6" t="s">
        <v>2564</v>
      </c>
      <c r="G259" s="6" t="s">
        <v>2565</v>
      </c>
      <c r="H259" s="6" t="str">
        <f t="shared" si="22"/>
        <v>att_mslc_column_configuration</v>
      </c>
      <c r="I259" s="6" t="s">
        <v>623</v>
      </c>
      <c r="J259" s="6" t="str">
        <f t="shared" si="23"/>
        <v>att_mslc_column_configuration:30cm</v>
      </c>
      <c r="K259" s="11" t="s">
        <v>18</v>
      </c>
      <c r="L259" s="6" t="s">
        <v>2573</v>
      </c>
      <c r="M259" s="6" t="s">
        <v>14</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18</v>
      </c>
      <c r="B260" s="11"/>
      <c r="C260" s="6" t="s">
        <v>2574</v>
      </c>
      <c r="D260" s="6" t="s">
        <v>2575</v>
      </c>
      <c r="E260" s="6" t="s">
        <v>14</v>
      </c>
      <c r="F260" s="6" t="s">
        <v>2564</v>
      </c>
      <c r="G260" s="6" t="s">
        <v>2565</v>
      </c>
      <c r="H260" s="6" t="str">
        <f t="shared" si="22"/>
        <v>att_mslc_column_configuration</v>
      </c>
      <c r="I260" s="6" t="s">
        <v>625</v>
      </c>
      <c r="J260" s="6" t="str">
        <f t="shared" si="23"/>
        <v>att_mslc_column_configuration:50cm</v>
      </c>
      <c r="K260" s="11" t="s">
        <v>18</v>
      </c>
      <c r="L260" s="6" t="s">
        <v>2576</v>
      </c>
      <c r="M260" s="6" t="s">
        <v>14</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18</v>
      </c>
      <c r="B261" s="12"/>
      <c r="C261" s="6" t="s">
        <v>2577</v>
      </c>
      <c r="D261" s="6" t="s">
        <v>2578</v>
      </c>
      <c r="E261" s="6" t="s">
        <v>14</v>
      </c>
      <c r="F261" s="6" t="s">
        <v>2564</v>
      </c>
      <c r="G261" s="6" t="s">
        <v>2565</v>
      </c>
      <c r="H261" s="6" t="str">
        <f t="shared" si="22"/>
        <v>att_mslc_column_configuration</v>
      </c>
      <c r="I261" s="6" t="s">
        <v>2577</v>
      </c>
      <c r="J261" s="6" t="str">
        <f t="shared" si="23"/>
        <v>att_mslc_column_configuration:column_inhouse</v>
      </c>
      <c r="K261" s="11" t="s">
        <v>18</v>
      </c>
      <c r="L261" s="6" t="s">
        <v>2579</v>
      </c>
      <c r="M261" s="6" t="s">
        <v>14</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18</v>
      </c>
      <c r="B262" s="12"/>
      <c r="C262" s="6" t="s">
        <v>2580</v>
      </c>
      <c r="D262" s="6" t="s">
        <v>2581</v>
      </c>
      <c r="E262" s="6" t="s">
        <v>14</v>
      </c>
      <c r="F262" s="6" t="s">
        <v>2564</v>
      </c>
      <c r="G262" s="6" t="s">
        <v>2565</v>
      </c>
      <c r="H262" s="6" t="str">
        <f t="shared" si="22"/>
        <v>att_mslc_column_configuration</v>
      </c>
      <c r="I262" s="6" t="s">
        <v>2580</v>
      </c>
      <c r="J262" s="6" t="str">
        <f t="shared" si="23"/>
        <v>att_mslc_column_configuration:trap</v>
      </c>
      <c r="K262" s="11" t="s">
        <v>18</v>
      </c>
      <c r="L262" s="6" t="s">
        <v>2582</v>
      </c>
      <c r="M262" s="6" t="s">
        <v>14</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16</v>
      </c>
      <c r="B264" s="13"/>
      <c r="C264" s="14" t="s">
        <v>1796</v>
      </c>
      <c r="D264" s="14" t="s">
        <v>1797</v>
      </c>
      <c r="E264" s="14" t="s">
        <v>14</v>
      </c>
      <c r="G264" s="14" t="s">
        <v>2583</v>
      </c>
      <c r="H264" s="14" t="str">
        <f>"att_"&amp;G264</f>
        <v>att_ms_interface</v>
      </c>
      <c r="I264" s="14" t="s">
        <v>1796</v>
      </c>
      <c r="J264" s="14" t="str">
        <f>H264&amp;":"&amp;I264</f>
        <v>att_ms_interface:faims</v>
      </c>
      <c r="K264" s="15" t="s">
        <v>18</v>
      </c>
      <c r="L264" s="14" t="s">
        <v>1798</v>
      </c>
      <c r="M264" s="14" t="s">
        <v>14</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2584</v>
      </c>
      <c r="D265" s="14" t="s">
        <v>1808</v>
      </c>
      <c r="F265" s="14" t="s">
        <v>128</v>
      </c>
      <c r="G265" s="14" t="s">
        <v>2585</v>
      </c>
      <c r="H265" s="14" t="str">
        <f>"att_"&amp;G265</f>
        <v>att_ms_ionsource</v>
      </c>
      <c r="I265" s="14" t="s">
        <v>1807</v>
      </c>
      <c r="J265" s="14" t="str">
        <f>H265&amp;":"&amp;I265</f>
        <v>att_ms_ionsource:ion_max</v>
      </c>
      <c r="K265" s="15"/>
      <c r="L265" s="14" t="s">
        <v>1809</v>
      </c>
    </row>
    <row r="266" spans="1:15" x14ac:dyDescent="0.15">
      <c r="A266" s="11"/>
      <c r="B266" s="12"/>
      <c r="C266" s="14" t="s">
        <v>2584</v>
      </c>
      <c r="D266" s="6" t="s">
        <v>1802</v>
      </c>
      <c r="F266" s="6" t="s">
        <v>128</v>
      </c>
      <c r="G266" s="14" t="s">
        <v>2585</v>
      </c>
      <c r="H266" s="14" t="str">
        <f>"att_"&amp;G266</f>
        <v>att_ms_ionsource</v>
      </c>
      <c r="I266" s="14" t="s">
        <v>1801</v>
      </c>
      <c r="J266" s="14" t="str">
        <f>H266&amp;":"&amp;I266</f>
        <v>att_ms_ionsource:easy_spray</v>
      </c>
      <c r="K266" s="11"/>
      <c r="L266" s="6" t="s">
        <v>1803</v>
      </c>
    </row>
    <row r="267" spans="1:15" x14ac:dyDescent="0.15">
      <c r="A267" s="11"/>
      <c r="B267" s="12"/>
      <c r="C267" s="14" t="s">
        <v>2584</v>
      </c>
      <c r="D267" s="6" t="s">
        <v>1805</v>
      </c>
      <c r="F267" s="6" t="s">
        <v>128</v>
      </c>
      <c r="G267" s="14" t="s">
        <v>2585</v>
      </c>
      <c r="H267" s="14" t="str">
        <f>"att_"&amp;G267</f>
        <v>att_ms_ionsource</v>
      </c>
      <c r="I267" s="14" t="s">
        <v>1804</v>
      </c>
      <c r="J267" s="14" t="str">
        <f>H267&amp;":"&amp;I267</f>
        <v>att_ms_ionsource:flex</v>
      </c>
      <c r="K267" s="11"/>
      <c r="L267" s="6" t="s">
        <v>1806</v>
      </c>
    </row>
    <row r="268" spans="1:15" x14ac:dyDescent="0.15">
      <c r="A268" s="11"/>
      <c r="B268" s="12"/>
      <c r="I268" s="14"/>
      <c r="J268" s="14"/>
      <c r="K268" s="11"/>
    </row>
    <row r="269" spans="1:15" x14ac:dyDescent="0.15">
      <c r="A269" s="12" t="b">
        <f>FALSE()</f>
        <v>0</v>
      </c>
      <c r="B269" s="12"/>
      <c r="C269" s="6" t="s">
        <v>2038</v>
      </c>
      <c r="D269" s="6" t="s">
        <v>2039</v>
      </c>
      <c r="E269" s="6" t="s">
        <v>14</v>
      </c>
      <c r="F269" s="6" t="s">
        <v>150</v>
      </c>
      <c r="G269" s="6" t="s">
        <v>2586</v>
      </c>
      <c r="H269" s="6" t="str">
        <f t="shared" ref="H269:H300" si="26">"att_"&amp;G269</f>
        <v>att_organ</v>
      </c>
      <c r="I269" s="6" t="s">
        <v>2038</v>
      </c>
      <c r="J269" s="6" t="str">
        <f t="shared" ref="J269:J300" si="27">H269&amp;":"&amp;I269</f>
        <v>att_organ:appendix</v>
      </c>
      <c r="K269" s="11" t="s">
        <v>18</v>
      </c>
      <c r="L269" s="6" t="s">
        <v>2039</v>
      </c>
      <c r="M269" s="6" t="s">
        <v>14</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2040</v>
      </c>
      <c r="D270" s="6" t="s">
        <v>2041</v>
      </c>
      <c r="E270" s="6" t="s">
        <v>14</v>
      </c>
      <c r="F270" s="6" t="s">
        <v>150</v>
      </c>
      <c r="G270" s="6" t="s">
        <v>2586</v>
      </c>
      <c r="H270" s="6" t="str">
        <f t="shared" si="26"/>
        <v>att_organ</v>
      </c>
      <c r="I270" s="6" t="s">
        <v>2040</v>
      </c>
      <c r="J270" s="6" t="str">
        <f t="shared" si="27"/>
        <v>att_organ:arteries</v>
      </c>
      <c r="K270" s="11" t="s">
        <v>18</v>
      </c>
      <c r="L270" s="6" t="s">
        <v>2041</v>
      </c>
      <c r="M270" s="6" t="s">
        <v>14</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2042</v>
      </c>
      <c r="D271" s="6" t="s">
        <v>2043</v>
      </c>
      <c r="E271" s="6" t="s">
        <v>14</v>
      </c>
      <c r="F271" s="6" t="s">
        <v>150</v>
      </c>
      <c r="G271" s="6" t="s">
        <v>2586</v>
      </c>
      <c r="H271" s="6" t="str">
        <f t="shared" si="26"/>
        <v>att_organ</v>
      </c>
      <c r="I271" s="6" t="s">
        <v>2042</v>
      </c>
      <c r="J271" s="6" t="str">
        <f t="shared" si="27"/>
        <v>att_organ:bladder</v>
      </c>
      <c r="K271" s="11" t="s">
        <v>18</v>
      </c>
      <c r="L271" s="6" t="s">
        <v>2043</v>
      </c>
      <c r="M271" s="6" t="s">
        <v>14</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2044</v>
      </c>
      <c r="D272" s="6" t="s">
        <v>2045</v>
      </c>
      <c r="E272" s="6" t="s">
        <v>14</v>
      </c>
      <c r="F272" s="6" t="s">
        <v>150</v>
      </c>
      <c r="G272" s="6" t="s">
        <v>2586</v>
      </c>
      <c r="H272" s="6" t="str">
        <f t="shared" si="26"/>
        <v>att_organ</v>
      </c>
      <c r="I272" s="6" t="s">
        <v>2044</v>
      </c>
      <c r="J272" s="6" t="str">
        <f t="shared" si="27"/>
        <v>att_organ:bone_marrow</v>
      </c>
      <c r="K272" s="11" t="s">
        <v>18</v>
      </c>
      <c r="L272" s="6" t="s">
        <v>2045</v>
      </c>
      <c r="M272" s="6" t="s">
        <v>14</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2046</v>
      </c>
      <c r="D273" s="6" t="s">
        <v>2047</v>
      </c>
      <c r="E273" s="6" t="s">
        <v>14</v>
      </c>
      <c r="F273" s="6" t="s">
        <v>150</v>
      </c>
      <c r="G273" s="6" t="s">
        <v>2586</v>
      </c>
      <c r="H273" s="6" t="str">
        <f t="shared" si="26"/>
        <v>att_organ</v>
      </c>
      <c r="I273" s="6" t="s">
        <v>2046</v>
      </c>
      <c r="J273" s="6" t="str">
        <f t="shared" si="27"/>
        <v>att_organ:brain</v>
      </c>
      <c r="K273" s="11" t="s">
        <v>18</v>
      </c>
      <c r="L273" s="6" t="s">
        <v>2047</v>
      </c>
      <c r="M273" s="6" t="s">
        <v>14</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2048</v>
      </c>
      <c r="D274" s="6" t="s">
        <v>2049</v>
      </c>
      <c r="E274" s="6" t="s">
        <v>14</v>
      </c>
      <c r="F274" s="6" t="s">
        <v>150</v>
      </c>
      <c r="G274" s="6" t="s">
        <v>2586</v>
      </c>
      <c r="H274" s="6" t="str">
        <f t="shared" si="26"/>
        <v>att_organ</v>
      </c>
      <c r="I274" s="6" t="s">
        <v>2048</v>
      </c>
      <c r="J274" s="6" t="str">
        <f t="shared" si="27"/>
        <v>att_organ:bronchi</v>
      </c>
      <c r="K274" s="11" t="s">
        <v>18</v>
      </c>
      <c r="L274" s="6" t="s">
        <v>2049</v>
      </c>
      <c r="M274" s="6" t="s">
        <v>14</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2050</v>
      </c>
      <c r="D275" s="6" t="s">
        <v>2051</v>
      </c>
      <c r="E275" s="6" t="s">
        <v>14</v>
      </c>
      <c r="F275" s="6" t="s">
        <v>150</v>
      </c>
      <c r="G275" s="6" t="s">
        <v>2586</v>
      </c>
      <c r="H275" s="6" t="str">
        <f t="shared" si="26"/>
        <v>att_organ</v>
      </c>
      <c r="I275" s="6" t="s">
        <v>2050</v>
      </c>
      <c r="J275" s="6" t="str">
        <f t="shared" si="27"/>
        <v>att_organ:cecum</v>
      </c>
      <c r="K275" s="11" t="s">
        <v>18</v>
      </c>
      <c r="L275" s="6" t="s">
        <v>2051</v>
      </c>
      <c r="M275" s="6" t="s">
        <v>14</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2052</v>
      </c>
      <c r="D276" s="6" t="s">
        <v>2053</v>
      </c>
      <c r="E276" s="6" t="s">
        <v>14</v>
      </c>
      <c r="F276" s="6" t="s">
        <v>150</v>
      </c>
      <c r="G276" s="6" t="s">
        <v>2586</v>
      </c>
      <c r="H276" s="6" t="str">
        <f t="shared" si="26"/>
        <v>att_organ</v>
      </c>
      <c r="I276" s="6" t="s">
        <v>2052</v>
      </c>
      <c r="J276" s="6" t="str">
        <f t="shared" si="27"/>
        <v>att_organ:cerebellum</v>
      </c>
      <c r="K276" s="11" t="s">
        <v>18</v>
      </c>
      <c r="L276" s="6" t="s">
        <v>2053</v>
      </c>
      <c r="M276" s="6" t="s">
        <v>14</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2054</v>
      </c>
      <c r="D277" s="6" t="s">
        <v>2055</v>
      </c>
      <c r="E277" s="6" t="s">
        <v>14</v>
      </c>
      <c r="F277" s="6" t="s">
        <v>150</v>
      </c>
      <c r="G277" s="6" t="s">
        <v>2586</v>
      </c>
      <c r="H277" s="6" t="str">
        <f t="shared" si="26"/>
        <v>att_organ</v>
      </c>
      <c r="I277" s="6" t="s">
        <v>2054</v>
      </c>
      <c r="J277" s="6" t="str">
        <f t="shared" si="27"/>
        <v>att_organ:cerebrum</v>
      </c>
      <c r="K277" s="11" t="s">
        <v>18</v>
      </c>
      <c r="L277" s="6" t="s">
        <v>2055</v>
      </c>
      <c r="M277" s="6" t="s">
        <v>14</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2056</v>
      </c>
      <c r="D278" s="6" t="s">
        <v>2057</v>
      </c>
      <c r="E278" s="6" t="s">
        <v>14</v>
      </c>
      <c r="F278" s="6" t="s">
        <v>150</v>
      </c>
      <c r="G278" s="6" t="s">
        <v>2586</v>
      </c>
      <c r="H278" s="6" t="str">
        <f t="shared" si="26"/>
        <v>att_organ</v>
      </c>
      <c r="I278" s="6" t="s">
        <v>2056</v>
      </c>
      <c r="J278" s="6" t="str">
        <f t="shared" si="27"/>
        <v>att_organ:ear</v>
      </c>
      <c r="K278" s="11" t="s">
        <v>18</v>
      </c>
      <c r="L278" s="6" t="s">
        <v>2057</v>
      </c>
      <c r="M278" s="6" t="s">
        <v>14</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2058</v>
      </c>
      <c r="D279" s="6" t="s">
        <v>2059</v>
      </c>
      <c r="E279" s="6" t="s">
        <v>14</v>
      </c>
      <c r="F279" s="6" t="s">
        <v>150</v>
      </c>
      <c r="G279" s="6" t="s">
        <v>2586</v>
      </c>
      <c r="H279" s="6" t="str">
        <f t="shared" si="26"/>
        <v>att_organ</v>
      </c>
      <c r="I279" s="6" t="s">
        <v>2058</v>
      </c>
      <c r="J279" s="6" t="str">
        <f t="shared" si="27"/>
        <v>att_organ:esophagus</v>
      </c>
      <c r="K279" s="11" t="s">
        <v>18</v>
      </c>
      <c r="L279" s="6" t="s">
        <v>2059</v>
      </c>
      <c r="M279" s="6" t="s">
        <v>14</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2060</v>
      </c>
      <c r="D280" s="6" t="s">
        <v>2061</v>
      </c>
      <c r="E280" s="6" t="s">
        <v>14</v>
      </c>
      <c r="F280" s="6" t="s">
        <v>150</v>
      </c>
      <c r="G280" s="6" t="s">
        <v>2586</v>
      </c>
      <c r="H280" s="6" t="str">
        <f t="shared" si="26"/>
        <v>att_organ</v>
      </c>
      <c r="I280" s="6" t="s">
        <v>2060</v>
      </c>
      <c r="J280" s="6" t="str">
        <f t="shared" si="27"/>
        <v>att_organ:eye</v>
      </c>
      <c r="K280" s="11" t="s">
        <v>18</v>
      </c>
      <c r="L280" s="6" t="s">
        <v>2061</v>
      </c>
      <c r="M280" s="6" t="s">
        <v>14</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2062</v>
      </c>
      <c r="D281" s="6" t="s">
        <v>2063</v>
      </c>
      <c r="E281" s="6" t="s">
        <v>14</v>
      </c>
      <c r="F281" s="6" t="s">
        <v>150</v>
      </c>
      <c r="G281" s="6" t="s">
        <v>2586</v>
      </c>
      <c r="H281" s="6" t="str">
        <f t="shared" si="26"/>
        <v>att_organ</v>
      </c>
      <c r="I281" s="6" t="s">
        <v>2062</v>
      </c>
      <c r="J281" s="6" t="str">
        <f t="shared" si="27"/>
        <v>att_organ:gallbladder</v>
      </c>
      <c r="K281" s="11" t="s">
        <v>18</v>
      </c>
      <c r="L281" s="6" t="s">
        <v>2063</v>
      </c>
      <c r="M281" s="6" t="s">
        <v>14</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2064</v>
      </c>
      <c r="D282" s="6" t="s">
        <v>2065</v>
      </c>
      <c r="E282" s="6" t="s">
        <v>14</v>
      </c>
      <c r="F282" s="6" t="s">
        <v>150</v>
      </c>
      <c r="G282" s="6" t="s">
        <v>2586</v>
      </c>
      <c r="H282" s="6" t="str">
        <f t="shared" si="26"/>
        <v>att_organ</v>
      </c>
      <c r="I282" s="6" t="s">
        <v>2064</v>
      </c>
      <c r="J282" s="6" t="str">
        <f t="shared" si="27"/>
        <v>att_organ:ganglia</v>
      </c>
      <c r="K282" s="11" t="s">
        <v>18</v>
      </c>
      <c r="L282" s="6" t="s">
        <v>2065</v>
      </c>
      <c r="M282" s="6" t="s">
        <v>14</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2066</v>
      </c>
      <c r="D283" s="6" t="s">
        <v>2067</v>
      </c>
      <c r="E283" s="6" t="s">
        <v>14</v>
      </c>
      <c r="F283" s="6" t="s">
        <v>150</v>
      </c>
      <c r="G283" s="6" t="s">
        <v>2586</v>
      </c>
      <c r="H283" s="6" t="str">
        <f t="shared" si="26"/>
        <v>att_organ</v>
      </c>
      <c r="I283" s="6" t="s">
        <v>2066</v>
      </c>
      <c r="J283" s="6" t="str">
        <f t="shared" si="27"/>
        <v>att_organ:heart</v>
      </c>
      <c r="K283" s="11" t="s">
        <v>18</v>
      </c>
      <c r="L283" s="6" t="s">
        <v>2067</v>
      </c>
      <c r="M283" s="6" t="s">
        <v>14</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2068</v>
      </c>
      <c r="D284" s="6" t="s">
        <v>2069</v>
      </c>
      <c r="E284" s="6" t="s">
        <v>14</v>
      </c>
      <c r="F284" s="6" t="s">
        <v>150</v>
      </c>
      <c r="G284" s="6" t="s">
        <v>2586</v>
      </c>
      <c r="H284" s="6" t="str">
        <f t="shared" si="26"/>
        <v>att_organ</v>
      </c>
      <c r="I284" s="6" t="s">
        <v>2068</v>
      </c>
      <c r="J284" s="6" t="str">
        <f t="shared" si="27"/>
        <v>att_organ:hypothalamus</v>
      </c>
      <c r="K284" s="11" t="s">
        <v>18</v>
      </c>
      <c r="L284" s="6" t="s">
        <v>2069</v>
      </c>
      <c r="M284" s="6" t="s">
        <v>14</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2070</v>
      </c>
      <c r="D285" s="6" t="s">
        <v>2071</v>
      </c>
      <c r="E285" s="6" t="s">
        <v>14</v>
      </c>
      <c r="F285" s="6" t="s">
        <v>150</v>
      </c>
      <c r="G285" s="6" t="s">
        <v>2586</v>
      </c>
      <c r="H285" s="6" t="str">
        <f t="shared" si="26"/>
        <v>att_organ</v>
      </c>
      <c r="I285" s="6" t="s">
        <v>2070</v>
      </c>
      <c r="J285" s="6" t="str">
        <f t="shared" si="27"/>
        <v>att_organ:kidney</v>
      </c>
      <c r="K285" s="11" t="s">
        <v>18</v>
      </c>
      <c r="L285" s="6" t="s">
        <v>2071</v>
      </c>
      <c r="M285" s="6" t="s">
        <v>14</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2072</v>
      </c>
      <c r="D286" s="6" t="s">
        <v>2074</v>
      </c>
      <c r="E286" s="6" t="s">
        <v>14</v>
      </c>
      <c r="F286" s="6" t="s">
        <v>150</v>
      </c>
      <c r="G286" s="6" t="s">
        <v>2586</v>
      </c>
      <c r="H286" s="6" t="str">
        <f t="shared" si="26"/>
        <v>att_organ</v>
      </c>
      <c r="I286" s="6" t="s">
        <v>2072</v>
      </c>
      <c r="J286" s="6" t="str">
        <f t="shared" si="27"/>
        <v>att_organ:large_intestine</v>
      </c>
      <c r="K286" s="11" t="s">
        <v>18</v>
      </c>
      <c r="L286" s="6" t="s">
        <v>2075</v>
      </c>
      <c r="M286" s="6" t="s">
        <v>14</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2076</v>
      </c>
      <c r="D287" s="6" t="s">
        <v>2077</v>
      </c>
      <c r="E287" s="6" t="s">
        <v>14</v>
      </c>
      <c r="F287" s="6" t="s">
        <v>150</v>
      </c>
      <c r="G287" s="6" t="s">
        <v>2586</v>
      </c>
      <c r="H287" s="6" t="str">
        <f t="shared" si="26"/>
        <v>att_organ</v>
      </c>
      <c r="I287" s="6" t="s">
        <v>2076</v>
      </c>
      <c r="J287" s="6" t="str">
        <f t="shared" si="27"/>
        <v>att_organ:liver</v>
      </c>
      <c r="K287" s="11" t="s">
        <v>18</v>
      </c>
      <c r="L287" s="6" t="s">
        <v>2077</v>
      </c>
      <c r="M287" s="6" t="s">
        <v>14</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2078</v>
      </c>
      <c r="D288" s="6" t="s">
        <v>2079</v>
      </c>
      <c r="E288" s="6" t="s">
        <v>14</v>
      </c>
      <c r="F288" s="6" t="s">
        <v>150</v>
      </c>
      <c r="G288" s="6" t="s">
        <v>2586</v>
      </c>
      <c r="H288" s="6" t="str">
        <f t="shared" si="26"/>
        <v>att_organ</v>
      </c>
      <c r="I288" s="6" t="s">
        <v>2078</v>
      </c>
      <c r="J288" s="6" t="str">
        <f t="shared" si="27"/>
        <v>att_organ:lung</v>
      </c>
      <c r="K288" s="11" t="s">
        <v>18</v>
      </c>
      <c r="L288" s="6" t="s">
        <v>2079</v>
      </c>
      <c r="M288" s="6" t="s">
        <v>14</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2080</v>
      </c>
      <c r="D289" s="6" t="s">
        <v>2081</v>
      </c>
      <c r="E289" s="6" t="s">
        <v>14</v>
      </c>
      <c r="F289" s="6" t="s">
        <v>150</v>
      </c>
      <c r="G289" s="6" t="s">
        <v>2586</v>
      </c>
      <c r="H289" s="6" t="str">
        <f t="shared" si="26"/>
        <v>att_organ</v>
      </c>
      <c r="I289" s="6" t="s">
        <v>2080</v>
      </c>
      <c r="J289" s="6" t="str">
        <f t="shared" si="27"/>
        <v>att_organ:lymph_node</v>
      </c>
      <c r="K289" s="11" t="s">
        <v>18</v>
      </c>
      <c r="L289" s="6" t="s">
        <v>2081</v>
      </c>
      <c r="M289" s="6" t="s">
        <v>14</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2082</v>
      </c>
      <c r="D290" s="6" t="s">
        <v>2083</v>
      </c>
      <c r="E290" s="6" t="s">
        <v>14</v>
      </c>
      <c r="F290" s="6" t="s">
        <v>150</v>
      </c>
      <c r="G290" s="6" t="s">
        <v>2586</v>
      </c>
      <c r="H290" s="6" t="str">
        <f t="shared" si="26"/>
        <v>att_organ</v>
      </c>
      <c r="I290" s="6" t="s">
        <v>2082</v>
      </c>
      <c r="J290" s="6" t="str">
        <f t="shared" si="27"/>
        <v>att_organ:medulla</v>
      </c>
      <c r="K290" s="11" t="s">
        <v>18</v>
      </c>
      <c r="L290" s="6" t="s">
        <v>2083</v>
      </c>
      <c r="M290" s="6" t="s">
        <v>14</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2084</v>
      </c>
      <c r="D291" s="6" t="s">
        <v>2085</v>
      </c>
      <c r="E291" s="6" t="s">
        <v>14</v>
      </c>
      <c r="F291" s="6" t="s">
        <v>150</v>
      </c>
      <c r="G291" s="6" t="s">
        <v>2586</v>
      </c>
      <c r="H291" s="6" t="str">
        <f t="shared" si="26"/>
        <v>att_organ</v>
      </c>
      <c r="I291" s="6" t="s">
        <v>2084</v>
      </c>
      <c r="J291" s="6" t="str">
        <f t="shared" si="27"/>
        <v>att_organ:mesentery</v>
      </c>
      <c r="K291" s="11" t="s">
        <v>18</v>
      </c>
      <c r="L291" s="6" t="s">
        <v>2085</v>
      </c>
      <c r="M291" s="6" t="s">
        <v>14</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2086</v>
      </c>
      <c r="D292" s="6" t="s">
        <v>2087</v>
      </c>
      <c r="E292" s="6" t="s">
        <v>14</v>
      </c>
      <c r="F292" s="6" t="s">
        <v>150</v>
      </c>
      <c r="G292" s="6" t="s">
        <v>2586</v>
      </c>
      <c r="H292" s="6" t="str">
        <f t="shared" si="26"/>
        <v>att_organ</v>
      </c>
      <c r="I292" s="6" t="s">
        <v>2086</v>
      </c>
      <c r="J292" s="6" t="str">
        <f t="shared" si="27"/>
        <v>att_organ:midbrain</v>
      </c>
      <c r="K292" s="11" t="s">
        <v>18</v>
      </c>
      <c r="L292" s="6" t="s">
        <v>2087</v>
      </c>
      <c r="M292" s="6" t="s">
        <v>14</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2088</v>
      </c>
      <c r="D293" s="6" t="s">
        <v>2089</v>
      </c>
      <c r="E293" s="6" t="s">
        <v>14</v>
      </c>
      <c r="F293" s="6" t="s">
        <v>150</v>
      </c>
      <c r="G293" s="6" t="s">
        <v>2586</v>
      </c>
      <c r="H293" s="6" t="str">
        <f t="shared" si="26"/>
        <v>att_organ</v>
      </c>
      <c r="I293" s="6" t="s">
        <v>2088</v>
      </c>
      <c r="J293" s="6" t="str">
        <f t="shared" si="27"/>
        <v>att_organ:ovaries</v>
      </c>
      <c r="K293" s="11" t="s">
        <v>18</v>
      </c>
      <c r="L293" s="6" t="s">
        <v>2089</v>
      </c>
      <c r="M293" s="6" t="s">
        <v>14</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2090</v>
      </c>
      <c r="D294" s="6" t="s">
        <v>2091</v>
      </c>
      <c r="E294" s="6" t="s">
        <v>14</v>
      </c>
      <c r="F294" s="6" t="s">
        <v>150</v>
      </c>
      <c r="G294" s="6" t="s">
        <v>2586</v>
      </c>
      <c r="H294" s="6" t="str">
        <f t="shared" si="26"/>
        <v>att_organ</v>
      </c>
      <c r="I294" s="6" t="s">
        <v>2090</v>
      </c>
      <c r="J294" s="6" t="str">
        <f t="shared" si="27"/>
        <v>att_organ:pancreas</v>
      </c>
      <c r="K294" s="11" t="s">
        <v>18</v>
      </c>
      <c r="L294" s="6" t="s">
        <v>2091</v>
      </c>
      <c r="M294" s="6" t="s">
        <v>14</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2092</v>
      </c>
      <c r="D295" s="6" t="s">
        <v>2093</v>
      </c>
      <c r="E295" s="6" t="s">
        <v>14</v>
      </c>
      <c r="F295" s="6" t="s">
        <v>150</v>
      </c>
      <c r="G295" s="6" t="s">
        <v>2586</v>
      </c>
      <c r="H295" s="6" t="str">
        <f t="shared" si="26"/>
        <v>att_organ</v>
      </c>
      <c r="I295" s="6" t="s">
        <v>2092</v>
      </c>
      <c r="J295" s="6" t="str">
        <f t="shared" si="27"/>
        <v>att_organ:pons</v>
      </c>
      <c r="K295" s="11" t="s">
        <v>18</v>
      </c>
      <c r="L295" s="6" t="s">
        <v>2093</v>
      </c>
      <c r="M295" s="6" t="s">
        <v>14</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2094</v>
      </c>
      <c r="D296" s="6" t="s">
        <v>2095</v>
      </c>
      <c r="E296" s="6" t="s">
        <v>14</v>
      </c>
      <c r="F296" s="6" t="s">
        <v>150</v>
      </c>
      <c r="G296" s="6" t="s">
        <v>2586</v>
      </c>
      <c r="H296" s="6" t="str">
        <f t="shared" si="26"/>
        <v>att_organ</v>
      </c>
      <c r="I296" s="6" t="s">
        <v>2094</v>
      </c>
      <c r="J296" s="6" t="str">
        <f t="shared" si="27"/>
        <v>att_organ:prostate</v>
      </c>
      <c r="K296" s="11" t="s">
        <v>18</v>
      </c>
      <c r="L296" s="6" t="s">
        <v>2095</v>
      </c>
      <c r="M296" s="6" t="s">
        <v>14</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2096</v>
      </c>
      <c r="D297" s="6" t="s">
        <v>2097</v>
      </c>
      <c r="E297" s="6" t="s">
        <v>14</v>
      </c>
      <c r="F297" s="6" t="s">
        <v>150</v>
      </c>
      <c r="G297" s="6" t="s">
        <v>2586</v>
      </c>
      <c r="H297" s="6" t="str">
        <f t="shared" si="26"/>
        <v>att_organ</v>
      </c>
      <c r="I297" s="6" t="s">
        <v>2096</v>
      </c>
      <c r="J297" s="6" t="str">
        <f t="shared" si="27"/>
        <v>att_organ:rectum</v>
      </c>
      <c r="K297" s="11" t="s">
        <v>18</v>
      </c>
      <c r="L297" s="6" t="s">
        <v>2097</v>
      </c>
      <c r="M297" s="6" t="s">
        <v>14</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2099</v>
      </c>
      <c r="D298" s="6" t="s">
        <v>2100</v>
      </c>
      <c r="E298" s="6" t="s">
        <v>14</v>
      </c>
      <c r="F298" s="6" t="s">
        <v>150</v>
      </c>
      <c r="G298" s="6" t="s">
        <v>2586</v>
      </c>
      <c r="H298" s="6" t="str">
        <f t="shared" si="26"/>
        <v>att_organ</v>
      </c>
      <c r="I298" s="6" t="s">
        <v>2098</v>
      </c>
      <c r="J298" s="6" t="str">
        <f t="shared" si="27"/>
        <v>att_organ:small_intestine</v>
      </c>
      <c r="K298" s="11" t="s">
        <v>18</v>
      </c>
      <c r="L298" s="6" t="s">
        <v>2101</v>
      </c>
      <c r="M298" s="6" t="s">
        <v>14</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2102</v>
      </c>
      <c r="D299" s="6" t="s">
        <v>2103</v>
      </c>
      <c r="E299" s="6" t="s">
        <v>14</v>
      </c>
      <c r="F299" s="6" t="s">
        <v>150</v>
      </c>
      <c r="G299" s="6" t="s">
        <v>2586</v>
      </c>
      <c r="H299" s="6" t="str">
        <f t="shared" si="26"/>
        <v>att_organ</v>
      </c>
      <c r="I299" s="6" t="s">
        <v>2102</v>
      </c>
      <c r="J299" s="6" t="str">
        <f t="shared" si="27"/>
        <v>att_organ:spinal_cord</v>
      </c>
      <c r="K299" s="11" t="s">
        <v>18</v>
      </c>
      <c r="L299" s="6" t="s">
        <v>2104</v>
      </c>
      <c r="M299" s="6" t="s">
        <v>14</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2105</v>
      </c>
      <c r="D300" s="6" t="s">
        <v>2106</v>
      </c>
      <c r="E300" s="6" t="s">
        <v>14</v>
      </c>
      <c r="F300" s="6" t="s">
        <v>150</v>
      </c>
      <c r="G300" s="6" t="s">
        <v>2586</v>
      </c>
      <c r="H300" s="6" t="str">
        <f t="shared" si="26"/>
        <v>att_organ</v>
      </c>
      <c r="I300" s="6" t="s">
        <v>2105</v>
      </c>
      <c r="J300" s="6" t="str">
        <f t="shared" si="27"/>
        <v>att_organ:spleen</v>
      </c>
      <c r="K300" s="11" t="s">
        <v>18</v>
      </c>
      <c r="L300" s="6" t="s">
        <v>2106</v>
      </c>
      <c r="M300" s="6" t="s">
        <v>14</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2107</v>
      </c>
      <c r="D301" s="6" t="s">
        <v>2108</v>
      </c>
      <c r="E301" s="6" t="s">
        <v>14</v>
      </c>
      <c r="F301" s="6" t="s">
        <v>150</v>
      </c>
      <c r="G301" s="6" t="s">
        <v>2586</v>
      </c>
      <c r="H301" s="6" t="str">
        <f t="shared" ref="H301:H332" si="30">"att_"&amp;G301</f>
        <v>att_organ</v>
      </c>
      <c r="I301" s="6" t="s">
        <v>2107</v>
      </c>
      <c r="J301" s="6" t="str">
        <f t="shared" ref="J301:J332" si="31">H301&amp;":"&amp;I301</f>
        <v>att_organ:stomach</v>
      </c>
      <c r="K301" s="11" t="s">
        <v>18</v>
      </c>
      <c r="L301" s="6" t="s">
        <v>2108</v>
      </c>
      <c r="M301" s="6" t="s">
        <v>14</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2109</v>
      </c>
      <c r="D302" s="6" t="s">
        <v>2110</v>
      </c>
      <c r="E302" s="6" t="s">
        <v>14</v>
      </c>
      <c r="F302" s="6" t="s">
        <v>150</v>
      </c>
      <c r="G302" s="6" t="s">
        <v>2586</v>
      </c>
      <c r="H302" s="6" t="str">
        <f t="shared" si="30"/>
        <v>att_organ</v>
      </c>
      <c r="I302" s="6" t="s">
        <v>2109</v>
      </c>
      <c r="J302" s="6" t="str">
        <f t="shared" si="31"/>
        <v>att_organ:testicles</v>
      </c>
      <c r="K302" s="11" t="s">
        <v>18</v>
      </c>
      <c r="L302" s="6" t="s">
        <v>2110</v>
      </c>
      <c r="M302" s="6" t="s">
        <v>14</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2111</v>
      </c>
      <c r="D303" s="6" t="s">
        <v>2112</v>
      </c>
      <c r="E303" s="6" t="s">
        <v>14</v>
      </c>
      <c r="F303" s="6" t="s">
        <v>150</v>
      </c>
      <c r="G303" s="6" t="s">
        <v>2586</v>
      </c>
      <c r="H303" s="6" t="str">
        <f t="shared" si="30"/>
        <v>att_organ</v>
      </c>
      <c r="I303" s="6" t="s">
        <v>2111</v>
      </c>
      <c r="J303" s="6" t="str">
        <f t="shared" si="31"/>
        <v>att_organ:thalamus</v>
      </c>
      <c r="K303" s="11" t="s">
        <v>18</v>
      </c>
      <c r="L303" s="6" t="s">
        <v>2112</v>
      </c>
      <c r="M303" s="6" t="s">
        <v>14</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2113</v>
      </c>
      <c r="D304" s="6" t="s">
        <v>2114</v>
      </c>
      <c r="E304" s="6" t="s">
        <v>14</v>
      </c>
      <c r="F304" s="6" t="s">
        <v>150</v>
      </c>
      <c r="G304" s="6" t="s">
        <v>2586</v>
      </c>
      <c r="H304" s="6" t="str">
        <f t="shared" si="30"/>
        <v>att_organ</v>
      </c>
      <c r="I304" s="6" t="s">
        <v>2113</v>
      </c>
      <c r="J304" s="6" t="str">
        <f t="shared" si="31"/>
        <v>att_organ:thymus</v>
      </c>
      <c r="K304" s="11" t="s">
        <v>18</v>
      </c>
      <c r="L304" s="6" t="s">
        <v>2114</v>
      </c>
      <c r="M304" s="6" t="s">
        <v>14</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2115</v>
      </c>
      <c r="D305" s="6" t="s">
        <v>2116</v>
      </c>
      <c r="E305" s="6" t="s">
        <v>14</v>
      </c>
      <c r="F305" s="6" t="s">
        <v>150</v>
      </c>
      <c r="G305" s="6" t="s">
        <v>2586</v>
      </c>
      <c r="H305" s="6" t="str">
        <f t="shared" si="30"/>
        <v>att_organ</v>
      </c>
      <c r="I305" s="6" t="s">
        <v>2115</v>
      </c>
      <c r="J305" s="6" t="str">
        <f t="shared" si="31"/>
        <v>att_organ:tongue</v>
      </c>
      <c r="K305" s="11" t="s">
        <v>18</v>
      </c>
      <c r="L305" s="6" t="s">
        <v>2116</v>
      </c>
      <c r="M305" s="6" t="s">
        <v>14</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2117</v>
      </c>
      <c r="D306" s="6" t="s">
        <v>2118</v>
      </c>
      <c r="E306" s="6" t="s">
        <v>14</v>
      </c>
      <c r="F306" s="6" t="s">
        <v>150</v>
      </c>
      <c r="G306" s="6" t="s">
        <v>2586</v>
      </c>
      <c r="H306" s="6" t="str">
        <f t="shared" si="30"/>
        <v>att_organ</v>
      </c>
      <c r="I306" s="6" t="s">
        <v>2117</v>
      </c>
      <c r="J306" s="6" t="str">
        <f t="shared" si="31"/>
        <v>att_organ:tonsils</v>
      </c>
      <c r="K306" s="11" t="s">
        <v>18</v>
      </c>
      <c r="L306" s="6" t="s">
        <v>2118</v>
      </c>
      <c r="M306" s="6" t="s">
        <v>14</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2119</v>
      </c>
      <c r="D307" s="6" t="s">
        <v>2120</v>
      </c>
      <c r="E307" s="6" t="s">
        <v>14</v>
      </c>
      <c r="F307" s="6" t="s">
        <v>150</v>
      </c>
      <c r="G307" s="6" t="s">
        <v>2586</v>
      </c>
      <c r="H307" s="6" t="str">
        <f t="shared" si="30"/>
        <v>att_organ</v>
      </c>
      <c r="I307" s="6" t="s">
        <v>2119</v>
      </c>
      <c r="J307" s="6" t="str">
        <f t="shared" si="31"/>
        <v>att_organ:uterus</v>
      </c>
      <c r="K307" s="11" t="s">
        <v>18</v>
      </c>
      <c r="L307" s="6" t="s">
        <v>2120</v>
      </c>
      <c r="M307" s="6" t="s">
        <v>14</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2121</v>
      </c>
      <c r="D308" s="6" t="s">
        <v>2122</v>
      </c>
      <c r="E308" s="6" t="s">
        <v>14</v>
      </c>
      <c r="F308" s="6" t="s">
        <v>150</v>
      </c>
      <c r="G308" s="6" t="s">
        <v>2586</v>
      </c>
      <c r="H308" s="6" t="str">
        <f t="shared" si="30"/>
        <v>att_organ</v>
      </c>
      <c r="I308" s="6" t="s">
        <v>2121</v>
      </c>
      <c r="J308" s="6" t="str">
        <f t="shared" si="31"/>
        <v>att_organ:veins</v>
      </c>
      <c r="K308" s="11" t="s">
        <v>18</v>
      </c>
      <c r="L308" s="6" t="s">
        <v>2122</v>
      </c>
      <c r="M308" s="6" t="s">
        <v>14</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18</v>
      </c>
      <c r="B309" s="12"/>
      <c r="C309" s="6" t="s">
        <v>2587</v>
      </c>
      <c r="D309" s="6" t="s">
        <v>2588</v>
      </c>
      <c r="E309" s="6" t="s">
        <v>14</v>
      </c>
      <c r="F309" s="6" t="s">
        <v>152</v>
      </c>
      <c r="G309" s="6" t="s">
        <v>2589</v>
      </c>
      <c r="H309" s="6" t="str">
        <f t="shared" si="30"/>
        <v>att_organism</v>
      </c>
      <c r="I309" s="6" t="s">
        <v>2587</v>
      </c>
      <c r="J309" s="6" t="str">
        <f t="shared" si="31"/>
        <v>att_organism:bacteria</v>
      </c>
      <c r="K309" s="11" t="s">
        <v>18</v>
      </c>
      <c r="L309" s="6" t="s">
        <v>2588</v>
      </c>
      <c r="M309" s="6" t="s">
        <v>14</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18</v>
      </c>
      <c r="B310" s="12"/>
      <c r="C310" s="6" t="s">
        <v>2590</v>
      </c>
      <c r="D310" s="6" t="s">
        <v>2129</v>
      </c>
      <c r="E310" s="6" t="s">
        <v>14</v>
      </c>
      <c r="F310" s="6" t="s">
        <v>152</v>
      </c>
      <c r="G310" s="6" t="s">
        <v>2589</v>
      </c>
      <c r="H310" s="6" t="str">
        <f t="shared" si="30"/>
        <v>att_organism</v>
      </c>
      <c r="I310" s="6" t="s">
        <v>2590</v>
      </c>
      <c r="J310" s="6" t="str">
        <f t="shared" si="31"/>
        <v>att_organism:elegans</v>
      </c>
      <c r="K310" s="11" t="s">
        <v>18</v>
      </c>
      <c r="L310" s="6" t="s">
        <v>2129</v>
      </c>
      <c r="M310" s="6" t="s">
        <v>14</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18</v>
      </c>
      <c r="B311" s="12"/>
      <c r="C311" s="6" t="s">
        <v>2591</v>
      </c>
      <c r="D311" s="6" t="s">
        <v>2592</v>
      </c>
      <c r="E311" s="6" t="s">
        <v>14</v>
      </c>
      <c r="F311" s="6" t="s">
        <v>152</v>
      </c>
      <c r="G311" s="6" t="s">
        <v>2589</v>
      </c>
      <c r="H311" s="6" t="str">
        <f t="shared" si="30"/>
        <v>att_organism</v>
      </c>
      <c r="I311" s="6" t="s">
        <v>2591</v>
      </c>
      <c r="J311" s="6" t="str">
        <f t="shared" si="31"/>
        <v>att_organism:gut</v>
      </c>
      <c r="K311" s="11" t="s">
        <v>18</v>
      </c>
      <c r="L311" s="6" t="s">
        <v>2593</v>
      </c>
      <c r="M311" s="6" t="s">
        <v>14</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18</v>
      </c>
      <c r="B312" s="12"/>
      <c r="C312" s="6" t="s">
        <v>2140</v>
      </c>
      <c r="D312" s="6" t="s">
        <v>2141</v>
      </c>
      <c r="E312" s="6" t="s">
        <v>14</v>
      </c>
      <c r="F312" s="6" t="s">
        <v>152</v>
      </c>
      <c r="G312" s="6" t="s">
        <v>2589</v>
      </c>
      <c r="H312" s="6" t="str">
        <f t="shared" si="30"/>
        <v>att_organism</v>
      </c>
      <c r="I312" s="6" t="s">
        <v>2140</v>
      </c>
      <c r="J312" s="6" t="str">
        <f t="shared" si="31"/>
        <v>att_organism:human</v>
      </c>
      <c r="K312" s="11" t="s">
        <v>18</v>
      </c>
      <c r="L312" s="6" t="s">
        <v>2594</v>
      </c>
      <c r="M312" s="6" t="s">
        <v>14</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18</v>
      </c>
      <c r="B313" s="12"/>
      <c r="C313" s="6" t="s">
        <v>2124</v>
      </c>
      <c r="D313" s="6" t="s">
        <v>2125</v>
      </c>
      <c r="E313" s="6" t="s">
        <v>14</v>
      </c>
      <c r="F313" s="6" t="s">
        <v>152</v>
      </c>
      <c r="G313" s="6" t="s">
        <v>2589</v>
      </c>
      <c r="H313" s="6" t="str">
        <f t="shared" si="30"/>
        <v>att_organism</v>
      </c>
      <c r="I313" s="6" t="s">
        <v>2124</v>
      </c>
      <c r="J313" s="6" t="str">
        <f t="shared" si="31"/>
        <v>att_organism:mouse</v>
      </c>
      <c r="K313" s="11" t="s">
        <v>18</v>
      </c>
      <c r="L313" s="6" t="s">
        <v>2595</v>
      </c>
      <c r="M313" s="6" t="s">
        <v>14</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18</v>
      </c>
      <c r="B314" s="12"/>
      <c r="C314" s="6" t="s">
        <v>2136</v>
      </c>
      <c r="D314" s="6" t="s">
        <v>2137</v>
      </c>
      <c r="E314" s="6" t="s">
        <v>14</v>
      </c>
      <c r="F314" s="6" t="s">
        <v>152</v>
      </c>
      <c r="G314" s="6" t="s">
        <v>2589</v>
      </c>
      <c r="H314" s="6" t="str">
        <f t="shared" si="30"/>
        <v>att_organism</v>
      </c>
      <c r="I314" s="6" t="s">
        <v>2136</v>
      </c>
      <c r="J314" s="6" t="str">
        <f t="shared" si="31"/>
        <v>att_organism:rat</v>
      </c>
      <c r="K314" s="11" t="s">
        <v>18</v>
      </c>
      <c r="L314" s="6" t="s">
        <v>2596</v>
      </c>
      <c r="M314" s="6" t="s">
        <v>14</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18</v>
      </c>
      <c r="B315" s="12"/>
      <c r="C315" s="6" t="s">
        <v>2132</v>
      </c>
      <c r="D315" s="6" t="s">
        <v>2133</v>
      </c>
      <c r="E315" s="6" t="s">
        <v>14</v>
      </c>
      <c r="F315" s="6" t="s">
        <v>152</v>
      </c>
      <c r="G315" s="6" t="s">
        <v>2589</v>
      </c>
      <c r="H315" s="6" t="str">
        <f t="shared" si="30"/>
        <v>att_organism</v>
      </c>
      <c r="I315" s="6" t="s">
        <v>2132</v>
      </c>
      <c r="J315" s="6" t="str">
        <f t="shared" si="31"/>
        <v>att_organism:yeast</v>
      </c>
      <c r="K315" s="11" t="s">
        <v>18</v>
      </c>
      <c r="L315" s="6" t="s">
        <v>2597</v>
      </c>
      <c r="M315" s="6" t="s">
        <v>14</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2143</v>
      </c>
      <c r="D316" s="6" t="s">
        <v>2145</v>
      </c>
      <c r="E316" s="6" t="s">
        <v>14</v>
      </c>
      <c r="F316" s="6" t="s">
        <v>2598</v>
      </c>
      <c r="G316" s="6" t="s">
        <v>2599</v>
      </c>
      <c r="H316" s="6" t="str">
        <f t="shared" si="30"/>
        <v>att_organsystem</v>
      </c>
      <c r="I316" s="6" t="s">
        <v>2143</v>
      </c>
      <c r="J316" s="6" t="str">
        <f t="shared" si="31"/>
        <v>att_organsystem:cardiovascular</v>
      </c>
      <c r="K316" s="11" t="s">
        <v>18</v>
      </c>
      <c r="L316" s="6" t="s">
        <v>2146</v>
      </c>
      <c r="M316" s="6" t="s">
        <v>14</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2147</v>
      </c>
      <c r="D317" s="6" t="s">
        <v>2148</v>
      </c>
      <c r="E317" s="6" t="s">
        <v>14</v>
      </c>
      <c r="F317" s="6" t="s">
        <v>2598</v>
      </c>
      <c r="G317" s="6" t="s">
        <v>2599</v>
      </c>
      <c r="H317" s="6" t="str">
        <f t="shared" si="30"/>
        <v>att_organsystem</v>
      </c>
      <c r="I317" s="6" t="s">
        <v>2147</v>
      </c>
      <c r="J317" s="6" t="str">
        <f t="shared" si="31"/>
        <v>att_organsystem:digestive</v>
      </c>
      <c r="K317" s="11" t="s">
        <v>18</v>
      </c>
      <c r="L317" s="6" t="s">
        <v>2149</v>
      </c>
      <c r="M317" s="6" t="s">
        <v>14</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2150</v>
      </c>
      <c r="D318" s="6" t="s">
        <v>2151</v>
      </c>
      <c r="E318" s="6" t="s">
        <v>14</v>
      </c>
      <c r="F318" s="6" t="s">
        <v>2598</v>
      </c>
      <c r="G318" s="6" t="s">
        <v>2599</v>
      </c>
      <c r="H318" s="6" t="str">
        <f t="shared" si="30"/>
        <v>att_organsystem</v>
      </c>
      <c r="I318" s="6" t="s">
        <v>2150</v>
      </c>
      <c r="J318" s="6" t="str">
        <f t="shared" si="31"/>
        <v>att_organsystem:endocrine</v>
      </c>
      <c r="K318" s="11" t="s">
        <v>18</v>
      </c>
      <c r="L318" s="6" t="s">
        <v>2152</v>
      </c>
      <c r="M318" s="6" t="s">
        <v>14</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2153</v>
      </c>
      <c r="D319" s="6" t="s">
        <v>2154</v>
      </c>
      <c r="E319" s="6" t="s">
        <v>14</v>
      </c>
      <c r="F319" s="6" t="s">
        <v>2598</v>
      </c>
      <c r="G319" s="6" t="s">
        <v>2599</v>
      </c>
      <c r="H319" s="6" t="str">
        <f t="shared" si="30"/>
        <v>att_organsystem</v>
      </c>
      <c r="I319" s="6" t="s">
        <v>2153</v>
      </c>
      <c r="J319" s="6" t="str">
        <f t="shared" si="31"/>
        <v>att_organsystem:excretory</v>
      </c>
      <c r="K319" s="11" t="s">
        <v>18</v>
      </c>
      <c r="L319" s="6" t="s">
        <v>2155</v>
      </c>
      <c r="M319" s="6" t="s">
        <v>14</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2156</v>
      </c>
      <c r="D320" s="6" t="s">
        <v>2157</v>
      </c>
      <c r="E320" s="6" t="s">
        <v>14</v>
      </c>
      <c r="F320" s="6" t="s">
        <v>2598</v>
      </c>
      <c r="G320" s="6" t="s">
        <v>2599</v>
      </c>
      <c r="H320" s="6" t="str">
        <f t="shared" si="30"/>
        <v>att_organsystem</v>
      </c>
      <c r="I320" s="6" t="s">
        <v>2156</v>
      </c>
      <c r="J320" s="6" t="str">
        <f t="shared" si="31"/>
        <v>att_organsystem:integumentary</v>
      </c>
      <c r="K320" s="11" t="s">
        <v>18</v>
      </c>
      <c r="L320" s="6" t="s">
        <v>2158</v>
      </c>
      <c r="M320" s="6" t="s">
        <v>14</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2159</v>
      </c>
      <c r="D321" s="6" t="s">
        <v>2160</v>
      </c>
      <c r="E321" s="6" t="s">
        <v>14</v>
      </c>
      <c r="F321" s="6" t="s">
        <v>2598</v>
      </c>
      <c r="G321" s="6" t="s">
        <v>2599</v>
      </c>
      <c r="H321" s="6" t="str">
        <f t="shared" si="30"/>
        <v>att_organsystem</v>
      </c>
      <c r="I321" s="6" t="s">
        <v>2159</v>
      </c>
      <c r="J321" s="6" t="str">
        <f t="shared" si="31"/>
        <v>att_organsystem:lymphatic</v>
      </c>
      <c r="K321" s="11" t="s">
        <v>18</v>
      </c>
      <c r="L321" s="6" t="s">
        <v>2161</v>
      </c>
      <c r="M321" s="6" t="s">
        <v>14</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2162</v>
      </c>
      <c r="D322" s="6" t="s">
        <v>2163</v>
      </c>
      <c r="E322" s="6" t="s">
        <v>14</v>
      </c>
      <c r="F322" s="6" t="s">
        <v>2598</v>
      </c>
      <c r="G322" s="6" t="s">
        <v>2599</v>
      </c>
      <c r="H322" s="6" t="str">
        <f t="shared" si="30"/>
        <v>att_organsystem</v>
      </c>
      <c r="I322" s="6" t="s">
        <v>2162</v>
      </c>
      <c r="J322" s="6" t="str">
        <f t="shared" si="31"/>
        <v>att_organsystem:muscular</v>
      </c>
      <c r="K322" s="11" t="s">
        <v>18</v>
      </c>
      <c r="L322" s="6" t="s">
        <v>2164</v>
      </c>
      <c r="M322" s="6" t="s">
        <v>14</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2600</v>
      </c>
      <c r="D323" s="6" t="s">
        <v>2166</v>
      </c>
      <c r="E323" s="6" t="s">
        <v>14</v>
      </c>
      <c r="F323" s="6" t="s">
        <v>2598</v>
      </c>
      <c r="G323" s="6" t="s">
        <v>2599</v>
      </c>
      <c r="H323" s="6" t="str">
        <f t="shared" si="30"/>
        <v>att_organsystem</v>
      </c>
      <c r="I323" s="6" t="s">
        <v>2165</v>
      </c>
      <c r="J323" s="6" t="str">
        <f t="shared" si="31"/>
        <v>att_organsystem:nervous_system</v>
      </c>
      <c r="K323" s="11" t="s">
        <v>18</v>
      </c>
      <c r="L323" s="6" t="s">
        <v>2167</v>
      </c>
      <c r="M323" s="6" t="s">
        <v>14</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2168</v>
      </c>
      <c r="D324" s="6" t="s">
        <v>2169</v>
      </c>
      <c r="E324" s="6" t="s">
        <v>14</v>
      </c>
      <c r="F324" s="6" t="s">
        <v>2598</v>
      </c>
      <c r="G324" s="6" t="s">
        <v>2599</v>
      </c>
      <c r="H324" s="6" t="str">
        <f t="shared" si="30"/>
        <v>att_organsystem</v>
      </c>
      <c r="I324" s="6" t="s">
        <v>2168</v>
      </c>
      <c r="J324" s="6" t="str">
        <f t="shared" si="31"/>
        <v>att_organsystem:reproductive</v>
      </c>
      <c r="K324" s="11" t="s">
        <v>18</v>
      </c>
      <c r="L324" s="6" t="s">
        <v>2170</v>
      </c>
      <c r="M324" s="6" t="s">
        <v>14</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2171</v>
      </c>
      <c r="D325" s="6" t="s">
        <v>2172</v>
      </c>
      <c r="E325" s="6" t="s">
        <v>14</v>
      </c>
      <c r="F325" s="6" t="s">
        <v>2598</v>
      </c>
      <c r="G325" s="6" t="s">
        <v>2599</v>
      </c>
      <c r="H325" s="6" t="str">
        <f t="shared" si="30"/>
        <v>att_organsystem</v>
      </c>
      <c r="I325" s="6" t="s">
        <v>2171</v>
      </c>
      <c r="J325" s="6" t="str">
        <f t="shared" si="31"/>
        <v>att_organsystem:respiratory</v>
      </c>
      <c r="K325" s="11" t="s">
        <v>18</v>
      </c>
      <c r="L325" s="6" t="s">
        <v>2173</v>
      </c>
      <c r="M325" s="6" t="s">
        <v>14</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2174</v>
      </c>
      <c r="D326" s="6" t="s">
        <v>2175</v>
      </c>
      <c r="E326" s="6" t="s">
        <v>14</v>
      </c>
      <c r="F326" s="6" t="s">
        <v>2598</v>
      </c>
      <c r="G326" s="6" t="s">
        <v>2599</v>
      </c>
      <c r="H326" s="6" t="str">
        <f t="shared" si="30"/>
        <v>att_organsystem</v>
      </c>
      <c r="I326" s="6" t="s">
        <v>2174</v>
      </c>
      <c r="J326" s="6" t="str">
        <f t="shared" si="31"/>
        <v>att_organsystem:skeletal</v>
      </c>
      <c r="K326" s="11" t="s">
        <v>18</v>
      </c>
      <c r="L326" s="6" t="s">
        <v>2176</v>
      </c>
      <c r="M326" s="6" t="s">
        <v>14</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2177</v>
      </c>
      <c r="D327" s="6" t="s">
        <v>2178</v>
      </c>
      <c r="E327" s="6" t="s">
        <v>14</v>
      </c>
      <c r="F327" s="6" t="s">
        <v>2598</v>
      </c>
      <c r="G327" s="6" t="s">
        <v>2599</v>
      </c>
      <c r="H327" s="6" t="str">
        <f t="shared" si="30"/>
        <v>att_organsystem</v>
      </c>
      <c r="I327" s="6" t="s">
        <v>2177</v>
      </c>
      <c r="J327" s="6" t="str">
        <f t="shared" si="31"/>
        <v>att_organsystem:urinary</v>
      </c>
      <c r="K327" s="11" t="s">
        <v>18</v>
      </c>
      <c r="L327" s="6" t="s">
        <v>2179</v>
      </c>
      <c r="M327" s="6" t="s">
        <v>14</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2601</v>
      </c>
      <c r="D328" s="14" t="s">
        <v>2602</v>
      </c>
      <c r="E328" s="14" t="s">
        <v>14</v>
      </c>
      <c r="F328" s="14" t="s">
        <v>2603</v>
      </c>
      <c r="G328" s="14" t="s">
        <v>2604</v>
      </c>
      <c r="H328" s="14" t="str">
        <f t="shared" si="30"/>
        <v>att_phenotype</v>
      </c>
      <c r="I328" s="14" t="s">
        <v>2601</v>
      </c>
      <c r="J328" s="14" t="str">
        <f t="shared" si="31"/>
        <v>att_phenotype:kd</v>
      </c>
      <c r="K328" s="15" t="s">
        <v>18</v>
      </c>
      <c r="L328" s="14" t="s">
        <v>110</v>
      </c>
      <c r="M328" s="14" t="s">
        <v>14</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1210</v>
      </c>
      <c r="D329" s="14" t="s">
        <v>2605</v>
      </c>
      <c r="E329" s="14" t="s">
        <v>14</v>
      </c>
      <c r="F329" s="14" t="s">
        <v>2603</v>
      </c>
      <c r="G329" s="14" t="s">
        <v>2604</v>
      </c>
      <c r="H329" s="14" t="str">
        <f t="shared" si="30"/>
        <v>att_phenotype</v>
      </c>
      <c r="I329" s="14" t="s">
        <v>1210</v>
      </c>
      <c r="J329" s="14" t="str">
        <f t="shared" si="31"/>
        <v>att_phenotype:ko</v>
      </c>
      <c r="K329" s="15" t="s">
        <v>18</v>
      </c>
      <c r="L329" s="14" t="s">
        <v>2531</v>
      </c>
      <c r="M329" s="14" t="s">
        <v>14</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2606</v>
      </c>
      <c r="D330" s="14" t="s">
        <v>2607</v>
      </c>
      <c r="E330" s="14" t="s">
        <v>14</v>
      </c>
      <c r="F330" s="14" t="s">
        <v>2603</v>
      </c>
      <c r="G330" s="14" t="s">
        <v>2604</v>
      </c>
      <c r="H330" s="14" t="str">
        <f t="shared" si="30"/>
        <v>att_phenotype</v>
      </c>
      <c r="I330" s="14" t="s">
        <v>2606</v>
      </c>
      <c r="J330" s="14" t="str">
        <f t="shared" si="31"/>
        <v>att_phenotype:mt</v>
      </c>
      <c r="K330" s="15" t="s">
        <v>18</v>
      </c>
      <c r="L330" s="14" t="s">
        <v>2608</v>
      </c>
      <c r="M330" s="14" t="s">
        <v>14</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2609</v>
      </c>
      <c r="D331" s="14" t="s">
        <v>2610</v>
      </c>
      <c r="E331" s="14" t="s">
        <v>14</v>
      </c>
      <c r="F331" s="14" t="s">
        <v>2603</v>
      </c>
      <c r="G331" s="14" t="s">
        <v>2604</v>
      </c>
      <c r="H331" s="14" t="str">
        <f t="shared" si="30"/>
        <v>att_phenotype</v>
      </c>
      <c r="I331" s="14" t="s">
        <v>2609</v>
      </c>
      <c r="J331" s="14" t="str">
        <f t="shared" si="31"/>
        <v>att_phenotype:wt</v>
      </c>
      <c r="K331" s="15" t="s">
        <v>18</v>
      </c>
      <c r="L331" s="14" t="s">
        <v>2611</v>
      </c>
      <c r="M331" s="14" t="s">
        <v>14</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18</v>
      </c>
      <c r="B332" s="11"/>
      <c r="C332" s="6" t="s">
        <v>2261</v>
      </c>
      <c r="D332" s="6" t="s">
        <v>2261</v>
      </c>
      <c r="E332" s="6" t="s">
        <v>14</v>
      </c>
      <c r="F332" s="6" t="s">
        <v>163</v>
      </c>
      <c r="G332" s="6" t="s">
        <v>2612</v>
      </c>
      <c r="H332" s="6" t="str">
        <f t="shared" si="30"/>
        <v>att_quantification</v>
      </c>
      <c r="I332" s="6" t="s">
        <v>2261</v>
      </c>
      <c r="J332" s="6" t="str">
        <f t="shared" si="31"/>
        <v>att_quantification:isobaric</v>
      </c>
      <c r="K332" s="11" t="s">
        <v>18</v>
      </c>
      <c r="L332" s="6" t="s">
        <v>2262</v>
      </c>
      <c r="M332" s="6" t="s">
        <v>14</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18</v>
      </c>
      <c r="B333" s="11"/>
      <c r="C333" s="6" t="s">
        <v>2263</v>
      </c>
      <c r="D333" s="6" t="s">
        <v>2263</v>
      </c>
      <c r="E333" s="6" t="s">
        <v>14</v>
      </c>
      <c r="F333" s="6" t="s">
        <v>163</v>
      </c>
      <c r="G333" s="6" t="s">
        <v>2612</v>
      </c>
      <c r="H333" s="6" t="str">
        <f t="shared" ref="H333:H364" si="34">"att_"&amp;G333</f>
        <v>att_quantification</v>
      </c>
      <c r="I333" s="6" t="s">
        <v>2263</v>
      </c>
      <c r="J333" s="6" t="str">
        <f t="shared" ref="J333:J364" si="35">H333&amp;":"&amp;I333</f>
        <v>att_quantification:istopic</v>
      </c>
      <c r="K333" s="11" t="s">
        <v>18</v>
      </c>
      <c r="L333" s="6" t="s">
        <v>2264</v>
      </c>
      <c r="M333" s="6" t="s">
        <v>14</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18</v>
      </c>
      <c r="B334" s="11"/>
      <c r="C334" s="6" t="s">
        <v>2613</v>
      </c>
      <c r="D334" s="6" t="s">
        <v>2266</v>
      </c>
      <c r="E334" s="6" t="s">
        <v>14</v>
      </c>
      <c r="F334" s="6" t="s">
        <v>163</v>
      </c>
      <c r="G334" s="6" t="s">
        <v>2612</v>
      </c>
      <c r="H334" s="6" t="str">
        <f t="shared" si="34"/>
        <v>att_quantification</v>
      </c>
      <c r="I334" s="6" t="s">
        <v>2265</v>
      </c>
      <c r="J334" s="6" t="str">
        <f t="shared" si="35"/>
        <v>att_quantification:label_free</v>
      </c>
      <c r="K334" s="11" t="s">
        <v>18</v>
      </c>
      <c r="L334" s="6" t="s">
        <v>2267</v>
      </c>
      <c r="M334" s="6" t="s">
        <v>14</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18</v>
      </c>
      <c r="B335" s="11"/>
      <c r="C335" s="6" t="s">
        <v>2268</v>
      </c>
      <c r="D335" s="6" t="s">
        <v>2268</v>
      </c>
      <c r="E335" s="6" t="s">
        <v>14</v>
      </c>
      <c r="F335" s="6" t="s">
        <v>163</v>
      </c>
      <c r="G335" s="6" t="s">
        <v>2612</v>
      </c>
      <c r="H335" s="6" t="str">
        <f t="shared" si="34"/>
        <v>att_quantification</v>
      </c>
      <c r="I335" s="6" t="s">
        <v>2268</v>
      </c>
      <c r="J335" s="6" t="str">
        <f t="shared" si="35"/>
        <v>att_quantification:silac</v>
      </c>
      <c r="K335" s="11" t="s">
        <v>18</v>
      </c>
      <c r="L335" s="6" t="s">
        <v>2269</v>
      </c>
      <c r="M335" s="6" t="s">
        <v>14</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1343</v>
      </c>
      <c r="D336" s="6" t="s">
        <v>1344</v>
      </c>
      <c r="E336" s="6" t="s">
        <v>14</v>
      </c>
      <c r="F336" s="6" t="s">
        <v>2614</v>
      </c>
      <c r="G336" s="6" t="s">
        <v>2615</v>
      </c>
      <c r="H336" s="6" t="str">
        <f t="shared" si="34"/>
        <v>att_signalling</v>
      </c>
      <c r="I336" s="6" t="s">
        <v>1343</v>
      </c>
      <c r="J336" s="6" t="str">
        <f t="shared" si="35"/>
        <v>att_signalling:apoptosis</v>
      </c>
      <c r="K336" s="11" t="s">
        <v>18</v>
      </c>
      <c r="L336" s="6" t="s">
        <v>2278</v>
      </c>
      <c r="M336" s="6" t="s">
        <v>14</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2279</v>
      </c>
      <c r="D337" s="6" t="s">
        <v>2280</v>
      </c>
      <c r="E337" s="6" t="s">
        <v>14</v>
      </c>
      <c r="F337" s="6" t="s">
        <v>2614</v>
      </c>
      <c r="G337" s="6" t="s">
        <v>2615</v>
      </c>
      <c r="H337" s="6" t="str">
        <f t="shared" si="34"/>
        <v>att_signalling</v>
      </c>
      <c r="I337" s="6" t="s">
        <v>2279</v>
      </c>
      <c r="J337" s="6" t="str">
        <f t="shared" si="35"/>
        <v>att_signalling:autocrine</v>
      </c>
      <c r="K337" s="11" t="s">
        <v>18</v>
      </c>
      <c r="L337" s="6" t="s">
        <v>2281</v>
      </c>
      <c r="M337" s="6" t="s">
        <v>14</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2282</v>
      </c>
      <c r="D338" s="6" t="s">
        <v>2283</v>
      </c>
      <c r="E338" s="6" t="s">
        <v>14</v>
      </c>
      <c r="F338" s="6" t="s">
        <v>2614</v>
      </c>
      <c r="G338" s="6" t="s">
        <v>2615</v>
      </c>
      <c r="H338" s="6" t="str">
        <f t="shared" si="34"/>
        <v>att_signalling</v>
      </c>
      <c r="I338" s="6" t="s">
        <v>2282</v>
      </c>
      <c r="J338" s="6" t="str">
        <f t="shared" si="35"/>
        <v>att_signalling:complement</v>
      </c>
      <c r="K338" s="11" t="s">
        <v>18</v>
      </c>
      <c r="L338" s="6" t="s">
        <v>2284</v>
      </c>
      <c r="M338" s="6" t="s">
        <v>14</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2285</v>
      </c>
      <c r="D339" s="6" t="s">
        <v>2286</v>
      </c>
      <c r="E339" s="6" t="s">
        <v>14</v>
      </c>
      <c r="F339" s="6" t="s">
        <v>2614</v>
      </c>
      <c r="G339" s="6" t="s">
        <v>2615</v>
      </c>
      <c r="H339" s="6" t="str">
        <f t="shared" si="34"/>
        <v>att_signalling</v>
      </c>
      <c r="I339" s="6" t="s">
        <v>2285</v>
      </c>
      <c r="J339" s="6" t="str">
        <f t="shared" si="35"/>
        <v>att_signalling:cytokines</v>
      </c>
      <c r="K339" s="11" t="s">
        <v>18</v>
      </c>
      <c r="L339" s="6" t="s">
        <v>2287</v>
      </c>
      <c r="M339" s="6" t="s">
        <v>14</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2288</v>
      </c>
      <c r="D340" s="6" t="s">
        <v>2289</v>
      </c>
      <c r="E340" s="6" t="s">
        <v>14</v>
      </c>
      <c r="F340" s="6" t="s">
        <v>2614</v>
      </c>
      <c r="G340" s="6" t="s">
        <v>2615</v>
      </c>
      <c r="H340" s="6" t="str">
        <f t="shared" si="34"/>
        <v>att_signalling</v>
      </c>
      <c r="I340" s="6" t="s">
        <v>2288</v>
      </c>
      <c r="J340" s="6" t="str">
        <f t="shared" si="35"/>
        <v>att_signalling:inflammation</v>
      </c>
      <c r="K340" s="11" t="s">
        <v>18</v>
      </c>
      <c r="L340" s="6" t="s">
        <v>2290</v>
      </c>
      <c r="M340" s="6" t="s">
        <v>14</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2291</v>
      </c>
      <c r="D341" s="6" t="s">
        <v>2292</v>
      </c>
      <c r="E341" s="6" t="s">
        <v>14</v>
      </c>
      <c r="F341" s="6" t="s">
        <v>2614</v>
      </c>
      <c r="G341" s="6" t="s">
        <v>2615</v>
      </c>
      <c r="H341" s="6" t="str">
        <f t="shared" si="34"/>
        <v>att_signalling</v>
      </c>
      <c r="I341" s="6" t="s">
        <v>2291</v>
      </c>
      <c r="J341" s="6" t="str">
        <f t="shared" si="35"/>
        <v>att_signalling:insulin</v>
      </c>
      <c r="K341" s="11" t="s">
        <v>18</v>
      </c>
      <c r="L341" s="6" t="s">
        <v>2293</v>
      </c>
      <c r="M341" s="6" t="s">
        <v>14</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2294</v>
      </c>
      <c r="D342" s="6" t="s">
        <v>2295</v>
      </c>
      <c r="E342" s="6" t="s">
        <v>14</v>
      </c>
      <c r="F342" s="6" t="s">
        <v>2614</v>
      </c>
      <c r="G342" s="6" t="s">
        <v>2615</v>
      </c>
      <c r="H342" s="6" t="str">
        <f t="shared" si="34"/>
        <v>att_signalling</v>
      </c>
      <c r="I342" s="6" t="s">
        <v>2294</v>
      </c>
      <c r="J342" s="6" t="str">
        <f t="shared" si="35"/>
        <v>att_signalling:juxtacrine</v>
      </c>
      <c r="K342" s="11" t="s">
        <v>18</v>
      </c>
      <c r="L342" s="6" t="s">
        <v>2296</v>
      </c>
      <c r="M342" s="6" t="s">
        <v>14</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2297</v>
      </c>
      <c r="D343" s="6" t="s">
        <v>2298</v>
      </c>
      <c r="E343" s="6" t="s">
        <v>14</v>
      </c>
      <c r="F343" s="6" t="s">
        <v>2614</v>
      </c>
      <c r="G343" s="6" t="s">
        <v>2615</v>
      </c>
      <c r="H343" s="6" t="str">
        <f t="shared" si="34"/>
        <v>att_signalling</v>
      </c>
      <c r="I343" s="6" t="s">
        <v>2297</v>
      </c>
      <c r="J343" s="6" t="str">
        <f t="shared" si="35"/>
        <v>att_signalling:necrosis</v>
      </c>
      <c r="K343" s="11" t="s">
        <v>18</v>
      </c>
      <c r="L343" s="6" t="s">
        <v>2299</v>
      </c>
      <c r="M343" s="6" t="s">
        <v>14</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2300</v>
      </c>
      <c r="D344" s="6" t="s">
        <v>2301</v>
      </c>
      <c r="E344" s="6" t="s">
        <v>14</v>
      </c>
      <c r="F344" s="6" t="s">
        <v>2614</v>
      </c>
      <c r="G344" s="6" t="s">
        <v>2615</v>
      </c>
      <c r="H344" s="6" t="str">
        <f t="shared" si="34"/>
        <v>att_signalling</v>
      </c>
      <c r="I344" s="6" t="s">
        <v>2300</v>
      </c>
      <c r="J344" s="6" t="str">
        <f t="shared" si="35"/>
        <v>att_signalling:paracrine</v>
      </c>
      <c r="K344" s="11" t="s">
        <v>18</v>
      </c>
      <c r="L344" s="6" t="s">
        <v>2302</v>
      </c>
      <c r="M344" s="6" t="s">
        <v>14</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1691</v>
      </c>
      <c r="D345" s="6" t="s">
        <v>1692</v>
      </c>
      <c r="E345" s="6" t="s">
        <v>14</v>
      </c>
      <c r="F345" s="6" t="s">
        <v>2614</v>
      </c>
      <c r="G345" s="6" t="s">
        <v>2615</v>
      </c>
      <c r="H345" s="6" t="str">
        <f t="shared" si="34"/>
        <v>att_signalling</v>
      </c>
      <c r="I345" s="6" t="s">
        <v>1691</v>
      </c>
      <c r="J345" s="6" t="str">
        <f t="shared" si="35"/>
        <v>att_signalling:signaling</v>
      </c>
      <c r="K345" s="11" t="s">
        <v>18</v>
      </c>
      <c r="L345" s="6" t="s">
        <v>2303</v>
      </c>
      <c r="M345" s="6" t="s">
        <v>14</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18</v>
      </c>
      <c r="B346" s="12"/>
      <c r="C346" s="6" t="s">
        <v>2304</v>
      </c>
      <c r="D346" s="6" t="s">
        <v>2305</v>
      </c>
      <c r="E346" s="6" t="s">
        <v>14</v>
      </c>
      <c r="F346" s="6" t="s">
        <v>168</v>
      </c>
      <c r="G346" s="6" t="s">
        <v>2616</v>
      </c>
      <c r="H346" s="6" t="str">
        <f t="shared" si="34"/>
        <v>att_software</v>
      </c>
      <c r="I346" s="6" t="s">
        <v>2304</v>
      </c>
      <c r="J346" s="6" t="str">
        <f t="shared" si="35"/>
        <v>att_software:diann</v>
      </c>
      <c r="K346" s="11" t="s">
        <v>18</v>
      </c>
      <c r="L346" s="6" t="s">
        <v>2306</v>
      </c>
      <c r="M346" s="6" t="s">
        <v>14</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18</v>
      </c>
      <c r="B347" s="12"/>
      <c r="C347" s="6" t="s">
        <v>2307</v>
      </c>
      <c r="D347" s="6" t="s">
        <v>2308</v>
      </c>
      <c r="E347" s="6" t="s">
        <v>14</v>
      </c>
      <c r="F347" s="6" t="s">
        <v>168</v>
      </c>
      <c r="G347" s="6" t="s">
        <v>2616</v>
      </c>
      <c r="H347" s="6" t="str">
        <f t="shared" si="34"/>
        <v>att_software</v>
      </c>
      <c r="I347" s="6" t="s">
        <v>2307</v>
      </c>
      <c r="J347" s="6" t="str">
        <f t="shared" si="35"/>
        <v>att_software:maxquant</v>
      </c>
      <c r="K347" s="11" t="s">
        <v>18</v>
      </c>
      <c r="L347" s="6" t="s">
        <v>2309</v>
      </c>
      <c r="M347" s="6" t="s">
        <v>14</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18</v>
      </c>
      <c r="B348" s="12"/>
      <c r="C348" s="6" t="s">
        <v>2310</v>
      </c>
      <c r="D348" s="6" t="s">
        <v>2311</v>
      </c>
      <c r="E348" s="6" t="s">
        <v>14</v>
      </c>
      <c r="F348" s="6" t="s">
        <v>168</v>
      </c>
      <c r="G348" s="6" t="s">
        <v>2616</v>
      </c>
      <c r="H348" s="6" t="str">
        <f t="shared" si="34"/>
        <v>att_software</v>
      </c>
      <c r="I348" s="6" t="s">
        <v>2310</v>
      </c>
      <c r="J348" s="6" t="str">
        <f t="shared" si="35"/>
        <v>att_software:metamorpheus</v>
      </c>
      <c r="K348" s="11" t="s">
        <v>18</v>
      </c>
      <c r="L348" s="6" t="s">
        <v>2312</v>
      </c>
      <c r="M348" s="6" t="s">
        <v>14</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18</v>
      </c>
      <c r="B349" s="12"/>
      <c r="C349" s="6" t="s">
        <v>2313</v>
      </c>
      <c r="D349" s="6" t="s">
        <v>2314</v>
      </c>
      <c r="E349" s="6" t="s">
        <v>14</v>
      </c>
      <c r="F349" s="6" t="s">
        <v>168</v>
      </c>
      <c r="G349" s="6" t="s">
        <v>2616</v>
      </c>
      <c r="H349" s="6" t="str">
        <f t="shared" si="34"/>
        <v>att_software</v>
      </c>
      <c r="I349" s="6" t="s">
        <v>2313</v>
      </c>
      <c r="J349" s="6" t="str">
        <f t="shared" si="35"/>
        <v>att_software:minora</v>
      </c>
      <c r="K349" s="11" t="s">
        <v>18</v>
      </c>
      <c r="L349" s="6" t="s">
        <v>2315</v>
      </c>
      <c r="M349" s="6" t="s">
        <v>14</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18</v>
      </c>
      <c r="B350" s="12"/>
      <c r="C350" s="6" t="s">
        <v>2316</v>
      </c>
      <c r="D350" s="6" t="s">
        <v>2317</v>
      </c>
      <c r="E350" s="6" t="s">
        <v>14</v>
      </c>
      <c r="F350" s="6" t="s">
        <v>168</v>
      </c>
      <c r="G350" s="6" t="s">
        <v>2616</v>
      </c>
      <c r="H350" s="6" t="str">
        <f t="shared" si="34"/>
        <v>att_software</v>
      </c>
      <c r="I350" s="6" t="s">
        <v>2316</v>
      </c>
      <c r="J350" s="6" t="str">
        <f t="shared" si="35"/>
        <v>att_software:msfragger</v>
      </c>
      <c r="K350" s="11" t="s">
        <v>18</v>
      </c>
      <c r="L350" s="6" t="s">
        <v>2318</v>
      </c>
      <c r="M350" s="6" t="s">
        <v>14</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18</v>
      </c>
      <c r="B351" s="12"/>
      <c r="C351" s="6" t="s">
        <v>2319</v>
      </c>
      <c r="D351" s="6" t="s">
        <v>2320</v>
      </c>
      <c r="E351" s="6" t="s">
        <v>14</v>
      </c>
      <c r="F351" s="6" t="s">
        <v>168</v>
      </c>
      <c r="G351" s="6" t="s">
        <v>2616</v>
      </c>
      <c r="H351" s="6" t="str">
        <f t="shared" si="34"/>
        <v>att_software</v>
      </c>
      <c r="I351" s="6" t="s">
        <v>2319</v>
      </c>
      <c r="J351" s="6" t="str">
        <f t="shared" si="35"/>
        <v>att_software:msgf</v>
      </c>
      <c r="K351" s="11" t="s">
        <v>18</v>
      </c>
      <c r="L351" s="6" t="s">
        <v>2321</v>
      </c>
      <c r="M351" s="6" t="s">
        <v>14</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18</v>
      </c>
      <c r="B352" s="12"/>
      <c r="C352" s="6" t="s">
        <v>2322</v>
      </c>
      <c r="D352" s="6" t="s">
        <v>2323</v>
      </c>
      <c r="E352" s="6" t="s">
        <v>14</v>
      </c>
      <c r="F352" s="6" t="s">
        <v>168</v>
      </c>
      <c r="G352" s="6" t="s">
        <v>2616</v>
      </c>
      <c r="H352" s="6" t="str">
        <f t="shared" si="34"/>
        <v>att_software</v>
      </c>
      <c r="I352" s="6" t="s">
        <v>2322</v>
      </c>
      <c r="J352" s="6" t="str">
        <f t="shared" si="35"/>
        <v>att_software:spectronaut</v>
      </c>
      <c r="K352" s="11" t="s">
        <v>18</v>
      </c>
      <c r="L352" s="6" t="s">
        <v>2324</v>
      </c>
      <c r="M352" s="6" t="s">
        <v>14</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2325</v>
      </c>
      <c r="D353" s="6" t="s">
        <v>2326</v>
      </c>
      <c r="E353" s="6" t="s">
        <v>14</v>
      </c>
      <c r="F353" s="6" t="s">
        <v>172</v>
      </c>
      <c r="G353" s="6" t="s">
        <v>2617</v>
      </c>
      <c r="H353" s="6" t="str">
        <f t="shared" si="34"/>
        <v>att_tissue</v>
      </c>
      <c r="I353" s="6" t="s">
        <v>2325</v>
      </c>
      <c r="J353" s="6" t="str">
        <f t="shared" si="35"/>
        <v>att_tissue:adipose</v>
      </c>
      <c r="K353" s="11" t="s">
        <v>18</v>
      </c>
      <c r="L353" s="6" t="s">
        <v>2327</v>
      </c>
      <c r="M353" s="6" t="s">
        <v>14</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2328</v>
      </c>
      <c r="D354" s="6" t="s">
        <v>2329</v>
      </c>
      <c r="E354" s="6" t="s">
        <v>14</v>
      </c>
      <c r="F354" s="6" t="s">
        <v>172</v>
      </c>
      <c r="G354" s="6" t="s">
        <v>2617</v>
      </c>
      <c r="H354" s="6" t="str">
        <f t="shared" si="34"/>
        <v>att_tissue</v>
      </c>
      <c r="I354" s="6" t="s">
        <v>2328</v>
      </c>
      <c r="J354" s="6" t="str">
        <f t="shared" si="35"/>
        <v>att_tissue:areolar</v>
      </c>
      <c r="K354" s="11" t="s">
        <v>18</v>
      </c>
      <c r="L354" s="6" t="s">
        <v>2330</v>
      </c>
      <c r="M354" s="6" t="s">
        <v>14</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2331</v>
      </c>
      <c r="D355" s="6" t="s">
        <v>2332</v>
      </c>
      <c r="E355" s="6" t="s">
        <v>14</v>
      </c>
      <c r="F355" s="6" t="s">
        <v>172</v>
      </c>
      <c r="G355" s="6" t="s">
        <v>2617</v>
      </c>
      <c r="H355" s="6" t="str">
        <f t="shared" si="34"/>
        <v>att_tissue</v>
      </c>
      <c r="I355" s="6" t="s">
        <v>2331</v>
      </c>
      <c r="J355" s="6" t="str">
        <f t="shared" si="35"/>
        <v>att_tissue:blood</v>
      </c>
      <c r="K355" s="11" t="s">
        <v>18</v>
      </c>
      <c r="L355" s="6" t="s">
        <v>2332</v>
      </c>
      <c r="M355" s="6" t="s">
        <v>14</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2333</v>
      </c>
      <c r="D356" s="6" t="s">
        <v>2334</v>
      </c>
      <c r="E356" s="6" t="s">
        <v>14</v>
      </c>
      <c r="F356" s="6" t="s">
        <v>172</v>
      </c>
      <c r="G356" s="6" t="s">
        <v>2617</v>
      </c>
      <c r="H356" s="6" t="str">
        <f t="shared" si="34"/>
        <v>att_tissue</v>
      </c>
      <c r="I356" s="6" t="s">
        <v>2333</v>
      </c>
      <c r="J356" s="6" t="str">
        <f t="shared" si="35"/>
        <v>att_tissue:connective</v>
      </c>
      <c r="K356" s="11" t="s">
        <v>18</v>
      </c>
      <c r="L356" s="6" t="s">
        <v>2335</v>
      </c>
      <c r="M356" s="6" t="s">
        <v>14</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2336</v>
      </c>
      <c r="D357" s="6" t="s">
        <v>2337</v>
      </c>
      <c r="E357" s="6" t="s">
        <v>14</v>
      </c>
      <c r="F357" s="6" t="s">
        <v>172</v>
      </c>
      <c r="G357" s="6" t="s">
        <v>2617</v>
      </c>
      <c r="H357" s="6" t="str">
        <f t="shared" si="34"/>
        <v>att_tissue</v>
      </c>
      <c r="I357" s="6" t="s">
        <v>2336</v>
      </c>
      <c r="J357" s="6" t="str">
        <f t="shared" si="35"/>
        <v>att_tissue:dermis</v>
      </c>
      <c r="K357" s="11" t="s">
        <v>18</v>
      </c>
      <c r="L357" s="6" t="s">
        <v>2337</v>
      </c>
      <c r="M357" s="6" t="s">
        <v>14</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2338</v>
      </c>
      <c r="D358" s="6" t="s">
        <v>2339</v>
      </c>
      <c r="E358" s="6" t="s">
        <v>14</v>
      </c>
      <c r="F358" s="6" t="s">
        <v>172</v>
      </c>
      <c r="G358" s="6" t="s">
        <v>2617</v>
      </c>
      <c r="H358" s="6" t="str">
        <f t="shared" si="34"/>
        <v>att_tissue</v>
      </c>
      <c r="I358" s="6" t="s">
        <v>2338</v>
      </c>
      <c r="J358" s="6" t="str">
        <f t="shared" si="35"/>
        <v>att_tissue:epidermis</v>
      </c>
      <c r="K358" s="11" t="s">
        <v>18</v>
      </c>
      <c r="L358" s="6" t="s">
        <v>2339</v>
      </c>
      <c r="M358" s="6" t="s">
        <v>14</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2340</v>
      </c>
      <c r="D359" s="6" t="s">
        <v>2341</v>
      </c>
      <c r="E359" s="6" t="s">
        <v>14</v>
      </c>
      <c r="F359" s="6" t="s">
        <v>172</v>
      </c>
      <c r="G359" s="6" t="s">
        <v>2617</v>
      </c>
      <c r="H359" s="6" t="str">
        <f t="shared" si="34"/>
        <v>att_tissue</v>
      </c>
      <c r="I359" s="6" t="s">
        <v>2340</v>
      </c>
      <c r="J359" s="6" t="str">
        <f t="shared" si="35"/>
        <v>att_tissue:epithelial</v>
      </c>
      <c r="K359" s="11" t="s">
        <v>18</v>
      </c>
      <c r="L359" s="6" t="s">
        <v>2342</v>
      </c>
      <c r="M359" s="6" t="s">
        <v>14</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2343</v>
      </c>
      <c r="D360" s="6" t="s">
        <v>2344</v>
      </c>
      <c r="E360" s="6" t="s">
        <v>14</v>
      </c>
      <c r="F360" s="6" t="s">
        <v>172</v>
      </c>
      <c r="G360" s="6" t="s">
        <v>2617</v>
      </c>
      <c r="H360" s="6" t="str">
        <f t="shared" si="34"/>
        <v>att_tissue</v>
      </c>
      <c r="I360" s="6" t="s">
        <v>2343</v>
      </c>
      <c r="J360" s="6" t="str">
        <f t="shared" si="35"/>
        <v>att_tissue:hypodermis</v>
      </c>
      <c r="K360" s="11" t="s">
        <v>18</v>
      </c>
      <c r="L360" s="6" t="s">
        <v>2344</v>
      </c>
      <c r="M360" s="6" t="s">
        <v>14</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2345</v>
      </c>
      <c r="D361" s="6" t="s">
        <v>140</v>
      </c>
      <c r="E361" s="6" t="s">
        <v>14</v>
      </c>
      <c r="F361" s="6" t="s">
        <v>172</v>
      </c>
      <c r="G361" s="6" t="s">
        <v>2617</v>
      </c>
      <c r="H361" s="6" t="str">
        <f t="shared" si="34"/>
        <v>att_tissue</v>
      </c>
      <c r="I361" s="6" t="s">
        <v>2345</v>
      </c>
      <c r="J361" s="6" t="str">
        <f t="shared" si="35"/>
        <v>att_tissue:muscle</v>
      </c>
      <c r="K361" s="11" t="s">
        <v>18</v>
      </c>
      <c r="L361" s="6" t="s">
        <v>2346</v>
      </c>
      <c r="M361" s="6" t="s">
        <v>14</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2347</v>
      </c>
      <c r="D362" s="6" t="s">
        <v>2166</v>
      </c>
      <c r="E362" s="6" t="s">
        <v>14</v>
      </c>
      <c r="F362" s="6" t="s">
        <v>172</v>
      </c>
      <c r="G362" s="6" t="s">
        <v>2617</v>
      </c>
      <c r="H362" s="6" t="str">
        <f t="shared" si="34"/>
        <v>att_tissue</v>
      </c>
      <c r="I362" s="6" t="s">
        <v>2347</v>
      </c>
      <c r="J362" s="6" t="str">
        <f t="shared" si="35"/>
        <v>att_tissue:nervous</v>
      </c>
      <c r="K362" s="11" t="s">
        <v>18</v>
      </c>
      <c r="L362" s="6" t="s">
        <v>2348</v>
      </c>
      <c r="M362" s="6" t="s">
        <v>14</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2349</v>
      </c>
      <c r="D363" s="6" t="s">
        <v>2350</v>
      </c>
      <c r="E363" s="6" t="s">
        <v>14</v>
      </c>
      <c r="F363" s="6" t="s">
        <v>172</v>
      </c>
      <c r="G363" s="6" t="s">
        <v>2617</v>
      </c>
      <c r="H363" s="6" t="str">
        <f t="shared" si="34"/>
        <v>att_tissue</v>
      </c>
      <c r="I363" s="6" t="s">
        <v>2349</v>
      </c>
      <c r="J363" s="6" t="str">
        <f t="shared" si="35"/>
        <v>att_tissue:reticular</v>
      </c>
      <c r="K363" s="11" t="s">
        <v>18</v>
      </c>
      <c r="L363" s="6" t="s">
        <v>2351</v>
      </c>
      <c r="M363" s="6" t="s">
        <v>14</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2352</v>
      </c>
      <c r="D364" s="6" t="s">
        <v>2353</v>
      </c>
      <c r="E364" s="6" t="s">
        <v>14</v>
      </c>
      <c r="F364" s="6" t="s">
        <v>172</v>
      </c>
      <c r="G364" s="6" t="s">
        <v>2617</v>
      </c>
      <c r="H364" s="6" t="str">
        <f t="shared" si="34"/>
        <v>att_tissue</v>
      </c>
      <c r="I364" s="6" t="s">
        <v>2352</v>
      </c>
      <c r="J364" s="6" t="str">
        <f t="shared" si="35"/>
        <v>att_tissue:stromal</v>
      </c>
      <c r="K364" s="11" t="s">
        <v>18</v>
      </c>
      <c r="L364" s="6" t="s">
        <v>2354</v>
      </c>
      <c r="M364" s="6" t="s">
        <v>14</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18</v>
      </c>
      <c r="B365" s="11"/>
      <c r="C365" s="6" t="s">
        <v>923</v>
      </c>
      <c r="D365" s="6" t="s">
        <v>925</v>
      </c>
      <c r="E365" s="6" t="s">
        <v>14</v>
      </c>
      <c r="F365" s="6" t="s">
        <v>2505</v>
      </c>
      <c r="G365" s="6" t="s">
        <v>2506</v>
      </c>
      <c r="H365" s="6" t="str">
        <f t="shared" ref="H365" si="38">"att_"&amp;G365</f>
        <v>att_dataset</v>
      </c>
      <c r="I365" s="6" t="s">
        <v>2618</v>
      </c>
      <c r="J365" s="6" t="str">
        <f t="shared" ref="J365" si="39">H365&amp;":"&amp;I365</f>
        <v>att_dataset:database orf_search</v>
      </c>
      <c r="K365" s="11" t="s">
        <v>18</v>
      </c>
      <c r="L365" s="6" t="s">
        <v>926</v>
      </c>
      <c r="M365" s="6" t="s">
        <v>14</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2619</v>
      </c>
      <c r="D368" s="6" t="s">
        <v>1297</v>
      </c>
      <c r="F368" s="6" t="s">
        <v>117</v>
      </c>
      <c r="G368" s="6" t="s">
        <v>73</v>
      </c>
      <c r="H368" s="6" t="s">
        <v>116</v>
      </c>
      <c r="I368" s="6" t="s">
        <v>947</v>
      </c>
      <c r="J368" s="6" t="str">
        <f>H368&amp;":"&amp;I368</f>
        <v>att_lysis_buffer:sds</v>
      </c>
      <c r="L368" s="6" t="s">
        <v>1298</v>
      </c>
    </row>
    <row r="369" spans="3:12" x14ac:dyDescent="0.15">
      <c r="C369" s="6" t="s">
        <v>2620</v>
      </c>
      <c r="D369" s="6" t="s">
        <v>1303</v>
      </c>
      <c r="F369" s="6" t="s">
        <v>117</v>
      </c>
      <c r="G369" s="6" t="s">
        <v>73</v>
      </c>
      <c r="H369" s="6" t="s">
        <v>116</v>
      </c>
      <c r="I369" s="6" t="s">
        <v>1302</v>
      </c>
      <c r="J369" s="6" t="str">
        <f>H369&amp;":"&amp;I369</f>
        <v>att_lysis_buffer:urea</v>
      </c>
      <c r="L369" s="6" t="s">
        <v>1304</v>
      </c>
    </row>
    <row r="370" spans="3:12" x14ac:dyDescent="0.15">
      <c r="C370" s="6" t="s">
        <v>2621</v>
      </c>
      <c r="D370" s="6" t="s">
        <v>1300</v>
      </c>
      <c r="F370" s="6" t="s">
        <v>117</v>
      </c>
      <c r="G370" s="6" t="s">
        <v>73</v>
      </c>
      <c r="H370" s="6" t="s">
        <v>116</v>
      </c>
      <c r="I370" s="6" t="s">
        <v>1299</v>
      </c>
      <c r="J370" s="6" t="str">
        <f>H370&amp;":"&amp;I370</f>
        <v>att_lysis_buffer:two_sdc</v>
      </c>
      <c r="L370" s="6" t="s">
        <v>1301</v>
      </c>
    </row>
    <row r="371" spans="3:12" x14ac:dyDescent="0.15">
      <c r="C371" s="6" t="s">
        <v>2621</v>
      </c>
      <c r="D371" s="6" t="s">
        <v>1295</v>
      </c>
      <c r="F371" s="6" t="s">
        <v>117</v>
      </c>
      <c r="G371" s="6" t="s">
        <v>73</v>
      </c>
      <c r="H371" s="6" t="s">
        <v>116</v>
      </c>
      <c r="I371" s="6" t="s">
        <v>1294</v>
      </c>
      <c r="J371" s="6" t="str">
        <f>H371&amp;":"&amp;I371</f>
        <v>att_lysis_buffer:one_sdc</v>
      </c>
      <c r="L371" s="6" t="s">
        <v>1296</v>
      </c>
    </row>
    <row r="373" spans="3:12" x14ac:dyDescent="0.15">
      <c r="C373" s="6" t="s">
        <v>73</v>
      </c>
      <c r="D373" s="6" t="s">
        <v>1306</v>
      </c>
      <c r="F373" s="6" t="s">
        <v>118</v>
      </c>
      <c r="G373" s="6" t="s">
        <v>73</v>
      </c>
      <c r="H373" s="6" t="s">
        <v>71</v>
      </c>
      <c r="I373" s="6" t="s">
        <v>1305</v>
      </c>
      <c r="J373" s="6" t="str">
        <f>H373&amp;":"&amp;I373</f>
        <v>att_lysis_method:dounce</v>
      </c>
      <c r="L373" s="6" t="s">
        <v>1307</v>
      </c>
    </row>
    <row r="374" spans="3:12" x14ac:dyDescent="0.15">
      <c r="C374" s="6" t="s">
        <v>73</v>
      </c>
      <c r="D374" s="6" t="s">
        <v>1312</v>
      </c>
      <c r="F374" s="6" t="s">
        <v>118</v>
      </c>
      <c r="G374" s="6" t="s">
        <v>73</v>
      </c>
      <c r="H374" s="6" t="s">
        <v>71</v>
      </c>
      <c r="I374" s="6" t="s">
        <v>1311</v>
      </c>
      <c r="J374" s="6" t="str">
        <f>H374&amp;":"&amp;I374</f>
        <v>att_lysis_method:paracyllus</v>
      </c>
      <c r="L374" s="6" t="s">
        <v>1313</v>
      </c>
    </row>
    <row r="375" spans="3:12" x14ac:dyDescent="0.15">
      <c r="C375" s="6" t="s">
        <v>73</v>
      </c>
      <c r="D375" s="6" t="s">
        <v>1309</v>
      </c>
      <c r="F375" s="6" t="s">
        <v>118</v>
      </c>
      <c r="G375" s="6" t="s">
        <v>73</v>
      </c>
      <c r="H375" s="6" t="s">
        <v>71</v>
      </c>
      <c r="I375" s="6" t="s">
        <v>1308</v>
      </c>
      <c r="J375" s="6" t="str">
        <f>H375&amp;":"&amp;I375</f>
        <v>att_lysis_method:motar_pestle</v>
      </c>
      <c r="L375" s="6" t="s">
        <v>1310</v>
      </c>
    </row>
    <row r="377" spans="3:12" x14ac:dyDescent="0.15">
      <c r="C377" s="6" t="s">
        <v>2622</v>
      </c>
      <c r="D377" s="6" t="s">
        <v>948</v>
      </c>
      <c r="F377" s="6" t="s">
        <v>72</v>
      </c>
      <c r="G377" s="6" t="s">
        <v>2623</v>
      </c>
      <c r="H377" s="6" t="s">
        <v>70</v>
      </c>
      <c r="I377" s="6" t="s">
        <v>947</v>
      </c>
      <c r="J377" s="6" t="str">
        <f t="shared" ref="J377:J385" si="40">H377&amp;":"&amp;I377</f>
        <v>att_detergent:sds</v>
      </c>
      <c r="L377" s="6" t="s">
        <v>949</v>
      </c>
    </row>
    <row r="378" spans="3:12" x14ac:dyDescent="0.15">
      <c r="C378" s="6" t="s">
        <v>2624</v>
      </c>
      <c r="D378" s="6" t="s">
        <v>954</v>
      </c>
      <c r="F378" s="6" t="s">
        <v>72</v>
      </c>
      <c r="G378" s="6" t="s">
        <v>2623</v>
      </c>
      <c r="H378" s="6" t="s">
        <v>70</v>
      </c>
      <c r="I378" s="6" t="s">
        <v>953</v>
      </c>
      <c r="J378" s="6" t="str">
        <f t="shared" si="40"/>
        <v>att_detergent:tween20</v>
      </c>
      <c r="L378" s="6" t="s">
        <v>955</v>
      </c>
    </row>
    <row r="379" spans="3:12" x14ac:dyDescent="0.15">
      <c r="C379" s="6" t="s">
        <v>2625</v>
      </c>
      <c r="D379" s="6" t="s">
        <v>2626</v>
      </c>
      <c r="F379" s="6" t="s">
        <v>72</v>
      </c>
      <c r="G379" s="6" t="s">
        <v>2623</v>
      </c>
      <c r="H379" s="6" t="s">
        <v>70</v>
      </c>
      <c r="I379" s="6" t="s">
        <v>956</v>
      </c>
      <c r="J379" s="6" t="str">
        <f t="shared" si="40"/>
        <v>att_detergent:tween80</v>
      </c>
      <c r="L379" s="6" t="s">
        <v>958</v>
      </c>
    </row>
    <row r="380" spans="3:12" x14ac:dyDescent="0.15">
      <c r="C380" s="6" t="s">
        <v>2627</v>
      </c>
      <c r="D380" s="6" t="s">
        <v>939</v>
      </c>
      <c r="F380" s="6" t="s">
        <v>72</v>
      </c>
      <c r="G380" s="6" t="s">
        <v>2623</v>
      </c>
      <c r="H380" s="6" t="s">
        <v>70</v>
      </c>
      <c r="I380" s="6" t="s">
        <v>938</v>
      </c>
      <c r="J380" s="6" t="str">
        <f t="shared" si="40"/>
        <v>att_detergent:np40</v>
      </c>
      <c r="L380" s="6" t="s">
        <v>940</v>
      </c>
    </row>
    <row r="381" spans="3:12" x14ac:dyDescent="0.15">
      <c r="C381" s="6" t="s">
        <v>2628</v>
      </c>
      <c r="D381" s="6" t="s">
        <v>951</v>
      </c>
      <c r="F381" s="6" t="s">
        <v>72</v>
      </c>
      <c r="G381" s="6" t="s">
        <v>2623</v>
      </c>
      <c r="H381" s="6" t="s">
        <v>70</v>
      </c>
      <c r="I381" s="6" t="s">
        <v>950</v>
      </c>
      <c r="J381" s="6" t="str">
        <f t="shared" si="40"/>
        <v>att_detergent:tritonx100</v>
      </c>
      <c r="L381" s="6" t="s">
        <v>952</v>
      </c>
    </row>
    <row r="382" spans="3:12" x14ac:dyDescent="0.15">
      <c r="C382" s="6" t="s">
        <v>2629</v>
      </c>
      <c r="D382" s="6" t="s">
        <v>933</v>
      </c>
      <c r="F382" s="6" t="s">
        <v>72</v>
      </c>
      <c r="G382" s="6" t="s">
        <v>2623</v>
      </c>
      <c r="H382" s="6" t="s">
        <v>70</v>
      </c>
      <c r="I382" s="6" t="s">
        <v>932</v>
      </c>
      <c r="J382" s="6" t="str">
        <f t="shared" si="40"/>
        <v>att_detergent:chaps</v>
      </c>
      <c r="L382" s="6" t="s">
        <v>934</v>
      </c>
    </row>
    <row r="383" spans="3:12" x14ac:dyDescent="0.15">
      <c r="C383" s="6" t="s">
        <v>2630</v>
      </c>
      <c r="D383" s="6" t="s">
        <v>936</v>
      </c>
      <c r="F383" s="6" t="s">
        <v>72</v>
      </c>
      <c r="G383" s="6" t="s">
        <v>2623</v>
      </c>
      <c r="H383" s="6" t="s">
        <v>70</v>
      </c>
      <c r="I383" s="6" t="s">
        <v>935</v>
      </c>
      <c r="J383" s="6" t="str">
        <f t="shared" si="40"/>
        <v>att_detergent:dmm</v>
      </c>
      <c r="L383" s="6" t="s">
        <v>937</v>
      </c>
    </row>
    <row r="384" spans="3:12" x14ac:dyDescent="0.15">
      <c r="C384" s="6" t="s">
        <v>2631</v>
      </c>
      <c r="D384" s="6" t="s">
        <v>942</v>
      </c>
      <c r="F384" s="6" t="s">
        <v>72</v>
      </c>
      <c r="G384" s="6" t="s">
        <v>2623</v>
      </c>
      <c r="H384" s="6" t="s">
        <v>70</v>
      </c>
      <c r="I384" s="6" t="s">
        <v>941</v>
      </c>
      <c r="J384" s="6" t="str">
        <f t="shared" si="40"/>
        <v>att_detergent:og</v>
      </c>
      <c r="L384" s="6" t="s">
        <v>943</v>
      </c>
    </row>
    <row r="385" spans="1:12" x14ac:dyDescent="0.15">
      <c r="C385" s="6" t="s">
        <v>2632</v>
      </c>
      <c r="D385" s="6" t="s">
        <v>945</v>
      </c>
      <c r="F385" s="6" t="s">
        <v>72</v>
      </c>
      <c r="G385" s="6" t="s">
        <v>2623</v>
      </c>
      <c r="H385" s="6" t="s">
        <v>70</v>
      </c>
      <c r="I385" s="6" t="s">
        <v>944</v>
      </c>
      <c r="J385" s="6" t="str">
        <f t="shared" si="40"/>
        <v>att_detergent:otg</v>
      </c>
      <c r="L385" s="6" t="s">
        <v>946</v>
      </c>
    </row>
    <row r="387" spans="1:12" x14ac:dyDescent="0.15">
      <c r="C387" s="6" t="s">
        <v>2633</v>
      </c>
      <c r="D387" s="6" t="s">
        <v>2275</v>
      </c>
      <c r="F387" s="6" t="s">
        <v>2634</v>
      </c>
      <c r="G387" s="6" t="s">
        <v>2635</v>
      </c>
      <c r="H387" s="6" t="s">
        <v>164</v>
      </c>
      <c r="I387" s="6" t="s">
        <v>2274</v>
      </c>
      <c r="J387" s="6" t="str">
        <f>H387&amp;":"&amp;I387</f>
        <v>att_reduction:tcep</v>
      </c>
      <c r="L387" s="6" t="s">
        <v>2276</v>
      </c>
    </row>
    <row r="388" spans="1:12" x14ac:dyDescent="0.15">
      <c r="C388" s="6" t="s">
        <v>2636</v>
      </c>
      <c r="D388" s="6" t="s">
        <v>2271</v>
      </c>
      <c r="F388" s="6" t="s">
        <v>2634</v>
      </c>
      <c r="G388" s="6" t="s">
        <v>2635</v>
      </c>
      <c r="H388" s="6" t="s">
        <v>164</v>
      </c>
      <c r="I388" s="6" t="s">
        <v>2270</v>
      </c>
      <c r="J388" s="6" t="str">
        <f>H388&amp;":"&amp;I388</f>
        <v>att_reduction:dtt</v>
      </c>
      <c r="L388" s="6" t="s">
        <v>2272</v>
      </c>
    </row>
    <row r="389" spans="1:12" x14ac:dyDescent="0.15">
      <c r="C389" s="6" t="s">
        <v>2636</v>
      </c>
      <c r="D389" s="6" t="s">
        <v>1799</v>
      </c>
      <c r="F389" s="6" t="s">
        <v>2634</v>
      </c>
      <c r="G389" s="6" t="s">
        <v>2635</v>
      </c>
      <c r="H389" s="6" t="s">
        <v>164</v>
      </c>
      <c r="I389" s="6" t="s">
        <v>274</v>
      </c>
      <c r="J389" s="6" t="str">
        <f>H389&amp;":"&amp;I389</f>
        <v>att_reduction:none</v>
      </c>
      <c r="L389" s="6" t="s">
        <v>2273</v>
      </c>
    </row>
    <row r="391" spans="1:12" x14ac:dyDescent="0.15">
      <c r="C391" s="6" t="s">
        <v>2637</v>
      </c>
      <c r="D391" s="6" t="s">
        <v>269</v>
      </c>
      <c r="F391" s="6" t="s">
        <v>2638</v>
      </c>
      <c r="G391" s="6" t="s">
        <v>2639</v>
      </c>
      <c r="H391" s="6" t="s">
        <v>164</v>
      </c>
      <c r="I391" s="6" t="s">
        <v>268</v>
      </c>
      <c r="J391" s="6" t="str">
        <f>H391&amp;":"&amp;I391</f>
        <v>att_reduction:caa</v>
      </c>
      <c r="L391" s="6" t="s">
        <v>270</v>
      </c>
    </row>
    <row r="392" spans="1:12" x14ac:dyDescent="0.15">
      <c r="C392" s="6" t="s">
        <v>2640</v>
      </c>
      <c r="D392" s="6" t="s">
        <v>272</v>
      </c>
      <c r="F392" s="6" t="s">
        <v>2638</v>
      </c>
      <c r="G392" s="6" t="s">
        <v>2639</v>
      </c>
      <c r="H392" s="6" t="s">
        <v>164</v>
      </c>
      <c r="I392" s="6" t="s">
        <v>271</v>
      </c>
      <c r="J392" s="6" t="str">
        <f>H392&amp;":"&amp;I392</f>
        <v>att_reduction:iaa</v>
      </c>
      <c r="L392" s="6" t="s">
        <v>273</v>
      </c>
    </row>
    <row r="393" spans="1:12" x14ac:dyDescent="0.15">
      <c r="C393" s="6" t="s">
        <v>2639</v>
      </c>
      <c r="D393" s="6" t="s">
        <v>1799</v>
      </c>
      <c r="F393" s="6" t="s">
        <v>2638</v>
      </c>
      <c r="G393" s="6" t="s">
        <v>2635</v>
      </c>
      <c r="H393" s="6" t="s">
        <v>164</v>
      </c>
      <c r="I393" s="6" t="s">
        <v>274</v>
      </c>
      <c r="J393" s="6" t="str">
        <f>H393&amp;":"&amp;I393</f>
        <v>att_reduction:none</v>
      </c>
      <c r="L393" s="6" t="s">
        <v>276</v>
      </c>
    </row>
    <row r="395" spans="1:12" x14ac:dyDescent="0.15">
      <c r="A395" s="6" t="b">
        <f>TRUE()</f>
        <v>1</v>
      </c>
      <c r="C395" s="6" t="s">
        <v>2641</v>
      </c>
      <c r="D395" s="6" t="s">
        <v>2210</v>
      </c>
      <c r="F395" s="6" t="s">
        <v>156</v>
      </c>
      <c r="G395" s="6" t="s">
        <v>2642</v>
      </c>
      <c r="H395" s="6" t="s">
        <v>155</v>
      </c>
      <c r="I395" s="6" t="s">
        <v>2209</v>
      </c>
      <c r="J395" s="6" t="str">
        <f t="shared" ref="J395:J402" si="41">H395&amp;":"&amp;I395</f>
        <v>att_protease:trypsin</v>
      </c>
      <c r="L395" s="6" t="s">
        <v>2211</v>
      </c>
    </row>
    <row r="396" spans="1:12" x14ac:dyDescent="0.15">
      <c r="A396" s="6" t="b">
        <f>TRUE()</f>
        <v>1</v>
      </c>
      <c r="C396" s="6" t="s">
        <v>2641</v>
      </c>
      <c r="D396" s="6" t="s">
        <v>2204</v>
      </c>
      <c r="F396" s="6" t="s">
        <v>156</v>
      </c>
      <c r="G396" s="6" t="s">
        <v>2642</v>
      </c>
      <c r="H396" s="6" t="s">
        <v>155</v>
      </c>
      <c r="I396" s="6" t="s">
        <v>2203</v>
      </c>
      <c r="J396" s="6" t="str">
        <f t="shared" si="41"/>
        <v>att_protease:lysc</v>
      </c>
      <c r="L396" s="6" t="s">
        <v>2205</v>
      </c>
    </row>
    <row r="397" spans="1:12" x14ac:dyDescent="0.15">
      <c r="A397" s="6" t="b">
        <f>TRUE()</f>
        <v>1</v>
      </c>
      <c r="C397" s="6" t="s">
        <v>2641</v>
      </c>
      <c r="D397" s="6" t="s">
        <v>2189</v>
      </c>
      <c r="F397" s="6" t="s">
        <v>156</v>
      </c>
      <c r="G397" s="6" t="s">
        <v>2642</v>
      </c>
      <c r="H397" s="6" t="s">
        <v>155</v>
      </c>
      <c r="I397" s="6" t="s">
        <v>2188</v>
      </c>
      <c r="J397" s="6" t="str">
        <f t="shared" si="41"/>
        <v>att_protease:argc</v>
      </c>
      <c r="L397" s="6" t="s">
        <v>2190</v>
      </c>
    </row>
    <row r="398" spans="1:12" x14ac:dyDescent="0.15">
      <c r="A398" s="6" t="b">
        <f>TRUE()</f>
        <v>1</v>
      </c>
      <c r="C398" s="6" t="s">
        <v>2641</v>
      </c>
      <c r="D398" s="6" t="s">
        <v>2201</v>
      </c>
      <c r="F398" s="6" t="s">
        <v>156</v>
      </c>
      <c r="G398" s="6" t="s">
        <v>2642</v>
      </c>
      <c r="H398" s="6" t="s">
        <v>155</v>
      </c>
      <c r="I398" s="6" t="s">
        <v>2200</v>
      </c>
      <c r="J398" s="6" t="str">
        <f t="shared" si="41"/>
        <v>att_protease:gluc</v>
      </c>
      <c r="L398" s="6" t="s">
        <v>2202</v>
      </c>
    </row>
    <row r="399" spans="1:12" x14ac:dyDescent="0.15">
      <c r="A399" s="6" t="b">
        <f>TRUE()</f>
        <v>1</v>
      </c>
      <c r="C399" s="6" t="s">
        <v>2641</v>
      </c>
      <c r="D399" s="6" t="s">
        <v>2195</v>
      </c>
      <c r="F399" s="6" t="s">
        <v>156</v>
      </c>
      <c r="G399" s="6" t="s">
        <v>2642</v>
      </c>
      <c r="H399" s="6" t="s">
        <v>155</v>
      </c>
      <c r="I399" s="6" t="s">
        <v>2194</v>
      </c>
      <c r="J399" s="6" t="str">
        <f t="shared" si="41"/>
        <v>att_protease:chymotrypsin</v>
      </c>
      <c r="L399" s="6" t="s">
        <v>2196</v>
      </c>
    </row>
    <row r="400" spans="1:12" x14ac:dyDescent="0.15">
      <c r="A400" s="6" t="b">
        <f>TRUE()</f>
        <v>1</v>
      </c>
      <c r="C400" s="6" t="s">
        <v>2641</v>
      </c>
      <c r="D400" s="6" t="s">
        <v>2192</v>
      </c>
      <c r="F400" s="6" t="s">
        <v>156</v>
      </c>
      <c r="G400" s="6" t="s">
        <v>2642</v>
      </c>
      <c r="H400" s="6" t="s">
        <v>155</v>
      </c>
      <c r="I400" s="6" t="s">
        <v>2191</v>
      </c>
      <c r="J400" s="6" t="str">
        <f t="shared" si="41"/>
        <v>att_protease:aspn</v>
      </c>
      <c r="L400" s="6" t="s">
        <v>2193</v>
      </c>
    </row>
    <row r="401" spans="1:12" x14ac:dyDescent="0.15">
      <c r="A401" s="6" t="b">
        <f>TRUE()</f>
        <v>1</v>
      </c>
      <c r="C401" s="6" t="s">
        <v>2641</v>
      </c>
      <c r="D401" s="6" t="s">
        <v>2198</v>
      </c>
      <c r="F401" s="6" t="s">
        <v>156</v>
      </c>
      <c r="G401" s="6" t="s">
        <v>2642</v>
      </c>
      <c r="H401" s="6" t="s">
        <v>155</v>
      </c>
      <c r="I401" s="6" t="s">
        <v>2197</v>
      </c>
      <c r="J401" s="6" t="str">
        <f t="shared" si="41"/>
        <v>att_protease:elastase</v>
      </c>
      <c r="L401" s="6" t="s">
        <v>2199</v>
      </c>
    </row>
    <row r="402" spans="1:12" x14ac:dyDescent="0.15">
      <c r="A402" s="6" t="b">
        <f>TRUE()</f>
        <v>1</v>
      </c>
      <c r="C402" s="6" t="s">
        <v>2641</v>
      </c>
      <c r="D402" s="6" t="s">
        <v>2207</v>
      </c>
      <c r="F402" s="6" t="s">
        <v>156</v>
      </c>
      <c r="G402" s="6" t="s">
        <v>2642</v>
      </c>
      <c r="H402" s="6" t="s">
        <v>155</v>
      </c>
      <c r="I402" s="6" t="s">
        <v>2206</v>
      </c>
      <c r="J402" s="6" t="str">
        <f t="shared" si="41"/>
        <v>att_protease:raspn</v>
      </c>
      <c r="L402" s="6" t="s">
        <v>2208</v>
      </c>
    </row>
    <row r="404" spans="1:12" x14ac:dyDescent="0.15">
      <c r="C404" s="6" t="s">
        <v>2643</v>
      </c>
      <c r="D404" s="6" t="s">
        <v>1287</v>
      </c>
      <c r="F404" s="6" t="s">
        <v>115</v>
      </c>
      <c r="G404" s="6" t="s">
        <v>2644</v>
      </c>
      <c r="H404" s="6" t="s">
        <v>114</v>
      </c>
      <c r="I404" s="6" t="s">
        <v>1286</v>
      </c>
      <c r="J404" s="6" t="str">
        <f t="shared" ref="J404:J410" si="42">H404&amp;":"&amp;I404</f>
        <v>att_liquid_handler:mosquitoLV</v>
      </c>
      <c r="L404" s="6" t="s">
        <v>1288</v>
      </c>
    </row>
    <row r="405" spans="1:12" x14ac:dyDescent="0.15">
      <c r="C405" s="6" t="s">
        <v>2643</v>
      </c>
      <c r="D405" s="6" t="s">
        <v>1275</v>
      </c>
      <c r="F405" s="6" t="s">
        <v>115</v>
      </c>
      <c r="G405" s="6" t="s">
        <v>2644</v>
      </c>
      <c r="H405" s="6" t="s">
        <v>114</v>
      </c>
      <c r="I405" s="6" t="s">
        <v>1274</v>
      </c>
      <c r="J405" s="6" t="str">
        <f t="shared" si="42"/>
        <v>att_liquid_handler:felix</v>
      </c>
      <c r="L405" s="6" t="s">
        <v>1276</v>
      </c>
    </row>
    <row r="406" spans="1:12" x14ac:dyDescent="0.15">
      <c r="C406" s="6" t="s">
        <v>2643</v>
      </c>
      <c r="D406" s="6" t="s">
        <v>1284</v>
      </c>
      <c r="F406" s="6" t="s">
        <v>115</v>
      </c>
      <c r="G406" s="6" t="s">
        <v>2644</v>
      </c>
      <c r="H406" s="6" t="s">
        <v>114</v>
      </c>
      <c r="I406" s="6" t="s">
        <v>1283</v>
      </c>
      <c r="J406" s="6" t="str">
        <f t="shared" si="42"/>
        <v>att_liquid_handler:mosquitoHV</v>
      </c>
      <c r="L406" s="6" t="s">
        <v>1285</v>
      </c>
    </row>
    <row r="407" spans="1:12" x14ac:dyDescent="0.15">
      <c r="C407" s="6" t="s">
        <v>2643</v>
      </c>
      <c r="D407" s="6" t="s">
        <v>1290</v>
      </c>
      <c r="F407" s="6" t="s">
        <v>115</v>
      </c>
      <c r="G407" s="6" t="s">
        <v>2644</v>
      </c>
      <c r="H407" s="6" t="s">
        <v>114</v>
      </c>
      <c r="I407" s="6" t="s">
        <v>1289</v>
      </c>
      <c r="J407" s="6" t="str">
        <f t="shared" si="42"/>
        <v>att_liquid_handler:opentrons</v>
      </c>
      <c r="L407" s="6" t="s">
        <v>1290</v>
      </c>
    </row>
    <row r="408" spans="1:12" x14ac:dyDescent="0.15">
      <c r="C408" s="6" t="s">
        <v>2643</v>
      </c>
      <c r="D408" s="6" t="s">
        <v>1278</v>
      </c>
      <c r="F408" s="6" t="s">
        <v>115</v>
      </c>
      <c r="G408" s="6" t="s">
        <v>2644</v>
      </c>
      <c r="H408" s="6" t="s">
        <v>114</v>
      </c>
      <c r="I408" s="6" t="s">
        <v>1277</v>
      </c>
      <c r="J408" s="6" t="str">
        <f t="shared" si="42"/>
        <v>att_liquid_handler:kingfisher</v>
      </c>
      <c r="L408" s="6" t="s">
        <v>1279</v>
      </c>
    </row>
    <row r="409" spans="1:12" x14ac:dyDescent="0.15">
      <c r="C409" s="6" t="s">
        <v>2643</v>
      </c>
      <c r="D409" s="6" t="s">
        <v>1272</v>
      </c>
      <c r="F409" s="6" t="s">
        <v>115</v>
      </c>
      <c r="G409" s="6" t="s">
        <v>2644</v>
      </c>
      <c r="H409" s="6" t="s">
        <v>114</v>
      </c>
      <c r="I409" s="6" t="s">
        <v>1271</v>
      </c>
      <c r="J409" s="6" t="str">
        <f t="shared" si="42"/>
        <v>att_liquid_handler:bravo</v>
      </c>
      <c r="L409" s="6" t="s">
        <v>1273</v>
      </c>
    </row>
    <row r="410" spans="1:12" x14ac:dyDescent="0.15">
      <c r="C410" s="6" t="s">
        <v>2643</v>
      </c>
      <c r="D410" s="6" t="s">
        <v>1292</v>
      </c>
      <c r="F410" s="6" t="s">
        <v>115</v>
      </c>
      <c r="G410" s="6" t="s">
        <v>2644</v>
      </c>
      <c r="H410" s="6" t="s">
        <v>114</v>
      </c>
      <c r="I410" s="6" t="s">
        <v>1291</v>
      </c>
      <c r="J410" s="6" t="str">
        <f t="shared" si="42"/>
        <v>att_liquid_handler:tecan</v>
      </c>
      <c r="L410" s="6" t="s">
        <v>1293</v>
      </c>
    </row>
    <row r="412" spans="1:12" x14ac:dyDescent="0.15">
      <c r="C412" s="6" t="s">
        <v>2645</v>
      </c>
      <c r="D412" s="6" t="s">
        <v>991</v>
      </c>
      <c r="F412" s="6" t="s">
        <v>81</v>
      </c>
      <c r="G412" s="6" t="s">
        <v>2646</v>
      </c>
      <c r="H412" s="6" t="s">
        <v>80</v>
      </c>
      <c r="I412" s="6" t="s">
        <v>990</v>
      </c>
      <c r="J412" s="6" t="str">
        <f>H412&amp;":"&amp;I412</f>
        <v>att_digestion_vessel:96well_plate</v>
      </c>
      <c r="L412" s="6" t="s">
        <v>992</v>
      </c>
    </row>
    <row r="413" spans="1:12" x14ac:dyDescent="0.15">
      <c r="C413" s="6" t="s">
        <v>2645</v>
      </c>
      <c r="D413" s="6" t="s">
        <v>989</v>
      </c>
      <c r="F413" s="6" t="s">
        <v>81</v>
      </c>
      <c r="G413" s="6" t="s">
        <v>2646</v>
      </c>
      <c r="H413" s="6" t="s">
        <v>80</v>
      </c>
      <c r="I413" s="6" t="s">
        <v>988</v>
      </c>
      <c r="J413" s="6" t="str">
        <f>H413&amp;":"&amp;I413</f>
        <v>att_digestion_vessel:384well_plate</v>
      </c>
      <c r="L413" s="6" t="s">
        <v>989</v>
      </c>
    </row>
    <row r="414" spans="1:12" x14ac:dyDescent="0.15">
      <c r="C414" s="6" t="s">
        <v>2647</v>
      </c>
      <c r="D414" s="6" t="s">
        <v>999</v>
      </c>
      <c r="F414" s="6" t="s">
        <v>81</v>
      </c>
      <c r="G414" s="6" t="s">
        <v>2646</v>
      </c>
      <c r="H414" s="6" t="s">
        <v>80</v>
      </c>
      <c r="I414" s="6" t="s">
        <v>998</v>
      </c>
      <c r="J414" s="6" t="str">
        <f>H414&amp;":"&amp;I414</f>
        <v>att_digestion_vessel:two_ml_tube</v>
      </c>
      <c r="L414" s="6" t="s">
        <v>1000</v>
      </c>
    </row>
    <row r="415" spans="1:12" x14ac:dyDescent="0.15">
      <c r="C415" s="6" t="s">
        <v>2647</v>
      </c>
      <c r="D415" s="6" t="s">
        <v>994</v>
      </c>
      <c r="F415" s="6" t="s">
        <v>81</v>
      </c>
      <c r="G415" s="6" t="s">
        <v>2646</v>
      </c>
      <c r="H415" s="6" t="s">
        <v>80</v>
      </c>
      <c r="I415" s="6" t="s">
        <v>993</v>
      </c>
      <c r="J415" s="6" t="str">
        <f>H415&amp;":"&amp;I415</f>
        <v>att_digestion_vessel:onefive_ml_tube</v>
      </c>
      <c r="L415" s="6" t="s">
        <v>995</v>
      </c>
    </row>
    <row r="417" spans="3:12" x14ac:dyDescent="0.15">
      <c r="C417" s="6" t="s">
        <v>2648</v>
      </c>
      <c r="D417" s="6" t="s">
        <v>2649</v>
      </c>
      <c r="F417" s="6" t="s">
        <v>15</v>
      </c>
      <c r="G417" s="6" t="s">
        <v>2650</v>
      </c>
      <c r="H417" s="6" t="s">
        <v>13</v>
      </c>
      <c r="I417" s="6" t="s">
        <v>201</v>
      </c>
      <c r="J417" s="6" t="str">
        <f t="shared" ref="J417:J435" si="43">H417&amp;":"&amp;I417</f>
        <v>att_aa_starvation:arginine</v>
      </c>
      <c r="L417" s="6" t="s">
        <v>204</v>
      </c>
    </row>
    <row r="418" spans="3:12" x14ac:dyDescent="0.15">
      <c r="C418" s="6" t="s">
        <v>2648</v>
      </c>
      <c r="D418" s="6" t="s">
        <v>2651</v>
      </c>
      <c r="F418" s="6" t="s">
        <v>15</v>
      </c>
      <c r="G418" s="6" t="s">
        <v>2650</v>
      </c>
      <c r="H418" s="6" t="s">
        <v>13</v>
      </c>
      <c r="I418" s="6" t="s">
        <v>205</v>
      </c>
      <c r="J418" s="6" t="str">
        <f t="shared" si="43"/>
        <v>att_aa_starvation:asparagine</v>
      </c>
      <c r="L418" s="6" t="s">
        <v>207</v>
      </c>
    </row>
    <row r="419" spans="3:12" x14ac:dyDescent="0.15">
      <c r="C419" s="6" t="s">
        <v>2648</v>
      </c>
      <c r="D419" s="6" t="s">
        <v>2652</v>
      </c>
      <c r="F419" s="6" t="s">
        <v>15</v>
      </c>
      <c r="G419" s="6" t="s">
        <v>2650</v>
      </c>
      <c r="H419" s="6" t="s">
        <v>13</v>
      </c>
      <c r="I419" s="6" t="s">
        <v>208</v>
      </c>
      <c r="J419" s="6" t="str">
        <f t="shared" si="43"/>
        <v>att_aa_starvation:asparticacid</v>
      </c>
      <c r="L419" s="6" t="s">
        <v>210</v>
      </c>
    </row>
    <row r="420" spans="3:12" x14ac:dyDescent="0.15">
      <c r="C420" s="6" t="s">
        <v>2648</v>
      </c>
      <c r="D420" s="6" t="s">
        <v>2653</v>
      </c>
      <c r="F420" s="6" t="s">
        <v>15</v>
      </c>
      <c r="G420" s="6" t="s">
        <v>2650</v>
      </c>
      <c r="H420" s="6" t="s">
        <v>13</v>
      </c>
      <c r="I420" s="6" t="s">
        <v>211</v>
      </c>
      <c r="J420" s="6" t="str">
        <f t="shared" si="43"/>
        <v>att_aa_starvation:cysteine</v>
      </c>
      <c r="L420" s="6" t="s">
        <v>213</v>
      </c>
    </row>
    <row r="421" spans="3:12" x14ac:dyDescent="0.15">
      <c r="C421" s="6" t="s">
        <v>2648</v>
      </c>
      <c r="D421" s="6" t="s">
        <v>2654</v>
      </c>
      <c r="F421" s="6" t="s">
        <v>15</v>
      </c>
      <c r="G421" s="6" t="s">
        <v>2650</v>
      </c>
      <c r="H421" s="6" t="s">
        <v>13</v>
      </c>
      <c r="I421" s="6" t="s">
        <v>214</v>
      </c>
      <c r="J421" s="6" t="str">
        <f t="shared" si="43"/>
        <v>att_aa_starvation:glutamicacid</v>
      </c>
      <c r="L421" s="6" t="s">
        <v>216</v>
      </c>
    </row>
    <row r="422" spans="3:12" x14ac:dyDescent="0.15">
      <c r="C422" s="6" t="s">
        <v>2648</v>
      </c>
      <c r="D422" s="6" t="s">
        <v>2655</v>
      </c>
      <c r="F422" s="6" t="s">
        <v>15</v>
      </c>
      <c r="G422" s="6" t="s">
        <v>2650</v>
      </c>
      <c r="H422" s="6" t="s">
        <v>13</v>
      </c>
      <c r="I422" s="6" t="s">
        <v>217</v>
      </c>
      <c r="J422" s="6" t="str">
        <f t="shared" si="43"/>
        <v>att_aa_starvation:glutamine</v>
      </c>
      <c r="L422" s="6" t="s">
        <v>219</v>
      </c>
    </row>
    <row r="423" spans="3:12" x14ac:dyDescent="0.15">
      <c r="C423" s="6" t="s">
        <v>2648</v>
      </c>
      <c r="D423" s="6" t="s">
        <v>2656</v>
      </c>
      <c r="F423" s="6" t="s">
        <v>15</v>
      </c>
      <c r="G423" s="6" t="s">
        <v>2650</v>
      </c>
      <c r="H423" s="6" t="s">
        <v>13</v>
      </c>
      <c r="I423" s="6" t="s">
        <v>220</v>
      </c>
      <c r="J423" s="6" t="str">
        <f t="shared" si="43"/>
        <v>att_aa_starvation:glycine</v>
      </c>
      <c r="L423" s="6" t="s">
        <v>222</v>
      </c>
    </row>
    <row r="424" spans="3:12" x14ac:dyDescent="0.15">
      <c r="C424" s="6" t="s">
        <v>2648</v>
      </c>
      <c r="D424" s="6" t="s">
        <v>2657</v>
      </c>
      <c r="F424" s="6" t="s">
        <v>15</v>
      </c>
      <c r="G424" s="6" t="s">
        <v>2650</v>
      </c>
      <c r="H424" s="6" t="s">
        <v>13</v>
      </c>
      <c r="I424" s="6" t="s">
        <v>223</v>
      </c>
      <c r="J424" s="6" t="str">
        <f t="shared" si="43"/>
        <v>att_aa_starvation:histidine</v>
      </c>
      <c r="L424" s="6" t="s">
        <v>225</v>
      </c>
    </row>
    <row r="425" spans="3:12" x14ac:dyDescent="0.15">
      <c r="C425" s="6" t="s">
        <v>2648</v>
      </c>
      <c r="D425" s="6" t="s">
        <v>2658</v>
      </c>
      <c r="F425" s="6" t="s">
        <v>15</v>
      </c>
      <c r="G425" s="6" t="s">
        <v>2650</v>
      </c>
      <c r="H425" s="6" t="s">
        <v>13</v>
      </c>
      <c r="I425" s="6" t="s">
        <v>226</v>
      </c>
      <c r="J425" s="6" t="str">
        <f t="shared" si="43"/>
        <v>att_aa_starvation:isoleucine</v>
      </c>
      <c r="L425" s="6" t="s">
        <v>228</v>
      </c>
    </row>
    <row r="426" spans="3:12" x14ac:dyDescent="0.15">
      <c r="C426" s="6" t="s">
        <v>2648</v>
      </c>
      <c r="D426" s="6" t="s">
        <v>2659</v>
      </c>
      <c r="F426" s="6" t="s">
        <v>15</v>
      </c>
      <c r="G426" s="6" t="s">
        <v>2650</v>
      </c>
      <c r="H426" s="6" t="s">
        <v>13</v>
      </c>
      <c r="I426" s="6" t="s">
        <v>229</v>
      </c>
      <c r="J426" s="6" t="str">
        <f t="shared" si="43"/>
        <v>att_aa_starvation:leucine</v>
      </c>
      <c r="L426" s="6" t="s">
        <v>231</v>
      </c>
    </row>
    <row r="427" spans="3:12" x14ac:dyDescent="0.15">
      <c r="C427" s="6" t="s">
        <v>2648</v>
      </c>
      <c r="D427" s="6" t="s">
        <v>2660</v>
      </c>
      <c r="F427" s="6" t="s">
        <v>15</v>
      </c>
      <c r="G427" s="6" t="s">
        <v>2650</v>
      </c>
      <c r="H427" s="6" t="s">
        <v>13</v>
      </c>
      <c r="I427" s="6" t="s">
        <v>232</v>
      </c>
      <c r="J427" s="6" t="str">
        <f t="shared" si="43"/>
        <v>att_aa_starvation:lysine</v>
      </c>
      <c r="L427" s="6" t="s">
        <v>234</v>
      </c>
    </row>
    <row r="428" spans="3:12" x14ac:dyDescent="0.15">
      <c r="C428" s="6" t="s">
        <v>2648</v>
      </c>
      <c r="D428" s="6" t="s">
        <v>2661</v>
      </c>
      <c r="F428" s="6" t="s">
        <v>15</v>
      </c>
      <c r="G428" s="6" t="s">
        <v>2650</v>
      </c>
      <c r="H428" s="6" t="s">
        <v>13</v>
      </c>
      <c r="I428" s="6" t="s">
        <v>235</v>
      </c>
      <c r="J428" s="6" t="str">
        <f t="shared" si="43"/>
        <v>att_aa_starvation:methionine</v>
      </c>
      <c r="L428" s="6" t="s">
        <v>237</v>
      </c>
    </row>
    <row r="429" spans="3:12" x14ac:dyDescent="0.15">
      <c r="C429" s="6" t="s">
        <v>2648</v>
      </c>
      <c r="D429" s="6" t="s">
        <v>2662</v>
      </c>
      <c r="F429" s="6" t="s">
        <v>15</v>
      </c>
      <c r="G429" s="6" t="s">
        <v>2650</v>
      </c>
      <c r="H429" s="6" t="s">
        <v>13</v>
      </c>
      <c r="I429" s="6" t="s">
        <v>238</v>
      </c>
      <c r="J429" s="6" t="str">
        <f t="shared" si="43"/>
        <v>att_aa_starvation:phenylalanine</v>
      </c>
      <c r="L429" s="6" t="s">
        <v>240</v>
      </c>
    </row>
    <row r="430" spans="3:12" x14ac:dyDescent="0.15">
      <c r="C430" s="6" t="s">
        <v>2648</v>
      </c>
      <c r="D430" s="6" t="s">
        <v>2663</v>
      </c>
      <c r="F430" s="6" t="s">
        <v>15</v>
      </c>
      <c r="G430" s="6" t="s">
        <v>2650</v>
      </c>
      <c r="H430" s="6" t="s">
        <v>13</v>
      </c>
      <c r="I430" s="6" t="s">
        <v>241</v>
      </c>
      <c r="J430" s="6" t="str">
        <f t="shared" si="43"/>
        <v>att_aa_starvation:proline</v>
      </c>
      <c r="L430" s="6" t="s">
        <v>243</v>
      </c>
    </row>
    <row r="431" spans="3:12" x14ac:dyDescent="0.15">
      <c r="C431" s="6" t="s">
        <v>2648</v>
      </c>
      <c r="D431" s="6" t="s">
        <v>2664</v>
      </c>
      <c r="F431" s="6" t="s">
        <v>15</v>
      </c>
      <c r="G431" s="6" t="s">
        <v>2650</v>
      </c>
      <c r="H431" s="6" t="s">
        <v>13</v>
      </c>
      <c r="I431" s="6" t="s">
        <v>244</v>
      </c>
      <c r="J431" s="6" t="str">
        <f t="shared" si="43"/>
        <v>att_aa_starvation:serine</v>
      </c>
      <c r="L431" s="6" t="s">
        <v>246</v>
      </c>
    </row>
    <row r="432" spans="3:12" x14ac:dyDescent="0.15">
      <c r="C432" s="6" t="s">
        <v>2648</v>
      </c>
      <c r="D432" s="6" t="s">
        <v>2665</v>
      </c>
      <c r="F432" s="6" t="s">
        <v>15</v>
      </c>
      <c r="G432" s="6" t="s">
        <v>2650</v>
      </c>
      <c r="H432" s="6" t="s">
        <v>13</v>
      </c>
      <c r="I432" s="6" t="s">
        <v>247</v>
      </c>
      <c r="J432" s="6" t="str">
        <f t="shared" si="43"/>
        <v>att_aa_starvation:threonine</v>
      </c>
      <c r="L432" s="6" t="s">
        <v>249</v>
      </c>
    </row>
    <row r="433" spans="1:15" x14ac:dyDescent="0.15">
      <c r="C433" s="6" t="s">
        <v>2648</v>
      </c>
      <c r="D433" s="6" t="s">
        <v>2666</v>
      </c>
      <c r="F433" s="6" t="s">
        <v>15</v>
      </c>
      <c r="G433" s="6" t="s">
        <v>2650</v>
      </c>
      <c r="H433" s="6" t="s">
        <v>13</v>
      </c>
      <c r="I433" s="6" t="s">
        <v>250</v>
      </c>
      <c r="J433" s="6" t="str">
        <f t="shared" si="43"/>
        <v>att_aa_starvation:tryptophan</v>
      </c>
      <c r="L433" s="6" t="s">
        <v>252</v>
      </c>
    </row>
    <row r="434" spans="1:15" x14ac:dyDescent="0.15">
      <c r="C434" s="6" t="s">
        <v>2648</v>
      </c>
      <c r="D434" s="6" t="s">
        <v>2667</v>
      </c>
      <c r="F434" s="6" t="s">
        <v>15</v>
      </c>
      <c r="G434" s="6" t="s">
        <v>2650</v>
      </c>
      <c r="H434" s="6" t="s">
        <v>13</v>
      </c>
      <c r="I434" s="6" t="s">
        <v>253</v>
      </c>
      <c r="J434" s="6" t="str">
        <f t="shared" si="43"/>
        <v>att_aa_starvation:tyrosine</v>
      </c>
      <c r="L434" s="6" t="s">
        <v>255</v>
      </c>
    </row>
    <row r="435" spans="1:15" x14ac:dyDescent="0.15">
      <c r="C435" s="6" t="s">
        <v>2648</v>
      </c>
      <c r="D435" s="6" t="s">
        <v>2668</v>
      </c>
      <c r="F435" s="6" t="s">
        <v>15</v>
      </c>
      <c r="G435" s="6" t="s">
        <v>2650</v>
      </c>
      <c r="H435" s="6" t="s">
        <v>13</v>
      </c>
      <c r="I435" s="6" t="s">
        <v>256</v>
      </c>
      <c r="J435" s="6" t="str">
        <f t="shared" si="43"/>
        <v>att_aa_starvation:valine</v>
      </c>
      <c r="L435" s="6" t="s">
        <v>258</v>
      </c>
    </row>
    <row r="439" spans="1:15" x14ac:dyDescent="0.15">
      <c r="A439" s="12" t="b">
        <f>FALSE()</f>
        <v>0</v>
      </c>
      <c r="B439" s="12"/>
      <c r="C439" s="6" t="s">
        <v>711</v>
      </c>
      <c r="D439" s="6" t="s">
        <v>712</v>
      </c>
      <c r="E439" s="6" t="s">
        <v>14</v>
      </c>
      <c r="F439" s="6" t="s">
        <v>2480</v>
      </c>
      <c r="G439" s="6" t="s">
        <v>2481</v>
      </c>
      <c r="H439" s="6" t="str">
        <f t="shared" ref="H439:H448" si="44">"att_"&amp;G439</f>
        <v>att_compound</v>
      </c>
      <c r="I439" s="6" t="s">
        <v>711</v>
      </c>
      <c r="J439" s="6" t="str">
        <f t="shared" ref="J439:J448" si="45">H439&amp;":"&amp;I439</f>
        <v>att_compound:torin</v>
      </c>
      <c r="K439" s="11" t="s">
        <v>18</v>
      </c>
      <c r="L439" s="6" t="s">
        <v>713</v>
      </c>
      <c r="M439" s="6" t="s">
        <v>14</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703</v>
      </c>
      <c r="D440" s="6" t="s">
        <v>704</v>
      </c>
      <c r="E440" s="6" t="s">
        <v>14</v>
      </c>
      <c r="F440" s="6" t="s">
        <v>2480</v>
      </c>
      <c r="G440" s="6" t="s">
        <v>2481</v>
      </c>
      <c r="H440" s="6" t="str">
        <f t="shared" si="44"/>
        <v>att_compound</v>
      </c>
      <c r="I440" s="6" t="s">
        <v>703</v>
      </c>
      <c r="J440" s="6" t="str">
        <f t="shared" si="45"/>
        <v>att_compound:rapamycin</v>
      </c>
      <c r="K440" s="6" t="b">
        <f>TRUE()</f>
        <v>1</v>
      </c>
      <c r="L440" s="6" t="s">
        <v>705</v>
      </c>
    </row>
    <row r="441" spans="1:15" x14ac:dyDescent="0.15">
      <c r="C441" s="6" t="s">
        <v>664</v>
      </c>
      <c r="D441" s="6" t="s">
        <v>665</v>
      </c>
      <c r="E441" s="6" t="s">
        <v>14</v>
      </c>
      <c r="F441" s="6" t="s">
        <v>2480</v>
      </c>
      <c r="G441" s="6" t="s">
        <v>2481</v>
      </c>
      <c r="H441" s="6" t="str">
        <f t="shared" si="44"/>
        <v>att_compound</v>
      </c>
      <c r="I441" s="6" t="s">
        <v>664</v>
      </c>
      <c r="J441" s="6" t="str">
        <f t="shared" si="45"/>
        <v>att_compound:antimycin</v>
      </c>
      <c r="K441" s="6" t="b">
        <f>TRUE()</f>
        <v>1</v>
      </c>
      <c r="L441" s="6" t="s">
        <v>666</v>
      </c>
    </row>
    <row r="442" spans="1:15" x14ac:dyDescent="0.15">
      <c r="C442" s="6" t="s">
        <v>700</v>
      </c>
      <c r="D442" s="6" t="s">
        <v>701</v>
      </c>
      <c r="E442" s="6" t="s">
        <v>14</v>
      </c>
      <c r="F442" s="6" t="s">
        <v>2480</v>
      </c>
      <c r="G442" s="6" t="s">
        <v>2481</v>
      </c>
      <c r="H442" s="6" t="str">
        <f t="shared" si="44"/>
        <v>att_compound</v>
      </c>
      <c r="I442" s="6" t="s">
        <v>700</v>
      </c>
      <c r="J442" s="6" t="str">
        <f t="shared" si="45"/>
        <v>att_compound:oligomycin</v>
      </c>
      <c r="K442" s="6" t="b">
        <f>TRUE()</f>
        <v>1</v>
      </c>
      <c r="L442" s="6" t="s">
        <v>702</v>
      </c>
    </row>
    <row r="443" spans="1:15" x14ac:dyDescent="0.15">
      <c r="C443" s="6" t="s">
        <v>697</v>
      </c>
      <c r="D443" s="6" t="s">
        <v>698</v>
      </c>
      <c r="E443" s="6" t="s">
        <v>14</v>
      </c>
      <c r="F443" s="6" t="s">
        <v>2480</v>
      </c>
      <c r="G443" s="6" t="s">
        <v>2481</v>
      </c>
      <c r="H443" s="6" t="str">
        <f t="shared" si="44"/>
        <v>att_compound</v>
      </c>
      <c r="I443" s="6" t="s">
        <v>697</v>
      </c>
      <c r="J443" s="6" t="str">
        <f t="shared" si="45"/>
        <v>att_compound:hydroxyurea</v>
      </c>
      <c r="K443" s="6" t="b">
        <f>TRUE()</f>
        <v>1</v>
      </c>
      <c r="L443" s="6" t="s">
        <v>699</v>
      </c>
    </row>
    <row r="444" spans="1:15" x14ac:dyDescent="0.15">
      <c r="C444" s="6" t="s">
        <v>2669</v>
      </c>
      <c r="D444" s="6" t="s">
        <v>660</v>
      </c>
      <c r="E444" s="6" t="s">
        <v>14</v>
      </c>
      <c r="F444" s="6" t="s">
        <v>2480</v>
      </c>
      <c r="G444" s="6" t="s">
        <v>2481</v>
      </c>
      <c r="H444" s="6" t="str">
        <f t="shared" si="44"/>
        <v>att_compound</v>
      </c>
      <c r="I444" s="6" t="s">
        <v>2669</v>
      </c>
      <c r="J444" s="6" t="str">
        <f t="shared" si="45"/>
        <v xml:space="preserve">att_compound:5-fluorouracil </v>
      </c>
      <c r="K444" s="6" t="b">
        <f>TRUE()</f>
        <v>1</v>
      </c>
      <c r="L444" s="6" t="s">
        <v>661</v>
      </c>
    </row>
    <row r="445" spans="1:15" x14ac:dyDescent="0.15">
      <c r="C445" s="6" t="s">
        <v>2670</v>
      </c>
      <c r="D445" s="6" t="s">
        <v>2671</v>
      </c>
      <c r="E445" s="6" t="s">
        <v>14</v>
      </c>
      <c r="F445" s="6" t="s">
        <v>2480</v>
      </c>
      <c r="G445" s="6" t="s">
        <v>2481</v>
      </c>
      <c r="H445" s="6" t="str">
        <f t="shared" si="44"/>
        <v>att_compound</v>
      </c>
      <c r="I445" s="6" t="s">
        <v>2670</v>
      </c>
      <c r="J445" s="6" t="str">
        <f t="shared" si="45"/>
        <v xml:space="preserve">att_compound:etoposide </v>
      </c>
      <c r="K445" s="6" t="b">
        <f>TRUE()</f>
        <v>1</v>
      </c>
      <c r="L445" s="6" t="s">
        <v>2672</v>
      </c>
    </row>
    <row r="446" spans="1:15" x14ac:dyDescent="0.15">
      <c r="C446" s="6" t="s">
        <v>706</v>
      </c>
      <c r="D446" s="6" t="s">
        <v>707</v>
      </c>
      <c r="E446" s="6" t="s">
        <v>14</v>
      </c>
      <c r="F446" s="6" t="s">
        <v>2480</v>
      </c>
      <c r="G446" s="6" t="s">
        <v>2481</v>
      </c>
      <c r="H446" s="6" t="str">
        <f t="shared" si="44"/>
        <v>att_compound</v>
      </c>
      <c r="I446" s="6" t="s">
        <v>706</v>
      </c>
      <c r="J446" s="6" t="str">
        <f t="shared" si="45"/>
        <v>att_compound:rotenone</v>
      </c>
      <c r="K446" s="6" t="b">
        <f>TRUE()</f>
        <v>1</v>
      </c>
      <c r="L446" s="6" t="s">
        <v>708</v>
      </c>
    </row>
    <row r="447" spans="1:15" x14ac:dyDescent="0.15">
      <c r="C447" s="6" t="s">
        <v>674</v>
      </c>
      <c r="D447" s="6" t="s">
        <v>675</v>
      </c>
      <c r="E447" s="6" t="s">
        <v>14</v>
      </c>
      <c r="F447" s="6" t="s">
        <v>2480</v>
      </c>
      <c r="G447" s="6" t="s">
        <v>2481</v>
      </c>
      <c r="H447" s="6" t="str">
        <f t="shared" si="44"/>
        <v>att_compound</v>
      </c>
      <c r="I447" s="6" t="s">
        <v>674</v>
      </c>
      <c r="J447" s="6" t="str">
        <f t="shared" si="45"/>
        <v>att_compound:cccp</v>
      </c>
      <c r="K447" s="6" t="b">
        <f>TRUE()</f>
        <v>1</v>
      </c>
      <c r="L447" s="6" t="s">
        <v>676</v>
      </c>
    </row>
    <row r="448" spans="1:15" x14ac:dyDescent="0.15">
      <c r="C448" s="6" t="s">
        <v>691</v>
      </c>
      <c r="D448" s="6" t="s">
        <v>692</v>
      </c>
      <c r="E448" s="6" t="s">
        <v>14</v>
      </c>
      <c r="F448" s="6" t="s">
        <v>2480</v>
      </c>
      <c r="G448" s="6" t="s">
        <v>2481</v>
      </c>
      <c r="H448" s="6" t="str">
        <f t="shared" si="44"/>
        <v>att_compound</v>
      </c>
      <c r="I448" s="6" t="s">
        <v>691</v>
      </c>
      <c r="J448" s="6" t="str">
        <f t="shared" si="45"/>
        <v>att_compound:fccp</v>
      </c>
      <c r="K448" s="6" t="b">
        <f>TRUE()</f>
        <v>1</v>
      </c>
      <c r="L448" s="6" t="s">
        <v>693</v>
      </c>
    </row>
    <row r="451" spans="3:12" x14ac:dyDescent="0.15">
      <c r="C451" s="6" t="s">
        <v>1236</v>
      </c>
      <c r="D451" s="6" t="s">
        <v>1237</v>
      </c>
      <c r="F451" s="6" t="s">
        <v>111</v>
      </c>
      <c r="G451" s="6" t="s">
        <v>2673</v>
      </c>
      <c r="H451" s="6" t="str">
        <f t="shared" ref="H451:H459" si="46">"att_"&amp;G451</f>
        <v>att_knockdown_technique</v>
      </c>
      <c r="I451" s="6" t="s">
        <v>1236</v>
      </c>
      <c r="J451" s="6" t="str">
        <f t="shared" ref="J451:J459" si="47">H451&amp;":"&amp;I451</f>
        <v>att_knockdown_technique:sirna</v>
      </c>
      <c r="K451" s="6" t="b">
        <f>TRUE()</f>
        <v>1</v>
      </c>
      <c r="L451" s="6" t="s">
        <v>1238</v>
      </c>
    </row>
    <row r="452" spans="3:12" x14ac:dyDescent="0.15">
      <c r="C452" s="6" t="s">
        <v>1227</v>
      </c>
      <c r="D452" s="6" t="s">
        <v>1228</v>
      </c>
      <c r="F452" s="6" t="s">
        <v>111</v>
      </c>
      <c r="G452" s="6" t="s">
        <v>2673</v>
      </c>
      <c r="H452" s="6" t="str">
        <f t="shared" si="46"/>
        <v>att_knockdown_technique</v>
      </c>
      <c r="I452" s="6" t="s">
        <v>1227</v>
      </c>
      <c r="J452" s="6" t="str">
        <f t="shared" si="47"/>
        <v>att_knockdown_technique:grna</v>
      </c>
      <c r="K452" s="6" t="b">
        <f>TRUE()</f>
        <v>1</v>
      </c>
      <c r="L452" s="6" t="s">
        <v>1229</v>
      </c>
    </row>
    <row r="453" spans="3:12" x14ac:dyDescent="0.15">
      <c r="C453" s="6" t="s">
        <v>1233</v>
      </c>
      <c r="D453" s="6" t="s">
        <v>1234</v>
      </c>
      <c r="F453" s="6" t="s">
        <v>111</v>
      </c>
      <c r="G453" s="6" t="s">
        <v>2673</v>
      </c>
      <c r="H453" s="6" t="str">
        <f t="shared" si="46"/>
        <v>att_knockdown_technique</v>
      </c>
      <c r="I453" s="6" t="s">
        <v>1233</v>
      </c>
      <c r="J453" s="6" t="str">
        <f t="shared" si="47"/>
        <v>att_knockdown_technique:shrna</v>
      </c>
      <c r="K453" s="6" t="b">
        <f>TRUE()</f>
        <v>1</v>
      </c>
      <c r="L453" s="6" t="s">
        <v>1235</v>
      </c>
    </row>
    <row r="454" spans="3:12" x14ac:dyDescent="0.15">
      <c r="C454" s="6" t="s">
        <v>1230</v>
      </c>
      <c r="D454" s="6" t="s">
        <v>1231</v>
      </c>
      <c r="F454" s="6" t="s">
        <v>111</v>
      </c>
      <c r="G454" s="6" t="s">
        <v>2673</v>
      </c>
      <c r="H454" s="6" t="str">
        <f t="shared" si="46"/>
        <v>att_knockdown_technique</v>
      </c>
      <c r="I454" s="6" t="s">
        <v>1230</v>
      </c>
      <c r="J454" s="6" t="str">
        <f t="shared" si="47"/>
        <v>att_knockdown_technique:mirna</v>
      </c>
      <c r="L454" s="6" t="s">
        <v>1232</v>
      </c>
    </row>
    <row r="455" spans="3:12" x14ac:dyDescent="0.15">
      <c r="C455" s="6" t="s">
        <v>1210</v>
      </c>
      <c r="D455" s="6" t="s">
        <v>1211</v>
      </c>
      <c r="F455" s="6" t="s">
        <v>2674</v>
      </c>
      <c r="G455" s="6" t="s">
        <v>2675</v>
      </c>
      <c r="H455" s="6" t="str">
        <f t="shared" si="46"/>
        <v>att_gene_engineering</v>
      </c>
      <c r="I455" s="6" t="s">
        <v>1210</v>
      </c>
      <c r="J455" s="6" t="str">
        <f t="shared" si="47"/>
        <v>att_gene_engineering:ko</v>
      </c>
      <c r="L455" s="6" t="s">
        <v>1212</v>
      </c>
    </row>
    <row r="456" spans="3:12" x14ac:dyDescent="0.15">
      <c r="C456" s="6" t="s">
        <v>2676</v>
      </c>
      <c r="D456" s="6" t="s">
        <v>1208</v>
      </c>
      <c r="F456" s="6" t="s">
        <v>2674</v>
      </c>
      <c r="G456" s="6" t="s">
        <v>2675</v>
      </c>
      <c r="H456" s="6" t="str">
        <f t="shared" si="46"/>
        <v>att_gene_engineering</v>
      </c>
      <c r="I456" s="6" t="s">
        <v>1207</v>
      </c>
      <c r="J456" s="6" t="str">
        <f t="shared" si="47"/>
        <v>att_gene_engineering:knockin</v>
      </c>
      <c r="L456" s="6" t="s">
        <v>1209</v>
      </c>
    </row>
    <row r="457" spans="3:12" x14ac:dyDescent="0.15">
      <c r="C457" s="6" t="s">
        <v>1201</v>
      </c>
      <c r="D457" s="6" t="s">
        <v>1202</v>
      </c>
      <c r="F457" s="6" t="s">
        <v>2674</v>
      </c>
      <c r="G457" s="6" t="s">
        <v>2675</v>
      </c>
      <c r="H457" s="6" t="str">
        <f t="shared" si="46"/>
        <v>att_gene_engineering</v>
      </c>
      <c r="I457" s="6" t="s">
        <v>1201</v>
      </c>
      <c r="J457" s="6" t="str">
        <f t="shared" si="47"/>
        <v>att_gene_engineering:deletion</v>
      </c>
      <c r="L457" s="6" t="s">
        <v>1203</v>
      </c>
    </row>
    <row r="458" spans="3:12" x14ac:dyDescent="0.15">
      <c r="C458" s="6" t="s">
        <v>1205</v>
      </c>
      <c r="D458" s="6" t="s">
        <v>1205</v>
      </c>
      <c r="F458" s="6" t="s">
        <v>2674</v>
      </c>
      <c r="G458" s="6" t="s">
        <v>2675</v>
      </c>
      <c r="H458" s="6" t="str">
        <f t="shared" si="46"/>
        <v>att_gene_engineering</v>
      </c>
      <c r="I458" s="6" t="s">
        <v>1204</v>
      </c>
      <c r="J458" s="6" t="str">
        <f t="shared" si="47"/>
        <v>att_gene_engineering:inducible_expression</v>
      </c>
      <c r="L458" s="6" t="s">
        <v>1206</v>
      </c>
    </row>
    <row r="459" spans="3:12" x14ac:dyDescent="0.15">
      <c r="C459" s="6" t="s">
        <v>2677</v>
      </c>
      <c r="D459" s="6" t="s">
        <v>1214</v>
      </c>
      <c r="F459" s="6" t="s">
        <v>2674</v>
      </c>
      <c r="G459" s="6" t="s">
        <v>2675</v>
      </c>
      <c r="H459" s="6" t="str">
        <f t="shared" si="46"/>
        <v>att_gene_engineering</v>
      </c>
      <c r="I459" s="6" t="s">
        <v>1213</v>
      </c>
      <c r="J459" s="6" t="str">
        <f t="shared" si="47"/>
        <v>att_gene_engineering:stable_expression</v>
      </c>
      <c r="L459" s="6" t="s">
        <v>1215</v>
      </c>
    </row>
    <row r="461" spans="3:12" x14ac:dyDescent="0.15">
      <c r="C461" s="6" t="s">
        <v>1186</v>
      </c>
      <c r="D461" s="6" t="s">
        <v>1187</v>
      </c>
      <c r="F461" s="6" t="s">
        <v>2678</v>
      </c>
      <c r="G461" s="6" t="s">
        <v>2679</v>
      </c>
      <c r="H461" s="6" t="str">
        <f t="shared" ref="H461:H476" si="48">"att_"&amp;G461</f>
        <v>att_gene_editing_method</v>
      </c>
      <c r="I461" s="6" t="s">
        <v>1186</v>
      </c>
      <c r="J461" s="6" t="str">
        <f t="shared" ref="J461:J476" si="49">H461&amp;":"&amp;I461</f>
        <v>att_gene_editing_method:crispr</v>
      </c>
      <c r="L461" s="6" t="s">
        <v>1188</v>
      </c>
    </row>
    <row r="462" spans="3:12" x14ac:dyDescent="0.15">
      <c r="C462" s="6" t="s">
        <v>2680</v>
      </c>
      <c r="D462" s="6" t="s">
        <v>1190</v>
      </c>
      <c r="F462" s="6" t="s">
        <v>2678</v>
      </c>
      <c r="G462" s="6" t="s">
        <v>2679</v>
      </c>
      <c r="H462" s="6" t="str">
        <f t="shared" si="48"/>
        <v>att_gene_editing_method</v>
      </c>
      <c r="I462" s="6" t="s">
        <v>2681</v>
      </c>
      <c r="J462" s="6" t="str">
        <f t="shared" si="49"/>
        <v>att_gene_editing_method:crispr-hdr</v>
      </c>
      <c r="L462" s="6" t="s">
        <v>1191</v>
      </c>
    </row>
    <row r="463" spans="3:12" x14ac:dyDescent="0.15">
      <c r="C463" s="6" t="s">
        <v>2682</v>
      </c>
      <c r="D463" s="6" t="s">
        <v>1184</v>
      </c>
      <c r="F463" s="6" t="s">
        <v>2678</v>
      </c>
      <c r="G463" s="6" t="s">
        <v>2679</v>
      </c>
      <c r="H463" s="6" t="str">
        <f t="shared" si="48"/>
        <v>att_gene_editing_method</v>
      </c>
      <c r="I463" s="6" t="s">
        <v>1183</v>
      </c>
      <c r="J463" s="6" t="str">
        <f t="shared" si="49"/>
        <v>att_gene_editing_method:biggybac</v>
      </c>
      <c r="L463" s="6" t="s">
        <v>1185</v>
      </c>
    </row>
    <row r="464" spans="3:12" x14ac:dyDescent="0.15">
      <c r="C464" s="6" t="s">
        <v>2683</v>
      </c>
      <c r="D464" s="6" t="s">
        <v>1193</v>
      </c>
      <c r="F464" s="6" t="s">
        <v>2678</v>
      </c>
      <c r="G464" s="6" t="s">
        <v>2679</v>
      </c>
      <c r="H464" s="6" t="str">
        <f t="shared" si="48"/>
        <v>att_gene_editing_method</v>
      </c>
      <c r="I464" s="6" t="s">
        <v>1192</v>
      </c>
      <c r="J464" s="6" t="str">
        <f t="shared" si="49"/>
        <v>att_gene_editing_method:lentiviral</v>
      </c>
      <c r="L464" s="6" t="s">
        <v>1194</v>
      </c>
    </row>
    <row r="465" spans="3:12" x14ac:dyDescent="0.15">
      <c r="C465" s="6" t="s">
        <v>2684</v>
      </c>
      <c r="D465" s="6" t="s">
        <v>1196</v>
      </c>
      <c r="F465" s="6" t="s">
        <v>2678</v>
      </c>
      <c r="G465" s="6" t="s">
        <v>2679</v>
      </c>
      <c r="H465" s="6" t="str">
        <f t="shared" si="48"/>
        <v>att_gene_editing_method</v>
      </c>
      <c r="I465" s="6" t="s">
        <v>1195</v>
      </c>
      <c r="J465" s="6" t="str">
        <f t="shared" si="49"/>
        <v>att_gene_editing_method:talen</v>
      </c>
      <c r="L465" s="6" t="s">
        <v>1197</v>
      </c>
    </row>
    <row r="466" spans="3:12" x14ac:dyDescent="0.15">
      <c r="C466" s="6" t="s">
        <v>2685</v>
      </c>
      <c r="D466" s="6" t="s">
        <v>1199</v>
      </c>
      <c r="F466" s="6" t="s">
        <v>2678</v>
      </c>
      <c r="G466" s="6" t="s">
        <v>2679</v>
      </c>
      <c r="H466" s="6" t="str">
        <f t="shared" si="48"/>
        <v>att_gene_editing_method</v>
      </c>
      <c r="I466" s="6" t="s">
        <v>1198</v>
      </c>
      <c r="J466" s="6" t="str">
        <f t="shared" si="49"/>
        <v>att_gene_editing_method:zincfinger</v>
      </c>
      <c r="L466" s="6" t="s">
        <v>1200</v>
      </c>
    </row>
    <row r="467" spans="3:12" x14ac:dyDescent="0.15">
      <c r="C467" s="6" t="s">
        <v>2686</v>
      </c>
      <c r="D467" s="6" t="s">
        <v>2218</v>
      </c>
      <c r="F467" s="6" t="s">
        <v>2687</v>
      </c>
      <c r="G467" s="6" t="s">
        <v>2688</v>
      </c>
      <c r="H467" s="6" t="str">
        <f t="shared" si="48"/>
        <v>att_protein_mutation</v>
      </c>
      <c r="I467" s="6" t="s">
        <v>2217</v>
      </c>
      <c r="J467" s="6" t="str">
        <f t="shared" si="49"/>
        <v>att_protein_mutation:frameshift</v>
      </c>
      <c r="L467" s="6" t="s">
        <v>2219</v>
      </c>
    </row>
    <row r="468" spans="3:12" x14ac:dyDescent="0.15">
      <c r="C468" s="6" t="s">
        <v>2689</v>
      </c>
      <c r="D468" s="6" t="s">
        <v>2238</v>
      </c>
      <c r="F468" s="6" t="s">
        <v>2687</v>
      </c>
      <c r="G468" s="6" t="s">
        <v>2688</v>
      </c>
      <c r="H468" s="6" t="str">
        <f t="shared" si="48"/>
        <v>att_protein_mutation</v>
      </c>
      <c r="I468" s="6" t="s">
        <v>2237</v>
      </c>
      <c r="J468" s="6" t="str">
        <f t="shared" si="49"/>
        <v>att_protein_mutation:substitution</v>
      </c>
      <c r="L468" s="6" t="s">
        <v>2239</v>
      </c>
    </row>
    <row r="469" spans="3:12" x14ac:dyDescent="0.15">
      <c r="C469" s="6" t="s">
        <v>2690</v>
      </c>
      <c r="D469" s="6" t="s">
        <v>2212</v>
      </c>
      <c r="F469" s="6" t="s">
        <v>2687</v>
      </c>
      <c r="G469" s="6" t="s">
        <v>2688</v>
      </c>
      <c r="H469" s="6" t="str">
        <f t="shared" si="48"/>
        <v>att_protein_mutation</v>
      </c>
      <c r="I469" s="6" t="s">
        <v>1201</v>
      </c>
      <c r="J469" s="6" t="str">
        <f t="shared" si="49"/>
        <v>att_protein_mutation:deletion</v>
      </c>
      <c r="L469" s="6" t="s">
        <v>2213</v>
      </c>
    </row>
    <row r="470" spans="3:12" x14ac:dyDescent="0.15">
      <c r="C470" s="6" t="s">
        <v>2229</v>
      </c>
      <c r="D470" s="6" t="s">
        <v>2230</v>
      </c>
      <c r="F470" s="6" t="s">
        <v>2687</v>
      </c>
      <c r="G470" s="6" t="s">
        <v>2688</v>
      </c>
      <c r="H470" s="6" t="str">
        <f t="shared" si="48"/>
        <v>att_protein_mutation</v>
      </c>
      <c r="I470" s="6" t="s">
        <v>2229</v>
      </c>
      <c r="J470" s="6" t="str">
        <f t="shared" si="49"/>
        <v>att_protein_mutation:insertion</v>
      </c>
      <c r="L470" s="6" t="s">
        <v>2231</v>
      </c>
    </row>
    <row r="471" spans="3:12" x14ac:dyDescent="0.15">
      <c r="C471" s="6" t="s">
        <v>2691</v>
      </c>
      <c r="D471" s="6" t="s">
        <v>2241</v>
      </c>
      <c r="F471" s="6" t="s">
        <v>2687</v>
      </c>
      <c r="G471" s="6" t="s">
        <v>2688</v>
      </c>
      <c r="H471" s="6" t="str">
        <f t="shared" si="48"/>
        <v>att_protein_mutation</v>
      </c>
      <c r="I471" s="6" t="s">
        <v>2240</v>
      </c>
      <c r="J471" s="6" t="str">
        <f t="shared" si="49"/>
        <v>att_protein_mutation:truncation</v>
      </c>
      <c r="L471" s="6" t="s">
        <v>2242</v>
      </c>
    </row>
    <row r="472" spans="3:12" x14ac:dyDescent="0.15">
      <c r="C472" s="6" t="s">
        <v>2692</v>
      </c>
      <c r="D472" s="6" t="s">
        <v>2215</v>
      </c>
      <c r="F472" s="6" t="s">
        <v>2687</v>
      </c>
      <c r="G472" s="6" t="s">
        <v>2688</v>
      </c>
      <c r="H472" s="6" t="str">
        <f t="shared" si="48"/>
        <v>att_protein_mutation</v>
      </c>
      <c r="I472" s="6" t="s">
        <v>2214</v>
      </c>
      <c r="J472" s="6" t="str">
        <f t="shared" si="49"/>
        <v>att_protein_mutation:flag</v>
      </c>
      <c r="L472" s="6" t="s">
        <v>2216</v>
      </c>
    </row>
    <row r="473" spans="3:12" x14ac:dyDescent="0.15">
      <c r="C473" s="6" t="s">
        <v>2693</v>
      </c>
      <c r="D473" s="6" t="s">
        <v>2224</v>
      </c>
      <c r="F473" s="6" t="s">
        <v>2687</v>
      </c>
      <c r="G473" s="6" t="s">
        <v>2688</v>
      </c>
      <c r="H473" s="6" t="str">
        <f t="shared" si="48"/>
        <v>att_protein_mutation</v>
      </c>
      <c r="I473" s="6" t="s">
        <v>2223</v>
      </c>
      <c r="J473" s="6" t="str">
        <f t="shared" si="49"/>
        <v>att_protein_mutation:ha</v>
      </c>
      <c r="L473" s="6" t="s">
        <v>2225</v>
      </c>
    </row>
    <row r="474" spans="3:12" x14ac:dyDescent="0.15">
      <c r="C474" s="6" t="s">
        <v>2694</v>
      </c>
      <c r="D474" s="6" t="s">
        <v>2233</v>
      </c>
      <c r="F474" s="6" t="s">
        <v>2687</v>
      </c>
      <c r="G474" s="6" t="s">
        <v>2688</v>
      </c>
      <c r="H474" s="6" t="str">
        <f t="shared" si="48"/>
        <v>att_protein_mutation</v>
      </c>
      <c r="I474" s="6" t="s">
        <v>2232</v>
      </c>
      <c r="J474" s="6" t="str">
        <f t="shared" si="49"/>
        <v>att_protein_mutation:myc</v>
      </c>
      <c r="L474" s="6" t="s">
        <v>2234</v>
      </c>
    </row>
    <row r="475" spans="3:12" x14ac:dyDescent="0.15">
      <c r="C475" s="6" t="s">
        <v>2695</v>
      </c>
      <c r="D475" s="6" t="s">
        <v>2221</v>
      </c>
      <c r="F475" s="6" t="s">
        <v>2687</v>
      </c>
      <c r="G475" s="6" t="s">
        <v>2688</v>
      </c>
      <c r="H475" s="6" t="str">
        <f t="shared" si="48"/>
        <v>att_protein_mutation</v>
      </c>
      <c r="I475" s="6" t="s">
        <v>2220</v>
      </c>
      <c r="J475" s="6" t="str">
        <f t="shared" si="49"/>
        <v>att_protein_mutation:gfp</v>
      </c>
      <c r="L475" s="6" t="s">
        <v>2222</v>
      </c>
    </row>
    <row r="476" spans="3:12" x14ac:dyDescent="0.15">
      <c r="C476" s="6" t="s">
        <v>2696</v>
      </c>
      <c r="D476" s="6" t="s">
        <v>2227</v>
      </c>
      <c r="F476" s="6" t="s">
        <v>2687</v>
      </c>
      <c r="G476" s="6" t="s">
        <v>2688</v>
      </c>
      <c r="H476" s="6" t="str">
        <f t="shared" si="48"/>
        <v>att_protein_mutation</v>
      </c>
      <c r="I476" s="6" t="s">
        <v>2226</v>
      </c>
      <c r="J476" s="6" t="str">
        <f t="shared" si="49"/>
        <v>att_protein_mutation:his</v>
      </c>
      <c r="L476" s="6" t="s">
        <v>2228</v>
      </c>
    </row>
    <row r="478" spans="3:12" x14ac:dyDescent="0.15">
      <c r="C478" s="6" t="s">
        <v>2697</v>
      </c>
      <c r="D478" s="6" t="s">
        <v>2250</v>
      </c>
      <c r="F478" s="6" t="s">
        <v>2698</v>
      </c>
      <c r="G478" s="6" t="s">
        <v>2699</v>
      </c>
      <c r="H478" s="6" t="str">
        <f>"att_"&amp;G478</f>
        <v>att_protein_position</v>
      </c>
      <c r="I478" s="6" t="s">
        <v>2249</v>
      </c>
      <c r="J478" s="6" t="str">
        <f>H478&amp;":"&amp;I478</f>
        <v>att_protein_position:nterm</v>
      </c>
      <c r="L478" s="6" t="s">
        <v>2251</v>
      </c>
    </row>
    <row r="479" spans="3:12" x14ac:dyDescent="0.15">
      <c r="C479" s="6" t="s">
        <v>2700</v>
      </c>
      <c r="D479" s="6" t="s">
        <v>2247</v>
      </c>
      <c r="F479" s="6" t="s">
        <v>2698</v>
      </c>
      <c r="G479" s="6" t="s">
        <v>2699</v>
      </c>
      <c r="H479" s="6" t="str">
        <f>"att_"&amp;G479</f>
        <v>att_protein_position</v>
      </c>
      <c r="I479" s="6" t="s">
        <v>2246</v>
      </c>
      <c r="J479" s="6" t="str">
        <f>H479&amp;":"&amp;I479</f>
        <v>att_protein_position:cterm</v>
      </c>
      <c r="L479" s="6" t="s">
        <v>2248</v>
      </c>
    </row>
    <row r="480" spans="3:12" x14ac:dyDescent="0.15">
      <c r="C480" s="6" t="s">
        <v>2243</v>
      </c>
      <c r="D480" s="6" t="s">
        <v>2244</v>
      </c>
      <c r="F480" s="6" t="s">
        <v>2698</v>
      </c>
      <c r="G480" s="6" t="s">
        <v>2699</v>
      </c>
      <c r="H480" s="6" t="str">
        <f>"att_"&amp;G480</f>
        <v>att_protein_position</v>
      </c>
      <c r="I480" s="6" t="s">
        <v>2243</v>
      </c>
      <c r="J480" s="6" t="str">
        <f>H480&amp;":"&amp;I480</f>
        <v>att_protein_position:aa</v>
      </c>
      <c r="L480" s="6" t="s">
        <v>2245</v>
      </c>
    </row>
    <row r="481" spans="3:12" x14ac:dyDescent="0.15">
      <c r="C481" s="6" t="s">
        <v>2252</v>
      </c>
      <c r="D481" s="6" t="s">
        <v>2253</v>
      </c>
      <c r="F481" s="6" t="s">
        <v>2698</v>
      </c>
      <c r="G481" s="6" t="s">
        <v>2699</v>
      </c>
      <c r="H481" s="6" t="str">
        <f>"att_"&amp;G481</f>
        <v>att_protein_position</v>
      </c>
      <c r="I481" s="6" t="s">
        <v>2252</v>
      </c>
      <c r="J481" s="6" t="str">
        <f>H481&amp;":"&amp;I481</f>
        <v>att_protein_position:region</v>
      </c>
      <c r="L481" s="6" t="s">
        <v>2254</v>
      </c>
    </row>
    <row r="485" spans="3:12" x14ac:dyDescent="0.15">
      <c r="C485" s="6" t="s">
        <v>2701</v>
      </c>
      <c r="D485" s="6" t="s">
        <v>203</v>
      </c>
      <c r="F485" s="6" t="s">
        <v>2702</v>
      </c>
      <c r="G485" s="6" t="s">
        <v>2243</v>
      </c>
      <c r="H485" s="6" t="s">
        <v>202</v>
      </c>
      <c r="I485" s="6" t="s">
        <v>201</v>
      </c>
      <c r="J485" s="6" t="str">
        <f t="shared" ref="J485:J503" si="50">H485&amp;":"&amp;I485</f>
        <v>att_aa:arginine</v>
      </c>
      <c r="L485" s="6" t="s">
        <v>204</v>
      </c>
    </row>
    <row r="486" spans="3:12" x14ac:dyDescent="0.15">
      <c r="C486" s="6" t="s">
        <v>2701</v>
      </c>
      <c r="D486" s="6" t="s">
        <v>206</v>
      </c>
      <c r="F486" s="6" t="s">
        <v>2702</v>
      </c>
      <c r="G486" s="6" t="s">
        <v>2243</v>
      </c>
      <c r="H486" s="6" t="s">
        <v>202</v>
      </c>
      <c r="I486" s="6" t="s">
        <v>205</v>
      </c>
      <c r="J486" s="6" t="str">
        <f t="shared" si="50"/>
        <v>att_aa:asparagine</v>
      </c>
      <c r="L486" s="6" t="s">
        <v>207</v>
      </c>
    </row>
    <row r="487" spans="3:12" x14ac:dyDescent="0.15">
      <c r="C487" s="6" t="s">
        <v>2701</v>
      </c>
      <c r="D487" s="6" t="s">
        <v>209</v>
      </c>
      <c r="F487" s="6" t="s">
        <v>2702</v>
      </c>
      <c r="G487" s="6" t="s">
        <v>2243</v>
      </c>
      <c r="H487" s="6" t="s">
        <v>202</v>
      </c>
      <c r="I487" s="6" t="s">
        <v>208</v>
      </c>
      <c r="J487" s="6" t="str">
        <f t="shared" si="50"/>
        <v>att_aa:asparticacid</v>
      </c>
      <c r="L487" s="6" t="s">
        <v>210</v>
      </c>
    </row>
    <row r="488" spans="3:12" x14ac:dyDescent="0.15">
      <c r="C488" s="6" t="s">
        <v>2701</v>
      </c>
      <c r="D488" s="6" t="s">
        <v>212</v>
      </c>
      <c r="F488" s="6" t="s">
        <v>2702</v>
      </c>
      <c r="G488" s="6" t="s">
        <v>2243</v>
      </c>
      <c r="H488" s="6" t="s">
        <v>202</v>
      </c>
      <c r="I488" s="6" t="s">
        <v>211</v>
      </c>
      <c r="J488" s="6" t="str">
        <f t="shared" si="50"/>
        <v>att_aa:cysteine</v>
      </c>
      <c r="L488" s="6" t="s">
        <v>213</v>
      </c>
    </row>
    <row r="489" spans="3:12" x14ac:dyDescent="0.15">
      <c r="C489" s="6" t="s">
        <v>2701</v>
      </c>
      <c r="D489" s="6" t="s">
        <v>215</v>
      </c>
      <c r="F489" s="6" t="s">
        <v>2702</v>
      </c>
      <c r="G489" s="6" t="s">
        <v>2243</v>
      </c>
      <c r="H489" s="6" t="s">
        <v>202</v>
      </c>
      <c r="I489" s="6" t="s">
        <v>214</v>
      </c>
      <c r="J489" s="6" t="str">
        <f t="shared" si="50"/>
        <v>att_aa:glutamicacid</v>
      </c>
      <c r="L489" s="6" t="s">
        <v>216</v>
      </c>
    </row>
    <row r="490" spans="3:12" x14ac:dyDescent="0.15">
      <c r="C490" s="6" t="s">
        <v>2701</v>
      </c>
      <c r="D490" s="6" t="s">
        <v>218</v>
      </c>
      <c r="F490" s="6" t="s">
        <v>2702</v>
      </c>
      <c r="G490" s="6" t="s">
        <v>2243</v>
      </c>
      <c r="H490" s="6" t="s">
        <v>202</v>
      </c>
      <c r="I490" s="6" t="s">
        <v>217</v>
      </c>
      <c r="J490" s="6" t="str">
        <f t="shared" si="50"/>
        <v>att_aa:glutamine</v>
      </c>
      <c r="L490" s="6" t="s">
        <v>219</v>
      </c>
    </row>
    <row r="491" spans="3:12" x14ac:dyDescent="0.15">
      <c r="C491" s="6" t="s">
        <v>2701</v>
      </c>
      <c r="D491" s="6" t="s">
        <v>221</v>
      </c>
      <c r="F491" s="6" t="s">
        <v>2702</v>
      </c>
      <c r="G491" s="6" t="s">
        <v>2243</v>
      </c>
      <c r="H491" s="6" t="s">
        <v>202</v>
      </c>
      <c r="I491" s="6" t="s">
        <v>220</v>
      </c>
      <c r="J491" s="6" t="str">
        <f t="shared" si="50"/>
        <v>att_aa:glycine</v>
      </c>
      <c r="L491" s="6" t="s">
        <v>222</v>
      </c>
    </row>
    <row r="492" spans="3:12" x14ac:dyDescent="0.15">
      <c r="C492" s="6" t="s">
        <v>2701</v>
      </c>
      <c r="D492" s="6" t="s">
        <v>224</v>
      </c>
      <c r="F492" s="6" t="s">
        <v>2702</v>
      </c>
      <c r="G492" s="6" t="s">
        <v>2243</v>
      </c>
      <c r="H492" s="6" t="s">
        <v>202</v>
      </c>
      <c r="I492" s="6" t="s">
        <v>223</v>
      </c>
      <c r="J492" s="6" t="str">
        <f t="shared" si="50"/>
        <v>att_aa:histidine</v>
      </c>
      <c r="L492" s="6" t="s">
        <v>225</v>
      </c>
    </row>
    <row r="493" spans="3:12" x14ac:dyDescent="0.15">
      <c r="C493" s="6" t="s">
        <v>2701</v>
      </c>
      <c r="D493" s="6" t="s">
        <v>227</v>
      </c>
      <c r="F493" s="6" t="s">
        <v>2702</v>
      </c>
      <c r="G493" s="6" t="s">
        <v>2243</v>
      </c>
      <c r="H493" s="6" t="s">
        <v>202</v>
      </c>
      <c r="I493" s="6" t="s">
        <v>226</v>
      </c>
      <c r="J493" s="6" t="str">
        <f t="shared" si="50"/>
        <v>att_aa:isoleucine</v>
      </c>
      <c r="L493" s="6" t="s">
        <v>228</v>
      </c>
    </row>
    <row r="494" spans="3:12" x14ac:dyDescent="0.15">
      <c r="C494" s="6" t="s">
        <v>2701</v>
      </c>
      <c r="D494" s="6" t="s">
        <v>230</v>
      </c>
      <c r="F494" s="6" t="s">
        <v>2702</v>
      </c>
      <c r="G494" s="6" t="s">
        <v>2243</v>
      </c>
      <c r="H494" s="6" t="s">
        <v>202</v>
      </c>
      <c r="I494" s="6" t="s">
        <v>229</v>
      </c>
      <c r="J494" s="6" t="str">
        <f t="shared" si="50"/>
        <v>att_aa:leucine</v>
      </c>
      <c r="L494" s="6" t="s">
        <v>231</v>
      </c>
    </row>
    <row r="495" spans="3:12" x14ac:dyDescent="0.15">
      <c r="C495" s="6" t="s">
        <v>2701</v>
      </c>
      <c r="D495" s="6" t="s">
        <v>233</v>
      </c>
      <c r="F495" s="6" t="s">
        <v>2702</v>
      </c>
      <c r="G495" s="6" t="s">
        <v>2243</v>
      </c>
      <c r="H495" s="6" t="s">
        <v>202</v>
      </c>
      <c r="I495" s="6" t="s">
        <v>232</v>
      </c>
      <c r="J495" s="6" t="str">
        <f t="shared" si="50"/>
        <v>att_aa:lysine</v>
      </c>
      <c r="L495" s="6" t="s">
        <v>234</v>
      </c>
    </row>
    <row r="496" spans="3:12" x14ac:dyDescent="0.15">
      <c r="C496" s="6" t="s">
        <v>2701</v>
      </c>
      <c r="D496" s="6" t="s">
        <v>236</v>
      </c>
      <c r="F496" s="6" t="s">
        <v>2702</v>
      </c>
      <c r="G496" s="6" t="s">
        <v>2243</v>
      </c>
      <c r="H496" s="6" t="s">
        <v>202</v>
      </c>
      <c r="I496" s="6" t="s">
        <v>235</v>
      </c>
      <c r="J496" s="6" t="str">
        <f t="shared" si="50"/>
        <v>att_aa:methionine</v>
      </c>
      <c r="L496" s="6" t="s">
        <v>237</v>
      </c>
    </row>
    <row r="497" spans="3:12" x14ac:dyDescent="0.15">
      <c r="C497" s="6" t="s">
        <v>2701</v>
      </c>
      <c r="D497" s="6" t="s">
        <v>239</v>
      </c>
      <c r="F497" s="6" t="s">
        <v>2702</v>
      </c>
      <c r="G497" s="6" t="s">
        <v>2243</v>
      </c>
      <c r="H497" s="6" t="s">
        <v>202</v>
      </c>
      <c r="I497" s="6" t="s">
        <v>238</v>
      </c>
      <c r="J497" s="6" t="str">
        <f t="shared" si="50"/>
        <v>att_aa:phenylalanine</v>
      </c>
      <c r="L497" s="6" t="s">
        <v>240</v>
      </c>
    </row>
    <row r="498" spans="3:12" x14ac:dyDescent="0.15">
      <c r="C498" s="6" t="s">
        <v>2701</v>
      </c>
      <c r="D498" s="6" t="s">
        <v>242</v>
      </c>
      <c r="F498" s="6" t="s">
        <v>2702</v>
      </c>
      <c r="G498" s="6" t="s">
        <v>2243</v>
      </c>
      <c r="H498" s="6" t="s">
        <v>202</v>
      </c>
      <c r="I498" s="6" t="s">
        <v>241</v>
      </c>
      <c r="J498" s="6" t="str">
        <f t="shared" si="50"/>
        <v>att_aa:proline</v>
      </c>
      <c r="L498" s="6" t="s">
        <v>243</v>
      </c>
    </row>
    <row r="499" spans="3:12" x14ac:dyDescent="0.15">
      <c r="C499" s="6" t="s">
        <v>2701</v>
      </c>
      <c r="D499" s="6" t="s">
        <v>245</v>
      </c>
      <c r="F499" s="6" t="s">
        <v>2702</v>
      </c>
      <c r="G499" s="6" t="s">
        <v>2243</v>
      </c>
      <c r="H499" s="6" t="s">
        <v>202</v>
      </c>
      <c r="I499" s="6" t="s">
        <v>244</v>
      </c>
      <c r="J499" s="6" t="str">
        <f t="shared" si="50"/>
        <v>att_aa:serine</v>
      </c>
      <c r="L499" s="6" t="s">
        <v>246</v>
      </c>
    </row>
    <row r="500" spans="3:12" x14ac:dyDescent="0.15">
      <c r="C500" s="6" t="s">
        <v>2701</v>
      </c>
      <c r="D500" s="6" t="s">
        <v>248</v>
      </c>
      <c r="F500" s="6" t="s">
        <v>2702</v>
      </c>
      <c r="G500" s="6" t="s">
        <v>2243</v>
      </c>
      <c r="H500" s="6" t="s">
        <v>202</v>
      </c>
      <c r="I500" s="6" t="s">
        <v>247</v>
      </c>
      <c r="J500" s="6" t="str">
        <f t="shared" si="50"/>
        <v>att_aa:threonine</v>
      </c>
      <c r="L500" s="6" t="s">
        <v>249</v>
      </c>
    </row>
    <row r="501" spans="3:12" x14ac:dyDescent="0.15">
      <c r="C501" s="6" t="s">
        <v>2701</v>
      </c>
      <c r="D501" s="6" t="s">
        <v>251</v>
      </c>
      <c r="F501" s="6" t="s">
        <v>2702</v>
      </c>
      <c r="G501" s="6" t="s">
        <v>2243</v>
      </c>
      <c r="H501" s="6" t="s">
        <v>202</v>
      </c>
      <c r="I501" s="6" t="s">
        <v>250</v>
      </c>
      <c r="J501" s="6" t="str">
        <f t="shared" si="50"/>
        <v>att_aa:tryptophan</v>
      </c>
      <c r="L501" s="6" t="s">
        <v>252</v>
      </c>
    </row>
    <row r="502" spans="3:12" x14ac:dyDescent="0.15">
      <c r="C502" s="6" t="s">
        <v>2701</v>
      </c>
      <c r="D502" s="6" t="s">
        <v>254</v>
      </c>
      <c r="F502" s="6" t="s">
        <v>2702</v>
      </c>
      <c r="G502" s="6" t="s">
        <v>2243</v>
      </c>
      <c r="H502" s="6" t="s">
        <v>202</v>
      </c>
      <c r="I502" s="6" t="s">
        <v>253</v>
      </c>
      <c r="J502" s="6" t="str">
        <f t="shared" si="50"/>
        <v>att_aa:tyrosine</v>
      </c>
      <c r="L502" s="6" t="s">
        <v>255</v>
      </c>
    </row>
    <row r="503" spans="3:12" x14ac:dyDescent="0.15">
      <c r="C503" s="6" t="s">
        <v>2701</v>
      </c>
      <c r="D503" s="6" t="s">
        <v>257</v>
      </c>
      <c r="F503" s="6" t="s">
        <v>2702</v>
      </c>
      <c r="G503" s="6" t="s">
        <v>2243</v>
      </c>
      <c r="H503" s="6" t="s">
        <v>202</v>
      </c>
      <c r="I503" s="6" t="s">
        <v>256</v>
      </c>
      <c r="J503" s="6" t="str">
        <f t="shared" si="50"/>
        <v>att_aa:valine</v>
      </c>
      <c r="L503" s="6" t="s">
        <v>258</v>
      </c>
    </row>
    <row r="507" spans="3:12" x14ac:dyDescent="0.15">
      <c r="C507" s="6" t="s">
        <v>2703</v>
      </c>
      <c r="D507" s="6">
        <v>126</v>
      </c>
      <c r="F507" s="6" t="s">
        <v>174</v>
      </c>
      <c r="G507" s="6" t="s">
        <v>2704</v>
      </c>
      <c r="H507" s="6" t="s">
        <v>173</v>
      </c>
      <c r="I507" s="6" t="str">
        <f t="shared" ref="I507:I516" si="51">"tmt10_"&amp;D507</f>
        <v>tmt10_126</v>
      </c>
      <c r="J507" s="6" t="str">
        <f t="shared" ref="J507:J516" si="52">H507&amp;":"&amp;I507</f>
        <v>att_tmt_channel:tmt10_126</v>
      </c>
    </row>
    <row r="508" spans="3:12" x14ac:dyDescent="0.15">
      <c r="C508" s="6" t="s">
        <v>2703</v>
      </c>
      <c r="D508" s="6" t="s">
        <v>2359</v>
      </c>
      <c r="F508" s="6" t="s">
        <v>174</v>
      </c>
      <c r="G508" s="6" t="s">
        <v>2704</v>
      </c>
      <c r="H508" s="6" t="s">
        <v>173</v>
      </c>
      <c r="I508" s="6" t="str">
        <f t="shared" si="51"/>
        <v>tmt10_127N</v>
      </c>
      <c r="J508" s="6" t="str">
        <f t="shared" si="52"/>
        <v>att_tmt_channel:tmt10_127N</v>
      </c>
    </row>
    <row r="509" spans="3:12" x14ac:dyDescent="0.15">
      <c r="C509" s="6" t="s">
        <v>2703</v>
      </c>
      <c r="D509" s="6" t="s">
        <v>2357</v>
      </c>
      <c r="F509" s="6" t="s">
        <v>174</v>
      </c>
      <c r="G509" s="6" t="s">
        <v>2704</v>
      </c>
      <c r="H509" s="6" t="s">
        <v>173</v>
      </c>
      <c r="I509" s="6" t="str">
        <f t="shared" si="51"/>
        <v>tmt10_127C</v>
      </c>
      <c r="J509" s="6" t="str">
        <f t="shared" si="52"/>
        <v>att_tmt_channel:tmt10_127C</v>
      </c>
    </row>
    <row r="510" spans="3:12" x14ac:dyDescent="0.15">
      <c r="C510" s="6" t="s">
        <v>2703</v>
      </c>
      <c r="D510" s="6" t="s">
        <v>2363</v>
      </c>
      <c r="F510" s="6" t="s">
        <v>174</v>
      </c>
      <c r="G510" s="6" t="s">
        <v>2704</v>
      </c>
      <c r="H510" s="6" t="s">
        <v>173</v>
      </c>
      <c r="I510" s="6" t="str">
        <f t="shared" si="51"/>
        <v>tmt10_128N</v>
      </c>
      <c r="J510" s="6" t="str">
        <f t="shared" si="52"/>
        <v>att_tmt_channel:tmt10_128N</v>
      </c>
    </row>
    <row r="511" spans="3:12" x14ac:dyDescent="0.15">
      <c r="C511" s="6" t="s">
        <v>2703</v>
      </c>
      <c r="D511" s="6" t="s">
        <v>2361</v>
      </c>
      <c r="F511" s="6" t="s">
        <v>174</v>
      </c>
      <c r="G511" s="6" t="s">
        <v>2704</v>
      </c>
      <c r="H511" s="6" t="s">
        <v>173</v>
      </c>
      <c r="I511" s="6" t="str">
        <f t="shared" si="51"/>
        <v>tmt10_128C</v>
      </c>
      <c r="J511" s="6" t="str">
        <f t="shared" si="52"/>
        <v>att_tmt_channel:tmt10_128C</v>
      </c>
    </row>
    <row r="512" spans="3:12" x14ac:dyDescent="0.15">
      <c r="C512" s="6" t="s">
        <v>2703</v>
      </c>
      <c r="D512" s="6" t="s">
        <v>2367</v>
      </c>
      <c r="F512" s="6" t="s">
        <v>174</v>
      </c>
      <c r="G512" s="6" t="s">
        <v>2704</v>
      </c>
      <c r="H512" s="6" t="s">
        <v>173</v>
      </c>
      <c r="I512" s="6" t="str">
        <f t="shared" si="51"/>
        <v>tmt10_129N</v>
      </c>
      <c r="J512" s="6" t="str">
        <f t="shared" si="52"/>
        <v>att_tmt_channel:tmt10_129N</v>
      </c>
    </row>
    <row r="513" spans="3:10" x14ac:dyDescent="0.15">
      <c r="C513" s="6" t="s">
        <v>2703</v>
      </c>
      <c r="D513" s="6" t="s">
        <v>2365</v>
      </c>
      <c r="F513" s="6" t="s">
        <v>174</v>
      </c>
      <c r="G513" s="6" t="s">
        <v>2704</v>
      </c>
      <c r="H513" s="6" t="s">
        <v>173</v>
      </c>
      <c r="I513" s="6" t="str">
        <f t="shared" si="51"/>
        <v>tmt10_129C</v>
      </c>
      <c r="J513" s="6" t="str">
        <f t="shared" si="52"/>
        <v>att_tmt_channel:tmt10_129C</v>
      </c>
    </row>
    <row r="514" spans="3:10" x14ac:dyDescent="0.15">
      <c r="C514" s="6" t="s">
        <v>2703</v>
      </c>
      <c r="D514" s="6" t="s">
        <v>2371</v>
      </c>
      <c r="F514" s="6" t="s">
        <v>174</v>
      </c>
      <c r="G514" s="6" t="s">
        <v>2704</v>
      </c>
      <c r="H514" s="6" t="s">
        <v>173</v>
      </c>
      <c r="I514" s="6" t="str">
        <f t="shared" si="51"/>
        <v>tmt10_130N</v>
      </c>
      <c r="J514" s="6" t="str">
        <f t="shared" si="52"/>
        <v>att_tmt_channel:tmt10_130N</v>
      </c>
    </row>
    <row r="515" spans="3:10" x14ac:dyDescent="0.15">
      <c r="C515" s="6" t="s">
        <v>2703</v>
      </c>
      <c r="D515" s="6" t="s">
        <v>2369</v>
      </c>
      <c r="F515" s="6" t="s">
        <v>174</v>
      </c>
      <c r="G515" s="6" t="s">
        <v>2704</v>
      </c>
      <c r="H515" s="6" t="s">
        <v>173</v>
      </c>
      <c r="I515" s="6" t="str">
        <f t="shared" si="51"/>
        <v>tmt10_130C</v>
      </c>
      <c r="J515" s="6" t="str">
        <f t="shared" si="52"/>
        <v>att_tmt_channel:tmt10_130C</v>
      </c>
    </row>
    <row r="516" spans="3:10" x14ac:dyDescent="0.15">
      <c r="C516" s="6" t="s">
        <v>2703</v>
      </c>
      <c r="D516" s="6">
        <v>131</v>
      </c>
      <c r="F516" s="6" t="s">
        <v>174</v>
      </c>
      <c r="G516" s="6" t="s">
        <v>2704</v>
      </c>
      <c r="H516" s="6" t="s">
        <v>173</v>
      </c>
      <c r="I516" s="6" t="str">
        <f t="shared" si="51"/>
        <v>tmt10_131</v>
      </c>
      <c r="J516" s="6" t="str">
        <f t="shared" si="52"/>
        <v>att_tmt_channel:tmt10_131</v>
      </c>
    </row>
    <row r="518" spans="3:10" x14ac:dyDescent="0.15">
      <c r="C518" s="6" t="s">
        <v>2703</v>
      </c>
      <c r="D518" s="6">
        <v>126</v>
      </c>
      <c r="F518" s="6" t="s">
        <v>2705</v>
      </c>
      <c r="G518" s="6" t="s">
        <v>2704</v>
      </c>
      <c r="H518" s="6" t="s">
        <v>173</v>
      </c>
      <c r="I518" s="6" t="str">
        <f t="shared" ref="I518:I528" si="53">"tmt11_"&amp;D518</f>
        <v>tmt11_126</v>
      </c>
      <c r="J518" s="6" t="str">
        <f t="shared" ref="J518:J528" si="54">H518&amp;":"&amp;I518</f>
        <v>att_tmt_channel:tmt11_126</v>
      </c>
    </row>
    <row r="519" spans="3:10" x14ac:dyDescent="0.15">
      <c r="C519" s="6" t="s">
        <v>2703</v>
      </c>
      <c r="D519" s="6" t="s">
        <v>2359</v>
      </c>
      <c r="F519" s="6" t="s">
        <v>2705</v>
      </c>
      <c r="G519" s="6" t="s">
        <v>2704</v>
      </c>
      <c r="H519" s="6" t="s">
        <v>173</v>
      </c>
      <c r="I519" s="6" t="str">
        <f t="shared" si="53"/>
        <v>tmt11_127N</v>
      </c>
      <c r="J519" s="6" t="str">
        <f t="shared" si="54"/>
        <v>att_tmt_channel:tmt11_127N</v>
      </c>
    </row>
    <row r="520" spans="3:10" x14ac:dyDescent="0.15">
      <c r="C520" s="6" t="s">
        <v>2703</v>
      </c>
      <c r="D520" s="6" t="s">
        <v>2357</v>
      </c>
      <c r="F520" s="6" t="s">
        <v>2705</v>
      </c>
      <c r="G520" s="6" t="s">
        <v>2704</v>
      </c>
      <c r="H520" s="6" t="s">
        <v>173</v>
      </c>
      <c r="I520" s="6" t="str">
        <f t="shared" si="53"/>
        <v>tmt11_127C</v>
      </c>
      <c r="J520" s="6" t="str">
        <f t="shared" si="54"/>
        <v>att_tmt_channel:tmt11_127C</v>
      </c>
    </row>
    <row r="521" spans="3:10" x14ac:dyDescent="0.15">
      <c r="C521" s="6" t="s">
        <v>2703</v>
      </c>
      <c r="D521" s="6" t="s">
        <v>2363</v>
      </c>
      <c r="F521" s="6" t="s">
        <v>2705</v>
      </c>
      <c r="G521" s="6" t="s">
        <v>2704</v>
      </c>
      <c r="H521" s="6" t="s">
        <v>173</v>
      </c>
      <c r="I521" s="6" t="str">
        <f t="shared" si="53"/>
        <v>tmt11_128N</v>
      </c>
      <c r="J521" s="6" t="str">
        <f t="shared" si="54"/>
        <v>att_tmt_channel:tmt11_128N</v>
      </c>
    </row>
    <row r="522" spans="3:10" x14ac:dyDescent="0.15">
      <c r="C522" s="6" t="s">
        <v>2703</v>
      </c>
      <c r="D522" s="6" t="s">
        <v>2361</v>
      </c>
      <c r="F522" s="6" t="s">
        <v>2705</v>
      </c>
      <c r="G522" s="6" t="s">
        <v>2704</v>
      </c>
      <c r="H522" s="6" t="s">
        <v>173</v>
      </c>
      <c r="I522" s="6" t="str">
        <f t="shared" si="53"/>
        <v>tmt11_128C</v>
      </c>
      <c r="J522" s="6" t="str">
        <f t="shared" si="54"/>
        <v>att_tmt_channel:tmt11_128C</v>
      </c>
    </row>
    <row r="523" spans="3:10" x14ac:dyDescent="0.15">
      <c r="C523" s="6" t="s">
        <v>2703</v>
      </c>
      <c r="D523" s="6" t="s">
        <v>2367</v>
      </c>
      <c r="F523" s="6" t="s">
        <v>2705</v>
      </c>
      <c r="G523" s="6" t="s">
        <v>2704</v>
      </c>
      <c r="H523" s="6" t="s">
        <v>173</v>
      </c>
      <c r="I523" s="6" t="str">
        <f t="shared" si="53"/>
        <v>tmt11_129N</v>
      </c>
      <c r="J523" s="6" t="str">
        <f t="shared" si="54"/>
        <v>att_tmt_channel:tmt11_129N</v>
      </c>
    </row>
    <row r="524" spans="3:10" x14ac:dyDescent="0.15">
      <c r="C524" s="6" t="s">
        <v>2703</v>
      </c>
      <c r="D524" s="6" t="s">
        <v>2365</v>
      </c>
      <c r="F524" s="6" t="s">
        <v>2705</v>
      </c>
      <c r="G524" s="6" t="s">
        <v>2704</v>
      </c>
      <c r="H524" s="6" t="s">
        <v>173</v>
      </c>
      <c r="I524" s="6" t="str">
        <f t="shared" si="53"/>
        <v>tmt11_129C</v>
      </c>
      <c r="J524" s="6" t="str">
        <f t="shared" si="54"/>
        <v>att_tmt_channel:tmt11_129C</v>
      </c>
    </row>
    <row r="525" spans="3:10" x14ac:dyDescent="0.15">
      <c r="C525" s="6" t="s">
        <v>2703</v>
      </c>
      <c r="D525" s="6" t="s">
        <v>2371</v>
      </c>
      <c r="F525" s="6" t="s">
        <v>2705</v>
      </c>
      <c r="G525" s="6" t="s">
        <v>2704</v>
      </c>
      <c r="H525" s="6" t="s">
        <v>173</v>
      </c>
      <c r="I525" s="6" t="str">
        <f t="shared" si="53"/>
        <v>tmt11_130N</v>
      </c>
      <c r="J525" s="6" t="str">
        <f t="shared" si="54"/>
        <v>att_tmt_channel:tmt11_130N</v>
      </c>
    </row>
    <row r="526" spans="3:10" x14ac:dyDescent="0.15">
      <c r="C526" s="6" t="s">
        <v>2703</v>
      </c>
      <c r="D526" s="6" t="s">
        <v>2369</v>
      </c>
      <c r="F526" s="6" t="s">
        <v>2705</v>
      </c>
      <c r="G526" s="6" t="s">
        <v>2704</v>
      </c>
      <c r="H526" s="6" t="s">
        <v>173</v>
      </c>
      <c r="I526" s="6" t="str">
        <f t="shared" si="53"/>
        <v>tmt11_130C</v>
      </c>
      <c r="J526" s="6" t="str">
        <f t="shared" si="54"/>
        <v>att_tmt_channel:tmt11_130C</v>
      </c>
    </row>
    <row r="527" spans="3:10" x14ac:dyDescent="0.15">
      <c r="C527" s="6" t="s">
        <v>2703</v>
      </c>
      <c r="D527" s="6" t="s">
        <v>2385</v>
      </c>
      <c r="F527" s="6" t="s">
        <v>2705</v>
      </c>
      <c r="G527" s="6" t="s">
        <v>2704</v>
      </c>
      <c r="H527" s="6" t="s">
        <v>173</v>
      </c>
      <c r="I527" s="6" t="str">
        <f t="shared" si="53"/>
        <v>tmt11_131N</v>
      </c>
      <c r="J527" s="6" t="str">
        <f t="shared" si="54"/>
        <v>att_tmt_channel:tmt11_131N</v>
      </c>
    </row>
    <row r="528" spans="3:10" x14ac:dyDescent="0.15">
      <c r="C528" s="6" t="s">
        <v>2703</v>
      </c>
      <c r="D528" s="6" t="s">
        <v>2383</v>
      </c>
      <c r="F528" s="6" t="s">
        <v>2705</v>
      </c>
      <c r="G528" s="6" t="s">
        <v>2704</v>
      </c>
      <c r="H528" s="6" t="s">
        <v>173</v>
      </c>
      <c r="I528" s="6" t="str">
        <f t="shared" si="53"/>
        <v>tmt11_131C</v>
      </c>
      <c r="J528" s="6" t="str">
        <f t="shared" si="54"/>
        <v>att_tmt_channel:tmt11_131C</v>
      </c>
    </row>
    <row r="531" spans="3:10" x14ac:dyDescent="0.15">
      <c r="C531" s="6" t="s">
        <v>2703</v>
      </c>
      <c r="D531" s="6">
        <v>126</v>
      </c>
      <c r="F531" s="6" t="s">
        <v>2706</v>
      </c>
      <c r="G531" s="6" t="s">
        <v>2704</v>
      </c>
      <c r="H531" s="6" t="s">
        <v>173</v>
      </c>
      <c r="I531" s="6" t="str">
        <f t="shared" ref="I531:I536" si="55">"tmt6_"&amp;D531</f>
        <v>tmt6_126</v>
      </c>
      <c r="J531" s="6" t="str">
        <f t="shared" ref="J531:J536" si="56">H531&amp;":"&amp;I531</f>
        <v>att_tmt_channel:tmt6_126</v>
      </c>
    </row>
    <row r="532" spans="3:10" x14ac:dyDescent="0.15">
      <c r="C532" s="6" t="s">
        <v>2703</v>
      </c>
      <c r="D532" s="6">
        <v>127</v>
      </c>
      <c r="F532" s="6" t="s">
        <v>2706</v>
      </c>
      <c r="G532" s="6" t="s">
        <v>2704</v>
      </c>
      <c r="H532" s="6" t="s">
        <v>173</v>
      </c>
      <c r="I532" s="6" t="str">
        <f t="shared" si="55"/>
        <v>tmt6_127</v>
      </c>
      <c r="J532" s="6" t="str">
        <f t="shared" si="56"/>
        <v>att_tmt_channel:tmt6_127</v>
      </c>
    </row>
    <row r="533" spans="3:10" x14ac:dyDescent="0.15">
      <c r="C533" s="6" t="s">
        <v>2703</v>
      </c>
      <c r="D533" s="6">
        <v>128</v>
      </c>
      <c r="F533" s="6" t="s">
        <v>2706</v>
      </c>
      <c r="G533" s="6" t="s">
        <v>2704</v>
      </c>
      <c r="H533" s="6" t="s">
        <v>173</v>
      </c>
      <c r="I533" s="6" t="str">
        <f t="shared" si="55"/>
        <v>tmt6_128</v>
      </c>
      <c r="J533" s="6" t="str">
        <f t="shared" si="56"/>
        <v>att_tmt_channel:tmt6_128</v>
      </c>
    </row>
    <row r="534" spans="3:10" x14ac:dyDescent="0.15">
      <c r="C534" s="6" t="s">
        <v>2703</v>
      </c>
      <c r="D534" s="6">
        <v>129</v>
      </c>
      <c r="F534" s="6" t="s">
        <v>2706</v>
      </c>
      <c r="G534" s="6" t="s">
        <v>2704</v>
      </c>
      <c r="H534" s="6" t="s">
        <v>173</v>
      </c>
      <c r="I534" s="6" t="str">
        <f t="shared" si="55"/>
        <v>tmt6_129</v>
      </c>
      <c r="J534" s="6" t="str">
        <f t="shared" si="56"/>
        <v>att_tmt_channel:tmt6_129</v>
      </c>
    </row>
    <row r="535" spans="3:10" x14ac:dyDescent="0.15">
      <c r="C535" s="6" t="s">
        <v>2703</v>
      </c>
      <c r="D535" s="6">
        <v>130</v>
      </c>
      <c r="F535" s="6" t="s">
        <v>2706</v>
      </c>
      <c r="G535" s="6" t="s">
        <v>2704</v>
      </c>
      <c r="H535" s="6" t="s">
        <v>173</v>
      </c>
      <c r="I535" s="6" t="str">
        <f t="shared" si="55"/>
        <v>tmt6_130</v>
      </c>
      <c r="J535" s="6" t="str">
        <f t="shared" si="56"/>
        <v>att_tmt_channel:tmt6_130</v>
      </c>
    </row>
    <row r="536" spans="3:10" x14ac:dyDescent="0.15">
      <c r="C536" s="6" t="s">
        <v>2703</v>
      </c>
      <c r="D536" s="6">
        <v>131</v>
      </c>
      <c r="F536" s="6" t="s">
        <v>2706</v>
      </c>
      <c r="G536" s="6" t="s">
        <v>2704</v>
      </c>
      <c r="H536" s="6" t="s">
        <v>173</v>
      </c>
      <c r="I536" s="6" t="str">
        <f t="shared" si="55"/>
        <v>tmt6_131</v>
      </c>
      <c r="J536" s="6" t="str">
        <f t="shared" si="56"/>
        <v>att_tmt_channel:tmt6_131</v>
      </c>
    </row>
    <row r="539" spans="3:10" x14ac:dyDescent="0.15">
      <c r="C539" s="6" t="s">
        <v>2703</v>
      </c>
      <c r="D539" s="6">
        <v>126</v>
      </c>
      <c r="F539" s="6" t="s">
        <v>2707</v>
      </c>
      <c r="G539" s="6" t="s">
        <v>2704</v>
      </c>
      <c r="H539" s="6" t="s">
        <v>173</v>
      </c>
      <c r="I539" s="6" t="str">
        <f t="shared" ref="I539:I556" si="57">"tmt18_"&amp;D539</f>
        <v>tmt18_126</v>
      </c>
      <c r="J539" s="6" t="str">
        <f t="shared" ref="J539:J556" si="58">H539&amp;":"&amp;I539</f>
        <v>att_tmt_channel:tmt18_126</v>
      </c>
    </row>
    <row r="540" spans="3:10" x14ac:dyDescent="0.15">
      <c r="C540" s="6" t="s">
        <v>2703</v>
      </c>
      <c r="D540" s="6" t="s">
        <v>2359</v>
      </c>
      <c r="F540" s="6" t="s">
        <v>2707</v>
      </c>
      <c r="G540" s="6" t="s">
        <v>2704</v>
      </c>
      <c r="H540" s="6" t="s">
        <v>173</v>
      </c>
      <c r="I540" s="6" t="str">
        <f t="shared" si="57"/>
        <v>tmt18_127N</v>
      </c>
      <c r="J540" s="6" t="str">
        <f t="shared" si="58"/>
        <v>att_tmt_channel:tmt18_127N</v>
      </c>
    </row>
    <row r="541" spans="3:10" x14ac:dyDescent="0.15">
      <c r="C541" s="6" t="s">
        <v>2703</v>
      </c>
      <c r="D541" s="6" t="s">
        <v>2357</v>
      </c>
      <c r="F541" s="6" t="s">
        <v>2707</v>
      </c>
      <c r="G541" s="6" t="s">
        <v>2704</v>
      </c>
      <c r="H541" s="6" t="s">
        <v>173</v>
      </c>
      <c r="I541" s="6" t="str">
        <f t="shared" si="57"/>
        <v>tmt18_127C</v>
      </c>
      <c r="J541" s="6" t="str">
        <f t="shared" si="58"/>
        <v>att_tmt_channel:tmt18_127C</v>
      </c>
    </row>
    <row r="542" spans="3:10" x14ac:dyDescent="0.15">
      <c r="C542" s="6" t="s">
        <v>2703</v>
      </c>
      <c r="D542" s="6" t="s">
        <v>2363</v>
      </c>
      <c r="F542" s="6" t="s">
        <v>2707</v>
      </c>
      <c r="G542" s="6" t="s">
        <v>2704</v>
      </c>
      <c r="H542" s="6" t="s">
        <v>173</v>
      </c>
      <c r="I542" s="6" t="str">
        <f t="shared" si="57"/>
        <v>tmt18_128N</v>
      </c>
      <c r="J542" s="6" t="str">
        <f t="shared" si="58"/>
        <v>att_tmt_channel:tmt18_128N</v>
      </c>
    </row>
    <row r="543" spans="3:10" x14ac:dyDescent="0.15">
      <c r="C543" s="6" t="s">
        <v>2703</v>
      </c>
      <c r="D543" s="6" t="s">
        <v>2361</v>
      </c>
      <c r="F543" s="6" t="s">
        <v>2707</v>
      </c>
      <c r="G543" s="6" t="s">
        <v>2704</v>
      </c>
      <c r="H543" s="6" t="s">
        <v>173</v>
      </c>
      <c r="I543" s="6" t="str">
        <f t="shared" si="57"/>
        <v>tmt18_128C</v>
      </c>
      <c r="J543" s="6" t="str">
        <f t="shared" si="58"/>
        <v>att_tmt_channel:tmt18_128C</v>
      </c>
    </row>
    <row r="544" spans="3:10" x14ac:dyDescent="0.15">
      <c r="C544" s="6" t="s">
        <v>2703</v>
      </c>
      <c r="D544" s="6" t="s">
        <v>2367</v>
      </c>
      <c r="F544" s="6" t="s">
        <v>2707</v>
      </c>
      <c r="G544" s="6" t="s">
        <v>2704</v>
      </c>
      <c r="H544" s="6" t="s">
        <v>173</v>
      </c>
      <c r="I544" s="6" t="str">
        <f t="shared" si="57"/>
        <v>tmt18_129N</v>
      </c>
      <c r="J544" s="6" t="str">
        <f t="shared" si="58"/>
        <v>att_tmt_channel:tmt18_129N</v>
      </c>
    </row>
    <row r="545" spans="3:10" x14ac:dyDescent="0.15">
      <c r="C545" s="6" t="s">
        <v>2703</v>
      </c>
      <c r="D545" s="6" t="s">
        <v>2365</v>
      </c>
      <c r="F545" s="6" t="s">
        <v>2707</v>
      </c>
      <c r="G545" s="6" t="s">
        <v>2704</v>
      </c>
      <c r="H545" s="6" t="s">
        <v>173</v>
      </c>
      <c r="I545" s="6" t="str">
        <f t="shared" si="57"/>
        <v>tmt18_129C</v>
      </c>
      <c r="J545" s="6" t="str">
        <f t="shared" si="58"/>
        <v>att_tmt_channel:tmt18_129C</v>
      </c>
    </row>
    <row r="546" spans="3:10" x14ac:dyDescent="0.15">
      <c r="C546" s="6" t="s">
        <v>2703</v>
      </c>
      <c r="D546" s="6" t="s">
        <v>2371</v>
      </c>
      <c r="F546" s="6" t="s">
        <v>2707</v>
      </c>
      <c r="G546" s="6" t="s">
        <v>2704</v>
      </c>
      <c r="H546" s="6" t="s">
        <v>173</v>
      </c>
      <c r="I546" s="6" t="str">
        <f t="shared" si="57"/>
        <v>tmt18_130N</v>
      </c>
      <c r="J546" s="6" t="str">
        <f t="shared" si="58"/>
        <v>att_tmt_channel:tmt18_130N</v>
      </c>
    </row>
    <row r="547" spans="3:10" x14ac:dyDescent="0.15">
      <c r="C547" s="6" t="s">
        <v>2703</v>
      </c>
      <c r="D547" s="6" t="s">
        <v>2369</v>
      </c>
      <c r="F547" s="6" t="s">
        <v>2707</v>
      </c>
      <c r="G547" s="6" t="s">
        <v>2704</v>
      </c>
      <c r="H547" s="6" t="s">
        <v>173</v>
      </c>
      <c r="I547" s="6" t="str">
        <f t="shared" si="57"/>
        <v>tmt18_130C</v>
      </c>
      <c r="J547" s="6" t="str">
        <f t="shared" si="58"/>
        <v>att_tmt_channel:tmt18_130C</v>
      </c>
    </row>
    <row r="548" spans="3:10" x14ac:dyDescent="0.15">
      <c r="C548" s="6" t="s">
        <v>2703</v>
      </c>
      <c r="D548" s="6" t="s">
        <v>2385</v>
      </c>
      <c r="F548" s="6" t="s">
        <v>2707</v>
      </c>
      <c r="G548" s="6" t="s">
        <v>2704</v>
      </c>
      <c r="H548" s="6" t="s">
        <v>173</v>
      </c>
      <c r="I548" s="6" t="str">
        <f t="shared" si="57"/>
        <v>tmt18_131N</v>
      </c>
      <c r="J548" s="6" t="str">
        <f t="shared" si="58"/>
        <v>att_tmt_channel:tmt18_131N</v>
      </c>
    </row>
    <row r="549" spans="3:10" x14ac:dyDescent="0.15">
      <c r="C549" s="6" t="s">
        <v>2703</v>
      </c>
      <c r="D549" s="6" t="s">
        <v>2383</v>
      </c>
      <c r="F549" s="6" t="s">
        <v>2707</v>
      </c>
      <c r="G549" s="6" t="s">
        <v>2704</v>
      </c>
      <c r="H549" s="6" t="s">
        <v>173</v>
      </c>
      <c r="I549" s="6" t="str">
        <f t="shared" si="57"/>
        <v>tmt18_131C</v>
      </c>
      <c r="J549" s="6" t="str">
        <f t="shared" si="58"/>
        <v>att_tmt_channel:tmt18_131C</v>
      </c>
    </row>
    <row r="550" spans="3:10" x14ac:dyDescent="0.15">
      <c r="C550" s="6" t="s">
        <v>2703</v>
      </c>
      <c r="D550" s="6" t="s">
        <v>2400</v>
      </c>
      <c r="F550" s="6" t="s">
        <v>2707</v>
      </c>
      <c r="G550" s="6" t="s">
        <v>2704</v>
      </c>
      <c r="H550" s="6" t="s">
        <v>173</v>
      </c>
      <c r="I550" s="6" t="str">
        <f t="shared" si="57"/>
        <v>tmt18_132N</v>
      </c>
      <c r="J550" s="6" t="str">
        <f t="shared" si="58"/>
        <v>att_tmt_channel:tmt18_132N</v>
      </c>
    </row>
    <row r="551" spans="3:10" x14ac:dyDescent="0.15">
      <c r="C551" s="6" t="s">
        <v>2703</v>
      </c>
      <c r="D551" s="6" t="s">
        <v>2398</v>
      </c>
      <c r="F551" s="6" t="s">
        <v>2707</v>
      </c>
      <c r="G551" s="6" t="s">
        <v>2704</v>
      </c>
      <c r="H551" s="6" t="s">
        <v>173</v>
      </c>
      <c r="I551" s="6" t="str">
        <f t="shared" si="57"/>
        <v>tmt18_132C</v>
      </c>
      <c r="J551" s="6" t="str">
        <f t="shared" si="58"/>
        <v>att_tmt_channel:tmt18_132C</v>
      </c>
    </row>
    <row r="552" spans="3:10" x14ac:dyDescent="0.15">
      <c r="C552" s="6" t="s">
        <v>2703</v>
      </c>
      <c r="D552" s="6" t="s">
        <v>2404</v>
      </c>
      <c r="F552" s="6" t="s">
        <v>2707</v>
      </c>
      <c r="G552" s="6" t="s">
        <v>2704</v>
      </c>
      <c r="H552" s="6" t="s">
        <v>173</v>
      </c>
      <c r="I552" s="6" t="str">
        <f t="shared" si="57"/>
        <v>tmt18_133N</v>
      </c>
      <c r="J552" s="6" t="str">
        <f t="shared" si="58"/>
        <v>att_tmt_channel:tmt18_133N</v>
      </c>
    </row>
    <row r="553" spans="3:10" x14ac:dyDescent="0.15">
      <c r="C553" s="6" t="s">
        <v>2703</v>
      </c>
      <c r="D553" s="6" t="s">
        <v>2402</v>
      </c>
      <c r="F553" s="6" t="s">
        <v>2707</v>
      </c>
      <c r="G553" s="6" t="s">
        <v>2704</v>
      </c>
      <c r="H553" s="6" t="s">
        <v>173</v>
      </c>
      <c r="I553" s="6" t="str">
        <f t="shared" si="57"/>
        <v>tmt18_133C</v>
      </c>
      <c r="J553" s="6" t="str">
        <f t="shared" si="58"/>
        <v>att_tmt_channel:tmt18_133C</v>
      </c>
    </row>
    <row r="554" spans="3:10" x14ac:dyDescent="0.15">
      <c r="C554" s="6" t="s">
        <v>2703</v>
      </c>
      <c r="D554" s="6" t="s">
        <v>2408</v>
      </c>
      <c r="F554" s="6" t="s">
        <v>2707</v>
      </c>
      <c r="G554" s="6" t="s">
        <v>2704</v>
      </c>
      <c r="H554" s="6" t="s">
        <v>173</v>
      </c>
      <c r="I554" s="6" t="str">
        <f t="shared" si="57"/>
        <v>tmt18_134N</v>
      </c>
      <c r="J554" s="6" t="str">
        <f t="shared" si="58"/>
        <v>att_tmt_channel:tmt18_134N</v>
      </c>
    </row>
    <row r="555" spans="3:10" x14ac:dyDescent="0.15">
      <c r="C555" s="6" t="s">
        <v>2703</v>
      </c>
      <c r="D555" s="6" t="s">
        <v>2406</v>
      </c>
      <c r="F555" s="6" t="s">
        <v>2707</v>
      </c>
      <c r="G555" s="6" t="s">
        <v>2704</v>
      </c>
      <c r="H555" s="6" t="s">
        <v>173</v>
      </c>
      <c r="I555" s="6" t="str">
        <f t="shared" si="57"/>
        <v>tmt18_134C</v>
      </c>
      <c r="J555" s="6" t="str">
        <f t="shared" si="58"/>
        <v>att_tmt_channel:tmt18_134C</v>
      </c>
    </row>
    <row r="556" spans="3:10" x14ac:dyDescent="0.15">
      <c r="C556" s="6" t="s">
        <v>2703</v>
      </c>
      <c r="D556" s="6" t="s">
        <v>2410</v>
      </c>
      <c r="F556" s="6" t="s">
        <v>2707</v>
      </c>
      <c r="G556" s="6" t="s">
        <v>2704</v>
      </c>
      <c r="H556" s="6" t="s">
        <v>173</v>
      </c>
      <c r="I556" s="6" t="str">
        <f t="shared" si="57"/>
        <v>tmt18_135N</v>
      </c>
      <c r="J556" s="6" t="str">
        <f t="shared" si="58"/>
        <v>att_tmt_channel:tmt18_135N</v>
      </c>
    </row>
    <row r="562" spans="3:10" x14ac:dyDescent="0.15">
      <c r="C562" s="6" t="s">
        <v>2708</v>
      </c>
      <c r="D562" s="6" t="s">
        <v>2430</v>
      </c>
      <c r="F562" s="6" t="s">
        <v>2709</v>
      </c>
      <c r="G562" s="6" t="s">
        <v>2710</v>
      </c>
      <c r="H562" s="6" t="s">
        <v>2711</v>
      </c>
      <c r="I562" s="6" t="s">
        <v>2429</v>
      </c>
      <c r="J562" s="6" t="str">
        <f>H562&amp;":"&amp;I562</f>
        <v>att_user_group:mitoprotea</v>
      </c>
    </row>
    <row r="563" spans="3:10" x14ac:dyDescent="0.15">
      <c r="C563" s="6" t="s">
        <v>2708</v>
      </c>
      <c r="D563" s="6" t="s">
        <v>2433</v>
      </c>
      <c r="F563" s="6" t="s">
        <v>2709</v>
      </c>
      <c r="G563" s="6" t="s">
        <v>2710</v>
      </c>
      <c r="H563" s="6" t="s">
        <v>2711</v>
      </c>
      <c r="I563" s="6" t="s">
        <v>2432</v>
      </c>
      <c r="J563" s="6" t="str">
        <f>H563&amp;":"&amp;I563</f>
        <v>att_user_group:molageing</v>
      </c>
    </row>
    <row r="566" spans="3:10" x14ac:dyDescent="0.15">
      <c r="C566" s="6" t="s">
        <v>2712</v>
      </c>
      <c r="D566" s="6" t="s">
        <v>2424</v>
      </c>
      <c r="F566" s="6" t="s">
        <v>181</v>
      </c>
      <c r="G566" s="6" t="s">
        <v>2713</v>
      </c>
      <c r="H566" s="6" t="s">
        <v>180</v>
      </c>
      <c r="I566" s="6" t="s">
        <v>2423</v>
      </c>
      <c r="J566" s="6" t="str">
        <f>H566&amp;":"&amp;I566</f>
        <v>att_user_institute:mpiage</v>
      </c>
    </row>
    <row r="567" spans="3:10" x14ac:dyDescent="0.15">
      <c r="C567" s="6" t="s">
        <v>2712</v>
      </c>
      <c r="D567" s="6" t="s">
        <v>2421</v>
      </c>
      <c r="F567" s="6" t="s">
        <v>181</v>
      </c>
      <c r="G567" s="6" t="s">
        <v>2713</v>
      </c>
      <c r="H567" s="6" t="s">
        <v>180</v>
      </c>
      <c r="I567" s="6" t="s">
        <v>2420</v>
      </c>
      <c r="J567" s="6" t="str">
        <f>H567&amp;":"&amp;I567</f>
        <v>att_user_institute:cecad</v>
      </c>
    </row>
    <row r="568" spans="3:10" x14ac:dyDescent="0.15">
      <c r="C568" s="6" t="s">
        <v>2712</v>
      </c>
      <c r="D568" s="6" t="s">
        <v>2427</v>
      </c>
      <c r="F568" s="6" t="s">
        <v>181</v>
      </c>
      <c r="G568" s="6" t="s">
        <v>2713</v>
      </c>
      <c r="H568" s="6" t="s">
        <v>180</v>
      </c>
      <c r="I568" s="6" t="s">
        <v>2426</v>
      </c>
      <c r="J568" s="6" t="str">
        <f>H568&amp;":"&amp;I568</f>
        <v>att_user_institute:mpimetab</v>
      </c>
    </row>
    <row r="569" spans="3:10" x14ac:dyDescent="0.15">
      <c r="C569" s="6" t="s">
        <v>2712</v>
      </c>
      <c r="D569" s="6" t="s">
        <v>2418</v>
      </c>
      <c r="F569" s="6" t="s">
        <v>181</v>
      </c>
      <c r="G569" s="6" t="s">
        <v>2713</v>
      </c>
      <c r="H569" s="6" t="s">
        <v>180</v>
      </c>
      <c r="I569" s="6" t="s">
        <v>2417</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2714</v>
      </c>
    </row>
    <row r="3" spans="1:2" x14ac:dyDescent="0.15">
      <c r="A3">
        <v>-2</v>
      </c>
      <c r="B3" t="s">
        <v>2715</v>
      </c>
    </row>
    <row r="4" spans="1:2" x14ac:dyDescent="0.15">
      <c r="A4">
        <v>-1</v>
      </c>
      <c r="B4" t="s">
        <v>2716</v>
      </c>
    </row>
    <row r="5" spans="1:2" x14ac:dyDescent="0.15">
      <c r="A5">
        <v>0</v>
      </c>
      <c r="B5" t="s">
        <v>2717</v>
      </c>
    </row>
    <row r="6" spans="1:2" x14ac:dyDescent="0.15">
      <c r="A6">
        <v>1</v>
      </c>
      <c r="B6" t="s">
        <v>2718</v>
      </c>
    </row>
    <row r="7" spans="1:2" x14ac:dyDescent="0.15">
      <c r="A7">
        <v>2</v>
      </c>
      <c r="B7" t="s">
        <v>2719</v>
      </c>
    </row>
    <row r="8" spans="1:2" x14ac:dyDescent="0.15">
      <c r="A8">
        <v>3</v>
      </c>
      <c r="B8" t="s">
        <v>2720</v>
      </c>
    </row>
    <row r="9" spans="1:2" x14ac:dyDescent="0.15">
      <c r="A9">
        <v>4</v>
      </c>
      <c r="B9" t="s">
        <v>2721</v>
      </c>
    </row>
    <row r="10" spans="1:2" x14ac:dyDescent="0.15">
      <c r="A10">
        <v>5</v>
      </c>
      <c r="B10" t="s">
        <v>2722</v>
      </c>
    </row>
    <row r="12" spans="1:2" x14ac:dyDescent="0.15">
      <c r="B12" t="s">
        <v>2723</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2026-03-23T14:44:26Z</dcterms:modified>
  <dc:language>en-GB</dc:language>
</cp:coreProperties>
</file>