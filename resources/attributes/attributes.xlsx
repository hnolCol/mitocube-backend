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2DD8C414-5585-6B40-86B4-C9E160B6F7F2}" xr6:coauthVersionLast="47" xr6:coauthVersionMax="47" xr10:uidLastSave="{00000000-0000-0000-0000-000000000000}"/>
  <bookViews>
    <workbookView xWindow="4360" yWindow="2360" windowWidth="35840" windowHeight="1962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attributes!$A$1:$AMF$129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6" i="2" l="1"/>
  <c r="Z99" i="1"/>
  <c r="Y99" i="1"/>
  <c r="X99" i="1"/>
  <c r="W99" i="1"/>
  <c r="V99" i="1"/>
  <c r="U99" i="1"/>
  <c r="T99" i="1"/>
  <c r="S99" i="1"/>
  <c r="S136" i="1"/>
  <c r="W110" i="1"/>
  <c r="V110" i="1"/>
  <c r="T110" i="1"/>
  <c r="S110" i="1" s="1"/>
  <c r="Z109" i="1"/>
  <c r="Y109" i="1"/>
  <c r="X109" i="1"/>
  <c r="W109" i="1"/>
  <c r="V109" i="1"/>
  <c r="T109" i="1"/>
  <c r="Z106" i="1"/>
  <c r="Y106" i="1"/>
  <c r="X106" i="1"/>
  <c r="W106" i="1"/>
  <c r="V106" i="1"/>
  <c r="T106" i="1"/>
  <c r="Z108" i="1"/>
  <c r="Y108" i="1"/>
  <c r="X108" i="1"/>
  <c r="W108" i="1"/>
  <c r="V108" i="1"/>
  <c r="T108" i="1"/>
  <c r="Z107" i="1"/>
  <c r="Y107" i="1"/>
  <c r="X107" i="1"/>
  <c r="W107" i="1"/>
  <c r="V107" i="1"/>
  <c r="T107" i="1"/>
  <c r="Z105" i="1"/>
  <c r="Y105" i="1"/>
  <c r="X105" i="1"/>
  <c r="W105" i="1"/>
  <c r="V105" i="1"/>
  <c r="T105" i="1"/>
  <c r="Z104" i="1"/>
  <c r="Y104" i="1"/>
  <c r="X104" i="1"/>
  <c r="W104" i="1"/>
  <c r="V104" i="1"/>
  <c r="T104"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3" i="1"/>
  <c r="V103" i="1"/>
  <c r="W103" i="1"/>
  <c r="X103" i="1"/>
  <c r="Y103" i="1"/>
  <c r="Z103" i="1"/>
  <c r="W129" i="1"/>
  <c r="W130" i="1"/>
  <c r="W114" i="1"/>
  <c r="W54" i="1"/>
  <c r="W55" i="1"/>
  <c r="W6" i="1"/>
  <c r="W56" i="1"/>
  <c r="W57" i="1"/>
  <c r="W58" i="1"/>
  <c r="W59" i="1"/>
  <c r="W60" i="1"/>
  <c r="W61" i="1"/>
  <c r="W123" i="1"/>
  <c r="W124" i="1"/>
  <c r="W66" i="1"/>
  <c r="W115" i="1"/>
  <c r="W7" i="1"/>
  <c r="W37" i="1"/>
  <c r="W38" i="1"/>
  <c r="W79" i="1"/>
  <c r="W80" i="1"/>
  <c r="W81" i="1"/>
  <c r="W82" i="1"/>
  <c r="W83" i="1"/>
  <c r="W62" i="1"/>
  <c r="W97" i="1"/>
  <c r="W84" i="1"/>
  <c r="W85" i="1"/>
  <c r="W119" i="1"/>
  <c r="W63" i="1"/>
  <c r="W116" i="1"/>
  <c r="W32" i="1"/>
  <c r="W33" i="1"/>
  <c r="W125" i="1"/>
  <c r="W131" i="1"/>
  <c r="W132" i="1"/>
  <c r="W133" i="1"/>
  <c r="W134" i="1"/>
  <c r="W64" i="1"/>
  <c r="W92" i="1"/>
  <c r="W86" i="1"/>
  <c r="W87" i="1"/>
  <c r="W88" i="1"/>
  <c r="W89" i="1"/>
  <c r="W117" i="1"/>
  <c r="W65" i="1"/>
  <c r="W8" i="1"/>
  <c r="W9" i="1"/>
  <c r="W10" i="1"/>
  <c r="W11" i="1"/>
  <c r="W12" i="1"/>
  <c r="W13" i="1"/>
  <c r="W14" i="1"/>
  <c r="W15" i="1"/>
  <c r="W16" i="1"/>
  <c r="W17" i="1"/>
  <c r="Z100" i="1"/>
  <c r="Z101" i="1"/>
  <c r="Z102" i="1"/>
  <c r="Z68" i="1"/>
  <c r="Z69" i="1"/>
  <c r="Z126" i="1"/>
  <c r="Z93" i="1"/>
  <c r="Z118" i="1"/>
  <c r="Z29" i="1"/>
  <c r="Z70" i="1"/>
  <c r="Z71" i="1"/>
  <c r="Z30" i="1"/>
  <c r="Z120" i="1"/>
  <c r="Z72" i="1"/>
  <c r="Z73" i="1"/>
  <c r="Z39" i="1"/>
  <c r="Z2" i="1"/>
  <c r="Z74" i="1"/>
  <c r="Z75" i="1"/>
  <c r="Z94" i="1"/>
  <c r="Z3" i="1"/>
  <c r="Z76" i="1"/>
  <c r="Z34" i="1"/>
  <c r="Z40" i="1"/>
  <c r="Z41" i="1"/>
  <c r="Z95" i="1"/>
  <c r="Z42" i="1"/>
  <c r="Z43" i="1"/>
  <c r="Z4" i="1"/>
  <c r="Z44" i="1"/>
  <c r="Z121" i="1"/>
  <c r="Z5" i="1"/>
  <c r="Z31" i="1"/>
  <c r="Z127" i="1"/>
  <c r="Z45" i="1"/>
  <c r="Z77" i="1"/>
  <c r="Z46" i="1"/>
  <c r="Z111" i="1"/>
  <c r="Z128" i="1"/>
  <c r="Z113" i="1"/>
  <c r="Z35" i="1"/>
  <c r="Z96" i="1"/>
  <c r="Z90" i="1"/>
  <c r="Z91" i="1"/>
  <c r="Z47" i="1"/>
  <c r="Z67" i="1"/>
  <c r="Z48" i="1"/>
  <c r="Z78" i="1"/>
  <c r="Z49" i="1"/>
  <c r="Z50" i="1"/>
  <c r="Z112" i="1"/>
  <c r="Z51" i="1"/>
  <c r="Z52" i="1"/>
  <c r="Z53" i="1"/>
  <c r="Z122" i="1"/>
  <c r="Z36" i="1"/>
  <c r="Z129" i="1"/>
  <c r="Z130" i="1"/>
  <c r="Z114" i="1"/>
  <c r="Z54" i="1"/>
  <c r="Z55" i="1"/>
  <c r="Z6" i="1"/>
  <c r="Z56" i="1"/>
  <c r="Z57" i="1"/>
  <c r="Z58" i="1"/>
  <c r="Z59" i="1"/>
  <c r="Z60" i="1"/>
  <c r="Z61" i="1"/>
  <c r="Z123" i="1"/>
  <c r="Z124" i="1"/>
  <c r="Z66" i="1"/>
  <c r="Z115" i="1"/>
  <c r="Z7" i="1"/>
  <c r="Z37" i="1"/>
  <c r="Z38" i="1"/>
  <c r="Z79" i="1"/>
  <c r="Z80" i="1"/>
  <c r="Z81" i="1"/>
  <c r="Z82" i="1"/>
  <c r="Z83" i="1"/>
  <c r="Z62" i="1"/>
  <c r="Z97" i="1"/>
  <c r="Z84" i="1"/>
  <c r="Z85" i="1"/>
  <c r="Z119" i="1"/>
  <c r="Z63" i="1"/>
  <c r="Z116" i="1"/>
  <c r="Z32" i="1"/>
  <c r="Z33" i="1"/>
  <c r="Z125" i="1"/>
  <c r="Z131" i="1"/>
  <c r="Z132" i="1"/>
  <c r="Z133" i="1"/>
  <c r="Z134" i="1"/>
  <c r="Z64" i="1"/>
  <c r="Z92" i="1"/>
  <c r="Z86" i="1"/>
  <c r="Z87" i="1"/>
  <c r="Z88" i="1"/>
  <c r="Z89" i="1"/>
  <c r="Z117" i="1"/>
  <c r="Z65" i="1"/>
  <c r="Z8" i="1"/>
  <c r="Z9" i="1"/>
  <c r="Z10" i="1"/>
  <c r="Z11" i="1"/>
  <c r="Z12" i="1"/>
  <c r="Z13" i="1"/>
  <c r="Z14" i="1"/>
  <c r="Z15" i="1"/>
  <c r="Z16" i="1"/>
  <c r="Z17" i="1"/>
  <c r="Y100" i="1"/>
  <c r="Y101" i="1"/>
  <c r="Y102" i="1"/>
  <c r="Y68" i="1"/>
  <c r="Y69" i="1"/>
  <c r="Y126" i="1"/>
  <c r="Y93" i="1"/>
  <c r="Y118" i="1"/>
  <c r="Y29" i="1"/>
  <c r="Y70" i="1"/>
  <c r="Y71" i="1"/>
  <c r="Y30" i="1"/>
  <c r="Y120" i="1"/>
  <c r="Y72" i="1"/>
  <c r="Y73" i="1"/>
  <c r="Y39" i="1"/>
  <c r="Y2" i="1"/>
  <c r="Y74" i="1"/>
  <c r="Y75" i="1"/>
  <c r="Y94" i="1"/>
  <c r="Y3" i="1"/>
  <c r="Y76" i="1"/>
  <c r="Y34" i="1"/>
  <c r="Y40" i="1"/>
  <c r="Y41" i="1"/>
  <c r="Y95" i="1"/>
  <c r="Y42" i="1"/>
  <c r="Y43" i="1"/>
  <c r="Y4" i="1"/>
  <c r="Y44" i="1"/>
  <c r="Y121" i="1"/>
  <c r="Y5" i="1"/>
  <c r="Y31" i="1"/>
  <c r="Y127" i="1"/>
  <c r="Y135" i="1"/>
  <c r="Y45" i="1"/>
  <c r="Y77" i="1"/>
  <c r="Y46" i="1"/>
  <c r="Y111" i="1"/>
  <c r="Y128" i="1"/>
  <c r="Y113" i="1"/>
  <c r="Y35" i="1"/>
  <c r="Y96" i="1"/>
  <c r="Y90" i="1"/>
  <c r="Y91" i="1"/>
  <c r="Y47" i="1"/>
  <c r="Y67" i="1"/>
  <c r="Y48" i="1"/>
  <c r="Y78" i="1"/>
  <c r="Y49" i="1"/>
  <c r="Y50" i="1"/>
  <c r="Y112" i="1"/>
  <c r="Y51" i="1"/>
  <c r="Y52" i="1"/>
  <c r="Y53" i="1"/>
  <c r="Y122" i="1"/>
  <c r="Y36" i="1"/>
  <c r="Y129" i="1"/>
  <c r="Y130" i="1"/>
  <c r="Y114" i="1"/>
  <c r="Y54" i="1"/>
  <c r="Y55" i="1"/>
  <c r="Y6" i="1"/>
  <c r="Y56" i="1"/>
  <c r="Y57" i="1"/>
  <c r="Y58" i="1"/>
  <c r="Y59" i="1"/>
  <c r="Y60" i="1"/>
  <c r="Y61" i="1"/>
  <c r="Y123" i="1"/>
  <c r="Y124" i="1"/>
  <c r="Y66" i="1"/>
  <c r="Y115" i="1"/>
  <c r="Y7" i="1"/>
  <c r="Y37" i="1"/>
  <c r="Y38" i="1"/>
  <c r="Y79" i="1"/>
  <c r="Y80" i="1"/>
  <c r="Y81" i="1"/>
  <c r="Y82" i="1"/>
  <c r="Y83" i="1"/>
  <c r="Y62" i="1"/>
  <c r="Y97" i="1"/>
  <c r="Y84" i="1"/>
  <c r="Y85" i="1"/>
  <c r="Y119" i="1"/>
  <c r="Y63" i="1"/>
  <c r="Y116" i="1"/>
  <c r="Y32" i="1"/>
  <c r="Y33" i="1"/>
  <c r="Y125" i="1"/>
  <c r="Y131" i="1"/>
  <c r="Y132" i="1"/>
  <c r="Y133" i="1"/>
  <c r="Y134" i="1"/>
  <c r="Y64" i="1"/>
  <c r="Y92" i="1"/>
  <c r="Y86" i="1"/>
  <c r="Y87" i="1"/>
  <c r="Y88" i="1"/>
  <c r="Y89" i="1"/>
  <c r="Y117" i="1"/>
  <c r="Y65" i="1"/>
  <c r="Y8" i="1"/>
  <c r="Y9" i="1"/>
  <c r="Y10" i="1"/>
  <c r="Y11" i="1"/>
  <c r="Y12" i="1"/>
  <c r="Y13" i="1"/>
  <c r="Y14" i="1"/>
  <c r="Y15" i="1"/>
  <c r="Y16" i="1"/>
  <c r="Y17" i="1"/>
  <c r="X100" i="1"/>
  <c r="X101" i="1"/>
  <c r="X102" i="1"/>
  <c r="X68" i="1"/>
  <c r="X69" i="1"/>
  <c r="X126" i="1"/>
  <c r="X93" i="1"/>
  <c r="X118" i="1"/>
  <c r="X29" i="1"/>
  <c r="X70" i="1"/>
  <c r="X71" i="1"/>
  <c r="X30" i="1"/>
  <c r="X120" i="1"/>
  <c r="X72" i="1"/>
  <c r="X73" i="1"/>
  <c r="X39" i="1"/>
  <c r="X2" i="1"/>
  <c r="X74" i="1"/>
  <c r="X75" i="1"/>
  <c r="X94" i="1"/>
  <c r="X3" i="1"/>
  <c r="X76" i="1"/>
  <c r="X34" i="1"/>
  <c r="X40" i="1"/>
  <c r="X41" i="1"/>
  <c r="X95" i="1"/>
  <c r="X42" i="1"/>
  <c r="X43" i="1"/>
  <c r="X4" i="1"/>
  <c r="X44" i="1"/>
  <c r="X121" i="1"/>
  <c r="X5" i="1"/>
  <c r="X31" i="1"/>
  <c r="X127" i="1"/>
  <c r="X135" i="1"/>
  <c r="X45" i="1"/>
  <c r="X77" i="1"/>
  <c r="X46" i="1"/>
  <c r="X111" i="1"/>
  <c r="X128" i="1"/>
  <c r="X113" i="1"/>
  <c r="X35" i="1"/>
  <c r="X96" i="1"/>
  <c r="X90" i="1"/>
  <c r="X91" i="1"/>
  <c r="X47" i="1"/>
  <c r="X67" i="1"/>
  <c r="X48" i="1"/>
  <c r="X78" i="1"/>
  <c r="X49" i="1"/>
  <c r="X50" i="1"/>
  <c r="X112" i="1"/>
  <c r="X51" i="1"/>
  <c r="X52" i="1"/>
  <c r="X53" i="1"/>
  <c r="X122" i="1"/>
  <c r="X36" i="1"/>
  <c r="X129" i="1"/>
  <c r="X130" i="1"/>
  <c r="X114" i="1"/>
  <c r="X54" i="1"/>
  <c r="X55" i="1"/>
  <c r="X6" i="1"/>
  <c r="X56" i="1"/>
  <c r="X57" i="1"/>
  <c r="X58" i="1"/>
  <c r="X59" i="1"/>
  <c r="X60" i="1"/>
  <c r="X61" i="1"/>
  <c r="X123" i="1"/>
  <c r="X124" i="1"/>
  <c r="X66" i="1"/>
  <c r="X115" i="1"/>
  <c r="X7" i="1"/>
  <c r="X37" i="1"/>
  <c r="X38" i="1"/>
  <c r="X79" i="1"/>
  <c r="X80" i="1"/>
  <c r="X81" i="1"/>
  <c r="X82" i="1"/>
  <c r="X83" i="1"/>
  <c r="X62" i="1"/>
  <c r="X97" i="1"/>
  <c r="X84" i="1"/>
  <c r="X85" i="1"/>
  <c r="X119" i="1"/>
  <c r="X63" i="1"/>
  <c r="X116" i="1"/>
  <c r="X32" i="1"/>
  <c r="X33" i="1"/>
  <c r="X125" i="1"/>
  <c r="X131" i="1"/>
  <c r="X132" i="1"/>
  <c r="X133" i="1"/>
  <c r="X134" i="1"/>
  <c r="X64" i="1"/>
  <c r="X92" i="1"/>
  <c r="X86" i="1"/>
  <c r="X87" i="1"/>
  <c r="X88" i="1"/>
  <c r="X89" i="1"/>
  <c r="X117" i="1"/>
  <c r="X65" i="1"/>
  <c r="X8" i="1"/>
  <c r="X9" i="1"/>
  <c r="X10" i="1"/>
  <c r="X11" i="1"/>
  <c r="X12" i="1"/>
  <c r="X13" i="1"/>
  <c r="X14" i="1"/>
  <c r="X15" i="1"/>
  <c r="X16" i="1"/>
  <c r="X17" i="1"/>
  <c r="W100" i="1"/>
  <c r="W101" i="1"/>
  <c r="W102" i="1"/>
  <c r="W68" i="1"/>
  <c r="W69" i="1"/>
  <c r="W126" i="1"/>
  <c r="W93" i="1"/>
  <c r="W118" i="1"/>
  <c r="W29" i="1"/>
  <c r="W70" i="1"/>
  <c r="W71" i="1"/>
  <c r="W30" i="1"/>
  <c r="W120" i="1"/>
  <c r="W72" i="1"/>
  <c r="W73" i="1"/>
  <c r="W39" i="1"/>
  <c r="W2" i="1"/>
  <c r="W74" i="1"/>
  <c r="W75" i="1"/>
  <c r="W94" i="1"/>
  <c r="W3" i="1"/>
  <c r="W76" i="1"/>
  <c r="W34" i="1"/>
  <c r="W40" i="1"/>
  <c r="W41" i="1"/>
  <c r="W95" i="1"/>
  <c r="W42" i="1"/>
  <c r="W43" i="1"/>
  <c r="W4" i="1"/>
  <c r="W44" i="1"/>
  <c r="W121" i="1"/>
  <c r="W5" i="1"/>
  <c r="W31" i="1"/>
  <c r="W127" i="1"/>
  <c r="W135" i="1"/>
  <c r="W45" i="1"/>
  <c r="W77" i="1"/>
  <c r="W46" i="1"/>
  <c r="W111" i="1"/>
  <c r="W128" i="1"/>
  <c r="W113" i="1"/>
  <c r="W35" i="1"/>
  <c r="W96" i="1"/>
  <c r="W90" i="1"/>
  <c r="W91" i="1"/>
  <c r="W47" i="1"/>
  <c r="W67" i="1"/>
  <c r="W48" i="1"/>
  <c r="W78" i="1"/>
  <c r="W49" i="1"/>
  <c r="W50" i="1"/>
  <c r="W112" i="1"/>
  <c r="W51" i="1"/>
  <c r="W52" i="1"/>
  <c r="W53" i="1"/>
  <c r="W122" i="1"/>
  <c r="W36" i="1"/>
  <c r="V100" i="1"/>
  <c r="V101" i="1"/>
  <c r="V102" i="1"/>
  <c r="V68" i="1"/>
  <c r="V69" i="1"/>
  <c r="V126" i="1"/>
  <c r="V93" i="1"/>
  <c r="V118" i="1"/>
  <c r="V29" i="1"/>
  <c r="V70" i="1"/>
  <c r="V71" i="1"/>
  <c r="V30" i="1"/>
  <c r="V120" i="1"/>
  <c r="V72" i="1"/>
  <c r="V73" i="1"/>
  <c r="V39" i="1"/>
  <c r="V2" i="1"/>
  <c r="V74" i="1"/>
  <c r="V75" i="1"/>
  <c r="V94" i="1"/>
  <c r="V3" i="1"/>
  <c r="V76" i="1"/>
  <c r="V34" i="1"/>
  <c r="V40" i="1"/>
  <c r="V41" i="1"/>
  <c r="V95" i="1"/>
  <c r="V42" i="1"/>
  <c r="V43" i="1"/>
  <c r="V4" i="1"/>
  <c r="V44" i="1"/>
  <c r="V121" i="1"/>
  <c r="V5" i="1"/>
  <c r="V31" i="1"/>
  <c r="V127" i="1"/>
  <c r="V135" i="1"/>
  <c r="V45" i="1"/>
  <c r="V77" i="1"/>
  <c r="V46" i="1"/>
  <c r="V111" i="1"/>
  <c r="V128" i="1"/>
  <c r="V113" i="1"/>
  <c r="V35" i="1"/>
  <c r="V96" i="1"/>
  <c r="V90" i="1"/>
  <c r="V91" i="1"/>
  <c r="V47" i="1"/>
  <c r="V67" i="1"/>
  <c r="V48" i="1"/>
  <c r="V78" i="1"/>
  <c r="V49" i="1"/>
  <c r="V50" i="1"/>
  <c r="V112" i="1"/>
  <c r="V51" i="1"/>
  <c r="V52" i="1"/>
  <c r="V53" i="1"/>
  <c r="V122" i="1"/>
  <c r="V36" i="1"/>
  <c r="V129" i="1"/>
  <c r="V130" i="1"/>
  <c r="V114" i="1"/>
  <c r="V54" i="1"/>
  <c r="V55" i="1"/>
  <c r="V6" i="1"/>
  <c r="V56" i="1"/>
  <c r="V57" i="1"/>
  <c r="V58" i="1"/>
  <c r="V59" i="1"/>
  <c r="V60" i="1"/>
  <c r="V61" i="1"/>
  <c r="V123" i="1"/>
  <c r="V124" i="1"/>
  <c r="V66" i="1"/>
  <c r="V115" i="1"/>
  <c r="V7" i="1"/>
  <c r="V37" i="1"/>
  <c r="V38" i="1"/>
  <c r="V79" i="1"/>
  <c r="V80" i="1"/>
  <c r="V81" i="1"/>
  <c r="V82" i="1"/>
  <c r="V83" i="1"/>
  <c r="V62" i="1"/>
  <c r="V97" i="1"/>
  <c r="V84" i="1"/>
  <c r="V85" i="1"/>
  <c r="V119" i="1"/>
  <c r="V63" i="1"/>
  <c r="V116" i="1"/>
  <c r="V32" i="1"/>
  <c r="V33" i="1"/>
  <c r="V125" i="1"/>
  <c r="V131" i="1"/>
  <c r="V132" i="1"/>
  <c r="V133" i="1"/>
  <c r="V134" i="1"/>
  <c r="V64" i="1"/>
  <c r="V92" i="1"/>
  <c r="V86" i="1"/>
  <c r="V87" i="1"/>
  <c r="V88" i="1"/>
  <c r="V89" i="1"/>
  <c r="V117" i="1"/>
  <c r="V65" i="1"/>
  <c r="V8" i="1"/>
  <c r="V9" i="1"/>
  <c r="V10" i="1"/>
  <c r="V11" i="1"/>
  <c r="V12" i="1"/>
  <c r="V13" i="1"/>
  <c r="V14" i="1"/>
  <c r="V15" i="1"/>
  <c r="V16" i="1"/>
  <c r="V17" i="1"/>
  <c r="U100" i="1"/>
  <c r="U101" i="1"/>
  <c r="U102" i="1"/>
  <c r="U68" i="1"/>
  <c r="U69" i="1"/>
  <c r="U126" i="1"/>
  <c r="U93" i="1"/>
  <c r="U118" i="1"/>
  <c r="U29" i="1"/>
  <c r="U70" i="1"/>
  <c r="U71" i="1"/>
  <c r="U30" i="1"/>
  <c r="U120" i="1"/>
  <c r="U72" i="1"/>
  <c r="U73" i="1"/>
  <c r="U39" i="1"/>
  <c r="U2" i="1"/>
  <c r="U74" i="1"/>
  <c r="U75" i="1"/>
  <c r="U94" i="1"/>
  <c r="U3" i="1"/>
  <c r="U76" i="1"/>
  <c r="U34" i="1"/>
  <c r="U40" i="1"/>
  <c r="U41" i="1"/>
  <c r="U95" i="1"/>
  <c r="U42" i="1"/>
  <c r="U43" i="1"/>
  <c r="U4" i="1"/>
  <c r="U44" i="1"/>
  <c r="U121" i="1"/>
  <c r="U5" i="1"/>
  <c r="U31" i="1"/>
  <c r="U127" i="1"/>
  <c r="U135" i="1"/>
  <c r="U45" i="1"/>
  <c r="U77" i="1"/>
  <c r="U46" i="1"/>
  <c r="U111" i="1"/>
  <c r="U128" i="1"/>
  <c r="U113" i="1"/>
  <c r="U35" i="1"/>
  <c r="U96" i="1"/>
  <c r="U90" i="1"/>
  <c r="U91" i="1"/>
  <c r="U47" i="1"/>
  <c r="U67" i="1"/>
  <c r="U48" i="1"/>
  <c r="U78" i="1"/>
  <c r="U49" i="1"/>
  <c r="U50" i="1"/>
  <c r="U112" i="1"/>
  <c r="U51" i="1"/>
  <c r="U52" i="1"/>
  <c r="U53" i="1"/>
  <c r="U122" i="1"/>
  <c r="U36" i="1"/>
  <c r="U129" i="1"/>
  <c r="U130" i="1"/>
  <c r="U114" i="1"/>
  <c r="U54" i="1"/>
  <c r="U55" i="1"/>
  <c r="U6" i="1"/>
  <c r="U56" i="1"/>
  <c r="U57" i="1"/>
  <c r="U58" i="1"/>
  <c r="U59" i="1"/>
  <c r="U60" i="1"/>
  <c r="U61" i="1"/>
  <c r="U123" i="1"/>
  <c r="U124" i="1"/>
  <c r="U66" i="1"/>
  <c r="U115" i="1"/>
  <c r="U7" i="1"/>
  <c r="U37" i="1"/>
  <c r="U38" i="1"/>
  <c r="U79" i="1"/>
  <c r="U80" i="1"/>
  <c r="U81" i="1"/>
  <c r="U82" i="1"/>
  <c r="U83" i="1"/>
  <c r="U62" i="1"/>
  <c r="U97" i="1"/>
  <c r="U84" i="1"/>
  <c r="U85" i="1"/>
  <c r="U119" i="1"/>
  <c r="U63" i="1"/>
  <c r="U116" i="1"/>
  <c r="U32" i="1"/>
  <c r="U33" i="1"/>
  <c r="U125" i="1"/>
  <c r="U131" i="1"/>
  <c r="U132" i="1"/>
  <c r="U133" i="1"/>
  <c r="U134" i="1"/>
  <c r="U64" i="1"/>
  <c r="U92" i="1"/>
  <c r="U86" i="1"/>
  <c r="U87" i="1"/>
  <c r="U88" i="1"/>
  <c r="U89" i="1"/>
  <c r="U117" i="1"/>
  <c r="U65" i="1"/>
  <c r="U8" i="1"/>
  <c r="U9" i="1"/>
  <c r="U10" i="1"/>
  <c r="U11" i="1"/>
  <c r="U12" i="1"/>
  <c r="U13" i="1"/>
  <c r="U14" i="1"/>
  <c r="U15" i="1"/>
  <c r="U16" i="1"/>
  <c r="U17" i="1"/>
  <c r="C882" i="2"/>
  <c r="C881" i="2"/>
  <c r="C875" i="2"/>
  <c r="C880" i="2"/>
  <c r="C373" i="2"/>
  <c r="S105" i="1" l="1"/>
  <c r="S107" i="1"/>
  <c r="S106" i="1"/>
  <c r="S109" i="1"/>
  <c r="S108" i="1"/>
  <c r="S18" i="1"/>
  <c r="S20" i="1"/>
  <c r="S19" i="1"/>
  <c r="S104" i="1"/>
  <c r="S26" i="1"/>
  <c r="S28" i="1"/>
  <c r="S27" i="1"/>
  <c r="S21" i="1"/>
  <c r="S22" i="1"/>
  <c r="S103" i="1"/>
  <c r="S24" i="1"/>
  <c r="S23" i="1"/>
  <c r="S25" i="1"/>
  <c r="T69" i="1"/>
  <c r="T126" i="1"/>
  <c r="T93" i="1"/>
  <c r="T118" i="1"/>
  <c r="T29" i="1"/>
  <c r="S29" i="1" s="1"/>
  <c r="T70" i="1"/>
  <c r="S70" i="1" s="1"/>
  <c r="T71" i="1"/>
  <c r="S71" i="1" s="1"/>
  <c r="T30" i="1"/>
  <c r="S30" i="1" s="1"/>
  <c r="T120" i="1"/>
  <c r="S120" i="1" s="1"/>
  <c r="T72" i="1"/>
  <c r="S72" i="1" s="1"/>
  <c r="T73" i="1"/>
  <c r="S73" i="1" s="1"/>
  <c r="T98" i="1"/>
  <c r="U98" i="1"/>
  <c r="V98" i="1"/>
  <c r="W98" i="1"/>
  <c r="X98" i="1"/>
  <c r="Y98" i="1"/>
  <c r="Z98" i="1"/>
  <c r="T39" i="1"/>
  <c r="S39" i="1" s="1"/>
  <c r="T100" i="1"/>
  <c r="T101"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1" i="1"/>
  <c r="S121" i="1" s="1"/>
  <c r="T5" i="1"/>
  <c r="S5" i="1" s="1"/>
  <c r="T31" i="1"/>
  <c r="S31" i="1" s="1"/>
  <c r="T127" i="1"/>
  <c r="S127" i="1" s="1"/>
  <c r="T135" i="1"/>
  <c r="S135" i="1" s="1"/>
  <c r="T45" i="1"/>
  <c r="S45" i="1" s="1"/>
  <c r="T77" i="1"/>
  <c r="S77" i="1" s="1"/>
  <c r="T46" i="1"/>
  <c r="S46" i="1" s="1"/>
  <c r="T111" i="1"/>
  <c r="S111" i="1" s="1"/>
  <c r="T128" i="1"/>
  <c r="S128" i="1" s="1"/>
  <c r="T113" i="1"/>
  <c r="S113" i="1" s="1"/>
  <c r="T35" i="1"/>
  <c r="S35" i="1" s="1"/>
  <c r="T96" i="1"/>
  <c r="S96" i="1" s="1"/>
  <c r="T90" i="1"/>
  <c r="S90" i="1" s="1"/>
  <c r="T91" i="1"/>
  <c r="S91" i="1" s="1"/>
  <c r="T47" i="1"/>
  <c r="S47" i="1" s="1"/>
  <c r="T67" i="1"/>
  <c r="S67" i="1" s="1"/>
  <c r="T48" i="1"/>
  <c r="S48" i="1" s="1"/>
  <c r="T78" i="1"/>
  <c r="S78" i="1" s="1"/>
  <c r="T49" i="1"/>
  <c r="S49" i="1" s="1"/>
  <c r="T50" i="1"/>
  <c r="S50" i="1" s="1"/>
  <c r="T112" i="1"/>
  <c r="S112" i="1" s="1"/>
  <c r="T51" i="1"/>
  <c r="S51" i="1" s="1"/>
  <c r="T52" i="1"/>
  <c r="S52" i="1" s="1"/>
  <c r="T53" i="1"/>
  <c r="S53" i="1" s="1"/>
  <c r="T122" i="1"/>
  <c r="S122" i="1" s="1"/>
  <c r="T36" i="1"/>
  <c r="S36" i="1" s="1"/>
  <c r="T129" i="1"/>
  <c r="S129" i="1" s="1"/>
  <c r="T130" i="1"/>
  <c r="S130" i="1" s="1"/>
  <c r="T114" i="1"/>
  <c r="S114" i="1" s="1"/>
  <c r="T54" i="1"/>
  <c r="S54" i="1" s="1"/>
  <c r="T55" i="1"/>
  <c r="S55" i="1" s="1"/>
  <c r="T6" i="1"/>
  <c r="S6" i="1" s="1"/>
  <c r="T56" i="1"/>
  <c r="S56" i="1" s="1"/>
  <c r="T57" i="1"/>
  <c r="S57" i="1" s="1"/>
  <c r="T58" i="1"/>
  <c r="S58" i="1" s="1"/>
  <c r="T59" i="1"/>
  <c r="S59" i="1" s="1"/>
  <c r="T60" i="1"/>
  <c r="S60" i="1" s="1"/>
  <c r="T61" i="1"/>
  <c r="S61" i="1" s="1"/>
  <c r="T123" i="1"/>
  <c r="S123" i="1" s="1"/>
  <c r="T124" i="1"/>
  <c r="S124" i="1" s="1"/>
  <c r="T66" i="1"/>
  <c r="S66" i="1" s="1"/>
  <c r="T115" i="1"/>
  <c r="S115"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9" i="1"/>
  <c r="S119" i="1" s="1"/>
  <c r="T102" i="1"/>
  <c r="T63" i="1"/>
  <c r="S63" i="1" s="1"/>
  <c r="T116" i="1"/>
  <c r="S116" i="1" s="1"/>
  <c r="T32" i="1"/>
  <c r="S32" i="1" s="1"/>
  <c r="T33" i="1"/>
  <c r="S33" i="1" s="1"/>
  <c r="T125" i="1"/>
  <c r="S125" i="1" s="1"/>
  <c r="T131" i="1"/>
  <c r="S131" i="1" s="1"/>
  <c r="T132" i="1"/>
  <c r="S132" i="1" s="1"/>
  <c r="T133" i="1"/>
  <c r="S133" i="1" s="1"/>
  <c r="T134" i="1"/>
  <c r="S134" i="1" s="1"/>
  <c r="T64" i="1"/>
  <c r="S64" i="1" s="1"/>
  <c r="T92" i="1"/>
  <c r="S92" i="1" s="1"/>
  <c r="T86" i="1"/>
  <c r="S86" i="1" s="1"/>
  <c r="T87" i="1"/>
  <c r="S87" i="1" s="1"/>
  <c r="T88" i="1"/>
  <c r="S88" i="1" s="1"/>
  <c r="T89" i="1"/>
  <c r="S89" i="1" s="1"/>
  <c r="T117" i="1"/>
  <c r="S117"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100" i="1"/>
  <c r="S98" i="1"/>
  <c r="S118" i="1"/>
  <c r="S126" i="1"/>
  <c r="S102" i="1"/>
  <c r="S101" i="1"/>
  <c r="S93" i="1"/>
  <c r="S69" i="1"/>
</calcChain>
</file>

<file path=xl/sharedStrings.xml><?xml version="1.0" encoding="utf-8"?>
<sst xmlns="http://schemas.openxmlformats.org/spreadsheetml/2006/main" count="13018" uniqueCount="4274">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</sst>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5">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7"/>
  <sheetViews>
    <sheetView topLeftCell="B1" zoomScale="180" zoomScaleNormal="180" workbookViewId="0">
      <pane ySplit="1" topLeftCell="A12" activePane="bottomLeft" state="frozen"/>
      <selection pane="bottomLeft" activeCell="A26" sqref="A26:XFD26"/>
    </sheetView>
  </sheetViews>
  <sheetFormatPr baseColWidth="10" defaultColWidth="10.6640625" defaultRowHeight="13" x14ac:dyDescent="0.15"/>
  <cols>
    <col min="1" max="1" width="24.6640625" customWidth="1"/>
    <col min="2" max="2" width="104.1640625" customWidth="1"/>
    <col min="3" max="3" width="84.3320312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38" customHeight="1" x14ac:dyDescent="0.15">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x14ac:dyDescent="0.15">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x14ac:dyDescent="0.15">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x14ac:dyDescent="0.15">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x14ac:dyDescent="0.15">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x14ac:dyDescent="0.15">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x14ac:dyDescent="0.15">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x14ac:dyDescent="0.15">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x14ac:dyDescent="0.15">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x14ac:dyDescent="0.15">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x14ac:dyDescent="0.15">
      <c r="A11" s="8" t="s">
        <v>4228</v>
      </c>
      <c r="B11" s="8"/>
      <c r="D11" s="6" t="s">
        <v>4231</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x14ac:dyDescent="0.15">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x14ac:dyDescent="0.15">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x14ac:dyDescent="0.15">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x14ac:dyDescent="0.15">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x14ac:dyDescent="0.15">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x14ac:dyDescent="0.15">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x14ac:dyDescent="0.15">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x14ac:dyDescent="0.15">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x14ac:dyDescent="0.15">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x14ac:dyDescent="0.15">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x14ac:dyDescent="0.15">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x14ac:dyDescent="0.15">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x14ac:dyDescent="0.15">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x14ac:dyDescent="0.15">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x14ac:dyDescent="0.15">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x14ac:dyDescent="0.15">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x14ac:dyDescent="0.15">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x14ac:dyDescent="0.15">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x14ac:dyDescent="0.15">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x14ac:dyDescent="0.15">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x14ac:dyDescent="0.15">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x14ac:dyDescent="0.15">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x14ac:dyDescent="0.15">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x14ac:dyDescent="0.15">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x14ac:dyDescent="0.15">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x14ac:dyDescent="0.15">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x14ac:dyDescent="0.15">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x14ac:dyDescent="0.15">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x14ac:dyDescent="0.15">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x14ac:dyDescent="0.15">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x14ac:dyDescent="0.15">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x14ac:dyDescent="0.15">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x14ac:dyDescent="0.15">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x14ac:dyDescent="0.15">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x14ac:dyDescent="0.15">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x14ac:dyDescent="0.15">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x14ac:dyDescent="0.15">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x14ac:dyDescent="0.15">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x14ac:dyDescent="0.15">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x14ac:dyDescent="0.15">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x14ac:dyDescent="0.15">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x14ac:dyDescent="0.15">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x14ac:dyDescent="0.15">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x14ac:dyDescent="0.15">
      <c r="A56" t="s">
        <v>2831</v>
      </c>
      <c r="C56" t="s">
        <v>4228</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x14ac:dyDescent="0.15">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x14ac:dyDescent="0.15">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x14ac:dyDescent="0.15">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x14ac:dyDescent="0.2">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x14ac:dyDescent="0.15">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x14ac:dyDescent="0.15">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x14ac:dyDescent="0.15">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x14ac:dyDescent="0.15">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x14ac:dyDescent="0.15">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x14ac:dyDescent="0.15">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2"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x14ac:dyDescent="0.15">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x14ac:dyDescent="0.15">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x14ac:dyDescent="0.15">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x14ac:dyDescent="0.15">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x14ac:dyDescent="0.15">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x14ac:dyDescent="0.15">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x14ac:dyDescent="0.15">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x14ac:dyDescent="0.15">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x14ac:dyDescent="0.15">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x14ac:dyDescent="0.15">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x14ac:dyDescent="0.15">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x14ac:dyDescent="0.15">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x14ac:dyDescent="0.15">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x14ac:dyDescent="0.15">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x14ac:dyDescent="0.15">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x14ac:dyDescent="0.15">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x14ac:dyDescent="0.15">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x14ac:dyDescent="0.15">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x14ac:dyDescent="0.15">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x14ac:dyDescent="0.15">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x14ac:dyDescent="0.15">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x14ac:dyDescent="0.15">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x14ac:dyDescent="0.15">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x14ac:dyDescent="0.15">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x14ac:dyDescent="0.15">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x14ac:dyDescent="0.15">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x14ac:dyDescent="0.15">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x14ac:dyDescent="0.15">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x14ac:dyDescent="0.15">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x14ac:dyDescent="0.15">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x14ac:dyDescent="0.15">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x14ac:dyDescent="0.15">
      <c r="A98" t="s">
        <v>157</v>
      </c>
      <c r="B98" t="s">
        <v>4266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30" si="24">_xlfn.TEXTJOIN("|",TRUE,T98:AB98)</f>
        <v>filter|genotype</v>
      </c>
      <c r="T98" t="str">
        <f t="shared" ref="T98:T135" si="25">IF(L98,"mandatory","")</f>
        <v/>
      </c>
      <c r="U98" t="str">
        <f t="shared" si="18"/>
        <v>filter</v>
      </c>
      <c r="V98" t="str">
        <f t="shared" ref="V98:V135" si="26">IF(N98,"user","")</f>
        <v/>
      </c>
      <c r="W98" t="str">
        <f t="shared" ref="W98:W135" si="27">IF(O98,"genotype","")</f>
        <v>genotype</v>
      </c>
      <c r="X98" t="str">
        <f t="shared" ref="X98:X109" si="28">IF(P98,"qc","")</f>
        <v/>
      </c>
      <c r="Y98" t="str">
        <f t="shared" ref="Y98:Y109" si="29">IF(Q98,"dataset","")</f>
        <v/>
      </c>
      <c r="Z98" t="str">
        <f t="shared" ref="Z98:Z109" si="30">IF(R98,"sample","")</f>
        <v/>
      </c>
    </row>
    <row r="99" spans="1:26" x14ac:dyDescent="0.15">
      <c r="A99" t="s">
        <v>4272</v>
      </c>
      <c r="B99" t="s">
        <v>4273</v>
      </c>
      <c r="C99" t="s">
        <v>159</v>
      </c>
      <c r="D99" t="s">
        <v>4267</v>
      </c>
      <c r="F99">
        <v>400</v>
      </c>
      <c r="G99" t="b">
        <v>0</v>
      </c>
      <c r="H99" s="1" t="s">
        <v>16</v>
      </c>
      <c r="I99" t="s">
        <v>104</v>
      </c>
      <c r="J99">
        <v>0</v>
      </c>
      <c r="K99" s="7" t="b">
        <v>0</v>
      </c>
      <c r="L99" s="7" t="b">
        <v>0</v>
      </c>
      <c r="M99" s="1" t="s">
        <v>18</v>
      </c>
      <c r="N99" s="1" t="s">
        <v>16</v>
      </c>
      <c r="O99" s="1" t="s">
        <v>18</v>
      </c>
      <c r="P99" s="1" t="s">
        <v>16</v>
      </c>
      <c r="Q99" s="1" t="s">
        <v>16</v>
      </c>
      <c r="R99" s="1" t="s">
        <v>16</v>
      </c>
      <c r="S99" t="str">
        <f t="shared" ref="S99" si="31">_xlfn.TEXTJOIN("|",TRUE,T99:AB99)</f>
        <v>filter|genotype</v>
      </c>
      <c r="T99" t="str">
        <f t="shared" ref="T99" si="32">IF(L99,"mandatory","")</f>
        <v/>
      </c>
      <c r="U99" t="str">
        <f t="shared" ref="U99" si="33">IF(M99,"filter","")</f>
        <v>filter</v>
      </c>
      <c r="V99" t="str">
        <f t="shared" ref="V99" si="34">IF(N99,"user","")</f>
        <v/>
      </c>
      <c r="W99" t="str">
        <f t="shared" ref="W99" si="35">IF(O99,"genotype","")</f>
        <v>genotype</v>
      </c>
      <c r="X99" t="str">
        <f t="shared" ref="X99" si="36">IF(P99,"qc","")</f>
        <v/>
      </c>
      <c r="Y99" t="str">
        <f t="shared" ref="Y99" si="37">IF(Q99,"dataset","")</f>
        <v/>
      </c>
      <c r="Z99" t="str">
        <f t="shared" ref="Z99" si="38">IF(R99,"sample","")</f>
        <v/>
      </c>
    </row>
    <row r="100" spans="1:26" x14ac:dyDescent="0.15">
      <c r="A100" t="s">
        <v>101</v>
      </c>
      <c r="C100" t="s">
        <v>4271</v>
      </c>
      <c r="D100" t="s">
        <v>103</v>
      </c>
      <c r="F100">
        <v>520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x14ac:dyDescent="0.15">
      <c r="A101" t="s">
        <v>102</v>
      </c>
      <c r="D101" t="s">
        <v>107</v>
      </c>
      <c r="F101">
        <v>550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x14ac:dyDescent="0.15">
      <c r="A102" t="s">
        <v>105</v>
      </c>
      <c r="C102" t="s">
        <v>4229</v>
      </c>
      <c r="D102" t="s">
        <v>106</v>
      </c>
      <c r="F102">
        <v>650</v>
      </c>
      <c r="G102" t="b">
        <v>0</v>
      </c>
      <c r="H102" s="1" t="s">
        <v>16</v>
      </c>
      <c r="I102" t="s">
        <v>104</v>
      </c>
      <c r="J102">
        <v>0</v>
      </c>
      <c r="K102" s="7" t="b">
        <v>0</v>
      </c>
      <c r="L102" s="7" t="b">
        <v>0</v>
      </c>
      <c r="M102" s="1" t="s">
        <v>18</v>
      </c>
      <c r="N102" s="1" t="s">
        <v>16</v>
      </c>
      <c r="O102" s="1" t="s">
        <v>18</v>
      </c>
      <c r="P102" s="1" t="s">
        <v>16</v>
      </c>
      <c r="Q102" s="1" t="s">
        <v>16</v>
      </c>
      <c r="R102" s="1" t="s">
        <v>16</v>
      </c>
      <c r="S102" t="str">
        <f t="shared" si="24"/>
        <v>filter|genotype</v>
      </c>
      <c r="T102" t="str">
        <f t="shared" si="25"/>
        <v/>
      </c>
      <c r="U102" t="str">
        <f t="shared" si="18"/>
        <v>filter</v>
      </c>
      <c r="V102" t="str">
        <f t="shared" si="26"/>
        <v/>
      </c>
      <c r="W102" t="str">
        <f t="shared" si="27"/>
        <v>genotype</v>
      </c>
      <c r="X102" t="str">
        <f t="shared" si="28"/>
        <v/>
      </c>
      <c r="Y102" t="str">
        <f t="shared" si="29"/>
        <v/>
      </c>
      <c r="Z102" t="str">
        <f t="shared" si="30"/>
        <v/>
      </c>
    </row>
    <row r="103" spans="1:26" x14ac:dyDescent="0.15">
      <c r="A103" s="6" t="s">
        <v>4163</v>
      </c>
      <c r="B103" t="s">
        <v>4177</v>
      </c>
      <c r="D103" s="6" t="s">
        <v>4176</v>
      </c>
      <c r="E103" s="6" t="s">
        <v>1228</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x14ac:dyDescent="0.15">
      <c r="A104" s="6" t="s">
        <v>4178</v>
      </c>
      <c r="B104" t="s">
        <v>4180</v>
      </c>
      <c r="D104" s="6" t="s">
        <v>4197</v>
      </c>
      <c r="E104" s="6" t="s">
        <v>4179</v>
      </c>
      <c r="F104">
        <v>500</v>
      </c>
      <c r="G104" t="b">
        <v>1</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x14ac:dyDescent="0.15">
      <c r="A105" t="s">
        <v>159</v>
      </c>
      <c r="C105" t="s">
        <v>4195</v>
      </c>
      <c r="D105" t="s">
        <v>4188</v>
      </c>
      <c r="F105">
        <v>500</v>
      </c>
      <c r="G105" t="b">
        <v>0</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x14ac:dyDescent="0.15">
      <c r="A106" t="s">
        <v>4189</v>
      </c>
      <c r="B106" t="s">
        <v>4192</v>
      </c>
      <c r="D106" t="s">
        <v>4055</v>
      </c>
      <c r="F106">
        <v>500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x14ac:dyDescent="0.15">
      <c r="A107" t="s">
        <v>4190</v>
      </c>
      <c r="B107" t="s">
        <v>4193</v>
      </c>
      <c r="D107" t="s">
        <v>4198</v>
      </c>
      <c r="F107">
        <v>600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x14ac:dyDescent="0.15">
      <c r="A108" t="s">
        <v>4191</v>
      </c>
      <c r="B108" t="s">
        <v>4193</v>
      </c>
      <c r="D108" t="s">
        <v>4199</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x14ac:dyDescent="0.15">
      <c r="A109" t="s">
        <v>4194</v>
      </c>
      <c r="B109" t="s">
        <v>4196</v>
      </c>
      <c r="D109" t="s">
        <v>4200</v>
      </c>
      <c r="F109">
        <v>500</v>
      </c>
      <c r="G109" t="b">
        <v>1</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c r="X109" t="str">
        <f t="shared" si="28"/>
        <v/>
      </c>
      <c r="Y109" t="str">
        <f t="shared" si="29"/>
        <v/>
      </c>
      <c r="Z109" t="str">
        <f t="shared" si="30"/>
        <v/>
      </c>
    </row>
    <row r="110" spans="1:26" x14ac:dyDescent="0.15">
      <c r="A110" t="s">
        <v>4204</v>
      </c>
      <c r="B110" t="s">
        <v>4205</v>
      </c>
      <c r="D110" t="s">
        <v>4206</v>
      </c>
      <c r="F110">
        <v>500</v>
      </c>
      <c r="G110" t="b">
        <v>0</v>
      </c>
      <c r="H110" s="1" t="s">
        <v>16</v>
      </c>
      <c r="I110" t="s">
        <v>104</v>
      </c>
      <c r="J110">
        <v>0</v>
      </c>
      <c r="K110" s="7" t="b">
        <v>0</v>
      </c>
      <c r="L110" s="7" t="b">
        <v>0</v>
      </c>
      <c r="M110" s="1" t="s">
        <v>16</v>
      </c>
      <c r="N110" s="1" t="s">
        <v>16</v>
      </c>
      <c r="O110" s="1" t="s">
        <v>18</v>
      </c>
      <c r="P110" s="1" t="s">
        <v>16</v>
      </c>
      <c r="Q110" s="1" t="s">
        <v>16</v>
      </c>
      <c r="R110" s="1" t="s">
        <v>16</v>
      </c>
      <c r="S110" t="str">
        <f t="shared" si="24"/>
        <v>filter|genotype</v>
      </c>
      <c r="T110" t="str">
        <f t="shared" si="25"/>
        <v/>
      </c>
      <c r="U110" t="s">
        <v>4145</v>
      </c>
      <c r="V110" t="str">
        <f t="shared" si="26"/>
        <v/>
      </c>
      <c r="W110" t="str">
        <f t="shared" si="27"/>
        <v>genotype</v>
      </c>
    </row>
    <row r="111" spans="1:26" x14ac:dyDescent="0.15">
      <c r="A111" t="s">
        <v>86</v>
      </c>
      <c r="D111" t="s">
        <v>87</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ref="U111:U135" si="39">IF(M111,"filter","")</f>
        <v>filter</v>
      </c>
      <c r="V111" t="str">
        <f t="shared" si="26"/>
        <v/>
      </c>
      <c r="W111" t="str">
        <f t="shared" si="27"/>
        <v/>
      </c>
      <c r="X111" t="str">
        <f t="shared" ref="X111:X135" si="40">IF(P111,"qc","")</f>
        <v/>
      </c>
      <c r="Y111" t="str">
        <f t="shared" ref="Y111:Y135" si="41">IF(Q111,"dataset","")</f>
        <v>dataset</v>
      </c>
      <c r="Z111" t="str">
        <f t="shared" ref="Z111:Z134" si="42">IF(R111,"sample","")</f>
        <v/>
      </c>
    </row>
    <row r="112" spans="1:26" x14ac:dyDescent="0.15">
      <c r="A112" t="s">
        <v>148</v>
      </c>
      <c r="D112" t="s">
        <v>149</v>
      </c>
      <c r="F112">
        <v>500</v>
      </c>
      <c r="G112" t="b">
        <v>0</v>
      </c>
      <c r="H112" s="1" t="s">
        <v>16</v>
      </c>
      <c r="I112" t="s">
        <v>88</v>
      </c>
      <c r="J112">
        <v>0</v>
      </c>
      <c r="K112" s="7" t="b">
        <v>1</v>
      </c>
      <c r="L112" s="7" t="b">
        <v>1</v>
      </c>
      <c r="M112" s="1" t="s">
        <v>18</v>
      </c>
      <c r="N112" s="1" t="s">
        <v>16</v>
      </c>
      <c r="O112" s="1" t="s">
        <v>16</v>
      </c>
      <c r="P112" s="1" t="s">
        <v>16</v>
      </c>
      <c r="Q112" s="1" t="s">
        <v>18</v>
      </c>
      <c r="R112" s="1" t="s">
        <v>16</v>
      </c>
      <c r="S112" t="str">
        <f t="shared" si="24"/>
        <v>mandatory|filter|dataset</v>
      </c>
      <c r="T112" t="str">
        <f t="shared" si="25"/>
        <v>mandatory</v>
      </c>
      <c r="U112" t="str">
        <f t="shared" si="39"/>
        <v>filter</v>
      </c>
      <c r="V112" t="str">
        <f t="shared" si="26"/>
        <v/>
      </c>
      <c r="W112" t="str">
        <f t="shared" si="27"/>
        <v/>
      </c>
      <c r="X112" t="str">
        <f t="shared" si="40"/>
        <v/>
      </c>
      <c r="Y112" t="str">
        <f t="shared" si="41"/>
        <v>dataset</v>
      </c>
      <c r="Z112" t="str">
        <f t="shared" si="42"/>
        <v/>
      </c>
    </row>
    <row r="113" spans="1:1020" x14ac:dyDescent="0.15">
      <c r="A113" t="s">
        <v>98</v>
      </c>
      <c r="D113" t="s">
        <v>99</v>
      </c>
      <c r="F113">
        <v>500</v>
      </c>
      <c r="G113" t="b">
        <v>0</v>
      </c>
      <c r="H113" s="1" t="s">
        <v>16</v>
      </c>
      <c r="I113" t="s">
        <v>100</v>
      </c>
      <c r="J113">
        <v>0</v>
      </c>
      <c r="K113" s="7" t="b">
        <v>0</v>
      </c>
      <c r="L113" s="7" t="b">
        <v>0</v>
      </c>
      <c r="M113" s="1" t="s">
        <v>18</v>
      </c>
      <c r="N113" s="1" t="s">
        <v>16</v>
      </c>
      <c r="O113" s="1" t="s">
        <v>16</v>
      </c>
      <c r="P113" s="1" t="s">
        <v>16</v>
      </c>
      <c r="Q113" s="1" t="s">
        <v>18</v>
      </c>
      <c r="R113" s="1" t="s">
        <v>16</v>
      </c>
      <c r="S113" t="str">
        <f t="shared" si="24"/>
        <v>filter|dataset</v>
      </c>
      <c r="T113" t="str">
        <f t="shared" si="25"/>
        <v/>
      </c>
      <c r="U113" t="str">
        <f t="shared" si="39"/>
        <v>filter</v>
      </c>
      <c r="V113" t="str">
        <f t="shared" si="26"/>
        <v/>
      </c>
      <c r="W113" t="str">
        <f t="shared" si="27"/>
        <v/>
      </c>
      <c r="X113" t="str">
        <f t="shared" si="40"/>
        <v/>
      </c>
      <c r="Y113" t="str">
        <f t="shared" si="41"/>
        <v>dataset</v>
      </c>
      <c r="Z113" t="str">
        <f t="shared" si="42"/>
        <v/>
      </c>
    </row>
    <row r="114" spans="1:1020" x14ac:dyDescent="0.15">
      <c r="A114" s="6" t="s">
        <v>169</v>
      </c>
      <c r="B114" s="6"/>
      <c r="C114" s="6"/>
      <c r="D114" t="s">
        <v>170</v>
      </c>
      <c r="F114">
        <v>500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9"/>
        <v>filter</v>
      </c>
      <c r="V114" t="str">
        <f t="shared" si="26"/>
        <v/>
      </c>
      <c r="W114" t="str">
        <f t="shared" si="27"/>
        <v/>
      </c>
      <c r="X114" t="str">
        <f t="shared" si="40"/>
        <v/>
      </c>
      <c r="Y114" t="str">
        <f t="shared" si="41"/>
        <v>dataset</v>
      </c>
      <c r="Z114" t="str">
        <f t="shared" si="42"/>
        <v/>
      </c>
    </row>
    <row r="115" spans="1:1020" x14ac:dyDescent="0.15">
      <c r="A115" s="6" t="s">
        <v>141</v>
      </c>
      <c r="B115" s="6"/>
      <c r="C115" s="6"/>
      <c r="D115" s="6" t="s">
        <v>143</v>
      </c>
      <c r="E115" s="6"/>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9"/>
        <v>filter</v>
      </c>
      <c r="V115" t="str">
        <f t="shared" si="26"/>
        <v/>
      </c>
      <c r="W115" t="str">
        <f t="shared" si="27"/>
        <v/>
      </c>
      <c r="X115" t="str">
        <f t="shared" si="40"/>
        <v/>
      </c>
      <c r="Y115" t="str">
        <f t="shared" si="41"/>
        <v>dataset</v>
      </c>
      <c r="Z115" t="str">
        <f t="shared" si="42"/>
        <v/>
      </c>
    </row>
    <row r="116" spans="1:1020" x14ac:dyDescent="0.15">
      <c r="A116" s="6" t="s">
        <v>142</v>
      </c>
      <c r="B116" s="6"/>
      <c r="C116" s="6"/>
      <c r="D116" t="s">
        <v>147</v>
      </c>
      <c r="F116">
        <v>400</v>
      </c>
      <c r="G116" t="b">
        <v>0</v>
      </c>
      <c r="H116" s="1" t="s">
        <v>16</v>
      </c>
      <c r="I116" t="s">
        <v>144</v>
      </c>
      <c r="J116">
        <v>1</v>
      </c>
      <c r="K116" s="7" t="b">
        <v>0</v>
      </c>
      <c r="L116" s="7" t="b">
        <v>0</v>
      </c>
      <c r="M116" s="1" t="s">
        <v>18</v>
      </c>
      <c r="N116" s="1" t="s">
        <v>16</v>
      </c>
      <c r="O116" s="1" t="s">
        <v>16</v>
      </c>
      <c r="P116" s="1" t="s">
        <v>16</v>
      </c>
      <c r="Q116" s="1" t="s">
        <v>18</v>
      </c>
      <c r="R116" s="1" t="s">
        <v>16</v>
      </c>
      <c r="S116" t="str">
        <f t="shared" si="24"/>
        <v>filter|dataset</v>
      </c>
      <c r="T116" t="str">
        <f t="shared" si="25"/>
        <v/>
      </c>
      <c r="U116" t="str">
        <f t="shared" si="39"/>
        <v>filter</v>
      </c>
      <c r="V116" t="str">
        <f t="shared" si="26"/>
        <v/>
      </c>
      <c r="W116" t="str">
        <f t="shared" si="27"/>
        <v/>
      </c>
      <c r="X116" t="str">
        <f t="shared" si="40"/>
        <v/>
      </c>
      <c r="Y116" t="str">
        <f t="shared" si="41"/>
        <v>dataset</v>
      </c>
      <c r="Z116" t="str">
        <f t="shared" si="42"/>
        <v/>
      </c>
    </row>
    <row r="117" spans="1:1020" x14ac:dyDescent="0.15">
      <c r="A117" s="6" t="s">
        <v>145</v>
      </c>
      <c r="B117" s="6"/>
      <c r="C117" s="6"/>
      <c r="D117" s="6" t="s">
        <v>146</v>
      </c>
      <c r="E117" s="6"/>
      <c r="F117">
        <v>400</v>
      </c>
      <c r="G117" t="b">
        <v>0</v>
      </c>
      <c r="H117" s="1" t="s">
        <v>16</v>
      </c>
      <c r="I117" t="s">
        <v>144</v>
      </c>
      <c r="J117">
        <v>1</v>
      </c>
      <c r="K117" s="7" t="b">
        <v>0</v>
      </c>
      <c r="L117" s="7" t="b">
        <v>0</v>
      </c>
      <c r="M117" s="1" t="s">
        <v>16</v>
      </c>
      <c r="N117" s="1" t="s">
        <v>16</v>
      </c>
      <c r="O117" s="1" t="s">
        <v>16</v>
      </c>
      <c r="P117" s="1" t="s">
        <v>16</v>
      </c>
      <c r="Q117" s="1" t="s">
        <v>16</v>
      </c>
      <c r="R117" s="1" t="s">
        <v>18</v>
      </c>
      <c r="S117" t="str">
        <f t="shared" si="24"/>
        <v>sample</v>
      </c>
      <c r="T117" t="str">
        <f t="shared" si="25"/>
        <v/>
      </c>
      <c r="U117" t="str">
        <f t="shared" si="39"/>
        <v/>
      </c>
      <c r="V117" t="str">
        <f t="shared" si="26"/>
        <v/>
      </c>
      <c r="W117" t="str">
        <f t="shared" si="27"/>
        <v/>
      </c>
      <c r="X117" t="str">
        <f t="shared" si="40"/>
        <v/>
      </c>
      <c r="Y117" t="str">
        <f t="shared" si="41"/>
        <v/>
      </c>
      <c r="Z117" t="str">
        <f t="shared" si="42"/>
        <v>sample</v>
      </c>
    </row>
    <row r="118" spans="1:1020" x14ac:dyDescent="0.15">
      <c r="A118" s="6" t="s">
        <v>109</v>
      </c>
      <c r="B118" s="6"/>
      <c r="C118" s="6" t="s">
        <v>4230</v>
      </c>
      <c r="D118" t="s">
        <v>2768</v>
      </c>
      <c r="F118">
        <v>500</v>
      </c>
      <c r="G118" t="b">
        <v>0</v>
      </c>
      <c r="H118" s="1" t="s">
        <v>16</v>
      </c>
      <c r="I118" s="26" t="s">
        <v>3843</v>
      </c>
      <c r="J118">
        <v>0</v>
      </c>
      <c r="K118" s="7" t="b">
        <v>0</v>
      </c>
      <c r="L118" s="7" t="b">
        <v>0</v>
      </c>
      <c r="M118" s="1" t="s">
        <v>18</v>
      </c>
      <c r="N118" s="1" t="s">
        <v>16</v>
      </c>
      <c r="O118" s="1" t="s">
        <v>16</v>
      </c>
      <c r="P118" s="1" t="s">
        <v>16</v>
      </c>
      <c r="Q118" s="1" t="s">
        <v>18</v>
      </c>
      <c r="R118" s="1" t="s">
        <v>16</v>
      </c>
      <c r="S118" t="str">
        <f t="shared" si="24"/>
        <v>filter|dataset</v>
      </c>
      <c r="T118" t="str">
        <f t="shared" si="25"/>
        <v/>
      </c>
      <c r="U118" t="str">
        <f t="shared" si="39"/>
        <v>filter</v>
      </c>
      <c r="V118" t="str">
        <f t="shared" si="26"/>
        <v/>
      </c>
      <c r="W118" t="str">
        <f t="shared" si="27"/>
        <v/>
      </c>
      <c r="X118" t="str">
        <f t="shared" si="40"/>
        <v/>
      </c>
      <c r="Y118" t="str">
        <f t="shared" si="41"/>
        <v>dataset</v>
      </c>
      <c r="Z118" t="str">
        <f t="shared" si="42"/>
        <v/>
      </c>
    </row>
    <row r="119" spans="1:1020" x14ac:dyDescent="0.15">
      <c r="A119" s="27" t="s">
        <v>3841</v>
      </c>
      <c r="B119" s="27"/>
      <c r="C119" s="27"/>
      <c r="D119" s="29" t="s">
        <v>3842</v>
      </c>
      <c r="E119" s="29"/>
      <c r="F119" s="27">
        <v>800</v>
      </c>
      <c r="G119" t="b">
        <v>0</v>
      </c>
      <c r="H119" s="28" t="s">
        <v>16</v>
      </c>
      <c r="I119" s="27" t="s">
        <v>3843</v>
      </c>
      <c r="J119" s="27">
        <v>0</v>
      </c>
      <c r="K119" s="7" t="b">
        <v>0</v>
      </c>
      <c r="L119" s="7" t="b">
        <v>0</v>
      </c>
      <c r="M119" s="1" t="s">
        <v>18</v>
      </c>
      <c r="N119" s="1" t="s">
        <v>16</v>
      </c>
      <c r="O119" s="1" t="s">
        <v>16</v>
      </c>
      <c r="P119" s="1" t="s">
        <v>16</v>
      </c>
      <c r="Q119" s="1" t="s">
        <v>18</v>
      </c>
      <c r="R119" s="1" t="s">
        <v>18</v>
      </c>
      <c r="S119" t="str">
        <f t="shared" si="24"/>
        <v>filter|dataset|sample</v>
      </c>
      <c r="T119" t="str">
        <f t="shared" si="25"/>
        <v/>
      </c>
      <c r="U119" t="str">
        <f t="shared" si="39"/>
        <v>filter</v>
      </c>
      <c r="V119" t="str">
        <f t="shared" si="26"/>
        <v/>
      </c>
      <c r="W119" t="str">
        <f t="shared" si="27"/>
        <v/>
      </c>
      <c r="X119" t="str">
        <f t="shared" si="40"/>
        <v/>
      </c>
      <c r="Y119" t="str">
        <f t="shared" si="41"/>
        <v>dataset</v>
      </c>
      <c r="Z119" t="str">
        <f t="shared" si="42"/>
        <v>sample</v>
      </c>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c r="EA119" s="27"/>
      <c r="EB119" s="27"/>
      <c r="EC119" s="27"/>
      <c r="ED119" s="27"/>
      <c r="EE119" s="27"/>
      <c r="EF119" s="27"/>
      <c r="EG119" s="27"/>
      <c r="EH119" s="27"/>
      <c r="EI119" s="27"/>
      <c r="EJ119" s="27"/>
      <c r="EK119" s="27"/>
      <c r="EL119" s="27"/>
      <c r="EM119" s="27"/>
      <c r="EN119" s="27"/>
      <c r="EO119" s="27"/>
      <c r="EP119" s="27"/>
      <c r="EQ119" s="27"/>
      <c r="ER119" s="27"/>
      <c r="ES119" s="27"/>
      <c r="ET119" s="27"/>
      <c r="EU119" s="27"/>
      <c r="EV119" s="27"/>
      <c r="EW119" s="27"/>
      <c r="EX119" s="27"/>
      <c r="EY119" s="27"/>
      <c r="EZ119" s="27"/>
      <c r="FA119" s="27"/>
      <c r="FB119" s="27"/>
      <c r="FC119" s="27"/>
      <c r="FD119" s="27"/>
      <c r="FE119" s="27"/>
      <c r="FF119" s="27"/>
      <c r="FG119" s="27"/>
      <c r="FH119" s="27"/>
      <c r="FI119" s="27"/>
      <c r="FJ119" s="27"/>
      <c r="FK119" s="27"/>
      <c r="FL119" s="27"/>
      <c r="FM119" s="27"/>
      <c r="FN119" s="27"/>
      <c r="FO119" s="27"/>
      <c r="FP119" s="27"/>
      <c r="FQ119" s="27"/>
      <c r="FR119" s="27"/>
      <c r="FS119" s="27"/>
      <c r="FT119" s="27"/>
      <c r="FU119" s="27"/>
      <c r="FV119" s="27"/>
      <c r="FW119" s="27"/>
      <c r="FX119" s="27"/>
      <c r="FY119" s="27"/>
      <c r="FZ119" s="27"/>
      <c r="GA119" s="27"/>
      <c r="GB119" s="27"/>
      <c r="GC119" s="27"/>
      <c r="GD119" s="27"/>
      <c r="GE119" s="27"/>
      <c r="GF119" s="27"/>
      <c r="GG119" s="27"/>
      <c r="GH119" s="27"/>
      <c r="GI119" s="27"/>
      <c r="GJ119" s="27"/>
      <c r="GK119" s="27"/>
      <c r="GL119" s="27"/>
      <c r="GM119" s="27"/>
      <c r="GN119" s="27"/>
      <c r="GO119" s="27"/>
      <c r="GP119" s="27"/>
      <c r="GQ119" s="27"/>
      <c r="GR119" s="27"/>
      <c r="GS119" s="27"/>
      <c r="GT119" s="27"/>
      <c r="GU119" s="27"/>
      <c r="GV119" s="27"/>
      <c r="GW119" s="27"/>
      <c r="GX119" s="27"/>
      <c r="GY119" s="27"/>
      <c r="GZ119" s="27"/>
      <c r="HA119" s="27"/>
      <c r="HB119" s="27"/>
      <c r="HC119" s="27"/>
      <c r="HD119" s="27"/>
      <c r="HE119" s="27"/>
      <c r="HF119" s="27"/>
      <c r="HG119" s="27"/>
      <c r="HH119" s="27"/>
      <c r="HI119" s="27"/>
      <c r="HJ119" s="27"/>
      <c r="HK119" s="27"/>
      <c r="HL119" s="27"/>
      <c r="HM119" s="27"/>
      <c r="HN119" s="27"/>
      <c r="HO119" s="27"/>
      <c r="HP119" s="27"/>
      <c r="HQ119" s="27"/>
      <c r="HR119" s="27"/>
      <c r="HS119" s="27"/>
      <c r="HT119" s="27"/>
      <c r="HU119" s="27"/>
      <c r="HV119" s="27"/>
      <c r="HW119" s="27"/>
      <c r="HX119" s="27"/>
      <c r="HY119" s="27"/>
      <c r="HZ119" s="27"/>
      <c r="IA119" s="27"/>
      <c r="IB119" s="27"/>
      <c r="IC119" s="27"/>
      <c r="ID119" s="27"/>
      <c r="IE119" s="27"/>
      <c r="IF119" s="27"/>
      <c r="IG119" s="27"/>
      <c r="IH119" s="27"/>
      <c r="II119" s="27"/>
      <c r="IJ119" s="27"/>
      <c r="IK119" s="27"/>
      <c r="IL119" s="27"/>
      <c r="IM119" s="27"/>
      <c r="IN119" s="27"/>
      <c r="IO119" s="27"/>
      <c r="IP119" s="27"/>
      <c r="IQ119" s="27"/>
      <c r="IR119" s="27"/>
      <c r="IS119" s="27"/>
      <c r="IT119" s="27"/>
      <c r="IU119" s="27"/>
      <c r="IV119" s="27"/>
      <c r="IW119" s="27"/>
      <c r="IX119" s="27"/>
      <c r="IY119" s="27"/>
      <c r="IZ119" s="27"/>
      <c r="JA119" s="27"/>
      <c r="JB119" s="27"/>
      <c r="JC119" s="27"/>
      <c r="JD119" s="27"/>
      <c r="JE119" s="27"/>
      <c r="JF119" s="27"/>
      <c r="JG119" s="27"/>
      <c r="JH119" s="27"/>
      <c r="JI119" s="27"/>
      <c r="JJ119" s="27"/>
      <c r="JK119" s="27"/>
      <c r="JL119" s="27"/>
      <c r="JM119" s="27"/>
      <c r="JN119" s="27"/>
      <c r="JO119" s="27"/>
      <c r="JP119" s="27"/>
      <c r="JQ119" s="27"/>
      <c r="JR119" s="27"/>
      <c r="JS119" s="27"/>
      <c r="JT119" s="27"/>
      <c r="JU119" s="27"/>
      <c r="JV119" s="27"/>
      <c r="JW119" s="27"/>
      <c r="JX119" s="27"/>
      <c r="JY119" s="27"/>
      <c r="JZ119" s="27"/>
      <c r="KA119" s="27"/>
      <c r="KB119" s="27"/>
      <c r="KC119" s="27"/>
      <c r="KD119" s="27"/>
      <c r="KE119" s="27"/>
      <c r="KF119" s="27"/>
      <c r="KG119" s="27"/>
      <c r="KH119" s="27"/>
      <c r="KI119" s="27"/>
      <c r="KJ119" s="27"/>
      <c r="KK119" s="27"/>
      <c r="KL119" s="27"/>
      <c r="KM119" s="27"/>
      <c r="KN119" s="27"/>
      <c r="KO119" s="27"/>
      <c r="KP119" s="27"/>
      <c r="KQ119" s="27"/>
      <c r="KR119" s="27"/>
      <c r="KS119" s="27"/>
      <c r="KT119" s="27"/>
      <c r="KU119" s="27"/>
      <c r="KV119" s="27"/>
      <c r="KW119" s="27"/>
      <c r="KX119" s="27"/>
      <c r="KY119" s="27"/>
      <c r="KZ119" s="27"/>
      <c r="LA119" s="27"/>
      <c r="LB119" s="27"/>
      <c r="LC119" s="27"/>
      <c r="LD119" s="27"/>
      <c r="LE119" s="27"/>
      <c r="LF119" s="27"/>
      <c r="LG119" s="27"/>
      <c r="LH119" s="27"/>
      <c r="LI119" s="27"/>
      <c r="LJ119" s="27"/>
      <c r="LK119" s="27"/>
      <c r="LL119" s="27"/>
      <c r="LM119" s="27"/>
      <c r="LN119" s="27"/>
      <c r="LO119" s="27"/>
      <c r="LP119" s="27"/>
      <c r="LQ119" s="27"/>
      <c r="LR119" s="27"/>
      <c r="LS119" s="27"/>
      <c r="LT119" s="27"/>
      <c r="LU119" s="27"/>
      <c r="LV119" s="27"/>
      <c r="LW119" s="27"/>
      <c r="LX119" s="27"/>
      <c r="LY119" s="27"/>
      <c r="LZ119" s="27"/>
      <c r="MA119" s="27"/>
      <c r="MB119" s="27"/>
      <c r="MC119" s="27"/>
      <c r="MD119" s="27"/>
      <c r="ME119" s="27"/>
      <c r="MF119" s="27"/>
      <c r="MG119" s="27"/>
      <c r="MH119" s="27"/>
      <c r="MI119" s="27"/>
      <c r="MJ119" s="27"/>
      <c r="MK119" s="27"/>
      <c r="ML119" s="27"/>
      <c r="MM119" s="27"/>
      <c r="MN119" s="27"/>
      <c r="MO119" s="27"/>
      <c r="MP119" s="27"/>
      <c r="MQ119" s="27"/>
      <c r="MR119" s="27"/>
      <c r="MS119" s="27"/>
      <c r="MT119" s="27"/>
      <c r="MU119" s="27"/>
      <c r="MV119" s="27"/>
      <c r="MW119" s="27"/>
      <c r="MX119" s="27"/>
      <c r="MY119" s="27"/>
      <c r="MZ119" s="27"/>
      <c r="NA119" s="27"/>
      <c r="NB119" s="27"/>
      <c r="NC119" s="27"/>
      <c r="ND119" s="27"/>
      <c r="NE119" s="27"/>
      <c r="NF119" s="27"/>
      <c r="NG119" s="27"/>
      <c r="NH119" s="27"/>
      <c r="NI119" s="27"/>
      <c r="NJ119" s="27"/>
      <c r="NK119" s="27"/>
      <c r="NL119" s="27"/>
      <c r="NM119" s="27"/>
      <c r="NN119" s="27"/>
      <c r="NO119" s="27"/>
      <c r="NP119" s="27"/>
      <c r="NQ119" s="27"/>
      <c r="NR119" s="27"/>
      <c r="NS119" s="27"/>
      <c r="NT119" s="27"/>
      <c r="NU119" s="27"/>
      <c r="NV119" s="27"/>
      <c r="NW119" s="27"/>
      <c r="NX119" s="27"/>
      <c r="NY119" s="27"/>
      <c r="NZ119" s="27"/>
      <c r="OA119" s="27"/>
      <c r="OB119" s="27"/>
      <c r="OC119" s="27"/>
      <c r="OD119" s="27"/>
      <c r="OE119" s="27"/>
      <c r="OF119" s="27"/>
      <c r="OG119" s="27"/>
      <c r="OH119" s="27"/>
      <c r="OI119" s="27"/>
      <c r="OJ119" s="27"/>
      <c r="OK119" s="27"/>
      <c r="OL119" s="27"/>
      <c r="OM119" s="27"/>
      <c r="ON119" s="27"/>
      <c r="OO119" s="27"/>
      <c r="OP119" s="27"/>
      <c r="OQ119" s="27"/>
      <c r="OR119" s="27"/>
      <c r="OS119" s="27"/>
      <c r="OT119" s="27"/>
      <c r="OU119" s="27"/>
      <c r="OV119" s="27"/>
      <c r="OW119" s="27"/>
      <c r="OX119" s="27"/>
      <c r="OY119" s="27"/>
      <c r="OZ119" s="27"/>
      <c r="PA119" s="27"/>
      <c r="PB119" s="27"/>
      <c r="PC119" s="27"/>
      <c r="PD119" s="27"/>
      <c r="PE119" s="27"/>
      <c r="PF119" s="27"/>
      <c r="PG119" s="27"/>
      <c r="PH119" s="27"/>
      <c r="PI119" s="27"/>
      <c r="PJ119" s="27"/>
      <c r="PK119" s="27"/>
      <c r="PL119" s="27"/>
      <c r="PM119" s="27"/>
      <c r="PN119" s="27"/>
      <c r="PO119" s="27"/>
      <c r="PP119" s="27"/>
      <c r="PQ119" s="27"/>
      <c r="PR119" s="27"/>
      <c r="PS119" s="27"/>
      <c r="PT119" s="27"/>
      <c r="PU119" s="27"/>
      <c r="PV119" s="27"/>
      <c r="PW119" s="27"/>
      <c r="PX119" s="27"/>
      <c r="PY119" s="27"/>
      <c r="PZ119" s="27"/>
      <c r="QA119" s="27"/>
      <c r="QB119" s="27"/>
      <c r="QC119" s="27"/>
      <c r="QD119" s="27"/>
      <c r="QE119" s="27"/>
      <c r="QF119" s="27"/>
      <c r="QG119" s="27"/>
      <c r="QH119" s="27"/>
      <c r="QI119" s="27"/>
      <c r="QJ119" s="27"/>
      <c r="QK119" s="27"/>
      <c r="QL119" s="27"/>
      <c r="QM119" s="27"/>
      <c r="QN119" s="27"/>
      <c r="QO119" s="27"/>
      <c r="QP119" s="27"/>
      <c r="QQ119" s="27"/>
      <c r="QR119" s="27"/>
      <c r="QS119" s="27"/>
      <c r="QT119" s="27"/>
      <c r="QU119" s="27"/>
      <c r="QV119" s="27"/>
      <c r="QW119" s="27"/>
      <c r="QX119" s="27"/>
      <c r="QY119" s="27"/>
      <c r="QZ119" s="27"/>
      <c r="RA119" s="27"/>
      <c r="RB119" s="27"/>
      <c r="RC119" s="27"/>
      <c r="RD119" s="27"/>
      <c r="RE119" s="27"/>
      <c r="RF119" s="27"/>
      <c r="RG119" s="27"/>
      <c r="RH119" s="27"/>
      <c r="RI119" s="27"/>
      <c r="RJ119" s="27"/>
      <c r="RK119" s="27"/>
      <c r="RL119" s="27"/>
      <c r="RM119" s="27"/>
      <c r="RN119" s="27"/>
      <c r="RO119" s="27"/>
      <c r="RP119" s="27"/>
      <c r="RQ119" s="27"/>
      <c r="RR119" s="27"/>
      <c r="RS119" s="27"/>
      <c r="RT119" s="27"/>
      <c r="RU119" s="27"/>
      <c r="RV119" s="27"/>
      <c r="RW119" s="27"/>
      <c r="RX119" s="27"/>
      <c r="RY119" s="27"/>
      <c r="RZ119" s="27"/>
      <c r="SA119" s="27"/>
      <c r="SB119" s="27"/>
      <c r="SC119" s="27"/>
      <c r="SD119" s="27"/>
      <c r="SE119" s="27"/>
      <c r="SF119" s="27"/>
      <c r="SG119" s="27"/>
      <c r="SH119" s="27"/>
      <c r="SI119" s="27"/>
      <c r="SJ119" s="27"/>
      <c r="SK119" s="27"/>
      <c r="SL119" s="27"/>
      <c r="SM119" s="27"/>
      <c r="SN119" s="27"/>
      <c r="SO119" s="27"/>
      <c r="SP119" s="27"/>
      <c r="SQ119" s="27"/>
      <c r="SR119" s="27"/>
      <c r="SS119" s="27"/>
      <c r="ST119" s="27"/>
      <c r="SU119" s="27"/>
      <c r="SV119" s="27"/>
      <c r="SW119" s="27"/>
      <c r="SX119" s="27"/>
      <c r="SY119" s="27"/>
      <c r="SZ119" s="27"/>
      <c r="TA119" s="27"/>
      <c r="TB119" s="27"/>
      <c r="TC119" s="27"/>
      <c r="TD119" s="27"/>
      <c r="TE119" s="27"/>
      <c r="TF119" s="27"/>
      <c r="TG119" s="27"/>
      <c r="TH119" s="27"/>
      <c r="TI119" s="27"/>
      <c r="TJ119" s="27"/>
      <c r="TK119" s="27"/>
      <c r="TL119" s="27"/>
      <c r="TM119" s="27"/>
      <c r="TN119" s="27"/>
      <c r="TO119" s="27"/>
      <c r="TP119" s="27"/>
      <c r="TQ119" s="27"/>
      <c r="TR119" s="27"/>
      <c r="TS119" s="27"/>
      <c r="TT119" s="27"/>
      <c r="TU119" s="27"/>
      <c r="TV119" s="27"/>
      <c r="TW119" s="27"/>
      <c r="TX119" s="27"/>
      <c r="TY119" s="27"/>
      <c r="TZ119" s="27"/>
      <c r="UA119" s="27"/>
      <c r="UB119" s="27"/>
      <c r="UC119" s="27"/>
      <c r="UD119" s="27"/>
      <c r="UE119" s="27"/>
      <c r="UF119" s="27"/>
      <c r="UG119" s="27"/>
      <c r="UH119" s="27"/>
      <c r="UI119" s="27"/>
      <c r="UJ119" s="27"/>
      <c r="UK119" s="27"/>
      <c r="UL119" s="27"/>
      <c r="UM119" s="27"/>
      <c r="UN119" s="27"/>
      <c r="UO119" s="27"/>
      <c r="UP119" s="27"/>
      <c r="UQ119" s="27"/>
      <c r="UR119" s="27"/>
      <c r="US119" s="27"/>
      <c r="UT119" s="27"/>
      <c r="UU119" s="27"/>
      <c r="UV119" s="27"/>
      <c r="UW119" s="27"/>
      <c r="UX119" s="27"/>
      <c r="UY119" s="27"/>
      <c r="UZ119" s="27"/>
      <c r="VA119" s="27"/>
      <c r="VB119" s="27"/>
      <c r="VC119" s="27"/>
      <c r="VD119" s="27"/>
      <c r="VE119" s="27"/>
      <c r="VF119" s="27"/>
      <c r="VG119" s="27"/>
      <c r="VH119" s="27"/>
      <c r="VI119" s="27"/>
      <c r="VJ119" s="27"/>
      <c r="VK119" s="27"/>
      <c r="VL119" s="27"/>
      <c r="VM119" s="27"/>
      <c r="VN119" s="27"/>
      <c r="VO119" s="27"/>
      <c r="VP119" s="27"/>
      <c r="VQ119" s="27"/>
      <c r="VR119" s="27"/>
      <c r="VS119" s="27"/>
      <c r="VT119" s="27"/>
      <c r="VU119" s="27"/>
      <c r="VV119" s="27"/>
      <c r="VW119" s="27"/>
      <c r="VX119" s="27"/>
      <c r="VY119" s="27"/>
      <c r="VZ119" s="27"/>
      <c r="WA119" s="27"/>
      <c r="WB119" s="27"/>
      <c r="WC119" s="27"/>
      <c r="WD119" s="27"/>
      <c r="WE119" s="27"/>
      <c r="WF119" s="27"/>
      <c r="WG119" s="27"/>
      <c r="WH119" s="27"/>
      <c r="WI119" s="27"/>
      <c r="WJ119" s="27"/>
      <c r="WK119" s="27"/>
      <c r="WL119" s="27"/>
      <c r="WM119" s="27"/>
      <c r="WN119" s="27"/>
      <c r="WO119" s="27"/>
      <c r="WP119" s="27"/>
      <c r="WQ119" s="27"/>
      <c r="WR119" s="27"/>
      <c r="WS119" s="27"/>
      <c r="WT119" s="27"/>
      <c r="WU119" s="27"/>
      <c r="WV119" s="27"/>
      <c r="WW119" s="27"/>
      <c r="WX119" s="27"/>
      <c r="WY119" s="27"/>
      <c r="WZ119" s="27"/>
      <c r="XA119" s="27"/>
      <c r="XB119" s="27"/>
      <c r="XC119" s="27"/>
      <c r="XD119" s="27"/>
      <c r="XE119" s="27"/>
      <c r="XF119" s="27"/>
      <c r="XG119" s="27"/>
      <c r="XH119" s="27"/>
      <c r="XI119" s="27"/>
      <c r="XJ119" s="27"/>
      <c r="XK119" s="27"/>
      <c r="XL119" s="27"/>
      <c r="XM119" s="27"/>
      <c r="XN119" s="27"/>
      <c r="XO119" s="27"/>
      <c r="XP119" s="27"/>
      <c r="XQ119" s="27"/>
      <c r="XR119" s="27"/>
      <c r="XS119" s="27"/>
      <c r="XT119" s="27"/>
      <c r="XU119" s="27"/>
      <c r="XV119" s="27"/>
      <c r="XW119" s="27"/>
      <c r="XX119" s="27"/>
      <c r="XY119" s="27"/>
      <c r="XZ119" s="27"/>
      <c r="YA119" s="27"/>
      <c r="YB119" s="27"/>
      <c r="YC119" s="27"/>
      <c r="YD119" s="27"/>
      <c r="YE119" s="27"/>
      <c r="YF119" s="27"/>
      <c r="YG119" s="27"/>
      <c r="YH119" s="27"/>
      <c r="YI119" s="27"/>
      <c r="YJ119" s="27"/>
      <c r="YK119" s="27"/>
      <c r="YL119" s="27"/>
      <c r="YM119" s="27"/>
      <c r="YN119" s="27"/>
      <c r="YO119" s="27"/>
      <c r="YP119" s="27"/>
      <c r="YQ119" s="27"/>
      <c r="YR119" s="27"/>
      <c r="YS119" s="27"/>
      <c r="YT119" s="27"/>
      <c r="YU119" s="27"/>
      <c r="YV119" s="27"/>
      <c r="YW119" s="27"/>
      <c r="YX119" s="27"/>
      <c r="YY119" s="27"/>
      <c r="YZ119" s="27"/>
      <c r="ZA119" s="27"/>
      <c r="ZB119" s="27"/>
      <c r="ZC119" s="27"/>
      <c r="ZD119" s="27"/>
      <c r="ZE119" s="27"/>
      <c r="ZF119" s="27"/>
      <c r="ZG119" s="27"/>
      <c r="ZH119" s="27"/>
      <c r="ZI119" s="27"/>
      <c r="ZJ119" s="27"/>
      <c r="ZK119" s="27"/>
      <c r="ZL119" s="27"/>
      <c r="ZM119" s="27"/>
      <c r="ZN119" s="27"/>
      <c r="ZO119" s="27"/>
      <c r="ZP119" s="27"/>
      <c r="ZQ119" s="27"/>
      <c r="ZR119" s="27"/>
      <c r="ZS119" s="27"/>
      <c r="ZT119" s="27"/>
      <c r="ZU119" s="27"/>
      <c r="ZV119" s="27"/>
      <c r="ZW119" s="27"/>
      <c r="ZX119" s="27"/>
      <c r="ZY119" s="27"/>
      <c r="ZZ119" s="27"/>
      <c r="AAA119" s="27"/>
      <c r="AAB119" s="27"/>
      <c r="AAC119" s="27"/>
      <c r="AAD119" s="27"/>
      <c r="AAE119" s="27"/>
      <c r="AAF119" s="27"/>
      <c r="AAG119" s="27"/>
      <c r="AAH119" s="27"/>
      <c r="AAI119" s="27"/>
      <c r="AAJ119" s="27"/>
      <c r="AAK119" s="27"/>
      <c r="AAL119" s="27"/>
      <c r="AAM119" s="27"/>
      <c r="AAN119" s="27"/>
      <c r="AAO119" s="27"/>
      <c r="AAP119" s="27"/>
      <c r="AAQ119" s="27"/>
      <c r="AAR119" s="27"/>
      <c r="AAS119" s="27"/>
      <c r="AAT119" s="27"/>
      <c r="AAU119" s="27"/>
      <c r="AAV119" s="27"/>
      <c r="AAW119" s="27"/>
      <c r="AAX119" s="27"/>
      <c r="AAY119" s="27"/>
      <c r="AAZ119" s="27"/>
      <c r="ABA119" s="27"/>
      <c r="ABB119" s="27"/>
      <c r="ABC119" s="27"/>
      <c r="ABD119" s="27"/>
      <c r="ABE119" s="27"/>
      <c r="ABF119" s="27"/>
      <c r="ABG119" s="27"/>
      <c r="ABH119" s="27"/>
      <c r="ABI119" s="27"/>
      <c r="ABJ119" s="27"/>
      <c r="ABK119" s="27"/>
      <c r="ABL119" s="27"/>
      <c r="ABM119" s="27"/>
      <c r="ABN119" s="27"/>
      <c r="ABO119" s="27"/>
      <c r="ABP119" s="27"/>
      <c r="ABQ119" s="27"/>
      <c r="ABR119" s="27"/>
      <c r="ABS119" s="27"/>
      <c r="ABT119" s="27"/>
      <c r="ABU119" s="27"/>
      <c r="ABV119" s="27"/>
      <c r="ABW119" s="27"/>
      <c r="ABX119" s="27"/>
      <c r="ABY119" s="27"/>
      <c r="ABZ119" s="27"/>
      <c r="ACA119" s="27"/>
      <c r="ACB119" s="27"/>
      <c r="ACC119" s="27"/>
      <c r="ACD119" s="27"/>
      <c r="ACE119" s="27"/>
      <c r="ACF119" s="27"/>
      <c r="ACG119" s="27"/>
      <c r="ACH119" s="27"/>
      <c r="ACI119" s="27"/>
      <c r="ACJ119" s="27"/>
      <c r="ACK119" s="27"/>
      <c r="ACL119" s="27"/>
      <c r="ACM119" s="27"/>
      <c r="ACN119" s="27"/>
      <c r="ACO119" s="27"/>
      <c r="ACP119" s="27"/>
      <c r="ACQ119" s="27"/>
      <c r="ACR119" s="27"/>
      <c r="ACS119" s="27"/>
      <c r="ACT119" s="27"/>
      <c r="ACU119" s="27"/>
      <c r="ACV119" s="27"/>
      <c r="ACW119" s="27"/>
      <c r="ACX119" s="27"/>
      <c r="ACY119" s="27"/>
      <c r="ACZ119" s="27"/>
      <c r="ADA119" s="27"/>
      <c r="ADB119" s="27"/>
      <c r="ADC119" s="27"/>
      <c r="ADD119" s="27"/>
      <c r="ADE119" s="27"/>
      <c r="ADF119" s="27"/>
      <c r="ADG119" s="27"/>
      <c r="ADH119" s="27"/>
      <c r="ADI119" s="27"/>
      <c r="ADJ119" s="27"/>
      <c r="ADK119" s="27"/>
      <c r="ADL119" s="27"/>
      <c r="ADM119" s="27"/>
      <c r="ADN119" s="27"/>
      <c r="ADO119" s="27"/>
      <c r="ADP119" s="27"/>
      <c r="ADQ119" s="27"/>
      <c r="ADR119" s="27"/>
      <c r="ADS119" s="27"/>
      <c r="ADT119" s="27"/>
      <c r="ADU119" s="27"/>
      <c r="ADV119" s="27"/>
      <c r="ADW119" s="27"/>
      <c r="ADX119" s="27"/>
      <c r="ADY119" s="27"/>
      <c r="ADZ119" s="27"/>
      <c r="AEA119" s="27"/>
      <c r="AEB119" s="27"/>
      <c r="AEC119" s="27"/>
      <c r="AED119" s="27"/>
      <c r="AEE119" s="27"/>
      <c r="AEF119" s="27"/>
      <c r="AEG119" s="27"/>
      <c r="AEH119" s="27"/>
      <c r="AEI119" s="27"/>
      <c r="AEJ119" s="27"/>
      <c r="AEK119" s="27"/>
      <c r="AEL119" s="27"/>
      <c r="AEM119" s="27"/>
      <c r="AEN119" s="27"/>
      <c r="AEO119" s="27"/>
      <c r="AEP119" s="27"/>
      <c r="AEQ119" s="27"/>
      <c r="AER119" s="27"/>
      <c r="AES119" s="27"/>
      <c r="AET119" s="27"/>
      <c r="AEU119" s="27"/>
      <c r="AEV119" s="27"/>
      <c r="AEW119" s="27"/>
      <c r="AEX119" s="27"/>
      <c r="AEY119" s="27"/>
      <c r="AEZ119" s="27"/>
      <c r="AFA119" s="27"/>
      <c r="AFB119" s="27"/>
      <c r="AFC119" s="27"/>
      <c r="AFD119" s="27"/>
      <c r="AFE119" s="27"/>
      <c r="AFF119" s="27"/>
      <c r="AFG119" s="27"/>
      <c r="AFH119" s="27"/>
      <c r="AFI119" s="27"/>
      <c r="AFJ119" s="27"/>
      <c r="AFK119" s="27"/>
      <c r="AFL119" s="27"/>
      <c r="AFM119" s="27"/>
      <c r="AFN119" s="27"/>
      <c r="AFO119" s="27"/>
      <c r="AFP119" s="27"/>
      <c r="AFQ119" s="27"/>
      <c r="AFR119" s="27"/>
      <c r="AFS119" s="27"/>
      <c r="AFT119" s="27"/>
      <c r="AFU119" s="27"/>
      <c r="AFV119" s="27"/>
      <c r="AFW119" s="27"/>
      <c r="AFX119" s="27"/>
      <c r="AFY119" s="27"/>
      <c r="AFZ119" s="27"/>
      <c r="AGA119" s="27"/>
      <c r="AGB119" s="27"/>
      <c r="AGC119" s="27"/>
      <c r="AGD119" s="27"/>
      <c r="AGE119" s="27"/>
      <c r="AGF119" s="27"/>
      <c r="AGG119" s="27"/>
      <c r="AGH119" s="27"/>
      <c r="AGI119" s="27"/>
      <c r="AGJ119" s="27"/>
      <c r="AGK119" s="27"/>
      <c r="AGL119" s="27"/>
      <c r="AGM119" s="27"/>
      <c r="AGN119" s="27"/>
      <c r="AGO119" s="27"/>
      <c r="AGP119" s="27"/>
      <c r="AGQ119" s="27"/>
      <c r="AGR119" s="27"/>
      <c r="AGS119" s="27"/>
      <c r="AGT119" s="27"/>
      <c r="AGU119" s="27"/>
      <c r="AGV119" s="27"/>
      <c r="AGW119" s="27"/>
      <c r="AGX119" s="27"/>
      <c r="AGY119" s="27"/>
      <c r="AGZ119" s="27"/>
      <c r="AHA119" s="27"/>
      <c r="AHB119" s="27"/>
      <c r="AHC119" s="27"/>
      <c r="AHD119" s="27"/>
      <c r="AHE119" s="27"/>
      <c r="AHF119" s="27"/>
      <c r="AHG119" s="27"/>
      <c r="AHH119" s="27"/>
      <c r="AHI119" s="27"/>
      <c r="AHJ119" s="27"/>
      <c r="AHK119" s="27"/>
      <c r="AHL119" s="27"/>
      <c r="AHM119" s="27"/>
      <c r="AHN119" s="27"/>
      <c r="AHO119" s="27"/>
      <c r="AHP119" s="27"/>
      <c r="AHQ119" s="27"/>
      <c r="AHR119" s="27"/>
      <c r="AHS119" s="27"/>
      <c r="AHT119" s="27"/>
      <c r="AHU119" s="27"/>
      <c r="AHV119" s="27"/>
      <c r="AHW119" s="27"/>
      <c r="AHX119" s="27"/>
      <c r="AHY119" s="27"/>
      <c r="AHZ119" s="27"/>
      <c r="AIA119" s="27"/>
      <c r="AIB119" s="27"/>
      <c r="AIC119" s="27"/>
      <c r="AID119" s="27"/>
      <c r="AIE119" s="27"/>
      <c r="AIF119" s="27"/>
      <c r="AIG119" s="27"/>
      <c r="AIH119" s="27"/>
      <c r="AII119" s="27"/>
      <c r="AIJ119" s="27"/>
      <c r="AIK119" s="27"/>
      <c r="AIL119" s="27"/>
      <c r="AIM119" s="27"/>
      <c r="AIN119" s="27"/>
      <c r="AIO119" s="27"/>
      <c r="AIP119" s="27"/>
      <c r="AIQ119" s="27"/>
      <c r="AIR119" s="27"/>
      <c r="AIS119" s="27"/>
      <c r="AIT119" s="27"/>
      <c r="AIU119" s="27"/>
      <c r="AIV119" s="27"/>
      <c r="AIW119" s="27"/>
      <c r="AIX119" s="27"/>
      <c r="AIY119" s="27"/>
      <c r="AIZ119" s="27"/>
      <c r="AJA119" s="27"/>
      <c r="AJB119" s="27"/>
      <c r="AJC119" s="27"/>
      <c r="AJD119" s="27"/>
      <c r="AJE119" s="27"/>
      <c r="AJF119" s="27"/>
      <c r="AJG119" s="27"/>
      <c r="AJH119" s="27"/>
      <c r="AJI119" s="27"/>
      <c r="AJJ119" s="27"/>
      <c r="AJK119" s="27"/>
      <c r="AJL119" s="27"/>
      <c r="AJM119" s="27"/>
      <c r="AJN119" s="27"/>
      <c r="AJO119" s="27"/>
      <c r="AJP119" s="27"/>
      <c r="AJQ119" s="27"/>
      <c r="AJR119" s="27"/>
      <c r="AJS119" s="27"/>
      <c r="AJT119" s="27"/>
      <c r="AJU119" s="27"/>
      <c r="AJV119" s="27"/>
      <c r="AJW119" s="27"/>
      <c r="AJX119" s="27"/>
      <c r="AJY119" s="27"/>
      <c r="AJZ119" s="27"/>
      <c r="AKA119" s="27"/>
      <c r="AKB119" s="27"/>
      <c r="AKC119" s="27"/>
      <c r="AKD119" s="27"/>
      <c r="AKE119" s="27"/>
      <c r="AKF119" s="27"/>
      <c r="AKG119" s="27"/>
      <c r="AKH119" s="27"/>
      <c r="AKI119" s="27"/>
      <c r="AKJ119" s="27"/>
      <c r="AKK119" s="27"/>
      <c r="AKL119" s="27"/>
      <c r="AKM119" s="27"/>
      <c r="AKN119" s="27"/>
      <c r="AKO119" s="27"/>
      <c r="AKP119" s="27"/>
      <c r="AKQ119" s="27"/>
      <c r="AKR119" s="27"/>
      <c r="AKS119" s="27"/>
      <c r="AKT119" s="27"/>
      <c r="AKU119" s="27"/>
      <c r="AKV119" s="27"/>
      <c r="AKW119" s="27"/>
      <c r="AKX119" s="27"/>
      <c r="AKY119" s="27"/>
      <c r="AKZ119" s="27"/>
      <c r="ALA119" s="27"/>
      <c r="ALB119" s="27"/>
      <c r="ALC119" s="27"/>
      <c r="ALD119" s="27"/>
      <c r="ALE119" s="27"/>
      <c r="ALF119" s="27"/>
      <c r="ALG119" s="27"/>
      <c r="ALH119" s="27"/>
      <c r="ALI119" s="27"/>
      <c r="ALJ119" s="27"/>
      <c r="ALK119" s="27"/>
      <c r="ALL119" s="27"/>
      <c r="ALM119" s="27"/>
      <c r="ALN119" s="27"/>
      <c r="ALO119" s="27"/>
      <c r="ALP119" s="27"/>
      <c r="ALQ119" s="27"/>
      <c r="ALR119" s="27"/>
      <c r="ALS119" s="27"/>
      <c r="ALT119" s="27"/>
      <c r="ALU119" s="27"/>
      <c r="ALV119" s="27"/>
      <c r="ALW119" s="27"/>
      <c r="ALX119" s="27"/>
      <c r="ALY119" s="27"/>
      <c r="ALZ119" s="27"/>
      <c r="AMA119" s="27"/>
      <c r="AMB119" s="27"/>
      <c r="AMC119" s="27"/>
      <c r="AMD119" s="27"/>
      <c r="AME119" s="27"/>
      <c r="AMF119" s="27"/>
    </row>
    <row r="120" spans="1:1020" x14ac:dyDescent="0.15">
      <c r="A120" s="6" t="s">
        <v>24</v>
      </c>
      <c r="B120" s="6"/>
      <c r="C120" s="6" t="s">
        <v>4162</v>
      </c>
      <c r="D120" t="s">
        <v>77</v>
      </c>
      <c r="F120">
        <v>500</v>
      </c>
      <c r="G120" t="b">
        <v>0</v>
      </c>
      <c r="H120" s="1" t="s">
        <v>16</v>
      </c>
      <c r="I120" t="s">
        <v>26</v>
      </c>
      <c r="J120">
        <v>1</v>
      </c>
      <c r="K120" s="7" t="b">
        <v>0</v>
      </c>
      <c r="L120" s="7" t="b">
        <v>1</v>
      </c>
      <c r="M120" s="1" t="s">
        <v>18</v>
      </c>
      <c r="N120" s="1" t="s">
        <v>16</v>
      </c>
      <c r="O120" s="1" t="s">
        <v>16</v>
      </c>
      <c r="P120" s="1" t="s">
        <v>16</v>
      </c>
      <c r="Q120" s="1" t="s">
        <v>18</v>
      </c>
      <c r="R120" s="1" t="s">
        <v>16</v>
      </c>
      <c r="S120" t="str">
        <f t="shared" si="24"/>
        <v>mandatory|filter|dataset</v>
      </c>
      <c r="T120" t="str">
        <f t="shared" si="25"/>
        <v>mandatory</v>
      </c>
      <c r="U120" t="str">
        <f t="shared" si="39"/>
        <v>filter</v>
      </c>
      <c r="V120" t="str">
        <f t="shared" si="26"/>
        <v/>
      </c>
      <c r="W120" t="str">
        <f t="shared" si="27"/>
        <v/>
      </c>
      <c r="X120" t="str">
        <f t="shared" si="40"/>
        <v/>
      </c>
      <c r="Y120" t="str">
        <f t="shared" si="41"/>
        <v>dataset</v>
      </c>
      <c r="Z120" t="str">
        <f t="shared" si="42"/>
        <v/>
      </c>
    </row>
    <row r="121" spans="1:1020" x14ac:dyDescent="0.15">
      <c r="A121" s="6" t="s">
        <v>164</v>
      </c>
      <c r="B121" s="6"/>
      <c r="C121" s="6" t="s">
        <v>4099</v>
      </c>
      <c r="D121" s="6" t="s">
        <v>165</v>
      </c>
      <c r="E121" s="6"/>
      <c r="F121">
        <v>550</v>
      </c>
      <c r="G121" t="b">
        <v>0</v>
      </c>
      <c r="H121" s="1" t="s">
        <v>16</v>
      </c>
      <c r="I121" t="s">
        <v>26</v>
      </c>
      <c r="J121">
        <v>1</v>
      </c>
      <c r="K121" s="7" t="b">
        <v>0</v>
      </c>
      <c r="L121" s="7" t="b">
        <v>0</v>
      </c>
      <c r="M121" s="1" t="s">
        <v>18</v>
      </c>
      <c r="N121" s="1" t="s">
        <v>16</v>
      </c>
      <c r="O121" s="1" t="s">
        <v>16</v>
      </c>
      <c r="P121" s="1" t="s">
        <v>16</v>
      </c>
      <c r="Q121" s="1" t="s">
        <v>18</v>
      </c>
      <c r="R121" s="1" t="s">
        <v>16</v>
      </c>
      <c r="S121" t="str">
        <f t="shared" si="24"/>
        <v>filter|dataset</v>
      </c>
      <c r="T121" t="str">
        <f t="shared" si="25"/>
        <v/>
      </c>
      <c r="U121" t="str">
        <f t="shared" si="39"/>
        <v>filter</v>
      </c>
      <c r="V121" t="str">
        <f t="shared" si="26"/>
        <v/>
      </c>
      <c r="W121" t="str">
        <f t="shared" si="27"/>
        <v/>
      </c>
      <c r="X121" t="str">
        <f t="shared" si="40"/>
        <v/>
      </c>
      <c r="Y121" t="str">
        <f t="shared" si="41"/>
        <v>dataset</v>
      </c>
      <c r="Z121" t="str">
        <f t="shared" si="42"/>
        <v/>
      </c>
    </row>
    <row r="122" spans="1:1020" x14ac:dyDescent="0.15">
      <c r="A122" s="6" t="s">
        <v>155</v>
      </c>
      <c r="B122" s="6"/>
      <c r="C122" s="6"/>
      <c r="D122" s="6" t="s">
        <v>156</v>
      </c>
      <c r="E122" s="6"/>
      <c r="F122">
        <v>500</v>
      </c>
      <c r="G122" t="b">
        <v>0</v>
      </c>
      <c r="H122" s="1" t="s">
        <v>16</v>
      </c>
      <c r="I122" t="s">
        <v>26</v>
      </c>
      <c r="J122">
        <v>1</v>
      </c>
      <c r="K122" s="7" t="b">
        <v>0</v>
      </c>
      <c r="L122" s="7" t="b">
        <v>1</v>
      </c>
      <c r="M122" s="1" t="s">
        <v>18</v>
      </c>
      <c r="N122" s="1" t="s">
        <v>16</v>
      </c>
      <c r="O122" s="1" t="s">
        <v>16</v>
      </c>
      <c r="P122" s="1" t="s">
        <v>16</v>
      </c>
      <c r="Q122" s="1" t="s">
        <v>18</v>
      </c>
      <c r="R122" s="1" t="s">
        <v>16</v>
      </c>
      <c r="S122" t="str">
        <f t="shared" si="24"/>
        <v>mandatory|filter|dataset</v>
      </c>
      <c r="T122" t="str">
        <f t="shared" si="25"/>
        <v>mandatory</v>
      </c>
      <c r="U122" t="str">
        <f t="shared" si="39"/>
        <v>filter</v>
      </c>
      <c r="V122" t="str">
        <f t="shared" si="26"/>
        <v/>
      </c>
      <c r="W122" t="str">
        <f t="shared" si="27"/>
        <v/>
      </c>
      <c r="X122" t="str">
        <f t="shared" si="40"/>
        <v/>
      </c>
      <c r="Y122" t="str">
        <f t="shared" si="41"/>
        <v>dataset</v>
      </c>
      <c r="Z122" t="str">
        <f t="shared" si="42"/>
        <v/>
      </c>
    </row>
    <row r="123" spans="1:1020" x14ac:dyDescent="0.15">
      <c r="A123" s="6" t="s">
        <v>4083</v>
      </c>
      <c r="B123" s="6"/>
      <c r="C123" s="6" t="s">
        <v>4067</v>
      </c>
      <c r="D123" s="6" t="s">
        <v>4084</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9"/>
        <v>filter</v>
      </c>
      <c r="V123" t="str">
        <f t="shared" si="26"/>
        <v/>
      </c>
      <c r="W123" t="str">
        <f t="shared" si="27"/>
        <v/>
      </c>
      <c r="X123" t="str">
        <f t="shared" si="40"/>
        <v/>
      </c>
      <c r="Y123" t="str">
        <f t="shared" si="41"/>
        <v>dataset</v>
      </c>
      <c r="Z123" t="str">
        <f t="shared" si="42"/>
        <v/>
      </c>
    </row>
    <row r="124" spans="1:1020" x14ac:dyDescent="0.15">
      <c r="A124" s="6" t="s">
        <v>114</v>
      </c>
      <c r="B124" s="6"/>
      <c r="C124" s="6"/>
      <c r="D124" s="6" t="s">
        <v>115</v>
      </c>
      <c r="E124" s="6"/>
      <c r="F124">
        <v>450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9"/>
        <v>filter</v>
      </c>
      <c r="V124" t="str">
        <f t="shared" si="26"/>
        <v/>
      </c>
      <c r="W124" t="str">
        <f t="shared" si="27"/>
        <v/>
      </c>
      <c r="X124" t="str">
        <f t="shared" si="40"/>
        <v/>
      </c>
      <c r="Y124" t="str">
        <f t="shared" si="41"/>
        <v>dataset</v>
      </c>
      <c r="Z124" t="str">
        <f t="shared" si="42"/>
        <v/>
      </c>
    </row>
    <row r="125" spans="1:1020" x14ac:dyDescent="0.15">
      <c r="A125" s="6" t="s">
        <v>23</v>
      </c>
      <c r="B125" s="6"/>
      <c r="C125" s="6" t="s">
        <v>3964</v>
      </c>
      <c r="D125" s="6" t="s">
        <v>25</v>
      </c>
      <c r="E125" s="6"/>
      <c r="F125">
        <v>550</v>
      </c>
      <c r="G125" t="b">
        <v>0</v>
      </c>
      <c r="H125" s="1" t="s">
        <v>16</v>
      </c>
      <c r="I125" t="s">
        <v>26</v>
      </c>
      <c r="J125">
        <v>1</v>
      </c>
      <c r="K125" s="7" t="b">
        <v>0</v>
      </c>
      <c r="L125" s="7" t="b">
        <v>0</v>
      </c>
      <c r="M125" s="1" t="s">
        <v>18</v>
      </c>
      <c r="N125" s="1" t="s">
        <v>16</v>
      </c>
      <c r="O125" s="1" t="s">
        <v>16</v>
      </c>
      <c r="P125" s="1" t="s">
        <v>16</v>
      </c>
      <c r="Q125" s="1" t="s">
        <v>18</v>
      </c>
      <c r="R125" s="1" t="s">
        <v>16</v>
      </c>
      <c r="S125" t="str">
        <f t="shared" si="24"/>
        <v>filter|dataset</v>
      </c>
      <c r="T125" t="str">
        <f t="shared" si="25"/>
        <v/>
      </c>
      <c r="U125" t="str">
        <f t="shared" si="39"/>
        <v>filter</v>
      </c>
      <c r="V125" t="str">
        <f t="shared" si="26"/>
        <v/>
      </c>
      <c r="W125" t="str">
        <f t="shared" si="27"/>
        <v/>
      </c>
      <c r="X125" t="str">
        <f t="shared" si="40"/>
        <v/>
      </c>
      <c r="Y125" t="str">
        <f t="shared" si="41"/>
        <v>dataset</v>
      </c>
      <c r="Z125" t="str">
        <f t="shared" si="42"/>
        <v/>
      </c>
    </row>
    <row r="126" spans="1:1020" x14ac:dyDescent="0.15">
      <c r="A126" t="s">
        <v>28</v>
      </c>
      <c r="C126" t="s">
        <v>4069</v>
      </c>
      <c r="D126" t="s">
        <v>168</v>
      </c>
      <c r="F126">
        <v>500</v>
      </c>
      <c r="G126" t="b">
        <v>0</v>
      </c>
      <c r="H126" s="1" t="s">
        <v>16</v>
      </c>
      <c r="I126" t="s">
        <v>30</v>
      </c>
      <c r="J126">
        <v>3</v>
      </c>
      <c r="K126" s="7" t="b">
        <v>0</v>
      </c>
      <c r="L126" s="7" t="b">
        <v>1</v>
      </c>
      <c r="M126" s="1" t="s">
        <v>18</v>
      </c>
      <c r="N126" s="1" t="s">
        <v>16</v>
      </c>
      <c r="O126" s="1" t="s">
        <v>16</v>
      </c>
      <c r="P126" s="1" t="s">
        <v>16</v>
      </c>
      <c r="Q126" s="1" t="s">
        <v>18</v>
      </c>
      <c r="R126" s="1" t="s">
        <v>16</v>
      </c>
      <c r="S126" t="str">
        <f t="shared" si="24"/>
        <v>mandatory|filter|dataset</v>
      </c>
      <c r="T126" t="str">
        <f t="shared" si="25"/>
        <v>mandatory</v>
      </c>
      <c r="U126" t="str">
        <f t="shared" si="39"/>
        <v>filter</v>
      </c>
      <c r="V126" t="str">
        <f t="shared" si="26"/>
        <v/>
      </c>
      <c r="W126" t="str">
        <f t="shared" si="27"/>
        <v/>
      </c>
      <c r="X126" t="str">
        <f t="shared" si="40"/>
        <v/>
      </c>
      <c r="Y126" t="str">
        <f t="shared" si="41"/>
        <v>dataset</v>
      </c>
      <c r="Z126" t="str">
        <f t="shared" si="42"/>
        <v/>
      </c>
    </row>
    <row r="127" spans="1:1020" x14ac:dyDescent="0.15">
      <c r="A127" s="6" t="s">
        <v>27</v>
      </c>
      <c r="B127" s="6"/>
      <c r="C127" s="6"/>
      <c r="D127" t="s">
        <v>29</v>
      </c>
      <c r="F127">
        <v>500</v>
      </c>
      <c r="G127" t="b">
        <v>0</v>
      </c>
      <c r="H127" s="1" t="s">
        <v>16</v>
      </c>
      <c r="I127" t="s">
        <v>30</v>
      </c>
      <c r="J127">
        <v>3</v>
      </c>
      <c r="K127" s="7" t="b">
        <v>0</v>
      </c>
      <c r="L127" s="7" t="b">
        <v>0</v>
      </c>
      <c r="M127" s="1" t="s">
        <v>18</v>
      </c>
      <c r="N127" s="1" t="s">
        <v>16</v>
      </c>
      <c r="O127" s="1" t="s">
        <v>16</v>
      </c>
      <c r="P127" s="1" t="s">
        <v>16</v>
      </c>
      <c r="Q127" s="1" t="s">
        <v>18</v>
      </c>
      <c r="R127" s="1" t="s">
        <v>16</v>
      </c>
      <c r="S127" t="str">
        <f t="shared" si="24"/>
        <v>filter|dataset</v>
      </c>
      <c r="T127" t="str">
        <f t="shared" si="25"/>
        <v/>
      </c>
      <c r="U127" t="str">
        <f t="shared" si="39"/>
        <v>filter</v>
      </c>
      <c r="V127" t="str">
        <f t="shared" si="26"/>
        <v/>
      </c>
      <c r="W127" t="str">
        <f t="shared" si="27"/>
        <v/>
      </c>
      <c r="X127" t="str">
        <f t="shared" si="40"/>
        <v/>
      </c>
      <c r="Y127" t="str">
        <f t="shared" si="41"/>
        <v>dataset</v>
      </c>
      <c r="Z127" t="str">
        <f t="shared" si="42"/>
        <v/>
      </c>
    </row>
    <row r="128" spans="1:1020" x14ac:dyDescent="0.15">
      <c r="A128" s="6" t="s">
        <v>96</v>
      </c>
      <c r="B128" s="6"/>
      <c r="C128" s="6"/>
      <c r="D128" t="s">
        <v>97</v>
      </c>
      <c r="F128">
        <v>500</v>
      </c>
      <c r="G128" t="b">
        <v>0</v>
      </c>
      <c r="H128" s="1" t="s">
        <v>16</v>
      </c>
      <c r="I128" t="s">
        <v>30</v>
      </c>
      <c r="J128">
        <v>0</v>
      </c>
      <c r="K128" s="7" t="b">
        <v>0</v>
      </c>
      <c r="L128" s="7" t="b">
        <v>0</v>
      </c>
      <c r="M128" s="1" t="s">
        <v>18</v>
      </c>
      <c r="N128" s="1" t="s">
        <v>16</v>
      </c>
      <c r="O128" s="1" t="s">
        <v>16</v>
      </c>
      <c r="P128" s="1" t="s">
        <v>16</v>
      </c>
      <c r="Q128" s="1" t="s">
        <v>18</v>
      </c>
      <c r="R128" s="1" t="s">
        <v>16</v>
      </c>
      <c r="S128" t="str">
        <f t="shared" si="24"/>
        <v>filter|dataset</v>
      </c>
      <c r="T128" t="str">
        <f t="shared" si="25"/>
        <v/>
      </c>
      <c r="U128" t="str">
        <f t="shared" si="39"/>
        <v>filter</v>
      </c>
      <c r="V128" t="str">
        <f t="shared" si="26"/>
        <v/>
      </c>
      <c r="W128" t="str">
        <f t="shared" si="27"/>
        <v/>
      </c>
      <c r="X128" t="str">
        <f t="shared" si="40"/>
        <v/>
      </c>
      <c r="Y128" t="str">
        <f t="shared" si="41"/>
        <v>dataset</v>
      </c>
      <c r="Z128" t="str">
        <f t="shared" si="42"/>
        <v/>
      </c>
    </row>
    <row r="129" spans="1:26" x14ac:dyDescent="0.15">
      <c r="A129" s="6" t="s">
        <v>160</v>
      </c>
      <c r="B129" s="6"/>
      <c r="C129" s="6"/>
      <c r="D129" t="s">
        <v>162</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9"/>
        <v>filter</v>
      </c>
      <c r="V129" t="str">
        <f t="shared" si="26"/>
        <v/>
      </c>
      <c r="W129" t="str">
        <f t="shared" si="27"/>
        <v/>
      </c>
      <c r="X129" t="str">
        <f t="shared" si="40"/>
        <v/>
      </c>
      <c r="Y129" t="str">
        <f t="shared" si="41"/>
        <v>dataset</v>
      </c>
      <c r="Z129" t="str">
        <f t="shared" si="42"/>
        <v/>
      </c>
    </row>
    <row r="130" spans="1:26" x14ac:dyDescent="0.15">
      <c r="A130" s="6" t="s">
        <v>161</v>
      </c>
      <c r="B130" s="6"/>
      <c r="C130" s="6"/>
      <c r="D130" t="s">
        <v>163</v>
      </c>
      <c r="F130">
        <v>500</v>
      </c>
      <c r="G130" t="b">
        <v>0</v>
      </c>
      <c r="H130" s="1" t="s">
        <v>16</v>
      </c>
      <c r="I130" t="s">
        <v>30</v>
      </c>
      <c r="J130">
        <v>3</v>
      </c>
      <c r="K130" s="7" t="b">
        <v>0</v>
      </c>
      <c r="L130" s="7" t="b">
        <v>1</v>
      </c>
      <c r="M130" s="1" t="s">
        <v>18</v>
      </c>
      <c r="N130" s="1" t="s">
        <v>16</v>
      </c>
      <c r="O130" s="1" t="s">
        <v>16</v>
      </c>
      <c r="P130" s="1" t="s">
        <v>16</v>
      </c>
      <c r="Q130" s="1" t="s">
        <v>18</v>
      </c>
      <c r="R130" s="1" t="s">
        <v>16</v>
      </c>
      <c r="S130" t="str">
        <f t="shared" si="24"/>
        <v>mandatory|filter|dataset</v>
      </c>
      <c r="T130" t="str">
        <f t="shared" si="25"/>
        <v>mandatory</v>
      </c>
      <c r="U130" t="str">
        <f t="shared" si="39"/>
        <v>filter</v>
      </c>
      <c r="V130" t="str">
        <f t="shared" si="26"/>
        <v/>
      </c>
      <c r="W130" t="str">
        <f t="shared" si="27"/>
        <v/>
      </c>
      <c r="X130" t="str">
        <f t="shared" si="40"/>
        <v/>
      </c>
      <c r="Y130" t="str">
        <f t="shared" si="41"/>
        <v>dataset</v>
      </c>
      <c r="Z130" t="str">
        <f t="shared" si="42"/>
        <v/>
      </c>
    </row>
    <row r="131" spans="1:26" x14ac:dyDescent="0.15">
      <c r="A131" t="s">
        <v>60</v>
      </c>
      <c r="D131" t="s">
        <v>61</v>
      </c>
      <c r="F131">
        <v>200</v>
      </c>
      <c r="G131" t="b">
        <v>0</v>
      </c>
      <c r="H131" s="1" t="s">
        <v>16</v>
      </c>
      <c r="I131" t="s">
        <v>62</v>
      </c>
      <c r="J131">
        <v>0</v>
      </c>
      <c r="K131" s="7" t="b">
        <v>0</v>
      </c>
      <c r="L131" s="7" t="b">
        <v>0</v>
      </c>
      <c r="M131" s="1" t="s">
        <v>18</v>
      </c>
      <c r="N131" s="1" t="s">
        <v>16</v>
      </c>
      <c r="O131" s="1" t="s">
        <v>16</v>
      </c>
      <c r="P131" s="1" t="s">
        <v>16</v>
      </c>
      <c r="Q131" s="1" t="s">
        <v>18</v>
      </c>
      <c r="R131" s="1" t="s">
        <v>16</v>
      </c>
      <c r="S131" t="str">
        <f t="shared" ref="S131:S136" si="43">_xlfn.TEXTJOIN("|",TRUE,T131:AB131)</f>
        <v>filter|dataset</v>
      </c>
      <c r="T131" t="str">
        <f t="shared" si="25"/>
        <v/>
      </c>
      <c r="U131" t="str">
        <f t="shared" si="39"/>
        <v>filter</v>
      </c>
      <c r="V131" t="str">
        <f t="shared" si="26"/>
        <v/>
      </c>
      <c r="W131" t="str">
        <f t="shared" si="27"/>
        <v/>
      </c>
      <c r="X131" t="str">
        <f t="shared" si="40"/>
        <v/>
      </c>
      <c r="Y131" t="str">
        <f t="shared" si="41"/>
        <v>dataset</v>
      </c>
      <c r="Z131" t="str">
        <f t="shared" si="42"/>
        <v/>
      </c>
    </row>
    <row r="132" spans="1:26" x14ac:dyDescent="0.15">
      <c r="A132" t="s">
        <v>63</v>
      </c>
      <c r="D132" t="s">
        <v>64</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43"/>
        <v>filter|dataset</v>
      </c>
      <c r="T132" t="str">
        <f t="shared" si="25"/>
        <v/>
      </c>
      <c r="U132" t="str">
        <f t="shared" si="39"/>
        <v>filter</v>
      </c>
      <c r="V132" t="str">
        <f t="shared" si="26"/>
        <v/>
      </c>
      <c r="W132" t="str">
        <f t="shared" si="27"/>
        <v/>
      </c>
      <c r="X132" t="str">
        <f t="shared" si="40"/>
        <v/>
      </c>
      <c r="Y132" t="str">
        <f t="shared" si="41"/>
        <v>dataset</v>
      </c>
      <c r="Z132" t="str">
        <f t="shared" si="42"/>
        <v/>
      </c>
    </row>
    <row r="133" spans="1:26" x14ac:dyDescent="0.15">
      <c r="A133" s="6" t="s">
        <v>65</v>
      </c>
      <c r="B133" s="6"/>
      <c r="C133" s="6"/>
      <c r="D133" t="s">
        <v>66</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43"/>
        <v>filter|dataset</v>
      </c>
      <c r="T133" t="str">
        <f t="shared" si="25"/>
        <v/>
      </c>
      <c r="U133" t="str">
        <f t="shared" si="39"/>
        <v>filter</v>
      </c>
      <c r="V133" t="str">
        <f t="shared" si="26"/>
        <v/>
      </c>
      <c r="W133" t="str">
        <f t="shared" si="27"/>
        <v/>
      </c>
      <c r="X133" t="str">
        <f t="shared" si="40"/>
        <v/>
      </c>
      <c r="Y133" t="str">
        <f t="shared" si="41"/>
        <v>dataset</v>
      </c>
      <c r="Z133" t="str">
        <f t="shared" si="42"/>
        <v/>
      </c>
    </row>
    <row r="134" spans="1:26" x14ac:dyDescent="0.15">
      <c r="A134" t="s">
        <v>67</v>
      </c>
      <c r="D134" t="s">
        <v>68</v>
      </c>
      <c r="F134">
        <v>200</v>
      </c>
      <c r="G134" t="b">
        <v>0</v>
      </c>
      <c r="H134" s="1" t="s">
        <v>16</v>
      </c>
      <c r="I134" t="s">
        <v>62</v>
      </c>
      <c r="J134">
        <v>0</v>
      </c>
      <c r="K134" s="7" t="b">
        <v>0</v>
      </c>
      <c r="L134" s="7" t="b">
        <v>0</v>
      </c>
      <c r="M134" s="1" t="s">
        <v>18</v>
      </c>
      <c r="N134" s="1" t="s">
        <v>16</v>
      </c>
      <c r="O134" s="1" t="s">
        <v>16</v>
      </c>
      <c r="P134" s="1" t="s">
        <v>16</v>
      </c>
      <c r="Q134" s="1" t="s">
        <v>18</v>
      </c>
      <c r="R134" s="1" t="s">
        <v>16</v>
      </c>
      <c r="S134" t="str">
        <f t="shared" si="43"/>
        <v>filter|dataset</v>
      </c>
      <c r="T134" t="str">
        <f t="shared" si="25"/>
        <v/>
      </c>
      <c r="U134" t="str">
        <f t="shared" si="39"/>
        <v>filter</v>
      </c>
      <c r="V134" t="str">
        <f t="shared" si="26"/>
        <v/>
      </c>
      <c r="W134" t="str">
        <f t="shared" si="27"/>
        <v/>
      </c>
      <c r="X134" t="str">
        <f t="shared" si="40"/>
        <v/>
      </c>
      <c r="Y134" t="str">
        <f t="shared" si="41"/>
        <v>dataset</v>
      </c>
      <c r="Z134" t="str">
        <f t="shared" si="42"/>
        <v/>
      </c>
    </row>
    <row r="135" spans="1:26" x14ac:dyDescent="0.15">
      <c r="A135" t="s">
        <v>31</v>
      </c>
      <c r="D135" t="s">
        <v>32</v>
      </c>
      <c r="F135">
        <v>500</v>
      </c>
      <c r="G135" t="b">
        <v>1</v>
      </c>
      <c r="H135" s="1" t="s">
        <v>16</v>
      </c>
      <c r="I135" t="s">
        <v>33</v>
      </c>
      <c r="J135">
        <v>0</v>
      </c>
      <c r="K135" s="7" t="b">
        <v>0</v>
      </c>
      <c r="L135" s="7" t="b">
        <v>0</v>
      </c>
      <c r="M135" s="1" t="s">
        <v>16</v>
      </c>
      <c r="N135" s="1" t="s">
        <v>16</v>
      </c>
      <c r="O135" s="1" t="s">
        <v>16</v>
      </c>
      <c r="P135" s="1" t="s">
        <v>16</v>
      </c>
      <c r="Q135" s="1" t="s">
        <v>18</v>
      </c>
      <c r="R135" s="1" t="s">
        <v>16</v>
      </c>
      <c r="S135" t="str">
        <f t="shared" si="43"/>
        <v>dataset|sample</v>
      </c>
      <c r="T135" t="str">
        <f t="shared" si="25"/>
        <v/>
      </c>
      <c r="U135" t="str">
        <f t="shared" si="39"/>
        <v/>
      </c>
      <c r="V135" t="str">
        <f t="shared" si="26"/>
        <v/>
      </c>
      <c r="W135" t="str">
        <f t="shared" si="27"/>
        <v/>
      </c>
      <c r="X135" t="str">
        <f t="shared" si="40"/>
        <v/>
      </c>
      <c r="Y135" t="str">
        <f t="shared" si="41"/>
        <v>dataset</v>
      </c>
      <c r="Z135" t="s">
        <v>4234</v>
      </c>
    </row>
    <row r="136" spans="1:26" x14ac:dyDescent="0.15">
      <c r="A136" t="s">
        <v>4232</v>
      </c>
      <c r="C136" t="s">
        <v>3964</v>
      </c>
      <c r="D136" t="s">
        <v>4233</v>
      </c>
      <c r="F136">
        <v>600</v>
      </c>
      <c r="G136" t="b">
        <v>0</v>
      </c>
      <c r="H136" s="1" t="s">
        <v>16</v>
      </c>
      <c r="I136" t="s">
        <v>38</v>
      </c>
      <c r="J136">
        <v>0</v>
      </c>
      <c r="K136" s="7" t="b">
        <v>0</v>
      </c>
      <c r="L136" s="7" t="b">
        <v>0</v>
      </c>
      <c r="M136" s="1" t="s">
        <v>16</v>
      </c>
      <c r="N136" s="1" t="s">
        <v>16</v>
      </c>
      <c r="O136" s="1" t="s">
        <v>16</v>
      </c>
      <c r="P136" s="1" t="s">
        <v>16</v>
      </c>
      <c r="Q136" s="1" t="s">
        <v>18</v>
      </c>
      <c r="R136" s="1" t="s">
        <v>16</v>
      </c>
      <c r="S136" t="str">
        <f t="shared" si="43"/>
        <v>dataset|sample</v>
      </c>
      <c r="Y136" t="s">
        <v>2506</v>
      </c>
      <c r="Z136" t="s">
        <v>4234</v>
      </c>
    </row>
    <row r="141" spans="1:26" x14ac:dyDescent="0.15">
      <c r="B141" s="8"/>
      <c r="C141" s="8"/>
    </row>
    <row r="142" spans="1:26" x14ac:dyDescent="0.15">
      <c r="B142" s="8"/>
      <c r="C142" s="8"/>
    </row>
    <row r="153" spans="1:2" x14ac:dyDescent="0.15">
      <c r="A153" s="8"/>
      <c r="B153" s="8"/>
    </row>
    <row r="154" spans="1:2" x14ac:dyDescent="0.15">
      <c r="A154" s="8"/>
      <c r="B154" s="8"/>
    </row>
    <row r="155" spans="1:2" x14ac:dyDescent="0.15">
      <c r="A155" s="8"/>
      <c r="B155" s="8"/>
    </row>
    <row r="156" spans="1:2" x14ac:dyDescent="0.15">
      <c r="A156" s="8"/>
      <c r="B156" s="8"/>
    </row>
    <row r="157" spans="1:2" x14ac:dyDescent="0.15">
      <c r="A157" s="8"/>
      <c r="B157" s="8"/>
    </row>
  </sheetData>
  <autoFilter ref="A1:AMF129" xr:uid="{00000000-0001-0000-0000-000000000000}">
    <sortState xmlns:xlrd2="http://schemas.microsoft.com/office/spreadsheetml/2017/richdata2" ref="A2:AMF135">
      <sortCondition descending="1" ref="I1:I135"/>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9">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3" t="s">
        <v>0</v>
      </c>
      <c r="B1" s="3" t="s">
        <v>3963</v>
      </c>
    </row>
    <row r="2" spans="1:2" x14ac:dyDescent="0.15">
      <c r="A2" t="s">
        <v>176</v>
      </c>
    </row>
    <row r="3" spans="1:2" x14ac:dyDescent="0.15">
      <c r="A3" t="s">
        <v>178</v>
      </c>
    </row>
    <row r="4" spans="1:2" x14ac:dyDescent="0.15">
      <c r="A4" t="s">
        <v>182</v>
      </c>
    </row>
    <row r="5" spans="1:2" x14ac:dyDescent="0.15">
      <c r="A5" t="s">
        <v>180</v>
      </c>
    </row>
    <row r="6" spans="1:2" x14ac:dyDescent="0.15">
      <c r="A6" t="s">
        <v>184</v>
      </c>
    </row>
    <row r="7" spans="1:2" x14ac:dyDescent="0.15">
      <c r="A7" t="s">
        <v>186</v>
      </c>
    </row>
    <row r="8" spans="1:2" x14ac:dyDescent="0.15">
      <c r="A8" s="30" t="s">
        <v>4061</v>
      </c>
      <c r="B8" t="s">
        <v>14</v>
      </c>
    </row>
    <row r="9" spans="1:2" x14ac:dyDescent="0.15">
      <c r="A9" s="8" t="s">
        <v>4062</v>
      </c>
    </row>
    <row r="10" spans="1:2" x14ac:dyDescent="0.15">
      <c r="A10" s="8" t="s">
        <v>4063</v>
      </c>
    </row>
    <row r="11" spans="1:2" x14ac:dyDescent="0.15">
      <c r="A11" s="8" t="s">
        <v>4228</v>
      </c>
    </row>
    <row r="12" spans="1:2" x14ac:dyDescent="0.15">
      <c r="A12" s="8" t="s">
        <v>4065</v>
      </c>
    </row>
    <row r="13" spans="1:2" x14ac:dyDescent="0.15">
      <c r="A13" s="8" t="s">
        <v>4066</v>
      </c>
    </row>
    <row r="14" spans="1:2" x14ac:dyDescent="0.15">
      <c r="A14" s="8" t="s">
        <v>3968</v>
      </c>
    </row>
    <row r="15" spans="1:2" x14ac:dyDescent="0.15">
      <c r="A15" s="8" t="s">
        <v>3966</v>
      </c>
    </row>
    <row r="16" spans="1:2" x14ac:dyDescent="0.15">
      <c r="A16" s="8" t="s">
        <v>3971</v>
      </c>
    </row>
    <row r="17" spans="1:2" x14ac:dyDescent="0.15">
      <c r="A17" s="8" t="s">
        <v>4067</v>
      </c>
    </row>
    <row r="18" spans="1:2" x14ac:dyDescent="0.15">
      <c r="A18" s="8" t="s">
        <v>4068</v>
      </c>
    </row>
    <row r="19" spans="1:2" x14ac:dyDescent="0.15">
      <c r="A19" s="8" t="s">
        <v>1163</v>
      </c>
    </row>
    <row r="20" spans="1:2" x14ac:dyDescent="0.15">
      <c r="A20" s="8" t="s">
        <v>4069</v>
      </c>
    </row>
    <row r="21" spans="1:2" x14ac:dyDescent="0.15">
      <c r="A21" s="8" t="s">
        <v>4070</v>
      </c>
    </row>
    <row r="22" spans="1:2" x14ac:dyDescent="0.15">
      <c r="A22" s="8" t="s">
        <v>4071</v>
      </c>
    </row>
    <row r="23" spans="1:2" x14ac:dyDescent="0.15">
      <c r="A23" t="s">
        <v>4077</v>
      </c>
    </row>
    <row r="24" spans="1:2" x14ac:dyDescent="0.15">
      <c r="A24" s="8" t="s">
        <v>4141</v>
      </c>
    </row>
    <row r="25" spans="1:2" x14ac:dyDescent="0.15">
      <c r="A25" s="8" t="s">
        <v>4143</v>
      </c>
    </row>
    <row r="26" spans="1:2" x14ac:dyDescent="0.15">
      <c r="A26" s="8" t="s">
        <v>4148</v>
      </c>
    </row>
    <row r="27" spans="1:2" x14ac:dyDescent="0.15">
      <c r="A27" s="8" t="s">
        <v>4149</v>
      </c>
    </row>
    <row r="28" spans="1:2" x14ac:dyDescent="0.15">
      <c r="A28" s="8" t="s">
        <v>4156</v>
      </c>
    </row>
    <row r="29" spans="1:2" x14ac:dyDescent="0.15">
      <c r="A29" s="6" t="s">
        <v>13</v>
      </c>
      <c r="B29" s="6"/>
    </row>
    <row r="30" spans="1:2" x14ac:dyDescent="0.15">
      <c r="A30" s="6" t="s">
        <v>84</v>
      </c>
      <c r="B30" s="6" t="s">
        <v>4063</v>
      </c>
    </row>
    <row r="31" spans="1:2" x14ac:dyDescent="0.15">
      <c r="A31" s="6" t="s">
        <v>202</v>
      </c>
      <c r="B31" s="6"/>
    </row>
    <row r="32" spans="1:2" x14ac:dyDescent="0.15">
      <c r="A32" t="s">
        <v>2739</v>
      </c>
    </row>
    <row r="33" spans="1:2" x14ac:dyDescent="0.15">
      <c r="A33" s="6" t="s">
        <v>58</v>
      </c>
      <c r="B33" s="6" t="s">
        <v>3964</v>
      </c>
    </row>
    <row r="34" spans="1:2" x14ac:dyDescent="0.15">
      <c r="A34" t="s">
        <v>2837</v>
      </c>
    </row>
    <row r="35" spans="1:2" x14ac:dyDescent="0.15">
      <c r="A35" t="s">
        <v>1163</v>
      </c>
    </row>
    <row r="36" spans="1:2" x14ac:dyDescent="0.15">
      <c r="A36" t="s">
        <v>2882</v>
      </c>
    </row>
    <row r="37" spans="1:2" x14ac:dyDescent="0.15">
      <c r="A37" s="6" t="s">
        <v>41</v>
      </c>
      <c r="B37" s="6"/>
    </row>
    <row r="38" spans="1:2" x14ac:dyDescent="0.15">
      <c r="A38" s="6" t="s">
        <v>44</v>
      </c>
      <c r="B38" s="6"/>
    </row>
    <row r="39" spans="1:2" x14ac:dyDescent="0.15">
      <c r="A39" s="6" t="s">
        <v>2881</v>
      </c>
      <c r="B39" s="6"/>
    </row>
    <row r="40" spans="1:2" x14ac:dyDescent="0.15">
      <c r="A40" t="s">
        <v>39</v>
      </c>
      <c r="B40" t="s">
        <v>4156</v>
      </c>
    </row>
    <row r="41" spans="1:2" x14ac:dyDescent="0.15">
      <c r="A41" t="s">
        <v>2938</v>
      </c>
    </row>
    <row r="42" spans="1:2" x14ac:dyDescent="0.15">
      <c r="A42" s="6" t="s">
        <v>2981</v>
      </c>
      <c r="B42" s="6"/>
    </row>
    <row r="43" spans="1:2" x14ac:dyDescent="0.15">
      <c r="A43" s="6" t="s">
        <v>3113</v>
      </c>
      <c r="B43" s="6"/>
    </row>
    <row r="44" spans="1:2" x14ac:dyDescent="0.15">
      <c r="A44" t="s">
        <v>2872</v>
      </c>
    </row>
    <row r="45" spans="1:2" x14ac:dyDescent="0.15">
      <c r="A45" t="s">
        <v>36</v>
      </c>
    </row>
    <row r="46" spans="1:2" x14ac:dyDescent="0.15">
      <c r="A46" t="s">
        <v>82</v>
      </c>
    </row>
    <row r="47" spans="1:2" x14ac:dyDescent="0.15">
      <c r="A47" s="6" t="s">
        <v>119</v>
      </c>
      <c r="B47" s="6"/>
    </row>
    <row r="48" spans="1:2" x14ac:dyDescent="0.15">
      <c r="A48" t="s">
        <v>124</v>
      </c>
    </row>
    <row r="49" spans="1:2" x14ac:dyDescent="0.15">
      <c r="A49" t="s">
        <v>138</v>
      </c>
    </row>
    <row r="50" spans="1:2" x14ac:dyDescent="0.15">
      <c r="A50" t="s">
        <v>3010</v>
      </c>
    </row>
    <row r="51" spans="1:2" x14ac:dyDescent="0.15">
      <c r="A51" t="s">
        <v>139</v>
      </c>
    </row>
    <row r="52" spans="1:2" x14ac:dyDescent="0.15">
      <c r="A52" s="6" t="s">
        <v>3106</v>
      </c>
      <c r="B52" s="6"/>
    </row>
    <row r="53" spans="1:2" x14ac:dyDescent="0.15">
      <c r="A53" t="s">
        <v>153</v>
      </c>
    </row>
    <row r="54" spans="1:2" x14ac:dyDescent="0.15">
      <c r="A54" s="6" t="s">
        <v>171</v>
      </c>
      <c r="B54" s="6"/>
    </row>
    <row r="55" spans="1:2" x14ac:dyDescent="0.15">
      <c r="A55" s="6" t="s">
        <v>173</v>
      </c>
      <c r="B55" s="6"/>
    </row>
    <row r="56" spans="1:2" x14ac:dyDescent="0.15">
      <c r="A56" t="s">
        <v>2831</v>
      </c>
      <c r="B56" t="s">
        <v>4228</v>
      </c>
    </row>
    <row r="57" spans="1:2" x14ac:dyDescent="0.15">
      <c r="A57" t="s">
        <v>4097</v>
      </c>
    </row>
    <row r="58" spans="1:2" x14ac:dyDescent="0.15">
      <c r="A58" t="s">
        <v>3088</v>
      </c>
    </row>
    <row r="59" spans="1:2" x14ac:dyDescent="0.15">
      <c r="A59" t="s">
        <v>3123</v>
      </c>
    </row>
    <row r="60" spans="1:2" ht="16" x14ac:dyDescent="0.2">
      <c r="A60" s="22" t="s">
        <v>3139</v>
      </c>
      <c r="B60" s="22"/>
    </row>
    <row r="61" spans="1:2" x14ac:dyDescent="0.15">
      <c r="A61" t="s">
        <v>3145</v>
      </c>
    </row>
    <row r="62" spans="1:2" x14ac:dyDescent="0.15">
      <c r="A62" t="s">
        <v>3161</v>
      </c>
    </row>
    <row r="63" spans="1:2" x14ac:dyDescent="0.15">
      <c r="A63" t="s">
        <v>2769</v>
      </c>
    </row>
    <row r="64" spans="1:2" x14ac:dyDescent="0.15">
      <c r="A64" t="s">
        <v>3951</v>
      </c>
      <c r="B64" t="s">
        <v>3964</v>
      </c>
    </row>
    <row r="65" spans="1:2" x14ac:dyDescent="0.15">
      <c r="A65" s="6" t="s">
        <v>3243</v>
      </c>
      <c r="B65" s="6"/>
    </row>
    <row r="66" spans="1:2" x14ac:dyDescent="0.15">
      <c r="A66" t="s">
        <v>3943</v>
      </c>
    </row>
    <row r="67" spans="1:2" x14ac:dyDescent="0.15">
      <c r="A67" t="s">
        <v>121</v>
      </c>
    </row>
    <row r="68" spans="1:2" x14ac:dyDescent="0.15">
      <c r="A68" t="s">
        <v>35</v>
      </c>
      <c r="B68" t="s">
        <v>3965</v>
      </c>
    </row>
    <row r="69" spans="1:2" x14ac:dyDescent="0.15">
      <c r="A69" t="s">
        <v>89</v>
      </c>
      <c r="B69" t="s">
        <v>3966</v>
      </c>
    </row>
    <row r="70" spans="1:2" x14ac:dyDescent="0.15">
      <c r="A70" s="6" t="s">
        <v>69</v>
      </c>
      <c r="B70" s="6"/>
    </row>
    <row r="71" spans="1:2" x14ac:dyDescent="0.15">
      <c r="A71" s="6" t="s">
        <v>3967</v>
      </c>
      <c r="B71" s="6" t="s">
        <v>3968</v>
      </c>
    </row>
    <row r="72" spans="1:2" x14ac:dyDescent="0.15">
      <c r="A72" t="s">
        <v>92</v>
      </c>
      <c r="B72" s="6" t="s">
        <v>3968</v>
      </c>
    </row>
    <row r="73" spans="1:2" x14ac:dyDescent="0.15">
      <c r="A73" t="s">
        <v>94</v>
      </c>
      <c r="B73" s="6" t="s">
        <v>3968</v>
      </c>
    </row>
    <row r="74" spans="1:2" x14ac:dyDescent="0.15">
      <c r="A74" t="s">
        <v>3851</v>
      </c>
      <c r="B74" t="s">
        <v>20</v>
      </c>
    </row>
    <row r="75" spans="1:2" x14ac:dyDescent="0.15">
      <c r="A75" t="s">
        <v>20</v>
      </c>
      <c r="B75" t="s">
        <v>19</v>
      </c>
    </row>
    <row r="76" spans="1:2" x14ac:dyDescent="0.15">
      <c r="A76" s="6" t="s">
        <v>19</v>
      </c>
      <c r="B76" s="6" t="s">
        <v>4076</v>
      </c>
    </row>
    <row r="77" spans="1:2" x14ac:dyDescent="0.15">
      <c r="A77" s="6" t="s">
        <v>46</v>
      </c>
      <c r="B77" s="6"/>
    </row>
    <row r="78" spans="1:2" x14ac:dyDescent="0.15">
      <c r="A78" s="6" t="s">
        <v>90</v>
      </c>
      <c r="B78" s="6"/>
    </row>
    <row r="79" spans="1:2" x14ac:dyDescent="0.15">
      <c r="A79" s="6" t="s">
        <v>108</v>
      </c>
      <c r="B79" s="6"/>
    </row>
    <row r="80" spans="1:2" x14ac:dyDescent="0.15">
      <c r="A80" s="6" t="s">
        <v>130</v>
      </c>
      <c r="B80" s="6"/>
    </row>
    <row r="81" spans="1:2" x14ac:dyDescent="0.15">
      <c r="A81" s="6" t="s">
        <v>132</v>
      </c>
      <c r="B81" s="6"/>
    </row>
    <row r="82" spans="1:2" x14ac:dyDescent="0.15">
      <c r="A82" s="6" t="s">
        <v>134</v>
      </c>
      <c r="B82" s="6"/>
    </row>
    <row r="83" spans="1:2" x14ac:dyDescent="0.15">
      <c r="A83" s="6" t="s">
        <v>136</v>
      </c>
      <c r="B83" s="6"/>
    </row>
    <row r="84" spans="1:2" x14ac:dyDescent="0.15">
      <c r="A84" t="s">
        <v>166</v>
      </c>
    </row>
    <row r="85" spans="1:2" x14ac:dyDescent="0.15">
      <c r="A85" t="s">
        <v>91</v>
      </c>
    </row>
    <row r="86" spans="1:2" x14ac:dyDescent="0.15">
      <c r="A86" t="s">
        <v>131</v>
      </c>
      <c r="B86" t="s">
        <v>4068</v>
      </c>
    </row>
    <row r="87" spans="1:2" x14ac:dyDescent="0.15">
      <c r="A87" t="s">
        <v>135</v>
      </c>
      <c r="B87" t="s">
        <v>4068</v>
      </c>
    </row>
    <row r="88" spans="1:2" x14ac:dyDescent="0.15">
      <c r="A88" s="6" t="s">
        <v>3045</v>
      </c>
      <c r="B88" s="6"/>
    </row>
    <row r="89" spans="1:2" x14ac:dyDescent="0.15">
      <c r="A89" s="6" t="s">
        <v>3046</v>
      </c>
      <c r="B89" s="6"/>
    </row>
    <row r="90" spans="1:2" x14ac:dyDescent="0.15">
      <c r="A90" s="6" t="s">
        <v>116</v>
      </c>
      <c r="B90" s="6"/>
    </row>
    <row r="91" spans="1:2" x14ac:dyDescent="0.15">
      <c r="A91" s="6" t="s">
        <v>71</v>
      </c>
      <c r="B91" s="6" t="s">
        <v>116</v>
      </c>
    </row>
    <row r="92" spans="1:2" x14ac:dyDescent="0.15">
      <c r="A92" s="6" t="s">
        <v>70</v>
      </c>
      <c r="B92" s="6" t="s">
        <v>4061</v>
      </c>
    </row>
    <row r="93" spans="1:2" x14ac:dyDescent="0.15">
      <c r="A93" s="6" t="s">
        <v>3213</v>
      </c>
      <c r="B93" s="6" t="s">
        <v>4063</v>
      </c>
    </row>
    <row r="94" spans="1:2" ht="28" x14ac:dyDescent="0.15">
      <c r="A94" t="s">
        <v>49</v>
      </c>
      <c r="B94" s="34" t="s">
        <v>4155</v>
      </c>
    </row>
    <row r="95" spans="1:2" x14ac:dyDescent="0.15">
      <c r="A95" t="s">
        <v>4095</v>
      </c>
      <c r="B95" t="s">
        <v>4096</v>
      </c>
    </row>
    <row r="96" spans="1:2" x14ac:dyDescent="0.15">
      <c r="A96" t="s">
        <v>4096</v>
      </c>
      <c r="B96" t="s">
        <v>3213</v>
      </c>
    </row>
    <row r="97" spans="1:2" x14ac:dyDescent="0.15">
      <c r="A97" t="s">
        <v>55</v>
      </c>
      <c r="B97" s="8"/>
    </row>
    <row r="98" spans="1:2" x14ac:dyDescent="0.15">
      <c r="A98" t="s">
        <v>157</v>
      </c>
      <c r="B98" t="s">
        <v>159</v>
      </c>
    </row>
    <row r="99" spans="1:2" x14ac:dyDescent="0.15">
      <c r="A99" t="s">
        <v>101</v>
      </c>
      <c r="B99" t="s">
        <v>4181</v>
      </c>
    </row>
    <row r="100" spans="1:2" x14ac:dyDescent="0.15">
      <c r="A100" t="s">
        <v>102</v>
      </c>
    </row>
    <row r="101" spans="1:2" x14ac:dyDescent="0.15">
      <c r="A101" t="s">
        <v>105</v>
      </c>
      <c r="B101" t="s">
        <v>4229</v>
      </c>
    </row>
    <row r="102" spans="1:2" x14ac:dyDescent="0.15">
      <c r="A102" s="6" t="s">
        <v>4163</v>
      </c>
    </row>
    <row r="103" spans="1:2" x14ac:dyDescent="0.15">
      <c r="A103" s="6" t="s">
        <v>4178</v>
      </c>
    </row>
    <row r="104" spans="1:2" x14ac:dyDescent="0.15">
      <c r="A104" t="s">
        <v>159</v>
      </c>
      <c r="B104" t="s">
        <v>4195</v>
      </c>
    </row>
    <row r="105" spans="1:2" x14ac:dyDescent="0.15">
      <c r="A105" t="s">
        <v>4189</v>
      </c>
    </row>
    <row r="106" spans="1:2" x14ac:dyDescent="0.15">
      <c r="A106" t="s">
        <v>4190</v>
      </c>
    </row>
    <row r="107" spans="1:2" x14ac:dyDescent="0.15">
      <c r="A107" t="s">
        <v>4191</v>
      </c>
    </row>
    <row r="108" spans="1:2" x14ac:dyDescent="0.15">
      <c r="A108" t="s">
        <v>4194</v>
      </c>
    </row>
    <row r="109" spans="1:2" x14ac:dyDescent="0.15">
      <c r="A109" t="s">
        <v>4204</v>
      </c>
    </row>
    <row r="110" spans="1:2" x14ac:dyDescent="0.15">
      <c r="A110" t="s">
        <v>86</v>
      </c>
    </row>
    <row r="111" spans="1:2" x14ac:dyDescent="0.15">
      <c r="A111" t="s">
        <v>148</v>
      </c>
    </row>
    <row r="112" spans="1:2" x14ac:dyDescent="0.15">
      <c r="A112" t="s">
        <v>98</v>
      </c>
    </row>
    <row r="113" spans="1:2" x14ac:dyDescent="0.15">
      <c r="A113" s="6" t="s">
        <v>169</v>
      </c>
      <c r="B113" s="6"/>
    </row>
    <row r="114" spans="1:2" x14ac:dyDescent="0.15">
      <c r="A114" s="6" t="s">
        <v>141</v>
      </c>
      <c r="B114" s="6"/>
    </row>
    <row r="115" spans="1:2" x14ac:dyDescent="0.15">
      <c r="A115" s="6" t="s">
        <v>142</v>
      </c>
      <c r="B115" s="6"/>
    </row>
    <row r="116" spans="1:2" x14ac:dyDescent="0.15">
      <c r="A116" s="6" t="s">
        <v>145</v>
      </c>
      <c r="B116" s="6"/>
    </row>
    <row r="117" spans="1:2" x14ac:dyDescent="0.15">
      <c r="A117" s="6" t="s">
        <v>109</v>
      </c>
      <c r="B117" s="6" t="s">
        <v>4230</v>
      </c>
    </row>
    <row r="118" spans="1:2" x14ac:dyDescent="0.15">
      <c r="A118" s="27" t="s">
        <v>3841</v>
      </c>
      <c r="B118" s="27"/>
    </row>
    <row r="119" spans="1:2" x14ac:dyDescent="0.15">
      <c r="A119" s="6" t="s">
        <v>24</v>
      </c>
      <c r="B119" s="6" t="s">
        <v>4162</v>
      </c>
    </row>
    <row r="120" spans="1:2" x14ac:dyDescent="0.15">
      <c r="A120" s="6" t="s">
        <v>164</v>
      </c>
      <c r="B120" s="6" t="s">
        <v>4099</v>
      </c>
    </row>
    <row r="121" spans="1:2" x14ac:dyDescent="0.15">
      <c r="A121" s="6" t="s">
        <v>155</v>
      </c>
      <c r="B121" s="6"/>
    </row>
    <row r="122" spans="1:2" x14ac:dyDescent="0.15">
      <c r="A122" s="6" t="s">
        <v>4083</v>
      </c>
      <c r="B122" s="6" t="s">
        <v>4067</v>
      </c>
    </row>
    <row r="123" spans="1:2" x14ac:dyDescent="0.15">
      <c r="A123" s="6" t="s">
        <v>114</v>
      </c>
      <c r="B123" s="6"/>
    </row>
    <row r="124" spans="1:2" x14ac:dyDescent="0.15">
      <c r="A124" s="6" t="s">
        <v>23</v>
      </c>
      <c r="B124" s="6" t="s">
        <v>3964</v>
      </c>
    </row>
    <row r="125" spans="1:2" x14ac:dyDescent="0.15">
      <c r="A125" t="s">
        <v>28</v>
      </c>
      <c r="B125" t="s">
        <v>4069</v>
      </c>
    </row>
    <row r="126" spans="1:2" x14ac:dyDescent="0.15">
      <c r="A126" s="6" t="s">
        <v>27</v>
      </c>
      <c r="B126" s="6"/>
    </row>
    <row r="127" spans="1:2" x14ac:dyDescent="0.15">
      <c r="A127" s="6" t="s">
        <v>96</v>
      </c>
      <c r="B127" s="6"/>
    </row>
    <row r="128" spans="1:2" x14ac:dyDescent="0.15">
      <c r="A128" s="6" t="s">
        <v>160</v>
      </c>
      <c r="B128" s="6"/>
    </row>
    <row r="129" spans="1:2" x14ac:dyDescent="0.15">
      <c r="A129" s="6" t="s">
        <v>161</v>
      </c>
      <c r="B129" s="6"/>
    </row>
    <row r="130" spans="1:2" x14ac:dyDescent="0.15">
      <c r="A130" t="s">
        <v>60</v>
      </c>
    </row>
    <row r="131" spans="1:2" x14ac:dyDescent="0.15">
      <c r="A131" t="s">
        <v>63</v>
      </c>
    </row>
    <row r="132" spans="1:2" x14ac:dyDescent="0.15">
      <c r="A132" s="6" t="s">
        <v>65</v>
      </c>
      <c r="B132" s="6"/>
    </row>
    <row r="133" spans="1:2" x14ac:dyDescent="0.15">
      <c r="A133" t="s">
        <v>67</v>
      </c>
    </row>
    <row r="134" spans="1:2" x14ac:dyDescent="0.15">
      <c r="A134" t="s">
        <v>31</v>
      </c>
    </row>
    <row r="135" spans="1:2" x14ac:dyDescent="0.15">
      <c r="A135" t="s">
        <v>4232</v>
      </c>
      <c r="B135" t="s">
        <v>3964</v>
      </c>
    </row>
    <row r="141" spans="1:2" x14ac:dyDescent="0.15">
      <c r="B141" s="8"/>
    </row>
    <row r="142" spans="1:2" x14ac:dyDescent="0.15">
      <c r="B142" s="8"/>
    </row>
    <row r="153" spans="1:1" x14ac:dyDescent="0.15">
      <c r="A153" s="8"/>
    </row>
    <row r="154" spans="1:1" x14ac:dyDescent="0.15">
      <c r="A154" s="8"/>
    </row>
    <row r="155" spans="1:1" x14ac:dyDescent="0.15">
      <c r="A155" s="8"/>
    </row>
    <row r="156" spans="1:1" x14ac:dyDescent="0.15">
      <c r="A156" s="8"/>
    </row>
    <row r="157" spans="1:1" x14ac:dyDescent="0.15">
      <c r="A157"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4"/>
  <sheetViews>
    <sheetView tabSelected="1" topLeftCell="A1249" zoomScale="120" zoomScaleNormal="120" workbookViewId="0">
      <selection activeCell="B1279" sqref="B127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x14ac:dyDescent="0.15">
      <c r="A1" s="17" t="s">
        <v>2724</v>
      </c>
      <c r="B1" s="17" t="s">
        <v>188</v>
      </c>
      <c r="C1" s="17" t="s">
        <v>0</v>
      </c>
      <c r="D1" s="17" t="s">
        <v>189</v>
      </c>
      <c r="E1" s="17" t="s">
        <v>1</v>
      </c>
      <c r="F1" s="17" t="s">
        <v>190</v>
      </c>
      <c r="G1" s="17" t="s">
        <v>2</v>
      </c>
      <c r="H1" s="17" t="s">
        <v>4098</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4124</v>
      </c>
      <c r="G372" s="8">
        <v>600</v>
      </c>
    </row>
    <row r="373" spans="1:7" x14ac:dyDescent="0.15">
      <c r="A373" s="8" t="s">
        <v>4126</v>
      </c>
      <c r="B373" s="8" t="s">
        <v>86</v>
      </c>
      <c r="C373" s="8" t="str">
        <f t="shared" si="5"/>
        <v>microscoop</v>
      </c>
      <c r="D373" s="8" t="s">
        <v>4126</v>
      </c>
      <c r="E373" s="8" t="s">
        <v>4127</v>
      </c>
      <c r="F373" s="8" t="s">
        <v>4128</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4095</v>
      </c>
      <c r="C452" s="8" t="str">
        <f t="shared" si="6"/>
        <v>e1000</v>
      </c>
      <c r="D452" s="8" t="s">
        <v>1245</v>
      </c>
      <c r="E452" s="8" t="s">
        <v>1246</v>
      </c>
      <c r="F452" s="8" t="s">
        <v>1247</v>
      </c>
      <c r="G452" s="8">
        <v>500</v>
      </c>
    </row>
    <row r="453" spans="1:7" x14ac:dyDescent="0.15">
      <c r="A453" s="8" t="s">
        <v>1248</v>
      </c>
      <c r="B453" s="8" t="s">
        <v>4095</v>
      </c>
      <c r="C453" s="8" t="str">
        <f t="shared" si="6"/>
        <v>e1200</v>
      </c>
      <c r="D453" s="8" t="s">
        <v>1248</v>
      </c>
      <c r="E453" s="8" t="s">
        <v>1249</v>
      </c>
      <c r="F453" s="8" t="s">
        <v>1250</v>
      </c>
      <c r="G453" s="8">
        <v>500</v>
      </c>
    </row>
    <row r="454" spans="1:7" x14ac:dyDescent="0.15">
      <c r="A454" s="8" t="s">
        <v>1251</v>
      </c>
      <c r="B454" s="8" t="s">
        <v>4095</v>
      </c>
      <c r="C454" s="8" t="str">
        <f t="shared" si="6"/>
        <v>evosep</v>
      </c>
      <c r="D454" s="8" t="s">
        <v>1251</v>
      </c>
      <c r="E454" s="8" t="s">
        <v>1252</v>
      </c>
      <c r="F454" s="8" t="s">
        <v>1252</v>
      </c>
      <c r="G454" s="8">
        <v>500</v>
      </c>
    </row>
    <row r="455" spans="1:7" x14ac:dyDescent="0.15">
      <c r="A455" s="8" t="s">
        <v>1253</v>
      </c>
      <c r="B455" s="8" t="s">
        <v>4095</v>
      </c>
      <c r="C455" s="8" t="str">
        <f t="shared" ref="C455:C521" si="7">A455</f>
        <v>nanoelute</v>
      </c>
      <c r="D455" s="8" t="s">
        <v>1253</v>
      </c>
      <c r="E455" s="8" t="s">
        <v>1254</v>
      </c>
      <c r="F455" s="8" t="s">
        <v>1255</v>
      </c>
      <c r="G455" s="8">
        <v>500</v>
      </c>
    </row>
    <row r="456" spans="1:7" x14ac:dyDescent="0.15">
      <c r="A456" s="8" t="s">
        <v>1256</v>
      </c>
      <c r="B456" s="8" t="s">
        <v>4095</v>
      </c>
      <c r="C456" s="8" t="str">
        <f t="shared" si="7"/>
        <v>ultimate</v>
      </c>
      <c r="D456" s="8" t="s">
        <v>1256</v>
      </c>
      <c r="E456" s="8" t="s">
        <v>1257</v>
      </c>
      <c r="F456" s="8" t="s">
        <v>1258</v>
      </c>
      <c r="G456" s="8">
        <v>500</v>
      </c>
    </row>
    <row r="457" spans="1:7" x14ac:dyDescent="0.15">
      <c r="A457" s="8" t="s">
        <v>1259</v>
      </c>
      <c r="B457" s="8" t="s">
        <v>4095</v>
      </c>
      <c r="C457" s="8" t="str">
        <f t="shared" si="7"/>
        <v>vanquish</v>
      </c>
      <c r="D457" s="8" t="s">
        <v>1259</v>
      </c>
      <c r="E457" s="8" t="s">
        <v>1260</v>
      </c>
      <c r="F457" s="8" t="s">
        <v>1261</v>
      </c>
      <c r="G457" s="8">
        <v>500</v>
      </c>
    </row>
    <row r="458" spans="1:7" x14ac:dyDescent="0.15">
      <c r="A458" s="8" t="s">
        <v>2934</v>
      </c>
      <c r="B458" s="8" t="s">
        <v>4096</v>
      </c>
      <c r="C458" s="8" t="str">
        <f t="shared" si="7"/>
        <v>easy1200mpi</v>
      </c>
      <c r="D458" s="8" t="s">
        <v>14</v>
      </c>
      <c r="E458" s="8" t="s">
        <v>2935</v>
      </c>
      <c r="F458" s="8" t="s">
        <v>2936</v>
      </c>
      <c r="G458" s="8">
        <v>500</v>
      </c>
    </row>
    <row r="459" spans="1:7" x14ac:dyDescent="0.15">
      <c r="A459" s="8" t="s">
        <v>1262</v>
      </c>
      <c r="B459" s="8" t="s">
        <v>4096</v>
      </c>
      <c r="C459" s="8" t="str">
        <f t="shared" si="7"/>
        <v>easylc1</v>
      </c>
      <c r="D459" s="9" t="s">
        <v>14</v>
      </c>
      <c r="E459" s="8" t="s">
        <v>1263</v>
      </c>
      <c r="F459" s="8" t="s">
        <v>1263</v>
      </c>
      <c r="G459" s="8">
        <v>500</v>
      </c>
    </row>
    <row r="460" spans="1:7" x14ac:dyDescent="0.15">
      <c r="A460" s="8" t="s">
        <v>1264</v>
      </c>
      <c r="B460" s="8" t="s">
        <v>4096</v>
      </c>
      <c r="C460" s="8" t="str">
        <f t="shared" si="7"/>
        <v>easylc2</v>
      </c>
      <c r="D460" s="9" t="s">
        <v>14</v>
      </c>
      <c r="E460" s="8" t="s">
        <v>1265</v>
      </c>
      <c r="F460" s="8" t="s">
        <v>1265</v>
      </c>
      <c r="G460" s="8">
        <v>500</v>
      </c>
    </row>
    <row r="461" spans="1:7" x14ac:dyDescent="0.15">
      <c r="A461" s="8" t="s">
        <v>1266</v>
      </c>
      <c r="B461" s="8" t="s">
        <v>4096</v>
      </c>
      <c r="C461" s="8" t="str">
        <f t="shared" si="7"/>
        <v>evosep1</v>
      </c>
      <c r="D461" s="9" t="s">
        <v>14</v>
      </c>
      <c r="E461" s="8" t="s">
        <v>1267</v>
      </c>
      <c r="F461" s="8" t="s">
        <v>1268</v>
      </c>
      <c r="G461" s="8">
        <v>500</v>
      </c>
    </row>
    <row r="462" spans="1:7" x14ac:dyDescent="0.15">
      <c r="A462" s="8" t="s">
        <v>1269</v>
      </c>
      <c r="B462" s="8" t="s">
        <v>4096</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4"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4090</v>
      </c>
      <c r="B794" s="8" t="s">
        <v>139</v>
      </c>
      <c r="C794" s="8" t="str">
        <f t="shared" si="12"/>
        <v>skmuscle</v>
      </c>
      <c r="D794" s="8" t="s">
        <v>4091</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4272</v>
      </c>
      <c r="C825" s="8" t="str">
        <f t="shared" si="12"/>
        <v>frameshift</v>
      </c>
      <c r="D825" s="9" t="s">
        <v>14</v>
      </c>
      <c r="E825" s="8" t="s">
        <v>2218</v>
      </c>
      <c r="F825" s="8" t="s">
        <v>2219</v>
      </c>
      <c r="G825" s="8">
        <v>500</v>
      </c>
    </row>
    <row r="826" spans="1:7" x14ac:dyDescent="0.15">
      <c r="A826" s="8" t="s">
        <v>4268</v>
      </c>
      <c r="B826" s="8" t="s">
        <v>4272</v>
      </c>
      <c r="C826" s="8" t="str">
        <f t="shared" ref="C826" si="13">A826</f>
        <v>premstop</v>
      </c>
      <c r="D826" s="9" t="s">
        <v>14</v>
      </c>
      <c r="E826" s="8" t="s">
        <v>4269</v>
      </c>
      <c r="F826" s="8" t="s">
        <v>4270</v>
      </c>
      <c r="G826" s="8">
        <v>500</v>
      </c>
    </row>
    <row r="827" spans="1:7" x14ac:dyDescent="0.15">
      <c r="A827" s="8" t="s">
        <v>2220</v>
      </c>
      <c r="B827" s="8" t="s">
        <v>157</v>
      </c>
      <c r="C827" s="8" t="str">
        <f t="shared" si="12"/>
        <v>gfp</v>
      </c>
      <c r="D827" s="9" t="s">
        <v>14</v>
      </c>
      <c r="E827" s="8" t="s">
        <v>2221</v>
      </c>
      <c r="F827" s="8" t="s">
        <v>2222</v>
      </c>
      <c r="G827" s="8">
        <v>500</v>
      </c>
    </row>
    <row r="828" spans="1:7" x14ac:dyDescent="0.15">
      <c r="A828" s="8" t="s">
        <v>2223</v>
      </c>
      <c r="B828" s="8" t="s">
        <v>157</v>
      </c>
      <c r="C828" s="8" t="str">
        <f t="shared" si="12"/>
        <v>ha</v>
      </c>
      <c r="D828" s="9" t="s">
        <v>14</v>
      </c>
      <c r="E828" s="8" t="s">
        <v>2224</v>
      </c>
      <c r="F828" s="8" t="s">
        <v>2225</v>
      </c>
      <c r="G828" s="8">
        <v>500</v>
      </c>
    </row>
    <row r="829" spans="1:7" x14ac:dyDescent="0.15">
      <c r="A829" s="8" t="s">
        <v>2226</v>
      </c>
      <c r="B829" s="8" t="s">
        <v>157</v>
      </c>
      <c r="C829" s="8" t="str">
        <f t="shared" si="12"/>
        <v>his</v>
      </c>
      <c r="D829" s="9" t="s">
        <v>14</v>
      </c>
      <c r="E829" s="8" t="s">
        <v>2227</v>
      </c>
      <c r="F829" s="8" t="s">
        <v>2228</v>
      </c>
      <c r="G829" s="8">
        <v>500</v>
      </c>
    </row>
    <row r="830" spans="1:7" x14ac:dyDescent="0.15">
      <c r="A830" s="8" t="s">
        <v>2229</v>
      </c>
      <c r="B830" s="8" t="s">
        <v>157</v>
      </c>
      <c r="C830" s="8" t="str">
        <f t="shared" si="12"/>
        <v>insertion</v>
      </c>
      <c r="D830" s="9" t="s">
        <v>14</v>
      </c>
      <c r="E830" s="8" t="s">
        <v>2230</v>
      </c>
      <c r="F830" s="8" t="s">
        <v>2231</v>
      </c>
      <c r="G830" s="8">
        <v>500</v>
      </c>
    </row>
    <row r="831" spans="1:7" x14ac:dyDescent="0.15">
      <c r="A831" s="8" t="s">
        <v>2232</v>
      </c>
      <c r="B831" s="8" t="s">
        <v>157</v>
      </c>
      <c r="C831" s="8" t="str">
        <f t="shared" si="12"/>
        <v>myc</v>
      </c>
      <c r="D831" s="9" t="s">
        <v>14</v>
      </c>
      <c r="E831" s="8" t="s">
        <v>2233</v>
      </c>
      <c r="F831" s="8" t="s">
        <v>2234</v>
      </c>
      <c r="G831" s="8">
        <v>500</v>
      </c>
    </row>
    <row r="832" spans="1:7" x14ac:dyDescent="0.15">
      <c r="A832" s="8" t="s">
        <v>2235</v>
      </c>
      <c r="B832" s="8" t="s">
        <v>157</v>
      </c>
      <c r="C832" s="8" t="str">
        <f t="shared" si="12"/>
        <v>pep86</v>
      </c>
      <c r="D832" s="9" t="s">
        <v>14</v>
      </c>
      <c r="E832" s="8" t="s">
        <v>2731</v>
      </c>
      <c r="F832" s="8" t="s">
        <v>2236</v>
      </c>
      <c r="G832" s="8">
        <v>500</v>
      </c>
    </row>
    <row r="833" spans="1:1008" x14ac:dyDescent="0.15">
      <c r="A833" s="8" t="s">
        <v>2237</v>
      </c>
      <c r="B833" s="8" t="s">
        <v>157</v>
      </c>
      <c r="C833" s="8" t="str">
        <f t="shared" si="12"/>
        <v>substitution</v>
      </c>
      <c r="D833" s="9" t="s">
        <v>14</v>
      </c>
      <c r="E833" s="8" t="s">
        <v>2238</v>
      </c>
      <c r="F833" s="8" t="s">
        <v>2239</v>
      </c>
      <c r="G833" s="8">
        <v>500</v>
      </c>
    </row>
    <row r="834" spans="1:1008" x14ac:dyDescent="0.15">
      <c r="A834" s="8" t="s">
        <v>2240</v>
      </c>
      <c r="B834" s="8" t="s">
        <v>157</v>
      </c>
      <c r="C834" s="8" t="str">
        <f t="shared" si="12"/>
        <v>truncation</v>
      </c>
      <c r="D834" s="9" t="s">
        <v>14</v>
      </c>
      <c r="E834" s="8" t="s">
        <v>2241</v>
      </c>
      <c r="F834" s="8" t="s">
        <v>2242</v>
      </c>
      <c r="G834" s="8">
        <v>500</v>
      </c>
    </row>
    <row r="835" spans="1:1008" x14ac:dyDescent="0.15">
      <c r="A835" s="8" t="s">
        <v>274</v>
      </c>
      <c r="B835" s="8" t="s">
        <v>157</v>
      </c>
      <c r="C835" s="8" t="str">
        <f t="shared" si="12"/>
        <v>none</v>
      </c>
      <c r="D835" s="9" t="s">
        <v>14</v>
      </c>
      <c r="E835" s="8" t="s">
        <v>1799</v>
      </c>
      <c r="F835" s="8" t="s">
        <v>2732</v>
      </c>
      <c r="G835" s="8">
        <v>500</v>
      </c>
    </row>
    <row r="836" spans="1:1008" x14ac:dyDescent="0.15">
      <c r="A836" s="8" t="s">
        <v>2243</v>
      </c>
      <c r="B836" s="8" t="s">
        <v>159</v>
      </c>
      <c r="C836" s="8" t="str">
        <f t="shared" si="12"/>
        <v>aa</v>
      </c>
      <c r="D836" s="9" t="s">
        <v>14</v>
      </c>
      <c r="E836" s="8" t="s">
        <v>2244</v>
      </c>
      <c r="F836" s="8" t="s">
        <v>2245</v>
      </c>
      <c r="G836" s="8">
        <v>500</v>
      </c>
    </row>
    <row r="837" spans="1:1008" x14ac:dyDescent="0.15">
      <c r="A837" s="8" t="s">
        <v>2246</v>
      </c>
      <c r="B837" s="8" t="s">
        <v>159</v>
      </c>
      <c r="C837" s="8" t="str">
        <f t="shared" si="12"/>
        <v>cterm</v>
      </c>
      <c r="D837" s="9" t="s">
        <v>14</v>
      </c>
      <c r="E837" s="8" t="s">
        <v>2247</v>
      </c>
      <c r="F837" s="8" t="s">
        <v>2248</v>
      </c>
      <c r="G837" s="8">
        <v>500</v>
      </c>
    </row>
    <row r="838" spans="1:1008" x14ac:dyDescent="0.15">
      <c r="A838" s="8" t="s">
        <v>2249</v>
      </c>
      <c r="B838" s="8" t="s">
        <v>159</v>
      </c>
      <c r="C838" s="8" t="str">
        <f t="shared" si="12"/>
        <v>nterm</v>
      </c>
      <c r="D838" s="9" t="s">
        <v>14</v>
      </c>
      <c r="E838" s="8" t="s">
        <v>2250</v>
      </c>
      <c r="F838" s="8" t="s">
        <v>2251</v>
      </c>
      <c r="G838" s="8">
        <v>500</v>
      </c>
    </row>
    <row r="839" spans="1:1008" x14ac:dyDescent="0.15">
      <c r="A839" s="8" t="s">
        <v>2252</v>
      </c>
      <c r="B839" s="8" t="s">
        <v>159</v>
      </c>
      <c r="C839" s="8" t="str">
        <f t="shared" si="12"/>
        <v>region</v>
      </c>
      <c r="D839" s="9" t="s">
        <v>14</v>
      </c>
      <c r="E839" s="8" t="s">
        <v>2253</v>
      </c>
      <c r="F839" s="8" t="s">
        <v>2254</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2884</v>
      </c>
      <c r="B840" s="8" t="s">
        <v>2882</v>
      </c>
      <c r="C840" s="8" t="str">
        <f t="shared" si="12"/>
        <v>antibody</v>
      </c>
      <c r="D840" s="9" t="s">
        <v>14</v>
      </c>
      <c r="E840" s="8" t="s">
        <v>2885</v>
      </c>
      <c r="F840" s="8" t="s">
        <v>2886</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2887</v>
      </c>
      <c r="B841" s="8" t="s">
        <v>2882</v>
      </c>
      <c r="C841" s="8" t="str">
        <f t="shared" si="12"/>
        <v>metal</v>
      </c>
      <c r="D841" s="9" t="s">
        <v>14</v>
      </c>
      <c r="E841" s="8" t="s">
        <v>2888</v>
      </c>
      <c r="F841" s="8" t="s">
        <v>2889</v>
      </c>
      <c r="G841" s="8">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8" t="s">
        <v>2892</v>
      </c>
      <c r="B842" s="8" t="s">
        <v>2882</v>
      </c>
      <c r="C842" s="8" t="str">
        <f t="shared" si="12"/>
        <v>ionchromatography</v>
      </c>
      <c r="D842" s="9" t="s">
        <v>14</v>
      </c>
      <c r="E842" s="8" t="s">
        <v>2890</v>
      </c>
      <c r="F842" s="8" t="s">
        <v>2891</v>
      </c>
      <c r="G842" s="8">
        <v>500</v>
      </c>
    </row>
    <row r="843" spans="1:1008" x14ac:dyDescent="0.15">
      <c r="A843" s="8" t="s">
        <v>2255</v>
      </c>
      <c r="B843" s="8" t="s">
        <v>160</v>
      </c>
      <c r="C843" s="8" t="str">
        <f t="shared" si="12"/>
        <v>directlfq</v>
      </c>
      <c r="D843" s="9" t="s">
        <v>14</v>
      </c>
      <c r="E843" s="8" t="s">
        <v>2256</v>
      </c>
      <c r="F843" s="9" t="s">
        <v>14</v>
      </c>
      <c r="G843" s="8">
        <v>500</v>
      </c>
    </row>
    <row r="844" spans="1:1008" x14ac:dyDescent="0.15">
      <c r="A844" s="8" t="s">
        <v>3948</v>
      </c>
      <c r="B844" s="8" t="s">
        <v>160</v>
      </c>
      <c r="C844" s="8" t="str">
        <f t="shared" si="12"/>
        <v>ibaq</v>
      </c>
      <c r="D844" s="9" t="s">
        <v>14</v>
      </c>
      <c r="E844" s="8" t="s">
        <v>3949</v>
      </c>
      <c r="F844" s="9" t="s">
        <v>3950</v>
      </c>
      <c r="G844" s="8">
        <v>500</v>
      </c>
    </row>
    <row r="845" spans="1:1008" x14ac:dyDescent="0.15">
      <c r="A845" s="8" t="s">
        <v>2257</v>
      </c>
      <c r="B845" s="8" t="s">
        <v>160</v>
      </c>
      <c r="C845" s="8" t="str">
        <f t="shared" ref="C845:C912" si="14">A845</f>
        <v>maxlfq</v>
      </c>
      <c r="D845" s="9" t="s">
        <v>14</v>
      </c>
      <c r="E845" s="8" t="s">
        <v>2258</v>
      </c>
      <c r="F845" s="9" t="s">
        <v>14</v>
      </c>
      <c r="G845" s="8">
        <v>500</v>
      </c>
    </row>
    <row r="846" spans="1:1008" x14ac:dyDescent="0.15">
      <c r="A846" s="8" t="s">
        <v>2259</v>
      </c>
      <c r="B846" s="8" t="s">
        <v>160</v>
      </c>
      <c r="C846" s="8" t="str">
        <f t="shared" si="14"/>
        <v>speccount</v>
      </c>
      <c r="D846" s="9" t="s">
        <v>14</v>
      </c>
      <c r="E846" s="8" t="s">
        <v>2260</v>
      </c>
      <c r="F846" s="9" t="s">
        <v>14</v>
      </c>
      <c r="G846" s="8">
        <v>500</v>
      </c>
    </row>
    <row r="847" spans="1:1008" x14ac:dyDescent="0.15">
      <c r="A847" s="8" t="s">
        <v>2261</v>
      </c>
      <c r="B847" s="8" t="s">
        <v>161</v>
      </c>
      <c r="C847" s="8" t="str">
        <f t="shared" si="14"/>
        <v>isobaric</v>
      </c>
      <c r="D847" s="9" t="s">
        <v>14</v>
      </c>
      <c r="E847" s="8" t="s">
        <v>2261</v>
      </c>
      <c r="F847" s="8" t="s">
        <v>2262</v>
      </c>
      <c r="G847" s="8">
        <v>500</v>
      </c>
    </row>
    <row r="848" spans="1:1008" x14ac:dyDescent="0.15">
      <c r="A848" s="8" t="s">
        <v>2263</v>
      </c>
      <c r="B848" s="8" t="s">
        <v>161</v>
      </c>
      <c r="C848" s="8" t="str">
        <f t="shared" si="14"/>
        <v>istopic</v>
      </c>
      <c r="D848" s="9" t="s">
        <v>14</v>
      </c>
      <c r="E848" s="8" t="s">
        <v>2263</v>
      </c>
      <c r="F848" s="8" t="s">
        <v>2264</v>
      </c>
      <c r="G848" s="8">
        <v>500</v>
      </c>
    </row>
    <row r="849" spans="1:7" x14ac:dyDescent="0.15">
      <c r="A849" s="8" t="s">
        <v>2265</v>
      </c>
      <c r="B849" s="8" t="s">
        <v>161</v>
      </c>
      <c r="C849" s="8" t="str">
        <f t="shared" si="14"/>
        <v>label_free</v>
      </c>
      <c r="D849" s="9" t="s">
        <v>14</v>
      </c>
      <c r="E849" s="8" t="s">
        <v>2266</v>
      </c>
      <c r="F849" s="8" t="s">
        <v>2267</v>
      </c>
      <c r="G849" s="8">
        <v>500</v>
      </c>
    </row>
    <row r="850" spans="1:7" x14ac:dyDescent="0.15">
      <c r="A850" s="8" t="s">
        <v>2268</v>
      </c>
      <c r="B850" s="8" t="s">
        <v>161</v>
      </c>
      <c r="C850" s="8" t="str">
        <f t="shared" si="14"/>
        <v>silac</v>
      </c>
      <c r="D850" s="9" t="s">
        <v>14</v>
      </c>
      <c r="E850" s="8" t="s">
        <v>2268</v>
      </c>
      <c r="F850" s="8" t="s">
        <v>2269</v>
      </c>
      <c r="G850" s="8">
        <v>500</v>
      </c>
    </row>
    <row r="851" spans="1:7" x14ac:dyDescent="0.15">
      <c r="A851" s="8" t="s">
        <v>2270</v>
      </c>
      <c r="B851" s="8" t="s">
        <v>164</v>
      </c>
      <c r="C851" s="8" t="str">
        <f t="shared" si="14"/>
        <v>dtt</v>
      </c>
      <c r="D851" s="9" t="s">
        <v>14</v>
      </c>
      <c r="E851" s="8" t="s">
        <v>2271</v>
      </c>
      <c r="F851" s="8" t="s">
        <v>2272</v>
      </c>
      <c r="G851" s="8">
        <v>500</v>
      </c>
    </row>
    <row r="852" spans="1:7" x14ac:dyDescent="0.15">
      <c r="A852" s="8" t="s">
        <v>3169</v>
      </c>
      <c r="B852" s="8" t="s">
        <v>164</v>
      </c>
      <c r="C852" s="8" t="str">
        <f t="shared" si="14"/>
        <v>no_reduction</v>
      </c>
      <c r="D852" s="9" t="s">
        <v>14</v>
      </c>
      <c r="E852" s="8" t="s">
        <v>275</v>
      </c>
      <c r="F852" s="8" t="s">
        <v>2273</v>
      </c>
      <c r="G852" s="8">
        <v>500</v>
      </c>
    </row>
    <row r="853" spans="1:7" x14ac:dyDescent="0.15">
      <c r="A853" s="8" t="s">
        <v>2274</v>
      </c>
      <c r="B853" s="8" t="s">
        <v>164</v>
      </c>
      <c r="C853" s="8" t="str">
        <f t="shared" si="14"/>
        <v>tcep</v>
      </c>
      <c r="D853" s="9" t="s">
        <v>14</v>
      </c>
      <c r="E853" s="8" t="s">
        <v>2275</v>
      </c>
      <c r="F853" s="8" t="s">
        <v>2276</v>
      </c>
      <c r="G853" s="8">
        <v>500</v>
      </c>
    </row>
    <row r="854" spans="1:7" x14ac:dyDescent="0.15">
      <c r="A854" s="8" t="s">
        <v>1343</v>
      </c>
      <c r="B854" s="8" t="s">
        <v>2277</v>
      </c>
      <c r="C854" s="8" t="str">
        <f t="shared" si="14"/>
        <v>apoptosis</v>
      </c>
      <c r="D854" s="9" t="s">
        <v>14</v>
      </c>
      <c r="E854" s="8" t="s">
        <v>1344</v>
      </c>
      <c r="F854" s="8" t="s">
        <v>2278</v>
      </c>
      <c r="G854" s="8">
        <v>500</v>
      </c>
    </row>
    <row r="855" spans="1:7" x14ac:dyDescent="0.15">
      <c r="A855" s="8" t="s">
        <v>2279</v>
      </c>
      <c r="B855" s="8" t="s">
        <v>2277</v>
      </c>
      <c r="C855" s="8" t="str">
        <f t="shared" si="14"/>
        <v>autocrine</v>
      </c>
      <c r="D855" s="9" t="s">
        <v>14</v>
      </c>
      <c r="E855" s="8" t="s">
        <v>2280</v>
      </c>
      <c r="F855" s="8" t="s">
        <v>2281</v>
      </c>
      <c r="G855" s="8">
        <v>500</v>
      </c>
    </row>
    <row r="856" spans="1:7" x14ac:dyDescent="0.15">
      <c r="A856" s="8" t="s">
        <v>2282</v>
      </c>
      <c r="B856" s="8" t="s">
        <v>2277</v>
      </c>
      <c r="C856" s="8" t="str">
        <f t="shared" si="14"/>
        <v>complement</v>
      </c>
      <c r="D856" s="9" t="s">
        <v>14</v>
      </c>
      <c r="E856" s="8" t="s">
        <v>2283</v>
      </c>
      <c r="F856" s="8" t="s">
        <v>2284</v>
      </c>
      <c r="G856" s="8">
        <v>500</v>
      </c>
    </row>
    <row r="857" spans="1:7" x14ac:dyDescent="0.15">
      <c r="A857" s="8" t="s">
        <v>2285</v>
      </c>
      <c r="B857" s="8" t="s">
        <v>2277</v>
      </c>
      <c r="C857" s="8" t="str">
        <f t="shared" si="14"/>
        <v>cytokines</v>
      </c>
      <c r="D857" s="9" t="s">
        <v>14</v>
      </c>
      <c r="E857" s="8" t="s">
        <v>2286</v>
      </c>
      <c r="F857" s="8" t="s">
        <v>2287</v>
      </c>
      <c r="G857" s="8">
        <v>500</v>
      </c>
    </row>
    <row r="858" spans="1:7" x14ac:dyDescent="0.15">
      <c r="A858" s="8" t="s">
        <v>2288</v>
      </c>
      <c r="B858" s="8" t="s">
        <v>2277</v>
      </c>
      <c r="C858" s="8" t="str">
        <f t="shared" si="14"/>
        <v>inflammation</v>
      </c>
      <c r="D858" s="9" t="s">
        <v>14</v>
      </c>
      <c r="E858" s="8" t="s">
        <v>2289</v>
      </c>
      <c r="F858" s="8" t="s">
        <v>2290</v>
      </c>
      <c r="G858" s="8">
        <v>500</v>
      </c>
    </row>
    <row r="859" spans="1:7" x14ac:dyDescent="0.15">
      <c r="A859" s="8" t="s">
        <v>2291</v>
      </c>
      <c r="B859" s="8" t="s">
        <v>2277</v>
      </c>
      <c r="C859" s="8" t="str">
        <f t="shared" si="14"/>
        <v>insulin</v>
      </c>
      <c r="D859" s="9" t="s">
        <v>14</v>
      </c>
      <c r="E859" s="8" t="s">
        <v>2292</v>
      </c>
      <c r="F859" s="8" t="s">
        <v>2293</v>
      </c>
      <c r="G859" s="8">
        <v>500</v>
      </c>
    </row>
    <row r="860" spans="1:7" x14ac:dyDescent="0.15">
      <c r="A860" s="8" t="s">
        <v>2294</v>
      </c>
      <c r="B860" s="8" t="s">
        <v>2277</v>
      </c>
      <c r="C860" s="8" t="str">
        <f t="shared" si="14"/>
        <v>juxtacrine</v>
      </c>
      <c r="D860" s="9" t="s">
        <v>14</v>
      </c>
      <c r="E860" s="8" t="s">
        <v>2295</v>
      </c>
      <c r="F860" s="8" t="s">
        <v>2296</v>
      </c>
      <c r="G860" s="8">
        <v>500</v>
      </c>
    </row>
    <row r="861" spans="1:7" x14ac:dyDescent="0.15">
      <c r="A861" s="8" t="s">
        <v>2297</v>
      </c>
      <c r="B861" s="8" t="s">
        <v>2277</v>
      </c>
      <c r="C861" s="8" t="str">
        <f t="shared" si="14"/>
        <v>necrosis</v>
      </c>
      <c r="D861" s="9" t="s">
        <v>14</v>
      </c>
      <c r="E861" s="8" t="s">
        <v>2298</v>
      </c>
      <c r="F861" s="8" t="s">
        <v>2299</v>
      </c>
      <c r="G861" s="8">
        <v>500</v>
      </c>
    </row>
    <row r="862" spans="1:7" x14ac:dyDescent="0.15">
      <c r="A862" s="8" t="s">
        <v>2300</v>
      </c>
      <c r="B862" s="8" t="s">
        <v>2277</v>
      </c>
      <c r="C862" s="8" t="str">
        <f t="shared" si="14"/>
        <v>paracrine</v>
      </c>
      <c r="D862" s="9" t="s">
        <v>14</v>
      </c>
      <c r="E862" s="8" t="s">
        <v>2301</v>
      </c>
      <c r="F862" s="8" t="s">
        <v>2302</v>
      </c>
      <c r="G862" s="8">
        <v>500</v>
      </c>
    </row>
    <row r="863" spans="1:7" x14ac:dyDescent="0.15">
      <c r="A863" s="8" t="s">
        <v>1691</v>
      </c>
      <c r="B863" s="8" t="s">
        <v>2277</v>
      </c>
      <c r="C863" s="8" t="str">
        <f t="shared" si="14"/>
        <v>signaling</v>
      </c>
      <c r="D863" s="9" t="s">
        <v>14</v>
      </c>
      <c r="E863" s="8" t="s">
        <v>1692</v>
      </c>
      <c r="F863" s="8" t="s">
        <v>2303</v>
      </c>
      <c r="G863" s="8">
        <v>500</v>
      </c>
    </row>
    <row r="864" spans="1:7" x14ac:dyDescent="0.15">
      <c r="A864" s="8" t="s">
        <v>2304</v>
      </c>
      <c r="B864" s="8" t="s">
        <v>28</v>
      </c>
      <c r="C864" s="8" t="str">
        <f t="shared" si="14"/>
        <v>diann</v>
      </c>
      <c r="D864" s="9" t="s">
        <v>14</v>
      </c>
      <c r="E864" s="8" t="s">
        <v>2305</v>
      </c>
      <c r="F864" s="8" t="s">
        <v>2306</v>
      </c>
      <c r="G864" s="8">
        <v>500</v>
      </c>
    </row>
    <row r="865" spans="1:7" x14ac:dyDescent="0.15">
      <c r="A865" s="8" t="s">
        <v>2307</v>
      </c>
      <c r="B865" s="8" t="s">
        <v>28</v>
      </c>
      <c r="C865" s="8" t="str">
        <f t="shared" si="14"/>
        <v>maxquant</v>
      </c>
      <c r="D865" s="9" t="s">
        <v>14</v>
      </c>
      <c r="E865" s="8" t="s">
        <v>2308</v>
      </c>
      <c r="F865" s="8" t="s">
        <v>2309</v>
      </c>
      <c r="G865" s="8">
        <v>500</v>
      </c>
    </row>
    <row r="866" spans="1:7" x14ac:dyDescent="0.15">
      <c r="A866" s="8" t="s">
        <v>2310</v>
      </c>
      <c r="B866" s="8" t="s">
        <v>28</v>
      </c>
      <c r="C866" s="8" t="str">
        <f t="shared" si="14"/>
        <v>metamorpheus</v>
      </c>
      <c r="D866" s="9" t="s">
        <v>14</v>
      </c>
      <c r="E866" s="8" t="s">
        <v>2311</v>
      </c>
      <c r="F866" s="8" t="s">
        <v>2312</v>
      </c>
      <c r="G866" s="8">
        <v>500</v>
      </c>
    </row>
    <row r="867" spans="1:7" x14ac:dyDescent="0.15">
      <c r="A867" s="8" t="s">
        <v>2313</v>
      </c>
      <c r="B867" s="8" t="s">
        <v>28</v>
      </c>
      <c r="C867" s="8" t="str">
        <f t="shared" si="14"/>
        <v>minora</v>
      </c>
      <c r="D867" s="9" t="s">
        <v>14</v>
      </c>
      <c r="E867" s="8" t="s">
        <v>2314</v>
      </c>
      <c r="F867" s="8" t="s">
        <v>2315</v>
      </c>
      <c r="G867" s="8">
        <v>500</v>
      </c>
    </row>
    <row r="868" spans="1:7" x14ac:dyDescent="0.15">
      <c r="A868" s="8" t="s">
        <v>2316</v>
      </c>
      <c r="B868" s="8" t="s">
        <v>28</v>
      </c>
      <c r="C868" s="8" t="str">
        <f t="shared" si="14"/>
        <v>msfragger</v>
      </c>
      <c r="D868" s="9" t="s">
        <v>14</v>
      </c>
      <c r="E868" s="8" t="s">
        <v>2317</v>
      </c>
      <c r="F868" s="8" t="s">
        <v>2318</v>
      </c>
      <c r="G868" s="8">
        <v>500</v>
      </c>
    </row>
    <row r="869" spans="1:7" x14ac:dyDescent="0.15">
      <c r="A869" s="8" t="s">
        <v>2319</v>
      </c>
      <c r="B869" s="8" t="s">
        <v>28</v>
      </c>
      <c r="C869" s="8" t="str">
        <f t="shared" si="14"/>
        <v>msgf</v>
      </c>
      <c r="D869" s="9" t="s">
        <v>14</v>
      </c>
      <c r="E869" s="8" t="s">
        <v>2320</v>
      </c>
      <c r="F869" s="8" t="s">
        <v>2321</v>
      </c>
      <c r="G869" s="8">
        <v>500</v>
      </c>
    </row>
    <row r="870" spans="1:7" x14ac:dyDescent="0.15">
      <c r="A870" s="8" t="s">
        <v>2322</v>
      </c>
      <c r="B870" s="8" t="s">
        <v>28</v>
      </c>
      <c r="C870" s="8" t="str">
        <f t="shared" si="14"/>
        <v>spectronaut</v>
      </c>
      <c r="D870" s="9" t="s">
        <v>14</v>
      </c>
      <c r="E870" s="8" t="s">
        <v>2323</v>
      </c>
      <c r="F870" s="8" t="s">
        <v>2324</v>
      </c>
      <c r="G870" s="8">
        <v>500</v>
      </c>
    </row>
    <row r="871" spans="1:7" x14ac:dyDescent="0.15">
      <c r="A871" s="8" t="s">
        <v>2838</v>
      </c>
      <c r="B871" s="8" t="s">
        <v>2837</v>
      </c>
      <c r="C871" s="8" t="str">
        <f t="shared" si="14"/>
        <v>wc</v>
      </c>
      <c r="D871" s="9" t="s">
        <v>14</v>
      </c>
      <c r="E871" s="8" t="s">
        <v>2839</v>
      </c>
      <c r="F871" s="8" t="s">
        <v>2840</v>
      </c>
      <c r="G871" s="8">
        <v>500</v>
      </c>
    </row>
    <row r="872" spans="1:7" x14ac:dyDescent="0.15">
      <c r="A872" s="8" t="s">
        <v>2842</v>
      </c>
      <c r="B872" s="8" t="s">
        <v>2837</v>
      </c>
      <c r="C872" s="8" t="str">
        <f t="shared" si="14"/>
        <v>membrane</v>
      </c>
      <c r="D872" s="9" t="s">
        <v>14</v>
      </c>
      <c r="E872" s="8" t="s">
        <v>2843</v>
      </c>
      <c r="F872" s="8" t="s">
        <v>2844</v>
      </c>
      <c r="G872" s="8">
        <v>500</v>
      </c>
    </row>
    <row r="873" spans="1:7" x14ac:dyDescent="0.15">
      <c r="A873" s="8" t="s">
        <v>2841</v>
      </c>
      <c r="B873" s="8" t="s">
        <v>2837</v>
      </c>
      <c r="C873" s="8" t="str">
        <f t="shared" si="14"/>
        <v>mitochondria</v>
      </c>
      <c r="D873" s="9" t="s">
        <v>14</v>
      </c>
      <c r="E873" s="8" t="s">
        <v>2858</v>
      </c>
      <c r="F873" s="8" t="s">
        <v>2857</v>
      </c>
      <c r="G873" s="8">
        <v>500</v>
      </c>
    </row>
    <row r="874" spans="1:7" x14ac:dyDescent="0.15">
      <c r="A874" s="8" t="s">
        <v>2871</v>
      </c>
      <c r="B874" s="8" t="s">
        <v>2837</v>
      </c>
      <c r="C874" s="8" t="str">
        <f t="shared" si="14"/>
        <v>mitochondriapk</v>
      </c>
      <c r="D874" s="9" t="s">
        <v>14</v>
      </c>
      <c r="E874" s="8" t="s">
        <v>2869</v>
      </c>
      <c r="F874" s="8" t="s">
        <v>2870</v>
      </c>
      <c r="G874" s="8">
        <v>500</v>
      </c>
    </row>
    <row r="875" spans="1:7" x14ac:dyDescent="0.15">
      <c r="A875" s="8" t="s">
        <v>4134</v>
      </c>
      <c r="B875" s="8" t="s">
        <v>2837</v>
      </c>
      <c r="C875" s="8" t="str">
        <f t="shared" ref="C875" si="15">A875</f>
        <v>mitochondriace</v>
      </c>
      <c r="D875" s="9" t="s">
        <v>14</v>
      </c>
      <c r="E875" s="8" t="s">
        <v>4132</v>
      </c>
      <c r="F875" s="8" t="s">
        <v>4133</v>
      </c>
      <c r="G875" s="8">
        <v>500</v>
      </c>
    </row>
    <row r="876" spans="1:7" x14ac:dyDescent="0.15">
      <c r="A876" s="8" t="s">
        <v>2845</v>
      </c>
      <c r="B876" s="8" t="s">
        <v>2837</v>
      </c>
      <c r="C876" s="8" t="str">
        <f t="shared" si="14"/>
        <v>golgi</v>
      </c>
      <c r="D876" s="9" t="s">
        <v>14</v>
      </c>
      <c r="E876" s="8" t="s">
        <v>2846</v>
      </c>
      <c r="F876" s="8" t="s">
        <v>2847</v>
      </c>
      <c r="G876" s="8">
        <v>500</v>
      </c>
    </row>
    <row r="877" spans="1:7" x14ac:dyDescent="0.15">
      <c r="A877" s="8" t="s">
        <v>2848</v>
      </c>
      <c r="B877" s="8" t="s">
        <v>2837</v>
      </c>
      <c r="C877" s="8" t="str">
        <f t="shared" si="14"/>
        <v>plasmamembrane</v>
      </c>
      <c r="D877" s="9" t="s">
        <v>14</v>
      </c>
      <c r="E877" s="8" t="s">
        <v>2856</v>
      </c>
      <c r="F877" s="8" t="s">
        <v>2849</v>
      </c>
      <c r="G877" s="8">
        <v>500</v>
      </c>
    </row>
    <row r="878" spans="1:7" x14ac:dyDescent="0.15">
      <c r="A878" s="8" t="s">
        <v>2850</v>
      </c>
      <c r="B878" s="8" t="s">
        <v>2837</v>
      </c>
      <c r="C878" s="8" t="str">
        <f t="shared" si="14"/>
        <v>nucleus</v>
      </c>
      <c r="D878" s="9" t="s">
        <v>14</v>
      </c>
      <c r="E878" s="8" t="s">
        <v>2851</v>
      </c>
      <c r="F878" s="8" t="s">
        <v>2852</v>
      </c>
      <c r="G878" s="8">
        <v>500</v>
      </c>
    </row>
    <row r="879" spans="1:7" x14ac:dyDescent="0.15">
      <c r="A879" s="8" t="s">
        <v>2853</v>
      </c>
      <c r="B879" s="8" t="s">
        <v>2837</v>
      </c>
      <c r="C879" s="8" t="str">
        <f t="shared" si="14"/>
        <v>cytosol</v>
      </c>
      <c r="D879" s="9" t="s">
        <v>14</v>
      </c>
      <c r="E879" s="8" t="s">
        <v>2854</v>
      </c>
      <c r="F879" s="8" t="s">
        <v>2855</v>
      </c>
      <c r="G879" s="8">
        <v>500</v>
      </c>
    </row>
    <row r="880" spans="1:7" x14ac:dyDescent="0.15">
      <c r="A880" s="8" t="s">
        <v>4129</v>
      </c>
      <c r="B880" s="8" t="s">
        <v>2837</v>
      </c>
      <c r="C880" s="8" t="str">
        <f t="shared" si="14"/>
        <v>er</v>
      </c>
      <c r="D880" s="9" t="s">
        <v>14</v>
      </c>
      <c r="E880" s="8" t="s">
        <v>4131</v>
      </c>
      <c r="F880" s="8" t="s">
        <v>4130</v>
      </c>
      <c r="G880" s="8">
        <v>500</v>
      </c>
    </row>
    <row r="881" spans="1:7" x14ac:dyDescent="0.15">
      <c r="A881" s="8" t="s">
        <v>4139</v>
      </c>
      <c r="B881" s="8" t="s">
        <v>2837</v>
      </c>
      <c r="C881" s="8" t="str">
        <f t="shared" si="14"/>
        <v>ercesup</v>
      </c>
      <c r="D881" s="9" t="s">
        <v>14</v>
      </c>
      <c r="E881" s="8" t="s">
        <v>4135</v>
      </c>
      <c r="F881" s="8" t="s">
        <v>4137</v>
      </c>
      <c r="G881" s="8">
        <v>500</v>
      </c>
    </row>
    <row r="882" spans="1:7" x14ac:dyDescent="0.15">
      <c r="A882" s="8" t="s">
        <v>4140</v>
      </c>
      <c r="B882" s="8" t="s">
        <v>2837</v>
      </c>
      <c r="C882" s="8" t="str">
        <f t="shared" ref="C882" si="16">A882</f>
        <v>ercepellet</v>
      </c>
      <c r="D882" s="9" t="s">
        <v>14</v>
      </c>
      <c r="E882" s="8" t="s">
        <v>4136</v>
      </c>
      <c r="F882" s="8" t="s">
        <v>4138</v>
      </c>
      <c r="G882" s="8">
        <v>500</v>
      </c>
    </row>
    <row r="883" spans="1:7" x14ac:dyDescent="0.15">
      <c r="A883" s="8" t="s">
        <v>2325</v>
      </c>
      <c r="B883" s="8" t="s">
        <v>171</v>
      </c>
      <c r="C883" s="8" t="str">
        <f t="shared" si="14"/>
        <v>adipose</v>
      </c>
      <c r="D883" s="8" t="s">
        <v>2325</v>
      </c>
      <c r="E883" s="8" t="s">
        <v>2326</v>
      </c>
      <c r="F883" s="8" t="s">
        <v>2327</v>
      </c>
      <c r="G883" s="8">
        <v>500</v>
      </c>
    </row>
    <row r="884" spans="1:7" x14ac:dyDescent="0.15">
      <c r="A884" s="8" t="s">
        <v>2328</v>
      </c>
      <c r="B884" s="8" t="s">
        <v>171</v>
      </c>
      <c r="C884" s="8" t="str">
        <f t="shared" si="14"/>
        <v>areolar</v>
      </c>
      <c r="D884" s="8" t="s">
        <v>2328</v>
      </c>
      <c r="E884" s="8" t="s">
        <v>2329</v>
      </c>
      <c r="F884" s="8" t="s">
        <v>2330</v>
      </c>
      <c r="G884" s="8">
        <v>500</v>
      </c>
    </row>
    <row r="885" spans="1:7" x14ac:dyDescent="0.15">
      <c r="A885" s="8" t="s">
        <v>2331</v>
      </c>
      <c r="B885" s="8" t="s">
        <v>171</v>
      </c>
      <c r="C885" s="8" t="str">
        <f t="shared" si="14"/>
        <v>blood</v>
      </c>
      <c r="D885" s="8" t="s">
        <v>2331</v>
      </c>
      <c r="E885" s="8" t="s">
        <v>2332</v>
      </c>
      <c r="F885" s="8" t="s">
        <v>2332</v>
      </c>
      <c r="G885" s="8">
        <v>500</v>
      </c>
    </row>
    <row r="886" spans="1:7" x14ac:dyDescent="0.15">
      <c r="A886" s="8" t="s">
        <v>2333</v>
      </c>
      <c r="B886" s="8" t="s">
        <v>171</v>
      </c>
      <c r="C886" s="8" t="str">
        <f t="shared" si="14"/>
        <v>connective</v>
      </c>
      <c r="D886" s="8" t="s">
        <v>2333</v>
      </c>
      <c r="E886" s="8" t="s">
        <v>2334</v>
      </c>
      <c r="F886" s="8" t="s">
        <v>2335</v>
      </c>
      <c r="G886" s="8">
        <v>500</v>
      </c>
    </row>
    <row r="887" spans="1:7" x14ac:dyDescent="0.15">
      <c r="A887" s="8" t="s">
        <v>2336</v>
      </c>
      <c r="B887" s="8" t="s">
        <v>171</v>
      </c>
      <c r="C887" s="8" t="str">
        <f t="shared" si="14"/>
        <v>dermis</v>
      </c>
      <c r="D887" s="8" t="s">
        <v>2336</v>
      </c>
      <c r="E887" s="8" t="s">
        <v>2337</v>
      </c>
      <c r="F887" s="8" t="s">
        <v>2337</v>
      </c>
      <c r="G887" s="8">
        <v>500</v>
      </c>
    </row>
    <row r="888" spans="1:7" x14ac:dyDescent="0.15">
      <c r="A888" s="8" t="s">
        <v>2338</v>
      </c>
      <c r="B888" s="8" t="s">
        <v>171</v>
      </c>
      <c r="C888" s="8" t="str">
        <f t="shared" si="14"/>
        <v>epidermis</v>
      </c>
      <c r="D888" s="8" t="s">
        <v>2338</v>
      </c>
      <c r="E888" s="8" t="s">
        <v>2339</v>
      </c>
      <c r="F888" s="8" t="s">
        <v>2339</v>
      </c>
      <c r="G888" s="8">
        <v>500</v>
      </c>
    </row>
    <row r="889" spans="1:7" x14ac:dyDescent="0.15">
      <c r="A889" s="8" t="s">
        <v>2340</v>
      </c>
      <c r="B889" s="8" t="s">
        <v>171</v>
      </c>
      <c r="C889" s="8" t="str">
        <f t="shared" si="14"/>
        <v>epithelial</v>
      </c>
      <c r="D889" s="8" t="s">
        <v>2340</v>
      </c>
      <c r="E889" s="8" t="s">
        <v>2341</v>
      </c>
      <c r="F889" s="8" t="s">
        <v>2342</v>
      </c>
      <c r="G889" s="8">
        <v>500</v>
      </c>
    </row>
    <row r="890" spans="1:7" x14ac:dyDescent="0.15">
      <c r="A890" s="8" t="s">
        <v>2343</v>
      </c>
      <c r="B890" s="8" t="s">
        <v>171</v>
      </c>
      <c r="C890" s="8" t="str">
        <f t="shared" si="14"/>
        <v>hypodermis</v>
      </c>
      <c r="D890" s="8" t="s">
        <v>2343</v>
      </c>
      <c r="E890" s="8" t="s">
        <v>2344</v>
      </c>
      <c r="F890" s="8" t="s">
        <v>2344</v>
      </c>
      <c r="G890" s="8">
        <v>500</v>
      </c>
    </row>
    <row r="891" spans="1:7" x14ac:dyDescent="0.15">
      <c r="A891" s="8" t="s">
        <v>2345</v>
      </c>
      <c r="B891" s="8" t="s">
        <v>171</v>
      </c>
      <c r="C891" s="8" t="str">
        <f t="shared" si="14"/>
        <v>muscle</v>
      </c>
      <c r="D891" s="8" t="s">
        <v>2345</v>
      </c>
      <c r="E891" s="8" t="s">
        <v>2738</v>
      </c>
      <c r="F891" s="8" t="s">
        <v>2346</v>
      </c>
      <c r="G891" s="8">
        <v>500</v>
      </c>
    </row>
    <row r="892" spans="1:7" x14ac:dyDescent="0.15">
      <c r="A892" s="8" t="s">
        <v>2347</v>
      </c>
      <c r="B892" s="8" t="s">
        <v>171</v>
      </c>
      <c r="C892" s="8" t="str">
        <f t="shared" si="14"/>
        <v>nervous</v>
      </c>
      <c r="D892" s="8" t="s">
        <v>2347</v>
      </c>
      <c r="E892" s="8" t="s">
        <v>2166</v>
      </c>
      <c r="F892" s="8" t="s">
        <v>2348</v>
      </c>
      <c r="G892" s="8">
        <v>500</v>
      </c>
    </row>
    <row r="893" spans="1:7" x14ac:dyDescent="0.15">
      <c r="A893" s="8" t="s">
        <v>2349</v>
      </c>
      <c r="B893" s="8" t="s">
        <v>171</v>
      </c>
      <c r="C893" s="8" t="str">
        <f t="shared" si="14"/>
        <v>reticular</v>
      </c>
      <c r="D893" s="8" t="s">
        <v>2349</v>
      </c>
      <c r="E893" s="8" t="s">
        <v>2350</v>
      </c>
      <c r="F893" s="8" t="s">
        <v>2351</v>
      </c>
      <c r="G893" s="8">
        <v>500</v>
      </c>
    </row>
    <row r="894" spans="1:7" x14ac:dyDescent="0.15">
      <c r="A894" s="8" t="s">
        <v>2352</v>
      </c>
      <c r="B894" s="8" t="s">
        <v>171</v>
      </c>
      <c r="C894" s="8" t="str">
        <f t="shared" si="14"/>
        <v>stromal</v>
      </c>
      <c r="D894" s="8" t="s">
        <v>2352</v>
      </c>
      <c r="E894" s="8" t="s">
        <v>2353</v>
      </c>
      <c r="F894" s="8" t="s">
        <v>2354</v>
      </c>
      <c r="G894" s="8">
        <v>500</v>
      </c>
    </row>
    <row r="895" spans="1:7" x14ac:dyDescent="0.15">
      <c r="A895" s="8" t="s">
        <v>2355</v>
      </c>
      <c r="B895" s="8" t="s">
        <v>173</v>
      </c>
      <c r="C895" s="8" t="str">
        <f t="shared" si="14"/>
        <v>tmt10_126</v>
      </c>
      <c r="D895" s="9" t="s">
        <v>14</v>
      </c>
      <c r="E895" s="8">
        <v>126</v>
      </c>
      <c r="F895" s="9" t="s">
        <v>14</v>
      </c>
      <c r="G895" s="8">
        <v>500</v>
      </c>
    </row>
    <row r="896" spans="1:7" x14ac:dyDescent="0.15">
      <c r="A896" s="8" t="s">
        <v>2356</v>
      </c>
      <c r="B896" s="8" t="s">
        <v>173</v>
      </c>
      <c r="C896" s="8" t="str">
        <f t="shared" si="14"/>
        <v>tmt10_127C</v>
      </c>
      <c r="D896" s="9" t="s">
        <v>14</v>
      </c>
      <c r="E896" s="8" t="s">
        <v>2357</v>
      </c>
      <c r="F896" s="9" t="s">
        <v>14</v>
      </c>
      <c r="G896" s="8">
        <v>500</v>
      </c>
    </row>
    <row r="897" spans="1:7" x14ac:dyDescent="0.15">
      <c r="A897" s="8" t="s">
        <v>2358</v>
      </c>
      <c r="B897" s="8" t="s">
        <v>173</v>
      </c>
      <c r="C897" s="8" t="str">
        <f t="shared" si="14"/>
        <v>tmt10_127N</v>
      </c>
      <c r="D897" s="9" t="s">
        <v>14</v>
      </c>
      <c r="E897" s="8" t="s">
        <v>2359</v>
      </c>
      <c r="F897" s="9" t="s">
        <v>14</v>
      </c>
      <c r="G897" s="8">
        <v>500</v>
      </c>
    </row>
    <row r="898" spans="1:7" x14ac:dyDescent="0.15">
      <c r="A898" s="8" t="s">
        <v>2360</v>
      </c>
      <c r="B898" s="8" t="s">
        <v>173</v>
      </c>
      <c r="C898" s="8" t="str">
        <f t="shared" si="14"/>
        <v>tmt10_128C</v>
      </c>
      <c r="D898" s="9" t="s">
        <v>14</v>
      </c>
      <c r="E898" s="8" t="s">
        <v>2361</v>
      </c>
      <c r="F898" s="9" t="s">
        <v>14</v>
      </c>
      <c r="G898" s="8">
        <v>500</v>
      </c>
    </row>
    <row r="899" spans="1:7" x14ac:dyDescent="0.15">
      <c r="A899" s="8" t="s">
        <v>2362</v>
      </c>
      <c r="B899" s="8" t="s">
        <v>173</v>
      </c>
      <c r="C899" s="8" t="str">
        <f t="shared" si="14"/>
        <v>tmt10_128N</v>
      </c>
      <c r="D899" s="9" t="s">
        <v>14</v>
      </c>
      <c r="E899" s="8" t="s">
        <v>2363</v>
      </c>
      <c r="F899" s="9" t="s">
        <v>14</v>
      </c>
      <c r="G899" s="8">
        <v>500</v>
      </c>
    </row>
    <row r="900" spans="1:7" x14ac:dyDescent="0.15">
      <c r="A900" s="8" t="s">
        <v>2364</v>
      </c>
      <c r="B900" s="8" t="s">
        <v>173</v>
      </c>
      <c r="C900" s="8" t="str">
        <f t="shared" si="14"/>
        <v>tmt10_129C</v>
      </c>
      <c r="D900" s="9" t="s">
        <v>14</v>
      </c>
      <c r="E900" s="8" t="s">
        <v>2365</v>
      </c>
      <c r="F900" s="9" t="s">
        <v>14</v>
      </c>
      <c r="G900" s="8">
        <v>500</v>
      </c>
    </row>
    <row r="901" spans="1:7" x14ac:dyDescent="0.15">
      <c r="A901" s="8" t="s">
        <v>2366</v>
      </c>
      <c r="B901" s="8" t="s">
        <v>173</v>
      </c>
      <c r="C901" s="8" t="str">
        <f t="shared" si="14"/>
        <v>tmt10_129N</v>
      </c>
      <c r="D901" s="9" t="s">
        <v>14</v>
      </c>
      <c r="E901" s="8" t="s">
        <v>2367</v>
      </c>
      <c r="F901" s="9" t="s">
        <v>14</v>
      </c>
      <c r="G901" s="8">
        <v>500</v>
      </c>
    </row>
    <row r="902" spans="1:7" x14ac:dyDescent="0.15">
      <c r="A902" s="8" t="s">
        <v>2368</v>
      </c>
      <c r="B902" s="8" t="s">
        <v>173</v>
      </c>
      <c r="C902" s="8" t="str">
        <f t="shared" si="14"/>
        <v>tmt10_130C</v>
      </c>
      <c r="D902" s="9" t="s">
        <v>14</v>
      </c>
      <c r="E902" s="8" t="s">
        <v>2369</v>
      </c>
      <c r="F902" s="9" t="s">
        <v>14</v>
      </c>
      <c r="G902" s="8">
        <v>500</v>
      </c>
    </row>
    <row r="903" spans="1:7" x14ac:dyDescent="0.15">
      <c r="A903" s="8" t="s">
        <v>2370</v>
      </c>
      <c r="B903" s="8" t="s">
        <v>173</v>
      </c>
      <c r="C903" s="8" t="str">
        <f t="shared" si="14"/>
        <v>tmt10_130N</v>
      </c>
      <c r="D903" s="9" t="s">
        <v>14</v>
      </c>
      <c r="E903" s="8" t="s">
        <v>2371</v>
      </c>
      <c r="F903" s="9" t="s">
        <v>14</v>
      </c>
      <c r="G903" s="8">
        <v>500</v>
      </c>
    </row>
    <row r="904" spans="1:7" x14ac:dyDescent="0.15">
      <c r="A904" s="8" t="s">
        <v>2372</v>
      </c>
      <c r="B904" s="8" t="s">
        <v>173</v>
      </c>
      <c r="C904" s="8" t="str">
        <f t="shared" si="14"/>
        <v>tmt10_131</v>
      </c>
      <c r="D904" s="9" t="s">
        <v>14</v>
      </c>
      <c r="E904" s="8">
        <v>131</v>
      </c>
      <c r="F904" s="9" t="s">
        <v>14</v>
      </c>
      <c r="G904" s="8">
        <v>500</v>
      </c>
    </row>
    <row r="905" spans="1:7" x14ac:dyDescent="0.15">
      <c r="A905" s="8" t="s">
        <v>2373</v>
      </c>
      <c r="B905" s="8" t="s">
        <v>173</v>
      </c>
      <c r="C905" s="8" t="str">
        <f t="shared" si="14"/>
        <v>tmt11_126</v>
      </c>
      <c r="D905" s="9" t="s">
        <v>14</v>
      </c>
      <c r="E905" s="8">
        <v>126</v>
      </c>
      <c r="F905" s="9" t="s">
        <v>14</v>
      </c>
      <c r="G905" s="8">
        <v>500</v>
      </c>
    </row>
    <row r="906" spans="1:7" x14ac:dyDescent="0.15">
      <c r="A906" s="8" t="s">
        <v>2374</v>
      </c>
      <c r="B906" s="8" t="s">
        <v>173</v>
      </c>
      <c r="C906" s="8" t="str">
        <f t="shared" si="14"/>
        <v>tmt11_127C</v>
      </c>
      <c r="D906" s="9" t="s">
        <v>14</v>
      </c>
      <c r="E906" s="8" t="s">
        <v>2357</v>
      </c>
      <c r="F906" s="9" t="s">
        <v>14</v>
      </c>
      <c r="G906" s="8">
        <v>500</v>
      </c>
    </row>
    <row r="907" spans="1:7" x14ac:dyDescent="0.15">
      <c r="A907" s="8" t="s">
        <v>2375</v>
      </c>
      <c r="B907" s="8" t="s">
        <v>173</v>
      </c>
      <c r="C907" s="8" t="str">
        <f t="shared" si="14"/>
        <v>tmt11_127N</v>
      </c>
      <c r="D907" s="9" t="s">
        <v>14</v>
      </c>
      <c r="E907" s="8" t="s">
        <v>2359</v>
      </c>
      <c r="F907" s="9" t="s">
        <v>14</v>
      </c>
      <c r="G907" s="8">
        <v>500</v>
      </c>
    </row>
    <row r="908" spans="1:7" x14ac:dyDescent="0.15">
      <c r="A908" s="8" t="s">
        <v>2376</v>
      </c>
      <c r="B908" s="8" t="s">
        <v>173</v>
      </c>
      <c r="C908" s="8" t="str">
        <f t="shared" si="14"/>
        <v>tmt11_128C</v>
      </c>
      <c r="D908" s="9" t="s">
        <v>14</v>
      </c>
      <c r="E908" s="8" t="s">
        <v>2361</v>
      </c>
      <c r="F908" s="9" t="s">
        <v>14</v>
      </c>
      <c r="G908" s="8">
        <v>500</v>
      </c>
    </row>
    <row r="909" spans="1:7" x14ac:dyDescent="0.15">
      <c r="A909" s="8" t="s">
        <v>2377</v>
      </c>
      <c r="B909" s="8" t="s">
        <v>173</v>
      </c>
      <c r="C909" s="8" t="str">
        <f t="shared" si="14"/>
        <v>tmt11_128N</v>
      </c>
      <c r="D909" s="9" t="s">
        <v>14</v>
      </c>
      <c r="E909" s="8" t="s">
        <v>2363</v>
      </c>
      <c r="F909" s="9" t="s">
        <v>14</v>
      </c>
      <c r="G909" s="8">
        <v>500</v>
      </c>
    </row>
    <row r="910" spans="1:7" x14ac:dyDescent="0.15">
      <c r="A910" s="8" t="s">
        <v>2378</v>
      </c>
      <c r="B910" s="8" t="s">
        <v>173</v>
      </c>
      <c r="C910" s="8" t="str">
        <f t="shared" si="14"/>
        <v>tmt11_129C</v>
      </c>
      <c r="D910" s="9" t="s">
        <v>14</v>
      </c>
      <c r="E910" s="8" t="s">
        <v>2365</v>
      </c>
      <c r="F910" s="9" t="s">
        <v>14</v>
      </c>
      <c r="G910" s="8">
        <v>500</v>
      </c>
    </row>
    <row r="911" spans="1:7" x14ac:dyDescent="0.15">
      <c r="A911" s="8" t="s">
        <v>2379</v>
      </c>
      <c r="B911" s="8" t="s">
        <v>173</v>
      </c>
      <c r="C911" s="8" t="str">
        <f t="shared" si="14"/>
        <v>tmt11_129N</v>
      </c>
      <c r="D911" s="9" t="s">
        <v>14</v>
      </c>
      <c r="E911" s="8" t="s">
        <v>2367</v>
      </c>
      <c r="F911" s="9" t="s">
        <v>14</v>
      </c>
      <c r="G911" s="8">
        <v>500</v>
      </c>
    </row>
    <row r="912" spans="1:7" x14ac:dyDescent="0.15">
      <c r="A912" s="8" t="s">
        <v>2380</v>
      </c>
      <c r="B912" s="8" t="s">
        <v>173</v>
      </c>
      <c r="C912" s="8" t="str">
        <f t="shared" si="14"/>
        <v>tmt11_130C</v>
      </c>
      <c r="D912" s="9" t="s">
        <v>14</v>
      </c>
      <c r="E912" s="8" t="s">
        <v>2369</v>
      </c>
      <c r="F912" s="9" t="s">
        <v>14</v>
      </c>
      <c r="G912" s="8">
        <v>500</v>
      </c>
    </row>
    <row r="913" spans="1:7" x14ac:dyDescent="0.15">
      <c r="A913" s="8" t="s">
        <v>2381</v>
      </c>
      <c r="B913" s="8" t="s">
        <v>173</v>
      </c>
      <c r="C913" s="8" t="str">
        <f t="shared" ref="C913:C981" si="17">A913</f>
        <v>tmt11_130N</v>
      </c>
      <c r="D913" s="9" t="s">
        <v>14</v>
      </c>
      <c r="E913" s="8" t="s">
        <v>2371</v>
      </c>
      <c r="F913" s="9" t="s">
        <v>14</v>
      </c>
      <c r="G913" s="8">
        <v>500</v>
      </c>
    </row>
    <row r="914" spans="1:7" x14ac:dyDescent="0.15">
      <c r="A914" s="8" t="s">
        <v>2382</v>
      </c>
      <c r="B914" s="8" t="s">
        <v>173</v>
      </c>
      <c r="C914" s="8" t="str">
        <f t="shared" si="17"/>
        <v>tmt11_131C</v>
      </c>
      <c r="D914" s="9" t="s">
        <v>14</v>
      </c>
      <c r="E914" s="8" t="s">
        <v>2383</v>
      </c>
      <c r="F914" s="9" t="s">
        <v>14</v>
      </c>
      <c r="G914" s="8">
        <v>500</v>
      </c>
    </row>
    <row r="915" spans="1:7" x14ac:dyDescent="0.15">
      <c r="A915" s="8" t="s">
        <v>2384</v>
      </c>
      <c r="B915" s="8" t="s">
        <v>173</v>
      </c>
      <c r="C915" s="8" t="str">
        <f t="shared" si="17"/>
        <v>tmt11_131N</v>
      </c>
      <c r="D915" s="9" t="s">
        <v>14</v>
      </c>
      <c r="E915" s="8" t="s">
        <v>2385</v>
      </c>
      <c r="F915" s="9" t="s">
        <v>14</v>
      </c>
      <c r="G915" s="8">
        <v>500</v>
      </c>
    </row>
    <row r="916" spans="1:7" x14ac:dyDescent="0.15">
      <c r="A916" s="8" t="s">
        <v>2386</v>
      </c>
      <c r="B916" s="8" t="s">
        <v>173</v>
      </c>
      <c r="C916" s="8" t="str">
        <f t="shared" si="17"/>
        <v>tmt18_126</v>
      </c>
      <c r="D916" s="9" t="s">
        <v>14</v>
      </c>
      <c r="E916" s="8">
        <v>126</v>
      </c>
      <c r="F916" s="9" t="s">
        <v>14</v>
      </c>
      <c r="G916" s="8">
        <v>500</v>
      </c>
    </row>
    <row r="917" spans="1:7" x14ac:dyDescent="0.15">
      <c r="A917" s="8" t="s">
        <v>2387</v>
      </c>
      <c r="B917" s="8" t="s">
        <v>173</v>
      </c>
      <c r="C917" s="8" t="str">
        <f t="shared" si="17"/>
        <v>tmt18_127C</v>
      </c>
      <c r="D917" s="9" t="s">
        <v>14</v>
      </c>
      <c r="E917" s="8" t="s">
        <v>2357</v>
      </c>
      <c r="F917" s="9" t="s">
        <v>14</v>
      </c>
      <c r="G917" s="8">
        <v>500</v>
      </c>
    </row>
    <row r="918" spans="1:7" x14ac:dyDescent="0.15">
      <c r="A918" s="8" t="s">
        <v>2388</v>
      </c>
      <c r="B918" s="8" t="s">
        <v>173</v>
      </c>
      <c r="C918" s="8" t="str">
        <f t="shared" si="17"/>
        <v>tmt18_127N</v>
      </c>
      <c r="D918" s="9" t="s">
        <v>14</v>
      </c>
      <c r="E918" s="8" t="s">
        <v>2359</v>
      </c>
      <c r="F918" s="9" t="s">
        <v>14</v>
      </c>
      <c r="G918" s="8">
        <v>500</v>
      </c>
    </row>
    <row r="919" spans="1:7" x14ac:dyDescent="0.15">
      <c r="A919" s="8" t="s">
        <v>2389</v>
      </c>
      <c r="B919" s="8" t="s">
        <v>173</v>
      </c>
      <c r="C919" s="8" t="str">
        <f t="shared" si="17"/>
        <v>tmt18_128C</v>
      </c>
      <c r="D919" s="9" t="s">
        <v>14</v>
      </c>
      <c r="E919" s="8" t="s">
        <v>2361</v>
      </c>
      <c r="F919" s="9" t="s">
        <v>14</v>
      </c>
      <c r="G919" s="8">
        <v>500</v>
      </c>
    </row>
    <row r="920" spans="1:7" x14ac:dyDescent="0.15">
      <c r="A920" s="8" t="s">
        <v>2390</v>
      </c>
      <c r="B920" s="8" t="s">
        <v>173</v>
      </c>
      <c r="C920" s="8" t="str">
        <f t="shared" si="17"/>
        <v>tmt18_128N</v>
      </c>
      <c r="D920" s="9" t="s">
        <v>14</v>
      </c>
      <c r="E920" s="8" t="s">
        <v>2363</v>
      </c>
      <c r="F920" s="9" t="s">
        <v>14</v>
      </c>
      <c r="G920" s="8">
        <v>500</v>
      </c>
    </row>
    <row r="921" spans="1:7" x14ac:dyDescent="0.15">
      <c r="A921" s="8" t="s">
        <v>2391</v>
      </c>
      <c r="B921" s="8" t="s">
        <v>173</v>
      </c>
      <c r="C921" s="8" t="str">
        <f t="shared" si="17"/>
        <v>tmt18_129C</v>
      </c>
      <c r="D921" s="9" t="s">
        <v>14</v>
      </c>
      <c r="E921" s="8" t="s">
        <v>2365</v>
      </c>
      <c r="F921" s="9" t="s">
        <v>14</v>
      </c>
      <c r="G921" s="8">
        <v>500</v>
      </c>
    </row>
    <row r="922" spans="1:7" x14ac:dyDescent="0.15">
      <c r="A922" s="8" t="s">
        <v>2392</v>
      </c>
      <c r="B922" s="8" t="s">
        <v>173</v>
      </c>
      <c r="C922" s="8" t="str">
        <f t="shared" si="17"/>
        <v>tmt18_129N</v>
      </c>
      <c r="D922" s="9" t="s">
        <v>14</v>
      </c>
      <c r="E922" s="8" t="s">
        <v>2367</v>
      </c>
      <c r="F922" s="9" t="s">
        <v>14</v>
      </c>
      <c r="G922" s="8">
        <v>500</v>
      </c>
    </row>
    <row r="923" spans="1:7" x14ac:dyDescent="0.15">
      <c r="A923" s="8" t="s">
        <v>2393</v>
      </c>
      <c r="B923" s="8" t="s">
        <v>173</v>
      </c>
      <c r="C923" s="8" t="str">
        <f t="shared" si="17"/>
        <v>tmt18_130C</v>
      </c>
      <c r="D923" s="9" t="s">
        <v>14</v>
      </c>
      <c r="E923" s="8" t="s">
        <v>2369</v>
      </c>
      <c r="F923" s="9" t="s">
        <v>14</v>
      </c>
      <c r="G923" s="8">
        <v>500</v>
      </c>
    </row>
    <row r="924" spans="1:7" x14ac:dyDescent="0.15">
      <c r="A924" s="8" t="s">
        <v>2394</v>
      </c>
      <c r="B924" s="8" t="s">
        <v>173</v>
      </c>
      <c r="C924" s="8" t="str">
        <f t="shared" si="17"/>
        <v>tmt18_130N</v>
      </c>
      <c r="D924" s="9" t="s">
        <v>14</v>
      </c>
      <c r="E924" s="8" t="s">
        <v>2371</v>
      </c>
      <c r="F924" s="9" t="s">
        <v>14</v>
      </c>
      <c r="G924" s="8">
        <v>500</v>
      </c>
    </row>
    <row r="925" spans="1:7" x14ac:dyDescent="0.15">
      <c r="A925" s="8" t="s">
        <v>2395</v>
      </c>
      <c r="B925" s="8" t="s">
        <v>173</v>
      </c>
      <c r="C925" s="8" t="str">
        <f t="shared" si="17"/>
        <v>tmt18_131C</v>
      </c>
      <c r="D925" s="9" t="s">
        <v>14</v>
      </c>
      <c r="E925" s="8" t="s">
        <v>2383</v>
      </c>
      <c r="F925" s="9" t="s">
        <v>14</v>
      </c>
      <c r="G925" s="8">
        <v>500</v>
      </c>
    </row>
    <row r="926" spans="1:7" x14ac:dyDescent="0.15">
      <c r="A926" s="8" t="s">
        <v>2396</v>
      </c>
      <c r="B926" s="8" t="s">
        <v>173</v>
      </c>
      <c r="C926" s="8" t="str">
        <f t="shared" si="17"/>
        <v>tmt18_131N</v>
      </c>
      <c r="D926" s="9" t="s">
        <v>14</v>
      </c>
      <c r="E926" s="8" t="s">
        <v>2385</v>
      </c>
      <c r="F926" s="9" t="s">
        <v>14</v>
      </c>
      <c r="G926" s="8">
        <v>500</v>
      </c>
    </row>
    <row r="927" spans="1:7" x14ac:dyDescent="0.15">
      <c r="A927" s="8" t="s">
        <v>2397</v>
      </c>
      <c r="B927" s="8" t="s">
        <v>173</v>
      </c>
      <c r="C927" s="8" t="str">
        <f t="shared" si="17"/>
        <v>tmt18_132C</v>
      </c>
      <c r="D927" s="9" t="s">
        <v>14</v>
      </c>
      <c r="E927" s="8" t="s">
        <v>2398</v>
      </c>
      <c r="F927" s="9" t="s">
        <v>14</v>
      </c>
      <c r="G927" s="8">
        <v>500</v>
      </c>
    </row>
    <row r="928" spans="1:7" x14ac:dyDescent="0.15">
      <c r="A928" s="8" t="s">
        <v>2399</v>
      </c>
      <c r="B928" s="8" t="s">
        <v>173</v>
      </c>
      <c r="C928" s="8" t="str">
        <f t="shared" si="17"/>
        <v>tmt18_132N</v>
      </c>
      <c r="D928" s="9" t="s">
        <v>14</v>
      </c>
      <c r="E928" s="8" t="s">
        <v>2400</v>
      </c>
      <c r="F928" s="9" t="s">
        <v>14</v>
      </c>
      <c r="G928" s="8">
        <v>500</v>
      </c>
    </row>
    <row r="929" spans="1:7" x14ac:dyDescent="0.15">
      <c r="A929" s="8" t="s">
        <v>2401</v>
      </c>
      <c r="B929" s="8" t="s">
        <v>173</v>
      </c>
      <c r="C929" s="8" t="str">
        <f t="shared" si="17"/>
        <v>tmt18_133C</v>
      </c>
      <c r="D929" s="9" t="s">
        <v>14</v>
      </c>
      <c r="E929" s="8" t="s">
        <v>2402</v>
      </c>
      <c r="F929" s="9" t="s">
        <v>14</v>
      </c>
      <c r="G929" s="8">
        <v>500</v>
      </c>
    </row>
    <row r="930" spans="1:7" x14ac:dyDescent="0.15">
      <c r="A930" s="8" t="s">
        <v>2403</v>
      </c>
      <c r="B930" s="8" t="s">
        <v>173</v>
      </c>
      <c r="C930" s="8" t="str">
        <f t="shared" si="17"/>
        <v>tmt18_133N</v>
      </c>
      <c r="D930" s="9" t="s">
        <v>14</v>
      </c>
      <c r="E930" s="8" t="s">
        <v>2404</v>
      </c>
      <c r="F930" s="9" t="s">
        <v>14</v>
      </c>
      <c r="G930" s="8">
        <v>500</v>
      </c>
    </row>
    <row r="931" spans="1:7" x14ac:dyDescent="0.15">
      <c r="A931" s="8" t="s">
        <v>2405</v>
      </c>
      <c r="B931" s="8" t="s">
        <v>173</v>
      </c>
      <c r="C931" s="8" t="str">
        <f t="shared" si="17"/>
        <v>tmt18_134C</v>
      </c>
      <c r="D931" s="9" t="s">
        <v>14</v>
      </c>
      <c r="E931" s="8" t="s">
        <v>2406</v>
      </c>
      <c r="F931" s="9" t="s">
        <v>14</v>
      </c>
      <c r="G931" s="8">
        <v>500</v>
      </c>
    </row>
    <row r="932" spans="1:7" x14ac:dyDescent="0.15">
      <c r="A932" s="8" t="s">
        <v>2407</v>
      </c>
      <c r="B932" s="8" t="s">
        <v>173</v>
      </c>
      <c r="C932" s="8" t="str">
        <f t="shared" si="17"/>
        <v>tmt18_134N</v>
      </c>
      <c r="D932" s="9" t="s">
        <v>14</v>
      </c>
      <c r="E932" s="8" t="s">
        <v>2408</v>
      </c>
      <c r="F932" s="9" t="s">
        <v>14</v>
      </c>
      <c r="G932" s="8">
        <v>500</v>
      </c>
    </row>
    <row r="933" spans="1:7" x14ac:dyDescent="0.15">
      <c r="A933" s="8" t="s">
        <v>2409</v>
      </c>
      <c r="B933" s="8" t="s">
        <v>173</v>
      </c>
      <c r="C933" s="8" t="str">
        <f t="shared" si="17"/>
        <v>tmt18_135N</v>
      </c>
      <c r="D933" s="9" t="s">
        <v>14</v>
      </c>
      <c r="E933" s="8" t="s">
        <v>2410</v>
      </c>
      <c r="F933" s="9" t="s">
        <v>14</v>
      </c>
      <c r="G933" s="8">
        <v>500</v>
      </c>
    </row>
    <row r="934" spans="1:7" x14ac:dyDescent="0.15">
      <c r="A934" s="8" t="s">
        <v>2411</v>
      </c>
      <c r="B934" s="8" t="s">
        <v>173</v>
      </c>
      <c r="C934" s="8" t="str">
        <f t="shared" si="17"/>
        <v>tmt6_126</v>
      </c>
      <c r="D934" s="9" t="s">
        <v>14</v>
      </c>
      <c r="E934" s="8">
        <v>126</v>
      </c>
      <c r="F934" s="9" t="s">
        <v>14</v>
      </c>
      <c r="G934" s="8">
        <v>500</v>
      </c>
    </row>
    <row r="935" spans="1:7" x14ac:dyDescent="0.15">
      <c r="A935" s="8" t="s">
        <v>2412</v>
      </c>
      <c r="B935" s="8" t="s">
        <v>173</v>
      </c>
      <c r="C935" s="8" t="str">
        <f t="shared" si="17"/>
        <v>tmt6_127</v>
      </c>
      <c r="D935" s="9" t="s">
        <v>14</v>
      </c>
      <c r="E935" s="8">
        <v>127</v>
      </c>
      <c r="F935" s="9" t="s">
        <v>14</v>
      </c>
      <c r="G935" s="8">
        <v>500</v>
      </c>
    </row>
    <row r="936" spans="1:7" x14ac:dyDescent="0.15">
      <c r="A936" s="8" t="s">
        <v>2413</v>
      </c>
      <c r="B936" s="8" t="s">
        <v>173</v>
      </c>
      <c r="C936" s="8" t="str">
        <f t="shared" si="17"/>
        <v>tmt6_128</v>
      </c>
      <c r="D936" s="9" t="s">
        <v>14</v>
      </c>
      <c r="E936" s="8">
        <v>128</v>
      </c>
      <c r="F936" s="9" t="s">
        <v>14</v>
      </c>
      <c r="G936" s="8">
        <v>500</v>
      </c>
    </row>
    <row r="937" spans="1:7" x14ac:dyDescent="0.15">
      <c r="A937" s="8" t="s">
        <v>2414</v>
      </c>
      <c r="B937" s="8" t="s">
        <v>173</v>
      </c>
      <c r="C937" s="8" t="str">
        <f t="shared" si="17"/>
        <v>tmt6_129</v>
      </c>
      <c r="D937" s="9" t="s">
        <v>14</v>
      </c>
      <c r="E937" s="8">
        <v>129</v>
      </c>
      <c r="F937" s="9" t="s">
        <v>14</v>
      </c>
      <c r="G937" s="8">
        <v>500</v>
      </c>
    </row>
    <row r="938" spans="1:7" x14ac:dyDescent="0.15">
      <c r="A938" s="8" t="s">
        <v>2415</v>
      </c>
      <c r="B938" s="8" t="s">
        <v>173</v>
      </c>
      <c r="C938" s="8" t="str">
        <f t="shared" si="17"/>
        <v>tmt6_130</v>
      </c>
      <c r="D938" s="9" t="s">
        <v>14</v>
      </c>
      <c r="E938" s="8">
        <v>130</v>
      </c>
      <c r="F938" s="9" t="s">
        <v>14</v>
      </c>
      <c r="G938" s="8">
        <v>500</v>
      </c>
    </row>
    <row r="939" spans="1:7" x14ac:dyDescent="0.15">
      <c r="A939" s="8" t="s">
        <v>2416</v>
      </c>
      <c r="B939" s="8" t="s">
        <v>173</v>
      </c>
      <c r="C939" s="8" t="str">
        <f t="shared" si="17"/>
        <v>tmt6_131</v>
      </c>
      <c r="D939" s="9" t="s">
        <v>14</v>
      </c>
      <c r="E939" s="8">
        <v>131</v>
      </c>
      <c r="F939" s="9" t="s">
        <v>14</v>
      </c>
      <c r="G939" s="8">
        <v>500</v>
      </c>
    </row>
    <row r="940" spans="1:7" x14ac:dyDescent="0.15">
      <c r="A940" s="8" t="s">
        <v>2417</v>
      </c>
      <c r="B940" s="8" t="s">
        <v>180</v>
      </c>
      <c r="C940" s="8" t="str">
        <f t="shared" si="17"/>
        <v>biochem</v>
      </c>
      <c r="D940" s="9" t="s">
        <v>14</v>
      </c>
      <c r="E940" s="8" t="s">
        <v>2418</v>
      </c>
      <c r="F940" s="8" t="s">
        <v>2419</v>
      </c>
      <c r="G940" s="8">
        <v>500</v>
      </c>
    </row>
    <row r="941" spans="1:7" x14ac:dyDescent="0.15">
      <c r="A941" s="8" t="s">
        <v>2420</v>
      </c>
      <c r="B941" s="8" t="s">
        <v>180</v>
      </c>
      <c r="C941" s="8" t="str">
        <f t="shared" si="17"/>
        <v>cecad</v>
      </c>
      <c r="D941" s="9" t="s">
        <v>14</v>
      </c>
      <c r="E941" s="8" t="s">
        <v>2421</v>
      </c>
      <c r="F941" s="8" t="s">
        <v>2422</v>
      </c>
      <c r="G941" s="8">
        <v>500</v>
      </c>
    </row>
    <row r="942" spans="1:7" x14ac:dyDescent="0.15">
      <c r="A942" s="8" t="s">
        <v>2423</v>
      </c>
      <c r="B942" s="8" t="s">
        <v>180</v>
      </c>
      <c r="C942" s="8" t="str">
        <f t="shared" si="17"/>
        <v>mpiage</v>
      </c>
      <c r="D942" s="9" t="s">
        <v>14</v>
      </c>
      <c r="E942" s="8" t="s">
        <v>2424</v>
      </c>
      <c r="F942" s="8" t="s">
        <v>2425</v>
      </c>
      <c r="G942" s="8">
        <v>500</v>
      </c>
    </row>
    <row r="943" spans="1:7" x14ac:dyDescent="0.15">
      <c r="A943" s="8" t="s">
        <v>2426</v>
      </c>
      <c r="B943" s="8" t="s">
        <v>180</v>
      </c>
      <c r="C943" s="8" t="str">
        <f t="shared" si="17"/>
        <v>mpimetab</v>
      </c>
      <c r="D943" s="9" t="s">
        <v>14</v>
      </c>
      <c r="E943" s="8" t="s">
        <v>2427</v>
      </c>
      <c r="F943" s="8" t="s">
        <v>2428</v>
      </c>
      <c r="G943" s="8">
        <v>500</v>
      </c>
    </row>
    <row r="944" spans="1:7" x14ac:dyDescent="0.15">
      <c r="A944" s="8" t="s">
        <v>2977</v>
      </c>
      <c r="B944" s="8" t="s">
        <v>180</v>
      </c>
      <c r="C944" s="8" t="str">
        <f t="shared" si="17"/>
        <v>unibonn</v>
      </c>
      <c r="D944" s="9" t="s">
        <v>14</v>
      </c>
      <c r="E944" s="8" t="s">
        <v>2978</v>
      </c>
      <c r="F944" s="8" t="s">
        <v>2978</v>
      </c>
      <c r="G944" s="8">
        <v>500</v>
      </c>
    </row>
    <row r="945" spans="1:7" x14ac:dyDescent="0.15">
      <c r="A945" s="8" t="s">
        <v>2429</v>
      </c>
      <c r="B945" s="8" t="s">
        <v>184</v>
      </c>
      <c r="C945" s="8" t="str">
        <f t="shared" si="17"/>
        <v>mitoprotea</v>
      </c>
      <c r="D945" s="8" t="s">
        <v>14</v>
      </c>
      <c r="E945" s="8" t="s">
        <v>2430</v>
      </c>
      <c r="F945" s="8" t="s">
        <v>2431</v>
      </c>
      <c r="G945" s="8">
        <v>500</v>
      </c>
    </row>
    <row r="946" spans="1:7" x14ac:dyDescent="0.15">
      <c r="A946" s="8" t="s">
        <v>2432</v>
      </c>
      <c r="B946" s="8" t="s">
        <v>184</v>
      </c>
      <c r="C946" s="8" t="str">
        <f t="shared" si="17"/>
        <v>molageing</v>
      </c>
      <c r="D946" s="8" t="s">
        <v>14</v>
      </c>
      <c r="E946" s="8" t="s">
        <v>2433</v>
      </c>
      <c r="F946" s="8" t="s">
        <v>2434</v>
      </c>
      <c r="G946" s="8">
        <v>500</v>
      </c>
    </row>
    <row r="947" spans="1:7" x14ac:dyDescent="0.15">
      <c r="A947" s="8" t="s">
        <v>3076</v>
      </c>
      <c r="B947" s="8" t="s">
        <v>184</v>
      </c>
      <c r="C947" s="8" t="str">
        <f t="shared" si="17"/>
        <v>protfa</v>
      </c>
      <c r="D947" s="8" t="s">
        <v>14</v>
      </c>
      <c r="E947" s="8" t="s">
        <v>3075</v>
      </c>
      <c r="F947" s="8" t="s">
        <v>3074</v>
      </c>
      <c r="G947" s="8">
        <v>500</v>
      </c>
    </row>
    <row r="948" spans="1:7" x14ac:dyDescent="0.15">
      <c r="A948" s="8" t="s">
        <v>2789</v>
      </c>
      <c r="B948" s="8" t="s">
        <v>184</v>
      </c>
      <c r="C948" s="8" t="str">
        <f t="shared" si="17"/>
        <v>frezza</v>
      </c>
      <c r="D948" s="8" t="s">
        <v>14</v>
      </c>
      <c r="E948" s="8" t="s">
        <v>2790</v>
      </c>
      <c r="F948" s="8" t="s">
        <v>2791</v>
      </c>
      <c r="G948" s="8">
        <v>500</v>
      </c>
    </row>
    <row r="949" spans="1:7" x14ac:dyDescent="0.15">
      <c r="A949" s="8" t="s">
        <v>2792</v>
      </c>
      <c r="B949" s="8" t="s">
        <v>184</v>
      </c>
      <c r="C949" s="8" t="str">
        <f t="shared" si="17"/>
        <v>krueger</v>
      </c>
      <c r="D949" s="8" t="s">
        <v>14</v>
      </c>
      <c r="E949" s="8" t="s">
        <v>2793</v>
      </c>
      <c r="F949" s="8" t="s">
        <v>2794</v>
      </c>
      <c r="G949" s="8">
        <v>500</v>
      </c>
    </row>
    <row r="950" spans="1:7" x14ac:dyDescent="0.15">
      <c r="A950" s="8" t="s">
        <v>2795</v>
      </c>
      <c r="B950" s="8" t="s">
        <v>184</v>
      </c>
      <c r="C950" s="8" t="str">
        <f t="shared" si="17"/>
        <v>rugarli</v>
      </c>
      <c r="D950" s="8" t="s">
        <v>14</v>
      </c>
      <c r="E950" s="8" t="s">
        <v>2796</v>
      </c>
      <c r="F950" s="8" t="s">
        <v>2794</v>
      </c>
      <c r="G950" s="8">
        <v>500</v>
      </c>
    </row>
    <row r="951" spans="1:7" x14ac:dyDescent="0.15">
      <c r="A951" s="8" t="s">
        <v>2797</v>
      </c>
      <c r="B951" s="8" t="s">
        <v>184</v>
      </c>
      <c r="C951" s="8" t="str">
        <f t="shared" si="17"/>
        <v>trifunovic</v>
      </c>
      <c r="D951" s="8" t="s">
        <v>14</v>
      </c>
      <c r="E951" s="8" t="s">
        <v>2798</v>
      </c>
      <c r="F951" s="8" t="s">
        <v>2799</v>
      </c>
      <c r="G951" s="8">
        <v>500</v>
      </c>
    </row>
    <row r="952" spans="1:7" x14ac:dyDescent="0.15">
      <c r="A952" s="8" t="s">
        <v>2951</v>
      </c>
      <c r="B952" s="8" t="s">
        <v>184</v>
      </c>
      <c r="C952" s="8" t="str">
        <f t="shared" si="17"/>
        <v>bergmani</v>
      </c>
      <c r="D952" s="8" t="s">
        <v>14</v>
      </c>
      <c r="E952" s="8" t="s">
        <v>2959</v>
      </c>
      <c r="F952" s="8" t="s">
        <v>2969</v>
      </c>
      <c r="G952" s="8">
        <v>500</v>
      </c>
    </row>
    <row r="953" spans="1:7" x14ac:dyDescent="0.15">
      <c r="A953" s="8" t="s">
        <v>2952</v>
      </c>
      <c r="B953" s="8" t="s">
        <v>184</v>
      </c>
      <c r="C953" s="8" t="str">
        <f t="shared" si="17"/>
        <v>motori</v>
      </c>
      <c r="D953" s="8" t="s">
        <v>14</v>
      </c>
      <c r="E953" s="8" t="s">
        <v>2960</v>
      </c>
      <c r="F953" s="8" t="s">
        <v>2970</v>
      </c>
      <c r="G953" s="8">
        <v>500</v>
      </c>
    </row>
    <row r="954" spans="1:7" x14ac:dyDescent="0.15">
      <c r="A954" s="8" t="s">
        <v>2953</v>
      </c>
      <c r="B954" s="8" t="s">
        <v>184</v>
      </c>
      <c r="C954" s="8" t="str">
        <f t="shared" si="17"/>
        <v>becker</v>
      </c>
      <c r="D954" s="8" t="s">
        <v>14</v>
      </c>
      <c r="E954" s="8" t="s">
        <v>2961</v>
      </c>
      <c r="F954" s="8" t="s">
        <v>2976</v>
      </c>
      <c r="G954" s="8">
        <v>500</v>
      </c>
    </row>
    <row r="955" spans="1:7" x14ac:dyDescent="0.15">
      <c r="A955" s="8" t="s">
        <v>2954</v>
      </c>
      <c r="B955" s="8" t="s">
        <v>184</v>
      </c>
      <c r="C955" s="8" t="str">
        <f t="shared" si="17"/>
        <v>bruening</v>
      </c>
      <c r="D955" s="8" t="s">
        <v>14</v>
      </c>
      <c r="E955" s="8" t="s">
        <v>2974</v>
      </c>
      <c r="F955" s="8" t="s">
        <v>2973</v>
      </c>
      <c r="G955" s="8">
        <v>500</v>
      </c>
    </row>
    <row r="956" spans="1:7" x14ac:dyDescent="0.15">
      <c r="A956" s="8" t="s">
        <v>2963</v>
      </c>
      <c r="B956" s="8" t="s">
        <v>184</v>
      </c>
      <c r="C956" s="8" t="str">
        <f t="shared" si="17"/>
        <v>escobar</v>
      </c>
      <c r="D956" s="8" t="s">
        <v>14</v>
      </c>
      <c r="E956" s="8" t="s">
        <v>2962</v>
      </c>
      <c r="F956" s="8" t="s">
        <v>2971</v>
      </c>
      <c r="G956" s="8">
        <v>500</v>
      </c>
    </row>
    <row r="957" spans="1:7" x14ac:dyDescent="0.15">
      <c r="A957" s="8" t="s">
        <v>2826</v>
      </c>
      <c r="B957" s="8" t="s">
        <v>184</v>
      </c>
      <c r="C957" s="8" t="str">
        <f t="shared" si="17"/>
        <v>garcia</v>
      </c>
      <c r="D957" s="8" t="s">
        <v>14</v>
      </c>
      <c r="E957" s="8" t="s">
        <v>2827</v>
      </c>
      <c r="F957" s="8" t="s">
        <v>2972</v>
      </c>
      <c r="G957" s="8">
        <v>500</v>
      </c>
    </row>
    <row r="958" spans="1:7" x14ac:dyDescent="0.15">
      <c r="A958" s="8" t="s">
        <v>2955</v>
      </c>
      <c r="B958" s="8" t="s">
        <v>184</v>
      </c>
      <c r="C958" s="8" t="str">
        <f t="shared" si="17"/>
        <v>piano</v>
      </c>
      <c r="D958" s="8" t="s">
        <v>14</v>
      </c>
      <c r="E958" s="8" t="s">
        <v>2964</v>
      </c>
      <c r="F958" s="8" t="s">
        <v>2979</v>
      </c>
      <c r="G958" s="8">
        <v>500</v>
      </c>
    </row>
    <row r="959" spans="1:7" x14ac:dyDescent="0.15">
      <c r="A959" s="8" t="s">
        <v>2956</v>
      </c>
      <c r="B959" s="8" t="s">
        <v>184</v>
      </c>
      <c r="C959" s="8" t="str">
        <f t="shared" si="17"/>
        <v>schwarz</v>
      </c>
      <c r="D959" s="8" t="s">
        <v>14</v>
      </c>
      <c r="E959" s="8" t="s">
        <v>2965</v>
      </c>
      <c r="F959" s="8" t="s">
        <v>2975</v>
      </c>
      <c r="G959" s="8">
        <v>500</v>
      </c>
    </row>
    <row r="960" spans="1:7" x14ac:dyDescent="0.15">
      <c r="A960" s="8" t="s">
        <v>2957</v>
      </c>
      <c r="B960" s="8" t="s">
        <v>184</v>
      </c>
      <c r="C960" s="8" t="str">
        <f t="shared" si="17"/>
        <v>corrado</v>
      </c>
      <c r="D960" s="8" t="s">
        <v>14</v>
      </c>
      <c r="E960" s="8" t="s">
        <v>2966</v>
      </c>
      <c r="F960" s="8" t="s">
        <v>2980</v>
      </c>
      <c r="G960" s="8">
        <v>500</v>
      </c>
    </row>
    <row r="961" spans="1:7" x14ac:dyDescent="0.15">
      <c r="A961" s="8" t="s">
        <v>2958</v>
      </c>
      <c r="B961" s="8" t="s">
        <v>184</v>
      </c>
      <c r="C961" s="8" t="str">
        <f t="shared" si="17"/>
        <v>eming</v>
      </c>
      <c r="D961" s="8" t="s">
        <v>14</v>
      </c>
      <c r="E961" s="8" t="s">
        <v>2967</v>
      </c>
      <c r="F961" s="8" t="s">
        <v>2968</v>
      </c>
      <c r="G961" s="8">
        <v>500</v>
      </c>
    </row>
    <row r="962" spans="1:7" x14ac:dyDescent="0.15">
      <c r="A962" s="8" t="s">
        <v>2823</v>
      </c>
      <c r="B962" s="8" t="s">
        <v>184</v>
      </c>
      <c r="C962" s="8" t="str">
        <f t="shared" si="17"/>
        <v>hoppe</v>
      </c>
      <c r="D962" s="8" t="s">
        <v>14</v>
      </c>
      <c r="E962" s="8" t="s">
        <v>2824</v>
      </c>
      <c r="F962" s="8" t="s">
        <v>2825</v>
      </c>
      <c r="G962" s="8">
        <v>500</v>
      </c>
    </row>
    <row r="963" spans="1:7" x14ac:dyDescent="0.15">
      <c r="A963" s="8" t="s">
        <v>2826</v>
      </c>
      <c r="B963" s="8" t="s">
        <v>184</v>
      </c>
      <c r="C963" s="8" t="str">
        <f t="shared" si="17"/>
        <v>garcia</v>
      </c>
      <c r="D963" s="8" t="s">
        <v>14</v>
      </c>
      <c r="E963" s="8" t="s">
        <v>2827</v>
      </c>
      <c r="F963" s="8" t="s">
        <v>2825</v>
      </c>
      <c r="G963" s="8">
        <v>500</v>
      </c>
    </row>
    <row r="964" spans="1:7" x14ac:dyDescent="0.15">
      <c r="A964" s="8" t="s">
        <v>2828</v>
      </c>
      <c r="B964" s="8" t="s">
        <v>184</v>
      </c>
      <c r="C964" s="8" t="str">
        <f t="shared" si="17"/>
        <v>khaskar</v>
      </c>
      <c r="D964" s="8" t="s">
        <v>14</v>
      </c>
      <c r="E964" s="8" t="s">
        <v>2829</v>
      </c>
      <c r="F964" s="8" t="s">
        <v>2830</v>
      </c>
      <c r="G964" s="8">
        <v>500</v>
      </c>
    </row>
    <row r="965" spans="1:7" x14ac:dyDescent="0.15">
      <c r="A965" s="8" t="s">
        <v>2947</v>
      </c>
      <c r="B965" s="8" t="s">
        <v>184</v>
      </c>
      <c r="C965" s="8" t="str">
        <f t="shared" si="17"/>
        <v>riemer</v>
      </c>
      <c r="D965" s="8" t="s">
        <v>14</v>
      </c>
      <c r="E965" s="8" t="s">
        <v>2948</v>
      </c>
      <c r="F965" s="8" t="s">
        <v>2949</v>
      </c>
      <c r="G965" s="8">
        <v>500</v>
      </c>
    </row>
    <row r="966" spans="1:7" x14ac:dyDescent="0.15">
      <c r="A966" s="8" t="s">
        <v>2743</v>
      </c>
      <c r="B966" s="20" t="s">
        <v>2739</v>
      </c>
      <c r="C966" s="8" t="str">
        <f t="shared" si="17"/>
        <v>wd</v>
      </c>
      <c r="D966" s="8" t="s">
        <v>14</v>
      </c>
      <c r="E966" s="8" t="s">
        <v>2742</v>
      </c>
      <c r="F966" s="8" t="s">
        <v>2741</v>
      </c>
      <c r="G966" s="8">
        <v>500</v>
      </c>
    </row>
    <row r="967" spans="1:7" x14ac:dyDescent="0.15">
      <c r="A967" s="8" t="s">
        <v>2744</v>
      </c>
      <c r="B967" s="20" t="s">
        <v>2739</v>
      </c>
      <c r="C967" s="8" t="str">
        <f t="shared" si="17"/>
        <v>sd</v>
      </c>
      <c r="D967" s="8" t="s">
        <v>14</v>
      </c>
      <c r="E967" s="8" t="s">
        <v>2745</v>
      </c>
      <c r="G967" s="8">
        <v>500</v>
      </c>
    </row>
    <row r="968" spans="1:7" x14ac:dyDescent="0.15">
      <c r="A968" s="8" t="s">
        <v>2746</v>
      </c>
      <c r="B968" s="20" t="s">
        <v>2739</v>
      </c>
      <c r="C968" s="8" t="str">
        <f t="shared" si="17"/>
        <v>veg</v>
      </c>
      <c r="D968" s="8" t="s">
        <v>14</v>
      </c>
      <c r="E968" s="8" t="s">
        <v>2747</v>
      </c>
      <c r="F968" s="8" t="s">
        <v>2748</v>
      </c>
      <c r="G968" s="8">
        <v>500</v>
      </c>
    </row>
    <row r="969" spans="1:7" x14ac:dyDescent="0.15">
      <c r="A969" s="8" t="s">
        <v>2751</v>
      </c>
      <c r="B969" s="20" t="s">
        <v>2739</v>
      </c>
      <c r="C969" s="8" t="str">
        <f t="shared" si="17"/>
        <v>hg</v>
      </c>
      <c r="D969" s="8" t="s">
        <v>14</v>
      </c>
      <c r="E969" s="8" t="s">
        <v>2749</v>
      </c>
      <c r="F969" s="8" t="s">
        <v>2750</v>
      </c>
      <c r="G969" s="8">
        <v>500</v>
      </c>
    </row>
    <row r="970" spans="1:7" x14ac:dyDescent="0.15">
      <c r="A970" s="8" t="s">
        <v>2754</v>
      </c>
      <c r="B970" s="8" t="s">
        <v>2739</v>
      </c>
      <c r="C970" s="8" t="str">
        <f t="shared" si="17"/>
        <v>hfd</v>
      </c>
      <c r="D970" s="8" t="s">
        <v>14</v>
      </c>
      <c r="E970" s="8" t="s">
        <v>2752</v>
      </c>
      <c r="F970" s="8" t="s">
        <v>2753</v>
      </c>
      <c r="G970" s="8">
        <v>500</v>
      </c>
    </row>
    <row r="971" spans="1:7" x14ac:dyDescent="0.15">
      <c r="A971" s="8" t="s">
        <v>2489</v>
      </c>
      <c r="B971" s="8" t="s">
        <v>58</v>
      </c>
      <c r="C971" s="8" t="str">
        <f t="shared" si="17"/>
        <v>lps</v>
      </c>
      <c r="D971" s="8" t="s">
        <v>14</v>
      </c>
      <c r="E971" s="8" t="s">
        <v>2490</v>
      </c>
      <c r="F971" s="8" t="s">
        <v>2491</v>
      </c>
      <c r="G971" s="8">
        <v>500</v>
      </c>
    </row>
    <row r="972" spans="1:7" x14ac:dyDescent="0.15">
      <c r="A972" s="8" t="s">
        <v>2500</v>
      </c>
      <c r="B972" s="8" t="s">
        <v>58</v>
      </c>
      <c r="C972" s="8" t="str">
        <f t="shared" si="17"/>
        <v>r848</v>
      </c>
      <c r="D972" s="8" t="s">
        <v>14</v>
      </c>
      <c r="E972" s="8" t="s">
        <v>2501</v>
      </c>
      <c r="F972" s="8" t="s">
        <v>2894</v>
      </c>
      <c r="G972" s="8">
        <v>500</v>
      </c>
    </row>
    <row r="973" spans="1:7" x14ac:dyDescent="0.15">
      <c r="A973" s="8" t="s">
        <v>3135</v>
      </c>
      <c r="B973" s="8" t="s">
        <v>58</v>
      </c>
      <c r="C973" s="8" t="str">
        <f t="shared" si="17"/>
        <v>mitoblock10</v>
      </c>
      <c r="D973" s="8" t="s">
        <v>14</v>
      </c>
      <c r="E973" s="8" t="s">
        <v>3133</v>
      </c>
      <c r="F973" s="8" t="s">
        <v>3134</v>
      </c>
      <c r="G973" s="8">
        <v>500</v>
      </c>
    </row>
    <row r="974" spans="1:7" x14ac:dyDescent="0.15">
      <c r="A974" s="8" t="s">
        <v>3174</v>
      </c>
      <c r="B974" s="8" t="s">
        <v>58</v>
      </c>
      <c r="C974" s="8" t="str">
        <f t="shared" si="17"/>
        <v>ifng</v>
      </c>
      <c r="D974" s="8" t="s">
        <v>14</v>
      </c>
      <c r="E974" s="8" t="s">
        <v>3175</v>
      </c>
      <c r="F974" s="8" t="s">
        <v>3176</v>
      </c>
      <c r="G974" s="8">
        <v>500</v>
      </c>
    </row>
    <row r="975" spans="1:7" x14ac:dyDescent="0.15">
      <c r="A975" s="8" t="s">
        <v>3177</v>
      </c>
      <c r="B975" s="8" t="s">
        <v>58</v>
      </c>
      <c r="C975" s="8" t="str">
        <f t="shared" si="17"/>
        <v>il4</v>
      </c>
      <c r="D975" s="8" t="s">
        <v>14</v>
      </c>
      <c r="E975" s="8" t="s">
        <v>3178</v>
      </c>
      <c r="F975" s="8" t="s">
        <v>3179</v>
      </c>
      <c r="G975" s="8">
        <v>500</v>
      </c>
    </row>
    <row r="976" spans="1:7" x14ac:dyDescent="0.15">
      <c r="A976" s="8" t="s">
        <v>3180</v>
      </c>
      <c r="B976" s="8" t="s">
        <v>58</v>
      </c>
      <c r="C976" s="8" t="str">
        <f t="shared" si="17"/>
        <v>il13</v>
      </c>
      <c r="D976" s="8" t="s">
        <v>14</v>
      </c>
      <c r="E976" s="8" t="s">
        <v>3181</v>
      </c>
      <c r="F976" s="8" t="s">
        <v>3182</v>
      </c>
      <c r="G976" s="8">
        <v>500</v>
      </c>
    </row>
    <row r="977" spans="1:7" x14ac:dyDescent="0.15">
      <c r="A977" s="8" t="s">
        <v>3183</v>
      </c>
      <c r="B977" s="8" t="s">
        <v>58</v>
      </c>
      <c r="C977" s="8" t="str">
        <f t="shared" si="17"/>
        <v>asynlow</v>
      </c>
      <c r="D977" s="8" t="s">
        <v>14</v>
      </c>
      <c r="E977" s="8" t="s">
        <v>3184</v>
      </c>
      <c r="F977" s="8" t="s">
        <v>3187</v>
      </c>
      <c r="G977" s="8">
        <v>500</v>
      </c>
    </row>
    <row r="978" spans="1:7" x14ac:dyDescent="0.15">
      <c r="A978" s="8" t="s">
        <v>3185</v>
      </c>
      <c r="B978" s="8" t="s">
        <v>58</v>
      </c>
      <c r="C978" s="8" t="str">
        <f t="shared" si="17"/>
        <v>asynhigh</v>
      </c>
      <c r="D978" s="8" t="s">
        <v>14</v>
      </c>
      <c r="E978" s="8" t="s">
        <v>3186</v>
      </c>
      <c r="F978" s="8" t="s">
        <v>3188</v>
      </c>
      <c r="G978" s="8">
        <v>500</v>
      </c>
    </row>
    <row r="979" spans="1:7" x14ac:dyDescent="0.15">
      <c r="A979" s="8" t="s">
        <v>2895</v>
      </c>
      <c r="B979" s="8" t="s">
        <v>36</v>
      </c>
      <c r="C979" s="8" t="str">
        <f t="shared" si="17"/>
        <v>mdc</v>
      </c>
      <c r="D979" s="8" t="s">
        <v>14</v>
      </c>
      <c r="E979" s="8" t="s">
        <v>2916</v>
      </c>
      <c r="F979" s="8" t="s">
        <v>2915</v>
      </c>
      <c r="G979" s="8">
        <v>500</v>
      </c>
    </row>
    <row r="980" spans="1:7" x14ac:dyDescent="0.15">
      <c r="A980" s="8" t="s">
        <v>2896</v>
      </c>
      <c r="B980" s="8" t="s">
        <v>36</v>
      </c>
      <c r="C980" s="8" t="str">
        <f t="shared" si="17"/>
        <v>mtregs</v>
      </c>
      <c r="D980" s="8" t="s">
        <v>14</v>
      </c>
      <c r="E980" s="8" t="s">
        <v>2914</v>
      </c>
      <c r="F980" s="8" t="s">
        <v>2913</v>
      </c>
      <c r="G980" s="8">
        <v>500</v>
      </c>
    </row>
    <row r="981" spans="1:7" x14ac:dyDescent="0.15">
      <c r="A981" s="8" t="s">
        <v>2897</v>
      </c>
      <c r="B981" s="8" t="s">
        <v>36</v>
      </c>
      <c r="C981" s="8" t="str">
        <f t="shared" si="17"/>
        <v>pdc</v>
      </c>
      <c r="D981" s="8" t="s">
        <v>14</v>
      </c>
      <c r="E981" s="8" t="s">
        <v>2917</v>
      </c>
      <c r="F981" s="8" t="s">
        <v>2912</v>
      </c>
      <c r="G981" s="8">
        <v>500</v>
      </c>
    </row>
    <row r="982" spans="1:7" x14ac:dyDescent="0.15">
      <c r="A982" s="8" t="s">
        <v>2898</v>
      </c>
      <c r="B982" s="8" t="s">
        <v>36</v>
      </c>
      <c r="C982" s="8" t="str">
        <f t="shared" ref="C982:C1025" si="18">A982</f>
        <v>attregs</v>
      </c>
      <c r="D982" s="8" t="s">
        <v>14</v>
      </c>
      <c r="E982" s="8" t="s">
        <v>2911</v>
      </c>
      <c r="F982" s="8" t="s">
        <v>2918</v>
      </c>
      <c r="G982" s="8">
        <v>500</v>
      </c>
    </row>
    <row r="983" spans="1:7" x14ac:dyDescent="0.15">
      <c r="A983" s="8" t="s">
        <v>2899</v>
      </c>
      <c r="B983" s="8" t="s">
        <v>36</v>
      </c>
      <c r="C983" s="8" t="str">
        <f t="shared" si="18"/>
        <v>infdc</v>
      </c>
      <c r="D983" s="8" t="s">
        <v>14</v>
      </c>
      <c r="E983" s="8" t="s">
        <v>2910</v>
      </c>
      <c r="F983" s="8" t="s">
        <v>2909</v>
      </c>
      <c r="G983" s="8">
        <v>500</v>
      </c>
    </row>
    <row r="984" spans="1:7" x14ac:dyDescent="0.15">
      <c r="A984" s="8" t="s">
        <v>2900</v>
      </c>
      <c r="B984" s="8" t="s">
        <v>36</v>
      </c>
      <c r="C984" s="8" t="str">
        <f t="shared" si="18"/>
        <v>itgres</v>
      </c>
      <c r="D984" s="8" t="s">
        <v>14</v>
      </c>
      <c r="E984" s="8" t="s">
        <v>2908</v>
      </c>
      <c r="F984" s="8" t="s">
        <v>2907</v>
      </c>
      <c r="G984" s="8">
        <v>500</v>
      </c>
    </row>
    <row r="985" spans="1:7" x14ac:dyDescent="0.15">
      <c r="A985" s="8" t="s">
        <v>2901</v>
      </c>
      <c r="B985" s="8" t="s">
        <v>36</v>
      </c>
      <c r="C985" s="8" t="str">
        <f t="shared" si="18"/>
        <v>dendritic</v>
      </c>
      <c r="D985" s="8" t="s">
        <v>14</v>
      </c>
      <c r="E985" s="8" t="s">
        <v>2906</v>
      </c>
      <c r="F985" s="8" t="s">
        <v>2905</v>
      </c>
      <c r="G985" s="8">
        <v>500</v>
      </c>
    </row>
    <row r="986" spans="1:7" x14ac:dyDescent="0.15">
      <c r="A986" s="8" t="s">
        <v>2902</v>
      </c>
      <c r="B986" s="8" t="s">
        <v>36</v>
      </c>
      <c r="C986" s="8" t="str">
        <f t="shared" si="18"/>
        <v>ememcell</v>
      </c>
      <c r="D986" s="8" t="s">
        <v>14</v>
      </c>
      <c r="E986" s="8" t="s">
        <v>2904</v>
      </c>
      <c r="F986" s="8" t="s">
        <v>2903</v>
      </c>
      <c r="G986" s="8">
        <v>500</v>
      </c>
    </row>
    <row r="987" spans="1:7" x14ac:dyDescent="0.15">
      <c r="A987" s="8" t="s">
        <v>2919</v>
      </c>
      <c r="B987" s="8" t="s">
        <v>2837</v>
      </c>
      <c r="C987" s="8" t="str">
        <f t="shared" si="18"/>
        <v>supernatant</v>
      </c>
      <c r="D987" s="8" t="s">
        <v>14</v>
      </c>
      <c r="E987" s="8" t="s">
        <v>2920</v>
      </c>
      <c r="F987" s="8" t="s">
        <v>2921</v>
      </c>
      <c r="G987" s="8">
        <v>500</v>
      </c>
    </row>
    <row r="988" spans="1:7" x14ac:dyDescent="0.15">
      <c r="A988" s="8" t="s">
        <v>2923</v>
      </c>
      <c r="B988" s="8" t="s">
        <v>2922</v>
      </c>
      <c r="C988" s="8" t="str">
        <f t="shared" si="18"/>
        <v>leftatrium</v>
      </c>
      <c r="D988" s="8" t="s">
        <v>14</v>
      </c>
      <c r="E988" s="8" t="s">
        <v>2924</v>
      </c>
      <c r="F988" s="8" t="s">
        <v>2925</v>
      </c>
      <c r="G988" s="8">
        <v>500</v>
      </c>
    </row>
    <row r="989" spans="1:7" x14ac:dyDescent="0.15">
      <c r="A989" s="8" t="s">
        <v>2926</v>
      </c>
      <c r="B989" s="8" t="s">
        <v>2922</v>
      </c>
      <c r="C989" s="8" t="str">
        <f t="shared" si="18"/>
        <v>rightatrium</v>
      </c>
      <c r="D989" s="8" t="s">
        <v>14</v>
      </c>
      <c r="E989" s="8" t="s">
        <v>2927</v>
      </c>
      <c r="F989" s="8" t="s">
        <v>2928</v>
      </c>
      <c r="G989" s="8">
        <v>500</v>
      </c>
    </row>
    <row r="990" spans="1:7" x14ac:dyDescent="0.15">
      <c r="A990" s="8" t="s">
        <v>2945</v>
      </c>
      <c r="B990" s="8" t="s">
        <v>2922</v>
      </c>
      <c r="C990" s="8" t="str">
        <f t="shared" si="18"/>
        <v>leftventri</v>
      </c>
      <c r="D990" s="8" t="s">
        <v>14</v>
      </c>
      <c r="E990" s="8" t="s">
        <v>2943</v>
      </c>
      <c r="F990" s="8" t="s">
        <v>2929</v>
      </c>
      <c r="G990" s="8">
        <v>500</v>
      </c>
    </row>
    <row r="991" spans="1:7" x14ac:dyDescent="0.15">
      <c r="A991" s="8" t="s">
        <v>2946</v>
      </c>
      <c r="B991" s="8" t="s">
        <v>2922</v>
      </c>
      <c r="C991" s="8" t="str">
        <f t="shared" si="18"/>
        <v>rightventri</v>
      </c>
      <c r="D991" s="8" t="s">
        <v>14</v>
      </c>
      <c r="E991" s="8" t="s">
        <v>2944</v>
      </c>
      <c r="F991" s="8" t="s">
        <v>2929</v>
      </c>
      <c r="G991" s="8">
        <v>500</v>
      </c>
    </row>
    <row r="992" spans="1:7" x14ac:dyDescent="0.15">
      <c r="A992" s="8" t="s">
        <v>3012</v>
      </c>
      <c r="B992" s="8" t="s">
        <v>3010</v>
      </c>
      <c r="C992" s="8" t="str">
        <f t="shared" si="18"/>
        <v>type1</v>
      </c>
      <c r="D992" s="8" t="s">
        <v>14</v>
      </c>
      <c r="E992" s="8" t="s">
        <v>3030</v>
      </c>
      <c r="F992" s="8" t="s">
        <v>3035</v>
      </c>
      <c r="G992" s="8">
        <v>500</v>
      </c>
    </row>
    <row r="993" spans="1:7" x14ac:dyDescent="0.15">
      <c r="A993" s="8" t="s">
        <v>3013</v>
      </c>
      <c r="B993" s="8" t="s">
        <v>3010</v>
      </c>
      <c r="C993" s="8" t="str">
        <f t="shared" si="18"/>
        <v>type2a</v>
      </c>
      <c r="D993" s="8" t="s">
        <v>14</v>
      </c>
      <c r="E993" s="8" t="s">
        <v>3031</v>
      </c>
      <c r="F993" s="8" t="s">
        <v>3036</v>
      </c>
      <c r="G993" s="8">
        <v>500</v>
      </c>
    </row>
    <row r="994" spans="1:7" x14ac:dyDescent="0.15">
      <c r="A994" s="8" t="s">
        <v>3014</v>
      </c>
      <c r="B994" s="8" t="s">
        <v>3010</v>
      </c>
      <c r="C994" s="8" t="str">
        <f t="shared" si="18"/>
        <v>type2b</v>
      </c>
      <c r="D994" s="8" t="s">
        <v>14</v>
      </c>
      <c r="E994" s="8" t="s">
        <v>3032</v>
      </c>
      <c r="F994" s="8" t="s">
        <v>3037</v>
      </c>
      <c r="G994" s="8">
        <v>500</v>
      </c>
    </row>
    <row r="995" spans="1:7" x14ac:dyDescent="0.15">
      <c r="A995" s="8" t="s">
        <v>3015</v>
      </c>
      <c r="B995" s="8" t="s">
        <v>3010</v>
      </c>
      <c r="C995" s="8" t="str">
        <f t="shared" si="18"/>
        <v>type2x</v>
      </c>
      <c r="D995" s="8" t="s">
        <v>14</v>
      </c>
      <c r="E995" s="8" t="s">
        <v>3033</v>
      </c>
      <c r="F995" s="8" t="s">
        <v>3038</v>
      </c>
      <c r="G995" s="8">
        <v>500</v>
      </c>
    </row>
    <row r="996" spans="1:7" x14ac:dyDescent="0.15">
      <c r="A996" s="8" t="s">
        <v>3016</v>
      </c>
      <c r="B996" s="8" t="s">
        <v>3010</v>
      </c>
      <c r="C996" s="8" t="str">
        <f t="shared" si="18"/>
        <v>type2d</v>
      </c>
      <c r="D996" s="8" t="s">
        <v>14</v>
      </c>
      <c r="E996" s="8" t="s">
        <v>3034</v>
      </c>
      <c r="F996" s="8" t="s">
        <v>3017</v>
      </c>
      <c r="G996" s="8">
        <v>500</v>
      </c>
    </row>
    <row r="997" spans="1:7" x14ac:dyDescent="0.15">
      <c r="A997" s="8" t="s">
        <v>3018</v>
      </c>
      <c r="B997" s="8" t="s">
        <v>3010</v>
      </c>
      <c r="C997" s="8" t="str">
        <f t="shared" si="18"/>
        <v>mixedt12a</v>
      </c>
      <c r="D997" s="8" t="s">
        <v>14</v>
      </c>
      <c r="E997" s="8" t="s">
        <v>3019</v>
      </c>
      <c r="F997" s="8" t="s">
        <v>3040</v>
      </c>
      <c r="G997" s="8">
        <v>500</v>
      </c>
    </row>
    <row r="998" spans="1:7" x14ac:dyDescent="0.15">
      <c r="A998" s="8" t="s">
        <v>3020</v>
      </c>
      <c r="B998" s="8" t="s">
        <v>3010</v>
      </c>
      <c r="C998" s="8" t="str">
        <f t="shared" si="18"/>
        <v>mixedt12x</v>
      </c>
      <c r="D998" s="8" t="s">
        <v>14</v>
      </c>
      <c r="E998" s="8" t="s">
        <v>3021</v>
      </c>
      <c r="F998" s="8" t="s">
        <v>3039</v>
      </c>
      <c r="G998" s="8">
        <v>500</v>
      </c>
    </row>
    <row r="999" spans="1:7" x14ac:dyDescent="0.15">
      <c r="A999" s="8" t="s">
        <v>3022</v>
      </c>
      <c r="B999" s="8" t="s">
        <v>3010</v>
      </c>
      <c r="C999" s="8" t="str">
        <f t="shared" si="18"/>
        <v>mixedt1tb</v>
      </c>
      <c r="D999" s="8" t="s">
        <v>14</v>
      </c>
      <c r="E999" s="8" t="s">
        <v>3023</v>
      </c>
      <c r="F999" s="8" t="s">
        <v>3041</v>
      </c>
      <c r="G999" s="8">
        <v>500</v>
      </c>
    </row>
    <row r="1000" spans="1:7" x14ac:dyDescent="0.15">
      <c r="A1000" s="8" t="s">
        <v>3024</v>
      </c>
      <c r="B1000" s="8" t="s">
        <v>3010</v>
      </c>
      <c r="C1000" s="8" t="str">
        <f t="shared" si="18"/>
        <v>mixed2a2b</v>
      </c>
      <c r="D1000" s="8" t="s">
        <v>14</v>
      </c>
      <c r="E1000" s="8" t="s">
        <v>3025</v>
      </c>
      <c r="F1000" s="8" t="s">
        <v>3042</v>
      </c>
      <c r="G1000" s="8">
        <v>500</v>
      </c>
    </row>
    <row r="1001" spans="1:7" x14ac:dyDescent="0.15">
      <c r="A1001" s="8" t="s">
        <v>3026</v>
      </c>
      <c r="B1001" s="8" t="s">
        <v>3010</v>
      </c>
      <c r="C1001" s="8" t="str">
        <f t="shared" si="18"/>
        <v>mixed2a2x</v>
      </c>
      <c r="D1001" s="8" t="s">
        <v>14</v>
      </c>
      <c r="E1001" s="8" t="s">
        <v>3027</v>
      </c>
      <c r="F1001" s="8" t="s">
        <v>3043</v>
      </c>
      <c r="G1001" s="8">
        <v>500</v>
      </c>
    </row>
    <row r="1002" spans="1:7" x14ac:dyDescent="0.15">
      <c r="A1002" s="8" t="s">
        <v>3028</v>
      </c>
      <c r="B1002" s="8" t="s">
        <v>3010</v>
      </c>
      <c r="C1002" s="8" t="str">
        <f t="shared" si="18"/>
        <v>mixed2b2x</v>
      </c>
      <c r="D1002" s="8" t="s">
        <v>14</v>
      </c>
      <c r="E1002" s="8" t="s">
        <v>3029</v>
      </c>
      <c r="F1002" s="8" t="s">
        <v>3044</v>
      </c>
      <c r="G1002" s="8">
        <v>500</v>
      </c>
    </row>
    <row r="1003" spans="1:7" x14ac:dyDescent="0.15">
      <c r="A1003" s="8" t="s">
        <v>3147</v>
      </c>
      <c r="B1003" s="8" t="s">
        <v>3088</v>
      </c>
      <c r="C1003" s="8" t="str">
        <f t="shared" si="18"/>
        <v>sol_pellet</v>
      </c>
      <c r="D1003" s="8" t="s">
        <v>14</v>
      </c>
      <c r="E1003" s="8" t="s">
        <v>3083</v>
      </c>
      <c r="F1003" s="8" t="s">
        <v>3089</v>
      </c>
      <c r="G1003" s="8">
        <v>500</v>
      </c>
    </row>
    <row r="1004" spans="1:7" x14ac:dyDescent="0.15">
      <c r="A1004" s="8" t="s">
        <v>3146</v>
      </c>
      <c r="B1004" s="8" t="s">
        <v>3088</v>
      </c>
      <c r="C1004" s="8" t="str">
        <f t="shared" si="18"/>
        <v>sol_total</v>
      </c>
      <c r="D1004" s="8" t="s">
        <v>14</v>
      </c>
      <c r="E1004" s="8" t="s">
        <v>1181</v>
      </c>
      <c r="F1004" s="8" t="s">
        <v>3090</v>
      </c>
      <c r="G1004" s="8">
        <v>500</v>
      </c>
    </row>
    <row r="1005" spans="1:7" x14ac:dyDescent="0.15">
      <c r="A1005" s="8" t="s">
        <v>3148</v>
      </c>
      <c r="B1005" s="8" t="s">
        <v>3088</v>
      </c>
      <c r="C1005" s="8" t="str">
        <f t="shared" si="18"/>
        <v>sol_supernatant</v>
      </c>
      <c r="D1005" s="8" t="s">
        <v>14</v>
      </c>
      <c r="E1005" s="8" t="s">
        <v>2920</v>
      </c>
      <c r="F1005" s="8" t="s">
        <v>3091</v>
      </c>
      <c r="G1005" s="8">
        <v>500</v>
      </c>
    </row>
    <row r="1006" spans="1:7" x14ac:dyDescent="0.15">
      <c r="A1006" s="8">
        <v>275</v>
      </c>
      <c r="B1006" s="8" t="s">
        <v>34</v>
      </c>
      <c r="C1006" s="8">
        <f t="shared" si="18"/>
        <v>275</v>
      </c>
      <c r="D1006" s="8" t="s">
        <v>14</v>
      </c>
      <c r="E1006" s="8">
        <v>275</v>
      </c>
      <c r="F1006" s="8" t="s">
        <v>14</v>
      </c>
      <c r="G1006" s="8">
        <v>500</v>
      </c>
    </row>
    <row r="1007" spans="1:7" x14ac:dyDescent="0.15">
      <c r="A1007" s="8">
        <v>320</v>
      </c>
      <c r="B1007" s="8" t="s">
        <v>34</v>
      </c>
      <c r="C1007" s="8">
        <f t="shared" si="18"/>
        <v>320</v>
      </c>
      <c r="D1007" s="8" t="s">
        <v>14</v>
      </c>
      <c r="E1007" s="8">
        <v>320</v>
      </c>
      <c r="F1007" s="8" t="s">
        <v>14</v>
      </c>
      <c r="G1007" s="8">
        <v>500</v>
      </c>
    </row>
    <row r="1008" spans="1:7" x14ac:dyDescent="0.15">
      <c r="A1008" s="8">
        <v>-45</v>
      </c>
      <c r="B1008" s="8" t="s">
        <v>89</v>
      </c>
      <c r="C1008" s="8">
        <f t="shared" si="18"/>
        <v>-45</v>
      </c>
      <c r="D1008" s="8" t="s">
        <v>14</v>
      </c>
      <c r="E1008" s="8">
        <v>-45</v>
      </c>
      <c r="F1008" s="8" t="s">
        <v>14</v>
      </c>
      <c r="G1008" s="8">
        <v>500</v>
      </c>
    </row>
    <row r="1009" spans="1:7" x14ac:dyDescent="0.15">
      <c r="A1009" s="8" t="s">
        <v>3124</v>
      </c>
      <c r="B1009" s="8" t="s">
        <v>3123</v>
      </c>
      <c r="C1009" s="8" t="str">
        <f t="shared" si="18"/>
        <v>input</v>
      </c>
      <c r="D1009" s="8" t="s">
        <v>14</v>
      </c>
      <c r="E1009" s="8" t="s">
        <v>3125</v>
      </c>
      <c r="F1009" t="s">
        <v>3126</v>
      </c>
      <c r="G1009" s="8">
        <v>500</v>
      </c>
    </row>
    <row r="1010" spans="1:7" x14ac:dyDescent="0.15">
      <c r="A1010" s="8" t="s">
        <v>3130</v>
      </c>
      <c r="B1010" s="8" t="s">
        <v>3123</v>
      </c>
      <c r="C1010" s="8" t="str">
        <f t="shared" si="18"/>
        <v>elution</v>
      </c>
      <c r="D1010" s="8" t="s">
        <v>14</v>
      </c>
      <c r="E1010" s="8" t="s">
        <v>3127</v>
      </c>
      <c r="F1010" s="8" t="s">
        <v>3132</v>
      </c>
      <c r="G1010" s="8">
        <v>500</v>
      </c>
    </row>
    <row r="1011" spans="1:7" x14ac:dyDescent="0.15">
      <c r="A1011" s="8" t="s">
        <v>3129</v>
      </c>
      <c r="B1011" s="8" t="s">
        <v>3123</v>
      </c>
      <c r="C1011" s="8" t="str">
        <f t="shared" si="18"/>
        <v>wash</v>
      </c>
      <c r="D1011" s="8" t="s">
        <v>14</v>
      </c>
      <c r="E1011" s="8" t="s">
        <v>3128</v>
      </c>
      <c r="F1011" s="8" t="s">
        <v>3131</v>
      </c>
      <c r="G1011" s="8">
        <v>500</v>
      </c>
    </row>
    <row r="1012" spans="1:7" ht="16" x14ac:dyDescent="0.2">
      <c r="A1012" s="8" t="s">
        <v>3137</v>
      </c>
      <c r="B1012" s="31" t="s">
        <v>3139</v>
      </c>
      <c r="C1012" s="8" t="str">
        <f t="shared" si="18"/>
        <v>fbs</v>
      </c>
      <c r="D1012" s="8" t="s">
        <v>14</v>
      </c>
      <c r="E1012" s="8" t="s">
        <v>3140</v>
      </c>
      <c r="F1012" s="24" t="s">
        <v>3143</v>
      </c>
      <c r="G1012" s="8">
        <v>500</v>
      </c>
    </row>
    <row r="1013" spans="1:7" ht="16" x14ac:dyDescent="0.2">
      <c r="A1013" s="8" t="s">
        <v>3138</v>
      </c>
      <c r="B1013" s="31" t="s">
        <v>3139</v>
      </c>
      <c r="C1013" s="8" t="str">
        <f t="shared" si="18"/>
        <v>nofbs</v>
      </c>
      <c r="D1013" s="8" t="s">
        <v>14</v>
      </c>
      <c r="E1013" s="8" t="s">
        <v>3141</v>
      </c>
      <c r="F1013" s="8" t="s">
        <v>3142</v>
      </c>
      <c r="G1013" s="8">
        <v>500</v>
      </c>
    </row>
    <row r="1014" spans="1:7" x14ac:dyDescent="0.15">
      <c r="A1014" s="8" t="s">
        <v>3149</v>
      </c>
      <c r="B1014" s="8" t="s">
        <v>3145</v>
      </c>
      <c r="C1014" s="8" t="str">
        <f t="shared" si="18"/>
        <v>embryo</v>
      </c>
      <c r="D1014" s="8" t="s">
        <v>14</v>
      </c>
      <c r="E1014" s="8" t="s">
        <v>3154</v>
      </c>
      <c r="F1014" s="8" t="s">
        <v>3153</v>
      </c>
      <c r="G1014" s="8">
        <v>500</v>
      </c>
    </row>
    <row r="1015" spans="1:7" x14ac:dyDescent="0.15">
      <c r="A1015" s="8" t="s">
        <v>3150</v>
      </c>
      <c r="B1015" s="8" t="s">
        <v>3145</v>
      </c>
      <c r="C1015" s="8" t="str">
        <f t="shared" si="18"/>
        <v>young</v>
      </c>
      <c r="D1015" s="8" t="s">
        <v>14</v>
      </c>
      <c r="E1015" s="8" t="s">
        <v>3155</v>
      </c>
      <c r="F1015" s="8" t="s">
        <v>3158</v>
      </c>
      <c r="G1015" s="8">
        <v>500</v>
      </c>
    </row>
    <row r="1016" spans="1:7" x14ac:dyDescent="0.15">
      <c r="A1016" s="8" t="s">
        <v>3151</v>
      </c>
      <c r="B1016" s="8" t="s">
        <v>3145</v>
      </c>
      <c r="C1016" s="8" t="str">
        <f t="shared" si="18"/>
        <v>adult</v>
      </c>
      <c r="D1016" s="8" t="s">
        <v>14</v>
      </c>
      <c r="E1016" s="8" t="s">
        <v>3156</v>
      </c>
      <c r="F1016" s="8" t="s">
        <v>3160</v>
      </c>
      <c r="G1016" s="8">
        <v>500</v>
      </c>
    </row>
    <row r="1017" spans="1:7" x14ac:dyDescent="0.15">
      <c r="A1017" s="8" t="s">
        <v>3152</v>
      </c>
      <c r="B1017" s="8" t="s">
        <v>3145</v>
      </c>
      <c r="C1017" s="8" t="str">
        <f t="shared" si="18"/>
        <v>old</v>
      </c>
      <c r="D1017" s="8" t="s">
        <v>14</v>
      </c>
      <c r="E1017" s="8" t="s">
        <v>3157</v>
      </c>
      <c r="F1017" s="8" t="s">
        <v>3159</v>
      </c>
      <c r="G1017" s="8">
        <v>500</v>
      </c>
    </row>
    <row r="1018" spans="1:7" x14ac:dyDescent="0.15">
      <c r="A1018" s="8" t="s">
        <v>3163</v>
      </c>
      <c r="B1018" s="8" t="s">
        <v>3161</v>
      </c>
      <c r="C1018" s="8" t="str">
        <f t="shared" si="18"/>
        <v>qc_hela</v>
      </c>
      <c r="D1018" s="8" t="s">
        <v>14</v>
      </c>
      <c r="E1018" s="8" t="s">
        <v>3164</v>
      </c>
      <c r="F1018" s="8" t="s">
        <v>3165</v>
      </c>
      <c r="G1018" s="8">
        <v>500</v>
      </c>
    </row>
    <row r="1019" spans="1:7" x14ac:dyDescent="0.15">
      <c r="A1019" s="8" t="s">
        <v>3166</v>
      </c>
      <c r="B1019" s="8" t="s">
        <v>3161</v>
      </c>
      <c r="C1019" s="8" t="str">
        <f t="shared" si="18"/>
        <v>qc_base</v>
      </c>
      <c r="D1019" s="8" t="s">
        <v>14</v>
      </c>
      <c r="E1019" s="8" t="s">
        <v>3167</v>
      </c>
      <c r="F1019" s="8" t="s">
        <v>3168</v>
      </c>
      <c r="G1019" s="8">
        <v>500</v>
      </c>
    </row>
    <row r="1020" spans="1:7" x14ac:dyDescent="0.15">
      <c r="A1020" s="8" t="s">
        <v>3218</v>
      </c>
      <c r="B1020" s="8" t="s">
        <v>2769</v>
      </c>
      <c r="C1020" s="8" t="str">
        <f t="shared" si="18"/>
        <v>endog</v>
      </c>
      <c r="D1020" s="8" t="s">
        <v>14</v>
      </c>
      <c r="E1020" s="8" t="s">
        <v>3219</v>
      </c>
      <c r="F1020" s="8" t="s">
        <v>3220</v>
      </c>
      <c r="G1020" s="8">
        <v>500</v>
      </c>
    </row>
    <row r="1021" spans="1:7" x14ac:dyDescent="0.15">
      <c r="A1021" s="8" t="s">
        <v>2214</v>
      </c>
      <c r="B1021" s="8" t="s">
        <v>2769</v>
      </c>
      <c r="C1021" s="8" t="str">
        <f t="shared" si="18"/>
        <v>flag</v>
      </c>
      <c r="D1021" s="8" t="s">
        <v>14</v>
      </c>
      <c r="E1021" s="8" t="s">
        <v>3223</v>
      </c>
      <c r="F1021" s="8" t="s">
        <v>3221</v>
      </c>
      <c r="G1021" s="8">
        <v>500</v>
      </c>
    </row>
    <row r="1022" spans="1:7" x14ac:dyDescent="0.15">
      <c r="A1022" s="8" t="s">
        <v>3222</v>
      </c>
      <c r="B1022" s="8" t="s">
        <v>2769</v>
      </c>
      <c r="C1022" s="8" t="str">
        <f t="shared" si="18"/>
        <v>GST</v>
      </c>
      <c r="D1022" s="8" t="s">
        <v>14</v>
      </c>
      <c r="E1022" s="8" t="s">
        <v>3222</v>
      </c>
      <c r="F1022" s="8" t="s">
        <v>3224</v>
      </c>
      <c r="G1022" s="8">
        <v>500</v>
      </c>
    </row>
    <row r="1023" spans="1:7" x14ac:dyDescent="0.15">
      <c r="A1023" s="8" t="s">
        <v>3227</v>
      </c>
      <c r="B1023" s="32" t="s">
        <v>3226</v>
      </c>
      <c r="C1023" s="8" t="str">
        <f t="shared" si="18"/>
        <v>column_length</v>
      </c>
      <c r="D1023" s="8" t="s">
        <v>14</v>
      </c>
      <c r="E1023" s="8" t="s">
        <v>3229</v>
      </c>
      <c r="F1023" s="8" t="s">
        <v>3235</v>
      </c>
      <c r="G1023" s="8">
        <v>500</v>
      </c>
    </row>
    <row r="1024" spans="1:7" x14ac:dyDescent="0.15">
      <c r="A1024" s="8" t="s">
        <v>3234</v>
      </c>
      <c r="B1024" s="32" t="s">
        <v>3226</v>
      </c>
      <c r="C1024" s="8" t="str">
        <f t="shared" si="18"/>
        <v>column_inner_diameter</v>
      </c>
      <c r="D1024" s="8" t="s">
        <v>14</v>
      </c>
      <c r="E1024" s="8" t="s">
        <v>3230</v>
      </c>
      <c r="F1024" s="8" t="s">
        <v>3232</v>
      </c>
      <c r="G1024" s="8">
        <v>500</v>
      </c>
    </row>
    <row r="1025" spans="1:7" x14ac:dyDescent="0.15">
      <c r="A1025" s="8" t="s">
        <v>3228</v>
      </c>
      <c r="B1025" s="32" t="s">
        <v>3226</v>
      </c>
      <c r="C1025" s="8" t="str">
        <f t="shared" si="18"/>
        <v>column_outer_diameter</v>
      </c>
      <c r="D1025" s="8" t="s">
        <v>14</v>
      </c>
      <c r="E1025" s="8" t="s">
        <v>3231</v>
      </c>
      <c r="F1025" s="8" t="s">
        <v>3233</v>
      </c>
      <c r="G1025" s="8">
        <v>500</v>
      </c>
    </row>
    <row r="1026" spans="1:7" ht="16" x14ac:dyDescent="0.2">
      <c r="A1026" t="s">
        <v>3429</v>
      </c>
      <c r="B1026" s="31" t="s">
        <v>3243</v>
      </c>
      <c r="C1026" t="s">
        <v>3429</v>
      </c>
      <c r="D1026" s="8" t="s">
        <v>14</v>
      </c>
      <c r="E1026" s="8" t="s">
        <v>3245</v>
      </c>
      <c r="F1026" s="8" t="s">
        <v>3430</v>
      </c>
      <c r="G1026" s="8">
        <v>500</v>
      </c>
    </row>
    <row r="1027" spans="1:7" ht="16" x14ac:dyDescent="0.2">
      <c r="A1027" t="s">
        <v>3431</v>
      </c>
      <c r="B1027" s="31" t="s">
        <v>3243</v>
      </c>
      <c r="C1027" t="s">
        <v>3431</v>
      </c>
      <c r="D1027" s="8" t="s">
        <v>14</v>
      </c>
      <c r="E1027" s="8" t="s">
        <v>3246</v>
      </c>
      <c r="F1027" s="8" t="s">
        <v>3432</v>
      </c>
      <c r="G1027" s="8">
        <v>500</v>
      </c>
    </row>
    <row r="1028" spans="1:7" ht="16" x14ac:dyDescent="0.2">
      <c r="A1028" t="s">
        <v>3433</v>
      </c>
      <c r="B1028" s="31" t="s">
        <v>3243</v>
      </c>
      <c r="C1028" t="s">
        <v>3433</v>
      </c>
      <c r="D1028" s="8" t="s">
        <v>14</v>
      </c>
      <c r="E1028" s="8" t="s">
        <v>3247</v>
      </c>
      <c r="F1028" s="8" t="s">
        <v>3434</v>
      </c>
      <c r="G1028" s="8">
        <v>500</v>
      </c>
    </row>
    <row r="1029" spans="1:7" ht="16" x14ac:dyDescent="0.2">
      <c r="A1029" t="s">
        <v>3435</v>
      </c>
      <c r="B1029" s="31" t="s">
        <v>3243</v>
      </c>
      <c r="C1029" t="s">
        <v>3435</v>
      </c>
      <c r="D1029" s="8" t="s">
        <v>14</v>
      </c>
      <c r="E1029" s="8" t="s">
        <v>3248</v>
      </c>
      <c r="F1029" s="8" t="s">
        <v>3436</v>
      </c>
      <c r="G1029" s="8">
        <v>500</v>
      </c>
    </row>
    <row r="1030" spans="1:7" ht="16" x14ac:dyDescent="0.2">
      <c r="A1030" t="s">
        <v>3437</v>
      </c>
      <c r="B1030" s="31" t="s">
        <v>3243</v>
      </c>
      <c r="C1030" t="s">
        <v>3437</v>
      </c>
      <c r="D1030" s="8" t="s">
        <v>14</v>
      </c>
      <c r="E1030" s="8" t="s">
        <v>3249</v>
      </c>
      <c r="F1030" s="8" t="s">
        <v>3438</v>
      </c>
      <c r="G1030" s="8">
        <v>500</v>
      </c>
    </row>
    <row r="1031" spans="1:7" ht="16" x14ac:dyDescent="0.2">
      <c r="A1031" t="s">
        <v>3439</v>
      </c>
      <c r="B1031" s="31" t="s">
        <v>3243</v>
      </c>
      <c r="C1031" t="s">
        <v>3439</v>
      </c>
      <c r="D1031" s="8" t="s">
        <v>14</v>
      </c>
      <c r="E1031" s="8" t="s">
        <v>3250</v>
      </c>
      <c r="F1031" s="8" t="s">
        <v>3440</v>
      </c>
      <c r="G1031" s="8">
        <v>500</v>
      </c>
    </row>
    <row r="1032" spans="1:7" ht="16" x14ac:dyDescent="0.2">
      <c r="A1032" t="s">
        <v>3441</v>
      </c>
      <c r="B1032" s="31" t="s">
        <v>3243</v>
      </c>
      <c r="C1032" t="s">
        <v>3441</v>
      </c>
      <c r="D1032" s="8" t="s">
        <v>14</v>
      </c>
      <c r="E1032" s="8" t="s">
        <v>3251</v>
      </c>
      <c r="F1032" s="8" t="s">
        <v>3442</v>
      </c>
      <c r="G1032" s="8">
        <v>500</v>
      </c>
    </row>
    <row r="1033" spans="1:7" ht="16" x14ac:dyDescent="0.2">
      <c r="A1033" t="s">
        <v>3443</v>
      </c>
      <c r="B1033" s="31" t="s">
        <v>3243</v>
      </c>
      <c r="C1033" t="s">
        <v>3443</v>
      </c>
      <c r="D1033" s="8" t="s">
        <v>14</v>
      </c>
      <c r="E1033" s="8" t="s">
        <v>3252</v>
      </c>
      <c r="F1033" s="8" t="s">
        <v>3444</v>
      </c>
      <c r="G1033" s="8">
        <v>500</v>
      </c>
    </row>
    <row r="1034" spans="1:7" ht="16" x14ac:dyDescent="0.2">
      <c r="A1034" t="s">
        <v>3445</v>
      </c>
      <c r="B1034" s="31" t="s">
        <v>3243</v>
      </c>
      <c r="C1034" t="s">
        <v>3445</v>
      </c>
      <c r="D1034" s="8" t="s">
        <v>14</v>
      </c>
      <c r="E1034" s="8" t="s">
        <v>3253</v>
      </c>
      <c r="F1034" s="8" t="s">
        <v>3446</v>
      </c>
      <c r="G1034" s="8">
        <v>500</v>
      </c>
    </row>
    <row r="1035" spans="1:7" ht="16" x14ac:dyDescent="0.2">
      <c r="A1035" t="s">
        <v>3447</v>
      </c>
      <c r="B1035" s="31" t="s">
        <v>3243</v>
      </c>
      <c r="C1035" t="s">
        <v>3447</v>
      </c>
      <c r="D1035" s="8" t="s">
        <v>14</v>
      </c>
      <c r="E1035" s="8" t="s">
        <v>3254</v>
      </c>
      <c r="F1035" s="8" t="s">
        <v>3448</v>
      </c>
      <c r="G1035" s="8">
        <v>500</v>
      </c>
    </row>
    <row r="1036" spans="1:7" ht="16" x14ac:dyDescent="0.2">
      <c r="A1036" t="s">
        <v>3449</v>
      </c>
      <c r="B1036" s="31" t="s">
        <v>3243</v>
      </c>
      <c r="C1036" t="s">
        <v>3449</v>
      </c>
      <c r="D1036" s="8" t="s">
        <v>14</v>
      </c>
      <c r="E1036" s="8" t="s">
        <v>3255</v>
      </c>
      <c r="F1036" s="8" t="s">
        <v>3450</v>
      </c>
      <c r="G1036" s="8">
        <v>500</v>
      </c>
    </row>
    <row r="1037" spans="1:7" ht="16" x14ac:dyDescent="0.2">
      <c r="A1037" t="s">
        <v>3451</v>
      </c>
      <c r="B1037" s="31" t="s">
        <v>3243</v>
      </c>
      <c r="C1037" t="s">
        <v>3451</v>
      </c>
      <c r="D1037" s="8" t="s">
        <v>14</v>
      </c>
      <c r="E1037" s="8" t="s">
        <v>3256</v>
      </c>
      <c r="F1037" s="8" t="s">
        <v>3452</v>
      </c>
      <c r="G1037" s="8">
        <v>500</v>
      </c>
    </row>
    <row r="1038" spans="1:7" ht="16" x14ac:dyDescent="0.2">
      <c r="A1038" t="s">
        <v>3453</v>
      </c>
      <c r="B1038" s="31" t="s">
        <v>3243</v>
      </c>
      <c r="C1038" t="s">
        <v>3453</v>
      </c>
      <c r="D1038" s="8" t="s">
        <v>14</v>
      </c>
      <c r="E1038" s="8" t="s">
        <v>3257</v>
      </c>
      <c r="F1038" s="8" t="s">
        <v>3454</v>
      </c>
      <c r="G1038" s="8">
        <v>500</v>
      </c>
    </row>
    <row r="1039" spans="1:7" ht="16" x14ac:dyDescent="0.2">
      <c r="A1039" t="s">
        <v>3455</v>
      </c>
      <c r="B1039" s="31" t="s">
        <v>3243</v>
      </c>
      <c r="C1039" t="s">
        <v>3455</v>
      </c>
      <c r="D1039" s="8" t="s">
        <v>14</v>
      </c>
      <c r="E1039" s="8" t="s">
        <v>3258</v>
      </c>
      <c r="F1039" s="8" t="s">
        <v>3456</v>
      </c>
      <c r="G1039" s="8">
        <v>500</v>
      </c>
    </row>
    <row r="1040" spans="1:7" ht="16" x14ac:dyDescent="0.2">
      <c r="A1040" t="s">
        <v>3457</v>
      </c>
      <c r="B1040" s="31" t="s">
        <v>3243</v>
      </c>
      <c r="C1040" t="s">
        <v>3457</v>
      </c>
      <c r="D1040" s="8" t="s">
        <v>14</v>
      </c>
      <c r="E1040" s="8" t="s">
        <v>3259</v>
      </c>
      <c r="F1040" s="8" t="s">
        <v>3458</v>
      </c>
      <c r="G1040" s="8">
        <v>500</v>
      </c>
    </row>
    <row r="1041" spans="1:7" ht="16" x14ac:dyDescent="0.2">
      <c r="A1041" t="s">
        <v>3459</v>
      </c>
      <c r="B1041" s="31" t="s">
        <v>3243</v>
      </c>
      <c r="C1041" t="s">
        <v>3459</v>
      </c>
      <c r="D1041" s="8" t="s">
        <v>14</v>
      </c>
      <c r="E1041" s="8" t="s">
        <v>3260</v>
      </c>
      <c r="F1041" s="8" t="s">
        <v>3460</v>
      </c>
      <c r="G1041" s="8">
        <v>500</v>
      </c>
    </row>
    <row r="1042" spans="1:7" ht="16" x14ac:dyDescent="0.2">
      <c r="A1042" t="s">
        <v>3461</v>
      </c>
      <c r="B1042" s="31" t="s">
        <v>3243</v>
      </c>
      <c r="C1042" t="s">
        <v>3461</v>
      </c>
      <c r="D1042" s="8" t="s">
        <v>14</v>
      </c>
      <c r="E1042" s="8" t="s">
        <v>3261</v>
      </c>
      <c r="F1042" s="8" t="s">
        <v>3462</v>
      </c>
      <c r="G1042" s="8">
        <v>500</v>
      </c>
    </row>
    <row r="1043" spans="1:7" ht="16" x14ac:dyDescent="0.2">
      <c r="A1043" t="s">
        <v>3463</v>
      </c>
      <c r="B1043" s="31" t="s">
        <v>3243</v>
      </c>
      <c r="C1043" t="s">
        <v>3463</v>
      </c>
      <c r="D1043" s="8" t="s">
        <v>14</v>
      </c>
      <c r="E1043" s="8" t="s">
        <v>3262</v>
      </c>
      <c r="F1043" s="8" t="s">
        <v>3464</v>
      </c>
      <c r="G1043" s="8">
        <v>500</v>
      </c>
    </row>
    <row r="1044" spans="1:7" ht="16" x14ac:dyDescent="0.2">
      <c r="A1044" t="s">
        <v>3465</v>
      </c>
      <c r="B1044" s="31" t="s">
        <v>3243</v>
      </c>
      <c r="C1044" t="s">
        <v>3465</v>
      </c>
      <c r="D1044" s="8" t="s">
        <v>14</v>
      </c>
      <c r="E1044" s="8" t="s">
        <v>3263</v>
      </c>
      <c r="F1044" s="8" t="s">
        <v>3466</v>
      </c>
      <c r="G1044" s="8">
        <v>500</v>
      </c>
    </row>
    <row r="1045" spans="1:7" ht="16" x14ac:dyDescent="0.2">
      <c r="A1045" t="s">
        <v>3467</v>
      </c>
      <c r="B1045" s="31" t="s">
        <v>3243</v>
      </c>
      <c r="C1045" t="s">
        <v>3467</v>
      </c>
      <c r="D1045" s="8" t="s">
        <v>14</v>
      </c>
      <c r="E1045" s="8" t="s">
        <v>3264</v>
      </c>
      <c r="F1045" s="8" t="s">
        <v>3468</v>
      </c>
      <c r="G1045" s="8">
        <v>500</v>
      </c>
    </row>
    <row r="1046" spans="1:7" ht="16" x14ac:dyDescent="0.2">
      <c r="A1046" t="s">
        <v>3469</v>
      </c>
      <c r="B1046" s="31" t="s">
        <v>3243</v>
      </c>
      <c r="C1046" t="s">
        <v>3469</v>
      </c>
      <c r="D1046" s="8" t="s">
        <v>14</v>
      </c>
      <c r="E1046" s="8" t="s">
        <v>3265</v>
      </c>
      <c r="F1046" s="8" t="s">
        <v>3470</v>
      </c>
      <c r="G1046" s="8">
        <v>500</v>
      </c>
    </row>
    <row r="1047" spans="1:7" ht="16" x14ac:dyDescent="0.2">
      <c r="A1047" t="s">
        <v>3471</v>
      </c>
      <c r="B1047" s="31" t="s">
        <v>3243</v>
      </c>
      <c r="C1047" t="s">
        <v>3471</v>
      </c>
      <c r="D1047" s="8" t="s">
        <v>14</v>
      </c>
      <c r="E1047" s="8" t="s">
        <v>3266</v>
      </c>
      <c r="F1047" s="8" t="s">
        <v>3472</v>
      </c>
      <c r="G1047" s="8">
        <v>500</v>
      </c>
    </row>
    <row r="1048" spans="1:7" ht="16" x14ac:dyDescent="0.2">
      <c r="A1048" t="s">
        <v>3473</v>
      </c>
      <c r="B1048" s="31" t="s">
        <v>3243</v>
      </c>
      <c r="C1048" t="s">
        <v>3473</v>
      </c>
      <c r="D1048" s="8" t="s">
        <v>14</v>
      </c>
      <c r="E1048" s="8" t="s">
        <v>3267</v>
      </c>
      <c r="F1048" s="8" t="s">
        <v>3474</v>
      </c>
      <c r="G1048" s="8">
        <v>500</v>
      </c>
    </row>
    <row r="1049" spans="1:7" ht="16" x14ac:dyDescent="0.2">
      <c r="A1049" t="s">
        <v>3475</v>
      </c>
      <c r="B1049" s="31" t="s">
        <v>3243</v>
      </c>
      <c r="C1049" t="s">
        <v>3475</v>
      </c>
      <c r="D1049" s="8" t="s">
        <v>14</v>
      </c>
      <c r="E1049" s="8" t="s">
        <v>3268</v>
      </c>
      <c r="F1049" s="8" t="s">
        <v>3476</v>
      </c>
      <c r="G1049" s="8">
        <v>500</v>
      </c>
    </row>
    <row r="1050" spans="1:7" ht="16" x14ac:dyDescent="0.2">
      <c r="A1050" t="s">
        <v>3477</v>
      </c>
      <c r="B1050" s="31" t="s">
        <v>3243</v>
      </c>
      <c r="C1050" t="s">
        <v>3477</v>
      </c>
      <c r="D1050" s="8" t="s">
        <v>14</v>
      </c>
      <c r="E1050" s="8" t="s">
        <v>3269</v>
      </c>
      <c r="F1050" s="8" t="s">
        <v>3478</v>
      </c>
      <c r="G1050" s="8">
        <v>500</v>
      </c>
    </row>
    <row r="1051" spans="1:7" ht="16" x14ac:dyDescent="0.2">
      <c r="A1051" t="s">
        <v>3479</v>
      </c>
      <c r="B1051" s="31" t="s">
        <v>3243</v>
      </c>
      <c r="C1051" t="s">
        <v>3479</v>
      </c>
      <c r="D1051" s="8" t="s">
        <v>14</v>
      </c>
      <c r="E1051" s="8" t="s">
        <v>3270</v>
      </c>
      <c r="F1051" s="8" t="s">
        <v>3480</v>
      </c>
      <c r="G1051" s="8">
        <v>500</v>
      </c>
    </row>
    <row r="1052" spans="1:7" ht="16" x14ac:dyDescent="0.2">
      <c r="A1052" t="s">
        <v>3481</v>
      </c>
      <c r="B1052" s="31" t="s">
        <v>3243</v>
      </c>
      <c r="C1052" t="s">
        <v>3481</v>
      </c>
      <c r="D1052" s="8" t="s">
        <v>14</v>
      </c>
      <c r="E1052" s="8" t="s">
        <v>3271</v>
      </c>
      <c r="F1052" s="8" t="s">
        <v>3482</v>
      </c>
      <c r="G1052" s="8">
        <v>500</v>
      </c>
    </row>
    <row r="1053" spans="1:7" ht="16" x14ac:dyDescent="0.2">
      <c r="A1053" t="s">
        <v>3483</v>
      </c>
      <c r="B1053" s="31" t="s">
        <v>3243</v>
      </c>
      <c r="C1053" t="s">
        <v>3483</v>
      </c>
      <c r="D1053" s="8" t="s">
        <v>14</v>
      </c>
      <c r="E1053" s="8" t="s">
        <v>3272</v>
      </c>
      <c r="F1053" s="8" t="s">
        <v>3484</v>
      </c>
      <c r="G1053" s="8">
        <v>500</v>
      </c>
    </row>
    <row r="1054" spans="1:7" ht="16" x14ac:dyDescent="0.2">
      <c r="A1054" t="s">
        <v>3485</v>
      </c>
      <c r="B1054" s="31" t="s">
        <v>3243</v>
      </c>
      <c r="C1054" t="s">
        <v>3485</v>
      </c>
      <c r="D1054" s="8" t="s">
        <v>14</v>
      </c>
      <c r="E1054" s="8" t="s">
        <v>3273</v>
      </c>
      <c r="F1054" s="8" t="s">
        <v>3486</v>
      </c>
      <c r="G1054" s="8">
        <v>500</v>
      </c>
    </row>
    <row r="1055" spans="1:7" ht="16" x14ac:dyDescent="0.2">
      <c r="A1055" t="s">
        <v>3487</v>
      </c>
      <c r="B1055" s="31" t="s">
        <v>3243</v>
      </c>
      <c r="C1055" t="s">
        <v>3487</v>
      </c>
      <c r="D1055" s="8" t="s">
        <v>14</v>
      </c>
      <c r="E1055" s="8" t="s">
        <v>3274</v>
      </c>
      <c r="F1055" s="8" t="s">
        <v>3488</v>
      </c>
      <c r="G1055" s="8">
        <v>500</v>
      </c>
    </row>
    <row r="1056" spans="1:7" ht="16" x14ac:dyDescent="0.2">
      <c r="A1056" t="s">
        <v>3489</v>
      </c>
      <c r="B1056" s="31" t="s">
        <v>3243</v>
      </c>
      <c r="C1056" t="s">
        <v>3489</v>
      </c>
      <c r="D1056" s="8" t="s">
        <v>14</v>
      </c>
      <c r="E1056" s="8" t="s">
        <v>3275</v>
      </c>
      <c r="F1056" s="8" t="s">
        <v>3490</v>
      </c>
      <c r="G1056" s="8">
        <v>500</v>
      </c>
    </row>
    <row r="1057" spans="1:7" ht="16" x14ac:dyDescent="0.2">
      <c r="A1057" t="s">
        <v>3491</v>
      </c>
      <c r="B1057" s="31" t="s">
        <v>3243</v>
      </c>
      <c r="C1057" t="s">
        <v>3491</v>
      </c>
      <c r="D1057" s="8" t="s">
        <v>14</v>
      </c>
      <c r="E1057" s="8" t="s">
        <v>3276</v>
      </c>
      <c r="F1057" s="8" t="s">
        <v>3492</v>
      </c>
      <c r="G1057" s="8">
        <v>500</v>
      </c>
    </row>
    <row r="1058" spans="1:7" ht="16" x14ac:dyDescent="0.2">
      <c r="A1058" t="s">
        <v>3493</v>
      </c>
      <c r="B1058" s="31" t="s">
        <v>3243</v>
      </c>
      <c r="C1058" t="s">
        <v>3493</v>
      </c>
      <c r="D1058" s="8" t="s">
        <v>14</v>
      </c>
      <c r="E1058" s="8" t="s">
        <v>3277</v>
      </c>
      <c r="F1058" s="8" t="s">
        <v>3494</v>
      </c>
      <c r="G1058" s="8">
        <v>500</v>
      </c>
    </row>
    <row r="1059" spans="1:7" ht="16" x14ac:dyDescent="0.2">
      <c r="A1059" t="s">
        <v>3495</v>
      </c>
      <c r="B1059" s="31" t="s">
        <v>3243</v>
      </c>
      <c r="C1059" t="s">
        <v>3495</v>
      </c>
      <c r="D1059" s="8" t="s">
        <v>14</v>
      </c>
      <c r="E1059" s="8" t="s">
        <v>3278</v>
      </c>
      <c r="F1059" s="8" t="s">
        <v>3496</v>
      </c>
      <c r="G1059" s="8">
        <v>500</v>
      </c>
    </row>
    <row r="1060" spans="1:7" ht="16" x14ac:dyDescent="0.2">
      <c r="A1060" t="s">
        <v>3497</v>
      </c>
      <c r="B1060" s="31" t="s">
        <v>3243</v>
      </c>
      <c r="C1060" t="s">
        <v>3497</v>
      </c>
      <c r="D1060" s="8" t="s">
        <v>14</v>
      </c>
      <c r="E1060" s="8" t="s">
        <v>3279</v>
      </c>
      <c r="F1060" s="8" t="s">
        <v>3498</v>
      </c>
      <c r="G1060" s="8">
        <v>500</v>
      </c>
    </row>
    <row r="1061" spans="1:7" ht="16" x14ac:dyDescent="0.2">
      <c r="A1061" t="s">
        <v>3499</v>
      </c>
      <c r="B1061" s="31" t="s">
        <v>3243</v>
      </c>
      <c r="C1061" t="s">
        <v>3499</v>
      </c>
      <c r="D1061" s="8" t="s">
        <v>14</v>
      </c>
      <c r="E1061" s="8" t="s">
        <v>3280</v>
      </c>
      <c r="F1061" s="8" t="s">
        <v>3500</v>
      </c>
      <c r="G1061" s="8">
        <v>500</v>
      </c>
    </row>
    <row r="1062" spans="1:7" ht="16" x14ac:dyDescent="0.2">
      <c r="A1062" t="s">
        <v>3501</v>
      </c>
      <c r="B1062" s="31" t="s">
        <v>3243</v>
      </c>
      <c r="C1062" t="s">
        <v>3501</v>
      </c>
      <c r="D1062" s="8" t="s">
        <v>14</v>
      </c>
      <c r="E1062" s="8" t="s">
        <v>3281</v>
      </c>
      <c r="F1062" s="8" t="s">
        <v>3502</v>
      </c>
      <c r="G1062" s="8">
        <v>500</v>
      </c>
    </row>
    <row r="1063" spans="1:7" ht="16" x14ac:dyDescent="0.2">
      <c r="A1063" t="s">
        <v>3503</v>
      </c>
      <c r="B1063" s="31" t="s">
        <v>3243</v>
      </c>
      <c r="C1063" t="s">
        <v>3503</v>
      </c>
      <c r="D1063" s="8" t="s">
        <v>14</v>
      </c>
      <c r="E1063" s="8" t="s">
        <v>3282</v>
      </c>
      <c r="F1063" s="8" t="s">
        <v>3504</v>
      </c>
      <c r="G1063" s="8">
        <v>500</v>
      </c>
    </row>
    <row r="1064" spans="1:7" ht="16" x14ac:dyDescent="0.2">
      <c r="A1064" t="s">
        <v>3505</v>
      </c>
      <c r="B1064" s="31" t="s">
        <v>3243</v>
      </c>
      <c r="C1064" t="s">
        <v>3505</v>
      </c>
      <c r="D1064" s="8" t="s">
        <v>14</v>
      </c>
      <c r="E1064" s="8" t="s">
        <v>3283</v>
      </c>
      <c r="F1064" s="8" t="s">
        <v>3506</v>
      </c>
      <c r="G1064" s="8">
        <v>500</v>
      </c>
    </row>
    <row r="1065" spans="1:7" ht="16" x14ac:dyDescent="0.2">
      <c r="A1065" t="s">
        <v>3507</v>
      </c>
      <c r="B1065" s="31" t="s">
        <v>3243</v>
      </c>
      <c r="C1065" t="s">
        <v>3507</v>
      </c>
      <c r="D1065" s="8" t="s">
        <v>14</v>
      </c>
      <c r="E1065" s="8" t="s">
        <v>3284</v>
      </c>
      <c r="F1065" s="8" t="s">
        <v>3508</v>
      </c>
      <c r="G1065" s="8">
        <v>500</v>
      </c>
    </row>
    <row r="1066" spans="1:7" ht="16" x14ac:dyDescent="0.2">
      <c r="A1066" t="s">
        <v>3509</v>
      </c>
      <c r="B1066" s="31" t="s">
        <v>3243</v>
      </c>
      <c r="C1066" t="s">
        <v>3509</v>
      </c>
      <c r="D1066" s="8" t="s">
        <v>14</v>
      </c>
      <c r="E1066" s="8" t="s">
        <v>3285</v>
      </c>
      <c r="F1066" s="8" t="s">
        <v>3510</v>
      </c>
      <c r="G1066" s="8">
        <v>500</v>
      </c>
    </row>
    <row r="1067" spans="1:7" ht="16" x14ac:dyDescent="0.2">
      <c r="A1067" t="s">
        <v>3511</v>
      </c>
      <c r="B1067" s="31" t="s">
        <v>3243</v>
      </c>
      <c r="C1067" t="s">
        <v>3511</v>
      </c>
      <c r="D1067" s="8" t="s">
        <v>14</v>
      </c>
      <c r="E1067" s="8" t="s">
        <v>3286</v>
      </c>
      <c r="F1067" s="8" t="s">
        <v>3512</v>
      </c>
      <c r="G1067" s="8">
        <v>500</v>
      </c>
    </row>
    <row r="1068" spans="1:7" ht="16" x14ac:dyDescent="0.2">
      <c r="A1068" t="s">
        <v>3513</v>
      </c>
      <c r="B1068" s="31" t="s">
        <v>3243</v>
      </c>
      <c r="C1068" t="s">
        <v>3513</v>
      </c>
      <c r="D1068" s="8" t="s">
        <v>14</v>
      </c>
      <c r="E1068" s="8" t="s">
        <v>3287</v>
      </c>
      <c r="F1068" s="8" t="s">
        <v>3514</v>
      </c>
      <c r="G1068" s="8">
        <v>500</v>
      </c>
    </row>
    <row r="1069" spans="1:7" ht="16" x14ac:dyDescent="0.2">
      <c r="A1069" t="s">
        <v>3515</v>
      </c>
      <c r="B1069" s="31" t="s">
        <v>3243</v>
      </c>
      <c r="C1069" t="s">
        <v>3515</v>
      </c>
      <c r="D1069" s="8" t="s">
        <v>14</v>
      </c>
      <c r="E1069" s="8" t="s">
        <v>3288</v>
      </c>
      <c r="F1069" s="8" t="s">
        <v>3516</v>
      </c>
      <c r="G1069" s="8">
        <v>500</v>
      </c>
    </row>
    <row r="1070" spans="1:7" ht="16" x14ac:dyDescent="0.2">
      <c r="A1070" t="s">
        <v>3517</v>
      </c>
      <c r="B1070" s="31" t="s">
        <v>3243</v>
      </c>
      <c r="C1070" t="s">
        <v>3517</v>
      </c>
      <c r="D1070" s="8" t="s">
        <v>14</v>
      </c>
      <c r="E1070" s="8" t="s">
        <v>3289</v>
      </c>
      <c r="F1070" s="8" t="s">
        <v>3518</v>
      </c>
      <c r="G1070" s="8">
        <v>500</v>
      </c>
    </row>
    <row r="1071" spans="1:7" ht="16" x14ac:dyDescent="0.2">
      <c r="A1071" t="s">
        <v>3519</v>
      </c>
      <c r="B1071" s="31" t="s">
        <v>3243</v>
      </c>
      <c r="C1071" t="s">
        <v>3519</v>
      </c>
      <c r="D1071" s="8" t="s">
        <v>14</v>
      </c>
      <c r="E1071" s="8" t="s">
        <v>3290</v>
      </c>
      <c r="F1071" s="8" t="s">
        <v>3520</v>
      </c>
      <c r="G1071" s="8">
        <v>500</v>
      </c>
    </row>
    <row r="1072" spans="1:7" ht="16" x14ac:dyDescent="0.2">
      <c r="A1072" t="s">
        <v>3521</v>
      </c>
      <c r="B1072" s="31" t="s">
        <v>3243</v>
      </c>
      <c r="C1072" t="s">
        <v>3521</v>
      </c>
      <c r="D1072" s="8" t="s">
        <v>14</v>
      </c>
      <c r="E1072" s="8" t="s">
        <v>3291</v>
      </c>
      <c r="F1072" s="8" t="s">
        <v>3522</v>
      </c>
      <c r="G1072" s="8">
        <v>500</v>
      </c>
    </row>
    <row r="1073" spans="1:7" ht="16" x14ac:dyDescent="0.2">
      <c r="A1073" t="s">
        <v>3523</v>
      </c>
      <c r="B1073" s="31" t="s">
        <v>3243</v>
      </c>
      <c r="C1073" t="s">
        <v>3523</v>
      </c>
      <c r="D1073" s="8" t="s">
        <v>14</v>
      </c>
      <c r="E1073" s="8" t="s">
        <v>3292</v>
      </c>
      <c r="F1073" s="8" t="s">
        <v>3524</v>
      </c>
      <c r="G1073" s="8">
        <v>500</v>
      </c>
    </row>
    <row r="1074" spans="1:7" ht="16" x14ac:dyDescent="0.2">
      <c r="A1074" t="s">
        <v>3525</v>
      </c>
      <c r="B1074" s="31" t="s">
        <v>3243</v>
      </c>
      <c r="C1074" t="s">
        <v>3525</v>
      </c>
      <c r="D1074" s="8" t="s">
        <v>14</v>
      </c>
      <c r="E1074" s="8" t="s">
        <v>3293</v>
      </c>
      <c r="F1074" s="8" t="s">
        <v>3526</v>
      </c>
      <c r="G1074" s="8">
        <v>500</v>
      </c>
    </row>
    <row r="1075" spans="1:7" ht="16" x14ac:dyDescent="0.2">
      <c r="A1075" t="s">
        <v>3527</v>
      </c>
      <c r="B1075" s="31" t="s">
        <v>3243</v>
      </c>
      <c r="C1075" t="s">
        <v>3527</v>
      </c>
      <c r="D1075" s="8" t="s">
        <v>14</v>
      </c>
      <c r="E1075" s="8" t="s">
        <v>3294</v>
      </c>
      <c r="F1075" s="8" t="s">
        <v>3528</v>
      </c>
      <c r="G1075" s="8">
        <v>500</v>
      </c>
    </row>
    <row r="1076" spans="1:7" ht="16" x14ac:dyDescent="0.2">
      <c r="A1076" t="s">
        <v>3529</v>
      </c>
      <c r="B1076" s="31" t="s">
        <v>3243</v>
      </c>
      <c r="C1076" t="s">
        <v>3529</v>
      </c>
      <c r="D1076" s="8" t="s">
        <v>14</v>
      </c>
      <c r="E1076" s="8" t="s">
        <v>3295</v>
      </c>
      <c r="F1076" s="8" t="s">
        <v>3530</v>
      </c>
      <c r="G1076" s="8">
        <v>500</v>
      </c>
    </row>
    <row r="1077" spans="1:7" ht="16" x14ac:dyDescent="0.2">
      <c r="A1077" t="s">
        <v>3531</v>
      </c>
      <c r="B1077" s="31" t="s">
        <v>3243</v>
      </c>
      <c r="C1077" t="s">
        <v>3531</v>
      </c>
      <c r="D1077" s="8" t="s">
        <v>14</v>
      </c>
      <c r="E1077" s="8" t="s">
        <v>3296</v>
      </c>
      <c r="F1077" s="8" t="s">
        <v>3532</v>
      </c>
      <c r="G1077" s="8">
        <v>500</v>
      </c>
    </row>
    <row r="1078" spans="1:7" ht="16" x14ac:dyDescent="0.2">
      <c r="A1078" t="s">
        <v>3533</v>
      </c>
      <c r="B1078" s="31" t="s">
        <v>3243</v>
      </c>
      <c r="C1078" t="s">
        <v>3533</v>
      </c>
      <c r="D1078" s="8" t="s">
        <v>14</v>
      </c>
      <c r="E1078" s="8" t="s">
        <v>3297</v>
      </c>
      <c r="F1078" s="8" t="s">
        <v>3534</v>
      </c>
      <c r="G1078" s="8">
        <v>500</v>
      </c>
    </row>
    <row r="1079" spans="1:7" ht="16" x14ac:dyDescent="0.2">
      <c r="A1079" t="s">
        <v>3535</v>
      </c>
      <c r="B1079" s="31" t="s">
        <v>3243</v>
      </c>
      <c r="C1079" t="s">
        <v>3535</v>
      </c>
      <c r="D1079" s="8" t="s">
        <v>14</v>
      </c>
      <c r="E1079" s="8" t="s">
        <v>3536</v>
      </c>
      <c r="F1079" s="8" t="s">
        <v>3537</v>
      </c>
      <c r="G1079" s="8">
        <v>500</v>
      </c>
    </row>
    <row r="1080" spans="1:7" ht="16" x14ac:dyDescent="0.2">
      <c r="A1080" t="s">
        <v>3538</v>
      </c>
      <c r="B1080" s="31" t="s">
        <v>3243</v>
      </c>
      <c r="C1080" t="s">
        <v>3538</v>
      </c>
      <c r="D1080" s="8" t="s">
        <v>14</v>
      </c>
      <c r="E1080" s="8" t="s">
        <v>3539</v>
      </c>
      <c r="F1080" s="8" t="s">
        <v>3540</v>
      </c>
      <c r="G1080" s="8">
        <v>500</v>
      </c>
    </row>
    <row r="1081" spans="1:7" ht="16" x14ac:dyDescent="0.2">
      <c r="A1081" t="s">
        <v>3541</v>
      </c>
      <c r="B1081" s="31" t="s">
        <v>3243</v>
      </c>
      <c r="C1081" t="s">
        <v>3541</v>
      </c>
      <c r="D1081" s="8" t="s">
        <v>14</v>
      </c>
      <c r="E1081" s="8" t="s">
        <v>3298</v>
      </c>
      <c r="F1081" s="8" t="s">
        <v>3542</v>
      </c>
      <c r="G1081" s="8">
        <v>500</v>
      </c>
    </row>
    <row r="1082" spans="1:7" ht="16" x14ac:dyDescent="0.2">
      <c r="A1082" t="s">
        <v>3543</v>
      </c>
      <c r="B1082" s="31" t="s">
        <v>3243</v>
      </c>
      <c r="C1082" t="s">
        <v>3543</v>
      </c>
      <c r="D1082" s="8" t="s">
        <v>14</v>
      </c>
      <c r="E1082" s="8" t="s">
        <v>3299</v>
      </c>
      <c r="F1082" s="8" t="s">
        <v>3544</v>
      </c>
      <c r="G1082" s="8">
        <v>500</v>
      </c>
    </row>
    <row r="1083" spans="1:7" ht="16" x14ac:dyDescent="0.2">
      <c r="A1083" t="s">
        <v>3545</v>
      </c>
      <c r="B1083" s="31" t="s">
        <v>3243</v>
      </c>
      <c r="C1083" t="s">
        <v>3545</v>
      </c>
      <c r="D1083" s="8" t="s">
        <v>14</v>
      </c>
      <c r="E1083" s="8" t="s">
        <v>3300</v>
      </c>
      <c r="F1083" s="8" t="s">
        <v>3546</v>
      </c>
      <c r="G1083" s="8">
        <v>500</v>
      </c>
    </row>
    <row r="1084" spans="1:7" ht="16" x14ac:dyDescent="0.2">
      <c r="A1084" t="s">
        <v>3547</v>
      </c>
      <c r="B1084" s="31" t="s">
        <v>3243</v>
      </c>
      <c r="C1084" t="s">
        <v>3547</v>
      </c>
      <c r="D1084" s="8" t="s">
        <v>14</v>
      </c>
      <c r="E1084" s="8" t="s">
        <v>3301</v>
      </c>
      <c r="F1084" s="8" t="s">
        <v>3548</v>
      </c>
      <c r="G1084" s="8">
        <v>500</v>
      </c>
    </row>
    <row r="1085" spans="1:7" ht="16" x14ac:dyDescent="0.2">
      <c r="A1085" t="s">
        <v>3549</v>
      </c>
      <c r="B1085" s="31" t="s">
        <v>3243</v>
      </c>
      <c r="C1085" t="s">
        <v>3549</v>
      </c>
      <c r="D1085" s="8" t="s">
        <v>14</v>
      </c>
      <c r="E1085" s="8" t="s">
        <v>3302</v>
      </c>
      <c r="F1085" s="8" t="s">
        <v>3550</v>
      </c>
      <c r="G1085" s="8">
        <v>500</v>
      </c>
    </row>
    <row r="1086" spans="1:7" ht="16" x14ac:dyDescent="0.2">
      <c r="A1086" t="s">
        <v>3551</v>
      </c>
      <c r="B1086" s="31" t="s">
        <v>3243</v>
      </c>
      <c r="C1086" t="s">
        <v>3551</v>
      </c>
      <c r="D1086" s="8" t="s">
        <v>14</v>
      </c>
      <c r="E1086" s="8" t="s">
        <v>3303</v>
      </c>
      <c r="F1086" s="8" t="s">
        <v>3552</v>
      </c>
      <c r="G1086" s="8">
        <v>500</v>
      </c>
    </row>
    <row r="1087" spans="1:7" ht="16" x14ac:dyDescent="0.2">
      <c r="A1087" t="s">
        <v>3553</v>
      </c>
      <c r="B1087" s="31" t="s">
        <v>3243</v>
      </c>
      <c r="C1087" t="s">
        <v>3553</v>
      </c>
      <c r="D1087" s="8" t="s">
        <v>14</v>
      </c>
      <c r="E1087" s="8" t="s">
        <v>3304</v>
      </c>
      <c r="F1087" s="8" t="s">
        <v>3554</v>
      </c>
      <c r="G1087" s="8">
        <v>500</v>
      </c>
    </row>
    <row r="1088" spans="1:7" ht="16" x14ac:dyDescent="0.2">
      <c r="A1088" t="s">
        <v>3555</v>
      </c>
      <c r="B1088" s="31" t="s">
        <v>3243</v>
      </c>
      <c r="C1088" t="s">
        <v>3555</v>
      </c>
      <c r="D1088" s="8" t="s">
        <v>14</v>
      </c>
      <c r="E1088" s="8" t="s">
        <v>3556</v>
      </c>
      <c r="F1088" s="8" t="s">
        <v>3557</v>
      </c>
      <c r="G1088" s="8">
        <v>500</v>
      </c>
    </row>
    <row r="1089" spans="1:7" ht="16" x14ac:dyDescent="0.2">
      <c r="A1089" t="s">
        <v>3558</v>
      </c>
      <c r="B1089" s="31" t="s">
        <v>3243</v>
      </c>
      <c r="C1089" t="s">
        <v>3558</v>
      </c>
      <c r="D1089" s="8" t="s">
        <v>14</v>
      </c>
      <c r="E1089" s="8" t="s">
        <v>3559</v>
      </c>
      <c r="F1089" s="8" t="s">
        <v>3560</v>
      </c>
      <c r="G1089" s="8">
        <v>500</v>
      </c>
    </row>
    <row r="1090" spans="1:7" ht="16" x14ac:dyDescent="0.2">
      <c r="A1090" t="s">
        <v>3561</v>
      </c>
      <c r="B1090" s="31" t="s">
        <v>3243</v>
      </c>
      <c r="C1090" t="s">
        <v>3561</v>
      </c>
      <c r="D1090" s="8" t="s">
        <v>14</v>
      </c>
      <c r="E1090" s="8" t="s">
        <v>3559</v>
      </c>
      <c r="F1090" s="8" t="s">
        <v>3562</v>
      </c>
      <c r="G1090" s="8">
        <v>500</v>
      </c>
    </row>
    <row r="1091" spans="1:7" ht="16" x14ac:dyDescent="0.2">
      <c r="A1091" t="s">
        <v>3563</v>
      </c>
      <c r="B1091" s="31" t="s">
        <v>3243</v>
      </c>
      <c r="C1091" t="s">
        <v>3563</v>
      </c>
      <c r="D1091" s="8" t="s">
        <v>14</v>
      </c>
      <c r="E1091" s="8" t="s">
        <v>3305</v>
      </c>
      <c r="F1091" s="8" t="s">
        <v>3564</v>
      </c>
      <c r="G1091" s="8">
        <v>500</v>
      </c>
    </row>
    <row r="1092" spans="1:7" ht="16" x14ac:dyDescent="0.2">
      <c r="A1092" t="s">
        <v>3565</v>
      </c>
      <c r="B1092" s="31" t="s">
        <v>3243</v>
      </c>
      <c r="C1092" t="s">
        <v>3565</v>
      </c>
      <c r="D1092" s="8" t="s">
        <v>14</v>
      </c>
      <c r="E1092" s="8" t="s">
        <v>3306</v>
      </c>
      <c r="F1092" s="8" t="s">
        <v>3566</v>
      </c>
      <c r="G1092" s="8">
        <v>500</v>
      </c>
    </row>
    <row r="1093" spans="1:7" ht="16" x14ac:dyDescent="0.2">
      <c r="A1093" t="s">
        <v>3567</v>
      </c>
      <c r="B1093" s="31" t="s">
        <v>3243</v>
      </c>
      <c r="C1093" t="s">
        <v>3567</v>
      </c>
      <c r="D1093" s="8" t="s">
        <v>14</v>
      </c>
      <c r="E1093" s="8" t="s">
        <v>3307</v>
      </c>
      <c r="F1093" s="8" t="s">
        <v>3568</v>
      </c>
      <c r="G1093" s="8">
        <v>500</v>
      </c>
    </row>
    <row r="1094" spans="1:7" ht="16" x14ac:dyDescent="0.2">
      <c r="A1094" t="s">
        <v>3569</v>
      </c>
      <c r="B1094" s="31" t="s">
        <v>3243</v>
      </c>
      <c r="C1094" t="s">
        <v>3569</v>
      </c>
      <c r="D1094" s="8" t="s">
        <v>14</v>
      </c>
      <c r="E1094" s="8" t="s">
        <v>3308</v>
      </c>
      <c r="F1094" s="8" t="s">
        <v>3570</v>
      </c>
      <c r="G1094" s="8">
        <v>500</v>
      </c>
    </row>
    <row r="1095" spans="1:7" ht="16" x14ac:dyDescent="0.2">
      <c r="A1095" t="s">
        <v>3571</v>
      </c>
      <c r="B1095" s="31" t="s">
        <v>3243</v>
      </c>
      <c r="C1095" t="s">
        <v>3571</v>
      </c>
      <c r="D1095" s="8" t="s">
        <v>14</v>
      </c>
      <c r="E1095" s="8" t="s">
        <v>3309</v>
      </c>
      <c r="F1095" s="8" t="s">
        <v>3572</v>
      </c>
      <c r="G1095" s="8">
        <v>500</v>
      </c>
    </row>
    <row r="1096" spans="1:7" ht="16" x14ac:dyDescent="0.2">
      <c r="A1096" t="s">
        <v>3573</v>
      </c>
      <c r="B1096" s="31" t="s">
        <v>3243</v>
      </c>
      <c r="C1096" t="s">
        <v>3573</v>
      </c>
      <c r="D1096" s="8" t="s">
        <v>14</v>
      </c>
      <c r="E1096" s="8" t="s">
        <v>3310</v>
      </c>
      <c r="F1096" s="8" t="s">
        <v>3574</v>
      </c>
      <c r="G1096" s="8">
        <v>500</v>
      </c>
    </row>
    <row r="1097" spans="1:7" ht="16" x14ac:dyDescent="0.2">
      <c r="A1097" t="s">
        <v>3575</v>
      </c>
      <c r="B1097" s="31" t="s">
        <v>3243</v>
      </c>
      <c r="C1097" t="s">
        <v>3575</v>
      </c>
      <c r="D1097" s="8" t="s">
        <v>14</v>
      </c>
      <c r="E1097" s="8" t="s">
        <v>3311</v>
      </c>
      <c r="F1097" s="8" t="s">
        <v>3576</v>
      </c>
      <c r="G1097" s="8">
        <v>500</v>
      </c>
    </row>
    <row r="1098" spans="1:7" ht="16" x14ac:dyDescent="0.2">
      <c r="A1098" t="s">
        <v>3577</v>
      </c>
      <c r="B1098" s="31" t="s">
        <v>3243</v>
      </c>
      <c r="C1098" t="s">
        <v>3577</v>
      </c>
      <c r="D1098" s="8" t="s">
        <v>14</v>
      </c>
      <c r="E1098" s="8" t="s">
        <v>3312</v>
      </c>
      <c r="F1098" s="8" t="s">
        <v>3578</v>
      </c>
      <c r="G1098" s="8">
        <v>500</v>
      </c>
    </row>
    <row r="1099" spans="1:7" ht="16" x14ac:dyDescent="0.2">
      <c r="A1099" t="s">
        <v>3579</v>
      </c>
      <c r="B1099" s="31" t="s">
        <v>3243</v>
      </c>
      <c r="C1099" t="s">
        <v>3579</v>
      </c>
      <c r="D1099" s="8" t="s">
        <v>14</v>
      </c>
      <c r="E1099" s="8" t="s">
        <v>3313</v>
      </c>
      <c r="F1099" s="8" t="s">
        <v>3580</v>
      </c>
      <c r="G1099" s="8">
        <v>500</v>
      </c>
    </row>
    <row r="1100" spans="1:7" ht="16" x14ac:dyDescent="0.2">
      <c r="A1100" t="s">
        <v>3581</v>
      </c>
      <c r="B1100" s="31" t="s">
        <v>3243</v>
      </c>
      <c r="C1100" t="s">
        <v>3581</v>
      </c>
      <c r="D1100" s="8" t="s">
        <v>14</v>
      </c>
      <c r="E1100" s="8" t="s">
        <v>3314</v>
      </c>
      <c r="F1100" s="8" t="s">
        <v>3582</v>
      </c>
      <c r="G1100" s="8">
        <v>500</v>
      </c>
    </row>
    <row r="1101" spans="1:7" ht="16" x14ac:dyDescent="0.2">
      <c r="A1101" t="s">
        <v>3583</v>
      </c>
      <c r="B1101" s="31" t="s">
        <v>3243</v>
      </c>
      <c r="C1101" t="s">
        <v>3583</v>
      </c>
      <c r="D1101" s="8" t="s">
        <v>14</v>
      </c>
      <c r="E1101" s="8" t="s">
        <v>3315</v>
      </c>
      <c r="F1101" s="8" t="s">
        <v>3584</v>
      </c>
      <c r="G1101" s="8">
        <v>500</v>
      </c>
    </row>
    <row r="1102" spans="1:7" ht="16" x14ac:dyDescent="0.2">
      <c r="A1102" t="s">
        <v>3585</v>
      </c>
      <c r="B1102" s="31" t="s">
        <v>3243</v>
      </c>
      <c r="C1102" t="s">
        <v>3585</v>
      </c>
      <c r="D1102" s="8" t="s">
        <v>14</v>
      </c>
      <c r="E1102" s="8" t="s">
        <v>3316</v>
      </c>
      <c r="F1102" s="8" t="s">
        <v>3586</v>
      </c>
      <c r="G1102" s="8">
        <v>500</v>
      </c>
    </row>
    <row r="1103" spans="1:7" ht="16" x14ac:dyDescent="0.2">
      <c r="A1103" t="s">
        <v>3587</v>
      </c>
      <c r="B1103" s="31" t="s">
        <v>3243</v>
      </c>
      <c r="C1103" t="s">
        <v>3587</v>
      </c>
      <c r="D1103" s="8" t="s">
        <v>14</v>
      </c>
      <c r="E1103" s="8" t="s">
        <v>3317</v>
      </c>
      <c r="F1103" s="8" t="s">
        <v>3588</v>
      </c>
      <c r="G1103" s="8">
        <v>500</v>
      </c>
    </row>
    <row r="1104" spans="1:7" ht="16" x14ac:dyDescent="0.2">
      <c r="A1104" t="s">
        <v>3589</v>
      </c>
      <c r="B1104" s="31" t="s">
        <v>3243</v>
      </c>
      <c r="C1104" t="s">
        <v>3589</v>
      </c>
      <c r="D1104" s="8" t="s">
        <v>14</v>
      </c>
      <c r="E1104" s="8" t="s">
        <v>3318</v>
      </c>
      <c r="F1104" s="8" t="s">
        <v>3590</v>
      </c>
      <c r="G1104" s="8">
        <v>500</v>
      </c>
    </row>
    <row r="1105" spans="1:7" ht="16" x14ac:dyDescent="0.2">
      <c r="A1105" t="s">
        <v>3591</v>
      </c>
      <c r="B1105" s="31" t="s">
        <v>3243</v>
      </c>
      <c r="C1105" t="s">
        <v>3591</v>
      </c>
      <c r="D1105" s="8" t="s">
        <v>14</v>
      </c>
      <c r="E1105" s="8" t="s">
        <v>3319</v>
      </c>
      <c r="F1105" s="8" t="s">
        <v>3592</v>
      </c>
      <c r="G1105" s="8">
        <v>500</v>
      </c>
    </row>
    <row r="1106" spans="1:7" ht="16" x14ac:dyDescent="0.2">
      <c r="A1106" t="s">
        <v>3593</v>
      </c>
      <c r="B1106" s="31" t="s">
        <v>3243</v>
      </c>
      <c r="C1106" t="s">
        <v>3593</v>
      </c>
      <c r="D1106" s="8" t="s">
        <v>14</v>
      </c>
      <c r="E1106" s="8" t="s">
        <v>3320</v>
      </c>
      <c r="F1106" s="8" t="s">
        <v>3594</v>
      </c>
      <c r="G1106" s="8">
        <v>500</v>
      </c>
    </row>
    <row r="1107" spans="1:7" ht="16" x14ac:dyDescent="0.2">
      <c r="A1107" t="s">
        <v>3595</v>
      </c>
      <c r="B1107" s="31" t="s">
        <v>3243</v>
      </c>
      <c r="C1107" t="s">
        <v>3595</v>
      </c>
      <c r="D1107" s="8" t="s">
        <v>14</v>
      </c>
      <c r="E1107" s="8" t="s">
        <v>3321</v>
      </c>
      <c r="F1107" s="8" t="s">
        <v>3596</v>
      </c>
      <c r="G1107" s="8">
        <v>500</v>
      </c>
    </row>
    <row r="1108" spans="1:7" ht="16" x14ac:dyDescent="0.2">
      <c r="A1108" t="s">
        <v>3597</v>
      </c>
      <c r="B1108" s="31" t="s">
        <v>3243</v>
      </c>
      <c r="C1108" t="s">
        <v>3597</v>
      </c>
      <c r="D1108" s="8" t="s">
        <v>14</v>
      </c>
      <c r="E1108" s="8" t="s">
        <v>3839</v>
      </c>
      <c r="F1108" s="8" t="s">
        <v>3840</v>
      </c>
      <c r="G1108" s="8">
        <v>500</v>
      </c>
    </row>
    <row r="1109" spans="1:7" ht="16" x14ac:dyDescent="0.2">
      <c r="A1109" t="s">
        <v>3598</v>
      </c>
      <c r="B1109" s="31" t="s">
        <v>3243</v>
      </c>
      <c r="C1109" t="s">
        <v>3598</v>
      </c>
      <c r="D1109" s="8" t="s">
        <v>14</v>
      </c>
      <c r="E1109" s="8" t="s">
        <v>3322</v>
      </c>
      <c r="F1109" s="8" t="s">
        <v>3599</v>
      </c>
      <c r="G1109" s="8">
        <v>500</v>
      </c>
    </row>
    <row r="1110" spans="1:7" ht="16" x14ac:dyDescent="0.2">
      <c r="A1110" t="s">
        <v>3600</v>
      </c>
      <c r="B1110" s="31" t="s">
        <v>3243</v>
      </c>
      <c r="C1110" t="s">
        <v>3600</v>
      </c>
      <c r="D1110" s="8" t="s">
        <v>14</v>
      </c>
      <c r="E1110" s="8" t="s">
        <v>3323</v>
      </c>
      <c r="F1110" s="8" t="s">
        <v>3601</v>
      </c>
      <c r="G1110" s="8">
        <v>500</v>
      </c>
    </row>
    <row r="1111" spans="1:7" ht="16" x14ac:dyDescent="0.2">
      <c r="A1111" t="s">
        <v>3602</v>
      </c>
      <c r="B1111" s="31" t="s">
        <v>3243</v>
      </c>
      <c r="C1111" t="s">
        <v>3602</v>
      </c>
      <c r="D1111" s="8" t="s">
        <v>14</v>
      </c>
      <c r="E1111" s="8" t="s">
        <v>3324</v>
      </c>
      <c r="F1111" s="8" t="s">
        <v>3603</v>
      </c>
      <c r="G1111" s="8">
        <v>500</v>
      </c>
    </row>
    <row r="1112" spans="1:7" ht="16" x14ac:dyDescent="0.2">
      <c r="A1112" t="s">
        <v>3604</v>
      </c>
      <c r="B1112" s="31" t="s">
        <v>3243</v>
      </c>
      <c r="C1112" t="s">
        <v>3604</v>
      </c>
      <c r="D1112" s="8" t="s">
        <v>14</v>
      </c>
      <c r="E1112" s="8" t="s">
        <v>3325</v>
      </c>
      <c r="F1112" s="8" t="s">
        <v>3605</v>
      </c>
      <c r="G1112" s="8">
        <v>500</v>
      </c>
    </row>
    <row r="1113" spans="1:7" ht="16" x14ac:dyDescent="0.2">
      <c r="A1113" t="s">
        <v>3606</v>
      </c>
      <c r="B1113" s="31" t="s">
        <v>3243</v>
      </c>
      <c r="C1113" t="s">
        <v>3606</v>
      </c>
      <c r="D1113" s="8" t="s">
        <v>14</v>
      </c>
      <c r="E1113" s="8" t="s">
        <v>3326</v>
      </c>
      <c r="F1113" s="8" t="s">
        <v>3607</v>
      </c>
      <c r="G1113" s="8">
        <v>500</v>
      </c>
    </row>
    <row r="1114" spans="1:7" ht="16" x14ac:dyDescent="0.2">
      <c r="A1114" t="s">
        <v>3608</v>
      </c>
      <c r="B1114" s="31" t="s">
        <v>3243</v>
      </c>
      <c r="C1114" t="s">
        <v>3608</v>
      </c>
      <c r="D1114" s="8" t="s">
        <v>14</v>
      </c>
      <c r="E1114" s="8" t="s">
        <v>3609</v>
      </c>
      <c r="F1114" s="8" t="s">
        <v>3610</v>
      </c>
      <c r="G1114" s="8">
        <v>500</v>
      </c>
    </row>
    <row r="1115" spans="1:7" ht="16" x14ac:dyDescent="0.2">
      <c r="A1115" t="s">
        <v>3611</v>
      </c>
      <c r="B1115" s="31" t="s">
        <v>3243</v>
      </c>
      <c r="C1115" t="s">
        <v>3611</v>
      </c>
      <c r="D1115" s="8" t="s">
        <v>14</v>
      </c>
      <c r="E1115" s="8" t="s">
        <v>3612</v>
      </c>
      <c r="F1115" s="8" t="s">
        <v>3613</v>
      </c>
      <c r="G1115" s="8">
        <v>500</v>
      </c>
    </row>
    <row r="1116" spans="1:7" ht="16" x14ac:dyDescent="0.2">
      <c r="A1116" t="s">
        <v>3614</v>
      </c>
      <c r="B1116" s="31" t="s">
        <v>3243</v>
      </c>
      <c r="C1116" t="s">
        <v>3614</v>
      </c>
      <c r="D1116" s="8" t="s">
        <v>14</v>
      </c>
      <c r="E1116" s="8" t="s">
        <v>3327</v>
      </c>
      <c r="F1116" s="8" t="s">
        <v>3615</v>
      </c>
      <c r="G1116" s="8">
        <v>500</v>
      </c>
    </row>
    <row r="1117" spans="1:7" ht="16" x14ac:dyDescent="0.2">
      <c r="A1117" t="s">
        <v>3616</v>
      </c>
      <c r="B1117" s="31" t="s">
        <v>3243</v>
      </c>
      <c r="C1117" t="s">
        <v>3616</v>
      </c>
      <c r="D1117" s="8" t="s">
        <v>14</v>
      </c>
      <c r="E1117" s="8" t="s">
        <v>3328</v>
      </c>
      <c r="F1117" s="8" t="s">
        <v>3617</v>
      </c>
      <c r="G1117" s="8">
        <v>500</v>
      </c>
    </row>
    <row r="1118" spans="1:7" ht="16" x14ac:dyDescent="0.2">
      <c r="A1118" t="s">
        <v>3618</v>
      </c>
      <c r="B1118" s="31" t="s">
        <v>3243</v>
      </c>
      <c r="C1118" t="s">
        <v>3618</v>
      </c>
      <c r="D1118" s="8" t="s">
        <v>14</v>
      </c>
      <c r="E1118" s="8" t="s">
        <v>3329</v>
      </c>
      <c r="F1118" s="8" t="s">
        <v>3619</v>
      </c>
      <c r="G1118" s="8">
        <v>500</v>
      </c>
    </row>
    <row r="1119" spans="1:7" ht="16" x14ac:dyDescent="0.2">
      <c r="A1119" t="s">
        <v>3620</v>
      </c>
      <c r="B1119" s="31" t="s">
        <v>3243</v>
      </c>
      <c r="C1119" t="s">
        <v>3620</v>
      </c>
      <c r="D1119" s="8" t="s">
        <v>14</v>
      </c>
      <c r="E1119" s="8" t="s">
        <v>3330</v>
      </c>
      <c r="F1119" s="8" t="s">
        <v>3621</v>
      </c>
      <c r="G1119" s="8">
        <v>500</v>
      </c>
    </row>
    <row r="1120" spans="1:7" ht="16" x14ac:dyDescent="0.2">
      <c r="A1120" t="s">
        <v>3622</v>
      </c>
      <c r="B1120" s="31" t="s">
        <v>3243</v>
      </c>
      <c r="C1120" t="s">
        <v>3622</v>
      </c>
      <c r="D1120" s="8" t="s">
        <v>14</v>
      </c>
      <c r="E1120" s="8" t="s">
        <v>3331</v>
      </c>
      <c r="F1120" s="8" t="s">
        <v>3623</v>
      </c>
      <c r="G1120" s="8">
        <v>500</v>
      </c>
    </row>
    <row r="1121" spans="1:7" ht="16" x14ac:dyDescent="0.2">
      <c r="A1121" t="s">
        <v>3624</v>
      </c>
      <c r="B1121" s="31" t="s">
        <v>3243</v>
      </c>
      <c r="C1121" t="s">
        <v>3624</v>
      </c>
      <c r="D1121" s="8" t="s">
        <v>14</v>
      </c>
      <c r="E1121" s="8" t="s">
        <v>3332</v>
      </c>
      <c r="F1121" s="8" t="s">
        <v>3625</v>
      </c>
      <c r="G1121" s="8">
        <v>500</v>
      </c>
    </row>
    <row r="1122" spans="1:7" ht="16" x14ac:dyDescent="0.2">
      <c r="A1122" t="s">
        <v>3626</v>
      </c>
      <c r="B1122" s="31" t="s">
        <v>3243</v>
      </c>
      <c r="C1122" t="s">
        <v>3626</v>
      </c>
      <c r="D1122" s="8" t="s">
        <v>14</v>
      </c>
      <c r="E1122" s="8" t="s">
        <v>3333</v>
      </c>
      <c r="F1122" s="8" t="s">
        <v>3627</v>
      </c>
      <c r="G1122" s="8">
        <v>500</v>
      </c>
    </row>
    <row r="1123" spans="1:7" ht="16" x14ac:dyDescent="0.2">
      <c r="A1123" t="s">
        <v>3628</v>
      </c>
      <c r="B1123" s="31" t="s">
        <v>3243</v>
      </c>
      <c r="C1123" t="s">
        <v>3628</v>
      </c>
      <c r="D1123" s="8" t="s">
        <v>14</v>
      </c>
      <c r="E1123" s="8" t="s">
        <v>3629</v>
      </c>
      <c r="F1123" s="8" t="s">
        <v>3630</v>
      </c>
      <c r="G1123" s="8">
        <v>500</v>
      </c>
    </row>
    <row r="1124" spans="1:7" ht="16" x14ac:dyDescent="0.2">
      <c r="A1124" t="s">
        <v>3631</v>
      </c>
      <c r="B1124" s="31" t="s">
        <v>3243</v>
      </c>
      <c r="C1124" t="s">
        <v>3631</v>
      </c>
      <c r="D1124" s="8" t="s">
        <v>14</v>
      </c>
      <c r="E1124" s="8" t="s">
        <v>3334</v>
      </c>
      <c r="F1124" s="8" t="s">
        <v>3632</v>
      </c>
      <c r="G1124" s="8">
        <v>500</v>
      </c>
    </row>
    <row r="1125" spans="1:7" ht="16" x14ac:dyDescent="0.2">
      <c r="A1125" t="s">
        <v>3633</v>
      </c>
      <c r="B1125" s="31" t="s">
        <v>3243</v>
      </c>
      <c r="C1125" t="s">
        <v>3633</v>
      </c>
      <c r="D1125" s="8" t="s">
        <v>14</v>
      </c>
      <c r="E1125" s="8" t="s">
        <v>3335</v>
      </c>
      <c r="F1125" s="8" t="s">
        <v>3634</v>
      </c>
      <c r="G1125" s="8">
        <v>500</v>
      </c>
    </row>
    <row r="1126" spans="1:7" ht="16" x14ac:dyDescent="0.2">
      <c r="A1126" t="s">
        <v>3635</v>
      </c>
      <c r="B1126" s="31" t="s">
        <v>3243</v>
      </c>
      <c r="C1126" t="s">
        <v>3635</v>
      </c>
      <c r="D1126" s="8" t="s">
        <v>14</v>
      </c>
      <c r="E1126" s="8" t="s">
        <v>3336</v>
      </c>
      <c r="F1126" s="8" t="s">
        <v>3636</v>
      </c>
      <c r="G1126" s="8">
        <v>500</v>
      </c>
    </row>
    <row r="1127" spans="1:7" ht="16" x14ac:dyDescent="0.2">
      <c r="A1127" t="s">
        <v>3637</v>
      </c>
      <c r="B1127" s="31" t="s">
        <v>3243</v>
      </c>
      <c r="C1127" t="s">
        <v>3637</v>
      </c>
      <c r="D1127" s="8" t="s">
        <v>14</v>
      </c>
      <c r="E1127" s="8" t="s">
        <v>3337</v>
      </c>
      <c r="F1127" s="8" t="s">
        <v>3638</v>
      </c>
      <c r="G1127" s="8">
        <v>500</v>
      </c>
    </row>
    <row r="1128" spans="1:7" ht="16" x14ac:dyDescent="0.2">
      <c r="A1128" t="s">
        <v>3639</v>
      </c>
      <c r="B1128" s="31" t="s">
        <v>3243</v>
      </c>
      <c r="C1128" t="s">
        <v>3639</v>
      </c>
      <c r="D1128" s="8" t="s">
        <v>14</v>
      </c>
      <c r="E1128" s="8" t="s">
        <v>3338</v>
      </c>
      <c r="F1128" s="8" t="s">
        <v>3640</v>
      </c>
      <c r="G1128" s="8">
        <v>500</v>
      </c>
    </row>
    <row r="1129" spans="1:7" ht="16" x14ac:dyDescent="0.2">
      <c r="A1129" t="s">
        <v>3641</v>
      </c>
      <c r="B1129" s="31" t="s">
        <v>3243</v>
      </c>
      <c r="C1129" t="s">
        <v>3641</v>
      </c>
      <c r="D1129" s="8" t="s">
        <v>14</v>
      </c>
      <c r="E1129" s="8" t="s">
        <v>3339</v>
      </c>
      <c r="F1129" s="8" t="s">
        <v>3642</v>
      </c>
      <c r="G1129" s="8">
        <v>500</v>
      </c>
    </row>
    <row r="1130" spans="1:7" ht="16" x14ac:dyDescent="0.2">
      <c r="A1130" t="s">
        <v>3643</v>
      </c>
      <c r="B1130" s="31" t="s">
        <v>3243</v>
      </c>
      <c r="C1130" t="s">
        <v>3643</v>
      </c>
      <c r="D1130" s="8" t="s">
        <v>14</v>
      </c>
      <c r="E1130" s="8" t="s">
        <v>3340</v>
      </c>
      <c r="F1130" s="8" t="s">
        <v>3644</v>
      </c>
      <c r="G1130" s="8">
        <v>500</v>
      </c>
    </row>
    <row r="1131" spans="1:7" ht="16" x14ac:dyDescent="0.2">
      <c r="A1131" t="s">
        <v>3645</v>
      </c>
      <c r="B1131" s="31" t="s">
        <v>3243</v>
      </c>
      <c r="C1131" t="s">
        <v>3645</v>
      </c>
      <c r="D1131" s="8" t="s">
        <v>14</v>
      </c>
      <c r="E1131" s="8" t="s">
        <v>3341</v>
      </c>
      <c r="F1131" s="8" t="s">
        <v>3646</v>
      </c>
      <c r="G1131" s="8">
        <v>500</v>
      </c>
    </row>
    <row r="1132" spans="1:7" ht="16" x14ac:dyDescent="0.2">
      <c r="A1132" t="s">
        <v>3647</v>
      </c>
      <c r="B1132" s="31" t="s">
        <v>3243</v>
      </c>
      <c r="C1132" t="s">
        <v>3647</v>
      </c>
      <c r="D1132" s="8" t="s">
        <v>14</v>
      </c>
      <c r="E1132" s="8" t="s">
        <v>3342</v>
      </c>
      <c r="F1132" s="8" t="s">
        <v>3648</v>
      </c>
      <c r="G1132" s="8">
        <v>500</v>
      </c>
    </row>
    <row r="1133" spans="1:7" ht="16" x14ac:dyDescent="0.2">
      <c r="A1133" t="s">
        <v>3649</v>
      </c>
      <c r="B1133" s="31" t="s">
        <v>3243</v>
      </c>
      <c r="C1133" t="s">
        <v>3649</v>
      </c>
      <c r="D1133" s="8" t="s">
        <v>14</v>
      </c>
      <c r="E1133" s="8" t="s">
        <v>3343</v>
      </c>
      <c r="F1133" s="8" t="s">
        <v>3650</v>
      </c>
      <c r="G1133" s="8">
        <v>500</v>
      </c>
    </row>
    <row r="1134" spans="1:7" ht="16" x14ac:dyDescent="0.2">
      <c r="A1134" t="s">
        <v>3651</v>
      </c>
      <c r="B1134" s="31" t="s">
        <v>3243</v>
      </c>
      <c r="C1134" t="s">
        <v>3651</v>
      </c>
      <c r="D1134" s="8" t="s">
        <v>14</v>
      </c>
      <c r="E1134" s="8" t="s">
        <v>3344</v>
      </c>
      <c r="F1134" s="8" t="s">
        <v>3652</v>
      </c>
      <c r="G1134" s="8">
        <v>500</v>
      </c>
    </row>
    <row r="1135" spans="1:7" ht="16" x14ac:dyDescent="0.2">
      <c r="A1135" t="s">
        <v>3653</v>
      </c>
      <c r="B1135" s="31" t="s">
        <v>3243</v>
      </c>
      <c r="C1135" t="s">
        <v>3653</v>
      </c>
      <c r="D1135" s="8" t="s">
        <v>14</v>
      </c>
      <c r="E1135" s="8" t="s">
        <v>3345</v>
      </c>
      <c r="F1135" s="8" t="s">
        <v>3654</v>
      </c>
      <c r="G1135" s="8">
        <v>500</v>
      </c>
    </row>
    <row r="1136" spans="1:7" ht="16" x14ac:dyDescent="0.2">
      <c r="A1136" t="s">
        <v>3655</v>
      </c>
      <c r="B1136" s="31" t="s">
        <v>3243</v>
      </c>
      <c r="C1136" t="s">
        <v>3655</v>
      </c>
      <c r="D1136" s="8" t="s">
        <v>14</v>
      </c>
      <c r="E1136" s="8" t="s">
        <v>3346</v>
      </c>
      <c r="F1136" s="8" t="s">
        <v>3656</v>
      </c>
      <c r="G1136" s="8">
        <v>500</v>
      </c>
    </row>
    <row r="1137" spans="1:7" ht="16" x14ac:dyDescent="0.2">
      <c r="A1137" t="s">
        <v>3657</v>
      </c>
      <c r="B1137" s="31" t="s">
        <v>3243</v>
      </c>
      <c r="C1137" t="s">
        <v>3657</v>
      </c>
      <c r="D1137" s="8" t="s">
        <v>14</v>
      </c>
      <c r="E1137" s="8" t="s">
        <v>3347</v>
      </c>
      <c r="F1137" s="8" t="s">
        <v>3658</v>
      </c>
      <c r="G1137" s="8">
        <v>500</v>
      </c>
    </row>
    <row r="1138" spans="1:7" ht="16" x14ac:dyDescent="0.2">
      <c r="A1138" t="s">
        <v>3659</v>
      </c>
      <c r="B1138" s="31" t="s">
        <v>3243</v>
      </c>
      <c r="C1138" t="s">
        <v>3659</v>
      </c>
      <c r="D1138" s="8" t="s">
        <v>14</v>
      </c>
      <c r="E1138" s="8" t="s">
        <v>3348</v>
      </c>
      <c r="F1138" s="8" t="s">
        <v>3660</v>
      </c>
      <c r="G1138" s="8">
        <v>500</v>
      </c>
    </row>
    <row r="1139" spans="1:7" ht="16" x14ac:dyDescent="0.2">
      <c r="A1139" t="s">
        <v>3661</v>
      </c>
      <c r="B1139" s="31" t="s">
        <v>3243</v>
      </c>
      <c r="C1139" t="s">
        <v>3661</v>
      </c>
      <c r="D1139" s="8" t="s">
        <v>14</v>
      </c>
      <c r="E1139" s="8" t="s">
        <v>3349</v>
      </c>
      <c r="F1139" s="8" t="s">
        <v>3662</v>
      </c>
      <c r="G1139" s="8">
        <v>500</v>
      </c>
    </row>
    <row r="1140" spans="1:7" ht="16" x14ac:dyDescent="0.2">
      <c r="A1140" t="s">
        <v>3663</v>
      </c>
      <c r="B1140" s="31" t="s">
        <v>3243</v>
      </c>
      <c r="C1140" t="s">
        <v>3663</v>
      </c>
      <c r="D1140" s="8" t="s">
        <v>14</v>
      </c>
      <c r="E1140" s="8" t="s">
        <v>3350</v>
      </c>
      <c r="F1140" s="8" t="s">
        <v>3664</v>
      </c>
      <c r="G1140" s="8">
        <v>500</v>
      </c>
    </row>
    <row r="1141" spans="1:7" ht="16" x14ac:dyDescent="0.2">
      <c r="A1141" t="s">
        <v>3665</v>
      </c>
      <c r="B1141" s="31" t="s">
        <v>3243</v>
      </c>
      <c r="C1141" t="s">
        <v>3665</v>
      </c>
      <c r="D1141" s="8" t="s">
        <v>14</v>
      </c>
      <c r="E1141" s="8" t="s">
        <v>3351</v>
      </c>
      <c r="F1141" s="8" t="s">
        <v>3666</v>
      </c>
      <c r="G1141" s="8">
        <v>500</v>
      </c>
    </row>
    <row r="1142" spans="1:7" ht="16" x14ac:dyDescent="0.2">
      <c r="A1142" t="s">
        <v>3667</v>
      </c>
      <c r="B1142" s="31" t="s">
        <v>3243</v>
      </c>
      <c r="C1142" t="s">
        <v>3667</v>
      </c>
      <c r="D1142" s="8" t="s">
        <v>14</v>
      </c>
      <c r="E1142" s="8" t="s">
        <v>3352</v>
      </c>
      <c r="F1142" s="8" t="s">
        <v>3668</v>
      </c>
      <c r="G1142" s="8">
        <v>500</v>
      </c>
    </row>
    <row r="1143" spans="1:7" ht="16" x14ac:dyDescent="0.2">
      <c r="A1143" t="s">
        <v>3669</v>
      </c>
      <c r="B1143" s="31" t="s">
        <v>3243</v>
      </c>
      <c r="C1143" t="s">
        <v>3669</v>
      </c>
      <c r="D1143" s="8" t="s">
        <v>14</v>
      </c>
      <c r="E1143" s="8" t="s">
        <v>3353</v>
      </c>
      <c r="F1143" s="8" t="s">
        <v>3670</v>
      </c>
      <c r="G1143" s="8">
        <v>500</v>
      </c>
    </row>
    <row r="1144" spans="1:7" ht="16" x14ac:dyDescent="0.2">
      <c r="A1144" t="s">
        <v>3671</v>
      </c>
      <c r="B1144" s="31" t="s">
        <v>3243</v>
      </c>
      <c r="C1144" t="s">
        <v>3671</v>
      </c>
      <c r="D1144" s="8" t="s">
        <v>14</v>
      </c>
      <c r="E1144" s="8" t="s">
        <v>3672</v>
      </c>
      <c r="F1144" s="8" t="s">
        <v>3673</v>
      </c>
      <c r="G1144" s="8">
        <v>500</v>
      </c>
    </row>
    <row r="1145" spans="1:7" ht="16" x14ac:dyDescent="0.2">
      <c r="A1145" t="s">
        <v>3674</v>
      </c>
      <c r="B1145" s="31" t="s">
        <v>3243</v>
      </c>
      <c r="C1145" t="s">
        <v>3674</v>
      </c>
      <c r="D1145" s="8" t="s">
        <v>14</v>
      </c>
      <c r="E1145" s="8" t="s">
        <v>3354</v>
      </c>
      <c r="F1145" s="8" t="s">
        <v>3675</v>
      </c>
      <c r="G1145" s="8">
        <v>500</v>
      </c>
    </row>
    <row r="1146" spans="1:7" ht="16" x14ac:dyDescent="0.2">
      <c r="A1146" t="s">
        <v>3676</v>
      </c>
      <c r="B1146" s="31" t="s">
        <v>3243</v>
      </c>
      <c r="C1146" t="s">
        <v>3676</v>
      </c>
      <c r="D1146" s="8" t="s">
        <v>14</v>
      </c>
      <c r="E1146" s="8" t="s">
        <v>3355</v>
      </c>
      <c r="F1146" s="8" t="s">
        <v>3677</v>
      </c>
      <c r="G1146" s="8">
        <v>500</v>
      </c>
    </row>
    <row r="1147" spans="1:7" ht="16" x14ac:dyDescent="0.2">
      <c r="A1147" t="s">
        <v>3678</v>
      </c>
      <c r="B1147" s="31" t="s">
        <v>3243</v>
      </c>
      <c r="C1147" t="s">
        <v>3678</v>
      </c>
      <c r="D1147" s="8" t="s">
        <v>14</v>
      </c>
      <c r="E1147" s="8" t="s">
        <v>3356</v>
      </c>
      <c r="F1147" s="8" t="s">
        <v>3679</v>
      </c>
      <c r="G1147" s="8">
        <v>500</v>
      </c>
    </row>
    <row r="1148" spans="1:7" ht="16" x14ac:dyDescent="0.2">
      <c r="A1148" t="s">
        <v>3680</v>
      </c>
      <c r="B1148" s="31" t="s">
        <v>3243</v>
      </c>
      <c r="C1148" t="s">
        <v>3680</v>
      </c>
      <c r="D1148" s="8" t="s">
        <v>14</v>
      </c>
      <c r="E1148" s="8" t="s">
        <v>3681</v>
      </c>
      <c r="F1148" s="8" t="s">
        <v>3682</v>
      </c>
      <c r="G1148" s="8">
        <v>500</v>
      </c>
    </row>
    <row r="1149" spans="1:7" ht="16" x14ac:dyDescent="0.2">
      <c r="A1149" t="s">
        <v>3683</v>
      </c>
      <c r="B1149" s="31" t="s">
        <v>3243</v>
      </c>
      <c r="C1149" t="s">
        <v>3683</v>
      </c>
      <c r="D1149" s="8" t="s">
        <v>14</v>
      </c>
      <c r="E1149" s="8" t="s">
        <v>3357</v>
      </c>
      <c r="F1149" s="8" t="s">
        <v>3684</v>
      </c>
      <c r="G1149" s="8">
        <v>500</v>
      </c>
    </row>
    <row r="1150" spans="1:7" ht="16" x14ac:dyDescent="0.2">
      <c r="A1150" t="s">
        <v>3685</v>
      </c>
      <c r="B1150" s="31" t="s">
        <v>3243</v>
      </c>
      <c r="C1150" t="s">
        <v>3685</v>
      </c>
      <c r="D1150" s="8" t="s">
        <v>14</v>
      </c>
      <c r="E1150" s="8" t="s">
        <v>3358</v>
      </c>
      <c r="F1150" s="8" t="s">
        <v>3686</v>
      </c>
      <c r="G1150" s="8">
        <v>500</v>
      </c>
    </row>
    <row r="1151" spans="1:7" ht="16" x14ac:dyDescent="0.2">
      <c r="A1151" t="s">
        <v>3687</v>
      </c>
      <c r="B1151" s="31" t="s">
        <v>3243</v>
      </c>
      <c r="C1151" t="s">
        <v>3687</v>
      </c>
      <c r="D1151" s="8" t="s">
        <v>14</v>
      </c>
      <c r="E1151" s="8" t="s">
        <v>3359</v>
      </c>
      <c r="F1151" s="8" t="s">
        <v>3688</v>
      </c>
      <c r="G1151" s="8">
        <v>500</v>
      </c>
    </row>
    <row r="1152" spans="1:7" ht="16" x14ac:dyDescent="0.2">
      <c r="A1152" t="s">
        <v>3689</v>
      </c>
      <c r="B1152" s="31" t="s">
        <v>3243</v>
      </c>
      <c r="C1152" t="s">
        <v>3689</v>
      </c>
      <c r="D1152" s="8" t="s">
        <v>14</v>
      </c>
      <c r="E1152" s="8" t="s">
        <v>3360</v>
      </c>
      <c r="F1152" s="8" t="s">
        <v>3690</v>
      </c>
      <c r="G1152" s="8">
        <v>500</v>
      </c>
    </row>
    <row r="1153" spans="1:7" ht="16" x14ac:dyDescent="0.2">
      <c r="A1153" t="s">
        <v>3691</v>
      </c>
      <c r="B1153" s="31" t="s">
        <v>3243</v>
      </c>
      <c r="C1153" t="s">
        <v>3691</v>
      </c>
      <c r="D1153" s="8" t="s">
        <v>14</v>
      </c>
      <c r="E1153" s="8" t="s">
        <v>3361</v>
      </c>
      <c r="F1153" s="8" t="s">
        <v>3692</v>
      </c>
      <c r="G1153" s="8">
        <v>500</v>
      </c>
    </row>
    <row r="1154" spans="1:7" ht="16" x14ac:dyDescent="0.2">
      <c r="A1154" t="s">
        <v>3693</v>
      </c>
      <c r="B1154" s="31" t="s">
        <v>3243</v>
      </c>
      <c r="C1154" t="s">
        <v>3693</v>
      </c>
      <c r="D1154" s="8" t="s">
        <v>14</v>
      </c>
      <c r="E1154" s="8" t="s">
        <v>3362</v>
      </c>
      <c r="F1154" s="8" t="s">
        <v>3694</v>
      </c>
      <c r="G1154" s="8">
        <v>500</v>
      </c>
    </row>
    <row r="1155" spans="1:7" ht="16" x14ac:dyDescent="0.2">
      <c r="A1155" t="s">
        <v>3695</v>
      </c>
      <c r="B1155" s="31" t="s">
        <v>3243</v>
      </c>
      <c r="C1155" t="s">
        <v>3695</v>
      </c>
      <c r="D1155" s="8" t="s">
        <v>14</v>
      </c>
      <c r="E1155" s="8" t="s">
        <v>3363</v>
      </c>
      <c r="F1155" s="8" t="s">
        <v>3696</v>
      </c>
      <c r="G1155" s="8">
        <v>500</v>
      </c>
    </row>
    <row r="1156" spans="1:7" ht="16" x14ac:dyDescent="0.2">
      <c r="A1156" t="s">
        <v>3697</v>
      </c>
      <c r="B1156" s="31" t="s">
        <v>3243</v>
      </c>
      <c r="C1156" t="s">
        <v>3697</v>
      </c>
      <c r="D1156" s="8" t="s">
        <v>14</v>
      </c>
      <c r="E1156" s="8" t="s">
        <v>3364</v>
      </c>
      <c r="F1156" s="8" t="s">
        <v>3698</v>
      </c>
      <c r="G1156" s="8">
        <v>500</v>
      </c>
    </row>
    <row r="1157" spans="1:7" ht="16" x14ac:dyDescent="0.2">
      <c r="A1157" t="s">
        <v>3699</v>
      </c>
      <c r="B1157" s="31" t="s">
        <v>3243</v>
      </c>
      <c r="C1157" t="s">
        <v>3699</v>
      </c>
      <c r="D1157" s="8" t="s">
        <v>14</v>
      </c>
      <c r="E1157" s="8" t="s">
        <v>3365</v>
      </c>
      <c r="F1157" s="8" t="s">
        <v>3700</v>
      </c>
      <c r="G1157" s="8">
        <v>500</v>
      </c>
    </row>
    <row r="1158" spans="1:7" ht="16" x14ac:dyDescent="0.2">
      <c r="A1158" t="s">
        <v>3701</v>
      </c>
      <c r="B1158" s="31" t="s">
        <v>3243</v>
      </c>
      <c r="C1158" t="s">
        <v>3701</v>
      </c>
      <c r="D1158" s="8" t="s">
        <v>14</v>
      </c>
      <c r="E1158" s="8" t="s">
        <v>3366</v>
      </c>
      <c r="F1158" s="8" t="s">
        <v>3702</v>
      </c>
      <c r="G1158" s="8">
        <v>500</v>
      </c>
    </row>
    <row r="1159" spans="1:7" ht="16" x14ac:dyDescent="0.2">
      <c r="A1159" t="s">
        <v>3703</v>
      </c>
      <c r="B1159" s="31" t="s">
        <v>3243</v>
      </c>
      <c r="C1159" t="s">
        <v>3703</v>
      </c>
      <c r="D1159" s="8" t="s">
        <v>14</v>
      </c>
      <c r="E1159" s="8" t="s">
        <v>3367</v>
      </c>
      <c r="F1159" s="8" t="s">
        <v>3704</v>
      </c>
      <c r="G1159" s="8">
        <v>500</v>
      </c>
    </row>
    <row r="1160" spans="1:7" ht="16" x14ac:dyDescent="0.2">
      <c r="A1160" t="s">
        <v>3705</v>
      </c>
      <c r="B1160" s="31" t="s">
        <v>3243</v>
      </c>
      <c r="C1160" t="s">
        <v>3705</v>
      </c>
      <c r="D1160" s="8" t="s">
        <v>14</v>
      </c>
      <c r="E1160" s="8" t="s">
        <v>3368</v>
      </c>
      <c r="F1160" s="8" t="s">
        <v>3706</v>
      </c>
      <c r="G1160" s="8">
        <v>500</v>
      </c>
    </row>
    <row r="1161" spans="1:7" ht="16" x14ac:dyDescent="0.2">
      <c r="A1161" t="s">
        <v>3707</v>
      </c>
      <c r="B1161" s="31" t="s">
        <v>3243</v>
      </c>
      <c r="C1161" t="s">
        <v>3707</v>
      </c>
      <c r="D1161" s="8" t="s">
        <v>14</v>
      </c>
      <c r="E1161" s="8" t="s">
        <v>3369</v>
      </c>
      <c r="F1161" s="8" t="s">
        <v>3708</v>
      </c>
      <c r="G1161" s="8">
        <v>500</v>
      </c>
    </row>
    <row r="1162" spans="1:7" ht="16" x14ac:dyDescent="0.2">
      <c r="A1162" t="s">
        <v>3709</v>
      </c>
      <c r="B1162" s="31" t="s">
        <v>3243</v>
      </c>
      <c r="C1162" t="s">
        <v>3709</v>
      </c>
      <c r="D1162" s="8" t="s">
        <v>14</v>
      </c>
      <c r="E1162" s="8" t="s">
        <v>3370</v>
      </c>
      <c r="F1162" s="8" t="s">
        <v>3710</v>
      </c>
      <c r="G1162" s="8">
        <v>500</v>
      </c>
    </row>
    <row r="1163" spans="1:7" ht="16" x14ac:dyDescent="0.2">
      <c r="A1163" t="s">
        <v>3711</v>
      </c>
      <c r="B1163" s="31" t="s">
        <v>3243</v>
      </c>
      <c r="C1163" t="s">
        <v>3711</v>
      </c>
      <c r="D1163" s="8" t="s">
        <v>14</v>
      </c>
      <c r="E1163" s="8" t="s">
        <v>3371</v>
      </c>
      <c r="F1163" s="8" t="s">
        <v>3712</v>
      </c>
      <c r="G1163" s="8">
        <v>500</v>
      </c>
    </row>
    <row r="1164" spans="1:7" ht="16" x14ac:dyDescent="0.2">
      <c r="A1164" t="s">
        <v>3713</v>
      </c>
      <c r="B1164" s="31" t="s">
        <v>3243</v>
      </c>
      <c r="C1164" t="s">
        <v>3713</v>
      </c>
      <c r="D1164" s="8" t="s">
        <v>14</v>
      </c>
      <c r="E1164" s="8" t="s">
        <v>3372</v>
      </c>
      <c r="F1164" s="8" t="s">
        <v>3714</v>
      </c>
      <c r="G1164" s="8">
        <v>500</v>
      </c>
    </row>
    <row r="1165" spans="1:7" ht="16" x14ac:dyDescent="0.2">
      <c r="A1165" t="s">
        <v>3715</v>
      </c>
      <c r="B1165" s="31" t="s">
        <v>3243</v>
      </c>
      <c r="C1165" t="s">
        <v>3715</v>
      </c>
      <c r="D1165" s="8" t="s">
        <v>14</v>
      </c>
      <c r="E1165" s="8" t="s">
        <v>3373</v>
      </c>
      <c r="F1165" s="8" t="s">
        <v>3716</v>
      </c>
      <c r="G1165" s="8">
        <v>500</v>
      </c>
    </row>
    <row r="1166" spans="1:7" ht="16" x14ac:dyDescent="0.2">
      <c r="A1166" t="s">
        <v>3717</v>
      </c>
      <c r="B1166" s="31" t="s">
        <v>3243</v>
      </c>
      <c r="C1166" t="s">
        <v>3717</v>
      </c>
      <c r="D1166" s="8" t="s">
        <v>14</v>
      </c>
      <c r="E1166" s="8" t="s">
        <v>3374</v>
      </c>
      <c r="F1166" s="8" t="s">
        <v>3718</v>
      </c>
      <c r="G1166" s="8">
        <v>500</v>
      </c>
    </row>
    <row r="1167" spans="1:7" ht="16" x14ac:dyDescent="0.2">
      <c r="A1167" t="s">
        <v>3719</v>
      </c>
      <c r="B1167" s="31" t="s">
        <v>3243</v>
      </c>
      <c r="C1167" t="s">
        <v>3719</v>
      </c>
      <c r="D1167" s="8" t="s">
        <v>14</v>
      </c>
      <c r="E1167" s="8" t="s">
        <v>3375</v>
      </c>
      <c r="F1167" s="8" t="s">
        <v>3720</v>
      </c>
      <c r="G1167" s="8">
        <v>500</v>
      </c>
    </row>
    <row r="1168" spans="1:7" ht="16" x14ac:dyDescent="0.2">
      <c r="A1168" t="s">
        <v>3721</v>
      </c>
      <c r="B1168" s="31" t="s">
        <v>3243</v>
      </c>
      <c r="C1168" t="s">
        <v>3721</v>
      </c>
      <c r="D1168" s="8" t="s">
        <v>14</v>
      </c>
      <c r="E1168" s="8" t="s">
        <v>3376</v>
      </c>
      <c r="F1168" s="8" t="s">
        <v>3722</v>
      </c>
      <c r="G1168" s="8">
        <v>500</v>
      </c>
    </row>
    <row r="1169" spans="1:7" ht="16" x14ac:dyDescent="0.2">
      <c r="A1169" t="s">
        <v>3723</v>
      </c>
      <c r="B1169" s="31" t="s">
        <v>3243</v>
      </c>
      <c r="C1169" t="s">
        <v>3723</v>
      </c>
      <c r="D1169" s="8" t="s">
        <v>14</v>
      </c>
      <c r="E1169" s="8" t="s">
        <v>3377</v>
      </c>
      <c r="F1169" s="8" t="s">
        <v>3724</v>
      </c>
      <c r="G1169" s="8">
        <v>500</v>
      </c>
    </row>
    <row r="1170" spans="1:7" ht="16" x14ac:dyDescent="0.2">
      <c r="A1170" t="s">
        <v>3725</v>
      </c>
      <c r="B1170" s="31" t="s">
        <v>3243</v>
      </c>
      <c r="C1170" t="s">
        <v>3725</v>
      </c>
      <c r="D1170" s="8" t="s">
        <v>14</v>
      </c>
      <c r="E1170" s="8" t="s">
        <v>3378</v>
      </c>
      <c r="F1170" s="8" t="s">
        <v>3726</v>
      </c>
      <c r="G1170" s="8">
        <v>500</v>
      </c>
    </row>
    <row r="1171" spans="1:7" ht="16" x14ac:dyDescent="0.2">
      <c r="A1171" t="s">
        <v>3727</v>
      </c>
      <c r="B1171" s="31" t="s">
        <v>3243</v>
      </c>
      <c r="C1171" t="s">
        <v>3727</v>
      </c>
      <c r="D1171" s="8" t="s">
        <v>14</v>
      </c>
      <c r="E1171" s="8" t="s">
        <v>3379</v>
      </c>
      <c r="F1171" s="8" t="s">
        <v>3728</v>
      </c>
      <c r="G1171" s="8">
        <v>500</v>
      </c>
    </row>
    <row r="1172" spans="1:7" ht="16" x14ac:dyDescent="0.2">
      <c r="A1172" t="s">
        <v>3729</v>
      </c>
      <c r="B1172" s="31" t="s">
        <v>3243</v>
      </c>
      <c r="C1172" t="s">
        <v>3729</v>
      </c>
      <c r="D1172" s="8" t="s">
        <v>14</v>
      </c>
      <c r="E1172" s="8" t="s">
        <v>3380</v>
      </c>
      <c r="F1172" s="8" t="s">
        <v>3730</v>
      </c>
      <c r="G1172" s="8">
        <v>500</v>
      </c>
    </row>
    <row r="1173" spans="1:7" ht="16" x14ac:dyDescent="0.2">
      <c r="A1173" t="s">
        <v>3731</v>
      </c>
      <c r="B1173" s="31" t="s">
        <v>3243</v>
      </c>
      <c r="C1173" t="s">
        <v>3731</v>
      </c>
      <c r="D1173" s="8" t="s">
        <v>14</v>
      </c>
      <c r="E1173" s="8" t="s">
        <v>3381</v>
      </c>
      <c r="F1173" s="8" t="s">
        <v>3732</v>
      </c>
      <c r="G1173" s="8">
        <v>500</v>
      </c>
    </row>
    <row r="1174" spans="1:7" ht="16" x14ac:dyDescent="0.2">
      <c r="A1174" t="s">
        <v>3733</v>
      </c>
      <c r="B1174" s="31" t="s">
        <v>3243</v>
      </c>
      <c r="C1174" t="s">
        <v>3733</v>
      </c>
      <c r="D1174" s="8" t="s">
        <v>14</v>
      </c>
      <c r="E1174" s="8" t="s">
        <v>3382</v>
      </c>
      <c r="F1174" s="8" t="s">
        <v>3734</v>
      </c>
      <c r="G1174" s="8">
        <v>500</v>
      </c>
    </row>
    <row r="1175" spans="1:7" ht="16" x14ac:dyDescent="0.2">
      <c r="A1175" t="s">
        <v>3735</v>
      </c>
      <c r="B1175" s="31" t="s">
        <v>3243</v>
      </c>
      <c r="C1175" t="s">
        <v>3735</v>
      </c>
      <c r="D1175" s="8" t="s">
        <v>14</v>
      </c>
      <c r="E1175" s="8" t="s">
        <v>3383</v>
      </c>
      <c r="F1175" s="8" t="s">
        <v>3736</v>
      </c>
      <c r="G1175" s="8">
        <v>500</v>
      </c>
    </row>
    <row r="1176" spans="1:7" ht="16" x14ac:dyDescent="0.2">
      <c r="A1176" t="s">
        <v>3737</v>
      </c>
      <c r="B1176" s="31" t="s">
        <v>3243</v>
      </c>
      <c r="C1176" t="s">
        <v>3737</v>
      </c>
      <c r="D1176" s="8" t="s">
        <v>14</v>
      </c>
      <c r="E1176" s="8" t="s">
        <v>3384</v>
      </c>
      <c r="F1176" s="8" t="s">
        <v>3738</v>
      </c>
      <c r="G1176" s="8">
        <v>500</v>
      </c>
    </row>
    <row r="1177" spans="1:7" ht="16" x14ac:dyDescent="0.2">
      <c r="A1177" t="s">
        <v>3739</v>
      </c>
      <c r="B1177" s="31" t="s">
        <v>3243</v>
      </c>
      <c r="C1177" t="s">
        <v>3739</v>
      </c>
      <c r="D1177" s="8" t="s">
        <v>14</v>
      </c>
      <c r="E1177" s="8" t="s">
        <v>3385</v>
      </c>
      <c r="F1177" s="8" t="s">
        <v>3740</v>
      </c>
      <c r="G1177" s="8">
        <v>500</v>
      </c>
    </row>
    <row r="1178" spans="1:7" ht="16" x14ac:dyDescent="0.2">
      <c r="A1178" t="s">
        <v>3741</v>
      </c>
      <c r="B1178" s="31" t="s">
        <v>3243</v>
      </c>
      <c r="C1178" t="s">
        <v>3741</v>
      </c>
      <c r="D1178" s="8" t="s">
        <v>14</v>
      </c>
      <c r="E1178" s="8" t="s">
        <v>3386</v>
      </c>
      <c r="F1178" s="8" t="s">
        <v>3742</v>
      </c>
      <c r="G1178" s="8">
        <v>500</v>
      </c>
    </row>
    <row r="1179" spans="1:7" ht="16" x14ac:dyDescent="0.2">
      <c r="A1179" t="s">
        <v>3743</v>
      </c>
      <c r="B1179" s="31" t="s">
        <v>3243</v>
      </c>
      <c r="C1179" t="s">
        <v>3743</v>
      </c>
      <c r="D1179" s="8" t="s">
        <v>14</v>
      </c>
      <c r="E1179" s="8" t="s">
        <v>3387</v>
      </c>
      <c r="F1179" s="8" t="s">
        <v>3744</v>
      </c>
      <c r="G1179" s="8">
        <v>500</v>
      </c>
    </row>
    <row r="1180" spans="1:7" ht="16" x14ac:dyDescent="0.2">
      <c r="A1180" t="s">
        <v>3745</v>
      </c>
      <c r="B1180" s="31" t="s">
        <v>3243</v>
      </c>
      <c r="C1180" t="s">
        <v>3745</v>
      </c>
      <c r="D1180" s="8" t="s">
        <v>14</v>
      </c>
      <c r="E1180" s="8" t="s">
        <v>3388</v>
      </c>
      <c r="F1180" s="8" t="s">
        <v>3746</v>
      </c>
      <c r="G1180" s="8">
        <v>500</v>
      </c>
    </row>
    <row r="1181" spans="1:7" ht="16" x14ac:dyDescent="0.2">
      <c r="A1181" t="s">
        <v>3747</v>
      </c>
      <c r="B1181" s="31" t="s">
        <v>3243</v>
      </c>
      <c r="C1181" t="s">
        <v>3747</v>
      </c>
      <c r="D1181" s="8" t="s">
        <v>14</v>
      </c>
      <c r="E1181" s="8" t="s">
        <v>3389</v>
      </c>
      <c r="F1181" s="8" t="s">
        <v>3748</v>
      </c>
      <c r="G1181" s="8">
        <v>500</v>
      </c>
    </row>
    <row r="1182" spans="1:7" ht="16" x14ac:dyDescent="0.2">
      <c r="A1182" t="s">
        <v>3749</v>
      </c>
      <c r="B1182" s="31" t="s">
        <v>3243</v>
      </c>
      <c r="C1182" t="s">
        <v>3749</v>
      </c>
      <c r="D1182" s="8" t="s">
        <v>14</v>
      </c>
      <c r="E1182" s="8" t="s">
        <v>3750</v>
      </c>
      <c r="F1182" s="8" t="s">
        <v>3751</v>
      </c>
      <c r="G1182" s="8">
        <v>500</v>
      </c>
    </row>
    <row r="1183" spans="1:7" ht="16" x14ac:dyDescent="0.2">
      <c r="A1183" t="s">
        <v>3752</v>
      </c>
      <c r="B1183" s="31" t="s">
        <v>3243</v>
      </c>
      <c r="C1183" t="s">
        <v>3752</v>
      </c>
      <c r="D1183" s="8" t="s">
        <v>14</v>
      </c>
      <c r="E1183" s="8" t="s">
        <v>3390</v>
      </c>
      <c r="F1183" s="8" t="s">
        <v>3753</v>
      </c>
      <c r="G1183" s="8">
        <v>500</v>
      </c>
    </row>
    <row r="1184" spans="1:7" ht="16" x14ac:dyDescent="0.2">
      <c r="A1184" t="s">
        <v>3754</v>
      </c>
      <c r="B1184" s="31" t="s">
        <v>3243</v>
      </c>
      <c r="C1184" t="s">
        <v>3754</v>
      </c>
      <c r="D1184" s="8" t="s">
        <v>14</v>
      </c>
      <c r="E1184" s="8" t="s">
        <v>3755</v>
      </c>
      <c r="F1184" s="8" t="s">
        <v>3756</v>
      </c>
      <c r="G1184" s="8">
        <v>500</v>
      </c>
    </row>
    <row r="1185" spans="1:7" ht="16" x14ac:dyDescent="0.2">
      <c r="A1185" t="s">
        <v>3757</v>
      </c>
      <c r="B1185" s="31" t="s">
        <v>3243</v>
      </c>
      <c r="C1185" t="s">
        <v>3757</v>
      </c>
      <c r="D1185" s="8" t="s">
        <v>14</v>
      </c>
      <c r="E1185" s="8" t="s">
        <v>3391</v>
      </c>
      <c r="F1185" s="8" t="s">
        <v>3758</v>
      </c>
      <c r="G1185" s="8">
        <v>500</v>
      </c>
    </row>
    <row r="1186" spans="1:7" ht="16" x14ac:dyDescent="0.2">
      <c r="A1186" t="s">
        <v>3759</v>
      </c>
      <c r="B1186" s="31" t="s">
        <v>3243</v>
      </c>
      <c r="C1186" t="s">
        <v>3759</v>
      </c>
      <c r="D1186" s="8" t="s">
        <v>14</v>
      </c>
      <c r="E1186" s="8" t="s">
        <v>3760</v>
      </c>
      <c r="F1186" s="8" t="s">
        <v>3761</v>
      </c>
      <c r="G1186" s="8">
        <v>500</v>
      </c>
    </row>
    <row r="1187" spans="1:7" ht="16" x14ac:dyDescent="0.2">
      <c r="A1187" t="s">
        <v>3762</v>
      </c>
      <c r="B1187" s="31" t="s">
        <v>3243</v>
      </c>
      <c r="C1187" t="s">
        <v>3762</v>
      </c>
      <c r="D1187" s="8" t="s">
        <v>14</v>
      </c>
      <c r="E1187" s="8" t="s">
        <v>3763</v>
      </c>
      <c r="F1187" s="8" t="s">
        <v>3764</v>
      </c>
      <c r="G1187" s="8">
        <v>500</v>
      </c>
    </row>
    <row r="1188" spans="1:7" ht="16" x14ac:dyDescent="0.2">
      <c r="A1188" t="s">
        <v>3765</v>
      </c>
      <c r="B1188" s="31" t="s">
        <v>3243</v>
      </c>
      <c r="C1188" t="s">
        <v>3765</v>
      </c>
      <c r="D1188" s="8" t="s">
        <v>14</v>
      </c>
      <c r="E1188" s="8" t="s">
        <v>3392</v>
      </c>
      <c r="F1188" s="8" t="s">
        <v>3766</v>
      </c>
      <c r="G1188" s="8">
        <v>500</v>
      </c>
    </row>
    <row r="1189" spans="1:7" ht="16" x14ac:dyDescent="0.2">
      <c r="A1189" t="s">
        <v>3767</v>
      </c>
      <c r="B1189" s="31" t="s">
        <v>3243</v>
      </c>
      <c r="C1189" t="s">
        <v>3767</v>
      </c>
      <c r="D1189" s="8" t="s">
        <v>14</v>
      </c>
      <c r="E1189" s="8" t="s">
        <v>3393</v>
      </c>
      <c r="F1189" s="8" t="s">
        <v>3768</v>
      </c>
      <c r="G1189" s="8">
        <v>500</v>
      </c>
    </row>
    <row r="1190" spans="1:7" ht="16" x14ac:dyDescent="0.2">
      <c r="A1190" t="s">
        <v>3769</v>
      </c>
      <c r="B1190" s="31" t="s">
        <v>3243</v>
      </c>
      <c r="C1190" t="s">
        <v>3769</v>
      </c>
      <c r="D1190" s="8" t="s">
        <v>14</v>
      </c>
      <c r="E1190" s="8" t="s">
        <v>3394</v>
      </c>
      <c r="F1190" s="8" t="s">
        <v>3770</v>
      </c>
      <c r="G1190" s="8">
        <v>500</v>
      </c>
    </row>
    <row r="1191" spans="1:7" ht="16" x14ac:dyDescent="0.2">
      <c r="A1191" t="s">
        <v>3771</v>
      </c>
      <c r="B1191" s="31" t="s">
        <v>3243</v>
      </c>
      <c r="C1191" t="s">
        <v>3771</v>
      </c>
      <c r="D1191" s="8" t="s">
        <v>14</v>
      </c>
      <c r="E1191" s="8" t="s">
        <v>3395</v>
      </c>
      <c r="F1191" s="8" t="s">
        <v>3772</v>
      </c>
      <c r="G1191" s="8">
        <v>500</v>
      </c>
    </row>
    <row r="1192" spans="1:7" ht="16" x14ac:dyDescent="0.2">
      <c r="A1192" t="s">
        <v>3773</v>
      </c>
      <c r="B1192" s="31" t="s">
        <v>3243</v>
      </c>
      <c r="C1192" t="s">
        <v>3773</v>
      </c>
      <c r="D1192" s="8" t="s">
        <v>14</v>
      </c>
      <c r="E1192" s="8" t="s">
        <v>3396</v>
      </c>
      <c r="F1192" s="8" t="s">
        <v>3774</v>
      </c>
      <c r="G1192" s="8">
        <v>500</v>
      </c>
    </row>
    <row r="1193" spans="1:7" ht="16" x14ac:dyDescent="0.2">
      <c r="A1193" t="s">
        <v>3775</v>
      </c>
      <c r="B1193" s="31" t="s">
        <v>3243</v>
      </c>
      <c r="C1193" t="s">
        <v>3775</v>
      </c>
      <c r="D1193" s="8" t="s">
        <v>14</v>
      </c>
      <c r="E1193" s="8" t="s">
        <v>3397</v>
      </c>
      <c r="F1193" s="8" t="s">
        <v>3776</v>
      </c>
      <c r="G1193" s="8">
        <v>500</v>
      </c>
    </row>
    <row r="1194" spans="1:7" ht="16" x14ac:dyDescent="0.2">
      <c r="A1194" t="s">
        <v>3777</v>
      </c>
      <c r="B1194" s="31" t="s">
        <v>3243</v>
      </c>
      <c r="C1194" t="s">
        <v>3777</v>
      </c>
      <c r="D1194" s="8" t="s">
        <v>14</v>
      </c>
      <c r="E1194" s="8" t="s">
        <v>3398</v>
      </c>
      <c r="F1194" s="8" t="s">
        <v>3778</v>
      </c>
      <c r="G1194" s="8">
        <v>500</v>
      </c>
    </row>
    <row r="1195" spans="1:7" ht="16" x14ac:dyDescent="0.2">
      <c r="A1195" t="s">
        <v>3779</v>
      </c>
      <c r="B1195" s="31" t="s">
        <v>3243</v>
      </c>
      <c r="C1195" t="s">
        <v>3779</v>
      </c>
      <c r="D1195" s="8" t="s">
        <v>14</v>
      </c>
      <c r="E1195" s="8" t="s">
        <v>3399</v>
      </c>
      <c r="F1195" s="8" t="s">
        <v>3780</v>
      </c>
      <c r="G1195" s="8">
        <v>500</v>
      </c>
    </row>
    <row r="1196" spans="1:7" ht="16" x14ac:dyDescent="0.2">
      <c r="A1196" t="s">
        <v>3781</v>
      </c>
      <c r="B1196" s="31" t="s">
        <v>3243</v>
      </c>
      <c r="C1196" t="s">
        <v>3781</v>
      </c>
      <c r="D1196" s="8" t="s">
        <v>14</v>
      </c>
      <c r="E1196" s="8" t="s">
        <v>3400</v>
      </c>
      <c r="F1196" s="8" t="s">
        <v>3782</v>
      </c>
      <c r="G1196" s="8">
        <v>500</v>
      </c>
    </row>
    <row r="1197" spans="1:7" ht="16" x14ac:dyDescent="0.2">
      <c r="A1197" t="s">
        <v>3783</v>
      </c>
      <c r="B1197" s="31" t="s">
        <v>3243</v>
      </c>
      <c r="C1197" t="s">
        <v>3783</v>
      </c>
      <c r="D1197" s="8" t="s">
        <v>14</v>
      </c>
      <c r="E1197" s="8" t="s">
        <v>3401</v>
      </c>
      <c r="F1197" s="8" t="s">
        <v>3784</v>
      </c>
      <c r="G1197" s="8">
        <v>500</v>
      </c>
    </row>
    <row r="1198" spans="1:7" ht="16" x14ac:dyDescent="0.2">
      <c r="A1198" t="s">
        <v>3785</v>
      </c>
      <c r="B1198" s="31" t="s">
        <v>3243</v>
      </c>
      <c r="C1198" t="s">
        <v>3785</v>
      </c>
      <c r="D1198" s="8" t="s">
        <v>14</v>
      </c>
      <c r="E1198" s="8" t="s">
        <v>3402</v>
      </c>
      <c r="F1198" s="8" t="s">
        <v>3786</v>
      </c>
      <c r="G1198" s="8">
        <v>500</v>
      </c>
    </row>
    <row r="1199" spans="1:7" ht="16" x14ac:dyDescent="0.2">
      <c r="A1199" t="s">
        <v>3787</v>
      </c>
      <c r="B1199" s="31" t="s">
        <v>3243</v>
      </c>
      <c r="C1199" t="s">
        <v>3787</v>
      </c>
      <c r="D1199" s="8" t="s">
        <v>14</v>
      </c>
      <c r="E1199" s="8" t="s">
        <v>3403</v>
      </c>
      <c r="F1199" s="8" t="s">
        <v>3788</v>
      </c>
      <c r="G1199" s="8">
        <v>500</v>
      </c>
    </row>
    <row r="1200" spans="1:7" ht="16" x14ac:dyDescent="0.2">
      <c r="A1200" t="s">
        <v>3789</v>
      </c>
      <c r="B1200" s="31" t="s">
        <v>3243</v>
      </c>
      <c r="C1200" t="s">
        <v>3789</v>
      </c>
      <c r="D1200" s="8" t="s">
        <v>14</v>
      </c>
      <c r="E1200" s="8" t="s">
        <v>3404</v>
      </c>
      <c r="F1200" s="8" t="s">
        <v>3790</v>
      </c>
      <c r="G1200" s="8">
        <v>500</v>
      </c>
    </row>
    <row r="1201" spans="1:7" ht="16" x14ac:dyDescent="0.2">
      <c r="A1201" t="s">
        <v>3791</v>
      </c>
      <c r="B1201" s="31" t="s">
        <v>3243</v>
      </c>
      <c r="C1201" t="s">
        <v>3791</v>
      </c>
      <c r="D1201" s="8" t="s">
        <v>14</v>
      </c>
      <c r="E1201" s="8" t="s">
        <v>3405</v>
      </c>
      <c r="F1201" s="8" t="s">
        <v>3792</v>
      </c>
      <c r="G1201" s="8">
        <v>500</v>
      </c>
    </row>
    <row r="1202" spans="1:7" ht="16" x14ac:dyDescent="0.2">
      <c r="A1202" t="s">
        <v>3793</v>
      </c>
      <c r="B1202" s="31" t="s">
        <v>3243</v>
      </c>
      <c r="C1202" t="s">
        <v>3793</v>
      </c>
      <c r="D1202" s="8" t="s">
        <v>14</v>
      </c>
      <c r="E1202" s="8" t="s">
        <v>3406</v>
      </c>
      <c r="F1202" s="8" t="s">
        <v>3794</v>
      </c>
      <c r="G1202" s="8">
        <v>500</v>
      </c>
    </row>
    <row r="1203" spans="1:7" ht="16" x14ac:dyDescent="0.2">
      <c r="A1203" t="s">
        <v>3795</v>
      </c>
      <c r="B1203" s="31" t="s">
        <v>3243</v>
      </c>
      <c r="C1203" t="s">
        <v>3795</v>
      </c>
      <c r="D1203" s="8" t="s">
        <v>14</v>
      </c>
      <c r="E1203" s="8" t="s">
        <v>3407</v>
      </c>
      <c r="F1203" s="8" t="s">
        <v>3796</v>
      </c>
      <c r="G1203" s="8">
        <v>500</v>
      </c>
    </row>
    <row r="1204" spans="1:7" ht="16" x14ac:dyDescent="0.2">
      <c r="A1204" t="s">
        <v>3797</v>
      </c>
      <c r="B1204" s="31" t="s">
        <v>3243</v>
      </c>
      <c r="C1204" t="s">
        <v>3797</v>
      </c>
      <c r="D1204" s="8" t="s">
        <v>14</v>
      </c>
      <c r="E1204" s="8" t="s">
        <v>3408</v>
      </c>
      <c r="F1204" s="8" t="s">
        <v>3798</v>
      </c>
      <c r="G1204" s="8">
        <v>500</v>
      </c>
    </row>
    <row r="1205" spans="1:7" ht="16" x14ac:dyDescent="0.2">
      <c r="A1205" t="s">
        <v>3799</v>
      </c>
      <c r="B1205" s="31" t="s">
        <v>3243</v>
      </c>
      <c r="C1205" t="s">
        <v>3799</v>
      </c>
      <c r="D1205" s="8" t="s">
        <v>14</v>
      </c>
      <c r="E1205" s="8" t="s">
        <v>3409</v>
      </c>
      <c r="F1205" s="8" t="s">
        <v>3800</v>
      </c>
      <c r="G1205" s="8">
        <v>500</v>
      </c>
    </row>
    <row r="1206" spans="1:7" ht="16" x14ac:dyDescent="0.2">
      <c r="A1206" t="s">
        <v>3801</v>
      </c>
      <c r="B1206" s="31" t="s">
        <v>3243</v>
      </c>
      <c r="C1206" t="s">
        <v>3801</v>
      </c>
      <c r="D1206" s="8" t="s">
        <v>14</v>
      </c>
      <c r="E1206" s="8" t="s">
        <v>3410</v>
      </c>
      <c r="F1206" s="8" t="s">
        <v>3802</v>
      </c>
      <c r="G1206" s="8">
        <v>500</v>
      </c>
    </row>
    <row r="1207" spans="1:7" ht="16" x14ac:dyDescent="0.2">
      <c r="A1207" t="s">
        <v>3803</v>
      </c>
      <c r="B1207" s="31" t="s">
        <v>3243</v>
      </c>
      <c r="C1207" t="s">
        <v>3803</v>
      </c>
      <c r="D1207" s="8" t="s">
        <v>14</v>
      </c>
      <c r="E1207" s="8" t="s">
        <v>3411</v>
      </c>
      <c r="F1207" s="8" t="s">
        <v>3804</v>
      </c>
      <c r="G1207" s="8">
        <v>500</v>
      </c>
    </row>
    <row r="1208" spans="1:7" ht="16" x14ac:dyDescent="0.2">
      <c r="A1208" t="s">
        <v>3805</v>
      </c>
      <c r="B1208" s="31" t="s">
        <v>3243</v>
      </c>
      <c r="C1208" t="s">
        <v>3805</v>
      </c>
      <c r="D1208" s="8" t="s">
        <v>14</v>
      </c>
      <c r="E1208" s="8" t="s">
        <v>3412</v>
      </c>
      <c r="F1208" s="8" t="s">
        <v>3806</v>
      </c>
      <c r="G1208" s="8">
        <v>500</v>
      </c>
    </row>
    <row r="1209" spans="1:7" ht="16" x14ac:dyDescent="0.2">
      <c r="A1209" t="s">
        <v>3807</v>
      </c>
      <c r="B1209" s="31" t="s">
        <v>3243</v>
      </c>
      <c r="C1209" t="s">
        <v>3807</v>
      </c>
      <c r="D1209" s="8" t="s">
        <v>14</v>
      </c>
      <c r="E1209" s="8" t="s">
        <v>3413</v>
      </c>
      <c r="F1209" s="8" t="s">
        <v>3808</v>
      </c>
      <c r="G1209" s="8">
        <v>500</v>
      </c>
    </row>
    <row r="1210" spans="1:7" ht="16" x14ac:dyDescent="0.2">
      <c r="A1210" t="s">
        <v>3809</v>
      </c>
      <c r="B1210" s="31" t="s">
        <v>3243</v>
      </c>
      <c r="C1210" t="s">
        <v>3809</v>
      </c>
      <c r="D1210" s="8" t="s">
        <v>14</v>
      </c>
      <c r="E1210" s="8" t="s">
        <v>3414</v>
      </c>
      <c r="F1210" s="8" t="s">
        <v>3810</v>
      </c>
      <c r="G1210" s="8">
        <v>500</v>
      </c>
    </row>
    <row r="1211" spans="1:7" ht="16" x14ac:dyDescent="0.2">
      <c r="A1211" t="s">
        <v>3811</v>
      </c>
      <c r="B1211" s="31" t="s">
        <v>3243</v>
      </c>
      <c r="C1211" t="s">
        <v>3811</v>
      </c>
      <c r="D1211" s="8" t="s">
        <v>14</v>
      </c>
      <c r="E1211" s="8" t="s">
        <v>3415</v>
      </c>
      <c r="F1211" s="8" t="s">
        <v>3812</v>
      </c>
      <c r="G1211" s="8">
        <v>500</v>
      </c>
    </row>
    <row r="1212" spans="1:7" ht="16" x14ac:dyDescent="0.2">
      <c r="A1212" t="s">
        <v>3813</v>
      </c>
      <c r="B1212" s="31" t="s">
        <v>3243</v>
      </c>
      <c r="C1212" t="s">
        <v>3813</v>
      </c>
      <c r="D1212" s="8" t="s">
        <v>14</v>
      </c>
      <c r="E1212" s="8" t="s">
        <v>3416</v>
      </c>
      <c r="F1212" s="8" t="s">
        <v>3814</v>
      </c>
      <c r="G1212" s="8">
        <v>500</v>
      </c>
    </row>
    <row r="1213" spans="1:7" ht="16" x14ac:dyDescent="0.2">
      <c r="A1213" t="s">
        <v>3815</v>
      </c>
      <c r="B1213" s="31" t="s">
        <v>3243</v>
      </c>
      <c r="C1213" t="s">
        <v>3815</v>
      </c>
      <c r="D1213" s="8" t="s">
        <v>14</v>
      </c>
      <c r="E1213" s="8" t="s">
        <v>3417</v>
      </c>
      <c r="F1213" s="8" t="s">
        <v>3816</v>
      </c>
      <c r="G1213" s="8">
        <v>500</v>
      </c>
    </row>
    <row r="1214" spans="1:7" ht="16" x14ac:dyDescent="0.2">
      <c r="A1214" t="s">
        <v>3817</v>
      </c>
      <c r="B1214" s="31" t="s">
        <v>3243</v>
      </c>
      <c r="C1214" t="s">
        <v>3817</v>
      </c>
      <c r="D1214" s="8" t="s">
        <v>14</v>
      </c>
      <c r="E1214" s="8" t="s">
        <v>3418</v>
      </c>
      <c r="F1214" s="8" t="s">
        <v>3818</v>
      </c>
      <c r="G1214" s="8">
        <v>500</v>
      </c>
    </row>
    <row r="1215" spans="1:7" ht="16" x14ac:dyDescent="0.2">
      <c r="A1215" t="s">
        <v>3819</v>
      </c>
      <c r="B1215" s="31" t="s">
        <v>3243</v>
      </c>
      <c r="C1215" t="s">
        <v>3819</v>
      </c>
      <c r="D1215" s="8" t="s">
        <v>14</v>
      </c>
      <c r="E1215" s="8" t="s">
        <v>3419</v>
      </c>
      <c r="F1215" s="8" t="s">
        <v>3820</v>
      </c>
      <c r="G1215" s="8">
        <v>500</v>
      </c>
    </row>
    <row r="1216" spans="1:7" ht="16" x14ac:dyDescent="0.2">
      <c r="A1216" t="s">
        <v>3821</v>
      </c>
      <c r="B1216" s="31" t="s">
        <v>3243</v>
      </c>
      <c r="C1216" t="s">
        <v>3821</v>
      </c>
      <c r="D1216" s="8" t="s">
        <v>14</v>
      </c>
      <c r="E1216" s="8" t="s">
        <v>3420</v>
      </c>
      <c r="F1216" s="8" t="s">
        <v>3822</v>
      </c>
      <c r="G1216" s="8">
        <v>500</v>
      </c>
    </row>
    <row r="1217" spans="1:7" ht="16" x14ac:dyDescent="0.2">
      <c r="A1217" t="s">
        <v>3823</v>
      </c>
      <c r="B1217" s="31" t="s">
        <v>3243</v>
      </c>
      <c r="C1217" t="s">
        <v>3823</v>
      </c>
      <c r="D1217" s="8" t="s">
        <v>14</v>
      </c>
      <c r="E1217" s="8" t="s">
        <v>3421</v>
      </c>
      <c r="F1217" s="8" t="s">
        <v>3824</v>
      </c>
      <c r="G1217" s="8">
        <v>500</v>
      </c>
    </row>
    <row r="1218" spans="1:7" ht="16" x14ac:dyDescent="0.2">
      <c r="A1218" t="s">
        <v>3825</v>
      </c>
      <c r="B1218" s="31" t="s">
        <v>3243</v>
      </c>
      <c r="C1218" t="s">
        <v>3825</v>
      </c>
      <c r="D1218" s="8" t="s">
        <v>14</v>
      </c>
      <c r="E1218" s="8" t="s">
        <v>3422</v>
      </c>
      <c r="F1218" s="8" t="s">
        <v>3826</v>
      </c>
      <c r="G1218" s="8">
        <v>500</v>
      </c>
    </row>
    <row r="1219" spans="1:7" ht="16" x14ac:dyDescent="0.2">
      <c r="A1219" t="s">
        <v>3827</v>
      </c>
      <c r="B1219" s="31" t="s">
        <v>3243</v>
      </c>
      <c r="C1219" t="s">
        <v>3827</v>
      </c>
      <c r="D1219" s="8" t="s">
        <v>14</v>
      </c>
      <c r="E1219" s="8" t="s">
        <v>3423</v>
      </c>
      <c r="F1219" s="8" t="s">
        <v>3828</v>
      </c>
      <c r="G1219" s="8">
        <v>500</v>
      </c>
    </row>
    <row r="1220" spans="1:7" ht="16" x14ac:dyDescent="0.2">
      <c r="A1220" t="s">
        <v>3829</v>
      </c>
      <c r="B1220" s="31" t="s">
        <v>3243</v>
      </c>
      <c r="C1220" t="s">
        <v>3829</v>
      </c>
      <c r="D1220" s="8" t="s">
        <v>14</v>
      </c>
      <c r="E1220" s="8" t="s">
        <v>3424</v>
      </c>
      <c r="F1220" s="8" t="s">
        <v>3830</v>
      </c>
      <c r="G1220" s="8">
        <v>500</v>
      </c>
    </row>
    <row r="1221" spans="1:7" ht="16" x14ac:dyDescent="0.2">
      <c r="A1221" t="s">
        <v>3831</v>
      </c>
      <c r="B1221" s="31" t="s">
        <v>3243</v>
      </c>
      <c r="C1221" t="s">
        <v>3831</v>
      </c>
      <c r="D1221" s="8" t="s">
        <v>14</v>
      </c>
      <c r="E1221" s="8" t="s">
        <v>3425</v>
      </c>
      <c r="F1221" s="8" t="s">
        <v>3832</v>
      </c>
      <c r="G1221" s="8">
        <v>500</v>
      </c>
    </row>
    <row r="1222" spans="1:7" ht="16" x14ac:dyDescent="0.2">
      <c r="A1222" t="s">
        <v>3833</v>
      </c>
      <c r="B1222" s="31" t="s">
        <v>3243</v>
      </c>
      <c r="C1222" t="s">
        <v>3833</v>
      </c>
      <c r="D1222" s="8" t="s">
        <v>14</v>
      </c>
      <c r="E1222" s="8" t="s">
        <v>3426</v>
      </c>
      <c r="F1222" s="8" t="s">
        <v>3834</v>
      </c>
      <c r="G1222" s="8">
        <v>500</v>
      </c>
    </row>
    <row r="1223" spans="1:7" ht="16" x14ac:dyDescent="0.2">
      <c r="A1223" t="s">
        <v>3835</v>
      </c>
      <c r="B1223" s="31" t="s">
        <v>3243</v>
      </c>
      <c r="C1223" t="s">
        <v>3835</v>
      </c>
      <c r="D1223" s="8" t="s">
        <v>14</v>
      </c>
      <c r="E1223" s="8" t="s">
        <v>3427</v>
      </c>
      <c r="F1223" s="8" t="s">
        <v>3836</v>
      </c>
      <c r="G1223" s="8">
        <v>500</v>
      </c>
    </row>
    <row r="1224" spans="1:7" ht="16" x14ac:dyDescent="0.2">
      <c r="A1224" t="s">
        <v>3837</v>
      </c>
      <c r="B1224" s="31" t="s">
        <v>3243</v>
      </c>
      <c r="C1224" t="s">
        <v>3837</v>
      </c>
      <c r="D1224" s="8" t="s">
        <v>14</v>
      </c>
      <c r="E1224" s="8" t="s">
        <v>3428</v>
      </c>
      <c r="F1224" s="8" t="s">
        <v>3838</v>
      </c>
      <c r="G1224" s="8">
        <v>500</v>
      </c>
    </row>
    <row r="1225" spans="1:7" x14ac:dyDescent="0.15">
      <c r="A1225" s="8" t="s">
        <v>110</v>
      </c>
      <c r="B1225" s="32" t="s">
        <v>3841</v>
      </c>
      <c r="C1225" s="8" t="s">
        <v>110</v>
      </c>
      <c r="D1225" s="8" t="s">
        <v>14</v>
      </c>
      <c r="E1225" s="8" t="s">
        <v>3845</v>
      </c>
      <c r="F1225" s="8" t="s">
        <v>3846</v>
      </c>
      <c r="G1225" s="8">
        <v>500</v>
      </c>
    </row>
    <row r="1226" spans="1:7" x14ac:dyDescent="0.15">
      <c r="A1226" s="8" t="s">
        <v>3844</v>
      </c>
      <c r="B1226" s="32" t="s">
        <v>3841</v>
      </c>
      <c r="C1226" s="8" t="s">
        <v>3844</v>
      </c>
      <c r="D1226" s="8" t="s">
        <v>14</v>
      </c>
      <c r="E1226" s="8" t="s">
        <v>1934</v>
      </c>
      <c r="F1226" s="8" t="s">
        <v>3847</v>
      </c>
      <c r="G1226" s="8">
        <v>500</v>
      </c>
    </row>
    <row r="1227" spans="1:7" x14ac:dyDescent="0.15">
      <c r="A1227" s="8" t="s">
        <v>3848</v>
      </c>
      <c r="B1227" s="8" t="s">
        <v>58</v>
      </c>
      <c r="C1227" s="8" t="s">
        <v>3848</v>
      </c>
      <c r="D1227" s="8" t="s">
        <v>14</v>
      </c>
      <c r="E1227" s="8" t="s">
        <v>3849</v>
      </c>
      <c r="F1227" s="8" t="s">
        <v>3850</v>
      </c>
      <c r="G1227" s="8">
        <v>500</v>
      </c>
    </row>
    <row r="1228" spans="1:7" x14ac:dyDescent="0.15">
      <c r="A1228" s="8" t="s">
        <v>3912</v>
      </c>
      <c r="B1228" s="8" t="s">
        <v>3943</v>
      </c>
      <c r="C1228" s="8" t="s">
        <v>3912</v>
      </c>
      <c r="D1228" s="8" t="s">
        <v>14</v>
      </c>
      <c r="E1228" s="8" t="s">
        <v>3853</v>
      </c>
      <c r="F1228" s="8" t="s">
        <v>3854</v>
      </c>
      <c r="G1228" s="8">
        <v>500</v>
      </c>
    </row>
    <row r="1229" spans="1:7" x14ac:dyDescent="0.15">
      <c r="A1229" s="8" t="s">
        <v>3913</v>
      </c>
      <c r="B1229" s="8" t="s">
        <v>3943</v>
      </c>
      <c r="C1229" s="8" t="s">
        <v>3913</v>
      </c>
      <c r="D1229" s="8" t="s">
        <v>14</v>
      </c>
      <c r="E1229" s="8" t="s">
        <v>3855</v>
      </c>
      <c r="F1229" s="8" t="s">
        <v>3856</v>
      </c>
      <c r="G1229" s="8">
        <v>500</v>
      </c>
    </row>
    <row r="1230" spans="1:7" x14ac:dyDescent="0.15">
      <c r="A1230" s="8" t="s">
        <v>3914</v>
      </c>
      <c r="B1230" s="8" t="s">
        <v>3943</v>
      </c>
      <c r="C1230" s="8" t="s">
        <v>3914</v>
      </c>
      <c r="D1230" s="8" t="s">
        <v>14</v>
      </c>
      <c r="E1230" s="8" t="s">
        <v>3857</v>
      </c>
      <c r="F1230" s="8" t="s">
        <v>3858</v>
      </c>
      <c r="G1230" s="8">
        <v>500</v>
      </c>
    </row>
    <row r="1231" spans="1:7" x14ac:dyDescent="0.15">
      <c r="A1231" s="8" t="s">
        <v>3922</v>
      </c>
      <c r="B1231" s="8" t="s">
        <v>3943</v>
      </c>
      <c r="C1231" s="8" t="s">
        <v>3922</v>
      </c>
      <c r="D1231" s="8" t="s">
        <v>14</v>
      </c>
      <c r="E1231" s="8" t="s">
        <v>3859</v>
      </c>
      <c r="F1231" s="8" t="s">
        <v>3860</v>
      </c>
      <c r="G1231" s="8">
        <v>500</v>
      </c>
    </row>
    <row r="1232" spans="1:7" x14ac:dyDescent="0.15">
      <c r="A1232" s="8" t="s">
        <v>3915</v>
      </c>
      <c r="B1232" s="8" t="s">
        <v>3943</v>
      </c>
      <c r="C1232" s="8" t="s">
        <v>3915</v>
      </c>
      <c r="D1232" s="8" t="s">
        <v>14</v>
      </c>
      <c r="E1232" s="8" t="s">
        <v>3861</v>
      </c>
      <c r="F1232" s="8" t="s">
        <v>3862</v>
      </c>
      <c r="G1232" s="8">
        <v>500</v>
      </c>
    </row>
    <row r="1233" spans="1:7" x14ac:dyDescent="0.15">
      <c r="A1233" s="8" t="s">
        <v>3916</v>
      </c>
      <c r="B1233" s="8" t="s">
        <v>3943</v>
      </c>
      <c r="C1233" s="8" t="s">
        <v>3916</v>
      </c>
      <c r="D1233" s="8" t="s">
        <v>14</v>
      </c>
      <c r="E1233" s="8" t="s">
        <v>3863</v>
      </c>
      <c r="F1233" s="8" t="s">
        <v>3864</v>
      </c>
      <c r="G1233" s="8">
        <v>500</v>
      </c>
    </row>
    <row r="1234" spans="1:7" x14ac:dyDescent="0.15">
      <c r="A1234" s="8" t="s">
        <v>3917</v>
      </c>
      <c r="B1234" s="8" t="s">
        <v>3943</v>
      </c>
      <c r="C1234" s="8" t="s">
        <v>3917</v>
      </c>
      <c r="D1234" s="8" t="s">
        <v>14</v>
      </c>
      <c r="E1234" s="8" t="s">
        <v>3865</v>
      </c>
      <c r="F1234" s="8" t="s">
        <v>3866</v>
      </c>
      <c r="G1234" s="8">
        <v>500</v>
      </c>
    </row>
    <row r="1235" spans="1:7" x14ac:dyDescent="0.15">
      <c r="A1235" s="8" t="s">
        <v>3918</v>
      </c>
      <c r="B1235" s="8" t="s">
        <v>3943</v>
      </c>
      <c r="C1235" s="8" t="s">
        <v>3918</v>
      </c>
      <c r="D1235" s="8" t="s">
        <v>14</v>
      </c>
      <c r="E1235" s="8" t="s">
        <v>3867</v>
      </c>
      <c r="F1235" s="8" t="s">
        <v>3868</v>
      </c>
      <c r="G1235" s="8">
        <v>500</v>
      </c>
    </row>
    <row r="1236" spans="1:7" x14ac:dyDescent="0.15">
      <c r="A1236" s="8" t="s">
        <v>3919</v>
      </c>
      <c r="B1236" s="8" t="s">
        <v>3943</v>
      </c>
      <c r="C1236" s="8" t="s">
        <v>3919</v>
      </c>
      <c r="D1236" s="8" t="s">
        <v>14</v>
      </c>
      <c r="E1236" s="8" t="s">
        <v>3869</v>
      </c>
      <c r="F1236" s="8" t="s">
        <v>3870</v>
      </c>
      <c r="G1236" s="8">
        <v>500</v>
      </c>
    </row>
    <row r="1237" spans="1:7" x14ac:dyDescent="0.15">
      <c r="A1237" s="8" t="s">
        <v>3920</v>
      </c>
      <c r="B1237" s="8" t="s">
        <v>3943</v>
      </c>
      <c r="C1237" s="8" t="s">
        <v>3920</v>
      </c>
      <c r="D1237" s="8" t="s">
        <v>14</v>
      </c>
      <c r="E1237" s="8" t="s">
        <v>3871</v>
      </c>
      <c r="F1237" s="8" t="s">
        <v>3872</v>
      </c>
      <c r="G1237" s="8">
        <v>500</v>
      </c>
    </row>
    <row r="1238" spans="1:7" x14ac:dyDescent="0.15">
      <c r="A1238" s="8" t="s">
        <v>3921</v>
      </c>
      <c r="B1238" s="8" t="s">
        <v>3943</v>
      </c>
      <c r="C1238" s="8" t="s">
        <v>3921</v>
      </c>
      <c r="D1238" s="8" t="s">
        <v>14</v>
      </c>
      <c r="E1238" s="8" t="s">
        <v>3873</v>
      </c>
      <c r="F1238" s="8" t="s">
        <v>3874</v>
      </c>
      <c r="G1238" s="8">
        <v>500</v>
      </c>
    </row>
    <row r="1239" spans="1:7" x14ac:dyDescent="0.15">
      <c r="A1239" s="8" t="s">
        <v>3923</v>
      </c>
      <c r="B1239" s="8" t="s">
        <v>3943</v>
      </c>
      <c r="C1239" s="8" t="s">
        <v>3923</v>
      </c>
      <c r="D1239" s="8" t="s">
        <v>14</v>
      </c>
      <c r="E1239" s="8" t="s">
        <v>3875</v>
      </c>
      <c r="F1239" s="8" t="s">
        <v>3876</v>
      </c>
      <c r="G1239" s="8">
        <v>500</v>
      </c>
    </row>
    <row r="1240" spans="1:7" x14ac:dyDescent="0.15">
      <c r="A1240" s="8" t="s">
        <v>3924</v>
      </c>
      <c r="B1240" s="8" t="s">
        <v>3943</v>
      </c>
      <c r="C1240" s="8" t="s">
        <v>3924</v>
      </c>
      <c r="D1240" s="8" t="s">
        <v>14</v>
      </c>
      <c r="E1240" s="8" t="s">
        <v>3877</v>
      </c>
      <c r="F1240" s="8" t="s">
        <v>3878</v>
      </c>
      <c r="G1240" s="8">
        <v>500</v>
      </c>
    </row>
    <row r="1241" spans="1:7" x14ac:dyDescent="0.15">
      <c r="A1241" s="8" t="s">
        <v>3925</v>
      </c>
      <c r="B1241" s="8" t="s">
        <v>3943</v>
      </c>
      <c r="C1241" s="8" t="s">
        <v>3925</v>
      </c>
      <c r="D1241" s="8" t="s">
        <v>14</v>
      </c>
      <c r="E1241" s="8" t="s">
        <v>3879</v>
      </c>
      <c r="F1241" s="8" t="s">
        <v>3880</v>
      </c>
      <c r="G1241" s="8">
        <v>500</v>
      </c>
    </row>
    <row r="1242" spans="1:7" x14ac:dyDescent="0.15">
      <c r="A1242" s="8" t="s">
        <v>3926</v>
      </c>
      <c r="B1242" s="8" t="s">
        <v>3943</v>
      </c>
      <c r="C1242" s="8" t="s">
        <v>3926</v>
      </c>
      <c r="D1242" s="8" t="s">
        <v>14</v>
      </c>
      <c r="E1242" s="8" t="s">
        <v>3881</v>
      </c>
      <c r="F1242" s="8" t="s">
        <v>3882</v>
      </c>
      <c r="G1242" s="8">
        <v>500</v>
      </c>
    </row>
    <row r="1243" spans="1:7" x14ac:dyDescent="0.15">
      <c r="A1243" s="8" t="s">
        <v>3927</v>
      </c>
      <c r="B1243" s="8" t="s">
        <v>3943</v>
      </c>
      <c r="C1243" s="8" t="s">
        <v>3927</v>
      </c>
      <c r="D1243" s="8" t="s">
        <v>14</v>
      </c>
      <c r="E1243" s="8" t="s">
        <v>3883</v>
      </c>
      <c r="F1243" s="8" t="s">
        <v>3884</v>
      </c>
      <c r="G1243" s="8">
        <v>500</v>
      </c>
    </row>
    <row r="1244" spans="1:7" x14ac:dyDescent="0.15">
      <c r="A1244" s="8" t="s">
        <v>3928</v>
      </c>
      <c r="B1244" s="8" t="s">
        <v>3943</v>
      </c>
      <c r="C1244" s="8" t="s">
        <v>3928</v>
      </c>
      <c r="D1244" s="8" t="s">
        <v>14</v>
      </c>
      <c r="E1244" s="8" t="s">
        <v>3885</v>
      </c>
      <c r="F1244" s="8" t="s">
        <v>3886</v>
      </c>
      <c r="G1244" s="8">
        <v>500</v>
      </c>
    </row>
    <row r="1245" spans="1:7" x14ac:dyDescent="0.15">
      <c r="A1245" s="8" t="s">
        <v>3929</v>
      </c>
      <c r="B1245" s="8" t="s">
        <v>3943</v>
      </c>
      <c r="C1245" s="8" t="s">
        <v>3929</v>
      </c>
      <c r="D1245" s="8" t="s">
        <v>14</v>
      </c>
      <c r="E1245" s="8" t="s">
        <v>3887</v>
      </c>
      <c r="F1245" s="8" t="s">
        <v>3888</v>
      </c>
      <c r="G1245" s="8">
        <v>500</v>
      </c>
    </row>
    <row r="1246" spans="1:7" x14ac:dyDescent="0.15">
      <c r="A1246" s="8" t="s">
        <v>3930</v>
      </c>
      <c r="B1246" s="8" t="s">
        <v>3943</v>
      </c>
      <c r="C1246" s="8" t="s">
        <v>3930</v>
      </c>
      <c r="D1246" s="8" t="s">
        <v>14</v>
      </c>
      <c r="E1246" s="8" t="s">
        <v>3889</v>
      </c>
      <c r="F1246" s="8" t="s">
        <v>3890</v>
      </c>
      <c r="G1246" s="8">
        <v>500</v>
      </c>
    </row>
    <row r="1247" spans="1:7" x14ac:dyDescent="0.15">
      <c r="A1247" s="8" t="s">
        <v>3931</v>
      </c>
      <c r="B1247" s="8" t="s">
        <v>3943</v>
      </c>
      <c r="C1247" s="8" t="s">
        <v>3931</v>
      </c>
      <c r="D1247" s="8" t="s">
        <v>14</v>
      </c>
      <c r="E1247" s="8" t="s">
        <v>3891</v>
      </c>
      <c r="F1247" s="8" t="s">
        <v>3892</v>
      </c>
      <c r="G1247" s="8">
        <v>500</v>
      </c>
    </row>
    <row r="1248" spans="1:7" x14ac:dyDescent="0.15">
      <c r="A1248" s="8" t="s">
        <v>3932</v>
      </c>
      <c r="B1248" s="8" t="s">
        <v>3943</v>
      </c>
      <c r="C1248" s="8" t="s">
        <v>3932</v>
      </c>
      <c r="D1248" s="8" t="s">
        <v>14</v>
      </c>
      <c r="E1248" s="8" t="s">
        <v>3893</v>
      </c>
      <c r="F1248" s="8" t="s">
        <v>3894</v>
      </c>
      <c r="G1248" s="8">
        <v>500</v>
      </c>
    </row>
    <row r="1249" spans="1:7" x14ac:dyDescent="0.15">
      <c r="A1249" s="8" t="s">
        <v>3933</v>
      </c>
      <c r="B1249" s="8" t="s">
        <v>3943</v>
      </c>
      <c r="C1249" s="8" t="s">
        <v>3933</v>
      </c>
      <c r="D1249" s="8" t="s">
        <v>14</v>
      </c>
      <c r="E1249" s="8" t="s">
        <v>3895</v>
      </c>
      <c r="F1249" s="8" t="s">
        <v>3896</v>
      </c>
      <c r="G1249" s="8">
        <v>500</v>
      </c>
    </row>
    <row r="1250" spans="1:7" x14ac:dyDescent="0.15">
      <c r="A1250" s="8" t="s">
        <v>3934</v>
      </c>
      <c r="B1250" s="8" t="s">
        <v>3943</v>
      </c>
      <c r="C1250" s="8" t="s">
        <v>3934</v>
      </c>
      <c r="D1250" s="8" t="s">
        <v>14</v>
      </c>
      <c r="E1250" s="8" t="s">
        <v>3897</v>
      </c>
      <c r="F1250" s="8" t="s">
        <v>3898</v>
      </c>
      <c r="G1250" s="8">
        <v>500</v>
      </c>
    </row>
    <row r="1251" spans="1:7" x14ac:dyDescent="0.15">
      <c r="A1251" s="8" t="s">
        <v>3935</v>
      </c>
      <c r="B1251" s="8" t="s">
        <v>3943</v>
      </c>
      <c r="C1251" s="8" t="s">
        <v>3935</v>
      </c>
      <c r="D1251" s="8" t="s">
        <v>14</v>
      </c>
      <c r="E1251" s="8" t="s">
        <v>3899</v>
      </c>
      <c r="F1251" s="8" t="s">
        <v>3900</v>
      </c>
      <c r="G1251" s="8">
        <v>500</v>
      </c>
    </row>
    <row r="1252" spans="1:7" x14ac:dyDescent="0.15">
      <c r="A1252" s="8" t="s">
        <v>3936</v>
      </c>
      <c r="B1252" s="8" t="s">
        <v>3943</v>
      </c>
      <c r="C1252" s="8" t="s">
        <v>3936</v>
      </c>
      <c r="D1252" s="8" t="s">
        <v>14</v>
      </c>
      <c r="E1252" s="8" t="s">
        <v>3901</v>
      </c>
      <c r="F1252" s="8" t="s">
        <v>3902</v>
      </c>
      <c r="G1252" s="8">
        <v>500</v>
      </c>
    </row>
    <row r="1253" spans="1:7" x14ac:dyDescent="0.15">
      <c r="A1253" s="8" t="s">
        <v>3937</v>
      </c>
      <c r="B1253" s="8" t="s">
        <v>3943</v>
      </c>
      <c r="C1253" s="8" t="s">
        <v>3937</v>
      </c>
      <c r="D1253" s="8" t="s">
        <v>14</v>
      </c>
      <c r="E1253" s="8" t="s">
        <v>3903</v>
      </c>
      <c r="F1253" s="8" t="s">
        <v>3904</v>
      </c>
      <c r="G1253" s="8">
        <v>500</v>
      </c>
    </row>
    <row r="1254" spans="1:7" x14ac:dyDescent="0.15">
      <c r="A1254" s="8" t="s">
        <v>3938</v>
      </c>
      <c r="B1254" s="8" t="s">
        <v>3943</v>
      </c>
      <c r="C1254" s="8" t="s">
        <v>3938</v>
      </c>
      <c r="D1254" s="8" t="s">
        <v>14</v>
      </c>
      <c r="E1254" s="8" t="s">
        <v>3905</v>
      </c>
      <c r="F1254" s="8" t="s">
        <v>3906</v>
      </c>
      <c r="G1254" s="8">
        <v>500</v>
      </c>
    </row>
    <row r="1255" spans="1:7" x14ac:dyDescent="0.15">
      <c r="A1255" s="8" t="s">
        <v>3939</v>
      </c>
      <c r="B1255" s="8" t="s">
        <v>3943</v>
      </c>
      <c r="C1255" s="8" t="s">
        <v>3939</v>
      </c>
      <c r="D1255" s="8" t="s">
        <v>14</v>
      </c>
      <c r="E1255" s="8" t="s">
        <v>3940</v>
      </c>
      <c r="F1255" s="8" t="s">
        <v>3907</v>
      </c>
      <c r="G1255" s="8">
        <v>500</v>
      </c>
    </row>
    <row r="1256" spans="1:7" x14ac:dyDescent="0.15">
      <c r="A1256" s="8" t="s">
        <v>3941</v>
      </c>
      <c r="B1256" s="8" t="s">
        <v>3943</v>
      </c>
      <c r="C1256" s="8" t="s">
        <v>3941</v>
      </c>
      <c r="D1256" s="8" t="s">
        <v>14</v>
      </c>
      <c r="E1256" s="8" t="s">
        <v>3908</v>
      </c>
      <c r="F1256" s="8" t="s">
        <v>3909</v>
      </c>
      <c r="G1256" s="8">
        <v>500</v>
      </c>
    </row>
    <row r="1257" spans="1:7" x14ac:dyDescent="0.15">
      <c r="A1257" s="8" t="s">
        <v>3942</v>
      </c>
      <c r="B1257" s="8" t="s">
        <v>3943</v>
      </c>
      <c r="C1257" s="8" t="s">
        <v>3942</v>
      </c>
      <c r="D1257" s="8" t="s">
        <v>14</v>
      </c>
      <c r="E1257" s="8" t="s">
        <v>3910</v>
      </c>
      <c r="F1257" s="8" t="s">
        <v>3911</v>
      </c>
      <c r="G1257" s="8">
        <v>500</v>
      </c>
    </row>
    <row r="1258" spans="1:7" x14ac:dyDescent="0.15">
      <c r="A1258" s="8" t="s">
        <v>3953</v>
      </c>
      <c r="B1258" s="8" t="s">
        <v>3951</v>
      </c>
      <c r="C1258" s="8" t="s">
        <v>3953</v>
      </c>
      <c r="D1258" s="8" t="s">
        <v>3953</v>
      </c>
      <c r="E1258" s="8" t="s">
        <v>3954</v>
      </c>
      <c r="F1258" s="8" t="s">
        <v>3955</v>
      </c>
      <c r="G1258" s="8">
        <v>500</v>
      </c>
    </row>
    <row r="1259" spans="1:7" x14ac:dyDescent="0.15">
      <c r="A1259" s="8" t="s">
        <v>3956</v>
      </c>
      <c r="B1259" s="8" t="s">
        <v>3951</v>
      </c>
      <c r="C1259" s="8" t="s">
        <v>3956</v>
      </c>
      <c r="D1259" s="8" t="s">
        <v>3957</v>
      </c>
      <c r="E1259" s="8" t="s">
        <v>3958</v>
      </c>
      <c r="F1259" s="8" t="s">
        <v>3959</v>
      </c>
      <c r="G1259" s="8">
        <v>500</v>
      </c>
    </row>
    <row r="1260" spans="1:7" x14ac:dyDescent="0.15">
      <c r="A1260" s="8" t="s">
        <v>3960</v>
      </c>
      <c r="B1260" s="8" t="s">
        <v>3951</v>
      </c>
      <c r="C1260" s="8" t="s">
        <v>3960</v>
      </c>
      <c r="D1260" s="8" t="s">
        <v>3960</v>
      </c>
      <c r="E1260" s="8" t="s">
        <v>3961</v>
      </c>
      <c r="F1260" s="8" t="s">
        <v>3962</v>
      </c>
      <c r="G1260" s="8">
        <v>500</v>
      </c>
    </row>
    <row r="1261" spans="1:7" x14ac:dyDescent="0.15">
      <c r="A1261" t="s">
        <v>4109</v>
      </c>
      <c r="B1261" s="30" t="s">
        <v>4061</v>
      </c>
      <c r="C1261" t="s">
        <v>4109</v>
      </c>
      <c r="D1261" s="8" t="s">
        <v>14</v>
      </c>
      <c r="E1261" t="s">
        <v>3973</v>
      </c>
      <c r="F1261" t="s">
        <v>3974</v>
      </c>
      <c r="G1261">
        <v>500</v>
      </c>
    </row>
    <row r="1262" spans="1:7" x14ac:dyDescent="0.15">
      <c r="A1262" t="s">
        <v>4110</v>
      </c>
      <c r="B1262" s="30" t="s">
        <v>4061</v>
      </c>
      <c r="C1262" t="s">
        <v>4110</v>
      </c>
      <c r="D1262" s="8" t="s">
        <v>14</v>
      </c>
      <c r="E1262" t="s">
        <v>3975</v>
      </c>
      <c r="F1262" t="s">
        <v>3976</v>
      </c>
      <c r="G1262">
        <v>500</v>
      </c>
    </row>
    <row r="1263" spans="1:7" x14ac:dyDescent="0.15">
      <c r="A1263" t="s">
        <v>4111</v>
      </c>
      <c r="B1263" s="30" t="s">
        <v>4061</v>
      </c>
      <c r="C1263" t="s">
        <v>4111</v>
      </c>
      <c r="D1263" s="8" t="s">
        <v>14</v>
      </c>
      <c r="E1263" t="s">
        <v>4112</v>
      </c>
      <c r="F1263" t="s">
        <v>3977</v>
      </c>
      <c r="G1263">
        <v>500</v>
      </c>
    </row>
    <row r="1264" spans="1:7" x14ac:dyDescent="0.15">
      <c r="A1264" t="s">
        <v>3978</v>
      </c>
      <c r="B1264" s="8" t="s">
        <v>4061</v>
      </c>
      <c r="C1264" t="s">
        <v>3978</v>
      </c>
      <c r="D1264" s="8" t="s">
        <v>14</v>
      </c>
      <c r="E1264" t="s">
        <v>3978</v>
      </c>
      <c r="F1264" t="s">
        <v>3979</v>
      </c>
      <c r="G1264">
        <v>500</v>
      </c>
    </row>
    <row r="1265" spans="1:1008" x14ac:dyDescent="0.15">
      <c r="A1265" t="s">
        <v>4101</v>
      </c>
      <c r="B1265" s="8" t="s">
        <v>4061</v>
      </c>
      <c r="C1265" t="s">
        <v>3980</v>
      </c>
      <c r="D1265" s="8" t="s">
        <v>14</v>
      </c>
      <c r="E1265" t="s">
        <v>3980</v>
      </c>
      <c r="F1265" t="s">
        <v>3981</v>
      </c>
      <c r="G1265">
        <v>600</v>
      </c>
    </row>
    <row r="1266" spans="1:1008" x14ac:dyDescent="0.15">
      <c r="A1266" t="s">
        <v>4100</v>
      </c>
      <c r="B1266" s="8" t="s">
        <v>4061</v>
      </c>
      <c r="C1266" t="s">
        <v>3982</v>
      </c>
      <c r="D1266" s="8" t="s">
        <v>14</v>
      </c>
      <c r="E1266" t="s">
        <v>3982</v>
      </c>
      <c r="F1266" t="s">
        <v>3983</v>
      </c>
      <c r="G1266">
        <v>450</v>
      </c>
    </row>
    <row r="1267" spans="1:1008" x14ac:dyDescent="0.15">
      <c r="A1267" t="s">
        <v>4102</v>
      </c>
      <c r="B1267" s="8" t="s">
        <v>4062</v>
      </c>
      <c r="C1267" t="s">
        <v>4102</v>
      </c>
      <c r="D1267" s="8" t="s">
        <v>14</v>
      </c>
      <c r="E1267" t="s">
        <v>3985</v>
      </c>
      <c r="F1267" t="s">
        <v>3986</v>
      </c>
      <c r="G1267">
        <v>500</v>
      </c>
    </row>
    <row r="1268" spans="1:1008" x14ac:dyDescent="0.15">
      <c r="A1268" t="s">
        <v>4103</v>
      </c>
      <c r="B1268" s="8" t="s">
        <v>4062</v>
      </c>
      <c r="C1268" t="s">
        <v>4103</v>
      </c>
      <c r="D1268" s="8" t="s">
        <v>14</v>
      </c>
      <c r="E1268" t="s">
        <v>3987</v>
      </c>
      <c r="F1268" t="s">
        <v>3988</v>
      </c>
      <c r="G1268">
        <v>550</v>
      </c>
    </row>
    <row r="1269" spans="1:1008" x14ac:dyDescent="0.15">
      <c r="A1269" t="s">
        <v>4104</v>
      </c>
      <c r="B1269" s="8" t="s">
        <v>4062</v>
      </c>
      <c r="C1269" t="s">
        <v>4104</v>
      </c>
      <c r="D1269" s="8" t="s">
        <v>14</v>
      </c>
      <c r="E1269" t="s">
        <v>3989</v>
      </c>
      <c r="F1269" t="s">
        <v>3990</v>
      </c>
      <c r="G1269">
        <v>500</v>
      </c>
    </row>
    <row r="1270" spans="1:1008" x14ac:dyDescent="0.15">
      <c r="A1270" t="s">
        <v>3992</v>
      </c>
      <c r="B1270" s="8" t="s">
        <v>4063</v>
      </c>
      <c r="C1270" t="s">
        <v>3992</v>
      </c>
      <c r="D1270" s="8" t="s">
        <v>14</v>
      </c>
      <c r="E1270" t="s">
        <v>3992</v>
      </c>
      <c r="F1270" t="s">
        <v>3993</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3994</v>
      </c>
      <c r="B1271" s="8" t="s">
        <v>4063</v>
      </c>
      <c r="C1271" t="s">
        <v>3994</v>
      </c>
      <c r="D1271" s="8" t="s">
        <v>14</v>
      </c>
      <c r="E1271" t="s">
        <v>3994</v>
      </c>
      <c r="F1271" t="s">
        <v>3995</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3996</v>
      </c>
      <c r="B1272" s="8" t="s">
        <v>4063</v>
      </c>
      <c r="C1272" t="s">
        <v>3996</v>
      </c>
      <c r="D1272" s="8" t="s">
        <v>14</v>
      </c>
      <c r="E1272" t="s">
        <v>3996</v>
      </c>
      <c r="F1272" t="s">
        <v>3997</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3998</v>
      </c>
      <c r="B1273" s="8" t="s">
        <v>4063</v>
      </c>
      <c r="C1273" t="s">
        <v>3998</v>
      </c>
      <c r="D1273" s="8" t="s">
        <v>14</v>
      </c>
      <c r="E1273" t="s">
        <v>3998</v>
      </c>
      <c r="F1273" t="s">
        <v>3999</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4000</v>
      </c>
      <c r="B1274" s="8" t="s">
        <v>4063</v>
      </c>
      <c r="C1274" t="s">
        <v>4000</v>
      </c>
      <c r="D1274" s="8" t="s">
        <v>14</v>
      </c>
      <c r="E1274" t="s">
        <v>4000</v>
      </c>
      <c r="F1274" t="s">
        <v>4001</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4002</v>
      </c>
      <c r="B1275" s="8" t="s">
        <v>4063</v>
      </c>
      <c r="C1275" t="s">
        <v>4002</v>
      </c>
      <c r="D1275" s="8" t="s">
        <v>14</v>
      </c>
      <c r="E1275" t="s">
        <v>4002</v>
      </c>
      <c r="F1275" t="s">
        <v>4003</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4004</v>
      </c>
      <c r="B1276" s="8" t="s">
        <v>4065</v>
      </c>
      <c r="C1276" t="s">
        <v>4004</v>
      </c>
      <c r="D1276" s="8" t="s">
        <v>14</v>
      </c>
      <c r="E1276" t="s">
        <v>4004</v>
      </c>
      <c r="F1276" t="s">
        <v>4005</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4006</v>
      </c>
      <c r="B1277" s="8" t="s">
        <v>4065</v>
      </c>
      <c r="C1277" t="s">
        <v>4006</v>
      </c>
      <c r="D1277" s="8" t="s">
        <v>14</v>
      </c>
      <c r="E1277" t="s">
        <v>4006</v>
      </c>
      <c r="F1277" t="s">
        <v>4007</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4008</v>
      </c>
      <c r="B1278" s="8" t="s">
        <v>4065</v>
      </c>
      <c r="C1278" t="s">
        <v>4008</v>
      </c>
      <c r="D1278" s="8" t="s">
        <v>14</v>
      </c>
      <c r="E1278" t="s">
        <v>4008</v>
      </c>
      <c r="F1278" t="s">
        <v>4009</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4010</v>
      </c>
      <c r="B1279" s="8" t="s">
        <v>4065</v>
      </c>
      <c r="C1279" t="s">
        <v>4010</v>
      </c>
      <c r="D1279" s="8" t="s">
        <v>14</v>
      </c>
      <c r="E1279" t="s">
        <v>4010</v>
      </c>
      <c r="F1279" t="s">
        <v>4011</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4012</v>
      </c>
      <c r="B1280" s="8" t="s">
        <v>4066</v>
      </c>
      <c r="C1280" t="s">
        <v>4123</v>
      </c>
      <c r="D1280" s="8" t="s">
        <v>14</v>
      </c>
      <c r="E1280" t="s">
        <v>4123</v>
      </c>
      <c r="F1280" t="s">
        <v>4013</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4073</v>
      </c>
      <c r="B1281" s="8" t="s">
        <v>4066</v>
      </c>
      <c r="C1281" t="s">
        <v>4073</v>
      </c>
      <c r="D1281" s="8" t="s">
        <v>14</v>
      </c>
      <c r="E1281" t="s">
        <v>4074</v>
      </c>
      <c r="F1281" s="8" t="s">
        <v>4075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4014</v>
      </c>
      <c r="B1282" s="8" t="s">
        <v>3968</v>
      </c>
      <c r="C1282" t="s">
        <v>4014</v>
      </c>
      <c r="D1282" s="8" t="s">
        <v>14</v>
      </c>
      <c r="E1282" t="s">
        <v>4014</v>
      </c>
      <c r="F1282" t="s">
        <v>4015</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4105</v>
      </c>
      <c r="B1283" s="8" t="s">
        <v>3968</v>
      </c>
      <c r="C1283" t="s">
        <v>4016</v>
      </c>
      <c r="D1283" s="8" t="s">
        <v>14</v>
      </c>
      <c r="E1283" t="s">
        <v>4016</v>
      </c>
      <c r="F1283" t="s">
        <v>4017</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4019</v>
      </c>
      <c r="B1284" s="8" t="s">
        <v>3966</v>
      </c>
      <c r="C1284" t="s">
        <v>4019</v>
      </c>
      <c r="D1284" s="8" t="s">
        <v>14</v>
      </c>
      <c r="E1284" t="s">
        <v>4019</v>
      </c>
      <c r="F1284" t="s">
        <v>4020</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4021</v>
      </c>
      <c r="B1285" s="8" t="s">
        <v>3966</v>
      </c>
      <c r="C1285" t="s">
        <v>4021</v>
      </c>
      <c r="D1285" s="8" t="s">
        <v>14</v>
      </c>
      <c r="E1285" t="s">
        <v>4021</v>
      </c>
      <c r="F1285" t="s">
        <v>4022</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4023</v>
      </c>
      <c r="B1286" s="8" t="s">
        <v>3971</v>
      </c>
      <c r="C1286" t="s">
        <v>4023</v>
      </c>
      <c r="D1286" s="8" t="s">
        <v>14</v>
      </c>
      <c r="E1286" t="s">
        <v>4023</v>
      </c>
      <c r="F1286" t="s">
        <v>4024</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4025</v>
      </c>
      <c r="B1287" s="8" t="s">
        <v>3971</v>
      </c>
      <c r="C1287" t="s">
        <v>4025</v>
      </c>
      <c r="D1287" s="8" t="s">
        <v>14</v>
      </c>
      <c r="E1287" t="s">
        <v>4025</v>
      </c>
      <c r="F1287" t="s">
        <v>4026</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4027</v>
      </c>
      <c r="B1288" s="8" t="s">
        <v>3971</v>
      </c>
      <c r="C1288" t="s">
        <v>4027</v>
      </c>
      <c r="D1288" s="8" t="s">
        <v>14</v>
      </c>
      <c r="E1288" t="s">
        <v>4027</v>
      </c>
      <c r="F1288" t="s">
        <v>4028</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4029</v>
      </c>
      <c r="B1289" s="8" t="s">
        <v>3971</v>
      </c>
      <c r="C1289" t="s">
        <v>4029</v>
      </c>
      <c r="D1289" s="8" t="s">
        <v>14</v>
      </c>
      <c r="E1289" t="s">
        <v>4029</v>
      </c>
      <c r="F1289" t="s">
        <v>4030</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2243</v>
      </c>
      <c r="B1290" s="8" t="s">
        <v>3971</v>
      </c>
      <c r="C1290" t="s">
        <v>2243</v>
      </c>
      <c r="D1290" s="8" t="s">
        <v>14</v>
      </c>
      <c r="E1290" t="s">
        <v>2243</v>
      </c>
      <c r="F1290" t="s">
        <v>4031</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4059</v>
      </c>
      <c r="B1291" s="8" t="s">
        <v>3971</v>
      </c>
      <c r="C1291" t="s">
        <v>4059</v>
      </c>
      <c r="D1291" s="8" t="s">
        <v>14</v>
      </c>
      <c r="E1291" t="s">
        <v>4059</v>
      </c>
      <c r="F1291" t="s">
        <v>4060</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4033</v>
      </c>
      <c r="B1292" s="8" t="s">
        <v>4067</v>
      </c>
      <c r="C1292" t="s">
        <v>4033</v>
      </c>
      <c r="D1292" s="8" t="s">
        <v>14</v>
      </c>
      <c r="E1292" t="s">
        <v>4033</v>
      </c>
      <c r="F1292" t="s">
        <v>4034</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4035</v>
      </c>
      <c r="B1293" s="8" t="s">
        <v>4067</v>
      </c>
      <c r="C1293" t="s">
        <v>4035</v>
      </c>
      <c r="D1293" s="8" t="s">
        <v>14</v>
      </c>
      <c r="E1293" t="s">
        <v>4035</v>
      </c>
      <c r="F1293" t="s">
        <v>4036</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4037</v>
      </c>
      <c r="B1294" s="8" t="s">
        <v>4067</v>
      </c>
      <c r="C1294" t="s">
        <v>4037</v>
      </c>
      <c r="D1294" s="8" t="s">
        <v>14</v>
      </c>
      <c r="E1294" t="s">
        <v>4037</v>
      </c>
      <c r="F1294" t="s">
        <v>4038</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4039</v>
      </c>
      <c r="B1295" s="8" t="s">
        <v>4068</v>
      </c>
      <c r="C1295" t="s">
        <v>4039</v>
      </c>
      <c r="D1295" s="8" t="s">
        <v>14</v>
      </c>
      <c r="E1295" t="s">
        <v>4039</v>
      </c>
      <c r="F1295" t="s">
        <v>4040</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4041</v>
      </c>
      <c r="B1296" s="8" t="s">
        <v>4068</v>
      </c>
      <c r="C1296" t="s">
        <v>4041</v>
      </c>
      <c r="D1296" s="8" t="s">
        <v>14</v>
      </c>
      <c r="E1296" t="s">
        <v>4041</v>
      </c>
      <c r="F1296" t="s">
        <v>4042</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4113</v>
      </c>
      <c r="B1297" s="8" t="s">
        <v>4068</v>
      </c>
      <c r="C1297" t="s">
        <v>4113</v>
      </c>
      <c r="D1297" s="8" t="s">
        <v>14</v>
      </c>
      <c r="E1297" t="s">
        <v>4043</v>
      </c>
      <c r="F1297" t="s">
        <v>4044</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4114</v>
      </c>
      <c r="B1298" s="8" t="s">
        <v>4068</v>
      </c>
      <c r="C1298" t="s">
        <v>4114</v>
      </c>
      <c r="D1298" s="8" t="s">
        <v>14</v>
      </c>
      <c r="E1298" t="s">
        <v>4045</v>
      </c>
      <c r="F1298" t="s">
        <v>4046</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4100</v>
      </c>
      <c r="B1299" s="8" t="s">
        <v>1163</v>
      </c>
      <c r="C1299" t="s">
        <v>4100</v>
      </c>
      <c r="D1299" s="8" t="s">
        <v>14</v>
      </c>
      <c r="E1299" t="s">
        <v>3982</v>
      </c>
      <c r="F1299" t="s">
        <v>3983</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4106</v>
      </c>
      <c r="B1300" s="8" t="s">
        <v>1163</v>
      </c>
      <c r="C1300" t="s">
        <v>4106</v>
      </c>
      <c r="D1300" s="8" t="s">
        <v>14</v>
      </c>
      <c r="E1300" t="s">
        <v>4048</v>
      </c>
      <c r="F1300" t="s">
        <v>4049</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4107</v>
      </c>
      <c r="B1301" s="8" t="s">
        <v>1163</v>
      </c>
      <c r="C1301" t="s">
        <v>4107</v>
      </c>
      <c r="D1301" s="8" t="s">
        <v>14</v>
      </c>
      <c r="E1301" t="s">
        <v>4108</v>
      </c>
      <c r="F1301" t="s">
        <v>4050</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4052</v>
      </c>
      <c r="B1302" s="8" t="s">
        <v>4069</v>
      </c>
      <c r="C1302" t="s">
        <v>4052</v>
      </c>
      <c r="D1302" s="8" t="s">
        <v>14</v>
      </c>
      <c r="E1302" t="s">
        <v>4052</v>
      </c>
      <c r="F1302" t="s">
        <v>4053</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3994</v>
      </c>
      <c r="B1303" s="8" t="s">
        <v>4070</v>
      </c>
      <c r="C1303" t="s">
        <v>3994</v>
      </c>
      <c r="D1303" s="8" t="s">
        <v>14</v>
      </c>
      <c r="E1303" t="s">
        <v>3994</v>
      </c>
      <c r="F1303" t="s">
        <v>3995</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3996</v>
      </c>
      <c r="B1304" s="8" t="s">
        <v>4070</v>
      </c>
      <c r="C1304" t="s">
        <v>3996</v>
      </c>
      <c r="D1304" s="8" t="s">
        <v>14</v>
      </c>
      <c r="E1304" t="s">
        <v>3996</v>
      </c>
      <c r="F1304" t="s">
        <v>3997</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4000</v>
      </c>
      <c r="B1305" s="8" t="s">
        <v>4070</v>
      </c>
      <c r="C1305" t="s">
        <v>4000</v>
      </c>
      <c r="D1305" s="8" t="s">
        <v>14</v>
      </c>
      <c r="E1305" t="s">
        <v>4000</v>
      </c>
      <c r="F1305" t="s">
        <v>4001</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4002</v>
      </c>
      <c r="B1306" s="8" t="s">
        <v>4070</v>
      </c>
      <c r="C1306" t="s">
        <v>4002</v>
      </c>
      <c r="D1306" s="8" t="s">
        <v>14</v>
      </c>
      <c r="E1306" t="s">
        <v>4002</v>
      </c>
      <c r="F1306" t="s">
        <v>4003</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2243</v>
      </c>
      <c r="B1307" s="8" t="s">
        <v>4071</v>
      </c>
      <c r="C1307" t="s">
        <v>2243</v>
      </c>
      <c r="D1307" s="8" t="s">
        <v>14</v>
      </c>
      <c r="E1307" t="s">
        <v>2243</v>
      </c>
      <c r="F1307" t="s">
        <v>4056</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4057</v>
      </c>
      <c r="B1308" s="8" t="s">
        <v>4071</v>
      </c>
      <c r="C1308" t="s">
        <v>4057</v>
      </c>
      <c r="D1308" s="8" t="s">
        <v>14</v>
      </c>
      <c r="E1308" t="s">
        <v>4057</v>
      </c>
      <c r="F1308" t="s">
        <v>4058</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2246</v>
      </c>
      <c r="B1309" s="8" t="s">
        <v>4071</v>
      </c>
      <c r="C1309" t="s">
        <v>2246</v>
      </c>
      <c r="D1309" s="8" t="s">
        <v>14</v>
      </c>
      <c r="E1309" t="s">
        <v>2246</v>
      </c>
      <c r="F1309" t="s">
        <v>2247</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2249</v>
      </c>
      <c r="B1310" s="8" t="s">
        <v>4071</v>
      </c>
      <c r="C1310" t="s">
        <v>2249</v>
      </c>
      <c r="D1310" s="8" t="s">
        <v>14</v>
      </c>
      <c r="E1310" t="s">
        <v>2249</v>
      </c>
      <c r="F1310" t="s">
        <v>2250</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4078</v>
      </c>
      <c r="B1311" t="s">
        <v>4077</v>
      </c>
      <c r="C1311" s="8" t="s">
        <v>4078</v>
      </c>
      <c r="D1311" s="8" t="s">
        <v>14</v>
      </c>
      <c r="E1311" s="8" t="s">
        <v>4080</v>
      </c>
      <c r="F1311" s="8" t="s">
        <v>4081</v>
      </c>
      <c r="G1311" s="8">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8" t="s">
        <v>4079</v>
      </c>
      <c r="B1312" t="s">
        <v>4077</v>
      </c>
      <c r="C1312" s="8" t="s">
        <v>4079</v>
      </c>
      <c r="E1312" s="8" t="s">
        <v>175</v>
      </c>
      <c r="F1312" s="8" t="s">
        <v>4082</v>
      </c>
      <c r="G1312" s="8">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4025</v>
      </c>
      <c r="B1313" s="8" t="s">
        <v>4141</v>
      </c>
      <c r="C1313" t="s">
        <v>4025</v>
      </c>
      <c r="D1313" s="8" t="s">
        <v>14</v>
      </c>
      <c r="E1313" t="s">
        <v>4025</v>
      </c>
      <c r="F1313" t="s">
        <v>4026</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4027</v>
      </c>
      <c r="B1314" s="8" t="s">
        <v>4141</v>
      </c>
      <c r="C1314" t="s">
        <v>4027</v>
      </c>
      <c r="D1314" s="8" t="s">
        <v>14</v>
      </c>
      <c r="E1314" t="s">
        <v>4027</v>
      </c>
      <c r="F1314" t="s">
        <v>4028</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4029</v>
      </c>
      <c r="B1315" s="8" t="s">
        <v>4141</v>
      </c>
      <c r="C1315" t="s">
        <v>4029</v>
      </c>
      <c r="D1315" s="8" t="s">
        <v>14</v>
      </c>
      <c r="E1315" t="s">
        <v>4029</v>
      </c>
      <c r="F1315" t="s">
        <v>4030</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4025</v>
      </c>
      <c r="B1316" s="8" t="s">
        <v>4143</v>
      </c>
      <c r="C1316" t="s">
        <v>4025</v>
      </c>
      <c r="D1316" s="8" t="s">
        <v>14</v>
      </c>
      <c r="E1316" t="s">
        <v>4025</v>
      </c>
      <c r="F1316" t="s">
        <v>4026</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4027</v>
      </c>
      <c r="B1317" s="8" t="s">
        <v>4143</v>
      </c>
      <c r="C1317" t="s">
        <v>4027</v>
      </c>
      <c r="D1317" s="8" t="s">
        <v>14</v>
      </c>
      <c r="E1317" t="s">
        <v>4027</v>
      </c>
      <c r="F1317" t="s">
        <v>4028</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4029</v>
      </c>
      <c r="B1318" s="8" t="s">
        <v>4143</v>
      </c>
      <c r="C1318" t="s">
        <v>4029</v>
      </c>
      <c r="D1318" s="8" t="s">
        <v>14</v>
      </c>
      <c r="E1318" t="s">
        <v>4029</v>
      </c>
      <c r="F1318" t="s">
        <v>4030</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8" t="s">
        <v>4152</v>
      </c>
      <c r="B1319" s="8" t="s">
        <v>4149</v>
      </c>
      <c r="C1319" s="8" t="s">
        <v>4152</v>
      </c>
      <c r="D1319" s="8" t="s">
        <v>14</v>
      </c>
      <c r="E1319" s="8" t="s">
        <v>4154</v>
      </c>
      <c r="F1319" s="8" t="s">
        <v>4153</v>
      </c>
      <c r="G1319" s="8">
        <v>600</v>
      </c>
    </row>
    <row r="1320" spans="1:1008" x14ac:dyDescent="0.15">
      <c r="A1320" t="s">
        <v>4025</v>
      </c>
      <c r="B1320" s="8" t="s">
        <v>4148</v>
      </c>
      <c r="C1320" t="s">
        <v>4025</v>
      </c>
      <c r="D1320" s="8" t="s">
        <v>14</v>
      </c>
      <c r="E1320" t="s">
        <v>4025</v>
      </c>
      <c r="F1320" t="s">
        <v>4026</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8" t="s">
        <v>4161</v>
      </c>
      <c r="B1321" s="8" t="s">
        <v>4156</v>
      </c>
      <c r="C1321" s="8" t="s">
        <v>4161</v>
      </c>
      <c r="D1321" s="8" t="s">
        <v>14</v>
      </c>
      <c r="E1321" s="8" t="s">
        <v>4160</v>
      </c>
      <c r="F1321" s="8" t="s">
        <v>4159</v>
      </c>
      <c r="G1321" s="8">
        <v>500</v>
      </c>
    </row>
    <row r="1322" spans="1:1008" x14ac:dyDescent="0.15">
      <c r="A1322" s="8" t="s">
        <v>4172</v>
      </c>
      <c r="B1322" s="8" t="s">
        <v>4163</v>
      </c>
      <c r="C1322" s="8" t="s">
        <v>4164</v>
      </c>
      <c r="D1322" s="8" t="s">
        <v>14</v>
      </c>
      <c r="E1322" s="8" t="s">
        <v>4164</v>
      </c>
      <c r="F1322" s="8" t="s">
        <v>4165</v>
      </c>
      <c r="G1322" s="8">
        <v>600</v>
      </c>
    </row>
    <row r="1323" spans="1:1008" x14ac:dyDescent="0.15">
      <c r="A1323" s="8" t="s">
        <v>4173</v>
      </c>
      <c r="B1323" s="8" t="s">
        <v>4163</v>
      </c>
      <c r="C1323" s="8" t="s">
        <v>4166</v>
      </c>
      <c r="D1323" s="8" t="s">
        <v>14</v>
      </c>
      <c r="E1323" s="8" t="s">
        <v>4166</v>
      </c>
      <c r="F1323" s="8" t="s">
        <v>4167</v>
      </c>
      <c r="G1323" s="8">
        <v>600</v>
      </c>
    </row>
    <row r="1324" spans="1:1008" x14ac:dyDescent="0.15">
      <c r="A1324" s="8" t="s">
        <v>4174</v>
      </c>
      <c r="B1324" s="8" t="s">
        <v>4163</v>
      </c>
      <c r="C1324" s="8" t="s">
        <v>4168</v>
      </c>
      <c r="D1324" s="8" t="s">
        <v>14</v>
      </c>
      <c r="E1324" s="8" t="s">
        <v>4168</v>
      </c>
      <c r="F1324" s="8" t="s">
        <v>4169</v>
      </c>
      <c r="G1324" s="8">
        <v>500</v>
      </c>
    </row>
    <row r="1325" spans="1:1008" x14ac:dyDescent="0.15">
      <c r="A1325" s="8" t="s">
        <v>4175</v>
      </c>
      <c r="B1325" s="8" t="s">
        <v>4163</v>
      </c>
      <c r="C1325" s="8" t="s">
        <v>4170</v>
      </c>
      <c r="D1325" s="8" t="s">
        <v>14</v>
      </c>
      <c r="E1325" s="8" t="s">
        <v>4170</v>
      </c>
      <c r="F1325" s="8" t="s">
        <v>4171</v>
      </c>
      <c r="G1325" s="8">
        <v>500</v>
      </c>
    </row>
    <row r="1326" spans="1:1008" x14ac:dyDescent="0.15">
      <c r="A1326" s="8" t="s">
        <v>4182</v>
      </c>
      <c r="B1326" s="8" t="s">
        <v>4178</v>
      </c>
      <c r="C1326" s="8" t="s">
        <v>4184</v>
      </c>
      <c r="D1326" s="8" t="s">
        <v>14</v>
      </c>
      <c r="E1326" s="8" t="s">
        <v>4184</v>
      </c>
      <c r="F1326" s="8" t="s">
        <v>4186</v>
      </c>
      <c r="G1326" s="8">
        <v>500</v>
      </c>
    </row>
    <row r="1327" spans="1:1008" x14ac:dyDescent="0.15">
      <c r="A1327" s="8" t="s">
        <v>4183</v>
      </c>
      <c r="B1327" s="8" t="s">
        <v>4178</v>
      </c>
      <c r="C1327" s="8" t="s">
        <v>4185</v>
      </c>
      <c r="D1327" s="8" t="s">
        <v>14</v>
      </c>
      <c r="E1327" s="8" t="s">
        <v>4185</v>
      </c>
      <c r="F1327" s="8" t="s">
        <v>4187</v>
      </c>
      <c r="G1327" s="8">
        <v>500</v>
      </c>
    </row>
    <row r="1328" spans="1:1008" x14ac:dyDescent="0.15">
      <c r="A1328" s="8" t="s">
        <v>2243</v>
      </c>
      <c r="B1328" t="s">
        <v>4190</v>
      </c>
      <c r="C1328" s="8" t="s">
        <v>2243</v>
      </c>
      <c r="D1328" s="8" t="s">
        <v>14</v>
      </c>
      <c r="E1328" s="8" t="s">
        <v>4201</v>
      </c>
      <c r="F1328" s="8" t="s">
        <v>4202</v>
      </c>
      <c r="G1328" s="8">
        <v>500</v>
      </c>
    </row>
    <row r="1329" spans="1:8" x14ac:dyDescent="0.15">
      <c r="A1329" s="8" t="s">
        <v>2243</v>
      </c>
      <c r="B1329" t="s">
        <v>4191</v>
      </c>
      <c r="C1329" s="8" t="s">
        <v>2243</v>
      </c>
      <c r="D1329" s="8" t="s">
        <v>14</v>
      </c>
      <c r="E1329" s="8" t="s">
        <v>4201</v>
      </c>
      <c r="F1329" s="8" t="s">
        <v>4202</v>
      </c>
      <c r="G1329" s="8">
        <v>500</v>
      </c>
    </row>
    <row r="1330" spans="1:8" x14ac:dyDescent="0.15">
      <c r="A1330" s="8" t="s">
        <v>2243</v>
      </c>
      <c r="B1330" t="s">
        <v>4194</v>
      </c>
      <c r="C1330" s="8" t="s">
        <v>2243</v>
      </c>
      <c r="D1330" s="8" t="s">
        <v>14</v>
      </c>
      <c r="E1330" s="8" t="s">
        <v>4201</v>
      </c>
      <c r="F1330" s="8" t="s">
        <v>4203</v>
      </c>
      <c r="G1330" s="8">
        <v>500</v>
      </c>
    </row>
    <row r="1331" spans="1:8" x14ac:dyDescent="0.15">
      <c r="A1331" s="8" t="s">
        <v>2243</v>
      </c>
      <c r="B1331" t="s">
        <v>4189</v>
      </c>
      <c r="C1331" s="8" t="s">
        <v>2243</v>
      </c>
      <c r="D1331" s="8" t="s">
        <v>14</v>
      </c>
      <c r="E1331" s="8" t="s">
        <v>4201</v>
      </c>
      <c r="F1331" s="8" t="s">
        <v>4202</v>
      </c>
      <c r="G1331" s="8">
        <v>500</v>
      </c>
    </row>
    <row r="1332" spans="1:8" x14ac:dyDescent="0.15">
      <c r="A1332" s="8" t="s">
        <v>4207</v>
      </c>
      <c r="B1332" t="s">
        <v>4204</v>
      </c>
      <c r="C1332" s="8" t="s">
        <v>4207</v>
      </c>
      <c r="E1332" s="8" t="s">
        <v>4213</v>
      </c>
      <c r="F1332" s="8" t="s">
        <v>4217</v>
      </c>
      <c r="G1332" s="8">
        <v>500</v>
      </c>
    </row>
    <row r="1333" spans="1:8" x14ac:dyDescent="0.15">
      <c r="A1333" s="8" t="s">
        <v>4208</v>
      </c>
      <c r="B1333" t="s">
        <v>4204</v>
      </c>
      <c r="C1333" s="8" t="s">
        <v>4208</v>
      </c>
      <c r="E1333" s="8" t="s">
        <v>4214</v>
      </c>
      <c r="F1333" s="8" t="s">
        <v>4218</v>
      </c>
      <c r="G1333" s="8">
        <v>500</v>
      </c>
    </row>
    <row r="1334" spans="1:8" x14ac:dyDescent="0.15">
      <c r="A1334" s="8" t="s">
        <v>4210</v>
      </c>
      <c r="B1334" t="s">
        <v>4204</v>
      </c>
      <c r="C1334" s="8" t="s">
        <v>4210</v>
      </c>
      <c r="E1334" s="8" t="s">
        <v>4209</v>
      </c>
      <c r="F1334" s="8" t="s">
        <v>4219</v>
      </c>
      <c r="G1334" s="8">
        <v>650</v>
      </c>
    </row>
    <row r="1335" spans="1:8" x14ac:dyDescent="0.15">
      <c r="A1335" s="8" t="s">
        <v>4211</v>
      </c>
      <c r="B1335" t="s">
        <v>4204</v>
      </c>
      <c r="C1335" s="8" t="s">
        <v>4211</v>
      </c>
      <c r="E1335" s="8" t="s">
        <v>4215</v>
      </c>
      <c r="F1335" s="8" t="s">
        <v>4220</v>
      </c>
      <c r="G1335" s="8">
        <v>500</v>
      </c>
    </row>
    <row r="1336" spans="1:8" x14ac:dyDescent="0.15">
      <c r="A1336" s="8" t="s">
        <v>4212</v>
      </c>
      <c r="B1336" t="s">
        <v>4204</v>
      </c>
      <c r="C1336" s="8" t="s">
        <v>4212</v>
      </c>
      <c r="E1336" s="8" t="s">
        <v>4216</v>
      </c>
      <c r="F1336" s="8" t="s">
        <v>4221</v>
      </c>
      <c r="G1336" s="8">
        <v>500</v>
      </c>
    </row>
    <row r="1337" spans="1:8" x14ac:dyDescent="0.15">
      <c r="A1337" s="8" t="s">
        <v>4222</v>
      </c>
      <c r="B1337" t="s">
        <v>4204</v>
      </c>
      <c r="C1337" s="8" t="s">
        <v>4222</v>
      </c>
      <c r="E1337" s="8" t="s">
        <v>4224</v>
      </c>
      <c r="F1337" s="8" t="s">
        <v>4226</v>
      </c>
      <c r="G1337" s="8">
        <v>500</v>
      </c>
    </row>
    <row r="1338" spans="1:8" x14ac:dyDescent="0.15">
      <c r="A1338" s="8" t="s">
        <v>4223</v>
      </c>
      <c r="B1338" t="s">
        <v>4204</v>
      </c>
      <c r="C1338" s="8" t="s">
        <v>4223</v>
      </c>
      <c r="E1338" s="8" t="s">
        <v>4225</v>
      </c>
      <c r="F1338" s="8" t="s">
        <v>4227</v>
      </c>
      <c r="G1338" s="8">
        <v>500</v>
      </c>
    </row>
    <row r="1339" spans="1:8" x14ac:dyDescent="0.15">
      <c r="A1339" s="8" t="s">
        <v>4235</v>
      </c>
      <c r="B1339" t="s">
        <v>4232</v>
      </c>
      <c r="C1339" s="8" t="s">
        <v>4235</v>
      </c>
      <c r="E1339" s="8" t="s">
        <v>4235</v>
      </c>
      <c r="F1339" s="8" t="s">
        <v>4250</v>
      </c>
      <c r="G1339" s="8">
        <v>500</v>
      </c>
      <c r="H1339" s="8" t="s">
        <v>4250</v>
      </c>
    </row>
    <row r="1340" spans="1:8" x14ac:dyDescent="0.15">
      <c r="A1340" s="8" t="s">
        <v>4236</v>
      </c>
      <c r="B1340" t="s">
        <v>4232</v>
      </c>
      <c r="C1340" s="8" t="s">
        <v>4236</v>
      </c>
      <c r="E1340" s="8" t="s">
        <v>4236</v>
      </c>
      <c r="F1340" s="8" t="s">
        <v>4251</v>
      </c>
      <c r="G1340" s="8">
        <v>500</v>
      </c>
      <c r="H1340" s="8" t="s">
        <v>4251</v>
      </c>
    </row>
    <row r="1341" spans="1:8" x14ac:dyDescent="0.15">
      <c r="A1341" s="8" t="s">
        <v>4237</v>
      </c>
      <c r="B1341" t="s">
        <v>4232</v>
      </c>
      <c r="C1341" s="8" t="s">
        <v>4237</v>
      </c>
      <c r="E1341" s="8" t="s">
        <v>4237</v>
      </c>
      <c r="F1341" s="8" t="s">
        <v>4252</v>
      </c>
      <c r="G1341" s="8">
        <v>500</v>
      </c>
      <c r="H1341" s="8" t="s">
        <v>4252</v>
      </c>
    </row>
    <row r="1342" spans="1:8" x14ac:dyDescent="0.15">
      <c r="A1342" s="8" t="s">
        <v>4238</v>
      </c>
      <c r="B1342" t="s">
        <v>4232</v>
      </c>
      <c r="C1342" s="8" t="s">
        <v>4238</v>
      </c>
      <c r="E1342" s="8" t="s">
        <v>4238</v>
      </c>
      <c r="F1342" s="8" t="s">
        <v>4253</v>
      </c>
      <c r="G1342" s="8">
        <v>500</v>
      </c>
      <c r="H1342" s="8" t="s">
        <v>4253</v>
      </c>
    </row>
    <row r="1343" spans="1:8" x14ac:dyDescent="0.15">
      <c r="A1343" s="8" t="s">
        <v>668</v>
      </c>
      <c r="B1343" t="s">
        <v>4232</v>
      </c>
      <c r="C1343" s="8" t="s">
        <v>668</v>
      </c>
      <c r="E1343" s="8" t="s">
        <v>668</v>
      </c>
      <c r="F1343" s="8" t="s">
        <v>4254</v>
      </c>
      <c r="G1343" s="8">
        <v>500</v>
      </c>
      <c r="H1343" s="8" t="s">
        <v>4254</v>
      </c>
    </row>
    <row r="1344" spans="1:8" x14ac:dyDescent="0.15">
      <c r="A1344" s="8" t="s">
        <v>4239</v>
      </c>
      <c r="B1344" t="s">
        <v>4232</v>
      </c>
      <c r="C1344" s="8" t="s">
        <v>4239</v>
      </c>
      <c r="E1344" s="8" t="s">
        <v>4239</v>
      </c>
      <c r="F1344" s="8" t="s">
        <v>4255</v>
      </c>
      <c r="G1344" s="8">
        <v>500</v>
      </c>
      <c r="H1344" s="8" t="s">
        <v>4255</v>
      </c>
    </row>
    <row r="1345" spans="1:8" x14ac:dyDescent="0.15">
      <c r="A1345" s="8" t="s">
        <v>4240</v>
      </c>
      <c r="B1345" t="s">
        <v>4232</v>
      </c>
      <c r="C1345" s="8" t="s">
        <v>4240</v>
      </c>
      <c r="E1345" s="8" t="s">
        <v>4240</v>
      </c>
      <c r="F1345" s="8" t="s">
        <v>4256</v>
      </c>
      <c r="G1345" s="8">
        <v>500</v>
      </c>
      <c r="H1345" s="8" t="s">
        <v>4256</v>
      </c>
    </row>
    <row r="1346" spans="1:8" x14ac:dyDescent="0.15">
      <c r="A1346" s="8" t="s">
        <v>4241</v>
      </c>
      <c r="B1346" t="s">
        <v>4232</v>
      </c>
      <c r="C1346" s="8" t="s">
        <v>4241</v>
      </c>
      <c r="E1346" s="8" t="s">
        <v>4241</v>
      </c>
      <c r="F1346" s="8" t="s">
        <v>4257</v>
      </c>
      <c r="G1346" s="8">
        <v>500</v>
      </c>
      <c r="H1346" s="8" t="s">
        <v>4257</v>
      </c>
    </row>
    <row r="1347" spans="1:8" x14ac:dyDescent="0.15">
      <c r="A1347" s="8" t="s">
        <v>4242</v>
      </c>
      <c r="B1347" t="s">
        <v>4232</v>
      </c>
      <c r="C1347" s="8" t="s">
        <v>4242</v>
      </c>
      <c r="E1347" s="8" t="s">
        <v>4242</v>
      </c>
      <c r="F1347" s="8" t="s">
        <v>4258</v>
      </c>
      <c r="G1347" s="8">
        <v>500</v>
      </c>
      <c r="H1347" s="8" t="s">
        <v>4258</v>
      </c>
    </row>
    <row r="1348" spans="1:8" x14ac:dyDescent="0.15">
      <c r="A1348" s="8" t="s">
        <v>4243</v>
      </c>
      <c r="B1348" t="s">
        <v>4232</v>
      </c>
      <c r="C1348" s="8" t="s">
        <v>4243</v>
      </c>
      <c r="E1348" s="8" t="s">
        <v>4243</v>
      </c>
      <c r="F1348" s="8" t="s">
        <v>4259</v>
      </c>
      <c r="G1348" s="8">
        <v>500</v>
      </c>
      <c r="H1348" s="8" t="s">
        <v>4259</v>
      </c>
    </row>
    <row r="1349" spans="1:8" x14ac:dyDescent="0.15">
      <c r="A1349" s="8" t="s">
        <v>4244</v>
      </c>
      <c r="B1349" t="s">
        <v>4232</v>
      </c>
      <c r="C1349" s="8" t="s">
        <v>4244</v>
      </c>
      <c r="E1349" s="8" t="s">
        <v>4244</v>
      </c>
      <c r="F1349" s="8" t="s">
        <v>4260</v>
      </c>
      <c r="G1349" s="8">
        <v>500</v>
      </c>
      <c r="H1349" s="8" t="s">
        <v>4260</v>
      </c>
    </row>
    <row r="1350" spans="1:8" x14ac:dyDescent="0.15">
      <c r="A1350" s="8" t="s">
        <v>4245</v>
      </c>
      <c r="B1350" t="s">
        <v>4232</v>
      </c>
      <c r="C1350" s="8" t="s">
        <v>4245</v>
      </c>
      <c r="E1350" s="8" t="s">
        <v>4245</v>
      </c>
      <c r="F1350" s="8" t="s">
        <v>4261</v>
      </c>
      <c r="G1350" s="8">
        <v>500</v>
      </c>
      <c r="H1350" s="8" t="s">
        <v>4261</v>
      </c>
    </row>
    <row r="1351" spans="1:8" x14ac:dyDescent="0.15">
      <c r="A1351" s="8" t="s">
        <v>4246</v>
      </c>
      <c r="B1351" t="s">
        <v>4232</v>
      </c>
      <c r="C1351" s="8" t="s">
        <v>4246</v>
      </c>
      <c r="E1351" s="8" t="s">
        <v>4246</v>
      </c>
      <c r="F1351" s="8" t="s">
        <v>4262</v>
      </c>
      <c r="G1351" s="8">
        <v>500</v>
      </c>
      <c r="H1351" s="8" t="s">
        <v>4262</v>
      </c>
    </row>
    <row r="1352" spans="1:8" x14ac:dyDescent="0.15">
      <c r="A1352" s="8" t="s">
        <v>4247</v>
      </c>
      <c r="B1352" t="s">
        <v>4232</v>
      </c>
      <c r="C1352" s="8" t="s">
        <v>4247</v>
      </c>
      <c r="E1352" s="8" t="s">
        <v>4247</v>
      </c>
      <c r="F1352" s="8" t="s">
        <v>4263</v>
      </c>
      <c r="G1352" s="8">
        <v>500</v>
      </c>
      <c r="H1352" s="8" t="s">
        <v>4263</v>
      </c>
    </row>
    <row r="1353" spans="1:8" x14ac:dyDescent="0.15">
      <c r="A1353" s="8" t="s">
        <v>4248</v>
      </c>
      <c r="B1353" t="s">
        <v>4232</v>
      </c>
      <c r="C1353" s="8" t="s">
        <v>4248</v>
      </c>
      <c r="E1353" s="8" t="s">
        <v>4248</v>
      </c>
      <c r="F1353" s="8" t="s">
        <v>4264</v>
      </c>
      <c r="G1353" s="8">
        <v>500</v>
      </c>
      <c r="H1353" s="8" t="s">
        <v>4264</v>
      </c>
    </row>
    <row r="1354" spans="1:8" x14ac:dyDescent="0.15">
      <c r="A1354" s="8" t="s">
        <v>4249</v>
      </c>
      <c r="B1354" t="s">
        <v>4232</v>
      </c>
      <c r="C1354" s="8" t="s">
        <v>4249</v>
      </c>
      <c r="E1354" s="8" t="s">
        <v>4249</v>
      </c>
      <c r="F1354" s="8" t="s">
        <v>4265</v>
      </c>
      <c r="G1354" s="8">
        <v>600</v>
      </c>
      <c r="H1354" s="8" t="s">
        <v>4265</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4061</v>
      </c>
    </row>
    <row r="2" spans="1:1" x14ac:dyDescent="0.15">
      <c r="A2" s="8" t="s">
        <v>4062</v>
      </c>
    </row>
    <row r="3" spans="1:1" x14ac:dyDescent="0.15">
      <c r="A3" s="8" t="s">
        <v>4063</v>
      </c>
    </row>
    <row r="4" spans="1:1" x14ac:dyDescent="0.15">
      <c r="A4" s="8" t="s">
        <v>4064</v>
      </c>
    </row>
    <row r="5" spans="1:1" x14ac:dyDescent="0.15">
      <c r="A5" s="8" t="s">
        <v>4065</v>
      </c>
    </row>
    <row r="6" spans="1:1" x14ac:dyDescent="0.15">
      <c r="A6" s="8" t="s">
        <v>4066</v>
      </c>
    </row>
    <row r="7" spans="1:1" x14ac:dyDescent="0.15">
      <c r="A7" s="8" t="s">
        <v>3968</v>
      </c>
    </row>
    <row r="8" spans="1:1" x14ac:dyDescent="0.15">
      <c r="A8" s="8" t="s">
        <v>3966</v>
      </c>
    </row>
    <row r="9" spans="1:1" x14ac:dyDescent="0.15">
      <c r="A9" s="8" t="s">
        <v>3971</v>
      </c>
    </row>
    <row r="10" spans="1:1" x14ac:dyDescent="0.15">
      <c r="A10" s="8" t="s">
        <v>4067</v>
      </c>
    </row>
    <row r="11" spans="1:1" x14ac:dyDescent="0.15">
      <c r="A11" s="8" t="s">
        <v>4068</v>
      </c>
    </row>
    <row r="12" spans="1:1" x14ac:dyDescent="0.15">
      <c r="A12" s="8" t="s">
        <v>1163</v>
      </c>
    </row>
    <row r="13" spans="1:1" x14ac:dyDescent="0.15">
      <c r="A13" s="8" t="s">
        <v>4069</v>
      </c>
    </row>
    <row r="14" spans="1:1" x14ac:dyDescent="0.15">
      <c r="A14" s="8" t="s">
        <v>4070</v>
      </c>
    </row>
    <row r="15" spans="1:1" x14ac:dyDescent="0.15">
      <c r="A15" s="8" t="s">
        <v>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2026-04-13T18:02:47Z</dcterms:modified>
  <dc:language>en-GB</dc:language>
</cp:coreProperties>
</file>