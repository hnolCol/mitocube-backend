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357D3F21-2BAC-BF48-9D8F-24BA114CBD28}" xr6:coauthVersionLast="47" xr6:coauthVersionMax="47" xr10:uidLastSave="{00000000-0000-0000-0000-000000000000}"/>
  <bookViews>
    <workbookView xWindow="1340" yWindow="880" windowWidth="38400" windowHeight="1942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635" i="2" l="1"/>
  <c r="A1359" i="2"/>
  <c r="A1358" i="2"/>
  <c r="A1357" i="2"/>
  <c r="A1356" i="2"/>
  <c r="A1355" i="2"/>
  <c r="A1354" i="2"/>
  <c r="A1353" i="2"/>
  <c r="A1352" i="2"/>
  <c r="A1351" i="2"/>
  <c r="A1350" i="2"/>
  <c r="A1349" i="2"/>
  <c r="A1348" i="2"/>
  <c r="A1347" i="2"/>
  <c r="A1346" i="2"/>
  <c r="A1345" i="2"/>
  <c r="A1344" i="2"/>
  <c r="A1343" i="2"/>
  <c r="A1342" i="2"/>
  <c r="A1341" i="2"/>
  <c r="A1340" i="2"/>
  <c r="A1339" i="2"/>
  <c r="A1338" i="2"/>
  <c r="A1337" i="2"/>
  <c r="A1336" i="2"/>
  <c r="A1335" i="2"/>
  <c r="A1334" i="2"/>
  <c r="A1333" i="2"/>
  <c r="A1332" i="2"/>
  <c r="A1331" i="2"/>
  <c r="C797" i="2"/>
  <c r="C853" i="2"/>
  <c r="C852" i="2"/>
  <c r="C846" i="2"/>
  <c r="C851" i="2"/>
  <c r="C359" i="2"/>
  <c r="C765" i="2" l="1"/>
  <c r="C815" i="2"/>
  <c r="C455" i="2"/>
  <c r="C995" i="2"/>
  <c r="C994" i="2"/>
  <c r="C993" i="2"/>
  <c r="C992" i="2"/>
  <c r="C990" i="2"/>
  <c r="C414" i="2"/>
  <c r="C371" i="2"/>
  <c r="C126" i="2"/>
  <c r="C226" i="2"/>
  <c r="C949" i="2"/>
  <c r="C948" i="2"/>
  <c r="C947" i="2"/>
  <c r="C946" i="2"/>
  <c r="C945" i="2"/>
  <c r="C188" i="2"/>
  <c r="C989" i="2"/>
  <c r="C988" i="2"/>
  <c r="C987" i="2"/>
  <c r="C986" i="2"/>
  <c r="C985" i="2"/>
  <c r="C98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4" i="2"/>
  <c r="C205" i="2"/>
  <c r="C206" i="2"/>
  <c r="C207" i="2"/>
  <c r="C208" i="2"/>
  <c r="C209" i="2"/>
  <c r="C210" i="2"/>
  <c r="C211" i="2"/>
  <c r="C212" i="2"/>
  <c r="C213" i="2"/>
  <c r="C214" i="2"/>
  <c r="C215" i="2"/>
  <c r="C216" i="2"/>
  <c r="C217" i="2"/>
  <c r="C218" i="2"/>
  <c r="C219" i="2"/>
  <c r="C220" i="2"/>
  <c r="C221" i="2"/>
  <c r="C222" i="2"/>
  <c r="C223" i="2"/>
  <c r="C224" i="2"/>
  <c r="C225"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60" i="2"/>
  <c r="C361" i="2"/>
  <c r="C362" i="2"/>
  <c r="C363" i="2"/>
  <c r="C364" i="2"/>
  <c r="C365" i="2"/>
  <c r="C366" i="2"/>
  <c r="C367" i="2"/>
  <c r="C368" i="2"/>
  <c r="C369" i="2"/>
  <c r="C370"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8" i="2"/>
  <c r="C799" i="2"/>
  <c r="C800" i="2"/>
  <c r="C801" i="2"/>
  <c r="C802" i="2"/>
  <c r="C803" i="2"/>
  <c r="C804" i="2"/>
  <c r="C805" i="2"/>
  <c r="C806" i="2"/>
  <c r="C807" i="2"/>
  <c r="C808" i="2"/>
  <c r="C809" i="2"/>
  <c r="C810" i="2"/>
  <c r="C811" i="2"/>
  <c r="C812" i="2"/>
  <c r="C813" i="2"/>
  <c r="C814"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7" i="2"/>
  <c r="C848" i="2"/>
  <c r="C849" i="2"/>
  <c r="C850"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<sst xmlns="http://schemas.openxmlformats.org/spreadsheetml/2006/main" count="13705" uniqueCount="4463">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</sst>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3">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8">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45"/>
  <sheetViews>
    <sheetView tabSelected="1" zoomScale="125" zoomScaleNormal="170" workbookViewId="0">
      <pane ySplit="1" topLeftCell="A49" activePane="bottomLeft" state="frozen"/>
      <selection pane="bottomLeft" activeCell="B64" sqref="B64"/>
    </sheetView>
  </sheetViews>
  <sheetFormatPr baseColWidth="10" defaultColWidth="10.6640625" defaultRowHeight="13"/>
  <cols>
    <col min="1" max="1" width="24.6640625" customWidth="1"/>
    <col min="2" max="2" width="66.33203125" customWidth="1"/>
    <col min="3" max="3" width="73"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c r="A1" s="37" t="s">
        <v>0</v>
      </c>
      <c r="B1" s="37" t="s">
        <v>4001</v>
      </c>
      <c r="C1" s="37" t="s">
        <v>3892</v>
      </c>
      <c r="D1" s="37" t="s">
        <v>1</v>
      </c>
      <c r="E1" s="37" t="s">
        <v>4050</v>
      </c>
      <c r="F1" s="37" t="s">
        <v>2</v>
      </c>
      <c r="G1" s="37" t="s">
        <v>4044</v>
      </c>
      <c r="H1" s="38" t="s">
        <v>3</v>
      </c>
      <c r="I1" s="37" t="s">
        <v>4</v>
      </c>
      <c r="J1" s="37" t="s">
        <v>5</v>
      </c>
      <c r="K1" s="37" t="s">
        <v>4043</v>
      </c>
      <c r="L1" s="37" t="s">
        <v>6</v>
      </c>
      <c r="M1" s="38" t="s">
        <v>7</v>
      </c>
      <c r="N1" s="38" t="s">
        <v>8</v>
      </c>
      <c r="O1" s="38" t="s">
        <v>9</v>
      </c>
      <c r="P1" s="38" t="s">
        <v>10</v>
      </c>
      <c r="Q1" s="38" t="s">
        <v>11</v>
      </c>
      <c r="R1" s="38" t="s">
        <v>3781</v>
      </c>
      <c r="S1" s="37" t="s">
        <v>2468</v>
      </c>
      <c r="T1" s="37" t="s">
        <v>4053</v>
      </c>
      <c r="ALR1" s="3"/>
      <c r="ALS1" s="3"/>
      <c r="ALT1" s="3"/>
      <c r="ALU1" s="3"/>
      <c r="ALV1"/>
      <c r="ALW1"/>
      <c r="ALX1"/>
    </row>
    <row r="2" spans="1:1012" ht="14">
      <c r="A2" s="35" t="s">
        <v>4006</v>
      </c>
      <c r="B2" s="35"/>
      <c r="C2" s="35"/>
      <c r="D2" s="36" t="s">
        <v>4017</v>
      </c>
      <c r="E2" s="36" t="s">
        <v>4049</v>
      </c>
      <c r="F2" s="35">
        <v>500</v>
      </c>
      <c r="G2" s="35" t="b">
        <v>1</v>
      </c>
      <c r="H2" s="39" t="s">
        <v>15</v>
      </c>
      <c r="I2" s="35" t="s">
        <v>3043</v>
      </c>
      <c r="J2" s="35">
        <v>2</v>
      </c>
      <c r="K2" s="35" t="s">
        <v>4205</v>
      </c>
      <c r="L2" s="35" t="s">
        <v>4203</v>
      </c>
      <c r="M2" s="35" t="s">
        <v>4073</v>
      </c>
      <c r="N2" s="35" t="s">
        <v>4203</v>
      </c>
      <c r="O2" s="35" t="s">
        <v>4203</v>
      </c>
      <c r="P2" s="35" t="s">
        <v>4203</v>
      </c>
      <c r="Q2" s="35" t="s">
        <v>2449</v>
      </c>
      <c r="R2" s="35" t="s">
        <v>4162</v>
      </c>
      <c r="S2" s="35"/>
      <c r="T2" s="35"/>
    </row>
    <row r="3" spans="1:1012" ht="14">
      <c r="A3" s="36" t="s">
        <v>18</v>
      </c>
      <c r="B3" s="36"/>
      <c r="C3" s="36" t="s">
        <v>4456</v>
      </c>
      <c r="D3" s="35" t="s">
        <v>20</v>
      </c>
      <c r="E3" s="35"/>
      <c r="F3" s="35">
        <v>680</v>
      </c>
      <c r="G3" s="35" t="b">
        <v>0</v>
      </c>
      <c r="H3" s="39" t="s">
        <v>15</v>
      </c>
      <c r="I3" s="35" t="s">
        <v>21</v>
      </c>
      <c r="J3" s="35">
        <v>2</v>
      </c>
      <c r="K3" s="35" t="s">
        <v>4211</v>
      </c>
      <c r="L3" s="35" t="s">
        <v>2378</v>
      </c>
      <c r="M3" s="35" t="s">
        <v>4073</v>
      </c>
      <c r="N3" s="35" t="s">
        <v>4203</v>
      </c>
      <c r="O3" s="35" t="s">
        <v>4203</v>
      </c>
      <c r="P3" s="35" t="s">
        <v>4210</v>
      </c>
      <c r="Q3" s="35" t="s">
        <v>2449</v>
      </c>
      <c r="R3" s="35" t="s">
        <v>4162</v>
      </c>
      <c r="S3" s="35"/>
      <c r="T3" s="35"/>
    </row>
    <row r="4" spans="1:1012" ht="14">
      <c r="A4" s="26" t="s">
        <v>3999</v>
      </c>
      <c r="B4" s="26"/>
      <c r="C4" s="35"/>
      <c r="D4" s="36" t="s">
        <v>3983</v>
      </c>
      <c r="E4" s="36"/>
      <c r="F4" s="35">
        <v>500</v>
      </c>
      <c r="G4" s="35" t="b">
        <v>1</v>
      </c>
      <c r="H4" s="39" t="s">
        <v>15</v>
      </c>
      <c r="I4" s="35" t="s">
        <v>3043</v>
      </c>
      <c r="J4" s="35">
        <v>2</v>
      </c>
      <c r="K4" s="35" t="s">
        <v>4205</v>
      </c>
      <c r="L4" s="35" t="s">
        <v>4203</v>
      </c>
      <c r="M4" s="35" t="s">
        <v>4073</v>
      </c>
      <c r="N4" s="35" t="s">
        <v>4203</v>
      </c>
      <c r="O4" s="35" t="s">
        <v>4203</v>
      </c>
      <c r="P4" s="35" t="s">
        <v>4203</v>
      </c>
      <c r="Q4" s="35" t="s">
        <v>2449</v>
      </c>
      <c r="R4" s="35" t="s">
        <v>4162</v>
      </c>
      <c r="S4" s="35"/>
      <c r="T4" s="35"/>
    </row>
    <row r="5" spans="1:1012" ht="14">
      <c r="A5" s="35" t="s">
        <v>3076</v>
      </c>
      <c r="B5" s="35"/>
      <c r="C5" s="35"/>
      <c r="D5" s="35" t="s">
        <v>3138</v>
      </c>
      <c r="E5" s="35"/>
      <c r="F5" s="35">
        <v>500</v>
      </c>
      <c r="G5" s="35" t="b">
        <v>0</v>
      </c>
      <c r="H5" s="39" t="s">
        <v>15</v>
      </c>
      <c r="I5" s="35" t="s">
        <v>37</v>
      </c>
      <c r="J5" s="35">
        <v>0</v>
      </c>
      <c r="K5" s="35" t="s">
        <v>4205</v>
      </c>
      <c r="L5" s="35" t="s">
        <v>4203</v>
      </c>
      <c r="M5" s="35" t="s">
        <v>4073</v>
      </c>
      <c r="N5" s="35" t="s">
        <v>4203</v>
      </c>
      <c r="O5" s="35" t="s">
        <v>4203</v>
      </c>
      <c r="P5" s="35" t="s">
        <v>4203</v>
      </c>
      <c r="Q5" s="35" t="s">
        <v>2449</v>
      </c>
      <c r="R5" s="35" t="s">
        <v>4162</v>
      </c>
      <c r="S5" s="35"/>
      <c r="T5" s="35"/>
    </row>
    <row r="6" spans="1:1012" s="17" customFormat="1" ht="14">
      <c r="A6" s="36" t="s">
        <v>12</v>
      </c>
      <c r="B6" s="36"/>
      <c r="C6" s="36" t="s">
        <v>3992</v>
      </c>
      <c r="D6" s="35" t="s">
        <v>14</v>
      </c>
      <c r="E6" s="35"/>
      <c r="F6" s="35">
        <v>500</v>
      </c>
      <c r="G6" s="35" t="b">
        <v>0</v>
      </c>
      <c r="H6" s="39" t="s">
        <v>15</v>
      </c>
      <c r="I6" s="35" t="s">
        <v>16</v>
      </c>
      <c r="J6" s="35">
        <v>0</v>
      </c>
      <c r="K6" s="35" t="s">
        <v>4205</v>
      </c>
      <c r="L6" s="35" t="s">
        <v>4203</v>
      </c>
      <c r="M6" s="35" t="s">
        <v>4073</v>
      </c>
      <c r="N6" s="35" t="s">
        <v>4203</v>
      </c>
      <c r="O6" s="35" t="s">
        <v>4203</v>
      </c>
      <c r="P6" s="35" t="s">
        <v>4203</v>
      </c>
      <c r="Q6" s="35" t="s">
        <v>2449</v>
      </c>
      <c r="R6" s="35" t="s">
        <v>4203</v>
      </c>
      <c r="S6" s="35"/>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c r="A7" s="36" t="s">
        <v>190</v>
      </c>
      <c r="B7" s="36"/>
      <c r="C7" s="36"/>
      <c r="D7" s="35" t="s">
        <v>3067</v>
      </c>
      <c r="E7" s="35"/>
      <c r="F7" s="35">
        <v>500</v>
      </c>
      <c r="G7" s="35" t="b">
        <v>0</v>
      </c>
      <c r="H7" s="39" t="s">
        <v>15</v>
      </c>
      <c r="I7" s="35" t="s">
        <v>16</v>
      </c>
      <c r="J7" s="35">
        <v>0</v>
      </c>
      <c r="K7" s="35" t="s">
        <v>4206</v>
      </c>
      <c r="L7" s="35" t="s">
        <v>4203</v>
      </c>
      <c r="M7" s="35" t="s">
        <v>4073</v>
      </c>
      <c r="N7" s="35" t="s">
        <v>4203</v>
      </c>
      <c r="O7" s="35" t="s">
        <v>4203</v>
      </c>
      <c r="P7" s="35" t="s">
        <v>4203</v>
      </c>
      <c r="Q7" s="35" t="s">
        <v>2449</v>
      </c>
      <c r="R7" s="35" t="s">
        <v>4203</v>
      </c>
      <c r="S7" s="35"/>
      <c r="T7" s="35"/>
    </row>
    <row r="8" spans="1:1012" ht="14">
      <c r="A8" s="26" t="s">
        <v>3997</v>
      </c>
      <c r="B8" s="26"/>
      <c r="C8" s="35"/>
      <c r="D8" s="36" t="s">
        <v>1709</v>
      </c>
      <c r="E8" s="36"/>
      <c r="F8" s="35">
        <v>500</v>
      </c>
      <c r="G8" s="35" t="b">
        <v>1</v>
      </c>
      <c r="H8" s="39" t="s">
        <v>15</v>
      </c>
      <c r="I8" s="35" t="s">
        <v>3043</v>
      </c>
      <c r="J8" s="35">
        <v>2</v>
      </c>
      <c r="K8" s="35" t="s">
        <v>4205</v>
      </c>
      <c r="L8" s="35" t="s">
        <v>4203</v>
      </c>
      <c r="M8" s="35" t="s">
        <v>4073</v>
      </c>
      <c r="N8" s="35" t="s">
        <v>4203</v>
      </c>
      <c r="O8" s="35" t="s">
        <v>4203</v>
      </c>
      <c r="P8" s="35" t="s">
        <v>4203</v>
      </c>
      <c r="Q8" s="35" t="s">
        <v>2449</v>
      </c>
      <c r="R8" s="35" t="s">
        <v>4162</v>
      </c>
      <c r="S8" s="35"/>
      <c r="T8" s="35"/>
    </row>
    <row r="9" spans="1:1012" ht="14">
      <c r="A9" s="35" t="s">
        <v>30</v>
      </c>
      <c r="B9" s="35"/>
      <c r="C9" s="35"/>
      <c r="D9" s="35" t="s">
        <v>31</v>
      </c>
      <c r="E9" s="35"/>
      <c r="F9" s="35">
        <v>500</v>
      </c>
      <c r="G9" s="35" t="b">
        <v>1</v>
      </c>
      <c r="H9" s="39" t="s">
        <v>15</v>
      </c>
      <c r="I9" s="35" t="s">
        <v>32</v>
      </c>
      <c r="J9" s="35">
        <v>0</v>
      </c>
      <c r="K9" s="35" t="s">
        <v>4207</v>
      </c>
      <c r="L9" s="35" t="s">
        <v>4203</v>
      </c>
      <c r="M9" s="35" t="s">
        <v>4203</v>
      </c>
      <c r="N9" s="35" t="s">
        <v>4203</v>
      </c>
      <c r="O9" s="35" t="s">
        <v>4203</v>
      </c>
      <c r="P9" s="35" t="s">
        <v>4203</v>
      </c>
      <c r="Q9" s="35" t="s">
        <v>2449</v>
      </c>
      <c r="R9" s="35" t="s">
        <v>4162</v>
      </c>
      <c r="S9" s="35"/>
      <c r="T9" s="35"/>
    </row>
    <row r="10" spans="1:1012" ht="14">
      <c r="A10" s="35" t="s">
        <v>4353</v>
      </c>
      <c r="B10" s="35"/>
      <c r="C10" s="35" t="s">
        <v>30</v>
      </c>
      <c r="D10" s="35" t="s">
        <v>4354</v>
      </c>
      <c r="E10" s="35"/>
      <c r="F10" s="35">
        <v>500</v>
      </c>
      <c r="G10" s="35" t="b">
        <v>0</v>
      </c>
      <c r="H10" s="39" t="s">
        <v>15</v>
      </c>
      <c r="I10" s="35" t="s">
        <v>37</v>
      </c>
      <c r="J10" s="35">
        <v>0</v>
      </c>
      <c r="K10" s="35" t="s">
        <v>4207</v>
      </c>
      <c r="L10" s="35" t="s">
        <v>4203</v>
      </c>
      <c r="M10" s="35"/>
      <c r="N10" s="35" t="s">
        <v>4203</v>
      </c>
      <c r="O10" s="35" t="s">
        <v>4203</v>
      </c>
      <c r="P10" s="35" t="s">
        <v>4203</v>
      </c>
      <c r="Q10" s="35" t="s">
        <v>2449</v>
      </c>
      <c r="R10" s="35" t="s">
        <v>4162</v>
      </c>
      <c r="S10" s="35"/>
      <c r="T10" s="35"/>
    </row>
    <row r="11" spans="1:1012" ht="14">
      <c r="A11" s="35" t="s">
        <v>4160</v>
      </c>
      <c r="B11" s="35"/>
      <c r="C11" s="35" t="s">
        <v>3893</v>
      </c>
      <c r="D11" s="35" t="s">
        <v>4161</v>
      </c>
      <c r="E11" s="35"/>
      <c r="F11" s="35">
        <v>600</v>
      </c>
      <c r="G11" s="35" t="b">
        <v>0</v>
      </c>
      <c r="H11" s="39" t="s">
        <v>15</v>
      </c>
      <c r="I11" s="35" t="s">
        <v>37</v>
      </c>
      <c r="J11" s="35">
        <v>0</v>
      </c>
      <c r="K11" s="35" t="s">
        <v>4207</v>
      </c>
      <c r="L11" s="35"/>
      <c r="M11" s="35"/>
      <c r="N11" s="35"/>
      <c r="O11" s="35"/>
      <c r="P11" s="35"/>
      <c r="Q11" s="35" t="s">
        <v>2449</v>
      </c>
      <c r="R11" s="35" t="s">
        <v>4162</v>
      </c>
      <c r="S11" s="35"/>
      <c r="T11" s="35"/>
    </row>
    <row r="12" spans="1:1012" ht="14">
      <c r="A12" s="35" t="s">
        <v>35</v>
      </c>
      <c r="B12" s="35"/>
      <c r="C12" s="35"/>
      <c r="D12" s="35" t="s">
        <v>36</v>
      </c>
      <c r="E12" s="35"/>
      <c r="F12" s="35">
        <v>500</v>
      </c>
      <c r="G12" s="35" t="b">
        <v>0</v>
      </c>
      <c r="H12" s="39" t="s">
        <v>15</v>
      </c>
      <c r="I12" s="35" t="s">
        <v>37</v>
      </c>
      <c r="J12" s="35">
        <v>0</v>
      </c>
      <c r="K12" s="35" t="s">
        <v>4206</v>
      </c>
      <c r="L12" s="35" t="s">
        <v>4203</v>
      </c>
      <c r="M12" s="35" t="s">
        <v>4073</v>
      </c>
      <c r="N12" s="35" t="s">
        <v>4203</v>
      </c>
      <c r="O12" s="35" t="s">
        <v>4203</v>
      </c>
      <c r="P12" s="35" t="s">
        <v>4203</v>
      </c>
      <c r="Q12" s="35" t="s">
        <v>2449</v>
      </c>
      <c r="R12" s="35" t="s">
        <v>4203</v>
      </c>
      <c r="S12" s="35"/>
      <c r="T12" s="35"/>
    </row>
    <row r="13" spans="1:1012" s="17" customFormat="1" ht="14">
      <c r="A13" s="35" t="s">
        <v>3070</v>
      </c>
      <c r="B13" s="35"/>
      <c r="C13" s="35"/>
      <c r="D13" s="35" t="s">
        <v>3075</v>
      </c>
      <c r="E13" s="35"/>
      <c r="F13" s="35">
        <v>500</v>
      </c>
      <c r="G13" s="35" t="b">
        <v>0</v>
      </c>
      <c r="H13" s="39" t="s">
        <v>15</v>
      </c>
      <c r="I13" s="35" t="s">
        <v>37</v>
      </c>
      <c r="J13" s="35">
        <v>0</v>
      </c>
      <c r="K13" s="35" t="s">
        <v>4205</v>
      </c>
      <c r="L13" s="35" t="s">
        <v>4203</v>
      </c>
      <c r="M13" s="35" t="s">
        <v>4073</v>
      </c>
      <c r="N13" s="35" t="s">
        <v>4203</v>
      </c>
      <c r="O13" s="35" t="s">
        <v>4203</v>
      </c>
      <c r="P13" s="35" t="s">
        <v>4203</v>
      </c>
      <c r="Q13" s="35" t="s">
        <v>2449</v>
      </c>
      <c r="R13" s="35" t="s">
        <v>4162</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c r="A14" s="45" t="s">
        <v>4395</v>
      </c>
      <c r="B14"/>
      <c r="C14" t="s">
        <v>3992</v>
      </c>
      <c r="D14" s="35" t="s">
        <v>4396</v>
      </c>
      <c r="E14"/>
      <c r="F14" s="35">
        <v>500</v>
      </c>
      <c r="G14" s="35" t="b">
        <v>0</v>
      </c>
      <c r="H14" s="39" t="s">
        <v>15</v>
      </c>
      <c r="I14" s="35" t="s">
        <v>37</v>
      </c>
      <c r="J14" s="35">
        <v>0</v>
      </c>
      <c r="K14" s="35" t="s">
        <v>4207</v>
      </c>
      <c r="L14" s="35" t="s">
        <v>4203</v>
      </c>
      <c r="M14" s="35"/>
      <c r="N14" s="35" t="s">
        <v>4203</v>
      </c>
      <c r="O14" s="35" t="s">
        <v>4203</v>
      </c>
      <c r="P14" s="35" t="s">
        <v>4203</v>
      </c>
      <c r="Q14" s="35" t="s">
        <v>2449</v>
      </c>
      <c r="R14" s="35" t="s">
        <v>4162</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c r="A15" s="35" t="s">
        <v>38</v>
      </c>
      <c r="B15" s="35"/>
      <c r="C15" s="35" t="s">
        <v>4084</v>
      </c>
      <c r="D15" s="35" t="s">
        <v>39</v>
      </c>
      <c r="E15" s="35"/>
      <c r="F15" s="35">
        <v>600</v>
      </c>
      <c r="G15" s="35" t="b">
        <v>0</v>
      </c>
      <c r="H15" s="39" t="s">
        <v>15</v>
      </c>
      <c r="I15" s="35" t="s">
        <v>37</v>
      </c>
      <c r="J15" s="35">
        <v>0</v>
      </c>
      <c r="K15" s="35" t="s">
        <v>4206</v>
      </c>
      <c r="L15" s="35" t="s">
        <v>4203</v>
      </c>
      <c r="M15" s="35" t="s">
        <v>4073</v>
      </c>
      <c r="N15" s="35" t="s">
        <v>4203</v>
      </c>
      <c r="O15" s="35" t="s">
        <v>4203</v>
      </c>
      <c r="P15" s="35" t="s">
        <v>4203</v>
      </c>
      <c r="Q15" s="35" t="s">
        <v>2449</v>
      </c>
      <c r="R15" s="35" t="s">
        <v>4203</v>
      </c>
      <c r="S15" s="35"/>
      <c r="T15" s="35"/>
    </row>
    <row r="16" spans="1:1012" ht="14">
      <c r="A16" s="35" t="s">
        <v>4338</v>
      </c>
      <c r="B16" s="35"/>
      <c r="C16" s="35"/>
      <c r="D16" s="36" t="s">
        <v>4337</v>
      </c>
      <c r="E16" s="36"/>
      <c r="F16" s="35">
        <v>500</v>
      </c>
      <c r="G16" s="35" t="b">
        <v>1</v>
      </c>
      <c r="H16" s="39" t="s">
        <v>15</v>
      </c>
      <c r="I16" s="35" t="s">
        <v>41</v>
      </c>
      <c r="J16" s="35">
        <v>0</v>
      </c>
      <c r="K16" s="35" t="s">
        <v>4205</v>
      </c>
      <c r="L16" s="35" t="s">
        <v>4203</v>
      </c>
      <c r="M16" s="35" t="s">
        <v>4073</v>
      </c>
      <c r="N16" s="35" t="s">
        <v>4203</v>
      </c>
      <c r="O16" s="35" t="s">
        <v>4203</v>
      </c>
      <c r="P16" s="35" t="s">
        <v>4203</v>
      </c>
      <c r="Q16" s="35" t="s">
        <v>2449</v>
      </c>
      <c r="R16" s="35" t="s">
        <v>4162</v>
      </c>
      <c r="S16" s="35"/>
      <c r="T16" s="35"/>
    </row>
    <row r="17" spans="1:1012" ht="14">
      <c r="A17" s="36" t="s">
        <v>4333</v>
      </c>
      <c r="B17" s="36"/>
      <c r="C17" s="36" t="s">
        <v>4339</v>
      </c>
      <c r="D17" s="35" t="s">
        <v>4334</v>
      </c>
      <c r="E17" s="35"/>
      <c r="F17" s="35">
        <v>200</v>
      </c>
      <c r="G17" s="35" t="b">
        <v>0</v>
      </c>
      <c r="H17" s="39" t="s">
        <v>15</v>
      </c>
      <c r="I17" s="35" t="s">
        <v>41</v>
      </c>
      <c r="J17" s="35">
        <v>1</v>
      </c>
      <c r="K17" s="35" t="s">
        <v>4205</v>
      </c>
      <c r="L17" s="35" t="s">
        <v>4203</v>
      </c>
      <c r="M17" s="35" t="s">
        <v>4073</v>
      </c>
      <c r="N17" s="35" t="s">
        <v>4203</v>
      </c>
      <c r="O17" s="35" t="s">
        <v>4203</v>
      </c>
      <c r="P17" s="35" t="s">
        <v>4203</v>
      </c>
      <c r="Q17" s="35" t="s">
        <v>2449</v>
      </c>
      <c r="R17" s="35" t="s">
        <v>4162</v>
      </c>
      <c r="S17" s="35"/>
      <c r="T17" s="35"/>
    </row>
    <row r="18" spans="1:1012" ht="14">
      <c r="A18" s="36" t="s">
        <v>51</v>
      </c>
      <c r="B18" s="36"/>
      <c r="C18" s="36" t="s">
        <v>3893</v>
      </c>
      <c r="D18" s="35" t="s">
        <v>52</v>
      </c>
      <c r="E18" s="35"/>
      <c r="F18" s="35">
        <v>600</v>
      </c>
      <c r="G18" s="35" t="b">
        <v>0</v>
      </c>
      <c r="H18" s="39" t="s">
        <v>15</v>
      </c>
      <c r="I18" s="35" t="s">
        <v>16</v>
      </c>
      <c r="J18" s="35">
        <v>0</v>
      </c>
      <c r="K18" s="35" t="s">
        <v>4205</v>
      </c>
      <c r="L18" s="35" t="s">
        <v>4203</v>
      </c>
      <c r="M18" s="35" t="s">
        <v>4073</v>
      </c>
      <c r="N18" s="35" t="s">
        <v>4203</v>
      </c>
      <c r="O18" s="35" t="s">
        <v>4203</v>
      </c>
      <c r="P18" s="35" t="s">
        <v>4203</v>
      </c>
      <c r="Q18" s="35" t="s">
        <v>2449</v>
      </c>
      <c r="R18" s="35" t="s">
        <v>4162</v>
      </c>
      <c r="S18" s="35"/>
      <c r="T18" s="35"/>
    </row>
    <row r="19" spans="1:1012" ht="14">
      <c r="A19" s="36" t="s">
        <v>2823</v>
      </c>
      <c r="B19" s="36"/>
      <c r="C19" s="36"/>
      <c r="D19" s="35" t="s">
        <v>2835</v>
      </c>
      <c r="E19" s="35"/>
      <c r="F19" s="35">
        <v>500</v>
      </c>
      <c r="G19" s="35" t="b">
        <v>1</v>
      </c>
      <c r="H19" s="39" t="s">
        <v>15</v>
      </c>
      <c r="I19" s="35" t="s">
        <v>37</v>
      </c>
      <c r="J19" s="35">
        <v>0</v>
      </c>
      <c r="K19" s="35" t="s">
        <v>4207</v>
      </c>
      <c r="L19" s="35" t="s">
        <v>4203</v>
      </c>
      <c r="M19" s="35" t="s">
        <v>4203</v>
      </c>
      <c r="N19" s="35" t="s">
        <v>4203</v>
      </c>
      <c r="O19" s="35" t="s">
        <v>4203</v>
      </c>
      <c r="P19" s="35" t="s">
        <v>4203</v>
      </c>
      <c r="Q19" s="35" t="s">
        <v>2449</v>
      </c>
      <c r="R19" s="35" t="s">
        <v>4162</v>
      </c>
      <c r="S19" s="35"/>
      <c r="T19" s="35"/>
    </row>
    <row r="20" spans="1:1012" ht="14">
      <c r="A20" s="36" t="s">
        <v>43</v>
      </c>
      <c r="B20" s="36"/>
      <c r="C20" s="36"/>
      <c r="D20" s="36" t="s">
        <v>44</v>
      </c>
      <c r="E20" s="36"/>
      <c r="F20" s="35">
        <v>500</v>
      </c>
      <c r="G20" s="35" t="b">
        <v>1</v>
      </c>
      <c r="H20" s="39" t="s">
        <v>15</v>
      </c>
      <c r="I20" s="35" t="s">
        <v>21</v>
      </c>
      <c r="J20" s="35">
        <v>2</v>
      </c>
      <c r="K20" s="35" t="s">
        <v>4205</v>
      </c>
      <c r="L20" s="35" t="s">
        <v>4203</v>
      </c>
      <c r="M20" s="35" t="s">
        <v>4073</v>
      </c>
      <c r="N20" s="35" t="s">
        <v>4203</v>
      </c>
      <c r="O20" s="35" t="s">
        <v>4203</v>
      </c>
      <c r="P20" s="35" t="s">
        <v>4203</v>
      </c>
      <c r="Q20" s="35" t="s">
        <v>2449</v>
      </c>
      <c r="R20" s="35" t="s">
        <v>4162</v>
      </c>
      <c r="S20" s="35"/>
      <c r="T20" s="35"/>
    </row>
    <row r="21" spans="1:1012" ht="49" customHeight="1">
      <c r="A21" s="36" t="s">
        <v>3896</v>
      </c>
      <c r="B21" s="36"/>
      <c r="C21" s="36" t="s">
        <v>3897</v>
      </c>
      <c r="D21" s="36" t="s">
        <v>3898</v>
      </c>
      <c r="E21" s="36"/>
      <c r="F21" s="35">
        <v>500</v>
      </c>
      <c r="G21" s="35" t="b">
        <v>0</v>
      </c>
      <c r="H21" s="39" t="s">
        <v>15</v>
      </c>
      <c r="I21" s="36" t="s">
        <v>21</v>
      </c>
      <c r="J21" s="35">
        <v>2</v>
      </c>
      <c r="K21" s="35" t="s">
        <v>4212</v>
      </c>
      <c r="L21" s="35" t="s">
        <v>4203</v>
      </c>
      <c r="M21" s="35" t="s">
        <v>4203</v>
      </c>
      <c r="N21" s="35" t="s">
        <v>4203</v>
      </c>
      <c r="O21" s="35" t="s">
        <v>4203</v>
      </c>
      <c r="P21" s="35" t="s">
        <v>4210</v>
      </c>
      <c r="Q21" s="35" t="s">
        <v>2449</v>
      </c>
      <c r="R21" s="35" t="s">
        <v>4162</v>
      </c>
      <c r="S21" s="35"/>
      <c r="T21" s="35"/>
    </row>
    <row r="22" spans="1:1012" ht="14">
      <c r="A22" s="35" t="s">
        <v>48</v>
      </c>
      <c r="B22" s="35"/>
      <c r="C22" s="26"/>
      <c r="D22" s="35" t="s">
        <v>49</v>
      </c>
      <c r="E22" s="35"/>
      <c r="F22" s="35">
        <v>500</v>
      </c>
      <c r="G22" s="35" t="b">
        <v>0</v>
      </c>
      <c r="H22" s="39" t="s">
        <v>15</v>
      </c>
      <c r="I22" s="35" t="s">
        <v>46</v>
      </c>
      <c r="J22" s="35">
        <v>2</v>
      </c>
      <c r="K22" s="35" t="s">
        <v>4212</v>
      </c>
      <c r="L22" s="35" t="s">
        <v>4203</v>
      </c>
      <c r="M22" s="35" t="s">
        <v>4203</v>
      </c>
      <c r="N22" s="35" t="s">
        <v>4203</v>
      </c>
      <c r="O22" s="35" t="s">
        <v>4203</v>
      </c>
      <c r="P22" s="35" t="s">
        <v>4210</v>
      </c>
      <c r="Q22" s="35" t="s">
        <v>2449</v>
      </c>
      <c r="R22" s="35" t="s">
        <v>4162</v>
      </c>
      <c r="S22" s="35"/>
      <c r="T22" s="35"/>
    </row>
    <row r="23" spans="1:1012" ht="30">
      <c r="A23" s="35" t="s">
        <v>45</v>
      </c>
      <c r="B23" s="35"/>
      <c r="C23" s="40" t="s">
        <v>4083</v>
      </c>
      <c r="D23" s="35" t="s">
        <v>50</v>
      </c>
      <c r="E23" s="35"/>
      <c r="F23" s="35">
        <v>700</v>
      </c>
      <c r="G23" s="35" t="b">
        <v>0</v>
      </c>
      <c r="H23" s="39" t="s">
        <v>15</v>
      </c>
      <c r="I23" s="35" t="s">
        <v>46</v>
      </c>
      <c r="J23" s="35">
        <v>2</v>
      </c>
      <c r="K23" s="35" t="s">
        <v>4215</v>
      </c>
      <c r="L23" s="35" t="s">
        <v>4203</v>
      </c>
      <c r="M23" s="35" t="s">
        <v>4073</v>
      </c>
      <c r="N23" s="35" t="s">
        <v>4203</v>
      </c>
      <c r="O23" s="35" t="s">
        <v>4203</v>
      </c>
      <c r="P23" s="35" t="s">
        <v>4210</v>
      </c>
      <c r="Q23" s="35" t="s">
        <v>2449</v>
      </c>
      <c r="R23" s="35" t="s">
        <v>4162</v>
      </c>
      <c r="S23" s="35"/>
      <c r="T23" s="35"/>
    </row>
    <row r="24" spans="1:1012" ht="14">
      <c r="A24" s="34" t="s">
        <v>3990</v>
      </c>
      <c r="B24" s="34"/>
      <c r="C24" s="35" t="s">
        <v>13</v>
      </c>
      <c r="D24" s="36" t="s">
        <v>4045</v>
      </c>
      <c r="E24" s="36" t="s">
        <v>4047</v>
      </c>
      <c r="F24" s="35">
        <v>500</v>
      </c>
      <c r="G24" s="35" t="b">
        <v>1</v>
      </c>
      <c r="H24" s="39" t="s">
        <v>15</v>
      </c>
      <c r="I24" s="35" t="s">
        <v>3043</v>
      </c>
      <c r="J24" s="35">
        <v>2</v>
      </c>
      <c r="K24" s="35" t="s">
        <v>4205</v>
      </c>
      <c r="L24" s="35" t="s">
        <v>4203</v>
      </c>
      <c r="M24" s="35" t="s">
        <v>4073</v>
      </c>
      <c r="N24" s="35" t="s">
        <v>4203</v>
      </c>
      <c r="O24" s="35" t="s">
        <v>4203</v>
      </c>
      <c r="P24" s="35" t="s">
        <v>4203</v>
      </c>
      <c r="Q24" s="35" t="s">
        <v>2449</v>
      </c>
      <c r="R24" s="35" t="s">
        <v>4162</v>
      </c>
      <c r="S24" s="35"/>
      <c r="T24" s="35"/>
    </row>
    <row r="25" spans="1:1012" ht="14">
      <c r="A25" s="36" t="s">
        <v>62</v>
      </c>
      <c r="B25" s="36"/>
      <c r="C25" s="36"/>
      <c r="D25" s="36" t="s">
        <v>3139</v>
      </c>
      <c r="E25" s="36"/>
      <c r="F25" s="35">
        <v>500</v>
      </c>
      <c r="G25" s="35" t="b">
        <v>0</v>
      </c>
      <c r="H25" s="39" t="s">
        <v>15</v>
      </c>
      <c r="I25" s="35" t="s">
        <v>21</v>
      </c>
      <c r="J25" s="35">
        <v>2</v>
      </c>
      <c r="K25" s="35" t="s">
        <v>4205</v>
      </c>
      <c r="L25" s="35" t="s">
        <v>4203</v>
      </c>
      <c r="M25" s="35" t="s">
        <v>4073</v>
      </c>
      <c r="N25" s="35" t="s">
        <v>4203</v>
      </c>
      <c r="O25" s="35" t="s">
        <v>4203</v>
      </c>
      <c r="P25" s="35" t="s">
        <v>4203</v>
      </c>
      <c r="Q25" s="35" t="s">
        <v>2449</v>
      </c>
      <c r="R25" s="35" t="s">
        <v>4162</v>
      </c>
      <c r="S25" s="35"/>
      <c r="T25" s="35"/>
    </row>
    <row r="26" spans="1:1012" ht="14">
      <c r="A26" s="36" t="s">
        <v>63</v>
      </c>
      <c r="B26" s="36"/>
      <c r="C26" s="36" t="s">
        <v>3990</v>
      </c>
      <c r="D26" s="36" t="s">
        <v>65</v>
      </c>
      <c r="E26" s="36"/>
      <c r="F26" s="35">
        <v>450</v>
      </c>
      <c r="G26" s="35" t="b">
        <v>0</v>
      </c>
      <c r="H26" s="39" t="s">
        <v>15</v>
      </c>
      <c r="I26" s="35" t="s">
        <v>66</v>
      </c>
      <c r="J26" s="35">
        <v>1</v>
      </c>
      <c r="K26" s="35" t="s">
        <v>4205</v>
      </c>
      <c r="L26" s="35" t="s">
        <v>4203</v>
      </c>
      <c r="M26" s="35" t="s">
        <v>4073</v>
      </c>
      <c r="N26" s="35" t="s">
        <v>4203</v>
      </c>
      <c r="O26" s="35" t="s">
        <v>4203</v>
      </c>
      <c r="P26" s="35" t="s">
        <v>4203</v>
      </c>
      <c r="Q26" s="35" t="s">
        <v>2449</v>
      </c>
      <c r="R26" s="35" t="s">
        <v>4162</v>
      </c>
      <c r="S26" s="35"/>
      <c r="T26" s="35"/>
    </row>
    <row r="27" spans="1:1012" s="17" customFormat="1" ht="14">
      <c r="A27" s="35" t="s">
        <v>2682</v>
      </c>
      <c r="B27" s="35"/>
      <c r="C27" s="35" t="s">
        <v>3992</v>
      </c>
      <c r="D27" s="35" t="s">
        <v>2683</v>
      </c>
      <c r="E27" s="35"/>
      <c r="F27" s="35">
        <v>500</v>
      </c>
      <c r="G27" s="35" t="b">
        <v>0</v>
      </c>
      <c r="H27" s="39" t="s">
        <v>15</v>
      </c>
      <c r="I27" s="35" t="s">
        <v>16</v>
      </c>
      <c r="J27" s="35">
        <v>0</v>
      </c>
      <c r="K27" s="35" t="s">
        <v>4205</v>
      </c>
      <c r="L27" s="35" t="s">
        <v>4203</v>
      </c>
      <c r="M27" s="35" t="s">
        <v>4073</v>
      </c>
      <c r="N27" s="35" t="s">
        <v>4203</v>
      </c>
      <c r="O27" s="35" t="s">
        <v>4203</v>
      </c>
      <c r="P27" s="35" t="s">
        <v>4203</v>
      </c>
      <c r="Q27" s="35" t="s">
        <v>2449</v>
      </c>
      <c r="R27" s="35" t="s">
        <v>4203</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c r="A28" s="35" t="s">
        <v>4424</v>
      </c>
      <c r="B28" s="35"/>
      <c r="C28" s="35"/>
      <c r="D28" s="36" t="s">
        <v>3033</v>
      </c>
      <c r="E28" s="36"/>
      <c r="F28" s="35">
        <v>500</v>
      </c>
      <c r="G28" s="35" t="b">
        <v>0</v>
      </c>
      <c r="H28" s="39" t="s">
        <v>15</v>
      </c>
      <c r="I28" s="35" t="s">
        <v>41</v>
      </c>
      <c r="J28" s="35">
        <v>0</v>
      </c>
      <c r="K28" s="35" t="s">
        <v>4205</v>
      </c>
      <c r="L28" s="35" t="s">
        <v>4203</v>
      </c>
      <c r="M28" s="35" t="s">
        <v>4073</v>
      </c>
      <c r="N28" s="35" t="s">
        <v>4203</v>
      </c>
      <c r="O28" s="35" t="s">
        <v>4203</v>
      </c>
      <c r="P28" s="35" t="s">
        <v>4203</v>
      </c>
      <c r="Q28" s="35" t="s">
        <v>2449</v>
      </c>
      <c r="R28" s="35" t="s">
        <v>4162</v>
      </c>
      <c r="S28" s="35"/>
      <c r="T28" s="35"/>
    </row>
    <row r="29" spans="1:1012" ht="14">
      <c r="A29" s="36" t="s">
        <v>23</v>
      </c>
      <c r="B29" s="36"/>
      <c r="C29" s="36" t="s">
        <v>4421</v>
      </c>
      <c r="D29" s="35" t="s">
        <v>70</v>
      </c>
      <c r="E29" s="35"/>
      <c r="F29" s="35">
        <v>500</v>
      </c>
      <c r="G29" s="35" t="b">
        <v>0</v>
      </c>
      <c r="H29" s="39" t="s">
        <v>15</v>
      </c>
      <c r="I29" s="35" t="s">
        <v>25</v>
      </c>
      <c r="J29" s="35">
        <v>1</v>
      </c>
      <c r="K29" s="35" t="s">
        <v>4208</v>
      </c>
      <c r="L29" s="35" t="s">
        <v>2378</v>
      </c>
      <c r="M29" s="35" t="s">
        <v>4073</v>
      </c>
      <c r="N29" s="35" t="s">
        <v>4203</v>
      </c>
      <c r="O29" s="35" t="s">
        <v>4203</v>
      </c>
      <c r="P29" s="35" t="s">
        <v>4203</v>
      </c>
      <c r="Q29" s="35" t="s">
        <v>2449</v>
      </c>
      <c r="R29" s="35" t="s">
        <v>4203</v>
      </c>
      <c r="S29" s="35"/>
      <c r="T29" s="35"/>
    </row>
    <row r="30" spans="1:1012" ht="14">
      <c r="A30" s="36" t="s">
        <v>4012</v>
      </c>
      <c r="B30" s="36"/>
      <c r="C30" s="36" t="s">
        <v>3996</v>
      </c>
      <c r="D30" s="36" t="s">
        <v>4013</v>
      </c>
      <c r="E30" s="36"/>
      <c r="F30" s="35">
        <v>450</v>
      </c>
      <c r="G30" s="35" t="b">
        <v>0</v>
      </c>
      <c r="H30" s="39" t="s">
        <v>15</v>
      </c>
      <c r="I30" s="35" t="s">
        <v>25</v>
      </c>
      <c r="J30" s="35">
        <v>1</v>
      </c>
      <c r="K30" s="35" t="s">
        <v>4206</v>
      </c>
      <c r="L30" s="35" t="s">
        <v>4203</v>
      </c>
      <c r="M30" s="35" t="s">
        <v>4073</v>
      </c>
      <c r="N30" s="35" t="s">
        <v>4203</v>
      </c>
      <c r="O30" s="35" t="s">
        <v>4203</v>
      </c>
      <c r="P30" s="35" t="s">
        <v>4203</v>
      </c>
      <c r="Q30" s="35" t="s">
        <v>2449</v>
      </c>
      <c r="R30" s="35" t="s">
        <v>4203</v>
      </c>
      <c r="S30" s="35"/>
      <c r="T30" s="35"/>
    </row>
    <row r="31" spans="1:1012" ht="14">
      <c r="A31" s="35" t="s">
        <v>73</v>
      </c>
      <c r="B31" s="35"/>
      <c r="C31" s="35"/>
      <c r="D31" s="35" t="s">
        <v>74</v>
      </c>
      <c r="E31" s="35"/>
      <c r="F31" s="35">
        <v>500</v>
      </c>
      <c r="G31" s="35" t="b">
        <v>0</v>
      </c>
      <c r="H31" s="39" t="s">
        <v>15</v>
      </c>
      <c r="I31" s="35" t="s">
        <v>37</v>
      </c>
      <c r="J31" s="35">
        <v>0</v>
      </c>
      <c r="K31" s="35" t="s">
        <v>4206</v>
      </c>
      <c r="L31" s="35" t="s">
        <v>4203</v>
      </c>
      <c r="M31" s="35" t="s">
        <v>4073</v>
      </c>
      <c r="N31" s="35" t="s">
        <v>4203</v>
      </c>
      <c r="O31" s="35" t="s">
        <v>4203</v>
      </c>
      <c r="P31" s="35" t="s">
        <v>4203</v>
      </c>
      <c r="Q31" s="35" t="s">
        <v>2449</v>
      </c>
      <c r="R31" s="35" t="s">
        <v>4203</v>
      </c>
      <c r="S31" s="35"/>
      <c r="T31" s="35"/>
    </row>
    <row r="32" spans="1:1012" ht="14">
      <c r="A32" s="26" t="s">
        <v>3992</v>
      </c>
      <c r="B32" s="26"/>
      <c r="C32" s="35"/>
      <c r="D32" s="36" t="s">
        <v>3920</v>
      </c>
      <c r="E32" s="36" t="s">
        <v>4046</v>
      </c>
      <c r="F32" s="35">
        <v>500</v>
      </c>
      <c r="G32" s="35" t="b">
        <v>1</v>
      </c>
      <c r="H32" s="39" t="s">
        <v>15</v>
      </c>
      <c r="I32" s="35" t="s">
        <v>3043</v>
      </c>
      <c r="J32" s="35">
        <v>2</v>
      </c>
      <c r="K32" s="35" t="s">
        <v>4205</v>
      </c>
      <c r="L32" s="35" t="s">
        <v>4203</v>
      </c>
      <c r="M32" s="35" t="s">
        <v>4073</v>
      </c>
      <c r="N32" s="35" t="s">
        <v>4203</v>
      </c>
      <c r="O32" s="35" t="s">
        <v>4203</v>
      </c>
      <c r="P32" s="35" t="s">
        <v>4203</v>
      </c>
      <c r="Q32" s="35" t="s">
        <v>2449</v>
      </c>
      <c r="R32" s="35" t="s">
        <v>4162</v>
      </c>
      <c r="S32" s="35"/>
      <c r="T32" s="35"/>
    </row>
    <row r="33" spans="1:1012" ht="14">
      <c r="A33" s="35" t="s">
        <v>4227</v>
      </c>
      <c r="B33" s="35" t="s">
        <v>4202</v>
      </c>
      <c r="C33" s="35"/>
      <c r="D33" s="35" t="s">
        <v>4228</v>
      </c>
      <c r="E33" s="35"/>
      <c r="F33" s="35">
        <v>500</v>
      </c>
      <c r="G33" s="35" t="b">
        <v>0</v>
      </c>
      <c r="H33" s="39" t="s">
        <v>15</v>
      </c>
      <c r="I33" s="35" t="s">
        <v>37</v>
      </c>
      <c r="J33" s="35">
        <v>0</v>
      </c>
      <c r="K33" s="35" t="s">
        <v>4205</v>
      </c>
      <c r="L33" s="35" t="s">
        <v>4203</v>
      </c>
      <c r="M33" s="35" t="s">
        <v>4073</v>
      </c>
      <c r="N33" s="35" t="s">
        <v>4203</v>
      </c>
      <c r="O33" s="35" t="s">
        <v>4203</v>
      </c>
      <c r="P33" s="35" t="s">
        <v>4203</v>
      </c>
      <c r="Q33" s="35" t="s">
        <v>2449</v>
      </c>
      <c r="R33" s="35" t="s">
        <v>4162</v>
      </c>
      <c r="S33" s="35"/>
      <c r="T33" s="35"/>
    </row>
    <row r="34" spans="1:1012" ht="14">
      <c r="A34" s="35" t="s">
        <v>164</v>
      </c>
      <c r="B34" s="35"/>
      <c r="C34" s="35"/>
      <c r="D34" s="35" t="s">
        <v>2720</v>
      </c>
      <c r="E34" s="35"/>
      <c r="F34" s="35">
        <v>800</v>
      </c>
      <c r="G34" s="35" t="b">
        <v>0</v>
      </c>
      <c r="H34" s="39" t="s">
        <v>15</v>
      </c>
      <c r="I34" s="35" t="s">
        <v>165</v>
      </c>
      <c r="J34" s="35">
        <v>0</v>
      </c>
      <c r="K34" s="35" t="s">
        <v>165</v>
      </c>
      <c r="L34" s="35" t="s">
        <v>4203</v>
      </c>
      <c r="M34" s="35" t="s">
        <v>4203</v>
      </c>
      <c r="N34" s="35" t="s">
        <v>165</v>
      </c>
      <c r="O34" s="35" t="s">
        <v>4203</v>
      </c>
      <c r="P34" s="35" t="s">
        <v>4203</v>
      </c>
      <c r="Q34" s="35" t="s">
        <v>4203</v>
      </c>
      <c r="R34" s="35" t="s">
        <v>4203</v>
      </c>
      <c r="S34" s="35"/>
      <c r="T34" s="35"/>
    </row>
    <row r="35" spans="1:1012" ht="14">
      <c r="A35" s="35" t="s">
        <v>92</v>
      </c>
      <c r="B35" s="35"/>
      <c r="C35" s="35" t="s">
        <v>4199</v>
      </c>
      <c r="D35" s="35" t="s">
        <v>94</v>
      </c>
      <c r="E35" s="35"/>
      <c r="F35" s="35">
        <v>520</v>
      </c>
      <c r="G35" s="35" t="b">
        <v>0</v>
      </c>
      <c r="H35" s="39" t="s">
        <v>15</v>
      </c>
      <c r="I35" s="35" t="s">
        <v>95</v>
      </c>
      <c r="J35" s="35">
        <v>0</v>
      </c>
      <c r="K35" s="35" t="s">
        <v>4216</v>
      </c>
      <c r="L35" s="35" t="s">
        <v>4203</v>
      </c>
      <c r="M35" s="35" t="s">
        <v>4073</v>
      </c>
      <c r="N35" s="35" t="s">
        <v>4203</v>
      </c>
      <c r="O35" s="35" t="s">
        <v>95</v>
      </c>
      <c r="P35" s="35" t="s">
        <v>4203</v>
      </c>
      <c r="Q35" s="35" t="s">
        <v>4203</v>
      </c>
      <c r="R35" s="35" t="s">
        <v>4203</v>
      </c>
      <c r="S35" s="35"/>
      <c r="T35" s="35"/>
    </row>
    <row r="36" spans="1:1012" ht="14">
      <c r="A36" s="35" t="s">
        <v>3054</v>
      </c>
      <c r="B36" s="35"/>
      <c r="C36" s="35"/>
      <c r="D36" s="35" t="s">
        <v>3053</v>
      </c>
      <c r="E36" s="35"/>
      <c r="F36" s="35">
        <v>500</v>
      </c>
      <c r="G36" s="35" t="b">
        <v>0</v>
      </c>
      <c r="H36" s="39" t="s">
        <v>15</v>
      </c>
      <c r="I36" s="35" t="s">
        <v>37</v>
      </c>
      <c r="J36" s="35">
        <v>0</v>
      </c>
      <c r="K36" s="35" t="s">
        <v>4205</v>
      </c>
      <c r="L36" s="35" t="s">
        <v>4203</v>
      </c>
      <c r="M36" s="35" t="s">
        <v>4073</v>
      </c>
      <c r="N36" s="35" t="s">
        <v>4203</v>
      </c>
      <c r="O36" s="35" t="s">
        <v>4203</v>
      </c>
      <c r="P36" s="35" t="s">
        <v>4203</v>
      </c>
      <c r="Q36" s="35" t="s">
        <v>2449</v>
      </c>
      <c r="R36" s="35" t="s">
        <v>4162</v>
      </c>
      <c r="S36" s="35"/>
      <c r="T36" s="35"/>
    </row>
    <row r="37" spans="1:1012" ht="14">
      <c r="A37" s="36" t="s">
        <v>75</v>
      </c>
      <c r="B37" s="36"/>
      <c r="C37" s="36" t="s">
        <v>3992</v>
      </c>
      <c r="D37" s="35" t="s">
        <v>76</v>
      </c>
      <c r="E37" s="35"/>
      <c r="F37" s="35">
        <v>500</v>
      </c>
      <c r="G37" s="35" t="b">
        <v>0</v>
      </c>
      <c r="H37" s="39" t="s">
        <v>15</v>
      </c>
      <c r="I37" s="35" t="s">
        <v>16</v>
      </c>
      <c r="J37" s="35">
        <v>0</v>
      </c>
      <c r="K37" s="35" t="s">
        <v>4205</v>
      </c>
      <c r="L37" s="35" t="s">
        <v>4203</v>
      </c>
      <c r="M37" s="35" t="s">
        <v>4073</v>
      </c>
      <c r="N37" s="35" t="s">
        <v>4203</v>
      </c>
      <c r="O37" s="35" t="s">
        <v>4203</v>
      </c>
      <c r="P37" s="35" t="s">
        <v>4203</v>
      </c>
      <c r="Q37" s="35" t="s">
        <v>2449</v>
      </c>
      <c r="R37" s="35" t="s">
        <v>4203</v>
      </c>
      <c r="S37" s="35"/>
      <c r="T37" s="35"/>
    </row>
    <row r="38" spans="1:1012" ht="14">
      <c r="A38" s="35" t="s">
        <v>77</v>
      </c>
      <c r="B38" s="35"/>
      <c r="C38" s="35" t="s">
        <v>4331</v>
      </c>
      <c r="D38" s="35" t="s">
        <v>78</v>
      </c>
      <c r="E38" s="35"/>
      <c r="F38" s="35">
        <v>500</v>
      </c>
      <c r="G38" s="35" t="b">
        <v>0</v>
      </c>
      <c r="H38" s="39" t="s">
        <v>15</v>
      </c>
      <c r="I38" s="35" t="s">
        <v>79</v>
      </c>
      <c r="J38" s="35">
        <v>0</v>
      </c>
      <c r="K38" s="35" t="s">
        <v>4208</v>
      </c>
      <c r="L38" s="35" t="s">
        <v>2378</v>
      </c>
      <c r="M38" s="35" t="s">
        <v>4073</v>
      </c>
      <c r="N38" s="35" t="s">
        <v>4203</v>
      </c>
      <c r="O38" s="35" t="s">
        <v>4203</v>
      </c>
      <c r="P38" s="35" t="s">
        <v>4203</v>
      </c>
      <c r="Q38" s="35" t="s">
        <v>2449</v>
      </c>
      <c r="R38" s="35" t="s">
        <v>4203</v>
      </c>
      <c r="S38" s="35"/>
      <c r="T38" s="35"/>
    </row>
    <row r="39" spans="1:1012" ht="14">
      <c r="A39" s="35" t="s">
        <v>4318</v>
      </c>
      <c r="B39" s="35" t="s">
        <v>4202</v>
      </c>
      <c r="C39" s="35"/>
      <c r="D39" s="35" t="s">
        <v>4319</v>
      </c>
      <c r="E39" s="35"/>
      <c r="F39" s="35">
        <v>500</v>
      </c>
      <c r="G39" s="35" t="b">
        <v>1</v>
      </c>
      <c r="H39" s="39" t="s">
        <v>15</v>
      </c>
      <c r="I39" s="35" t="s">
        <v>37</v>
      </c>
      <c r="J39" s="35">
        <v>0</v>
      </c>
      <c r="K39" s="35" t="s">
        <v>4205</v>
      </c>
      <c r="L39" s="35" t="s">
        <v>4203</v>
      </c>
      <c r="M39" s="35" t="s">
        <v>4073</v>
      </c>
      <c r="N39" s="35" t="s">
        <v>4203</v>
      </c>
      <c r="O39" s="35" t="s">
        <v>4203</v>
      </c>
      <c r="P39" s="35" t="s">
        <v>4203</v>
      </c>
      <c r="Q39" s="35" t="s">
        <v>2449</v>
      </c>
      <c r="R39" s="35" t="s">
        <v>4162</v>
      </c>
      <c r="S39" s="35"/>
      <c r="T39" s="35"/>
    </row>
    <row r="40" spans="1:1012" ht="14">
      <c r="A40" s="35" t="s">
        <v>4132</v>
      </c>
      <c r="B40" s="35" t="s">
        <v>4133</v>
      </c>
      <c r="C40" s="35"/>
      <c r="D40" s="35" t="s">
        <v>4134</v>
      </c>
      <c r="E40" s="35"/>
      <c r="F40" s="35">
        <v>500</v>
      </c>
      <c r="G40" s="35" t="b">
        <v>0</v>
      </c>
      <c r="H40" s="39" t="s">
        <v>15</v>
      </c>
      <c r="I40" s="35" t="s">
        <v>95</v>
      </c>
      <c r="J40" s="35">
        <v>0</v>
      </c>
      <c r="K40" s="35" t="s">
        <v>4216</v>
      </c>
      <c r="L40" s="35" t="s">
        <v>4203</v>
      </c>
      <c r="M40" s="35" t="s">
        <v>4073</v>
      </c>
      <c r="N40" s="35" t="s">
        <v>4203</v>
      </c>
      <c r="O40" s="35" t="s">
        <v>95</v>
      </c>
      <c r="P40" s="35"/>
      <c r="Q40" s="35"/>
      <c r="R40" s="35"/>
      <c r="S40" s="35"/>
      <c r="T40" s="35"/>
    </row>
    <row r="41" spans="1:1012" ht="14">
      <c r="A41" s="35" t="s">
        <v>80</v>
      </c>
      <c r="B41" s="35" t="s">
        <v>4015</v>
      </c>
      <c r="C41" s="35"/>
      <c r="D41" s="36" t="s">
        <v>3051</v>
      </c>
      <c r="E41" s="36"/>
      <c r="F41" s="35">
        <v>500</v>
      </c>
      <c r="G41" s="35" t="b">
        <v>0</v>
      </c>
      <c r="H41" s="39" t="s">
        <v>15</v>
      </c>
      <c r="I41" s="35" t="s">
        <v>21</v>
      </c>
      <c r="J41" s="35">
        <v>2</v>
      </c>
      <c r="K41" s="35" t="s">
        <v>4205</v>
      </c>
      <c r="L41" s="35" t="s">
        <v>4203</v>
      </c>
      <c r="M41" s="35" t="s">
        <v>4073</v>
      </c>
      <c r="N41" s="35" t="s">
        <v>4203</v>
      </c>
      <c r="O41" s="35" t="s">
        <v>4203</v>
      </c>
      <c r="P41" s="35" t="s">
        <v>4203</v>
      </c>
      <c r="Q41" s="35" t="s">
        <v>2449</v>
      </c>
      <c r="R41" s="35" t="s">
        <v>4162</v>
      </c>
      <c r="S41" s="35"/>
      <c r="T41" s="35"/>
    </row>
    <row r="42" spans="1:1012" ht="14">
      <c r="A42" s="35" t="s">
        <v>82</v>
      </c>
      <c r="B42" s="35" t="s">
        <v>4435</v>
      </c>
      <c r="C42" s="35"/>
      <c r="D42" s="36" t="s">
        <v>3136</v>
      </c>
      <c r="E42" s="36"/>
      <c r="F42" s="35">
        <v>500</v>
      </c>
      <c r="G42" s="35" t="b">
        <v>0</v>
      </c>
      <c r="H42" s="39" t="s">
        <v>15</v>
      </c>
      <c r="I42" s="35" t="s">
        <v>21</v>
      </c>
      <c r="J42" s="35">
        <v>2</v>
      </c>
      <c r="K42" s="35" t="s">
        <v>4205</v>
      </c>
      <c r="L42" s="35" t="s">
        <v>4203</v>
      </c>
      <c r="M42" s="35" t="s">
        <v>4073</v>
      </c>
      <c r="N42" s="35" t="s">
        <v>4203</v>
      </c>
      <c r="O42" s="35" t="s">
        <v>4203</v>
      </c>
      <c r="P42" s="35" t="s">
        <v>4203</v>
      </c>
      <c r="Q42" s="35" t="s">
        <v>2449</v>
      </c>
      <c r="R42" s="35" t="s">
        <v>4162</v>
      </c>
      <c r="S42" s="35"/>
      <c r="T42" s="35"/>
    </row>
    <row r="43" spans="1:1012" s="18" customFormat="1" ht="14">
      <c r="A43" s="35" t="s">
        <v>83</v>
      </c>
      <c r="B43" s="35" t="s">
        <v>4435</v>
      </c>
      <c r="C43" s="36"/>
      <c r="D43" s="36" t="s">
        <v>84</v>
      </c>
      <c r="E43" s="36"/>
      <c r="F43" s="35">
        <v>500</v>
      </c>
      <c r="G43" s="35" t="b">
        <v>0</v>
      </c>
      <c r="H43" s="39" t="s">
        <v>15</v>
      </c>
      <c r="I43" s="35" t="s">
        <v>21</v>
      </c>
      <c r="J43" s="35">
        <v>2</v>
      </c>
      <c r="K43" s="35" t="s">
        <v>4205</v>
      </c>
      <c r="L43" s="35" t="s">
        <v>4203</v>
      </c>
      <c r="M43" s="35" t="s">
        <v>4073</v>
      </c>
      <c r="N43" s="35" t="s">
        <v>4203</v>
      </c>
      <c r="O43" s="35" t="s">
        <v>4203</v>
      </c>
      <c r="P43" s="35" t="s">
        <v>4203</v>
      </c>
      <c r="Q43" s="35" t="s">
        <v>2449</v>
      </c>
      <c r="R43" s="35" t="s">
        <v>4162</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c r="A44" s="35" t="s">
        <v>85</v>
      </c>
      <c r="B44" s="35" t="s">
        <v>4435</v>
      </c>
      <c r="C44" s="36"/>
      <c r="D44" s="36" t="s">
        <v>86</v>
      </c>
      <c r="E44" s="36"/>
      <c r="F44" s="35">
        <v>500</v>
      </c>
      <c r="G44" s="35" t="b">
        <v>0</v>
      </c>
      <c r="H44" s="39" t="s">
        <v>15</v>
      </c>
      <c r="I44" s="35" t="s">
        <v>21</v>
      </c>
      <c r="J44" s="35">
        <v>2</v>
      </c>
      <c r="K44" s="35" t="s">
        <v>4205</v>
      </c>
      <c r="L44" s="35" t="s">
        <v>4203</v>
      </c>
      <c r="M44" s="35" t="s">
        <v>4073</v>
      </c>
      <c r="N44" s="35" t="s">
        <v>4203</v>
      </c>
      <c r="O44" s="35" t="s">
        <v>4203</v>
      </c>
      <c r="P44" s="35" t="s">
        <v>4203</v>
      </c>
      <c r="Q44" s="35" t="s">
        <v>2449</v>
      </c>
      <c r="R44" s="35" t="s">
        <v>4162</v>
      </c>
      <c r="S44" s="35"/>
      <c r="T44" s="35"/>
    </row>
    <row r="45" spans="1:1012" ht="14">
      <c r="A45" s="36" t="s">
        <v>87</v>
      </c>
      <c r="B45" s="36"/>
      <c r="C45" s="36"/>
      <c r="D45" s="35" t="s">
        <v>88</v>
      </c>
      <c r="E45" s="35"/>
      <c r="F45" s="35">
        <v>500</v>
      </c>
      <c r="G45" s="35" t="b">
        <v>0</v>
      </c>
      <c r="H45" s="39" t="s">
        <v>15</v>
      </c>
      <c r="I45" s="35" t="s">
        <v>29</v>
      </c>
      <c r="J45" s="35">
        <v>0</v>
      </c>
      <c r="K45" s="35" t="s">
        <v>4206</v>
      </c>
      <c r="L45" s="35" t="s">
        <v>4203</v>
      </c>
      <c r="M45" s="35" t="s">
        <v>4073</v>
      </c>
      <c r="N45" s="35" t="s">
        <v>4203</v>
      </c>
      <c r="O45" s="35" t="s">
        <v>4203</v>
      </c>
      <c r="P45" s="35" t="s">
        <v>4203</v>
      </c>
      <c r="Q45" s="35" t="s">
        <v>2449</v>
      </c>
      <c r="R45" s="35" t="s">
        <v>4203</v>
      </c>
      <c r="S45" s="35"/>
      <c r="T45" s="35"/>
    </row>
    <row r="46" spans="1:1012" ht="14">
      <c r="A46" s="35" t="s">
        <v>166</v>
      </c>
      <c r="B46" s="35"/>
      <c r="C46" s="35"/>
      <c r="D46" s="35" t="s">
        <v>167</v>
      </c>
      <c r="E46" s="35"/>
      <c r="F46" s="35">
        <v>700</v>
      </c>
      <c r="G46" s="35" t="b">
        <v>0</v>
      </c>
      <c r="H46" s="39" t="s">
        <v>15</v>
      </c>
      <c r="I46" s="35" t="s">
        <v>165</v>
      </c>
      <c r="J46" s="35">
        <v>0</v>
      </c>
      <c r="K46" s="35" t="s">
        <v>165</v>
      </c>
      <c r="L46" s="35" t="s">
        <v>4203</v>
      </c>
      <c r="M46" s="35" t="s">
        <v>4203</v>
      </c>
      <c r="N46" s="35" t="s">
        <v>165</v>
      </c>
      <c r="O46" s="35" t="s">
        <v>4203</v>
      </c>
      <c r="P46" s="35" t="s">
        <v>4203</v>
      </c>
      <c r="Q46" s="35" t="s">
        <v>4203</v>
      </c>
      <c r="R46" s="35" t="s">
        <v>4203</v>
      </c>
      <c r="S46" s="35"/>
      <c r="T46" s="35"/>
    </row>
    <row r="47" spans="1:1012" ht="14">
      <c r="A47" s="26" t="s">
        <v>3991</v>
      </c>
      <c r="B47" s="26"/>
      <c r="C47" s="35"/>
      <c r="D47" s="36" t="s">
        <v>3913</v>
      </c>
      <c r="E47" s="36" t="s">
        <v>2679</v>
      </c>
      <c r="F47" s="35">
        <v>500</v>
      </c>
      <c r="G47" s="35" t="b">
        <v>1</v>
      </c>
      <c r="H47" s="39" t="s">
        <v>15</v>
      </c>
      <c r="I47" s="35" t="s">
        <v>3043</v>
      </c>
      <c r="J47" s="35">
        <v>2</v>
      </c>
      <c r="K47" s="35" t="s">
        <v>4205</v>
      </c>
      <c r="L47" s="35" t="s">
        <v>4203</v>
      </c>
      <c r="M47" s="35" t="s">
        <v>4073</v>
      </c>
      <c r="N47" s="35" t="s">
        <v>4203</v>
      </c>
      <c r="O47" s="35" t="s">
        <v>4203</v>
      </c>
      <c r="P47" s="35" t="s">
        <v>4203</v>
      </c>
      <c r="Q47" s="35" t="s">
        <v>2449</v>
      </c>
      <c r="R47" s="35" t="s">
        <v>4162</v>
      </c>
      <c r="S47" s="35"/>
      <c r="T47" s="35"/>
    </row>
    <row r="48" spans="1:1012" ht="14">
      <c r="A48" s="26" t="s">
        <v>1116</v>
      </c>
      <c r="B48" s="26"/>
      <c r="C48" s="35"/>
      <c r="D48" s="36" t="s">
        <v>3976</v>
      </c>
      <c r="E48" s="36"/>
      <c r="F48" s="35">
        <v>500</v>
      </c>
      <c r="G48" s="35" t="b">
        <v>1</v>
      </c>
      <c r="H48" s="39" t="s">
        <v>15</v>
      </c>
      <c r="I48" s="35" t="s">
        <v>3043</v>
      </c>
      <c r="J48" s="35">
        <v>2</v>
      </c>
      <c r="K48" s="35" t="s">
        <v>4205</v>
      </c>
      <c r="L48" s="35" t="s">
        <v>4203</v>
      </c>
      <c r="M48" s="35" t="s">
        <v>4073</v>
      </c>
      <c r="N48" s="35" t="s">
        <v>4203</v>
      </c>
      <c r="O48" s="35" t="s">
        <v>4203</v>
      </c>
      <c r="P48" s="35" t="s">
        <v>4203</v>
      </c>
      <c r="Q48" s="35" t="s">
        <v>2449</v>
      </c>
      <c r="R48" s="35" t="s">
        <v>4162</v>
      </c>
      <c r="S48" s="35"/>
      <c r="T48" s="35"/>
    </row>
    <row r="49" spans="1:20" ht="14">
      <c r="A49" s="35" t="s">
        <v>4398</v>
      </c>
      <c r="B49" s="35"/>
      <c r="C49" s="35"/>
      <c r="D49" s="35" t="s">
        <v>4397</v>
      </c>
      <c r="E49" s="35"/>
      <c r="F49" s="35">
        <v>550</v>
      </c>
      <c r="G49" s="35" t="b">
        <v>0</v>
      </c>
      <c r="H49" s="39" t="s">
        <v>15</v>
      </c>
      <c r="I49" s="35" t="s">
        <v>37</v>
      </c>
      <c r="J49" s="35">
        <v>0</v>
      </c>
      <c r="K49" s="35" t="s">
        <v>4205</v>
      </c>
      <c r="L49" s="35" t="s">
        <v>4203</v>
      </c>
      <c r="M49" s="35" t="s">
        <v>4073</v>
      </c>
      <c r="N49" s="35" t="s">
        <v>4203</v>
      </c>
      <c r="O49" s="35" t="s">
        <v>4203</v>
      </c>
      <c r="P49" s="35" t="s">
        <v>4203</v>
      </c>
      <c r="Q49" s="35" t="s">
        <v>2449</v>
      </c>
      <c r="R49" s="35" t="s">
        <v>4162</v>
      </c>
      <c r="S49" s="35"/>
      <c r="T49" s="35"/>
    </row>
    <row r="50" spans="1:20" ht="14">
      <c r="A50" s="35" t="s">
        <v>96</v>
      </c>
      <c r="B50" s="35"/>
      <c r="C50" s="35" t="s">
        <v>4157</v>
      </c>
      <c r="D50" s="35" t="s">
        <v>97</v>
      </c>
      <c r="E50" s="35"/>
      <c r="F50" s="35">
        <v>650</v>
      </c>
      <c r="G50" s="35" t="b">
        <v>0</v>
      </c>
      <c r="H50" s="39" t="s">
        <v>15</v>
      </c>
      <c r="I50" s="35" t="s">
        <v>95</v>
      </c>
      <c r="J50" s="35">
        <v>0</v>
      </c>
      <c r="K50" s="35" t="s">
        <v>4216</v>
      </c>
      <c r="L50" s="35" t="s">
        <v>4203</v>
      </c>
      <c r="M50" s="35" t="s">
        <v>4073</v>
      </c>
      <c r="N50" s="35" t="s">
        <v>4203</v>
      </c>
      <c r="O50" s="35" t="s">
        <v>95</v>
      </c>
      <c r="P50" s="35" t="s">
        <v>4203</v>
      </c>
      <c r="Q50" s="35" t="s">
        <v>4203</v>
      </c>
      <c r="R50" s="35" t="s">
        <v>4203</v>
      </c>
      <c r="S50" s="35"/>
      <c r="T50" s="35"/>
    </row>
    <row r="51" spans="1:20" ht="14">
      <c r="A51" s="36" t="s">
        <v>100</v>
      </c>
      <c r="B51" s="36"/>
      <c r="C51" s="36" t="s">
        <v>4158</v>
      </c>
      <c r="D51" s="35" t="s">
        <v>2711</v>
      </c>
      <c r="E51" s="35"/>
      <c r="F51" s="35">
        <v>800</v>
      </c>
      <c r="G51" s="35" t="b">
        <v>0</v>
      </c>
      <c r="H51" s="39" t="s">
        <v>15</v>
      </c>
      <c r="I51" s="35" t="s">
        <v>3772</v>
      </c>
      <c r="J51" s="35">
        <v>0</v>
      </c>
      <c r="K51" s="35" t="s">
        <v>4205</v>
      </c>
      <c r="L51" s="35" t="s">
        <v>4203</v>
      </c>
      <c r="M51" s="35" t="s">
        <v>4073</v>
      </c>
      <c r="N51" s="35" t="s">
        <v>4203</v>
      </c>
      <c r="O51" s="35" t="s">
        <v>4203</v>
      </c>
      <c r="P51" s="35" t="s">
        <v>4203</v>
      </c>
      <c r="Q51" s="35" t="s">
        <v>2449</v>
      </c>
      <c r="R51" s="35" t="s">
        <v>4162</v>
      </c>
      <c r="S51" s="35"/>
      <c r="T51" s="35"/>
    </row>
    <row r="52" spans="1:20" ht="14">
      <c r="A52" s="35" t="s">
        <v>2880</v>
      </c>
      <c r="B52" s="35"/>
      <c r="C52" s="35"/>
      <c r="D52" s="35" t="s">
        <v>2881</v>
      </c>
      <c r="E52" s="35"/>
      <c r="F52" s="35">
        <v>600</v>
      </c>
      <c r="G52" s="35" t="b">
        <v>0</v>
      </c>
      <c r="H52" s="39" t="s">
        <v>15</v>
      </c>
      <c r="I52" s="35" t="s">
        <v>37</v>
      </c>
      <c r="J52" s="35">
        <v>0</v>
      </c>
      <c r="K52" s="35"/>
      <c r="L52" s="35" t="s">
        <v>4203</v>
      </c>
      <c r="M52" s="35" t="s">
        <v>4203</v>
      </c>
      <c r="N52" s="35" t="s">
        <v>4203</v>
      </c>
      <c r="O52" s="35" t="s">
        <v>4203</v>
      </c>
      <c r="P52" s="35" t="s">
        <v>4203</v>
      </c>
      <c r="Q52" s="35" t="s">
        <v>4203</v>
      </c>
      <c r="R52" s="35" t="s">
        <v>4203</v>
      </c>
      <c r="S52" s="35"/>
      <c r="T52" s="35"/>
    </row>
    <row r="53" spans="1:20" ht="14">
      <c r="A53" s="36" t="s">
        <v>4091</v>
      </c>
      <c r="B53" s="35" t="s">
        <v>4105</v>
      </c>
      <c r="C53" s="35"/>
      <c r="D53" s="36" t="s">
        <v>4104</v>
      </c>
      <c r="E53" s="36" t="s">
        <v>1177</v>
      </c>
      <c r="F53" s="35">
        <v>500</v>
      </c>
      <c r="G53" s="35" t="b">
        <v>1</v>
      </c>
      <c r="H53" s="39" t="s">
        <v>15</v>
      </c>
      <c r="I53" s="35" t="s">
        <v>95</v>
      </c>
      <c r="J53" s="35">
        <v>0</v>
      </c>
      <c r="K53" s="35" t="s">
        <v>4216</v>
      </c>
      <c r="L53" s="35" t="s">
        <v>4203</v>
      </c>
      <c r="M53" s="35" t="s">
        <v>4073</v>
      </c>
      <c r="N53" s="35" t="s">
        <v>4203</v>
      </c>
      <c r="O53" s="35" t="s">
        <v>95</v>
      </c>
      <c r="P53" s="35" t="s">
        <v>4203</v>
      </c>
      <c r="Q53" s="35" t="s">
        <v>4203</v>
      </c>
      <c r="R53" s="35" t="s">
        <v>4203</v>
      </c>
      <c r="S53" s="35"/>
      <c r="T53" s="35"/>
    </row>
    <row r="54" spans="1:20" ht="14">
      <c r="A54" s="35" t="s">
        <v>4025</v>
      </c>
      <c r="B54" s="35"/>
      <c r="C54" s="35"/>
      <c r="D54" s="35" t="s">
        <v>2892</v>
      </c>
      <c r="E54" s="35"/>
      <c r="F54" s="35">
        <v>500</v>
      </c>
      <c r="G54" s="35" t="b">
        <v>0</v>
      </c>
      <c r="H54" s="39" t="s">
        <v>15</v>
      </c>
      <c r="I54" s="35" t="s">
        <v>37</v>
      </c>
      <c r="J54" s="35">
        <v>0</v>
      </c>
      <c r="K54" s="35" t="s">
        <v>4205</v>
      </c>
      <c r="L54" s="35" t="s">
        <v>4203</v>
      </c>
      <c r="M54" s="35" t="s">
        <v>4073</v>
      </c>
      <c r="N54" s="35" t="s">
        <v>4203</v>
      </c>
      <c r="O54" s="35" t="s">
        <v>4203</v>
      </c>
      <c r="P54" s="35" t="s">
        <v>4203</v>
      </c>
      <c r="Q54" s="35" t="s">
        <v>2449</v>
      </c>
      <c r="R54" s="35" t="s">
        <v>4162</v>
      </c>
      <c r="S54" s="35"/>
      <c r="T54" s="35"/>
    </row>
    <row r="55" spans="1:20" ht="14">
      <c r="A55" s="36" t="s">
        <v>4106</v>
      </c>
      <c r="B55" s="35" t="s">
        <v>4108</v>
      </c>
      <c r="C55" s="35"/>
      <c r="D55" s="36" t="s">
        <v>4125</v>
      </c>
      <c r="E55" s="36" t="s">
        <v>4107</v>
      </c>
      <c r="F55" s="35">
        <v>500</v>
      </c>
      <c r="G55" s="35" t="b">
        <v>1</v>
      </c>
      <c r="H55" s="39" t="s">
        <v>15</v>
      </c>
      <c r="I55" s="35" t="s">
        <v>95</v>
      </c>
      <c r="J55" s="35">
        <v>0</v>
      </c>
      <c r="K55" s="35" t="s">
        <v>4216</v>
      </c>
      <c r="L55" s="35" t="s">
        <v>4203</v>
      </c>
      <c r="M55" s="35" t="s">
        <v>4073</v>
      </c>
      <c r="N55" s="35" t="s">
        <v>4203</v>
      </c>
      <c r="O55" s="35" t="s">
        <v>95</v>
      </c>
      <c r="P55" s="35" t="s">
        <v>4203</v>
      </c>
      <c r="Q55" s="35" t="s">
        <v>4203</v>
      </c>
      <c r="R55" s="35" t="s">
        <v>4203</v>
      </c>
      <c r="S55" s="35"/>
      <c r="T55" s="35"/>
    </row>
    <row r="56" spans="1:20" ht="14">
      <c r="A56" s="35" t="s">
        <v>53</v>
      </c>
      <c r="B56" s="35"/>
      <c r="C56" s="36" t="s">
        <v>3893</v>
      </c>
      <c r="D56" s="35" t="s">
        <v>54</v>
      </c>
      <c r="E56" s="35"/>
      <c r="F56" s="35">
        <v>200</v>
      </c>
      <c r="G56" s="35" t="b">
        <v>0</v>
      </c>
      <c r="H56" s="39" t="s">
        <v>15</v>
      </c>
      <c r="I56" s="35" t="s">
        <v>55</v>
      </c>
      <c r="J56" s="35">
        <v>0</v>
      </c>
      <c r="K56" s="35" t="s">
        <v>4205</v>
      </c>
      <c r="L56" s="35" t="s">
        <v>4203</v>
      </c>
      <c r="M56" s="35" t="s">
        <v>4073</v>
      </c>
      <c r="N56" s="35" t="s">
        <v>4203</v>
      </c>
      <c r="O56" s="35" t="s">
        <v>4203</v>
      </c>
      <c r="P56" s="35" t="s">
        <v>4203</v>
      </c>
      <c r="Q56" s="35" t="s">
        <v>2449</v>
      </c>
      <c r="R56" s="35" t="s">
        <v>4203</v>
      </c>
      <c r="S56" s="35"/>
      <c r="T56" s="35"/>
    </row>
    <row r="57" spans="1:20" ht="14">
      <c r="A57" s="35" t="s">
        <v>2712</v>
      </c>
      <c r="B57" s="35"/>
      <c r="C57" s="35" t="s">
        <v>4367</v>
      </c>
      <c r="D57" s="35" t="s">
        <v>3155</v>
      </c>
      <c r="E57" s="35"/>
      <c r="F57" s="35">
        <v>500</v>
      </c>
      <c r="G57" s="35" t="b">
        <v>1</v>
      </c>
      <c r="H57" s="39" t="s">
        <v>17</v>
      </c>
      <c r="I57" s="35" t="s">
        <v>37</v>
      </c>
      <c r="J57" s="35">
        <v>0</v>
      </c>
      <c r="K57" s="35" t="s">
        <v>4205</v>
      </c>
      <c r="L57" s="35" t="s">
        <v>4203</v>
      </c>
      <c r="M57" s="35" t="s">
        <v>4073</v>
      </c>
      <c r="N57" s="35" t="s">
        <v>4203</v>
      </c>
      <c r="O57" s="35" t="s">
        <v>4203</v>
      </c>
      <c r="P57" s="35" t="s">
        <v>4203</v>
      </c>
      <c r="Q57" s="35" t="s">
        <v>2449</v>
      </c>
      <c r="R57" s="35" t="s">
        <v>4162</v>
      </c>
      <c r="S57" s="35"/>
      <c r="T57" s="35"/>
    </row>
    <row r="58" spans="1:20" ht="14">
      <c r="A58" s="26" t="s">
        <v>4071</v>
      </c>
      <c r="B58" s="26"/>
      <c r="C58" s="35"/>
      <c r="D58" s="36" t="s">
        <v>4072</v>
      </c>
      <c r="E58" s="36" t="s">
        <v>3160</v>
      </c>
      <c r="F58" s="35">
        <v>500</v>
      </c>
      <c r="G58" s="35" t="b">
        <v>1</v>
      </c>
      <c r="H58" s="39" t="s">
        <v>15</v>
      </c>
      <c r="I58" s="35" t="s">
        <v>3043</v>
      </c>
      <c r="J58" s="35">
        <v>2</v>
      </c>
      <c r="K58" s="35" t="s">
        <v>4205</v>
      </c>
      <c r="L58" s="35" t="s">
        <v>4203</v>
      </c>
      <c r="M58" s="35" t="s">
        <v>4073</v>
      </c>
      <c r="N58" s="35" t="s">
        <v>4203</v>
      </c>
      <c r="O58" s="35" t="s">
        <v>4203</v>
      </c>
      <c r="P58" s="35" t="s">
        <v>4203</v>
      </c>
      <c r="Q58" s="35" t="s">
        <v>2449</v>
      </c>
      <c r="R58" s="35" t="s">
        <v>4162</v>
      </c>
      <c r="S58" s="35"/>
      <c r="T58" s="35"/>
    </row>
    <row r="59" spans="1:20" ht="14">
      <c r="A59" s="35" t="s">
        <v>168</v>
      </c>
      <c r="B59" s="35"/>
      <c r="C59" s="35"/>
      <c r="D59" s="35" t="s">
        <v>169</v>
      </c>
      <c r="E59" s="35"/>
      <c r="F59" s="35">
        <v>550</v>
      </c>
      <c r="G59" s="35" t="b">
        <v>0</v>
      </c>
      <c r="H59" s="39" t="s">
        <v>15</v>
      </c>
      <c r="I59" s="35" t="s">
        <v>165</v>
      </c>
      <c r="J59" s="35">
        <v>0</v>
      </c>
      <c r="K59" s="35" t="s">
        <v>4204</v>
      </c>
      <c r="L59" s="35" t="s">
        <v>4203</v>
      </c>
      <c r="M59" s="35" t="s">
        <v>4073</v>
      </c>
      <c r="N59" s="35" t="s">
        <v>165</v>
      </c>
      <c r="O59" s="35" t="s">
        <v>4203</v>
      </c>
      <c r="P59" s="35" t="s">
        <v>4203</v>
      </c>
      <c r="Q59" s="35" t="s">
        <v>4203</v>
      </c>
      <c r="R59" s="35" t="s">
        <v>4203</v>
      </c>
      <c r="S59" s="35"/>
      <c r="T59" s="35"/>
    </row>
    <row r="60" spans="1:20" ht="14">
      <c r="A60" s="36" t="s">
        <v>81</v>
      </c>
      <c r="B60" s="36"/>
      <c r="C60" s="36"/>
      <c r="D60" s="35" t="s">
        <v>117</v>
      </c>
      <c r="E60" s="35"/>
      <c r="F60" s="35">
        <v>500</v>
      </c>
      <c r="G60" s="35" t="b">
        <v>0</v>
      </c>
      <c r="H60" s="39" t="s">
        <v>15</v>
      </c>
      <c r="I60" s="35" t="s">
        <v>21</v>
      </c>
      <c r="J60" s="35">
        <v>2</v>
      </c>
      <c r="K60" s="35" t="s">
        <v>4215</v>
      </c>
      <c r="L60" s="35" t="s">
        <v>4203</v>
      </c>
      <c r="M60" s="35" t="s">
        <v>4073</v>
      </c>
      <c r="N60" s="35" t="s">
        <v>4203</v>
      </c>
      <c r="O60" s="35" t="s">
        <v>4203</v>
      </c>
      <c r="P60" s="35" t="s">
        <v>4210</v>
      </c>
      <c r="Q60" s="35" t="s">
        <v>2449</v>
      </c>
      <c r="R60" s="35" t="s">
        <v>4162</v>
      </c>
      <c r="S60" s="35"/>
      <c r="T60" s="35"/>
    </row>
    <row r="61" spans="1:20" ht="14">
      <c r="A61" s="35" t="s">
        <v>34</v>
      </c>
      <c r="B61" s="35"/>
      <c r="C61" s="35" t="s">
        <v>3894</v>
      </c>
      <c r="D61" s="35" t="s">
        <v>118</v>
      </c>
      <c r="E61" s="35"/>
      <c r="F61" s="35">
        <v>500</v>
      </c>
      <c r="G61" s="35" t="b">
        <v>0</v>
      </c>
      <c r="H61" s="39" t="s">
        <v>15</v>
      </c>
      <c r="I61" s="35" t="s">
        <v>21</v>
      </c>
      <c r="J61" s="35">
        <v>2</v>
      </c>
      <c r="K61" s="35" t="s">
        <v>4211</v>
      </c>
      <c r="L61" s="35" t="s">
        <v>2378</v>
      </c>
      <c r="M61" s="35" t="s">
        <v>4073</v>
      </c>
      <c r="N61" s="35" t="s">
        <v>4203</v>
      </c>
      <c r="O61" s="35" t="s">
        <v>4203</v>
      </c>
      <c r="P61" s="35" t="s">
        <v>4210</v>
      </c>
      <c r="Q61" s="35" t="s">
        <v>2449</v>
      </c>
      <c r="R61" s="35" t="s">
        <v>4162</v>
      </c>
      <c r="S61" s="35"/>
      <c r="T61" s="35"/>
    </row>
    <row r="62" spans="1:20" ht="14">
      <c r="A62" s="36" t="s">
        <v>99</v>
      </c>
      <c r="B62" s="36" t="s">
        <v>4014</v>
      </c>
      <c r="C62" s="36"/>
      <c r="D62" s="36" t="s">
        <v>3137</v>
      </c>
      <c r="E62" s="36"/>
      <c r="F62" s="35">
        <v>500</v>
      </c>
      <c r="G62" s="35" t="b">
        <v>1</v>
      </c>
      <c r="H62" s="39" t="s">
        <v>15</v>
      </c>
      <c r="I62" s="35" t="s">
        <v>21</v>
      </c>
      <c r="J62" s="35">
        <v>2</v>
      </c>
      <c r="K62" s="35" t="s">
        <v>4205</v>
      </c>
      <c r="L62" s="35" t="s">
        <v>4203</v>
      </c>
      <c r="M62" s="35" t="s">
        <v>4073</v>
      </c>
      <c r="N62" s="35" t="s">
        <v>4203</v>
      </c>
      <c r="O62" s="35" t="s">
        <v>4203</v>
      </c>
      <c r="P62" s="35" t="s">
        <v>4203</v>
      </c>
      <c r="Q62" s="35" t="s">
        <v>2449</v>
      </c>
      <c r="R62" s="35" t="s">
        <v>4162</v>
      </c>
      <c r="S62" s="35"/>
      <c r="T62" s="35"/>
    </row>
    <row r="63" spans="1:20" ht="14">
      <c r="A63" s="35" t="s">
        <v>4316</v>
      </c>
      <c r="B63" s="35" t="s">
        <v>4202</v>
      </c>
      <c r="C63" s="35"/>
      <c r="D63" s="35" t="s">
        <v>4317</v>
      </c>
      <c r="E63" s="35"/>
      <c r="F63" s="35">
        <v>500</v>
      </c>
      <c r="G63" s="35" t="b">
        <v>1</v>
      </c>
      <c r="H63" s="39" t="s">
        <v>15</v>
      </c>
      <c r="I63" s="35" t="s">
        <v>37</v>
      </c>
      <c r="J63" s="35">
        <v>0</v>
      </c>
      <c r="K63" s="35" t="s">
        <v>4205</v>
      </c>
      <c r="L63" s="35" t="s">
        <v>4203</v>
      </c>
      <c r="M63" s="35" t="s">
        <v>4073</v>
      </c>
      <c r="N63" s="35" t="s">
        <v>4203</v>
      </c>
      <c r="O63" s="35" t="s">
        <v>4203</v>
      </c>
      <c r="P63" s="35" t="s">
        <v>4203</v>
      </c>
      <c r="Q63" s="35" t="s">
        <v>2449</v>
      </c>
      <c r="R63" s="35" t="s">
        <v>4162</v>
      </c>
      <c r="S63" s="35"/>
      <c r="T63" s="35"/>
    </row>
    <row r="64" spans="1:20" ht="14">
      <c r="A64" s="35" t="s">
        <v>4320</v>
      </c>
      <c r="B64" s="35" t="s">
        <v>4202</v>
      </c>
      <c r="C64" s="26"/>
      <c r="D64" s="35" t="s">
        <v>4321</v>
      </c>
      <c r="E64" s="35"/>
      <c r="F64" s="35">
        <v>500</v>
      </c>
      <c r="G64" s="35" t="b">
        <v>1</v>
      </c>
      <c r="H64" s="39" t="s">
        <v>15</v>
      </c>
      <c r="I64" s="35" t="s">
        <v>37</v>
      </c>
      <c r="J64" s="35">
        <v>0</v>
      </c>
      <c r="K64" s="35" t="s">
        <v>4205</v>
      </c>
      <c r="L64" s="35" t="s">
        <v>4203</v>
      </c>
      <c r="M64" s="35" t="s">
        <v>4073</v>
      </c>
      <c r="N64" s="35" t="s">
        <v>4203</v>
      </c>
      <c r="O64" s="35" t="s">
        <v>4203</v>
      </c>
      <c r="P64" s="35" t="s">
        <v>4203</v>
      </c>
      <c r="Q64" s="35" t="s">
        <v>2449</v>
      </c>
      <c r="R64" s="35" t="s">
        <v>4162</v>
      </c>
      <c r="S64" s="35"/>
      <c r="T64" s="35"/>
    </row>
    <row r="65" spans="1:1012" ht="14">
      <c r="A65" s="35" t="s">
        <v>170</v>
      </c>
      <c r="B65" s="35"/>
      <c r="C65" s="35"/>
      <c r="D65" s="35" t="s">
        <v>171</v>
      </c>
      <c r="E65" s="35"/>
      <c r="F65" s="35">
        <v>600</v>
      </c>
      <c r="G65" s="35" t="b">
        <v>0</v>
      </c>
      <c r="H65" s="39" t="s">
        <v>15</v>
      </c>
      <c r="I65" s="35" t="s">
        <v>165</v>
      </c>
      <c r="J65" s="35">
        <v>0</v>
      </c>
      <c r="K65" s="35" t="s">
        <v>165</v>
      </c>
      <c r="L65" s="35" t="s">
        <v>4203</v>
      </c>
      <c r="M65" s="35" t="s">
        <v>4203</v>
      </c>
      <c r="N65" s="35" t="s">
        <v>165</v>
      </c>
      <c r="O65" s="35" t="s">
        <v>4203</v>
      </c>
      <c r="P65" s="35" t="s">
        <v>4203</v>
      </c>
      <c r="Q65" s="35" t="s">
        <v>4203</v>
      </c>
      <c r="R65" s="35" t="s">
        <v>4203</v>
      </c>
      <c r="S65" s="35"/>
      <c r="T65" s="35"/>
    </row>
    <row r="66" spans="1:1012" ht="14">
      <c r="A66" s="36" t="s">
        <v>3144</v>
      </c>
      <c r="B66" s="36"/>
      <c r="C66" s="36" t="s">
        <v>4420</v>
      </c>
      <c r="D66" s="35" t="s">
        <v>3148</v>
      </c>
      <c r="E66" s="35"/>
      <c r="F66" s="35">
        <v>600</v>
      </c>
      <c r="G66" s="35" t="b">
        <v>0</v>
      </c>
      <c r="H66" s="39" t="s">
        <v>15</v>
      </c>
      <c r="I66" s="35" t="s">
        <v>46</v>
      </c>
      <c r="J66" s="35">
        <v>2</v>
      </c>
      <c r="K66" s="35" t="s">
        <v>4205</v>
      </c>
      <c r="L66" s="35" t="s">
        <v>4203</v>
      </c>
      <c r="M66" s="35" t="s">
        <v>4073</v>
      </c>
      <c r="N66" s="35" t="s">
        <v>4203</v>
      </c>
      <c r="O66" s="35" t="s">
        <v>4203</v>
      </c>
      <c r="P66" s="35" t="s">
        <v>4203</v>
      </c>
      <c r="Q66" s="35" t="s">
        <v>2449</v>
      </c>
      <c r="R66" s="35" t="s">
        <v>4162</v>
      </c>
      <c r="S66" s="35"/>
      <c r="T66" s="35"/>
    </row>
    <row r="67" spans="1:1012" ht="14">
      <c r="A67" s="26" t="s">
        <v>3900</v>
      </c>
      <c r="B67" s="26"/>
      <c r="C67" s="35"/>
      <c r="D67" s="36" t="s">
        <v>3901</v>
      </c>
      <c r="E67" s="36" t="s">
        <v>3159</v>
      </c>
      <c r="F67" s="35">
        <v>500</v>
      </c>
      <c r="G67" s="35" t="b">
        <v>1</v>
      </c>
      <c r="H67" s="39" t="s">
        <v>15</v>
      </c>
      <c r="I67" s="35" t="s">
        <v>3043</v>
      </c>
      <c r="J67" s="35">
        <v>2</v>
      </c>
      <c r="K67" s="35" t="s">
        <v>4205</v>
      </c>
      <c r="L67" s="35" t="s">
        <v>4203</v>
      </c>
      <c r="M67" s="35" t="s">
        <v>4073</v>
      </c>
      <c r="N67" s="35" t="s">
        <v>4203</v>
      </c>
      <c r="O67" s="35" t="s">
        <v>4203</v>
      </c>
      <c r="P67" s="35" t="s">
        <v>4203</v>
      </c>
      <c r="Q67" s="35" t="s">
        <v>2449</v>
      </c>
      <c r="R67" s="35" t="s">
        <v>4162</v>
      </c>
      <c r="S67" s="35"/>
      <c r="T67" s="35"/>
    </row>
    <row r="68" spans="1:1012" ht="14">
      <c r="A68" s="35" t="s">
        <v>4024</v>
      </c>
      <c r="B68" s="35"/>
      <c r="C68" s="35" t="s">
        <v>3144</v>
      </c>
      <c r="D68" s="35" t="s">
        <v>2672</v>
      </c>
      <c r="E68" s="35"/>
      <c r="F68" s="35">
        <v>500</v>
      </c>
      <c r="G68" s="35" t="b">
        <v>0</v>
      </c>
      <c r="H68" s="39" t="s">
        <v>15</v>
      </c>
      <c r="I68" s="35" t="s">
        <v>46</v>
      </c>
      <c r="J68" s="35">
        <v>2</v>
      </c>
      <c r="K68" s="35" t="s">
        <v>4214</v>
      </c>
      <c r="L68" s="35" t="s">
        <v>2378</v>
      </c>
      <c r="M68" s="35" t="s">
        <v>4073</v>
      </c>
      <c r="N68" s="35" t="s">
        <v>4203</v>
      </c>
      <c r="O68" s="35" t="s">
        <v>4203</v>
      </c>
      <c r="P68" s="35" t="s">
        <v>4210</v>
      </c>
      <c r="Q68" s="35" t="s">
        <v>2449</v>
      </c>
      <c r="R68" s="35" t="s">
        <v>4162</v>
      </c>
      <c r="S68" s="35" t="s">
        <v>2468</v>
      </c>
      <c r="T68" s="35"/>
    </row>
    <row r="69" spans="1:1012" ht="14">
      <c r="A69" s="35" t="s">
        <v>4023</v>
      </c>
      <c r="B69" s="35"/>
      <c r="C69" s="35" t="s">
        <v>4024</v>
      </c>
      <c r="D69" s="35" t="s">
        <v>2671</v>
      </c>
      <c r="E69" s="35"/>
      <c r="F69" s="35">
        <v>600</v>
      </c>
      <c r="G69" s="35" t="b">
        <v>0</v>
      </c>
      <c r="H69" s="39" t="s">
        <v>15</v>
      </c>
      <c r="I69" s="35" t="s">
        <v>46</v>
      </c>
      <c r="J69" s="35">
        <v>2</v>
      </c>
      <c r="K69" s="35" t="s">
        <v>4213</v>
      </c>
      <c r="L69" s="35" t="s">
        <v>2378</v>
      </c>
      <c r="M69" s="35" t="s">
        <v>4073</v>
      </c>
      <c r="N69" s="35" t="s">
        <v>4203</v>
      </c>
      <c r="O69" s="35" t="s">
        <v>4203</v>
      </c>
      <c r="P69" s="35" t="s">
        <v>4210</v>
      </c>
      <c r="Q69" s="35" t="s">
        <v>2449</v>
      </c>
      <c r="R69" s="35" t="s">
        <v>4162</v>
      </c>
      <c r="S69" s="35"/>
      <c r="T69" s="35" t="s">
        <v>4053</v>
      </c>
    </row>
    <row r="70" spans="1:1012" ht="14">
      <c r="A70" s="36" t="s">
        <v>104</v>
      </c>
      <c r="B70" s="36"/>
      <c r="C70" s="36"/>
      <c r="D70" s="36" t="s">
        <v>105</v>
      </c>
      <c r="E70" s="36"/>
      <c r="F70" s="35">
        <v>450</v>
      </c>
      <c r="G70" s="35" t="b">
        <v>0</v>
      </c>
      <c r="H70" s="39" t="s">
        <v>15</v>
      </c>
      <c r="I70" s="35" t="s">
        <v>25</v>
      </c>
      <c r="J70" s="35">
        <v>1</v>
      </c>
      <c r="K70" s="35" t="s">
        <v>4205</v>
      </c>
      <c r="L70" s="35" t="s">
        <v>4203</v>
      </c>
      <c r="M70" s="35" t="s">
        <v>4073</v>
      </c>
      <c r="N70" s="35" t="s">
        <v>4203</v>
      </c>
      <c r="O70" s="35" t="s">
        <v>4203</v>
      </c>
      <c r="P70" s="35" t="s">
        <v>4203</v>
      </c>
      <c r="Q70" s="35" t="s">
        <v>2449</v>
      </c>
      <c r="R70" s="35" t="s">
        <v>4203</v>
      </c>
      <c r="S70" s="35"/>
      <c r="T70" s="35"/>
    </row>
    <row r="71" spans="1:1012" ht="14">
      <c r="A71" s="36" t="s">
        <v>106</v>
      </c>
      <c r="B71" s="36"/>
      <c r="C71" s="36"/>
      <c r="D71" s="35" t="s">
        <v>107</v>
      </c>
      <c r="E71" s="35"/>
      <c r="F71" s="35">
        <v>500</v>
      </c>
      <c r="G71" s="35" t="b">
        <v>0</v>
      </c>
      <c r="H71" s="39" t="s">
        <v>15</v>
      </c>
      <c r="I71" s="35" t="s">
        <v>66</v>
      </c>
      <c r="J71" s="35">
        <v>1</v>
      </c>
      <c r="K71" s="35" t="s">
        <v>4205</v>
      </c>
      <c r="L71" s="35" t="s">
        <v>4203</v>
      </c>
      <c r="M71" s="35" t="s">
        <v>4073</v>
      </c>
      <c r="N71" s="35" t="s">
        <v>4203</v>
      </c>
      <c r="O71" s="35" t="s">
        <v>4203</v>
      </c>
      <c r="P71" s="35" t="s">
        <v>4203</v>
      </c>
      <c r="Q71" s="35" t="s">
        <v>2449</v>
      </c>
      <c r="R71" s="35" t="s">
        <v>4162</v>
      </c>
      <c r="S71" s="35"/>
      <c r="T71" s="35"/>
    </row>
    <row r="72" spans="1:1012" ht="14">
      <c r="A72" s="36" t="s">
        <v>64</v>
      </c>
      <c r="B72" s="36"/>
      <c r="C72" s="36" t="s">
        <v>106</v>
      </c>
      <c r="D72" s="35" t="s">
        <v>108</v>
      </c>
      <c r="E72" s="35"/>
      <c r="F72" s="35">
        <v>500</v>
      </c>
      <c r="G72" s="35" t="b">
        <v>0</v>
      </c>
      <c r="H72" s="39" t="s">
        <v>15</v>
      </c>
      <c r="I72" s="35" t="s">
        <v>66</v>
      </c>
      <c r="J72" s="35">
        <v>1</v>
      </c>
      <c r="K72" s="35" t="s">
        <v>4205</v>
      </c>
      <c r="L72" s="35" t="s">
        <v>4203</v>
      </c>
      <c r="M72" s="35" t="s">
        <v>4073</v>
      </c>
      <c r="N72" s="35" t="s">
        <v>4203</v>
      </c>
      <c r="O72" s="35" t="s">
        <v>4203</v>
      </c>
      <c r="P72" s="35" t="s">
        <v>4203</v>
      </c>
      <c r="Q72" s="35" t="s">
        <v>2449</v>
      </c>
      <c r="R72" s="35" t="s">
        <v>4203</v>
      </c>
      <c r="S72" s="35"/>
      <c r="T72" s="35"/>
    </row>
    <row r="73" spans="1:1012" s="17" customFormat="1" ht="14">
      <c r="A73" s="35" t="s">
        <v>19</v>
      </c>
      <c r="B73" s="35"/>
      <c r="C73" s="35" t="s">
        <v>4427</v>
      </c>
      <c r="D73" s="35" t="s">
        <v>119</v>
      </c>
      <c r="E73" s="35"/>
      <c r="F73" s="35">
        <v>710</v>
      </c>
      <c r="G73" s="35" t="b">
        <v>0</v>
      </c>
      <c r="H73" s="39" t="s">
        <v>15</v>
      </c>
      <c r="I73" s="35" t="s">
        <v>21</v>
      </c>
      <c r="J73" s="35">
        <v>2</v>
      </c>
      <c r="K73" s="35" t="s">
        <v>4214</v>
      </c>
      <c r="L73" s="35" t="s">
        <v>2378</v>
      </c>
      <c r="M73" s="35" t="s">
        <v>4073</v>
      </c>
      <c r="N73" s="35" t="s">
        <v>4203</v>
      </c>
      <c r="O73" s="35" t="s">
        <v>4203</v>
      </c>
      <c r="P73" s="35" t="s">
        <v>4210</v>
      </c>
      <c r="Q73" s="35" t="s">
        <v>2449</v>
      </c>
      <c r="R73" s="35" t="s">
        <v>4162</v>
      </c>
      <c r="S73" s="35" t="s">
        <v>2468</v>
      </c>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c r="A74" s="35" t="s">
        <v>3780</v>
      </c>
      <c r="B74" s="35"/>
      <c r="C74" s="35" t="s">
        <v>19</v>
      </c>
      <c r="D74" s="35" t="s">
        <v>116</v>
      </c>
      <c r="E74" s="35"/>
      <c r="F74" s="35">
        <v>720</v>
      </c>
      <c r="G74" s="35" t="b">
        <v>0</v>
      </c>
      <c r="H74" s="39" t="s">
        <v>15</v>
      </c>
      <c r="I74" s="35" t="s">
        <v>21</v>
      </c>
      <c r="J74" s="35">
        <v>2</v>
      </c>
      <c r="K74" s="35" t="s">
        <v>4213</v>
      </c>
      <c r="L74" s="35" t="s">
        <v>2378</v>
      </c>
      <c r="M74" s="35" t="s">
        <v>4073</v>
      </c>
      <c r="N74" s="35" t="s">
        <v>4203</v>
      </c>
      <c r="O74" s="35" t="s">
        <v>4203</v>
      </c>
      <c r="P74" s="35" t="s">
        <v>4210</v>
      </c>
      <c r="Q74" s="35" t="s">
        <v>2449</v>
      </c>
      <c r="R74" s="35" t="s">
        <v>4162</v>
      </c>
      <c r="S74" s="35"/>
      <c r="T74" s="35" t="s">
        <v>4053</v>
      </c>
    </row>
    <row r="75" spans="1:1012" ht="14">
      <c r="A75" s="26" t="s">
        <v>3995</v>
      </c>
      <c r="B75" s="26"/>
      <c r="C75" s="35"/>
      <c r="D75" s="36" t="s">
        <v>4016</v>
      </c>
      <c r="E75" s="36" t="s">
        <v>4051</v>
      </c>
      <c r="F75" s="35">
        <v>500</v>
      </c>
      <c r="G75" s="35" t="b">
        <v>1</v>
      </c>
      <c r="H75" s="39" t="s">
        <v>15</v>
      </c>
      <c r="I75" s="35" t="s">
        <v>3043</v>
      </c>
      <c r="J75" s="35">
        <v>2</v>
      </c>
      <c r="K75" s="35" t="s">
        <v>4205</v>
      </c>
      <c r="L75" s="35" t="s">
        <v>4203</v>
      </c>
      <c r="M75" s="35" t="s">
        <v>4073</v>
      </c>
      <c r="N75" s="35" t="s">
        <v>4203</v>
      </c>
      <c r="O75" s="35" t="s">
        <v>4203</v>
      </c>
      <c r="P75" s="35" t="s">
        <v>4203</v>
      </c>
      <c r="Q75" s="35" t="s">
        <v>2449</v>
      </c>
      <c r="R75" s="35" t="s">
        <v>4162</v>
      </c>
      <c r="S75" s="35"/>
      <c r="T75" s="35"/>
    </row>
    <row r="76" spans="1:1012" ht="14">
      <c r="A76" s="36" t="s">
        <v>2981</v>
      </c>
      <c r="B76" s="36"/>
      <c r="C76" s="36"/>
      <c r="D76" s="36" t="s">
        <v>2996</v>
      </c>
      <c r="E76" s="36"/>
      <c r="F76" s="35">
        <v>500</v>
      </c>
      <c r="G76" s="35" t="b">
        <v>0</v>
      </c>
      <c r="H76" s="39" t="s">
        <v>15</v>
      </c>
      <c r="I76" s="35" t="s">
        <v>21</v>
      </c>
      <c r="J76" s="35">
        <v>2</v>
      </c>
      <c r="K76" s="35" t="s">
        <v>4205</v>
      </c>
      <c r="L76" s="35" t="s">
        <v>4203</v>
      </c>
      <c r="M76" s="35" t="s">
        <v>4073</v>
      </c>
      <c r="N76" s="35" t="s">
        <v>4203</v>
      </c>
      <c r="O76" s="35" t="s">
        <v>4203</v>
      </c>
      <c r="P76" s="35" t="s">
        <v>4203</v>
      </c>
      <c r="Q76" s="35" t="s">
        <v>2449</v>
      </c>
      <c r="R76" s="35" t="s">
        <v>4162</v>
      </c>
      <c r="S76" s="35"/>
      <c r="T76" s="35"/>
    </row>
    <row r="77" spans="1:1012" ht="14">
      <c r="A77" s="36" t="s">
        <v>109</v>
      </c>
      <c r="B77" s="36"/>
      <c r="C77" s="36"/>
      <c r="D77" s="35" t="s">
        <v>110</v>
      </c>
      <c r="E77" s="35"/>
      <c r="F77" s="35">
        <v>500</v>
      </c>
      <c r="G77" s="35" t="b">
        <v>0</v>
      </c>
      <c r="H77" s="39" t="s">
        <v>15</v>
      </c>
      <c r="I77" s="35" t="s">
        <v>37</v>
      </c>
      <c r="J77" s="35">
        <v>0</v>
      </c>
      <c r="K77" s="35" t="s">
        <v>4205</v>
      </c>
      <c r="L77" s="35" t="s">
        <v>4203</v>
      </c>
      <c r="M77" s="35" t="s">
        <v>4073</v>
      </c>
      <c r="N77" s="35" t="s">
        <v>4203</v>
      </c>
      <c r="O77" s="35" t="s">
        <v>4203</v>
      </c>
      <c r="P77" s="35" t="s">
        <v>4203</v>
      </c>
      <c r="Q77" s="35" t="s">
        <v>2449</v>
      </c>
      <c r="R77" s="35" t="s">
        <v>4203</v>
      </c>
      <c r="S77" s="35"/>
      <c r="T77" s="35"/>
    </row>
    <row r="78" spans="1:1012" ht="14">
      <c r="A78" s="35" t="s">
        <v>3880</v>
      </c>
      <c r="B78" s="35"/>
      <c r="C78" s="35" t="s">
        <v>3893</v>
      </c>
      <c r="D78" s="35" t="s">
        <v>3881</v>
      </c>
      <c r="E78" s="35"/>
      <c r="F78" s="35">
        <v>200</v>
      </c>
      <c r="G78" s="35" t="b">
        <v>0</v>
      </c>
      <c r="H78" s="39" t="s">
        <v>15</v>
      </c>
      <c r="I78" s="35" t="s">
        <v>37</v>
      </c>
      <c r="J78" s="35">
        <v>0</v>
      </c>
      <c r="K78" s="35" t="s">
        <v>4205</v>
      </c>
      <c r="L78" s="35" t="s">
        <v>4203</v>
      </c>
      <c r="M78" s="35" t="s">
        <v>4073</v>
      </c>
      <c r="N78" s="35" t="s">
        <v>4203</v>
      </c>
      <c r="O78" s="35" t="s">
        <v>4203</v>
      </c>
      <c r="P78" s="35" t="s">
        <v>4203</v>
      </c>
      <c r="Q78" s="35" t="s">
        <v>2449</v>
      </c>
      <c r="R78" s="35" t="s">
        <v>4162</v>
      </c>
      <c r="S78" s="35"/>
      <c r="T78" s="35"/>
    </row>
    <row r="79" spans="1:1012" ht="14">
      <c r="A79" s="36" t="s">
        <v>2980</v>
      </c>
      <c r="B79" s="36"/>
      <c r="C79" s="36"/>
      <c r="D79" s="36" t="s">
        <v>2995</v>
      </c>
      <c r="E79" s="36"/>
      <c r="F79" s="35">
        <v>500</v>
      </c>
      <c r="G79" s="35" t="b">
        <v>0</v>
      </c>
      <c r="H79" s="39" t="s">
        <v>15</v>
      </c>
      <c r="I79" s="35" t="s">
        <v>21</v>
      </c>
      <c r="J79" s="35">
        <v>2</v>
      </c>
      <c r="K79" s="35" t="s">
        <v>4205</v>
      </c>
      <c r="L79" s="35" t="s">
        <v>4203</v>
      </c>
      <c r="M79" s="35" t="s">
        <v>4073</v>
      </c>
      <c r="N79" s="35" t="s">
        <v>4203</v>
      </c>
      <c r="O79" s="35" t="s">
        <v>4203</v>
      </c>
      <c r="P79" s="35" t="s">
        <v>4203</v>
      </c>
      <c r="Q79" s="35" t="s">
        <v>2449</v>
      </c>
      <c r="R79" s="35" t="s">
        <v>4162</v>
      </c>
      <c r="S79" s="35"/>
      <c r="T79" s="35"/>
    </row>
    <row r="80" spans="1:1012" ht="14">
      <c r="A80" s="35" t="s">
        <v>111</v>
      </c>
      <c r="B80" s="35"/>
      <c r="C80" s="35"/>
      <c r="D80" s="35" t="s">
        <v>112</v>
      </c>
      <c r="E80" s="35"/>
      <c r="F80" s="35">
        <v>500</v>
      </c>
      <c r="G80" s="35" t="b">
        <v>0</v>
      </c>
      <c r="H80" s="39" t="s">
        <v>15</v>
      </c>
      <c r="I80" s="35" t="s">
        <v>113</v>
      </c>
      <c r="J80" s="35">
        <v>0</v>
      </c>
      <c r="K80" s="35" t="s">
        <v>4206</v>
      </c>
      <c r="L80" s="35" t="s">
        <v>4203</v>
      </c>
      <c r="M80" s="35" t="s">
        <v>4073</v>
      </c>
      <c r="N80" s="35" t="s">
        <v>4203</v>
      </c>
      <c r="O80" s="35" t="s">
        <v>4203</v>
      </c>
      <c r="P80" s="35" t="s">
        <v>4203</v>
      </c>
      <c r="Q80" s="35" t="s">
        <v>2449</v>
      </c>
      <c r="R80" s="35" t="s">
        <v>4203</v>
      </c>
      <c r="S80" s="35"/>
      <c r="T80" s="35"/>
    </row>
    <row r="81" spans="1:1012" ht="14">
      <c r="A81" s="35" t="s">
        <v>114</v>
      </c>
      <c r="B81" s="35"/>
      <c r="C81" s="35"/>
      <c r="D81" s="35" t="s">
        <v>115</v>
      </c>
      <c r="E81" s="35"/>
      <c r="F81" s="35">
        <v>500</v>
      </c>
      <c r="G81" s="35" t="b">
        <v>0</v>
      </c>
      <c r="H81" s="39" t="s">
        <v>15</v>
      </c>
      <c r="I81" s="35" t="s">
        <v>37</v>
      </c>
      <c r="J81" s="35">
        <v>0</v>
      </c>
      <c r="K81" s="35" t="s">
        <v>4206</v>
      </c>
      <c r="L81" s="35" t="s">
        <v>4203</v>
      </c>
      <c r="M81" s="35" t="s">
        <v>4073</v>
      </c>
      <c r="N81" s="35" t="s">
        <v>4203</v>
      </c>
      <c r="O81" s="35" t="s">
        <v>4203</v>
      </c>
      <c r="P81" s="35" t="s">
        <v>4203</v>
      </c>
      <c r="Q81" s="35" t="s">
        <v>2449</v>
      </c>
      <c r="R81" s="35" t="s">
        <v>4203</v>
      </c>
      <c r="S81" s="35"/>
      <c r="T81" s="35"/>
    </row>
    <row r="82" spans="1:1012" ht="14">
      <c r="A82" s="36" t="s">
        <v>2923</v>
      </c>
      <c r="B82" s="36"/>
      <c r="C82" s="36"/>
      <c r="D82" s="35" t="s">
        <v>3135</v>
      </c>
      <c r="E82" s="35"/>
      <c r="F82" s="35">
        <v>600</v>
      </c>
      <c r="G82" s="35" t="b">
        <v>0</v>
      </c>
      <c r="H82" s="39" t="s">
        <v>15</v>
      </c>
      <c r="I82" s="35" t="s">
        <v>37</v>
      </c>
      <c r="J82" s="35">
        <v>0</v>
      </c>
      <c r="K82" s="35" t="s">
        <v>4205</v>
      </c>
      <c r="L82" s="35" t="s">
        <v>4203</v>
      </c>
      <c r="M82" s="35" t="s">
        <v>4073</v>
      </c>
      <c r="N82" s="35" t="s">
        <v>4203</v>
      </c>
      <c r="O82" s="35" t="s">
        <v>4203</v>
      </c>
      <c r="P82" s="35" t="s">
        <v>4203</v>
      </c>
      <c r="Q82" s="35" t="s">
        <v>2449</v>
      </c>
      <c r="R82" s="35" t="s">
        <v>4162</v>
      </c>
      <c r="S82" s="35"/>
      <c r="T82" s="35"/>
    </row>
    <row r="83" spans="1:1012" ht="14">
      <c r="A83" s="36" t="s">
        <v>3173</v>
      </c>
      <c r="B83" s="36"/>
      <c r="C83" s="36" t="s">
        <v>3999</v>
      </c>
      <c r="D83" s="35" t="s">
        <v>3174</v>
      </c>
      <c r="E83" s="35"/>
      <c r="F83" s="35">
        <v>659</v>
      </c>
      <c r="G83" s="35" t="b">
        <v>0</v>
      </c>
      <c r="H83" s="39" t="s">
        <v>15</v>
      </c>
      <c r="I83" s="35" t="s">
        <v>37</v>
      </c>
      <c r="J83" s="35">
        <v>0</v>
      </c>
      <c r="K83" s="35" t="s">
        <v>4205</v>
      </c>
      <c r="L83" s="35" t="s">
        <v>4203</v>
      </c>
      <c r="M83" s="35" t="s">
        <v>4073</v>
      </c>
      <c r="N83" s="35" t="s">
        <v>4203</v>
      </c>
      <c r="O83" s="35" t="s">
        <v>4203</v>
      </c>
      <c r="P83" s="35" t="s">
        <v>4203</v>
      </c>
      <c r="Q83" s="35" t="s">
        <v>2449</v>
      </c>
      <c r="R83" s="35" t="s">
        <v>4162</v>
      </c>
      <c r="S83" s="35"/>
      <c r="T83" s="35"/>
    </row>
    <row r="84" spans="1:1012" s="17" customFormat="1" ht="14">
      <c r="A84" s="36" t="s">
        <v>3044</v>
      </c>
      <c r="B84" s="36"/>
      <c r="C84" s="36"/>
      <c r="D84" s="35" t="s">
        <v>3166</v>
      </c>
      <c r="E84" s="35"/>
      <c r="F84" s="35">
        <v>600</v>
      </c>
      <c r="G84" s="35" t="b">
        <v>0</v>
      </c>
      <c r="H84" s="39" t="s">
        <v>15</v>
      </c>
      <c r="I84" s="35" t="s">
        <v>37</v>
      </c>
      <c r="J84" s="35">
        <v>0</v>
      </c>
      <c r="K84" s="35" t="s">
        <v>4205</v>
      </c>
      <c r="L84" s="35" t="s">
        <v>4203</v>
      </c>
      <c r="M84" s="35" t="s">
        <v>4073</v>
      </c>
      <c r="N84" s="35" t="s">
        <v>4203</v>
      </c>
      <c r="O84" s="35" t="s">
        <v>4203</v>
      </c>
      <c r="P84" s="35" t="s">
        <v>4203</v>
      </c>
      <c r="Q84" s="35" t="s">
        <v>2449</v>
      </c>
      <c r="R84" s="35" t="s">
        <v>4162</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c r="A85" s="36" t="s">
        <v>120</v>
      </c>
      <c r="B85" s="36"/>
      <c r="C85" s="36"/>
      <c r="D85" s="35" t="s">
        <v>3140</v>
      </c>
      <c r="E85" s="35"/>
      <c r="F85" s="35">
        <v>500</v>
      </c>
      <c r="G85" s="35" t="b">
        <v>0</v>
      </c>
      <c r="H85" s="39" t="s">
        <v>15</v>
      </c>
      <c r="I85" s="35" t="s">
        <v>21</v>
      </c>
      <c r="J85" s="35">
        <v>2</v>
      </c>
      <c r="K85" s="35" t="s">
        <v>4205</v>
      </c>
      <c r="L85" s="35" t="s">
        <v>4203</v>
      </c>
      <c r="M85" s="35" t="s">
        <v>4073</v>
      </c>
      <c r="N85" s="35" t="s">
        <v>4203</v>
      </c>
      <c r="O85" s="35" t="s">
        <v>4203</v>
      </c>
      <c r="P85" s="35" t="s">
        <v>4203</v>
      </c>
      <c r="Q85" s="35" t="s">
        <v>2449</v>
      </c>
      <c r="R85" s="35" t="s">
        <v>4162</v>
      </c>
      <c r="S85" s="35"/>
      <c r="T85" s="35"/>
    </row>
    <row r="86" spans="1:1012" ht="14">
      <c r="A86" s="36" t="s">
        <v>122</v>
      </c>
      <c r="B86" s="36"/>
      <c r="C86" s="36"/>
      <c r="D86" s="35" t="s">
        <v>3141</v>
      </c>
      <c r="E86" s="35"/>
      <c r="F86" s="35">
        <v>500</v>
      </c>
      <c r="G86" s="35" t="b">
        <v>0</v>
      </c>
      <c r="H86" s="39" t="s">
        <v>15</v>
      </c>
      <c r="I86" s="35" t="s">
        <v>21</v>
      </c>
      <c r="J86" s="35">
        <v>2</v>
      </c>
      <c r="K86" s="35" t="s">
        <v>4205</v>
      </c>
      <c r="L86" s="35" t="s">
        <v>4203</v>
      </c>
      <c r="M86" s="35" t="s">
        <v>4073</v>
      </c>
      <c r="N86" s="35" t="s">
        <v>4203</v>
      </c>
      <c r="O86" s="35" t="s">
        <v>4203</v>
      </c>
      <c r="P86" s="35" t="s">
        <v>4203</v>
      </c>
      <c r="Q86" s="35" t="s">
        <v>2449</v>
      </c>
      <c r="R86" s="35" t="s">
        <v>4162</v>
      </c>
      <c r="S86" s="35"/>
      <c r="T86" s="35"/>
    </row>
    <row r="87" spans="1:1012" ht="14">
      <c r="A87" s="35" t="s">
        <v>56</v>
      </c>
      <c r="B87" s="35"/>
      <c r="C87" s="36" t="s">
        <v>3893</v>
      </c>
      <c r="D87" s="35" t="s">
        <v>57</v>
      </c>
      <c r="E87" s="35"/>
      <c r="F87" s="35">
        <v>200</v>
      </c>
      <c r="G87" s="35" t="b">
        <v>0</v>
      </c>
      <c r="H87" s="39" t="s">
        <v>15</v>
      </c>
      <c r="I87" s="35" t="s">
        <v>55</v>
      </c>
      <c r="J87" s="35">
        <v>0</v>
      </c>
      <c r="K87" s="35" t="s">
        <v>4205</v>
      </c>
      <c r="L87" s="35" t="s">
        <v>4203</v>
      </c>
      <c r="M87" s="35" t="s">
        <v>4073</v>
      </c>
      <c r="N87" s="35" t="s">
        <v>4203</v>
      </c>
      <c r="O87" s="35" t="s">
        <v>4203</v>
      </c>
      <c r="P87" s="35" t="s">
        <v>4203</v>
      </c>
      <c r="Q87" s="35" t="s">
        <v>2449</v>
      </c>
      <c r="R87" s="35" t="s">
        <v>4203</v>
      </c>
      <c r="S87" s="35"/>
      <c r="T87" s="35"/>
    </row>
    <row r="88" spans="1:1012" ht="14">
      <c r="A88" s="36" t="s">
        <v>123</v>
      </c>
      <c r="B88" s="36"/>
      <c r="C88" s="36"/>
      <c r="D88" s="35" t="s">
        <v>3142</v>
      </c>
      <c r="E88" s="35"/>
      <c r="F88" s="35">
        <v>500</v>
      </c>
      <c r="G88" s="35" t="b">
        <v>0</v>
      </c>
      <c r="H88" s="39" t="s">
        <v>15</v>
      </c>
      <c r="I88" s="35" t="s">
        <v>21</v>
      </c>
      <c r="J88" s="35">
        <v>2</v>
      </c>
      <c r="K88" s="35" t="s">
        <v>4205</v>
      </c>
      <c r="L88" s="35" t="s">
        <v>4203</v>
      </c>
      <c r="M88" s="35" t="s">
        <v>4073</v>
      </c>
      <c r="N88" s="35" t="s">
        <v>4203</v>
      </c>
      <c r="O88" s="35" t="s">
        <v>4203</v>
      </c>
      <c r="P88" s="35" t="s">
        <v>4203</v>
      </c>
      <c r="Q88" s="35" t="s">
        <v>2449</v>
      </c>
      <c r="R88" s="35" t="s">
        <v>4162</v>
      </c>
      <c r="S88" s="35"/>
      <c r="T88" s="35"/>
    </row>
    <row r="89" spans="1:1012" ht="14">
      <c r="A89" s="36" t="s">
        <v>125</v>
      </c>
      <c r="B89" s="36"/>
      <c r="C89" s="36"/>
      <c r="D89" s="35" t="s">
        <v>3143</v>
      </c>
      <c r="E89" s="35"/>
      <c r="F89" s="35">
        <v>500</v>
      </c>
      <c r="G89" s="35" t="b">
        <v>0</v>
      </c>
      <c r="H89" s="39" t="s">
        <v>15</v>
      </c>
      <c r="I89" s="35" t="s">
        <v>21</v>
      </c>
      <c r="J89" s="35">
        <v>2</v>
      </c>
      <c r="K89" s="35" t="s">
        <v>4205</v>
      </c>
      <c r="L89" s="35" t="s">
        <v>4203</v>
      </c>
      <c r="M89" s="35" t="s">
        <v>4073</v>
      </c>
      <c r="N89" s="35" t="s">
        <v>4203</v>
      </c>
      <c r="O89" s="35" t="s">
        <v>4203</v>
      </c>
      <c r="P89" s="35" t="s">
        <v>4203</v>
      </c>
      <c r="Q89" s="35" t="s">
        <v>2449</v>
      </c>
      <c r="R89" s="35" t="s">
        <v>4162</v>
      </c>
      <c r="S89" s="35"/>
      <c r="T89" s="35"/>
    </row>
    <row r="90" spans="1:1012" ht="14">
      <c r="A90" s="35" t="s">
        <v>2945</v>
      </c>
      <c r="B90" s="35"/>
      <c r="C90" s="35"/>
      <c r="D90" s="35" t="s">
        <v>2946</v>
      </c>
      <c r="E90" s="35"/>
      <c r="F90" s="35">
        <v>500</v>
      </c>
      <c r="G90" s="35" t="b">
        <v>0</v>
      </c>
      <c r="H90" s="39" t="s">
        <v>15</v>
      </c>
      <c r="I90" s="35" t="s">
        <v>37</v>
      </c>
      <c r="J90" s="35">
        <v>0</v>
      </c>
      <c r="K90" s="35" t="s">
        <v>4206</v>
      </c>
      <c r="L90" s="35" t="s">
        <v>4203</v>
      </c>
      <c r="M90" s="35" t="s">
        <v>4073</v>
      </c>
      <c r="N90" s="35" t="s">
        <v>4203</v>
      </c>
      <c r="O90" s="35" t="s">
        <v>4203</v>
      </c>
      <c r="P90" s="35" t="s">
        <v>4203</v>
      </c>
      <c r="Q90" s="35" t="s">
        <v>2449</v>
      </c>
      <c r="R90" s="35" t="s">
        <v>4203</v>
      </c>
      <c r="S90" s="35"/>
      <c r="T90" s="35"/>
    </row>
    <row r="91" spans="1:1012" ht="24" customHeight="1">
      <c r="A91" s="35" t="s">
        <v>126</v>
      </c>
      <c r="B91" s="35"/>
      <c r="C91" s="35"/>
      <c r="D91" s="35" t="s">
        <v>2670</v>
      </c>
      <c r="E91" s="35"/>
      <c r="F91" s="35">
        <v>500</v>
      </c>
      <c r="G91" s="35" t="b">
        <v>0</v>
      </c>
      <c r="H91" s="39" t="s">
        <v>15</v>
      </c>
      <c r="I91" s="35" t="s">
        <v>37</v>
      </c>
      <c r="J91" s="35">
        <v>0</v>
      </c>
      <c r="K91" s="35" t="s">
        <v>4206</v>
      </c>
      <c r="L91" s="35" t="s">
        <v>4203</v>
      </c>
      <c r="M91" s="35" t="s">
        <v>4073</v>
      </c>
      <c r="N91" s="35" t="s">
        <v>4203</v>
      </c>
      <c r="O91" s="35" t="s">
        <v>4203</v>
      </c>
      <c r="P91" s="35" t="s">
        <v>4203</v>
      </c>
      <c r="Q91" s="35" t="s">
        <v>2449</v>
      </c>
      <c r="R91" s="35" t="s">
        <v>4203</v>
      </c>
      <c r="S91" s="35"/>
      <c r="T91" s="35"/>
    </row>
    <row r="92" spans="1:1012" ht="14">
      <c r="A92" s="36" t="s">
        <v>58</v>
      </c>
      <c r="B92" s="36"/>
      <c r="C92" s="36" t="s">
        <v>3893</v>
      </c>
      <c r="D92" s="35" t="s">
        <v>59</v>
      </c>
      <c r="E92" s="35"/>
      <c r="F92" s="35">
        <v>200</v>
      </c>
      <c r="G92" s="35" t="b">
        <v>0</v>
      </c>
      <c r="H92" s="39" t="s">
        <v>15</v>
      </c>
      <c r="I92" s="35" t="s">
        <v>55</v>
      </c>
      <c r="J92" s="35">
        <v>0</v>
      </c>
      <c r="K92" s="35" t="s">
        <v>4206</v>
      </c>
      <c r="L92" s="35" t="s">
        <v>4203</v>
      </c>
      <c r="M92" s="35" t="s">
        <v>4073</v>
      </c>
      <c r="N92" s="35" t="s">
        <v>4203</v>
      </c>
      <c r="O92" s="35" t="s">
        <v>4203</v>
      </c>
      <c r="P92" s="35" t="s">
        <v>4203</v>
      </c>
      <c r="Q92" s="35" t="s">
        <v>2449</v>
      </c>
      <c r="R92" s="35" t="s">
        <v>4203</v>
      </c>
      <c r="S92" s="35"/>
      <c r="T92" s="35"/>
    </row>
    <row r="93" spans="1:1012" ht="14">
      <c r="A93" s="35" t="s">
        <v>4346</v>
      </c>
      <c r="B93" s="26"/>
      <c r="C93" s="26"/>
      <c r="D93" s="35" t="s">
        <v>4347</v>
      </c>
      <c r="E93" s="35"/>
      <c r="F93" s="35">
        <v>500</v>
      </c>
      <c r="G93" s="35" t="b">
        <v>0</v>
      </c>
      <c r="H93" s="39" t="s">
        <v>15</v>
      </c>
      <c r="I93" s="35" t="s">
        <v>37</v>
      </c>
      <c r="J93" s="35">
        <v>0</v>
      </c>
      <c r="K93" s="35" t="s">
        <v>4207</v>
      </c>
      <c r="L93" s="35" t="s">
        <v>4203</v>
      </c>
      <c r="M93" s="35"/>
      <c r="N93" s="35" t="s">
        <v>4203</v>
      </c>
      <c r="O93" s="35" t="s">
        <v>4203</v>
      </c>
      <c r="P93" s="35" t="s">
        <v>4203</v>
      </c>
      <c r="Q93" s="35" t="s">
        <v>2449</v>
      </c>
      <c r="R93" s="35" t="s">
        <v>4162</v>
      </c>
      <c r="S93" s="35"/>
      <c r="T93" s="35"/>
    </row>
    <row r="94" spans="1:1012" ht="14">
      <c r="A94" s="36" t="s">
        <v>130</v>
      </c>
      <c r="B94" s="36"/>
      <c r="C94" s="36"/>
      <c r="D94" s="35" t="s">
        <v>135</v>
      </c>
      <c r="E94" s="35"/>
      <c r="F94" s="35">
        <v>400</v>
      </c>
      <c r="G94" s="35" t="b">
        <v>0</v>
      </c>
      <c r="H94" s="39" t="s">
        <v>15</v>
      </c>
      <c r="I94" s="35" t="s">
        <v>132</v>
      </c>
      <c r="J94" s="35">
        <v>1</v>
      </c>
      <c r="K94" s="35" t="s">
        <v>4206</v>
      </c>
      <c r="L94" s="35" t="s">
        <v>4203</v>
      </c>
      <c r="M94" s="35" t="s">
        <v>4073</v>
      </c>
      <c r="N94" s="35" t="s">
        <v>4203</v>
      </c>
      <c r="O94" s="35" t="s">
        <v>4203</v>
      </c>
      <c r="P94" s="35" t="s">
        <v>4203</v>
      </c>
      <c r="Q94" s="35" t="s">
        <v>2449</v>
      </c>
      <c r="R94" s="35" t="s">
        <v>4203</v>
      </c>
      <c r="S94" s="35"/>
      <c r="T94" s="35"/>
    </row>
    <row r="95" spans="1:1012" ht="14">
      <c r="A95" s="36" t="s">
        <v>133</v>
      </c>
      <c r="B95" s="36"/>
      <c r="C95" s="36"/>
      <c r="D95" s="36" t="s">
        <v>134</v>
      </c>
      <c r="E95" s="36"/>
      <c r="F95" s="35">
        <v>400</v>
      </c>
      <c r="G95" s="35" t="b">
        <v>0</v>
      </c>
      <c r="H95" s="39" t="s">
        <v>15</v>
      </c>
      <c r="I95" s="35" t="s">
        <v>132</v>
      </c>
      <c r="J95" s="35">
        <v>1</v>
      </c>
      <c r="K95" s="35" t="s">
        <v>4162</v>
      </c>
      <c r="L95" s="35" t="s">
        <v>4203</v>
      </c>
      <c r="M95" s="35" t="s">
        <v>4203</v>
      </c>
      <c r="N95" s="35" t="s">
        <v>4203</v>
      </c>
      <c r="O95" s="35" t="s">
        <v>4203</v>
      </c>
      <c r="P95" s="35" t="s">
        <v>4203</v>
      </c>
      <c r="Q95" s="35" t="s">
        <v>4203</v>
      </c>
      <c r="R95" s="35" t="s">
        <v>4162</v>
      </c>
      <c r="S95" s="35"/>
      <c r="T95" s="35"/>
    </row>
    <row r="96" spans="1:1012" ht="14">
      <c r="A96" s="36" t="s">
        <v>129</v>
      </c>
      <c r="B96" s="36"/>
      <c r="C96" s="36"/>
      <c r="D96" s="36" t="s">
        <v>131</v>
      </c>
      <c r="E96" s="36"/>
      <c r="F96" s="35">
        <v>400</v>
      </c>
      <c r="G96" s="35" t="b">
        <v>0</v>
      </c>
      <c r="H96" s="39" t="s">
        <v>15</v>
      </c>
      <c r="I96" s="35" t="s">
        <v>132</v>
      </c>
      <c r="J96" s="35">
        <v>1</v>
      </c>
      <c r="K96" s="35" t="s">
        <v>4206</v>
      </c>
      <c r="L96" s="35" t="s">
        <v>4203</v>
      </c>
      <c r="M96" s="35" t="s">
        <v>4073</v>
      </c>
      <c r="N96" s="35" t="s">
        <v>4203</v>
      </c>
      <c r="O96" s="35" t="s">
        <v>4203</v>
      </c>
      <c r="P96" s="35" t="s">
        <v>4203</v>
      </c>
      <c r="Q96" s="35" t="s">
        <v>2449</v>
      </c>
      <c r="R96" s="35" t="s">
        <v>4203</v>
      </c>
      <c r="S96" s="35"/>
      <c r="T96" s="35"/>
    </row>
    <row r="97" spans="1:20" ht="14">
      <c r="A97" s="35" t="s">
        <v>136</v>
      </c>
      <c r="B97" s="35"/>
      <c r="C97" s="35"/>
      <c r="D97" s="35" t="s">
        <v>137</v>
      </c>
      <c r="E97" s="35"/>
      <c r="F97" s="35">
        <v>500</v>
      </c>
      <c r="G97" s="35" t="b">
        <v>0</v>
      </c>
      <c r="H97" s="39" t="s">
        <v>15</v>
      </c>
      <c r="I97" s="35" t="s">
        <v>79</v>
      </c>
      <c r="J97" s="35">
        <v>0</v>
      </c>
      <c r="K97" s="35" t="s">
        <v>4208</v>
      </c>
      <c r="L97" s="35" t="s">
        <v>2378</v>
      </c>
      <c r="M97" s="35" t="s">
        <v>4073</v>
      </c>
      <c r="N97" s="35" t="s">
        <v>4203</v>
      </c>
      <c r="O97" s="35" t="s">
        <v>4203</v>
      </c>
      <c r="P97" s="35" t="s">
        <v>4203</v>
      </c>
      <c r="Q97" s="35" t="s">
        <v>2449</v>
      </c>
      <c r="R97" s="35" t="s">
        <v>4203</v>
      </c>
      <c r="S97" s="35"/>
      <c r="T97" s="35"/>
    </row>
    <row r="98" spans="1:20" ht="14">
      <c r="A98" s="35" t="s">
        <v>127</v>
      </c>
      <c r="B98" s="35"/>
      <c r="C98" s="35"/>
      <c r="D98" s="35" t="s">
        <v>138</v>
      </c>
      <c r="E98" s="35"/>
      <c r="F98" s="35">
        <v>500</v>
      </c>
      <c r="G98" s="35" t="b">
        <v>0</v>
      </c>
      <c r="H98" s="39" t="s">
        <v>15</v>
      </c>
      <c r="I98" s="35" t="s">
        <v>37</v>
      </c>
      <c r="J98" s="35">
        <v>0</v>
      </c>
      <c r="K98" s="35" t="s">
        <v>4205</v>
      </c>
      <c r="L98" s="35" t="s">
        <v>4203</v>
      </c>
      <c r="M98" s="35" t="s">
        <v>4073</v>
      </c>
      <c r="N98" s="35" t="s">
        <v>4203</v>
      </c>
      <c r="O98" s="35" t="s">
        <v>4203</v>
      </c>
      <c r="P98" s="35" t="s">
        <v>4203</v>
      </c>
      <c r="Q98" s="35" t="s">
        <v>2449</v>
      </c>
      <c r="R98" s="35" t="s">
        <v>4203</v>
      </c>
      <c r="S98" s="35"/>
      <c r="T98" s="35"/>
    </row>
    <row r="99" spans="1:20" ht="14">
      <c r="A99" s="26" t="s">
        <v>4069</v>
      </c>
      <c r="B99" s="26"/>
      <c r="C99" s="35"/>
      <c r="D99" s="36" t="s">
        <v>4070</v>
      </c>
      <c r="E99" s="36" t="s">
        <v>3161</v>
      </c>
      <c r="F99" s="35">
        <v>500</v>
      </c>
      <c r="G99" s="35" t="b">
        <v>1</v>
      </c>
      <c r="H99" s="39" t="s">
        <v>15</v>
      </c>
      <c r="I99" s="35" t="s">
        <v>3043</v>
      </c>
      <c r="J99" s="35">
        <v>2</v>
      </c>
      <c r="K99" s="35" t="s">
        <v>4205</v>
      </c>
      <c r="L99" s="35" t="s">
        <v>4203</v>
      </c>
      <c r="M99" s="35" t="s">
        <v>4073</v>
      </c>
      <c r="N99" s="35" t="s">
        <v>4203</v>
      </c>
      <c r="O99" s="35" t="s">
        <v>4203</v>
      </c>
      <c r="P99" s="35" t="s">
        <v>4203</v>
      </c>
      <c r="Q99" s="35" t="s">
        <v>2449</v>
      </c>
      <c r="R99" s="35" t="s">
        <v>4162</v>
      </c>
      <c r="S99" s="35"/>
      <c r="T99" s="35"/>
    </row>
    <row r="100" spans="1:20" ht="14">
      <c r="A100" s="26" t="s">
        <v>4076</v>
      </c>
      <c r="B100" s="26"/>
      <c r="C100" s="35"/>
      <c r="D100" s="36" t="s">
        <v>4074</v>
      </c>
      <c r="E100" s="36" t="s">
        <v>4075</v>
      </c>
      <c r="F100" s="35">
        <v>500</v>
      </c>
      <c r="G100" s="35" t="b">
        <v>1</v>
      </c>
      <c r="H100" s="39" t="s">
        <v>15</v>
      </c>
      <c r="I100" s="35" t="s">
        <v>3043</v>
      </c>
      <c r="J100" s="35">
        <v>2</v>
      </c>
      <c r="K100" s="35" t="s">
        <v>4205</v>
      </c>
      <c r="L100" s="35" t="s">
        <v>4203</v>
      </c>
      <c r="M100" s="35" t="s">
        <v>4073</v>
      </c>
      <c r="N100" s="35" t="s">
        <v>4203</v>
      </c>
      <c r="O100" s="35" t="s">
        <v>4203</v>
      </c>
      <c r="P100" s="35" t="s">
        <v>4203</v>
      </c>
      <c r="Q100" s="35" t="s">
        <v>2449</v>
      </c>
      <c r="R100" s="35" t="s">
        <v>4162</v>
      </c>
      <c r="S100" s="35"/>
      <c r="T100" s="35"/>
    </row>
    <row r="101" spans="1:20" ht="14">
      <c r="A101" s="26" t="s">
        <v>4084</v>
      </c>
      <c r="B101" s="35"/>
      <c r="C101" s="35"/>
      <c r="D101" s="36" t="s">
        <v>4085</v>
      </c>
      <c r="E101" s="36" t="s">
        <v>4086</v>
      </c>
      <c r="F101" s="35">
        <v>500</v>
      </c>
      <c r="G101" s="35" t="b">
        <v>1</v>
      </c>
      <c r="H101" s="39" t="s">
        <v>15</v>
      </c>
      <c r="I101" s="35" t="s">
        <v>3043</v>
      </c>
      <c r="J101" s="35">
        <v>2</v>
      </c>
      <c r="K101" s="35" t="s">
        <v>4205</v>
      </c>
      <c r="L101" s="35" t="s">
        <v>4203</v>
      </c>
      <c r="M101" s="35" t="s">
        <v>4073</v>
      </c>
      <c r="N101" s="35" t="s">
        <v>4203</v>
      </c>
      <c r="O101" s="35" t="s">
        <v>4203</v>
      </c>
      <c r="P101" s="35" t="s">
        <v>4203</v>
      </c>
      <c r="Q101" s="35" t="s">
        <v>2449</v>
      </c>
      <c r="R101" s="35" t="s">
        <v>4162</v>
      </c>
      <c r="S101" s="35"/>
      <c r="T101" s="35"/>
    </row>
    <row r="102" spans="1:20" ht="14">
      <c r="A102" s="35" t="s">
        <v>3872</v>
      </c>
      <c r="B102" s="35"/>
      <c r="C102" s="35"/>
      <c r="D102" s="35" t="s">
        <v>3873</v>
      </c>
      <c r="E102" s="35"/>
      <c r="F102" s="35">
        <v>450</v>
      </c>
      <c r="G102" s="35" t="b">
        <v>0</v>
      </c>
      <c r="H102" s="39" t="s">
        <v>15</v>
      </c>
      <c r="I102" s="35" t="s">
        <v>3874</v>
      </c>
      <c r="J102" s="35">
        <v>0</v>
      </c>
      <c r="K102" s="35" t="s">
        <v>4207</v>
      </c>
      <c r="L102" s="35" t="s">
        <v>4203</v>
      </c>
      <c r="M102" s="35" t="s">
        <v>4203</v>
      </c>
      <c r="N102" s="35" t="s">
        <v>4203</v>
      </c>
      <c r="O102" s="35" t="s">
        <v>4203</v>
      </c>
      <c r="P102" s="35" t="s">
        <v>4203</v>
      </c>
      <c r="Q102" s="35" t="s">
        <v>2449</v>
      </c>
      <c r="R102" s="35" t="s">
        <v>4162</v>
      </c>
      <c r="S102" s="35"/>
      <c r="T102" s="35"/>
    </row>
    <row r="103" spans="1:20" ht="14">
      <c r="A103" s="35" t="s">
        <v>141</v>
      </c>
      <c r="B103" s="35"/>
      <c r="C103" s="35" t="s">
        <v>3992</v>
      </c>
      <c r="D103" s="35" t="s">
        <v>142</v>
      </c>
      <c r="E103" s="35"/>
      <c r="F103" s="35">
        <v>500</v>
      </c>
      <c r="G103" s="35" t="b">
        <v>0</v>
      </c>
      <c r="H103" s="39" t="s">
        <v>15</v>
      </c>
      <c r="I103" s="35" t="s">
        <v>37</v>
      </c>
      <c r="J103" s="35">
        <v>0</v>
      </c>
      <c r="K103" s="35" t="s">
        <v>4205</v>
      </c>
      <c r="L103" s="35" t="s">
        <v>4203</v>
      </c>
      <c r="M103" s="35" t="s">
        <v>4073</v>
      </c>
      <c r="N103" s="35" t="s">
        <v>4203</v>
      </c>
      <c r="O103" s="35" t="s">
        <v>4203</v>
      </c>
      <c r="P103" s="35" t="s">
        <v>4203</v>
      </c>
      <c r="Q103" s="35" t="s">
        <v>2449</v>
      </c>
      <c r="R103" s="35" t="s">
        <v>4203</v>
      </c>
      <c r="S103" s="35"/>
      <c r="T103" s="35"/>
    </row>
    <row r="104" spans="1:20" ht="14">
      <c r="A104" s="26" t="s">
        <v>4077</v>
      </c>
      <c r="B104" s="26"/>
      <c r="C104" s="35"/>
      <c r="D104" s="36" t="s">
        <v>4078</v>
      </c>
      <c r="E104" s="36" t="s">
        <v>4079</v>
      </c>
      <c r="F104" s="35">
        <v>500</v>
      </c>
      <c r="G104" s="35" t="b">
        <v>1</v>
      </c>
      <c r="H104" s="39" t="s">
        <v>15</v>
      </c>
      <c r="I104" s="35" t="s">
        <v>3043</v>
      </c>
      <c r="J104" s="35">
        <v>2</v>
      </c>
      <c r="K104" s="35" t="s">
        <v>4205</v>
      </c>
      <c r="L104" s="35" t="s">
        <v>4203</v>
      </c>
      <c r="M104" s="35" t="s">
        <v>4073</v>
      </c>
      <c r="N104" s="35" t="s">
        <v>4203</v>
      </c>
      <c r="O104" s="35" t="s">
        <v>4203</v>
      </c>
      <c r="P104" s="35" t="s">
        <v>4203</v>
      </c>
      <c r="Q104" s="35" t="s">
        <v>2449</v>
      </c>
      <c r="R104" s="35" t="s">
        <v>4162</v>
      </c>
      <c r="S104" s="35"/>
      <c r="T104" s="35"/>
    </row>
    <row r="105" spans="1:20" ht="14">
      <c r="A105" s="26" t="s">
        <v>4000</v>
      </c>
      <c r="B105" s="26"/>
      <c r="C105" s="35"/>
      <c r="D105" s="36" t="s">
        <v>3984</v>
      </c>
      <c r="E105" s="36"/>
      <c r="F105" s="35">
        <v>500</v>
      </c>
      <c r="G105" s="35" t="b">
        <v>1</v>
      </c>
      <c r="H105" s="39" t="s">
        <v>15</v>
      </c>
      <c r="I105" s="35" t="s">
        <v>3043</v>
      </c>
      <c r="J105" s="35">
        <v>2</v>
      </c>
      <c r="K105" s="35" t="s">
        <v>4205</v>
      </c>
      <c r="L105" s="35" t="s">
        <v>4203</v>
      </c>
      <c r="M105" s="35" t="s">
        <v>4073</v>
      </c>
      <c r="N105" s="35" t="s">
        <v>4203</v>
      </c>
      <c r="O105" s="35" t="s">
        <v>4203</v>
      </c>
      <c r="P105" s="35" t="s">
        <v>4203</v>
      </c>
      <c r="Q105" s="35" t="s">
        <v>2449</v>
      </c>
      <c r="R105" s="35" t="s">
        <v>4162</v>
      </c>
      <c r="S105" s="35"/>
      <c r="T105" s="35"/>
    </row>
    <row r="106" spans="1:20" ht="14">
      <c r="A106" s="35" t="s">
        <v>4117</v>
      </c>
      <c r="B106" s="35" t="s">
        <v>4120</v>
      </c>
      <c r="C106" s="35"/>
      <c r="D106" s="35" t="s">
        <v>3984</v>
      </c>
      <c r="E106" s="35"/>
      <c r="F106" s="35">
        <v>500</v>
      </c>
      <c r="G106" s="35" t="b">
        <v>1</v>
      </c>
      <c r="H106" s="39" t="s">
        <v>15</v>
      </c>
      <c r="I106" s="35" t="s">
        <v>95</v>
      </c>
      <c r="J106" s="35">
        <v>0</v>
      </c>
      <c r="K106" s="35" t="s">
        <v>4216</v>
      </c>
      <c r="L106" s="35" t="s">
        <v>4203</v>
      </c>
      <c r="M106" s="35" t="s">
        <v>4073</v>
      </c>
      <c r="N106" s="35" t="s">
        <v>4203</v>
      </c>
      <c r="O106" s="35" t="s">
        <v>95</v>
      </c>
      <c r="P106" s="35" t="s">
        <v>4203</v>
      </c>
      <c r="Q106" s="35" t="s">
        <v>4203</v>
      </c>
      <c r="R106" s="35" t="s">
        <v>4203</v>
      </c>
      <c r="S106" s="35"/>
      <c r="T106" s="35"/>
    </row>
    <row r="107" spans="1:20" ht="14">
      <c r="A107" s="35" t="s">
        <v>4119</v>
      </c>
      <c r="B107" s="35" t="s">
        <v>4121</v>
      </c>
      <c r="C107" s="35"/>
      <c r="D107" s="35" t="s">
        <v>4127</v>
      </c>
      <c r="E107" s="35"/>
      <c r="F107" s="35">
        <v>500</v>
      </c>
      <c r="G107" s="35" t="b">
        <v>1</v>
      </c>
      <c r="H107" s="39" t="s">
        <v>15</v>
      </c>
      <c r="I107" s="35" t="s">
        <v>95</v>
      </c>
      <c r="J107" s="35">
        <v>0</v>
      </c>
      <c r="K107" s="35" t="s">
        <v>4216</v>
      </c>
      <c r="L107" s="35" t="s">
        <v>4203</v>
      </c>
      <c r="M107" s="35" t="s">
        <v>4073</v>
      </c>
      <c r="N107" s="35" t="s">
        <v>4203</v>
      </c>
      <c r="O107" s="35" t="s">
        <v>95</v>
      </c>
      <c r="P107" s="35" t="s">
        <v>4203</v>
      </c>
      <c r="Q107" s="35" t="s">
        <v>4203</v>
      </c>
      <c r="R107" s="35" t="s">
        <v>4203</v>
      </c>
      <c r="S107" s="35"/>
      <c r="T107" s="35"/>
    </row>
    <row r="108" spans="1:20" ht="14">
      <c r="A108" s="35" t="s">
        <v>4118</v>
      </c>
      <c r="B108" s="35" t="s">
        <v>4121</v>
      </c>
      <c r="C108" s="35"/>
      <c r="D108" s="35" t="s">
        <v>4126</v>
      </c>
      <c r="E108" s="35"/>
      <c r="F108" s="35">
        <v>600</v>
      </c>
      <c r="G108" s="35" t="b">
        <v>1</v>
      </c>
      <c r="H108" s="39" t="s">
        <v>15</v>
      </c>
      <c r="I108" s="35" t="s">
        <v>95</v>
      </c>
      <c r="J108" s="35">
        <v>0</v>
      </c>
      <c r="K108" s="35" t="s">
        <v>4216</v>
      </c>
      <c r="L108" s="35" t="s">
        <v>4203</v>
      </c>
      <c r="M108" s="35" t="s">
        <v>4073</v>
      </c>
      <c r="N108" s="35" t="s">
        <v>4203</v>
      </c>
      <c r="O108" s="35" t="s">
        <v>95</v>
      </c>
      <c r="P108" s="35" t="s">
        <v>4203</v>
      </c>
      <c r="Q108" s="35" t="s">
        <v>4203</v>
      </c>
      <c r="R108" s="35" t="s">
        <v>4203</v>
      </c>
      <c r="S108" s="35"/>
      <c r="T108" s="35"/>
    </row>
    <row r="109" spans="1:20" ht="14">
      <c r="A109" s="36" t="s">
        <v>143</v>
      </c>
      <c r="B109" s="36"/>
      <c r="C109" s="36"/>
      <c r="D109" s="36" t="s">
        <v>144</v>
      </c>
      <c r="E109" s="36"/>
      <c r="F109" s="35">
        <v>500</v>
      </c>
      <c r="G109" s="35" t="b">
        <v>0</v>
      </c>
      <c r="H109" s="39" t="s">
        <v>15</v>
      </c>
      <c r="I109" s="35" t="s">
        <v>25</v>
      </c>
      <c r="J109" s="35">
        <v>1</v>
      </c>
      <c r="K109" s="35" t="s">
        <v>4208</v>
      </c>
      <c r="L109" s="35" t="s">
        <v>2378</v>
      </c>
      <c r="M109" s="35" t="s">
        <v>4073</v>
      </c>
      <c r="N109" s="35" t="s">
        <v>4203</v>
      </c>
      <c r="O109" s="35" t="s">
        <v>4203</v>
      </c>
      <c r="P109" s="35" t="s">
        <v>4203</v>
      </c>
      <c r="Q109" s="35" t="s">
        <v>2449</v>
      </c>
      <c r="R109" s="35" t="s">
        <v>4203</v>
      </c>
      <c r="S109" s="35"/>
      <c r="T109" s="35"/>
    </row>
    <row r="110" spans="1:20" ht="14">
      <c r="A110" s="26" t="s">
        <v>4156</v>
      </c>
      <c r="B110" s="26"/>
      <c r="C110" s="35"/>
      <c r="D110" s="36" t="s">
        <v>4159</v>
      </c>
      <c r="E110" s="36"/>
      <c r="F110" s="35">
        <v>800</v>
      </c>
      <c r="G110" s="35" t="b">
        <v>1</v>
      </c>
      <c r="H110" s="39" t="s">
        <v>15</v>
      </c>
      <c r="I110" s="35" t="s">
        <v>3043</v>
      </c>
      <c r="J110" s="35">
        <v>2</v>
      </c>
      <c r="K110" s="35" t="s">
        <v>4205</v>
      </c>
      <c r="L110" s="35" t="s">
        <v>4203</v>
      </c>
      <c r="M110" s="35" t="s">
        <v>4073</v>
      </c>
      <c r="N110" s="35" t="s">
        <v>4203</v>
      </c>
      <c r="O110" s="35" t="s">
        <v>4203</v>
      </c>
      <c r="P110" s="35" t="s">
        <v>4203</v>
      </c>
      <c r="Q110" s="35" t="s">
        <v>2449</v>
      </c>
      <c r="R110" s="35" t="s">
        <v>4162</v>
      </c>
      <c r="S110" s="35"/>
      <c r="T110" s="35"/>
    </row>
    <row r="111" spans="1:20" ht="14">
      <c r="A111" s="36" t="s">
        <v>22</v>
      </c>
      <c r="B111" s="36"/>
      <c r="C111" s="36" t="s">
        <v>3893</v>
      </c>
      <c r="D111" s="36" t="s">
        <v>24</v>
      </c>
      <c r="E111" s="36"/>
      <c r="F111" s="35">
        <v>550</v>
      </c>
      <c r="G111" s="35" t="b">
        <v>0</v>
      </c>
      <c r="H111" s="39" t="s">
        <v>15</v>
      </c>
      <c r="I111" s="35" t="s">
        <v>25</v>
      </c>
      <c r="J111" s="35">
        <v>1</v>
      </c>
      <c r="K111" s="35" t="s">
        <v>4206</v>
      </c>
      <c r="L111" s="35" t="s">
        <v>4203</v>
      </c>
      <c r="M111" s="35" t="s">
        <v>4073</v>
      </c>
      <c r="N111" s="35" t="s">
        <v>4203</v>
      </c>
      <c r="O111" s="35" t="s">
        <v>4203</v>
      </c>
      <c r="P111" s="35" t="s">
        <v>4203</v>
      </c>
      <c r="Q111" s="35" t="s">
        <v>2449</v>
      </c>
      <c r="R111" s="35" t="s">
        <v>4203</v>
      </c>
      <c r="S111" s="35"/>
      <c r="T111" s="35"/>
    </row>
    <row r="112" spans="1:20" ht="14">
      <c r="A112" s="35" t="s">
        <v>2774</v>
      </c>
      <c r="B112" s="35"/>
      <c r="C112" s="35" t="s">
        <v>4156</v>
      </c>
      <c r="D112" s="35" t="s">
        <v>2775</v>
      </c>
      <c r="E112" s="35"/>
      <c r="F112" s="35">
        <v>500</v>
      </c>
      <c r="G112" s="35" t="b">
        <v>0</v>
      </c>
      <c r="H112" s="39" t="s">
        <v>17</v>
      </c>
      <c r="I112" s="35" t="s">
        <v>37</v>
      </c>
      <c r="J112" s="35">
        <v>0</v>
      </c>
      <c r="K112" s="35" t="s">
        <v>2449</v>
      </c>
      <c r="L112" s="35" t="s">
        <v>4203</v>
      </c>
      <c r="M112" s="35" t="s">
        <v>4203</v>
      </c>
      <c r="N112" s="35" t="s">
        <v>4203</v>
      </c>
      <c r="O112" s="35" t="s">
        <v>4203</v>
      </c>
      <c r="P112" s="35" t="s">
        <v>4203</v>
      </c>
      <c r="Q112" s="35" t="s">
        <v>2449</v>
      </c>
      <c r="R112" s="35" t="s">
        <v>4203</v>
      </c>
      <c r="S112" s="35"/>
      <c r="T112" s="35"/>
    </row>
    <row r="113" spans="1:20" ht="14">
      <c r="A113" s="35" t="s">
        <v>4221</v>
      </c>
      <c r="B113" s="35" t="s">
        <v>4202</v>
      </c>
      <c r="C113" s="35" t="s">
        <v>4156</v>
      </c>
      <c r="D113" s="35" t="s">
        <v>4222</v>
      </c>
      <c r="E113" s="35"/>
      <c r="F113" s="35">
        <v>500</v>
      </c>
      <c r="G113" s="35" t="b">
        <v>1</v>
      </c>
      <c r="H113" s="39" t="s">
        <v>15</v>
      </c>
      <c r="I113" s="35" t="s">
        <v>37</v>
      </c>
      <c r="J113" s="35">
        <v>0</v>
      </c>
      <c r="K113" s="35" t="s">
        <v>4205</v>
      </c>
      <c r="L113" s="35" t="s">
        <v>4203</v>
      </c>
      <c r="M113" s="35" t="s">
        <v>4073</v>
      </c>
      <c r="N113" s="35" t="s">
        <v>4203</v>
      </c>
      <c r="O113" s="35" t="s">
        <v>4203</v>
      </c>
      <c r="P113" s="35" t="s">
        <v>4203</v>
      </c>
      <c r="Q113" s="35" t="s">
        <v>2449</v>
      </c>
      <c r="R113" s="35" t="s">
        <v>4162</v>
      </c>
      <c r="S113" s="35"/>
      <c r="T113" s="35"/>
    </row>
    <row r="114" spans="1:20" ht="14">
      <c r="A114" s="35" t="s">
        <v>145</v>
      </c>
      <c r="B114" s="35" t="s">
        <v>4194</v>
      </c>
      <c r="C114" s="35" t="s">
        <v>147</v>
      </c>
      <c r="D114" s="35" t="s">
        <v>146</v>
      </c>
      <c r="E114" s="35"/>
      <c r="F114" s="35">
        <v>400</v>
      </c>
      <c r="G114" s="35" t="b">
        <v>0</v>
      </c>
      <c r="H114" s="39" t="s">
        <v>15</v>
      </c>
      <c r="I114" s="35" t="s">
        <v>95</v>
      </c>
      <c r="J114" s="35">
        <v>0</v>
      </c>
      <c r="K114" s="35" t="s">
        <v>4216</v>
      </c>
      <c r="L114" s="35" t="s">
        <v>4203</v>
      </c>
      <c r="M114" s="35" t="s">
        <v>4073</v>
      </c>
      <c r="N114" s="35" t="s">
        <v>4203</v>
      </c>
      <c r="O114" s="35" t="s">
        <v>95</v>
      </c>
      <c r="P114" s="35" t="s">
        <v>4203</v>
      </c>
      <c r="Q114" s="35" t="s">
        <v>4203</v>
      </c>
      <c r="R114" s="35" t="s">
        <v>4203</v>
      </c>
      <c r="S114" s="35"/>
      <c r="T114" s="35"/>
    </row>
    <row r="115" spans="1:20" ht="14">
      <c r="A115" s="35" t="s">
        <v>147</v>
      </c>
      <c r="B115" s="35"/>
      <c r="C115" s="35" t="s">
        <v>4123</v>
      </c>
      <c r="D115" s="35" t="s">
        <v>4116</v>
      </c>
      <c r="E115" s="35"/>
      <c r="F115" s="35">
        <v>500</v>
      </c>
      <c r="G115" s="35" t="b">
        <v>0</v>
      </c>
      <c r="H115" s="39" t="s">
        <v>15</v>
      </c>
      <c r="I115" s="35" t="s">
        <v>95</v>
      </c>
      <c r="J115" s="35">
        <v>0</v>
      </c>
      <c r="K115" s="35" t="s">
        <v>4216</v>
      </c>
      <c r="L115" s="35" t="s">
        <v>4203</v>
      </c>
      <c r="M115" s="35" t="s">
        <v>4073</v>
      </c>
      <c r="N115" s="35" t="s">
        <v>4203</v>
      </c>
      <c r="O115" s="35" t="s">
        <v>95</v>
      </c>
      <c r="P115" s="35" t="s">
        <v>4203</v>
      </c>
      <c r="Q115" s="35" t="s">
        <v>4203</v>
      </c>
      <c r="R115" s="35" t="s">
        <v>4203</v>
      </c>
      <c r="S115" s="35"/>
      <c r="T115" s="35"/>
    </row>
    <row r="116" spans="1:20" ht="14">
      <c r="A116" s="36" t="s">
        <v>152</v>
      </c>
      <c r="B116" s="36"/>
      <c r="C116" s="36" t="s">
        <v>4027</v>
      </c>
      <c r="D116" s="36" t="s">
        <v>153</v>
      </c>
      <c r="E116" s="36"/>
      <c r="F116" s="35">
        <v>550</v>
      </c>
      <c r="G116" s="35" t="b">
        <v>0</v>
      </c>
      <c r="H116" s="39" t="s">
        <v>15</v>
      </c>
      <c r="I116" s="35" t="s">
        <v>25</v>
      </c>
      <c r="J116" s="35">
        <v>1</v>
      </c>
      <c r="K116" s="35" t="s">
        <v>4206</v>
      </c>
      <c r="L116" s="35" t="s">
        <v>4203</v>
      </c>
      <c r="M116" s="35" t="s">
        <v>4073</v>
      </c>
      <c r="N116" s="35" t="s">
        <v>4203</v>
      </c>
      <c r="O116" s="35" t="s">
        <v>4203</v>
      </c>
      <c r="P116" s="35" t="s">
        <v>4203</v>
      </c>
      <c r="Q116" s="35" t="s">
        <v>2449</v>
      </c>
      <c r="R116" s="35" t="s">
        <v>4203</v>
      </c>
      <c r="S116" s="35"/>
      <c r="T116" s="35"/>
    </row>
    <row r="117" spans="1:20" ht="14">
      <c r="A117" s="36" t="s">
        <v>3039</v>
      </c>
      <c r="B117" s="36"/>
      <c r="C117" s="36"/>
      <c r="D117" s="35" t="s">
        <v>3038</v>
      </c>
      <c r="E117" s="35"/>
      <c r="F117" s="35">
        <v>500</v>
      </c>
      <c r="G117" s="35" t="b">
        <v>0</v>
      </c>
      <c r="H117" s="39" t="s">
        <v>15</v>
      </c>
      <c r="I117" s="35" t="s">
        <v>37</v>
      </c>
      <c r="J117" s="35">
        <v>0</v>
      </c>
      <c r="K117" s="35" t="s">
        <v>4208</v>
      </c>
      <c r="L117" s="35" t="s">
        <v>2378</v>
      </c>
      <c r="M117" s="35" t="s">
        <v>4073</v>
      </c>
      <c r="N117" s="35" t="s">
        <v>4203</v>
      </c>
      <c r="O117" s="35" t="s">
        <v>4203</v>
      </c>
      <c r="P117" s="35" t="s">
        <v>4203</v>
      </c>
      <c r="Q117" s="35" t="s">
        <v>2449</v>
      </c>
      <c r="R117" s="35" t="s">
        <v>4203</v>
      </c>
      <c r="S117" s="35"/>
      <c r="T117" s="35"/>
    </row>
    <row r="118" spans="1:20" ht="14">
      <c r="A118" s="35" t="s">
        <v>2824</v>
      </c>
      <c r="B118" s="35"/>
      <c r="C118" s="35"/>
      <c r="D118" s="35" t="s">
        <v>2825</v>
      </c>
      <c r="E118" s="35"/>
      <c r="F118" s="35">
        <v>500</v>
      </c>
      <c r="G118" s="35" t="b">
        <v>0</v>
      </c>
      <c r="H118" s="39" t="s">
        <v>15</v>
      </c>
      <c r="I118" s="35" t="s">
        <v>41</v>
      </c>
      <c r="J118" s="35">
        <v>1</v>
      </c>
      <c r="K118" s="35" t="s">
        <v>4205</v>
      </c>
      <c r="L118" s="35" t="s">
        <v>4203</v>
      </c>
      <c r="M118" s="35" t="s">
        <v>4073</v>
      </c>
      <c r="N118" s="35" t="s">
        <v>4203</v>
      </c>
      <c r="O118" s="35" t="s">
        <v>4203</v>
      </c>
      <c r="P118" s="35" t="s">
        <v>4203</v>
      </c>
      <c r="Q118" s="35" t="s">
        <v>2449</v>
      </c>
      <c r="R118" s="35" t="s">
        <v>4162</v>
      </c>
      <c r="S118" s="35"/>
      <c r="T118" s="35"/>
    </row>
    <row r="119" spans="1:20" ht="14">
      <c r="A119" s="35" t="s">
        <v>3092</v>
      </c>
      <c r="B119" s="35"/>
      <c r="C119" s="35"/>
      <c r="D119" s="35" t="s">
        <v>3093</v>
      </c>
      <c r="E119" s="35"/>
      <c r="F119" s="35">
        <v>600</v>
      </c>
      <c r="G119" s="35" t="b">
        <v>0</v>
      </c>
      <c r="H119" s="39" t="s">
        <v>15</v>
      </c>
      <c r="I119" s="35" t="s">
        <v>37</v>
      </c>
      <c r="J119" s="35">
        <v>0</v>
      </c>
      <c r="K119" s="35" t="s">
        <v>4209</v>
      </c>
      <c r="L119" s="35" t="s">
        <v>4203</v>
      </c>
      <c r="M119" s="35" t="s">
        <v>4073</v>
      </c>
      <c r="N119" s="35" t="s">
        <v>4203</v>
      </c>
      <c r="O119" s="35" t="s">
        <v>4203</v>
      </c>
      <c r="P119" s="35" t="s">
        <v>4210</v>
      </c>
      <c r="Q119" s="35" t="s">
        <v>4203</v>
      </c>
      <c r="R119" s="35" t="s">
        <v>4203</v>
      </c>
      <c r="S119" s="35"/>
      <c r="T119" s="35"/>
    </row>
    <row r="120" spans="1:20" ht="14">
      <c r="A120" s="36" t="s">
        <v>148</v>
      </c>
      <c r="B120" s="36"/>
      <c r="C120" s="36"/>
      <c r="D120" s="35" t="s">
        <v>150</v>
      </c>
      <c r="E120" s="35"/>
      <c r="F120" s="35">
        <v>500</v>
      </c>
      <c r="G120" s="35" t="b">
        <v>0</v>
      </c>
      <c r="H120" s="39" t="s">
        <v>15</v>
      </c>
      <c r="I120" s="35" t="s">
        <v>29</v>
      </c>
      <c r="J120" s="35">
        <v>3</v>
      </c>
      <c r="K120" s="35" t="s">
        <v>4208</v>
      </c>
      <c r="L120" s="35" t="s">
        <v>2378</v>
      </c>
      <c r="M120" s="35" t="s">
        <v>4073</v>
      </c>
      <c r="N120" s="35" t="s">
        <v>4203</v>
      </c>
      <c r="O120" s="35" t="s">
        <v>4203</v>
      </c>
      <c r="P120" s="35" t="s">
        <v>4203</v>
      </c>
      <c r="Q120" s="35" t="s">
        <v>2449</v>
      </c>
      <c r="R120" s="35" t="s">
        <v>4203</v>
      </c>
      <c r="S120" s="35"/>
      <c r="T120" s="35"/>
    </row>
    <row r="121" spans="1:20" ht="14">
      <c r="A121" s="36" t="s">
        <v>149</v>
      </c>
      <c r="B121" s="36"/>
      <c r="C121" s="35" t="s">
        <v>4346</v>
      </c>
      <c r="D121" s="35" t="s">
        <v>151</v>
      </c>
      <c r="E121" s="35"/>
      <c r="F121" s="35">
        <v>500</v>
      </c>
      <c r="G121" s="35" t="b">
        <v>0</v>
      </c>
      <c r="H121" s="39" t="s">
        <v>15</v>
      </c>
      <c r="I121" s="35" t="s">
        <v>29</v>
      </c>
      <c r="J121" s="35">
        <v>3</v>
      </c>
      <c r="K121" s="35" t="s">
        <v>4208</v>
      </c>
      <c r="L121" s="35" t="s">
        <v>2378</v>
      </c>
      <c r="M121" s="35" t="s">
        <v>4073</v>
      </c>
      <c r="N121" s="35" t="s">
        <v>4203</v>
      </c>
      <c r="O121" s="35" t="s">
        <v>4203</v>
      </c>
      <c r="P121" s="35" t="s">
        <v>4203</v>
      </c>
      <c r="Q121" s="35" t="s">
        <v>2449</v>
      </c>
      <c r="R121" s="35" t="s">
        <v>4203</v>
      </c>
      <c r="S121" s="35"/>
      <c r="T121" s="35"/>
    </row>
    <row r="122" spans="1:20" ht="14">
      <c r="A122" s="35" t="s">
        <v>172</v>
      </c>
      <c r="B122" s="35"/>
      <c r="C122" s="35"/>
      <c r="D122" s="35" t="s">
        <v>173</v>
      </c>
      <c r="E122" s="35"/>
      <c r="F122" s="35">
        <v>500</v>
      </c>
      <c r="G122" s="35" t="b">
        <v>0</v>
      </c>
      <c r="H122" s="39" t="s">
        <v>15</v>
      </c>
      <c r="I122" s="35" t="s">
        <v>165</v>
      </c>
      <c r="J122" s="35">
        <v>0</v>
      </c>
      <c r="K122" s="35" t="s">
        <v>4204</v>
      </c>
      <c r="L122" s="35" t="s">
        <v>4203</v>
      </c>
      <c r="M122" s="35" t="s">
        <v>4073</v>
      </c>
      <c r="N122" s="35" t="s">
        <v>165</v>
      </c>
      <c r="O122" s="35" t="s">
        <v>4203</v>
      </c>
      <c r="P122" s="35" t="s">
        <v>4203</v>
      </c>
      <c r="Q122" s="35" t="s">
        <v>4203</v>
      </c>
      <c r="R122" s="35" t="s">
        <v>4203</v>
      </c>
      <c r="S122" s="35"/>
      <c r="T122" s="35"/>
    </row>
    <row r="123" spans="1:20" ht="14">
      <c r="A123" s="35" t="s">
        <v>154</v>
      </c>
      <c r="B123" s="35"/>
      <c r="C123" s="35"/>
      <c r="D123" s="35" t="s">
        <v>155</v>
      </c>
      <c r="E123" s="35"/>
      <c r="F123" s="35">
        <v>500</v>
      </c>
      <c r="G123" s="35" t="b">
        <v>0</v>
      </c>
      <c r="H123" s="39" t="s">
        <v>15</v>
      </c>
      <c r="I123" s="35" t="s">
        <v>21</v>
      </c>
      <c r="J123" s="35">
        <v>2</v>
      </c>
      <c r="K123" s="35" t="s">
        <v>4215</v>
      </c>
      <c r="L123" s="35" t="s">
        <v>4203</v>
      </c>
      <c r="M123" s="35" t="s">
        <v>4073</v>
      </c>
      <c r="N123" s="35" t="s">
        <v>4203</v>
      </c>
      <c r="O123" s="35" t="s">
        <v>4203</v>
      </c>
      <c r="P123" s="35" t="s">
        <v>4210</v>
      </c>
      <c r="Q123" s="35" t="s">
        <v>2449</v>
      </c>
      <c r="R123" s="35" t="s">
        <v>4162</v>
      </c>
      <c r="S123" s="35"/>
      <c r="T123" s="35"/>
    </row>
    <row r="124" spans="1:20" ht="14">
      <c r="A124" s="35" t="s">
        <v>174</v>
      </c>
      <c r="B124" s="35"/>
      <c r="C124" s="35"/>
      <c r="D124" s="35" t="s">
        <v>175</v>
      </c>
      <c r="E124" s="35"/>
      <c r="F124" s="35">
        <v>300</v>
      </c>
      <c r="G124" s="35" t="b">
        <v>0</v>
      </c>
      <c r="H124" s="39" t="s">
        <v>15</v>
      </c>
      <c r="I124" s="35" t="s">
        <v>165</v>
      </c>
      <c r="J124" s="35">
        <v>0</v>
      </c>
      <c r="K124" s="35" t="s">
        <v>165</v>
      </c>
      <c r="L124" s="35" t="s">
        <v>4203</v>
      </c>
      <c r="M124" s="35" t="s">
        <v>4203</v>
      </c>
      <c r="N124" s="35" t="s">
        <v>165</v>
      </c>
      <c r="O124" s="35" t="s">
        <v>4203</v>
      </c>
      <c r="P124" s="35" t="s">
        <v>4203</v>
      </c>
      <c r="Q124" s="35" t="s">
        <v>4203</v>
      </c>
      <c r="R124" s="35" t="s">
        <v>4203</v>
      </c>
      <c r="S124" s="35"/>
      <c r="T124" s="35"/>
    </row>
    <row r="125" spans="1:20" ht="14">
      <c r="A125" s="35" t="s">
        <v>27</v>
      </c>
      <c r="B125" s="35"/>
      <c r="C125" s="35" t="s">
        <v>3998</v>
      </c>
      <c r="D125" s="35" t="s">
        <v>156</v>
      </c>
      <c r="E125" s="35"/>
      <c r="F125" s="35">
        <v>500</v>
      </c>
      <c r="G125" s="35" t="b">
        <v>0</v>
      </c>
      <c r="H125" s="39" t="s">
        <v>15</v>
      </c>
      <c r="I125" s="35" t="s">
        <v>29</v>
      </c>
      <c r="J125" s="35">
        <v>3</v>
      </c>
      <c r="K125" s="35" t="s">
        <v>4208</v>
      </c>
      <c r="L125" s="35" t="s">
        <v>2378</v>
      </c>
      <c r="M125" s="35" t="s">
        <v>4073</v>
      </c>
      <c r="N125" s="35" t="s">
        <v>4203</v>
      </c>
      <c r="O125" s="35" t="s">
        <v>4203</v>
      </c>
      <c r="P125" s="35" t="s">
        <v>4203</v>
      </c>
      <c r="Q125" s="35" t="s">
        <v>2449</v>
      </c>
      <c r="R125" s="35" t="s">
        <v>4203</v>
      </c>
      <c r="S125" s="35"/>
      <c r="T125" s="35"/>
    </row>
    <row r="126" spans="1:20" ht="14">
      <c r="A126" s="36" t="s">
        <v>26</v>
      </c>
      <c r="B126" s="36"/>
      <c r="C126" s="36"/>
      <c r="D126" s="35" t="s">
        <v>28</v>
      </c>
      <c r="E126" s="35"/>
      <c r="F126" s="35">
        <v>500</v>
      </c>
      <c r="G126" s="35" t="b">
        <v>0</v>
      </c>
      <c r="H126" s="39" t="s">
        <v>15</v>
      </c>
      <c r="I126" s="35" t="s">
        <v>29</v>
      </c>
      <c r="J126" s="35">
        <v>3</v>
      </c>
      <c r="K126" s="35" t="s">
        <v>4206</v>
      </c>
      <c r="L126" s="35" t="s">
        <v>4203</v>
      </c>
      <c r="M126" s="35" t="s">
        <v>4073</v>
      </c>
      <c r="N126" s="35" t="s">
        <v>4203</v>
      </c>
      <c r="O126" s="35" t="s">
        <v>4203</v>
      </c>
      <c r="P126" s="35" t="s">
        <v>4203</v>
      </c>
      <c r="Q126" s="35" t="s">
        <v>2449</v>
      </c>
      <c r="R126" s="35" t="s">
        <v>4203</v>
      </c>
      <c r="S126" s="35"/>
      <c r="T126" s="35"/>
    </row>
    <row r="127" spans="1:20" ht="14">
      <c r="A127" s="35" t="s">
        <v>3023</v>
      </c>
      <c r="B127" s="35"/>
      <c r="C127" s="35"/>
      <c r="D127" s="35" t="s">
        <v>3022</v>
      </c>
      <c r="E127" s="35"/>
      <c r="F127" s="35">
        <v>500</v>
      </c>
      <c r="G127" s="35" t="b">
        <v>0</v>
      </c>
      <c r="H127" s="39" t="s">
        <v>15</v>
      </c>
      <c r="I127" s="35" t="s">
        <v>37</v>
      </c>
      <c r="J127" s="35">
        <v>0</v>
      </c>
      <c r="K127" s="35" t="s">
        <v>4205</v>
      </c>
      <c r="L127" s="35" t="s">
        <v>4203</v>
      </c>
      <c r="M127" s="35" t="s">
        <v>4073</v>
      </c>
      <c r="N127" s="35" t="s">
        <v>4203</v>
      </c>
      <c r="O127" s="35" t="s">
        <v>4203</v>
      </c>
      <c r="P127" s="35" t="s">
        <v>4203</v>
      </c>
      <c r="Q127" s="35" t="s">
        <v>2449</v>
      </c>
      <c r="R127" s="35" t="s">
        <v>4162</v>
      </c>
      <c r="S127" s="35"/>
      <c r="T127" s="35"/>
    </row>
    <row r="128" spans="1:20" ht="14">
      <c r="A128" s="35" t="s">
        <v>89</v>
      </c>
      <c r="B128" s="35"/>
      <c r="C128" s="35"/>
      <c r="D128" s="35" t="s">
        <v>90</v>
      </c>
      <c r="E128" s="35"/>
      <c r="F128" s="35">
        <v>500</v>
      </c>
      <c r="G128" s="35" t="b">
        <v>0</v>
      </c>
      <c r="H128" s="39" t="s">
        <v>15</v>
      </c>
      <c r="I128" s="35" t="s">
        <v>91</v>
      </c>
      <c r="J128" s="35">
        <v>0</v>
      </c>
      <c r="K128" s="35" t="s">
        <v>4206</v>
      </c>
      <c r="L128" s="35" t="s">
        <v>4203</v>
      </c>
      <c r="M128" s="35" t="s">
        <v>4073</v>
      </c>
      <c r="N128" s="35" t="s">
        <v>4203</v>
      </c>
      <c r="O128" s="35" t="s">
        <v>4203</v>
      </c>
      <c r="P128" s="35" t="s">
        <v>4203</v>
      </c>
      <c r="Q128" s="35" t="s">
        <v>2449</v>
      </c>
      <c r="R128" s="35" t="s">
        <v>4203</v>
      </c>
      <c r="S128" s="35"/>
      <c r="T128" s="35"/>
    </row>
    <row r="129" spans="1:20" ht="14">
      <c r="A129" s="36" t="s">
        <v>157</v>
      </c>
      <c r="B129" s="36"/>
      <c r="C129" s="36"/>
      <c r="D129" s="35" t="s">
        <v>158</v>
      </c>
      <c r="E129" s="35"/>
      <c r="F129" s="35">
        <v>500</v>
      </c>
      <c r="G129" s="35" t="b">
        <v>0</v>
      </c>
      <c r="H129" s="39" t="s">
        <v>15</v>
      </c>
      <c r="I129" s="35" t="s">
        <v>132</v>
      </c>
      <c r="J129" s="35">
        <v>1</v>
      </c>
      <c r="K129" s="35" t="s">
        <v>4206</v>
      </c>
      <c r="L129" s="35" t="s">
        <v>4203</v>
      </c>
      <c r="M129" s="35" t="s">
        <v>4073</v>
      </c>
      <c r="N129" s="35" t="s">
        <v>4203</v>
      </c>
      <c r="O129" s="35" t="s">
        <v>4203</v>
      </c>
      <c r="P129" s="35" t="s">
        <v>4203</v>
      </c>
      <c r="Q129" s="35" t="s">
        <v>2449</v>
      </c>
      <c r="R129" s="35" t="s">
        <v>4203</v>
      </c>
      <c r="S129" s="35"/>
      <c r="T129" s="35"/>
    </row>
    <row r="130" spans="1:20" ht="14">
      <c r="A130" s="35" t="s">
        <v>2780</v>
      </c>
      <c r="B130" s="35"/>
      <c r="C130" s="35"/>
      <c r="D130" s="35" t="s">
        <v>3021</v>
      </c>
      <c r="E130" s="35"/>
      <c r="F130" s="35">
        <v>650</v>
      </c>
      <c r="G130" s="35" t="b">
        <v>0</v>
      </c>
      <c r="H130" s="39" t="s">
        <v>15</v>
      </c>
      <c r="I130" s="35" t="s">
        <v>41</v>
      </c>
      <c r="J130" s="35">
        <v>0</v>
      </c>
      <c r="K130" s="35" t="s">
        <v>4205</v>
      </c>
      <c r="L130" s="35" t="s">
        <v>4203</v>
      </c>
      <c r="M130" s="35" t="s">
        <v>4073</v>
      </c>
      <c r="N130" s="35" t="s">
        <v>4203</v>
      </c>
      <c r="O130" s="35" t="s">
        <v>4203</v>
      </c>
      <c r="P130" s="35" t="s">
        <v>4203</v>
      </c>
      <c r="Q130" s="35" t="s">
        <v>2449</v>
      </c>
      <c r="R130" s="35" t="s">
        <v>4162</v>
      </c>
      <c r="S130" s="35"/>
      <c r="T130" s="35"/>
    </row>
    <row r="131" spans="1:20" ht="14">
      <c r="A131" s="35" t="s">
        <v>4122</v>
      </c>
      <c r="B131" s="35" t="s">
        <v>4124</v>
      </c>
      <c r="C131" s="35"/>
      <c r="D131" s="35" t="s">
        <v>4128</v>
      </c>
      <c r="E131" s="35"/>
      <c r="F131" s="35">
        <v>500</v>
      </c>
      <c r="G131" s="35" t="b">
        <v>1</v>
      </c>
      <c r="H131" s="39" t="s">
        <v>15</v>
      </c>
      <c r="I131" s="35" t="s">
        <v>95</v>
      </c>
      <c r="J131" s="35">
        <v>0</v>
      </c>
      <c r="K131" s="35" t="s">
        <v>4216</v>
      </c>
      <c r="L131" s="35" t="s">
        <v>4203</v>
      </c>
      <c r="M131" s="35" t="s">
        <v>4073</v>
      </c>
      <c r="N131" s="35" t="s">
        <v>4203</v>
      </c>
      <c r="O131" s="35" t="s">
        <v>95</v>
      </c>
      <c r="P131" s="35" t="s">
        <v>4203</v>
      </c>
      <c r="Q131" s="35" t="s">
        <v>4203</v>
      </c>
      <c r="R131" s="35" t="s">
        <v>4203</v>
      </c>
      <c r="S131" s="35"/>
      <c r="T131" s="35"/>
    </row>
    <row r="132" spans="1:20" ht="14">
      <c r="A132" s="26" t="s">
        <v>3897</v>
      </c>
      <c r="B132" s="26"/>
      <c r="C132" s="35"/>
      <c r="D132" s="36" t="s">
        <v>3899</v>
      </c>
      <c r="E132" s="36" t="s">
        <v>2469</v>
      </c>
      <c r="F132" s="35">
        <v>500</v>
      </c>
      <c r="G132" s="35" t="b">
        <v>1</v>
      </c>
      <c r="H132" s="39" t="s">
        <v>15</v>
      </c>
      <c r="I132" s="35" t="s">
        <v>3043</v>
      </c>
      <c r="J132" s="35">
        <v>2</v>
      </c>
      <c r="K132" s="35" t="s">
        <v>4205</v>
      </c>
      <c r="L132" s="35" t="s">
        <v>4203</v>
      </c>
      <c r="M132" s="35" t="s">
        <v>4073</v>
      </c>
      <c r="N132" s="35" t="s">
        <v>4203</v>
      </c>
      <c r="O132" s="35" t="s">
        <v>4203</v>
      </c>
      <c r="P132" s="35" t="s">
        <v>4203</v>
      </c>
      <c r="Q132" s="35" t="s">
        <v>2449</v>
      </c>
      <c r="R132" s="35" t="s">
        <v>4162</v>
      </c>
      <c r="S132" s="35"/>
      <c r="T132" s="35"/>
    </row>
    <row r="133" spans="1:20" ht="14">
      <c r="A133" s="35" t="s">
        <v>60</v>
      </c>
      <c r="B133" s="35"/>
      <c r="C133" s="36" t="s">
        <v>3893</v>
      </c>
      <c r="D133" s="35" t="s">
        <v>61</v>
      </c>
      <c r="E133" s="35"/>
      <c r="F133" s="35">
        <v>200</v>
      </c>
      <c r="G133" s="35" t="b">
        <v>0</v>
      </c>
      <c r="H133" s="39" t="s">
        <v>15</v>
      </c>
      <c r="I133" s="35" t="s">
        <v>55</v>
      </c>
      <c r="J133" s="35">
        <v>0</v>
      </c>
      <c r="K133" s="35" t="s">
        <v>4205</v>
      </c>
      <c r="L133" s="35" t="s">
        <v>4203</v>
      </c>
      <c r="M133" s="35" t="s">
        <v>4073</v>
      </c>
      <c r="N133" s="35" t="s">
        <v>4203</v>
      </c>
      <c r="O133" s="35" t="s">
        <v>4203</v>
      </c>
      <c r="P133" s="35" t="s">
        <v>4203</v>
      </c>
      <c r="Q133" s="35" t="s">
        <v>2449</v>
      </c>
      <c r="R133" s="35" t="s">
        <v>4203</v>
      </c>
      <c r="S133" s="35"/>
      <c r="T133" s="35"/>
    </row>
    <row r="134" spans="1:20" ht="14">
      <c r="A134" s="36" t="s">
        <v>159</v>
      </c>
      <c r="B134" s="36"/>
      <c r="C134" s="36"/>
      <c r="D134" s="35" t="s">
        <v>160</v>
      </c>
      <c r="E134" s="35"/>
      <c r="F134" s="35">
        <v>500</v>
      </c>
      <c r="G134" s="35" t="b">
        <v>0</v>
      </c>
      <c r="H134" s="39" t="s">
        <v>15</v>
      </c>
      <c r="I134" s="35" t="s">
        <v>37</v>
      </c>
      <c r="J134" s="35">
        <v>0</v>
      </c>
      <c r="K134" s="35" t="s">
        <v>4205</v>
      </c>
      <c r="L134" s="35" t="s">
        <v>4203</v>
      </c>
      <c r="M134" s="35" t="s">
        <v>4073</v>
      </c>
      <c r="N134" s="35" t="s">
        <v>4203</v>
      </c>
      <c r="O134" s="35" t="s">
        <v>4203</v>
      </c>
      <c r="P134" s="35" t="s">
        <v>4203</v>
      </c>
      <c r="Q134" s="35" t="s">
        <v>2449</v>
      </c>
      <c r="R134" s="35" t="s">
        <v>4203</v>
      </c>
      <c r="S134" s="35"/>
      <c r="T134" s="35"/>
    </row>
    <row r="135" spans="1:20" ht="14">
      <c r="A135" s="36" t="s">
        <v>161</v>
      </c>
      <c r="B135" s="36"/>
      <c r="C135" s="36"/>
      <c r="D135" s="35" t="s">
        <v>2673</v>
      </c>
      <c r="E135" s="35"/>
      <c r="F135" s="35">
        <v>500</v>
      </c>
      <c r="G135" s="35" t="b">
        <v>0</v>
      </c>
      <c r="H135" s="39" t="s">
        <v>15</v>
      </c>
      <c r="I135" s="35" t="s">
        <v>37</v>
      </c>
      <c r="J135" s="35">
        <v>0</v>
      </c>
      <c r="K135" s="35" t="s">
        <v>4206</v>
      </c>
      <c r="L135" s="35" t="s">
        <v>4203</v>
      </c>
      <c r="M135" s="35" t="s">
        <v>4073</v>
      </c>
      <c r="N135" s="35" t="s">
        <v>4203</v>
      </c>
      <c r="O135" s="35" t="s">
        <v>4203</v>
      </c>
      <c r="P135" s="35" t="s">
        <v>4203</v>
      </c>
      <c r="Q135" s="35" t="s">
        <v>2449</v>
      </c>
      <c r="R135" s="35" t="s">
        <v>4203</v>
      </c>
      <c r="S135" s="35"/>
      <c r="T135" s="35"/>
    </row>
    <row r="136" spans="1:20" ht="14">
      <c r="A136" s="26" t="s">
        <v>3994</v>
      </c>
      <c r="B136" s="26"/>
      <c r="C136" s="35"/>
      <c r="D136" s="36" t="s">
        <v>4448</v>
      </c>
      <c r="E136" s="36" t="s">
        <v>3952</v>
      </c>
      <c r="F136" s="35">
        <v>500</v>
      </c>
      <c r="G136" s="35" t="b">
        <v>1</v>
      </c>
      <c r="H136" s="39" t="s">
        <v>15</v>
      </c>
      <c r="I136" s="35" t="s">
        <v>3043</v>
      </c>
      <c r="J136" s="35">
        <v>2</v>
      </c>
      <c r="K136" s="35" t="s">
        <v>4205</v>
      </c>
      <c r="L136" s="35" t="s">
        <v>4203</v>
      </c>
      <c r="M136" s="35" t="s">
        <v>4073</v>
      </c>
      <c r="N136" s="35" t="s">
        <v>4203</v>
      </c>
      <c r="O136" s="35" t="s">
        <v>4203</v>
      </c>
      <c r="P136" s="35" t="s">
        <v>4203</v>
      </c>
      <c r="Q136" s="35" t="s">
        <v>2449</v>
      </c>
      <c r="R136" s="35" t="s">
        <v>4162</v>
      </c>
      <c r="S136" s="35"/>
      <c r="T136" s="35"/>
    </row>
    <row r="137" spans="1:20" ht="14">
      <c r="A137" s="35" t="s">
        <v>4200</v>
      </c>
      <c r="B137" s="35" t="s">
        <v>4201</v>
      </c>
      <c r="C137" s="35" t="s">
        <v>147</v>
      </c>
      <c r="D137" s="35" t="s">
        <v>4195</v>
      </c>
      <c r="E137" s="35"/>
      <c r="F137" s="35">
        <v>400</v>
      </c>
      <c r="G137" s="35" t="b">
        <v>0</v>
      </c>
      <c r="H137" s="39" t="s">
        <v>15</v>
      </c>
      <c r="I137" s="35" t="s">
        <v>95</v>
      </c>
      <c r="J137" s="35">
        <v>0</v>
      </c>
      <c r="K137" s="35" t="s">
        <v>4216</v>
      </c>
      <c r="L137" s="35" t="s">
        <v>4203</v>
      </c>
      <c r="M137" s="35" t="s">
        <v>4073</v>
      </c>
      <c r="N137" s="35" t="s">
        <v>4203</v>
      </c>
      <c r="O137" s="35" t="s">
        <v>95</v>
      </c>
      <c r="P137" s="35" t="s">
        <v>4203</v>
      </c>
      <c r="Q137" s="35" t="s">
        <v>4203</v>
      </c>
      <c r="R137" s="35" t="s">
        <v>4203</v>
      </c>
      <c r="S137" s="35"/>
      <c r="T137" s="35"/>
    </row>
    <row r="138" spans="1:20" ht="14">
      <c r="A138" s="26" t="s">
        <v>3998</v>
      </c>
      <c r="B138" s="26"/>
      <c r="C138" s="35"/>
      <c r="D138" s="36" t="s">
        <v>3980</v>
      </c>
      <c r="E138" s="36" t="s">
        <v>3981</v>
      </c>
      <c r="F138" s="35">
        <v>500</v>
      </c>
      <c r="G138" s="35" t="b">
        <v>1</v>
      </c>
      <c r="H138" s="39" t="s">
        <v>15</v>
      </c>
      <c r="I138" s="35" t="s">
        <v>3043</v>
      </c>
      <c r="J138" s="35">
        <v>2</v>
      </c>
      <c r="K138" s="35" t="s">
        <v>4205</v>
      </c>
      <c r="L138" s="35" t="s">
        <v>4203</v>
      </c>
      <c r="M138" s="35" t="s">
        <v>4073</v>
      </c>
      <c r="N138" s="35" t="s">
        <v>4203</v>
      </c>
      <c r="O138" s="35" t="s">
        <v>4203</v>
      </c>
      <c r="P138" s="35" t="s">
        <v>4203</v>
      </c>
      <c r="Q138" s="35" t="s">
        <v>2449</v>
      </c>
      <c r="R138" s="35" t="s">
        <v>4162</v>
      </c>
      <c r="S138" s="35"/>
      <c r="T138" s="35"/>
    </row>
    <row r="139" spans="1:20" ht="14">
      <c r="A139" s="26" t="s">
        <v>3895</v>
      </c>
      <c r="B139" s="26"/>
      <c r="C139" s="35"/>
      <c r="D139" s="36" t="s">
        <v>3947</v>
      </c>
      <c r="E139" s="36" t="s">
        <v>4048</v>
      </c>
      <c r="F139" s="35">
        <v>500</v>
      </c>
      <c r="G139" s="35" t="b">
        <v>1</v>
      </c>
      <c r="H139" s="39" t="s">
        <v>15</v>
      </c>
      <c r="I139" s="35" t="s">
        <v>3043</v>
      </c>
      <c r="J139" s="35">
        <v>2</v>
      </c>
      <c r="K139" s="35" t="s">
        <v>4205</v>
      </c>
      <c r="L139" s="35" t="s">
        <v>4203</v>
      </c>
      <c r="M139" s="35" t="s">
        <v>4073</v>
      </c>
      <c r="N139" s="35" t="s">
        <v>4203</v>
      </c>
      <c r="O139" s="35" t="s">
        <v>4203</v>
      </c>
      <c r="P139" s="35" t="s">
        <v>4203</v>
      </c>
      <c r="Q139" s="35" t="s">
        <v>2449</v>
      </c>
      <c r="R139" s="35" t="s">
        <v>4162</v>
      </c>
      <c r="S139" s="35"/>
      <c r="T139" s="35"/>
    </row>
    <row r="140" spans="1:20" ht="14">
      <c r="A140" s="26" t="s">
        <v>3996</v>
      </c>
      <c r="B140" s="26"/>
      <c r="C140" s="35"/>
      <c r="D140" s="36" t="s">
        <v>3961</v>
      </c>
      <c r="E140" s="36" t="s">
        <v>3948</v>
      </c>
      <c r="F140" s="35">
        <v>500</v>
      </c>
      <c r="G140" s="35" t="b">
        <v>1</v>
      </c>
      <c r="H140" s="39" t="s">
        <v>15</v>
      </c>
      <c r="I140" s="35" t="s">
        <v>3043</v>
      </c>
      <c r="J140" s="35">
        <v>2</v>
      </c>
      <c r="K140" s="35" t="s">
        <v>4205</v>
      </c>
      <c r="L140" s="35" t="s">
        <v>4203</v>
      </c>
      <c r="M140" s="35" t="s">
        <v>4073</v>
      </c>
      <c r="N140" s="35" t="s">
        <v>4203</v>
      </c>
      <c r="O140" s="35" t="s">
        <v>4203</v>
      </c>
      <c r="P140" s="35" t="s">
        <v>4203</v>
      </c>
      <c r="Q140" s="35" t="s">
        <v>2449</v>
      </c>
      <c r="R140" s="35" t="s">
        <v>4162</v>
      </c>
      <c r="S140" s="35"/>
      <c r="T140" s="35"/>
    </row>
    <row r="141" spans="1:20" ht="14">
      <c r="A141" s="35" t="s">
        <v>93</v>
      </c>
      <c r="B141" s="35"/>
      <c r="C141" s="35"/>
      <c r="D141" s="35" t="s">
        <v>98</v>
      </c>
      <c r="E141" s="35"/>
      <c r="F141" s="35">
        <v>550</v>
      </c>
      <c r="G141" s="35" t="b">
        <v>0</v>
      </c>
      <c r="H141" s="39" t="s">
        <v>15</v>
      </c>
      <c r="I141" s="35" t="s">
        <v>95</v>
      </c>
      <c r="J141" s="35">
        <v>0</v>
      </c>
      <c r="K141" s="35" t="s">
        <v>4216</v>
      </c>
      <c r="L141" s="35" t="s">
        <v>4203</v>
      </c>
      <c r="M141" s="35" t="s">
        <v>4073</v>
      </c>
      <c r="N141" s="35" t="s">
        <v>4203</v>
      </c>
      <c r="O141" s="35" t="s">
        <v>95</v>
      </c>
      <c r="P141" s="35" t="s">
        <v>4203</v>
      </c>
      <c r="Q141" s="35" t="s">
        <v>4203</v>
      </c>
      <c r="R141" s="35" t="s">
        <v>4203</v>
      </c>
      <c r="S141" s="35"/>
      <c r="T141" s="35"/>
    </row>
    <row r="142" spans="1:20" ht="14">
      <c r="A142" s="26" t="s">
        <v>154</v>
      </c>
      <c r="B142" t="s">
        <v>4428</v>
      </c>
      <c r="D142" s="36" t="s">
        <v>4425</v>
      </c>
      <c r="E142" s="36" t="s">
        <v>1922</v>
      </c>
      <c r="F142" s="35">
        <v>500</v>
      </c>
      <c r="G142" s="35" t="b">
        <v>1</v>
      </c>
      <c r="H142" s="1" t="s">
        <v>15</v>
      </c>
      <c r="I142" s="35" t="s">
        <v>3043</v>
      </c>
      <c r="J142" s="35">
        <v>0</v>
      </c>
      <c r="K142" s="35" t="s">
        <v>4426</v>
      </c>
      <c r="M142" s="35" t="s">
        <v>4073</v>
      </c>
      <c r="N142" s="35" t="s">
        <v>4203</v>
      </c>
      <c r="O142" s="35" t="s">
        <v>4203</v>
      </c>
      <c r="P142" s="35" t="s">
        <v>4203</v>
      </c>
      <c r="Q142" s="35" t="s">
        <v>2449</v>
      </c>
      <c r="R142" s="35" t="s">
        <v>4162</v>
      </c>
    </row>
    <row r="143" spans="1:20" ht="14">
      <c r="A143" t="s">
        <v>121</v>
      </c>
      <c r="D143" s="36" t="s">
        <v>4440</v>
      </c>
      <c r="E143" s="36" t="s">
        <v>1922</v>
      </c>
      <c r="F143" s="35">
        <v>600</v>
      </c>
      <c r="G143" s="35" t="b">
        <v>1</v>
      </c>
      <c r="H143" s="1" t="s">
        <v>15</v>
      </c>
      <c r="I143" s="35" t="s">
        <v>3043</v>
      </c>
      <c r="J143" s="35">
        <v>0</v>
      </c>
      <c r="K143" s="35" t="s">
        <v>4426</v>
      </c>
      <c r="M143" s="35" t="s">
        <v>4073</v>
      </c>
      <c r="N143" s="35" t="s">
        <v>4203</v>
      </c>
      <c r="O143" s="35" t="s">
        <v>4203</v>
      </c>
      <c r="P143" s="35" t="s">
        <v>4203</v>
      </c>
      <c r="Q143" s="35" t="s">
        <v>2449</v>
      </c>
      <c r="R143" s="35" t="s">
        <v>4162</v>
      </c>
    </row>
    <row r="144" spans="1:20" ht="14">
      <c r="A144" t="s">
        <v>124</v>
      </c>
      <c r="D144" s="36" t="s">
        <v>4441</v>
      </c>
      <c r="E144" s="36" t="s">
        <v>1922</v>
      </c>
      <c r="F144" s="35">
        <v>600</v>
      </c>
      <c r="G144" s="35" t="b">
        <v>1</v>
      </c>
      <c r="H144" s="1" t="s">
        <v>15</v>
      </c>
      <c r="I144" s="35" t="s">
        <v>3043</v>
      </c>
      <c r="J144" s="35">
        <v>0</v>
      </c>
      <c r="K144" s="35" t="s">
        <v>4426</v>
      </c>
      <c r="M144" s="35" t="s">
        <v>4073</v>
      </c>
      <c r="N144" s="35" t="s">
        <v>4203</v>
      </c>
      <c r="O144" s="35" t="s">
        <v>4203</v>
      </c>
      <c r="P144" s="35" t="s">
        <v>4203</v>
      </c>
      <c r="Q144" s="35" t="s">
        <v>2449</v>
      </c>
      <c r="R144" s="35" t="s">
        <v>4162</v>
      </c>
    </row>
    <row r="145" spans="1:18" ht="14">
      <c r="A145" t="s">
        <v>71</v>
      </c>
      <c r="D145" s="36" t="s">
        <v>72</v>
      </c>
      <c r="F145" s="35">
        <v>600</v>
      </c>
      <c r="G145" s="35" t="b">
        <v>0</v>
      </c>
      <c r="H145" s="1" t="s">
        <v>15</v>
      </c>
      <c r="I145" s="35" t="s">
        <v>41</v>
      </c>
      <c r="J145" s="35">
        <v>0</v>
      </c>
      <c r="K145" s="35" t="s">
        <v>4426</v>
      </c>
      <c r="M145" s="35" t="s">
        <v>4073</v>
      </c>
      <c r="N145" s="35" t="s">
        <v>4203</v>
      </c>
      <c r="O145" s="35" t="s">
        <v>4203</v>
      </c>
      <c r="P145" s="35" t="s">
        <v>4203</v>
      </c>
      <c r="Q145" s="35" t="s">
        <v>2449</v>
      </c>
      <c r="R145" s="35" t="s">
        <v>4162</v>
      </c>
    </row>
  </sheetData>
  <autoFilter ref="A1:ALX126" xr:uid="{00000000-0001-0000-0000-000000000000}">
    <sortState xmlns:xlrd2="http://schemas.microsoft.com/office/spreadsheetml/2017/richdata2" ref="A2:ALX141">
      <sortCondition ref="D1:D141"/>
    </sortState>
  </autoFilter>
  <conditionalFormatting sqref="H1:H92">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2" t="s">
        <v>0</v>
      </c>
      <c r="B1" s="2" t="s">
        <v>3892</v>
      </c>
    </row>
    <row r="2" spans="1:2">
      <c r="A2" t="s">
        <v>164</v>
      </c>
    </row>
    <row r="3" spans="1:2">
      <c r="A3" t="s">
        <v>166</v>
      </c>
    </row>
    <row r="4" spans="1:2">
      <c r="A4" t="s">
        <v>170</v>
      </c>
    </row>
    <row r="5" spans="1:2">
      <c r="A5" t="s">
        <v>168</v>
      </c>
    </row>
    <row r="6" spans="1:2">
      <c r="A6" t="s">
        <v>172</v>
      </c>
    </row>
    <row r="7" spans="1:2">
      <c r="A7" t="s">
        <v>174</v>
      </c>
    </row>
    <row r="8" spans="1:2">
      <c r="A8" s="19" t="s">
        <v>3990</v>
      </c>
      <c r="B8" t="s">
        <v>13</v>
      </c>
    </row>
    <row r="9" spans="1:2">
      <c r="A9" s="5" t="s">
        <v>3991</v>
      </c>
    </row>
    <row r="10" spans="1:2">
      <c r="A10" s="5" t="s">
        <v>3992</v>
      </c>
    </row>
    <row r="11" spans="1:2">
      <c r="A11" s="5" t="s">
        <v>4156</v>
      </c>
    </row>
    <row r="12" spans="1:2">
      <c r="A12" s="5" t="s">
        <v>3994</v>
      </c>
    </row>
    <row r="13" spans="1:2">
      <c r="A13" s="5" t="s">
        <v>3995</v>
      </c>
    </row>
    <row r="14" spans="1:2">
      <c r="A14" s="5" t="s">
        <v>3897</v>
      </c>
    </row>
    <row r="15" spans="1:2">
      <c r="A15" s="5" t="s">
        <v>3895</v>
      </c>
    </row>
    <row r="16" spans="1:2">
      <c r="A16" s="5" t="s">
        <v>3900</v>
      </c>
    </row>
    <row r="17" spans="1:2">
      <c r="A17" s="5" t="s">
        <v>3996</v>
      </c>
    </row>
    <row r="18" spans="1:2">
      <c r="A18" s="5" t="s">
        <v>3997</v>
      </c>
    </row>
    <row r="19" spans="1:2">
      <c r="A19" s="5" t="s">
        <v>1116</v>
      </c>
    </row>
    <row r="20" spans="1:2">
      <c r="A20" s="5" t="s">
        <v>3998</v>
      </c>
    </row>
    <row r="21" spans="1:2">
      <c r="A21" s="5" t="s">
        <v>3999</v>
      </c>
    </row>
    <row r="22" spans="1:2">
      <c r="A22" s="5" t="s">
        <v>4000</v>
      </c>
    </row>
    <row r="23" spans="1:2">
      <c r="A23" t="s">
        <v>4006</v>
      </c>
    </row>
    <row r="24" spans="1:2">
      <c r="A24" s="5" t="s">
        <v>4069</v>
      </c>
    </row>
    <row r="25" spans="1:2">
      <c r="A25" s="5" t="s">
        <v>4071</v>
      </c>
    </row>
    <row r="26" spans="1:2">
      <c r="A26" s="5" t="s">
        <v>4076</v>
      </c>
    </row>
    <row r="27" spans="1:2">
      <c r="A27" s="5" t="s">
        <v>4077</v>
      </c>
    </row>
    <row r="28" spans="1:2">
      <c r="A28" s="5" t="s">
        <v>4084</v>
      </c>
    </row>
    <row r="29" spans="1:2">
      <c r="A29" s="4" t="s">
        <v>12</v>
      </c>
      <c r="B29" s="4"/>
    </row>
    <row r="30" spans="1:2">
      <c r="A30" s="4" t="s">
        <v>75</v>
      </c>
      <c r="B30" s="4" t="s">
        <v>3992</v>
      </c>
    </row>
    <row r="31" spans="1:2">
      <c r="A31" s="4" t="s">
        <v>190</v>
      </c>
      <c r="B31" s="4"/>
    </row>
    <row r="32" spans="1:2">
      <c r="A32" t="s">
        <v>2682</v>
      </c>
    </row>
    <row r="33" spans="1:2">
      <c r="A33" s="4" t="s">
        <v>51</v>
      </c>
      <c r="B33" s="4" t="s">
        <v>3893</v>
      </c>
    </row>
    <row r="34" spans="1:2">
      <c r="A34" t="s">
        <v>2780</v>
      </c>
    </row>
    <row r="35" spans="1:2">
      <c r="A35" t="s">
        <v>1116</v>
      </c>
    </row>
    <row r="36" spans="1:2">
      <c r="A36" t="s">
        <v>2824</v>
      </c>
    </row>
    <row r="37" spans="1:2">
      <c r="A37" s="4" t="s">
        <v>40</v>
      </c>
      <c r="B37" s="4"/>
    </row>
    <row r="38" spans="1:2">
      <c r="A38" s="4" t="s">
        <v>42</v>
      </c>
      <c r="B38" s="4"/>
    </row>
    <row r="39" spans="1:2">
      <c r="A39" s="4" t="s">
        <v>2823</v>
      </c>
      <c r="B39" s="4"/>
    </row>
    <row r="40" spans="1:2">
      <c r="A40" t="s">
        <v>38</v>
      </c>
      <c r="B40" t="s">
        <v>4084</v>
      </c>
    </row>
    <row r="41" spans="1:2">
      <c r="A41" t="s">
        <v>2880</v>
      </c>
    </row>
    <row r="42" spans="1:2">
      <c r="A42" s="4" t="s">
        <v>2923</v>
      </c>
      <c r="B42" s="4"/>
    </row>
    <row r="43" spans="1:2">
      <c r="A43" s="4" t="s">
        <v>3044</v>
      </c>
      <c r="B43" s="4"/>
    </row>
    <row r="44" spans="1:2">
      <c r="A44" t="s">
        <v>2815</v>
      </c>
    </row>
    <row r="45" spans="1:2">
      <c r="A45" t="s">
        <v>35</v>
      </c>
    </row>
    <row r="46" spans="1:2">
      <c r="A46" t="s">
        <v>73</v>
      </c>
    </row>
    <row r="47" spans="1:2">
      <c r="A47" s="4" t="s">
        <v>109</v>
      </c>
      <c r="B47" s="4"/>
    </row>
    <row r="48" spans="1:2">
      <c r="A48" t="s">
        <v>114</v>
      </c>
    </row>
    <row r="49" spans="1:2">
      <c r="A49" t="s">
        <v>126</v>
      </c>
    </row>
    <row r="50" spans="1:2">
      <c r="A50" t="s">
        <v>2945</v>
      </c>
    </row>
    <row r="51" spans="1:2">
      <c r="A51" t="s">
        <v>127</v>
      </c>
    </row>
    <row r="52" spans="1:2">
      <c r="A52" s="4" t="s">
        <v>3039</v>
      </c>
      <c r="B52" s="4"/>
    </row>
    <row r="53" spans="1:2">
      <c r="A53" t="s">
        <v>141</v>
      </c>
    </row>
    <row r="54" spans="1:2">
      <c r="A54" s="4" t="s">
        <v>159</v>
      </c>
      <c r="B54" s="4"/>
    </row>
    <row r="55" spans="1:2">
      <c r="A55" s="4" t="s">
        <v>161</v>
      </c>
      <c r="B55" s="4"/>
    </row>
    <row r="56" spans="1:2">
      <c r="A56" t="s">
        <v>2774</v>
      </c>
      <c r="B56" t="s">
        <v>4156</v>
      </c>
    </row>
    <row r="57" spans="1:2">
      <c r="A57" t="s">
        <v>4025</v>
      </c>
    </row>
    <row r="58" spans="1:2">
      <c r="A58" t="s">
        <v>3023</v>
      </c>
    </row>
    <row r="59" spans="1:2">
      <c r="A59" t="s">
        <v>3054</v>
      </c>
    </row>
    <row r="60" spans="1:2" ht="16">
      <c r="A60" s="16" t="s">
        <v>3070</v>
      </c>
      <c r="B60" s="16"/>
    </row>
    <row r="61" spans="1:2">
      <c r="A61" t="s">
        <v>3076</v>
      </c>
    </row>
    <row r="62" spans="1:2">
      <c r="A62" t="s">
        <v>3092</v>
      </c>
    </row>
    <row r="63" spans="1:2">
      <c r="A63" t="s">
        <v>2712</v>
      </c>
    </row>
    <row r="64" spans="1:2">
      <c r="A64" t="s">
        <v>3880</v>
      </c>
      <c r="B64" t="s">
        <v>3893</v>
      </c>
    </row>
    <row r="65" spans="1:2">
      <c r="A65" s="4" t="s">
        <v>3173</v>
      </c>
      <c r="B65" s="4"/>
    </row>
    <row r="66" spans="1:2">
      <c r="A66" t="s">
        <v>3872</v>
      </c>
    </row>
    <row r="67" spans="1:2">
      <c r="A67" t="s">
        <v>111</v>
      </c>
    </row>
    <row r="68" spans="1:2">
      <c r="A68" t="s">
        <v>34</v>
      </c>
      <c r="B68" t="s">
        <v>3894</v>
      </c>
    </row>
    <row r="69" spans="1:2">
      <c r="A69" t="s">
        <v>80</v>
      </c>
      <c r="B69" t="s">
        <v>3895</v>
      </c>
    </row>
    <row r="70" spans="1:2">
      <c r="A70" s="4" t="s">
        <v>62</v>
      </c>
      <c r="B70" s="4"/>
    </row>
    <row r="71" spans="1:2">
      <c r="A71" s="4" t="s">
        <v>3896</v>
      </c>
      <c r="B71" s="4" t="s">
        <v>3897</v>
      </c>
    </row>
    <row r="72" spans="1:2">
      <c r="A72" t="s">
        <v>83</v>
      </c>
      <c r="B72" s="4" t="s">
        <v>3897</v>
      </c>
    </row>
    <row r="73" spans="1:2">
      <c r="A73" t="s">
        <v>85</v>
      </c>
      <c r="B73" s="4" t="s">
        <v>3897</v>
      </c>
    </row>
    <row r="74" spans="1:2">
      <c r="A74" t="s">
        <v>3780</v>
      </c>
      <c r="B74" t="s">
        <v>19</v>
      </c>
    </row>
    <row r="75" spans="1:2">
      <c r="A75" t="s">
        <v>19</v>
      </c>
      <c r="B75" t="s">
        <v>18</v>
      </c>
    </row>
    <row r="76" spans="1:2">
      <c r="A76" s="4" t="s">
        <v>18</v>
      </c>
      <c r="B76" s="4" t="s">
        <v>4005</v>
      </c>
    </row>
    <row r="77" spans="1:2">
      <c r="A77" s="4" t="s">
        <v>43</v>
      </c>
      <c r="B77" s="4"/>
    </row>
    <row r="78" spans="1:2">
      <c r="A78" s="4" t="s">
        <v>81</v>
      </c>
      <c r="B78" s="4"/>
    </row>
    <row r="79" spans="1:2">
      <c r="A79" s="4" t="s">
        <v>99</v>
      </c>
      <c r="B79" s="4"/>
    </row>
    <row r="80" spans="1:2">
      <c r="A80" s="4" t="s">
        <v>120</v>
      </c>
      <c r="B80" s="4"/>
    </row>
    <row r="81" spans="1:2">
      <c r="A81" s="4" t="s">
        <v>122</v>
      </c>
      <c r="B81" s="4"/>
    </row>
    <row r="82" spans="1:2">
      <c r="A82" s="4" t="s">
        <v>123</v>
      </c>
      <c r="B82" s="4"/>
    </row>
    <row r="83" spans="1:2">
      <c r="A83" s="4" t="s">
        <v>125</v>
      </c>
      <c r="B83" s="4"/>
    </row>
    <row r="84" spans="1:2">
      <c r="A84" t="s">
        <v>154</v>
      </c>
    </row>
    <row r="85" spans="1:2">
      <c r="A85" t="s">
        <v>82</v>
      </c>
    </row>
    <row r="86" spans="1:2">
      <c r="A86" t="s">
        <v>121</v>
      </c>
      <c r="B86" t="s">
        <v>3997</v>
      </c>
    </row>
    <row r="87" spans="1:2">
      <c r="A87" t="s">
        <v>124</v>
      </c>
      <c r="B87" t="s">
        <v>3997</v>
      </c>
    </row>
    <row r="88" spans="1:2">
      <c r="A88" s="4" t="s">
        <v>2980</v>
      </c>
      <c r="B88" s="4"/>
    </row>
    <row r="89" spans="1:2">
      <c r="A89" s="4" t="s">
        <v>2981</v>
      </c>
      <c r="B89" s="4"/>
    </row>
    <row r="90" spans="1:2">
      <c r="A90" s="4" t="s">
        <v>106</v>
      </c>
      <c r="B90" s="4"/>
    </row>
    <row r="91" spans="1:2">
      <c r="A91" s="4" t="s">
        <v>64</v>
      </c>
      <c r="B91" s="4" t="s">
        <v>106</v>
      </c>
    </row>
    <row r="92" spans="1:2">
      <c r="A92" s="4" t="s">
        <v>63</v>
      </c>
      <c r="B92" s="4" t="s">
        <v>3990</v>
      </c>
    </row>
    <row r="93" spans="1:2">
      <c r="A93" s="4" t="s">
        <v>3144</v>
      </c>
      <c r="B93" s="4" t="s">
        <v>3992</v>
      </c>
    </row>
    <row r="94" spans="1:2" ht="28">
      <c r="A94" t="s">
        <v>45</v>
      </c>
      <c r="B94" s="21" t="s">
        <v>4083</v>
      </c>
    </row>
    <row r="95" spans="1:2">
      <c r="A95" t="s">
        <v>4023</v>
      </c>
      <c r="B95" t="s">
        <v>4024</v>
      </c>
    </row>
    <row r="96" spans="1:2">
      <c r="A96" t="s">
        <v>4024</v>
      </c>
      <c r="B96" t="s">
        <v>3144</v>
      </c>
    </row>
    <row r="97" spans="1:2">
      <c r="A97" t="s">
        <v>48</v>
      </c>
      <c r="B97" s="5"/>
    </row>
    <row r="98" spans="1:2">
      <c r="A98" t="s">
        <v>145</v>
      </c>
      <c r="B98" t="s">
        <v>147</v>
      </c>
    </row>
    <row r="99" spans="1:2">
      <c r="A99" t="s">
        <v>92</v>
      </c>
      <c r="B99" t="s">
        <v>4109</v>
      </c>
    </row>
    <row r="100" spans="1:2">
      <c r="A100" t="s">
        <v>93</v>
      </c>
    </row>
    <row r="101" spans="1:2">
      <c r="A101" t="s">
        <v>96</v>
      </c>
      <c r="B101" t="s">
        <v>4157</v>
      </c>
    </row>
    <row r="102" spans="1:2">
      <c r="A102" s="4" t="s">
        <v>4091</v>
      </c>
    </row>
    <row r="103" spans="1:2">
      <c r="A103" s="4" t="s">
        <v>4106</v>
      </c>
    </row>
    <row r="104" spans="1:2">
      <c r="A104" t="s">
        <v>147</v>
      </c>
      <c r="B104" t="s">
        <v>4123</v>
      </c>
    </row>
    <row r="105" spans="1:2">
      <c r="A105" t="s">
        <v>4117</v>
      </c>
    </row>
    <row r="106" spans="1:2">
      <c r="A106" t="s">
        <v>4118</v>
      </c>
    </row>
    <row r="107" spans="1:2">
      <c r="A107" t="s">
        <v>4119</v>
      </c>
    </row>
    <row r="108" spans="1:2">
      <c r="A108" t="s">
        <v>4122</v>
      </c>
    </row>
    <row r="109" spans="1:2">
      <c r="A109" t="s">
        <v>4132</v>
      </c>
    </row>
    <row r="110" spans="1:2">
      <c r="A110" t="s">
        <v>77</v>
      </c>
    </row>
    <row r="111" spans="1:2">
      <c r="A111" t="s">
        <v>136</v>
      </c>
    </row>
    <row r="112" spans="1:2">
      <c r="A112" t="s">
        <v>89</v>
      </c>
    </row>
    <row r="113" spans="1:2">
      <c r="A113" s="4" t="s">
        <v>157</v>
      </c>
      <c r="B113" s="4"/>
    </row>
    <row r="114" spans="1:2">
      <c r="A114" s="4" t="s">
        <v>129</v>
      </c>
      <c r="B114" s="4"/>
    </row>
    <row r="115" spans="1:2">
      <c r="A115" s="4" t="s">
        <v>130</v>
      </c>
      <c r="B115" s="4"/>
    </row>
    <row r="116" spans="1:2">
      <c r="A116" s="4" t="s">
        <v>133</v>
      </c>
      <c r="B116" s="4"/>
    </row>
    <row r="117" spans="1:2">
      <c r="A117" s="4" t="s">
        <v>100</v>
      </c>
      <c r="B117" s="4" t="s">
        <v>4158</v>
      </c>
    </row>
    <row r="118" spans="1:2">
      <c r="A118" s="18" t="s">
        <v>3771</v>
      </c>
      <c r="B118" s="18"/>
    </row>
    <row r="119" spans="1:2">
      <c r="A119" s="4" t="s">
        <v>23</v>
      </c>
      <c r="B119" s="4" t="s">
        <v>4090</v>
      </c>
    </row>
    <row r="120" spans="1:2">
      <c r="A120" s="4" t="s">
        <v>152</v>
      </c>
      <c r="B120" s="4" t="s">
        <v>4027</v>
      </c>
    </row>
    <row r="121" spans="1:2">
      <c r="A121" s="4" t="s">
        <v>143</v>
      </c>
      <c r="B121" s="4"/>
    </row>
    <row r="122" spans="1:2">
      <c r="A122" s="4" t="s">
        <v>4012</v>
      </c>
      <c r="B122" s="4" t="s">
        <v>3996</v>
      </c>
    </row>
    <row r="123" spans="1:2">
      <c r="A123" s="4" t="s">
        <v>104</v>
      </c>
      <c r="B123" s="4"/>
    </row>
    <row r="124" spans="1:2">
      <c r="A124" s="4" t="s">
        <v>22</v>
      </c>
      <c r="B124" s="4" t="s">
        <v>3893</v>
      </c>
    </row>
    <row r="125" spans="1:2">
      <c r="A125" t="s">
        <v>27</v>
      </c>
      <c r="B125" t="s">
        <v>3998</v>
      </c>
    </row>
    <row r="126" spans="1:2">
      <c r="A126" s="4" t="s">
        <v>26</v>
      </c>
      <c r="B126" s="4"/>
    </row>
    <row r="127" spans="1:2">
      <c r="A127" s="4" t="s">
        <v>87</v>
      </c>
      <c r="B127" s="4"/>
    </row>
    <row r="128" spans="1:2">
      <c r="A128" s="4" t="s">
        <v>148</v>
      </c>
      <c r="B128" s="4"/>
    </row>
    <row r="129" spans="1:2">
      <c r="A129" s="4" t="s">
        <v>149</v>
      </c>
      <c r="B129" s="4"/>
    </row>
    <row r="130" spans="1:2">
      <c r="A130" t="s">
        <v>53</v>
      </c>
    </row>
    <row r="131" spans="1:2">
      <c r="A131" t="s">
        <v>56</v>
      </c>
    </row>
    <row r="132" spans="1:2">
      <c r="A132" s="4" t="s">
        <v>58</v>
      </c>
      <c r="B132" s="4"/>
    </row>
    <row r="133" spans="1:2">
      <c r="A133" t="s">
        <v>60</v>
      </c>
    </row>
    <row r="134" spans="1:2">
      <c r="A134" t="s">
        <v>30</v>
      </c>
    </row>
    <row r="135" spans="1:2">
      <c r="A135" t="s">
        <v>4160</v>
      </c>
      <c r="B135" t="s">
        <v>3893</v>
      </c>
    </row>
    <row r="141" spans="1:2">
      <c r="B141" s="5"/>
    </row>
    <row r="142" spans="1:2">
      <c r="B142" s="5"/>
    </row>
    <row r="153" spans="1:1">
      <c r="A153" s="5"/>
    </row>
    <row r="154" spans="1:1">
      <c r="A154" s="5"/>
    </row>
    <row r="155" spans="1:1">
      <c r="A155" s="5"/>
    </row>
    <row r="156" spans="1:1">
      <c r="A156" s="5"/>
    </row>
    <row r="157" spans="1:1">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01"/>
  <sheetViews>
    <sheetView topLeftCell="A395" zoomScale="120" zoomScaleNormal="120" workbookViewId="0">
      <selection activeCell="B416" sqref="B416"/>
    </sheetView>
  </sheetViews>
  <sheetFormatPr baseColWidth="10" defaultColWidth="10.6640625" defaultRowHeight="13"/>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6">
      <c r="A1" s="46" t="s">
        <v>2667</v>
      </c>
      <c r="B1" s="24" t="s">
        <v>176</v>
      </c>
      <c r="C1" s="23" t="s">
        <v>0</v>
      </c>
      <c r="D1" s="23" t="s">
        <v>177</v>
      </c>
      <c r="E1" s="23" t="s">
        <v>1</v>
      </c>
      <c r="F1" s="23" t="s">
        <v>178</v>
      </c>
      <c r="G1" s="23" t="s">
        <v>2</v>
      </c>
      <c r="H1" s="23" t="s">
        <v>4026</v>
      </c>
      <c r="ALR1" s="14"/>
      <c r="ALS1" s="14"/>
      <c r="ALT1" s="14"/>
      <c r="ALU1" s="15"/>
      <c r="ALV1" s="15"/>
    </row>
    <row r="2" spans="1:1010" ht="14">
      <c r="A2" s="25" t="s">
        <v>179</v>
      </c>
      <c r="B2" s="26" t="s">
        <v>111</v>
      </c>
      <c r="C2" s="25" t="str">
        <f>A2</f>
        <v>steroid_synthesis</v>
      </c>
      <c r="D2" s="27" t="s">
        <v>13</v>
      </c>
      <c r="E2" s="25" t="s">
        <v>180</v>
      </c>
      <c r="F2" s="25" t="s">
        <v>181</v>
      </c>
      <c r="G2" s="25">
        <v>500</v>
      </c>
      <c r="H2" s="25"/>
    </row>
    <row r="3" spans="1:1010" ht="14">
      <c r="A3" s="25" t="s">
        <v>182</v>
      </c>
      <c r="B3" s="26" t="s">
        <v>111</v>
      </c>
      <c r="C3" s="25" t="str">
        <f t="shared" ref="C3:C66" si="0">A3</f>
        <v>q_linked_reactions</v>
      </c>
      <c r="D3" s="27" t="s">
        <v>13</v>
      </c>
      <c r="E3" s="25" t="s">
        <v>183</v>
      </c>
      <c r="F3" s="25" t="s">
        <v>184</v>
      </c>
      <c r="G3" s="25">
        <v>500</v>
      </c>
      <c r="H3" s="25"/>
    </row>
    <row r="4" spans="1:1010" ht="14">
      <c r="A4" s="25" t="s">
        <v>185</v>
      </c>
      <c r="B4" s="26" t="s">
        <v>111</v>
      </c>
      <c r="C4" s="25" t="str">
        <f t="shared" si="0"/>
        <v>protein_import</v>
      </c>
      <c r="D4" s="27" t="s">
        <v>13</v>
      </c>
      <c r="E4" s="25" t="s">
        <v>186</v>
      </c>
      <c r="F4" s="25" t="s">
        <v>186</v>
      </c>
      <c r="G4" s="25">
        <v>500</v>
      </c>
      <c r="H4" s="25"/>
    </row>
    <row r="5" spans="1:1010" ht="14">
      <c r="A5" s="25" t="s">
        <v>187</v>
      </c>
      <c r="B5" s="26" t="s">
        <v>47</v>
      </c>
      <c r="C5" s="25" t="str">
        <f t="shared" si="0"/>
        <v>360um</v>
      </c>
      <c r="D5" s="27" t="s">
        <v>13</v>
      </c>
      <c r="E5" s="25">
        <v>360</v>
      </c>
      <c r="F5" s="25" t="s">
        <v>188</v>
      </c>
      <c r="G5" s="25">
        <v>500</v>
      </c>
      <c r="H5" s="25"/>
    </row>
    <row r="6" spans="1:1010" ht="14">
      <c r="A6" s="25" t="s">
        <v>189</v>
      </c>
      <c r="B6" s="26" t="s">
        <v>190</v>
      </c>
      <c r="C6" s="25" t="str">
        <f t="shared" si="0"/>
        <v>arginine</v>
      </c>
      <c r="D6" s="25" t="s">
        <v>189</v>
      </c>
      <c r="E6" s="25" t="s">
        <v>191</v>
      </c>
      <c r="F6" s="25" t="s">
        <v>192</v>
      </c>
      <c r="G6" s="25">
        <v>500</v>
      </c>
      <c r="H6" s="25"/>
    </row>
    <row r="7" spans="1:1010" ht="14">
      <c r="A7" s="25" t="s">
        <v>193</v>
      </c>
      <c r="B7" s="26" t="s">
        <v>190</v>
      </c>
      <c r="C7" s="25" t="str">
        <f t="shared" si="0"/>
        <v>asparagine</v>
      </c>
      <c r="D7" s="25" t="s">
        <v>193</v>
      </c>
      <c r="E7" s="25" t="s">
        <v>194</v>
      </c>
      <c r="F7" s="25" t="s">
        <v>195</v>
      </c>
      <c r="G7" s="25">
        <v>500</v>
      </c>
      <c r="H7" s="25"/>
    </row>
    <row r="8" spans="1:1010" ht="14">
      <c r="A8" s="25" t="s">
        <v>196</v>
      </c>
      <c r="B8" s="26" t="s">
        <v>190</v>
      </c>
      <c r="C8" s="25" t="str">
        <f t="shared" si="0"/>
        <v>asparticacid</v>
      </c>
      <c r="D8" s="25" t="s">
        <v>196</v>
      </c>
      <c r="E8" s="25" t="s">
        <v>197</v>
      </c>
      <c r="F8" s="25" t="s">
        <v>198</v>
      </c>
      <c r="G8" s="25">
        <v>500</v>
      </c>
      <c r="H8" s="25"/>
    </row>
    <row r="9" spans="1:1010" ht="14">
      <c r="A9" s="25" t="s">
        <v>199</v>
      </c>
      <c r="B9" s="26" t="s">
        <v>190</v>
      </c>
      <c r="C9" s="25" t="str">
        <f t="shared" si="0"/>
        <v>cysteine</v>
      </c>
      <c r="D9" s="25" t="s">
        <v>199</v>
      </c>
      <c r="E9" s="25" t="s">
        <v>200</v>
      </c>
      <c r="F9" s="25" t="s">
        <v>201</v>
      </c>
      <c r="G9" s="25">
        <v>500</v>
      </c>
      <c r="H9" s="25"/>
    </row>
    <row r="10" spans="1:1010" ht="14">
      <c r="A10" s="25" t="s">
        <v>202</v>
      </c>
      <c r="B10" s="26" t="s">
        <v>190</v>
      </c>
      <c r="C10" s="25" t="str">
        <f t="shared" si="0"/>
        <v>glutamicacid</v>
      </c>
      <c r="D10" s="25" t="s">
        <v>202</v>
      </c>
      <c r="E10" s="25" t="s">
        <v>203</v>
      </c>
      <c r="F10" s="25" t="s">
        <v>204</v>
      </c>
      <c r="G10" s="25">
        <v>500</v>
      </c>
      <c r="H10" s="25"/>
    </row>
    <row r="11" spans="1:1010" ht="14">
      <c r="A11" s="25" t="s">
        <v>205</v>
      </c>
      <c r="B11" s="26" t="s">
        <v>190</v>
      </c>
      <c r="C11" s="25" t="str">
        <f t="shared" si="0"/>
        <v>glutamine</v>
      </c>
      <c r="D11" s="25" t="s">
        <v>205</v>
      </c>
      <c r="E11" s="25" t="s">
        <v>206</v>
      </c>
      <c r="F11" s="25" t="s">
        <v>207</v>
      </c>
      <c r="G11" s="25">
        <v>500</v>
      </c>
      <c r="H11" s="25"/>
    </row>
    <row r="12" spans="1:1010" ht="14">
      <c r="A12" s="25" t="s">
        <v>208</v>
      </c>
      <c r="B12" s="26" t="s">
        <v>190</v>
      </c>
      <c r="C12" s="25" t="str">
        <f t="shared" si="0"/>
        <v>glycine</v>
      </c>
      <c r="D12" s="25" t="s">
        <v>208</v>
      </c>
      <c r="E12" s="25" t="s">
        <v>209</v>
      </c>
      <c r="F12" s="25" t="s">
        <v>210</v>
      </c>
      <c r="G12" s="25">
        <v>500</v>
      </c>
      <c r="H12" s="25"/>
    </row>
    <row r="13" spans="1:1010" ht="14">
      <c r="A13" s="25" t="s">
        <v>211</v>
      </c>
      <c r="B13" s="26" t="s">
        <v>190</v>
      </c>
      <c r="C13" s="25" t="str">
        <f t="shared" si="0"/>
        <v>histidine</v>
      </c>
      <c r="D13" s="25" t="s">
        <v>211</v>
      </c>
      <c r="E13" s="25" t="s">
        <v>212</v>
      </c>
      <c r="F13" s="25" t="s">
        <v>213</v>
      </c>
      <c r="G13" s="25">
        <v>500</v>
      </c>
      <c r="H13" s="25"/>
    </row>
    <row r="14" spans="1:1010" ht="14">
      <c r="A14" s="25" t="s">
        <v>214</v>
      </c>
      <c r="B14" s="26" t="s">
        <v>190</v>
      </c>
      <c r="C14" s="25" t="str">
        <f t="shared" si="0"/>
        <v>isoleucine</v>
      </c>
      <c r="D14" s="25" t="s">
        <v>214</v>
      </c>
      <c r="E14" s="25" t="s">
        <v>215</v>
      </c>
      <c r="F14" s="25" t="s">
        <v>216</v>
      </c>
      <c r="G14" s="25">
        <v>500</v>
      </c>
      <c r="H14" s="25"/>
    </row>
    <row r="15" spans="1:1010" ht="14">
      <c r="A15" s="25" t="s">
        <v>217</v>
      </c>
      <c r="B15" s="26" t="s">
        <v>190</v>
      </c>
      <c r="C15" s="25" t="str">
        <f t="shared" si="0"/>
        <v>leucine</v>
      </c>
      <c r="D15" s="25" t="s">
        <v>217</v>
      </c>
      <c r="E15" s="25" t="s">
        <v>218</v>
      </c>
      <c r="F15" s="25" t="s">
        <v>219</v>
      </c>
      <c r="G15" s="25">
        <v>500</v>
      </c>
      <c r="H15" s="25"/>
    </row>
    <row r="16" spans="1:1010" ht="14">
      <c r="A16" s="25" t="s">
        <v>220</v>
      </c>
      <c r="B16" s="26" t="s">
        <v>190</v>
      </c>
      <c r="C16" s="25" t="str">
        <f t="shared" si="0"/>
        <v>lysine</v>
      </c>
      <c r="D16" s="25" t="s">
        <v>220</v>
      </c>
      <c r="E16" s="25" t="s">
        <v>221</v>
      </c>
      <c r="F16" s="25" t="s">
        <v>222</v>
      </c>
      <c r="G16" s="25">
        <v>500</v>
      </c>
      <c r="H16" s="25"/>
    </row>
    <row r="17" spans="1:8" ht="14">
      <c r="A17" s="25" t="s">
        <v>223</v>
      </c>
      <c r="B17" s="26" t="s">
        <v>190</v>
      </c>
      <c r="C17" s="25" t="str">
        <f t="shared" si="0"/>
        <v>methionine</v>
      </c>
      <c r="D17" s="25" t="s">
        <v>223</v>
      </c>
      <c r="E17" s="25" t="s">
        <v>224</v>
      </c>
      <c r="F17" s="25" t="s">
        <v>225</v>
      </c>
      <c r="G17" s="25">
        <v>500</v>
      </c>
      <c r="H17" s="25"/>
    </row>
    <row r="18" spans="1:8" ht="14">
      <c r="A18" s="25" t="s">
        <v>226</v>
      </c>
      <c r="B18" s="26" t="s">
        <v>190</v>
      </c>
      <c r="C18" s="25" t="str">
        <f t="shared" si="0"/>
        <v>phenylalanine</v>
      </c>
      <c r="D18" s="25" t="s">
        <v>226</v>
      </c>
      <c r="E18" s="25" t="s">
        <v>227</v>
      </c>
      <c r="F18" s="25" t="s">
        <v>228</v>
      </c>
      <c r="G18" s="25">
        <v>500</v>
      </c>
      <c r="H18" s="25"/>
    </row>
    <row r="19" spans="1:8" ht="14">
      <c r="A19" s="25" t="s">
        <v>229</v>
      </c>
      <c r="B19" s="26" t="s">
        <v>190</v>
      </c>
      <c r="C19" s="25" t="str">
        <f t="shared" si="0"/>
        <v>proline</v>
      </c>
      <c r="D19" s="25" t="s">
        <v>229</v>
      </c>
      <c r="E19" s="25" t="s">
        <v>230</v>
      </c>
      <c r="F19" s="25" t="s">
        <v>231</v>
      </c>
      <c r="G19" s="25">
        <v>500</v>
      </c>
      <c r="H19" s="25"/>
    </row>
    <row r="20" spans="1:8" ht="14">
      <c r="A20" s="25" t="s">
        <v>232</v>
      </c>
      <c r="B20" s="26" t="s">
        <v>190</v>
      </c>
      <c r="C20" s="25" t="str">
        <f t="shared" si="0"/>
        <v>serine</v>
      </c>
      <c r="D20" s="25" t="s">
        <v>232</v>
      </c>
      <c r="E20" s="25" t="s">
        <v>233</v>
      </c>
      <c r="F20" s="25" t="s">
        <v>234</v>
      </c>
      <c r="G20" s="25">
        <v>500</v>
      </c>
      <c r="H20" s="25"/>
    </row>
    <row r="21" spans="1:8" ht="14">
      <c r="A21" s="25" t="s">
        <v>235</v>
      </c>
      <c r="B21" s="26" t="s">
        <v>190</v>
      </c>
      <c r="C21" s="25" t="str">
        <f t="shared" si="0"/>
        <v>threonine</v>
      </c>
      <c r="D21" s="25" t="s">
        <v>235</v>
      </c>
      <c r="E21" s="25" t="s">
        <v>236</v>
      </c>
      <c r="F21" s="25" t="s">
        <v>237</v>
      </c>
      <c r="G21" s="25">
        <v>500</v>
      </c>
      <c r="H21" s="25"/>
    </row>
    <row r="22" spans="1:8" ht="14">
      <c r="A22" s="25" t="s">
        <v>238</v>
      </c>
      <c r="B22" s="26" t="s">
        <v>190</v>
      </c>
      <c r="C22" s="25" t="str">
        <f t="shared" si="0"/>
        <v>tryptophan</v>
      </c>
      <c r="D22" s="25" t="s">
        <v>238</v>
      </c>
      <c r="E22" s="25" t="s">
        <v>239</v>
      </c>
      <c r="F22" s="25" t="s">
        <v>240</v>
      </c>
      <c r="G22" s="25">
        <v>500</v>
      </c>
      <c r="H22" s="25"/>
    </row>
    <row r="23" spans="1:8" ht="14">
      <c r="A23" s="25" t="s">
        <v>241</v>
      </c>
      <c r="B23" s="26" t="s">
        <v>190</v>
      </c>
      <c r="C23" s="25" t="str">
        <f t="shared" si="0"/>
        <v>tyrosine</v>
      </c>
      <c r="D23" s="25" t="s">
        <v>241</v>
      </c>
      <c r="E23" s="25" t="s">
        <v>242</v>
      </c>
      <c r="F23" s="25" t="s">
        <v>243</v>
      </c>
      <c r="G23" s="25">
        <v>500</v>
      </c>
      <c r="H23" s="25"/>
    </row>
    <row r="24" spans="1:8" ht="14">
      <c r="A24" s="25" t="s">
        <v>244</v>
      </c>
      <c r="B24" s="26" t="s">
        <v>190</v>
      </c>
      <c r="C24" s="25" t="str">
        <f t="shared" si="0"/>
        <v>valine</v>
      </c>
      <c r="D24" s="25" t="s">
        <v>244</v>
      </c>
      <c r="E24" s="25" t="s">
        <v>245</v>
      </c>
      <c r="F24" s="25" t="s">
        <v>246</v>
      </c>
      <c r="G24" s="25">
        <v>500</v>
      </c>
      <c r="H24" s="25"/>
    </row>
    <row r="25" spans="1:8" ht="14">
      <c r="A25" s="25" t="s">
        <v>189</v>
      </c>
      <c r="B25" s="26" t="s">
        <v>12</v>
      </c>
      <c r="C25" s="25" t="str">
        <f t="shared" si="0"/>
        <v>arginine</v>
      </c>
      <c r="D25" s="27" t="s">
        <v>13</v>
      </c>
      <c r="E25" s="25" t="s">
        <v>191</v>
      </c>
      <c r="F25" s="25" t="s">
        <v>192</v>
      </c>
      <c r="G25" s="25">
        <v>500</v>
      </c>
      <c r="H25" s="25"/>
    </row>
    <row r="26" spans="1:8" ht="14">
      <c r="A26" s="25" t="s">
        <v>193</v>
      </c>
      <c r="B26" s="26" t="s">
        <v>12</v>
      </c>
      <c r="C26" s="25" t="str">
        <f t="shared" si="0"/>
        <v>asparagine</v>
      </c>
      <c r="D26" s="27" t="s">
        <v>13</v>
      </c>
      <c r="E26" s="25" t="s">
        <v>194</v>
      </c>
      <c r="F26" s="25" t="s">
        <v>195</v>
      </c>
      <c r="G26" s="25">
        <v>500</v>
      </c>
      <c r="H26" s="25"/>
    </row>
    <row r="27" spans="1:8" ht="14">
      <c r="A27" s="25" t="s">
        <v>196</v>
      </c>
      <c r="B27" s="26" t="s">
        <v>12</v>
      </c>
      <c r="C27" s="25" t="str">
        <f t="shared" si="0"/>
        <v>asparticacid</v>
      </c>
      <c r="D27" s="27" t="s">
        <v>13</v>
      </c>
      <c r="E27" s="25" t="s">
        <v>197</v>
      </c>
      <c r="F27" s="25" t="s">
        <v>198</v>
      </c>
      <c r="G27" s="25">
        <v>500</v>
      </c>
      <c r="H27" s="25"/>
    </row>
    <row r="28" spans="1:8" ht="14">
      <c r="A28" s="25" t="s">
        <v>199</v>
      </c>
      <c r="B28" s="26" t="s">
        <v>12</v>
      </c>
      <c r="C28" s="25" t="str">
        <f t="shared" si="0"/>
        <v>cysteine</v>
      </c>
      <c r="D28" s="27" t="s">
        <v>13</v>
      </c>
      <c r="E28" s="25" t="s">
        <v>200</v>
      </c>
      <c r="F28" s="25" t="s">
        <v>201</v>
      </c>
      <c r="G28" s="25">
        <v>500</v>
      </c>
      <c r="H28" s="25"/>
    </row>
    <row r="29" spans="1:8" ht="14">
      <c r="A29" s="25" t="s">
        <v>202</v>
      </c>
      <c r="B29" s="26" t="s">
        <v>12</v>
      </c>
      <c r="C29" s="25" t="str">
        <f t="shared" si="0"/>
        <v>glutamicacid</v>
      </c>
      <c r="D29" s="27" t="s">
        <v>13</v>
      </c>
      <c r="E29" s="25" t="s">
        <v>203</v>
      </c>
      <c r="F29" s="25" t="s">
        <v>204</v>
      </c>
      <c r="G29" s="25">
        <v>500</v>
      </c>
      <c r="H29" s="25"/>
    </row>
    <row r="30" spans="1:8" ht="14">
      <c r="A30" s="25" t="s">
        <v>205</v>
      </c>
      <c r="B30" s="26" t="s">
        <v>12</v>
      </c>
      <c r="C30" s="25" t="str">
        <f t="shared" si="0"/>
        <v>glutamine</v>
      </c>
      <c r="D30" s="27" t="s">
        <v>13</v>
      </c>
      <c r="E30" s="25" t="s">
        <v>206</v>
      </c>
      <c r="F30" s="25" t="s">
        <v>207</v>
      </c>
      <c r="G30" s="25">
        <v>500</v>
      </c>
      <c r="H30" s="25"/>
    </row>
    <row r="31" spans="1:8" ht="14">
      <c r="A31" s="25" t="s">
        <v>208</v>
      </c>
      <c r="B31" s="26" t="s">
        <v>12</v>
      </c>
      <c r="C31" s="25" t="str">
        <f t="shared" si="0"/>
        <v>glycine</v>
      </c>
      <c r="D31" s="27" t="s">
        <v>13</v>
      </c>
      <c r="E31" s="25" t="s">
        <v>209</v>
      </c>
      <c r="F31" s="25" t="s">
        <v>210</v>
      </c>
      <c r="G31" s="25">
        <v>500</v>
      </c>
      <c r="H31" s="25"/>
    </row>
    <row r="32" spans="1:8" ht="14">
      <c r="A32" s="25" t="s">
        <v>211</v>
      </c>
      <c r="B32" s="26" t="s">
        <v>12</v>
      </c>
      <c r="C32" s="25" t="str">
        <f t="shared" si="0"/>
        <v>histidine</v>
      </c>
      <c r="D32" s="27" t="s">
        <v>13</v>
      </c>
      <c r="E32" s="25" t="s">
        <v>212</v>
      </c>
      <c r="F32" s="25" t="s">
        <v>213</v>
      </c>
      <c r="G32" s="25">
        <v>500</v>
      </c>
      <c r="H32" s="25"/>
    </row>
    <row r="33" spans="1:8" ht="14">
      <c r="A33" s="25" t="s">
        <v>214</v>
      </c>
      <c r="B33" s="26" t="s">
        <v>12</v>
      </c>
      <c r="C33" s="25" t="str">
        <f t="shared" si="0"/>
        <v>isoleucine</v>
      </c>
      <c r="D33" s="27" t="s">
        <v>13</v>
      </c>
      <c r="E33" s="25" t="s">
        <v>215</v>
      </c>
      <c r="F33" s="25" t="s">
        <v>216</v>
      </c>
      <c r="G33" s="25">
        <v>500</v>
      </c>
      <c r="H33" s="25"/>
    </row>
    <row r="34" spans="1:8" ht="14">
      <c r="A34" s="25" t="s">
        <v>217</v>
      </c>
      <c r="B34" s="26" t="s">
        <v>12</v>
      </c>
      <c r="C34" s="25" t="str">
        <f t="shared" si="0"/>
        <v>leucine</v>
      </c>
      <c r="D34" s="27" t="s">
        <v>13</v>
      </c>
      <c r="E34" s="25" t="s">
        <v>218</v>
      </c>
      <c r="F34" s="25" t="s">
        <v>219</v>
      </c>
      <c r="G34" s="25">
        <v>500</v>
      </c>
      <c r="H34" s="25"/>
    </row>
    <row r="35" spans="1:8" ht="14">
      <c r="A35" s="25" t="s">
        <v>220</v>
      </c>
      <c r="B35" s="26" t="s">
        <v>12</v>
      </c>
      <c r="C35" s="25" t="str">
        <f t="shared" si="0"/>
        <v>lysine</v>
      </c>
      <c r="D35" s="27" t="s">
        <v>13</v>
      </c>
      <c r="E35" s="25" t="s">
        <v>221</v>
      </c>
      <c r="F35" s="25" t="s">
        <v>222</v>
      </c>
      <c r="G35" s="25">
        <v>500</v>
      </c>
      <c r="H35" s="25"/>
    </row>
    <row r="36" spans="1:8" ht="14">
      <c r="A36" s="25" t="s">
        <v>223</v>
      </c>
      <c r="B36" s="26" t="s">
        <v>12</v>
      </c>
      <c r="C36" s="25" t="str">
        <f t="shared" si="0"/>
        <v>methionine</v>
      </c>
      <c r="D36" s="27" t="s">
        <v>13</v>
      </c>
      <c r="E36" s="25" t="s">
        <v>224</v>
      </c>
      <c r="F36" s="25" t="s">
        <v>225</v>
      </c>
      <c r="G36" s="25">
        <v>500</v>
      </c>
      <c r="H36" s="25"/>
    </row>
    <row r="37" spans="1:8" ht="14">
      <c r="A37" s="25" t="s">
        <v>226</v>
      </c>
      <c r="B37" s="26" t="s">
        <v>12</v>
      </c>
      <c r="C37" s="25" t="str">
        <f t="shared" si="0"/>
        <v>phenylalanine</v>
      </c>
      <c r="D37" s="27" t="s">
        <v>13</v>
      </c>
      <c r="E37" s="25" t="s">
        <v>227</v>
      </c>
      <c r="F37" s="25" t="s">
        <v>228</v>
      </c>
      <c r="G37" s="25">
        <v>500</v>
      </c>
      <c r="H37" s="25"/>
    </row>
    <row r="38" spans="1:8" ht="14">
      <c r="A38" s="25" t="s">
        <v>229</v>
      </c>
      <c r="B38" s="26" t="s">
        <v>12</v>
      </c>
      <c r="C38" s="25" t="str">
        <f t="shared" si="0"/>
        <v>proline</v>
      </c>
      <c r="D38" s="27" t="s">
        <v>13</v>
      </c>
      <c r="E38" s="25" t="s">
        <v>230</v>
      </c>
      <c r="F38" s="25" t="s">
        <v>231</v>
      </c>
      <c r="G38" s="25">
        <v>500</v>
      </c>
      <c r="H38" s="25"/>
    </row>
    <row r="39" spans="1:8" ht="14">
      <c r="A39" s="25" t="s">
        <v>232</v>
      </c>
      <c r="B39" s="26" t="s">
        <v>12</v>
      </c>
      <c r="C39" s="25" t="str">
        <f t="shared" si="0"/>
        <v>serine</v>
      </c>
      <c r="D39" s="27" t="s">
        <v>13</v>
      </c>
      <c r="E39" s="25" t="s">
        <v>233</v>
      </c>
      <c r="F39" s="25" t="s">
        <v>234</v>
      </c>
      <c r="G39" s="25">
        <v>500</v>
      </c>
      <c r="H39" s="25"/>
    </row>
    <row r="40" spans="1:8" ht="14">
      <c r="A40" s="25" t="s">
        <v>235</v>
      </c>
      <c r="B40" s="26" t="s">
        <v>12</v>
      </c>
      <c r="C40" s="25" t="str">
        <f t="shared" si="0"/>
        <v>threonine</v>
      </c>
      <c r="D40" s="27" t="s">
        <v>13</v>
      </c>
      <c r="E40" s="25" t="s">
        <v>236</v>
      </c>
      <c r="F40" s="25" t="s">
        <v>237</v>
      </c>
      <c r="G40" s="25">
        <v>500</v>
      </c>
      <c r="H40" s="25"/>
    </row>
    <row r="41" spans="1:8" ht="14">
      <c r="A41" s="25" t="s">
        <v>238</v>
      </c>
      <c r="B41" s="26" t="s">
        <v>12</v>
      </c>
      <c r="C41" s="25" t="str">
        <f t="shared" si="0"/>
        <v>tryptophan</v>
      </c>
      <c r="D41" s="27" t="s">
        <v>13</v>
      </c>
      <c r="E41" s="25" t="s">
        <v>239</v>
      </c>
      <c r="F41" s="25" t="s">
        <v>240</v>
      </c>
      <c r="G41" s="25">
        <v>500</v>
      </c>
      <c r="H41" s="25"/>
    </row>
    <row r="42" spans="1:8" ht="14">
      <c r="A42" s="25" t="s">
        <v>241</v>
      </c>
      <c r="B42" s="26" t="s">
        <v>12</v>
      </c>
      <c r="C42" s="25" t="str">
        <f t="shared" si="0"/>
        <v>tyrosine</v>
      </c>
      <c r="D42" s="27" t="s">
        <v>13</v>
      </c>
      <c r="E42" s="25" t="s">
        <v>242</v>
      </c>
      <c r="F42" s="25" t="s">
        <v>243</v>
      </c>
      <c r="G42" s="25">
        <v>500</v>
      </c>
      <c r="H42" s="25"/>
    </row>
    <row r="43" spans="1:8" ht="14">
      <c r="A43" s="25" t="s">
        <v>244</v>
      </c>
      <c r="B43" s="26" t="s">
        <v>12</v>
      </c>
      <c r="C43" s="25" t="str">
        <f t="shared" si="0"/>
        <v>valine</v>
      </c>
      <c r="D43" s="27" t="s">
        <v>13</v>
      </c>
      <c r="E43" s="25" t="s">
        <v>245</v>
      </c>
      <c r="F43" s="25" t="s">
        <v>246</v>
      </c>
      <c r="G43" s="25">
        <v>500</v>
      </c>
      <c r="H43" s="25"/>
    </row>
    <row r="44" spans="1:8" ht="14">
      <c r="A44" s="25" t="s">
        <v>262</v>
      </c>
      <c r="B44" s="26" t="s">
        <v>12</v>
      </c>
      <c r="C44" s="25" t="str">
        <f t="shared" si="0"/>
        <v>none</v>
      </c>
      <c r="D44" s="27" t="s">
        <v>13</v>
      </c>
      <c r="E44" s="25" t="s">
        <v>2943</v>
      </c>
      <c r="F44" s="25" t="s">
        <v>2944</v>
      </c>
      <c r="G44" s="25">
        <v>500</v>
      </c>
      <c r="H44" s="25"/>
    </row>
    <row r="45" spans="1:8" ht="14">
      <c r="A45" s="25" t="s">
        <v>247</v>
      </c>
      <c r="B45" s="26" t="s">
        <v>18</v>
      </c>
      <c r="C45" s="25" t="str">
        <f t="shared" si="0"/>
        <v>dda</v>
      </c>
      <c r="D45" s="25" t="s">
        <v>247</v>
      </c>
      <c r="E45" s="25" t="s">
        <v>248</v>
      </c>
      <c r="F45" s="25" t="s">
        <v>249</v>
      </c>
      <c r="G45" s="25">
        <v>500</v>
      </c>
      <c r="H45" s="25"/>
    </row>
    <row r="46" spans="1:8" ht="14">
      <c r="A46" s="25" t="s">
        <v>250</v>
      </c>
      <c r="B46" s="26" t="s">
        <v>18</v>
      </c>
      <c r="C46" s="25" t="str">
        <f t="shared" si="0"/>
        <v>dia</v>
      </c>
      <c r="D46" s="25" t="s">
        <v>250</v>
      </c>
      <c r="E46" s="25" t="s">
        <v>251</v>
      </c>
      <c r="F46" s="25" t="s">
        <v>252</v>
      </c>
      <c r="G46" s="25">
        <v>500</v>
      </c>
      <c r="H46" s="25"/>
    </row>
    <row r="47" spans="1:8" ht="14">
      <c r="A47" s="25" t="s">
        <v>253</v>
      </c>
      <c r="B47" s="26" t="s">
        <v>18</v>
      </c>
      <c r="C47" s="25" t="str">
        <f t="shared" si="0"/>
        <v>srm</v>
      </c>
      <c r="D47" s="25" t="s">
        <v>253</v>
      </c>
      <c r="E47" s="25" t="s">
        <v>254</v>
      </c>
      <c r="F47" s="25" t="s">
        <v>255</v>
      </c>
      <c r="G47" s="25">
        <v>500</v>
      </c>
      <c r="H47" s="25"/>
    </row>
    <row r="48" spans="1:8" ht="14">
      <c r="A48" s="25" t="s">
        <v>256</v>
      </c>
      <c r="B48" s="26" t="s">
        <v>22</v>
      </c>
      <c r="C48" s="25" t="str">
        <f t="shared" si="0"/>
        <v>caa</v>
      </c>
      <c r="D48" s="27" t="s">
        <v>13</v>
      </c>
      <c r="E48" s="25" t="s">
        <v>257</v>
      </c>
      <c r="F48" s="25" t="s">
        <v>258</v>
      </c>
      <c r="G48" s="25">
        <v>500</v>
      </c>
      <c r="H48" s="25"/>
    </row>
    <row r="49" spans="1:8" ht="14">
      <c r="A49" s="25" t="s">
        <v>259</v>
      </c>
      <c r="B49" s="26" t="s">
        <v>22</v>
      </c>
      <c r="C49" s="25" t="str">
        <f t="shared" si="0"/>
        <v>iaa</v>
      </c>
      <c r="D49" s="27" t="s">
        <v>13</v>
      </c>
      <c r="E49" s="25" t="s">
        <v>260</v>
      </c>
      <c r="F49" s="25" t="s">
        <v>261</v>
      </c>
      <c r="G49" s="25">
        <v>500</v>
      </c>
      <c r="H49" s="25"/>
    </row>
    <row r="50" spans="1:8" ht="14">
      <c r="A50" s="25" t="s">
        <v>262</v>
      </c>
      <c r="B50" s="26" t="s">
        <v>22</v>
      </c>
      <c r="C50" s="25" t="str">
        <f t="shared" si="0"/>
        <v>none</v>
      </c>
      <c r="D50" s="27" t="s">
        <v>13</v>
      </c>
      <c r="E50" s="25" t="s">
        <v>263</v>
      </c>
      <c r="F50" s="25" t="s">
        <v>264</v>
      </c>
      <c r="G50" s="25">
        <v>500</v>
      </c>
      <c r="H50" s="25"/>
    </row>
    <row r="51" spans="1:8" ht="14">
      <c r="A51" s="25" t="s">
        <v>265</v>
      </c>
      <c r="B51" s="26" t="s">
        <v>26</v>
      </c>
      <c r="C51" s="25" t="str">
        <f t="shared" si="0"/>
        <v>directdia</v>
      </c>
      <c r="D51" s="27" t="s">
        <v>13</v>
      </c>
      <c r="E51" s="25" t="s">
        <v>266</v>
      </c>
      <c r="F51" s="25" t="s">
        <v>267</v>
      </c>
      <c r="G51" s="25">
        <v>500</v>
      </c>
      <c r="H51" s="25"/>
    </row>
    <row r="52" spans="1:8" ht="14">
      <c r="A52" s="25" t="s">
        <v>268</v>
      </c>
      <c r="B52" s="26" t="s">
        <v>26</v>
      </c>
      <c r="C52" s="25" t="str">
        <f t="shared" si="0"/>
        <v>libdia</v>
      </c>
      <c r="D52" s="27" t="s">
        <v>13</v>
      </c>
      <c r="E52" s="25" t="s">
        <v>269</v>
      </c>
      <c r="F52" s="25" t="s">
        <v>270</v>
      </c>
      <c r="G52" s="25">
        <v>500</v>
      </c>
      <c r="H52" s="25"/>
    </row>
    <row r="53" spans="1:8" ht="14">
      <c r="A53" s="25" t="s">
        <v>271</v>
      </c>
      <c r="B53" s="26" t="s">
        <v>272</v>
      </c>
      <c r="C53" s="25" t="str">
        <f t="shared" si="0"/>
        <v>adipoq_cre</v>
      </c>
      <c r="D53" s="27" t="s">
        <v>13</v>
      </c>
      <c r="E53" s="25" t="s">
        <v>273</v>
      </c>
      <c r="F53" s="25" t="s">
        <v>274</v>
      </c>
      <c r="G53" s="25">
        <v>500</v>
      </c>
      <c r="H53" s="25"/>
    </row>
    <row r="54" spans="1:8" ht="14">
      <c r="A54" s="25" t="s">
        <v>275</v>
      </c>
      <c r="B54" s="26" t="s">
        <v>272</v>
      </c>
      <c r="C54" s="25" t="str">
        <f t="shared" si="0"/>
        <v>alb_cre</v>
      </c>
      <c r="D54" s="27" t="s">
        <v>13</v>
      </c>
      <c r="E54" s="25" t="s">
        <v>276</v>
      </c>
      <c r="F54" s="25" t="s">
        <v>277</v>
      </c>
      <c r="G54" s="25">
        <v>500</v>
      </c>
      <c r="H54" s="25"/>
    </row>
    <row r="55" spans="1:8" ht="14">
      <c r="A55" s="25" t="s">
        <v>278</v>
      </c>
      <c r="B55" s="26" t="s">
        <v>272</v>
      </c>
      <c r="C55" s="25" t="str">
        <f t="shared" si="0"/>
        <v>asc_ko</v>
      </c>
      <c r="D55" s="27" t="s">
        <v>13</v>
      </c>
      <c r="E55" s="25" t="s">
        <v>279</v>
      </c>
      <c r="F55" s="25" t="s">
        <v>279</v>
      </c>
      <c r="G55" s="25">
        <v>500</v>
      </c>
      <c r="H55" s="25"/>
    </row>
    <row r="56" spans="1:8" ht="14">
      <c r="A56" s="25" t="s">
        <v>280</v>
      </c>
      <c r="B56" s="26" t="s">
        <v>272</v>
      </c>
      <c r="C56" s="25" t="str">
        <f t="shared" si="0"/>
        <v>baf53b_cre</v>
      </c>
      <c r="D56" s="27" t="s">
        <v>13</v>
      </c>
      <c r="E56" s="25" t="s">
        <v>281</v>
      </c>
      <c r="F56" s="25" t="s">
        <v>282</v>
      </c>
      <c r="G56" s="25">
        <v>500</v>
      </c>
      <c r="H56" s="25"/>
    </row>
    <row r="57" spans="1:8" ht="14">
      <c r="A57" s="25" t="s">
        <v>283</v>
      </c>
      <c r="B57" s="26" t="s">
        <v>272</v>
      </c>
      <c r="C57" s="25" t="str">
        <f t="shared" si="0"/>
        <v>c57_bl6j</v>
      </c>
      <c r="D57" s="27" t="s">
        <v>13</v>
      </c>
      <c r="E57" s="25" t="s">
        <v>284</v>
      </c>
      <c r="F57" s="25" t="s">
        <v>284</v>
      </c>
      <c r="G57" s="25">
        <v>500</v>
      </c>
      <c r="H57" s="25"/>
    </row>
    <row r="58" spans="1:8" ht="14">
      <c r="A58" s="25" t="s">
        <v>285</v>
      </c>
      <c r="B58" s="26" t="s">
        <v>272</v>
      </c>
      <c r="C58" s="25" t="str">
        <f t="shared" si="0"/>
        <v>clec4f_cre</v>
      </c>
      <c r="D58" s="27" t="s">
        <v>13</v>
      </c>
      <c r="E58" s="25" t="s">
        <v>286</v>
      </c>
      <c r="F58" s="25" t="s">
        <v>287</v>
      </c>
      <c r="G58" s="25">
        <v>500</v>
      </c>
      <c r="H58" s="25"/>
    </row>
    <row r="59" spans="1:8" ht="14">
      <c r="A59" s="25" t="s">
        <v>288</v>
      </c>
      <c r="B59" s="26" t="s">
        <v>272</v>
      </c>
      <c r="C59" s="25" t="str">
        <f t="shared" si="0"/>
        <v>cx3cr1_cre</v>
      </c>
      <c r="D59" s="27" t="s">
        <v>13</v>
      </c>
      <c r="E59" s="25" t="s">
        <v>289</v>
      </c>
      <c r="F59" s="25" t="s">
        <v>290</v>
      </c>
      <c r="G59" s="25">
        <v>500</v>
      </c>
      <c r="H59" s="25"/>
    </row>
    <row r="60" spans="1:8" ht="14">
      <c r="A60" s="25" t="s">
        <v>291</v>
      </c>
      <c r="B60" s="26" t="s">
        <v>272</v>
      </c>
      <c r="C60" s="25" t="str">
        <f t="shared" si="0"/>
        <v>cxcr4creert2</v>
      </c>
      <c r="D60" s="27" t="s">
        <v>13</v>
      </c>
      <c r="E60" s="25" t="s">
        <v>292</v>
      </c>
      <c r="F60" s="25" t="s">
        <v>292</v>
      </c>
      <c r="G60" s="25">
        <v>500</v>
      </c>
      <c r="H60" s="25"/>
    </row>
    <row r="61" spans="1:8" ht="14">
      <c r="A61" s="25" t="s">
        <v>293</v>
      </c>
      <c r="B61" s="26" t="s">
        <v>272</v>
      </c>
      <c r="C61" s="25" t="str">
        <f t="shared" si="0"/>
        <v>glast_cre</v>
      </c>
      <c r="D61" s="27" t="s">
        <v>13</v>
      </c>
      <c r="E61" s="25" t="s">
        <v>294</v>
      </c>
      <c r="F61" s="25" t="s">
        <v>295</v>
      </c>
      <c r="G61" s="25">
        <v>500</v>
      </c>
      <c r="H61" s="25"/>
    </row>
    <row r="62" spans="1:8" ht="14">
      <c r="A62" s="25" t="s">
        <v>296</v>
      </c>
      <c r="B62" s="26" t="s">
        <v>272</v>
      </c>
      <c r="C62" s="25" t="str">
        <f t="shared" si="0"/>
        <v>lrat_cre</v>
      </c>
      <c r="D62" s="27" t="s">
        <v>13</v>
      </c>
      <c r="E62" s="25" t="s">
        <v>297</v>
      </c>
      <c r="F62" s="25" t="s">
        <v>298</v>
      </c>
      <c r="G62" s="25">
        <v>500</v>
      </c>
      <c r="H62" s="25"/>
    </row>
    <row r="63" spans="1:8" ht="14">
      <c r="A63" s="25" t="s">
        <v>299</v>
      </c>
      <c r="B63" s="26" t="s">
        <v>272</v>
      </c>
      <c r="C63" s="25" t="str">
        <f t="shared" si="0"/>
        <v>lysm_cre</v>
      </c>
      <c r="D63" s="27" t="s">
        <v>13</v>
      </c>
      <c r="E63" s="25" t="s">
        <v>300</v>
      </c>
      <c r="F63" s="25" t="s">
        <v>301</v>
      </c>
      <c r="G63" s="25">
        <v>500</v>
      </c>
      <c r="H63" s="25"/>
    </row>
    <row r="64" spans="1:8" ht="14">
      <c r="A64" s="25" t="s">
        <v>302</v>
      </c>
      <c r="B64" s="26" t="s">
        <v>272</v>
      </c>
      <c r="C64" s="25" t="str">
        <f t="shared" si="0"/>
        <v>ms4a3_cre</v>
      </c>
      <c r="D64" s="27" t="s">
        <v>13</v>
      </c>
      <c r="E64" s="25" t="s">
        <v>303</v>
      </c>
      <c r="F64" s="25" t="s">
        <v>304</v>
      </c>
      <c r="G64" s="25">
        <v>500</v>
      </c>
      <c r="H64" s="25"/>
    </row>
    <row r="65" spans="1:8" ht="14">
      <c r="A65" s="25" t="s">
        <v>305</v>
      </c>
      <c r="B65" s="26" t="s">
        <v>272</v>
      </c>
      <c r="C65" s="25" t="str">
        <f t="shared" si="0"/>
        <v>mt_nlrp3_cre</v>
      </c>
      <c r="D65" s="27" t="s">
        <v>13</v>
      </c>
      <c r="E65" s="25" t="s">
        <v>306</v>
      </c>
      <c r="F65" s="25" t="s">
        <v>307</v>
      </c>
      <c r="G65" s="25">
        <v>500</v>
      </c>
      <c r="H65" s="25"/>
    </row>
    <row r="66" spans="1:8" ht="14">
      <c r="A66" s="25" t="s">
        <v>308</v>
      </c>
      <c r="B66" s="26" t="s">
        <v>272</v>
      </c>
      <c r="C66" s="25" t="str">
        <f t="shared" si="0"/>
        <v>nlrp3_flox</v>
      </c>
      <c r="D66" s="27" t="s">
        <v>13</v>
      </c>
      <c r="E66" s="25" t="s">
        <v>309</v>
      </c>
      <c r="F66" s="25" t="s">
        <v>309</v>
      </c>
      <c r="G66" s="25">
        <v>500</v>
      </c>
      <c r="H66" s="25"/>
    </row>
    <row r="67" spans="1:8" ht="14">
      <c r="A67" s="25" t="s">
        <v>310</v>
      </c>
      <c r="B67" s="26" t="s">
        <v>272</v>
      </c>
      <c r="C67" s="25" t="str">
        <f t="shared" ref="C67:C131" si="1">A67</f>
        <v>nlrp3_ko</v>
      </c>
      <c r="D67" s="27" t="s">
        <v>13</v>
      </c>
      <c r="E67" s="25" t="s">
        <v>311</v>
      </c>
      <c r="F67" s="25" t="s">
        <v>311</v>
      </c>
      <c r="G67" s="25">
        <v>500</v>
      </c>
      <c r="H67" s="25"/>
    </row>
    <row r="68" spans="1:8" ht="14">
      <c r="A68" s="25" t="s">
        <v>312</v>
      </c>
      <c r="B68" s="26" t="s">
        <v>272</v>
      </c>
      <c r="C68" s="25" t="str">
        <f t="shared" si="1"/>
        <v>oaf</v>
      </c>
      <c r="D68" s="27" t="s">
        <v>13</v>
      </c>
      <c r="E68" s="25" t="s">
        <v>313</v>
      </c>
      <c r="F68" s="25" t="s">
        <v>313</v>
      </c>
      <c r="G68" s="25">
        <v>500</v>
      </c>
      <c r="H68" s="25"/>
    </row>
    <row r="69" spans="1:8" ht="14">
      <c r="A69" s="25" t="s">
        <v>314</v>
      </c>
      <c r="B69" s="26" t="s">
        <v>272</v>
      </c>
      <c r="C69" s="25" t="str">
        <f t="shared" si="1"/>
        <v>r26_ert2cre</v>
      </c>
      <c r="D69" s="27" t="s">
        <v>13</v>
      </c>
      <c r="E69" s="25" t="s">
        <v>315</v>
      </c>
      <c r="F69" s="25" t="s">
        <v>316</v>
      </c>
      <c r="G69" s="25">
        <v>500</v>
      </c>
      <c r="H69" s="25"/>
    </row>
    <row r="70" spans="1:8" ht="14">
      <c r="A70" s="25" t="s">
        <v>317</v>
      </c>
      <c r="B70" s="26" t="s">
        <v>272</v>
      </c>
      <c r="C70" s="25" t="str">
        <f t="shared" si="1"/>
        <v>r26_metrs_flox</v>
      </c>
      <c r="D70" s="27" t="s">
        <v>13</v>
      </c>
      <c r="E70" s="27" t="s">
        <v>318</v>
      </c>
      <c r="F70" s="25" t="s">
        <v>319</v>
      </c>
      <c r="G70" s="25">
        <v>500</v>
      </c>
      <c r="H70" s="25"/>
    </row>
    <row r="71" spans="1:8" ht="14">
      <c r="A71" s="25" t="s">
        <v>320</v>
      </c>
      <c r="B71" s="26" t="s">
        <v>272</v>
      </c>
      <c r="C71" s="25" t="str">
        <f t="shared" si="1"/>
        <v>r26_nlrp3_flox</v>
      </c>
      <c r="D71" s="27" t="s">
        <v>13</v>
      </c>
      <c r="E71" s="25" t="s">
        <v>321</v>
      </c>
      <c r="F71" s="25" t="s">
        <v>321</v>
      </c>
      <c r="G71" s="25">
        <v>500</v>
      </c>
      <c r="H71" s="25"/>
    </row>
    <row r="72" spans="1:8" ht="14">
      <c r="A72" s="25" t="s">
        <v>322</v>
      </c>
      <c r="B72" s="26" t="s">
        <v>272</v>
      </c>
      <c r="C72" s="25" t="str">
        <f t="shared" si="1"/>
        <v>ribotag_lox</v>
      </c>
      <c r="D72" s="27" t="s">
        <v>13</v>
      </c>
      <c r="E72" s="25" t="s">
        <v>323</v>
      </c>
      <c r="F72" s="27" t="s">
        <v>13</v>
      </c>
      <c r="G72" s="25">
        <v>500</v>
      </c>
      <c r="H72" s="25"/>
    </row>
    <row r="73" spans="1:8" ht="14">
      <c r="A73" s="25" t="s">
        <v>324</v>
      </c>
      <c r="B73" s="26" t="s">
        <v>272</v>
      </c>
      <c r="C73" s="25" t="str">
        <f t="shared" si="1"/>
        <v>sox10_cre</v>
      </c>
      <c r="D73" s="27" t="s">
        <v>13</v>
      </c>
      <c r="E73" s="25" t="s">
        <v>325</v>
      </c>
      <c r="F73" s="25" t="s">
        <v>326</v>
      </c>
      <c r="G73" s="25">
        <v>500</v>
      </c>
      <c r="H73" s="25"/>
    </row>
    <row r="74" spans="1:8" ht="14">
      <c r="A74" s="25" t="s">
        <v>327</v>
      </c>
      <c r="B74" s="26" t="s">
        <v>272</v>
      </c>
      <c r="C74" s="25" t="str">
        <f t="shared" si="1"/>
        <v>ucp1_cre</v>
      </c>
      <c r="D74" s="27" t="s">
        <v>13</v>
      </c>
      <c r="E74" s="25" t="s">
        <v>328</v>
      </c>
      <c r="F74" s="25" t="s">
        <v>329</v>
      </c>
      <c r="G74" s="25">
        <v>500</v>
      </c>
      <c r="H74" s="25"/>
    </row>
    <row r="75" spans="1:8" ht="14">
      <c r="A75" s="25" t="s">
        <v>330</v>
      </c>
      <c r="B75" s="26" t="s">
        <v>272</v>
      </c>
      <c r="C75" s="25" t="str">
        <f t="shared" si="1"/>
        <v>vil_cre</v>
      </c>
      <c r="D75" s="27" t="s">
        <v>13</v>
      </c>
      <c r="E75" s="25" t="s">
        <v>331</v>
      </c>
      <c r="F75" s="25" t="s">
        <v>332</v>
      </c>
      <c r="G75" s="25">
        <v>500</v>
      </c>
      <c r="H75" s="25"/>
    </row>
    <row r="76" spans="1:8" ht="14">
      <c r="A76" s="25" t="s">
        <v>333</v>
      </c>
      <c r="B76" s="26" t="s">
        <v>35</v>
      </c>
      <c r="C76" s="25" t="str">
        <f t="shared" si="1"/>
        <v>adipose_macrophages</v>
      </c>
      <c r="D76" s="25" t="s">
        <v>334</v>
      </c>
      <c r="E76" s="25" t="s">
        <v>335</v>
      </c>
      <c r="F76" s="25" t="s">
        <v>336</v>
      </c>
      <c r="G76" s="25">
        <v>500</v>
      </c>
      <c r="H76" s="25"/>
    </row>
    <row r="77" spans="1:8" ht="14">
      <c r="A77" s="25" t="s">
        <v>337</v>
      </c>
      <c r="B77" s="26" t="s">
        <v>35</v>
      </c>
      <c r="C77" s="25" t="str">
        <f t="shared" si="1"/>
        <v>astrocytes</v>
      </c>
      <c r="D77" s="25" t="s">
        <v>337</v>
      </c>
      <c r="E77" s="25" t="s">
        <v>295</v>
      </c>
      <c r="F77" s="25" t="s">
        <v>295</v>
      </c>
      <c r="G77" s="25">
        <v>500</v>
      </c>
      <c r="H77" s="25"/>
    </row>
    <row r="78" spans="1:8" ht="14">
      <c r="A78" s="25" t="s">
        <v>338</v>
      </c>
      <c r="B78" s="26" t="s">
        <v>35</v>
      </c>
      <c r="C78" s="25" t="str">
        <f t="shared" si="1"/>
        <v>basophils</v>
      </c>
      <c r="D78" s="25" t="s">
        <v>338</v>
      </c>
      <c r="E78" s="25" t="s">
        <v>339</v>
      </c>
      <c r="F78" s="25" t="s">
        <v>340</v>
      </c>
      <c r="G78" s="25">
        <v>500</v>
      </c>
      <c r="H78" s="25"/>
    </row>
    <row r="79" spans="1:8" ht="14">
      <c r="A79" s="25" t="s">
        <v>341</v>
      </c>
      <c r="B79" s="26" t="s">
        <v>35</v>
      </c>
      <c r="C79" s="25" t="str">
        <f t="shared" si="1"/>
        <v>bcells</v>
      </c>
      <c r="D79" s="25" t="s">
        <v>341</v>
      </c>
      <c r="E79" s="25" t="s">
        <v>342</v>
      </c>
      <c r="F79" s="25" t="s">
        <v>342</v>
      </c>
      <c r="G79" s="25">
        <v>500</v>
      </c>
      <c r="H79" s="25"/>
    </row>
    <row r="80" spans="1:8" ht="14">
      <c r="A80" s="25" t="s">
        <v>343</v>
      </c>
      <c r="B80" s="26" t="s">
        <v>35</v>
      </c>
      <c r="C80" s="25" t="str">
        <f t="shared" si="1"/>
        <v>cytotoxict</v>
      </c>
      <c r="D80" s="25" t="s">
        <v>343</v>
      </c>
      <c r="E80" s="25" t="s">
        <v>344</v>
      </c>
      <c r="F80" s="25" t="s">
        <v>345</v>
      </c>
      <c r="G80" s="25">
        <v>500</v>
      </c>
      <c r="H80" s="25"/>
    </row>
    <row r="81" spans="1:8" ht="14">
      <c r="A81" s="25" t="s">
        <v>346</v>
      </c>
      <c r="B81" s="26" t="s">
        <v>35</v>
      </c>
      <c r="C81" s="25" t="str">
        <f t="shared" si="1"/>
        <v>endothelial</v>
      </c>
      <c r="D81" s="25" t="s">
        <v>346</v>
      </c>
      <c r="E81" s="25" t="s">
        <v>347</v>
      </c>
      <c r="F81" s="25" t="s">
        <v>348</v>
      </c>
      <c r="G81" s="25">
        <v>500</v>
      </c>
      <c r="H81" s="25"/>
    </row>
    <row r="82" spans="1:8" ht="14">
      <c r="A82" s="25" t="s">
        <v>349</v>
      </c>
      <c r="B82" s="26" t="s">
        <v>35</v>
      </c>
      <c r="C82" s="25" t="str">
        <f t="shared" si="1"/>
        <v>eosinophils</v>
      </c>
      <c r="D82" s="25" t="s">
        <v>349</v>
      </c>
      <c r="E82" s="25" t="s">
        <v>350</v>
      </c>
      <c r="F82" s="25" t="s">
        <v>351</v>
      </c>
      <c r="G82" s="25">
        <v>500</v>
      </c>
      <c r="H82" s="25"/>
    </row>
    <row r="83" spans="1:8" ht="14">
      <c r="A83" s="25" t="s">
        <v>352</v>
      </c>
      <c r="B83" s="26" t="s">
        <v>35</v>
      </c>
      <c r="C83" s="25" t="str">
        <f t="shared" si="1"/>
        <v>epithelioid</v>
      </c>
      <c r="D83" s="25" t="s">
        <v>352</v>
      </c>
      <c r="E83" s="25" t="s">
        <v>353</v>
      </c>
      <c r="F83" s="25" t="s">
        <v>354</v>
      </c>
      <c r="G83" s="25">
        <v>500</v>
      </c>
      <c r="H83" s="25"/>
    </row>
    <row r="84" spans="1:8" ht="14">
      <c r="A84" s="25" t="s">
        <v>355</v>
      </c>
      <c r="B84" s="26" t="s">
        <v>35</v>
      </c>
      <c r="C84" s="25" t="str">
        <f t="shared" si="1"/>
        <v>erythrocytes</v>
      </c>
      <c r="D84" s="25" t="s">
        <v>355</v>
      </c>
      <c r="E84" s="25" t="s">
        <v>356</v>
      </c>
      <c r="F84" s="25" t="s">
        <v>357</v>
      </c>
      <c r="G84" s="25">
        <v>500</v>
      </c>
      <c r="H84" s="25"/>
    </row>
    <row r="85" spans="1:8" ht="14">
      <c r="A85" s="25" t="s">
        <v>358</v>
      </c>
      <c r="B85" s="26" t="s">
        <v>35</v>
      </c>
      <c r="C85" s="25" t="str">
        <f t="shared" si="1"/>
        <v>gammadeltat</v>
      </c>
      <c r="D85" s="25" t="s">
        <v>358</v>
      </c>
      <c r="E85" s="25" t="s">
        <v>359</v>
      </c>
      <c r="F85" s="25" t="s">
        <v>360</v>
      </c>
      <c r="G85" s="25">
        <v>500</v>
      </c>
      <c r="H85" s="25"/>
    </row>
    <row r="86" spans="1:8" ht="14">
      <c r="A86" s="25" t="s">
        <v>361</v>
      </c>
      <c r="B86" s="26" t="s">
        <v>35</v>
      </c>
      <c r="C86" s="25" t="str">
        <f t="shared" si="1"/>
        <v>hofbauer</v>
      </c>
      <c r="D86" s="25" t="s">
        <v>361</v>
      </c>
      <c r="E86" s="25" t="s">
        <v>362</v>
      </c>
      <c r="F86" s="25" t="s">
        <v>363</v>
      </c>
      <c r="G86" s="25">
        <v>500</v>
      </c>
      <c r="H86" s="25"/>
    </row>
    <row r="87" spans="1:8" ht="14">
      <c r="A87" s="25" t="s">
        <v>364</v>
      </c>
      <c r="B87" s="26" t="s">
        <v>35</v>
      </c>
      <c r="C87" s="25" t="str">
        <f t="shared" si="1"/>
        <v>keratinocytes</v>
      </c>
      <c r="D87" s="25" t="s">
        <v>364</v>
      </c>
      <c r="E87" s="25" t="s">
        <v>365</v>
      </c>
      <c r="F87" s="25" t="s">
        <v>366</v>
      </c>
      <c r="G87" s="25">
        <v>500</v>
      </c>
      <c r="H87" s="25"/>
    </row>
    <row r="88" spans="1:8" ht="14">
      <c r="A88" s="25" t="s">
        <v>367</v>
      </c>
      <c r="B88" s="26" t="s">
        <v>35</v>
      </c>
      <c r="C88" s="25" t="str">
        <f t="shared" si="1"/>
        <v>kupffer</v>
      </c>
      <c r="D88" s="25" t="s">
        <v>367</v>
      </c>
      <c r="E88" s="25" t="s">
        <v>368</v>
      </c>
      <c r="F88" s="25" t="s">
        <v>369</v>
      </c>
      <c r="G88" s="25">
        <v>500</v>
      </c>
      <c r="H88" s="25"/>
    </row>
    <row r="89" spans="1:8" ht="14">
      <c r="A89" s="25" t="s">
        <v>370</v>
      </c>
      <c r="B89" s="26" t="s">
        <v>35</v>
      </c>
      <c r="C89" s="25" t="str">
        <f t="shared" si="1"/>
        <v>langerhans</v>
      </c>
      <c r="D89" s="25" t="s">
        <v>370</v>
      </c>
      <c r="E89" s="25" t="s">
        <v>371</v>
      </c>
      <c r="F89" s="25" t="s">
        <v>372</v>
      </c>
      <c r="G89" s="25">
        <v>500</v>
      </c>
      <c r="H89" s="25"/>
    </row>
    <row r="90" spans="1:8" ht="14">
      <c r="A90" s="25" t="s">
        <v>373</v>
      </c>
      <c r="B90" s="26" t="s">
        <v>35</v>
      </c>
      <c r="C90" s="25" t="str">
        <f t="shared" si="1"/>
        <v>leukocytes</v>
      </c>
      <c r="D90" s="25" t="s">
        <v>373</v>
      </c>
      <c r="E90" s="25" t="s">
        <v>374</v>
      </c>
      <c r="F90" s="25" t="s">
        <v>375</v>
      </c>
      <c r="G90" s="25">
        <v>500</v>
      </c>
      <c r="H90" s="25"/>
    </row>
    <row r="91" spans="1:8" ht="14">
      <c r="A91" s="25" t="s">
        <v>376</v>
      </c>
      <c r="B91" s="26" t="s">
        <v>35</v>
      </c>
      <c r="C91" s="25" t="str">
        <f t="shared" si="1"/>
        <v>lymphocytes</v>
      </c>
      <c r="D91" s="25" t="s">
        <v>376</v>
      </c>
      <c r="E91" s="25" t="s">
        <v>377</v>
      </c>
      <c r="F91" s="25" t="s">
        <v>378</v>
      </c>
      <c r="G91" s="25">
        <v>500</v>
      </c>
      <c r="H91" s="25"/>
    </row>
    <row r="92" spans="1:8" ht="14">
      <c r="A92" s="25" t="s">
        <v>379</v>
      </c>
      <c r="B92" s="26" t="s">
        <v>35</v>
      </c>
      <c r="C92" s="25" t="str">
        <f t="shared" si="1"/>
        <v>macrophage</v>
      </c>
      <c r="D92" s="25" t="s">
        <v>379</v>
      </c>
      <c r="E92" s="25" t="s">
        <v>380</v>
      </c>
      <c r="F92" s="25" t="s">
        <v>380</v>
      </c>
      <c r="G92" s="25">
        <v>500</v>
      </c>
      <c r="H92" s="25"/>
    </row>
    <row r="93" spans="1:8" ht="14">
      <c r="A93" s="25" t="s">
        <v>381</v>
      </c>
      <c r="B93" s="26" t="s">
        <v>35</v>
      </c>
      <c r="C93" s="25" t="str">
        <f t="shared" si="1"/>
        <v>microglia</v>
      </c>
      <c r="D93" s="25" t="s">
        <v>381</v>
      </c>
      <c r="E93" s="25" t="s">
        <v>382</v>
      </c>
      <c r="F93" s="25" t="s">
        <v>383</v>
      </c>
      <c r="G93" s="25">
        <v>500</v>
      </c>
      <c r="H93" s="25"/>
    </row>
    <row r="94" spans="1:8" ht="14">
      <c r="A94" s="25" t="s">
        <v>384</v>
      </c>
      <c r="B94" s="26" t="s">
        <v>35</v>
      </c>
      <c r="C94" s="25" t="str">
        <f t="shared" si="1"/>
        <v>monoblast</v>
      </c>
      <c r="D94" s="25" t="s">
        <v>384</v>
      </c>
      <c r="E94" s="25" t="s">
        <v>385</v>
      </c>
      <c r="F94" s="25" t="s">
        <v>385</v>
      </c>
      <c r="G94" s="25">
        <v>500</v>
      </c>
      <c r="H94" s="25"/>
    </row>
    <row r="95" spans="1:8" ht="14">
      <c r="A95" s="25" t="s">
        <v>386</v>
      </c>
      <c r="B95" s="26" t="s">
        <v>35</v>
      </c>
      <c r="C95" s="25" t="str">
        <f t="shared" si="1"/>
        <v>monocytes</v>
      </c>
      <c r="D95" s="25" t="s">
        <v>386</v>
      </c>
      <c r="E95" s="25" t="s">
        <v>304</v>
      </c>
      <c r="F95" s="25" t="s">
        <v>387</v>
      </c>
      <c r="G95" s="25">
        <v>500</v>
      </c>
      <c r="H95" s="25"/>
    </row>
    <row r="96" spans="1:8" ht="14">
      <c r="A96" s="25" t="s">
        <v>388</v>
      </c>
      <c r="B96" s="26" t="s">
        <v>35</v>
      </c>
      <c r="C96" s="25" t="str">
        <f t="shared" si="1"/>
        <v>neutrophils</v>
      </c>
      <c r="D96" s="25" t="s">
        <v>388</v>
      </c>
      <c r="E96" s="25" t="s">
        <v>389</v>
      </c>
      <c r="F96" s="25" t="s">
        <v>390</v>
      </c>
      <c r="G96" s="25">
        <v>500</v>
      </c>
      <c r="H96" s="25"/>
    </row>
    <row r="97" spans="1:8" ht="14">
      <c r="A97" s="25" t="s">
        <v>391</v>
      </c>
      <c r="B97" s="26" t="s">
        <v>35</v>
      </c>
      <c r="C97" s="25" t="str">
        <f t="shared" si="1"/>
        <v>nk</v>
      </c>
      <c r="D97" s="25" t="s">
        <v>391</v>
      </c>
      <c r="E97" s="25" t="s">
        <v>392</v>
      </c>
      <c r="F97" s="25" t="s">
        <v>393</v>
      </c>
      <c r="G97" s="25">
        <v>500</v>
      </c>
      <c r="H97" s="25"/>
    </row>
    <row r="98" spans="1:8" ht="14">
      <c r="A98" s="25" t="s">
        <v>394</v>
      </c>
      <c r="B98" s="26" t="s">
        <v>35</v>
      </c>
      <c r="C98" s="25" t="str">
        <f t="shared" si="1"/>
        <v>osteoblast</v>
      </c>
      <c r="D98" s="25" t="s">
        <v>394</v>
      </c>
      <c r="E98" s="25" t="s">
        <v>395</v>
      </c>
      <c r="F98" s="25" t="s">
        <v>396</v>
      </c>
      <c r="G98" s="25">
        <v>500</v>
      </c>
      <c r="H98" s="25"/>
    </row>
    <row r="99" spans="1:8" ht="14">
      <c r="A99" s="25" t="s">
        <v>397</v>
      </c>
      <c r="B99" s="26" t="s">
        <v>35</v>
      </c>
      <c r="C99" s="25" t="str">
        <f t="shared" si="1"/>
        <v>osteoclast</v>
      </c>
      <c r="D99" s="25" t="s">
        <v>397</v>
      </c>
      <c r="E99" s="25" t="s">
        <v>398</v>
      </c>
      <c r="F99" s="25" t="s">
        <v>399</v>
      </c>
      <c r="G99" s="25">
        <v>500</v>
      </c>
      <c r="H99" s="25"/>
    </row>
    <row r="100" spans="1:8" ht="14">
      <c r="A100" s="25" t="s">
        <v>400</v>
      </c>
      <c r="B100" s="26" t="s">
        <v>35</v>
      </c>
      <c r="C100" s="25" t="str">
        <f t="shared" si="1"/>
        <v>osteocytes</v>
      </c>
      <c r="D100" s="25" t="s">
        <v>400</v>
      </c>
      <c r="E100" s="25" t="s">
        <v>401</v>
      </c>
      <c r="F100" s="25" t="s">
        <v>402</v>
      </c>
      <c r="G100" s="25">
        <v>500</v>
      </c>
      <c r="H100" s="25"/>
    </row>
    <row r="101" spans="1:8" ht="14">
      <c r="A101" s="25" t="s">
        <v>403</v>
      </c>
      <c r="B101" s="26" t="s">
        <v>35</v>
      </c>
      <c r="C101" s="25" t="str">
        <f t="shared" si="1"/>
        <v>osteogenic</v>
      </c>
      <c r="D101" s="25" t="s">
        <v>403</v>
      </c>
      <c r="E101" s="25" t="s">
        <v>404</v>
      </c>
      <c r="F101" s="25" t="s">
        <v>405</v>
      </c>
      <c r="G101" s="25">
        <v>500</v>
      </c>
      <c r="H101" s="25"/>
    </row>
    <row r="102" spans="1:8" ht="14">
      <c r="A102" s="25" t="s">
        <v>406</v>
      </c>
      <c r="B102" s="26" t="s">
        <v>35</v>
      </c>
      <c r="C102" s="25" t="str">
        <f t="shared" si="1"/>
        <v>regt</v>
      </c>
      <c r="D102" s="25" t="s">
        <v>406</v>
      </c>
      <c r="E102" s="25" t="s">
        <v>407</v>
      </c>
      <c r="F102" s="25" t="s">
        <v>408</v>
      </c>
      <c r="G102" s="25">
        <v>500</v>
      </c>
      <c r="H102" s="25"/>
    </row>
    <row r="103" spans="1:8" ht="14">
      <c r="A103" s="25" t="s">
        <v>409</v>
      </c>
      <c r="B103" s="26" t="s">
        <v>35</v>
      </c>
      <c r="C103" s="25" t="str">
        <f t="shared" si="1"/>
        <v>stemcells</v>
      </c>
      <c r="D103" s="25" t="s">
        <v>409</v>
      </c>
      <c r="E103" s="25" t="s">
        <v>410</v>
      </c>
      <c r="F103" s="25" t="s">
        <v>411</v>
      </c>
      <c r="G103" s="25">
        <v>500</v>
      </c>
      <c r="H103" s="25"/>
    </row>
    <row r="104" spans="1:8" ht="14">
      <c r="A104" s="25" t="s">
        <v>412</v>
      </c>
      <c r="B104" s="26" t="s">
        <v>35</v>
      </c>
      <c r="C104" s="25" t="str">
        <f t="shared" si="1"/>
        <v>tcells</v>
      </c>
      <c r="D104" s="25" t="s">
        <v>412</v>
      </c>
      <c r="E104" s="25" t="s">
        <v>413</v>
      </c>
      <c r="F104" s="25" t="s">
        <v>413</v>
      </c>
      <c r="G104" s="25">
        <v>500</v>
      </c>
      <c r="H104" s="25"/>
    </row>
    <row r="105" spans="1:8" ht="14">
      <c r="A105" s="25" t="s">
        <v>414</v>
      </c>
      <c r="B105" s="26" t="s">
        <v>35</v>
      </c>
      <c r="C105" s="25" t="str">
        <f t="shared" si="1"/>
        <v>thelper</v>
      </c>
      <c r="D105" s="25" t="s">
        <v>414</v>
      </c>
      <c r="E105" s="25" t="s">
        <v>415</v>
      </c>
      <c r="F105" s="25" t="s">
        <v>416</v>
      </c>
      <c r="G105" s="25">
        <v>500</v>
      </c>
      <c r="H105" s="25"/>
    </row>
    <row r="106" spans="1:8" ht="14">
      <c r="A106" s="25" t="s">
        <v>417</v>
      </c>
      <c r="B106" s="26" t="s">
        <v>35</v>
      </c>
      <c r="C106" s="25" t="str">
        <f t="shared" si="1"/>
        <v>thrombocytes</v>
      </c>
      <c r="D106" s="25" t="s">
        <v>417</v>
      </c>
      <c r="E106" s="25" t="s">
        <v>418</v>
      </c>
      <c r="F106" s="25" t="s">
        <v>419</v>
      </c>
      <c r="G106" s="25">
        <v>500</v>
      </c>
      <c r="H106" s="25"/>
    </row>
    <row r="107" spans="1:8" ht="14">
      <c r="A107" s="25" t="s">
        <v>420</v>
      </c>
      <c r="B107" s="26" t="s">
        <v>38</v>
      </c>
      <c r="C107" s="25" t="str">
        <f t="shared" si="1"/>
        <v>786_0</v>
      </c>
      <c r="D107" s="25">
        <v>786</v>
      </c>
      <c r="E107" s="25" t="s">
        <v>421</v>
      </c>
      <c r="F107" s="25" t="s">
        <v>422</v>
      </c>
      <c r="G107" s="25">
        <v>500</v>
      </c>
      <c r="H107" s="25"/>
    </row>
    <row r="108" spans="1:8" ht="14">
      <c r="A108" s="25" t="s">
        <v>423</v>
      </c>
      <c r="B108" s="26" t="s">
        <v>38</v>
      </c>
      <c r="C108" s="25" t="str">
        <f t="shared" si="1"/>
        <v>a498</v>
      </c>
      <c r="D108" s="25" t="s">
        <v>423</v>
      </c>
      <c r="E108" s="25" t="s">
        <v>424</v>
      </c>
      <c r="F108" s="25" t="s">
        <v>422</v>
      </c>
      <c r="G108" s="25">
        <v>500</v>
      </c>
      <c r="H108" s="25"/>
    </row>
    <row r="109" spans="1:8" ht="14">
      <c r="A109" s="25" t="s">
        <v>425</v>
      </c>
      <c r="B109" s="26" t="s">
        <v>38</v>
      </c>
      <c r="C109" s="25" t="str">
        <f t="shared" si="1"/>
        <v>a549</v>
      </c>
      <c r="D109" s="25" t="s">
        <v>425</v>
      </c>
      <c r="E109" s="25" t="s">
        <v>426</v>
      </c>
      <c r="F109" s="25" t="s">
        <v>427</v>
      </c>
      <c r="G109" s="25">
        <v>500</v>
      </c>
      <c r="H109" s="25"/>
    </row>
    <row r="110" spans="1:8" ht="14">
      <c r="A110" s="25" t="s">
        <v>428</v>
      </c>
      <c r="B110" s="26" t="s">
        <v>38</v>
      </c>
      <c r="C110" s="25" t="str">
        <f t="shared" si="1"/>
        <v>achn</v>
      </c>
      <c r="D110" s="25" t="s">
        <v>428</v>
      </c>
      <c r="E110" s="25" t="s">
        <v>429</v>
      </c>
      <c r="F110" s="25" t="s">
        <v>422</v>
      </c>
      <c r="G110" s="25">
        <v>500</v>
      </c>
      <c r="H110" s="25"/>
    </row>
    <row r="111" spans="1:8" ht="14">
      <c r="A111" s="25" t="s">
        <v>430</v>
      </c>
      <c r="B111" s="26" t="s">
        <v>38</v>
      </c>
      <c r="C111" s="25" t="str">
        <f t="shared" si="1"/>
        <v>bmdc</v>
      </c>
      <c r="D111" s="25" t="s">
        <v>430</v>
      </c>
      <c r="E111" s="25" t="s">
        <v>431</v>
      </c>
      <c r="F111" s="25" t="s">
        <v>431</v>
      </c>
      <c r="G111" s="25">
        <v>500</v>
      </c>
      <c r="H111" s="25"/>
    </row>
    <row r="112" spans="1:8" ht="14">
      <c r="A112" s="25" t="s">
        <v>432</v>
      </c>
      <c r="B112" s="26" t="s">
        <v>38</v>
      </c>
      <c r="C112" s="25" t="str">
        <f t="shared" si="1"/>
        <v>bmm</v>
      </c>
      <c r="D112" s="25" t="s">
        <v>432</v>
      </c>
      <c r="E112" s="25" t="s">
        <v>433</v>
      </c>
      <c r="F112" s="25" t="s">
        <v>434</v>
      </c>
      <c r="G112" s="25">
        <v>500</v>
      </c>
      <c r="H112" s="25"/>
    </row>
    <row r="113" spans="1:8" ht="14">
      <c r="A113" s="25" t="s">
        <v>435</v>
      </c>
      <c r="B113" s="26" t="s">
        <v>38</v>
      </c>
      <c r="C113" s="25" t="str">
        <f t="shared" si="1"/>
        <v>bt549</v>
      </c>
      <c r="D113" s="25" t="s">
        <v>435</v>
      </c>
      <c r="E113" s="25" t="s">
        <v>436</v>
      </c>
      <c r="F113" s="25" t="s">
        <v>437</v>
      </c>
      <c r="G113" s="25">
        <v>500</v>
      </c>
      <c r="H113" s="25"/>
    </row>
    <row r="114" spans="1:8" ht="14">
      <c r="A114" s="25" t="s">
        <v>438</v>
      </c>
      <c r="B114" s="26" t="s">
        <v>38</v>
      </c>
      <c r="C114" s="25" t="str">
        <f t="shared" si="1"/>
        <v>caki1</v>
      </c>
      <c r="D114" s="25" t="s">
        <v>438</v>
      </c>
      <c r="E114" s="25" t="s">
        <v>439</v>
      </c>
      <c r="F114" s="25" t="s">
        <v>422</v>
      </c>
      <c r="G114" s="25">
        <v>500</v>
      </c>
      <c r="H114" s="25"/>
    </row>
    <row r="115" spans="1:8" ht="14">
      <c r="A115" s="25" t="s">
        <v>440</v>
      </c>
      <c r="B115" s="26" t="s">
        <v>38</v>
      </c>
      <c r="C115" s="25" t="str">
        <f t="shared" si="1"/>
        <v>cho</v>
      </c>
      <c r="D115" s="25" t="s">
        <v>440</v>
      </c>
      <c r="E115" s="25" t="s">
        <v>441</v>
      </c>
      <c r="F115" s="25" t="s">
        <v>442</v>
      </c>
      <c r="G115" s="25">
        <v>500</v>
      </c>
      <c r="H115" s="25"/>
    </row>
    <row r="116" spans="1:8" ht="14">
      <c r="A116" s="25" t="s">
        <v>443</v>
      </c>
      <c r="B116" s="26" t="s">
        <v>38</v>
      </c>
      <c r="C116" s="25" t="str">
        <f t="shared" si="1"/>
        <v>colo205</v>
      </c>
      <c r="D116" s="25" t="s">
        <v>443</v>
      </c>
      <c r="E116" s="25" t="s">
        <v>444</v>
      </c>
      <c r="F116" s="25" t="s">
        <v>445</v>
      </c>
      <c r="G116" s="25">
        <v>500</v>
      </c>
      <c r="H116" s="25"/>
    </row>
    <row r="117" spans="1:8" ht="14">
      <c r="A117" s="25" t="s">
        <v>446</v>
      </c>
      <c r="B117" s="26" t="s">
        <v>38</v>
      </c>
      <c r="C117" s="25" t="str">
        <f t="shared" si="1"/>
        <v>crfcem</v>
      </c>
      <c r="D117" s="25" t="s">
        <v>446</v>
      </c>
      <c r="E117" s="25" t="s">
        <v>447</v>
      </c>
      <c r="F117" s="25" t="s">
        <v>448</v>
      </c>
      <c r="G117" s="25">
        <v>500</v>
      </c>
      <c r="H117" s="25"/>
    </row>
    <row r="118" spans="1:8" ht="14">
      <c r="A118" s="25" t="s">
        <v>449</v>
      </c>
      <c r="B118" s="26" t="s">
        <v>38</v>
      </c>
      <c r="C118" s="25" t="str">
        <f t="shared" si="1"/>
        <v>du145</v>
      </c>
      <c r="D118" s="25" t="s">
        <v>449</v>
      </c>
      <c r="E118" s="25" t="s">
        <v>450</v>
      </c>
      <c r="F118" s="25" t="s">
        <v>451</v>
      </c>
      <c r="G118" s="25">
        <v>500</v>
      </c>
      <c r="H118" s="25"/>
    </row>
    <row r="119" spans="1:8" ht="14">
      <c r="A119" s="25" t="s">
        <v>452</v>
      </c>
      <c r="B119" s="26" t="s">
        <v>38</v>
      </c>
      <c r="C119" s="25" t="str">
        <f t="shared" si="1"/>
        <v>ekvx</v>
      </c>
      <c r="D119" s="25" t="s">
        <v>452</v>
      </c>
      <c r="E119" s="25" t="s">
        <v>453</v>
      </c>
      <c r="F119" s="25" t="s">
        <v>427</v>
      </c>
      <c r="G119" s="25">
        <v>500</v>
      </c>
      <c r="H119" s="25"/>
    </row>
    <row r="120" spans="1:8" ht="14">
      <c r="A120" s="25" t="s">
        <v>454</v>
      </c>
      <c r="B120" s="26" t="s">
        <v>38</v>
      </c>
      <c r="C120" s="25" t="str">
        <f t="shared" si="1"/>
        <v>hcc2998</v>
      </c>
      <c r="D120" s="25" t="s">
        <v>454</v>
      </c>
      <c r="E120" s="25" t="s">
        <v>455</v>
      </c>
      <c r="F120" s="25" t="s">
        <v>445</v>
      </c>
      <c r="G120" s="25">
        <v>500</v>
      </c>
      <c r="H120" s="25"/>
    </row>
    <row r="121" spans="1:8" ht="14">
      <c r="A121" s="25" t="s">
        <v>456</v>
      </c>
      <c r="B121" s="26" t="s">
        <v>38</v>
      </c>
      <c r="C121" s="25" t="str">
        <f t="shared" si="1"/>
        <v>hct116</v>
      </c>
      <c r="D121" s="25" t="s">
        <v>456</v>
      </c>
      <c r="E121" s="25" t="s">
        <v>457</v>
      </c>
      <c r="F121" s="25" t="s">
        <v>445</v>
      </c>
      <c r="G121" s="25">
        <v>500</v>
      </c>
      <c r="H121" s="25"/>
    </row>
    <row r="122" spans="1:8" ht="14">
      <c r="A122" s="25" t="s">
        <v>458</v>
      </c>
      <c r="B122" s="26" t="s">
        <v>38</v>
      </c>
      <c r="C122" s="25" t="str">
        <f t="shared" si="1"/>
        <v>hct15</v>
      </c>
      <c r="D122" s="25" t="s">
        <v>458</v>
      </c>
      <c r="E122" s="25" t="s">
        <v>459</v>
      </c>
      <c r="F122" s="25" t="s">
        <v>445</v>
      </c>
      <c r="G122" s="25">
        <v>500</v>
      </c>
      <c r="H122" s="25"/>
    </row>
    <row r="123" spans="1:8" ht="14">
      <c r="A123" s="25" t="s">
        <v>460</v>
      </c>
      <c r="B123" s="26" t="s">
        <v>38</v>
      </c>
      <c r="C123" s="25" t="str">
        <f t="shared" si="1"/>
        <v>hek293</v>
      </c>
      <c r="D123" s="25" t="s">
        <v>460</v>
      </c>
      <c r="E123" s="25" t="s">
        <v>461</v>
      </c>
      <c r="F123" s="25" t="s">
        <v>462</v>
      </c>
      <c r="G123" s="25">
        <v>500</v>
      </c>
      <c r="H123" s="25"/>
    </row>
    <row r="124" spans="1:8" ht="14">
      <c r="A124" s="25" t="s">
        <v>463</v>
      </c>
      <c r="B124" s="26" t="s">
        <v>38</v>
      </c>
      <c r="C124" s="25" t="str">
        <f t="shared" si="1"/>
        <v>hek293t</v>
      </c>
      <c r="D124" s="25" t="s">
        <v>463</v>
      </c>
      <c r="E124" s="25" t="s">
        <v>464</v>
      </c>
      <c r="F124" s="25" t="s">
        <v>465</v>
      </c>
      <c r="G124" s="25">
        <v>500</v>
      </c>
      <c r="H124" s="25"/>
    </row>
    <row r="125" spans="1:8" ht="14">
      <c r="A125" s="25" t="s">
        <v>466</v>
      </c>
      <c r="B125" s="26" t="s">
        <v>38</v>
      </c>
      <c r="C125" s="25" t="str">
        <f t="shared" si="1"/>
        <v>hela</v>
      </c>
      <c r="D125" s="25" t="s">
        <v>466</v>
      </c>
      <c r="E125" s="25" t="s">
        <v>467</v>
      </c>
      <c r="F125" s="25" t="s">
        <v>468</v>
      </c>
      <c r="G125" s="25">
        <v>500</v>
      </c>
      <c r="H125" s="25"/>
    </row>
    <row r="126" spans="1:8" ht="14">
      <c r="A126" s="25" t="s">
        <v>3123</v>
      </c>
      <c r="B126" s="26" t="s">
        <v>38</v>
      </c>
      <c r="C126" s="25" t="str">
        <f t="shared" si="1"/>
        <v>trexflip</v>
      </c>
      <c r="D126" s="25" t="s">
        <v>3124</v>
      </c>
      <c r="E126" s="25" t="s">
        <v>3125</v>
      </c>
      <c r="F126" s="25" t="s">
        <v>3126</v>
      </c>
      <c r="G126" s="25">
        <v>500</v>
      </c>
      <c r="H126" s="25"/>
    </row>
    <row r="127" spans="1:8" ht="14">
      <c r="A127" s="25" t="s">
        <v>469</v>
      </c>
      <c r="B127" s="26" t="s">
        <v>38</v>
      </c>
      <c r="C127" s="25" t="str">
        <f t="shared" si="1"/>
        <v>hl60</v>
      </c>
      <c r="D127" s="25" t="s">
        <v>469</v>
      </c>
      <c r="E127" s="25" t="s">
        <v>470</v>
      </c>
      <c r="F127" s="25" t="s">
        <v>448</v>
      </c>
      <c r="G127" s="25">
        <v>500</v>
      </c>
      <c r="H127" s="25"/>
    </row>
    <row r="128" spans="1:8" ht="14">
      <c r="A128" s="25" t="s">
        <v>471</v>
      </c>
      <c r="B128" s="26" t="s">
        <v>38</v>
      </c>
      <c r="C128" s="25" t="str">
        <f t="shared" si="1"/>
        <v>hop62</v>
      </c>
      <c r="D128" s="25" t="s">
        <v>471</v>
      </c>
      <c r="E128" s="25" t="s">
        <v>472</v>
      </c>
      <c r="F128" s="25" t="s">
        <v>427</v>
      </c>
      <c r="G128" s="25">
        <v>500</v>
      </c>
      <c r="H128" s="25"/>
    </row>
    <row r="129" spans="1:8" ht="14">
      <c r="A129" s="25" t="s">
        <v>473</v>
      </c>
      <c r="B129" s="26" t="s">
        <v>38</v>
      </c>
      <c r="C129" s="25" t="str">
        <f t="shared" si="1"/>
        <v>hop92</v>
      </c>
      <c r="D129" s="25" t="s">
        <v>473</v>
      </c>
      <c r="E129" s="25" t="s">
        <v>474</v>
      </c>
      <c r="F129" s="25" t="s">
        <v>427</v>
      </c>
      <c r="G129" s="25">
        <v>500</v>
      </c>
      <c r="H129" s="25"/>
    </row>
    <row r="130" spans="1:8" ht="14">
      <c r="A130" s="25" t="s">
        <v>475</v>
      </c>
      <c r="B130" s="26" t="s">
        <v>38</v>
      </c>
      <c r="C130" s="25" t="str">
        <f t="shared" si="1"/>
        <v>hs578t</v>
      </c>
      <c r="D130" s="25" t="s">
        <v>475</v>
      </c>
      <c r="E130" s="25" t="s">
        <v>476</v>
      </c>
      <c r="F130" s="25" t="s">
        <v>437</v>
      </c>
      <c r="G130" s="25">
        <v>500</v>
      </c>
      <c r="H130" s="25"/>
    </row>
    <row r="131" spans="1:8" ht="14">
      <c r="A131" s="25" t="s">
        <v>477</v>
      </c>
      <c r="B131" s="26" t="s">
        <v>38</v>
      </c>
      <c r="C131" s="25" t="str">
        <f t="shared" si="1"/>
        <v>ht29</v>
      </c>
      <c r="D131" s="25" t="s">
        <v>477</v>
      </c>
      <c r="E131" s="25" t="s">
        <v>478</v>
      </c>
      <c r="F131" s="25" t="s">
        <v>445</v>
      </c>
      <c r="G131" s="25">
        <v>500</v>
      </c>
      <c r="H131" s="25"/>
    </row>
    <row r="132" spans="1:8" ht="14">
      <c r="A132" s="25" t="s">
        <v>479</v>
      </c>
      <c r="B132" s="26" t="s">
        <v>38</v>
      </c>
      <c r="C132" s="25" t="str">
        <f t="shared" ref="C132:C188" si="2">A132</f>
        <v>igrov1</v>
      </c>
      <c r="D132" s="25" t="s">
        <v>479</v>
      </c>
      <c r="E132" s="25" t="s">
        <v>480</v>
      </c>
      <c r="F132" s="25" t="s">
        <v>481</v>
      </c>
      <c r="G132" s="25">
        <v>500</v>
      </c>
      <c r="H132" s="25"/>
    </row>
    <row r="133" spans="1:8" ht="14">
      <c r="A133" s="25" t="s">
        <v>482</v>
      </c>
      <c r="B133" s="26" t="s">
        <v>38</v>
      </c>
      <c r="C133" s="25" t="str">
        <f t="shared" si="2"/>
        <v>immmef</v>
      </c>
      <c r="D133" s="25" t="s">
        <v>482</v>
      </c>
      <c r="E133" s="25" t="s">
        <v>483</v>
      </c>
      <c r="F133" s="25" t="s">
        <v>484</v>
      </c>
      <c r="G133" s="25">
        <v>500</v>
      </c>
      <c r="H133" s="25"/>
    </row>
    <row r="134" spans="1:8" ht="14">
      <c r="A134" s="25" t="s">
        <v>485</v>
      </c>
      <c r="B134" s="26" t="s">
        <v>38</v>
      </c>
      <c r="C134" s="25" t="str">
        <f t="shared" si="2"/>
        <v>jeko1</v>
      </c>
      <c r="D134" s="25" t="s">
        <v>485</v>
      </c>
      <c r="E134" s="25" t="s">
        <v>486</v>
      </c>
      <c r="F134" s="25" t="s">
        <v>487</v>
      </c>
      <c r="G134" s="25">
        <v>500</v>
      </c>
      <c r="H134" s="25"/>
    </row>
    <row r="135" spans="1:8" ht="14">
      <c r="A135" s="25" t="s">
        <v>488</v>
      </c>
      <c r="B135" s="26" t="s">
        <v>38</v>
      </c>
      <c r="C135" s="25" t="str">
        <f t="shared" si="2"/>
        <v>jurkat</v>
      </c>
      <c r="D135" s="25" t="s">
        <v>488</v>
      </c>
      <c r="E135" s="25" t="s">
        <v>489</v>
      </c>
      <c r="F135" s="25" t="s">
        <v>490</v>
      </c>
      <c r="G135" s="25">
        <v>500</v>
      </c>
      <c r="H135" s="25"/>
    </row>
    <row r="136" spans="1:8" ht="14">
      <c r="A136" s="25" t="s">
        <v>491</v>
      </c>
      <c r="B136" s="26" t="s">
        <v>38</v>
      </c>
      <c r="C136" s="25" t="str">
        <f t="shared" si="2"/>
        <v>jvm13</v>
      </c>
      <c r="D136" s="25" t="s">
        <v>491</v>
      </c>
      <c r="E136" s="25" t="s">
        <v>492</v>
      </c>
      <c r="F136" s="25" t="s">
        <v>487</v>
      </c>
      <c r="G136" s="25">
        <v>500</v>
      </c>
      <c r="H136" s="25"/>
    </row>
    <row r="137" spans="1:8" ht="14">
      <c r="A137" s="25" t="s">
        <v>493</v>
      </c>
      <c r="B137" s="26" t="s">
        <v>38</v>
      </c>
      <c r="C137" s="25" t="str">
        <f t="shared" si="2"/>
        <v>jvm2</v>
      </c>
      <c r="D137" s="25" t="s">
        <v>493</v>
      </c>
      <c r="E137" s="25" t="s">
        <v>494</v>
      </c>
      <c r="F137" s="25" t="s">
        <v>487</v>
      </c>
      <c r="G137" s="25">
        <v>500</v>
      </c>
      <c r="H137" s="25"/>
    </row>
    <row r="138" spans="1:8" ht="14">
      <c r="A138" s="25" t="s">
        <v>495</v>
      </c>
      <c r="B138" s="26" t="s">
        <v>38</v>
      </c>
      <c r="C138" s="25" t="str">
        <f t="shared" si="2"/>
        <v>k562</v>
      </c>
      <c r="D138" s="25" t="s">
        <v>495</v>
      </c>
      <c r="E138" s="25" t="s">
        <v>496</v>
      </c>
      <c r="F138" s="25" t="s">
        <v>448</v>
      </c>
      <c r="G138" s="25">
        <v>500</v>
      </c>
      <c r="H138" s="25"/>
    </row>
    <row r="139" spans="1:8" ht="14">
      <c r="A139" s="25" t="s">
        <v>497</v>
      </c>
      <c r="B139" s="26" t="s">
        <v>38</v>
      </c>
      <c r="C139" s="25" t="str">
        <f t="shared" si="2"/>
        <v>km12</v>
      </c>
      <c r="D139" s="25" t="s">
        <v>497</v>
      </c>
      <c r="E139" s="25" t="s">
        <v>498</v>
      </c>
      <c r="F139" s="25" t="s">
        <v>445</v>
      </c>
      <c r="G139" s="25">
        <v>500</v>
      </c>
      <c r="H139" s="25"/>
    </row>
    <row r="140" spans="1:8" ht="14">
      <c r="A140" s="25" t="s">
        <v>499</v>
      </c>
      <c r="B140" s="26" t="s">
        <v>38</v>
      </c>
      <c r="C140" s="25" t="str">
        <f t="shared" si="2"/>
        <v>lox_imvi</v>
      </c>
      <c r="D140" s="25" t="s">
        <v>499</v>
      </c>
      <c r="E140" s="25" t="s">
        <v>500</v>
      </c>
      <c r="F140" s="25" t="s">
        <v>501</v>
      </c>
      <c r="G140" s="25">
        <v>500</v>
      </c>
      <c r="H140" s="25"/>
    </row>
    <row r="141" spans="1:8" ht="14">
      <c r="A141" s="25" t="s">
        <v>502</v>
      </c>
      <c r="B141" s="26" t="s">
        <v>38</v>
      </c>
      <c r="C141" s="25" t="str">
        <f t="shared" si="2"/>
        <v>m14</v>
      </c>
      <c r="D141" s="25" t="s">
        <v>502</v>
      </c>
      <c r="E141" s="25" t="s">
        <v>503</v>
      </c>
      <c r="F141" s="25" t="s">
        <v>501</v>
      </c>
      <c r="G141" s="25">
        <v>500</v>
      </c>
      <c r="H141" s="25"/>
    </row>
    <row r="142" spans="1:8" ht="14">
      <c r="A142" s="25" t="s">
        <v>504</v>
      </c>
      <c r="B142" s="26" t="s">
        <v>38</v>
      </c>
      <c r="C142" s="25" t="str">
        <f t="shared" si="2"/>
        <v>malme3m</v>
      </c>
      <c r="D142" s="25" t="s">
        <v>504</v>
      </c>
      <c r="E142" s="25" t="s">
        <v>505</v>
      </c>
      <c r="F142" s="25" t="s">
        <v>501</v>
      </c>
      <c r="G142" s="25">
        <v>500</v>
      </c>
      <c r="H142" s="25"/>
    </row>
    <row r="143" spans="1:8" ht="14">
      <c r="A143" s="25" t="s">
        <v>506</v>
      </c>
      <c r="B143" s="26" t="s">
        <v>38</v>
      </c>
      <c r="C143" s="25" t="str">
        <f t="shared" si="2"/>
        <v>maver1</v>
      </c>
      <c r="D143" s="25" t="s">
        <v>506</v>
      </c>
      <c r="E143" s="25" t="s">
        <v>507</v>
      </c>
      <c r="F143" s="25" t="s">
        <v>487</v>
      </c>
      <c r="G143" s="25">
        <v>500</v>
      </c>
      <c r="H143" s="25"/>
    </row>
    <row r="144" spans="1:8" ht="14">
      <c r="A144" s="25" t="s">
        <v>508</v>
      </c>
      <c r="B144" s="26" t="s">
        <v>38</v>
      </c>
      <c r="C144" s="25" t="str">
        <f t="shared" si="2"/>
        <v>mcf7</v>
      </c>
      <c r="D144" s="25" t="s">
        <v>508</v>
      </c>
      <c r="E144" s="25" t="s">
        <v>509</v>
      </c>
      <c r="F144" s="25" t="s">
        <v>437</v>
      </c>
      <c r="G144" s="25">
        <v>500</v>
      </c>
      <c r="H144" s="25"/>
    </row>
    <row r="145" spans="1:8" ht="14">
      <c r="A145" s="25" t="s">
        <v>510</v>
      </c>
      <c r="B145" s="26" t="s">
        <v>38</v>
      </c>
      <c r="C145" s="25" t="str">
        <f t="shared" si="2"/>
        <v>mdamb231</v>
      </c>
      <c r="D145" s="25" t="s">
        <v>510</v>
      </c>
      <c r="E145" s="25" t="s">
        <v>511</v>
      </c>
      <c r="F145" s="25" t="s">
        <v>437</v>
      </c>
      <c r="G145" s="25">
        <v>500</v>
      </c>
      <c r="H145" s="25"/>
    </row>
    <row r="146" spans="1:8" ht="14">
      <c r="A146" s="25" t="s">
        <v>512</v>
      </c>
      <c r="B146" s="26" t="s">
        <v>38</v>
      </c>
      <c r="C146" s="25" t="str">
        <f t="shared" si="2"/>
        <v>mdamb435</v>
      </c>
      <c r="D146" s="25" t="s">
        <v>512</v>
      </c>
      <c r="E146" s="25" t="s">
        <v>513</v>
      </c>
      <c r="F146" s="25" t="s">
        <v>501</v>
      </c>
      <c r="G146" s="25">
        <v>500</v>
      </c>
      <c r="H146" s="25"/>
    </row>
    <row r="147" spans="1:8" ht="14">
      <c r="A147" s="25" t="s">
        <v>514</v>
      </c>
      <c r="B147" s="26" t="s">
        <v>38</v>
      </c>
      <c r="C147" s="25" t="str">
        <f t="shared" si="2"/>
        <v>mdamb468</v>
      </c>
      <c r="D147" s="25" t="s">
        <v>514</v>
      </c>
      <c r="E147" s="25" t="s">
        <v>515</v>
      </c>
      <c r="F147" s="25" t="s">
        <v>437</v>
      </c>
      <c r="G147" s="25">
        <v>500</v>
      </c>
      <c r="H147" s="25"/>
    </row>
    <row r="148" spans="1:8" ht="14">
      <c r="A148" s="25" t="s">
        <v>516</v>
      </c>
      <c r="B148" s="26" t="s">
        <v>38</v>
      </c>
      <c r="C148" s="25" t="str">
        <f t="shared" si="2"/>
        <v>mef</v>
      </c>
      <c r="D148" s="25" t="s">
        <v>516</v>
      </c>
      <c r="E148" s="25" t="s">
        <v>517</v>
      </c>
      <c r="F148" s="25" t="s">
        <v>518</v>
      </c>
      <c r="G148" s="25">
        <v>500</v>
      </c>
      <c r="H148" s="25"/>
    </row>
    <row r="149" spans="1:8" ht="14">
      <c r="A149" s="25" t="s">
        <v>519</v>
      </c>
      <c r="B149" s="26" t="s">
        <v>38</v>
      </c>
      <c r="C149" s="25" t="str">
        <f t="shared" si="2"/>
        <v>mino</v>
      </c>
      <c r="D149" s="25" t="s">
        <v>519</v>
      </c>
      <c r="E149" s="25" t="s">
        <v>520</v>
      </c>
      <c r="F149" s="25" t="s">
        <v>487</v>
      </c>
      <c r="G149" s="25">
        <v>500</v>
      </c>
      <c r="H149" s="25"/>
    </row>
    <row r="150" spans="1:8" ht="14">
      <c r="A150" s="25" t="s">
        <v>521</v>
      </c>
      <c r="B150" s="26" t="s">
        <v>38</v>
      </c>
      <c r="C150" s="25" t="str">
        <f t="shared" si="2"/>
        <v>molt4</v>
      </c>
      <c r="D150" s="25" t="s">
        <v>521</v>
      </c>
      <c r="E150" s="25" t="s">
        <v>522</v>
      </c>
      <c r="F150" s="25" t="s">
        <v>448</v>
      </c>
      <c r="G150" s="25">
        <v>500</v>
      </c>
      <c r="H150" s="25"/>
    </row>
    <row r="151" spans="1:8" ht="14">
      <c r="A151" s="25" t="s">
        <v>523</v>
      </c>
      <c r="B151" s="26" t="s">
        <v>38</v>
      </c>
      <c r="C151" s="25" t="str">
        <f t="shared" si="2"/>
        <v>nceb1</v>
      </c>
      <c r="D151" s="25" t="s">
        <v>523</v>
      </c>
      <c r="E151" s="25" t="s">
        <v>524</v>
      </c>
      <c r="F151" s="25" t="s">
        <v>487</v>
      </c>
      <c r="G151" s="25">
        <v>500</v>
      </c>
      <c r="H151" s="25"/>
    </row>
    <row r="152" spans="1:8" ht="14">
      <c r="A152" s="25" t="s">
        <v>525</v>
      </c>
      <c r="B152" s="26" t="s">
        <v>38</v>
      </c>
      <c r="C152" s="25" t="str">
        <f t="shared" si="2"/>
        <v>nci_adrres</v>
      </c>
      <c r="D152" s="25" t="s">
        <v>526</v>
      </c>
      <c r="E152" s="25" t="s">
        <v>527</v>
      </c>
      <c r="F152" s="25" t="s">
        <v>481</v>
      </c>
      <c r="G152" s="25">
        <v>500</v>
      </c>
      <c r="H152" s="25"/>
    </row>
    <row r="153" spans="1:8" ht="14">
      <c r="A153" s="25" t="s">
        <v>528</v>
      </c>
      <c r="B153" s="26" t="s">
        <v>38</v>
      </c>
      <c r="C153" s="25" t="str">
        <f t="shared" si="2"/>
        <v>nci_h226</v>
      </c>
      <c r="D153" s="25" t="s">
        <v>529</v>
      </c>
      <c r="E153" s="25" t="s">
        <v>530</v>
      </c>
      <c r="F153" s="25" t="s">
        <v>427</v>
      </c>
      <c r="G153" s="25">
        <v>500</v>
      </c>
      <c r="H153" s="25"/>
    </row>
    <row r="154" spans="1:8" ht="14">
      <c r="A154" s="25" t="s">
        <v>531</v>
      </c>
      <c r="B154" s="26" t="s">
        <v>38</v>
      </c>
      <c r="C154" s="25" t="str">
        <f t="shared" si="2"/>
        <v>nci_h23</v>
      </c>
      <c r="D154" s="25" t="s">
        <v>532</v>
      </c>
      <c r="E154" s="25" t="s">
        <v>533</v>
      </c>
      <c r="F154" s="25" t="s">
        <v>427</v>
      </c>
      <c r="G154" s="25">
        <v>500</v>
      </c>
      <c r="H154" s="25"/>
    </row>
    <row r="155" spans="1:8" ht="14">
      <c r="A155" s="25" t="s">
        <v>534</v>
      </c>
      <c r="B155" s="26" t="s">
        <v>38</v>
      </c>
      <c r="C155" s="25" t="str">
        <f t="shared" si="2"/>
        <v>nci_h322m</v>
      </c>
      <c r="D155" s="25" t="s">
        <v>535</v>
      </c>
      <c r="E155" s="25" t="s">
        <v>536</v>
      </c>
      <c r="F155" s="25" t="s">
        <v>427</v>
      </c>
      <c r="G155" s="25">
        <v>500</v>
      </c>
      <c r="H155" s="25"/>
    </row>
    <row r="156" spans="1:8" ht="14">
      <c r="A156" s="25" t="s">
        <v>537</v>
      </c>
      <c r="B156" s="26" t="s">
        <v>38</v>
      </c>
      <c r="C156" s="25" t="str">
        <f t="shared" si="2"/>
        <v>nci_h460</v>
      </c>
      <c r="D156" s="25" t="s">
        <v>538</v>
      </c>
      <c r="E156" s="25" t="s">
        <v>539</v>
      </c>
      <c r="F156" s="25" t="s">
        <v>427</v>
      </c>
      <c r="G156" s="25">
        <v>500</v>
      </c>
      <c r="H156" s="25"/>
    </row>
    <row r="157" spans="1:8" ht="14">
      <c r="A157" s="25" t="s">
        <v>540</v>
      </c>
      <c r="B157" s="26" t="s">
        <v>38</v>
      </c>
      <c r="C157" s="25" t="str">
        <f t="shared" si="2"/>
        <v>nci_h522</v>
      </c>
      <c r="D157" s="25" t="s">
        <v>541</v>
      </c>
      <c r="E157" s="25" t="s">
        <v>542</v>
      </c>
      <c r="F157" s="25" t="s">
        <v>427</v>
      </c>
      <c r="G157" s="25">
        <v>500</v>
      </c>
      <c r="H157" s="25"/>
    </row>
    <row r="158" spans="1:8" ht="14">
      <c r="A158" s="25" t="s">
        <v>543</v>
      </c>
      <c r="B158" s="26" t="s">
        <v>38</v>
      </c>
      <c r="C158" s="25" t="str">
        <f t="shared" si="2"/>
        <v>ovcar3</v>
      </c>
      <c r="D158" s="25" t="s">
        <v>543</v>
      </c>
      <c r="E158" s="25" t="s">
        <v>544</v>
      </c>
      <c r="F158" s="25" t="s">
        <v>481</v>
      </c>
      <c r="G158" s="25">
        <v>500</v>
      </c>
      <c r="H158" s="25"/>
    </row>
    <row r="159" spans="1:8" ht="14">
      <c r="A159" s="25" t="s">
        <v>545</v>
      </c>
      <c r="B159" s="26" t="s">
        <v>38</v>
      </c>
      <c r="C159" s="25" t="str">
        <f t="shared" si="2"/>
        <v>ovcar4</v>
      </c>
      <c r="D159" s="25" t="s">
        <v>545</v>
      </c>
      <c r="E159" s="25" t="s">
        <v>546</v>
      </c>
      <c r="F159" s="25" t="s">
        <v>481</v>
      </c>
      <c r="G159" s="25">
        <v>500</v>
      </c>
      <c r="H159" s="25"/>
    </row>
    <row r="160" spans="1:8" ht="14">
      <c r="A160" s="25" t="s">
        <v>547</v>
      </c>
      <c r="B160" s="26" t="s">
        <v>38</v>
      </c>
      <c r="C160" s="25" t="str">
        <f t="shared" si="2"/>
        <v>ovcar5</v>
      </c>
      <c r="D160" s="25" t="s">
        <v>547</v>
      </c>
      <c r="E160" s="25" t="s">
        <v>548</v>
      </c>
      <c r="F160" s="25" t="s">
        <v>481</v>
      </c>
      <c r="G160" s="25">
        <v>500</v>
      </c>
      <c r="H160" s="25"/>
    </row>
    <row r="161" spans="1:8" ht="14">
      <c r="A161" s="25" t="s">
        <v>549</v>
      </c>
      <c r="B161" s="26" t="s">
        <v>38</v>
      </c>
      <c r="C161" s="25" t="str">
        <f t="shared" si="2"/>
        <v>ovcar8</v>
      </c>
      <c r="D161" s="25" t="s">
        <v>549</v>
      </c>
      <c r="E161" s="25" t="s">
        <v>550</v>
      </c>
      <c r="F161" s="25" t="s">
        <v>481</v>
      </c>
      <c r="G161" s="25">
        <v>500</v>
      </c>
      <c r="H161" s="25"/>
    </row>
    <row r="162" spans="1:8" ht="14">
      <c r="A162" s="25" t="s">
        <v>551</v>
      </c>
      <c r="B162" s="26" t="s">
        <v>38</v>
      </c>
      <c r="C162" s="25" t="str">
        <f t="shared" si="2"/>
        <v>p388</v>
      </c>
      <c r="D162" s="25" t="s">
        <v>551</v>
      </c>
      <c r="E162" s="25" t="s">
        <v>552</v>
      </c>
      <c r="F162" s="25" t="s">
        <v>553</v>
      </c>
      <c r="G162" s="25">
        <v>500</v>
      </c>
      <c r="H162" s="25"/>
    </row>
    <row r="163" spans="1:8" ht="14">
      <c r="A163" s="25" t="s">
        <v>554</v>
      </c>
      <c r="B163" s="26" t="s">
        <v>38</v>
      </c>
      <c r="C163" s="25" t="str">
        <f t="shared" si="2"/>
        <v>pc3</v>
      </c>
      <c r="D163" s="25" t="s">
        <v>554</v>
      </c>
      <c r="E163" s="25" t="s">
        <v>555</v>
      </c>
      <c r="F163" s="25" t="s">
        <v>451</v>
      </c>
      <c r="G163" s="25">
        <v>500</v>
      </c>
      <c r="H163" s="25"/>
    </row>
    <row r="164" spans="1:8" ht="14">
      <c r="A164" s="25" t="s">
        <v>556</v>
      </c>
      <c r="B164" s="26" t="s">
        <v>38</v>
      </c>
      <c r="C164" s="25" t="str">
        <f t="shared" si="2"/>
        <v>rec1</v>
      </c>
      <c r="D164" s="25" t="s">
        <v>556</v>
      </c>
      <c r="E164" s="25" t="s">
        <v>557</v>
      </c>
      <c r="F164" s="25" t="s">
        <v>487</v>
      </c>
      <c r="G164" s="25">
        <v>500</v>
      </c>
      <c r="H164" s="25"/>
    </row>
    <row r="165" spans="1:8" ht="14">
      <c r="A165" s="25" t="s">
        <v>558</v>
      </c>
      <c r="B165" s="26" t="s">
        <v>38</v>
      </c>
      <c r="C165" s="25" t="str">
        <f t="shared" si="2"/>
        <v>rpmi8226</v>
      </c>
      <c r="D165" s="25" t="s">
        <v>558</v>
      </c>
      <c r="E165" s="25" t="s">
        <v>559</v>
      </c>
      <c r="F165" s="25" t="s">
        <v>448</v>
      </c>
      <c r="G165" s="25">
        <v>500</v>
      </c>
      <c r="H165" s="25"/>
    </row>
    <row r="166" spans="1:8" ht="14">
      <c r="A166" s="25" t="s">
        <v>560</v>
      </c>
      <c r="B166" s="26" t="s">
        <v>38</v>
      </c>
      <c r="C166" s="25" t="str">
        <f t="shared" si="2"/>
        <v>rxf393</v>
      </c>
      <c r="D166" s="25" t="s">
        <v>560</v>
      </c>
      <c r="E166" s="25" t="s">
        <v>561</v>
      </c>
      <c r="F166" s="25" t="s">
        <v>422</v>
      </c>
      <c r="G166" s="25">
        <v>500</v>
      </c>
      <c r="H166" s="25"/>
    </row>
    <row r="167" spans="1:8" ht="14">
      <c r="A167" s="25" t="s">
        <v>562</v>
      </c>
      <c r="B167" s="26" t="s">
        <v>38</v>
      </c>
      <c r="C167" s="25" t="str">
        <f t="shared" si="2"/>
        <v>sf268</v>
      </c>
      <c r="D167" s="25" t="s">
        <v>562</v>
      </c>
      <c r="E167" s="25" t="s">
        <v>563</v>
      </c>
      <c r="F167" s="25" t="s">
        <v>564</v>
      </c>
      <c r="G167" s="25">
        <v>500</v>
      </c>
      <c r="H167" s="25"/>
    </row>
    <row r="168" spans="1:8" ht="14">
      <c r="A168" s="25" t="s">
        <v>565</v>
      </c>
      <c r="B168" s="26" t="s">
        <v>38</v>
      </c>
      <c r="C168" s="25" t="str">
        <f t="shared" si="2"/>
        <v>sf295</v>
      </c>
      <c r="D168" s="25" t="s">
        <v>565</v>
      </c>
      <c r="E168" s="25" t="s">
        <v>566</v>
      </c>
      <c r="F168" s="25" t="s">
        <v>564</v>
      </c>
      <c r="G168" s="25">
        <v>500</v>
      </c>
      <c r="H168" s="25"/>
    </row>
    <row r="169" spans="1:8" ht="14">
      <c r="A169" s="25" t="s">
        <v>567</v>
      </c>
      <c r="B169" s="26" t="s">
        <v>38</v>
      </c>
      <c r="C169" s="25" t="str">
        <f t="shared" si="2"/>
        <v>sf539</v>
      </c>
      <c r="D169" s="25" t="s">
        <v>567</v>
      </c>
      <c r="E169" s="25" t="s">
        <v>568</v>
      </c>
      <c r="F169" s="25" t="s">
        <v>564</v>
      </c>
      <c r="G169" s="25">
        <v>500</v>
      </c>
      <c r="H169" s="25"/>
    </row>
    <row r="170" spans="1:8" ht="14">
      <c r="A170" s="25" t="s">
        <v>569</v>
      </c>
      <c r="B170" s="26" t="s">
        <v>38</v>
      </c>
      <c r="C170" s="25" t="str">
        <f t="shared" si="2"/>
        <v>skmel2</v>
      </c>
      <c r="D170" s="25" t="s">
        <v>569</v>
      </c>
      <c r="E170" s="25" t="s">
        <v>570</v>
      </c>
      <c r="F170" s="25" t="s">
        <v>501</v>
      </c>
      <c r="G170" s="25">
        <v>500</v>
      </c>
      <c r="H170" s="25"/>
    </row>
    <row r="171" spans="1:8" ht="14">
      <c r="A171" s="25" t="s">
        <v>571</v>
      </c>
      <c r="B171" s="26" t="s">
        <v>38</v>
      </c>
      <c r="C171" s="25" t="str">
        <f t="shared" si="2"/>
        <v>skmel28</v>
      </c>
      <c r="D171" s="25" t="s">
        <v>571</v>
      </c>
      <c r="E171" s="25" t="s">
        <v>572</v>
      </c>
      <c r="F171" s="25" t="s">
        <v>501</v>
      </c>
      <c r="G171" s="25">
        <v>500</v>
      </c>
      <c r="H171" s="25"/>
    </row>
    <row r="172" spans="1:8" ht="14">
      <c r="A172" s="25" t="s">
        <v>573</v>
      </c>
      <c r="B172" s="26" t="s">
        <v>38</v>
      </c>
      <c r="C172" s="25" t="str">
        <f t="shared" si="2"/>
        <v>skmel5</v>
      </c>
      <c r="D172" s="25" t="s">
        <v>573</v>
      </c>
      <c r="E172" s="25" t="s">
        <v>574</v>
      </c>
      <c r="F172" s="25" t="s">
        <v>501</v>
      </c>
      <c r="G172" s="25">
        <v>500</v>
      </c>
      <c r="H172" s="25"/>
    </row>
    <row r="173" spans="1:8" ht="14">
      <c r="A173" s="25" t="s">
        <v>575</v>
      </c>
      <c r="B173" s="26" t="s">
        <v>38</v>
      </c>
      <c r="C173" s="25" t="str">
        <f t="shared" si="2"/>
        <v>skov3</v>
      </c>
      <c r="D173" s="25" t="s">
        <v>575</v>
      </c>
      <c r="E173" s="25" t="s">
        <v>576</v>
      </c>
      <c r="F173" s="25" t="s">
        <v>481</v>
      </c>
      <c r="G173" s="25">
        <v>500</v>
      </c>
      <c r="H173" s="25"/>
    </row>
    <row r="174" spans="1:8" ht="14">
      <c r="A174" s="25" t="s">
        <v>577</v>
      </c>
      <c r="B174" s="26" t="s">
        <v>38</v>
      </c>
      <c r="C174" s="25" t="str">
        <f t="shared" si="2"/>
        <v>sn12c</v>
      </c>
      <c r="D174" s="25" t="s">
        <v>577</v>
      </c>
      <c r="E174" s="25" t="s">
        <v>578</v>
      </c>
      <c r="F174" s="25" t="s">
        <v>422</v>
      </c>
      <c r="G174" s="25">
        <v>500</v>
      </c>
      <c r="H174" s="25"/>
    </row>
    <row r="175" spans="1:8" ht="14">
      <c r="A175" s="25" t="s">
        <v>579</v>
      </c>
      <c r="B175" s="26" t="s">
        <v>38</v>
      </c>
      <c r="C175" s="25" t="str">
        <f t="shared" si="2"/>
        <v>snb19</v>
      </c>
      <c r="D175" s="25" t="s">
        <v>579</v>
      </c>
      <c r="E175" s="25" t="s">
        <v>580</v>
      </c>
      <c r="F175" s="25" t="s">
        <v>564</v>
      </c>
      <c r="G175" s="25">
        <v>500</v>
      </c>
      <c r="H175" s="25"/>
    </row>
    <row r="176" spans="1:8" ht="14">
      <c r="A176" s="25" t="s">
        <v>581</v>
      </c>
      <c r="B176" s="26" t="s">
        <v>38</v>
      </c>
      <c r="C176" s="25" t="str">
        <f t="shared" si="2"/>
        <v>snb75</v>
      </c>
      <c r="D176" s="25" t="s">
        <v>581</v>
      </c>
      <c r="E176" s="25" t="s">
        <v>582</v>
      </c>
      <c r="F176" s="25" t="s">
        <v>564</v>
      </c>
      <c r="G176" s="25">
        <v>500</v>
      </c>
      <c r="H176" s="25"/>
    </row>
    <row r="177" spans="1:8" ht="14">
      <c r="A177" s="25" t="s">
        <v>583</v>
      </c>
      <c r="B177" s="26" t="s">
        <v>38</v>
      </c>
      <c r="C177" s="25" t="str">
        <f t="shared" si="2"/>
        <v>sr</v>
      </c>
      <c r="D177" s="25" t="s">
        <v>583</v>
      </c>
      <c r="E177" s="25" t="s">
        <v>584</v>
      </c>
      <c r="F177" s="25" t="s">
        <v>448</v>
      </c>
      <c r="G177" s="25">
        <v>500</v>
      </c>
      <c r="H177" s="25"/>
    </row>
    <row r="178" spans="1:8" ht="14">
      <c r="A178" s="25" t="s">
        <v>585</v>
      </c>
      <c r="B178" s="26" t="s">
        <v>38</v>
      </c>
      <c r="C178" s="25" t="str">
        <f t="shared" si="2"/>
        <v>sw620</v>
      </c>
      <c r="D178" s="25" t="s">
        <v>585</v>
      </c>
      <c r="E178" s="25" t="s">
        <v>586</v>
      </c>
      <c r="F178" s="25" t="s">
        <v>445</v>
      </c>
      <c r="G178" s="25">
        <v>500</v>
      </c>
      <c r="H178" s="25"/>
    </row>
    <row r="179" spans="1:8" ht="14">
      <c r="A179" s="25" t="s">
        <v>587</v>
      </c>
      <c r="B179" s="26" t="s">
        <v>38</v>
      </c>
      <c r="C179" s="25" t="str">
        <f t="shared" si="2"/>
        <v>t47d</v>
      </c>
      <c r="D179" s="25" t="s">
        <v>587</v>
      </c>
      <c r="E179" s="25" t="s">
        <v>588</v>
      </c>
      <c r="F179" s="25" t="s">
        <v>437</v>
      </c>
      <c r="G179" s="25">
        <v>500</v>
      </c>
      <c r="H179" s="25"/>
    </row>
    <row r="180" spans="1:8" ht="14">
      <c r="A180" s="25" t="s">
        <v>589</v>
      </c>
      <c r="B180" s="26" t="s">
        <v>38</v>
      </c>
      <c r="C180" s="25" t="str">
        <f t="shared" si="2"/>
        <v>thp1</v>
      </c>
      <c r="D180" s="25" t="s">
        <v>589</v>
      </c>
      <c r="E180" s="25" t="s">
        <v>590</v>
      </c>
      <c r="F180" s="25" t="s">
        <v>591</v>
      </c>
      <c r="G180" s="25">
        <v>500</v>
      </c>
      <c r="H180" s="25"/>
    </row>
    <row r="181" spans="1:8" ht="14">
      <c r="A181" s="25" t="s">
        <v>592</v>
      </c>
      <c r="B181" s="26" t="s">
        <v>38</v>
      </c>
      <c r="C181" s="25" t="str">
        <f t="shared" si="2"/>
        <v>tk10</v>
      </c>
      <c r="D181" s="25" t="s">
        <v>592</v>
      </c>
      <c r="E181" s="25" t="s">
        <v>593</v>
      </c>
      <c r="F181" s="25" t="s">
        <v>422</v>
      </c>
      <c r="G181" s="25">
        <v>500</v>
      </c>
      <c r="H181" s="25"/>
    </row>
    <row r="182" spans="1:8" ht="14">
      <c r="A182" s="25" t="s">
        <v>594</v>
      </c>
      <c r="B182" s="26" t="s">
        <v>38</v>
      </c>
      <c r="C182" s="25" t="str">
        <f t="shared" si="2"/>
        <v>u251</v>
      </c>
      <c r="D182" s="25" t="s">
        <v>594</v>
      </c>
      <c r="E182" s="25" t="s">
        <v>595</v>
      </c>
      <c r="F182" s="25" t="s">
        <v>564</v>
      </c>
      <c r="G182" s="25">
        <v>500</v>
      </c>
      <c r="H182" s="25"/>
    </row>
    <row r="183" spans="1:8" ht="14">
      <c r="A183" s="25" t="s">
        <v>596</v>
      </c>
      <c r="B183" s="26" t="s">
        <v>38</v>
      </c>
      <c r="C183" s="25" t="str">
        <f t="shared" si="2"/>
        <v>u937</v>
      </c>
      <c r="D183" s="25" t="s">
        <v>596</v>
      </c>
      <c r="E183" s="25" t="s">
        <v>597</v>
      </c>
      <c r="F183" s="25" t="s">
        <v>598</v>
      </c>
      <c r="G183" s="25">
        <v>500</v>
      </c>
      <c r="H183" s="25"/>
    </row>
    <row r="184" spans="1:8" ht="14">
      <c r="A184" s="25" t="s">
        <v>599</v>
      </c>
      <c r="B184" s="26" t="s">
        <v>38</v>
      </c>
      <c r="C184" s="25" t="str">
        <f t="shared" si="2"/>
        <v>uacc257</v>
      </c>
      <c r="D184" s="25" t="s">
        <v>599</v>
      </c>
      <c r="E184" s="25" t="s">
        <v>600</v>
      </c>
      <c r="F184" s="25" t="s">
        <v>501</v>
      </c>
      <c r="G184" s="25">
        <v>500</v>
      </c>
      <c r="H184" s="25"/>
    </row>
    <row r="185" spans="1:8" ht="14">
      <c r="A185" s="25" t="s">
        <v>601</v>
      </c>
      <c r="B185" s="26" t="s">
        <v>38</v>
      </c>
      <c r="C185" s="25" t="str">
        <f t="shared" si="2"/>
        <v>uacc62</v>
      </c>
      <c r="D185" s="25" t="s">
        <v>601</v>
      </c>
      <c r="E185" s="25" t="s">
        <v>602</v>
      </c>
      <c r="F185" s="25" t="s">
        <v>501</v>
      </c>
      <c r="G185" s="25">
        <v>500</v>
      </c>
      <c r="H185" s="25"/>
    </row>
    <row r="186" spans="1:8" ht="14">
      <c r="A186" s="25" t="s">
        <v>603</v>
      </c>
      <c r="B186" s="26" t="s">
        <v>38</v>
      </c>
      <c r="C186" s="25" t="str">
        <f t="shared" si="2"/>
        <v>uo31</v>
      </c>
      <c r="D186" s="25" t="s">
        <v>603</v>
      </c>
      <c r="E186" s="25" t="s">
        <v>604</v>
      </c>
      <c r="F186" s="25" t="s">
        <v>422</v>
      </c>
      <c r="G186" s="25">
        <v>500</v>
      </c>
      <c r="H186" s="25"/>
    </row>
    <row r="187" spans="1:8" ht="14">
      <c r="A187" s="25" t="s">
        <v>605</v>
      </c>
      <c r="B187" s="26" t="s">
        <v>38</v>
      </c>
      <c r="C187" s="25" t="str">
        <f t="shared" si="2"/>
        <v>z138</v>
      </c>
      <c r="D187" s="25" t="s">
        <v>605</v>
      </c>
      <c r="E187" s="25" t="s">
        <v>606</v>
      </c>
      <c r="F187" s="25" t="s">
        <v>487</v>
      </c>
      <c r="G187" s="25">
        <v>500</v>
      </c>
      <c r="H187" s="25"/>
    </row>
    <row r="188" spans="1:8" ht="14">
      <c r="A188" s="25" t="s">
        <v>3104</v>
      </c>
      <c r="B188" s="26" t="s">
        <v>38</v>
      </c>
      <c r="C188" s="25" t="str">
        <f t="shared" si="2"/>
        <v>bv2</v>
      </c>
      <c r="D188" s="25" t="s">
        <v>3104</v>
      </c>
      <c r="E188" s="25" t="s">
        <v>3102</v>
      </c>
      <c r="F188" s="28" t="s">
        <v>3103</v>
      </c>
      <c r="G188" s="25">
        <v>500</v>
      </c>
      <c r="H188" s="25"/>
    </row>
    <row r="189" spans="1:8" ht="14">
      <c r="A189" s="25" t="s">
        <v>610</v>
      </c>
      <c r="B189" s="26" t="s">
        <v>48</v>
      </c>
      <c r="C189" s="25" t="str">
        <f t="shared" ref="C189:C252" si="3">A189</f>
        <v>c18</v>
      </c>
      <c r="D189" s="27" t="s">
        <v>13</v>
      </c>
      <c r="E189" s="25" t="s">
        <v>4450</v>
      </c>
      <c r="F189" s="25" t="s">
        <v>611</v>
      </c>
      <c r="G189" s="25">
        <v>500</v>
      </c>
      <c r="H189" s="25"/>
    </row>
    <row r="190" spans="1:8" ht="14">
      <c r="A190" s="25" t="s">
        <v>612</v>
      </c>
      <c r="B190" s="26" t="s">
        <v>48</v>
      </c>
      <c r="C190" s="25" t="str">
        <f t="shared" si="3"/>
        <v>c8</v>
      </c>
      <c r="D190" s="27" t="s">
        <v>13</v>
      </c>
      <c r="E190" s="25" t="s">
        <v>4451</v>
      </c>
      <c r="F190" s="25" t="s">
        <v>613</v>
      </c>
      <c r="G190" s="25">
        <v>500</v>
      </c>
      <c r="H190" s="25"/>
    </row>
    <row r="191" spans="1:8" ht="14">
      <c r="A191" s="25" t="s">
        <v>614</v>
      </c>
      <c r="B191" s="26" t="s">
        <v>45</v>
      </c>
      <c r="C191" s="25" t="str">
        <f t="shared" si="3"/>
        <v>aurora</v>
      </c>
      <c r="D191" s="27" t="s">
        <v>13</v>
      </c>
      <c r="E191" s="25" t="s">
        <v>2718</v>
      </c>
      <c r="F191" s="25" t="s">
        <v>2719</v>
      </c>
      <c r="G191" s="25">
        <v>500</v>
      </c>
      <c r="H191" s="25"/>
    </row>
    <row r="192" spans="1:8" ht="14">
      <c r="A192" s="25" t="s">
        <v>617</v>
      </c>
      <c r="B192" s="26" t="s">
        <v>45</v>
      </c>
      <c r="C192" s="25" t="str">
        <f t="shared" si="3"/>
        <v>easyspray</v>
      </c>
      <c r="D192" s="27" t="s">
        <v>13</v>
      </c>
      <c r="E192" s="25" t="s">
        <v>618</v>
      </c>
      <c r="F192" s="25" t="s">
        <v>619</v>
      </c>
      <c r="G192" s="25">
        <v>500</v>
      </c>
      <c r="H192" s="25"/>
    </row>
    <row r="193" spans="1:8" ht="14">
      <c r="A193" s="25" t="s">
        <v>620</v>
      </c>
      <c r="B193" s="26" t="s">
        <v>45</v>
      </c>
      <c r="C193" s="25" t="str">
        <f t="shared" si="3"/>
        <v>inhouse</v>
      </c>
      <c r="D193" s="27" t="s">
        <v>13</v>
      </c>
      <c r="E193" s="25" t="s">
        <v>621</v>
      </c>
      <c r="F193" s="25" t="s">
        <v>622</v>
      </c>
      <c r="G193" s="25">
        <v>500</v>
      </c>
      <c r="H193" s="25"/>
    </row>
    <row r="194" spans="1:8" ht="14">
      <c r="A194" s="25" t="s">
        <v>623</v>
      </c>
      <c r="B194" s="26" t="s">
        <v>45</v>
      </c>
      <c r="C194" s="25" t="str">
        <f t="shared" si="3"/>
        <v>upac_doubleviper</v>
      </c>
      <c r="D194" s="27" t="s">
        <v>13</v>
      </c>
      <c r="E194" s="25" t="s">
        <v>624</v>
      </c>
      <c r="F194" s="25" t="s">
        <v>625</v>
      </c>
      <c r="G194" s="25">
        <v>500</v>
      </c>
      <c r="H194" s="25"/>
    </row>
    <row r="195" spans="1:8" ht="14">
      <c r="A195" s="25" t="s">
        <v>626</v>
      </c>
      <c r="B195" s="26" t="s">
        <v>45</v>
      </c>
      <c r="C195" s="25" t="str">
        <f t="shared" si="3"/>
        <v>upac_low_loadneo</v>
      </c>
      <c r="D195" s="27" t="s">
        <v>13</v>
      </c>
      <c r="E195" s="25" t="s">
        <v>627</v>
      </c>
      <c r="F195" s="25" t="s">
        <v>628</v>
      </c>
      <c r="G195" s="25">
        <v>500</v>
      </c>
      <c r="H195" s="25"/>
    </row>
    <row r="196" spans="1:8" ht="14">
      <c r="A196" s="25" t="s">
        <v>629</v>
      </c>
      <c r="B196" s="26" t="s">
        <v>45</v>
      </c>
      <c r="C196" s="25" t="str">
        <f t="shared" si="3"/>
        <v>upac_neo</v>
      </c>
      <c r="D196" s="27" t="s">
        <v>13</v>
      </c>
      <c r="E196" s="25" t="s">
        <v>630</v>
      </c>
      <c r="F196" s="25" t="s">
        <v>631</v>
      </c>
      <c r="G196" s="25">
        <v>500</v>
      </c>
      <c r="H196" s="25"/>
    </row>
    <row r="197" spans="1:8" ht="14">
      <c r="A197" s="25" t="s">
        <v>2982</v>
      </c>
      <c r="B197" s="26" t="s">
        <v>45</v>
      </c>
      <c r="C197" s="25" t="str">
        <f t="shared" si="3"/>
        <v>pepsep</v>
      </c>
      <c r="D197" s="27" t="s">
        <v>2982</v>
      </c>
      <c r="E197" s="25" t="s">
        <v>2983</v>
      </c>
      <c r="F197" s="25" t="s">
        <v>2984</v>
      </c>
      <c r="G197" s="25">
        <v>500</v>
      </c>
      <c r="H197" s="25"/>
    </row>
    <row r="198" spans="1:8" ht="14">
      <c r="A198" s="25" t="s">
        <v>2985</v>
      </c>
      <c r="B198" s="26" t="s">
        <v>45</v>
      </c>
      <c r="C198" s="25" t="str">
        <f t="shared" si="3"/>
        <v>pepsepultra</v>
      </c>
      <c r="D198" s="27" t="s">
        <v>2982</v>
      </c>
      <c r="E198" s="25" t="s">
        <v>2986</v>
      </c>
      <c r="F198" s="25" t="s">
        <v>2994</v>
      </c>
      <c r="G198" s="25">
        <v>500</v>
      </c>
      <c r="H198" s="25"/>
    </row>
    <row r="199" spans="1:8" ht="14">
      <c r="A199" s="25" t="s">
        <v>2987</v>
      </c>
      <c r="B199" s="26" t="s">
        <v>45</v>
      </c>
      <c r="C199" s="25" t="str">
        <f t="shared" si="3"/>
        <v>pepsepmax</v>
      </c>
      <c r="D199" s="27" t="s">
        <v>2982</v>
      </c>
      <c r="E199" s="25" t="s">
        <v>2988</v>
      </c>
      <c r="F199" s="25" t="s">
        <v>2993</v>
      </c>
      <c r="G199" s="25">
        <v>500</v>
      </c>
      <c r="H199" s="25"/>
    </row>
    <row r="200" spans="1:8" ht="14">
      <c r="A200" s="25" t="s">
        <v>2989</v>
      </c>
      <c r="B200" s="26" t="s">
        <v>45</v>
      </c>
      <c r="C200" s="25" t="str">
        <f t="shared" si="3"/>
        <v>pepsepmaxht</v>
      </c>
      <c r="D200" s="27" t="s">
        <v>2990</v>
      </c>
      <c r="E200" s="25" t="s">
        <v>2991</v>
      </c>
      <c r="F200" s="25" t="s">
        <v>2992</v>
      </c>
      <c r="G200" s="25">
        <v>500</v>
      </c>
      <c r="H200" s="25"/>
    </row>
    <row r="201" spans="1:8" ht="14">
      <c r="A201" s="25" t="s">
        <v>632</v>
      </c>
      <c r="B201" s="26" t="s">
        <v>51</v>
      </c>
      <c r="C201" s="25" t="str">
        <f t="shared" si="3"/>
        <v>5_fluorouracil</v>
      </c>
      <c r="D201" s="25" t="s">
        <v>633</v>
      </c>
      <c r="E201" s="25" t="s">
        <v>634</v>
      </c>
      <c r="F201" s="25" t="s">
        <v>635</v>
      </c>
      <c r="G201" s="25">
        <v>500</v>
      </c>
      <c r="H201" s="25"/>
    </row>
    <row r="202" spans="1:8" ht="14">
      <c r="A202" s="25" t="s">
        <v>636</v>
      </c>
      <c r="B202" s="26" t="s">
        <v>51</v>
      </c>
      <c r="C202" s="25" t="str">
        <f t="shared" si="3"/>
        <v>anisomycin</v>
      </c>
      <c r="D202" s="25" t="s">
        <v>636</v>
      </c>
      <c r="E202" s="25" t="s">
        <v>637</v>
      </c>
      <c r="F202" s="25" t="s">
        <v>637</v>
      </c>
      <c r="G202" s="25">
        <v>500</v>
      </c>
      <c r="H202" s="25"/>
    </row>
    <row r="203" spans="1:8" ht="14">
      <c r="A203" s="25" t="s">
        <v>4400</v>
      </c>
      <c r="B203" s="26" t="s">
        <v>51</v>
      </c>
      <c r="C203" s="25" t="s">
        <v>4400</v>
      </c>
      <c r="D203" s="25" t="s">
        <v>4400</v>
      </c>
      <c r="E203" s="25" t="s">
        <v>4399</v>
      </c>
      <c r="F203" s="25" t="s">
        <v>4401</v>
      </c>
      <c r="G203" s="25">
        <v>500</v>
      </c>
      <c r="H203" s="25"/>
    </row>
    <row r="204" spans="1:8" ht="14">
      <c r="A204" s="25" t="s">
        <v>638</v>
      </c>
      <c r="B204" s="26" t="s">
        <v>51</v>
      </c>
      <c r="C204" s="25" t="str">
        <f t="shared" si="3"/>
        <v>antimycin</v>
      </c>
      <c r="D204" s="25" t="s">
        <v>638</v>
      </c>
      <c r="E204" s="25" t="s">
        <v>639</v>
      </c>
      <c r="F204" s="25" t="s">
        <v>640</v>
      </c>
      <c r="G204" s="25">
        <v>500</v>
      </c>
      <c r="H204" s="25"/>
    </row>
    <row r="205" spans="1:8" ht="14">
      <c r="A205" s="25" t="s">
        <v>641</v>
      </c>
      <c r="B205" s="26" t="s">
        <v>51</v>
      </c>
      <c r="C205" s="25" t="str">
        <f t="shared" si="3"/>
        <v>atp</v>
      </c>
      <c r="D205" s="25" t="s">
        <v>641</v>
      </c>
      <c r="E205" s="25" t="s">
        <v>642</v>
      </c>
      <c r="F205" s="25" t="s">
        <v>643</v>
      </c>
      <c r="G205" s="25">
        <v>500</v>
      </c>
      <c r="H205" s="25"/>
    </row>
    <row r="206" spans="1:8" ht="14">
      <c r="A206" s="25" t="s">
        <v>644</v>
      </c>
      <c r="B206" s="26" t="s">
        <v>51</v>
      </c>
      <c r="C206" s="25" t="str">
        <f t="shared" si="3"/>
        <v>berzosertib</v>
      </c>
      <c r="D206" s="25" t="s">
        <v>644</v>
      </c>
      <c r="E206" s="25" t="s">
        <v>645</v>
      </c>
      <c r="F206" s="25" t="s">
        <v>645</v>
      </c>
      <c r="G206" s="25">
        <v>500</v>
      </c>
      <c r="H206" s="25"/>
    </row>
    <row r="207" spans="1:8" ht="14">
      <c r="A207" s="25" t="s">
        <v>646</v>
      </c>
      <c r="B207" s="26" t="s">
        <v>51</v>
      </c>
      <c r="C207" s="25" t="str">
        <f t="shared" si="3"/>
        <v>bortezomib</v>
      </c>
      <c r="D207" s="25" t="s">
        <v>646</v>
      </c>
      <c r="E207" s="25" t="s">
        <v>647</v>
      </c>
      <c r="F207" s="25" t="s">
        <v>647</v>
      </c>
      <c r="G207" s="25">
        <v>500</v>
      </c>
      <c r="H207" s="25"/>
    </row>
    <row r="208" spans="1:8" ht="14">
      <c r="A208" s="25" t="s">
        <v>648</v>
      </c>
      <c r="B208" s="26" t="s">
        <v>51</v>
      </c>
      <c r="C208" s="25" t="str">
        <f t="shared" si="3"/>
        <v>cccp</v>
      </c>
      <c r="D208" s="25" t="s">
        <v>648</v>
      </c>
      <c r="E208" s="25" t="s">
        <v>649</v>
      </c>
      <c r="F208" s="25" t="s">
        <v>650</v>
      </c>
      <c r="G208" s="25">
        <v>500</v>
      </c>
      <c r="H208" s="25"/>
    </row>
    <row r="209" spans="1:8" ht="14">
      <c r="A209" s="25" t="s">
        <v>651</v>
      </c>
      <c r="B209" s="26" t="s">
        <v>51</v>
      </c>
      <c r="C209" s="25" t="str">
        <f t="shared" si="3"/>
        <v>cycloheximide</v>
      </c>
      <c r="D209" s="25" t="s">
        <v>651</v>
      </c>
      <c r="E209" s="25" t="s">
        <v>652</v>
      </c>
      <c r="F209" s="25" t="s">
        <v>652</v>
      </c>
      <c r="G209" s="25">
        <v>500</v>
      </c>
      <c r="H209" s="25"/>
    </row>
    <row r="210" spans="1:8" ht="14">
      <c r="A210" s="25" t="s">
        <v>653</v>
      </c>
      <c r="B210" s="26" t="s">
        <v>51</v>
      </c>
      <c r="C210" s="25" t="str">
        <f t="shared" si="3"/>
        <v>dmso</v>
      </c>
      <c r="D210" s="25" t="s">
        <v>653</v>
      </c>
      <c r="E210" s="25" t="s">
        <v>654</v>
      </c>
      <c r="F210" s="25" t="s">
        <v>655</v>
      </c>
      <c r="G210" s="25">
        <v>500</v>
      </c>
      <c r="H210" s="25"/>
    </row>
    <row r="211" spans="1:8" ht="14">
      <c r="A211" s="25" t="s">
        <v>656</v>
      </c>
      <c r="B211" s="26" t="s">
        <v>51</v>
      </c>
      <c r="C211" s="25" t="str">
        <f t="shared" si="3"/>
        <v>doxorubicin</v>
      </c>
      <c r="D211" s="25" t="s">
        <v>656</v>
      </c>
      <c r="E211" s="25" t="s">
        <v>657</v>
      </c>
      <c r="F211" s="25" t="s">
        <v>658</v>
      </c>
      <c r="G211" s="25">
        <v>500</v>
      </c>
      <c r="H211" s="25"/>
    </row>
    <row r="212" spans="1:8" ht="14">
      <c r="A212" s="25" t="s">
        <v>659</v>
      </c>
      <c r="B212" s="26" t="s">
        <v>51</v>
      </c>
      <c r="C212" s="25" t="str">
        <f t="shared" si="3"/>
        <v>doxycycline</v>
      </c>
      <c r="D212" s="25" t="s">
        <v>659</v>
      </c>
      <c r="E212" s="25" t="s">
        <v>660</v>
      </c>
      <c r="F212" s="25" t="s">
        <v>661</v>
      </c>
      <c r="G212" s="25">
        <v>500</v>
      </c>
      <c r="H212" s="25"/>
    </row>
    <row r="213" spans="1:8" ht="14">
      <c r="A213" s="25" t="s">
        <v>2730</v>
      </c>
      <c r="B213" s="26" t="s">
        <v>51</v>
      </c>
      <c r="C213" s="25" t="str">
        <f t="shared" si="3"/>
        <v>epoximicin</v>
      </c>
      <c r="D213" s="25" t="s">
        <v>2729</v>
      </c>
      <c r="E213" s="25" t="s">
        <v>2728</v>
      </c>
      <c r="F213" s="25" t="s">
        <v>2731</v>
      </c>
      <c r="G213" s="25">
        <v>500</v>
      </c>
      <c r="H213" s="25"/>
    </row>
    <row r="214" spans="1:8" ht="14">
      <c r="A214" s="25" t="s">
        <v>662</v>
      </c>
      <c r="B214" s="26" t="s">
        <v>51</v>
      </c>
      <c r="C214" s="25" t="str">
        <f t="shared" si="3"/>
        <v>etoposide</v>
      </c>
      <c r="D214" s="25" t="s">
        <v>662</v>
      </c>
      <c r="E214" s="25" t="s">
        <v>663</v>
      </c>
      <c r="F214" s="25" t="s">
        <v>664</v>
      </c>
      <c r="G214" s="25">
        <v>500</v>
      </c>
      <c r="H214" s="25"/>
    </row>
    <row r="215" spans="1:8" ht="14">
      <c r="A215" s="25" t="s">
        <v>665</v>
      </c>
      <c r="B215" s="26" t="s">
        <v>51</v>
      </c>
      <c r="C215" s="25" t="str">
        <f t="shared" si="3"/>
        <v>fccp</v>
      </c>
      <c r="D215" s="25" t="s">
        <v>665</v>
      </c>
      <c r="E215" s="25" t="s">
        <v>666</v>
      </c>
      <c r="F215" s="25" t="s">
        <v>667</v>
      </c>
      <c r="G215" s="25">
        <v>500</v>
      </c>
      <c r="H215" s="25"/>
    </row>
    <row r="216" spans="1:8" ht="14">
      <c r="A216" s="25" t="s">
        <v>668</v>
      </c>
      <c r="B216" s="26" t="s">
        <v>51</v>
      </c>
      <c r="C216" s="25" t="str">
        <f t="shared" si="3"/>
        <v>h2o</v>
      </c>
      <c r="D216" s="25" t="s">
        <v>668</v>
      </c>
      <c r="E216" s="25" t="s">
        <v>669</v>
      </c>
      <c r="F216" s="25" t="s">
        <v>670</v>
      </c>
      <c r="G216" s="25">
        <v>500</v>
      </c>
      <c r="H216" s="25"/>
    </row>
    <row r="217" spans="1:8" ht="14">
      <c r="A217" s="25" t="s">
        <v>2725</v>
      </c>
      <c r="B217" s="26" t="s">
        <v>51</v>
      </c>
      <c r="C217" s="25" t="str">
        <f t="shared" si="3"/>
        <v>h2o2</v>
      </c>
      <c r="D217" s="25" t="s">
        <v>2725</v>
      </c>
      <c r="E217" s="25" t="s">
        <v>2726</v>
      </c>
      <c r="F217" s="25" t="s">
        <v>2727</v>
      </c>
      <c r="G217" s="25">
        <v>500</v>
      </c>
      <c r="H217" s="25"/>
    </row>
    <row r="218" spans="1:8" ht="14">
      <c r="A218" s="25" t="s">
        <v>671</v>
      </c>
      <c r="B218" s="26" t="s">
        <v>51</v>
      </c>
      <c r="C218" s="25" t="str">
        <f t="shared" si="3"/>
        <v>hydroxyurea</v>
      </c>
      <c r="D218" s="25" t="s">
        <v>671</v>
      </c>
      <c r="E218" s="25" t="s">
        <v>672</v>
      </c>
      <c r="F218" s="25" t="s">
        <v>673</v>
      </c>
      <c r="G218" s="25">
        <v>500</v>
      </c>
      <c r="H218" s="25"/>
    </row>
    <row r="219" spans="1:8" ht="14">
      <c r="A219" s="25" t="s">
        <v>674</v>
      </c>
      <c r="B219" s="26" t="s">
        <v>51</v>
      </c>
      <c r="C219" s="25" t="str">
        <f t="shared" si="3"/>
        <v>oligomycin</v>
      </c>
      <c r="D219" s="25" t="s">
        <v>674</v>
      </c>
      <c r="E219" s="25" t="s">
        <v>675</v>
      </c>
      <c r="F219" s="25" t="s">
        <v>676</v>
      </c>
      <c r="G219" s="25">
        <v>500</v>
      </c>
      <c r="H219" s="25"/>
    </row>
    <row r="220" spans="1:8" ht="14">
      <c r="A220" s="25" t="s">
        <v>677</v>
      </c>
      <c r="B220" s="26" t="s">
        <v>51</v>
      </c>
      <c r="C220" s="25" t="str">
        <f t="shared" si="3"/>
        <v>rapamycin</v>
      </c>
      <c r="D220" s="25" t="s">
        <v>677</v>
      </c>
      <c r="E220" s="25" t="s">
        <v>678</v>
      </c>
      <c r="F220" s="25" t="s">
        <v>679</v>
      </c>
      <c r="G220" s="25">
        <v>500</v>
      </c>
      <c r="H220" s="25"/>
    </row>
    <row r="221" spans="1:8" ht="14">
      <c r="A221" s="25" t="s">
        <v>680</v>
      </c>
      <c r="B221" s="26" t="s">
        <v>51</v>
      </c>
      <c r="C221" s="25" t="str">
        <f t="shared" si="3"/>
        <v>rotenone</v>
      </c>
      <c r="D221" s="25" t="s">
        <v>680</v>
      </c>
      <c r="E221" s="25" t="s">
        <v>681</v>
      </c>
      <c r="F221" s="25" t="s">
        <v>682</v>
      </c>
      <c r="G221" s="25">
        <v>500</v>
      </c>
      <c r="H221" s="25"/>
    </row>
    <row r="222" spans="1:8" ht="14">
      <c r="A222" s="25" t="s">
        <v>683</v>
      </c>
      <c r="B222" s="26" t="s">
        <v>51</v>
      </c>
      <c r="C222" s="25" t="str">
        <f t="shared" si="3"/>
        <v>tamoxifen</v>
      </c>
      <c r="D222" s="25" t="s">
        <v>683</v>
      </c>
      <c r="E222" s="25" t="s">
        <v>684</v>
      </c>
      <c r="F222" s="25" t="s">
        <v>684</v>
      </c>
      <c r="G222" s="25">
        <v>500</v>
      </c>
      <c r="H222" s="25"/>
    </row>
    <row r="223" spans="1:8" ht="14">
      <c r="A223" s="25" t="s">
        <v>685</v>
      </c>
      <c r="B223" s="26" t="s">
        <v>51</v>
      </c>
      <c r="C223" s="25" t="str">
        <f t="shared" si="3"/>
        <v>torin</v>
      </c>
      <c r="D223" s="25" t="s">
        <v>685</v>
      </c>
      <c r="E223" s="25" t="s">
        <v>686</v>
      </c>
      <c r="F223" s="25" t="s">
        <v>687</v>
      </c>
      <c r="G223" s="25">
        <v>500</v>
      </c>
      <c r="H223" s="25"/>
    </row>
    <row r="224" spans="1:8" ht="14">
      <c r="A224" s="25" t="s">
        <v>688</v>
      </c>
      <c r="B224" s="26" t="s">
        <v>51</v>
      </c>
      <c r="C224" s="25" t="str">
        <f t="shared" si="3"/>
        <v>trametinib</v>
      </c>
      <c r="D224" s="25" t="s">
        <v>688</v>
      </c>
      <c r="E224" s="25" t="s">
        <v>689</v>
      </c>
      <c r="F224" s="25" t="s">
        <v>689</v>
      </c>
      <c r="G224" s="25">
        <v>500</v>
      </c>
      <c r="H224" s="25"/>
    </row>
    <row r="225" spans="1:8" ht="14">
      <c r="A225" s="25" t="s">
        <v>690</v>
      </c>
      <c r="B225" s="26" t="s">
        <v>51</v>
      </c>
      <c r="C225" s="25" t="str">
        <f t="shared" si="3"/>
        <v>unstimulated</v>
      </c>
      <c r="D225" s="25" t="s">
        <v>690</v>
      </c>
      <c r="E225" s="25" t="s">
        <v>691</v>
      </c>
      <c r="F225" s="25" t="s">
        <v>692</v>
      </c>
      <c r="G225" s="25">
        <v>500</v>
      </c>
      <c r="H225" s="25"/>
    </row>
    <row r="226" spans="1:8" ht="14">
      <c r="A226" s="25" t="s">
        <v>3120</v>
      </c>
      <c r="B226" s="26" t="s">
        <v>51</v>
      </c>
      <c r="C226" s="25" t="str">
        <f t="shared" si="3"/>
        <v>pbs</v>
      </c>
      <c r="D226" s="25" t="s">
        <v>3120</v>
      </c>
      <c r="E226" s="25" t="s">
        <v>3121</v>
      </c>
      <c r="F226" s="25" t="s">
        <v>3122</v>
      </c>
      <c r="G226" s="25">
        <v>500</v>
      </c>
      <c r="H226" s="25"/>
    </row>
    <row r="227" spans="1:8" ht="14">
      <c r="A227" s="25" t="s">
        <v>4402</v>
      </c>
      <c r="B227" s="26" t="s">
        <v>51</v>
      </c>
      <c r="C227" s="25" t="s">
        <v>4402</v>
      </c>
      <c r="D227" s="25" t="s">
        <v>4402</v>
      </c>
      <c r="E227" s="25" t="s">
        <v>4403</v>
      </c>
      <c r="F227" s="25" t="s">
        <v>4404</v>
      </c>
      <c r="G227" s="25">
        <v>500</v>
      </c>
      <c r="H227" s="25"/>
    </row>
    <row r="228" spans="1:8" ht="14">
      <c r="A228" s="25" t="s">
        <v>4453</v>
      </c>
      <c r="B228" s="26" t="s">
        <v>51</v>
      </c>
      <c r="C228" s="25" t="s">
        <v>4453</v>
      </c>
      <c r="D228" s="25" t="s">
        <v>4453</v>
      </c>
      <c r="E228" s="25" t="s">
        <v>4455</v>
      </c>
      <c r="F228" s="25" t="s">
        <v>4454</v>
      </c>
      <c r="G228" s="25">
        <v>550</v>
      </c>
      <c r="H228" s="25"/>
    </row>
    <row r="229" spans="1:8" ht="14">
      <c r="A229" s="25" t="s">
        <v>693</v>
      </c>
      <c r="B229" s="26" t="s">
        <v>51</v>
      </c>
      <c r="C229" s="25" t="str">
        <f t="shared" si="3"/>
        <v>microenvironment</v>
      </c>
      <c r="D229" s="27" t="s">
        <v>13</v>
      </c>
      <c r="E229" s="25" t="s">
        <v>693</v>
      </c>
      <c r="F229" s="25" t="s">
        <v>693</v>
      </c>
      <c r="G229" s="25">
        <v>500</v>
      </c>
      <c r="H229" s="25"/>
    </row>
    <row r="230" spans="1:8" ht="14">
      <c r="A230" s="25" t="s">
        <v>694</v>
      </c>
      <c r="B230" s="26" t="s">
        <v>53</v>
      </c>
      <c r="C230" s="25" t="str">
        <f t="shared" si="3"/>
        <v>egs</v>
      </c>
      <c r="D230" s="27" t="s">
        <v>13</v>
      </c>
      <c r="E230" s="25" t="s">
        <v>695</v>
      </c>
      <c r="F230" s="25" t="s">
        <v>696</v>
      </c>
      <c r="G230" s="25">
        <v>500</v>
      </c>
      <c r="H230" s="25"/>
    </row>
    <row r="231" spans="1:8" ht="14">
      <c r="A231" s="25" t="s">
        <v>697</v>
      </c>
      <c r="B231" s="26" t="s">
        <v>53</v>
      </c>
      <c r="C231" s="25" t="str">
        <f t="shared" si="3"/>
        <v>suflo_egs</v>
      </c>
      <c r="D231" s="27" t="s">
        <v>13</v>
      </c>
      <c r="E231" s="25" t="s">
        <v>698</v>
      </c>
      <c r="F231" s="25" t="s">
        <v>699</v>
      </c>
      <c r="G231" s="25">
        <v>500</v>
      </c>
      <c r="H231" s="25"/>
    </row>
    <row r="232" spans="1:8" ht="14">
      <c r="A232" s="25" t="s">
        <v>700</v>
      </c>
      <c r="B232" s="26" t="s">
        <v>56</v>
      </c>
      <c r="C232" s="25" t="str">
        <f t="shared" si="3"/>
        <v>dsbu</v>
      </c>
      <c r="D232" s="27" t="s">
        <v>13</v>
      </c>
      <c r="E232" s="25" t="s">
        <v>701</v>
      </c>
      <c r="F232" s="25" t="s">
        <v>702</v>
      </c>
      <c r="G232" s="25">
        <v>500</v>
      </c>
      <c r="H232" s="25"/>
    </row>
    <row r="233" spans="1:8" ht="14">
      <c r="A233" s="25" t="s">
        <v>703</v>
      </c>
      <c r="B233" s="26" t="s">
        <v>56</v>
      </c>
      <c r="C233" s="25" t="str">
        <f t="shared" si="3"/>
        <v>dsso</v>
      </c>
      <c r="D233" s="27" t="s">
        <v>13</v>
      </c>
      <c r="E233" s="25" t="s">
        <v>704</v>
      </c>
      <c r="F233" s="25" t="s">
        <v>705</v>
      </c>
      <c r="G233" s="25">
        <v>500</v>
      </c>
      <c r="H233" s="25"/>
    </row>
    <row r="234" spans="1:8" ht="14">
      <c r="A234" s="25" t="s">
        <v>706</v>
      </c>
      <c r="B234" s="26" t="s">
        <v>58</v>
      </c>
      <c r="C234" s="25" t="str">
        <f t="shared" si="3"/>
        <v>amas</v>
      </c>
      <c r="D234" s="27" t="s">
        <v>13</v>
      </c>
      <c r="E234" s="25" t="s">
        <v>707</v>
      </c>
      <c r="F234" s="25" t="s">
        <v>708</v>
      </c>
      <c r="G234" s="25">
        <v>500</v>
      </c>
      <c r="H234" s="25"/>
    </row>
    <row r="235" spans="1:8" ht="14">
      <c r="A235" s="25" t="s">
        <v>709</v>
      </c>
      <c r="B235" s="26" t="s">
        <v>58</v>
      </c>
      <c r="C235" s="25" t="str">
        <f t="shared" si="3"/>
        <v>bm_peg_3</v>
      </c>
      <c r="D235" s="27" t="s">
        <v>13</v>
      </c>
      <c r="E235" s="25" t="s">
        <v>710</v>
      </c>
      <c r="F235" s="25" t="s">
        <v>711</v>
      </c>
      <c r="G235" s="25">
        <v>500</v>
      </c>
      <c r="H235" s="25"/>
    </row>
    <row r="236" spans="1:8" ht="14">
      <c r="A236" s="25" t="s">
        <v>712</v>
      </c>
      <c r="B236" s="26" t="s">
        <v>58</v>
      </c>
      <c r="C236" s="25" t="str">
        <f t="shared" si="3"/>
        <v>bmb</v>
      </c>
      <c r="D236" s="27" t="s">
        <v>13</v>
      </c>
      <c r="E236" s="25" t="s">
        <v>713</v>
      </c>
      <c r="F236" s="25" t="s">
        <v>714</v>
      </c>
      <c r="G236" s="25">
        <v>500</v>
      </c>
      <c r="H236" s="25"/>
    </row>
    <row r="237" spans="1:8" ht="14">
      <c r="A237" s="25" t="s">
        <v>715</v>
      </c>
      <c r="B237" s="26" t="s">
        <v>58</v>
      </c>
      <c r="C237" s="25" t="str">
        <f t="shared" si="3"/>
        <v>bmh</v>
      </c>
      <c r="D237" s="27" t="s">
        <v>13</v>
      </c>
      <c r="E237" s="25" t="s">
        <v>716</v>
      </c>
      <c r="F237" s="25" t="s">
        <v>717</v>
      </c>
      <c r="G237" s="25">
        <v>500</v>
      </c>
      <c r="H237" s="25"/>
    </row>
    <row r="238" spans="1:8" ht="14">
      <c r="A238" s="25" t="s">
        <v>718</v>
      </c>
      <c r="B238" s="26" t="s">
        <v>58</v>
      </c>
      <c r="C238" s="25" t="str">
        <f t="shared" si="3"/>
        <v>bmoe</v>
      </c>
      <c r="D238" s="27" t="s">
        <v>13</v>
      </c>
      <c r="E238" s="25" t="s">
        <v>719</v>
      </c>
      <c r="F238" s="25" t="s">
        <v>720</v>
      </c>
      <c r="G238" s="25">
        <v>500</v>
      </c>
      <c r="H238" s="25"/>
    </row>
    <row r="239" spans="1:8" ht="14">
      <c r="A239" s="25" t="s">
        <v>721</v>
      </c>
      <c r="B239" s="26" t="s">
        <v>58</v>
      </c>
      <c r="C239" s="25" t="str">
        <f t="shared" si="3"/>
        <v>bmph</v>
      </c>
      <c r="D239" s="27" t="s">
        <v>13</v>
      </c>
      <c r="E239" s="25" t="s">
        <v>722</v>
      </c>
      <c r="F239" s="25" t="s">
        <v>723</v>
      </c>
      <c r="G239" s="25">
        <v>500</v>
      </c>
      <c r="H239" s="25"/>
    </row>
    <row r="240" spans="1:8" ht="14">
      <c r="A240" s="25" t="s">
        <v>724</v>
      </c>
      <c r="B240" s="26" t="s">
        <v>58</v>
      </c>
      <c r="C240" s="25" t="str">
        <f t="shared" si="3"/>
        <v>bmps</v>
      </c>
      <c r="D240" s="27" t="s">
        <v>13</v>
      </c>
      <c r="E240" s="25" t="s">
        <v>725</v>
      </c>
      <c r="F240" s="25" t="s">
        <v>726</v>
      </c>
      <c r="G240" s="25">
        <v>500</v>
      </c>
      <c r="H240" s="25"/>
    </row>
    <row r="241" spans="1:8" ht="14">
      <c r="A241" s="25" t="s">
        <v>727</v>
      </c>
      <c r="B241" s="26" t="s">
        <v>58</v>
      </c>
      <c r="C241" s="25" t="str">
        <f t="shared" si="3"/>
        <v>bs_peg_5</v>
      </c>
      <c r="D241" s="27" t="s">
        <v>13</v>
      </c>
      <c r="E241" s="25" t="s">
        <v>728</v>
      </c>
      <c r="F241" s="25" t="s">
        <v>729</v>
      </c>
      <c r="G241" s="25">
        <v>500</v>
      </c>
      <c r="H241" s="25"/>
    </row>
    <row r="242" spans="1:8" ht="14">
      <c r="A242" s="25" t="s">
        <v>730</v>
      </c>
      <c r="B242" s="26" t="s">
        <v>58</v>
      </c>
      <c r="C242" s="25" t="str">
        <f t="shared" si="3"/>
        <v>bs_peg_9</v>
      </c>
      <c r="D242" s="27" t="s">
        <v>13</v>
      </c>
      <c r="E242" s="25" t="s">
        <v>731</v>
      </c>
      <c r="F242" s="25" t="s">
        <v>732</v>
      </c>
      <c r="G242" s="25">
        <v>500</v>
      </c>
      <c r="H242" s="25"/>
    </row>
    <row r="243" spans="1:8" ht="14">
      <c r="A243" s="25" t="s">
        <v>733</v>
      </c>
      <c r="B243" s="26" t="s">
        <v>58</v>
      </c>
      <c r="C243" s="25" t="str">
        <f t="shared" si="3"/>
        <v>bs2g_d0</v>
      </c>
      <c r="D243" s="27" t="s">
        <v>13</v>
      </c>
      <c r="E243" s="25" t="s">
        <v>734</v>
      </c>
      <c r="F243" s="25" t="s">
        <v>735</v>
      </c>
      <c r="G243" s="25">
        <v>500</v>
      </c>
      <c r="H243" s="25"/>
    </row>
    <row r="244" spans="1:8" ht="14">
      <c r="A244" s="25" t="s">
        <v>736</v>
      </c>
      <c r="B244" s="26" t="s">
        <v>58</v>
      </c>
      <c r="C244" s="25" t="str">
        <f t="shared" si="3"/>
        <v>bs3</v>
      </c>
      <c r="D244" s="27" t="s">
        <v>13</v>
      </c>
      <c r="E244" s="25" t="s">
        <v>737</v>
      </c>
      <c r="F244" s="25" t="s">
        <v>738</v>
      </c>
      <c r="G244" s="25">
        <v>500</v>
      </c>
      <c r="H244" s="25"/>
    </row>
    <row r="245" spans="1:8" ht="10.5" customHeight="1">
      <c r="A245" s="25" t="s">
        <v>739</v>
      </c>
      <c r="B245" s="26" t="s">
        <v>58</v>
      </c>
      <c r="C245" s="25" t="str">
        <f t="shared" si="3"/>
        <v>bs3_d0</v>
      </c>
      <c r="D245" s="27" t="s">
        <v>13</v>
      </c>
      <c r="E245" s="25" t="s">
        <v>740</v>
      </c>
      <c r="F245" s="25" t="s">
        <v>741</v>
      </c>
      <c r="G245" s="25">
        <v>500</v>
      </c>
      <c r="H245" s="25"/>
    </row>
    <row r="246" spans="1:8" ht="14">
      <c r="A246" s="25" t="s">
        <v>742</v>
      </c>
      <c r="B246" s="26" t="s">
        <v>58</v>
      </c>
      <c r="C246" s="25" t="str">
        <f t="shared" si="3"/>
        <v>bs3_d4</v>
      </c>
      <c r="D246" s="27" t="s">
        <v>13</v>
      </c>
      <c r="E246" s="25" t="s">
        <v>743</v>
      </c>
      <c r="F246" s="25" t="s">
        <v>741</v>
      </c>
      <c r="G246" s="25">
        <v>500</v>
      </c>
      <c r="H246" s="25"/>
    </row>
    <row r="247" spans="1:8" ht="14">
      <c r="A247" s="25" t="s">
        <v>744</v>
      </c>
      <c r="B247" s="26" t="s">
        <v>58</v>
      </c>
      <c r="C247" s="25" t="str">
        <f t="shared" si="3"/>
        <v>dmp</v>
      </c>
      <c r="D247" s="27" t="s">
        <v>13</v>
      </c>
      <c r="E247" s="25" t="s">
        <v>745</v>
      </c>
      <c r="F247" s="25" t="s">
        <v>746</v>
      </c>
      <c r="G247" s="25">
        <v>500</v>
      </c>
      <c r="H247" s="25"/>
    </row>
    <row r="248" spans="1:8" ht="14">
      <c r="A248" s="25" t="s">
        <v>747</v>
      </c>
      <c r="B248" s="26" t="s">
        <v>58</v>
      </c>
      <c r="C248" s="25" t="str">
        <f t="shared" si="3"/>
        <v>dms</v>
      </c>
      <c r="D248" s="27" t="s">
        <v>13</v>
      </c>
      <c r="E248" s="25" t="s">
        <v>748</v>
      </c>
      <c r="F248" s="25" t="s">
        <v>749</v>
      </c>
      <c r="G248" s="25">
        <v>500</v>
      </c>
      <c r="H248" s="25"/>
    </row>
    <row r="249" spans="1:8" ht="14">
      <c r="A249" s="25" t="s">
        <v>750</v>
      </c>
      <c r="B249" s="26" t="s">
        <v>58</v>
      </c>
      <c r="C249" s="25" t="str">
        <f t="shared" si="3"/>
        <v>dss</v>
      </c>
      <c r="D249" s="27" t="s">
        <v>13</v>
      </c>
      <c r="E249" s="25" t="s">
        <v>751</v>
      </c>
      <c r="F249" s="25" t="s">
        <v>752</v>
      </c>
      <c r="G249" s="25">
        <v>500</v>
      </c>
      <c r="H249" s="25"/>
    </row>
    <row r="250" spans="1:8" ht="14">
      <c r="A250" s="25" t="s">
        <v>753</v>
      </c>
      <c r="B250" s="26" t="s">
        <v>58</v>
      </c>
      <c r="C250" s="25" t="str">
        <f t="shared" si="3"/>
        <v>edc</v>
      </c>
      <c r="D250" s="27" t="s">
        <v>13</v>
      </c>
      <c r="E250" s="25" t="s">
        <v>754</v>
      </c>
      <c r="F250" s="25" t="s">
        <v>755</v>
      </c>
      <c r="G250" s="25">
        <v>500</v>
      </c>
      <c r="H250" s="25"/>
    </row>
    <row r="251" spans="1:8" ht="14">
      <c r="A251" s="25" t="s">
        <v>756</v>
      </c>
      <c r="B251" s="26" t="s">
        <v>58</v>
      </c>
      <c r="C251" s="25" t="str">
        <f t="shared" si="3"/>
        <v>emch</v>
      </c>
      <c r="D251" s="27" t="s">
        <v>13</v>
      </c>
      <c r="E251" s="25" t="s">
        <v>757</v>
      </c>
      <c r="F251" s="25" t="s">
        <v>758</v>
      </c>
      <c r="G251" s="25">
        <v>500</v>
      </c>
      <c r="H251" s="25"/>
    </row>
    <row r="252" spans="1:8" ht="14">
      <c r="A252" s="25" t="s">
        <v>759</v>
      </c>
      <c r="B252" s="26" t="s">
        <v>58</v>
      </c>
      <c r="C252" s="25" t="str">
        <f t="shared" si="3"/>
        <v>emcs</v>
      </c>
      <c r="D252" s="27" t="s">
        <v>13</v>
      </c>
      <c r="E252" s="25" t="s">
        <v>760</v>
      </c>
      <c r="F252" s="25" t="s">
        <v>761</v>
      </c>
      <c r="G252" s="25">
        <v>500</v>
      </c>
      <c r="H252" s="25"/>
    </row>
    <row r="253" spans="1:8" ht="14">
      <c r="A253" s="25" t="s">
        <v>762</v>
      </c>
      <c r="B253" s="26" t="s">
        <v>58</v>
      </c>
      <c r="C253" s="25" t="str">
        <f t="shared" ref="C253:C316" si="4">A253</f>
        <v>gmbs</v>
      </c>
      <c r="D253" s="27" t="s">
        <v>13</v>
      </c>
      <c r="E253" s="25" t="s">
        <v>763</v>
      </c>
      <c r="F253" s="25" t="s">
        <v>764</v>
      </c>
      <c r="G253" s="25">
        <v>500</v>
      </c>
      <c r="H253" s="25"/>
    </row>
    <row r="254" spans="1:8" ht="14">
      <c r="A254" s="25" t="s">
        <v>765</v>
      </c>
      <c r="B254" s="26" t="s">
        <v>58</v>
      </c>
      <c r="C254" s="25" t="str">
        <f t="shared" si="4"/>
        <v>kmuh</v>
      </c>
      <c r="D254" s="27" t="s">
        <v>13</v>
      </c>
      <c r="E254" s="25" t="s">
        <v>766</v>
      </c>
      <c r="F254" s="25" t="s">
        <v>767</v>
      </c>
      <c r="G254" s="25">
        <v>500</v>
      </c>
      <c r="H254" s="25"/>
    </row>
    <row r="255" spans="1:8" ht="14">
      <c r="A255" s="25" t="s">
        <v>768</v>
      </c>
      <c r="B255" s="26" t="s">
        <v>58</v>
      </c>
      <c r="C255" s="25" t="str">
        <f t="shared" si="4"/>
        <v>l_photo_methionine</v>
      </c>
      <c r="D255" s="27" t="s">
        <v>13</v>
      </c>
      <c r="E255" s="25" t="s">
        <v>769</v>
      </c>
      <c r="F255" s="25" t="s">
        <v>770</v>
      </c>
      <c r="G255" s="25">
        <v>500</v>
      </c>
      <c r="H255" s="25"/>
    </row>
    <row r="256" spans="1:8" ht="14">
      <c r="A256" s="25" t="s">
        <v>771</v>
      </c>
      <c r="B256" s="26" t="s">
        <v>58</v>
      </c>
      <c r="C256" s="25" t="str">
        <f t="shared" si="4"/>
        <v>lc_smcc</v>
      </c>
      <c r="D256" s="27" t="s">
        <v>13</v>
      </c>
      <c r="E256" s="25" t="s">
        <v>772</v>
      </c>
      <c r="F256" s="25" t="s">
        <v>773</v>
      </c>
      <c r="G256" s="25">
        <v>500</v>
      </c>
      <c r="H256" s="25"/>
    </row>
    <row r="257" spans="1:8" ht="14">
      <c r="A257" s="25" t="s">
        <v>774</v>
      </c>
      <c r="B257" s="26" t="s">
        <v>58</v>
      </c>
      <c r="C257" s="25" t="str">
        <f t="shared" si="4"/>
        <v>maleimide_peg4_dbco</v>
      </c>
      <c r="D257" s="27" t="s">
        <v>13</v>
      </c>
      <c r="E257" s="25" t="s">
        <v>775</v>
      </c>
      <c r="F257" s="25" t="s">
        <v>776</v>
      </c>
      <c r="G257" s="25">
        <v>500</v>
      </c>
      <c r="H257" s="25"/>
    </row>
    <row r="258" spans="1:8" ht="14">
      <c r="A258" s="25" t="s">
        <v>777</v>
      </c>
      <c r="B258" s="26" t="s">
        <v>58</v>
      </c>
      <c r="C258" s="25" t="str">
        <f t="shared" si="4"/>
        <v>mpbh</v>
      </c>
      <c r="D258" s="27" t="s">
        <v>13</v>
      </c>
      <c r="E258" s="25" t="s">
        <v>778</v>
      </c>
      <c r="F258" s="25" t="s">
        <v>779</v>
      </c>
      <c r="G258" s="25">
        <v>500</v>
      </c>
      <c r="H258" s="25"/>
    </row>
    <row r="259" spans="1:8" ht="14">
      <c r="A259" s="25" t="s">
        <v>780</v>
      </c>
      <c r="B259" s="26" t="s">
        <v>58</v>
      </c>
      <c r="C259" s="25" t="str">
        <f t="shared" si="4"/>
        <v>nhs</v>
      </c>
      <c r="D259" s="27" t="s">
        <v>13</v>
      </c>
      <c r="E259" s="25" t="s">
        <v>781</v>
      </c>
      <c r="F259" s="25" t="s">
        <v>782</v>
      </c>
      <c r="G259" s="25">
        <v>500</v>
      </c>
      <c r="H259" s="25"/>
    </row>
    <row r="260" spans="1:8" ht="14">
      <c r="A260" s="25" t="s">
        <v>783</v>
      </c>
      <c r="B260" s="26" t="s">
        <v>58</v>
      </c>
      <c r="C260" s="25" t="str">
        <f t="shared" si="4"/>
        <v>nhs_azide</v>
      </c>
      <c r="D260" s="27" t="s">
        <v>13</v>
      </c>
      <c r="E260" s="25" t="s">
        <v>784</v>
      </c>
      <c r="F260" s="25" t="s">
        <v>785</v>
      </c>
      <c r="G260" s="25">
        <v>500</v>
      </c>
      <c r="H260" s="25"/>
    </row>
    <row r="261" spans="1:8" ht="14">
      <c r="A261" s="25" t="s">
        <v>786</v>
      </c>
      <c r="B261" s="26" t="s">
        <v>58</v>
      </c>
      <c r="C261" s="25" t="str">
        <f t="shared" si="4"/>
        <v>nhs_peg4_azide</v>
      </c>
      <c r="D261" s="27" t="s">
        <v>13</v>
      </c>
      <c r="E261" s="25" t="s">
        <v>787</v>
      </c>
      <c r="F261" s="25" t="s">
        <v>788</v>
      </c>
      <c r="G261" s="25">
        <v>500</v>
      </c>
      <c r="H261" s="25"/>
    </row>
    <row r="262" spans="1:8" ht="14">
      <c r="A262" s="25" t="s">
        <v>789</v>
      </c>
      <c r="B262" s="26" t="s">
        <v>58</v>
      </c>
      <c r="C262" s="25" t="str">
        <f t="shared" si="4"/>
        <v>nhs_phosphine</v>
      </c>
      <c r="D262" s="27" t="s">
        <v>13</v>
      </c>
      <c r="E262" s="25" t="s">
        <v>790</v>
      </c>
      <c r="F262" s="25" t="s">
        <v>791</v>
      </c>
      <c r="G262" s="25">
        <v>500</v>
      </c>
      <c r="H262" s="25"/>
    </row>
    <row r="263" spans="1:8" ht="14">
      <c r="A263" s="25" t="s">
        <v>792</v>
      </c>
      <c r="B263" s="26" t="s">
        <v>58</v>
      </c>
      <c r="C263" s="25" t="str">
        <f t="shared" si="4"/>
        <v>pmpi</v>
      </c>
      <c r="D263" s="27" t="s">
        <v>13</v>
      </c>
      <c r="E263" s="25" t="s">
        <v>793</v>
      </c>
      <c r="F263" s="25" t="s">
        <v>794</v>
      </c>
      <c r="G263" s="25">
        <v>500</v>
      </c>
      <c r="H263" s="25"/>
    </row>
    <row r="264" spans="1:8" ht="14">
      <c r="A264" s="25" t="s">
        <v>795</v>
      </c>
      <c r="B264" s="26" t="s">
        <v>58</v>
      </c>
      <c r="C264" s="25" t="str">
        <f t="shared" si="4"/>
        <v>sbap</v>
      </c>
      <c r="D264" s="27" t="s">
        <v>13</v>
      </c>
      <c r="E264" s="25" t="s">
        <v>796</v>
      </c>
      <c r="F264" s="25" t="s">
        <v>797</v>
      </c>
      <c r="G264" s="25">
        <v>500</v>
      </c>
      <c r="H264" s="25"/>
    </row>
    <row r="265" spans="1:8" ht="14">
      <c r="A265" s="25" t="s">
        <v>798</v>
      </c>
      <c r="B265" s="26" t="s">
        <v>58</v>
      </c>
      <c r="C265" s="25" t="str">
        <f t="shared" si="4"/>
        <v>sda</v>
      </c>
      <c r="D265" s="27" t="s">
        <v>13</v>
      </c>
      <c r="E265" s="25" t="s">
        <v>799</v>
      </c>
      <c r="F265" s="25" t="s">
        <v>800</v>
      </c>
      <c r="G265" s="25">
        <v>500</v>
      </c>
      <c r="H265" s="25"/>
    </row>
    <row r="266" spans="1:8" ht="14">
      <c r="A266" s="25" t="s">
        <v>801</v>
      </c>
      <c r="B266" s="26" t="s">
        <v>58</v>
      </c>
      <c r="C266" s="25" t="str">
        <f t="shared" si="4"/>
        <v>sia</v>
      </c>
      <c r="D266" s="27" t="s">
        <v>13</v>
      </c>
      <c r="E266" s="25" t="s">
        <v>802</v>
      </c>
      <c r="F266" s="25" t="s">
        <v>803</v>
      </c>
      <c r="G266" s="25">
        <v>500</v>
      </c>
      <c r="H266" s="25"/>
    </row>
    <row r="267" spans="1:8" ht="14">
      <c r="A267" s="25" t="s">
        <v>804</v>
      </c>
      <c r="B267" s="26" t="s">
        <v>58</v>
      </c>
      <c r="C267" s="25" t="str">
        <f t="shared" si="4"/>
        <v>smpb</v>
      </c>
      <c r="D267" s="27" t="s">
        <v>13</v>
      </c>
      <c r="E267" s="25" t="s">
        <v>805</v>
      </c>
      <c r="F267" s="25" t="s">
        <v>806</v>
      </c>
      <c r="G267" s="25">
        <v>500</v>
      </c>
      <c r="H267" s="25"/>
    </row>
    <row r="268" spans="1:8" ht="14">
      <c r="A268" s="25" t="s">
        <v>807</v>
      </c>
      <c r="B268" s="26" t="s">
        <v>58</v>
      </c>
      <c r="C268" s="25" t="str">
        <f t="shared" si="4"/>
        <v>smph</v>
      </c>
      <c r="D268" s="27" t="s">
        <v>13</v>
      </c>
      <c r="E268" s="25" t="s">
        <v>808</v>
      </c>
      <c r="F268" s="25" t="s">
        <v>809</v>
      </c>
      <c r="G268" s="25">
        <v>500</v>
      </c>
      <c r="H268" s="25"/>
    </row>
    <row r="269" spans="1:8" ht="14">
      <c r="A269" s="25" t="s">
        <v>810</v>
      </c>
      <c r="B269" s="26" t="s">
        <v>58</v>
      </c>
      <c r="C269" s="25" t="str">
        <f t="shared" si="4"/>
        <v>spb</v>
      </c>
      <c r="D269" s="27" t="s">
        <v>13</v>
      </c>
      <c r="E269" s="25" t="s">
        <v>811</v>
      </c>
      <c r="F269" s="25" t="s">
        <v>812</v>
      </c>
      <c r="G269" s="25">
        <v>500</v>
      </c>
      <c r="H269" s="25"/>
    </row>
    <row r="270" spans="1:8" ht="14">
      <c r="A270" s="25" t="s">
        <v>813</v>
      </c>
      <c r="B270" s="26" t="s">
        <v>58</v>
      </c>
      <c r="C270" s="25" t="str">
        <f t="shared" si="4"/>
        <v>sulfo_emcs</v>
      </c>
      <c r="D270" s="27" t="s">
        <v>13</v>
      </c>
      <c r="E270" s="25" t="s">
        <v>814</v>
      </c>
      <c r="F270" s="25" t="s">
        <v>815</v>
      </c>
      <c r="G270" s="25">
        <v>500</v>
      </c>
      <c r="H270" s="25"/>
    </row>
    <row r="271" spans="1:8" ht="14">
      <c r="A271" s="25" t="s">
        <v>816</v>
      </c>
      <c r="B271" s="26" t="s">
        <v>58</v>
      </c>
      <c r="C271" s="25" t="str">
        <f t="shared" si="4"/>
        <v>sulfo_kmus</v>
      </c>
      <c r="D271" s="27" t="s">
        <v>13</v>
      </c>
      <c r="E271" s="25" t="s">
        <v>817</v>
      </c>
      <c r="F271" s="25" t="s">
        <v>818</v>
      </c>
      <c r="G271" s="25">
        <v>500</v>
      </c>
      <c r="H271" s="25"/>
    </row>
    <row r="272" spans="1:8" ht="14">
      <c r="A272" s="25" t="s">
        <v>819</v>
      </c>
      <c r="B272" s="26" t="s">
        <v>58</v>
      </c>
      <c r="C272" s="25" t="str">
        <f t="shared" si="4"/>
        <v>sulfo_lc_sda</v>
      </c>
      <c r="D272" s="27" t="s">
        <v>13</v>
      </c>
      <c r="E272" s="25" t="s">
        <v>820</v>
      </c>
      <c r="F272" s="25" t="s">
        <v>821</v>
      </c>
      <c r="G272" s="25">
        <v>500</v>
      </c>
      <c r="H272" s="25"/>
    </row>
    <row r="273" spans="1:8" ht="14">
      <c r="A273" s="25" t="s">
        <v>822</v>
      </c>
      <c r="B273" s="26" t="s">
        <v>58</v>
      </c>
      <c r="C273" s="25" t="str">
        <f t="shared" si="4"/>
        <v>sulfo_mbs</v>
      </c>
      <c r="D273" s="27" t="s">
        <v>13</v>
      </c>
      <c r="E273" s="25" t="s">
        <v>823</v>
      </c>
      <c r="F273" s="25" t="s">
        <v>824</v>
      </c>
      <c r="G273" s="25">
        <v>500</v>
      </c>
      <c r="H273" s="25"/>
    </row>
    <row r="274" spans="1:8" ht="14">
      <c r="A274" s="25" t="s">
        <v>825</v>
      </c>
      <c r="B274" s="26" t="s">
        <v>58</v>
      </c>
      <c r="C274" s="25" t="str">
        <f t="shared" si="4"/>
        <v>sulfo_sda</v>
      </c>
      <c r="D274" s="27" t="s">
        <v>13</v>
      </c>
      <c r="E274" s="25" t="s">
        <v>826</v>
      </c>
      <c r="F274" s="25" t="s">
        <v>827</v>
      </c>
      <c r="G274" s="25">
        <v>500</v>
      </c>
      <c r="H274" s="25"/>
    </row>
    <row r="275" spans="1:8" ht="14">
      <c r="A275" s="25" t="s">
        <v>828</v>
      </c>
      <c r="B275" s="26" t="s">
        <v>58</v>
      </c>
      <c r="C275" s="25" t="str">
        <f t="shared" si="4"/>
        <v>sulfo_siab</v>
      </c>
      <c r="D275" s="27" t="s">
        <v>13</v>
      </c>
      <c r="E275" s="25" t="s">
        <v>829</v>
      </c>
      <c r="F275" s="25" t="s">
        <v>830</v>
      </c>
      <c r="G275" s="25">
        <v>500</v>
      </c>
      <c r="H275" s="25"/>
    </row>
    <row r="276" spans="1:8" ht="14">
      <c r="A276" s="25" t="s">
        <v>831</v>
      </c>
      <c r="B276" s="26" t="s">
        <v>58</v>
      </c>
      <c r="C276" s="25" t="str">
        <f t="shared" si="4"/>
        <v>sulfo_smcc</v>
      </c>
      <c r="D276" s="27" t="s">
        <v>13</v>
      </c>
      <c r="E276" s="25" t="s">
        <v>832</v>
      </c>
      <c r="F276" s="25" t="s">
        <v>833</v>
      </c>
      <c r="G276" s="25">
        <v>500</v>
      </c>
      <c r="H276" s="25"/>
    </row>
    <row r="277" spans="1:8" ht="14">
      <c r="A277" s="25" t="s">
        <v>834</v>
      </c>
      <c r="B277" s="26" t="s">
        <v>58</v>
      </c>
      <c r="C277" s="25" t="str">
        <f t="shared" si="4"/>
        <v>sulfo_smpb</v>
      </c>
      <c r="D277" s="27" t="s">
        <v>13</v>
      </c>
      <c r="E277" s="25" t="s">
        <v>835</v>
      </c>
      <c r="F277" s="25" t="s">
        <v>836</v>
      </c>
      <c r="G277" s="25">
        <v>500</v>
      </c>
      <c r="H277" s="25"/>
    </row>
    <row r="278" spans="1:8" ht="14">
      <c r="A278" s="25" t="s">
        <v>837</v>
      </c>
      <c r="B278" s="26" t="s">
        <v>58</v>
      </c>
      <c r="C278" s="25" t="str">
        <f t="shared" si="4"/>
        <v>tbdspp</v>
      </c>
      <c r="D278" s="27" t="s">
        <v>13</v>
      </c>
      <c r="E278" s="25" t="s">
        <v>838</v>
      </c>
      <c r="F278" s="25" t="s">
        <v>839</v>
      </c>
      <c r="G278" s="25">
        <v>500</v>
      </c>
      <c r="H278" s="25"/>
    </row>
    <row r="279" spans="1:8" ht="14">
      <c r="A279" s="25" t="s">
        <v>840</v>
      </c>
      <c r="B279" s="26" t="s">
        <v>58</v>
      </c>
      <c r="C279" s="25" t="str">
        <f t="shared" si="4"/>
        <v>tfpester_peg12_dbco</v>
      </c>
      <c r="D279" s="27" t="s">
        <v>13</v>
      </c>
      <c r="E279" s="25" t="s">
        <v>841</v>
      </c>
      <c r="F279" s="25" t="s">
        <v>842</v>
      </c>
      <c r="G279" s="25">
        <v>500</v>
      </c>
      <c r="H279" s="25"/>
    </row>
    <row r="280" spans="1:8" ht="14">
      <c r="A280" s="25" t="s">
        <v>843</v>
      </c>
      <c r="B280" s="26" t="s">
        <v>58</v>
      </c>
      <c r="C280" s="25" t="str">
        <f t="shared" si="4"/>
        <v>tfpester_peg4_dbco</v>
      </c>
      <c r="D280" s="27" t="s">
        <v>13</v>
      </c>
      <c r="E280" s="25" t="s">
        <v>844</v>
      </c>
      <c r="F280" s="25" t="s">
        <v>845</v>
      </c>
      <c r="G280" s="25">
        <v>500</v>
      </c>
      <c r="H280" s="25"/>
    </row>
    <row r="281" spans="1:8" ht="14">
      <c r="A281" s="25" t="s">
        <v>846</v>
      </c>
      <c r="B281" s="26" t="s">
        <v>58</v>
      </c>
      <c r="C281" s="25" t="str">
        <f t="shared" si="4"/>
        <v>tmea</v>
      </c>
      <c r="D281" s="27" t="s">
        <v>13</v>
      </c>
      <c r="E281" s="25" t="s">
        <v>847</v>
      </c>
      <c r="F281" s="25" t="s">
        <v>848</v>
      </c>
      <c r="G281" s="25">
        <v>500</v>
      </c>
      <c r="H281" s="25"/>
    </row>
    <row r="282" spans="1:8" ht="14">
      <c r="A282" s="25" t="s">
        <v>849</v>
      </c>
      <c r="B282" s="26" t="s">
        <v>58</v>
      </c>
      <c r="C282" s="25" t="str">
        <f t="shared" si="4"/>
        <v>tsat</v>
      </c>
      <c r="D282" s="27" t="s">
        <v>13</v>
      </c>
      <c r="E282" s="25" t="s">
        <v>850</v>
      </c>
      <c r="F282" s="25" t="s">
        <v>851</v>
      </c>
      <c r="G282" s="25">
        <v>500</v>
      </c>
      <c r="H282" s="25"/>
    </row>
    <row r="283" spans="1:8" ht="14">
      <c r="A283" s="25" t="s">
        <v>852</v>
      </c>
      <c r="B283" s="26" t="s">
        <v>60</v>
      </c>
      <c r="C283" s="25" t="str">
        <f t="shared" si="4"/>
        <v>dsp</v>
      </c>
      <c r="D283" s="27" t="s">
        <v>13</v>
      </c>
      <c r="E283" s="25" t="s">
        <v>853</v>
      </c>
      <c r="F283" s="25" t="s">
        <v>854</v>
      </c>
      <c r="G283" s="25">
        <v>500</v>
      </c>
      <c r="H283" s="25"/>
    </row>
    <row r="284" spans="1:8" ht="14">
      <c r="A284" s="25" t="s">
        <v>855</v>
      </c>
      <c r="B284" s="26" t="s">
        <v>60</v>
      </c>
      <c r="C284" s="25" t="str">
        <f t="shared" si="4"/>
        <v>dtbp</v>
      </c>
      <c r="D284" s="27" t="s">
        <v>13</v>
      </c>
      <c r="E284" s="25" t="s">
        <v>856</v>
      </c>
      <c r="F284" s="25" t="s">
        <v>857</v>
      </c>
      <c r="G284" s="25">
        <v>500</v>
      </c>
      <c r="H284" s="25"/>
    </row>
    <row r="285" spans="1:8" ht="14">
      <c r="A285" s="25" t="s">
        <v>858</v>
      </c>
      <c r="B285" s="26" t="s">
        <v>60</v>
      </c>
      <c r="C285" s="25" t="str">
        <f t="shared" si="4"/>
        <v>dtme</v>
      </c>
      <c r="D285" s="27" t="s">
        <v>13</v>
      </c>
      <c r="E285" s="25" t="s">
        <v>859</v>
      </c>
      <c r="F285" s="25" t="s">
        <v>860</v>
      </c>
      <c r="G285" s="25">
        <v>500</v>
      </c>
      <c r="H285" s="25"/>
    </row>
    <row r="286" spans="1:8" ht="14">
      <c r="A286" s="25" t="s">
        <v>861</v>
      </c>
      <c r="B286" s="26" t="s">
        <v>60</v>
      </c>
      <c r="C286" s="25" t="str">
        <f t="shared" si="4"/>
        <v>dtssp</v>
      </c>
      <c r="D286" s="27" t="s">
        <v>13</v>
      </c>
      <c r="E286" s="25" t="s">
        <v>862</v>
      </c>
      <c r="F286" s="25" t="s">
        <v>863</v>
      </c>
      <c r="G286" s="25">
        <v>500</v>
      </c>
      <c r="H286" s="25"/>
    </row>
    <row r="287" spans="1:8" ht="14">
      <c r="A287" s="25" t="s">
        <v>864</v>
      </c>
      <c r="B287" s="26" t="s">
        <v>60</v>
      </c>
      <c r="C287" s="25" t="str">
        <f t="shared" si="4"/>
        <v>lc_spdp</v>
      </c>
      <c r="D287" s="27" t="s">
        <v>13</v>
      </c>
      <c r="E287" s="25" t="s">
        <v>865</v>
      </c>
      <c r="F287" s="25" t="s">
        <v>866</v>
      </c>
      <c r="G287" s="25">
        <v>500</v>
      </c>
      <c r="H287" s="25"/>
    </row>
    <row r="288" spans="1:8" ht="14">
      <c r="A288" s="25" t="s">
        <v>867</v>
      </c>
      <c r="B288" s="26" t="s">
        <v>60</v>
      </c>
      <c r="C288" s="25" t="str">
        <f t="shared" si="4"/>
        <v>pdph</v>
      </c>
      <c r="D288" s="27" t="s">
        <v>13</v>
      </c>
      <c r="E288" s="25" t="s">
        <v>868</v>
      </c>
      <c r="F288" s="25" t="s">
        <v>869</v>
      </c>
      <c r="G288" s="25">
        <v>500</v>
      </c>
      <c r="H288" s="25"/>
    </row>
    <row r="289" spans="1:8" ht="14">
      <c r="A289" s="25" t="s">
        <v>870</v>
      </c>
      <c r="B289" s="26" t="s">
        <v>60</v>
      </c>
      <c r="C289" s="25" t="str">
        <f t="shared" si="4"/>
        <v>peg12_spdp</v>
      </c>
      <c r="D289" s="27" t="s">
        <v>13</v>
      </c>
      <c r="E289" s="25" t="s">
        <v>871</v>
      </c>
      <c r="F289" s="25" t="s">
        <v>872</v>
      </c>
      <c r="G289" s="25">
        <v>500</v>
      </c>
      <c r="H289" s="25"/>
    </row>
    <row r="290" spans="1:8" ht="14">
      <c r="A290" s="25" t="s">
        <v>873</v>
      </c>
      <c r="B290" s="26" t="s">
        <v>60</v>
      </c>
      <c r="C290" s="25" t="str">
        <f t="shared" si="4"/>
        <v>peg4_spdp</v>
      </c>
      <c r="D290" s="27" t="s">
        <v>13</v>
      </c>
      <c r="E290" s="25" t="s">
        <v>874</v>
      </c>
      <c r="F290" s="25" t="s">
        <v>875</v>
      </c>
      <c r="G290" s="25">
        <v>500</v>
      </c>
      <c r="H290" s="25"/>
    </row>
    <row r="291" spans="1:8" ht="14">
      <c r="A291" s="25" t="s">
        <v>876</v>
      </c>
      <c r="B291" s="26" t="s">
        <v>60</v>
      </c>
      <c r="C291" s="25" t="str">
        <f t="shared" si="4"/>
        <v>sdad</v>
      </c>
      <c r="D291" s="27" t="s">
        <v>13</v>
      </c>
      <c r="E291" s="25" t="s">
        <v>877</v>
      </c>
      <c r="F291" s="25" t="s">
        <v>878</v>
      </c>
      <c r="G291" s="25">
        <v>500</v>
      </c>
      <c r="H291" s="25"/>
    </row>
    <row r="292" spans="1:8" ht="14">
      <c r="A292" s="25" t="s">
        <v>879</v>
      </c>
      <c r="B292" s="26" t="s">
        <v>60</v>
      </c>
      <c r="C292" s="25" t="str">
        <f t="shared" si="4"/>
        <v>smcc</v>
      </c>
      <c r="D292" s="27" t="s">
        <v>13</v>
      </c>
      <c r="E292" s="25" t="s">
        <v>880</v>
      </c>
      <c r="F292" s="25" t="s">
        <v>881</v>
      </c>
      <c r="G292" s="25">
        <v>500</v>
      </c>
      <c r="H292" s="25"/>
    </row>
    <row r="293" spans="1:8" ht="14">
      <c r="A293" s="25" t="s">
        <v>882</v>
      </c>
      <c r="B293" s="26" t="s">
        <v>60</v>
      </c>
      <c r="C293" s="25" t="str">
        <f t="shared" si="4"/>
        <v>smpt</v>
      </c>
      <c r="D293" s="27" t="s">
        <v>13</v>
      </c>
      <c r="E293" s="25" t="s">
        <v>883</v>
      </c>
      <c r="F293" s="25" t="s">
        <v>884</v>
      </c>
      <c r="G293" s="25">
        <v>500</v>
      </c>
      <c r="H293" s="25"/>
    </row>
    <row r="294" spans="1:8" ht="14">
      <c r="A294" s="25" t="s">
        <v>885</v>
      </c>
      <c r="B294" s="26" t="s">
        <v>60</v>
      </c>
      <c r="C294" s="25" t="str">
        <f t="shared" si="4"/>
        <v>spdp</v>
      </c>
      <c r="D294" s="27" t="s">
        <v>13</v>
      </c>
      <c r="E294" s="25" t="s">
        <v>886</v>
      </c>
      <c r="F294" s="25" t="s">
        <v>887</v>
      </c>
      <c r="G294" s="25">
        <v>500</v>
      </c>
      <c r="H294" s="25"/>
    </row>
    <row r="295" spans="1:8" ht="14">
      <c r="A295" s="25" t="s">
        <v>888</v>
      </c>
      <c r="B295" s="26" t="s">
        <v>60</v>
      </c>
      <c r="C295" s="25" t="str">
        <f t="shared" si="4"/>
        <v>sulfo_lc_spdp</v>
      </c>
      <c r="D295" s="27" t="s">
        <v>13</v>
      </c>
      <c r="E295" s="25" t="s">
        <v>889</v>
      </c>
      <c r="F295" s="25" t="s">
        <v>890</v>
      </c>
      <c r="G295" s="25">
        <v>500</v>
      </c>
      <c r="H295" s="25"/>
    </row>
    <row r="296" spans="1:8" ht="14">
      <c r="A296" s="25" t="s">
        <v>891</v>
      </c>
      <c r="B296" s="26" t="s">
        <v>60</v>
      </c>
      <c r="C296" s="25" t="str">
        <f t="shared" si="4"/>
        <v>sulfo_sanpah</v>
      </c>
      <c r="D296" s="27" t="s">
        <v>13</v>
      </c>
      <c r="E296" s="25" t="s">
        <v>892</v>
      </c>
      <c r="F296" s="25" t="s">
        <v>893</v>
      </c>
      <c r="G296" s="25">
        <v>500</v>
      </c>
      <c r="H296" s="25"/>
    </row>
    <row r="297" spans="1:8" ht="14">
      <c r="A297" s="25" t="s">
        <v>894</v>
      </c>
      <c r="B297" s="26" t="s">
        <v>60</v>
      </c>
      <c r="C297" s="25" t="str">
        <f t="shared" si="4"/>
        <v>sulfo_sdad</v>
      </c>
      <c r="D297" s="27" t="s">
        <v>13</v>
      </c>
      <c r="E297" s="25" t="s">
        <v>895</v>
      </c>
      <c r="F297" s="25" t="s">
        <v>896</v>
      </c>
      <c r="G297" s="25">
        <v>500</v>
      </c>
      <c r="H297" s="25"/>
    </row>
    <row r="298" spans="1:8" ht="14">
      <c r="A298" s="25" t="s">
        <v>897</v>
      </c>
      <c r="B298" s="26" t="s">
        <v>898</v>
      </c>
      <c r="C298" s="25" t="str">
        <f t="shared" si="4"/>
        <v>database_orf_search</v>
      </c>
      <c r="D298" s="27" t="s">
        <v>13</v>
      </c>
      <c r="E298" s="25" t="s">
        <v>899</v>
      </c>
      <c r="F298" s="25" t="s">
        <v>900</v>
      </c>
      <c r="G298" s="25">
        <v>500</v>
      </c>
      <c r="H298" s="25"/>
    </row>
    <row r="299" spans="1:8" ht="14">
      <c r="A299" s="25" t="s">
        <v>901</v>
      </c>
      <c r="B299" s="26" t="s">
        <v>898</v>
      </c>
      <c r="C299" s="25" t="str">
        <f t="shared" si="4"/>
        <v>database_search</v>
      </c>
      <c r="D299" s="27" t="s">
        <v>13</v>
      </c>
      <c r="E299" s="25" t="s">
        <v>902</v>
      </c>
      <c r="F299" s="25" t="s">
        <v>903</v>
      </c>
      <c r="G299" s="25">
        <v>500</v>
      </c>
      <c r="H299" s="25"/>
    </row>
    <row r="300" spans="1:8" ht="14">
      <c r="A300" s="25" t="s">
        <v>904</v>
      </c>
      <c r="B300" s="26" t="s">
        <v>898</v>
      </c>
      <c r="C300" s="25" t="str">
        <f t="shared" si="4"/>
        <v>de_novo</v>
      </c>
      <c r="D300" s="27" t="s">
        <v>13</v>
      </c>
      <c r="E300" s="25" t="s">
        <v>905</v>
      </c>
      <c r="F300" s="25" t="s">
        <v>905</v>
      </c>
      <c r="G300" s="25">
        <v>500</v>
      </c>
      <c r="H300" s="25"/>
    </row>
    <row r="301" spans="1:8" ht="14">
      <c r="A301" s="25" t="s">
        <v>906</v>
      </c>
      <c r="B301" s="26" t="s">
        <v>63</v>
      </c>
      <c r="C301" s="25" t="str">
        <f t="shared" si="4"/>
        <v>chaps</v>
      </c>
      <c r="D301" s="27" t="s">
        <v>13</v>
      </c>
      <c r="E301" s="25" t="s">
        <v>907</v>
      </c>
      <c r="F301" s="25" t="s">
        <v>908</v>
      </c>
      <c r="G301" s="25">
        <v>500</v>
      </c>
      <c r="H301" s="25"/>
    </row>
    <row r="302" spans="1:8" ht="14">
      <c r="A302" s="25" t="s">
        <v>909</v>
      </c>
      <c r="B302" s="26" t="s">
        <v>63</v>
      </c>
      <c r="C302" s="25" t="str">
        <f t="shared" si="4"/>
        <v>dmm</v>
      </c>
      <c r="D302" s="27" t="s">
        <v>13</v>
      </c>
      <c r="E302" s="25" t="s">
        <v>910</v>
      </c>
      <c r="F302" s="25" t="s">
        <v>911</v>
      </c>
      <c r="G302" s="25">
        <v>500</v>
      </c>
      <c r="H302" s="25"/>
    </row>
    <row r="303" spans="1:8" ht="14">
      <c r="A303" s="25" t="s">
        <v>912</v>
      </c>
      <c r="B303" s="26" t="s">
        <v>63</v>
      </c>
      <c r="C303" s="25" t="str">
        <f t="shared" si="4"/>
        <v>np40</v>
      </c>
      <c r="D303" s="27" t="s">
        <v>13</v>
      </c>
      <c r="E303" s="25" t="s">
        <v>913</v>
      </c>
      <c r="F303" s="25" t="s">
        <v>914</v>
      </c>
      <c r="G303" s="25">
        <v>500</v>
      </c>
      <c r="H303" s="25"/>
    </row>
    <row r="304" spans="1:8" ht="14">
      <c r="A304" s="25" t="s">
        <v>915</v>
      </c>
      <c r="B304" s="26" t="s">
        <v>63</v>
      </c>
      <c r="C304" s="25" t="str">
        <f t="shared" si="4"/>
        <v>og</v>
      </c>
      <c r="D304" s="27" t="s">
        <v>13</v>
      </c>
      <c r="E304" s="25" t="s">
        <v>916</v>
      </c>
      <c r="F304" s="25" t="s">
        <v>917</v>
      </c>
      <c r="G304" s="25">
        <v>500</v>
      </c>
      <c r="H304" s="25"/>
    </row>
    <row r="305" spans="1:8" ht="14">
      <c r="A305" s="25" t="s">
        <v>918</v>
      </c>
      <c r="B305" s="26" t="s">
        <v>63</v>
      </c>
      <c r="C305" s="25" t="str">
        <f t="shared" si="4"/>
        <v>otg</v>
      </c>
      <c r="D305" s="27" t="s">
        <v>13</v>
      </c>
      <c r="E305" s="25" t="s">
        <v>919</v>
      </c>
      <c r="F305" s="25" t="s">
        <v>920</v>
      </c>
      <c r="G305" s="25">
        <v>500</v>
      </c>
      <c r="H305" s="25"/>
    </row>
    <row r="306" spans="1:8" ht="14">
      <c r="A306" s="25" t="s">
        <v>921</v>
      </c>
      <c r="B306" s="26" t="s">
        <v>63</v>
      </c>
      <c r="C306" s="25" t="str">
        <f t="shared" si="4"/>
        <v>sds</v>
      </c>
      <c r="D306" s="27" t="s">
        <v>13</v>
      </c>
      <c r="E306" s="25" t="s">
        <v>922</v>
      </c>
      <c r="F306" s="25" t="s">
        <v>923</v>
      </c>
      <c r="G306" s="25">
        <v>500</v>
      </c>
      <c r="H306" s="25"/>
    </row>
    <row r="307" spans="1:8" ht="14">
      <c r="A307" s="25" t="s">
        <v>924</v>
      </c>
      <c r="B307" s="26" t="s">
        <v>63</v>
      </c>
      <c r="C307" s="25" t="str">
        <f t="shared" si="4"/>
        <v>tritonx100</v>
      </c>
      <c r="D307" s="27" t="s">
        <v>13</v>
      </c>
      <c r="E307" s="25" t="s">
        <v>925</v>
      </c>
      <c r="F307" s="25" t="s">
        <v>926</v>
      </c>
      <c r="G307" s="25">
        <v>500</v>
      </c>
      <c r="H307" s="25"/>
    </row>
    <row r="308" spans="1:8" ht="14">
      <c r="A308" s="25" t="s">
        <v>927</v>
      </c>
      <c r="B308" s="26" t="s">
        <v>63</v>
      </c>
      <c r="C308" s="25" t="str">
        <f t="shared" si="4"/>
        <v>tween20</v>
      </c>
      <c r="D308" s="27" t="s">
        <v>13</v>
      </c>
      <c r="E308" s="25" t="s">
        <v>928</v>
      </c>
      <c r="F308" s="25" t="s">
        <v>929</v>
      </c>
      <c r="G308" s="25">
        <v>500</v>
      </c>
      <c r="H308" s="25"/>
    </row>
    <row r="309" spans="1:8" ht="14">
      <c r="A309" s="25" t="s">
        <v>930</v>
      </c>
      <c r="B309" s="26" t="s">
        <v>63</v>
      </c>
      <c r="C309" s="25" t="str">
        <f t="shared" si="4"/>
        <v>tween80</v>
      </c>
      <c r="D309" s="27" t="s">
        <v>13</v>
      </c>
      <c r="E309" s="25" t="s">
        <v>931</v>
      </c>
      <c r="F309" s="25" t="s">
        <v>932</v>
      </c>
      <c r="G309" s="25">
        <v>500</v>
      </c>
      <c r="H309" s="25"/>
    </row>
    <row r="310" spans="1:8" ht="14">
      <c r="A310" s="25">
        <v>1200</v>
      </c>
      <c r="B310" s="26" t="s">
        <v>67</v>
      </c>
      <c r="C310" s="25">
        <f t="shared" si="4"/>
        <v>1200</v>
      </c>
      <c r="D310" s="27" t="s">
        <v>13</v>
      </c>
      <c r="E310" s="25">
        <v>1200</v>
      </c>
      <c r="F310" s="27" t="s">
        <v>13</v>
      </c>
      <c r="G310" s="25">
        <v>500</v>
      </c>
      <c r="H310" s="25"/>
    </row>
    <row r="311" spans="1:8" ht="14">
      <c r="A311" s="25">
        <v>800</v>
      </c>
      <c r="B311" s="26" t="s">
        <v>67</v>
      </c>
      <c r="C311" s="25">
        <f t="shared" si="4"/>
        <v>800</v>
      </c>
      <c r="D311" s="27" t="s">
        <v>13</v>
      </c>
      <c r="E311" s="25">
        <v>800</v>
      </c>
      <c r="F311" s="27" t="s">
        <v>13</v>
      </c>
      <c r="G311" s="25">
        <v>500</v>
      </c>
      <c r="H311" s="25"/>
    </row>
    <row r="312" spans="1:8" ht="14">
      <c r="A312" s="25">
        <v>400</v>
      </c>
      <c r="B312" s="26" t="s">
        <v>69</v>
      </c>
      <c r="C312" s="25">
        <f t="shared" si="4"/>
        <v>400</v>
      </c>
      <c r="D312" s="27" t="s">
        <v>13</v>
      </c>
      <c r="E312" s="25">
        <v>400</v>
      </c>
      <c r="F312" s="27" t="s">
        <v>13</v>
      </c>
      <c r="G312" s="25">
        <v>500</v>
      </c>
      <c r="H312" s="25"/>
    </row>
    <row r="313" spans="1:8" ht="14">
      <c r="A313" s="25">
        <v>30</v>
      </c>
      <c r="B313" s="26" t="s">
        <v>68</v>
      </c>
      <c r="C313" s="25">
        <f t="shared" si="4"/>
        <v>30</v>
      </c>
      <c r="D313" s="27" t="s">
        <v>13</v>
      </c>
      <c r="E313" s="25">
        <v>30</v>
      </c>
      <c r="F313" s="25" t="s">
        <v>933</v>
      </c>
      <c r="G313" s="25">
        <v>500</v>
      </c>
      <c r="H313" s="25"/>
    </row>
    <row r="314" spans="1:8" ht="14">
      <c r="A314" s="25">
        <v>34</v>
      </c>
      <c r="B314" s="26" t="s">
        <v>68</v>
      </c>
      <c r="C314" s="25">
        <f t="shared" si="4"/>
        <v>34</v>
      </c>
      <c r="D314" s="27" t="s">
        <v>13</v>
      </c>
      <c r="E314" s="25">
        <v>30</v>
      </c>
      <c r="F314" s="25" t="s">
        <v>3052</v>
      </c>
      <c r="G314" s="25">
        <v>500</v>
      </c>
      <c r="H314" s="25"/>
    </row>
    <row r="315" spans="1:8" ht="14">
      <c r="A315" s="25">
        <v>40</v>
      </c>
      <c r="B315" s="26" t="s">
        <v>68</v>
      </c>
      <c r="C315" s="25">
        <f t="shared" si="4"/>
        <v>40</v>
      </c>
      <c r="D315" s="27" t="s">
        <v>13</v>
      </c>
      <c r="E315" s="25">
        <v>40</v>
      </c>
      <c r="F315" s="25" t="s">
        <v>934</v>
      </c>
      <c r="G315" s="25">
        <v>500</v>
      </c>
      <c r="H315" s="25"/>
    </row>
    <row r="316" spans="1:8" ht="14">
      <c r="A316" s="25" t="s">
        <v>935</v>
      </c>
      <c r="B316" s="26" t="s">
        <v>23</v>
      </c>
      <c r="C316" s="25" t="str">
        <f t="shared" si="4"/>
        <v>fasp</v>
      </c>
      <c r="D316" s="27" t="s">
        <v>13</v>
      </c>
      <c r="E316" s="25" t="s">
        <v>936</v>
      </c>
      <c r="F316" s="25" t="s">
        <v>937</v>
      </c>
      <c r="G316" s="25">
        <v>500</v>
      </c>
      <c r="H316" s="25"/>
    </row>
    <row r="317" spans="1:8" ht="14">
      <c r="A317" s="25" t="s">
        <v>938</v>
      </c>
      <c r="B317" s="26" t="s">
        <v>23</v>
      </c>
      <c r="C317" s="25" t="str">
        <f t="shared" ref="C317:C371" si="5">A317</f>
        <v>ingel</v>
      </c>
      <c r="D317" s="27" t="s">
        <v>13</v>
      </c>
      <c r="E317" s="25" t="s">
        <v>939</v>
      </c>
      <c r="F317" s="25" t="s">
        <v>940</v>
      </c>
      <c r="G317" s="25">
        <v>500</v>
      </c>
      <c r="H317" s="25"/>
    </row>
    <row r="318" spans="1:8" ht="14">
      <c r="A318" s="25" t="s">
        <v>941</v>
      </c>
      <c r="B318" s="26" t="s">
        <v>23</v>
      </c>
      <c r="C318" s="25" t="str">
        <f t="shared" si="5"/>
        <v>insol</v>
      </c>
      <c r="D318" s="27" t="s">
        <v>13</v>
      </c>
      <c r="E318" s="25" t="s">
        <v>942</v>
      </c>
      <c r="F318" s="25" t="s">
        <v>943</v>
      </c>
      <c r="G318" s="25">
        <v>500</v>
      </c>
      <c r="H318" s="25"/>
    </row>
    <row r="319" spans="1:8" ht="14">
      <c r="A319" s="25" t="s">
        <v>944</v>
      </c>
      <c r="B319" s="26" t="s">
        <v>23</v>
      </c>
      <c r="C319" s="25" t="str">
        <f t="shared" si="5"/>
        <v>sp3</v>
      </c>
      <c r="D319" s="27" t="s">
        <v>13</v>
      </c>
      <c r="E319" s="25" t="s">
        <v>945</v>
      </c>
      <c r="F319" s="25" t="s">
        <v>946</v>
      </c>
      <c r="G319" s="25">
        <v>500</v>
      </c>
      <c r="H319" s="25"/>
    </row>
    <row r="320" spans="1:8" ht="14">
      <c r="A320" s="25" t="s">
        <v>947</v>
      </c>
      <c r="B320" s="26" t="s">
        <v>71</v>
      </c>
      <c r="C320" s="25" t="str">
        <f t="shared" si="5"/>
        <v>384well_plate</v>
      </c>
      <c r="D320" s="27" t="s">
        <v>13</v>
      </c>
      <c r="E320" s="25" t="s">
        <v>948</v>
      </c>
      <c r="F320" s="25" t="s">
        <v>948</v>
      </c>
      <c r="G320" s="25">
        <v>500</v>
      </c>
      <c r="H320" s="25"/>
    </row>
    <row r="321" spans="1:8" ht="14">
      <c r="A321" s="25" t="s">
        <v>949</v>
      </c>
      <c r="B321" s="26" t="s">
        <v>71</v>
      </c>
      <c r="C321" s="25" t="str">
        <f t="shared" si="5"/>
        <v>96well_plate</v>
      </c>
      <c r="D321" s="27" t="s">
        <v>13</v>
      </c>
      <c r="E321" s="25" t="s">
        <v>950</v>
      </c>
      <c r="F321" s="25" t="s">
        <v>951</v>
      </c>
      <c r="G321" s="25">
        <v>500</v>
      </c>
      <c r="H321" s="25"/>
    </row>
    <row r="322" spans="1:8" ht="14">
      <c r="A322" s="25" t="s">
        <v>952</v>
      </c>
      <c r="B322" s="26" t="s">
        <v>71</v>
      </c>
      <c r="C322" s="25" t="str">
        <f t="shared" si="5"/>
        <v>onefive_ml_tube</v>
      </c>
      <c r="D322" s="27" t="s">
        <v>13</v>
      </c>
      <c r="E322" s="25" t="s">
        <v>953</v>
      </c>
      <c r="F322" s="25" t="s">
        <v>954</v>
      </c>
      <c r="G322" s="25">
        <v>500</v>
      </c>
      <c r="H322" s="25"/>
    </row>
    <row r="323" spans="1:8" ht="14">
      <c r="A323" s="25" t="s">
        <v>955</v>
      </c>
      <c r="B323" s="26" t="s">
        <v>71</v>
      </c>
      <c r="C323" s="25" t="str">
        <f t="shared" si="5"/>
        <v>pcrstripe</v>
      </c>
      <c r="D323" s="27" t="s">
        <v>13</v>
      </c>
      <c r="E323" s="25" t="s">
        <v>956</v>
      </c>
      <c r="F323" s="25" t="s">
        <v>956</v>
      </c>
      <c r="G323" s="25">
        <v>500</v>
      </c>
      <c r="H323" s="25"/>
    </row>
    <row r="324" spans="1:8" ht="14">
      <c r="A324" s="25" t="s">
        <v>957</v>
      </c>
      <c r="B324" s="26" t="s">
        <v>71</v>
      </c>
      <c r="C324" s="25" t="str">
        <f t="shared" si="5"/>
        <v>two_ml_tube</v>
      </c>
      <c r="D324" s="27" t="s">
        <v>13</v>
      </c>
      <c r="E324" s="25" t="s">
        <v>958</v>
      </c>
      <c r="F324" s="25" t="s">
        <v>959</v>
      </c>
      <c r="G324" s="25">
        <v>500</v>
      </c>
      <c r="H324" s="25"/>
    </row>
    <row r="325" spans="1:8" ht="14">
      <c r="A325" s="25" t="s">
        <v>960</v>
      </c>
      <c r="B325" s="26" t="s">
        <v>73</v>
      </c>
      <c r="C325" s="25" t="str">
        <f t="shared" si="5"/>
        <v>als</v>
      </c>
      <c r="D325" s="25" t="s">
        <v>960</v>
      </c>
      <c r="E325" s="25" t="s">
        <v>961</v>
      </c>
      <c r="F325" s="25" t="s">
        <v>962</v>
      </c>
      <c r="G325" s="25">
        <v>500</v>
      </c>
      <c r="H325" s="25"/>
    </row>
    <row r="326" spans="1:8" ht="14">
      <c r="A326" s="25" t="s">
        <v>963</v>
      </c>
      <c r="B326" s="26" t="s">
        <v>73</v>
      </c>
      <c r="C326" s="25" t="str">
        <f t="shared" si="5"/>
        <v>alzheimer</v>
      </c>
      <c r="D326" s="25" t="s">
        <v>963</v>
      </c>
      <c r="E326" s="25" t="s">
        <v>964</v>
      </c>
      <c r="F326" s="25" t="s">
        <v>965</v>
      </c>
      <c r="G326" s="25">
        <v>500</v>
      </c>
      <c r="H326" s="25"/>
    </row>
    <row r="327" spans="1:8" ht="14">
      <c r="A327" s="25" t="s">
        <v>966</v>
      </c>
      <c r="B327" s="26" t="s">
        <v>73</v>
      </c>
      <c r="C327" s="25" t="str">
        <f t="shared" si="5"/>
        <v>autoimmune</v>
      </c>
      <c r="D327" s="25" t="s">
        <v>966</v>
      </c>
      <c r="E327" s="25" t="s">
        <v>967</v>
      </c>
      <c r="F327" s="25" t="s">
        <v>968</v>
      </c>
      <c r="G327" s="25">
        <v>500</v>
      </c>
      <c r="H327" s="25"/>
    </row>
    <row r="328" spans="1:8" ht="14">
      <c r="A328" s="25" t="s">
        <v>969</v>
      </c>
      <c r="B328" s="26" t="s">
        <v>73</v>
      </c>
      <c r="C328" s="25" t="str">
        <f t="shared" si="5"/>
        <v>cancer</v>
      </c>
      <c r="D328" s="25" t="s">
        <v>969</v>
      </c>
      <c r="E328" s="25" t="s">
        <v>970</v>
      </c>
      <c r="F328" s="25" t="s">
        <v>971</v>
      </c>
      <c r="G328" s="25">
        <v>500</v>
      </c>
      <c r="H328" s="25"/>
    </row>
    <row r="329" spans="1:8" ht="14">
      <c r="A329" s="25" t="s">
        <v>972</v>
      </c>
      <c r="B329" s="26" t="s">
        <v>73</v>
      </c>
      <c r="C329" s="25" t="str">
        <f t="shared" si="5"/>
        <v>cardiovascular_diseases</v>
      </c>
      <c r="D329" s="25" t="s">
        <v>973</v>
      </c>
      <c r="E329" s="25" t="s">
        <v>974</v>
      </c>
      <c r="F329" s="25" t="s">
        <v>975</v>
      </c>
      <c r="G329" s="25">
        <v>500</v>
      </c>
      <c r="H329" s="25"/>
    </row>
    <row r="330" spans="1:8" ht="14">
      <c r="A330" s="25" t="s">
        <v>976</v>
      </c>
      <c r="B330" s="26" t="s">
        <v>73</v>
      </c>
      <c r="C330" s="25" t="str">
        <f t="shared" si="5"/>
        <v>chronic_inflammation</v>
      </c>
      <c r="D330" s="25" t="s">
        <v>977</v>
      </c>
      <c r="E330" s="25" t="s">
        <v>978</v>
      </c>
      <c r="F330" s="25" t="s">
        <v>979</v>
      </c>
      <c r="G330" s="25">
        <v>500</v>
      </c>
      <c r="H330" s="25"/>
    </row>
    <row r="331" spans="1:8" ht="14">
      <c r="A331" s="25" t="s">
        <v>980</v>
      </c>
      <c r="B331" s="26" t="s">
        <v>73</v>
      </c>
      <c r="C331" s="25" t="str">
        <f t="shared" si="5"/>
        <v>coeliac</v>
      </c>
      <c r="D331" s="25" t="s">
        <v>980</v>
      </c>
      <c r="E331" s="25" t="s">
        <v>981</v>
      </c>
      <c r="F331" s="25" t="s">
        <v>982</v>
      </c>
      <c r="G331" s="25">
        <v>500</v>
      </c>
      <c r="H331" s="25"/>
    </row>
    <row r="332" spans="1:8" ht="14">
      <c r="A332" s="25" t="s">
        <v>983</v>
      </c>
      <c r="B332" s="26" t="s">
        <v>73</v>
      </c>
      <c r="C332" s="25" t="str">
        <f t="shared" si="5"/>
        <v>covid19</v>
      </c>
      <c r="D332" s="25" t="s">
        <v>983</v>
      </c>
      <c r="E332" s="25" t="s">
        <v>984</v>
      </c>
      <c r="F332" s="25" t="s">
        <v>985</v>
      </c>
      <c r="G332" s="25">
        <v>500</v>
      </c>
      <c r="H332" s="25"/>
    </row>
    <row r="333" spans="1:8" ht="14">
      <c r="A333" s="25" t="s">
        <v>986</v>
      </c>
      <c r="B333" s="26" t="s">
        <v>73</v>
      </c>
      <c r="C333" s="25" t="str">
        <f t="shared" si="5"/>
        <v>dementia</v>
      </c>
      <c r="D333" s="25" t="s">
        <v>986</v>
      </c>
      <c r="E333" s="25" t="s">
        <v>987</v>
      </c>
      <c r="F333" s="25" t="s">
        <v>987</v>
      </c>
      <c r="G333" s="25">
        <v>500</v>
      </c>
      <c r="H333" s="25"/>
    </row>
    <row r="334" spans="1:8" ht="14">
      <c r="A334" s="25" t="s">
        <v>988</v>
      </c>
      <c r="B334" s="26" t="s">
        <v>73</v>
      </c>
      <c r="C334" s="25" t="str">
        <f t="shared" si="5"/>
        <v>demyelinating</v>
      </c>
      <c r="D334" s="25" t="s">
        <v>988</v>
      </c>
      <c r="E334" s="25" t="s">
        <v>989</v>
      </c>
      <c r="F334" s="25" t="s">
        <v>990</v>
      </c>
      <c r="G334" s="25">
        <v>500</v>
      </c>
      <c r="H334" s="25"/>
    </row>
    <row r="335" spans="1:8" ht="14">
      <c r="A335" s="25" t="s">
        <v>991</v>
      </c>
      <c r="B335" s="26" t="s">
        <v>73</v>
      </c>
      <c r="C335" s="25" t="str">
        <f t="shared" si="5"/>
        <v>diabetes</v>
      </c>
      <c r="D335" s="25" t="s">
        <v>991</v>
      </c>
      <c r="E335" s="25" t="s">
        <v>992</v>
      </c>
      <c r="F335" s="25" t="s">
        <v>992</v>
      </c>
      <c r="G335" s="25">
        <v>500</v>
      </c>
      <c r="H335" s="25"/>
    </row>
    <row r="336" spans="1:8" ht="14">
      <c r="A336" s="25" t="s">
        <v>993</v>
      </c>
      <c r="B336" s="26" t="s">
        <v>73</v>
      </c>
      <c r="C336" s="25" t="str">
        <f t="shared" si="5"/>
        <v>glioblastoma</v>
      </c>
      <c r="D336" s="25" t="s">
        <v>993</v>
      </c>
      <c r="E336" s="25" t="s">
        <v>994</v>
      </c>
      <c r="F336" s="25" t="s">
        <v>995</v>
      </c>
      <c r="G336" s="25">
        <v>500</v>
      </c>
      <c r="H336" s="25"/>
    </row>
    <row r="337" spans="1:8" ht="14">
      <c r="A337" s="25" t="s">
        <v>996</v>
      </c>
      <c r="B337" s="26" t="s">
        <v>73</v>
      </c>
      <c r="C337" s="25" t="str">
        <f t="shared" si="5"/>
        <v>hiv</v>
      </c>
      <c r="D337" s="25" t="s">
        <v>996</v>
      </c>
      <c r="E337" s="25" t="s">
        <v>997</v>
      </c>
      <c r="F337" s="25" t="s">
        <v>998</v>
      </c>
      <c r="G337" s="25">
        <v>500</v>
      </c>
      <c r="H337" s="25"/>
    </row>
    <row r="338" spans="1:8" ht="14">
      <c r="A338" s="25" t="s">
        <v>999</v>
      </c>
      <c r="B338" s="26" t="s">
        <v>73</v>
      </c>
      <c r="C338" s="25" t="str">
        <f t="shared" si="5"/>
        <v>huntington</v>
      </c>
      <c r="D338" s="25" t="s">
        <v>999</v>
      </c>
      <c r="E338" s="25" t="s">
        <v>1000</v>
      </c>
      <c r="F338" s="25" t="s">
        <v>1001</v>
      </c>
      <c r="G338" s="25">
        <v>500</v>
      </c>
      <c r="H338" s="25"/>
    </row>
    <row r="339" spans="1:8" ht="14">
      <c r="A339" s="25" t="s">
        <v>1002</v>
      </c>
      <c r="B339" s="26" t="s">
        <v>73</v>
      </c>
      <c r="C339" s="25" t="str">
        <f t="shared" si="5"/>
        <v>ibd</v>
      </c>
      <c r="D339" s="25" t="s">
        <v>1002</v>
      </c>
      <c r="E339" s="25" t="s">
        <v>1003</v>
      </c>
      <c r="F339" s="25" t="s">
        <v>1004</v>
      </c>
      <c r="G339" s="25">
        <v>500</v>
      </c>
      <c r="H339" s="25"/>
    </row>
    <row r="340" spans="1:8" ht="14">
      <c r="A340" s="25" t="s">
        <v>1005</v>
      </c>
      <c r="B340" s="26" t="s">
        <v>73</v>
      </c>
      <c r="C340" s="25" t="str">
        <f t="shared" si="5"/>
        <v>infection</v>
      </c>
      <c r="D340" s="25" t="s">
        <v>1005</v>
      </c>
      <c r="E340" s="25" t="s">
        <v>1006</v>
      </c>
      <c r="F340" s="25" t="s">
        <v>1007</v>
      </c>
      <c r="G340" s="25">
        <v>500</v>
      </c>
      <c r="H340" s="25"/>
    </row>
    <row r="341" spans="1:8" ht="14">
      <c r="A341" s="25" t="s">
        <v>1008</v>
      </c>
      <c r="B341" s="26" t="s">
        <v>73</v>
      </c>
      <c r="C341" s="25" t="str">
        <f t="shared" si="5"/>
        <v>influenza</v>
      </c>
      <c r="D341" s="25" t="s">
        <v>1008</v>
      </c>
      <c r="E341" s="25" t="s">
        <v>1009</v>
      </c>
      <c r="F341" s="25" t="s">
        <v>1010</v>
      </c>
      <c r="G341" s="25">
        <v>500</v>
      </c>
      <c r="H341" s="25"/>
    </row>
    <row r="342" spans="1:8" ht="14">
      <c r="A342" s="25" t="s">
        <v>1011</v>
      </c>
      <c r="B342" s="26" t="s">
        <v>73</v>
      </c>
      <c r="C342" s="25" t="str">
        <f t="shared" si="5"/>
        <v>leukemia</v>
      </c>
      <c r="D342" s="25" t="s">
        <v>1011</v>
      </c>
      <c r="E342" s="25" t="s">
        <v>553</v>
      </c>
      <c r="F342" s="25" t="s">
        <v>1012</v>
      </c>
      <c r="G342" s="25">
        <v>500</v>
      </c>
      <c r="H342" s="25"/>
    </row>
    <row r="343" spans="1:8" ht="14">
      <c r="A343" s="25" t="s">
        <v>1013</v>
      </c>
      <c r="B343" s="26" t="s">
        <v>73</v>
      </c>
      <c r="C343" s="25" t="str">
        <f t="shared" si="5"/>
        <v>lymphoma</v>
      </c>
      <c r="D343" s="25" t="s">
        <v>1013</v>
      </c>
      <c r="E343" s="25" t="s">
        <v>1014</v>
      </c>
      <c r="F343" s="25" t="s">
        <v>1015</v>
      </c>
      <c r="G343" s="25">
        <v>500</v>
      </c>
      <c r="H343" s="25"/>
    </row>
    <row r="344" spans="1:8" ht="14">
      <c r="A344" s="25" t="s">
        <v>1016</v>
      </c>
      <c r="B344" s="26" t="s">
        <v>73</v>
      </c>
      <c r="C344" s="25" t="str">
        <f t="shared" si="5"/>
        <v>malaria</v>
      </c>
      <c r="D344" s="25" t="s">
        <v>1016</v>
      </c>
      <c r="E344" s="25" t="s">
        <v>1017</v>
      </c>
      <c r="F344" s="25" t="s">
        <v>1018</v>
      </c>
      <c r="G344" s="25">
        <v>500</v>
      </c>
      <c r="H344" s="25"/>
    </row>
    <row r="345" spans="1:8" ht="14">
      <c r="A345" s="25" t="s">
        <v>21</v>
      </c>
      <c r="B345" s="26" t="s">
        <v>73</v>
      </c>
      <c r="C345" s="25" t="str">
        <f t="shared" si="5"/>
        <v>ms</v>
      </c>
      <c r="D345" s="25" t="s">
        <v>21</v>
      </c>
      <c r="E345" s="25" t="s">
        <v>1019</v>
      </c>
      <c r="F345" s="25" t="s">
        <v>1020</v>
      </c>
      <c r="G345" s="25">
        <v>500</v>
      </c>
      <c r="H345" s="25"/>
    </row>
    <row r="346" spans="1:8" ht="14">
      <c r="A346" s="25" t="s">
        <v>1021</v>
      </c>
      <c r="B346" s="26" t="s">
        <v>73</v>
      </c>
      <c r="C346" s="25" t="str">
        <f t="shared" si="5"/>
        <v>msa</v>
      </c>
      <c r="D346" s="25" t="s">
        <v>1021</v>
      </c>
      <c r="E346" s="25" t="s">
        <v>1022</v>
      </c>
      <c r="F346" s="25" t="s">
        <v>1023</v>
      </c>
      <c r="G346" s="25">
        <v>500</v>
      </c>
      <c r="H346" s="25"/>
    </row>
    <row r="347" spans="1:8" ht="14">
      <c r="A347" s="25" t="s">
        <v>1024</v>
      </c>
      <c r="B347" s="26" t="s">
        <v>73</v>
      </c>
      <c r="C347" s="25" t="str">
        <f t="shared" si="5"/>
        <v>neurodegenerative</v>
      </c>
      <c r="D347" s="25" t="s">
        <v>1024</v>
      </c>
      <c r="E347" s="25" t="s">
        <v>1025</v>
      </c>
      <c r="F347" s="25" t="s">
        <v>1026</v>
      </c>
      <c r="G347" s="25">
        <v>500</v>
      </c>
      <c r="H347" s="25"/>
    </row>
    <row r="348" spans="1:8" ht="14">
      <c r="A348" s="25" t="s">
        <v>1027</v>
      </c>
      <c r="B348" s="26" t="s">
        <v>73</v>
      </c>
      <c r="C348" s="25" t="str">
        <f t="shared" si="5"/>
        <v>parkinson</v>
      </c>
      <c r="D348" s="25" t="s">
        <v>1027</v>
      </c>
      <c r="E348" s="25" t="s">
        <v>1028</v>
      </c>
      <c r="F348" s="25" t="s">
        <v>1029</v>
      </c>
      <c r="G348" s="25">
        <v>500</v>
      </c>
      <c r="H348" s="25"/>
    </row>
    <row r="349" spans="1:8" ht="14">
      <c r="A349" s="25" t="s">
        <v>1030</v>
      </c>
      <c r="B349" s="26" t="s">
        <v>73</v>
      </c>
      <c r="C349" s="25" t="str">
        <f t="shared" si="5"/>
        <v>prion</v>
      </c>
      <c r="D349" s="25" t="s">
        <v>1030</v>
      </c>
      <c r="E349" s="25" t="s">
        <v>1031</v>
      </c>
      <c r="F349" s="25" t="s">
        <v>1032</v>
      </c>
      <c r="G349" s="25">
        <v>500</v>
      </c>
      <c r="H349" s="25"/>
    </row>
    <row r="350" spans="1:8" ht="14">
      <c r="A350" s="25" t="s">
        <v>1033</v>
      </c>
      <c r="B350" s="26" t="s">
        <v>73</v>
      </c>
      <c r="C350" s="25" t="str">
        <f t="shared" si="5"/>
        <v>rheumatoid</v>
      </c>
      <c r="D350" s="25" t="s">
        <v>1033</v>
      </c>
      <c r="E350" s="25" t="s">
        <v>1034</v>
      </c>
      <c r="F350" s="25" t="s">
        <v>1035</v>
      </c>
      <c r="G350" s="25">
        <v>500</v>
      </c>
      <c r="H350" s="25"/>
    </row>
    <row r="351" spans="1:8" ht="14">
      <c r="A351" s="25" t="s">
        <v>1036</v>
      </c>
      <c r="B351" s="26" t="s">
        <v>73</v>
      </c>
      <c r="C351" s="25" t="str">
        <f t="shared" si="5"/>
        <v>stress</v>
      </c>
      <c r="D351" s="25" t="s">
        <v>1036</v>
      </c>
      <c r="E351" s="25" t="s">
        <v>1037</v>
      </c>
      <c r="F351" s="25" t="s">
        <v>1038</v>
      </c>
      <c r="G351" s="25">
        <v>500</v>
      </c>
      <c r="H351" s="25"/>
    </row>
    <row r="352" spans="1:8" ht="14">
      <c r="A352" s="25" t="s">
        <v>1039</v>
      </c>
      <c r="B352" s="26" t="s">
        <v>73</v>
      </c>
      <c r="C352" s="25" t="str">
        <f t="shared" si="5"/>
        <v>stroke</v>
      </c>
      <c r="D352" s="25" t="s">
        <v>1039</v>
      </c>
      <c r="E352" s="25" t="s">
        <v>1040</v>
      </c>
      <c r="F352" s="25" t="s">
        <v>1041</v>
      </c>
      <c r="G352" s="25">
        <v>500</v>
      </c>
      <c r="H352" s="25"/>
    </row>
    <row r="353" spans="1:8" ht="14">
      <c r="A353" s="25" t="s">
        <v>1042</v>
      </c>
      <c r="B353" s="26" t="s">
        <v>73</v>
      </c>
      <c r="C353" s="25" t="str">
        <f t="shared" si="5"/>
        <v>tuberculosis</v>
      </c>
      <c r="D353" s="25" t="s">
        <v>1042</v>
      </c>
      <c r="E353" s="25" t="s">
        <v>1043</v>
      </c>
      <c r="F353" s="25" t="s">
        <v>1044</v>
      </c>
      <c r="G353" s="25">
        <v>500</v>
      </c>
      <c r="H353" s="25"/>
    </row>
    <row r="354" spans="1:8" ht="14">
      <c r="A354" s="25" t="s">
        <v>1045</v>
      </c>
      <c r="B354" s="26" t="s">
        <v>75</v>
      </c>
      <c r="C354" s="25" t="str">
        <f t="shared" si="5"/>
        <v>hypoxia</v>
      </c>
      <c r="D354" s="25" t="s">
        <v>1045</v>
      </c>
      <c r="E354" s="25" t="s">
        <v>1046</v>
      </c>
      <c r="F354" s="25" t="s">
        <v>1047</v>
      </c>
      <c r="G354" s="25">
        <v>500</v>
      </c>
      <c r="H354" s="25"/>
    </row>
    <row r="355" spans="1:8" ht="14">
      <c r="A355" s="25" t="s">
        <v>1048</v>
      </c>
      <c r="B355" s="26" t="s">
        <v>75</v>
      </c>
      <c r="C355" s="25" t="str">
        <f t="shared" si="5"/>
        <v>normoxia</v>
      </c>
      <c r="D355" s="25" t="s">
        <v>1048</v>
      </c>
      <c r="E355" s="25" t="s">
        <v>1049</v>
      </c>
      <c r="F355" s="25" t="s">
        <v>1050</v>
      </c>
      <c r="G355" s="25">
        <v>500</v>
      </c>
      <c r="H355" s="25"/>
    </row>
    <row r="356" spans="1:8" ht="14">
      <c r="A356" s="25" t="s">
        <v>1051</v>
      </c>
      <c r="B356" s="26" t="s">
        <v>77</v>
      </c>
      <c r="C356" s="25" t="str">
        <f t="shared" si="5"/>
        <v>acetylome</v>
      </c>
      <c r="D356" s="25" t="s">
        <v>1051</v>
      </c>
      <c r="E356" s="25" t="s">
        <v>1052</v>
      </c>
      <c r="F356" s="25" t="s">
        <v>1052</v>
      </c>
      <c r="G356" s="25">
        <v>500</v>
      </c>
      <c r="H356" s="25"/>
    </row>
    <row r="357" spans="1:8" ht="14">
      <c r="A357" s="25" t="s">
        <v>1053</v>
      </c>
      <c r="B357" s="26" t="s">
        <v>77</v>
      </c>
      <c r="C357" s="25" t="str">
        <f t="shared" si="5"/>
        <v>dvp</v>
      </c>
      <c r="D357" s="25" t="s">
        <v>1053</v>
      </c>
      <c r="E357" s="25" t="s">
        <v>1054</v>
      </c>
      <c r="F357" s="25" t="s">
        <v>1055</v>
      </c>
      <c r="G357" s="25">
        <v>500</v>
      </c>
      <c r="H357" s="25"/>
    </row>
    <row r="358" spans="1:8" ht="14">
      <c r="A358" s="25" t="s">
        <v>1056</v>
      </c>
      <c r="B358" s="26" t="s">
        <v>77</v>
      </c>
      <c r="C358" s="25" t="str">
        <f t="shared" si="5"/>
        <v>expression_proteome</v>
      </c>
      <c r="D358" s="25" t="s">
        <v>1057</v>
      </c>
      <c r="E358" s="25" t="s">
        <v>1058</v>
      </c>
      <c r="F358" s="25" t="s">
        <v>4052</v>
      </c>
      <c r="G358" s="25">
        <v>600</v>
      </c>
      <c r="H358" s="25"/>
    </row>
    <row r="359" spans="1:8" ht="14">
      <c r="A359" s="25" t="s">
        <v>4054</v>
      </c>
      <c r="B359" s="26" t="s">
        <v>77</v>
      </c>
      <c r="C359" s="25" t="str">
        <f t="shared" si="5"/>
        <v>microscoop</v>
      </c>
      <c r="D359" s="25" t="s">
        <v>4054</v>
      </c>
      <c r="E359" s="25" t="s">
        <v>4055</v>
      </c>
      <c r="F359" s="25" t="s">
        <v>4056</v>
      </c>
      <c r="G359" s="25">
        <v>500</v>
      </c>
      <c r="H359" s="25"/>
    </row>
    <row r="360" spans="1:8" ht="14">
      <c r="A360" s="25" t="s">
        <v>3047</v>
      </c>
      <c r="B360" s="26" t="s">
        <v>77</v>
      </c>
      <c r="C360" s="25" t="str">
        <f t="shared" si="5"/>
        <v>proximity</v>
      </c>
      <c r="D360" s="25" t="s">
        <v>3048</v>
      </c>
      <c r="E360" s="25" t="s">
        <v>3049</v>
      </c>
      <c r="F360" s="25" t="s">
        <v>3050</v>
      </c>
      <c r="G360" s="25">
        <v>500</v>
      </c>
      <c r="H360" s="25"/>
    </row>
    <row r="361" spans="1:8" ht="14">
      <c r="A361" s="25" t="s">
        <v>1059</v>
      </c>
      <c r="B361" s="26" t="s">
        <v>77</v>
      </c>
      <c r="C361" s="25" t="str">
        <f t="shared" si="5"/>
        <v>interaction</v>
      </c>
      <c r="D361" s="25" t="s">
        <v>1059</v>
      </c>
      <c r="E361" s="25" t="s">
        <v>1060</v>
      </c>
      <c r="F361" s="25" t="s">
        <v>1060</v>
      </c>
      <c r="G361" s="25">
        <v>500</v>
      </c>
      <c r="H361" s="25"/>
    </row>
    <row r="362" spans="1:8" ht="14">
      <c r="A362" s="25" t="s">
        <v>1061</v>
      </c>
      <c r="B362" s="26" t="s">
        <v>77</v>
      </c>
      <c r="C362" s="25" t="str">
        <f t="shared" si="5"/>
        <v>metrs</v>
      </c>
      <c r="D362" s="25" t="s">
        <v>1061</v>
      </c>
      <c r="E362" s="25" t="s">
        <v>1062</v>
      </c>
      <c r="F362" s="25" t="s">
        <v>1062</v>
      </c>
      <c r="G362" s="25">
        <v>500</v>
      </c>
      <c r="H362" s="25"/>
    </row>
    <row r="363" spans="1:8" ht="14">
      <c r="A363" s="25" t="s">
        <v>1063</v>
      </c>
      <c r="B363" s="26" t="s">
        <v>77</v>
      </c>
      <c r="C363" s="25" t="str">
        <f t="shared" si="5"/>
        <v>neo_nterm_enrichment</v>
      </c>
      <c r="D363" s="25" t="s">
        <v>1064</v>
      </c>
      <c r="E363" s="25" t="s">
        <v>1065</v>
      </c>
      <c r="F363" s="25" t="s">
        <v>1065</v>
      </c>
      <c r="G363" s="25">
        <v>500</v>
      </c>
      <c r="H363" s="25"/>
    </row>
    <row r="364" spans="1:8" ht="14">
      <c r="A364" s="25" t="s">
        <v>1066</v>
      </c>
      <c r="B364" s="26" t="s">
        <v>77</v>
      </c>
      <c r="C364" s="25" t="str">
        <f t="shared" si="5"/>
        <v>oxinome</v>
      </c>
      <c r="D364" s="25" t="s">
        <v>1066</v>
      </c>
      <c r="E364" s="25" t="s">
        <v>1067</v>
      </c>
      <c r="F364" s="25" t="s">
        <v>1067</v>
      </c>
      <c r="G364" s="25">
        <v>500</v>
      </c>
      <c r="H364" s="25"/>
    </row>
    <row r="365" spans="1:8" ht="14">
      <c r="A365" s="25" t="s">
        <v>1068</v>
      </c>
      <c r="B365" s="26" t="s">
        <v>77</v>
      </c>
      <c r="C365" s="25" t="str">
        <f t="shared" si="5"/>
        <v>phosphoproteome</v>
      </c>
      <c r="D365" s="25" t="s">
        <v>1068</v>
      </c>
      <c r="E365" s="25" t="s">
        <v>1069</v>
      </c>
      <c r="F365" s="25" t="s">
        <v>1069</v>
      </c>
      <c r="G365" s="25">
        <v>500</v>
      </c>
      <c r="H365" s="25"/>
    </row>
    <row r="366" spans="1:8" ht="14">
      <c r="A366" s="25" t="s">
        <v>1070</v>
      </c>
      <c r="B366" s="26" t="s">
        <v>77</v>
      </c>
      <c r="C366" s="25" t="str">
        <f t="shared" si="5"/>
        <v>pulse_silac</v>
      </c>
      <c r="D366" s="25" t="s">
        <v>1070</v>
      </c>
      <c r="E366" s="25" t="s">
        <v>1071</v>
      </c>
      <c r="F366" s="25" t="s">
        <v>1071</v>
      </c>
      <c r="G366" s="25">
        <v>500</v>
      </c>
      <c r="H366" s="25"/>
    </row>
    <row r="367" spans="1:8" ht="14">
      <c r="A367" s="25" t="s">
        <v>1072</v>
      </c>
      <c r="B367" s="26" t="s">
        <v>77</v>
      </c>
      <c r="C367" s="25" t="str">
        <f t="shared" si="5"/>
        <v>secretome</v>
      </c>
      <c r="D367" s="25" t="s">
        <v>1072</v>
      </c>
      <c r="E367" s="25" t="s">
        <v>1073</v>
      </c>
      <c r="F367" s="25" t="s">
        <v>1073</v>
      </c>
      <c r="G367" s="25">
        <v>500</v>
      </c>
      <c r="H367" s="25"/>
    </row>
    <row r="368" spans="1:8" ht="14">
      <c r="A368" s="25" t="s">
        <v>1074</v>
      </c>
      <c r="B368" s="26" t="s">
        <v>77</v>
      </c>
      <c r="C368" s="25" t="str">
        <f t="shared" si="5"/>
        <v>spatial</v>
      </c>
      <c r="D368" s="25" t="s">
        <v>1074</v>
      </c>
      <c r="E368" s="25" t="s">
        <v>1075</v>
      </c>
      <c r="F368" s="25" t="s">
        <v>1075</v>
      </c>
      <c r="G368" s="25">
        <v>500</v>
      </c>
      <c r="H368" s="25"/>
    </row>
    <row r="369" spans="1:8" ht="14">
      <c r="A369" s="25" t="s">
        <v>1076</v>
      </c>
      <c r="B369" s="26" t="s">
        <v>77</v>
      </c>
      <c r="C369" s="25" t="str">
        <f t="shared" si="5"/>
        <v>ubiquitinome</v>
      </c>
      <c r="D369" s="25" t="s">
        <v>1076</v>
      </c>
      <c r="E369" s="25" t="s">
        <v>1077</v>
      </c>
      <c r="F369" s="25" t="s">
        <v>1077</v>
      </c>
      <c r="G369" s="25">
        <v>500</v>
      </c>
      <c r="H369" s="25"/>
    </row>
    <row r="370" spans="1:8" ht="14">
      <c r="A370" s="25" t="s">
        <v>3034</v>
      </c>
      <c r="B370" s="26" t="s">
        <v>77</v>
      </c>
      <c r="C370" s="25" t="str">
        <f t="shared" si="5"/>
        <v>solub</v>
      </c>
      <c r="D370" s="25" t="s">
        <v>3035</v>
      </c>
      <c r="E370" s="25" t="s">
        <v>3036</v>
      </c>
      <c r="F370" s="25" t="s">
        <v>3037</v>
      </c>
      <c r="G370" s="25">
        <v>500</v>
      </c>
      <c r="H370" s="25"/>
    </row>
    <row r="371" spans="1:8" ht="14">
      <c r="A371" s="25" t="s">
        <v>3127</v>
      </c>
      <c r="B371" s="26" t="s">
        <v>77</v>
      </c>
      <c r="C371" s="25" t="str">
        <f t="shared" si="5"/>
        <v>pisa</v>
      </c>
      <c r="D371" s="25" t="s">
        <v>3128</v>
      </c>
      <c r="E371" s="25" t="s">
        <v>3129</v>
      </c>
      <c r="F371" s="25" t="s">
        <v>3130</v>
      </c>
      <c r="G371" s="25">
        <v>500</v>
      </c>
      <c r="H371" s="25"/>
    </row>
    <row r="372" spans="1:8" ht="14">
      <c r="A372" s="25" t="s">
        <v>3133</v>
      </c>
      <c r="B372" s="26" t="s">
        <v>3131</v>
      </c>
      <c r="C372" s="25" t="s">
        <v>3127</v>
      </c>
      <c r="D372" s="25" t="s">
        <v>3127</v>
      </c>
      <c r="E372" s="25" t="s">
        <v>3132</v>
      </c>
      <c r="F372" s="25" t="s">
        <v>3134</v>
      </c>
      <c r="G372" s="25">
        <v>500</v>
      </c>
      <c r="H372" s="25"/>
    </row>
    <row r="373" spans="1:8" ht="14">
      <c r="A373" s="25" t="s">
        <v>1078</v>
      </c>
      <c r="B373" s="26" t="s">
        <v>1079</v>
      </c>
      <c r="C373" s="25" t="str">
        <f t="shared" ref="C373:C424" si="6">A373</f>
        <v>bal</v>
      </c>
      <c r="D373" s="27" t="s">
        <v>13</v>
      </c>
      <c r="E373" s="25" t="s">
        <v>1080</v>
      </c>
      <c r="F373" s="25" t="s">
        <v>1081</v>
      </c>
      <c r="G373" s="25">
        <v>500</v>
      </c>
      <c r="H373" s="25"/>
    </row>
    <row r="374" spans="1:8" ht="14">
      <c r="A374" s="25" t="s">
        <v>1082</v>
      </c>
      <c r="B374" s="26" t="s">
        <v>1079</v>
      </c>
      <c r="C374" s="25" t="str">
        <f t="shared" si="6"/>
        <v>cerebrospinal</v>
      </c>
      <c r="D374" s="27" t="s">
        <v>13</v>
      </c>
      <c r="E374" s="25" t="s">
        <v>1083</v>
      </c>
      <c r="F374" s="25" t="s">
        <v>1084</v>
      </c>
      <c r="G374" s="25">
        <v>500</v>
      </c>
      <c r="H374" s="25"/>
    </row>
    <row r="375" spans="1:8" ht="14">
      <c r="A375" s="25" t="s">
        <v>1085</v>
      </c>
      <c r="B375" s="26" t="s">
        <v>1079</v>
      </c>
      <c r="C375" s="25" t="str">
        <f t="shared" si="6"/>
        <v>feces</v>
      </c>
      <c r="D375" s="27" t="s">
        <v>13</v>
      </c>
      <c r="E375" s="25" t="s">
        <v>1086</v>
      </c>
      <c r="F375" s="25" t="s">
        <v>1087</v>
      </c>
      <c r="G375" s="25">
        <v>500</v>
      </c>
      <c r="H375" s="25"/>
    </row>
    <row r="376" spans="1:8" ht="14">
      <c r="A376" s="25" t="s">
        <v>1088</v>
      </c>
      <c r="B376" s="26" t="s">
        <v>1079</v>
      </c>
      <c r="C376" s="25" t="str">
        <f t="shared" si="6"/>
        <v>interstitial</v>
      </c>
      <c r="D376" s="27" t="s">
        <v>13</v>
      </c>
      <c r="E376" s="25" t="s">
        <v>1089</v>
      </c>
      <c r="F376" s="25" t="s">
        <v>1090</v>
      </c>
      <c r="G376" s="25">
        <v>500</v>
      </c>
      <c r="H376" s="25"/>
    </row>
    <row r="377" spans="1:8" ht="14">
      <c r="A377" s="25" t="s">
        <v>1091</v>
      </c>
      <c r="B377" s="26" t="s">
        <v>1079</v>
      </c>
      <c r="C377" s="25" t="str">
        <f t="shared" si="6"/>
        <v>lymph</v>
      </c>
      <c r="D377" s="27" t="s">
        <v>13</v>
      </c>
      <c r="E377" s="25" t="s">
        <v>1092</v>
      </c>
      <c r="F377" s="25" t="s">
        <v>1093</v>
      </c>
      <c r="G377" s="25">
        <v>500</v>
      </c>
      <c r="H377" s="25"/>
    </row>
    <row r="378" spans="1:8" ht="14">
      <c r="A378" s="25" t="s">
        <v>1094</v>
      </c>
      <c r="B378" s="26" t="s">
        <v>1079</v>
      </c>
      <c r="C378" s="25" t="str">
        <f t="shared" si="6"/>
        <v>peritoneal</v>
      </c>
      <c r="D378" s="27" t="s">
        <v>13</v>
      </c>
      <c r="E378" s="25" t="s">
        <v>1095</v>
      </c>
      <c r="F378" s="25" t="s">
        <v>1096</v>
      </c>
      <c r="G378" s="25">
        <v>500</v>
      </c>
      <c r="H378" s="25"/>
    </row>
    <row r="379" spans="1:8" ht="14">
      <c r="A379" s="25" t="s">
        <v>1097</v>
      </c>
      <c r="B379" s="26" t="s">
        <v>1079</v>
      </c>
      <c r="C379" s="25" t="str">
        <f t="shared" si="6"/>
        <v>plasma</v>
      </c>
      <c r="D379" s="27" t="s">
        <v>13</v>
      </c>
      <c r="E379" s="25" t="s">
        <v>1098</v>
      </c>
      <c r="F379" s="25" t="s">
        <v>1099</v>
      </c>
      <c r="G379" s="25">
        <v>500</v>
      </c>
      <c r="H379" s="25"/>
    </row>
    <row r="380" spans="1:8" ht="14">
      <c r="A380" s="25" t="s">
        <v>1100</v>
      </c>
      <c r="B380" s="26" t="s">
        <v>1079</v>
      </c>
      <c r="C380" s="25" t="str">
        <f t="shared" si="6"/>
        <v>pleural</v>
      </c>
      <c r="D380" s="27" t="s">
        <v>13</v>
      </c>
      <c r="E380" s="25" t="s">
        <v>1101</v>
      </c>
      <c r="F380" s="25" t="s">
        <v>1102</v>
      </c>
      <c r="G380" s="25">
        <v>500</v>
      </c>
      <c r="H380" s="25"/>
    </row>
    <row r="381" spans="1:8" ht="14">
      <c r="A381" s="25" t="s">
        <v>1103</v>
      </c>
      <c r="B381" s="26" t="s">
        <v>1079</v>
      </c>
      <c r="C381" s="25" t="str">
        <f t="shared" si="6"/>
        <v>saliva</v>
      </c>
      <c r="D381" s="27" t="s">
        <v>13</v>
      </c>
      <c r="E381" s="25" t="s">
        <v>1104</v>
      </c>
      <c r="F381" s="25" t="s">
        <v>1105</v>
      </c>
      <c r="G381" s="25">
        <v>500</v>
      </c>
      <c r="H381" s="25"/>
    </row>
    <row r="382" spans="1:8" ht="14">
      <c r="A382" s="25" t="s">
        <v>1106</v>
      </c>
      <c r="B382" s="26" t="s">
        <v>1079</v>
      </c>
      <c r="C382" s="25" t="str">
        <f t="shared" si="6"/>
        <v>seminal</v>
      </c>
      <c r="D382" s="27" t="s">
        <v>13</v>
      </c>
      <c r="E382" s="25" t="s">
        <v>1107</v>
      </c>
      <c r="F382" s="25" t="s">
        <v>1108</v>
      </c>
      <c r="G382" s="25">
        <v>500</v>
      </c>
      <c r="H382" s="25"/>
    </row>
    <row r="383" spans="1:8" ht="14">
      <c r="A383" s="25" t="s">
        <v>1109</v>
      </c>
      <c r="B383" s="26" t="s">
        <v>1079</v>
      </c>
      <c r="C383" s="25" t="str">
        <f t="shared" si="6"/>
        <v>serum</v>
      </c>
      <c r="D383" s="27" t="s">
        <v>13</v>
      </c>
      <c r="E383" s="25" t="s">
        <v>1110</v>
      </c>
      <c r="F383" s="25" t="s">
        <v>1111</v>
      </c>
      <c r="G383" s="25">
        <v>500</v>
      </c>
      <c r="H383" s="25"/>
    </row>
    <row r="384" spans="1:8" ht="14">
      <c r="A384" s="25" t="s">
        <v>1112</v>
      </c>
      <c r="B384" s="26" t="s">
        <v>1079</v>
      </c>
      <c r="C384" s="25" t="str">
        <f t="shared" si="6"/>
        <v>urine</v>
      </c>
      <c r="D384" s="27" t="s">
        <v>13</v>
      </c>
      <c r="E384" s="25" t="s">
        <v>1113</v>
      </c>
      <c r="F384" s="25" t="s">
        <v>1114</v>
      </c>
      <c r="G384" s="25">
        <v>500</v>
      </c>
      <c r="H384" s="25"/>
    </row>
    <row r="385" spans="1:8" ht="14">
      <c r="A385" s="25" t="s">
        <v>1115</v>
      </c>
      <c r="B385" s="26" t="s">
        <v>1116</v>
      </c>
      <c r="C385" s="25" t="str">
        <f t="shared" si="6"/>
        <v>01k</v>
      </c>
      <c r="D385" s="25" t="s">
        <v>1115</v>
      </c>
      <c r="E385" s="25" t="s">
        <v>1115</v>
      </c>
      <c r="F385" s="25" t="s">
        <v>1117</v>
      </c>
      <c r="G385" s="25">
        <v>500</v>
      </c>
      <c r="H385" s="25"/>
    </row>
    <row r="386" spans="1:8" ht="14">
      <c r="A386" s="25" t="s">
        <v>1118</v>
      </c>
      <c r="B386" s="26" t="s">
        <v>1116</v>
      </c>
      <c r="C386" s="25" t="str">
        <f t="shared" si="6"/>
        <v>05k</v>
      </c>
      <c r="D386" s="25" t="s">
        <v>1118</v>
      </c>
      <c r="E386" s="25" t="s">
        <v>1118</v>
      </c>
      <c r="F386" s="25" t="s">
        <v>1119</v>
      </c>
      <c r="G386" s="25">
        <v>500</v>
      </c>
      <c r="H386" s="25"/>
    </row>
    <row r="387" spans="1:8" ht="14">
      <c r="A387" s="25" t="s">
        <v>1120</v>
      </c>
      <c r="B387" s="26" t="s">
        <v>1116</v>
      </c>
      <c r="C387" s="25" t="str">
        <f t="shared" si="6"/>
        <v>12k</v>
      </c>
      <c r="D387" s="25" t="s">
        <v>1120</v>
      </c>
      <c r="E387" s="25" t="s">
        <v>1120</v>
      </c>
      <c r="F387" s="25" t="s">
        <v>1121</v>
      </c>
      <c r="G387" s="25">
        <v>500</v>
      </c>
      <c r="H387" s="25"/>
    </row>
    <row r="388" spans="1:8" ht="14">
      <c r="A388" s="25" t="s">
        <v>1122</v>
      </c>
      <c r="B388" s="26" t="s">
        <v>1116</v>
      </c>
      <c r="C388" s="25" t="str">
        <f t="shared" si="6"/>
        <v>24k</v>
      </c>
      <c r="D388" s="25" t="s">
        <v>1122</v>
      </c>
      <c r="E388" s="25" t="s">
        <v>1122</v>
      </c>
      <c r="F388" s="25" t="s">
        <v>1123</v>
      </c>
      <c r="G388" s="25">
        <v>500</v>
      </c>
      <c r="H388" s="25"/>
    </row>
    <row r="389" spans="1:8" ht="14">
      <c r="A389" s="25" t="s">
        <v>1124</v>
      </c>
      <c r="B389" s="26" t="s">
        <v>1116</v>
      </c>
      <c r="C389" s="25" t="str">
        <f t="shared" si="6"/>
        <v>79k</v>
      </c>
      <c r="D389" s="25" t="s">
        <v>1124</v>
      </c>
      <c r="E389" s="25" t="s">
        <v>1124</v>
      </c>
      <c r="F389" s="25" t="s">
        <v>1125</v>
      </c>
      <c r="G389" s="25">
        <v>500</v>
      </c>
      <c r="H389" s="25"/>
    </row>
    <row r="390" spans="1:8" ht="14">
      <c r="A390" s="25" t="s">
        <v>1126</v>
      </c>
      <c r="B390" s="26" t="s">
        <v>1116</v>
      </c>
      <c r="C390" s="25" t="str">
        <f t="shared" si="6"/>
        <v>crude_mito</v>
      </c>
      <c r="D390" s="25" t="s">
        <v>1127</v>
      </c>
      <c r="E390" s="25" t="s">
        <v>1128</v>
      </c>
      <c r="F390" s="25" t="s">
        <v>1129</v>
      </c>
      <c r="G390" s="25">
        <v>500</v>
      </c>
      <c r="H390" s="25"/>
    </row>
    <row r="391" spans="1:8" ht="14">
      <c r="A391" s="25" t="s">
        <v>1130</v>
      </c>
      <c r="B391" s="26" t="s">
        <v>1116</v>
      </c>
      <c r="C391" s="25" t="str">
        <f t="shared" si="6"/>
        <v>cytosolic</v>
      </c>
      <c r="D391" s="25" t="s">
        <v>1130</v>
      </c>
      <c r="E391" s="25" t="s">
        <v>1131</v>
      </c>
      <c r="F391" s="25" t="s">
        <v>1132</v>
      </c>
      <c r="G391" s="25">
        <v>500</v>
      </c>
      <c r="H391" s="25"/>
    </row>
    <row r="392" spans="1:8" ht="14">
      <c r="A392" s="25" t="s">
        <v>1133</v>
      </c>
      <c r="B392" s="26" t="s">
        <v>1116</v>
      </c>
      <c r="C392" s="25" t="str">
        <f t="shared" si="6"/>
        <v>total</v>
      </c>
      <c r="D392" s="25" t="s">
        <v>1133</v>
      </c>
      <c r="E392" s="25" t="s">
        <v>1134</v>
      </c>
      <c r="F392" s="25" t="s">
        <v>1135</v>
      </c>
      <c r="G392" s="25">
        <v>500</v>
      </c>
      <c r="H392" s="25"/>
    </row>
    <row r="393" spans="1:8" ht="14">
      <c r="A393" s="25" t="s">
        <v>3017</v>
      </c>
      <c r="B393" s="26" t="s">
        <v>1116</v>
      </c>
      <c r="C393" s="25" t="str">
        <f t="shared" si="6"/>
        <v>pellet</v>
      </c>
      <c r="D393" s="25" t="s">
        <v>3017</v>
      </c>
      <c r="E393" s="25" t="s">
        <v>3018</v>
      </c>
      <c r="F393" s="25" t="s">
        <v>3020</v>
      </c>
      <c r="G393" s="25">
        <v>500</v>
      </c>
      <c r="H393" s="25"/>
    </row>
    <row r="394" spans="1:8" ht="14">
      <c r="A394" s="25" t="s">
        <v>2861</v>
      </c>
      <c r="B394" s="26" t="s">
        <v>1116</v>
      </c>
      <c r="C394" s="25" t="str">
        <f t="shared" si="6"/>
        <v>supernatant</v>
      </c>
      <c r="D394" s="25" t="s">
        <v>2861</v>
      </c>
      <c r="E394" s="25" t="s">
        <v>2862</v>
      </c>
      <c r="F394" s="25" t="s">
        <v>3019</v>
      </c>
      <c r="G394" s="25">
        <v>500</v>
      </c>
      <c r="H394" s="25"/>
    </row>
    <row r="395" spans="1:8" ht="14">
      <c r="A395" s="25" t="s">
        <v>2820</v>
      </c>
      <c r="B395" s="26" t="s">
        <v>92</v>
      </c>
      <c r="C395" s="25" t="str">
        <f t="shared" si="6"/>
        <v>homologrecombination</v>
      </c>
      <c r="D395" s="25" t="s">
        <v>13</v>
      </c>
      <c r="E395" s="25" t="s">
        <v>2821</v>
      </c>
      <c r="F395" s="25" t="s">
        <v>2822</v>
      </c>
      <c r="G395" s="25">
        <v>500</v>
      </c>
      <c r="H395" s="25"/>
    </row>
    <row r="396" spans="1:8" ht="14">
      <c r="A396" s="25" t="s">
        <v>1136</v>
      </c>
      <c r="B396" s="26" t="s">
        <v>92</v>
      </c>
      <c r="C396" s="25" t="str">
        <f t="shared" si="6"/>
        <v>biggybac</v>
      </c>
      <c r="D396" s="27" t="s">
        <v>13</v>
      </c>
      <c r="E396" s="25" t="s">
        <v>1137</v>
      </c>
      <c r="F396" s="25" t="s">
        <v>1138</v>
      </c>
      <c r="G396" s="25">
        <v>500</v>
      </c>
      <c r="H396" s="25"/>
    </row>
    <row r="397" spans="1:8" ht="14">
      <c r="A397" s="25" t="s">
        <v>1139</v>
      </c>
      <c r="B397" s="26" t="s">
        <v>92</v>
      </c>
      <c r="C397" s="25" t="str">
        <f t="shared" si="6"/>
        <v>crispr</v>
      </c>
      <c r="D397" s="27" t="s">
        <v>13</v>
      </c>
      <c r="E397" s="25" t="s">
        <v>1140</v>
      </c>
      <c r="F397" s="25" t="s">
        <v>1141</v>
      </c>
      <c r="G397" s="25">
        <v>500</v>
      </c>
      <c r="H397" s="25"/>
    </row>
    <row r="398" spans="1:8" ht="14">
      <c r="A398" s="25" t="s">
        <v>1142</v>
      </c>
      <c r="B398" s="26" t="s">
        <v>92</v>
      </c>
      <c r="C398" s="25" t="str">
        <f t="shared" si="6"/>
        <v>crispr_hdr</v>
      </c>
      <c r="D398" s="27" t="s">
        <v>13</v>
      </c>
      <c r="E398" s="25" t="s">
        <v>1143</v>
      </c>
      <c r="F398" s="25" t="s">
        <v>1144</v>
      </c>
      <c r="G398" s="25">
        <v>500</v>
      </c>
      <c r="H398" s="25"/>
    </row>
    <row r="399" spans="1:8" ht="14">
      <c r="A399" s="25" t="s">
        <v>1145</v>
      </c>
      <c r="B399" s="26" t="s">
        <v>92</v>
      </c>
      <c r="C399" s="25" t="str">
        <f t="shared" si="6"/>
        <v>lentiviral</v>
      </c>
      <c r="D399" s="27" t="s">
        <v>13</v>
      </c>
      <c r="E399" s="25" t="s">
        <v>1146</v>
      </c>
      <c r="F399" s="25" t="s">
        <v>1147</v>
      </c>
      <c r="G399" s="25">
        <v>500</v>
      </c>
      <c r="H399" s="25"/>
    </row>
    <row r="400" spans="1:8" ht="14">
      <c r="A400" s="25" t="s">
        <v>1148</v>
      </c>
      <c r="B400" s="26" t="s">
        <v>92</v>
      </c>
      <c r="C400" s="25" t="str">
        <f t="shared" si="6"/>
        <v>talen</v>
      </c>
      <c r="D400" s="27" t="s">
        <v>13</v>
      </c>
      <c r="E400" s="25" t="s">
        <v>1149</v>
      </c>
      <c r="F400" s="25" t="s">
        <v>1150</v>
      </c>
      <c r="G400" s="25">
        <v>500</v>
      </c>
      <c r="H400" s="25"/>
    </row>
    <row r="401" spans="1:8" ht="14">
      <c r="A401" s="25" t="s">
        <v>1151</v>
      </c>
      <c r="B401" s="26" t="s">
        <v>92</v>
      </c>
      <c r="C401" s="25" t="str">
        <f t="shared" si="6"/>
        <v>zincfinger</v>
      </c>
      <c r="D401" s="27" t="s">
        <v>13</v>
      </c>
      <c r="E401" s="25" t="s">
        <v>1152</v>
      </c>
      <c r="F401" s="25" t="s">
        <v>1153</v>
      </c>
      <c r="G401" s="25">
        <v>500</v>
      </c>
      <c r="H401" s="25"/>
    </row>
    <row r="402" spans="1:8" ht="14">
      <c r="A402" s="25" t="s">
        <v>1154</v>
      </c>
      <c r="B402" s="26" t="s">
        <v>96</v>
      </c>
      <c r="C402" s="25" t="str">
        <f t="shared" si="6"/>
        <v>deletion</v>
      </c>
      <c r="D402" s="27" t="s">
        <v>13</v>
      </c>
      <c r="E402" s="25" t="s">
        <v>1155</v>
      </c>
      <c r="F402" s="25" t="s">
        <v>1156</v>
      </c>
      <c r="G402" s="25">
        <v>500</v>
      </c>
      <c r="H402" s="25"/>
    </row>
    <row r="403" spans="1:8" ht="14">
      <c r="A403" s="25" t="s">
        <v>1157</v>
      </c>
      <c r="B403" s="26" t="s">
        <v>96</v>
      </c>
      <c r="C403" s="25" t="str">
        <f t="shared" si="6"/>
        <v>inducible_expression</v>
      </c>
      <c r="D403" s="27" t="s">
        <v>13</v>
      </c>
      <c r="E403" s="25" t="s">
        <v>1158</v>
      </c>
      <c r="F403" s="25" t="s">
        <v>1159</v>
      </c>
      <c r="G403" s="25">
        <v>500</v>
      </c>
      <c r="H403" s="25"/>
    </row>
    <row r="404" spans="1:8" ht="14">
      <c r="A404" s="25" t="s">
        <v>1160</v>
      </c>
      <c r="B404" s="26" t="s">
        <v>96</v>
      </c>
      <c r="C404" s="25" t="str">
        <f t="shared" si="6"/>
        <v>knockin</v>
      </c>
      <c r="D404" s="27" t="s">
        <v>13</v>
      </c>
      <c r="E404" s="25" t="s">
        <v>1161</v>
      </c>
      <c r="F404" s="25" t="s">
        <v>1162</v>
      </c>
      <c r="G404" s="25">
        <v>500</v>
      </c>
      <c r="H404" s="25"/>
    </row>
    <row r="405" spans="1:8" ht="14">
      <c r="A405" s="25" t="s">
        <v>1163</v>
      </c>
      <c r="B405" s="26" t="s">
        <v>96</v>
      </c>
      <c r="C405" s="25" t="str">
        <f t="shared" si="6"/>
        <v>ko</v>
      </c>
      <c r="D405" s="27" t="s">
        <v>13</v>
      </c>
      <c r="E405" s="25" t="s">
        <v>1164</v>
      </c>
      <c r="F405" s="25" t="s">
        <v>1165</v>
      </c>
      <c r="G405" s="25">
        <v>500</v>
      </c>
      <c r="H405" s="25"/>
    </row>
    <row r="406" spans="1:8" ht="14">
      <c r="A406" s="25" t="s">
        <v>1166</v>
      </c>
      <c r="B406" s="26" t="s">
        <v>96</v>
      </c>
      <c r="C406" s="25" t="str">
        <f t="shared" si="6"/>
        <v>stable_expression</v>
      </c>
      <c r="D406" s="27" t="s">
        <v>13</v>
      </c>
      <c r="E406" s="25" t="s">
        <v>1167</v>
      </c>
      <c r="F406" s="25" t="s">
        <v>1168</v>
      </c>
      <c r="G406" s="25">
        <v>500</v>
      </c>
      <c r="H406" s="25"/>
    </row>
    <row r="407" spans="1:8" ht="14">
      <c r="A407" s="25" t="s">
        <v>3875</v>
      </c>
      <c r="B407" s="26" t="s">
        <v>93</v>
      </c>
      <c r="C407" s="25" t="str">
        <f t="shared" si="6"/>
        <v>hetero</v>
      </c>
      <c r="D407" s="27" t="s">
        <v>13</v>
      </c>
      <c r="E407" s="25" t="s">
        <v>1169</v>
      </c>
      <c r="F407" s="25" t="s">
        <v>1170</v>
      </c>
      <c r="G407" s="25">
        <v>500</v>
      </c>
      <c r="H407" s="25"/>
    </row>
    <row r="408" spans="1:8" ht="14">
      <c r="A408" s="25" t="s">
        <v>3876</v>
      </c>
      <c r="B408" s="26" t="s">
        <v>93</v>
      </c>
      <c r="C408" s="25" t="str">
        <f t="shared" si="6"/>
        <v>homozygot</v>
      </c>
      <c r="D408" s="27" t="s">
        <v>13</v>
      </c>
      <c r="E408" s="25" t="s">
        <v>1171</v>
      </c>
      <c r="F408" s="25" t="s">
        <v>1172</v>
      </c>
      <c r="G408" s="25">
        <v>500</v>
      </c>
      <c r="H408" s="25"/>
    </row>
    <row r="409" spans="1:8" ht="14">
      <c r="A409" s="25" t="s">
        <v>2552</v>
      </c>
      <c r="B409" s="26" t="s">
        <v>93</v>
      </c>
      <c r="C409" s="25" t="str">
        <f t="shared" si="6"/>
        <v>wt</v>
      </c>
      <c r="D409" s="27" t="s">
        <v>13</v>
      </c>
      <c r="E409" s="25" t="s">
        <v>2668</v>
      </c>
      <c r="F409" s="25" t="s">
        <v>2669</v>
      </c>
      <c r="G409" s="25">
        <v>500</v>
      </c>
      <c r="H409" s="25"/>
    </row>
    <row r="410" spans="1:8" ht="14">
      <c r="A410" s="25" t="s">
        <v>2882</v>
      </c>
      <c r="B410" s="26" t="s">
        <v>93</v>
      </c>
      <c r="C410" s="25" t="str">
        <f t="shared" si="6"/>
        <v>hemi</v>
      </c>
      <c r="D410" s="27" t="s">
        <v>13</v>
      </c>
      <c r="E410" s="25" t="s">
        <v>2883</v>
      </c>
      <c r="F410" s="25" t="s">
        <v>2884</v>
      </c>
      <c r="G410" s="25">
        <v>500</v>
      </c>
      <c r="H410" s="25"/>
    </row>
    <row r="411" spans="1:8" ht="14">
      <c r="A411" s="25" t="s">
        <v>2676</v>
      </c>
      <c r="B411" s="26" t="s">
        <v>93</v>
      </c>
      <c r="C411" s="25" t="str">
        <f t="shared" si="6"/>
        <v>unknown</v>
      </c>
      <c r="D411" s="27" t="s">
        <v>13</v>
      </c>
      <c r="E411" s="25" t="s">
        <v>2721</v>
      </c>
      <c r="F411" s="25" t="s">
        <v>2677</v>
      </c>
      <c r="G411" s="25">
        <v>500</v>
      </c>
      <c r="H411" s="25"/>
    </row>
    <row r="412" spans="1:8" ht="14">
      <c r="A412" s="25" t="s">
        <v>2816</v>
      </c>
      <c r="B412" s="26" t="s">
        <v>4398</v>
      </c>
      <c r="C412" s="25" t="str">
        <f t="shared" si="6"/>
        <v>male</v>
      </c>
      <c r="D412" s="27" t="s">
        <v>13</v>
      </c>
      <c r="E412" s="25" t="s">
        <v>2817</v>
      </c>
      <c r="F412" s="25" t="s">
        <v>2817</v>
      </c>
      <c r="G412" s="25">
        <v>500</v>
      </c>
      <c r="H412" s="25"/>
    </row>
    <row r="413" spans="1:8" ht="14">
      <c r="A413" s="25" t="s">
        <v>2818</v>
      </c>
      <c r="B413" s="26" t="s">
        <v>4398</v>
      </c>
      <c r="C413" s="25" t="str">
        <f t="shared" si="6"/>
        <v>female</v>
      </c>
      <c r="D413" s="27" t="s">
        <v>13</v>
      </c>
      <c r="E413" s="25" t="s">
        <v>2819</v>
      </c>
      <c r="F413" s="25" t="s">
        <v>2819</v>
      </c>
      <c r="G413" s="25">
        <v>500</v>
      </c>
      <c r="H413" s="25"/>
    </row>
    <row r="414" spans="1:8" ht="14">
      <c r="A414" s="25" t="s">
        <v>3145</v>
      </c>
      <c r="B414" s="26" t="s">
        <v>3144</v>
      </c>
      <c r="C414" s="25" t="str">
        <f t="shared" si="6"/>
        <v>binary</v>
      </c>
      <c r="D414" s="27" t="s">
        <v>13</v>
      </c>
      <c r="E414" s="25" t="s">
        <v>3146</v>
      </c>
      <c r="F414" s="25" t="s">
        <v>3147</v>
      </c>
      <c r="G414" s="25">
        <v>500</v>
      </c>
      <c r="H414" s="25"/>
    </row>
    <row r="415" spans="1:8" ht="14">
      <c r="A415" s="25" t="s">
        <v>4458</v>
      </c>
      <c r="B415" s="26" t="s">
        <v>99</v>
      </c>
      <c r="C415" s="25" t="str">
        <f t="shared" si="6"/>
        <v>da</v>
      </c>
      <c r="D415" s="27" t="s">
        <v>13</v>
      </c>
      <c r="E415" s="25" t="s">
        <v>4457</v>
      </c>
      <c r="F415" s="25" t="s">
        <v>4460</v>
      </c>
      <c r="G415" s="25">
        <v>500</v>
      </c>
      <c r="H415" s="25"/>
    </row>
    <row r="416" spans="1:8" ht="14">
      <c r="A416" s="25" t="s">
        <v>4459</v>
      </c>
      <c r="B416" s="26" t="s">
        <v>99</v>
      </c>
      <c r="C416" s="25" t="str">
        <f t="shared" si="6"/>
        <v>th</v>
      </c>
      <c r="D416" s="27" t="s">
        <v>13</v>
      </c>
      <c r="E416" s="25" t="s">
        <v>4461</v>
      </c>
      <c r="F416" s="25" t="s">
        <v>4462</v>
      </c>
      <c r="G416" s="25">
        <v>500</v>
      </c>
      <c r="H416" s="25"/>
    </row>
    <row r="417" spans="1:8" ht="14">
      <c r="A417" s="25" t="s">
        <v>1173</v>
      </c>
      <c r="B417" s="26" t="s">
        <v>100</v>
      </c>
      <c r="C417" s="25" t="str">
        <f t="shared" si="6"/>
        <v>esirna</v>
      </c>
      <c r="D417" s="25" t="s">
        <v>1173</v>
      </c>
      <c r="E417" s="25" t="s">
        <v>1174</v>
      </c>
      <c r="F417" s="25" t="s">
        <v>1175</v>
      </c>
      <c r="G417" s="25">
        <v>500</v>
      </c>
      <c r="H417" s="25"/>
    </row>
    <row r="418" spans="1:8" ht="14">
      <c r="A418" s="25" t="s">
        <v>1176</v>
      </c>
      <c r="B418" s="26" t="s">
        <v>100</v>
      </c>
      <c r="C418" s="25" t="str">
        <f t="shared" si="6"/>
        <v>grna</v>
      </c>
      <c r="D418" s="25" t="s">
        <v>1176</v>
      </c>
      <c r="E418" s="25" t="s">
        <v>1177</v>
      </c>
      <c r="F418" s="25" t="s">
        <v>1178</v>
      </c>
      <c r="G418" s="25">
        <v>500</v>
      </c>
      <c r="H418" s="25"/>
    </row>
    <row r="419" spans="1:8" ht="14">
      <c r="A419" s="25" t="s">
        <v>1179</v>
      </c>
      <c r="B419" s="26" t="s">
        <v>100</v>
      </c>
      <c r="C419" s="25" t="str">
        <f t="shared" si="6"/>
        <v>mirna</v>
      </c>
      <c r="D419" s="25" t="s">
        <v>1179</v>
      </c>
      <c r="E419" s="25" t="s">
        <v>1180</v>
      </c>
      <c r="F419" s="25" t="s">
        <v>1181</v>
      </c>
      <c r="G419" s="25">
        <v>500</v>
      </c>
      <c r="H419" s="25"/>
    </row>
    <row r="420" spans="1:8" ht="14">
      <c r="A420" s="25" t="s">
        <v>1182</v>
      </c>
      <c r="B420" s="26" t="s">
        <v>100</v>
      </c>
      <c r="C420" s="25" t="str">
        <f t="shared" si="6"/>
        <v>shrna</v>
      </c>
      <c r="D420" s="25" t="s">
        <v>1182</v>
      </c>
      <c r="E420" s="25" t="s">
        <v>1183</v>
      </c>
      <c r="F420" s="25" t="s">
        <v>1184</v>
      </c>
      <c r="G420" s="25">
        <v>500</v>
      </c>
      <c r="H420" s="25"/>
    </row>
    <row r="421" spans="1:8" ht="14">
      <c r="A421" s="25" t="s">
        <v>1185</v>
      </c>
      <c r="B421" s="26" t="s">
        <v>100</v>
      </c>
      <c r="C421" s="25" t="str">
        <f t="shared" si="6"/>
        <v>sirna</v>
      </c>
      <c r="D421" s="25" t="s">
        <v>1185</v>
      </c>
      <c r="E421" s="25" t="s">
        <v>1186</v>
      </c>
      <c r="F421" s="25" t="s">
        <v>1187</v>
      </c>
      <c r="G421" s="25">
        <v>500</v>
      </c>
      <c r="H421" s="25"/>
    </row>
    <row r="422" spans="1:8" ht="14">
      <c r="A422" s="25" t="s">
        <v>1188</v>
      </c>
      <c r="B422" s="26" t="s">
        <v>4023</v>
      </c>
      <c r="C422" s="25" t="str">
        <f t="shared" si="6"/>
        <v>e1000</v>
      </c>
      <c r="D422" s="25" t="s">
        <v>1188</v>
      </c>
      <c r="E422" s="25" t="s">
        <v>1189</v>
      </c>
      <c r="F422" s="25" t="s">
        <v>1190</v>
      </c>
      <c r="G422" s="25">
        <v>500</v>
      </c>
      <c r="H422" s="25"/>
    </row>
    <row r="423" spans="1:8" ht="14">
      <c r="A423" s="25" t="s">
        <v>1191</v>
      </c>
      <c r="B423" s="26" t="s">
        <v>4023</v>
      </c>
      <c r="C423" s="25" t="str">
        <f t="shared" si="6"/>
        <v>e1200</v>
      </c>
      <c r="D423" s="25" t="s">
        <v>1191</v>
      </c>
      <c r="E423" s="25" t="s">
        <v>1192</v>
      </c>
      <c r="F423" s="25" t="s">
        <v>1193</v>
      </c>
      <c r="G423" s="25">
        <v>500</v>
      </c>
      <c r="H423" s="25"/>
    </row>
    <row r="424" spans="1:8" ht="14">
      <c r="A424" s="25" t="s">
        <v>1194</v>
      </c>
      <c r="B424" s="26" t="s">
        <v>4023</v>
      </c>
      <c r="C424" s="25" t="str">
        <f t="shared" si="6"/>
        <v>evosep</v>
      </c>
      <c r="D424" s="25" t="s">
        <v>1194</v>
      </c>
      <c r="E424" s="25" t="s">
        <v>1195</v>
      </c>
      <c r="F424" s="25" t="s">
        <v>1195</v>
      </c>
      <c r="G424" s="25">
        <v>500</v>
      </c>
      <c r="H424" s="25"/>
    </row>
    <row r="425" spans="1:8" ht="14">
      <c r="A425" s="25" t="s">
        <v>1196</v>
      </c>
      <c r="B425" s="26" t="s">
        <v>4023</v>
      </c>
      <c r="C425" s="25" t="str">
        <f t="shared" ref="C425:C491" si="7">A425</f>
        <v>nanoelute</v>
      </c>
      <c r="D425" s="25" t="s">
        <v>1196</v>
      </c>
      <c r="E425" s="25" t="s">
        <v>1197</v>
      </c>
      <c r="F425" s="25" t="s">
        <v>1198</v>
      </c>
      <c r="G425" s="25">
        <v>500</v>
      </c>
      <c r="H425" s="25"/>
    </row>
    <row r="426" spans="1:8" ht="14">
      <c r="A426" s="25" t="s">
        <v>1199</v>
      </c>
      <c r="B426" s="26" t="s">
        <v>4023</v>
      </c>
      <c r="C426" s="25" t="str">
        <f t="shared" si="7"/>
        <v>ultimate</v>
      </c>
      <c r="D426" s="25" t="s">
        <v>1199</v>
      </c>
      <c r="E426" s="25" t="s">
        <v>1200</v>
      </c>
      <c r="F426" s="25" t="s">
        <v>1201</v>
      </c>
      <c r="G426" s="25">
        <v>500</v>
      </c>
      <c r="H426" s="25"/>
    </row>
    <row r="427" spans="1:8" ht="14">
      <c r="A427" s="25" t="s">
        <v>1202</v>
      </c>
      <c r="B427" s="26" t="s">
        <v>4023</v>
      </c>
      <c r="C427" s="25" t="str">
        <f t="shared" si="7"/>
        <v>vanquish</v>
      </c>
      <c r="D427" s="25" t="s">
        <v>1202</v>
      </c>
      <c r="E427" s="25" t="s">
        <v>1203</v>
      </c>
      <c r="F427" s="25" t="s">
        <v>1204</v>
      </c>
      <c r="G427" s="25">
        <v>500</v>
      </c>
      <c r="H427" s="25"/>
    </row>
    <row r="428" spans="1:8" ht="14">
      <c r="A428" s="25" t="s">
        <v>2876</v>
      </c>
      <c r="B428" s="26" t="s">
        <v>4024</v>
      </c>
      <c r="C428" s="25" t="str">
        <f t="shared" si="7"/>
        <v>easy1200mpi</v>
      </c>
      <c r="D428" s="25" t="s">
        <v>13</v>
      </c>
      <c r="E428" s="25" t="s">
        <v>2877</v>
      </c>
      <c r="F428" s="25" t="s">
        <v>2878</v>
      </c>
      <c r="G428" s="25">
        <v>500</v>
      </c>
      <c r="H428" s="25"/>
    </row>
    <row r="429" spans="1:8" ht="14">
      <c r="A429" s="25" t="s">
        <v>1205</v>
      </c>
      <c r="B429" s="26" t="s">
        <v>4024</v>
      </c>
      <c r="C429" s="25" t="str">
        <f t="shared" si="7"/>
        <v>easylc1</v>
      </c>
      <c r="D429" s="27" t="s">
        <v>13</v>
      </c>
      <c r="E429" s="25" t="s">
        <v>1206</v>
      </c>
      <c r="F429" s="25" t="s">
        <v>1206</v>
      </c>
      <c r="G429" s="25">
        <v>500</v>
      </c>
      <c r="H429" s="25"/>
    </row>
    <row r="430" spans="1:8" ht="14">
      <c r="A430" s="25" t="s">
        <v>1207</v>
      </c>
      <c r="B430" s="26" t="s">
        <v>4024</v>
      </c>
      <c r="C430" s="25" t="str">
        <f t="shared" si="7"/>
        <v>easylc2</v>
      </c>
      <c r="D430" s="27" t="s">
        <v>13</v>
      </c>
      <c r="E430" s="25" t="s">
        <v>1208</v>
      </c>
      <c r="F430" s="25" t="s">
        <v>1208</v>
      </c>
      <c r="G430" s="25">
        <v>500</v>
      </c>
      <c r="H430" s="25"/>
    </row>
    <row r="431" spans="1:8" ht="14">
      <c r="A431" s="25" t="s">
        <v>1209</v>
      </c>
      <c r="B431" s="26" t="s">
        <v>4024</v>
      </c>
      <c r="C431" s="25" t="str">
        <f t="shared" si="7"/>
        <v>evosep1</v>
      </c>
      <c r="D431" s="27" t="s">
        <v>13</v>
      </c>
      <c r="E431" s="25" t="s">
        <v>1210</v>
      </c>
      <c r="F431" s="25" t="s">
        <v>1211</v>
      </c>
      <c r="G431" s="25">
        <v>500</v>
      </c>
      <c r="H431" s="25"/>
    </row>
    <row r="432" spans="1:8" ht="14">
      <c r="A432" s="25" t="s">
        <v>1212</v>
      </c>
      <c r="B432" s="26" t="s">
        <v>4024</v>
      </c>
      <c r="C432" s="25" t="str">
        <f t="shared" si="7"/>
        <v>vanquishneo1</v>
      </c>
      <c r="D432" s="27" t="s">
        <v>13</v>
      </c>
      <c r="E432" s="25" t="s">
        <v>1213</v>
      </c>
      <c r="F432" s="25" t="s">
        <v>1213</v>
      </c>
      <c r="G432" s="25">
        <v>500</v>
      </c>
      <c r="H432" s="25"/>
    </row>
    <row r="433" spans="1:8" ht="14">
      <c r="A433" s="25" t="s">
        <v>1214</v>
      </c>
      <c r="B433" s="26" t="s">
        <v>104</v>
      </c>
      <c r="C433" s="25" t="str">
        <f t="shared" si="7"/>
        <v>bravo</v>
      </c>
      <c r="D433" s="25" t="s">
        <v>1214</v>
      </c>
      <c r="E433" s="25" t="s">
        <v>1215</v>
      </c>
      <c r="F433" s="25" t="s">
        <v>1216</v>
      </c>
      <c r="G433" s="25">
        <v>500</v>
      </c>
      <c r="H433" s="25"/>
    </row>
    <row r="434" spans="1:8" ht="14">
      <c r="A434" s="25" t="s">
        <v>1217</v>
      </c>
      <c r="B434" s="26" t="s">
        <v>104</v>
      </c>
      <c r="C434" s="25" t="str">
        <f t="shared" si="7"/>
        <v>felix</v>
      </c>
      <c r="D434" s="25" t="s">
        <v>1217</v>
      </c>
      <c r="E434" s="25" t="s">
        <v>1218</v>
      </c>
      <c r="F434" s="25" t="s">
        <v>1219</v>
      </c>
      <c r="G434" s="25">
        <v>500</v>
      </c>
      <c r="H434" s="25"/>
    </row>
    <row r="435" spans="1:8" ht="14">
      <c r="A435" s="25" t="s">
        <v>1220</v>
      </c>
      <c r="B435" s="26" t="s">
        <v>104</v>
      </c>
      <c r="C435" s="25" t="str">
        <f t="shared" si="7"/>
        <v>kingfisher</v>
      </c>
      <c r="D435" s="25" t="s">
        <v>1220</v>
      </c>
      <c r="E435" s="25" t="s">
        <v>1221</v>
      </c>
      <c r="F435" s="25" t="s">
        <v>1222</v>
      </c>
      <c r="G435" s="25">
        <v>500</v>
      </c>
      <c r="H435" s="25"/>
    </row>
    <row r="436" spans="1:8" ht="14">
      <c r="A436" s="25" t="s">
        <v>1223</v>
      </c>
      <c r="B436" s="26" t="s">
        <v>104</v>
      </c>
      <c r="C436" s="25" t="str">
        <f t="shared" si="7"/>
        <v>microlabhamilton</v>
      </c>
      <c r="D436" s="25" t="s">
        <v>1223</v>
      </c>
      <c r="E436" s="25" t="s">
        <v>1224</v>
      </c>
      <c r="F436" s="25" t="s">
        <v>1225</v>
      </c>
      <c r="G436" s="25">
        <v>500</v>
      </c>
      <c r="H436" s="25"/>
    </row>
    <row r="437" spans="1:8" ht="14">
      <c r="A437" s="25" t="s">
        <v>1226</v>
      </c>
      <c r="B437" s="26" t="s">
        <v>104</v>
      </c>
      <c r="C437" s="25" t="str">
        <f t="shared" si="7"/>
        <v>mosquitoHV</v>
      </c>
      <c r="D437" s="25" t="s">
        <v>1226</v>
      </c>
      <c r="E437" s="25" t="s">
        <v>1227</v>
      </c>
      <c r="F437" s="25" t="s">
        <v>1228</v>
      </c>
      <c r="G437" s="25">
        <v>500</v>
      </c>
      <c r="H437" s="25"/>
    </row>
    <row r="438" spans="1:8" ht="14">
      <c r="A438" s="25" t="s">
        <v>1229</v>
      </c>
      <c r="B438" s="26" t="s">
        <v>104</v>
      </c>
      <c r="C438" s="25" t="str">
        <f t="shared" si="7"/>
        <v>mosquitoLV</v>
      </c>
      <c r="D438" s="25" t="s">
        <v>1229</v>
      </c>
      <c r="E438" s="25" t="s">
        <v>1230</v>
      </c>
      <c r="F438" s="25" t="s">
        <v>1231</v>
      </c>
      <c r="G438" s="25">
        <v>500</v>
      </c>
      <c r="H438" s="25"/>
    </row>
    <row r="439" spans="1:8" ht="14">
      <c r="A439" s="25" t="s">
        <v>1232</v>
      </c>
      <c r="B439" s="26" t="s">
        <v>104</v>
      </c>
      <c r="C439" s="25" t="str">
        <f t="shared" si="7"/>
        <v>opentrons</v>
      </c>
      <c r="D439" s="25" t="s">
        <v>1232</v>
      </c>
      <c r="E439" s="25" t="s">
        <v>2716</v>
      </c>
      <c r="F439" s="25" t="s">
        <v>2716</v>
      </c>
      <c r="G439" s="25">
        <v>500</v>
      </c>
      <c r="H439" s="25"/>
    </row>
    <row r="440" spans="1:8" ht="14">
      <c r="A440" s="25" t="s">
        <v>2879</v>
      </c>
      <c r="B440" s="26" t="s">
        <v>104</v>
      </c>
      <c r="C440" s="25" t="str">
        <f t="shared" si="7"/>
        <v>opentronsot2</v>
      </c>
      <c r="D440" s="25" t="s">
        <v>1232</v>
      </c>
      <c r="E440" s="25" t="s">
        <v>2717</v>
      </c>
      <c r="F440" s="25" t="s">
        <v>2717</v>
      </c>
      <c r="G440" s="25">
        <v>500</v>
      </c>
      <c r="H440" s="25"/>
    </row>
    <row r="441" spans="1:8" ht="14">
      <c r="A441" s="25" t="s">
        <v>1234</v>
      </c>
      <c r="B441" s="26" t="s">
        <v>104</v>
      </c>
      <c r="C441" s="25" t="str">
        <f t="shared" si="7"/>
        <v>tecan</v>
      </c>
      <c r="D441" s="25" t="s">
        <v>1234</v>
      </c>
      <c r="E441" s="25" t="s">
        <v>1235</v>
      </c>
      <c r="F441" s="25" t="s">
        <v>1236</v>
      </c>
      <c r="G441" s="25">
        <v>500</v>
      </c>
      <c r="H441" s="25"/>
    </row>
    <row r="442" spans="1:8" ht="14">
      <c r="A442" s="25" t="s">
        <v>262</v>
      </c>
      <c r="B442" s="26" t="s">
        <v>104</v>
      </c>
      <c r="C442" s="25" t="str">
        <f t="shared" si="7"/>
        <v>none</v>
      </c>
      <c r="D442" s="25" t="s">
        <v>3040</v>
      </c>
      <c r="E442" s="25" t="s">
        <v>3041</v>
      </c>
      <c r="F442" s="25" t="s">
        <v>3042</v>
      </c>
      <c r="G442" s="25">
        <v>500</v>
      </c>
      <c r="H442" s="25"/>
    </row>
    <row r="443" spans="1:8" ht="14">
      <c r="A443" s="25" t="s">
        <v>1237</v>
      </c>
      <c r="B443" s="26" t="s">
        <v>106</v>
      </c>
      <c r="C443" s="25" t="str">
        <f t="shared" si="7"/>
        <v>one_sdc</v>
      </c>
      <c r="D443" s="27" t="s">
        <v>13</v>
      </c>
      <c r="E443" s="25" t="s">
        <v>1238</v>
      </c>
      <c r="F443" s="25" t="s">
        <v>1239</v>
      </c>
      <c r="G443" s="25">
        <v>500</v>
      </c>
      <c r="H443" s="25"/>
    </row>
    <row r="444" spans="1:8" ht="14">
      <c r="A444" s="25" t="s">
        <v>921</v>
      </c>
      <c r="B444" s="26" t="s">
        <v>106</v>
      </c>
      <c r="C444" s="25" t="str">
        <f t="shared" si="7"/>
        <v>sds</v>
      </c>
      <c r="D444" s="27" t="s">
        <v>13</v>
      </c>
      <c r="E444" s="25" t="s">
        <v>1240</v>
      </c>
      <c r="F444" s="25" t="s">
        <v>1241</v>
      </c>
      <c r="G444" s="25">
        <v>500</v>
      </c>
      <c r="H444" s="25"/>
    </row>
    <row r="445" spans="1:8" ht="14">
      <c r="A445" s="25" t="s">
        <v>1242</v>
      </c>
      <c r="B445" s="26" t="s">
        <v>106</v>
      </c>
      <c r="C445" s="25" t="str">
        <f t="shared" si="7"/>
        <v>two_sdc</v>
      </c>
      <c r="D445" s="27" t="s">
        <v>13</v>
      </c>
      <c r="E445" s="25" t="s">
        <v>1243</v>
      </c>
      <c r="F445" s="25" t="s">
        <v>1244</v>
      </c>
      <c r="G445" s="25">
        <v>500</v>
      </c>
      <c r="H445" s="25"/>
    </row>
    <row r="446" spans="1:8" ht="14">
      <c r="A446" s="25" t="s">
        <v>1245</v>
      </c>
      <c r="B446" s="26" t="s">
        <v>106</v>
      </c>
      <c r="C446" s="25" t="str">
        <f t="shared" si="7"/>
        <v>urea</v>
      </c>
      <c r="D446" s="27" t="s">
        <v>13</v>
      </c>
      <c r="E446" s="25" t="s">
        <v>1246</v>
      </c>
      <c r="F446" s="25" t="s">
        <v>1247</v>
      </c>
      <c r="G446" s="25">
        <v>500</v>
      </c>
      <c r="H446" s="25"/>
    </row>
    <row r="447" spans="1:8" ht="14">
      <c r="A447" s="25" t="s">
        <v>3027</v>
      </c>
      <c r="B447" s="26" t="s">
        <v>106</v>
      </c>
      <c r="C447" s="25" t="str">
        <f t="shared" si="7"/>
        <v>ripa</v>
      </c>
      <c r="D447" s="27" t="s">
        <v>13</v>
      </c>
      <c r="E447" s="25" t="s">
        <v>3028</v>
      </c>
      <c r="F447" s="25" t="s">
        <v>3029</v>
      </c>
      <c r="G447" s="25">
        <v>500</v>
      </c>
      <c r="H447" s="25"/>
    </row>
    <row r="448" spans="1:8" ht="14">
      <c r="A448" s="25" t="s">
        <v>3030</v>
      </c>
      <c r="B448" s="26" t="s">
        <v>106</v>
      </c>
      <c r="C448" s="25" t="str">
        <f t="shared" si="7"/>
        <v>ripasds</v>
      </c>
      <c r="D448" s="27" t="s">
        <v>13</v>
      </c>
      <c r="E448" s="25" t="s">
        <v>3031</v>
      </c>
      <c r="F448" s="25" t="s">
        <v>3032</v>
      </c>
      <c r="G448" s="25">
        <v>500</v>
      </c>
      <c r="H448" s="25"/>
    </row>
    <row r="449" spans="1:1008" ht="14">
      <c r="A449" s="25" t="s">
        <v>2713</v>
      </c>
      <c r="B449" s="26" t="s">
        <v>64</v>
      </c>
      <c r="C449" s="25" t="str">
        <f t="shared" si="7"/>
        <v>chemical</v>
      </c>
      <c r="D449" s="27" t="s">
        <v>13</v>
      </c>
      <c r="E449" s="25" t="s">
        <v>2714</v>
      </c>
      <c r="F449" s="25" t="s">
        <v>2715</v>
      </c>
      <c r="G449" s="25">
        <v>500</v>
      </c>
      <c r="H449" s="25"/>
    </row>
    <row r="450" spans="1:1008" ht="14">
      <c r="A450" s="25" t="s">
        <v>2723</v>
      </c>
      <c r="B450" s="26" t="s">
        <v>64</v>
      </c>
      <c r="C450" s="25" t="str">
        <f t="shared" si="7"/>
        <v>sonicaton</v>
      </c>
      <c r="D450" s="27" t="s">
        <v>13</v>
      </c>
      <c r="E450" s="25" t="s">
        <v>2724</v>
      </c>
      <c r="F450" s="25" t="s">
        <v>2722</v>
      </c>
      <c r="G450" s="25">
        <v>500</v>
      </c>
      <c r="H450" s="25"/>
    </row>
    <row r="451" spans="1:1008" ht="14">
      <c r="A451" s="25" t="s">
        <v>1248</v>
      </c>
      <c r="B451" s="26" t="s">
        <v>64</v>
      </c>
      <c r="C451" s="25" t="str">
        <f t="shared" si="7"/>
        <v>dounce</v>
      </c>
      <c r="D451" s="27" t="s">
        <v>13</v>
      </c>
      <c r="E451" s="25" t="s">
        <v>1249</v>
      </c>
      <c r="F451" s="25" t="s">
        <v>1250</v>
      </c>
      <c r="G451" s="25">
        <v>500</v>
      </c>
      <c r="H451" s="25"/>
    </row>
    <row r="452" spans="1:1008" ht="14">
      <c r="A452" s="25" t="s">
        <v>1251</v>
      </c>
      <c r="B452" s="26" t="s">
        <v>64</v>
      </c>
      <c r="C452" s="25" t="str">
        <f t="shared" si="7"/>
        <v>motar_pestle</v>
      </c>
      <c r="D452" s="27" t="s">
        <v>13</v>
      </c>
      <c r="E452" s="25" t="s">
        <v>1252</v>
      </c>
      <c r="F452" s="25" t="s">
        <v>1253</v>
      </c>
      <c r="G452" s="25">
        <v>500</v>
      </c>
      <c r="H452" s="25"/>
    </row>
    <row r="453" spans="1:1008" ht="14">
      <c r="A453" s="25" t="s">
        <v>1254</v>
      </c>
      <c r="B453" s="26" t="s">
        <v>64</v>
      </c>
      <c r="C453" s="25" t="str">
        <f t="shared" si="7"/>
        <v>paracyllus</v>
      </c>
      <c r="D453" s="27" t="s">
        <v>13</v>
      </c>
      <c r="E453" s="25" t="s">
        <v>1255</v>
      </c>
      <c r="F453" s="25" t="s">
        <v>1256</v>
      </c>
      <c r="G453" s="25">
        <v>500</v>
      </c>
      <c r="H453" s="25"/>
    </row>
    <row r="454" spans="1:1008" ht="60">
      <c r="A454" s="25" t="s">
        <v>2400</v>
      </c>
      <c r="B454" s="26" t="s">
        <v>3044</v>
      </c>
      <c r="C454" s="25" t="str">
        <f t="shared" si="7"/>
        <v>c57bl6j</v>
      </c>
      <c r="D454" s="27" t="s">
        <v>13</v>
      </c>
      <c r="E454" s="25" t="s">
        <v>3045</v>
      </c>
      <c r="F454" s="29" t="s">
        <v>3046</v>
      </c>
      <c r="G454" s="25">
        <v>500</v>
      </c>
      <c r="H454" s="28"/>
      <c r="I454"/>
      <c r="J454"/>
      <c r="K454"/>
      <c r="L454"/>
      <c r="M454"/>
      <c r="N454"/>
      <c r="O454"/>
      <c r="P454"/>
      <c r="Q454"/>
      <c r="R454"/>
      <c r="S454"/>
      <c r="T454"/>
      <c r="U454"/>
      <c r="V454"/>
      <c r="W454"/>
      <c r="X454"/>
      <c r="Y454"/>
      <c r="Z454"/>
      <c r="AA454"/>
      <c r="AB454"/>
      <c r="AC454"/>
      <c r="AD454"/>
      <c r="AE454"/>
      <c r="AF454"/>
      <c r="AG454"/>
      <c r="AH454"/>
      <c r="AI454"/>
      <c r="AJ454"/>
      <c r="AK454"/>
      <c r="AL454"/>
      <c r="AM454"/>
      <c r="AN454"/>
      <c r="AO454"/>
      <c r="AP454"/>
      <c r="AQ454"/>
      <c r="AR454"/>
      <c r="AS454"/>
      <c r="AT454"/>
      <c r="AU454"/>
      <c r="AV454"/>
      <c r="AW454"/>
      <c r="AX454"/>
      <c r="AY454"/>
      <c r="AZ454"/>
      <c r="BA454"/>
      <c r="BB454"/>
      <c r="BC454"/>
      <c r="BD454"/>
      <c r="BE454"/>
      <c r="BF454"/>
      <c r="BG454"/>
      <c r="BH454"/>
      <c r="BI454"/>
      <c r="BJ454"/>
      <c r="BK454"/>
      <c r="BL454"/>
      <c r="BM454"/>
      <c r="BN454"/>
      <c r="BO454"/>
      <c r="BP454"/>
      <c r="BQ454"/>
      <c r="BR454"/>
      <c r="BS454"/>
      <c r="BT454"/>
      <c r="BU454"/>
      <c r="BV454"/>
      <c r="BW454"/>
      <c r="BX454"/>
      <c r="BY454"/>
      <c r="BZ454"/>
      <c r="CA454"/>
      <c r="CB454"/>
      <c r="CC454"/>
      <c r="CD454"/>
      <c r="CE454"/>
      <c r="CF454"/>
      <c r="CG454"/>
      <c r="CH454"/>
      <c r="CI454"/>
      <c r="CJ454"/>
      <c r="CK454"/>
      <c r="CL454"/>
      <c r="CM454"/>
      <c r="CN454"/>
      <c r="CO454"/>
      <c r="CP454"/>
      <c r="CQ454"/>
      <c r="CR454"/>
      <c r="CS454"/>
      <c r="CT454"/>
      <c r="CU454"/>
      <c r="CV454"/>
      <c r="CW454"/>
      <c r="CX454"/>
      <c r="CY454"/>
      <c r="CZ454"/>
      <c r="DA454"/>
      <c r="DB454"/>
      <c r="DC454"/>
      <c r="DD454"/>
      <c r="DE454"/>
      <c r="DF454"/>
      <c r="DG454"/>
      <c r="DH454"/>
      <c r="DI454"/>
      <c r="DJ454"/>
      <c r="DK454"/>
      <c r="DL454"/>
      <c r="DM454"/>
      <c r="DN454"/>
      <c r="DO454"/>
      <c r="DP454"/>
      <c r="DQ454"/>
      <c r="DR454"/>
      <c r="DS454"/>
      <c r="DT454"/>
      <c r="DU454"/>
      <c r="DV454"/>
      <c r="DW454"/>
      <c r="DX454"/>
      <c r="DY454"/>
      <c r="DZ454"/>
      <c r="EA454"/>
      <c r="EB454"/>
      <c r="EC454"/>
      <c r="ED454"/>
      <c r="EE454"/>
      <c r="EF454"/>
      <c r="EG454"/>
      <c r="EH454"/>
      <c r="EI454"/>
      <c r="EJ454"/>
      <c r="EK454"/>
      <c r="EL454"/>
      <c r="EM454"/>
      <c r="EN454"/>
      <c r="EO454"/>
      <c r="EP454"/>
      <c r="EQ454"/>
      <c r="ER454"/>
      <c r="ES454"/>
      <c r="ET454"/>
      <c r="EU454"/>
      <c r="EV454"/>
      <c r="EW454"/>
      <c r="EX454"/>
      <c r="EY454"/>
      <c r="EZ454"/>
      <c r="FA454"/>
      <c r="FB454"/>
      <c r="FC454"/>
      <c r="FD454"/>
      <c r="FE454"/>
      <c r="FF454"/>
      <c r="FG454"/>
      <c r="FH454"/>
      <c r="FI454"/>
      <c r="FJ454"/>
      <c r="FK454"/>
      <c r="FL454"/>
      <c r="FM454"/>
      <c r="FN454"/>
      <c r="FO454"/>
      <c r="FP454"/>
      <c r="FQ454"/>
      <c r="FR454"/>
      <c r="FS454"/>
      <c r="FT454"/>
      <c r="FU454"/>
      <c r="FV454"/>
      <c r="FW454"/>
      <c r="FX454"/>
      <c r="FY454"/>
      <c r="FZ454"/>
      <c r="GA454"/>
      <c r="GB454"/>
      <c r="GC454"/>
      <c r="GD454"/>
      <c r="GE454"/>
      <c r="GF454"/>
      <c r="GG454"/>
      <c r="GH454"/>
      <c r="GI454"/>
      <c r="GJ454"/>
      <c r="GK454"/>
      <c r="GL454"/>
      <c r="GM454"/>
      <c r="GN454"/>
      <c r="GO454"/>
      <c r="GP454"/>
      <c r="GQ454"/>
      <c r="GR454"/>
      <c r="GS454"/>
      <c r="GT454"/>
      <c r="GU454"/>
      <c r="GV454"/>
      <c r="GW454"/>
      <c r="GX454"/>
      <c r="GY454"/>
      <c r="GZ454"/>
      <c r="HA454"/>
      <c r="HB454"/>
      <c r="HC454"/>
      <c r="HD454"/>
      <c r="HE454"/>
      <c r="HF454"/>
      <c r="HG454"/>
      <c r="HH454"/>
      <c r="HI454"/>
      <c r="HJ454"/>
      <c r="HK454"/>
      <c r="HL454"/>
      <c r="HM454"/>
      <c r="HN454"/>
      <c r="HO454"/>
      <c r="HP454"/>
      <c r="HQ454"/>
      <c r="HR454"/>
      <c r="HS454"/>
      <c r="HT454"/>
      <c r="HU454"/>
      <c r="HV454"/>
      <c r="HW454"/>
      <c r="HX454"/>
      <c r="HY454"/>
      <c r="HZ454"/>
      <c r="IA454"/>
      <c r="IB454"/>
      <c r="IC454"/>
      <c r="ID454"/>
      <c r="IE454"/>
      <c r="IF454"/>
      <c r="IG454"/>
      <c r="IH454"/>
      <c r="II454"/>
      <c r="IJ454"/>
      <c r="IK454"/>
      <c r="IL454"/>
      <c r="IM454"/>
      <c r="IN454"/>
      <c r="IO454"/>
      <c r="IP454"/>
      <c r="IQ454"/>
      <c r="IR454"/>
      <c r="IS454"/>
      <c r="IT454"/>
      <c r="IU454"/>
      <c r="IV454"/>
      <c r="IW454"/>
      <c r="IX454"/>
      <c r="IY454"/>
      <c r="IZ454"/>
      <c r="JA454"/>
      <c r="JB454"/>
      <c r="JC454"/>
      <c r="JD454"/>
      <c r="JE454"/>
      <c r="JF454"/>
      <c r="JG454"/>
      <c r="JH454"/>
      <c r="JI454"/>
      <c r="JJ454"/>
      <c r="JK454"/>
      <c r="JL454"/>
      <c r="JM454"/>
      <c r="JN454"/>
      <c r="JO454"/>
      <c r="JP454"/>
      <c r="JQ454"/>
      <c r="JR454"/>
      <c r="JS454"/>
      <c r="JT454"/>
      <c r="JU454"/>
      <c r="JV454"/>
      <c r="JW454"/>
      <c r="JX454"/>
      <c r="JY454"/>
      <c r="JZ454"/>
      <c r="KA454"/>
      <c r="KB454"/>
      <c r="KC454"/>
      <c r="KD454"/>
      <c r="KE454"/>
      <c r="KF454"/>
      <c r="KG454"/>
      <c r="KH454"/>
      <c r="KI454"/>
      <c r="KJ454"/>
      <c r="KK454"/>
      <c r="KL454"/>
      <c r="KM454"/>
      <c r="KN454"/>
      <c r="KO454"/>
      <c r="KP454"/>
      <c r="KQ454"/>
      <c r="KR454"/>
      <c r="KS454"/>
      <c r="KT454"/>
      <c r="KU454"/>
      <c r="KV454"/>
      <c r="KW454"/>
      <c r="KX454"/>
      <c r="KY454"/>
      <c r="KZ454"/>
      <c r="LA454"/>
      <c r="LB454"/>
      <c r="LC454"/>
      <c r="LD454"/>
      <c r="LE454"/>
      <c r="LF454"/>
      <c r="LG454"/>
      <c r="LH454"/>
      <c r="LI454"/>
      <c r="LJ454"/>
      <c r="LK454"/>
      <c r="LL454"/>
      <c r="LM454"/>
      <c r="LN454"/>
      <c r="LO454"/>
      <c r="LP454"/>
      <c r="LQ454"/>
      <c r="LR454"/>
      <c r="LS454"/>
      <c r="LT454"/>
      <c r="LU454"/>
      <c r="LV454"/>
      <c r="LW454"/>
      <c r="LX454"/>
      <c r="LY454"/>
      <c r="LZ454"/>
      <c r="MA454"/>
      <c r="MB454"/>
      <c r="MC454"/>
      <c r="MD454"/>
      <c r="ME454"/>
      <c r="MF454"/>
      <c r="MG454"/>
      <c r="MH454"/>
      <c r="MI454"/>
      <c r="MJ454"/>
      <c r="MK454"/>
      <c r="ML454"/>
      <c r="MM454"/>
      <c r="MN454"/>
      <c r="MO454"/>
      <c r="MP454"/>
      <c r="MQ454"/>
      <c r="MR454"/>
      <c r="MS454"/>
      <c r="MT454"/>
      <c r="MU454"/>
      <c r="MV454"/>
      <c r="MW454"/>
      <c r="MX454"/>
      <c r="MY454"/>
      <c r="MZ454"/>
      <c r="NA454"/>
      <c r="NB454"/>
      <c r="NC454"/>
      <c r="ND454"/>
      <c r="NE454"/>
      <c r="NF454"/>
      <c r="NG454"/>
      <c r="NH454"/>
      <c r="NI454"/>
      <c r="NJ454"/>
      <c r="NK454"/>
      <c r="NL454"/>
      <c r="NM454"/>
      <c r="NN454"/>
      <c r="NO454"/>
      <c r="NP454"/>
      <c r="NQ454"/>
      <c r="NR454"/>
      <c r="NS454"/>
      <c r="NT454"/>
      <c r="NU454"/>
      <c r="NV454"/>
      <c r="NW454"/>
      <c r="NX454"/>
      <c r="NY454"/>
      <c r="NZ454"/>
      <c r="OA454"/>
      <c r="OB454"/>
      <c r="OC454"/>
      <c r="OD454"/>
      <c r="OE454"/>
      <c r="OF454"/>
      <c r="OG454"/>
      <c r="OH454"/>
      <c r="OI454"/>
      <c r="OJ454"/>
      <c r="OK454"/>
      <c r="OL454"/>
      <c r="OM454"/>
      <c r="ON454"/>
      <c r="OO454"/>
      <c r="OP454"/>
      <c r="OQ454"/>
      <c r="OR454"/>
      <c r="OS454"/>
      <c r="OT454"/>
      <c r="OU454"/>
      <c r="OV454"/>
      <c r="OW454"/>
      <c r="OX454"/>
      <c r="OY454"/>
      <c r="OZ454"/>
      <c r="PA454"/>
      <c r="PB454"/>
      <c r="PC454"/>
      <c r="PD454"/>
      <c r="PE454"/>
      <c r="PF454"/>
      <c r="PG454"/>
      <c r="PH454"/>
      <c r="PI454"/>
      <c r="PJ454"/>
      <c r="PK454"/>
      <c r="PL454"/>
      <c r="PM454"/>
      <c r="PN454"/>
      <c r="PO454"/>
      <c r="PP454"/>
      <c r="PQ454"/>
      <c r="PR454"/>
      <c r="PS454"/>
      <c r="PT454"/>
      <c r="PU454"/>
      <c r="PV454"/>
      <c r="PW454"/>
      <c r="PX454"/>
      <c r="PY454"/>
      <c r="PZ454"/>
      <c r="QA454"/>
      <c r="QB454"/>
      <c r="QC454"/>
      <c r="QD454"/>
      <c r="QE454"/>
      <c r="QF454"/>
      <c r="QG454"/>
      <c r="QH454"/>
      <c r="QI454"/>
      <c r="QJ454"/>
      <c r="QK454"/>
      <c r="QL454"/>
      <c r="QM454"/>
      <c r="QN454"/>
      <c r="QO454"/>
      <c r="QP454"/>
      <c r="QQ454"/>
      <c r="QR454"/>
      <c r="QS454"/>
      <c r="QT454"/>
      <c r="QU454"/>
      <c r="QV454"/>
      <c r="QW454"/>
      <c r="QX454"/>
      <c r="QY454"/>
      <c r="QZ454"/>
      <c r="RA454"/>
      <c r="RB454"/>
      <c r="RC454"/>
      <c r="RD454"/>
      <c r="RE454"/>
      <c r="RF454"/>
      <c r="RG454"/>
      <c r="RH454"/>
      <c r="RI454"/>
      <c r="RJ454"/>
      <c r="RK454"/>
      <c r="RL454"/>
      <c r="RM454"/>
      <c r="RN454"/>
      <c r="RO454"/>
      <c r="RP454"/>
      <c r="RQ454"/>
      <c r="RR454"/>
      <c r="RS454"/>
      <c r="RT454"/>
      <c r="RU454"/>
      <c r="RV454"/>
      <c r="RW454"/>
      <c r="RX454"/>
      <c r="RY454"/>
      <c r="RZ454"/>
      <c r="SA454"/>
      <c r="SB454"/>
      <c r="SC454"/>
      <c r="SD454"/>
      <c r="SE454"/>
      <c r="SF454"/>
      <c r="SG454"/>
      <c r="SH454"/>
      <c r="SI454"/>
      <c r="SJ454"/>
      <c r="SK454"/>
      <c r="SL454"/>
      <c r="SM454"/>
      <c r="SN454"/>
      <c r="SO454"/>
      <c r="SP454"/>
      <c r="SQ454"/>
      <c r="SR454"/>
      <c r="SS454"/>
      <c r="ST454"/>
      <c r="SU454"/>
      <c r="SV454"/>
      <c r="SW454"/>
      <c r="SX454"/>
      <c r="SY454"/>
      <c r="SZ454"/>
      <c r="TA454"/>
      <c r="TB454"/>
      <c r="TC454"/>
      <c r="TD454"/>
      <c r="TE454"/>
      <c r="TF454"/>
      <c r="TG454"/>
      <c r="TH454"/>
      <c r="TI454"/>
      <c r="TJ454"/>
      <c r="TK454"/>
      <c r="TL454"/>
      <c r="TM454"/>
      <c r="TN454"/>
      <c r="TO454"/>
      <c r="TP454"/>
      <c r="TQ454"/>
      <c r="TR454"/>
      <c r="TS454"/>
      <c r="TT454"/>
      <c r="TU454"/>
      <c r="TV454"/>
      <c r="TW454"/>
      <c r="TX454"/>
      <c r="TY454"/>
      <c r="TZ454"/>
      <c r="UA454"/>
      <c r="UB454"/>
      <c r="UC454"/>
      <c r="UD454"/>
      <c r="UE454"/>
      <c r="UF454"/>
      <c r="UG454"/>
      <c r="UH454"/>
      <c r="UI454"/>
      <c r="UJ454"/>
      <c r="UK454"/>
      <c r="UL454"/>
      <c r="UM454"/>
      <c r="UN454"/>
      <c r="UO454"/>
      <c r="UP454"/>
      <c r="UQ454"/>
      <c r="UR454"/>
      <c r="US454"/>
      <c r="UT454"/>
      <c r="UU454"/>
      <c r="UV454"/>
      <c r="UW454"/>
      <c r="UX454"/>
      <c r="UY454"/>
      <c r="UZ454"/>
      <c r="VA454"/>
      <c r="VB454"/>
      <c r="VC454"/>
      <c r="VD454"/>
      <c r="VE454"/>
      <c r="VF454"/>
      <c r="VG454"/>
      <c r="VH454"/>
      <c r="VI454"/>
      <c r="VJ454"/>
      <c r="VK454"/>
      <c r="VL454"/>
      <c r="VM454"/>
      <c r="VN454"/>
      <c r="VO454"/>
      <c r="VP454"/>
      <c r="VQ454"/>
      <c r="VR454"/>
      <c r="VS454"/>
      <c r="VT454"/>
      <c r="VU454"/>
      <c r="VV454"/>
      <c r="VW454"/>
      <c r="VX454"/>
      <c r="VY454"/>
      <c r="VZ454"/>
      <c r="WA454"/>
      <c r="WB454"/>
      <c r="WC454"/>
      <c r="WD454"/>
      <c r="WE454"/>
      <c r="WF454"/>
      <c r="WG454"/>
      <c r="WH454"/>
      <c r="WI454"/>
      <c r="WJ454"/>
      <c r="WK454"/>
      <c r="WL454"/>
      <c r="WM454"/>
      <c r="WN454"/>
      <c r="WO454"/>
      <c r="WP454"/>
      <c r="WQ454"/>
      <c r="WR454"/>
      <c r="WS454"/>
      <c r="WT454"/>
      <c r="WU454"/>
      <c r="WV454"/>
      <c r="WW454"/>
      <c r="WX454"/>
      <c r="WY454"/>
      <c r="WZ454"/>
      <c r="XA454"/>
      <c r="XB454"/>
      <c r="XC454"/>
      <c r="XD454"/>
      <c r="XE454"/>
      <c r="XF454"/>
      <c r="XG454"/>
      <c r="XH454"/>
      <c r="XI454"/>
      <c r="XJ454"/>
      <c r="XK454"/>
      <c r="XL454"/>
      <c r="XM454"/>
      <c r="XN454"/>
      <c r="XO454"/>
      <c r="XP454"/>
      <c r="XQ454"/>
      <c r="XR454"/>
      <c r="XS454"/>
      <c r="XT454"/>
      <c r="XU454"/>
      <c r="XV454"/>
      <c r="XW454"/>
      <c r="XX454"/>
      <c r="XY454"/>
      <c r="XZ454"/>
      <c r="YA454"/>
      <c r="YB454"/>
      <c r="YC454"/>
      <c r="YD454"/>
      <c r="YE454"/>
      <c r="YF454"/>
      <c r="YG454"/>
      <c r="YH454"/>
      <c r="YI454"/>
      <c r="YJ454"/>
      <c r="YK454"/>
      <c r="YL454"/>
      <c r="YM454"/>
      <c r="YN454"/>
      <c r="YO454"/>
      <c r="YP454"/>
      <c r="YQ454"/>
      <c r="YR454"/>
      <c r="YS454"/>
      <c r="YT454"/>
      <c r="YU454"/>
      <c r="YV454"/>
      <c r="YW454"/>
      <c r="YX454"/>
      <c r="YY454"/>
      <c r="YZ454"/>
      <c r="ZA454"/>
      <c r="ZB454"/>
      <c r="ZC454"/>
      <c r="ZD454"/>
      <c r="ZE454"/>
      <c r="ZF454"/>
      <c r="ZG454"/>
      <c r="ZH454"/>
      <c r="ZI454"/>
      <c r="ZJ454"/>
      <c r="ZK454"/>
      <c r="ZL454"/>
      <c r="ZM454"/>
      <c r="ZN454"/>
      <c r="ZO454"/>
      <c r="ZP454"/>
      <c r="ZQ454"/>
      <c r="ZR454"/>
      <c r="ZS454"/>
      <c r="ZT454"/>
      <c r="ZU454"/>
      <c r="ZV454"/>
      <c r="ZW454"/>
      <c r="ZX454"/>
      <c r="ZY454"/>
      <c r="ZZ454"/>
      <c r="AAA454"/>
      <c r="AAB454"/>
      <c r="AAC454"/>
      <c r="AAD454"/>
      <c r="AAE454"/>
      <c r="AAF454"/>
      <c r="AAG454"/>
      <c r="AAH454"/>
      <c r="AAI454"/>
      <c r="AAJ454"/>
      <c r="AAK454"/>
      <c r="AAL454"/>
      <c r="AAM454"/>
      <c r="AAN454"/>
      <c r="AAO454"/>
      <c r="AAP454"/>
      <c r="AAQ454"/>
      <c r="AAR454"/>
      <c r="AAS454"/>
      <c r="AAT454"/>
      <c r="AAU454"/>
      <c r="AAV454"/>
      <c r="AAW454"/>
      <c r="AAX454"/>
      <c r="AAY454"/>
      <c r="AAZ454"/>
      <c r="ABA454"/>
      <c r="ABB454"/>
      <c r="ABC454"/>
      <c r="ABD454"/>
      <c r="ABE454"/>
      <c r="ABF454"/>
      <c r="ABG454"/>
      <c r="ABH454"/>
      <c r="ABI454"/>
      <c r="ABJ454"/>
      <c r="ABK454"/>
      <c r="ABL454"/>
      <c r="ABM454"/>
      <c r="ABN454"/>
      <c r="ABO454"/>
      <c r="ABP454"/>
      <c r="ABQ454"/>
      <c r="ABR454"/>
      <c r="ABS454"/>
      <c r="ABT454"/>
      <c r="ABU454"/>
      <c r="ABV454"/>
      <c r="ABW454"/>
      <c r="ABX454"/>
      <c r="ABY454"/>
      <c r="ABZ454"/>
      <c r="ACA454"/>
      <c r="ACB454"/>
      <c r="ACC454"/>
      <c r="ACD454"/>
      <c r="ACE454"/>
      <c r="ACF454"/>
      <c r="ACG454"/>
      <c r="ACH454"/>
      <c r="ACI454"/>
      <c r="ACJ454"/>
      <c r="ACK454"/>
      <c r="ACL454"/>
      <c r="ACM454"/>
      <c r="ACN454"/>
      <c r="ACO454"/>
      <c r="ACP454"/>
      <c r="ACQ454"/>
      <c r="ACR454"/>
      <c r="ACS454"/>
      <c r="ACT454"/>
      <c r="ACU454"/>
      <c r="ACV454"/>
      <c r="ACW454"/>
      <c r="ACX454"/>
      <c r="ACY454"/>
      <c r="ACZ454"/>
      <c r="ADA454"/>
      <c r="ADB454"/>
      <c r="ADC454"/>
      <c r="ADD454"/>
      <c r="ADE454"/>
      <c r="ADF454"/>
      <c r="ADG454"/>
      <c r="ADH454"/>
      <c r="ADI454"/>
      <c r="ADJ454"/>
      <c r="ADK454"/>
      <c r="ADL454"/>
      <c r="ADM454"/>
      <c r="ADN454"/>
      <c r="ADO454"/>
      <c r="ADP454"/>
      <c r="ADQ454"/>
      <c r="ADR454"/>
      <c r="ADS454"/>
      <c r="ADT454"/>
      <c r="ADU454"/>
      <c r="ADV454"/>
      <c r="ADW454"/>
      <c r="ADX454"/>
      <c r="ADY454"/>
      <c r="ADZ454"/>
      <c r="AEA454"/>
      <c r="AEB454"/>
      <c r="AEC454"/>
      <c r="AED454"/>
      <c r="AEE454"/>
      <c r="AEF454"/>
      <c r="AEG454"/>
      <c r="AEH454"/>
      <c r="AEI454"/>
      <c r="AEJ454"/>
      <c r="AEK454"/>
      <c r="AEL454"/>
      <c r="AEM454"/>
      <c r="AEN454"/>
      <c r="AEO454"/>
      <c r="AEP454"/>
      <c r="AEQ454"/>
      <c r="AER454"/>
      <c r="AES454"/>
      <c r="AET454"/>
      <c r="AEU454"/>
      <c r="AEV454"/>
      <c r="AEW454"/>
      <c r="AEX454"/>
      <c r="AEY454"/>
      <c r="AEZ454"/>
      <c r="AFA454"/>
      <c r="AFB454"/>
      <c r="AFC454"/>
      <c r="AFD454"/>
      <c r="AFE454"/>
      <c r="AFF454"/>
      <c r="AFG454"/>
      <c r="AFH454"/>
      <c r="AFI454"/>
      <c r="AFJ454"/>
      <c r="AFK454"/>
      <c r="AFL454"/>
      <c r="AFM454"/>
      <c r="AFN454"/>
      <c r="AFO454"/>
      <c r="AFP454"/>
      <c r="AFQ454"/>
      <c r="AFR454"/>
      <c r="AFS454"/>
      <c r="AFT454"/>
      <c r="AFU454"/>
      <c r="AFV454"/>
      <c r="AFW454"/>
      <c r="AFX454"/>
      <c r="AFY454"/>
      <c r="AFZ454"/>
      <c r="AGA454"/>
      <c r="AGB454"/>
      <c r="AGC454"/>
      <c r="AGD454"/>
      <c r="AGE454"/>
      <c r="AGF454"/>
      <c r="AGG454"/>
      <c r="AGH454"/>
      <c r="AGI454"/>
      <c r="AGJ454"/>
      <c r="AGK454"/>
      <c r="AGL454"/>
      <c r="AGM454"/>
      <c r="AGN454"/>
      <c r="AGO454"/>
      <c r="AGP454"/>
      <c r="AGQ454"/>
      <c r="AGR454"/>
      <c r="AGS454"/>
      <c r="AGT454"/>
      <c r="AGU454"/>
      <c r="AGV454"/>
      <c r="AGW454"/>
      <c r="AGX454"/>
      <c r="AGY454"/>
      <c r="AGZ454"/>
      <c r="AHA454"/>
      <c r="AHB454"/>
      <c r="AHC454"/>
      <c r="AHD454"/>
      <c r="AHE454"/>
      <c r="AHF454"/>
      <c r="AHG454"/>
      <c r="AHH454"/>
      <c r="AHI454"/>
      <c r="AHJ454"/>
      <c r="AHK454"/>
      <c r="AHL454"/>
      <c r="AHM454"/>
      <c r="AHN454"/>
      <c r="AHO454"/>
      <c r="AHP454"/>
      <c r="AHQ454"/>
      <c r="AHR454"/>
      <c r="AHS454"/>
      <c r="AHT454"/>
      <c r="AHU454"/>
      <c r="AHV454"/>
      <c r="AHW454"/>
      <c r="AHX454"/>
      <c r="AHY454"/>
      <c r="AHZ454"/>
      <c r="AIA454"/>
      <c r="AIB454"/>
      <c r="AIC454"/>
      <c r="AID454"/>
      <c r="AIE454"/>
      <c r="AIF454"/>
      <c r="AIG454"/>
      <c r="AIH454"/>
      <c r="AII454"/>
      <c r="AIJ454"/>
      <c r="AIK454"/>
      <c r="AIL454"/>
      <c r="AIM454"/>
      <c r="AIN454"/>
      <c r="AIO454"/>
      <c r="AIP454"/>
      <c r="AIQ454"/>
      <c r="AIR454"/>
      <c r="AIS454"/>
      <c r="AIT454"/>
      <c r="AIU454"/>
      <c r="AIV454"/>
      <c r="AIW454"/>
      <c r="AIX454"/>
      <c r="AIY454"/>
      <c r="AIZ454"/>
      <c r="AJA454"/>
      <c r="AJB454"/>
      <c r="AJC454"/>
      <c r="AJD454"/>
      <c r="AJE454"/>
      <c r="AJF454"/>
      <c r="AJG454"/>
      <c r="AJH454"/>
      <c r="AJI454"/>
      <c r="AJJ454"/>
      <c r="AJK454"/>
      <c r="AJL454"/>
      <c r="AJM454"/>
      <c r="AJN454"/>
      <c r="AJO454"/>
      <c r="AJP454"/>
      <c r="AJQ454"/>
      <c r="AJR454"/>
      <c r="AJS454"/>
      <c r="AJT454"/>
      <c r="AJU454"/>
      <c r="AJV454"/>
      <c r="AJW454"/>
      <c r="AJX454"/>
      <c r="AJY454"/>
      <c r="AJZ454"/>
      <c r="AKA454"/>
      <c r="AKB454"/>
      <c r="AKC454"/>
      <c r="AKD454"/>
      <c r="AKE454"/>
      <c r="AKF454"/>
      <c r="AKG454"/>
      <c r="AKH454"/>
      <c r="AKI454"/>
      <c r="AKJ454"/>
      <c r="AKK454"/>
      <c r="AKL454"/>
      <c r="AKM454"/>
      <c r="AKN454"/>
      <c r="AKO454"/>
      <c r="AKP454"/>
      <c r="AKQ454"/>
      <c r="AKR454"/>
      <c r="AKS454"/>
      <c r="AKT454"/>
      <c r="AKU454"/>
      <c r="AKV454"/>
      <c r="AKW454"/>
      <c r="AKX454"/>
      <c r="AKY454"/>
      <c r="AKZ454"/>
      <c r="ALA454"/>
      <c r="ALB454"/>
      <c r="ALC454"/>
      <c r="ALD454"/>
      <c r="ALE454"/>
      <c r="ALF454"/>
      <c r="ALG454"/>
      <c r="ALH454"/>
      <c r="ALI454"/>
      <c r="ALJ454"/>
      <c r="ALK454"/>
      <c r="ALL454"/>
      <c r="ALM454"/>
      <c r="ALN454"/>
      <c r="ALO454"/>
      <c r="ALP454"/>
      <c r="ALQ454"/>
      <c r="ALR454"/>
      <c r="ALS454"/>
      <c r="ALT454"/>
    </row>
    <row r="455" spans="1:1008" ht="15">
      <c r="A455" s="25" t="s">
        <v>3167</v>
      </c>
      <c r="B455" s="26" t="s">
        <v>3044</v>
      </c>
      <c r="C455" s="25" t="str">
        <f t="shared" si="7"/>
        <v>c57bl6n</v>
      </c>
      <c r="D455" s="27" t="s">
        <v>13</v>
      </c>
      <c r="E455" s="25" t="s">
        <v>3168</v>
      </c>
      <c r="F455" s="29" t="s">
        <v>3169</v>
      </c>
      <c r="G455" s="25">
        <v>500</v>
      </c>
      <c r="H455" s="28"/>
      <c r="I455"/>
      <c r="J455"/>
      <c r="K455"/>
      <c r="L455"/>
      <c r="M455"/>
      <c r="N455"/>
      <c r="O455"/>
      <c r="P455"/>
      <c r="Q455"/>
      <c r="R455"/>
      <c r="S455"/>
      <c r="T455"/>
      <c r="U455"/>
      <c r="V455"/>
      <c r="W455"/>
      <c r="X455"/>
      <c r="Y455"/>
      <c r="Z455"/>
      <c r="AA455"/>
      <c r="AB455"/>
      <c r="AC455"/>
      <c r="AD455"/>
      <c r="AE455"/>
      <c r="AF455"/>
      <c r="AG455"/>
      <c r="AH455"/>
      <c r="AI455"/>
      <c r="AJ455"/>
      <c r="AK455"/>
      <c r="AL455"/>
      <c r="AM455"/>
      <c r="AN455"/>
      <c r="AO455"/>
      <c r="AP455"/>
      <c r="AQ455"/>
      <c r="AR455"/>
      <c r="AS455"/>
      <c r="AT455"/>
      <c r="AU455"/>
      <c r="AV455"/>
      <c r="AW455"/>
      <c r="AX455"/>
      <c r="AY455"/>
      <c r="AZ455"/>
      <c r="BA455"/>
      <c r="BB455"/>
      <c r="BC455"/>
      <c r="BD455"/>
      <c r="BE455"/>
      <c r="BF455"/>
      <c r="BG455"/>
      <c r="BH455"/>
      <c r="BI455"/>
      <c r="BJ455"/>
      <c r="BK455"/>
      <c r="BL455"/>
      <c r="BM455"/>
      <c r="BN455"/>
      <c r="BO455"/>
      <c r="BP455"/>
      <c r="BQ455"/>
      <c r="BR455"/>
      <c r="BS455"/>
      <c r="BT455"/>
      <c r="BU455"/>
      <c r="BV455"/>
      <c r="BW455"/>
      <c r="BX455"/>
      <c r="BY455"/>
      <c r="BZ455"/>
      <c r="CA455"/>
      <c r="CB455"/>
      <c r="CC455"/>
      <c r="CD455"/>
      <c r="CE455"/>
      <c r="CF455"/>
      <c r="CG455"/>
      <c r="CH455"/>
      <c r="CI455"/>
      <c r="CJ455"/>
      <c r="CK455"/>
      <c r="CL455"/>
      <c r="CM455"/>
      <c r="CN455"/>
      <c r="CO455"/>
      <c r="CP455"/>
      <c r="CQ455"/>
      <c r="CR455"/>
      <c r="CS455"/>
      <c r="CT455"/>
      <c r="CU455"/>
      <c r="CV455"/>
      <c r="CW455"/>
      <c r="CX455"/>
      <c r="CY455"/>
      <c r="CZ455"/>
      <c r="DA455"/>
      <c r="DB455"/>
      <c r="DC455"/>
      <c r="DD455"/>
      <c r="DE455"/>
      <c r="DF455"/>
      <c r="DG455"/>
      <c r="DH455"/>
      <c r="DI455"/>
      <c r="DJ455"/>
      <c r="DK455"/>
      <c r="DL455"/>
      <c r="DM455"/>
      <c r="DN455"/>
      <c r="DO455"/>
      <c r="DP455"/>
      <c r="DQ455"/>
      <c r="DR455"/>
      <c r="DS455"/>
      <c r="DT455"/>
      <c r="DU455"/>
      <c r="DV455"/>
      <c r="DW455"/>
      <c r="DX455"/>
      <c r="DY455"/>
      <c r="DZ455"/>
      <c r="EA455"/>
      <c r="EB455"/>
      <c r="EC455"/>
      <c r="ED455"/>
      <c r="EE455"/>
      <c r="EF455"/>
      <c r="EG455"/>
      <c r="EH455"/>
      <c r="EI455"/>
      <c r="EJ455"/>
      <c r="EK455"/>
      <c r="EL455"/>
      <c r="EM455"/>
      <c r="EN455"/>
      <c r="EO455"/>
      <c r="EP455"/>
      <c r="EQ455"/>
      <c r="ER455"/>
      <c r="ES455"/>
      <c r="ET455"/>
      <c r="EU455"/>
      <c r="EV455"/>
      <c r="EW455"/>
      <c r="EX455"/>
      <c r="EY455"/>
      <c r="EZ455"/>
      <c r="FA455"/>
      <c r="FB455"/>
      <c r="FC455"/>
      <c r="FD455"/>
      <c r="FE455"/>
      <c r="FF455"/>
      <c r="FG455"/>
      <c r="FH455"/>
      <c r="FI455"/>
      <c r="FJ455"/>
      <c r="FK455"/>
      <c r="FL455"/>
      <c r="FM455"/>
      <c r="FN455"/>
      <c r="FO455"/>
      <c r="FP455"/>
      <c r="FQ455"/>
      <c r="FR455"/>
      <c r="FS455"/>
      <c r="FT455"/>
      <c r="FU455"/>
      <c r="FV455"/>
      <c r="FW455"/>
      <c r="FX455"/>
      <c r="FY455"/>
      <c r="FZ455"/>
      <c r="GA455"/>
      <c r="GB455"/>
      <c r="GC455"/>
      <c r="GD455"/>
      <c r="GE455"/>
      <c r="GF455"/>
      <c r="GG455"/>
      <c r="GH455"/>
      <c r="GI455"/>
      <c r="GJ455"/>
      <c r="GK455"/>
      <c r="GL455"/>
      <c r="GM455"/>
      <c r="GN455"/>
      <c r="GO455"/>
      <c r="GP455"/>
      <c r="GQ455"/>
      <c r="GR455"/>
      <c r="GS455"/>
      <c r="GT455"/>
      <c r="GU455"/>
      <c r="GV455"/>
      <c r="GW455"/>
      <c r="GX455"/>
      <c r="GY455"/>
      <c r="GZ455"/>
      <c r="HA455"/>
      <c r="HB455"/>
      <c r="HC455"/>
      <c r="HD455"/>
      <c r="HE455"/>
      <c r="HF455"/>
      <c r="HG455"/>
      <c r="HH455"/>
      <c r="HI455"/>
      <c r="HJ455"/>
      <c r="HK455"/>
      <c r="HL455"/>
      <c r="HM455"/>
      <c r="HN455"/>
      <c r="HO455"/>
      <c r="HP455"/>
      <c r="HQ455"/>
      <c r="HR455"/>
      <c r="HS455"/>
      <c r="HT455"/>
      <c r="HU455"/>
      <c r="HV455"/>
      <c r="HW455"/>
      <c r="HX455"/>
      <c r="HY455"/>
      <c r="HZ455"/>
      <c r="IA455"/>
      <c r="IB455"/>
      <c r="IC455"/>
      <c r="ID455"/>
      <c r="IE455"/>
      <c r="IF455"/>
      <c r="IG455"/>
      <c r="IH455"/>
      <c r="II455"/>
      <c r="IJ455"/>
      <c r="IK455"/>
      <c r="IL455"/>
      <c r="IM455"/>
      <c r="IN455"/>
      <c r="IO455"/>
      <c r="IP455"/>
      <c r="IQ455"/>
      <c r="IR455"/>
      <c r="IS455"/>
      <c r="IT455"/>
      <c r="IU455"/>
      <c r="IV455"/>
      <c r="IW455"/>
      <c r="IX455"/>
      <c r="IY455"/>
      <c r="IZ455"/>
      <c r="JA455"/>
      <c r="JB455"/>
      <c r="JC455"/>
      <c r="JD455"/>
      <c r="JE455"/>
      <c r="JF455"/>
      <c r="JG455"/>
      <c r="JH455"/>
      <c r="JI455"/>
      <c r="JJ455"/>
      <c r="JK455"/>
      <c r="JL455"/>
      <c r="JM455"/>
      <c r="JN455"/>
      <c r="JO455"/>
      <c r="JP455"/>
      <c r="JQ455"/>
      <c r="JR455"/>
      <c r="JS455"/>
      <c r="JT455"/>
      <c r="JU455"/>
      <c r="JV455"/>
      <c r="JW455"/>
      <c r="JX455"/>
      <c r="JY455"/>
      <c r="JZ455"/>
      <c r="KA455"/>
      <c r="KB455"/>
      <c r="KC455"/>
      <c r="KD455"/>
      <c r="KE455"/>
      <c r="KF455"/>
      <c r="KG455"/>
      <c r="KH455"/>
      <c r="KI455"/>
      <c r="KJ455"/>
      <c r="KK455"/>
      <c r="KL455"/>
      <c r="KM455"/>
      <c r="KN455"/>
      <c r="KO455"/>
      <c r="KP455"/>
      <c r="KQ455"/>
      <c r="KR455"/>
      <c r="KS455"/>
      <c r="KT455"/>
      <c r="KU455"/>
      <c r="KV455"/>
      <c r="KW455"/>
      <c r="KX455"/>
      <c r="KY455"/>
      <c r="KZ455"/>
      <c r="LA455"/>
      <c r="LB455"/>
      <c r="LC455"/>
      <c r="LD455"/>
      <c r="LE455"/>
      <c r="LF455"/>
      <c r="LG455"/>
      <c r="LH455"/>
      <c r="LI455"/>
      <c r="LJ455"/>
      <c r="LK455"/>
      <c r="LL455"/>
      <c r="LM455"/>
      <c r="LN455"/>
      <c r="LO455"/>
      <c r="LP455"/>
      <c r="LQ455"/>
      <c r="LR455"/>
      <c r="LS455"/>
      <c r="LT455"/>
      <c r="LU455"/>
      <c r="LV455"/>
      <c r="LW455"/>
      <c r="LX455"/>
      <c r="LY455"/>
      <c r="LZ455"/>
      <c r="MA455"/>
      <c r="MB455"/>
      <c r="MC455"/>
      <c r="MD455"/>
      <c r="ME455"/>
      <c r="MF455"/>
      <c r="MG455"/>
      <c r="MH455"/>
      <c r="MI455"/>
      <c r="MJ455"/>
      <c r="MK455"/>
      <c r="ML455"/>
      <c r="MM455"/>
      <c r="MN455"/>
      <c r="MO455"/>
      <c r="MP455"/>
      <c r="MQ455"/>
      <c r="MR455"/>
      <c r="MS455"/>
      <c r="MT455"/>
      <c r="MU455"/>
      <c r="MV455"/>
      <c r="MW455"/>
      <c r="MX455"/>
      <c r="MY455"/>
      <c r="MZ455"/>
      <c r="NA455"/>
      <c r="NB455"/>
      <c r="NC455"/>
      <c r="ND455"/>
      <c r="NE455"/>
      <c r="NF455"/>
      <c r="NG455"/>
      <c r="NH455"/>
      <c r="NI455"/>
      <c r="NJ455"/>
      <c r="NK455"/>
      <c r="NL455"/>
      <c r="NM455"/>
      <c r="NN455"/>
      <c r="NO455"/>
      <c r="NP455"/>
      <c r="NQ455"/>
      <c r="NR455"/>
      <c r="NS455"/>
      <c r="NT455"/>
      <c r="NU455"/>
      <c r="NV455"/>
      <c r="NW455"/>
      <c r="NX455"/>
      <c r="NY455"/>
      <c r="NZ455"/>
      <c r="OA455"/>
      <c r="OB455"/>
      <c r="OC455"/>
      <c r="OD455"/>
      <c r="OE455"/>
      <c r="OF455"/>
      <c r="OG455"/>
      <c r="OH455"/>
      <c r="OI455"/>
      <c r="OJ455"/>
      <c r="OK455"/>
      <c r="OL455"/>
      <c r="OM455"/>
      <c r="ON455"/>
      <c r="OO455"/>
      <c r="OP455"/>
      <c r="OQ455"/>
      <c r="OR455"/>
      <c r="OS455"/>
      <c r="OT455"/>
      <c r="OU455"/>
      <c r="OV455"/>
      <c r="OW455"/>
      <c r="OX455"/>
      <c r="OY455"/>
      <c r="OZ455"/>
      <c r="PA455"/>
      <c r="PB455"/>
      <c r="PC455"/>
      <c r="PD455"/>
      <c r="PE455"/>
      <c r="PF455"/>
      <c r="PG455"/>
      <c r="PH455"/>
      <c r="PI455"/>
      <c r="PJ455"/>
      <c r="PK455"/>
      <c r="PL455"/>
      <c r="PM455"/>
      <c r="PN455"/>
      <c r="PO455"/>
      <c r="PP455"/>
      <c r="PQ455"/>
      <c r="PR455"/>
      <c r="PS455"/>
      <c r="PT455"/>
      <c r="PU455"/>
      <c r="PV455"/>
      <c r="PW455"/>
      <c r="PX455"/>
      <c r="PY455"/>
      <c r="PZ455"/>
      <c r="QA455"/>
      <c r="QB455"/>
      <c r="QC455"/>
      <c r="QD455"/>
      <c r="QE455"/>
      <c r="QF455"/>
      <c r="QG455"/>
      <c r="QH455"/>
      <c r="QI455"/>
      <c r="QJ455"/>
      <c r="QK455"/>
      <c r="QL455"/>
      <c r="QM455"/>
      <c r="QN455"/>
      <c r="QO455"/>
      <c r="QP455"/>
      <c r="QQ455"/>
      <c r="QR455"/>
      <c r="QS455"/>
      <c r="QT455"/>
      <c r="QU455"/>
      <c r="QV455"/>
      <c r="QW455"/>
      <c r="QX455"/>
      <c r="QY455"/>
      <c r="QZ455"/>
      <c r="RA455"/>
      <c r="RB455"/>
      <c r="RC455"/>
      <c r="RD455"/>
      <c r="RE455"/>
      <c r="RF455"/>
      <c r="RG455"/>
      <c r="RH455"/>
      <c r="RI455"/>
      <c r="RJ455"/>
      <c r="RK455"/>
      <c r="RL455"/>
      <c r="RM455"/>
      <c r="RN455"/>
      <c r="RO455"/>
      <c r="RP455"/>
      <c r="RQ455"/>
      <c r="RR455"/>
      <c r="RS455"/>
      <c r="RT455"/>
      <c r="RU455"/>
      <c r="RV455"/>
      <c r="RW455"/>
      <c r="RX455"/>
      <c r="RY455"/>
      <c r="RZ455"/>
      <c r="SA455"/>
      <c r="SB455"/>
      <c r="SC455"/>
      <c r="SD455"/>
      <c r="SE455"/>
      <c r="SF455"/>
      <c r="SG455"/>
      <c r="SH455"/>
      <c r="SI455"/>
      <c r="SJ455"/>
      <c r="SK455"/>
      <c r="SL455"/>
      <c r="SM455"/>
      <c r="SN455"/>
      <c r="SO455"/>
      <c r="SP455"/>
      <c r="SQ455"/>
      <c r="SR455"/>
      <c r="SS455"/>
      <c r="ST455"/>
      <c r="SU455"/>
      <c r="SV455"/>
      <c r="SW455"/>
      <c r="SX455"/>
      <c r="SY455"/>
      <c r="SZ455"/>
      <c r="TA455"/>
      <c r="TB455"/>
      <c r="TC455"/>
      <c r="TD455"/>
      <c r="TE455"/>
      <c r="TF455"/>
      <c r="TG455"/>
      <c r="TH455"/>
      <c r="TI455"/>
      <c r="TJ455"/>
      <c r="TK455"/>
      <c r="TL455"/>
      <c r="TM455"/>
      <c r="TN455"/>
      <c r="TO455"/>
      <c r="TP455"/>
      <c r="TQ455"/>
      <c r="TR455"/>
      <c r="TS455"/>
      <c r="TT455"/>
      <c r="TU455"/>
      <c r="TV455"/>
      <c r="TW455"/>
      <c r="TX455"/>
      <c r="TY455"/>
      <c r="TZ455"/>
      <c r="UA455"/>
      <c r="UB455"/>
      <c r="UC455"/>
      <c r="UD455"/>
      <c r="UE455"/>
      <c r="UF455"/>
      <c r="UG455"/>
      <c r="UH455"/>
      <c r="UI455"/>
      <c r="UJ455"/>
      <c r="UK455"/>
      <c r="UL455"/>
      <c r="UM455"/>
      <c r="UN455"/>
      <c r="UO455"/>
      <c r="UP455"/>
      <c r="UQ455"/>
      <c r="UR455"/>
      <c r="US455"/>
      <c r="UT455"/>
      <c r="UU455"/>
      <c r="UV455"/>
      <c r="UW455"/>
      <c r="UX455"/>
      <c r="UY455"/>
      <c r="UZ455"/>
      <c r="VA455"/>
      <c r="VB455"/>
      <c r="VC455"/>
      <c r="VD455"/>
      <c r="VE455"/>
      <c r="VF455"/>
      <c r="VG455"/>
      <c r="VH455"/>
      <c r="VI455"/>
      <c r="VJ455"/>
      <c r="VK455"/>
      <c r="VL455"/>
      <c r="VM455"/>
      <c r="VN455"/>
      <c r="VO455"/>
      <c r="VP455"/>
      <c r="VQ455"/>
      <c r="VR455"/>
      <c r="VS455"/>
      <c r="VT455"/>
      <c r="VU455"/>
      <c r="VV455"/>
      <c r="VW455"/>
      <c r="VX455"/>
      <c r="VY455"/>
      <c r="VZ455"/>
      <c r="WA455"/>
      <c r="WB455"/>
      <c r="WC455"/>
      <c r="WD455"/>
      <c r="WE455"/>
      <c r="WF455"/>
      <c r="WG455"/>
      <c r="WH455"/>
      <c r="WI455"/>
      <c r="WJ455"/>
      <c r="WK455"/>
      <c r="WL455"/>
      <c r="WM455"/>
      <c r="WN455"/>
      <c r="WO455"/>
      <c r="WP455"/>
      <c r="WQ455"/>
      <c r="WR455"/>
      <c r="WS455"/>
      <c r="WT455"/>
      <c r="WU455"/>
      <c r="WV455"/>
      <c r="WW455"/>
      <c r="WX455"/>
      <c r="WY455"/>
      <c r="WZ455"/>
      <c r="XA455"/>
      <c r="XB455"/>
      <c r="XC455"/>
      <c r="XD455"/>
      <c r="XE455"/>
      <c r="XF455"/>
      <c r="XG455"/>
      <c r="XH455"/>
      <c r="XI455"/>
      <c r="XJ455"/>
      <c r="XK455"/>
      <c r="XL455"/>
      <c r="XM455"/>
      <c r="XN455"/>
      <c r="XO455"/>
      <c r="XP455"/>
      <c r="XQ455"/>
      <c r="XR455"/>
      <c r="XS455"/>
      <c r="XT455"/>
      <c r="XU455"/>
      <c r="XV455"/>
      <c r="XW455"/>
      <c r="XX455"/>
      <c r="XY455"/>
      <c r="XZ455"/>
      <c r="YA455"/>
      <c r="YB455"/>
      <c r="YC455"/>
      <c r="YD455"/>
      <c r="YE455"/>
      <c r="YF455"/>
      <c r="YG455"/>
      <c r="YH455"/>
      <c r="YI455"/>
      <c r="YJ455"/>
      <c r="YK455"/>
      <c r="YL455"/>
      <c r="YM455"/>
      <c r="YN455"/>
      <c r="YO455"/>
      <c r="YP455"/>
      <c r="YQ455"/>
      <c r="YR455"/>
      <c r="YS455"/>
      <c r="YT455"/>
      <c r="YU455"/>
      <c r="YV455"/>
      <c r="YW455"/>
      <c r="YX455"/>
      <c r="YY455"/>
      <c r="YZ455"/>
      <c r="ZA455"/>
      <c r="ZB455"/>
      <c r="ZC455"/>
      <c r="ZD455"/>
      <c r="ZE455"/>
      <c r="ZF455"/>
      <c r="ZG455"/>
      <c r="ZH455"/>
      <c r="ZI455"/>
      <c r="ZJ455"/>
      <c r="ZK455"/>
      <c r="ZL455"/>
      <c r="ZM455"/>
      <c r="ZN455"/>
      <c r="ZO455"/>
      <c r="ZP455"/>
      <c r="ZQ455"/>
      <c r="ZR455"/>
      <c r="ZS455"/>
      <c r="ZT455"/>
      <c r="ZU455"/>
      <c r="ZV455"/>
      <c r="ZW455"/>
      <c r="ZX455"/>
      <c r="ZY455"/>
      <c r="ZZ455"/>
      <c r="AAA455"/>
      <c r="AAB455"/>
      <c r="AAC455"/>
      <c r="AAD455"/>
      <c r="AAE455"/>
      <c r="AAF455"/>
      <c r="AAG455"/>
      <c r="AAH455"/>
      <c r="AAI455"/>
      <c r="AAJ455"/>
      <c r="AAK455"/>
      <c r="AAL455"/>
      <c r="AAM455"/>
      <c r="AAN455"/>
      <c r="AAO455"/>
      <c r="AAP455"/>
      <c r="AAQ455"/>
      <c r="AAR455"/>
      <c r="AAS455"/>
      <c r="AAT455"/>
      <c r="AAU455"/>
      <c r="AAV455"/>
      <c r="AAW455"/>
      <c r="AAX455"/>
      <c r="AAY455"/>
      <c r="AAZ455"/>
      <c r="ABA455"/>
      <c r="ABB455"/>
      <c r="ABC455"/>
      <c r="ABD455"/>
      <c r="ABE455"/>
      <c r="ABF455"/>
      <c r="ABG455"/>
      <c r="ABH455"/>
      <c r="ABI455"/>
      <c r="ABJ455"/>
      <c r="ABK455"/>
      <c r="ABL455"/>
      <c r="ABM455"/>
      <c r="ABN455"/>
      <c r="ABO455"/>
      <c r="ABP455"/>
      <c r="ABQ455"/>
      <c r="ABR455"/>
      <c r="ABS455"/>
      <c r="ABT455"/>
      <c r="ABU455"/>
      <c r="ABV455"/>
      <c r="ABW455"/>
      <c r="ABX455"/>
      <c r="ABY455"/>
      <c r="ABZ455"/>
      <c r="ACA455"/>
      <c r="ACB455"/>
      <c r="ACC455"/>
      <c r="ACD455"/>
      <c r="ACE455"/>
      <c r="ACF455"/>
      <c r="ACG455"/>
      <c r="ACH455"/>
      <c r="ACI455"/>
      <c r="ACJ455"/>
      <c r="ACK455"/>
      <c r="ACL455"/>
      <c r="ACM455"/>
      <c r="ACN455"/>
      <c r="ACO455"/>
      <c r="ACP455"/>
      <c r="ACQ455"/>
      <c r="ACR455"/>
      <c r="ACS455"/>
      <c r="ACT455"/>
      <c r="ACU455"/>
      <c r="ACV455"/>
      <c r="ACW455"/>
      <c r="ACX455"/>
      <c r="ACY455"/>
      <c r="ACZ455"/>
      <c r="ADA455"/>
      <c r="ADB455"/>
      <c r="ADC455"/>
      <c r="ADD455"/>
      <c r="ADE455"/>
      <c r="ADF455"/>
      <c r="ADG455"/>
      <c r="ADH455"/>
      <c r="ADI455"/>
      <c r="ADJ455"/>
      <c r="ADK455"/>
      <c r="ADL455"/>
      <c r="ADM455"/>
      <c r="ADN455"/>
      <c r="ADO455"/>
      <c r="ADP455"/>
      <c r="ADQ455"/>
      <c r="ADR455"/>
      <c r="ADS455"/>
      <c r="ADT455"/>
      <c r="ADU455"/>
      <c r="ADV455"/>
      <c r="ADW455"/>
      <c r="ADX455"/>
      <c r="ADY455"/>
      <c r="ADZ455"/>
      <c r="AEA455"/>
      <c r="AEB455"/>
      <c r="AEC455"/>
      <c r="AED455"/>
      <c r="AEE455"/>
      <c r="AEF455"/>
      <c r="AEG455"/>
      <c r="AEH455"/>
      <c r="AEI455"/>
      <c r="AEJ455"/>
      <c r="AEK455"/>
      <c r="AEL455"/>
      <c r="AEM455"/>
      <c r="AEN455"/>
      <c r="AEO455"/>
      <c r="AEP455"/>
      <c r="AEQ455"/>
      <c r="AER455"/>
      <c r="AES455"/>
      <c r="AET455"/>
      <c r="AEU455"/>
      <c r="AEV455"/>
      <c r="AEW455"/>
      <c r="AEX455"/>
      <c r="AEY455"/>
      <c r="AEZ455"/>
      <c r="AFA455"/>
      <c r="AFB455"/>
      <c r="AFC455"/>
      <c r="AFD455"/>
      <c r="AFE455"/>
      <c r="AFF455"/>
      <c r="AFG455"/>
      <c r="AFH455"/>
      <c r="AFI455"/>
      <c r="AFJ455"/>
      <c r="AFK455"/>
      <c r="AFL455"/>
      <c r="AFM455"/>
      <c r="AFN455"/>
      <c r="AFO455"/>
      <c r="AFP455"/>
      <c r="AFQ455"/>
      <c r="AFR455"/>
      <c r="AFS455"/>
      <c r="AFT455"/>
      <c r="AFU455"/>
      <c r="AFV455"/>
      <c r="AFW455"/>
      <c r="AFX455"/>
      <c r="AFY455"/>
      <c r="AFZ455"/>
      <c r="AGA455"/>
      <c r="AGB455"/>
      <c r="AGC455"/>
      <c r="AGD455"/>
      <c r="AGE455"/>
      <c r="AGF455"/>
      <c r="AGG455"/>
      <c r="AGH455"/>
      <c r="AGI455"/>
      <c r="AGJ455"/>
      <c r="AGK455"/>
      <c r="AGL455"/>
      <c r="AGM455"/>
      <c r="AGN455"/>
      <c r="AGO455"/>
      <c r="AGP455"/>
      <c r="AGQ455"/>
      <c r="AGR455"/>
      <c r="AGS455"/>
      <c r="AGT455"/>
      <c r="AGU455"/>
      <c r="AGV455"/>
      <c r="AGW455"/>
      <c r="AGX455"/>
      <c r="AGY455"/>
      <c r="AGZ455"/>
      <c r="AHA455"/>
      <c r="AHB455"/>
      <c r="AHC455"/>
      <c r="AHD455"/>
      <c r="AHE455"/>
      <c r="AHF455"/>
      <c r="AHG455"/>
      <c r="AHH455"/>
      <c r="AHI455"/>
      <c r="AHJ455"/>
      <c r="AHK455"/>
      <c r="AHL455"/>
      <c r="AHM455"/>
      <c r="AHN455"/>
      <c r="AHO455"/>
      <c r="AHP455"/>
      <c r="AHQ455"/>
      <c r="AHR455"/>
      <c r="AHS455"/>
      <c r="AHT455"/>
      <c r="AHU455"/>
      <c r="AHV455"/>
      <c r="AHW455"/>
      <c r="AHX455"/>
      <c r="AHY455"/>
      <c r="AHZ455"/>
      <c r="AIA455"/>
      <c r="AIB455"/>
      <c r="AIC455"/>
      <c r="AID455"/>
      <c r="AIE455"/>
      <c r="AIF455"/>
      <c r="AIG455"/>
      <c r="AIH455"/>
      <c r="AII455"/>
      <c r="AIJ455"/>
      <c r="AIK455"/>
      <c r="AIL455"/>
      <c r="AIM455"/>
      <c r="AIN455"/>
      <c r="AIO455"/>
      <c r="AIP455"/>
      <c r="AIQ455"/>
      <c r="AIR455"/>
      <c r="AIS455"/>
      <c r="AIT455"/>
      <c r="AIU455"/>
      <c r="AIV455"/>
      <c r="AIW455"/>
      <c r="AIX455"/>
      <c r="AIY455"/>
      <c r="AIZ455"/>
      <c r="AJA455"/>
      <c r="AJB455"/>
      <c r="AJC455"/>
      <c r="AJD455"/>
      <c r="AJE455"/>
      <c r="AJF455"/>
      <c r="AJG455"/>
      <c r="AJH455"/>
      <c r="AJI455"/>
      <c r="AJJ455"/>
      <c r="AJK455"/>
      <c r="AJL455"/>
      <c r="AJM455"/>
      <c r="AJN455"/>
      <c r="AJO455"/>
      <c r="AJP455"/>
      <c r="AJQ455"/>
      <c r="AJR455"/>
      <c r="AJS455"/>
      <c r="AJT455"/>
      <c r="AJU455"/>
      <c r="AJV455"/>
      <c r="AJW455"/>
      <c r="AJX455"/>
      <c r="AJY455"/>
      <c r="AJZ455"/>
      <c r="AKA455"/>
      <c r="AKB455"/>
      <c r="AKC455"/>
      <c r="AKD455"/>
      <c r="AKE455"/>
      <c r="AKF455"/>
      <c r="AKG455"/>
      <c r="AKH455"/>
      <c r="AKI455"/>
      <c r="AKJ455"/>
      <c r="AKK455"/>
      <c r="AKL455"/>
      <c r="AKM455"/>
      <c r="AKN455"/>
      <c r="AKO455"/>
      <c r="AKP455"/>
      <c r="AKQ455"/>
      <c r="AKR455"/>
      <c r="AKS455"/>
      <c r="AKT455"/>
      <c r="AKU455"/>
      <c r="AKV455"/>
      <c r="AKW455"/>
      <c r="AKX455"/>
      <c r="AKY455"/>
      <c r="AKZ455"/>
      <c r="ALA455"/>
      <c r="ALB455"/>
      <c r="ALC455"/>
      <c r="ALD455"/>
      <c r="ALE455"/>
      <c r="ALF455"/>
      <c r="ALG455"/>
      <c r="ALH455"/>
      <c r="ALI455"/>
      <c r="ALJ455"/>
      <c r="ALK455"/>
      <c r="ALL455"/>
      <c r="ALM455"/>
      <c r="ALN455"/>
      <c r="ALO455"/>
      <c r="ALP455"/>
      <c r="ALQ455"/>
      <c r="ALR455"/>
      <c r="ALS455"/>
      <c r="ALT455"/>
    </row>
    <row r="456" spans="1:1008" ht="76">
      <c r="A456" s="25" t="s">
        <v>3170</v>
      </c>
      <c r="B456" s="26" t="s">
        <v>3044</v>
      </c>
      <c r="C456" s="25" t="s">
        <v>3170</v>
      </c>
      <c r="D456" s="27" t="s">
        <v>13</v>
      </c>
      <c r="E456" s="25" t="s">
        <v>3171</v>
      </c>
      <c r="F456" s="29" t="s">
        <v>3172</v>
      </c>
      <c r="G456" s="25">
        <v>500</v>
      </c>
      <c r="H456" s="28"/>
      <c r="I456" s="20"/>
      <c r="J456"/>
      <c r="K456"/>
      <c r="L456"/>
      <c r="M456"/>
      <c r="N456"/>
      <c r="O456"/>
      <c r="P456"/>
      <c r="Q456"/>
      <c r="R456"/>
      <c r="S456"/>
      <c r="T456"/>
      <c r="U456"/>
      <c r="V456"/>
      <c r="W456"/>
      <c r="X456"/>
      <c r="Y456"/>
      <c r="Z456"/>
      <c r="AA456"/>
      <c r="AB456"/>
      <c r="AC456"/>
      <c r="AD456"/>
      <c r="AE456"/>
      <c r="AF456"/>
      <c r="AG456"/>
      <c r="AH456"/>
      <c r="AI456"/>
      <c r="AJ456"/>
      <c r="AK456"/>
      <c r="AL456"/>
      <c r="AM456"/>
      <c r="AN456"/>
      <c r="AO456"/>
      <c r="AP456"/>
      <c r="AQ456"/>
      <c r="AR456"/>
      <c r="AS456"/>
      <c r="AT456"/>
      <c r="AU456"/>
      <c r="AV456"/>
      <c r="AW456"/>
      <c r="AX456"/>
      <c r="AY456"/>
      <c r="AZ456"/>
      <c r="BA456"/>
      <c r="BB456"/>
      <c r="BC456"/>
      <c r="BD456"/>
      <c r="BE456"/>
      <c r="BF456"/>
      <c r="BG456"/>
      <c r="BH456"/>
      <c r="BI456"/>
      <c r="BJ456"/>
      <c r="BK456"/>
      <c r="BL456"/>
      <c r="BM456"/>
      <c r="BN456"/>
      <c r="BO456"/>
      <c r="BP456"/>
      <c r="BQ456"/>
      <c r="BR456"/>
      <c r="BS456"/>
      <c r="BT456"/>
      <c r="BU456"/>
      <c r="BV456"/>
      <c r="BW456"/>
      <c r="BX456"/>
      <c r="BY456"/>
      <c r="BZ456"/>
      <c r="CA456"/>
      <c r="CB456"/>
      <c r="CC456"/>
      <c r="CD456"/>
      <c r="CE456"/>
      <c r="CF456"/>
      <c r="CG456"/>
      <c r="CH456"/>
      <c r="CI456"/>
      <c r="CJ456"/>
      <c r="CK456"/>
      <c r="CL456"/>
      <c r="CM456"/>
      <c r="CN456"/>
      <c r="CO456"/>
      <c r="CP456"/>
      <c r="CQ456"/>
      <c r="CR456"/>
      <c r="CS456"/>
      <c r="CT456"/>
      <c r="CU456"/>
      <c r="CV456"/>
      <c r="CW456"/>
      <c r="CX456"/>
      <c r="CY456"/>
      <c r="CZ456"/>
      <c r="DA456"/>
      <c r="DB456"/>
      <c r="DC456"/>
      <c r="DD456"/>
      <c r="DE456"/>
      <c r="DF456"/>
      <c r="DG456"/>
      <c r="DH456"/>
      <c r="DI456"/>
      <c r="DJ456"/>
      <c r="DK456"/>
      <c r="DL456"/>
      <c r="DM456"/>
      <c r="DN456"/>
      <c r="DO456"/>
      <c r="DP456"/>
      <c r="DQ456"/>
      <c r="DR456"/>
      <c r="DS456"/>
      <c r="DT456"/>
      <c r="DU456"/>
      <c r="DV456"/>
      <c r="DW456"/>
      <c r="DX456"/>
      <c r="DY456"/>
      <c r="DZ456"/>
      <c r="EA456"/>
      <c r="EB456"/>
      <c r="EC456"/>
      <c r="ED456"/>
      <c r="EE456"/>
      <c r="EF456"/>
      <c r="EG456"/>
      <c r="EH456"/>
      <c r="EI456"/>
      <c r="EJ456"/>
      <c r="EK456"/>
      <c r="EL456"/>
      <c r="EM456"/>
      <c r="EN456"/>
      <c r="EO456"/>
      <c r="EP456"/>
      <c r="EQ456"/>
      <c r="ER456"/>
      <c r="ES456"/>
      <c r="ET456"/>
      <c r="EU456"/>
      <c r="EV456"/>
      <c r="EW456"/>
      <c r="EX456"/>
      <c r="EY456"/>
      <c r="EZ456"/>
      <c r="FA456"/>
      <c r="FB456"/>
      <c r="FC456"/>
      <c r="FD456"/>
      <c r="FE456"/>
      <c r="FF456"/>
      <c r="FG456"/>
      <c r="FH456"/>
      <c r="FI456"/>
      <c r="FJ456"/>
      <c r="FK456"/>
      <c r="FL456"/>
      <c r="FM456"/>
      <c r="FN456"/>
      <c r="FO456"/>
      <c r="FP456"/>
      <c r="FQ456"/>
      <c r="FR456"/>
      <c r="FS456"/>
      <c r="FT456"/>
      <c r="FU456"/>
      <c r="FV456"/>
      <c r="FW456"/>
      <c r="FX456"/>
      <c r="FY456"/>
      <c r="FZ456"/>
      <c r="GA456"/>
      <c r="GB456"/>
      <c r="GC456"/>
      <c r="GD456"/>
      <c r="GE456"/>
      <c r="GF456"/>
      <c r="GG456"/>
      <c r="GH456"/>
      <c r="GI456"/>
      <c r="GJ456"/>
      <c r="GK456"/>
      <c r="GL456"/>
      <c r="GM456"/>
      <c r="GN456"/>
      <c r="GO456"/>
      <c r="GP456"/>
      <c r="GQ456"/>
      <c r="GR456"/>
      <c r="GS456"/>
      <c r="GT456"/>
      <c r="GU456"/>
      <c r="GV456"/>
      <c r="GW456"/>
      <c r="GX456"/>
      <c r="GY456"/>
      <c r="GZ456"/>
      <c r="HA456"/>
      <c r="HB456"/>
      <c r="HC456"/>
      <c r="HD456"/>
      <c r="HE456"/>
      <c r="HF456"/>
      <c r="HG456"/>
      <c r="HH456"/>
      <c r="HI456"/>
      <c r="HJ456"/>
      <c r="HK456"/>
      <c r="HL456"/>
      <c r="HM456"/>
      <c r="HN456"/>
      <c r="HO456"/>
      <c r="HP456"/>
      <c r="HQ456"/>
      <c r="HR456"/>
      <c r="HS456"/>
      <c r="HT456"/>
      <c r="HU456"/>
      <c r="HV456"/>
      <c r="HW456"/>
      <c r="HX456"/>
      <c r="HY456"/>
      <c r="HZ456"/>
      <c r="IA456"/>
      <c r="IB456"/>
      <c r="IC456"/>
      <c r="ID456"/>
      <c r="IE456"/>
      <c r="IF456"/>
      <c r="IG456"/>
      <c r="IH456"/>
      <c r="II456"/>
      <c r="IJ456"/>
      <c r="IK456"/>
      <c r="IL456"/>
      <c r="IM456"/>
      <c r="IN456"/>
      <c r="IO456"/>
      <c r="IP456"/>
      <c r="IQ456"/>
      <c r="IR456"/>
      <c r="IS456"/>
      <c r="IT456"/>
      <c r="IU456"/>
      <c r="IV456"/>
      <c r="IW456"/>
      <c r="IX456"/>
      <c r="IY456"/>
      <c r="IZ456"/>
      <c r="JA456"/>
      <c r="JB456"/>
      <c r="JC456"/>
      <c r="JD456"/>
      <c r="JE456"/>
      <c r="JF456"/>
      <c r="JG456"/>
      <c r="JH456"/>
      <c r="JI456"/>
      <c r="JJ456"/>
      <c r="JK456"/>
      <c r="JL456"/>
      <c r="JM456"/>
      <c r="JN456"/>
      <c r="JO456"/>
      <c r="JP456"/>
      <c r="JQ456"/>
      <c r="JR456"/>
      <c r="JS456"/>
      <c r="JT456"/>
      <c r="JU456"/>
      <c r="JV456"/>
      <c r="JW456"/>
      <c r="JX456"/>
      <c r="JY456"/>
      <c r="JZ456"/>
      <c r="KA456"/>
      <c r="KB456"/>
      <c r="KC456"/>
      <c r="KD456"/>
      <c r="KE456"/>
      <c r="KF456"/>
      <c r="KG456"/>
      <c r="KH456"/>
      <c r="KI456"/>
      <c r="KJ456"/>
      <c r="KK456"/>
      <c r="KL456"/>
      <c r="KM456"/>
      <c r="KN456"/>
      <c r="KO456"/>
      <c r="KP456"/>
      <c r="KQ456"/>
      <c r="KR456"/>
      <c r="KS456"/>
      <c r="KT456"/>
      <c r="KU456"/>
      <c r="KV456"/>
      <c r="KW456"/>
      <c r="KX456"/>
      <c r="KY456"/>
      <c r="KZ456"/>
      <c r="LA456"/>
      <c r="LB456"/>
      <c r="LC456"/>
      <c r="LD456"/>
      <c r="LE456"/>
      <c r="LF456"/>
      <c r="LG456"/>
      <c r="LH456"/>
      <c r="LI456"/>
      <c r="LJ456"/>
      <c r="LK456"/>
      <c r="LL456"/>
      <c r="LM456"/>
      <c r="LN456"/>
      <c r="LO456"/>
      <c r="LP456"/>
      <c r="LQ456"/>
      <c r="LR456"/>
      <c r="LS456"/>
      <c r="LT456"/>
      <c r="LU456"/>
      <c r="LV456"/>
      <c r="LW456"/>
      <c r="LX456"/>
      <c r="LY456"/>
      <c r="LZ456"/>
      <c r="MA456"/>
      <c r="MB456"/>
      <c r="MC456"/>
      <c r="MD456"/>
      <c r="ME456"/>
      <c r="MF456"/>
      <c r="MG456"/>
      <c r="MH456"/>
      <c r="MI456"/>
      <c r="MJ456"/>
      <c r="MK456"/>
      <c r="ML456"/>
      <c r="MM456"/>
      <c r="MN456"/>
      <c r="MO456"/>
      <c r="MP456"/>
      <c r="MQ456"/>
      <c r="MR456"/>
      <c r="MS456"/>
      <c r="MT456"/>
      <c r="MU456"/>
      <c r="MV456"/>
      <c r="MW456"/>
      <c r="MX456"/>
      <c r="MY456"/>
      <c r="MZ456"/>
      <c r="NA456"/>
      <c r="NB456"/>
      <c r="NC456"/>
      <c r="ND456"/>
      <c r="NE456"/>
      <c r="NF456"/>
      <c r="NG456"/>
      <c r="NH456"/>
      <c r="NI456"/>
      <c r="NJ456"/>
      <c r="NK456"/>
      <c r="NL456"/>
      <c r="NM456"/>
      <c r="NN456"/>
      <c r="NO456"/>
      <c r="NP456"/>
      <c r="NQ456"/>
      <c r="NR456"/>
      <c r="NS456"/>
      <c r="NT456"/>
      <c r="NU456"/>
      <c r="NV456"/>
      <c r="NW456"/>
      <c r="NX456"/>
      <c r="NY456"/>
      <c r="NZ456"/>
      <c r="OA456"/>
      <c r="OB456"/>
      <c r="OC456"/>
      <c r="OD456"/>
      <c r="OE456"/>
      <c r="OF456"/>
      <c r="OG456"/>
      <c r="OH456"/>
      <c r="OI456"/>
      <c r="OJ456"/>
      <c r="OK456"/>
      <c r="OL456"/>
      <c r="OM456"/>
      <c r="ON456"/>
      <c r="OO456"/>
      <c r="OP456"/>
      <c r="OQ456"/>
      <c r="OR456"/>
      <c r="OS456"/>
      <c r="OT456"/>
      <c r="OU456"/>
      <c r="OV456"/>
      <c r="OW456"/>
      <c r="OX456"/>
      <c r="OY456"/>
      <c r="OZ456"/>
      <c r="PA456"/>
      <c r="PB456"/>
      <c r="PC456"/>
      <c r="PD456"/>
      <c r="PE456"/>
      <c r="PF456"/>
      <c r="PG456"/>
      <c r="PH456"/>
      <c r="PI456"/>
      <c r="PJ456"/>
      <c r="PK456"/>
      <c r="PL456"/>
      <c r="PM456"/>
      <c r="PN456"/>
      <c r="PO456"/>
      <c r="PP456"/>
      <c r="PQ456"/>
      <c r="PR456"/>
      <c r="PS456"/>
      <c r="PT456"/>
      <c r="PU456"/>
      <c r="PV456"/>
      <c r="PW456"/>
      <c r="PX456"/>
      <c r="PY456"/>
      <c r="PZ456"/>
      <c r="QA456"/>
      <c r="QB456"/>
      <c r="QC456"/>
      <c r="QD456"/>
      <c r="QE456"/>
      <c r="QF456"/>
      <c r="QG456"/>
      <c r="QH456"/>
      <c r="QI456"/>
      <c r="QJ456"/>
      <c r="QK456"/>
      <c r="QL456"/>
      <c r="QM456"/>
      <c r="QN456"/>
      <c r="QO456"/>
      <c r="QP456"/>
      <c r="QQ456"/>
      <c r="QR456"/>
      <c r="QS456"/>
      <c r="QT456"/>
      <c r="QU456"/>
      <c r="QV456"/>
      <c r="QW456"/>
      <c r="QX456"/>
      <c r="QY456"/>
      <c r="QZ456"/>
      <c r="RA456"/>
      <c r="RB456"/>
      <c r="RC456"/>
      <c r="RD456"/>
      <c r="RE456"/>
      <c r="RF456"/>
      <c r="RG456"/>
      <c r="RH456"/>
      <c r="RI456"/>
      <c r="RJ456"/>
      <c r="RK456"/>
      <c r="RL456"/>
      <c r="RM456"/>
      <c r="RN456"/>
      <c r="RO456"/>
      <c r="RP456"/>
      <c r="RQ456"/>
      <c r="RR456"/>
      <c r="RS456"/>
      <c r="RT456"/>
      <c r="RU456"/>
      <c r="RV456"/>
      <c r="RW456"/>
      <c r="RX456"/>
      <c r="RY456"/>
      <c r="RZ456"/>
      <c r="SA456"/>
      <c r="SB456"/>
      <c r="SC456"/>
      <c r="SD456"/>
      <c r="SE456"/>
      <c r="SF456"/>
      <c r="SG456"/>
      <c r="SH456"/>
      <c r="SI456"/>
      <c r="SJ456"/>
      <c r="SK456"/>
      <c r="SL456"/>
      <c r="SM456"/>
      <c r="SN456"/>
      <c r="SO456"/>
      <c r="SP456"/>
      <c r="SQ456"/>
      <c r="SR456"/>
      <c r="SS456"/>
      <c r="ST456"/>
      <c r="SU456"/>
      <c r="SV456"/>
      <c r="SW456"/>
      <c r="SX456"/>
      <c r="SY456"/>
      <c r="SZ456"/>
      <c r="TA456"/>
      <c r="TB456"/>
      <c r="TC456"/>
      <c r="TD456"/>
      <c r="TE456"/>
      <c r="TF456"/>
      <c r="TG456"/>
      <c r="TH456"/>
      <c r="TI456"/>
      <c r="TJ456"/>
      <c r="TK456"/>
      <c r="TL456"/>
      <c r="TM456"/>
      <c r="TN456"/>
      <c r="TO456"/>
      <c r="TP456"/>
      <c r="TQ456"/>
      <c r="TR456"/>
      <c r="TS456"/>
      <c r="TT456"/>
      <c r="TU456"/>
      <c r="TV456"/>
      <c r="TW456"/>
      <c r="TX456"/>
      <c r="TY456"/>
      <c r="TZ456"/>
      <c r="UA456"/>
      <c r="UB456"/>
      <c r="UC456"/>
      <c r="UD456"/>
      <c r="UE456"/>
      <c r="UF456"/>
      <c r="UG456"/>
      <c r="UH456"/>
      <c r="UI456"/>
      <c r="UJ456"/>
      <c r="UK456"/>
      <c r="UL456"/>
      <c r="UM456"/>
      <c r="UN456"/>
      <c r="UO456"/>
      <c r="UP456"/>
      <c r="UQ456"/>
      <c r="UR456"/>
      <c r="US456"/>
      <c r="UT456"/>
      <c r="UU456"/>
      <c r="UV456"/>
      <c r="UW456"/>
      <c r="UX456"/>
      <c r="UY456"/>
      <c r="UZ456"/>
      <c r="VA456"/>
      <c r="VB456"/>
      <c r="VC456"/>
      <c r="VD456"/>
      <c r="VE456"/>
      <c r="VF456"/>
      <c r="VG456"/>
      <c r="VH456"/>
      <c r="VI456"/>
      <c r="VJ456"/>
      <c r="VK456"/>
      <c r="VL456"/>
      <c r="VM456"/>
      <c r="VN456"/>
      <c r="VO456"/>
      <c r="VP456"/>
      <c r="VQ456"/>
      <c r="VR456"/>
      <c r="VS456"/>
      <c r="VT456"/>
      <c r="VU456"/>
      <c r="VV456"/>
      <c r="VW456"/>
      <c r="VX456"/>
      <c r="VY456"/>
      <c r="VZ456"/>
      <c r="WA456"/>
      <c r="WB456"/>
      <c r="WC456"/>
      <c r="WD456"/>
      <c r="WE456"/>
      <c r="WF456"/>
      <c r="WG456"/>
      <c r="WH456"/>
      <c r="WI456"/>
      <c r="WJ456"/>
      <c r="WK456"/>
      <c r="WL456"/>
      <c r="WM456"/>
      <c r="WN456"/>
      <c r="WO456"/>
      <c r="WP456"/>
      <c r="WQ456"/>
      <c r="WR456"/>
      <c r="WS456"/>
      <c r="WT456"/>
      <c r="WU456"/>
      <c r="WV456"/>
      <c r="WW456"/>
      <c r="WX456"/>
      <c r="WY456"/>
      <c r="WZ456"/>
      <c r="XA456"/>
      <c r="XB456"/>
      <c r="XC456"/>
      <c r="XD456"/>
      <c r="XE456"/>
      <c r="XF456"/>
      <c r="XG456"/>
      <c r="XH456"/>
      <c r="XI456"/>
      <c r="XJ456"/>
      <c r="XK456"/>
      <c r="XL456"/>
      <c r="XM456"/>
      <c r="XN456"/>
      <c r="XO456"/>
      <c r="XP456"/>
      <c r="XQ456"/>
      <c r="XR456"/>
      <c r="XS456"/>
      <c r="XT456"/>
      <c r="XU456"/>
      <c r="XV456"/>
      <c r="XW456"/>
      <c r="XX456"/>
      <c r="XY456"/>
      <c r="XZ456"/>
      <c r="YA456"/>
      <c r="YB456"/>
      <c r="YC456"/>
      <c r="YD456"/>
      <c r="YE456"/>
      <c r="YF456"/>
      <c r="YG456"/>
      <c r="YH456"/>
      <c r="YI456"/>
      <c r="YJ456"/>
      <c r="YK456"/>
      <c r="YL456"/>
      <c r="YM456"/>
      <c r="YN456"/>
      <c r="YO456"/>
      <c r="YP456"/>
      <c r="YQ456"/>
      <c r="YR456"/>
      <c r="YS456"/>
      <c r="YT456"/>
      <c r="YU456"/>
      <c r="YV456"/>
      <c r="YW456"/>
      <c r="YX456"/>
      <c r="YY456"/>
      <c r="YZ456"/>
      <c r="ZA456"/>
      <c r="ZB456"/>
      <c r="ZC456"/>
      <c r="ZD456"/>
      <c r="ZE456"/>
      <c r="ZF456"/>
      <c r="ZG456"/>
      <c r="ZH456"/>
      <c r="ZI456"/>
      <c r="ZJ456"/>
      <c r="ZK456"/>
      <c r="ZL456"/>
      <c r="ZM456"/>
      <c r="ZN456"/>
      <c r="ZO456"/>
      <c r="ZP456"/>
      <c r="ZQ456"/>
      <c r="ZR456"/>
      <c r="ZS456"/>
      <c r="ZT456"/>
      <c r="ZU456"/>
      <c r="ZV456"/>
      <c r="ZW456"/>
      <c r="ZX456"/>
      <c r="ZY456"/>
      <c r="ZZ456"/>
      <c r="AAA456"/>
      <c r="AAB456"/>
      <c r="AAC456"/>
      <c r="AAD456"/>
      <c r="AAE456"/>
      <c r="AAF456"/>
      <c r="AAG456"/>
      <c r="AAH456"/>
      <c r="AAI456"/>
      <c r="AAJ456"/>
      <c r="AAK456"/>
      <c r="AAL456"/>
      <c r="AAM456"/>
      <c r="AAN456"/>
      <c r="AAO456"/>
      <c r="AAP456"/>
      <c r="AAQ456"/>
      <c r="AAR456"/>
      <c r="AAS456"/>
      <c r="AAT456"/>
      <c r="AAU456"/>
      <c r="AAV456"/>
      <c r="AAW456"/>
      <c r="AAX456"/>
      <c r="AAY456"/>
      <c r="AAZ456"/>
      <c r="ABA456"/>
      <c r="ABB456"/>
      <c r="ABC456"/>
      <c r="ABD456"/>
      <c r="ABE456"/>
      <c r="ABF456"/>
      <c r="ABG456"/>
      <c r="ABH456"/>
      <c r="ABI456"/>
      <c r="ABJ456"/>
      <c r="ABK456"/>
      <c r="ABL456"/>
      <c r="ABM456"/>
      <c r="ABN456"/>
      <c r="ABO456"/>
      <c r="ABP456"/>
      <c r="ABQ456"/>
      <c r="ABR456"/>
      <c r="ABS456"/>
      <c r="ABT456"/>
      <c r="ABU456"/>
      <c r="ABV456"/>
      <c r="ABW456"/>
      <c r="ABX456"/>
      <c r="ABY456"/>
      <c r="ABZ456"/>
      <c r="ACA456"/>
      <c r="ACB456"/>
      <c r="ACC456"/>
      <c r="ACD456"/>
      <c r="ACE456"/>
      <c r="ACF456"/>
      <c r="ACG456"/>
      <c r="ACH456"/>
      <c r="ACI456"/>
      <c r="ACJ456"/>
      <c r="ACK456"/>
      <c r="ACL456"/>
      <c r="ACM456"/>
      <c r="ACN456"/>
      <c r="ACO456"/>
      <c r="ACP456"/>
      <c r="ACQ456"/>
      <c r="ACR456"/>
      <c r="ACS456"/>
      <c r="ACT456"/>
      <c r="ACU456"/>
      <c r="ACV456"/>
      <c r="ACW456"/>
      <c r="ACX456"/>
      <c r="ACY456"/>
      <c r="ACZ456"/>
      <c r="ADA456"/>
      <c r="ADB456"/>
      <c r="ADC456"/>
      <c r="ADD456"/>
      <c r="ADE456"/>
      <c r="ADF456"/>
      <c r="ADG456"/>
      <c r="ADH456"/>
      <c r="ADI456"/>
      <c r="ADJ456"/>
      <c r="ADK456"/>
      <c r="ADL456"/>
      <c r="ADM456"/>
      <c r="ADN456"/>
      <c r="ADO456"/>
      <c r="ADP456"/>
      <c r="ADQ456"/>
      <c r="ADR456"/>
      <c r="ADS456"/>
      <c r="ADT456"/>
      <c r="ADU456"/>
      <c r="ADV456"/>
      <c r="ADW456"/>
      <c r="ADX456"/>
      <c r="ADY456"/>
      <c r="ADZ456"/>
      <c r="AEA456"/>
      <c r="AEB456"/>
      <c r="AEC456"/>
      <c r="AED456"/>
      <c r="AEE456"/>
      <c r="AEF456"/>
      <c r="AEG456"/>
      <c r="AEH456"/>
      <c r="AEI456"/>
      <c r="AEJ456"/>
      <c r="AEK456"/>
      <c r="AEL456"/>
      <c r="AEM456"/>
      <c r="AEN456"/>
      <c r="AEO456"/>
      <c r="AEP456"/>
      <c r="AEQ456"/>
      <c r="AER456"/>
      <c r="AES456"/>
      <c r="AET456"/>
      <c r="AEU456"/>
      <c r="AEV456"/>
      <c r="AEW456"/>
      <c r="AEX456"/>
      <c r="AEY456"/>
      <c r="AEZ456"/>
      <c r="AFA456"/>
      <c r="AFB456"/>
      <c r="AFC456"/>
      <c r="AFD456"/>
      <c r="AFE456"/>
      <c r="AFF456"/>
      <c r="AFG456"/>
      <c r="AFH456"/>
      <c r="AFI456"/>
      <c r="AFJ456"/>
      <c r="AFK456"/>
      <c r="AFL456"/>
      <c r="AFM456"/>
      <c r="AFN456"/>
      <c r="AFO456"/>
      <c r="AFP456"/>
      <c r="AFQ456"/>
      <c r="AFR456"/>
      <c r="AFS456"/>
      <c r="AFT456"/>
      <c r="AFU456"/>
      <c r="AFV456"/>
      <c r="AFW456"/>
      <c r="AFX456"/>
      <c r="AFY456"/>
      <c r="AFZ456"/>
      <c r="AGA456"/>
      <c r="AGB456"/>
      <c r="AGC456"/>
      <c r="AGD456"/>
      <c r="AGE456"/>
      <c r="AGF456"/>
      <c r="AGG456"/>
      <c r="AGH456"/>
      <c r="AGI456"/>
      <c r="AGJ456"/>
      <c r="AGK456"/>
      <c r="AGL456"/>
      <c r="AGM456"/>
      <c r="AGN456"/>
      <c r="AGO456"/>
      <c r="AGP456"/>
      <c r="AGQ456"/>
      <c r="AGR456"/>
      <c r="AGS456"/>
      <c r="AGT456"/>
      <c r="AGU456"/>
      <c r="AGV456"/>
      <c r="AGW456"/>
      <c r="AGX456"/>
      <c r="AGY456"/>
      <c r="AGZ456"/>
      <c r="AHA456"/>
      <c r="AHB456"/>
      <c r="AHC456"/>
      <c r="AHD456"/>
      <c r="AHE456"/>
      <c r="AHF456"/>
      <c r="AHG456"/>
      <c r="AHH456"/>
      <c r="AHI456"/>
      <c r="AHJ456"/>
      <c r="AHK456"/>
      <c r="AHL456"/>
      <c r="AHM456"/>
      <c r="AHN456"/>
      <c r="AHO456"/>
      <c r="AHP456"/>
      <c r="AHQ456"/>
      <c r="AHR456"/>
      <c r="AHS456"/>
      <c r="AHT456"/>
      <c r="AHU456"/>
      <c r="AHV456"/>
      <c r="AHW456"/>
      <c r="AHX456"/>
      <c r="AHY456"/>
      <c r="AHZ456"/>
      <c r="AIA456"/>
      <c r="AIB456"/>
      <c r="AIC456"/>
      <c r="AID456"/>
      <c r="AIE456"/>
      <c r="AIF456"/>
      <c r="AIG456"/>
      <c r="AIH456"/>
      <c r="AII456"/>
      <c r="AIJ456"/>
      <c r="AIK456"/>
      <c r="AIL456"/>
      <c r="AIM456"/>
      <c r="AIN456"/>
      <c r="AIO456"/>
      <c r="AIP456"/>
      <c r="AIQ456"/>
      <c r="AIR456"/>
      <c r="AIS456"/>
      <c r="AIT456"/>
      <c r="AIU456"/>
      <c r="AIV456"/>
      <c r="AIW456"/>
      <c r="AIX456"/>
      <c r="AIY456"/>
      <c r="AIZ456"/>
      <c r="AJA456"/>
      <c r="AJB456"/>
      <c r="AJC456"/>
      <c r="AJD456"/>
      <c r="AJE456"/>
      <c r="AJF456"/>
      <c r="AJG456"/>
      <c r="AJH456"/>
      <c r="AJI456"/>
      <c r="AJJ456"/>
      <c r="AJK456"/>
      <c r="AJL456"/>
      <c r="AJM456"/>
      <c r="AJN456"/>
      <c r="AJO456"/>
      <c r="AJP456"/>
      <c r="AJQ456"/>
      <c r="AJR456"/>
      <c r="AJS456"/>
      <c r="AJT456"/>
      <c r="AJU456"/>
      <c r="AJV456"/>
      <c r="AJW456"/>
      <c r="AJX456"/>
      <c r="AJY456"/>
      <c r="AJZ456"/>
      <c r="AKA456"/>
      <c r="AKB456"/>
      <c r="AKC456"/>
      <c r="AKD456"/>
      <c r="AKE456"/>
      <c r="AKF456"/>
      <c r="AKG456"/>
      <c r="AKH456"/>
      <c r="AKI456"/>
      <c r="AKJ456"/>
      <c r="AKK456"/>
      <c r="AKL456"/>
      <c r="AKM456"/>
      <c r="AKN456"/>
      <c r="AKO456"/>
      <c r="AKP456"/>
      <c r="AKQ456"/>
      <c r="AKR456"/>
      <c r="AKS456"/>
      <c r="AKT456"/>
      <c r="AKU456"/>
      <c r="AKV456"/>
      <c r="AKW456"/>
      <c r="AKX456"/>
      <c r="AKY456"/>
      <c r="AKZ456"/>
      <c r="ALA456"/>
      <c r="ALB456"/>
      <c r="ALC456"/>
      <c r="ALD456"/>
      <c r="ALE456"/>
      <c r="ALF456"/>
      <c r="ALG456"/>
      <c r="ALH456"/>
      <c r="ALI456"/>
      <c r="ALJ456"/>
      <c r="ALK456"/>
      <c r="ALL456"/>
      <c r="ALM456"/>
      <c r="ALN456"/>
      <c r="ALO456"/>
      <c r="ALP456"/>
      <c r="ALQ456"/>
      <c r="ALR456"/>
      <c r="ALS456"/>
      <c r="ALT456"/>
    </row>
    <row r="457" spans="1:1008" ht="136">
      <c r="A457" s="25" t="s">
        <v>4022</v>
      </c>
      <c r="B457" s="26" t="s">
        <v>3044</v>
      </c>
      <c r="C457" s="25" t="s">
        <v>4022</v>
      </c>
      <c r="D457" s="27"/>
      <c r="E457" s="25" t="s">
        <v>4020</v>
      </c>
      <c r="F457" s="29" t="s">
        <v>4021</v>
      </c>
      <c r="G457" s="25"/>
      <c r="H457" s="28"/>
      <c r="I457" s="20"/>
      <c r="J457"/>
      <c r="K457"/>
      <c r="L457"/>
      <c r="M457"/>
      <c r="N457"/>
      <c r="O457"/>
      <c r="P457"/>
      <c r="Q457"/>
      <c r="R457"/>
      <c r="S457"/>
      <c r="T457"/>
      <c r="U457"/>
      <c r="V457"/>
      <c r="W457"/>
      <c r="X457"/>
      <c r="Y457"/>
      <c r="Z457"/>
      <c r="AA457"/>
      <c r="AB457"/>
      <c r="AC457"/>
      <c r="AD457"/>
      <c r="AE457"/>
      <c r="AF457"/>
      <c r="AG457"/>
      <c r="AH457"/>
      <c r="AI457"/>
      <c r="AJ457"/>
      <c r="AK457"/>
      <c r="AL457"/>
      <c r="AM457"/>
      <c r="AN457"/>
      <c r="AO457"/>
      <c r="AP457"/>
      <c r="AQ457"/>
      <c r="AR457"/>
      <c r="AS457"/>
      <c r="AT457"/>
      <c r="AU457"/>
      <c r="AV457"/>
      <c r="AW457"/>
      <c r="AX457"/>
      <c r="AY457"/>
      <c r="AZ457"/>
      <c r="BA457"/>
      <c r="BB457"/>
      <c r="BC457"/>
      <c r="BD457"/>
      <c r="BE457"/>
      <c r="BF457"/>
      <c r="BG457"/>
      <c r="BH457"/>
      <c r="BI457"/>
      <c r="BJ457"/>
      <c r="BK457"/>
      <c r="BL457"/>
      <c r="BM457"/>
      <c r="BN457"/>
      <c r="BO457"/>
      <c r="BP457"/>
      <c r="BQ457"/>
      <c r="BR457"/>
      <c r="BS457"/>
      <c r="BT457"/>
      <c r="BU457"/>
      <c r="BV457"/>
      <c r="BW457"/>
      <c r="BX457"/>
      <c r="BY457"/>
      <c r="BZ457"/>
      <c r="CA457"/>
      <c r="CB457"/>
      <c r="CC457"/>
      <c r="CD457"/>
      <c r="CE457"/>
      <c r="CF457"/>
      <c r="CG457"/>
      <c r="CH457"/>
      <c r="CI457"/>
      <c r="CJ457"/>
      <c r="CK457"/>
      <c r="CL457"/>
      <c r="CM457"/>
      <c r="CN457"/>
      <c r="CO457"/>
      <c r="CP457"/>
      <c r="CQ457"/>
      <c r="CR457"/>
      <c r="CS457"/>
      <c r="CT457"/>
      <c r="CU457"/>
      <c r="CV457"/>
      <c r="CW457"/>
      <c r="CX457"/>
      <c r="CY457"/>
      <c r="CZ457"/>
      <c r="DA457"/>
      <c r="DB457"/>
      <c r="DC457"/>
      <c r="DD457"/>
      <c r="DE457"/>
      <c r="DF457"/>
      <c r="DG457"/>
      <c r="DH457"/>
      <c r="DI457"/>
      <c r="DJ457"/>
      <c r="DK457"/>
      <c r="DL457"/>
      <c r="DM457"/>
      <c r="DN457"/>
      <c r="DO457"/>
      <c r="DP457"/>
      <c r="DQ457"/>
      <c r="DR457"/>
      <c r="DS457"/>
      <c r="DT457"/>
      <c r="DU457"/>
      <c r="DV457"/>
      <c r="DW457"/>
      <c r="DX457"/>
      <c r="DY457"/>
      <c r="DZ457"/>
      <c r="EA457"/>
      <c r="EB457"/>
      <c r="EC457"/>
      <c r="ED457"/>
      <c r="EE457"/>
      <c r="EF457"/>
      <c r="EG457"/>
      <c r="EH457"/>
      <c r="EI457"/>
      <c r="EJ457"/>
      <c r="EK457"/>
      <c r="EL457"/>
      <c r="EM457"/>
      <c r="EN457"/>
      <c r="EO457"/>
      <c r="EP457"/>
      <c r="EQ457"/>
      <c r="ER457"/>
      <c r="ES457"/>
      <c r="ET457"/>
      <c r="EU457"/>
      <c r="EV457"/>
      <c r="EW457"/>
      <c r="EX457"/>
      <c r="EY457"/>
      <c r="EZ457"/>
      <c r="FA457"/>
      <c r="FB457"/>
      <c r="FC457"/>
      <c r="FD457"/>
      <c r="FE457"/>
      <c r="FF457"/>
      <c r="FG457"/>
      <c r="FH457"/>
      <c r="FI457"/>
      <c r="FJ457"/>
      <c r="FK457"/>
      <c r="FL457"/>
      <c r="FM457"/>
      <c r="FN457"/>
      <c r="FO457"/>
      <c r="FP457"/>
      <c r="FQ457"/>
      <c r="FR457"/>
      <c r="FS457"/>
      <c r="FT457"/>
      <c r="FU457"/>
      <c r="FV457"/>
      <c r="FW457"/>
      <c r="FX457"/>
      <c r="FY457"/>
      <c r="FZ457"/>
      <c r="GA457"/>
      <c r="GB457"/>
      <c r="GC457"/>
      <c r="GD457"/>
      <c r="GE457"/>
      <c r="GF457"/>
      <c r="GG457"/>
      <c r="GH457"/>
      <c r="GI457"/>
      <c r="GJ457"/>
      <c r="GK457"/>
      <c r="GL457"/>
      <c r="GM457"/>
      <c r="GN457"/>
      <c r="GO457"/>
      <c r="GP457"/>
      <c r="GQ457"/>
      <c r="GR457"/>
      <c r="GS457"/>
      <c r="GT457"/>
      <c r="GU457"/>
      <c r="GV457"/>
      <c r="GW457"/>
      <c r="GX457"/>
      <c r="GY457"/>
      <c r="GZ457"/>
      <c r="HA457"/>
      <c r="HB457"/>
      <c r="HC457"/>
      <c r="HD457"/>
      <c r="HE457"/>
      <c r="HF457"/>
      <c r="HG457"/>
      <c r="HH457"/>
      <c r="HI457"/>
      <c r="HJ457"/>
      <c r="HK457"/>
      <c r="HL457"/>
      <c r="HM457"/>
      <c r="HN457"/>
      <c r="HO457"/>
      <c r="HP457"/>
      <c r="HQ457"/>
      <c r="HR457"/>
      <c r="HS457"/>
      <c r="HT457"/>
      <c r="HU457"/>
      <c r="HV457"/>
      <c r="HW457"/>
      <c r="HX457"/>
      <c r="HY457"/>
      <c r="HZ457"/>
      <c r="IA457"/>
      <c r="IB457"/>
      <c r="IC457"/>
      <c r="ID457"/>
      <c r="IE457"/>
      <c r="IF457"/>
      <c r="IG457"/>
      <c r="IH457"/>
      <c r="II457"/>
      <c r="IJ457"/>
      <c r="IK457"/>
      <c r="IL457"/>
      <c r="IM457"/>
      <c r="IN457"/>
      <c r="IO457"/>
      <c r="IP457"/>
      <c r="IQ457"/>
      <c r="IR457"/>
      <c r="IS457"/>
      <c r="IT457"/>
      <c r="IU457"/>
      <c r="IV457"/>
      <c r="IW457"/>
      <c r="IX457"/>
      <c r="IY457"/>
      <c r="IZ457"/>
      <c r="JA457"/>
      <c r="JB457"/>
      <c r="JC457"/>
      <c r="JD457"/>
      <c r="JE457"/>
      <c r="JF457"/>
      <c r="JG457"/>
      <c r="JH457"/>
      <c r="JI457"/>
      <c r="JJ457"/>
      <c r="JK457"/>
      <c r="JL457"/>
      <c r="JM457"/>
      <c r="JN457"/>
      <c r="JO457"/>
      <c r="JP457"/>
      <c r="JQ457"/>
      <c r="JR457"/>
      <c r="JS457"/>
      <c r="JT457"/>
      <c r="JU457"/>
      <c r="JV457"/>
      <c r="JW457"/>
      <c r="JX457"/>
      <c r="JY457"/>
      <c r="JZ457"/>
      <c r="KA457"/>
      <c r="KB457"/>
      <c r="KC457"/>
      <c r="KD457"/>
      <c r="KE457"/>
      <c r="KF457"/>
      <c r="KG457"/>
      <c r="KH457"/>
      <c r="KI457"/>
      <c r="KJ457"/>
      <c r="KK457"/>
      <c r="KL457"/>
      <c r="KM457"/>
      <c r="KN457"/>
      <c r="KO457"/>
      <c r="KP457"/>
      <c r="KQ457"/>
      <c r="KR457"/>
      <c r="KS457"/>
      <c r="KT457"/>
      <c r="KU457"/>
      <c r="KV457"/>
      <c r="KW457"/>
      <c r="KX457"/>
      <c r="KY457"/>
      <c r="KZ457"/>
      <c r="LA457"/>
      <c r="LB457"/>
      <c r="LC457"/>
      <c r="LD457"/>
      <c r="LE457"/>
      <c r="LF457"/>
      <c r="LG457"/>
      <c r="LH457"/>
      <c r="LI457"/>
      <c r="LJ457"/>
      <c r="LK457"/>
      <c r="LL457"/>
      <c r="LM457"/>
      <c r="LN457"/>
      <c r="LO457"/>
      <c r="LP457"/>
      <c r="LQ457"/>
      <c r="LR457"/>
      <c r="LS457"/>
      <c r="LT457"/>
      <c r="LU457"/>
      <c r="LV457"/>
      <c r="LW457"/>
      <c r="LX457"/>
      <c r="LY457"/>
      <c r="LZ457"/>
      <c r="MA457"/>
      <c r="MB457"/>
      <c r="MC457"/>
      <c r="MD457"/>
      <c r="ME457"/>
      <c r="MF457"/>
      <c r="MG457"/>
      <c r="MH457"/>
      <c r="MI457"/>
      <c r="MJ457"/>
      <c r="MK457"/>
      <c r="ML457"/>
      <c r="MM457"/>
      <c r="MN457"/>
      <c r="MO457"/>
      <c r="MP457"/>
      <c r="MQ457"/>
      <c r="MR457"/>
      <c r="MS457"/>
      <c r="MT457"/>
      <c r="MU457"/>
      <c r="MV457"/>
      <c r="MW457"/>
      <c r="MX457"/>
      <c r="MY457"/>
      <c r="MZ457"/>
      <c r="NA457"/>
      <c r="NB457"/>
      <c r="NC457"/>
      <c r="ND457"/>
      <c r="NE457"/>
      <c r="NF457"/>
      <c r="NG457"/>
      <c r="NH457"/>
      <c r="NI457"/>
      <c r="NJ457"/>
      <c r="NK457"/>
      <c r="NL457"/>
      <c r="NM457"/>
      <c r="NN457"/>
      <c r="NO457"/>
      <c r="NP457"/>
      <c r="NQ457"/>
      <c r="NR457"/>
      <c r="NS457"/>
      <c r="NT457"/>
      <c r="NU457"/>
      <c r="NV457"/>
      <c r="NW457"/>
      <c r="NX457"/>
      <c r="NY457"/>
      <c r="NZ457"/>
      <c r="OA457"/>
      <c r="OB457"/>
      <c r="OC457"/>
      <c r="OD457"/>
      <c r="OE457"/>
      <c r="OF457"/>
      <c r="OG457"/>
      <c r="OH457"/>
      <c r="OI457"/>
      <c r="OJ457"/>
      <c r="OK457"/>
      <c r="OL457"/>
      <c r="OM457"/>
      <c r="ON457"/>
      <c r="OO457"/>
      <c r="OP457"/>
      <c r="OQ457"/>
      <c r="OR457"/>
      <c r="OS457"/>
      <c r="OT457"/>
      <c r="OU457"/>
      <c r="OV457"/>
      <c r="OW457"/>
      <c r="OX457"/>
      <c r="OY457"/>
      <c r="OZ457"/>
      <c r="PA457"/>
      <c r="PB457"/>
      <c r="PC457"/>
      <c r="PD457"/>
      <c r="PE457"/>
      <c r="PF457"/>
      <c r="PG457"/>
      <c r="PH457"/>
      <c r="PI457"/>
      <c r="PJ457"/>
      <c r="PK457"/>
      <c r="PL457"/>
      <c r="PM457"/>
      <c r="PN457"/>
      <c r="PO457"/>
      <c r="PP457"/>
      <c r="PQ457"/>
      <c r="PR457"/>
      <c r="PS457"/>
      <c r="PT457"/>
      <c r="PU457"/>
      <c r="PV457"/>
      <c r="PW457"/>
      <c r="PX457"/>
      <c r="PY457"/>
      <c r="PZ457"/>
      <c r="QA457"/>
      <c r="QB457"/>
      <c r="QC457"/>
      <c r="QD457"/>
      <c r="QE457"/>
      <c r="QF457"/>
      <c r="QG457"/>
      <c r="QH457"/>
      <c r="QI457"/>
      <c r="QJ457"/>
      <c r="QK457"/>
      <c r="QL457"/>
      <c r="QM457"/>
      <c r="QN457"/>
      <c r="QO457"/>
      <c r="QP457"/>
      <c r="QQ457"/>
      <c r="QR457"/>
      <c r="QS457"/>
      <c r="QT457"/>
      <c r="QU457"/>
      <c r="QV457"/>
      <c r="QW457"/>
      <c r="QX457"/>
      <c r="QY457"/>
      <c r="QZ457"/>
      <c r="RA457"/>
      <c r="RB457"/>
      <c r="RC457"/>
      <c r="RD457"/>
      <c r="RE457"/>
      <c r="RF457"/>
      <c r="RG457"/>
      <c r="RH457"/>
      <c r="RI457"/>
      <c r="RJ457"/>
      <c r="RK457"/>
      <c r="RL457"/>
      <c r="RM457"/>
      <c r="RN457"/>
      <c r="RO457"/>
      <c r="RP457"/>
      <c r="RQ457"/>
      <c r="RR457"/>
      <c r="RS457"/>
      <c r="RT457"/>
      <c r="RU457"/>
      <c r="RV457"/>
      <c r="RW457"/>
      <c r="RX457"/>
      <c r="RY457"/>
      <c r="RZ457"/>
      <c r="SA457"/>
      <c r="SB457"/>
      <c r="SC457"/>
      <c r="SD457"/>
      <c r="SE457"/>
      <c r="SF457"/>
      <c r="SG457"/>
      <c r="SH457"/>
      <c r="SI457"/>
      <c r="SJ457"/>
      <c r="SK457"/>
      <c r="SL457"/>
      <c r="SM457"/>
      <c r="SN457"/>
      <c r="SO457"/>
      <c r="SP457"/>
      <c r="SQ457"/>
      <c r="SR457"/>
      <c r="SS457"/>
      <c r="ST457"/>
      <c r="SU457"/>
      <c r="SV457"/>
      <c r="SW457"/>
      <c r="SX457"/>
      <c r="SY457"/>
      <c r="SZ457"/>
      <c r="TA457"/>
      <c r="TB457"/>
      <c r="TC457"/>
      <c r="TD457"/>
      <c r="TE457"/>
      <c r="TF457"/>
      <c r="TG457"/>
      <c r="TH457"/>
      <c r="TI457"/>
      <c r="TJ457"/>
      <c r="TK457"/>
      <c r="TL457"/>
      <c r="TM457"/>
      <c r="TN457"/>
      <c r="TO457"/>
      <c r="TP457"/>
      <c r="TQ457"/>
      <c r="TR457"/>
      <c r="TS457"/>
      <c r="TT457"/>
      <c r="TU457"/>
      <c r="TV457"/>
      <c r="TW457"/>
      <c r="TX457"/>
      <c r="TY457"/>
      <c r="TZ457"/>
      <c r="UA457"/>
      <c r="UB457"/>
      <c r="UC457"/>
      <c r="UD457"/>
      <c r="UE457"/>
      <c r="UF457"/>
      <c r="UG457"/>
      <c r="UH457"/>
      <c r="UI457"/>
      <c r="UJ457"/>
      <c r="UK457"/>
      <c r="UL457"/>
      <c r="UM457"/>
      <c r="UN457"/>
      <c r="UO457"/>
      <c r="UP457"/>
      <c r="UQ457"/>
      <c r="UR457"/>
      <c r="US457"/>
      <c r="UT457"/>
      <c r="UU457"/>
      <c r="UV457"/>
      <c r="UW457"/>
      <c r="UX457"/>
      <c r="UY457"/>
      <c r="UZ457"/>
      <c r="VA457"/>
      <c r="VB457"/>
      <c r="VC457"/>
      <c r="VD457"/>
      <c r="VE457"/>
      <c r="VF457"/>
      <c r="VG457"/>
      <c r="VH457"/>
      <c r="VI457"/>
      <c r="VJ457"/>
      <c r="VK457"/>
      <c r="VL457"/>
      <c r="VM457"/>
      <c r="VN457"/>
      <c r="VO457"/>
      <c r="VP457"/>
      <c r="VQ457"/>
      <c r="VR457"/>
      <c r="VS457"/>
      <c r="VT457"/>
      <c r="VU457"/>
      <c r="VV457"/>
      <c r="VW457"/>
      <c r="VX457"/>
      <c r="VY457"/>
      <c r="VZ457"/>
      <c r="WA457"/>
      <c r="WB457"/>
      <c r="WC457"/>
      <c r="WD457"/>
      <c r="WE457"/>
      <c r="WF457"/>
      <c r="WG457"/>
      <c r="WH457"/>
      <c r="WI457"/>
      <c r="WJ457"/>
      <c r="WK457"/>
      <c r="WL457"/>
      <c r="WM457"/>
      <c r="WN457"/>
      <c r="WO457"/>
      <c r="WP457"/>
      <c r="WQ457"/>
      <c r="WR457"/>
      <c r="WS457"/>
      <c r="WT457"/>
      <c r="WU457"/>
      <c r="WV457"/>
      <c r="WW457"/>
      <c r="WX457"/>
      <c r="WY457"/>
      <c r="WZ457"/>
      <c r="XA457"/>
      <c r="XB457"/>
      <c r="XC457"/>
      <c r="XD457"/>
      <c r="XE457"/>
      <c r="XF457"/>
      <c r="XG457"/>
      <c r="XH457"/>
      <c r="XI457"/>
      <c r="XJ457"/>
      <c r="XK457"/>
      <c r="XL457"/>
      <c r="XM457"/>
      <c r="XN457"/>
      <c r="XO457"/>
      <c r="XP457"/>
      <c r="XQ457"/>
      <c r="XR457"/>
      <c r="XS457"/>
      <c r="XT457"/>
      <c r="XU457"/>
      <c r="XV457"/>
      <c r="XW457"/>
      <c r="XX457"/>
      <c r="XY457"/>
      <c r="XZ457"/>
      <c r="YA457"/>
      <c r="YB457"/>
      <c r="YC457"/>
      <c r="YD457"/>
      <c r="YE457"/>
      <c r="YF457"/>
      <c r="YG457"/>
      <c r="YH457"/>
      <c r="YI457"/>
      <c r="YJ457"/>
      <c r="YK457"/>
      <c r="YL457"/>
      <c r="YM457"/>
      <c r="YN457"/>
      <c r="YO457"/>
      <c r="YP457"/>
      <c r="YQ457"/>
      <c r="YR457"/>
      <c r="YS457"/>
      <c r="YT457"/>
      <c r="YU457"/>
      <c r="YV457"/>
      <c r="YW457"/>
      <c r="YX457"/>
      <c r="YY457"/>
      <c r="YZ457"/>
      <c r="ZA457"/>
      <c r="ZB457"/>
      <c r="ZC457"/>
      <c r="ZD457"/>
      <c r="ZE457"/>
      <c r="ZF457"/>
      <c r="ZG457"/>
      <c r="ZH457"/>
      <c r="ZI457"/>
      <c r="ZJ457"/>
      <c r="ZK457"/>
      <c r="ZL457"/>
      <c r="ZM457"/>
      <c r="ZN457"/>
      <c r="ZO457"/>
      <c r="ZP457"/>
      <c r="ZQ457"/>
      <c r="ZR457"/>
      <c r="ZS457"/>
      <c r="ZT457"/>
      <c r="ZU457"/>
      <c r="ZV457"/>
      <c r="ZW457"/>
      <c r="ZX457"/>
      <c r="ZY457"/>
      <c r="ZZ457"/>
      <c r="AAA457"/>
      <c r="AAB457"/>
      <c r="AAC457"/>
      <c r="AAD457"/>
      <c r="AAE457"/>
      <c r="AAF457"/>
      <c r="AAG457"/>
      <c r="AAH457"/>
      <c r="AAI457"/>
      <c r="AAJ457"/>
      <c r="AAK457"/>
      <c r="AAL457"/>
      <c r="AAM457"/>
      <c r="AAN457"/>
      <c r="AAO457"/>
      <c r="AAP457"/>
      <c r="AAQ457"/>
      <c r="AAR457"/>
      <c r="AAS457"/>
      <c r="AAT457"/>
      <c r="AAU457"/>
      <c r="AAV457"/>
      <c r="AAW457"/>
      <c r="AAX457"/>
      <c r="AAY457"/>
      <c r="AAZ457"/>
      <c r="ABA457"/>
      <c r="ABB457"/>
      <c r="ABC457"/>
      <c r="ABD457"/>
      <c r="ABE457"/>
      <c r="ABF457"/>
      <c r="ABG457"/>
      <c r="ABH457"/>
      <c r="ABI457"/>
      <c r="ABJ457"/>
      <c r="ABK457"/>
      <c r="ABL457"/>
      <c r="ABM457"/>
      <c r="ABN457"/>
      <c r="ABO457"/>
      <c r="ABP457"/>
      <c r="ABQ457"/>
      <c r="ABR457"/>
      <c r="ABS457"/>
      <c r="ABT457"/>
      <c r="ABU457"/>
      <c r="ABV457"/>
      <c r="ABW457"/>
      <c r="ABX457"/>
      <c r="ABY457"/>
      <c r="ABZ457"/>
      <c r="ACA457"/>
      <c r="ACB457"/>
      <c r="ACC457"/>
      <c r="ACD457"/>
      <c r="ACE457"/>
      <c r="ACF457"/>
      <c r="ACG457"/>
      <c r="ACH457"/>
      <c r="ACI457"/>
      <c r="ACJ457"/>
      <c r="ACK457"/>
      <c r="ACL457"/>
      <c r="ACM457"/>
      <c r="ACN457"/>
      <c r="ACO457"/>
      <c r="ACP457"/>
      <c r="ACQ457"/>
      <c r="ACR457"/>
      <c r="ACS457"/>
      <c r="ACT457"/>
      <c r="ACU457"/>
      <c r="ACV457"/>
      <c r="ACW457"/>
      <c r="ACX457"/>
      <c r="ACY457"/>
      <c r="ACZ457"/>
      <c r="ADA457"/>
      <c r="ADB457"/>
      <c r="ADC457"/>
      <c r="ADD457"/>
      <c r="ADE457"/>
      <c r="ADF457"/>
      <c r="ADG457"/>
      <c r="ADH457"/>
      <c r="ADI457"/>
      <c r="ADJ457"/>
      <c r="ADK457"/>
      <c r="ADL457"/>
      <c r="ADM457"/>
      <c r="ADN457"/>
      <c r="ADO457"/>
      <c r="ADP457"/>
      <c r="ADQ457"/>
      <c r="ADR457"/>
      <c r="ADS457"/>
      <c r="ADT457"/>
      <c r="ADU457"/>
      <c r="ADV457"/>
      <c r="ADW457"/>
      <c r="ADX457"/>
      <c r="ADY457"/>
      <c r="ADZ457"/>
      <c r="AEA457"/>
      <c r="AEB457"/>
      <c r="AEC457"/>
      <c r="AED457"/>
      <c r="AEE457"/>
      <c r="AEF457"/>
      <c r="AEG457"/>
      <c r="AEH457"/>
      <c r="AEI457"/>
      <c r="AEJ457"/>
      <c r="AEK457"/>
      <c r="AEL457"/>
      <c r="AEM457"/>
      <c r="AEN457"/>
      <c r="AEO457"/>
      <c r="AEP457"/>
      <c r="AEQ457"/>
      <c r="AER457"/>
      <c r="AES457"/>
      <c r="AET457"/>
      <c r="AEU457"/>
      <c r="AEV457"/>
      <c r="AEW457"/>
      <c r="AEX457"/>
      <c r="AEY457"/>
      <c r="AEZ457"/>
      <c r="AFA457"/>
      <c r="AFB457"/>
      <c r="AFC457"/>
      <c r="AFD457"/>
      <c r="AFE457"/>
      <c r="AFF457"/>
      <c r="AFG457"/>
      <c r="AFH457"/>
      <c r="AFI457"/>
      <c r="AFJ457"/>
      <c r="AFK457"/>
      <c r="AFL457"/>
      <c r="AFM457"/>
      <c r="AFN457"/>
      <c r="AFO457"/>
      <c r="AFP457"/>
      <c r="AFQ457"/>
      <c r="AFR457"/>
      <c r="AFS457"/>
      <c r="AFT457"/>
      <c r="AFU457"/>
      <c r="AFV457"/>
      <c r="AFW457"/>
      <c r="AFX457"/>
      <c r="AFY457"/>
      <c r="AFZ457"/>
      <c r="AGA457"/>
      <c r="AGB457"/>
      <c r="AGC457"/>
      <c r="AGD457"/>
      <c r="AGE457"/>
      <c r="AGF457"/>
      <c r="AGG457"/>
      <c r="AGH457"/>
      <c r="AGI457"/>
      <c r="AGJ457"/>
      <c r="AGK457"/>
      <c r="AGL457"/>
      <c r="AGM457"/>
      <c r="AGN457"/>
      <c r="AGO457"/>
      <c r="AGP457"/>
      <c r="AGQ457"/>
      <c r="AGR457"/>
      <c r="AGS457"/>
      <c r="AGT457"/>
      <c r="AGU457"/>
      <c r="AGV457"/>
      <c r="AGW457"/>
      <c r="AGX457"/>
      <c r="AGY457"/>
      <c r="AGZ457"/>
      <c r="AHA457"/>
      <c r="AHB457"/>
      <c r="AHC457"/>
      <c r="AHD457"/>
      <c r="AHE457"/>
      <c r="AHF457"/>
      <c r="AHG457"/>
      <c r="AHH457"/>
      <c r="AHI457"/>
      <c r="AHJ457"/>
      <c r="AHK457"/>
      <c r="AHL457"/>
      <c r="AHM457"/>
      <c r="AHN457"/>
      <c r="AHO457"/>
      <c r="AHP457"/>
      <c r="AHQ457"/>
      <c r="AHR457"/>
      <c r="AHS457"/>
      <c r="AHT457"/>
      <c r="AHU457"/>
      <c r="AHV457"/>
      <c r="AHW457"/>
      <c r="AHX457"/>
      <c r="AHY457"/>
      <c r="AHZ457"/>
      <c r="AIA457"/>
      <c r="AIB457"/>
      <c r="AIC457"/>
      <c r="AID457"/>
      <c r="AIE457"/>
      <c r="AIF457"/>
      <c r="AIG457"/>
      <c r="AIH457"/>
      <c r="AII457"/>
      <c r="AIJ457"/>
      <c r="AIK457"/>
      <c r="AIL457"/>
      <c r="AIM457"/>
      <c r="AIN457"/>
      <c r="AIO457"/>
      <c r="AIP457"/>
      <c r="AIQ457"/>
      <c r="AIR457"/>
      <c r="AIS457"/>
      <c r="AIT457"/>
      <c r="AIU457"/>
      <c r="AIV457"/>
      <c r="AIW457"/>
      <c r="AIX457"/>
      <c r="AIY457"/>
      <c r="AIZ457"/>
      <c r="AJA457"/>
      <c r="AJB457"/>
      <c r="AJC457"/>
      <c r="AJD457"/>
      <c r="AJE457"/>
      <c r="AJF457"/>
      <c r="AJG457"/>
      <c r="AJH457"/>
      <c r="AJI457"/>
      <c r="AJJ457"/>
      <c r="AJK457"/>
      <c r="AJL457"/>
      <c r="AJM457"/>
      <c r="AJN457"/>
      <c r="AJO457"/>
      <c r="AJP457"/>
      <c r="AJQ457"/>
      <c r="AJR457"/>
      <c r="AJS457"/>
      <c r="AJT457"/>
      <c r="AJU457"/>
      <c r="AJV457"/>
      <c r="AJW457"/>
      <c r="AJX457"/>
      <c r="AJY457"/>
      <c r="AJZ457"/>
      <c r="AKA457"/>
      <c r="AKB457"/>
      <c r="AKC457"/>
      <c r="AKD457"/>
      <c r="AKE457"/>
      <c r="AKF457"/>
      <c r="AKG457"/>
      <c r="AKH457"/>
      <c r="AKI457"/>
      <c r="AKJ457"/>
      <c r="AKK457"/>
      <c r="AKL457"/>
      <c r="AKM457"/>
      <c r="AKN457"/>
      <c r="AKO457"/>
      <c r="AKP457"/>
      <c r="AKQ457"/>
      <c r="AKR457"/>
      <c r="AKS457"/>
      <c r="AKT457"/>
      <c r="AKU457"/>
      <c r="AKV457"/>
      <c r="AKW457"/>
      <c r="AKX457"/>
      <c r="AKY457"/>
      <c r="AKZ457"/>
      <c r="ALA457"/>
      <c r="ALB457"/>
      <c r="ALC457"/>
      <c r="ALD457"/>
      <c r="ALE457"/>
      <c r="ALF457"/>
      <c r="ALG457"/>
      <c r="ALH457"/>
      <c r="ALI457"/>
      <c r="ALJ457"/>
      <c r="ALK457"/>
      <c r="ALL457"/>
      <c r="ALM457"/>
      <c r="ALN457"/>
      <c r="ALO457"/>
      <c r="ALP457"/>
      <c r="ALQ457"/>
      <c r="ALR457"/>
      <c r="ALS457"/>
      <c r="ALT457"/>
    </row>
    <row r="458" spans="1:1008" ht="14">
      <c r="A458" s="25" t="s">
        <v>1257</v>
      </c>
      <c r="B458" s="26" t="s">
        <v>109</v>
      </c>
      <c r="C458" s="25" t="str">
        <f t="shared" si="7"/>
        <v>arg0</v>
      </c>
      <c r="D458" s="27" t="s">
        <v>13</v>
      </c>
      <c r="E458" s="25" t="s">
        <v>1258</v>
      </c>
      <c r="F458" s="25" t="s">
        <v>1259</v>
      </c>
      <c r="G458" s="25">
        <v>500</v>
      </c>
      <c r="H458" s="25"/>
    </row>
    <row r="459" spans="1:1008" ht="14">
      <c r="A459" s="25" t="s">
        <v>1260</v>
      </c>
      <c r="B459" s="26" t="s">
        <v>109</v>
      </c>
      <c r="C459" s="25" t="str">
        <f t="shared" si="7"/>
        <v>arg10</v>
      </c>
      <c r="D459" s="27" t="s">
        <v>13</v>
      </c>
      <c r="E459" s="25" t="s">
        <v>1261</v>
      </c>
      <c r="F459" s="25" t="s">
        <v>1262</v>
      </c>
      <c r="G459" s="25">
        <v>500</v>
      </c>
      <c r="H459" s="25"/>
    </row>
    <row r="460" spans="1:1008" ht="14">
      <c r="A460" s="25" t="s">
        <v>1263</v>
      </c>
      <c r="B460" s="26" t="s">
        <v>109</v>
      </c>
      <c r="C460" s="25" t="str">
        <f t="shared" si="7"/>
        <v>arg6</v>
      </c>
      <c r="D460" s="27" t="s">
        <v>13</v>
      </c>
      <c r="E460" s="25" t="s">
        <v>1264</v>
      </c>
      <c r="F460" s="25" t="s">
        <v>1265</v>
      </c>
      <c r="G460" s="25">
        <v>500</v>
      </c>
      <c r="H460" s="25"/>
    </row>
    <row r="461" spans="1:1008" ht="14">
      <c r="A461" s="25" t="s">
        <v>1266</v>
      </c>
      <c r="B461" s="26" t="s">
        <v>109</v>
      </c>
      <c r="C461" s="25" t="str">
        <f t="shared" si="7"/>
        <v>lys0</v>
      </c>
      <c r="D461" s="27" t="s">
        <v>13</v>
      </c>
      <c r="E461" s="25" t="s">
        <v>1267</v>
      </c>
      <c r="F461" s="27" t="s">
        <v>2802</v>
      </c>
      <c r="G461" s="25">
        <v>500</v>
      </c>
      <c r="H461" s="25"/>
    </row>
    <row r="462" spans="1:1008" ht="14">
      <c r="A462" s="25" t="s">
        <v>1268</v>
      </c>
      <c r="B462" s="26" t="s">
        <v>109</v>
      </c>
      <c r="C462" s="25" t="str">
        <f t="shared" si="7"/>
        <v>lys4</v>
      </c>
      <c r="D462" s="27" t="s">
        <v>13</v>
      </c>
      <c r="E462" s="25" t="s">
        <v>1269</v>
      </c>
      <c r="F462" s="25" t="s">
        <v>1270</v>
      </c>
      <c r="G462" s="25">
        <v>500</v>
      </c>
      <c r="H462" s="25"/>
    </row>
    <row r="463" spans="1:1008" ht="14">
      <c r="A463" s="25" t="s">
        <v>1271</v>
      </c>
      <c r="B463" s="26" t="s">
        <v>109</v>
      </c>
      <c r="C463" s="25" t="str">
        <f t="shared" si="7"/>
        <v>lys6</v>
      </c>
      <c r="D463" s="27" t="s">
        <v>13</v>
      </c>
      <c r="E463" s="25" t="s">
        <v>1272</v>
      </c>
      <c r="F463" s="25" t="s">
        <v>1273</v>
      </c>
      <c r="G463" s="25">
        <v>500</v>
      </c>
      <c r="H463" s="25"/>
    </row>
    <row r="464" spans="1:1008" ht="14">
      <c r="A464" s="25" t="s">
        <v>1274</v>
      </c>
      <c r="B464" s="26" t="s">
        <v>109</v>
      </c>
      <c r="C464" s="25" t="str">
        <f t="shared" si="7"/>
        <v>lys8</v>
      </c>
      <c r="D464" s="27" t="s">
        <v>13</v>
      </c>
      <c r="E464" s="25" t="s">
        <v>1275</v>
      </c>
      <c r="F464" s="25" t="s">
        <v>1276</v>
      </c>
      <c r="G464" s="25">
        <v>500</v>
      </c>
      <c r="H464" s="25"/>
    </row>
    <row r="465" spans="1:8" ht="14">
      <c r="A465" s="25" t="s">
        <v>2804</v>
      </c>
      <c r="B465" s="26" t="s">
        <v>109</v>
      </c>
      <c r="C465" s="25" t="str">
        <f t="shared" si="7"/>
        <v>lys0arg0</v>
      </c>
      <c r="D465" s="27" t="s">
        <v>13</v>
      </c>
      <c r="E465" s="25" t="s">
        <v>2803</v>
      </c>
      <c r="F465" s="25" t="s">
        <v>2811</v>
      </c>
      <c r="G465" s="25">
        <v>500</v>
      </c>
      <c r="H465" s="25"/>
    </row>
    <row r="466" spans="1:8" ht="14">
      <c r="A466" s="25" t="s">
        <v>2805</v>
      </c>
      <c r="B466" s="26" t="s">
        <v>109</v>
      </c>
      <c r="C466" s="25" t="str">
        <f t="shared" si="7"/>
        <v>lys4arg6</v>
      </c>
      <c r="D466" s="27"/>
      <c r="E466" s="25" t="s">
        <v>2806</v>
      </c>
      <c r="F466" s="25" t="s">
        <v>2810</v>
      </c>
      <c r="G466" s="25">
        <v>500</v>
      </c>
      <c r="H466" s="25"/>
    </row>
    <row r="467" spans="1:8" ht="14">
      <c r="A467" s="25" t="s">
        <v>2807</v>
      </c>
      <c r="B467" s="26" t="s">
        <v>109</v>
      </c>
      <c r="C467" s="25" t="str">
        <f t="shared" si="7"/>
        <v>lys8arg10</v>
      </c>
      <c r="D467" s="27"/>
      <c r="E467" s="25" t="s">
        <v>2808</v>
      </c>
      <c r="F467" s="25" t="s">
        <v>2809</v>
      </c>
      <c r="G467" s="25">
        <v>500</v>
      </c>
      <c r="H467" s="25"/>
    </row>
    <row r="468" spans="1:8" ht="14">
      <c r="A468" s="25" t="s">
        <v>1277</v>
      </c>
      <c r="B468" s="26" t="s">
        <v>111</v>
      </c>
      <c r="C468" s="25" t="str">
        <f t="shared" si="7"/>
        <v>abc_transporters</v>
      </c>
      <c r="D468" s="27" t="s">
        <v>13</v>
      </c>
      <c r="E468" s="25" t="s">
        <v>1278</v>
      </c>
      <c r="F468" s="25" t="s">
        <v>1279</v>
      </c>
      <c r="G468" s="25">
        <v>500</v>
      </c>
      <c r="H468" s="25"/>
    </row>
    <row r="469" spans="1:8" ht="14">
      <c r="A469" s="25" t="s">
        <v>1280</v>
      </c>
      <c r="B469" s="26" t="s">
        <v>111</v>
      </c>
      <c r="C469" s="25" t="str">
        <f t="shared" si="7"/>
        <v>amidoxime_reducing_complex</v>
      </c>
      <c r="D469" s="27" t="s">
        <v>13</v>
      </c>
      <c r="E469" s="25" t="s">
        <v>1281</v>
      </c>
      <c r="F469" s="25" t="s">
        <v>1282</v>
      </c>
      <c r="G469" s="25">
        <v>500</v>
      </c>
      <c r="H469" s="25"/>
    </row>
    <row r="470" spans="1:8" ht="14">
      <c r="A470" s="25" t="s">
        <v>1283</v>
      </c>
      <c r="B470" s="26" t="s">
        <v>111</v>
      </c>
      <c r="C470" s="25" t="str">
        <f t="shared" si="7"/>
        <v>amino_acid_metabolism</v>
      </c>
      <c r="D470" s="27" t="s">
        <v>13</v>
      </c>
      <c r="E470" s="25" t="s">
        <v>1284</v>
      </c>
      <c r="F470" s="25" t="s">
        <v>1285</v>
      </c>
      <c r="G470" s="25">
        <v>500</v>
      </c>
      <c r="H470" s="25"/>
    </row>
    <row r="471" spans="1:8" ht="14">
      <c r="A471" s="25" t="s">
        <v>1286</v>
      </c>
      <c r="B471" s="26" t="s">
        <v>111</v>
      </c>
      <c r="C471" s="25" t="str">
        <f t="shared" si="7"/>
        <v>apoptosis</v>
      </c>
      <c r="D471" s="27" t="s">
        <v>13</v>
      </c>
      <c r="E471" s="25" t="s">
        <v>1287</v>
      </c>
      <c r="F471" s="25" t="s">
        <v>1288</v>
      </c>
      <c r="G471" s="25">
        <v>500</v>
      </c>
      <c r="H471" s="25"/>
    </row>
    <row r="472" spans="1:8" ht="14">
      <c r="A472" s="25" t="s">
        <v>1289</v>
      </c>
      <c r="B472" s="26" t="s">
        <v>111</v>
      </c>
      <c r="C472" s="25" t="str">
        <f t="shared" si="7"/>
        <v>autophagy</v>
      </c>
      <c r="D472" s="27" t="s">
        <v>13</v>
      </c>
      <c r="E472" s="25" t="s">
        <v>1290</v>
      </c>
      <c r="F472" s="25" t="s">
        <v>1291</v>
      </c>
      <c r="G472" s="25">
        <v>500</v>
      </c>
      <c r="H472" s="25"/>
    </row>
    <row r="473" spans="1:8" ht="14">
      <c r="A473" s="25" t="s">
        <v>1292</v>
      </c>
      <c r="B473" s="26" t="s">
        <v>111</v>
      </c>
      <c r="C473" s="25" t="str">
        <f t="shared" si="7"/>
        <v>biotin_utilizing_proteins</v>
      </c>
      <c r="D473" s="27" t="s">
        <v>13</v>
      </c>
      <c r="E473" s="25" t="s">
        <v>1293</v>
      </c>
      <c r="F473" s="25" t="s">
        <v>1294</v>
      </c>
      <c r="G473" s="25">
        <v>500</v>
      </c>
      <c r="H473" s="25"/>
    </row>
    <row r="474" spans="1:8" ht="14">
      <c r="A474" s="25" t="s">
        <v>1295</v>
      </c>
      <c r="B474" s="26" t="s">
        <v>111</v>
      </c>
      <c r="C474" s="25" t="str">
        <f t="shared" si="7"/>
        <v>branched_chain_amino_acid_dehydrogenase_complex</v>
      </c>
      <c r="D474" s="27" t="s">
        <v>13</v>
      </c>
      <c r="E474" s="25" t="s">
        <v>1296</v>
      </c>
      <c r="F474" s="25" t="s">
        <v>1297</v>
      </c>
      <c r="G474" s="25">
        <v>500</v>
      </c>
      <c r="H474" s="25"/>
    </row>
    <row r="475" spans="1:8" ht="14">
      <c r="A475" s="25" t="s">
        <v>1298</v>
      </c>
      <c r="B475" s="26" t="s">
        <v>111</v>
      </c>
      <c r="C475" s="25" t="str">
        <f t="shared" si="7"/>
        <v>branched_chain_amino_acid_metabolism</v>
      </c>
      <c r="D475" s="27" t="s">
        <v>13</v>
      </c>
      <c r="E475" s="25" t="s">
        <v>1299</v>
      </c>
      <c r="F475" s="25" t="s">
        <v>1300</v>
      </c>
      <c r="G475" s="25">
        <v>500</v>
      </c>
      <c r="H475" s="25"/>
    </row>
    <row r="476" spans="1:8" ht="14">
      <c r="A476" s="25" t="s">
        <v>1301</v>
      </c>
      <c r="B476" s="26" t="s">
        <v>111</v>
      </c>
      <c r="C476" s="25" t="str">
        <f t="shared" si="7"/>
        <v>calcium_cycle</v>
      </c>
      <c r="D476" s="27" t="s">
        <v>13</v>
      </c>
      <c r="E476" s="25" t="s">
        <v>1302</v>
      </c>
      <c r="F476" s="25" t="s">
        <v>1303</v>
      </c>
      <c r="G476" s="25">
        <v>500</v>
      </c>
      <c r="H476" s="25"/>
    </row>
    <row r="477" spans="1:8" ht="14">
      <c r="A477" s="25" t="s">
        <v>1304</v>
      </c>
      <c r="B477" s="26" t="s">
        <v>111</v>
      </c>
      <c r="C477" s="25" t="str">
        <f t="shared" si="7"/>
        <v>calcium_homeostasis</v>
      </c>
      <c r="D477" s="27" t="s">
        <v>13</v>
      </c>
      <c r="E477" s="25" t="s">
        <v>1305</v>
      </c>
      <c r="F477" s="25" t="s">
        <v>1306</v>
      </c>
      <c r="G477" s="25">
        <v>500</v>
      </c>
      <c r="H477" s="25"/>
    </row>
    <row r="478" spans="1:8" ht="14">
      <c r="A478" s="25" t="s">
        <v>1307</v>
      </c>
      <c r="B478" s="26" t="s">
        <v>111</v>
      </c>
      <c r="C478" s="25" t="str">
        <f t="shared" si="7"/>
        <v>calcium_uniporter</v>
      </c>
      <c r="D478" s="27" t="s">
        <v>13</v>
      </c>
      <c r="E478" s="25" t="s">
        <v>1308</v>
      </c>
      <c r="F478" s="25" t="s">
        <v>1309</v>
      </c>
      <c r="G478" s="25">
        <v>500</v>
      </c>
      <c r="H478" s="25"/>
    </row>
    <row r="479" spans="1:8" ht="14">
      <c r="A479" s="25" t="s">
        <v>1310</v>
      </c>
      <c r="B479" s="26" t="s">
        <v>111</v>
      </c>
      <c r="C479" s="25" t="str">
        <f t="shared" si="7"/>
        <v>camp_pka_signaling</v>
      </c>
      <c r="D479" s="27" t="s">
        <v>13</v>
      </c>
      <c r="E479" s="25" t="s">
        <v>1311</v>
      </c>
      <c r="F479" s="25" t="s">
        <v>1312</v>
      </c>
      <c r="G479" s="25">
        <v>500</v>
      </c>
      <c r="H479" s="25"/>
    </row>
    <row r="480" spans="1:8" ht="14">
      <c r="A480" s="25" t="s">
        <v>1313</v>
      </c>
      <c r="B480" s="26" t="s">
        <v>111</v>
      </c>
      <c r="C480" s="25" t="str">
        <f t="shared" si="7"/>
        <v>carbohydrate_metabolism</v>
      </c>
      <c r="D480" s="27" t="s">
        <v>13</v>
      </c>
      <c r="E480" s="25" t="s">
        <v>1314</v>
      </c>
      <c r="F480" s="25" t="s">
        <v>1315</v>
      </c>
      <c r="G480" s="25">
        <v>500</v>
      </c>
      <c r="H480" s="25"/>
    </row>
    <row r="481" spans="1:8" ht="14">
      <c r="A481" s="25" t="s">
        <v>1316</v>
      </c>
      <c r="B481" s="26" t="s">
        <v>111</v>
      </c>
      <c r="C481" s="25" t="str">
        <f t="shared" si="7"/>
        <v>cardiolipin_synthesis</v>
      </c>
      <c r="D481" s="27" t="s">
        <v>13</v>
      </c>
      <c r="E481" s="25" t="s">
        <v>1317</v>
      </c>
      <c r="F481" s="25" t="s">
        <v>1318</v>
      </c>
      <c r="G481" s="25">
        <v>500</v>
      </c>
      <c r="H481" s="25"/>
    </row>
    <row r="482" spans="1:8" ht="14">
      <c r="A482" s="25" t="s">
        <v>1319</v>
      </c>
      <c r="B482" s="26" t="s">
        <v>111</v>
      </c>
      <c r="C482" s="25" t="str">
        <f t="shared" si="7"/>
        <v>carnitine_shuttle</v>
      </c>
      <c r="D482" s="27" t="s">
        <v>13</v>
      </c>
      <c r="E482" s="25" t="s">
        <v>1320</v>
      </c>
      <c r="F482" s="25" t="s">
        <v>1321</v>
      </c>
      <c r="G482" s="25">
        <v>500</v>
      </c>
      <c r="H482" s="25"/>
    </row>
    <row r="483" spans="1:8" ht="14">
      <c r="A483" s="25" t="s">
        <v>1322</v>
      </c>
      <c r="B483" s="26" t="s">
        <v>111</v>
      </c>
      <c r="C483" s="25" t="str">
        <f t="shared" si="7"/>
        <v>carnitine_synthesis_and_transport</v>
      </c>
      <c r="D483" s="27" t="s">
        <v>13</v>
      </c>
      <c r="E483" s="25" t="s">
        <v>1323</v>
      </c>
      <c r="F483" s="25" t="s">
        <v>1324</v>
      </c>
      <c r="G483" s="25">
        <v>500</v>
      </c>
      <c r="H483" s="25"/>
    </row>
    <row r="484" spans="1:8" ht="14">
      <c r="A484" s="25" t="s">
        <v>1325</v>
      </c>
      <c r="B484" s="26" t="s">
        <v>111</v>
      </c>
      <c r="C484" s="25" t="str">
        <f t="shared" si="7"/>
        <v>catechol_metabolism</v>
      </c>
      <c r="D484" s="27" t="s">
        <v>13</v>
      </c>
      <c r="E484" s="25" t="s">
        <v>1326</v>
      </c>
      <c r="F484" s="25" t="s">
        <v>1327</v>
      </c>
      <c r="G484" s="25">
        <v>500</v>
      </c>
      <c r="H484" s="25"/>
    </row>
    <row r="485" spans="1:8" ht="14">
      <c r="A485" s="25" t="s">
        <v>1328</v>
      </c>
      <c r="B485" s="26" t="s">
        <v>111</v>
      </c>
      <c r="C485" s="25" t="str">
        <f t="shared" si="7"/>
        <v>chaperones</v>
      </c>
      <c r="D485" s="27" t="s">
        <v>13</v>
      </c>
      <c r="E485" s="25" t="s">
        <v>1329</v>
      </c>
      <c r="F485" s="25" t="s">
        <v>1330</v>
      </c>
      <c r="G485" s="25">
        <v>500</v>
      </c>
      <c r="H485" s="25"/>
    </row>
    <row r="486" spans="1:8" ht="14">
      <c r="A486" s="25" t="s">
        <v>1331</v>
      </c>
      <c r="B486" s="26" t="s">
        <v>111</v>
      </c>
      <c r="C486" s="25" t="str">
        <f t="shared" si="7"/>
        <v>cholesterol_associated</v>
      </c>
      <c r="D486" s="27" t="s">
        <v>13</v>
      </c>
      <c r="E486" s="25" t="s">
        <v>1332</v>
      </c>
      <c r="F486" s="25" t="s">
        <v>1333</v>
      </c>
      <c r="G486" s="25">
        <v>500</v>
      </c>
      <c r="H486" s="25"/>
    </row>
    <row r="487" spans="1:8" ht="14">
      <c r="A487" s="25" t="s">
        <v>1334</v>
      </c>
      <c r="B487" s="26" t="s">
        <v>111</v>
      </c>
      <c r="C487" s="25" t="str">
        <f t="shared" si="7"/>
        <v>choline_and_betaine_metabolism</v>
      </c>
      <c r="D487" s="27" t="s">
        <v>13</v>
      </c>
      <c r="E487" s="25" t="s">
        <v>1335</v>
      </c>
      <c r="F487" s="25" t="s">
        <v>1336</v>
      </c>
      <c r="G487" s="25">
        <v>500</v>
      </c>
      <c r="H487" s="25"/>
    </row>
    <row r="488" spans="1:8" ht="14">
      <c r="A488" s="25" t="s">
        <v>1337</v>
      </c>
      <c r="B488" s="26" t="s">
        <v>111</v>
      </c>
      <c r="C488" s="25" t="str">
        <f t="shared" si="7"/>
        <v>ci_assembly_factors</v>
      </c>
      <c r="D488" s="27" t="s">
        <v>13</v>
      </c>
      <c r="E488" s="25" t="s">
        <v>1338</v>
      </c>
      <c r="F488" s="25" t="s">
        <v>1339</v>
      </c>
      <c r="G488" s="25">
        <v>500</v>
      </c>
      <c r="H488" s="25"/>
    </row>
    <row r="489" spans="1:8" ht="14">
      <c r="A489" s="25" t="s">
        <v>1340</v>
      </c>
      <c r="B489" s="26" t="s">
        <v>111</v>
      </c>
      <c r="C489" s="25" t="str">
        <f t="shared" si="7"/>
        <v>ci_subunits</v>
      </c>
      <c r="D489" s="27" t="s">
        <v>13</v>
      </c>
      <c r="E489" s="25" t="s">
        <v>1341</v>
      </c>
      <c r="F489" s="25" t="s">
        <v>1342</v>
      </c>
      <c r="G489" s="25">
        <v>500</v>
      </c>
      <c r="H489" s="25"/>
    </row>
    <row r="490" spans="1:8" ht="14">
      <c r="A490" s="25" t="s">
        <v>1343</v>
      </c>
      <c r="B490" s="26" t="s">
        <v>111</v>
      </c>
      <c r="C490" s="25" t="str">
        <f t="shared" si="7"/>
        <v>cii_assembly_factors</v>
      </c>
      <c r="D490" s="27" t="s">
        <v>13</v>
      </c>
      <c r="E490" s="25" t="s">
        <v>1344</v>
      </c>
      <c r="F490" s="25" t="s">
        <v>1345</v>
      </c>
      <c r="G490" s="25">
        <v>500</v>
      </c>
      <c r="H490" s="25"/>
    </row>
    <row r="491" spans="1:8" ht="14">
      <c r="A491" s="25" t="s">
        <v>1346</v>
      </c>
      <c r="B491" s="26" t="s">
        <v>111</v>
      </c>
      <c r="C491" s="25" t="str">
        <f t="shared" si="7"/>
        <v>cii_subunits</v>
      </c>
      <c r="D491" s="27" t="s">
        <v>13</v>
      </c>
      <c r="E491" s="25" t="s">
        <v>1347</v>
      </c>
      <c r="F491" s="25" t="s">
        <v>1348</v>
      </c>
      <c r="G491" s="25">
        <v>500</v>
      </c>
      <c r="H491" s="25"/>
    </row>
    <row r="492" spans="1:8" ht="14">
      <c r="A492" s="25" t="s">
        <v>1349</v>
      </c>
      <c r="B492" s="26" t="s">
        <v>111</v>
      </c>
      <c r="C492" s="25" t="str">
        <f t="shared" ref="C492:C555" si="8">A492</f>
        <v>ciii_assembly_factors</v>
      </c>
      <c r="D492" s="27" t="s">
        <v>13</v>
      </c>
      <c r="E492" s="25" t="s">
        <v>1350</v>
      </c>
      <c r="F492" s="25" t="s">
        <v>1351</v>
      </c>
      <c r="G492" s="25">
        <v>500</v>
      </c>
      <c r="H492" s="25"/>
    </row>
    <row r="493" spans="1:8" ht="14">
      <c r="A493" s="25" t="s">
        <v>1352</v>
      </c>
      <c r="B493" s="26" t="s">
        <v>111</v>
      </c>
      <c r="C493" s="25" t="str">
        <f t="shared" si="8"/>
        <v>ciii_subunits</v>
      </c>
      <c r="D493" s="27" t="s">
        <v>13</v>
      </c>
      <c r="E493" s="25" t="s">
        <v>1353</v>
      </c>
      <c r="F493" s="25" t="s">
        <v>1354</v>
      </c>
      <c r="G493" s="25">
        <v>500</v>
      </c>
      <c r="H493" s="25"/>
    </row>
    <row r="494" spans="1:8" ht="14">
      <c r="A494" s="25" t="s">
        <v>1355</v>
      </c>
      <c r="B494" s="26" t="s">
        <v>111</v>
      </c>
      <c r="C494" s="25" t="str">
        <f t="shared" si="8"/>
        <v>civ_assembly_factors</v>
      </c>
      <c r="D494" s="27" t="s">
        <v>13</v>
      </c>
      <c r="E494" s="25" t="s">
        <v>1356</v>
      </c>
      <c r="F494" s="25" t="s">
        <v>1357</v>
      </c>
      <c r="G494" s="25">
        <v>500</v>
      </c>
      <c r="H494" s="25"/>
    </row>
    <row r="495" spans="1:8" ht="14">
      <c r="A495" s="25" t="s">
        <v>1358</v>
      </c>
      <c r="B495" s="26" t="s">
        <v>111</v>
      </c>
      <c r="C495" s="25" t="str">
        <f t="shared" si="8"/>
        <v>civ_subunits</v>
      </c>
      <c r="D495" s="27" t="s">
        <v>13</v>
      </c>
      <c r="E495" s="25" t="s">
        <v>1359</v>
      </c>
      <c r="F495" s="25" t="s">
        <v>1360</v>
      </c>
      <c r="G495" s="25">
        <v>500</v>
      </c>
      <c r="H495" s="25"/>
    </row>
    <row r="496" spans="1:8" ht="14">
      <c r="A496" s="25" t="s">
        <v>1361</v>
      </c>
      <c r="B496" s="26" t="s">
        <v>111</v>
      </c>
      <c r="C496" s="25" t="str">
        <f t="shared" si="8"/>
        <v>coenzyme_a_metabolism</v>
      </c>
      <c r="D496" s="27" t="s">
        <v>13</v>
      </c>
      <c r="E496" s="25" t="s">
        <v>1362</v>
      </c>
      <c r="F496" s="25" t="s">
        <v>1363</v>
      </c>
      <c r="G496" s="25">
        <v>500</v>
      </c>
      <c r="H496" s="25"/>
    </row>
    <row r="497" spans="1:8" ht="14">
      <c r="A497" s="25" t="s">
        <v>1364</v>
      </c>
      <c r="B497" s="26" t="s">
        <v>111</v>
      </c>
      <c r="C497" s="25" t="str">
        <f t="shared" si="8"/>
        <v>coenzyme_q_metabolism</v>
      </c>
      <c r="D497" s="27" t="s">
        <v>13</v>
      </c>
      <c r="E497" s="25" t="s">
        <v>1365</v>
      </c>
      <c r="F497" s="25" t="s">
        <v>1366</v>
      </c>
      <c r="G497" s="25">
        <v>500</v>
      </c>
      <c r="H497" s="25"/>
    </row>
    <row r="498" spans="1:8" ht="14">
      <c r="A498" s="25" t="s">
        <v>1367</v>
      </c>
      <c r="B498" s="26" t="s">
        <v>111</v>
      </c>
      <c r="C498" s="25" t="str">
        <f t="shared" si="8"/>
        <v>complex_i</v>
      </c>
      <c r="D498" s="27" t="s">
        <v>13</v>
      </c>
      <c r="E498" s="25" t="s">
        <v>1368</v>
      </c>
      <c r="F498" s="25" t="s">
        <v>1369</v>
      </c>
      <c r="G498" s="25">
        <v>500</v>
      </c>
      <c r="H498" s="25"/>
    </row>
    <row r="499" spans="1:8" ht="14">
      <c r="A499" s="25" t="s">
        <v>1370</v>
      </c>
      <c r="B499" s="26" t="s">
        <v>111</v>
      </c>
      <c r="C499" s="25" t="str">
        <f t="shared" si="8"/>
        <v>complex_ii</v>
      </c>
      <c r="D499" s="27" t="s">
        <v>13</v>
      </c>
      <c r="E499" s="25" t="s">
        <v>1371</v>
      </c>
      <c r="F499" s="25" t="s">
        <v>1372</v>
      </c>
      <c r="G499" s="25">
        <v>500</v>
      </c>
      <c r="H499" s="25"/>
    </row>
    <row r="500" spans="1:8" ht="14">
      <c r="A500" s="25" t="s">
        <v>1373</v>
      </c>
      <c r="B500" s="26" t="s">
        <v>111</v>
      </c>
      <c r="C500" s="25" t="str">
        <f t="shared" si="8"/>
        <v>complex_iii</v>
      </c>
      <c r="D500" s="27" t="s">
        <v>13</v>
      </c>
      <c r="E500" s="25" t="s">
        <v>1374</v>
      </c>
      <c r="F500" s="25" t="s">
        <v>1375</v>
      </c>
      <c r="G500" s="25">
        <v>500</v>
      </c>
      <c r="H500" s="25"/>
    </row>
    <row r="501" spans="1:8" ht="14">
      <c r="A501" s="25" t="s">
        <v>1376</v>
      </c>
      <c r="B501" s="26" t="s">
        <v>111</v>
      </c>
      <c r="C501" s="25" t="str">
        <f t="shared" si="8"/>
        <v>complex_iv</v>
      </c>
      <c r="D501" s="27" t="s">
        <v>13</v>
      </c>
      <c r="E501" s="25" t="s">
        <v>1377</v>
      </c>
      <c r="F501" s="25" t="s">
        <v>1378</v>
      </c>
      <c r="G501" s="25">
        <v>500</v>
      </c>
      <c r="H501" s="25"/>
    </row>
    <row r="502" spans="1:8" ht="14">
      <c r="A502" s="25" t="s">
        <v>1379</v>
      </c>
      <c r="B502" s="26" t="s">
        <v>111</v>
      </c>
      <c r="C502" s="25" t="str">
        <f t="shared" si="8"/>
        <v>complex_v</v>
      </c>
      <c r="D502" s="27" t="s">
        <v>13</v>
      </c>
      <c r="E502" s="25" t="s">
        <v>1380</v>
      </c>
      <c r="F502" s="25" t="s">
        <v>1381</v>
      </c>
      <c r="G502" s="25">
        <v>500</v>
      </c>
      <c r="H502" s="25"/>
    </row>
    <row r="503" spans="1:8" ht="14">
      <c r="A503" s="25" t="s">
        <v>1382</v>
      </c>
      <c r="B503" s="26" t="s">
        <v>111</v>
      </c>
      <c r="C503" s="25" t="str">
        <f t="shared" si="8"/>
        <v>copper_metabolism</v>
      </c>
      <c r="D503" s="27" t="s">
        <v>13</v>
      </c>
      <c r="E503" s="25" t="s">
        <v>1383</v>
      </c>
      <c r="F503" s="25" t="s">
        <v>1384</v>
      </c>
      <c r="G503" s="25">
        <v>500</v>
      </c>
      <c r="H503" s="25"/>
    </row>
    <row r="504" spans="1:8" ht="14">
      <c r="A504" s="25" t="s">
        <v>1385</v>
      </c>
      <c r="B504" s="26" t="s">
        <v>111</v>
      </c>
      <c r="C504" s="25" t="str">
        <f t="shared" si="8"/>
        <v>creatine_metabolism</v>
      </c>
      <c r="D504" s="27" t="s">
        <v>13</v>
      </c>
      <c r="E504" s="25" t="s">
        <v>1386</v>
      </c>
      <c r="F504" s="25" t="s">
        <v>1387</v>
      </c>
      <c r="G504" s="25">
        <v>500</v>
      </c>
      <c r="H504" s="25"/>
    </row>
    <row r="505" spans="1:8" ht="14">
      <c r="A505" s="25" t="s">
        <v>1388</v>
      </c>
      <c r="B505" s="26" t="s">
        <v>111</v>
      </c>
      <c r="C505" s="25" t="str">
        <f t="shared" si="8"/>
        <v>cristae_formation</v>
      </c>
      <c r="D505" s="27" t="s">
        <v>13</v>
      </c>
      <c r="E505" s="25" t="s">
        <v>1389</v>
      </c>
      <c r="F505" s="25" t="s">
        <v>1390</v>
      </c>
      <c r="G505" s="25">
        <v>500</v>
      </c>
      <c r="H505" s="25"/>
    </row>
    <row r="506" spans="1:8" ht="14">
      <c r="A506" s="25" t="s">
        <v>1391</v>
      </c>
      <c r="B506" s="26" t="s">
        <v>111</v>
      </c>
      <c r="C506" s="25" t="str">
        <f t="shared" si="8"/>
        <v>cv_assembly_factors</v>
      </c>
      <c r="D506" s="27" t="s">
        <v>13</v>
      </c>
      <c r="E506" s="25" t="s">
        <v>1392</v>
      </c>
      <c r="F506" s="25" t="s">
        <v>1393</v>
      </c>
      <c r="G506" s="25">
        <v>500</v>
      </c>
      <c r="H506" s="25"/>
    </row>
    <row r="507" spans="1:8" ht="14">
      <c r="A507" s="25" t="s">
        <v>1394</v>
      </c>
      <c r="B507" s="26" t="s">
        <v>111</v>
      </c>
      <c r="C507" s="25" t="str">
        <f t="shared" si="8"/>
        <v>cv_subunits</v>
      </c>
      <c r="D507" s="27" t="s">
        <v>13</v>
      </c>
      <c r="E507" s="25" t="s">
        <v>1395</v>
      </c>
      <c r="F507" s="25" t="s">
        <v>1396</v>
      </c>
      <c r="G507" s="25">
        <v>500</v>
      </c>
      <c r="H507" s="25"/>
    </row>
    <row r="508" spans="1:8" ht="14">
      <c r="A508" s="25" t="s">
        <v>1397</v>
      </c>
      <c r="B508" s="26" t="s">
        <v>111</v>
      </c>
      <c r="C508" s="25" t="str">
        <f t="shared" si="8"/>
        <v>cytochrome_c</v>
      </c>
      <c r="D508" s="27" t="s">
        <v>13</v>
      </c>
      <c r="E508" s="25" t="s">
        <v>1398</v>
      </c>
      <c r="F508" s="25" t="s">
        <v>1399</v>
      </c>
      <c r="G508" s="25">
        <v>500</v>
      </c>
      <c r="H508" s="25"/>
    </row>
    <row r="509" spans="1:8" ht="14">
      <c r="A509" s="25" t="s">
        <v>1400</v>
      </c>
      <c r="B509" s="26" t="s">
        <v>111</v>
      </c>
      <c r="C509" s="25" t="str">
        <f t="shared" si="8"/>
        <v>cytochromes</v>
      </c>
      <c r="D509" s="27" t="s">
        <v>13</v>
      </c>
      <c r="E509" s="25" t="s">
        <v>1401</v>
      </c>
      <c r="F509" s="25" t="s">
        <v>1402</v>
      </c>
      <c r="G509" s="25">
        <v>500</v>
      </c>
      <c r="H509" s="25"/>
    </row>
    <row r="510" spans="1:8" ht="14">
      <c r="A510" s="25" t="s">
        <v>1403</v>
      </c>
      <c r="B510" s="26" t="s">
        <v>111</v>
      </c>
      <c r="C510" s="25" t="str">
        <f t="shared" si="8"/>
        <v>detoxification</v>
      </c>
      <c r="D510" s="27" t="s">
        <v>13</v>
      </c>
      <c r="E510" s="25" t="s">
        <v>1404</v>
      </c>
      <c r="F510" s="25" t="s">
        <v>1405</v>
      </c>
      <c r="G510" s="25">
        <v>500</v>
      </c>
      <c r="H510" s="25"/>
    </row>
    <row r="511" spans="1:8" ht="14">
      <c r="A511" s="25" t="s">
        <v>1406</v>
      </c>
      <c r="B511" s="26" t="s">
        <v>111</v>
      </c>
      <c r="C511" s="25" t="str">
        <f t="shared" si="8"/>
        <v>ef_hand_proteins</v>
      </c>
      <c r="D511" s="27" t="s">
        <v>13</v>
      </c>
      <c r="E511" s="25" t="s">
        <v>1407</v>
      </c>
      <c r="F511" s="25" t="s">
        <v>1408</v>
      </c>
      <c r="G511" s="25">
        <v>500</v>
      </c>
      <c r="H511" s="25"/>
    </row>
    <row r="512" spans="1:8" ht="14">
      <c r="A512" s="25" t="s">
        <v>1409</v>
      </c>
      <c r="B512" s="26" t="s">
        <v>111</v>
      </c>
      <c r="C512" s="25" t="str">
        <f t="shared" si="8"/>
        <v>eicosanoid_metabolism</v>
      </c>
      <c r="D512" s="27" t="s">
        <v>13</v>
      </c>
      <c r="E512" s="25" t="s">
        <v>1410</v>
      </c>
      <c r="F512" s="25" t="s">
        <v>1411</v>
      </c>
      <c r="G512" s="25">
        <v>500</v>
      </c>
      <c r="H512" s="25"/>
    </row>
    <row r="513" spans="1:8" ht="14">
      <c r="A513" s="25" t="s">
        <v>1412</v>
      </c>
      <c r="B513" s="26" t="s">
        <v>111</v>
      </c>
      <c r="C513" s="25" t="str">
        <f t="shared" si="8"/>
        <v>electron_carriers</v>
      </c>
      <c r="D513" s="27" t="s">
        <v>13</v>
      </c>
      <c r="E513" s="25" t="s">
        <v>1413</v>
      </c>
      <c r="F513" s="25" t="s">
        <v>1414</v>
      </c>
      <c r="G513" s="25">
        <v>500</v>
      </c>
      <c r="H513" s="25"/>
    </row>
    <row r="514" spans="1:8" ht="14">
      <c r="A514" s="25" t="s">
        <v>1415</v>
      </c>
      <c r="B514" s="26" t="s">
        <v>111</v>
      </c>
      <c r="C514" s="25" t="str">
        <f t="shared" si="8"/>
        <v>fatty_acid_oxidation</v>
      </c>
      <c r="D514" s="27" t="s">
        <v>13</v>
      </c>
      <c r="E514" s="25" t="s">
        <v>1416</v>
      </c>
      <c r="F514" s="25" t="s">
        <v>1417</v>
      </c>
      <c r="G514" s="25">
        <v>500</v>
      </c>
      <c r="H514" s="25"/>
    </row>
    <row r="515" spans="1:8" ht="14">
      <c r="A515" s="25" t="s">
        <v>1418</v>
      </c>
      <c r="B515" s="26" t="s">
        <v>111</v>
      </c>
      <c r="C515" s="25" t="str">
        <f t="shared" si="8"/>
        <v>fe_s_cluster_biosynthesis</v>
      </c>
      <c r="D515" s="27" t="s">
        <v>13</v>
      </c>
      <c r="E515" s="25" t="s">
        <v>1419</v>
      </c>
      <c r="F515" s="25" t="s">
        <v>1420</v>
      </c>
      <c r="G515" s="25">
        <v>500</v>
      </c>
      <c r="H515" s="25"/>
    </row>
    <row r="516" spans="1:8" ht="14">
      <c r="A516" s="25" t="s">
        <v>1421</v>
      </c>
      <c r="B516" s="26" t="s">
        <v>111</v>
      </c>
      <c r="C516" s="25" t="str">
        <f t="shared" si="8"/>
        <v>fe_s_containing_proteins</v>
      </c>
      <c r="D516" s="27" t="s">
        <v>13</v>
      </c>
      <c r="E516" s="25" t="s">
        <v>1422</v>
      </c>
      <c r="F516" s="25" t="s">
        <v>1423</v>
      </c>
      <c r="G516" s="25">
        <v>500</v>
      </c>
      <c r="H516" s="25"/>
    </row>
    <row r="517" spans="1:8" ht="14">
      <c r="A517" s="25" t="s">
        <v>1424</v>
      </c>
      <c r="B517" s="26" t="s">
        <v>111</v>
      </c>
      <c r="C517" s="25" t="str">
        <f t="shared" si="8"/>
        <v>fission</v>
      </c>
      <c r="D517" s="27" t="s">
        <v>13</v>
      </c>
      <c r="E517" s="25" t="s">
        <v>1425</v>
      </c>
      <c r="F517" s="25" t="s">
        <v>1426</v>
      </c>
      <c r="G517" s="25">
        <v>500</v>
      </c>
      <c r="H517" s="25"/>
    </row>
    <row r="518" spans="1:8" ht="14">
      <c r="A518" s="25" t="s">
        <v>1427</v>
      </c>
      <c r="B518" s="26" t="s">
        <v>111</v>
      </c>
      <c r="C518" s="25" t="str">
        <f t="shared" si="8"/>
        <v>fmet_processing</v>
      </c>
      <c r="D518" s="27" t="s">
        <v>13</v>
      </c>
      <c r="E518" s="25" t="s">
        <v>1428</v>
      </c>
      <c r="F518" s="25" t="s">
        <v>1429</v>
      </c>
      <c r="G518" s="25">
        <v>500</v>
      </c>
      <c r="H518" s="25"/>
    </row>
    <row r="519" spans="1:8" ht="14">
      <c r="A519" s="25" t="s">
        <v>1430</v>
      </c>
      <c r="B519" s="26" t="s">
        <v>111</v>
      </c>
      <c r="C519" s="25" t="str">
        <f t="shared" si="8"/>
        <v>folate_and_1_c_metabolism</v>
      </c>
      <c r="D519" s="27" t="s">
        <v>13</v>
      </c>
      <c r="E519" s="25" t="s">
        <v>1431</v>
      </c>
      <c r="F519" s="25" t="s">
        <v>1432</v>
      </c>
      <c r="G519" s="25">
        <v>500</v>
      </c>
      <c r="H519" s="25"/>
    </row>
    <row r="520" spans="1:8" ht="14">
      <c r="A520" s="25" t="s">
        <v>1433</v>
      </c>
      <c r="B520" s="26" t="s">
        <v>111</v>
      </c>
      <c r="C520" s="25" t="str">
        <f t="shared" si="8"/>
        <v>fusion</v>
      </c>
      <c r="D520" s="27" t="s">
        <v>13</v>
      </c>
      <c r="E520" s="25" t="s">
        <v>1434</v>
      </c>
      <c r="F520" s="25" t="s">
        <v>1435</v>
      </c>
      <c r="G520" s="25">
        <v>500</v>
      </c>
      <c r="H520" s="25"/>
    </row>
    <row r="521" spans="1:8" ht="14">
      <c r="A521" s="25" t="s">
        <v>1436</v>
      </c>
      <c r="B521" s="26" t="s">
        <v>111</v>
      </c>
      <c r="C521" s="25" t="str">
        <f t="shared" si="8"/>
        <v>gaba_metabolism</v>
      </c>
      <c r="D521" s="27" t="s">
        <v>13</v>
      </c>
      <c r="E521" s="25" t="s">
        <v>1437</v>
      </c>
      <c r="F521" s="25" t="s">
        <v>1438</v>
      </c>
      <c r="G521" s="25">
        <v>500</v>
      </c>
      <c r="H521" s="25"/>
    </row>
    <row r="522" spans="1:8" ht="14">
      <c r="A522" s="25" t="s">
        <v>1439</v>
      </c>
      <c r="B522" s="26" t="s">
        <v>111</v>
      </c>
      <c r="C522" s="25" t="str">
        <f t="shared" si="8"/>
        <v>gluconeogenesis</v>
      </c>
      <c r="D522" s="27" t="s">
        <v>13</v>
      </c>
      <c r="E522" s="25" t="s">
        <v>1440</v>
      </c>
      <c r="F522" s="25" t="s">
        <v>1441</v>
      </c>
      <c r="G522" s="25">
        <v>500</v>
      </c>
      <c r="H522" s="25"/>
    </row>
    <row r="523" spans="1:8" ht="14">
      <c r="A523" s="25" t="s">
        <v>1442</v>
      </c>
      <c r="B523" s="26" t="s">
        <v>111</v>
      </c>
      <c r="C523" s="25" t="str">
        <f t="shared" si="8"/>
        <v>glutamate_metabolism</v>
      </c>
      <c r="D523" s="27" t="s">
        <v>13</v>
      </c>
      <c r="E523" s="25" t="s">
        <v>1443</v>
      </c>
      <c r="F523" s="25" t="s">
        <v>1444</v>
      </c>
      <c r="G523" s="25">
        <v>500</v>
      </c>
      <c r="H523" s="25"/>
    </row>
    <row r="524" spans="1:8" ht="14">
      <c r="A524" s="25" t="s">
        <v>1445</v>
      </c>
      <c r="B524" s="26" t="s">
        <v>111</v>
      </c>
      <c r="C524" s="25" t="str">
        <f t="shared" si="8"/>
        <v>glycerol_phosphate_shuttle</v>
      </c>
      <c r="D524" s="27" t="s">
        <v>13</v>
      </c>
      <c r="E524" s="25" t="s">
        <v>1446</v>
      </c>
      <c r="F524" s="25" t="s">
        <v>1447</v>
      </c>
      <c r="G524" s="25">
        <v>500</v>
      </c>
      <c r="H524" s="25"/>
    </row>
    <row r="525" spans="1:8" ht="14">
      <c r="A525" s="25" t="s">
        <v>1448</v>
      </c>
      <c r="B525" s="26" t="s">
        <v>111</v>
      </c>
      <c r="C525" s="25" t="str">
        <f t="shared" si="8"/>
        <v>glycine_cleavage_system</v>
      </c>
      <c r="D525" s="27" t="s">
        <v>13</v>
      </c>
      <c r="E525" s="25" t="s">
        <v>1449</v>
      </c>
      <c r="F525" s="25" t="s">
        <v>1450</v>
      </c>
      <c r="G525" s="25">
        <v>500</v>
      </c>
      <c r="H525" s="25"/>
    </row>
    <row r="526" spans="1:8" ht="14">
      <c r="A526" s="25" t="s">
        <v>1451</v>
      </c>
      <c r="B526" s="26" t="s">
        <v>111</v>
      </c>
      <c r="C526" s="25" t="str">
        <f t="shared" si="8"/>
        <v>glycine_metabolism</v>
      </c>
      <c r="D526" s="27" t="s">
        <v>13</v>
      </c>
      <c r="E526" s="25" t="s">
        <v>1452</v>
      </c>
      <c r="F526" s="25" t="s">
        <v>1453</v>
      </c>
      <c r="G526" s="25">
        <v>500</v>
      </c>
      <c r="H526" s="25"/>
    </row>
    <row r="527" spans="1:8" ht="14">
      <c r="A527" s="25" t="s">
        <v>1454</v>
      </c>
      <c r="B527" s="26" t="s">
        <v>111</v>
      </c>
      <c r="C527" s="25" t="str">
        <f t="shared" si="8"/>
        <v>glyoxylate_metabolism</v>
      </c>
      <c r="D527" s="27" t="s">
        <v>13</v>
      </c>
      <c r="E527" s="25" t="s">
        <v>1455</v>
      </c>
      <c r="F527" s="25" t="s">
        <v>1456</v>
      </c>
      <c r="G527" s="25">
        <v>500</v>
      </c>
      <c r="H527" s="25"/>
    </row>
    <row r="528" spans="1:8" ht="14">
      <c r="A528" s="25" t="s">
        <v>1457</v>
      </c>
      <c r="B528" s="26" t="s">
        <v>111</v>
      </c>
      <c r="C528" s="25" t="str">
        <f t="shared" si="8"/>
        <v>heme_containing_proteins</v>
      </c>
      <c r="D528" s="27" t="s">
        <v>13</v>
      </c>
      <c r="E528" s="25" t="s">
        <v>1458</v>
      </c>
      <c r="F528" s="25" t="s">
        <v>1459</v>
      </c>
      <c r="G528" s="25">
        <v>500</v>
      </c>
      <c r="H528" s="25"/>
    </row>
    <row r="529" spans="1:8" ht="14">
      <c r="A529" s="25" t="s">
        <v>1460</v>
      </c>
      <c r="B529" s="26" t="s">
        <v>111</v>
      </c>
      <c r="C529" s="25" t="str">
        <f t="shared" si="8"/>
        <v>heme_synthesis_and_processing</v>
      </c>
      <c r="D529" s="27" t="s">
        <v>13</v>
      </c>
      <c r="E529" s="25" t="s">
        <v>1461</v>
      </c>
      <c r="F529" s="25" t="s">
        <v>1462</v>
      </c>
      <c r="G529" s="25">
        <v>500</v>
      </c>
      <c r="H529" s="25"/>
    </row>
    <row r="530" spans="1:8" ht="14">
      <c r="A530" s="25" t="s">
        <v>1463</v>
      </c>
      <c r="B530" s="26" t="s">
        <v>111</v>
      </c>
      <c r="C530" s="25" t="str">
        <f t="shared" si="8"/>
        <v>immune_response</v>
      </c>
      <c r="D530" s="27" t="s">
        <v>13</v>
      </c>
      <c r="E530" s="25" t="s">
        <v>1464</v>
      </c>
      <c r="F530" s="25" t="s">
        <v>1465</v>
      </c>
      <c r="G530" s="25">
        <v>500</v>
      </c>
      <c r="H530" s="25"/>
    </row>
    <row r="531" spans="1:8" ht="14">
      <c r="A531" s="25" t="s">
        <v>1466</v>
      </c>
      <c r="B531" s="26" t="s">
        <v>111</v>
      </c>
      <c r="C531" s="25" t="str">
        <f t="shared" si="8"/>
        <v>import_motor</v>
      </c>
      <c r="D531" s="27" t="s">
        <v>13</v>
      </c>
      <c r="E531" s="25" t="s">
        <v>1467</v>
      </c>
      <c r="F531" s="25" t="s">
        <v>1468</v>
      </c>
      <c r="G531" s="25">
        <v>500</v>
      </c>
      <c r="H531" s="25"/>
    </row>
    <row r="532" spans="1:8" ht="14">
      <c r="A532" s="25" t="s">
        <v>1469</v>
      </c>
      <c r="B532" s="26" t="s">
        <v>111</v>
      </c>
      <c r="C532" s="25" t="str">
        <f t="shared" si="8"/>
        <v>intramitochondrial_membrane_interactions</v>
      </c>
      <c r="D532" s="27" t="s">
        <v>13</v>
      </c>
      <c r="E532" s="25" t="s">
        <v>1470</v>
      </c>
      <c r="F532" s="25" t="s">
        <v>1471</v>
      </c>
      <c r="G532" s="25">
        <v>500</v>
      </c>
      <c r="H532" s="25"/>
    </row>
    <row r="533" spans="1:8" ht="14">
      <c r="A533" s="25" t="s">
        <v>1472</v>
      </c>
      <c r="B533" s="26" t="s">
        <v>111</v>
      </c>
      <c r="C533" s="25" t="str">
        <f t="shared" si="8"/>
        <v>iron_homeostasis</v>
      </c>
      <c r="D533" s="27" t="s">
        <v>13</v>
      </c>
      <c r="E533" s="25" t="s">
        <v>1473</v>
      </c>
      <c r="F533" s="25" t="s">
        <v>1474</v>
      </c>
      <c r="G533" s="25">
        <v>500</v>
      </c>
      <c r="H533" s="25"/>
    </row>
    <row r="534" spans="1:8" ht="14">
      <c r="A534" s="25" t="s">
        <v>1475</v>
      </c>
      <c r="B534" s="26" t="s">
        <v>111</v>
      </c>
      <c r="C534" s="25" t="str">
        <f t="shared" si="8"/>
        <v>itaconate_metabolism</v>
      </c>
      <c r="D534" s="27" t="s">
        <v>13</v>
      </c>
      <c r="E534" s="25" t="s">
        <v>1476</v>
      </c>
      <c r="F534" s="25" t="s">
        <v>1477</v>
      </c>
      <c r="G534" s="25">
        <v>500</v>
      </c>
      <c r="H534" s="25"/>
    </row>
    <row r="535" spans="1:8" ht="14">
      <c r="A535" s="25" t="s">
        <v>1478</v>
      </c>
      <c r="B535" s="26" t="s">
        <v>111</v>
      </c>
      <c r="C535" s="25" t="str">
        <f t="shared" si="8"/>
        <v>ketone_metabolism</v>
      </c>
      <c r="D535" s="27" t="s">
        <v>13</v>
      </c>
      <c r="E535" s="25" t="s">
        <v>1479</v>
      </c>
      <c r="F535" s="25" t="s">
        <v>1480</v>
      </c>
      <c r="G535" s="25">
        <v>500</v>
      </c>
      <c r="H535" s="25"/>
    </row>
    <row r="536" spans="1:8" ht="14">
      <c r="A536" s="25" t="s">
        <v>1481</v>
      </c>
      <c r="B536" s="26" t="s">
        <v>111</v>
      </c>
      <c r="C536" s="25" t="str">
        <f t="shared" si="8"/>
        <v>kynurenine_metabolism</v>
      </c>
      <c r="D536" s="27" t="s">
        <v>13</v>
      </c>
      <c r="E536" s="25" t="s">
        <v>1482</v>
      </c>
      <c r="F536" s="25" t="s">
        <v>1483</v>
      </c>
      <c r="G536" s="25">
        <v>500</v>
      </c>
      <c r="H536" s="25"/>
    </row>
    <row r="537" spans="1:8" ht="14">
      <c r="A537" s="25" t="s">
        <v>1484</v>
      </c>
      <c r="B537" s="26" t="s">
        <v>111</v>
      </c>
      <c r="C537" s="25" t="str">
        <f t="shared" si="8"/>
        <v>lipid_metabolism</v>
      </c>
      <c r="D537" s="27" t="s">
        <v>13</v>
      </c>
      <c r="E537" s="25" t="s">
        <v>1485</v>
      </c>
      <c r="F537" s="25" t="s">
        <v>1486</v>
      </c>
      <c r="G537" s="25">
        <v>500</v>
      </c>
      <c r="H537" s="25"/>
    </row>
    <row r="538" spans="1:8" ht="14">
      <c r="A538" s="25" t="s">
        <v>1487</v>
      </c>
      <c r="B538" s="26" t="s">
        <v>111</v>
      </c>
      <c r="C538" s="25" t="str">
        <f t="shared" si="8"/>
        <v>lipoate_insertion</v>
      </c>
      <c r="D538" s="27" t="s">
        <v>13</v>
      </c>
      <c r="E538" s="25" t="s">
        <v>1488</v>
      </c>
      <c r="F538" s="25" t="s">
        <v>1489</v>
      </c>
      <c r="G538" s="25">
        <v>500</v>
      </c>
      <c r="H538" s="25"/>
    </row>
    <row r="539" spans="1:8" ht="14">
      <c r="A539" s="25" t="s">
        <v>1490</v>
      </c>
      <c r="B539" s="26" t="s">
        <v>111</v>
      </c>
      <c r="C539" s="25" t="str">
        <f t="shared" si="8"/>
        <v>lysine_metabolism</v>
      </c>
      <c r="D539" s="27" t="s">
        <v>13</v>
      </c>
      <c r="E539" s="25" t="s">
        <v>1491</v>
      </c>
      <c r="F539" s="25" t="s">
        <v>1492</v>
      </c>
      <c r="G539" s="25">
        <v>500</v>
      </c>
      <c r="H539" s="25"/>
    </row>
    <row r="540" spans="1:8" ht="14">
      <c r="A540" s="25" t="s">
        <v>1493</v>
      </c>
      <c r="B540" s="26" t="s">
        <v>111</v>
      </c>
      <c r="C540" s="25" t="str">
        <f t="shared" si="8"/>
        <v>malate_aspartate_shuttle</v>
      </c>
      <c r="D540" s="27" t="s">
        <v>13</v>
      </c>
      <c r="E540" s="25" t="s">
        <v>1494</v>
      </c>
      <c r="F540" s="25" t="s">
        <v>1495</v>
      </c>
      <c r="G540" s="25">
        <v>500</v>
      </c>
      <c r="H540" s="25"/>
    </row>
    <row r="541" spans="1:8" ht="14">
      <c r="A541" s="25" t="s">
        <v>1496</v>
      </c>
      <c r="B541" s="26" t="s">
        <v>111</v>
      </c>
      <c r="C541" s="25" t="str">
        <f t="shared" si="8"/>
        <v>metabolism</v>
      </c>
      <c r="D541" s="27" t="s">
        <v>13</v>
      </c>
      <c r="E541" s="25" t="s">
        <v>1497</v>
      </c>
      <c r="F541" s="25" t="s">
        <v>1497</v>
      </c>
      <c r="G541" s="25">
        <v>500</v>
      </c>
      <c r="H541" s="25"/>
    </row>
    <row r="542" spans="1:8" ht="14">
      <c r="A542" s="25" t="s">
        <v>1498</v>
      </c>
      <c r="B542" s="26" t="s">
        <v>111</v>
      </c>
      <c r="C542" s="25" t="str">
        <f t="shared" si="8"/>
        <v>metals_and_cofactors</v>
      </c>
      <c r="D542" s="27" t="s">
        <v>13</v>
      </c>
      <c r="E542" s="25" t="s">
        <v>1499</v>
      </c>
      <c r="F542" s="25" t="s">
        <v>1500</v>
      </c>
      <c r="G542" s="25">
        <v>500</v>
      </c>
      <c r="H542" s="25"/>
    </row>
    <row r="543" spans="1:8" ht="14">
      <c r="A543" s="25" t="s">
        <v>1501</v>
      </c>
      <c r="B543" s="26" t="s">
        <v>111</v>
      </c>
      <c r="C543" s="25" t="str">
        <f t="shared" si="8"/>
        <v>mia40</v>
      </c>
      <c r="D543" s="27" t="s">
        <v>13</v>
      </c>
      <c r="E543" s="25" t="s">
        <v>1502</v>
      </c>
      <c r="F543" s="25" t="s">
        <v>1503</v>
      </c>
      <c r="G543" s="25">
        <v>500</v>
      </c>
      <c r="H543" s="25"/>
    </row>
    <row r="544" spans="1:8" ht="14">
      <c r="A544" s="25" t="s">
        <v>1504</v>
      </c>
      <c r="B544" s="26" t="s">
        <v>111</v>
      </c>
      <c r="C544" s="25" t="str">
        <f t="shared" si="8"/>
        <v>micos_complex</v>
      </c>
      <c r="D544" s="27" t="s">
        <v>13</v>
      </c>
      <c r="E544" s="25" t="s">
        <v>1505</v>
      </c>
      <c r="F544" s="25" t="s">
        <v>1506</v>
      </c>
      <c r="G544" s="25">
        <v>500</v>
      </c>
      <c r="H544" s="25"/>
    </row>
    <row r="545" spans="1:8" ht="14">
      <c r="A545" s="25" t="s">
        <v>1507</v>
      </c>
      <c r="B545" s="26" t="s">
        <v>111</v>
      </c>
      <c r="C545" s="25" t="str">
        <f t="shared" si="8"/>
        <v>mitochondrial_dynamics_and_surveillance</v>
      </c>
      <c r="D545" s="27" t="s">
        <v>13</v>
      </c>
      <c r="E545" s="25" t="s">
        <v>1508</v>
      </c>
      <c r="F545" s="25" t="s">
        <v>1508</v>
      </c>
      <c r="G545" s="25">
        <v>500</v>
      </c>
      <c r="H545" s="25"/>
    </row>
    <row r="546" spans="1:8" ht="14">
      <c r="A546" s="25" t="s">
        <v>1509</v>
      </c>
      <c r="B546" s="26" t="s">
        <v>111</v>
      </c>
      <c r="C546" s="25" t="str">
        <f t="shared" si="8"/>
        <v>mitochondrial_permeability_transition_pore</v>
      </c>
      <c r="D546" s="27" t="s">
        <v>13</v>
      </c>
      <c r="E546" s="25" t="s">
        <v>1510</v>
      </c>
      <c r="F546" s="25" t="s">
        <v>1511</v>
      </c>
      <c r="G546" s="25">
        <v>500</v>
      </c>
      <c r="H546" s="25"/>
    </row>
    <row r="547" spans="1:8" ht="14">
      <c r="A547" s="25" t="s">
        <v>1512</v>
      </c>
      <c r="B547" s="26" t="s">
        <v>111</v>
      </c>
      <c r="C547" s="25" t="str">
        <f t="shared" si="8"/>
        <v>mitochondrial_ribosome</v>
      </c>
      <c r="D547" s="27" t="s">
        <v>13</v>
      </c>
      <c r="E547" s="25" t="s">
        <v>1513</v>
      </c>
      <c r="F547" s="25" t="s">
        <v>1514</v>
      </c>
      <c r="G547" s="25">
        <v>500</v>
      </c>
      <c r="H547" s="25"/>
    </row>
    <row r="548" spans="1:8" ht="14">
      <c r="A548" s="25" t="s">
        <v>1515</v>
      </c>
      <c r="B548" s="26" t="s">
        <v>111</v>
      </c>
      <c r="C548" s="25" t="str">
        <f t="shared" si="8"/>
        <v>mitochondrial_ribosome_assembly</v>
      </c>
      <c r="D548" s="27" t="s">
        <v>13</v>
      </c>
      <c r="E548" s="25" t="s">
        <v>1516</v>
      </c>
      <c r="F548" s="25" t="s">
        <v>1517</v>
      </c>
      <c r="G548" s="25">
        <v>500</v>
      </c>
      <c r="H548" s="25"/>
    </row>
    <row r="549" spans="1:8" ht="14">
      <c r="A549" s="25" t="s">
        <v>1518</v>
      </c>
      <c r="B549" s="26" t="s">
        <v>111</v>
      </c>
      <c r="C549" s="25" t="str">
        <f t="shared" si="8"/>
        <v>mitophagy</v>
      </c>
      <c r="D549" s="27" t="s">
        <v>13</v>
      </c>
      <c r="E549" s="25" t="s">
        <v>1519</v>
      </c>
      <c r="F549" s="25" t="s">
        <v>1520</v>
      </c>
      <c r="G549" s="25">
        <v>500</v>
      </c>
      <c r="H549" s="25"/>
    </row>
    <row r="550" spans="1:8" ht="14">
      <c r="A550" s="25" t="s">
        <v>1521</v>
      </c>
      <c r="B550" s="26" t="s">
        <v>111</v>
      </c>
      <c r="C550" s="25" t="str">
        <f t="shared" si="8"/>
        <v>molybdenum_cofactor_synthesis_and_proteins</v>
      </c>
      <c r="D550" s="27" t="s">
        <v>13</v>
      </c>
      <c r="E550" s="25" t="s">
        <v>1522</v>
      </c>
      <c r="F550" s="25" t="s">
        <v>1523</v>
      </c>
      <c r="G550" s="25">
        <v>500</v>
      </c>
      <c r="H550" s="25"/>
    </row>
    <row r="551" spans="1:8" ht="14">
      <c r="A551" s="25" t="s">
        <v>1524</v>
      </c>
      <c r="B551" s="26" t="s">
        <v>111</v>
      </c>
      <c r="C551" s="25" t="str">
        <f t="shared" si="8"/>
        <v>mt_mrna_modifications</v>
      </c>
      <c r="D551" s="27" t="s">
        <v>13</v>
      </c>
      <c r="E551" s="25" t="s">
        <v>1525</v>
      </c>
      <c r="F551" s="25" t="s">
        <v>1526</v>
      </c>
      <c r="G551" s="25">
        <v>500</v>
      </c>
      <c r="H551" s="25"/>
    </row>
    <row r="552" spans="1:8" ht="14">
      <c r="A552" s="25" t="s">
        <v>1527</v>
      </c>
      <c r="B552" s="26" t="s">
        <v>111</v>
      </c>
      <c r="C552" s="25" t="str">
        <f t="shared" si="8"/>
        <v>mt_rrna_modifications</v>
      </c>
      <c r="D552" s="27" t="s">
        <v>13</v>
      </c>
      <c r="E552" s="25" t="s">
        <v>1528</v>
      </c>
      <c r="F552" s="25" t="s">
        <v>1529</v>
      </c>
      <c r="G552" s="25">
        <v>500</v>
      </c>
      <c r="H552" s="25"/>
    </row>
    <row r="553" spans="1:8" ht="14">
      <c r="A553" s="25" t="s">
        <v>1530</v>
      </c>
      <c r="B553" s="26" t="s">
        <v>111</v>
      </c>
      <c r="C553" s="25" t="str">
        <f t="shared" si="8"/>
        <v>mt_trna_modifications</v>
      </c>
      <c r="D553" s="27" t="s">
        <v>13</v>
      </c>
      <c r="E553" s="25" t="s">
        <v>1531</v>
      </c>
      <c r="F553" s="25" t="s">
        <v>1532</v>
      </c>
      <c r="G553" s="25">
        <v>500</v>
      </c>
      <c r="H553" s="25"/>
    </row>
    <row r="554" spans="1:8" ht="14">
      <c r="A554" s="25" t="s">
        <v>1533</v>
      </c>
      <c r="B554" s="26" t="s">
        <v>111</v>
      </c>
      <c r="C554" s="25" t="str">
        <f t="shared" si="8"/>
        <v>mt_trna_synthetases</v>
      </c>
      <c r="D554" s="27" t="s">
        <v>13</v>
      </c>
      <c r="E554" s="25" t="s">
        <v>1534</v>
      </c>
      <c r="F554" s="25" t="s">
        <v>1535</v>
      </c>
      <c r="G554" s="25">
        <v>500</v>
      </c>
      <c r="H554" s="25"/>
    </row>
    <row r="555" spans="1:8" ht="14">
      <c r="A555" s="25" t="s">
        <v>1536</v>
      </c>
      <c r="B555" s="26" t="s">
        <v>111</v>
      </c>
      <c r="C555" s="25" t="str">
        <f t="shared" si="8"/>
        <v>mtdna_maintenance</v>
      </c>
      <c r="D555" s="27" t="s">
        <v>13</v>
      </c>
      <c r="E555" s="25" t="s">
        <v>1537</v>
      </c>
      <c r="F555" s="25" t="s">
        <v>1538</v>
      </c>
      <c r="G555" s="25">
        <v>500</v>
      </c>
      <c r="H555" s="25"/>
    </row>
    <row r="556" spans="1:8" ht="14">
      <c r="A556" s="25" t="s">
        <v>1539</v>
      </c>
      <c r="B556" s="26" t="s">
        <v>111</v>
      </c>
      <c r="C556" s="25" t="str">
        <f t="shared" ref="C556:C619" si="9">A556</f>
        <v>mtdna_modifications</v>
      </c>
      <c r="D556" s="27" t="s">
        <v>13</v>
      </c>
      <c r="E556" s="25" t="s">
        <v>1540</v>
      </c>
      <c r="F556" s="25" t="s">
        <v>1541</v>
      </c>
      <c r="G556" s="25">
        <v>500</v>
      </c>
      <c r="H556" s="25"/>
    </row>
    <row r="557" spans="1:8" ht="14">
      <c r="A557" s="25" t="s">
        <v>1542</v>
      </c>
      <c r="B557" s="26" t="s">
        <v>111</v>
      </c>
      <c r="C557" s="25" t="str">
        <f t="shared" si="9"/>
        <v>mtdna_nucleoid</v>
      </c>
      <c r="D557" s="27" t="s">
        <v>13</v>
      </c>
      <c r="E557" s="25" t="s">
        <v>1543</v>
      </c>
      <c r="F557" s="25" t="s">
        <v>1544</v>
      </c>
      <c r="G557" s="25">
        <v>500</v>
      </c>
      <c r="H557" s="25"/>
    </row>
    <row r="558" spans="1:8" ht="14">
      <c r="A558" s="25" t="s">
        <v>1545</v>
      </c>
      <c r="B558" s="26" t="s">
        <v>111</v>
      </c>
      <c r="C558" s="25" t="str">
        <f t="shared" si="9"/>
        <v>mtdna_repair</v>
      </c>
      <c r="D558" s="27" t="s">
        <v>13</v>
      </c>
      <c r="E558" s="25" t="s">
        <v>1546</v>
      </c>
      <c r="F558" s="25" t="s">
        <v>1547</v>
      </c>
      <c r="G558" s="25">
        <v>500</v>
      </c>
      <c r="H558" s="25"/>
    </row>
    <row r="559" spans="1:8" ht="14">
      <c r="A559" s="25" t="s">
        <v>1548</v>
      </c>
      <c r="B559" s="26" t="s">
        <v>111</v>
      </c>
      <c r="C559" s="25" t="str">
        <f t="shared" si="9"/>
        <v>mtdna_replication</v>
      </c>
      <c r="D559" s="27" t="s">
        <v>13</v>
      </c>
      <c r="E559" s="25" t="s">
        <v>1549</v>
      </c>
      <c r="F559" s="25" t="s">
        <v>1550</v>
      </c>
      <c r="G559" s="25">
        <v>500</v>
      </c>
      <c r="H559" s="25"/>
    </row>
    <row r="560" spans="1:8" ht="14">
      <c r="A560" s="25" t="s">
        <v>1551</v>
      </c>
      <c r="B560" s="26" t="s">
        <v>111</v>
      </c>
      <c r="C560" s="25" t="str">
        <f t="shared" si="9"/>
        <v>mtdna_stability_and_decay</v>
      </c>
      <c r="D560" s="27" t="s">
        <v>13</v>
      </c>
      <c r="E560" s="25" t="s">
        <v>1552</v>
      </c>
      <c r="F560" s="25" t="s">
        <v>1553</v>
      </c>
      <c r="G560" s="25">
        <v>500</v>
      </c>
      <c r="H560" s="25"/>
    </row>
    <row r="561" spans="1:8" ht="14">
      <c r="A561" s="25" t="s">
        <v>1554</v>
      </c>
      <c r="B561" s="26" t="s">
        <v>111</v>
      </c>
      <c r="C561" s="25" t="str">
        <f t="shared" si="9"/>
        <v>mtrna_granules</v>
      </c>
      <c r="D561" s="27" t="s">
        <v>13</v>
      </c>
      <c r="E561" s="25" t="s">
        <v>1555</v>
      </c>
      <c r="F561" s="25" t="s">
        <v>1556</v>
      </c>
      <c r="G561" s="25">
        <v>500</v>
      </c>
      <c r="H561" s="25"/>
    </row>
    <row r="562" spans="1:8" ht="14">
      <c r="A562" s="25" t="s">
        <v>1557</v>
      </c>
      <c r="B562" s="26" t="s">
        <v>111</v>
      </c>
      <c r="C562" s="25" t="str">
        <f t="shared" si="9"/>
        <v>mtrna_metabolism</v>
      </c>
      <c r="D562" s="27" t="s">
        <v>13</v>
      </c>
      <c r="E562" s="25" t="s">
        <v>1558</v>
      </c>
      <c r="F562" s="25" t="s">
        <v>1559</v>
      </c>
      <c r="G562" s="25">
        <v>500</v>
      </c>
      <c r="H562" s="25"/>
    </row>
    <row r="563" spans="1:8" ht="14">
      <c r="A563" s="25" t="s">
        <v>1560</v>
      </c>
      <c r="B563" s="26" t="s">
        <v>111</v>
      </c>
      <c r="C563" s="25" t="str">
        <f t="shared" si="9"/>
        <v>mtrna_stability_and_decay</v>
      </c>
      <c r="D563" s="27" t="s">
        <v>13</v>
      </c>
      <c r="E563" s="25" t="s">
        <v>1561</v>
      </c>
      <c r="F563" s="25" t="s">
        <v>1562</v>
      </c>
      <c r="G563" s="25">
        <v>500</v>
      </c>
      <c r="H563" s="25"/>
    </row>
    <row r="564" spans="1:8" ht="14">
      <c r="A564" s="25" t="s">
        <v>1563</v>
      </c>
      <c r="B564" s="26" t="s">
        <v>111</v>
      </c>
      <c r="C564" s="25" t="str">
        <f t="shared" si="9"/>
        <v>nad_biosynthesis_and_metabolism</v>
      </c>
      <c r="D564" s="27" t="s">
        <v>13</v>
      </c>
      <c r="E564" s="25" t="s">
        <v>1564</v>
      </c>
      <c r="F564" s="25" t="s">
        <v>1565</v>
      </c>
      <c r="G564" s="25">
        <v>500</v>
      </c>
      <c r="H564" s="25"/>
    </row>
    <row r="565" spans="1:8" ht="14">
      <c r="A565" s="25" t="s">
        <v>1566</v>
      </c>
      <c r="B565" s="26" t="s">
        <v>111</v>
      </c>
      <c r="C565" s="25" t="str">
        <f t="shared" si="9"/>
        <v>nucleotide_import</v>
      </c>
      <c r="D565" s="27" t="s">
        <v>13</v>
      </c>
      <c r="E565" s="25" t="s">
        <v>1567</v>
      </c>
      <c r="F565" s="25" t="s">
        <v>1568</v>
      </c>
      <c r="G565" s="25">
        <v>500</v>
      </c>
      <c r="H565" s="25"/>
    </row>
    <row r="566" spans="1:8" ht="14">
      <c r="A566" s="25" t="s">
        <v>1569</v>
      </c>
      <c r="B566" s="26" t="s">
        <v>111</v>
      </c>
      <c r="C566" s="25" t="str">
        <f t="shared" si="9"/>
        <v>nucleotide_metabolism</v>
      </c>
      <c r="D566" s="27" t="s">
        <v>13</v>
      </c>
      <c r="E566" s="25" t="s">
        <v>1570</v>
      </c>
      <c r="F566" s="25" t="s">
        <v>1571</v>
      </c>
      <c r="G566" s="25">
        <v>500</v>
      </c>
      <c r="H566" s="25"/>
    </row>
    <row r="567" spans="1:8" ht="14">
      <c r="A567" s="25" t="s">
        <v>1572</v>
      </c>
      <c r="B567" s="26" t="s">
        <v>111</v>
      </c>
      <c r="C567" s="25" t="str">
        <f t="shared" si="9"/>
        <v>nucleotide_synthesis_and_processing</v>
      </c>
      <c r="D567" s="27" t="s">
        <v>13</v>
      </c>
      <c r="E567" s="25" t="s">
        <v>1573</v>
      </c>
      <c r="F567" s="25" t="s">
        <v>1574</v>
      </c>
      <c r="G567" s="25">
        <v>500</v>
      </c>
      <c r="H567" s="25"/>
    </row>
    <row r="568" spans="1:8" ht="14">
      <c r="A568" s="25" t="s">
        <v>1575</v>
      </c>
      <c r="B568" s="26" t="s">
        <v>111</v>
      </c>
      <c r="C568" s="25" t="str">
        <f t="shared" si="9"/>
        <v>organelle_contact_sites</v>
      </c>
      <c r="D568" s="27" t="s">
        <v>13</v>
      </c>
      <c r="E568" s="25" t="s">
        <v>1576</v>
      </c>
      <c r="F568" s="25" t="s">
        <v>1577</v>
      </c>
      <c r="G568" s="25">
        <v>500</v>
      </c>
      <c r="H568" s="25"/>
    </row>
    <row r="569" spans="1:8" ht="14">
      <c r="A569" s="25" t="s">
        <v>1578</v>
      </c>
      <c r="B569" s="26" t="s">
        <v>111</v>
      </c>
      <c r="C569" s="25" t="str">
        <f t="shared" si="9"/>
        <v>oxa</v>
      </c>
      <c r="D569" s="27" t="s">
        <v>13</v>
      </c>
      <c r="E569" s="25" t="s">
        <v>1579</v>
      </c>
      <c r="F569" s="25" t="s">
        <v>1580</v>
      </c>
      <c r="G569" s="25">
        <v>500</v>
      </c>
      <c r="H569" s="25"/>
    </row>
    <row r="570" spans="1:8" ht="14">
      <c r="A570" s="25" t="s">
        <v>1581</v>
      </c>
      <c r="B570" s="26" t="s">
        <v>111</v>
      </c>
      <c r="C570" s="25" t="str">
        <f t="shared" si="9"/>
        <v>oxphos</v>
      </c>
      <c r="D570" s="27" t="s">
        <v>13</v>
      </c>
      <c r="E570" s="25" t="s">
        <v>1582</v>
      </c>
      <c r="F570" s="25" t="s">
        <v>1582</v>
      </c>
      <c r="G570" s="25">
        <v>500</v>
      </c>
      <c r="H570" s="25"/>
    </row>
    <row r="571" spans="1:8" ht="14">
      <c r="A571" s="25" t="s">
        <v>1583</v>
      </c>
      <c r="B571" s="26" t="s">
        <v>111</v>
      </c>
      <c r="C571" s="25" t="str">
        <f t="shared" si="9"/>
        <v>oxphos_assembly_factors</v>
      </c>
      <c r="D571" s="27" t="s">
        <v>13</v>
      </c>
      <c r="E571" s="25" t="s">
        <v>1584</v>
      </c>
      <c r="F571" s="25" t="s">
        <v>1585</v>
      </c>
      <c r="G571" s="25">
        <v>500</v>
      </c>
      <c r="H571" s="25"/>
    </row>
    <row r="572" spans="1:8" ht="14">
      <c r="A572" s="25" t="s">
        <v>1586</v>
      </c>
      <c r="B572" s="26" t="s">
        <v>111</v>
      </c>
      <c r="C572" s="25" t="str">
        <f t="shared" si="9"/>
        <v>oxphos_subunits</v>
      </c>
      <c r="D572" s="27" t="s">
        <v>13</v>
      </c>
      <c r="E572" s="25" t="s">
        <v>1587</v>
      </c>
      <c r="F572" s="25" t="s">
        <v>1588</v>
      </c>
      <c r="G572" s="25">
        <v>500</v>
      </c>
      <c r="H572" s="25"/>
    </row>
    <row r="573" spans="1:8" ht="14">
      <c r="A573" s="25" t="s">
        <v>1589</v>
      </c>
      <c r="B573" s="26" t="s">
        <v>111</v>
      </c>
      <c r="C573" s="25" t="str">
        <f t="shared" si="9"/>
        <v>phospholipid_metabolism</v>
      </c>
      <c r="D573" s="27" t="s">
        <v>13</v>
      </c>
      <c r="E573" s="25" t="s">
        <v>1590</v>
      </c>
      <c r="F573" s="25" t="s">
        <v>1591</v>
      </c>
      <c r="G573" s="25">
        <v>500</v>
      </c>
      <c r="H573" s="25"/>
    </row>
    <row r="574" spans="1:8" ht="14">
      <c r="A574" s="25" t="s">
        <v>1592</v>
      </c>
      <c r="B574" s="26" t="s">
        <v>111</v>
      </c>
      <c r="C574" s="25" t="str">
        <f t="shared" si="9"/>
        <v>polycistronic_mtrna_processing</v>
      </c>
      <c r="D574" s="27" t="s">
        <v>13</v>
      </c>
      <c r="E574" s="25" t="s">
        <v>1593</v>
      </c>
      <c r="F574" s="25" t="s">
        <v>1594</v>
      </c>
      <c r="G574" s="25">
        <v>500</v>
      </c>
      <c r="H574" s="25"/>
    </row>
    <row r="575" spans="1:8" ht="14">
      <c r="A575" s="25" t="s">
        <v>1595</v>
      </c>
      <c r="B575" s="26" t="s">
        <v>111</v>
      </c>
      <c r="C575" s="25" t="str">
        <f t="shared" si="9"/>
        <v>preprotein_cleavage</v>
      </c>
      <c r="D575" s="27" t="s">
        <v>13</v>
      </c>
      <c r="E575" s="25" t="s">
        <v>1596</v>
      </c>
      <c r="F575" s="25" t="s">
        <v>1597</v>
      </c>
      <c r="G575" s="25">
        <v>500</v>
      </c>
      <c r="H575" s="25"/>
    </row>
    <row r="576" spans="1:8" ht="14">
      <c r="A576" s="25" t="s">
        <v>1598</v>
      </c>
      <c r="B576" s="26" t="s">
        <v>111</v>
      </c>
      <c r="C576" s="25" t="str">
        <f t="shared" si="9"/>
        <v>proline_metabolism</v>
      </c>
      <c r="D576" s="27" t="s">
        <v>13</v>
      </c>
      <c r="E576" s="25" t="s">
        <v>1599</v>
      </c>
      <c r="F576" s="25" t="s">
        <v>1600</v>
      </c>
      <c r="G576" s="25">
        <v>500</v>
      </c>
      <c r="H576" s="25"/>
    </row>
    <row r="577" spans="1:8" ht="14">
      <c r="A577" s="25" t="s">
        <v>1601</v>
      </c>
      <c r="B577" s="26" t="s">
        <v>111</v>
      </c>
      <c r="C577" s="25" t="str">
        <f t="shared" si="9"/>
        <v>propanoate_metabolism</v>
      </c>
      <c r="D577" s="27" t="s">
        <v>13</v>
      </c>
      <c r="E577" s="25" t="s">
        <v>1602</v>
      </c>
      <c r="F577" s="25" t="s">
        <v>1603</v>
      </c>
      <c r="G577" s="25">
        <v>500</v>
      </c>
      <c r="H577" s="25"/>
    </row>
    <row r="578" spans="1:8" ht="14">
      <c r="A578" s="25" t="s">
        <v>1604</v>
      </c>
      <c r="B578" s="26" t="s">
        <v>111</v>
      </c>
      <c r="C578" s="25" t="str">
        <f t="shared" si="9"/>
        <v>proteases</v>
      </c>
      <c r="D578" s="27" t="s">
        <v>13</v>
      </c>
      <c r="E578" s="25" t="s">
        <v>1605</v>
      </c>
      <c r="F578" s="25" t="s">
        <v>1606</v>
      </c>
      <c r="G578" s="25">
        <v>500</v>
      </c>
      <c r="H578" s="25"/>
    </row>
    <row r="579" spans="1:8" ht="14">
      <c r="A579" s="25" t="s">
        <v>1607</v>
      </c>
      <c r="B579" s="26" t="s">
        <v>111</v>
      </c>
      <c r="C579" s="25" t="str">
        <f t="shared" si="9"/>
        <v>protein_homeostasis</v>
      </c>
      <c r="D579" s="27" t="s">
        <v>13</v>
      </c>
      <c r="E579" s="25" t="s">
        <v>1608</v>
      </c>
      <c r="F579" s="25" t="s">
        <v>1609</v>
      </c>
      <c r="G579" s="25">
        <v>500</v>
      </c>
      <c r="H579" s="25"/>
    </row>
    <row r="580" spans="1:8" ht="14">
      <c r="A580" s="25" t="s">
        <v>1610</v>
      </c>
      <c r="B580" s="26" t="s">
        <v>111</v>
      </c>
      <c r="C580" s="25" t="str">
        <f t="shared" si="9"/>
        <v>protein_import_and_sorting</v>
      </c>
      <c r="D580" s="27" t="s">
        <v>13</v>
      </c>
      <c r="E580" s="25" t="s">
        <v>1611</v>
      </c>
      <c r="F580" s="25" t="s">
        <v>1612</v>
      </c>
      <c r="G580" s="25">
        <v>500</v>
      </c>
      <c r="H580" s="25"/>
    </row>
    <row r="581" spans="1:8" ht="14">
      <c r="A581" s="25" t="s">
        <v>1613</v>
      </c>
      <c r="B581" s="26" t="s">
        <v>111</v>
      </c>
      <c r="C581" s="25" t="str">
        <f t="shared" si="9"/>
        <v>pyruvate_metabolism</v>
      </c>
      <c r="D581" s="27" t="s">
        <v>13</v>
      </c>
      <c r="E581" s="25" t="s">
        <v>1614</v>
      </c>
      <c r="F581" s="25" t="s">
        <v>1615</v>
      </c>
      <c r="G581" s="25">
        <v>500</v>
      </c>
      <c r="H581" s="25"/>
    </row>
    <row r="582" spans="1:8" ht="14">
      <c r="A582" s="25" t="s">
        <v>1616</v>
      </c>
      <c r="B582" s="26" t="s">
        <v>111</v>
      </c>
      <c r="C582" s="25" t="str">
        <f t="shared" si="9"/>
        <v>respirasome_assembly</v>
      </c>
      <c r="D582" s="27" t="s">
        <v>13</v>
      </c>
      <c r="E582" s="25" t="s">
        <v>1617</v>
      </c>
      <c r="F582" s="25" t="s">
        <v>1618</v>
      </c>
      <c r="G582" s="25">
        <v>500</v>
      </c>
      <c r="H582" s="25"/>
    </row>
    <row r="583" spans="1:8" ht="14">
      <c r="A583" s="25" t="s">
        <v>1619</v>
      </c>
      <c r="B583" s="26" t="s">
        <v>111</v>
      </c>
      <c r="C583" s="25" t="str">
        <f t="shared" si="9"/>
        <v>ros_and_glutathione_metabolism</v>
      </c>
      <c r="D583" s="27" t="s">
        <v>13</v>
      </c>
      <c r="E583" s="25" t="s">
        <v>1620</v>
      </c>
      <c r="F583" s="25" t="s">
        <v>1621</v>
      </c>
      <c r="G583" s="25">
        <v>500</v>
      </c>
      <c r="H583" s="25"/>
    </row>
    <row r="584" spans="1:8" ht="14">
      <c r="A584" s="25" t="s">
        <v>1622</v>
      </c>
      <c r="B584" s="26" t="s">
        <v>111</v>
      </c>
      <c r="C584" s="25" t="str">
        <f t="shared" si="9"/>
        <v>sam</v>
      </c>
      <c r="D584" s="27" t="s">
        <v>13</v>
      </c>
      <c r="E584" s="25" t="s">
        <v>1623</v>
      </c>
      <c r="F584" s="25" t="s">
        <v>1624</v>
      </c>
      <c r="G584" s="25">
        <v>500</v>
      </c>
      <c r="H584" s="25"/>
    </row>
    <row r="585" spans="1:8" ht="14">
      <c r="A585" s="25" t="s">
        <v>1625</v>
      </c>
      <c r="B585" s="26" t="s">
        <v>111</v>
      </c>
      <c r="C585" s="25" t="str">
        <f t="shared" si="9"/>
        <v>selenoproteins</v>
      </c>
      <c r="D585" s="27" t="s">
        <v>13</v>
      </c>
      <c r="E585" s="25" t="s">
        <v>1626</v>
      </c>
      <c r="F585" s="25" t="s">
        <v>1627</v>
      </c>
      <c r="G585" s="25">
        <v>500</v>
      </c>
      <c r="H585" s="25"/>
    </row>
    <row r="586" spans="1:8" ht="14">
      <c r="A586" s="25" t="s">
        <v>1628</v>
      </c>
      <c r="B586" s="26" t="s">
        <v>111</v>
      </c>
      <c r="C586" s="25" t="str">
        <f t="shared" si="9"/>
        <v>serine_metabolism</v>
      </c>
      <c r="D586" s="27" t="s">
        <v>13</v>
      </c>
      <c r="E586" s="25" t="s">
        <v>1629</v>
      </c>
      <c r="F586" s="25" t="s">
        <v>1630</v>
      </c>
      <c r="G586" s="25">
        <v>500</v>
      </c>
      <c r="H586" s="25"/>
    </row>
    <row r="587" spans="1:8" ht="14">
      <c r="A587" s="25" t="s">
        <v>1631</v>
      </c>
      <c r="B587" s="26" t="s">
        <v>111</v>
      </c>
      <c r="C587" s="25" t="str">
        <f t="shared" si="9"/>
        <v>sideroflexins</v>
      </c>
      <c r="D587" s="27" t="s">
        <v>13</v>
      </c>
      <c r="E587" s="25" t="s">
        <v>1632</v>
      </c>
      <c r="F587" s="25" t="s">
        <v>1633</v>
      </c>
      <c r="G587" s="25">
        <v>500</v>
      </c>
      <c r="H587" s="25"/>
    </row>
    <row r="588" spans="1:8" ht="14">
      <c r="A588" s="25" t="s">
        <v>1634</v>
      </c>
      <c r="B588" s="26" t="s">
        <v>111</v>
      </c>
      <c r="C588" s="25" t="str">
        <f t="shared" si="9"/>
        <v>signaling</v>
      </c>
      <c r="D588" s="27" t="s">
        <v>13</v>
      </c>
      <c r="E588" s="25" t="s">
        <v>1635</v>
      </c>
      <c r="F588" s="25" t="s">
        <v>1635</v>
      </c>
      <c r="G588" s="25">
        <v>500</v>
      </c>
      <c r="H588" s="25"/>
    </row>
    <row r="589" spans="1:8" ht="14">
      <c r="A589" s="25" t="s">
        <v>1636</v>
      </c>
      <c r="B589" s="26" t="s">
        <v>111</v>
      </c>
      <c r="C589" s="25" t="str">
        <f t="shared" si="9"/>
        <v>slc25a_family</v>
      </c>
      <c r="D589" s="27" t="s">
        <v>13</v>
      </c>
      <c r="E589" s="25" t="s">
        <v>1637</v>
      </c>
      <c r="F589" s="25" t="s">
        <v>1638</v>
      </c>
      <c r="G589" s="25">
        <v>500</v>
      </c>
      <c r="H589" s="25"/>
    </row>
    <row r="590" spans="1:8" ht="14">
      <c r="A590" s="25" t="s">
        <v>1639</v>
      </c>
      <c r="B590" s="26" t="s">
        <v>111</v>
      </c>
      <c r="C590" s="25" t="str">
        <f t="shared" si="9"/>
        <v>small_molecule_transport</v>
      </c>
      <c r="D590" s="27" t="s">
        <v>13</v>
      </c>
      <c r="E590" s="25" t="s">
        <v>1640</v>
      </c>
      <c r="F590" s="25" t="s">
        <v>1640</v>
      </c>
      <c r="G590" s="25">
        <v>500</v>
      </c>
      <c r="H590" s="25"/>
    </row>
    <row r="591" spans="1:8" ht="14">
      <c r="A591" s="25" t="s">
        <v>1641</v>
      </c>
      <c r="B591" s="26" t="s">
        <v>111</v>
      </c>
      <c r="C591" s="25" t="str">
        <f t="shared" si="9"/>
        <v>sulfur_metabolism</v>
      </c>
      <c r="D591" s="27" t="s">
        <v>13</v>
      </c>
      <c r="E591" s="25" t="s">
        <v>1642</v>
      </c>
      <c r="F591" s="25" t="s">
        <v>1643</v>
      </c>
      <c r="G591" s="25">
        <v>500</v>
      </c>
      <c r="H591" s="25"/>
    </row>
    <row r="592" spans="1:8" ht="14">
      <c r="A592" s="25" t="s">
        <v>1644</v>
      </c>
      <c r="B592" s="26" t="s">
        <v>111</v>
      </c>
      <c r="C592" s="25" t="str">
        <f t="shared" si="9"/>
        <v>tca_associated</v>
      </c>
      <c r="D592" s="27" t="s">
        <v>13</v>
      </c>
      <c r="E592" s="25" t="s">
        <v>1645</v>
      </c>
      <c r="F592" s="25" t="s">
        <v>1646</v>
      </c>
      <c r="G592" s="25">
        <v>500</v>
      </c>
      <c r="H592" s="25"/>
    </row>
    <row r="593" spans="1:8" ht="14">
      <c r="A593" s="25" t="s">
        <v>1647</v>
      </c>
      <c r="B593" s="26" t="s">
        <v>111</v>
      </c>
      <c r="C593" s="25" t="str">
        <f t="shared" si="9"/>
        <v>tca_cycle</v>
      </c>
      <c r="D593" s="27" t="s">
        <v>13</v>
      </c>
      <c r="E593" s="25" t="s">
        <v>1648</v>
      </c>
      <c r="F593" s="25" t="s">
        <v>1649</v>
      </c>
      <c r="G593" s="25">
        <v>500</v>
      </c>
      <c r="H593" s="25"/>
    </row>
    <row r="594" spans="1:8" ht="14">
      <c r="A594" s="25" t="s">
        <v>1650</v>
      </c>
      <c r="B594" s="26" t="s">
        <v>111</v>
      </c>
      <c r="C594" s="25" t="str">
        <f t="shared" si="9"/>
        <v>tetrahydrobiopterin_synthesis</v>
      </c>
      <c r="D594" s="27" t="s">
        <v>13</v>
      </c>
      <c r="E594" s="25" t="s">
        <v>1651</v>
      </c>
      <c r="F594" s="25" t="s">
        <v>1652</v>
      </c>
      <c r="G594" s="25">
        <v>500</v>
      </c>
      <c r="H594" s="25"/>
    </row>
    <row r="595" spans="1:8" ht="14">
      <c r="A595" s="25" t="s">
        <v>1653</v>
      </c>
      <c r="B595" s="26" t="s">
        <v>111</v>
      </c>
      <c r="C595" s="25" t="str">
        <f t="shared" si="9"/>
        <v>tim22_carrier_pathway</v>
      </c>
      <c r="D595" s="27" t="s">
        <v>13</v>
      </c>
      <c r="E595" s="25" t="s">
        <v>1654</v>
      </c>
      <c r="F595" s="25" t="s">
        <v>1655</v>
      </c>
      <c r="G595" s="25">
        <v>500</v>
      </c>
      <c r="H595" s="25"/>
    </row>
    <row r="596" spans="1:8" ht="14">
      <c r="A596" s="25" t="s">
        <v>1656</v>
      </c>
      <c r="B596" s="26" t="s">
        <v>111</v>
      </c>
      <c r="C596" s="25" t="str">
        <f t="shared" si="9"/>
        <v>tim23_presequence_pathway</v>
      </c>
      <c r="D596" s="27" t="s">
        <v>13</v>
      </c>
      <c r="E596" s="25" t="s">
        <v>1657</v>
      </c>
      <c r="F596" s="25" t="s">
        <v>1658</v>
      </c>
      <c r="G596" s="25">
        <v>500</v>
      </c>
      <c r="H596" s="25"/>
    </row>
    <row r="597" spans="1:8" ht="14">
      <c r="A597" s="25" t="s">
        <v>1659</v>
      </c>
      <c r="B597" s="26" t="s">
        <v>111</v>
      </c>
      <c r="C597" s="25" t="str">
        <f t="shared" si="9"/>
        <v>tom</v>
      </c>
      <c r="D597" s="27" t="s">
        <v>13</v>
      </c>
      <c r="E597" s="25" t="s">
        <v>1660</v>
      </c>
      <c r="F597" s="25" t="s">
        <v>1661</v>
      </c>
      <c r="G597" s="25">
        <v>500</v>
      </c>
      <c r="H597" s="25"/>
    </row>
    <row r="598" spans="1:8" ht="14">
      <c r="A598" s="25" t="s">
        <v>1662</v>
      </c>
      <c r="B598" s="26" t="s">
        <v>111</v>
      </c>
      <c r="C598" s="25" t="str">
        <f t="shared" si="9"/>
        <v>trafficking</v>
      </c>
      <c r="D598" s="27" t="s">
        <v>13</v>
      </c>
      <c r="E598" s="25" t="s">
        <v>1663</v>
      </c>
      <c r="F598" s="25" t="s">
        <v>1664</v>
      </c>
      <c r="G598" s="25">
        <v>500</v>
      </c>
      <c r="H598" s="25"/>
    </row>
    <row r="599" spans="1:8" ht="14">
      <c r="A599" s="25" t="s">
        <v>1665</v>
      </c>
      <c r="B599" s="26" t="s">
        <v>111</v>
      </c>
      <c r="C599" s="25" t="str">
        <f t="shared" si="9"/>
        <v>transcription</v>
      </c>
      <c r="D599" s="27" t="s">
        <v>13</v>
      </c>
      <c r="E599" s="25" t="s">
        <v>1666</v>
      </c>
      <c r="F599" s="25" t="s">
        <v>1667</v>
      </c>
      <c r="G599" s="25">
        <v>500</v>
      </c>
      <c r="H599" s="25"/>
    </row>
    <row r="600" spans="1:8" ht="14">
      <c r="A600" s="25" t="s">
        <v>1668</v>
      </c>
      <c r="B600" s="26" t="s">
        <v>111</v>
      </c>
      <c r="C600" s="25" t="str">
        <f t="shared" si="9"/>
        <v>translation</v>
      </c>
      <c r="D600" s="27" t="s">
        <v>13</v>
      </c>
      <c r="E600" s="25" t="s">
        <v>1669</v>
      </c>
      <c r="F600" s="25" t="s">
        <v>1670</v>
      </c>
      <c r="G600" s="25">
        <v>500</v>
      </c>
      <c r="H600" s="25"/>
    </row>
    <row r="601" spans="1:8" ht="14">
      <c r="A601" s="25" t="s">
        <v>1671</v>
      </c>
      <c r="B601" s="26" t="s">
        <v>111</v>
      </c>
      <c r="C601" s="25" t="str">
        <f t="shared" si="9"/>
        <v>translation_factors</v>
      </c>
      <c r="D601" s="27" t="s">
        <v>13</v>
      </c>
      <c r="E601" s="25" t="s">
        <v>1672</v>
      </c>
      <c r="F601" s="25" t="s">
        <v>1673</v>
      </c>
      <c r="G601" s="25">
        <v>500</v>
      </c>
      <c r="H601" s="25"/>
    </row>
    <row r="602" spans="1:8" ht="14">
      <c r="A602" s="25" t="s">
        <v>1674</v>
      </c>
      <c r="B602" s="26" t="s">
        <v>111</v>
      </c>
      <c r="C602" s="25" t="str">
        <f t="shared" si="9"/>
        <v>type_ii_fatty_acid_synthesis</v>
      </c>
      <c r="D602" s="27" t="s">
        <v>13</v>
      </c>
      <c r="E602" s="25" t="s">
        <v>1675</v>
      </c>
      <c r="F602" s="25" t="s">
        <v>1676</v>
      </c>
      <c r="G602" s="25">
        <v>500</v>
      </c>
      <c r="H602" s="25"/>
    </row>
    <row r="603" spans="1:8" ht="14">
      <c r="A603" s="25" t="s">
        <v>1677</v>
      </c>
      <c r="B603" s="26" t="s">
        <v>111</v>
      </c>
      <c r="C603" s="25" t="str">
        <f t="shared" si="9"/>
        <v>urea_cycle</v>
      </c>
      <c r="D603" s="27" t="s">
        <v>13</v>
      </c>
      <c r="E603" s="25" t="s">
        <v>1678</v>
      </c>
      <c r="F603" s="25" t="s">
        <v>1679</v>
      </c>
      <c r="G603" s="25">
        <v>500</v>
      </c>
      <c r="H603" s="25"/>
    </row>
    <row r="604" spans="1:8" ht="14">
      <c r="A604" s="25" t="s">
        <v>1680</v>
      </c>
      <c r="B604" s="26" t="s">
        <v>111</v>
      </c>
      <c r="C604" s="25" t="str">
        <f t="shared" si="9"/>
        <v>vitamin_a_metabolism</v>
      </c>
      <c r="D604" s="27" t="s">
        <v>13</v>
      </c>
      <c r="E604" s="25" t="s">
        <v>1681</v>
      </c>
      <c r="F604" s="25" t="s">
        <v>1682</v>
      </c>
      <c r="G604" s="25">
        <v>500</v>
      </c>
      <c r="H604" s="25"/>
    </row>
    <row r="605" spans="1:8" ht="14">
      <c r="A605" s="25" t="s">
        <v>1683</v>
      </c>
      <c r="B605" s="26" t="s">
        <v>111</v>
      </c>
      <c r="C605" s="25" t="str">
        <f t="shared" si="9"/>
        <v>vitamin_b1_metabolism</v>
      </c>
      <c r="D605" s="27" t="s">
        <v>13</v>
      </c>
      <c r="E605" s="25" t="s">
        <v>1684</v>
      </c>
      <c r="F605" s="25" t="s">
        <v>1685</v>
      </c>
      <c r="G605" s="25">
        <v>500</v>
      </c>
      <c r="H605" s="25"/>
    </row>
    <row r="606" spans="1:8" ht="14">
      <c r="A606" s="25" t="s">
        <v>1686</v>
      </c>
      <c r="B606" s="26" t="s">
        <v>111</v>
      </c>
      <c r="C606" s="25" t="str">
        <f t="shared" si="9"/>
        <v>vitamin_b12_metabolism</v>
      </c>
      <c r="D606" s="27" t="s">
        <v>13</v>
      </c>
      <c r="E606" s="25" t="s">
        <v>1687</v>
      </c>
      <c r="F606" s="25" t="s">
        <v>1688</v>
      </c>
      <c r="G606" s="25">
        <v>500</v>
      </c>
      <c r="H606" s="25"/>
    </row>
    <row r="607" spans="1:8" ht="14">
      <c r="A607" s="25" t="s">
        <v>1689</v>
      </c>
      <c r="B607" s="26" t="s">
        <v>111</v>
      </c>
      <c r="C607" s="25" t="str">
        <f t="shared" si="9"/>
        <v>vitamin_b2_metabolism</v>
      </c>
      <c r="D607" s="27" t="s">
        <v>13</v>
      </c>
      <c r="E607" s="25" t="s">
        <v>1690</v>
      </c>
      <c r="F607" s="25" t="s">
        <v>1691</v>
      </c>
      <c r="G607" s="25">
        <v>500</v>
      </c>
      <c r="H607" s="25"/>
    </row>
    <row r="608" spans="1:8" ht="14">
      <c r="A608" s="25" t="s">
        <v>1692</v>
      </c>
      <c r="B608" s="26" t="s">
        <v>111</v>
      </c>
      <c r="C608" s="25" t="str">
        <f t="shared" si="9"/>
        <v>vitamin_b6_metabolism</v>
      </c>
      <c r="D608" s="27" t="s">
        <v>13</v>
      </c>
      <c r="E608" s="25" t="s">
        <v>1693</v>
      </c>
      <c r="F608" s="25" t="s">
        <v>1694</v>
      </c>
      <c r="G608" s="25">
        <v>500</v>
      </c>
      <c r="H608" s="25"/>
    </row>
    <row r="609" spans="1:8" ht="14">
      <c r="A609" s="25" t="s">
        <v>1695</v>
      </c>
      <c r="B609" s="26" t="s">
        <v>111</v>
      </c>
      <c r="C609" s="25" t="str">
        <f t="shared" si="9"/>
        <v>vitamin_c_metabolism</v>
      </c>
      <c r="D609" s="27" t="s">
        <v>13</v>
      </c>
      <c r="E609" s="25" t="s">
        <v>1696</v>
      </c>
      <c r="F609" s="25" t="s">
        <v>1697</v>
      </c>
      <c r="G609" s="25">
        <v>500</v>
      </c>
      <c r="H609" s="25"/>
    </row>
    <row r="610" spans="1:8" ht="14">
      <c r="A610" s="25" t="s">
        <v>1698</v>
      </c>
      <c r="B610" s="26" t="s">
        <v>111</v>
      </c>
      <c r="C610" s="25" t="str">
        <f t="shared" si="9"/>
        <v>vitamin_d_metabolism</v>
      </c>
      <c r="D610" s="27" t="s">
        <v>13</v>
      </c>
      <c r="E610" s="25" t="s">
        <v>1699</v>
      </c>
      <c r="F610" s="25" t="s">
        <v>1700</v>
      </c>
      <c r="G610" s="25">
        <v>500</v>
      </c>
      <c r="H610" s="25"/>
    </row>
    <row r="611" spans="1:8" ht="14">
      <c r="A611" s="25" t="s">
        <v>1701</v>
      </c>
      <c r="B611" s="26" t="s">
        <v>111</v>
      </c>
      <c r="C611" s="25" t="str">
        <f t="shared" si="9"/>
        <v>vitamin_metabolism</v>
      </c>
      <c r="D611" s="27" t="s">
        <v>13</v>
      </c>
      <c r="E611" s="25" t="s">
        <v>1702</v>
      </c>
      <c r="F611" s="25" t="s">
        <v>1703</v>
      </c>
      <c r="G611" s="25">
        <v>500</v>
      </c>
      <c r="H611" s="25"/>
    </row>
    <row r="612" spans="1:8" ht="14">
      <c r="A612" s="25" t="s">
        <v>1704</v>
      </c>
      <c r="B612" s="26" t="s">
        <v>111</v>
      </c>
      <c r="C612" s="25" t="str">
        <f t="shared" si="9"/>
        <v>xenobiotic_metabolism</v>
      </c>
      <c r="D612" s="27" t="s">
        <v>13</v>
      </c>
      <c r="E612" s="25" t="s">
        <v>1705</v>
      </c>
      <c r="F612" s="25" t="s">
        <v>1706</v>
      </c>
      <c r="G612" s="25">
        <v>500</v>
      </c>
      <c r="H612" s="25"/>
    </row>
    <row r="613" spans="1:8" ht="14">
      <c r="A613" s="25" t="s">
        <v>1707</v>
      </c>
      <c r="B613" s="26" t="s">
        <v>1708</v>
      </c>
      <c r="C613" s="25" t="str">
        <f t="shared" si="9"/>
        <v>arbitrary</v>
      </c>
      <c r="D613" s="27" t="s">
        <v>13</v>
      </c>
      <c r="E613" s="25" t="s">
        <v>1709</v>
      </c>
      <c r="F613" s="25" t="s">
        <v>1710</v>
      </c>
      <c r="G613" s="25">
        <v>500</v>
      </c>
      <c r="H613" s="25"/>
    </row>
    <row r="614" spans="1:8" ht="14">
      <c r="A614" s="25" t="s">
        <v>1711</v>
      </c>
      <c r="B614" s="26" t="s">
        <v>1708</v>
      </c>
      <c r="C614" s="25" t="str">
        <f t="shared" si="9"/>
        <v>random</v>
      </c>
      <c r="D614" s="27" t="s">
        <v>13</v>
      </c>
      <c r="E614" s="25" t="s">
        <v>1712</v>
      </c>
      <c r="F614" s="25" t="s">
        <v>1710</v>
      </c>
      <c r="G614" s="25">
        <v>500</v>
      </c>
      <c r="H614" s="25"/>
    </row>
    <row r="615" spans="1:8" ht="14">
      <c r="A615" s="25" t="s">
        <v>1713</v>
      </c>
      <c r="B615" s="26" t="s">
        <v>114</v>
      </c>
      <c r="C615" s="25" t="str">
        <f t="shared" si="9"/>
        <v>in_vitro</v>
      </c>
      <c r="D615" s="27" t="s">
        <v>13</v>
      </c>
      <c r="E615" s="25" t="s">
        <v>1714</v>
      </c>
      <c r="F615" s="25" t="s">
        <v>1715</v>
      </c>
      <c r="G615" s="25">
        <v>500</v>
      </c>
      <c r="H615" s="25"/>
    </row>
    <row r="616" spans="1:8" ht="14">
      <c r="A616" s="25" t="s">
        <v>1716</v>
      </c>
      <c r="B616" s="26" t="s">
        <v>114</v>
      </c>
      <c r="C616" s="25" t="str">
        <f t="shared" si="9"/>
        <v>in_vivo</v>
      </c>
      <c r="D616" s="27" t="s">
        <v>13</v>
      </c>
      <c r="E616" s="25" t="s">
        <v>1717</v>
      </c>
      <c r="F616" s="25" t="s">
        <v>1718</v>
      </c>
      <c r="G616" s="25">
        <v>500</v>
      </c>
      <c r="H616" s="25"/>
    </row>
    <row r="617" spans="1:8" s="4" customFormat="1" ht="14">
      <c r="A617" s="25" t="s">
        <v>1719</v>
      </c>
      <c r="B617" s="26" t="s">
        <v>114</v>
      </c>
      <c r="C617" s="25" t="str">
        <f t="shared" si="9"/>
        <v>xenografts</v>
      </c>
      <c r="D617" s="27" t="s">
        <v>13</v>
      </c>
      <c r="E617" s="25" t="s">
        <v>1719</v>
      </c>
      <c r="F617" s="25" t="s">
        <v>1720</v>
      </c>
      <c r="G617" s="25">
        <v>500</v>
      </c>
      <c r="H617" s="30"/>
    </row>
    <row r="618" spans="1:8" s="4" customFormat="1" ht="14">
      <c r="A618" s="25" t="s">
        <v>2925</v>
      </c>
      <c r="B618" s="26" t="s">
        <v>2923</v>
      </c>
      <c r="C618" s="25" t="str">
        <f t="shared" si="9"/>
        <v>nestincre</v>
      </c>
      <c r="D618" s="25" t="s">
        <v>13</v>
      </c>
      <c r="E618" s="25" t="s">
        <v>2924</v>
      </c>
      <c r="F618" s="25" t="s">
        <v>2937</v>
      </c>
      <c r="G618" s="25">
        <v>500</v>
      </c>
      <c r="H618" s="30"/>
    </row>
    <row r="619" spans="1:8" ht="14">
      <c r="A619" s="25" t="s">
        <v>2927</v>
      </c>
      <c r="B619" s="26" t="s">
        <v>2923</v>
      </c>
      <c r="C619" s="25" t="str">
        <f t="shared" si="9"/>
        <v>cmvcre</v>
      </c>
      <c r="D619" s="25" t="s">
        <v>13</v>
      </c>
      <c r="E619" s="25" t="s">
        <v>2926</v>
      </c>
      <c r="F619" s="25" t="s">
        <v>2936</v>
      </c>
      <c r="G619" s="25">
        <v>500</v>
      </c>
      <c r="H619" s="25"/>
    </row>
    <row r="620" spans="1:8" ht="14">
      <c r="A620" s="25" t="s">
        <v>2930</v>
      </c>
      <c r="B620" s="26" t="s">
        <v>2923</v>
      </c>
      <c r="C620" s="25" t="str">
        <f t="shared" ref="C620:C684" si="10">A620</f>
        <v>myh6cre</v>
      </c>
      <c r="D620" s="25" t="s">
        <v>13</v>
      </c>
      <c r="E620" s="25" t="s">
        <v>2929</v>
      </c>
      <c r="F620" s="25" t="s">
        <v>2928</v>
      </c>
      <c r="G620" s="25">
        <v>500</v>
      </c>
      <c r="H620" s="25"/>
    </row>
    <row r="621" spans="1:8" ht="14">
      <c r="A621" s="25" t="s">
        <v>2397</v>
      </c>
      <c r="B621" s="26" t="s">
        <v>2923</v>
      </c>
      <c r="C621" s="25" t="str">
        <f t="shared" si="10"/>
        <v>albcre</v>
      </c>
      <c r="D621" s="25" t="s">
        <v>13</v>
      </c>
      <c r="E621" s="25" t="s">
        <v>2931</v>
      </c>
      <c r="F621" s="25" t="s">
        <v>2935</v>
      </c>
      <c r="G621" s="25">
        <v>500</v>
      </c>
      <c r="H621" s="25"/>
    </row>
    <row r="622" spans="1:8" ht="14">
      <c r="A622" s="25" t="s">
        <v>2932</v>
      </c>
      <c r="B622" s="26" t="s">
        <v>2923</v>
      </c>
      <c r="C622" s="25" t="str">
        <f t="shared" si="10"/>
        <v>ucpcre</v>
      </c>
      <c r="D622" s="25" t="s">
        <v>13</v>
      </c>
      <c r="E622" s="25" t="s">
        <v>2933</v>
      </c>
      <c r="F622" s="25" t="s">
        <v>2934</v>
      </c>
      <c r="G622" s="25">
        <v>500</v>
      </c>
      <c r="H622" s="25"/>
    </row>
    <row r="623" spans="1:8" ht="14">
      <c r="A623" s="25" t="s">
        <v>2394</v>
      </c>
      <c r="B623" s="26" t="s">
        <v>2923</v>
      </c>
      <c r="C623" s="25" t="str">
        <f t="shared" si="10"/>
        <v>adipoqcre</v>
      </c>
      <c r="D623" s="25" t="s">
        <v>13</v>
      </c>
      <c r="E623" s="25" t="s">
        <v>2938</v>
      </c>
      <c r="F623" s="25" t="s">
        <v>2939</v>
      </c>
      <c r="G623" s="25">
        <v>500</v>
      </c>
      <c r="H623" s="25"/>
    </row>
    <row r="624" spans="1:8" ht="14">
      <c r="A624" s="25" t="s">
        <v>2940</v>
      </c>
      <c r="B624" s="26" t="s">
        <v>2923</v>
      </c>
      <c r="C624" s="25" t="str">
        <f t="shared" si="10"/>
        <v>ckmmcre</v>
      </c>
      <c r="D624" s="25" t="s">
        <v>13</v>
      </c>
      <c r="E624" s="25" t="s">
        <v>2941</v>
      </c>
      <c r="F624" s="25" t="s">
        <v>2942</v>
      </c>
      <c r="G624" s="25">
        <v>500</v>
      </c>
      <c r="H624" s="25"/>
    </row>
    <row r="625" spans="1:8" ht="14">
      <c r="A625" s="25" t="s">
        <v>1721</v>
      </c>
      <c r="B625" s="26" t="s">
        <v>3780</v>
      </c>
      <c r="C625" s="25" t="str">
        <f t="shared" si="10"/>
        <v>eclips</v>
      </c>
      <c r="D625" s="27" t="s">
        <v>13</v>
      </c>
      <c r="E625" s="25" t="s">
        <v>1722</v>
      </c>
      <c r="F625" s="25" t="s">
        <v>1722</v>
      </c>
      <c r="G625" s="25">
        <v>500</v>
      </c>
      <c r="H625" s="25"/>
    </row>
    <row r="626" spans="1:8" ht="14">
      <c r="A626" s="25" t="s">
        <v>1723</v>
      </c>
      <c r="B626" s="26" t="s">
        <v>3780</v>
      </c>
      <c r="C626" s="25" t="str">
        <f t="shared" si="10"/>
        <v>exploris240</v>
      </c>
      <c r="D626" s="27" t="s">
        <v>13</v>
      </c>
      <c r="E626" s="25" t="s">
        <v>1724</v>
      </c>
      <c r="F626" s="25" t="s">
        <v>1725</v>
      </c>
      <c r="G626" s="25">
        <v>500</v>
      </c>
      <c r="H626" s="25"/>
    </row>
    <row r="627" spans="1:8" ht="14">
      <c r="A627" s="25" t="s">
        <v>1726</v>
      </c>
      <c r="B627" s="26" t="s">
        <v>3780</v>
      </c>
      <c r="C627" s="25" t="str">
        <f t="shared" si="10"/>
        <v>exploris480</v>
      </c>
      <c r="D627" s="27" t="s">
        <v>13</v>
      </c>
      <c r="E627" s="25" t="s">
        <v>1727</v>
      </c>
      <c r="F627" s="25" t="s">
        <v>1728</v>
      </c>
      <c r="G627" s="25">
        <v>500</v>
      </c>
      <c r="H627" s="25"/>
    </row>
    <row r="628" spans="1:8" ht="14">
      <c r="A628" s="25" t="s">
        <v>1729</v>
      </c>
      <c r="B628" s="26" t="s">
        <v>3780</v>
      </c>
      <c r="C628" s="25" t="str">
        <f t="shared" si="10"/>
        <v>qex</v>
      </c>
      <c r="D628" s="27" t="s">
        <v>13</v>
      </c>
      <c r="E628" s="25" t="s">
        <v>1730</v>
      </c>
      <c r="F628" s="25" t="s">
        <v>1731</v>
      </c>
      <c r="G628" s="25">
        <v>500</v>
      </c>
      <c r="H628" s="25"/>
    </row>
    <row r="629" spans="1:8" ht="14">
      <c r="A629" s="25" t="s">
        <v>1732</v>
      </c>
      <c r="B629" s="26" t="s">
        <v>3780</v>
      </c>
      <c r="C629" s="25" t="str">
        <f t="shared" si="10"/>
        <v>qexplus</v>
      </c>
      <c r="D629" s="27" t="s">
        <v>13</v>
      </c>
      <c r="E629" s="25" t="s">
        <v>1733</v>
      </c>
      <c r="F629" s="25" t="s">
        <v>1734</v>
      </c>
      <c r="G629" s="25">
        <v>500</v>
      </c>
      <c r="H629" s="25"/>
    </row>
    <row r="630" spans="1:8" ht="14">
      <c r="A630" s="25" t="s">
        <v>3012</v>
      </c>
      <c r="B630" s="26" t="s">
        <v>3780</v>
      </c>
      <c r="C630" s="25" t="str">
        <f t="shared" si="10"/>
        <v>tofpro2</v>
      </c>
      <c r="D630" s="27" t="s">
        <v>13</v>
      </c>
      <c r="E630" s="25" t="s">
        <v>3013</v>
      </c>
      <c r="F630" s="25" t="s">
        <v>3014</v>
      </c>
      <c r="G630" s="25">
        <v>500</v>
      </c>
      <c r="H630" s="25"/>
    </row>
    <row r="631" spans="1:8" ht="14">
      <c r="A631" s="25" t="s">
        <v>1735</v>
      </c>
      <c r="B631" s="26" t="s">
        <v>3780</v>
      </c>
      <c r="C631" s="25" t="str">
        <f t="shared" si="10"/>
        <v>ttofhct</v>
      </c>
      <c r="D631" s="27" t="s">
        <v>13</v>
      </c>
      <c r="E631" s="25" t="s">
        <v>1736</v>
      </c>
      <c r="F631" s="25" t="s">
        <v>3015</v>
      </c>
      <c r="G631" s="25">
        <v>500</v>
      </c>
      <c r="H631" s="25"/>
    </row>
    <row r="632" spans="1:8" ht="14">
      <c r="A632" s="25" t="s">
        <v>1737</v>
      </c>
      <c r="B632" s="26" t="s">
        <v>3780</v>
      </c>
      <c r="C632" s="25" t="str">
        <f t="shared" si="10"/>
        <v>ttofscp</v>
      </c>
      <c r="D632" s="27" t="s">
        <v>13</v>
      </c>
      <c r="E632" s="25" t="s">
        <v>1738</v>
      </c>
      <c r="F632" s="25" t="s">
        <v>3016</v>
      </c>
      <c r="G632" s="25">
        <v>500</v>
      </c>
      <c r="H632" s="25"/>
    </row>
    <row r="633" spans="1:8" ht="14">
      <c r="A633" s="25" t="s">
        <v>1739</v>
      </c>
      <c r="B633" s="26" t="s">
        <v>81</v>
      </c>
      <c r="C633" s="25" t="str">
        <f t="shared" si="10"/>
        <v>faims</v>
      </c>
      <c r="D633" s="27" t="s">
        <v>13</v>
      </c>
      <c r="E633" s="25" t="s">
        <v>4449</v>
      </c>
      <c r="F633" s="25" t="s">
        <v>1741</v>
      </c>
      <c r="G633" s="25">
        <v>500</v>
      </c>
      <c r="H633" s="25"/>
    </row>
    <row r="634" spans="1:8" ht="14">
      <c r="A634" s="25" t="s">
        <v>3101</v>
      </c>
      <c r="B634" s="26" t="s">
        <v>81</v>
      </c>
      <c r="C634" s="25" t="str">
        <f t="shared" si="10"/>
        <v>no_interface</v>
      </c>
      <c r="D634" s="27" t="s">
        <v>13</v>
      </c>
      <c r="E634" s="25" t="s">
        <v>4414</v>
      </c>
      <c r="F634" s="25" t="s">
        <v>1743</v>
      </c>
      <c r="G634" s="25">
        <v>500</v>
      </c>
      <c r="H634" s="25"/>
    </row>
    <row r="635" spans="1:8" ht="14">
      <c r="A635" s="25" t="s">
        <v>262</v>
      </c>
      <c r="B635" s="26" t="s">
        <v>81</v>
      </c>
      <c r="C635" s="25" t="str">
        <f t="shared" si="10"/>
        <v>none</v>
      </c>
      <c r="D635" s="27" t="s">
        <v>13</v>
      </c>
      <c r="E635" s="25" t="s">
        <v>1742</v>
      </c>
      <c r="F635" s="25" t="s">
        <v>4415</v>
      </c>
      <c r="G635" s="25">
        <v>500</v>
      </c>
      <c r="H635" s="25"/>
    </row>
    <row r="636" spans="1:8" ht="14">
      <c r="A636" s="25" t="s">
        <v>1744</v>
      </c>
      <c r="B636" s="26" t="s">
        <v>34</v>
      </c>
      <c r="C636" s="25" t="str">
        <f t="shared" si="10"/>
        <v>easy_spray</v>
      </c>
      <c r="D636" s="27" t="s">
        <v>13</v>
      </c>
      <c r="E636" s="25" t="s">
        <v>1745</v>
      </c>
      <c r="F636" s="25" t="s">
        <v>1746</v>
      </c>
      <c r="G636" s="25">
        <v>500</v>
      </c>
      <c r="H636" s="25"/>
    </row>
    <row r="637" spans="1:8" ht="14">
      <c r="A637" s="25" t="s">
        <v>1747</v>
      </c>
      <c r="B637" s="26" t="s">
        <v>34</v>
      </c>
      <c r="C637" s="25" t="str">
        <f t="shared" si="10"/>
        <v>flex</v>
      </c>
      <c r="D637" s="27" t="s">
        <v>13</v>
      </c>
      <c r="E637" s="25" t="s">
        <v>1748</v>
      </c>
      <c r="F637" s="25" t="s">
        <v>1749</v>
      </c>
      <c r="G637" s="25">
        <v>500</v>
      </c>
      <c r="H637" s="25"/>
    </row>
    <row r="638" spans="1:8" ht="14">
      <c r="A638" s="25" t="s">
        <v>1750</v>
      </c>
      <c r="B638" s="26" t="s">
        <v>34</v>
      </c>
      <c r="C638" s="25" t="str">
        <f t="shared" si="10"/>
        <v>ion_max</v>
      </c>
      <c r="D638" s="27" t="s">
        <v>13</v>
      </c>
      <c r="E638" s="25" t="s">
        <v>1751</v>
      </c>
      <c r="F638" s="25" t="s">
        <v>1752</v>
      </c>
      <c r="G638" s="25">
        <v>500</v>
      </c>
      <c r="H638" s="25"/>
    </row>
    <row r="639" spans="1:8" ht="14">
      <c r="A639" s="25" t="s">
        <v>2998</v>
      </c>
      <c r="B639" s="26" t="s">
        <v>34</v>
      </c>
      <c r="C639" s="25" t="str">
        <f t="shared" si="10"/>
        <v>captivespray</v>
      </c>
      <c r="D639" s="27" t="s">
        <v>2997</v>
      </c>
      <c r="E639" s="25" t="s">
        <v>3002</v>
      </c>
      <c r="F639" s="25" t="s">
        <v>3004</v>
      </c>
      <c r="G639" s="25">
        <v>500</v>
      </c>
      <c r="H639" s="25"/>
    </row>
    <row r="640" spans="1:8" ht="14">
      <c r="A640" s="25" t="s">
        <v>2999</v>
      </c>
      <c r="B640" s="26" t="s">
        <v>34</v>
      </c>
      <c r="C640" s="25" t="str">
        <f t="shared" si="10"/>
        <v>captivespraytwo</v>
      </c>
      <c r="D640" s="27" t="s">
        <v>3000</v>
      </c>
      <c r="E640" s="25" t="s">
        <v>3001</v>
      </c>
      <c r="F640" s="25" t="s">
        <v>3003</v>
      </c>
      <c r="G640" s="25">
        <v>500</v>
      </c>
      <c r="H640" s="25"/>
    </row>
    <row r="641" spans="1:8" ht="14">
      <c r="A641" s="25" t="s">
        <v>3005</v>
      </c>
      <c r="B641" s="26" t="s">
        <v>34</v>
      </c>
      <c r="C641" s="25" t="str">
        <f t="shared" si="10"/>
        <v>captiivespraypro</v>
      </c>
      <c r="D641" s="27" t="s">
        <v>3006</v>
      </c>
      <c r="E641" s="25" t="s">
        <v>3007</v>
      </c>
      <c r="F641" s="25" t="s">
        <v>3008</v>
      </c>
      <c r="G641" s="25">
        <v>500</v>
      </c>
      <c r="H641" s="25"/>
    </row>
    <row r="642" spans="1:8" ht="14">
      <c r="A642" s="25" t="s">
        <v>1753</v>
      </c>
      <c r="B642" s="26" t="s">
        <v>19</v>
      </c>
      <c r="C642" s="25" t="str">
        <f t="shared" si="10"/>
        <v>e1</v>
      </c>
      <c r="D642" s="25" t="s">
        <v>1753</v>
      </c>
      <c r="E642" s="25" t="s">
        <v>1754</v>
      </c>
      <c r="F642" s="25" t="s">
        <v>1755</v>
      </c>
      <c r="G642" s="25">
        <v>500</v>
      </c>
      <c r="H642" s="25"/>
    </row>
    <row r="643" spans="1:8" ht="14">
      <c r="A643" s="25" t="s">
        <v>1756</v>
      </c>
      <c r="B643" s="26" t="s">
        <v>19</v>
      </c>
      <c r="C643" s="25" t="str">
        <f t="shared" si="10"/>
        <v>e2</v>
      </c>
      <c r="D643" s="25" t="s">
        <v>1756</v>
      </c>
      <c r="E643" s="25" t="s">
        <v>1757</v>
      </c>
      <c r="F643" s="25" t="s">
        <v>1758</v>
      </c>
      <c r="G643" s="25">
        <v>500</v>
      </c>
      <c r="H643" s="25"/>
    </row>
    <row r="644" spans="1:8" ht="14">
      <c r="A644" s="25" t="s">
        <v>1759</v>
      </c>
      <c r="B644" s="26" t="s">
        <v>19</v>
      </c>
      <c r="C644" s="25" t="str">
        <f t="shared" si="10"/>
        <v>expl480</v>
      </c>
      <c r="D644" s="25" t="s">
        <v>1759</v>
      </c>
      <c r="E644" s="25" t="s">
        <v>1760</v>
      </c>
      <c r="F644" s="25" t="s">
        <v>2875</v>
      </c>
      <c r="G644" s="25">
        <v>500</v>
      </c>
      <c r="H644" s="25"/>
    </row>
    <row r="645" spans="1:8" ht="14">
      <c r="A645" s="25" t="s">
        <v>2872</v>
      </c>
      <c r="B645" s="26" t="s">
        <v>19</v>
      </c>
      <c r="C645" s="25" t="str">
        <f t="shared" si="10"/>
        <v>hfxage</v>
      </c>
      <c r="D645" s="25" t="s">
        <v>13</v>
      </c>
      <c r="E645" s="25" t="s">
        <v>2873</v>
      </c>
      <c r="F645" s="25" t="s">
        <v>2874</v>
      </c>
      <c r="G645" s="25">
        <v>500</v>
      </c>
      <c r="H645" s="25"/>
    </row>
    <row r="646" spans="1:8" ht="14">
      <c r="A646" s="25" t="s">
        <v>1761</v>
      </c>
      <c r="B646" s="26" t="s">
        <v>19</v>
      </c>
      <c r="C646" s="25" t="str">
        <f t="shared" si="10"/>
        <v>ignarius</v>
      </c>
      <c r="D646" s="25" t="s">
        <v>1761</v>
      </c>
      <c r="E646" s="25" t="s">
        <v>1762</v>
      </c>
      <c r="F646" s="25" t="s">
        <v>1763</v>
      </c>
      <c r="G646" s="25">
        <v>500</v>
      </c>
      <c r="H646" s="25"/>
    </row>
    <row r="647" spans="1:8" ht="14">
      <c r="A647" s="25" t="s">
        <v>1764</v>
      </c>
      <c r="B647" s="26" t="s">
        <v>19</v>
      </c>
      <c r="C647" s="25" t="str">
        <f t="shared" si="10"/>
        <v>timstof</v>
      </c>
      <c r="D647" s="25" t="s">
        <v>1764</v>
      </c>
      <c r="E647" s="25" t="s">
        <v>1765</v>
      </c>
      <c r="F647" s="25" t="s">
        <v>1766</v>
      </c>
      <c r="G647" s="25">
        <v>500</v>
      </c>
      <c r="H647" s="25"/>
    </row>
    <row r="648" spans="1:8" ht="14">
      <c r="A648" s="25" t="s">
        <v>1767</v>
      </c>
      <c r="B648" s="26" t="s">
        <v>124</v>
      </c>
      <c r="C648" s="25" t="str">
        <f t="shared" si="10"/>
        <v>120000res</v>
      </c>
      <c r="D648" s="27" t="s">
        <v>13</v>
      </c>
      <c r="E648" s="25">
        <v>120000</v>
      </c>
      <c r="F648" s="25" t="s">
        <v>1768</v>
      </c>
      <c r="G648" s="25">
        <v>500</v>
      </c>
      <c r="H648" s="25"/>
    </row>
    <row r="649" spans="1:8" ht="14">
      <c r="A649" s="25" t="s">
        <v>1769</v>
      </c>
      <c r="B649" s="26" t="s">
        <v>124</v>
      </c>
      <c r="C649" s="25" t="str">
        <f t="shared" si="10"/>
        <v>15000res</v>
      </c>
      <c r="D649" s="27" t="s">
        <v>13</v>
      </c>
      <c r="E649" s="25">
        <v>15000</v>
      </c>
      <c r="F649" s="25" t="s">
        <v>1768</v>
      </c>
      <c r="G649" s="25">
        <v>500</v>
      </c>
      <c r="H649" s="25"/>
    </row>
    <row r="650" spans="1:8" ht="14">
      <c r="A650" s="25" t="s">
        <v>1770</v>
      </c>
      <c r="B650" s="26" t="s">
        <v>124</v>
      </c>
      <c r="C650" s="25" t="str">
        <f t="shared" si="10"/>
        <v>17500res</v>
      </c>
      <c r="D650" s="27" t="s">
        <v>13</v>
      </c>
      <c r="E650" s="25">
        <v>17500</v>
      </c>
      <c r="F650" s="25" t="s">
        <v>1771</v>
      </c>
      <c r="G650" s="25">
        <v>500</v>
      </c>
      <c r="H650" s="25"/>
    </row>
    <row r="651" spans="1:8" ht="14">
      <c r="A651" s="25" t="s">
        <v>1772</v>
      </c>
      <c r="B651" s="26" t="s">
        <v>124</v>
      </c>
      <c r="C651" s="25" t="str">
        <f t="shared" si="10"/>
        <v>30000res</v>
      </c>
      <c r="D651" s="27" t="s">
        <v>13</v>
      </c>
      <c r="E651" s="25">
        <v>30000</v>
      </c>
      <c r="F651" s="25" t="s">
        <v>1768</v>
      </c>
      <c r="G651" s="25">
        <v>500</v>
      </c>
      <c r="H651" s="25"/>
    </row>
    <row r="652" spans="1:8" ht="14">
      <c r="A652" s="25" t="s">
        <v>1773</v>
      </c>
      <c r="B652" s="26" t="s">
        <v>124</v>
      </c>
      <c r="C652" s="25" t="str">
        <f t="shared" si="10"/>
        <v>35000res</v>
      </c>
      <c r="D652" s="27" t="s">
        <v>13</v>
      </c>
      <c r="E652" s="25">
        <v>35000</v>
      </c>
      <c r="F652" s="25" t="s">
        <v>1771</v>
      </c>
      <c r="G652" s="25">
        <v>500</v>
      </c>
      <c r="H652" s="25"/>
    </row>
    <row r="653" spans="1:8" ht="14">
      <c r="A653" s="25" t="s">
        <v>1774</v>
      </c>
      <c r="B653" s="26" t="s">
        <v>124</v>
      </c>
      <c r="C653" s="25" t="str">
        <f t="shared" si="10"/>
        <v>45000res</v>
      </c>
      <c r="D653" s="27" t="s">
        <v>13</v>
      </c>
      <c r="E653" s="25">
        <v>45000</v>
      </c>
      <c r="F653" s="25" t="s">
        <v>1768</v>
      </c>
      <c r="G653" s="25">
        <v>500</v>
      </c>
      <c r="H653" s="25"/>
    </row>
    <row r="654" spans="1:8" ht="14">
      <c r="A654" s="25" t="s">
        <v>1775</v>
      </c>
      <c r="B654" s="26" t="s">
        <v>124</v>
      </c>
      <c r="C654" s="25" t="str">
        <f t="shared" si="10"/>
        <v>60000res</v>
      </c>
      <c r="D654" s="27" t="s">
        <v>13</v>
      </c>
      <c r="E654" s="25">
        <v>60000</v>
      </c>
      <c r="F654" s="25" t="s">
        <v>1768</v>
      </c>
      <c r="G654" s="25">
        <v>500</v>
      </c>
      <c r="H654" s="25"/>
    </row>
    <row r="655" spans="1:8" ht="14">
      <c r="A655" s="25" t="s">
        <v>1776</v>
      </c>
      <c r="B655" s="26" t="s">
        <v>124</v>
      </c>
      <c r="C655" s="25" t="str">
        <f t="shared" si="10"/>
        <v>7500res</v>
      </c>
      <c r="D655" s="27" t="s">
        <v>13</v>
      </c>
      <c r="E655" s="25">
        <v>7500</v>
      </c>
      <c r="F655" s="25" t="s">
        <v>1768</v>
      </c>
      <c r="G655" s="25">
        <v>500</v>
      </c>
      <c r="H655" s="25"/>
    </row>
    <row r="656" spans="1:8" ht="14">
      <c r="A656" s="25" t="s">
        <v>1777</v>
      </c>
      <c r="B656" s="26" t="s">
        <v>126</v>
      </c>
      <c r="C656" s="25" t="str">
        <f t="shared" si="10"/>
        <v>ab</v>
      </c>
      <c r="D656" s="27" t="s">
        <v>13</v>
      </c>
      <c r="E656" s="25" t="s">
        <v>1779</v>
      </c>
      <c r="F656" s="25" t="s">
        <v>1778</v>
      </c>
      <c r="G656" s="25">
        <v>500</v>
      </c>
      <c r="H656" s="25"/>
    </row>
    <row r="657" spans="1:8" ht="14">
      <c r="A657" s="25" t="s">
        <v>1780</v>
      </c>
      <c r="B657" s="26" t="s">
        <v>126</v>
      </c>
      <c r="C657" s="25" t="str">
        <f t="shared" si="10"/>
        <v>al</v>
      </c>
      <c r="D657" s="27" t="s">
        <v>13</v>
      </c>
      <c r="E657" s="25" t="s">
        <v>1782</v>
      </c>
      <c r="F657" s="25" t="s">
        <v>1781</v>
      </c>
      <c r="G657" s="25">
        <v>500</v>
      </c>
      <c r="H657" s="25"/>
    </row>
    <row r="658" spans="1:8" ht="14">
      <c r="A658" s="25" t="s">
        <v>1783</v>
      </c>
      <c r="B658" s="26" t="s">
        <v>126</v>
      </c>
      <c r="C658" s="25" t="str">
        <f t="shared" si="10"/>
        <v>am</v>
      </c>
      <c r="D658" s="27" t="s">
        <v>13</v>
      </c>
      <c r="E658" s="25" t="s">
        <v>1785</v>
      </c>
      <c r="F658" s="25" t="s">
        <v>1784</v>
      </c>
      <c r="G658" s="25">
        <v>500</v>
      </c>
      <c r="H658" s="25"/>
    </row>
    <row r="659" spans="1:8" ht="14">
      <c r="A659" s="25" t="s">
        <v>1786</v>
      </c>
      <c r="B659" s="26" t="s">
        <v>126</v>
      </c>
      <c r="C659" s="25" t="str">
        <f t="shared" si="10"/>
        <v>an</v>
      </c>
      <c r="D659" s="27" t="s">
        <v>13</v>
      </c>
      <c r="E659" s="25" t="s">
        <v>1788</v>
      </c>
      <c r="F659" s="25" t="s">
        <v>1787</v>
      </c>
      <c r="G659" s="25">
        <v>500</v>
      </c>
      <c r="H659" s="25"/>
    </row>
    <row r="660" spans="1:8" ht="14">
      <c r="A660" s="25" t="s">
        <v>1789</v>
      </c>
      <c r="B660" s="26" t="s">
        <v>126</v>
      </c>
      <c r="C660" s="25" t="str">
        <f t="shared" si="10"/>
        <v>bbl</v>
      </c>
      <c r="D660" s="27" t="s">
        <v>13</v>
      </c>
      <c r="E660" s="25" t="s">
        <v>1791</v>
      </c>
      <c r="F660" s="25" t="s">
        <v>1790</v>
      </c>
      <c r="G660" s="25">
        <v>500</v>
      </c>
      <c r="H660" s="25"/>
    </row>
    <row r="661" spans="1:8" ht="14">
      <c r="A661" s="25" t="s">
        <v>1792</v>
      </c>
      <c r="B661" s="26" t="s">
        <v>126</v>
      </c>
      <c r="C661" s="25" t="str">
        <f t="shared" si="10"/>
        <v>bbs</v>
      </c>
      <c r="D661" s="27" t="s">
        <v>13</v>
      </c>
      <c r="E661" s="25" t="s">
        <v>1794</v>
      </c>
      <c r="F661" s="25" t="s">
        <v>1793</v>
      </c>
      <c r="G661" s="25">
        <v>500</v>
      </c>
      <c r="H661" s="25"/>
    </row>
    <row r="662" spans="1:8" ht="14">
      <c r="A662" s="25" t="s">
        <v>1795</v>
      </c>
      <c r="B662" s="26" t="s">
        <v>126</v>
      </c>
      <c r="C662" s="25" t="str">
        <f t="shared" si="10"/>
        <v>bfa</v>
      </c>
      <c r="D662" s="27" t="s">
        <v>13</v>
      </c>
      <c r="E662" s="25" t="s">
        <v>1797</v>
      </c>
      <c r="F662" s="25" t="s">
        <v>1796</v>
      </c>
      <c r="G662" s="25">
        <v>500</v>
      </c>
      <c r="H662" s="25"/>
    </row>
    <row r="663" spans="1:8" ht="14">
      <c r="A663" s="25" t="s">
        <v>1798</v>
      </c>
      <c r="B663" s="26" t="s">
        <v>126</v>
      </c>
      <c r="C663" s="25" t="str">
        <f t="shared" si="10"/>
        <v>bfp_ca</v>
      </c>
      <c r="D663" s="27" t="s">
        <v>13</v>
      </c>
      <c r="E663" s="25" t="s">
        <v>1800</v>
      </c>
      <c r="F663" s="25" t="s">
        <v>1799</v>
      </c>
      <c r="G663" s="25">
        <v>500</v>
      </c>
      <c r="H663" s="25"/>
    </row>
    <row r="664" spans="1:8" ht="14">
      <c r="A664" s="25" t="s">
        <v>1801</v>
      </c>
      <c r="B664" s="26" t="s">
        <v>126</v>
      </c>
      <c r="C664" s="25" t="str">
        <f t="shared" si="10"/>
        <v>bfp_cr</v>
      </c>
      <c r="D664" s="27" t="s">
        <v>13</v>
      </c>
      <c r="E664" s="25" t="s">
        <v>1803</v>
      </c>
      <c r="F664" s="25" t="s">
        <v>1802</v>
      </c>
      <c r="G664" s="25">
        <v>500</v>
      </c>
      <c r="H664" s="25"/>
    </row>
    <row r="665" spans="1:8" ht="14">
      <c r="A665" s="25" t="s">
        <v>1804</v>
      </c>
      <c r="B665" s="26" t="s">
        <v>126</v>
      </c>
      <c r="C665" s="25" t="str">
        <f t="shared" si="10"/>
        <v>bfp_mi</v>
      </c>
      <c r="D665" s="27" t="s">
        <v>13</v>
      </c>
      <c r="E665" s="25" t="s">
        <v>1806</v>
      </c>
      <c r="F665" s="25" t="s">
        <v>1805</v>
      </c>
      <c r="G665" s="25">
        <v>500</v>
      </c>
      <c r="H665" s="25"/>
    </row>
    <row r="666" spans="1:8" ht="14">
      <c r="A666" s="25" t="s">
        <v>1807</v>
      </c>
      <c r="B666" s="26" t="s">
        <v>126</v>
      </c>
      <c r="C666" s="25" t="str">
        <f t="shared" si="10"/>
        <v>bra</v>
      </c>
      <c r="D666" s="27" t="s">
        <v>13</v>
      </c>
      <c r="E666" s="25" t="s">
        <v>1809</v>
      </c>
      <c r="F666" s="25" t="s">
        <v>1808</v>
      </c>
      <c r="G666" s="25">
        <v>500</v>
      </c>
      <c r="H666" s="25"/>
    </row>
    <row r="667" spans="1:8" ht="14">
      <c r="A667" s="25" t="s">
        <v>1810</v>
      </c>
      <c r="B667" s="26" t="s">
        <v>126</v>
      </c>
      <c r="C667" s="25" t="str">
        <f t="shared" si="10"/>
        <v>cf</v>
      </c>
      <c r="D667" s="27" t="s">
        <v>13</v>
      </c>
      <c r="E667" s="25" t="s">
        <v>1812</v>
      </c>
      <c r="F667" s="25" t="s">
        <v>1811</v>
      </c>
      <c r="G667" s="25">
        <v>500</v>
      </c>
      <c r="H667" s="25"/>
    </row>
    <row r="668" spans="1:8" ht="14">
      <c r="A668" s="25" t="s">
        <v>1813</v>
      </c>
      <c r="B668" s="26" t="s">
        <v>126</v>
      </c>
      <c r="C668" s="25" t="str">
        <f t="shared" si="10"/>
        <v>cor</v>
      </c>
      <c r="D668" s="27" t="s">
        <v>13</v>
      </c>
      <c r="E668" s="25" t="s">
        <v>1815</v>
      </c>
      <c r="F668" s="25" t="s">
        <v>1814</v>
      </c>
      <c r="G668" s="25">
        <v>500</v>
      </c>
      <c r="H668" s="25"/>
    </row>
    <row r="669" spans="1:8" ht="14">
      <c r="A669" s="25" t="s">
        <v>1816</v>
      </c>
      <c r="B669" s="26" t="s">
        <v>126</v>
      </c>
      <c r="C669" s="25" t="str">
        <f t="shared" si="10"/>
        <v>ecrb</v>
      </c>
      <c r="D669" s="27" t="s">
        <v>13</v>
      </c>
      <c r="E669" s="25" t="s">
        <v>1818</v>
      </c>
      <c r="F669" s="25" t="s">
        <v>1817</v>
      </c>
      <c r="G669" s="25">
        <v>500</v>
      </c>
      <c r="H669" s="25"/>
    </row>
    <row r="670" spans="1:8" ht="14">
      <c r="A670" s="25" t="s">
        <v>1819</v>
      </c>
      <c r="B670" s="26" t="s">
        <v>126</v>
      </c>
      <c r="C670" s="25" t="str">
        <f t="shared" si="10"/>
        <v>ecrl</v>
      </c>
      <c r="D670" s="27" t="s">
        <v>13</v>
      </c>
      <c r="E670" s="25" t="s">
        <v>1821</v>
      </c>
      <c r="F670" s="25" t="s">
        <v>1820</v>
      </c>
      <c r="G670" s="25">
        <v>500</v>
      </c>
      <c r="H670" s="25"/>
    </row>
    <row r="671" spans="1:8" ht="14">
      <c r="A671" s="25" t="s">
        <v>1822</v>
      </c>
      <c r="B671" s="26" t="s">
        <v>126</v>
      </c>
      <c r="C671" s="25" t="str">
        <f t="shared" si="10"/>
        <v>ecu</v>
      </c>
      <c r="D671" s="27" t="s">
        <v>13</v>
      </c>
      <c r="E671" s="25" t="s">
        <v>1824</v>
      </c>
      <c r="F671" s="25" t="s">
        <v>1823</v>
      </c>
      <c r="G671" s="25">
        <v>500</v>
      </c>
      <c r="H671" s="25"/>
    </row>
    <row r="672" spans="1:8" ht="14">
      <c r="A672" s="25" t="s">
        <v>1825</v>
      </c>
      <c r="B672" s="26" t="s">
        <v>126</v>
      </c>
      <c r="C672" s="25" t="str">
        <f t="shared" si="10"/>
        <v>edl</v>
      </c>
      <c r="D672" s="27" t="s">
        <v>13</v>
      </c>
      <c r="E672" s="25" t="s">
        <v>1827</v>
      </c>
      <c r="F672" s="25" t="s">
        <v>1826</v>
      </c>
      <c r="G672" s="25">
        <v>500</v>
      </c>
      <c r="H672" s="25"/>
    </row>
    <row r="673" spans="1:8" ht="14">
      <c r="A673" s="25" t="s">
        <v>1828</v>
      </c>
      <c r="B673" s="26" t="s">
        <v>126</v>
      </c>
      <c r="C673" s="25" t="str">
        <f t="shared" si="10"/>
        <v>ehl</v>
      </c>
      <c r="D673" s="27" t="s">
        <v>13</v>
      </c>
      <c r="E673" s="25" t="s">
        <v>1830</v>
      </c>
      <c r="F673" s="25" t="s">
        <v>1829</v>
      </c>
      <c r="G673" s="25">
        <v>500</v>
      </c>
      <c r="H673" s="25"/>
    </row>
    <row r="674" spans="1:8" ht="14">
      <c r="A674" s="25" t="s">
        <v>1831</v>
      </c>
      <c r="B674" s="26" t="s">
        <v>126</v>
      </c>
      <c r="C674" s="25" t="str">
        <f t="shared" si="10"/>
        <v>eip1</v>
      </c>
      <c r="D674" s="27" t="s">
        <v>13</v>
      </c>
      <c r="E674" s="25" t="s">
        <v>1833</v>
      </c>
      <c r="F674" s="25" t="s">
        <v>1832</v>
      </c>
      <c r="G674" s="25">
        <v>500</v>
      </c>
      <c r="H674" s="25"/>
    </row>
    <row r="675" spans="1:8" ht="14">
      <c r="A675" s="25" t="s">
        <v>1834</v>
      </c>
      <c r="B675" s="26" t="s">
        <v>126</v>
      </c>
      <c r="C675" s="25" t="str">
        <f t="shared" si="10"/>
        <v>eip2</v>
      </c>
      <c r="D675" s="27" t="s">
        <v>13</v>
      </c>
      <c r="E675" s="25" t="s">
        <v>1836</v>
      </c>
      <c r="F675" s="25" t="s">
        <v>1835</v>
      </c>
      <c r="G675" s="25">
        <v>500</v>
      </c>
      <c r="H675" s="25"/>
    </row>
    <row r="676" spans="1:8" ht="14">
      <c r="A676" s="25" t="s">
        <v>1837</v>
      </c>
      <c r="B676" s="26" t="s">
        <v>126</v>
      </c>
      <c r="C676" s="25" t="str">
        <f t="shared" si="10"/>
        <v>fcr</v>
      </c>
      <c r="D676" s="27" t="s">
        <v>13</v>
      </c>
      <c r="E676" s="25" t="s">
        <v>1839</v>
      </c>
      <c r="F676" s="25" t="s">
        <v>1838</v>
      </c>
      <c r="G676" s="25">
        <v>500</v>
      </c>
      <c r="H676" s="25"/>
    </row>
    <row r="677" spans="1:8" ht="14">
      <c r="A677" s="25" t="s">
        <v>1840</v>
      </c>
      <c r="B677" s="26" t="s">
        <v>126</v>
      </c>
      <c r="C677" s="25" t="str">
        <f t="shared" si="10"/>
        <v>fcu</v>
      </c>
      <c r="D677" s="27" t="s">
        <v>13</v>
      </c>
      <c r="E677" s="25" t="s">
        <v>1842</v>
      </c>
      <c r="F677" s="25" t="s">
        <v>1841</v>
      </c>
      <c r="G677" s="25">
        <v>500</v>
      </c>
      <c r="H677" s="25"/>
    </row>
    <row r="678" spans="1:8" ht="14">
      <c r="A678" s="25" t="s">
        <v>1843</v>
      </c>
      <c r="B678" s="26" t="s">
        <v>126</v>
      </c>
      <c r="C678" s="25" t="str">
        <f t="shared" si="10"/>
        <v>fdl</v>
      </c>
      <c r="D678" s="27" t="s">
        <v>13</v>
      </c>
      <c r="E678" s="25" t="s">
        <v>1845</v>
      </c>
      <c r="F678" s="25" t="s">
        <v>1844</v>
      </c>
      <c r="G678" s="25">
        <v>500</v>
      </c>
      <c r="H678" s="25"/>
    </row>
    <row r="679" spans="1:8" ht="14">
      <c r="A679" s="25" t="s">
        <v>1846</v>
      </c>
      <c r="B679" s="26" t="s">
        <v>126</v>
      </c>
      <c r="C679" s="25" t="str">
        <f t="shared" si="10"/>
        <v>ga</v>
      </c>
      <c r="D679" s="27" t="s">
        <v>13</v>
      </c>
      <c r="E679" s="25" t="s">
        <v>1848</v>
      </c>
      <c r="F679" s="25" t="s">
        <v>1847</v>
      </c>
      <c r="G679" s="25">
        <v>500</v>
      </c>
      <c r="H679" s="25"/>
    </row>
    <row r="680" spans="1:8" ht="14">
      <c r="A680" s="25" t="s">
        <v>1849</v>
      </c>
      <c r="B680" s="26" t="s">
        <v>126</v>
      </c>
      <c r="C680" s="25" t="str">
        <f t="shared" si="10"/>
        <v>gem</v>
      </c>
      <c r="D680" s="27" t="s">
        <v>13</v>
      </c>
      <c r="E680" s="25" t="s">
        <v>1851</v>
      </c>
      <c r="F680" s="25" t="s">
        <v>1850</v>
      </c>
      <c r="G680" s="25">
        <v>500</v>
      </c>
      <c r="H680" s="25"/>
    </row>
    <row r="681" spans="1:8" ht="14">
      <c r="A681" s="25" t="s">
        <v>1852</v>
      </c>
      <c r="B681" s="26" t="s">
        <v>126</v>
      </c>
      <c r="C681" s="25" t="str">
        <f t="shared" si="10"/>
        <v>gm</v>
      </c>
      <c r="D681" s="27" t="s">
        <v>13</v>
      </c>
      <c r="E681" s="25" t="s">
        <v>1854</v>
      </c>
      <c r="F681" s="25" t="s">
        <v>1853</v>
      </c>
      <c r="G681" s="25">
        <v>500</v>
      </c>
      <c r="H681" s="25"/>
    </row>
    <row r="682" spans="1:8" ht="14">
      <c r="A682" s="25" t="s">
        <v>1855</v>
      </c>
      <c r="B682" s="26" t="s">
        <v>126</v>
      </c>
      <c r="C682" s="25" t="str">
        <f t="shared" si="10"/>
        <v>gm_dr</v>
      </c>
      <c r="D682" s="27" t="s">
        <v>13</v>
      </c>
      <c r="E682" s="25" t="s">
        <v>1857</v>
      </c>
      <c r="F682" s="25" t="s">
        <v>1856</v>
      </c>
      <c r="G682" s="25">
        <v>500</v>
      </c>
      <c r="H682" s="25"/>
    </row>
    <row r="683" spans="1:8" ht="14">
      <c r="A683" s="25" t="s">
        <v>1858</v>
      </c>
      <c r="B683" s="26" t="s">
        <v>126</v>
      </c>
      <c r="C683" s="25" t="str">
        <f t="shared" si="10"/>
        <v>gm_mi</v>
      </c>
      <c r="D683" s="27" t="s">
        <v>13</v>
      </c>
      <c r="E683" s="25" t="s">
        <v>1860</v>
      </c>
      <c r="F683" s="25" t="s">
        <v>1859</v>
      </c>
      <c r="G683" s="25">
        <v>500</v>
      </c>
      <c r="H683" s="25"/>
    </row>
    <row r="684" spans="1:8" ht="14">
      <c r="A684" s="25" t="s">
        <v>1861</v>
      </c>
      <c r="B684" s="26" t="s">
        <v>126</v>
      </c>
      <c r="C684" s="25" t="str">
        <f t="shared" si="10"/>
        <v>gm_ve</v>
      </c>
      <c r="D684" s="27" t="s">
        <v>13</v>
      </c>
      <c r="E684" s="25" t="s">
        <v>1863</v>
      </c>
      <c r="F684" s="25" t="s">
        <v>1862</v>
      </c>
      <c r="G684" s="25">
        <v>500</v>
      </c>
      <c r="H684" s="25"/>
    </row>
    <row r="685" spans="1:8" ht="14">
      <c r="A685" s="25" t="s">
        <v>1864</v>
      </c>
      <c r="B685" s="26" t="s">
        <v>126</v>
      </c>
      <c r="C685" s="25" t="str">
        <f t="shared" ref="C685:C748" si="11">A685</f>
        <v>gp</v>
      </c>
      <c r="D685" s="27" t="s">
        <v>13</v>
      </c>
      <c r="E685" s="25" t="s">
        <v>1866</v>
      </c>
      <c r="F685" s="25" t="s">
        <v>1865</v>
      </c>
      <c r="G685" s="25">
        <v>500</v>
      </c>
      <c r="H685" s="25"/>
    </row>
    <row r="686" spans="1:8" ht="14">
      <c r="A686" s="25" t="s">
        <v>1867</v>
      </c>
      <c r="B686" s="26" t="s">
        <v>126</v>
      </c>
      <c r="C686" s="25" t="str">
        <f t="shared" si="11"/>
        <v>ili</v>
      </c>
      <c r="D686" s="27" t="s">
        <v>13</v>
      </c>
      <c r="E686" s="25" t="s">
        <v>1869</v>
      </c>
      <c r="F686" s="25" t="s">
        <v>1868</v>
      </c>
      <c r="G686" s="25">
        <v>500</v>
      </c>
      <c r="H686" s="25"/>
    </row>
    <row r="687" spans="1:8" ht="14">
      <c r="A687" s="25" t="s">
        <v>1870</v>
      </c>
      <c r="B687" s="26" t="s">
        <v>126</v>
      </c>
      <c r="C687" s="25" t="str">
        <f t="shared" si="11"/>
        <v>lg</v>
      </c>
      <c r="D687" s="27" t="s">
        <v>13</v>
      </c>
      <c r="E687" s="25" t="s">
        <v>1872</v>
      </c>
      <c r="F687" s="25" t="s">
        <v>1871</v>
      </c>
      <c r="G687" s="25">
        <v>500</v>
      </c>
      <c r="H687" s="25"/>
    </row>
    <row r="688" spans="1:8" ht="14">
      <c r="A688" s="25" t="s">
        <v>1873</v>
      </c>
      <c r="B688" s="26" t="s">
        <v>126</v>
      </c>
      <c r="C688" s="25" t="str">
        <f t="shared" si="11"/>
        <v>mg</v>
      </c>
      <c r="D688" s="27" t="s">
        <v>13</v>
      </c>
      <c r="E688" s="25" t="s">
        <v>1875</v>
      </c>
      <c r="F688" s="25" t="s">
        <v>1874</v>
      </c>
      <c r="G688" s="25">
        <v>500</v>
      </c>
      <c r="H688" s="25"/>
    </row>
    <row r="689" spans="1:8" ht="14">
      <c r="A689" s="25" t="s">
        <v>1876</v>
      </c>
      <c r="B689" s="26" t="s">
        <v>126</v>
      </c>
      <c r="C689" s="25" t="str">
        <f t="shared" si="11"/>
        <v>oe</v>
      </c>
      <c r="D689" s="27" t="s">
        <v>13</v>
      </c>
      <c r="E689" s="25" t="s">
        <v>1878</v>
      </c>
      <c r="F689" s="25" t="s">
        <v>1877</v>
      </c>
      <c r="G689" s="25">
        <v>500</v>
      </c>
      <c r="H689" s="25"/>
    </row>
    <row r="690" spans="1:8" ht="14">
      <c r="A690" s="25" t="s">
        <v>1879</v>
      </c>
      <c r="B690" s="26" t="s">
        <v>126</v>
      </c>
      <c r="C690" s="25" t="str">
        <f t="shared" si="11"/>
        <v>oi</v>
      </c>
      <c r="D690" s="27" t="s">
        <v>13</v>
      </c>
      <c r="E690" s="25" t="s">
        <v>1881</v>
      </c>
      <c r="F690" s="25" t="s">
        <v>1880</v>
      </c>
      <c r="G690" s="25">
        <v>500</v>
      </c>
      <c r="H690" s="25"/>
    </row>
    <row r="691" spans="1:8" ht="14">
      <c r="A691" s="25" t="s">
        <v>1882</v>
      </c>
      <c r="B691" s="26" t="s">
        <v>126</v>
      </c>
      <c r="C691" s="25" t="str">
        <f t="shared" si="11"/>
        <v>pb</v>
      </c>
      <c r="D691" s="27" t="s">
        <v>13</v>
      </c>
      <c r="E691" s="25" t="s">
        <v>1884</v>
      </c>
      <c r="F691" s="25" t="s">
        <v>1883</v>
      </c>
      <c r="G691" s="25">
        <v>500</v>
      </c>
      <c r="H691" s="25"/>
    </row>
    <row r="692" spans="1:8" ht="14">
      <c r="A692" s="25" t="s">
        <v>1885</v>
      </c>
      <c r="B692" s="26" t="s">
        <v>126</v>
      </c>
      <c r="C692" s="25" t="str">
        <f t="shared" si="11"/>
        <v>pdqa</v>
      </c>
      <c r="D692" s="27" t="s">
        <v>13</v>
      </c>
      <c r="E692" s="25" t="s">
        <v>1887</v>
      </c>
      <c r="F692" s="25" t="s">
        <v>1886</v>
      </c>
      <c r="G692" s="25">
        <v>500</v>
      </c>
      <c r="H692" s="25"/>
    </row>
    <row r="693" spans="1:8" ht="14">
      <c r="A693" s="25" t="s">
        <v>1888</v>
      </c>
      <c r="B693" s="26" t="s">
        <v>126</v>
      </c>
      <c r="C693" s="25" t="str">
        <f t="shared" si="11"/>
        <v>pdqi</v>
      </c>
      <c r="D693" s="27" t="s">
        <v>13</v>
      </c>
      <c r="E693" s="25" t="s">
        <v>1890</v>
      </c>
      <c r="F693" s="25" t="s">
        <v>1889</v>
      </c>
      <c r="G693" s="25">
        <v>500</v>
      </c>
      <c r="H693" s="25"/>
    </row>
    <row r="694" spans="1:8" ht="14">
      <c r="A694" s="25" t="s">
        <v>1891</v>
      </c>
      <c r="B694" s="26" t="s">
        <v>126</v>
      </c>
      <c r="C694" s="25" t="str">
        <f t="shared" si="11"/>
        <v>pect</v>
      </c>
      <c r="D694" s="27" t="s">
        <v>13</v>
      </c>
      <c r="E694" s="25" t="s">
        <v>1893</v>
      </c>
      <c r="F694" s="25" t="s">
        <v>1892</v>
      </c>
      <c r="G694" s="25">
        <v>500</v>
      </c>
      <c r="H694" s="25"/>
    </row>
    <row r="695" spans="1:8" ht="14">
      <c r="A695" s="25" t="s">
        <v>1894</v>
      </c>
      <c r="B695" s="26" t="s">
        <v>126</v>
      </c>
      <c r="C695" s="25" t="str">
        <f t="shared" si="11"/>
        <v>pl</v>
      </c>
      <c r="D695" s="27" t="s">
        <v>13</v>
      </c>
      <c r="E695" s="25" t="s">
        <v>1896</v>
      </c>
      <c r="F695" s="25" t="s">
        <v>1895</v>
      </c>
      <c r="G695" s="25">
        <v>500</v>
      </c>
      <c r="H695" s="25"/>
    </row>
    <row r="696" spans="1:8" ht="14">
      <c r="A696" s="25" t="s">
        <v>1897</v>
      </c>
      <c r="B696" s="26" t="s">
        <v>126</v>
      </c>
      <c r="C696" s="25" t="str">
        <f t="shared" si="11"/>
        <v>plant</v>
      </c>
      <c r="D696" s="27" t="s">
        <v>13</v>
      </c>
      <c r="E696" s="25" t="s">
        <v>1899</v>
      </c>
      <c r="F696" s="25" t="s">
        <v>1898</v>
      </c>
      <c r="G696" s="25">
        <v>500</v>
      </c>
      <c r="H696" s="25"/>
    </row>
    <row r="697" spans="1:8" ht="14">
      <c r="A697" s="25" t="s">
        <v>1900</v>
      </c>
      <c r="B697" s="26" t="s">
        <v>126</v>
      </c>
      <c r="C697" s="25" t="str">
        <f t="shared" si="11"/>
        <v>plo</v>
      </c>
      <c r="D697" s="27" t="s">
        <v>13</v>
      </c>
      <c r="E697" s="25" t="s">
        <v>1902</v>
      </c>
      <c r="F697" s="25" t="s">
        <v>1901</v>
      </c>
      <c r="G697" s="25">
        <v>500</v>
      </c>
      <c r="H697" s="25"/>
    </row>
    <row r="698" spans="1:8" ht="14">
      <c r="A698" s="25" t="s">
        <v>1903</v>
      </c>
      <c r="B698" s="26" t="s">
        <v>126</v>
      </c>
      <c r="C698" s="25" t="str">
        <f t="shared" si="11"/>
        <v>pma</v>
      </c>
      <c r="D698" s="27" t="s">
        <v>13</v>
      </c>
      <c r="E698" s="25" t="s">
        <v>1905</v>
      </c>
      <c r="F698" s="25" t="s">
        <v>1904</v>
      </c>
      <c r="G698" s="25">
        <v>500</v>
      </c>
      <c r="H698" s="25"/>
    </row>
    <row r="699" spans="1:8" ht="14">
      <c r="A699" s="25" t="s">
        <v>1906</v>
      </c>
      <c r="B699" s="26" t="s">
        <v>126</v>
      </c>
      <c r="C699" s="25" t="str">
        <f t="shared" si="11"/>
        <v>pmi</v>
      </c>
      <c r="D699" s="27" t="s">
        <v>13</v>
      </c>
      <c r="E699" s="25" t="s">
        <v>1908</v>
      </c>
      <c r="F699" s="25" t="s">
        <v>1907</v>
      </c>
      <c r="G699" s="25">
        <v>500</v>
      </c>
      <c r="H699" s="25"/>
    </row>
    <row r="700" spans="1:8" ht="14">
      <c r="A700" s="25" t="s">
        <v>1909</v>
      </c>
      <c r="B700" s="26" t="s">
        <v>126</v>
      </c>
      <c r="C700" s="25" t="str">
        <f t="shared" si="11"/>
        <v>pop</v>
      </c>
      <c r="D700" s="27" t="s">
        <v>13</v>
      </c>
      <c r="E700" s="25" t="s">
        <v>1911</v>
      </c>
      <c r="F700" s="25" t="s">
        <v>1910</v>
      </c>
      <c r="G700" s="25">
        <v>500</v>
      </c>
      <c r="H700" s="25"/>
    </row>
    <row r="701" spans="1:8" ht="14">
      <c r="A701" s="25" t="s">
        <v>1912</v>
      </c>
      <c r="B701" s="26" t="s">
        <v>126</v>
      </c>
      <c r="C701" s="25" t="str">
        <f t="shared" si="11"/>
        <v>pt</v>
      </c>
      <c r="D701" s="27" t="s">
        <v>13</v>
      </c>
      <c r="E701" s="25" t="s">
        <v>1914</v>
      </c>
      <c r="F701" s="25" t="s">
        <v>1913</v>
      </c>
      <c r="G701" s="25">
        <v>500</v>
      </c>
      <c r="H701" s="25"/>
    </row>
    <row r="702" spans="1:8" ht="14">
      <c r="A702" s="25" t="s">
        <v>1915</v>
      </c>
      <c r="B702" s="26" t="s">
        <v>126</v>
      </c>
      <c r="C702" s="25" t="str">
        <f t="shared" si="11"/>
        <v>pte</v>
      </c>
      <c r="D702" s="27" t="s">
        <v>13</v>
      </c>
      <c r="E702" s="25" t="s">
        <v>1917</v>
      </c>
      <c r="F702" s="25" t="s">
        <v>1916</v>
      </c>
      <c r="G702" s="25">
        <v>500</v>
      </c>
      <c r="H702" s="25"/>
    </row>
    <row r="703" spans="1:8" ht="14">
      <c r="A703" s="25" t="s">
        <v>1918</v>
      </c>
      <c r="B703" s="26" t="s">
        <v>126</v>
      </c>
      <c r="C703" s="25" t="str">
        <f t="shared" si="11"/>
        <v>qf</v>
      </c>
      <c r="D703" s="27" t="s">
        <v>13</v>
      </c>
      <c r="E703" s="25" t="s">
        <v>1920</v>
      </c>
      <c r="F703" s="25" t="s">
        <v>1919</v>
      </c>
      <c r="G703" s="25">
        <v>500</v>
      </c>
      <c r="H703" s="25"/>
    </row>
    <row r="704" spans="1:8" ht="14">
      <c r="A704" s="25" t="s">
        <v>1921</v>
      </c>
      <c r="B704" s="26" t="s">
        <v>126</v>
      </c>
      <c r="C704" s="25" t="str">
        <f t="shared" si="11"/>
        <v>rf</v>
      </c>
      <c r="D704" s="27" t="s">
        <v>13</v>
      </c>
      <c r="E704" s="25" t="s">
        <v>1923</v>
      </c>
      <c r="F704" s="25" t="s">
        <v>1922</v>
      </c>
      <c r="G704" s="25">
        <v>500</v>
      </c>
      <c r="H704" s="25"/>
    </row>
    <row r="705" spans="1:8" ht="14">
      <c r="A705" s="25" t="s">
        <v>1924</v>
      </c>
      <c r="B705" s="26" t="s">
        <v>126</v>
      </c>
      <c r="C705" s="25" t="str">
        <f t="shared" si="11"/>
        <v>sm</v>
      </c>
      <c r="D705" s="27" t="s">
        <v>13</v>
      </c>
      <c r="E705" s="25" t="s">
        <v>1926</v>
      </c>
      <c r="F705" s="25" t="s">
        <v>1925</v>
      </c>
      <c r="G705" s="25">
        <v>500</v>
      </c>
      <c r="H705" s="25"/>
    </row>
    <row r="706" spans="1:8" ht="14">
      <c r="A706" s="25" t="s">
        <v>1927</v>
      </c>
      <c r="B706" s="26" t="s">
        <v>126</v>
      </c>
      <c r="C706" s="25" t="str">
        <f t="shared" si="11"/>
        <v>sol</v>
      </c>
      <c r="D706" s="27" t="s">
        <v>13</v>
      </c>
      <c r="E706" s="25" t="s">
        <v>1929</v>
      </c>
      <c r="F706" s="25" t="s">
        <v>1928</v>
      </c>
      <c r="G706" s="25">
        <v>500</v>
      </c>
      <c r="H706" s="25"/>
    </row>
    <row r="707" spans="1:8" ht="14">
      <c r="A707" s="25" t="s">
        <v>1930</v>
      </c>
      <c r="B707" s="26" t="s">
        <v>126</v>
      </c>
      <c r="C707" s="25" t="str">
        <f t="shared" si="11"/>
        <v>st</v>
      </c>
      <c r="D707" s="27" t="s">
        <v>13</v>
      </c>
      <c r="E707" s="25" t="s">
        <v>1932</v>
      </c>
      <c r="F707" s="25" t="s">
        <v>1931</v>
      </c>
      <c r="G707" s="25">
        <v>500</v>
      </c>
      <c r="H707" s="25"/>
    </row>
    <row r="708" spans="1:8" ht="14">
      <c r="A708" s="25" t="s">
        <v>1933</v>
      </c>
      <c r="B708" s="26" t="s">
        <v>126</v>
      </c>
      <c r="C708" s="25" t="str">
        <f t="shared" si="11"/>
        <v>ta</v>
      </c>
      <c r="D708" s="27" t="s">
        <v>13</v>
      </c>
      <c r="E708" s="25" t="s">
        <v>1935</v>
      </c>
      <c r="F708" s="25" t="s">
        <v>1934</v>
      </c>
      <c r="G708" s="25">
        <v>500</v>
      </c>
      <c r="H708" s="25"/>
    </row>
    <row r="709" spans="1:8" ht="14">
      <c r="A709" s="25" t="s">
        <v>1936</v>
      </c>
      <c r="B709" s="26" t="s">
        <v>126</v>
      </c>
      <c r="C709" s="25" t="str">
        <f t="shared" si="11"/>
        <v>tbl</v>
      </c>
      <c r="D709" s="27" t="s">
        <v>13</v>
      </c>
      <c r="E709" s="25" t="s">
        <v>1938</v>
      </c>
      <c r="F709" s="25" t="s">
        <v>1937</v>
      </c>
      <c r="G709" s="25">
        <v>500</v>
      </c>
      <c r="H709" s="25"/>
    </row>
    <row r="710" spans="1:8" ht="14">
      <c r="A710" s="25" t="s">
        <v>1939</v>
      </c>
      <c r="B710" s="26" t="s">
        <v>126</v>
      </c>
      <c r="C710" s="25" t="str">
        <f t="shared" si="11"/>
        <v>tbm</v>
      </c>
      <c r="D710" s="27" t="s">
        <v>13</v>
      </c>
      <c r="E710" s="25" t="s">
        <v>1941</v>
      </c>
      <c r="F710" s="25" t="s">
        <v>1940</v>
      </c>
      <c r="G710" s="25">
        <v>500</v>
      </c>
      <c r="H710" s="25"/>
    </row>
    <row r="711" spans="1:8" ht="14">
      <c r="A711" s="25" t="s">
        <v>1942</v>
      </c>
      <c r="B711" s="26" t="s">
        <v>126</v>
      </c>
      <c r="C711" s="25" t="str">
        <f t="shared" si="11"/>
        <v>tbo</v>
      </c>
      <c r="D711" s="27" t="s">
        <v>13</v>
      </c>
      <c r="E711" s="25" t="s">
        <v>1944</v>
      </c>
      <c r="F711" s="25" t="s">
        <v>1943</v>
      </c>
      <c r="G711" s="25">
        <v>500</v>
      </c>
      <c r="H711" s="25"/>
    </row>
    <row r="712" spans="1:8" ht="14">
      <c r="A712" s="25" t="s">
        <v>1945</v>
      </c>
      <c r="B712" s="26" t="s">
        <v>126</v>
      </c>
      <c r="C712" s="25" t="str">
        <f t="shared" si="11"/>
        <v>tp</v>
      </c>
      <c r="D712" s="27" t="s">
        <v>13</v>
      </c>
      <c r="E712" s="25" t="s">
        <v>1947</v>
      </c>
      <c r="F712" s="25" t="s">
        <v>1946</v>
      </c>
      <c r="G712" s="25">
        <v>500</v>
      </c>
      <c r="H712" s="25"/>
    </row>
    <row r="713" spans="1:8" ht="14">
      <c r="A713" s="25" t="s">
        <v>1948</v>
      </c>
      <c r="B713" s="26" t="s">
        <v>126</v>
      </c>
      <c r="C713" s="25" t="str">
        <f t="shared" si="11"/>
        <v>vi</v>
      </c>
      <c r="D713" s="27" t="s">
        <v>13</v>
      </c>
      <c r="E713" s="25" t="s">
        <v>1950</v>
      </c>
      <c r="F713" s="25" t="s">
        <v>1949</v>
      </c>
      <c r="G713" s="25">
        <v>500</v>
      </c>
      <c r="H713" s="25"/>
    </row>
    <row r="714" spans="1:8" ht="14">
      <c r="A714" s="25" t="s">
        <v>1951</v>
      </c>
      <c r="B714" s="26" t="s">
        <v>126</v>
      </c>
      <c r="C714" s="25" t="str">
        <f t="shared" si="11"/>
        <v>vl</v>
      </c>
      <c r="D714" s="27" t="s">
        <v>13</v>
      </c>
      <c r="E714" s="25" t="s">
        <v>1953</v>
      </c>
      <c r="F714" s="25" t="s">
        <v>1952</v>
      </c>
      <c r="G714" s="25">
        <v>500</v>
      </c>
      <c r="H714" s="25"/>
    </row>
    <row r="715" spans="1:8" ht="14">
      <c r="A715" s="25" t="s">
        <v>1954</v>
      </c>
      <c r="B715" s="26" t="s">
        <v>126</v>
      </c>
      <c r="C715" s="25" t="str">
        <f t="shared" si="11"/>
        <v>vm</v>
      </c>
      <c r="D715" s="27" t="s">
        <v>13</v>
      </c>
      <c r="E715" s="25" t="s">
        <v>1956</v>
      </c>
      <c r="F715" s="25" t="s">
        <v>1955</v>
      </c>
      <c r="G715" s="25">
        <v>500</v>
      </c>
      <c r="H715" s="25"/>
    </row>
    <row r="716" spans="1:8" ht="14">
      <c r="A716" s="25" t="s">
        <v>2678</v>
      </c>
      <c r="B716" s="26" t="s">
        <v>126</v>
      </c>
      <c r="C716" s="25" t="str">
        <f t="shared" si="11"/>
        <v>quad</v>
      </c>
      <c r="D716" s="27" t="s">
        <v>13</v>
      </c>
      <c r="E716" s="25" t="s">
        <v>2680</v>
      </c>
      <c r="F716" s="25" t="s">
        <v>2679</v>
      </c>
      <c r="G716" s="25">
        <v>500</v>
      </c>
      <c r="H716" s="25"/>
    </row>
    <row r="717" spans="1:8" ht="14">
      <c r="A717" s="25" t="s">
        <v>1957</v>
      </c>
      <c r="B717" s="26" t="s">
        <v>129</v>
      </c>
      <c r="C717" s="25" t="str">
        <f t="shared" si="11"/>
        <v>zirconium</v>
      </c>
      <c r="D717" s="27" t="s">
        <v>13</v>
      </c>
      <c r="E717" s="25" t="s">
        <v>1958</v>
      </c>
      <c r="F717" s="25" t="s">
        <v>1959</v>
      </c>
      <c r="G717" s="25">
        <v>500</v>
      </c>
      <c r="H717" s="25"/>
    </row>
    <row r="718" spans="1:8" ht="14">
      <c r="A718" s="25" t="s">
        <v>1960</v>
      </c>
      <c r="B718" s="26" t="s">
        <v>130</v>
      </c>
      <c r="C718" s="25" t="str">
        <f t="shared" si="11"/>
        <v>bgpage</v>
      </c>
      <c r="D718" s="27" t="s">
        <v>13</v>
      </c>
      <c r="E718" s="25" t="s">
        <v>1961</v>
      </c>
      <c r="F718" s="25" t="s">
        <v>1962</v>
      </c>
      <c r="G718" s="25">
        <v>500</v>
      </c>
      <c r="H718" s="25"/>
    </row>
    <row r="719" spans="1:8" ht="14">
      <c r="A719" s="25" t="s">
        <v>1963</v>
      </c>
      <c r="B719" s="26" t="s">
        <v>130</v>
      </c>
      <c r="C719" s="25" t="str">
        <f t="shared" si="11"/>
        <v>highph_hplc</v>
      </c>
      <c r="D719" s="27" t="s">
        <v>13</v>
      </c>
      <c r="E719" s="25" t="s">
        <v>1964</v>
      </c>
      <c r="F719" s="25" t="s">
        <v>1965</v>
      </c>
      <c r="G719" s="25">
        <v>500</v>
      </c>
      <c r="H719" s="25"/>
    </row>
    <row r="720" spans="1:8" ht="14">
      <c r="A720" s="25" t="s">
        <v>1966</v>
      </c>
      <c r="B720" s="26" t="s">
        <v>130</v>
      </c>
      <c r="C720" s="25" t="str">
        <f t="shared" si="11"/>
        <v>highph_tip</v>
      </c>
      <c r="D720" s="27" t="s">
        <v>13</v>
      </c>
      <c r="E720" s="25" t="s">
        <v>1967</v>
      </c>
      <c r="F720" s="25" t="s">
        <v>1968</v>
      </c>
      <c r="G720" s="25">
        <v>500</v>
      </c>
      <c r="H720" s="25"/>
    </row>
    <row r="721" spans="1:8" ht="14">
      <c r="A721" s="25" t="s">
        <v>1969</v>
      </c>
      <c r="B721" s="26" t="s">
        <v>130</v>
      </c>
      <c r="C721" s="25" t="str">
        <f t="shared" si="11"/>
        <v>sax</v>
      </c>
      <c r="D721" s="27" t="s">
        <v>13</v>
      </c>
      <c r="E721" s="25" t="s">
        <v>1970</v>
      </c>
      <c r="F721" s="25" t="s">
        <v>1971</v>
      </c>
      <c r="G721" s="25">
        <v>500</v>
      </c>
      <c r="H721" s="25"/>
    </row>
    <row r="722" spans="1:8" ht="14">
      <c r="A722" s="25" t="s">
        <v>1972</v>
      </c>
      <c r="B722" s="26" t="s">
        <v>130</v>
      </c>
      <c r="C722" s="25" t="str">
        <f t="shared" si="11"/>
        <v>scx</v>
      </c>
      <c r="D722" s="27" t="s">
        <v>13</v>
      </c>
      <c r="E722" s="25" t="s">
        <v>1973</v>
      </c>
      <c r="F722" s="25" t="s">
        <v>1974</v>
      </c>
      <c r="G722" s="25">
        <v>500</v>
      </c>
      <c r="H722" s="25"/>
    </row>
    <row r="723" spans="1:8" ht="14">
      <c r="A723" s="25" t="s">
        <v>1975</v>
      </c>
      <c r="B723" s="26" t="s">
        <v>130</v>
      </c>
      <c r="C723" s="25" t="str">
        <f t="shared" si="11"/>
        <v>sdspage</v>
      </c>
      <c r="D723" s="27" t="s">
        <v>13</v>
      </c>
      <c r="E723" s="25" t="s">
        <v>1976</v>
      </c>
      <c r="F723" s="25" t="s">
        <v>1977</v>
      </c>
      <c r="G723" s="25">
        <v>500</v>
      </c>
      <c r="H723" s="25"/>
    </row>
    <row r="724" spans="1:8" ht="14">
      <c r="A724" s="25" t="s">
        <v>1978</v>
      </c>
      <c r="B724" s="26" t="s">
        <v>136</v>
      </c>
      <c r="C724" s="25" t="str">
        <f t="shared" si="11"/>
        <v>proteomics</v>
      </c>
      <c r="D724" s="27" t="s">
        <v>13</v>
      </c>
      <c r="E724" s="25" t="s">
        <v>1979</v>
      </c>
      <c r="F724" s="25" t="s">
        <v>1980</v>
      </c>
      <c r="G724" s="25">
        <v>500</v>
      </c>
      <c r="H724" s="25"/>
    </row>
    <row r="725" spans="1:8" ht="14">
      <c r="A725" s="25" t="s">
        <v>1981</v>
      </c>
      <c r="B725" s="26" t="s">
        <v>127</v>
      </c>
      <c r="C725" s="25" t="str">
        <f t="shared" si="11"/>
        <v>appendix</v>
      </c>
      <c r="D725" s="25" t="s">
        <v>1981</v>
      </c>
      <c r="E725" s="25" t="s">
        <v>1982</v>
      </c>
      <c r="F725" s="25" t="s">
        <v>1982</v>
      </c>
      <c r="G725" s="25">
        <v>500</v>
      </c>
      <c r="H725" s="25"/>
    </row>
    <row r="726" spans="1:8" ht="14">
      <c r="A726" s="25" t="s">
        <v>1983</v>
      </c>
      <c r="B726" s="26" t="s">
        <v>127</v>
      </c>
      <c r="C726" s="25" t="str">
        <f t="shared" si="11"/>
        <v>arteries</v>
      </c>
      <c r="D726" s="25" t="s">
        <v>1983</v>
      </c>
      <c r="E726" s="25" t="s">
        <v>1984</v>
      </c>
      <c r="F726" s="25" t="s">
        <v>1984</v>
      </c>
      <c r="G726" s="25">
        <v>500</v>
      </c>
      <c r="H726" s="25"/>
    </row>
    <row r="727" spans="1:8" ht="14">
      <c r="A727" s="25" t="s">
        <v>1985</v>
      </c>
      <c r="B727" s="26" t="s">
        <v>127</v>
      </c>
      <c r="C727" s="25" t="str">
        <f t="shared" si="11"/>
        <v>bladder</v>
      </c>
      <c r="D727" s="25" t="s">
        <v>1985</v>
      </c>
      <c r="E727" s="25" t="s">
        <v>1986</v>
      </c>
      <c r="F727" s="25" t="s">
        <v>1986</v>
      </c>
      <c r="G727" s="25">
        <v>500</v>
      </c>
      <c r="H727" s="25"/>
    </row>
    <row r="728" spans="1:8" ht="14">
      <c r="A728" s="25" t="s">
        <v>1987</v>
      </c>
      <c r="B728" s="26" t="s">
        <v>127</v>
      </c>
      <c r="C728" s="25" t="str">
        <f t="shared" si="11"/>
        <v>bone_marrow</v>
      </c>
      <c r="D728" s="25" t="s">
        <v>1987</v>
      </c>
      <c r="E728" s="25" t="s">
        <v>1988</v>
      </c>
      <c r="F728" s="25" t="s">
        <v>1988</v>
      </c>
      <c r="G728" s="25">
        <v>500</v>
      </c>
      <c r="H728" s="25"/>
    </row>
    <row r="729" spans="1:8" ht="14">
      <c r="A729" s="25" t="s">
        <v>1989</v>
      </c>
      <c r="B729" s="26" t="s">
        <v>127</v>
      </c>
      <c r="C729" s="25" t="str">
        <f t="shared" si="11"/>
        <v>brain</v>
      </c>
      <c r="D729" s="25" t="s">
        <v>1989</v>
      </c>
      <c r="E729" s="25" t="s">
        <v>1990</v>
      </c>
      <c r="F729" s="25" t="s">
        <v>1990</v>
      </c>
      <c r="G729" s="25">
        <v>500</v>
      </c>
      <c r="H729" s="25"/>
    </row>
    <row r="730" spans="1:8" ht="14">
      <c r="A730" s="25" t="s">
        <v>1991</v>
      </c>
      <c r="B730" s="26" t="s">
        <v>127</v>
      </c>
      <c r="C730" s="25" t="str">
        <f t="shared" si="11"/>
        <v>bronchi</v>
      </c>
      <c r="D730" s="25" t="s">
        <v>1991</v>
      </c>
      <c r="E730" s="25" t="s">
        <v>1992</v>
      </c>
      <c r="F730" s="25" t="s">
        <v>1992</v>
      </c>
      <c r="G730" s="25">
        <v>500</v>
      </c>
      <c r="H730" s="25"/>
    </row>
    <row r="731" spans="1:8" ht="14">
      <c r="A731" s="25" t="s">
        <v>1993</v>
      </c>
      <c r="B731" s="26" t="s">
        <v>127</v>
      </c>
      <c r="C731" s="25" t="str">
        <f t="shared" si="11"/>
        <v>cecum</v>
      </c>
      <c r="D731" s="25" t="s">
        <v>1993</v>
      </c>
      <c r="E731" s="25" t="s">
        <v>1994</v>
      </c>
      <c r="F731" s="25" t="s">
        <v>1994</v>
      </c>
      <c r="G731" s="25">
        <v>500</v>
      </c>
      <c r="H731" s="25"/>
    </row>
    <row r="732" spans="1:8" ht="14">
      <c r="A732" s="25" t="s">
        <v>1995</v>
      </c>
      <c r="B732" s="26" t="s">
        <v>127</v>
      </c>
      <c r="C732" s="25" t="str">
        <f t="shared" si="11"/>
        <v>cerebellum</v>
      </c>
      <c r="D732" s="25" t="s">
        <v>1995</v>
      </c>
      <c r="E732" s="25" t="s">
        <v>1996</v>
      </c>
      <c r="F732" s="25" t="s">
        <v>1996</v>
      </c>
      <c r="G732" s="25">
        <v>500</v>
      </c>
      <c r="H732" s="25"/>
    </row>
    <row r="733" spans="1:8" ht="14">
      <c r="A733" s="25" t="s">
        <v>1997</v>
      </c>
      <c r="B733" s="26" t="s">
        <v>127</v>
      </c>
      <c r="C733" s="25" t="str">
        <f t="shared" si="11"/>
        <v>cerebrum</v>
      </c>
      <c r="D733" s="25" t="s">
        <v>1997</v>
      </c>
      <c r="E733" s="25" t="s">
        <v>1998</v>
      </c>
      <c r="F733" s="25" t="s">
        <v>1998</v>
      </c>
      <c r="G733" s="25">
        <v>500</v>
      </c>
      <c r="H733" s="25"/>
    </row>
    <row r="734" spans="1:8" ht="14">
      <c r="A734" s="25" t="s">
        <v>1999</v>
      </c>
      <c r="B734" s="26" t="s">
        <v>127</v>
      </c>
      <c r="C734" s="25" t="str">
        <f t="shared" si="11"/>
        <v>ear</v>
      </c>
      <c r="D734" s="25" t="s">
        <v>1999</v>
      </c>
      <c r="E734" s="25" t="s">
        <v>2000</v>
      </c>
      <c r="F734" s="25" t="s">
        <v>2000</v>
      </c>
      <c r="G734" s="25">
        <v>500</v>
      </c>
      <c r="H734" s="25"/>
    </row>
    <row r="735" spans="1:8" ht="14">
      <c r="A735" s="25" t="s">
        <v>2001</v>
      </c>
      <c r="B735" s="26" t="s">
        <v>127</v>
      </c>
      <c r="C735" s="25" t="str">
        <f t="shared" si="11"/>
        <v>esophagus</v>
      </c>
      <c r="D735" s="25" t="s">
        <v>2001</v>
      </c>
      <c r="E735" s="25" t="s">
        <v>2002</v>
      </c>
      <c r="F735" s="25" t="s">
        <v>2002</v>
      </c>
      <c r="G735" s="25">
        <v>500</v>
      </c>
      <c r="H735" s="25"/>
    </row>
    <row r="736" spans="1:8" ht="14">
      <c r="A736" s="25" t="s">
        <v>2003</v>
      </c>
      <c r="B736" s="26" t="s">
        <v>127</v>
      </c>
      <c r="C736" s="25" t="str">
        <f t="shared" si="11"/>
        <v>eye</v>
      </c>
      <c r="D736" s="25" t="s">
        <v>2003</v>
      </c>
      <c r="E736" s="25" t="s">
        <v>2004</v>
      </c>
      <c r="F736" s="25" t="s">
        <v>2004</v>
      </c>
      <c r="G736" s="25">
        <v>500</v>
      </c>
      <c r="H736" s="25"/>
    </row>
    <row r="737" spans="1:8" ht="14">
      <c r="A737" s="25" t="s">
        <v>2005</v>
      </c>
      <c r="B737" s="26" t="s">
        <v>127</v>
      </c>
      <c r="C737" s="25" t="str">
        <f t="shared" si="11"/>
        <v>gallbladder</v>
      </c>
      <c r="D737" s="25" t="s">
        <v>2005</v>
      </c>
      <c r="E737" s="25" t="s">
        <v>2006</v>
      </c>
      <c r="F737" s="25" t="s">
        <v>2006</v>
      </c>
      <c r="G737" s="25">
        <v>500</v>
      </c>
      <c r="H737" s="25"/>
    </row>
    <row r="738" spans="1:8" ht="14">
      <c r="A738" s="25" t="s">
        <v>2007</v>
      </c>
      <c r="B738" s="26" t="s">
        <v>127</v>
      </c>
      <c r="C738" s="25" t="str">
        <f t="shared" si="11"/>
        <v>ganglia</v>
      </c>
      <c r="D738" s="25" t="s">
        <v>2007</v>
      </c>
      <c r="E738" s="25" t="s">
        <v>2008</v>
      </c>
      <c r="F738" s="25" t="s">
        <v>2008</v>
      </c>
      <c r="G738" s="25">
        <v>500</v>
      </c>
      <c r="H738" s="25"/>
    </row>
    <row r="739" spans="1:8" ht="14">
      <c r="A739" s="25" t="s">
        <v>2009</v>
      </c>
      <c r="B739" s="26" t="s">
        <v>127</v>
      </c>
      <c r="C739" s="25" t="str">
        <f t="shared" si="11"/>
        <v>heart</v>
      </c>
      <c r="D739" s="25" t="s">
        <v>2009</v>
      </c>
      <c r="E739" s="25" t="s">
        <v>2010</v>
      </c>
      <c r="F739" s="25" t="s">
        <v>2010</v>
      </c>
      <c r="G739" s="25">
        <v>500</v>
      </c>
      <c r="H739" s="25"/>
    </row>
    <row r="740" spans="1:8" ht="14">
      <c r="A740" s="25" t="s">
        <v>2011</v>
      </c>
      <c r="B740" s="26" t="s">
        <v>127</v>
      </c>
      <c r="C740" s="25" t="str">
        <f t="shared" si="11"/>
        <v>hypothalamus</v>
      </c>
      <c r="D740" s="25" t="s">
        <v>2011</v>
      </c>
      <c r="E740" s="25" t="s">
        <v>2012</v>
      </c>
      <c r="F740" s="25" t="s">
        <v>2012</v>
      </c>
      <c r="G740" s="25">
        <v>500</v>
      </c>
      <c r="H740" s="25"/>
    </row>
    <row r="741" spans="1:8" ht="14">
      <c r="A741" s="25" t="s">
        <v>2013</v>
      </c>
      <c r="B741" s="26" t="s">
        <v>127</v>
      </c>
      <c r="C741" s="25" t="str">
        <f t="shared" si="11"/>
        <v>kidney</v>
      </c>
      <c r="D741" s="25" t="s">
        <v>2013</v>
      </c>
      <c r="E741" s="25" t="s">
        <v>2014</v>
      </c>
      <c r="F741" s="25" t="s">
        <v>2014</v>
      </c>
      <c r="G741" s="25">
        <v>500</v>
      </c>
      <c r="H741" s="25"/>
    </row>
    <row r="742" spans="1:8" ht="14">
      <c r="A742" s="25" t="s">
        <v>2015</v>
      </c>
      <c r="B742" s="26" t="s">
        <v>127</v>
      </c>
      <c r="C742" s="25" t="str">
        <f t="shared" si="11"/>
        <v>large_intestine</v>
      </c>
      <c r="D742" s="25" t="s">
        <v>2016</v>
      </c>
      <c r="E742" s="25" t="s">
        <v>2017</v>
      </c>
      <c r="F742" s="25" t="s">
        <v>2018</v>
      </c>
      <c r="G742" s="25">
        <v>500</v>
      </c>
      <c r="H742" s="25"/>
    </row>
    <row r="743" spans="1:8" ht="14">
      <c r="A743" s="25" t="s">
        <v>2019</v>
      </c>
      <c r="B743" s="26" t="s">
        <v>127</v>
      </c>
      <c r="C743" s="25" t="str">
        <f t="shared" si="11"/>
        <v>liver</v>
      </c>
      <c r="D743" s="25" t="s">
        <v>2019</v>
      </c>
      <c r="E743" s="25" t="s">
        <v>2020</v>
      </c>
      <c r="F743" s="25" t="s">
        <v>2020</v>
      </c>
      <c r="G743" s="25">
        <v>500</v>
      </c>
      <c r="H743" s="25"/>
    </row>
    <row r="744" spans="1:8" ht="14">
      <c r="A744" s="25" t="s">
        <v>2021</v>
      </c>
      <c r="B744" s="26" t="s">
        <v>127</v>
      </c>
      <c r="C744" s="25" t="str">
        <f t="shared" si="11"/>
        <v>lung</v>
      </c>
      <c r="D744" s="25" t="s">
        <v>2021</v>
      </c>
      <c r="E744" s="25" t="s">
        <v>2022</v>
      </c>
      <c r="F744" s="25" t="s">
        <v>2022</v>
      </c>
      <c r="G744" s="25">
        <v>500</v>
      </c>
      <c r="H744" s="25"/>
    </row>
    <row r="745" spans="1:8" ht="14">
      <c r="A745" s="25" t="s">
        <v>2023</v>
      </c>
      <c r="B745" s="26" t="s">
        <v>127</v>
      </c>
      <c r="C745" s="25" t="str">
        <f t="shared" si="11"/>
        <v>lymph_node</v>
      </c>
      <c r="D745" s="25" t="s">
        <v>1091</v>
      </c>
      <c r="E745" s="25" t="s">
        <v>2024</v>
      </c>
      <c r="F745" s="25" t="s">
        <v>2024</v>
      </c>
      <c r="G745" s="25">
        <v>500</v>
      </c>
      <c r="H745" s="25"/>
    </row>
    <row r="746" spans="1:8" ht="14">
      <c r="A746" s="25" t="s">
        <v>2025</v>
      </c>
      <c r="B746" s="26" t="s">
        <v>127</v>
      </c>
      <c r="C746" s="25" t="str">
        <f t="shared" si="11"/>
        <v>medulla</v>
      </c>
      <c r="D746" s="25" t="s">
        <v>2025</v>
      </c>
      <c r="E746" s="25" t="s">
        <v>2026</v>
      </c>
      <c r="F746" s="25" t="s">
        <v>2026</v>
      </c>
      <c r="G746" s="25">
        <v>500</v>
      </c>
      <c r="H746" s="25"/>
    </row>
    <row r="747" spans="1:8" ht="14">
      <c r="A747" s="25" t="s">
        <v>2027</v>
      </c>
      <c r="B747" s="26" t="s">
        <v>127</v>
      </c>
      <c r="C747" s="25" t="str">
        <f t="shared" si="11"/>
        <v>mesentery</v>
      </c>
      <c r="D747" s="25" t="s">
        <v>2027</v>
      </c>
      <c r="E747" s="25" t="s">
        <v>2028</v>
      </c>
      <c r="F747" s="25" t="s">
        <v>2028</v>
      </c>
      <c r="G747" s="25">
        <v>500</v>
      </c>
      <c r="H747" s="25"/>
    </row>
    <row r="748" spans="1:8" ht="14">
      <c r="A748" s="25" t="s">
        <v>2029</v>
      </c>
      <c r="B748" s="26" t="s">
        <v>127</v>
      </c>
      <c r="C748" s="25" t="str">
        <f t="shared" si="11"/>
        <v>midbrain</v>
      </c>
      <c r="D748" s="25" t="s">
        <v>2029</v>
      </c>
      <c r="E748" s="25" t="s">
        <v>2030</v>
      </c>
      <c r="F748" s="25" t="s">
        <v>2030</v>
      </c>
      <c r="G748" s="25">
        <v>500</v>
      </c>
      <c r="H748" s="25"/>
    </row>
    <row r="749" spans="1:8" ht="14">
      <c r="A749" s="25" t="s">
        <v>2031</v>
      </c>
      <c r="B749" s="26" t="s">
        <v>127</v>
      </c>
      <c r="C749" s="25" t="str">
        <f t="shared" ref="C749:C815" si="12">A749</f>
        <v>ovaries</v>
      </c>
      <c r="D749" s="25" t="s">
        <v>2031</v>
      </c>
      <c r="E749" s="25" t="s">
        <v>2032</v>
      </c>
      <c r="F749" s="25" t="s">
        <v>2032</v>
      </c>
      <c r="G749" s="25">
        <v>500</v>
      </c>
      <c r="H749" s="25"/>
    </row>
    <row r="750" spans="1:8" ht="14">
      <c r="A750" s="25" t="s">
        <v>2033</v>
      </c>
      <c r="B750" s="26" t="s">
        <v>127</v>
      </c>
      <c r="C750" s="25" t="str">
        <f t="shared" si="12"/>
        <v>pancreas</v>
      </c>
      <c r="D750" s="25" t="s">
        <v>2033</v>
      </c>
      <c r="E750" s="25" t="s">
        <v>2034</v>
      </c>
      <c r="F750" s="25" t="s">
        <v>2034</v>
      </c>
      <c r="G750" s="25">
        <v>500</v>
      </c>
      <c r="H750" s="25"/>
    </row>
    <row r="751" spans="1:8" ht="14">
      <c r="A751" s="25" t="s">
        <v>2035</v>
      </c>
      <c r="B751" s="26" t="s">
        <v>127</v>
      </c>
      <c r="C751" s="25" t="str">
        <f t="shared" si="12"/>
        <v>pons</v>
      </c>
      <c r="D751" s="25" t="s">
        <v>2035</v>
      </c>
      <c r="E751" s="25" t="s">
        <v>2036</v>
      </c>
      <c r="F751" s="25" t="s">
        <v>2036</v>
      </c>
      <c r="G751" s="25">
        <v>500</v>
      </c>
      <c r="H751" s="25"/>
    </row>
    <row r="752" spans="1:8" ht="14">
      <c r="A752" s="25" t="s">
        <v>2037</v>
      </c>
      <c r="B752" s="26" t="s">
        <v>127</v>
      </c>
      <c r="C752" s="25" t="str">
        <f t="shared" si="12"/>
        <v>prostate</v>
      </c>
      <c r="D752" s="25" t="s">
        <v>2037</v>
      </c>
      <c r="E752" s="25" t="s">
        <v>2038</v>
      </c>
      <c r="F752" s="25" t="s">
        <v>2038</v>
      </c>
      <c r="G752" s="25">
        <v>500</v>
      </c>
      <c r="H752" s="25"/>
    </row>
    <row r="753" spans="1:8" ht="14">
      <c r="A753" s="25" t="s">
        <v>2039</v>
      </c>
      <c r="B753" s="26" t="s">
        <v>127</v>
      </c>
      <c r="C753" s="25" t="str">
        <f t="shared" si="12"/>
        <v>rectum</v>
      </c>
      <c r="D753" s="25" t="s">
        <v>2039</v>
      </c>
      <c r="E753" s="25" t="s">
        <v>2040</v>
      </c>
      <c r="F753" s="25" t="s">
        <v>2040</v>
      </c>
      <c r="G753" s="25">
        <v>500</v>
      </c>
      <c r="H753" s="25"/>
    </row>
    <row r="754" spans="1:8" ht="14">
      <c r="A754" s="25" t="s">
        <v>2041</v>
      </c>
      <c r="B754" s="26" t="s">
        <v>127</v>
      </c>
      <c r="C754" s="25" t="str">
        <f t="shared" si="12"/>
        <v>small_intestine</v>
      </c>
      <c r="D754" s="25" t="s">
        <v>2042</v>
      </c>
      <c r="E754" s="25" t="s">
        <v>2043</v>
      </c>
      <c r="F754" s="25" t="s">
        <v>2044</v>
      </c>
      <c r="G754" s="25">
        <v>500</v>
      </c>
      <c r="H754" s="25"/>
    </row>
    <row r="755" spans="1:8" ht="14">
      <c r="A755" s="25" t="s">
        <v>2045</v>
      </c>
      <c r="B755" s="26" t="s">
        <v>127</v>
      </c>
      <c r="C755" s="25" t="str">
        <f t="shared" si="12"/>
        <v>spinal_cord</v>
      </c>
      <c r="D755" s="25" t="s">
        <v>2045</v>
      </c>
      <c r="E755" s="25" t="s">
        <v>2046</v>
      </c>
      <c r="F755" s="25" t="s">
        <v>2047</v>
      </c>
      <c r="G755" s="25">
        <v>500</v>
      </c>
      <c r="H755" s="25"/>
    </row>
    <row r="756" spans="1:8" ht="14">
      <c r="A756" s="25" t="s">
        <v>2048</v>
      </c>
      <c r="B756" s="26" t="s">
        <v>127</v>
      </c>
      <c r="C756" s="25" t="str">
        <f t="shared" si="12"/>
        <v>spleen</v>
      </c>
      <c r="D756" s="25" t="s">
        <v>2048</v>
      </c>
      <c r="E756" s="25" t="s">
        <v>2049</v>
      </c>
      <c r="F756" s="25" t="s">
        <v>2049</v>
      </c>
      <c r="G756" s="25">
        <v>500</v>
      </c>
      <c r="H756" s="25"/>
    </row>
    <row r="757" spans="1:8" ht="14">
      <c r="A757" s="25" t="s">
        <v>2050</v>
      </c>
      <c r="B757" s="26" t="s">
        <v>127</v>
      </c>
      <c r="C757" s="25" t="str">
        <f t="shared" si="12"/>
        <v>stomach</v>
      </c>
      <c r="D757" s="25" t="s">
        <v>2050</v>
      </c>
      <c r="E757" s="25" t="s">
        <v>2051</v>
      </c>
      <c r="F757" s="25" t="s">
        <v>2051</v>
      </c>
      <c r="G757" s="25">
        <v>500</v>
      </c>
      <c r="H757" s="25"/>
    </row>
    <row r="758" spans="1:8" ht="14">
      <c r="A758" s="25" t="s">
        <v>2052</v>
      </c>
      <c r="B758" s="26" t="s">
        <v>127</v>
      </c>
      <c r="C758" s="25" t="str">
        <f t="shared" si="12"/>
        <v>testicles</v>
      </c>
      <c r="D758" s="25" t="s">
        <v>2052</v>
      </c>
      <c r="E758" s="25" t="s">
        <v>2053</v>
      </c>
      <c r="F758" s="25" t="s">
        <v>2053</v>
      </c>
      <c r="G758" s="25">
        <v>500</v>
      </c>
      <c r="H758" s="25"/>
    </row>
    <row r="759" spans="1:8" ht="14">
      <c r="A759" s="25" t="s">
        <v>2054</v>
      </c>
      <c r="B759" s="26" t="s">
        <v>127</v>
      </c>
      <c r="C759" s="25" t="str">
        <f t="shared" si="12"/>
        <v>thalamus</v>
      </c>
      <c r="D759" s="25" t="s">
        <v>2054</v>
      </c>
      <c r="E759" s="25" t="s">
        <v>2055</v>
      </c>
      <c r="F759" s="25" t="s">
        <v>2055</v>
      </c>
      <c r="G759" s="25">
        <v>500</v>
      </c>
      <c r="H759" s="25"/>
    </row>
    <row r="760" spans="1:8" ht="14">
      <c r="A760" s="25" t="s">
        <v>2056</v>
      </c>
      <c r="B760" s="26" t="s">
        <v>127</v>
      </c>
      <c r="C760" s="25" t="str">
        <f t="shared" si="12"/>
        <v>thymus</v>
      </c>
      <c r="D760" s="25" t="s">
        <v>2056</v>
      </c>
      <c r="E760" s="25" t="s">
        <v>2057</v>
      </c>
      <c r="F760" s="25" t="s">
        <v>2057</v>
      </c>
      <c r="G760" s="25">
        <v>500</v>
      </c>
      <c r="H760" s="25"/>
    </row>
    <row r="761" spans="1:8" ht="14">
      <c r="A761" s="25" t="s">
        <v>2058</v>
      </c>
      <c r="B761" s="26" t="s">
        <v>127</v>
      </c>
      <c r="C761" s="25" t="str">
        <f t="shared" si="12"/>
        <v>tongue</v>
      </c>
      <c r="D761" s="25" t="s">
        <v>2058</v>
      </c>
      <c r="E761" s="25" t="s">
        <v>2059</v>
      </c>
      <c r="F761" s="25" t="s">
        <v>2059</v>
      </c>
      <c r="G761" s="25">
        <v>500</v>
      </c>
      <c r="H761" s="25"/>
    </row>
    <row r="762" spans="1:8" ht="14">
      <c r="A762" s="25" t="s">
        <v>2060</v>
      </c>
      <c r="B762" s="26" t="s">
        <v>127</v>
      </c>
      <c r="C762" s="25" t="str">
        <f t="shared" si="12"/>
        <v>tonsils</v>
      </c>
      <c r="D762" s="25" t="s">
        <v>2060</v>
      </c>
      <c r="E762" s="25" t="s">
        <v>2061</v>
      </c>
      <c r="F762" s="25" t="s">
        <v>2061</v>
      </c>
      <c r="G762" s="25">
        <v>500</v>
      </c>
      <c r="H762" s="25"/>
    </row>
    <row r="763" spans="1:8" ht="14">
      <c r="A763" s="25" t="s">
        <v>2062</v>
      </c>
      <c r="B763" s="26" t="s">
        <v>127</v>
      </c>
      <c r="C763" s="25" t="str">
        <f t="shared" si="12"/>
        <v>uterus</v>
      </c>
      <c r="D763" s="25" t="s">
        <v>2062</v>
      </c>
      <c r="E763" s="25" t="s">
        <v>2063</v>
      </c>
      <c r="F763" s="25" t="s">
        <v>2063</v>
      </c>
      <c r="G763" s="25">
        <v>500</v>
      </c>
      <c r="H763" s="25"/>
    </row>
    <row r="764" spans="1:8" ht="14">
      <c r="A764" s="25" t="s">
        <v>2064</v>
      </c>
      <c r="B764" s="26" t="s">
        <v>127</v>
      </c>
      <c r="C764" s="25" t="str">
        <f t="shared" si="12"/>
        <v>veins</v>
      </c>
      <c r="D764" s="25" t="s">
        <v>2064</v>
      </c>
      <c r="E764" s="25" t="s">
        <v>2065</v>
      </c>
      <c r="F764" s="25" t="s">
        <v>2065</v>
      </c>
      <c r="G764" s="25">
        <v>500</v>
      </c>
      <c r="H764" s="25"/>
    </row>
    <row r="765" spans="1:8" ht="14">
      <c r="A765" s="25" t="s">
        <v>4018</v>
      </c>
      <c r="B765" s="26" t="s">
        <v>127</v>
      </c>
      <c r="C765" s="25" t="str">
        <f t="shared" si="12"/>
        <v>skmuscle</v>
      </c>
      <c r="D765" s="25" t="s">
        <v>4019</v>
      </c>
      <c r="E765" s="25" t="s">
        <v>2681</v>
      </c>
      <c r="F765" s="25" t="s">
        <v>2681</v>
      </c>
      <c r="G765" s="25"/>
      <c r="H765" s="25"/>
    </row>
    <row r="766" spans="1:8" ht="14">
      <c r="A766" s="25" t="s">
        <v>2779</v>
      </c>
      <c r="B766" s="26" t="s">
        <v>139</v>
      </c>
      <c r="C766" s="25" t="str">
        <f t="shared" si="12"/>
        <v>controls</v>
      </c>
      <c r="D766" s="25" t="s">
        <v>2776</v>
      </c>
      <c r="E766" s="25" t="s">
        <v>2777</v>
      </c>
      <c r="F766" s="25" t="s">
        <v>2778</v>
      </c>
      <c r="G766" s="25">
        <v>500</v>
      </c>
      <c r="H766" s="25"/>
    </row>
    <row r="767" spans="1:8" ht="14">
      <c r="A767" s="25" t="s">
        <v>2086</v>
      </c>
      <c r="B767" s="26" t="s">
        <v>2087</v>
      </c>
      <c r="C767" s="25" t="str">
        <f t="shared" si="12"/>
        <v>cardiovascular</v>
      </c>
      <c r="D767" s="27" t="s">
        <v>13</v>
      </c>
      <c r="E767" s="25" t="s">
        <v>2088</v>
      </c>
      <c r="F767" s="25" t="s">
        <v>2089</v>
      </c>
      <c r="G767" s="25">
        <v>500</v>
      </c>
      <c r="H767" s="25"/>
    </row>
    <row r="768" spans="1:8" ht="14">
      <c r="A768" s="25" t="s">
        <v>2090</v>
      </c>
      <c r="B768" s="26" t="s">
        <v>2087</v>
      </c>
      <c r="C768" s="25" t="str">
        <f t="shared" si="12"/>
        <v>digestive</v>
      </c>
      <c r="D768" s="27" t="s">
        <v>13</v>
      </c>
      <c r="E768" s="25" t="s">
        <v>2091</v>
      </c>
      <c r="F768" s="25" t="s">
        <v>2092</v>
      </c>
      <c r="G768" s="25">
        <v>500</v>
      </c>
      <c r="H768" s="25"/>
    </row>
    <row r="769" spans="1:8" ht="14">
      <c r="A769" s="25" t="s">
        <v>2093</v>
      </c>
      <c r="B769" s="26" t="s">
        <v>2087</v>
      </c>
      <c r="C769" s="25" t="str">
        <f t="shared" si="12"/>
        <v>endocrine</v>
      </c>
      <c r="D769" s="27" t="s">
        <v>13</v>
      </c>
      <c r="E769" s="25" t="s">
        <v>2094</v>
      </c>
      <c r="F769" s="25" t="s">
        <v>2095</v>
      </c>
      <c r="G769" s="25">
        <v>500</v>
      </c>
      <c r="H769" s="25"/>
    </row>
    <row r="770" spans="1:8" ht="14">
      <c r="A770" s="25" t="s">
        <v>2096</v>
      </c>
      <c r="B770" s="26" t="s">
        <v>2087</v>
      </c>
      <c r="C770" s="25" t="str">
        <f t="shared" si="12"/>
        <v>excretory</v>
      </c>
      <c r="D770" s="27" t="s">
        <v>13</v>
      </c>
      <c r="E770" s="25" t="s">
        <v>2097</v>
      </c>
      <c r="F770" s="25" t="s">
        <v>2098</v>
      </c>
      <c r="G770" s="25">
        <v>500</v>
      </c>
      <c r="H770" s="25"/>
    </row>
    <row r="771" spans="1:8" ht="14">
      <c r="A771" s="25" t="s">
        <v>2099</v>
      </c>
      <c r="B771" s="26" t="s">
        <v>2087</v>
      </c>
      <c r="C771" s="25" t="str">
        <f t="shared" si="12"/>
        <v>integumentary</v>
      </c>
      <c r="D771" s="27" t="s">
        <v>13</v>
      </c>
      <c r="E771" s="25" t="s">
        <v>2100</v>
      </c>
      <c r="F771" s="25" t="s">
        <v>2101</v>
      </c>
      <c r="G771" s="25">
        <v>500</v>
      </c>
      <c r="H771" s="25"/>
    </row>
    <row r="772" spans="1:8" ht="14">
      <c r="A772" s="25" t="s">
        <v>2102</v>
      </c>
      <c r="B772" s="26" t="s">
        <v>2087</v>
      </c>
      <c r="C772" s="25" t="str">
        <f t="shared" si="12"/>
        <v>lymphatic</v>
      </c>
      <c r="D772" s="27" t="s">
        <v>13</v>
      </c>
      <c r="E772" s="25" t="s">
        <v>2103</v>
      </c>
      <c r="F772" s="25" t="s">
        <v>2104</v>
      </c>
      <c r="G772" s="25">
        <v>500</v>
      </c>
      <c r="H772" s="25"/>
    </row>
    <row r="773" spans="1:8" ht="14">
      <c r="A773" s="25" t="s">
        <v>2105</v>
      </c>
      <c r="B773" s="26" t="s">
        <v>2087</v>
      </c>
      <c r="C773" s="25" t="str">
        <f t="shared" si="12"/>
        <v>muscular</v>
      </c>
      <c r="D773" s="27" t="s">
        <v>13</v>
      </c>
      <c r="E773" s="25" t="s">
        <v>2106</v>
      </c>
      <c r="F773" s="25" t="s">
        <v>2107</v>
      </c>
      <c r="G773" s="25">
        <v>500</v>
      </c>
      <c r="H773" s="25"/>
    </row>
    <row r="774" spans="1:8" ht="14">
      <c r="A774" s="25" t="s">
        <v>2108</v>
      </c>
      <c r="B774" s="26" t="s">
        <v>2087</v>
      </c>
      <c r="C774" s="25" t="str">
        <f t="shared" si="12"/>
        <v>nervous_system</v>
      </c>
      <c r="D774" s="27" t="s">
        <v>13</v>
      </c>
      <c r="E774" s="25" t="s">
        <v>2109</v>
      </c>
      <c r="F774" s="25" t="s">
        <v>2110</v>
      </c>
      <c r="G774" s="25">
        <v>500</v>
      </c>
      <c r="H774" s="25"/>
    </row>
    <row r="775" spans="1:8" ht="14">
      <c r="A775" s="25" t="s">
        <v>2111</v>
      </c>
      <c r="B775" s="26" t="s">
        <v>2087</v>
      </c>
      <c r="C775" s="25" t="str">
        <f t="shared" si="12"/>
        <v>reproductive</v>
      </c>
      <c r="D775" s="27" t="s">
        <v>13</v>
      </c>
      <c r="E775" s="25" t="s">
        <v>2112</v>
      </c>
      <c r="F775" s="25" t="s">
        <v>2113</v>
      </c>
      <c r="G775" s="25">
        <v>500</v>
      </c>
      <c r="H775" s="25"/>
    </row>
    <row r="776" spans="1:8" ht="14">
      <c r="A776" s="25" t="s">
        <v>2114</v>
      </c>
      <c r="B776" s="26" t="s">
        <v>2087</v>
      </c>
      <c r="C776" s="25" t="str">
        <f t="shared" si="12"/>
        <v>respiratory</v>
      </c>
      <c r="D776" s="27" t="s">
        <v>13</v>
      </c>
      <c r="E776" s="25" t="s">
        <v>2115</v>
      </c>
      <c r="F776" s="25" t="s">
        <v>2116</v>
      </c>
      <c r="G776" s="25">
        <v>500</v>
      </c>
      <c r="H776" s="25"/>
    </row>
    <row r="777" spans="1:8" ht="14">
      <c r="A777" s="25" t="s">
        <v>2117</v>
      </c>
      <c r="B777" s="26" t="s">
        <v>2087</v>
      </c>
      <c r="C777" s="25" t="str">
        <f t="shared" si="12"/>
        <v>skeletal</v>
      </c>
      <c r="D777" s="27" t="s">
        <v>13</v>
      </c>
      <c r="E777" s="25" t="s">
        <v>2118</v>
      </c>
      <c r="F777" s="25" t="s">
        <v>2119</v>
      </c>
      <c r="G777" s="25">
        <v>500</v>
      </c>
      <c r="H777" s="25"/>
    </row>
    <row r="778" spans="1:8" ht="14">
      <c r="A778" s="25" t="s">
        <v>2120</v>
      </c>
      <c r="B778" s="26" t="s">
        <v>2087</v>
      </c>
      <c r="C778" s="25" t="str">
        <f t="shared" si="12"/>
        <v>urinary</v>
      </c>
      <c r="D778" s="27" t="s">
        <v>13</v>
      </c>
      <c r="E778" s="25" t="s">
        <v>2121</v>
      </c>
      <c r="F778" s="25" t="s">
        <v>2122</v>
      </c>
      <c r="G778" s="25">
        <v>500</v>
      </c>
      <c r="H778" s="25"/>
    </row>
    <row r="779" spans="1:8" ht="14">
      <c r="A779" s="25" t="s">
        <v>2123</v>
      </c>
      <c r="B779" s="26" t="s">
        <v>141</v>
      </c>
      <c r="C779" s="25" t="str">
        <f t="shared" si="12"/>
        <v>intervalcardio</v>
      </c>
      <c r="D779" s="27" t="s">
        <v>13</v>
      </c>
      <c r="E779" s="25" t="s">
        <v>2124</v>
      </c>
      <c r="F779" s="25" t="s">
        <v>2125</v>
      </c>
      <c r="G779" s="25">
        <v>500</v>
      </c>
      <c r="H779" s="25"/>
    </row>
    <row r="780" spans="1:8" ht="14">
      <c r="A780" s="25" t="s">
        <v>2126</v>
      </c>
      <c r="B780" s="26" t="s">
        <v>141</v>
      </c>
      <c r="C780" s="25" t="str">
        <f t="shared" si="12"/>
        <v>steadycardio</v>
      </c>
      <c r="D780" s="27" t="s">
        <v>13</v>
      </c>
      <c r="E780" s="25" t="s">
        <v>2698</v>
      </c>
      <c r="F780" s="25" t="s">
        <v>2127</v>
      </c>
      <c r="G780" s="25">
        <v>500</v>
      </c>
      <c r="H780" s="25"/>
    </row>
    <row r="781" spans="1:8" ht="14">
      <c r="A781" s="25" t="s">
        <v>2128</v>
      </c>
      <c r="B781" s="26" t="s">
        <v>141</v>
      </c>
      <c r="C781" s="25" t="str">
        <f t="shared" si="12"/>
        <v>strength</v>
      </c>
      <c r="D781" s="27" t="s">
        <v>13</v>
      </c>
      <c r="E781" s="25" t="s">
        <v>2129</v>
      </c>
      <c r="F781" s="25" t="s">
        <v>2130</v>
      </c>
      <c r="G781" s="25">
        <v>500</v>
      </c>
      <c r="H781" s="25"/>
    </row>
    <row r="782" spans="1:8" ht="14">
      <c r="A782" s="25" t="s">
        <v>2699</v>
      </c>
      <c r="B782" s="26" t="s">
        <v>141</v>
      </c>
      <c r="C782" s="25" t="str">
        <f t="shared" si="12"/>
        <v>hiit</v>
      </c>
      <c r="D782" s="27" t="s">
        <v>13</v>
      </c>
      <c r="E782" s="25" t="s">
        <v>2700</v>
      </c>
      <c r="F782" s="25" t="s">
        <v>2701</v>
      </c>
      <c r="G782" s="25">
        <v>500</v>
      </c>
      <c r="H782" s="25"/>
    </row>
    <row r="783" spans="1:8" ht="14">
      <c r="A783" s="25" t="s">
        <v>2131</v>
      </c>
      <c r="B783" s="26" t="s">
        <v>143</v>
      </c>
      <c r="C783" s="25" t="str">
        <f t="shared" si="12"/>
        <v>argc</v>
      </c>
      <c r="D783" s="27" t="s">
        <v>13</v>
      </c>
      <c r="E783" s="25" t="s">
        <v>2132</v>
      </c>
      <c r="F783" s="25" t="s">
        <v>2133</v>
      </c>
      <c r="G783" s="25">
        <v>500</v>
      </c>
      <c r="H783" s="25"/>
    </row>
    <row r="784" spans="1:8" ht="14">
      <c r="A784" s="25" t="s">
        <v>2134</v>
      </c>
      <c r="B784" s="26" t="s">
        <v>143</v>
      </c>
      <c r="C784" s="25" t="str">
        <f t="shared" si="12"/>
        <v>aspn</v>
      </c>
      <c r="D784" s="27" t="s">
        <v>13</v>
      </c>
      <c r="E784" s="25" t="s">
        <v>2135</v>
      </c>
      <c r="F784" s="25" t="s">
        <v>2136</v>
      </c>
      <c r="G784" s="25">
        <v>500</v>
      </c>
      <c r="H784" s="25"/>
    </row>
    <row r="785" spans="1:8" ht="14">
      <c r="A785" s="25" t="s">
        <v>2137</v>
      </c>
      <c r="B785" s="26" t="s">
        <v>143</v>
      </c>
      <c r="C785" s="25" t="str">
        <f t="shared" si="12"/>
        <v>chymotrypsin</v>
      </c>
      <c r="D785" s="27" t="s">
        <v>13</v>
      </c>
      <c r="E785" s="25" t="s">
        <v>2138</v>
      </c>
      <c r="F785" s="25" t="s">
        <v>2139</v>
      </c>
      <c r="G785" s="25">
        <v>500</v>
      </c>
      <c r="H785" s="25"/>
    </row>
    <row r="786" spans="1:8" ht="14">
      <c r="A786" s="25" t="s">
        <v>2140</v>
      </c>
      <c r="B786" s="26" t="s">
        <v>143</v>
      </c>
      <c r="C786" s="25" t="str">
        <f t="shared" si="12"/>
        <v>elastase</v>
      </c>
      <c r="D786" s="27" t="s">
        <v>13</v>
      </c>
      <c r="E786" s="25" t="s">
        <v>2141</v>
      </c>
      <c r="F786" s="25" t="s">
        <v>2142</v>
      </c>
      <c r="G786" s="25">
        <v>500</v>
      </c>
      <c r="H786" s="25"/>
    </row>
    <row r="787" spans="1:8" ht="14">
      <c r="A787" s="25" t="s">
        <v>2143</v>
      </c>
      <c r="B787" s="26" t="s">
        <v>143</v>
      </c>
      <c r="C787" s="25" t="str">
        <f t="shared" si="12"/>
        <v>gluc</v>
      </c>
      <c r="D787" s="27" t="s">
        <v>13</v>
      </c>
      <c r="E787" s="25" t="s">
        <v>2144</v>
      </c>
      <c r="F787" s="25" t="s">
        <v>2145</v>
      </c>
      <c r="G787" s="25">
        <v>500</v>
      </c>
      <c r="H787" s="25"/>
    </row>
    <row r="788" spans="1:8" ht="14">
      <c r="A788" s="25" t="s">
        <v>2146</v>
      </c>
      <c r="B788" s="26" t="s">
        <v>143</v>
      </c>
      <c r="C788" s="25" t="str">
        <f t="shared" si="12"/>
        <v>lysc</v>
      </c>
      <c r="D788" s="27" t="s">
        <v>13</v>
      </c>
      <c r="E788" s="25" t="s">
        <v>2147</v>
      </c>
      <c r="F788" s="25" t="s">
        <v>2148</v>
      </c>
      <c r="G788" s="25">
        <v>500</v>
      </c>
      <c r="H788" s="25"/>
    </row>
    <row r="789" spans="1:8" ht="14">
      <c r="A789" s="25" t="s">
        <v>2149</v>
      </c>
      <c r="B789" s="26" t="s">
        <v>143</v>
      </c>
      <c r="C789" s="25" t="str">
        <f t="shared" si="12"/>
        <v>raspn</v>
      </c>
      <c r="D789" s="27" t="s">
        <v>13</v>
      </c>
      <c r="E789" s="25" t="s">
        <v>2150</v>
      </c>
      <c r="F789" s="25" t="s">
        <v>2151</v>
      </c>
      <c r="G789" s="25">
        <v>500</v>
      </c>
      <c r="H789" s="25"/>
    </row>
    <row r="790" spans="1:8" ht="14">
      <c r="A790" s="25" t="s">
        <v>2152</v>
      </c>
      <c r="B790" s="26" t="s">
        <v>143</v>
      </c>
      <c r="C790" s="25" t="str">
        <f t="shared" si="12"/>
        <v>trypsin</v>
      </c>
      <c r="D790" s="27" t="s">
        <v>13</v>
      </c>
      <c r="E790" s="25" t="s">
        <v>2153</v>
      </c>
      <c r="F790" s="25" t="s">
        <v>2154</v>
      </c>
      <c r="G790" s="25">
        <v>500</v>
      </c>
      <c r="H790" s="25"/>
    </row>
    <row r="791" spans="1:8" ht="14">
      <c r="A791" s="25" t="s">
        <v>2702</v>
      </c>
      <c r="B791" s="26" t="s">
        <v>145</v>
      </c>
      <c r="C791" s="25" t="str">
        <f t="shared" si="12"/>
        <v>apex</v>
      </c>
      <c r="D791" s="27" t="s">
        <v>13</v>
      </c>
      <c r="E791" s="25" t="s">
        <v>2703</v>
      </c>
      <c r="F791" s="25" t="s">
        <v>2704</v>
      </c>
      <c r="G791" s="25">
        <v>500</v>
      </c>
      <c r="H791" s="25"/>
    </row>
    <row r="792" spans="1:8" ht="14">
      <c r="A792" s="25" t="s">
        <v>2705</v>
      </c>
      <c r="B792" s="26" t="s">
        <v>145</v>
      </c>
      <c r="C792" s="25" t="str">
        <f t="shared" si="12"/>
        <v>bioid</v>
      </c>
      <c r="D792" s="27" t="s">
        <v>13</v>
      </c>
      <c r="E792" s="25" t="s">
        <v>2706</v>
      </c>
      <c r="F792" s="25" t="s">
        <v>2707</v>
      </c>
      <c r="G792" s="25">
        <v>500</v>
      </c>
      <c r="H792" s="25"/>
    </row>
    <row r="793" spans="1:8" ht="14">
      <c r="A793" s="25" t="s">
        <v>2708</v>
      </c>
      <c r="B793" s="26" t="s">
        <v>145</v>
      </c>
      <c r="C793" s="25" t="str">
        <f t="shared" si="12"/>
        <v>turboid</v>
      </c>
      <c r="D793" s="27" t="s">
        <v>13</v>
      </c>
      <c r="E793" s="25" t="s">
        <v>2709</v>
      </c>
      <c r="F793" s="25" t="s">
        <v>2710</v>
      </c>
      <c r="G793" s="25">
        <v>500</v>
      </c>
      <c r="H793" s="25"/>
    </row>
    <row r="794" spans="1:8" ht="14">
      <c r="A794" s="25" t="s">
        <v>1154</v>
      </c>
      <c r="B794" s="26" t="s">
        <v>145</v>
      </c>
      <c r="C794" s="25" t="str">
        <f t="shared" si="12"/>
        <v>deletion</v>
      </c>
      <c r="D794" s="27" t="s">
        <v>13</v>
      </c>
      <c r="E794" s="25" t="s">
        <v>2155</v>
      </c>
      <c r="F794" s="25" t="s">
        <v>2156</v>
      </c>
      <c r="G794" s="25">
        <v>500</v>
      </c>
      <c r="H794" s="25"/>
    </row>
    <row r="795" spans="1:8" ht="14">
      <c r="A795" s="25" t="s">
        <v>2157</v>
      </c>
      <c r="B795" s="26" t="s">
        <v>145</v>
      </c>
      <c r="C795" s="25" t="str">
        <f t="shared" si="12"/>
        <v>flag</v>
      </c>
      <c r="D795" s="27" t="s">
        <v>13</v>
      </c>
      <c r="E795" s="25" t="s">
        <v>2158</v>
      </c>
      <c r="F795" s="25" t="s">
        <v>2159</v>
      </c>
      <c r="G795" s="25">
        <v>500</v>
      </c>
      <c r="H795" s="25"/>
    </row>
    <row r="796" spans="1:8" ht="14">
      <c r="A796" s="25" t="s">
        <v>2160</v>
      </c>
      <c r="B796" s="26" t="s">
        <v>4200</v>
      </c>
      <c r="C796" s="25" t="str">
        <f t="shared" si="12"/>
        <v>frameshift</v>
      </c>
      <c r="D796" s="27" t="s">
        <v>13</v>
      </c>
      <c r="E796" s="25" t="s">
        <v>2161</v>
      </c>
      <c r="F796" s="25" t="s">
        <v>2162</v>
      </c>
      <c r="G796" s="25">
        <v>500</v>
      </c>
      <c r="H796" s="25"/>
    </row>
    <row r="797" spans="1:8" ht="14">
      <c r="A797" s="25" t="s">
        <v>4196</v>
      </c>
      <c r="B797" s="26" t="s">
        <v>4200</v>
      </c>
      <c r="C797" s="25" t="str">
        <f t="shared" ref="C797" si="13">A797</f>
        <v>premstop</v>
      </c>
      <c r="D797" s="27" t="s">
        <v>13</v>
      </c>
      <c r="E797" s="25" t="s">
        <v>4197</v>
      </c>
      <c r="F797" s="25" t="s">
        <v>4198</v>
      </c>
      <c r="G797" s="25">
        <v>500</v>
      </c>
      <c r="H797" s="25"/>
    </row>
    <row r="798" spans="1:8" ht="14">
      <c r="A798" s="25" t="s">
        <v>2163</v>
      </c>
      <c r="B798" s="26" t="s">
        <v>145</v>
      </c>
      <c r="C798" s="25" t="str">
        <f t="shared" si="12"/>
        <v>gfp</v>
      </c>
      <c r="D798" s="27" t="s">
        <v>13</v>
      </c>
      <c r="E798" s="25" t="s">
        <v>2164</v>
      </c>
      <c r="F798" s="25" t="s">
        <v>2165</v>
      </c>
      <c r="G798" s="25">
        <v>500</v>
      </c>
      <c r="H798" s="25"/>
    </row>
    <row r="799" spans="1:8" ht="14">
      <c r="A799" s="25" t="s">
        <v>2166</v>
      </c>
      <c r="B799" s="26" t="s">
        <v>145</v>
      </c>
      <c r="C799" s="25" t="str">
        <f t="shared" si="12"/>
        <v>ha</v>
      </c>
      <c r="D799" s="27" t="s">
        <v>13</v>
      </c>
      <c r="E799" s="25" t="s">
        <v>2167</v>
      </c>
      <c r="F799" s="25" t="s">
        <v>2168</v>
      </c>
      <c r="G799" s="25">
        <v>500</v>
      </c>
      <c r="H799" s="25"/>
    </row>
    <row r="800" spans="1:8" ht="14">
      <c r="A800" s="25" t="s">
        <v>2169</v>
      </c>
      <c r="B800" s="26" t="s">
        <v>145</v>
      </c>
      <c r="C800" s="25" t="str">
        <f t="shared" si="12"/>
        <v>his</v>
      </c>
      <c r="D800" s="27" t="s">
        <v>13</v>
      </c>
      <c r="E800" s="25" t="s">
        <v>2170</v>
      </c>
      <c r="F800" s="25" t="s">
        <v>2171</v>
      </c>
      <c r="G800" s="25">
        <v>500</v>
      </c>
      <c r="H800" s="25"/>
    </row>
    <row r="801" spans="1:1008" ht="14">
      <c r="A801" s="25" t="s">
        <v>2172</v>
      </c>
      <c r="B801" s="26" t="s">
        <v>145</v>
      </c>
      <c r="C801" s="25" t="str">
        <f t="shared" si="12"/>
        <v>insertion</v>
      </c>
      <c r="D801" s="27" t="s">
        <v>13</v>
      </c>
      <c r="E801" s="25" t="s">
        <v>2173</v>
      </c>
      <c r="F801" s="25" t="s">
        <v>2174</v>
      </c>
      <c r="G801" s="25">
        <v>500</v>
      </c>
      <c r="H801" s="25"/>
    </row>
    <row r="802" spans="1:1008" ht="14">
      <c r="A802" s="25" t="s">
        <v>2175</v>
      </c>
      <c r="B802" s="26" t="s">
        <v>145</v>
      </c>
      <c r="C802" s="25" t="str">
        <f t="shared" si="12"/>
        <v>myc</v>
      </c>
      <c r="D802" s="27" t="s">
        <v>13</v>
      </c>
      <c r="E802" s="25" t="s">
        <v>2176</v>
      </c>
      <c r="F802" s="25" t="s">
        <v>2177</v>
      </c>
      <c r="G802" s="25">
        <v>500</v>
      </c>
      <c r="H802" s="25"/>
    </row>
    <row r="803" spans="1:1008" ht="14">
      <c r="A803" s="25" t="s">
        <v>2178</v>
      </c>
      <c r="B803" s="26" t="s">
        <v>145</v>
      </c>
      <c r="C803" s="25" t="str">
        <f t="shared" si="12"/>
        <v>pep86</v>
      </c>
      <c r="D803" s="27" t="s">
        <v>13</v>
      </c>
      <c r="E803" s="25" t="s">
        <v>2674</v>
      </c>
      <c r="F803" s="25" t="s">
        <v>2179</v>
      </c>
      <c r="G803" s="25">
        <v>500</v>
      </c>
      <c r="H803" s="25"/>
    </row>
    <row r="804" spans="1:1008" ht="14">
      <c r="A804" s="25" t="s">
        <v>2180</v>
      </c>
      <c r="B804" s="26" t="s">
        <v>145</v>
      </c>
      <c r="C804" s="25" t="str">
        <f t="shared" si="12"/>
        <v>substitution</v>
      </c>
      <c r="D804" s="27" t="s">
        <v>13</v>
      </c>
      <c r="E804" s="25" t="s">
        <v>2181</v>
      </c>
      <c r="F804" s="25" t="s">
        <v>2182</v>
      </c>
      <c r="G804" s="25">
        <v>500</v>
      </c>
      <c r="H804" s="25"/>
    </row>
    <row r="805" spans="1:1008" ht="14">
      <c r="A805" s="25" t="s">
        <v>2183</v>
      </c>
      <c r="B805" s="26" t="s">
        <v>145</v>
      </c>
      <c r="C805" s="25" t="str">
        <f t="shared" si="12"/>
        <v>truncation</v>
      </c>
      <c r="D805" s="27" t="s">
        <v>13</v>
      </c>
      <c r="E805" s="25" t="s">
        <v>2184</v>
      </c>
      <c r="F805" s="25" t="s">
        <v>2185</v>
      </c>
      <c r="G805" s="25">
        <v>500</v>
      </c>
      <c r="H805" s="25"/>
    </row>
    <row r="806" spans="1:1008" ht="14">
      <c r="A806" s="25" t="s">
        <v>262</v>
      </c>
      <c r="B806" s="26" t="s">
        <v>145</v>
      </c>
      <c r="C806" s="25" t="str">
        <f t="shared" si="12"/>
        <v>none</v>
      </c>
      <c r="D806" s="27" t="s">
        <v>13</v>
      </c>
      <c r="E806" s="25" t="s">
        <v>1742</v>
      </c>
      <c r="F806" s="25" t="s">
        <v>2675</v>
      </c>
      <c r="G806" s="25">
        <v>500</v>
      </c>
      <c r="H806" s="25"/>
    </row>
    <row r="807" spans="1:1008" ht="14">
      <c r="A807" s="25" t="s">
        <v>2186</v>
      </c>
      <c r="B807" s="26" t="s">
        <v>147</v>
      </c>
      <c r="C807" s="25" t="str">
        <f t="shared" si="12"/>
        <v>aa</v>
      </c>
      <c r="D807" s="27" t="s">
        <v>13</v>
      </c>
      <c r="E807" s="25" t="s">
        <v>2187</v>
      </c>
      <c r="F807" s="25" t="s">
        <v>2188</v>
      </c>
      <c r="G807" s="25">
        <v>500</v>
      </c>
      <c r="H807" s="25"/>
    </row>
    <row r="808" spans="1:1008" ht="14">
      <c r="A808" s="25" t="s">
        <v>2189</v>
      </c>
      <c r="B808" s="26" t="s">
        <v>147</v>
      </c>
      <c r="C808" s="25" t="str">
        <f t="shared" si="12"/>
        <v>cterm</v>
      </c>
      <c r="D808" s="27" t="s">
        <v>13</v>
      </c>
      <c r="E808" s="25" t="s">
        <v>2190</v>
      </c>
      <c r="F808" s="25" t="s">
        <v>2191</v>
      </c>
      <c r="G808" s="25">
        <v>500</v>
      </c>
      <c r="H808" s="25"/>
    </row>
    <row r="809" spans="1:1008" ht="14">
      <c r="A809" s="25" t="s">
        <v>2192</v>
      </c>
      <c r="B809" s="26" t="s">
        <v>147</v>
      </c>
      <c r="C809" s="25" t="str">
        <f t="shared" si="12"/>
        <v>nterm</v>
      </c>
      <c r="D809" s="27" t="s">
        <v>13</v>
      </c>
      <c r="E809" s="25" t="s">
        <v>2193</v>
      </c>
      <c r="F809" s="25" t="s">
        <v>2194</v>
      </c>
      <c r="G809" s="25">
        <v>500</v>
      </c>
      <c r="H809" s="25"/>
    </row>
    <row r="810" spans="1:1008" ht="14">
      <c r="A810" s="25" t="s">
        <v>2195</v>
      </c>
      <c r="B810" s="26" t="s">
        <v>147</v>
      </c>
      <c r="C810" s="25" t="str">
        <f t="shared" si="12"/>
        <v>region</v>
      </c>
      <c r="D810" s="27" t="s">
        <v>13</v>
      </c>
      <c r="E810" s="25" t="s">
        <v>2196</v>
      </c>
      <c r="F810" s="25" t="s">
        <v>2197</v>
      </c>
      <c r="G810" s="25">
        <v>500</v>
      </c>
      <c r="H810" s="28"/>
      <c r="I810"/>
      <c r="J810"/>
      <c r="K810"/>
      <c r="L810"/>
      <c r="M810"/>
      <c r="N810"/>
      <c r="O810"/>
      <c r="P810"/>
      <c r="Q810"/>
      <c r="R810"/>
      <c r="S810"/>
      <c r="T810"/>
      <c r="U810"/>
      <c r="V810"/>
      <c r="W810"/>
      <c r="X810"/>
      <c r="Y810"/>
      <c r="Z810"/>
      <c r="AA810"/>
      <c r="AB810"/>
      <c r="AC810"/>
      <c r="AD810"/>
      <c r="AE810"/>
      <c r="AF810"/>
      <c r="AG810"/>
      <c r="AH810"/>
      <c r="AI810"/>
      <c r="AJ810"/>
      <c r="AK810"/>
      <c r="AL810"/>
      <c r="AM810"/>
      <c r="AN810"/>
      <c r="AO810"/>
      <c r="AP810"/>
      <c r="AQ810"/>
      <c r="AR810"/>
      <c r="AS810"/>
      <c r="AT810"/>
      <c r="AU810"/>
      <c r="AV810"/>
      <c r="AW810"/>
      <c r="AX810"/>
      <c r="AY810"/>
      <c r="AZ810"/>
      <c r="BA810"/>
      <c r="BB810"/>
      <c r="BC810"/>
      <c r="BD810"/>
      <c r="BE810"/>
      <c r="BF810"/>
      <c r="BG810"/>
      <c r="BH810"/>
      <c r="BI810"/>
      <c r="BJ810"/>
      <c r="BK810"/>
      <c r="BL810"/>
      <c r="BM810"/>
      <c r="BN810"/>
      <c r="BO810"/>
      <c r="BP810"/>
      <c r="BQ810"/>
      <c r="BR810"/>
      <c r="BS810"/>
      <c r="BT810"/>
      <c r="BU810"/>
      <c r="BV810"/>
      <c r="BW810"/>
      <c r="BX810"/>
      <c r="BY810"/>
      <c r="BZ810"/>
      <c r="CA810"/>
      <c r="CB810"/>
      <c r="CC810"/>
      <c r="CD810"/>
      <c r="CE810"/>
      <c r="CF810"/>
      <c r="CG810"/>
      <c r="CH810"/>
      <c r="CI810"/>
      <c r="CJ810"/>
      <c r="CK810"/>
      <c r="CL810"/>
      <c r="CM810"/>
      <c r="CN810"/>
      <c r="CO810"/>
      <c r="CP810"/>
      <c r="CQ810"/>
      <c r="CR810"/>
      <c r="CS810"/>
      <c r="CT810"/>
      <c r="CU810"/>
      <c r="CV810"/>
      <c r="CW810"/>
      <c r="CX810"/>
      <c r="CY810"/>
      <c r="CZ810"/>
      <c r="DA810"/>
      <c r="DB810"/>
      <c r="DC810"/>
      <c r="DD810"/>
      <c r="DE810"/>
      <c r="DF810"/>
      <c r="DG810"/>
      <c r="DH810"/>
      <c r="DI810"/>
      <c r="DJ810"/>
      <c r="DK810"/>
      <c r="DL810"/>
      <c r="DM810"/>
      <c r="DN810"/>
      <c r="DO810"/>
      <c r="DP810"/>
      <c r="DQ810"/>
      <c r="DR810"/>
      <c r="DS810"/>
      <c r="DT810"/>
      <c r="DU810"/>
      <c r="DV810"/>
      <c r="DW810"/>
      <c r="DX810"/>
      <c r="DY810"/>
      <c r="DZ810"/>
      <c r="EA810"/>
      <c r="EB810"/>
      <c r="EC810"/>
      <c r="ED810"/>
      <c r="EE810"/>
      <c r="EF810"/>
      <c r="EG810"/>
      <c r="EH810"/>
      <c r="EI810"/>
      <c r="EJ810"/>
      <c r="EK810"/>
      <c r="EL810"/>
      <c r="EM810"/>
      <c r="EN810"/>
      <c r="EO810"/>
      <c r="EP810"/>
      <c r="EQ810"/>
      <c r="ER810"/>
      <c r="ES810"/>
      <c r="ET810"/>
      <c r="EU810"/>
      <c r="EV810"/>
      <c r="EW810"/>
      <c r="EX810"/>
      <c r="EY810"/>
      <c r="EZ810"/>
      <c r="FA810"/>
      <c r="FB810"/>
      <c r="FC810"/>
      <c r="FD810"/>
      <c r="FE810"/>
      <c r="FF810"/>
      <c r="FG810"/>
      <c r="FH810"/>
      <c r="FI810"/>
      <c r="FJ810"/>
      <c r="FK810"/>
      <c r="FL810"/>
      <c r="FM810"/>
      <c r="FN810"/>
      <c r="FO810"/>
      <c r="FP810"/>
      <c r="FQ810"/>
      <c r="FR810"/>
      <c r="FS810"/>
      <c r="FT810"/>
      <c r="FU810"/>
      <c r="FV810"/>
      <c r="FW810"/>
      <c r="FX810"/>
      <c r="FY810"/>
      <c r="FZ810"/>
      <c r="GA810"/>
      <c r="GB810"/>
      <c r="GC810"/>
      <c r="GD810"/>
      <c r="GE810"/>
      <c r="GF810"/>
      <c r="GG810"/>
      <c r="GH810"/>
      <c r="GI810"/>
      <c r="GJ810"/>
      <c r="GK810"/>
      <c r="GL810"/>
      <c r="GM810"/>
      <c r="GN810"/>
      <c r="GO810"/>
      <c r="GP810"/>
      <c r="GQ810"/>
      <c r="GR810"/>
      <c r="GS810"/>
      <c r="GT810"/>
      <c r="GU810"/>
      <c r="GV810"/>
      <c r="GW810"/>
      <c r="GX810"/>
      <c r="GY810"/>
      <c r="GZ810"/>
      <c r="HA810"/>
      <c r="HB810"/>
      <c r="HC810"/>
      <c r="HD810"/>
      <c r="HE810"/>
      <c r="HF810"/>
      <c r="HG810"/>
      <c r="HH810"/>
      <c r="HI810"/>
      <c r="HJ810"/>
      <c r="HK810"/>
      <c r="HL810"/>
      <c r="HM810"/>
      <c r="HN810"/>
      <c r="HO810"/>
      <c r="HP810"/>
      <c r="HQ810"/>
      <c r="HR810"/>
      <c r="HS810"/>
      <c r="HT810"/>
      <c r="HU810"/>
      <c r="HV810"/>
      <c r="HW810"/>
      <c r="HX810"/>
      <c r="HY810"/>
      <c r="HZ810"/>
      <c r="IA810"/>
      <c r="IB810"/>
      <c r="IC810"/>
      <c r="ID810"/>
      <c r="IE810"/>
      <c r="IF810"/>
      <c r="IG810"/>
      <c r="IH810"/>
      <c r="II810"/>
      <c r="IJ810"/>
      <c r="IK810"/>
      <c r="IL810"/>
      <c r="IM810"/>
      <c r="IN810"/>
      <c r="IO810"/>
      <c r="IP810"/>
      <c r="IQ810"/>
      <c r="IR810"/>
      <c r="IS810"/>
      <c r="IT810"/>
      <c r="IU810"/>
      <c r="IV810"/>
      <c r="IW810"/>
      <c r="IX810"/>
      <c r="IY810"/>
      <c r="IZ810"/>
      <c r="JA810"/>
      <c r="JB810"/>
      <c r="JC810"/>
      <c r="JD810"/>
      <c r="JE810"/>
      <c r="JF810"/>
      <c r="JG810"/>
      <c r="JH810"/>
      <c r="JI810"/>
      <c r="JJ810"/>
      <c r="JK810"/>
      <c r="JL810"/>
      <c r="JM810"/>
      <c r="JN810"/>
      <c r="JO810"/>
      <c r="JP810"/>
      <c r="JQ810"/>
      <c r="JR810"/>
      <c r="JS810"/>
      <c r="JT810"/>
      <c r="JU810"/>
      <c r="JV810"/>
      <c r="JW810"/>
      <c r="JX810"/>
      <c r="JY810"/>
      <c r="JZ810"/>
      <c r="KA810"/>
      <c r="KB810"/>
      <c r="KC810"/>
      <c r="KD810"/>
      <c r="KE810"/>
      <c r="KF810"/>
      <c r="KG810"/>
      <c r="KH810"/>
      <c r="KI810"/>
      <c r="KJ810"/>
      <c r="KK810"/>
      <c r="KL810"/>
      <c r="KM810"/>
      <c r="KN810"/>
      <c r="KO810"/>
      <c r="KP810"/>
      <c r="KQ810"/>
      <c r="KR810"/>
      <c r="KS810"/>
      <c r="KT810"/>
      <c r="KU810"/>
      <c r="KV810"/>
      <c r="KW810"/>
      <c r="KX810"/>
      <c r="KY810"/>
      <c r="KZ810"/>
      <c r="LA810"/>
      <c r="LB810"/>
      <c r="LC810"/>
      <c r="LD810"/>
      <c r="LE810"/>
      <c r="LF810"/>
      <c r="LG810"/>
      <c r="LH810"/>
      <c r="LI810"/>
      <c r="LJ810"/>
      <c r="LK810"/>
      <c r="LL810"/>
      <c r="LM810"/>
      <c r="LN810"/>
      <c r="LO810"/>
      <c r="LP810"/>
      <c r="LQ810"/>
      <c r="LR810"/>
      <c r="LS810"/>
      <c r="LT810"/>
      <c r="LU810"/>
      <c r="LV810"/>
      <c r="LW810"/>
      <c r="LX810"/>
      <c r="LY810"/>
      <c r="LZ810"/>
      <c r="MA810"/>
      <c r="MB810"/>
      <c r="MC810"/>
      <c r="MD810"/>
      <c r="ME810"/>
      <c r="MF810"/>
      <c r="MG810"/>
      <c r="MH810"/>
      <c r="MI810"/>
      <c r="MJ810"/>
      <c r="MK810"/>
      <c r="ML810"/>
      <c r="MM810"/>
      <c r="MN810"/>
      <c r="MO810"/>
      <c r="MP810"/>
      <c r="MQ810"/>
      <c r="MR810"/>
      <c r="MS810"/>
      <c r="MT810"/>
      <c r="MU810"/>
      <c r="MV810"/>
      <c r="MW810"/>
      <c r="MX810"/>
      <c r="MY810"/>
      <c r="MZ810"/>
      <c r="NA810"/>
      <c r="NB810"/>
      <c r="NC810"/>
      <c r="ND810"/>
      <c r="NE810"/>
      <c r="NF810"/>
      <c r="NG810"/>
      <c r="NH810"/>
      <c r="NI810"/>
      <c r="NJ810"/>
      <c r="NK810"/>
      <c r="NL810"/>
      <c r="NM810"/>
      <c r="NN810"/>
      <c r="NO810"/>
      <c r="NP810"/>
      <c r="NQ810"/>
      <c r="NR810"/>
      <c r="NS810"/>
      <c r="NT810"/>
      <c r="NU810"/>
      <c r="NV810"/>
      <c r="NW810"/>
      <c r="NX810"/>
      <c r="NY810"/>
      <c r="NZ810"/>
      <c r="OA810"/>
      <c r="OB810"/>
      <c r="OC810"/>
      <c r="OD810"/>
      <c r="OE810"/>
      <c r="OF810"/>
      <c r="OG810"/>
      <c r="OH810"/>
      <c r="OI810"/>
      <c r="OJ810"/>
      <c r="OK810"/>
      <c r="OL810"/>
      <c r="OM810"/>
      <c r="ON810"/>
      <c r="OO810"/>
      <c r="OP810"/>
      <c r="OQ810"/>
      <c r="OR810"/>
      <c r="OS810"/>
      <c r="OT810"/>
      <c r="OU810"/>
      <c r="OV810"/>
      <c r="OW810"/>
      <c r="OX810"/>
      <c r="OY810"/>
      <c r="OZ810"/>
      <c r="PA810"/>
      <c r="PB810"/>
      <c r="PC810"/>
      <c r="PD810"/>
      <c r="PE810"/>
      <c r="PF810"/>
      <c r="PG810"/>
      <c r="PH810"/>
      <c r="PI810"/>
      <c r="PJ810"/>
      <c r="PK810"/>
      <c r="PL810"/>
      <c r="PM810"/>
      <c r="PN810"/>
      <c r="PO810"/>
      <c r="PP810"/>
      <c r="PQ810"/>
      <c r="PR810"/>
      <c r="PS810"/>
      <c r="PT810"/>
      <c r="PU810"/>
      <c r="PV810"/>
      <c r="PW810"/>
      <c r="PX810"/>
      <c r="PY810"/>
      <c r="PZ810"/>
      <c r="QA810"/>
      <c r="QB810"/>
      <c r="QC810"/>
      <c r="QD810"/>
      <c r="QE810"/>
      <c r="QF810"/>
      <c r="QG810"/>
      <c r="QH810"/>
      <c r="QI810"/>
      <c r="QJ810"/>
      <c r="QK810"/>
      <c r="QL810"/>
      <c r="QM810"/>
      <c r="QN810"/>
      <c r="QO810"/>
      <c r="QP810"/>
      <c r="QQ810"/>
      <c r="QR810"/>
      <c r="QS810"/>
      <c r="QT810"/>
      <c r="QU810"/>
      <c r="QV810"/>
      <c r="QW810"/>
      <c r="QX810"/>
      <c r="QY810"/>
      <c r="QZ810"/>
      <c r="RA810"/>
      <c r="RB810"/>
      <c r="RC810"/>
      <c r="RD810"/>
      <c r="RE810"/>
      <c r="RF810"/>
      <c r="RG810"/>
      <c r="RH810"/>
      <c r="RI810"/>
      <c r="RJ810"/>
      <c r="RK810"/>
      <c r="RL810"/>
      <c r="RM810"/>
      <c r="RN810"/>
      <c r="RO810"/>
      <c r="RP810"/>
      <c r="RQ810"/>
      <c r="RR810"/>
      <c r="RS810"/>
      <c r="RT810"/>
      <c r="RU810"/>
      <c r="RV810"/>
      <c r="RW810"/>
      <c r="RX810"/>
      <c r="RY810"/>
      <c r="RZ810"/>
      <c r="SA810"/>
      <c r="SB810"/>
      <c r="SC810"/>
      <c r="SD810"/>
      <c r="SE810"/>
      <c r="SF810"/>
      <c r="SG810"/>
      <c r="SH810"/>
      <c r="SI810"/>
      <c r="SJ810"/>
      <c r="SK810"/>
      <c r="SL810"/>
      <c r="SM810"/>
      <c r="SN810"/>
      <c r="SO810"/>
      <c r="SP810"/>
      <c r="SQ810"/>
      <c r="SR810"/>
      <c r="SS810"/>
      <c r="ST810"/>
      <c r="SU810"/>
      <c r="SV810"/>
      <c r="SW810"/>
      <c r="SX810"/>
      <c r="SY810"/>
      <c r="SZ810"/>
      <c r="TA810"/>
      <c r="TB810"/>
      <c r="TC810"/>
      <c r="TD810"/>
      <c r="TE810"/>
      <c r="TF810"/>
      <c r="TG810"/>
      <c r="TH810"/>
      <c r="TI810"/>
      <c r="TJ810"/>
      <c r="TK810"/>
      <c r="TL810"/>
      <c r="TM810"/>
      <c r="TN810"/>
      <c r="TO810"/>
      <c r="TP810"/>
      <c r="TQ810"/>
      <c r="TR810"/>
      <c r="TS810"/>
      <c r="TT810"/>
      <c r="TU810"/>
      <c r="TV810"/>
      <c r="TW810"/>
      <c r="TX810"/>
      <c r="TY810"/>
      <c r="TZ810"/>
      <c r="UA810"/>
      <c r="UB810"/>
      <c r="UC810"/>
      <c r="UD810"/>
      <c r="UE810"/>
      <c r="UF810"/>
      <c r="UG810"/>
      <c r="UH810"/>
      <c r="UI810"/>
      <c r="UJ810"/>
      <c r="UK810"/>
      <c r="UL810"/>
      <c r="UM810"/>
      <c r="UN810"/>
      <c r="UO810"/>
      <c r="UP810"/>
      <c r="UQ810"/>
      <c r="UR810"/>
      <c r="US810"/>
      <c r="UT810"/>
      <c r="UU810"/>
      <c r="UV810"/>
      <c r="UW810"/>
      <c r="UX810"/>
      <c r="UY810"/>
      <c r="UZ810"/>
      <c r="VA810"/>
      <c r="VB810"/>
      <c r="VC810"/>
      <c r="VD810"/>
      <c r="VE810"/>
      <c r="VF810"/>
      <c r="VG810"/>
      <c r="VH810"/>
      <c r="VI810"/>
      <c r="VJ810"/>
      <c r="VK810"/>
      <c r="VL810"/>
      <c r="VM810"/>
      <c r="VN810"/>
      <c r="VO810"/>
      <c r="VP810"/>
      <c r="VQ810"/>
      <c r="VR810"/>
      <c r="VS810"/>
      <c r="VT810"/>
      <c r="VU810"/>
      <c r="VV810"/>
      <c r="VW810"/>
      <c r="VX810"/>
      <c r="VY810"/>
      <c r="VZ810"/>
      <c r="WA810"/>
      <c r="WB810"/>
      <c r="WC810"/>
      <c r="WD810"/>
      <c r="WE810"/>
      <c r="WF810"/>
      <c r="WG810"/>
      <c r="WH810"/>
      <c r="WI810"/>
      <c r="WJ810"/>
      <c r="WK810"/>
      <c r="WL810"/>
      <c r="WM810"/>
      <c r="WN810"/>
      <c r="WO810"/>
      <c r="WP810"/>
      <c r="WQ810"/>
      <c r="WR810"/>
      <c r="WS810"/>
      <c r="WT810"/>
      <c r="WU810"/>
      <c r="WV810"/>
      <c r="WW810"/>
      <c r="WX810"/>
      <c r="WY810"/>
      <c r="WZ810"/>
      <c r="XA810"/>
      <c r="XB810"/>
      <c r="XC810"/>
      <c r="XD810"/>
      <c r="XE810"/>
      <c r="XF810"/>
      <c r="XG810"/>
      <c r="XH810"/>
      <c r="XI810"/>
      <c r="XJ810"/>
      <c r="XK810"/>
      <c r="XL810"/>
      <c r="XM810"/>
      <c r="XN810"/>
      <c r="XO810"/>
      <c r="XP810"/>
      <c r="XQ810"/>
      <c r="XR810"/>
      <c r="XS810"/>
      <c r="XT810"/>
      <c r="XU810"/>
      <c r="XV810"/>
      <c r="XW810"/>
      <c r="XX810"/>
      <c r="XY810"/>
      <c r="XZ810"/>
      <c r="YA810"/>
      <c r="YB810"/>
      <c r="YC810"/>
      <c r="YD810"/>
      <c r="YE810"/>
      <c r="YF810"/>
      <c r="YG810"/>
      <c r="YH810"/>
      <c r="YI810"/>
      <c r="YJ810"/>
      <c r="YK810"/>
      <c r="YL810"/>
      <c r="YM810"/>
      <c r="YN810"/>
      <c r="YO810"/>
      <c r="YP810"/>
      <c r="YQ810"/>
      <c r="YR810"/>
      <c r="YS810"/>
      <c r="YT810"/>
      <c r="YU810"/>
      <c r="YV810"/>
      <c r="YW810"/>
      <c r="YX810"/>
      <c r="YY810"/>
      <c r="YZ810"/>
      <c r="ZA810"/>
      <c r="ZB810"/>
      <c r="ZC810"/>
      <c r="ZD810"/>
      <c r="ZE810"/>
      <c r="ZF810"/>
      <c r="ZG810"/>
      <c r="ZH810"/>
      <c r="ZI810"/>
      <c r="ZJ810"/>
      <c r="ZK810"/>
      <c r="ZL810"/>
      <c r="ZM810"/>
      <c r="ZN810"/>
      <c r="ZO810"/>
      <c r="ZP810"/>
      <c r="ZQ810"/>
      <c r="ZR810"/>
      <c r="ZS810"/>
      <c r="ZT810"/>
      <c r="ZU810"/>
      <c r="ZV810"/>
      <c r="ZW810"/>
      <c r="ZX810"/>
      <c r="ZY810"/>
      <c r="ZZ810"/>
      <c r="AAA810"/>
      <c r="AAB810"/>
      <c r="AAC810"/>
      <c r="AAD810"/>
      <c r="AAE810"/>
      <c r="AAF810"/>
      <c r="AAG810"/>
      <c r="AAH810"/>
      <c r="AAI810"/>
      <c r="AAJ810"/>
      <c r="AAK810"/>
      <c r="AAL810"/>
      <c r="AAM810"/>
      <c r="AAN810"/>
      <c r="AAO810"/>
      <c r="AAP810"/>
      <c r="AAQ810"/>
      <c r="AAR810"/>
      <c r="AAS810"/>
      <c r="AAT810"/>
      <c r="AAU810"/>
      <c r="AAV810"/>
      <c r="AAW810"/>
      <c r="AAX810"/>
      <c r="AAY810"/>
      <c r="AAZ810"/>
      <c r="ABA810"/>
      <c r="ABB810"/>
      <c r="ABC810"/>
      <c r="ABD810"/>
      <c r="ABE810"/>
      <c r="ABF810"/>
      <c r="ABG810"/>
      <c r="ABH810"/>
      <c r="ABI810"/>
      <c r="ABJ810"/>
      <c r="ABK810"/>
      <c r="ABL810"/>
      <c r="ABM810"/>
      <c r="ABN810"/>
      <c r="ABO810"/>
      <c r="ABP810"/>
      <c r="ABQ810"/>
      <c r="ABR810"/>
      <c r="ABS810"/>
      <c r="ABT810"/>
      <c r="ABU810"/>
      <c r="ABV810"/>
      <c r="ABW810"/>
      <c r="ABX810"/>
      <c r="ABY810"/>
      <c r="ABZ810"/>
      <c r="ACA810"/>
      <c r="ACB810"/>
      <c r="ACC810"/>
      <c r="ACD810"/>
      <c r="ACE810"/>
      <c r="ACF810"/>
      <c r="ACG810"/>
      <c r="ACH810"/>
      <c r="ACI810"/>
      <c r="ACJ810"/>
      <c r="ACK810"/>
      <c r="ACL810"/>
      <c r="ACM810"/>
      <c r="ACN810"/>
      <c r="ACO810"/>
      <c r="ACP810"/>
      <c r="ACQ810"/>
      <c r="ACR810"/>
      <c r="ACS810"/>
      <c r="ACT810"/>
      <c r="ACU810"/>
      <c r="ACV810"/>
      <c r="ACW810"/>
      <c r="ACX810"/>
      <c r="ACY810"/>
      <c r="ACZ810"/>
      <c r="ADA810"/>
      <c r="ADB810"/>
      <c r="ADC810"/>
      <c r="ADD810"/>
      <c r="ADE810"/>
      <c r="ADF810"/>
      <c r="ADG810"/>
      <c r="ADH810"/>
      <c r="ADI810"/>
      <c r="ADJ810"/>
      <c r="ADK810"/>
      <c r="ADL810"/>
      <c r="ADM810"/>
      <c r="ADN810"/>
      <c r="ADO810"/>
      <c r="ADP810"/>
      <c r="ADQ810"/>
      <c r="ADR810"/>
      <c r="ADS810"/>
      <c r="ADT810"/>
      <c r="ADU810"/>
      <c r="ADV810"/>
      <c r="ADW810"/>
      <c r="ADX810"/>
      <c r="ADY810"/>
      <c r="ADZ810"/>
      <c r="AEA810"/>
      <c r="AEB810"/>
      <c r="AEC810"/>
      <c r="AED810"/>
      <c r="AEE810"/>
      <c r="AEF810"/>
      <c r="AEG810"/>
      <c r="AEH810"/>
      <c r="AEI810"/>
      <c r="AEJ810"/>
      <c r="AEK810"/>
      <c r="AEL810"/>
      <c r="AEM810"/>
      <c r="AEN810"/>
      <c r="AEO810"/>
      <c r="AEP810"/>
      <c r="AEQ810"/>
      <c r="AER810"/>
      <c r="AES810"/>
      <c r="AET810"/>
      <c r="AEU810"/>
      <c r="AEV810"/>
      <c r="AEW810"/>
      <c r="AEX810"/>
      <c r="AEY810"/>
      <c r="AEZ810"/>
      <c r="AFA810"/>
      <c r="AFB810"/>
      <c r="AFC810"/>
      <c r="AFD810"/>
      <c r="AFE810"/>
      <c r="AFF810"/>
      <c r="AFG810"/>
      <c r="AFH810"/>
      <c r="AFI810"/>
      <c r="AFJ810"/>
      <c r="AFK810"/>
      <c r="AFL810"/>
      <c r="AFM810"/>
      <c r="AFN810"/>
      <c r="AFO810"/>
      <c r="AFP810"/>
      <c r="AFQ810"/>
      <c r="AFR810"/>
      <c r="AFS810"/>
      <c r="AFT810"/>
      <c r="AFU810"/>
      <c r="AFV810"/>
      <c r="AFW810"/>
      <c r="AFX810"/>
      <c r="AFY810"/>
      <c r="AFZ810"/>
      <c r="AGA810"/>
      <c r="AGB810"/>
      <c r="AGC810"/>
      <c r="AGD810"/>
      <c r="AGE810"/>
      <c r="AGF810"/>
      <c r="AGG810"/>
      <c r="AGH810"/>
      <c r="AGI810"/>
      <c r="AGJ810"/>
      <c r="AGK810"/>
      <c r="AGL810"/>
      <c r="AGM810"/>
      <c r="AGN810"/>
      <c r="AGO810"/>
      <c r="AGP810"/>
      <c r="AGQ810"/>
      <c r="AGR810"/>
      <c r="AGS810"/>
      <c r="AGT810"/>
      <c r="AGU810"/>
      <c r="AGV810"/>
      <c r="AGW810"/>
      <c r="AGX810"/>
      <c r="AGY810"/>
      <c r="AGZ810"/>
      <c r="AHA810"/>
      <c r="AHB810"/>
      <c r="AHC810"/>
      <c r="AHD810"/>
      <c r="AHE810"/>
      <c r="AHF810"/>
      <c r="AHG810"/>
      <c r="AHH810"/>
      <c r="AHI810"/>
      <c r="AHJ810"/>
      <c r="AHK810"/>
      <c r="AHL810"/>
      <c r="AHM810"/>
      <c r="AHN810"/>
      <c r="AHO810"/>
      <c r="AHP810"/>
      <c r="AHQ810"/>
      <c r="AHR810"/>
      <c r="AHS810"/>
      <c r="AHT810"/>
      <c r="AHU810"/>
      <c r="AHV810"/>
      <c r="AHW810"/>
      <c r="AHX810"/>
      <c r="AHY810"/>
      <c r="AHZ810"/>
      <c r="AIA810"/>
      <c r="AIB810"/>
      <c r="AIC810"/>
      <c r="AID810"/>
      <c r="AIE810"/>
      <c r="AIF810"/>
      <c r="AIG810"/>
      <c r="AIH810"/>
      <c r="AII810"/>
      <c r="AIJ810"/>
      <c r="AIK810"/>
      <c r="AIL810"/>
      <c r="AIM810"/>
      <c r="AIN810"/>
      <c r="AIO810"/>
      <c r="AIP810"/>
      <c r="AIQ810"/>
      <c r="AIR810"/>
      <c r="AIS810"/>
      <c r="AIT810"/>
      <c r="AIU810"/>
      <c r="AIV810"/>
      <c r="AIW810"/>
      <c r="AIX810"/>
      <c r="AIY810"/>
      <c r="AIZ810"/>
      <c r="AJA810"/>
      <c r="AJB810"/>
      <c r="AJC810"/>
      <c r="AJD810"/>
      <c r="AJE810"/>
      <c r="AJF810"/>
      <c r="AJG810"/>
      <c r="AJH810"/>
      <c r="AJI810"/>
      <c r="AJJ810"/>
      <c r="AJK810"/>
      <c r="AJL810"/>
      <c r="AJM810"/>
      <c r="AJN810"/>
      <c r="AJO810"/>
      <c r="AJP810"/>
      <c r="AJQ810"/>
      <c r="AJR810"/>
      <c r="AJS810"/>
      <c r="AJT810"/>
      <c r="AJU810"/>
      <c r="AJV810"/>
      <c r="AJW810"/>
      <c r="AJX810"/>
      <c r="AJY810"/>
      <c r="AJZ810"/>
      <c r="AKA810"/>
      <c r="AKB810"/>
      <c r="AKC810"/>
      <c r="AKD810"/>
      <c r="AKE810"/>
      <c r="AKF810"/>
      <c r="AKG810"/>
      <c r="AKH810"/>
      <c r="AKI810"/>
      <c r="AKJ810"/>
      <c r="AKK810"/>
      <c r="AKL810"/>
      <c r="AKM810"/>
      <c r="AKN810"/>
      <c r="AKO810"/>
      <c r="AKP810"/>
      <c r="AKQ810"/>
      <c r="AKR810"/>
      <c r="AKS810"/>
      <c r="AKT810"/>
      <c r="AKU810"/>
      <c r="AKV810"/>
      <c r="AKW810"/>
      <c r="AKX810"/>
      <c r="AKY810"/>
      <c r="AKZ810"/>
      <c r="ALA810"/>
      <c r="ALB810"/>
      <c r="ALC810"/>
      <c r="ALD810"/>
      <c r="ALE810"/>
      <c r="ALF810"/>
      <c r="ALG810"/>
      <c r="ALH810"/>
      <c r="ALI810"/>
      <c r="ALJ810"/>
      <c r="ALK810"/>
      <c r="ALL810"/>
      <c r="ALM810"/>
      <c r="ALN810"/>
      <c r="ALO810"/>
      <c r="ALP810"/>
      <c r="ALQ810"/>
      <c r="ALR810"/>
      <c r="ALS810"/>
      <c r="ALT810"/>
    </row>
    <row r="811" spans="1:1008" ht="14">
      <c r="A811" s="25" t="s">
        <v>2826</v>
      </c>
      <c r="B811" s="26" t="s">
        <v>2824</v>
      </c>
      <c r="C811" s="25" t="str">
        <f t="shared" si="12"/>
        <v>antibody</v>
      </c>
      <c r="D811" s="27" t="s">
        <v>13</v>
      </c>
      <c r="E811" s="25" t="s">
        <v>2827</v>
      </c>
      <c r="F811" s="25" t="s">
        <v>2828</v>
      </c>
      <c r="G811" s="25">
        <v>500</v>
      </c>
      <c r="H811" s="28"/>
      <c r="I811"/>
      <c r="J811"/>
      <c r="K811"/>
      <c r="L811"/>
      <c r="M811"/>
      <c r="N811"/>
      <c r="O811"/>
      <c r="P811"/>
      <c r="Q811"/>
      <c r="R811"/>
      <c r="S811"/>
      <c r="T811"/>
      <c r="U811"/>
      <c r="V811"/>
      <c r="W811"/>
      <c r="X811"/>
      <c r="Y811"/>
      <c r="Z811"/>
      <c r="AA811"/>
      <c r="AB811"/>
      <c r="AC811"/>
      <c r="AD811"/>
      <c r="AE811"/>
      <c r="AF811"/>
      <c r="AG811"/>
      <c r="AH811"/>
      <c r="AI811"/>
      <c r="AJ811"/>
      <c r="AK811"/>
      <c r="AL811"/>
      <c r="AM811"/>
      <c r="AN811"/>
      <c r="AO811"/>
      <c r="AP811"/>
      <c r="AQ811"/>
      <c r="AR811"/>
      <c r="AS811"/>
      <c r="AT811"/>
      <c r="AU811"/>
      <c r="AV811"/>
      <c r="AW811"/>
      <c r="AX811"/>
      <c r="AY811"/>
      <c r="AZ811"/>
      <c r="BA811"/>
      <c r="BB811"/>
      <c r="BC811"/>
      <c r="BD811"/>
      <c r="BE811"/>
      <c r="BF811"/>
      <c r="BG811"/>
      <c r="BH811"/>
      <c r="BI811"/>
      <c r="BJ811"/>
      <c r="BK811"/>
      <c r="BL811"/>
      <c r="BM811"/>
      <c r="BN811"/>
      <c r="BO811"/>
      <c r="BP811"/>
      <c r="BQ811"/>
      <c r="BR811"/>
      <c r="BS811"/>
      <c r="BT811"/>
      <c r="BU811"/>
      <c r="BV811"/>
      <c r="BW811"/>
      <c r="BX811"/>
      <c r="BY811"/>
      <c r="BZ811"/>
      <c r="CA811"/>
      <c r="CB811"/>
      <c r="CC811"/>
      <c r="CD811"/>
      <c r="CE811"/>
      <c r="CF811"/>
      <c r="CG811"/>
      <c r="CH811"/>
      <c r="CI811"/>
      <c r="CJ811"/>
      <c r="CK811"/>
      <c r="CL811"/>
      <c r="CM811"/>
      <c r="CN811"/>
      <c r="CO811"/>
      <c r="CP811"/>
      <c r="CQ811"/>
      <c r="CR811"/>
      <c r="CS811"/>
      <c r="CT811"/>
      <c r="CU811"/>
      <c r="CV811"/>
      <c r="CW811"/>
      <c r="CX811"/>
      <c r="CY811"/>
      <c r="CZ811"/>
      <c r="DA811"/>
      <c r="DB811"/>
      <c r="DC811"/>
      <c r="DD811"/>
      <c r="DE811"/>
      <c r="DF811"/>
      <c r="DG811"/>
      <c r="DH811"/>
      <c r="DI811"/>
      <c r="DJ811"/>
      <c r="DK811"/>
      <c r="DL811"/>
      <c r="DM811"/>
      <c r="DN811"/>
      <c r="DO811"/>
      <c r="DP811"/>
      <c r="DQ811"/>
      <c r="DR811"/>
      <c r="DS811"/>
      <c r="DT811"/>
      <c r="DU811"/>
      <c r="DV811"/>
      <c r="DW811"/>
      <c r="DX811"/>
      <c r="DY811"/>
      <c r="DZ811"/>
      <c r="EA811"/>
      <c r="EB811"/>
      <c r="EC811"/>
      <c r="ED811"/>
      <c r="EE811"/>
      <c r="EF811"/>
      <c r="EG811"/>
      <c r="EH811"/>
      <c r="EI811"/>
      <c r="EJ811"/>
      <c r="EK811"/>
      <c r="EL811"/>
      <c r="EM811"/>
      <c r="EN811"/>
      <c r="EO811"/>
      <c r="EP811"/>
      <c r="EQ811"/>
      <c r="ER811"/>
      <c r="ES811"/>
      <c r="ET811"/>
      <c r="EU811"/>
      <c r="EV811"/>
      <c r="EW811"/>
      <c r="EX811"/>
      <c r="EY811"/>
      <c r="EZ811"/>
      <c r="FA811"/>
      <c r="FB811"/>
      <c r="FC811"/>
      <c r="FD811"/>
      <c r="FE811"/>
      <c r="FF811"/>
      <c r="FG811"/>
      <c r="FH811"/>
      <c r="FI811"/>
      <c r="FJ811"/>
      <c r="FK811"/>
      <c r="FL811"/>
      <c r="FM811"/>
      <c r="FN811"/>
      <c r="FO811"/>
      <c r="FP811"/>
      <c r="FQ811"/>
      <c r="FR811"/>
      <c r="FS811"/>
      <c r="FT811"/>
      <c r="FU811"/>
      <c r="FV811"/>
      <c r="FW811"/>
      <c r="FX811"/>
      <c r="FY811"/>
      <c r="FZ811"/>
      <c r="GA811"/>
      <c r="GB811"/>
      <c r="GC811"/>
      <c r="GD811"/>
      <c r="GE811"/>
      <c r="GF811"/>
      <c r="GG811"/>
      <c r="GH811"/>
      <c r="GI811"/>
      <c r="GJ811"/>
      <c r="GK811"/>
      <c r="GL811"/>
      <c r="GM811"/>
      <c r="GN811"/>
      <c r="GO811"/>
      <c r="GP811"/>
      <c r="GQ811"/>
      <c r="GR811"/>
      <c r="GS811"/>
      <c r="GT811"/>
      <c r="GU811"/>
      <c r="GV811"/>
      <c r="GW811"/>
      <c r="GX811"/>
      <c r="GY811"/>
      <c r="GZ811"/>
      <c r="HA811"/>
      <c r="HB811"/>
      <c r="HC811"/>
      <c r="HD811"/>
      <c r="HE811"/>
      <c r="HF811"/>
      <c r="HG811"/>
      <c r="HH811"/>
      <c r="HI811"/>
      <c r="HJ811"/>
      <c r="HK811"/>
      <c r="HL811"/>
      <c r="HM811"/>
      <c r="HN811"/>
      <c r="HO811"/>
      <c r="HP811"/>
      <c r="HQ811"/>
      <c r="HR811"/>
      <c r="HS811"/>
      <c r="HT811"/>
      <c r="HU811"/>
      <c r="HV811"/>
      <c r="HW811"/>
      <c r="HX811"/>
      <c r="HY811"/>
      <c r="HZ811"/>
      <c r="IA811"/>
      <c r="IB811"/>
      <c r="IC811"/>
      <c r="ID811"/>
      <c r="IE811"/>
      <c r="IF811"/>
      <c r="IG811"/>
      <c r="IH811"/>
      <c r="II811"/>
      <c r="IJ811"/>
      <c r="IK811"/>
      <c r="IL811"/>
      <c r="IM811"/>
      <c r="IN811"/>
      <c r="IO811"/>
      <c r="IP811"/>
      <c r="IQ811"/>
      <c r="IR811"/>
      <c r="IS811"/>
      <c r="IT811"/>
      <c r="IU811"/>
      <c r="IV811"/>
      <c r="IW811"/>
      <c r="IX811"/>
      <c r="IY811"/>
      <c r="IZ811"/>
      <c r="JA811"/>
      <c r="JB811"/>
      <c r="JC811"/>
      <c r="JD811"/>
      <c r="JE811"/>
      <c r="JF811"/>
      <c r="JG811"/>
      <c r="JH811"/>
      <c r="JI811"/>
      <c r="JJ811"/>
      <c r="JK811"/>
      <c r="JL811"/>
      <c r="JM811"/>
      <c r="JN811"/>
      <c r="JO811"/>
      <c r="JP811"/>
      <c r="JQ811"/>
      <c r="JR811"/>
      <c r="JS811"/>
      <c r="JT811"/>
      <c r="JU811"/>
      <c r="JV811"/>
      <c r="JW811"/>
      <c r="JX811"/>
      <c r="JY811"/>
      <c r="JZ811"/>
      <c r="KA811"/>
      <c r="KB811"/>
      <c r="KC811"/>
      <c r="KD811"/>
      <c r="KE811"/>
      <c r="KF811"/>
      <c r="KG811"/>
      <c r="KH811"/>
      <c r="KI811"/>
      <c r="KJ811"/>
      <c r="KK811"/>
      <c r="KL811"/>
      <c r="KM811"/>
      <c r="KN811"/>
      <c r="KO811"/>
      <c r="KP811"/>
      <c r="KQ811"/>
      <c r="KR811"/>
      <c r="KS811"/>
      <c r="KT811"/>
      <c r="KU811"/>
      <c r="KV811"/>
      <c r="KW811"/>
      <c r="KX811"/>
      <c r="KY811"/>
      <c r="KZ811"/>
      <c r="LA811"/>
      <c r="LB811"/>
      <c r="LC811"/>
      <c r="LD811"/>
      <c r="LE811"/>
      <c r="LF811"/>
      <c r="LG811"/>
      <c r="LH811"/>
      <c r="LI811"/>
      <c r="LJ811"/>
      <c r="LK811"/>
      <c r="LL811"/>
      <c r="LM811"/>
      <c r="LN811"/>
      <c r="LO811"/>
      <c r="LP811"/>
      <c r="LQ811"/>
      <c r="LR811"/>
      <c r="LS811"/>
      <c r="LT811"/>
      <c r="LU811"/>
      <c r="LV811"/>
      <c r="LW811"/>
      <c r="LX811"/>
      <c r="LY811"/>
      <c r="LZ811"/>
      <c r="MA811"/>
      <c r="MB811"/>
      <c r="MC811"/>
      <c r="MD811"/>
      <c r="ME811"/>
      <c r="MF811"/>
      <c r="MG811"/>
      <c r="MH811"/>
      <c r="MI811"/>
      <c r="MJ811"/>
      <c r="MK811"/>
      <c r="ML811"/>
      <c r="MM811"/>
      <c r="MN811"/>
      <c r="MO811"/>
      <c r="MP811"/>
      <c r="MQ811"/>
      <c r="MR811"/>
      <c r="MS811"/>
      <c r="MT811"/>
      <c r="MU811"/>
      <c r="MV811"/>
      <c r="MW811"/>
      <c r="MX811"/>
      <c r="MY811"/>
      <c r="MZ811"/>
      <c r="NA811"/>
      <c r="NB811"/>
      <c r="NC811"/>
      <c r="ND811"/>
      <c r="NE811"/>
      <c r="NF811"/>
      <c r="NG811"/>
      <c r="NH811"/>
      <c r="NI811"/>
      <c r="NJ811"/>
      <c r="NK811"/>
      <c r="NL811"/>
      <c r="NM811"/>
      <c r="NN811"/>
      <c r="NO811"/>
      <c r="NP811"/>
      <c r="NQ811"/>
      <c r="NR811"/>
      <c r="NS811"/>
      <c r="NT811"/>
      <c r="NU811"/>
      <c r="NV811"/>
      <c r="NW811"/>
      <c r="NX811"/>
      <c r="NY811"/>
      <c r="NZ811"/>
      <c r="OA811"/>
      <c r="OB811"/>
      <c r="OC811"/>
      <c r="OD811"/>
      <c r="OE811"/>
      <c r="OF811"/>
      <c r="OG811"/>
      <c r="OH811"/>
      <c r="OI811"/>
      <c r="OJ811"/>
      <c r="OK811"/>
      <c r="OL811"/>
      <c r="OM811"/>
      <c r="ON811"/>
      <c r="OO811"/>
      <c r="OP811"/>
      <c r="OQ811"/>
      <c r="OR811"/>
      <c r="OS811"/>
      <c r="OT811"/>
      <c r="OU811"/>
      <c r="OV811"/>
      <c r="OW811"/>
      <c r="OX811"/>
      <c r="OY811"/>
      <c r="OZ811"/>
      <c r="PA811"/>
      <c r="PB811"/>
      <c r="PC811"/>
      <c r="PD811"/>
      <c r="PE811"/>
      <c r="PF811"/>
      <c r="PG811"/>
      <c r="PH811"/>
      <c r="PI811"/>
      <c r="PJ811"/>
      <c r="PK811"/>
      <c r="PL811"/>
      <c r="PM811"/>
      <c r="PN811"/>
      <c r="PO811"/>
      <c r="PP811"/>
      <c r="PQ811"/>
      <c r="PR811"/>
      <c r="PS811"/>
      <c r="PT811"/>
      <c r="PU811"/>
      <c r="PV811"/>
      <c r="PW811"/>
      <c r="PX811"/>
      <c r="PY811"/>
      <c r="PZ811"/>
      <c r="QA811"/>
      <c r="QB811"/>
      <c r="QC811"/>
      <c r="QD811"/>
      <c r="QE811"/>
      <c r="QF811"/>
      <c r="QG811"/>
      <c r="QH811"/>
      <c r="QI811"/>
      <c r="QJ811"/>
      <c r="QK811"/>
      <c r="QL811"/>
      <c r="QM811"/>
      <c r="QN811"/>
      <c r="QO811"/>
      <c r="QP811"/>
      <c r="QQ811"/>
      <c r="QR811"/>
      <c r="QS811"/>
      <c r="QT811"/>
      <c r="QU811"/>
      <c r="QV811"/>
      <c r="QW811"/>
      <c r="QX811"/>
      <c r="QY811"/>
      <c r="QZ811"/>
      <c r="RA811"/>
      <c r="RB811"/>
      <c r="RC811"/>
      <c r="RD811"/>
      <c r="RE811"/>
      <c r="RF811"/>
      <c r="RG811"/>
      <c r="RH811"/>
      <c r="RI811"/>
      <c r="RJ811"/>
      <c r="RK811"/>
      <c r="RL811"/>
      <c r="RM811"/>
      <c r="RN811"/>
      <c r="RO811"/>
      <c r="RP811"/>
      <c r="RQ811"/>
      <c r="RR811"/>
      <c r="RS811"/>
      <c r="RT811"/>
      <c r="RU811"/>
      <c r="RV811"/>
      <c r="RW811"/>
      <c r="RX811"/>
      <c r="RY811"/>
      <c r="RZ811"/>
      <c r="SA811"/>
      <c r="SB811"/>
      <c r="SC811"/>
      <c r="SD811"/>
      <c r="SE811"/>
      <c r="SF811"/>
      <c r="SG811"/>
      <c r="SH811"/>
      <c r="SI811"/>
      <c r="SJ811"/>
      <c r="SK811"/>
      <c r="SL811"/>
      <c r="SM811"/>
      <c r="SN811"/>
      <c r="SO811"/>
      <c r="SP811"/>
      <c r="SQ811"/>
      <c r="SR811"/>
      <c r="SS811"/>
      <c r="ST811"/>
      <c r="SU811"/>
      <c r="SV811"/>
      <c r="SW811"/>
      <c r="SX811"/>
      <c r="SY811"/>
      <c r="SZ811"/>
      <c r="TA811"/>
      <c r="TB811"/>
      <c r="TC811"/>
      <c r="TD811"/>
      <c r="TE811"/>
      <c r="TF811"/>
      <c r="TG811"/>
      <c r="TH811"/>
      <c r="TI811"/>
      <c r="TJ811"/>
      <c r="TK811"/>
      <c r="TL811"/>
      <c r="TM811"/>
      <c r="TN811"/>
      <c r="TO811"/>
      <c r="TP811"/>
      <c r="TQ811"/>
      <c r="TR811"/>
      <c r="TS811"/>
      <c r="TT811"/>
      <c r="TU811"/>
      <c r="TV811"/>
      <c r="TW811"/>
      <c r="TX811"/>
      <c r="TY811"/>
      <c r="TZ811"/>
      <c r="UA811"/>
      <c r="UB811"/>
      <c r="UC811"/>
      <c r="UD811"/>
      <c r="UE811"/>
      <c r="UF811"/>
      <c r="UG811"/>
      <c r="UH811"/>
      <c r="UI811"/>
      <c r="UJ811"/>
      <c r="UK811"/>
      <c r="UL811"/>
      <c r="UM811"/>
      <c r="UN811"/>
      <c r="UO811"/>
      <c r="UP811"/>
      <c r="UQ811"/>
      <c r="UR811"/>
      <c r="US811"/>
      <c r="UT811"/>
      <c r="UU811"/>
      <c r="UV811"/>
      <c r="UW811"/>
      <c r="UX811"/>
      <c r="UY811"/>
      <c r="UZ811"/>
      <c r="VA811"/>
      <c r="VB811"/>
      <c r="VC811"/>
      <c r="VD811"/>
      <c r="VE811"/>
      <c r="VF811"/>
      <c r="VG811"/>
      <c r="VH811"/>
      <c r="VI811"/>
      <c r="VJ811"/>
      <c r="VK811"/>
      <c r="VL811"/>
      <c r="VM811"/>
      <c r="VN811"/>
      <c r="VO811"/>
      <c r="VP811"/>
      <c r="VQ811"/>
      <c r="VR811"/>
      <c r="VS811"/>
      <c r="VT811"/>
      <c r="VU811"/>
      <c r="VV811"/>
      <c r="VW811"/>
      <c r="VX811"/>
      <c r="VY811"/>
      <c r="VZ811"/>
      <c r="WA811"/>
      <c r="WB811"/>
      <c r="WC811"/>
      <c r="WD811"/>
      <c r="WE811"/>
      <c r="WF811"/>
      <c r="WG811"/>
      <c r="WH811"/>
      <c r="WI811"/>
      <c r="WJ811"/>
      <c r="WK811"/>
      <c r="WL811"/>
      <c r="WM811"/>
      <c r="WN811"/>
      <c r="WO811"/>
      <c r="WP811"/>
      <c r="WQ811"/>
      <c r="WR811"/>
      <c r="WS811"/>
      <c r="WT811"/>
      <c r="WU811"/>
      <c r="WV811"/>
      <c r="WW811"/>
      <c r="WX811"/>
      <c r="WY811"/>
      <c r="WZ811"/>
      <c r="XA811"/>
      <c r="XB811"/>
      <c r="XC811"/>
      <c r="XD811"/>
      <c r="XE811"/>
      <c r="XF811"/>
      <c r="XG811"/>
      <c r="XH811"/>
      <c r="XI811"/>
      <c r="XJ811"/>
      <c r="XK811"/>
      <c r="XL811"/>
      <c r="XM811"/>
      <c r="XN811"/>
      <c r="XO811"/>
      <c r="XP811"/>
      <c r="XQ811"/>
      <c r="XR811"/>
      <c r="XS811"/>
      <c r="XT811"/>
      <c r="XU811"/>
      <c r="XV811"/>
      <c r="XW811"/>
      <c r="XX811"/>
      <c r="XY811"/>
      <c r="XZ811"/>
      <c r="YA811"/>
      <c r="YB811"/>
      <c r="YC811"/>
      <c r="YD811"/>
      <c r="YE811"/>
      <c r="YF811"/>
      <c r="YG811"/>
      <c r="YH811"/>
      <c r="YI811"/>
      <c r="YJ811"/>
      <c r="YK811"/>
      <c r="YL811"/>
      <c r="YM811"/>
      <c r="YN811"/>
      <c r="YO811"/>
      <c r="YP811"/>
      <c r="YQ811"/>
      <c r="YR811"/>
      <c r="YS811"/>
      <c r="YT811"/>
      <c r="YU811"/>
      <c r="YV811"/>
      <c r="YW811"/>
      <c r="YX811"/>
      <c r="YY811"/>
      <c r="YZ811"/>
      <c r="ZA811"/>
      <c r="ZB811"/>
      <c r="ZC811"/>
      <c r="ZD811"/>
      <c r="ZE811"/>
      <c r="ZF811"/>
      <c r="ZG811"/>
      <c r="ZH811"/>
      <c r="ZI811"/>
      <c r="ZJ811"/>
      <c r="ZK811"/>
      <c r="ZL811"/>
      <c r="ZM811"/>
      <c r="ZN811"/>
      <c r="ZO811"/>
      <c r="ZP811"/>
      <c r="ZQ811"/>
      <c r="ZR811"/>
      <c r="ZS811"/>
      <c r="ZT811"/>
      <c r="ZU811"/>
      <c r="ZV811"/>
      <c r="ZW811"/>
      <c r="ZX811"/>
      <c r="ZY811"/>
      <c r="ZZ811"/>
      <c r="AAA811"/>
      <c r="AAB811"/>
      <c r="AAC811"/>
      <c r="AAD811"/>
      <c r="AAE811"/>
      <c r="AAF811"/>
      <c r="AAG811"/>
      <c r="AAH811"/>
      <c r="AAI811"/>
      <c r="AAJ811"/>
      <c r="AAK811"/>
      <c r="AAL811"/>
      <c r="AAM811"/>
      <c r="AAN811"/>
      <c r="AAO811"/>
      <c r="AAP811"/>
      <c r="AAQ811"/>
      <c r="AAR811"/>
      <c r="AAS811"/>
      <c r="AAT811"/>
      <c r="AAU811"/>
      <c r="AAV811"/>
      <c r="AAW811"/>
      <c r="AAX811"/>
      <c r="AAY811"/>
      <c r="AAZ811"/>
      <c r="ABA811"/>
      <c r="ABB811"/>
      <c r="ABC811"/>
      <c r="ABD811"/>
      <c r="ABE811"/>
      <c r="ABF811"/>
      <c r="ABG811"/>
      <c r="ABH811"/>
      <c r="ABI811"/>
      <c r="ABJ811"/>
      <c r="ABK811"/>
      <c r="ABL811"/>
      <c r="ABM811"/>
      <c r="ABN811"/>
      <c r="ABO811"/>
      <c r="ABP811"/>
      <c r="ABQ811"/>
      <c r="ABR811"/>
      <c r="ABS811"/>
      <c r="ABT811"/>
      <c r="ABU811"/>
      <c r="ABV811"/>
      <c r="ABW811"/>
      <c r="ABX811"/>
      <c r="ABY811"/>
      <c r="ABZ811"/>
      <c r="ACA811"/>
      <c r="ACB811"/>
      <c r="ACC811"/>
      <c r="ACD811"/>
      <c r="ACE811"/>
      <c r="ACF811"/>
      <c r="ACG811"/>
      <c r="ACH811"/>
      <c r="ACI811"/>
      <c r="ACJ811"/>
      <c r="ACK811"/>
      <c r="ACL811"/>
      <c r="ACM811"/>
      <c r="ACN811"/>
      <c r="ACO811"/>
      <c r="ACP811"/>
      <c r="ACQ811"/>
      <c r="ACR811"/>
      <c r="ACS811"/>
      <c r="ACT811"/>
      <c r="ACU811"/>
      <c r="ACV811"/>
      <c r="ACW811"/>
      <c r="ACX811"/>
      <c r="ACY811"/>
      <c r="ACZ811"/>
      <c r="ADA811"/>
      <c r="ADB811"/>
      <c r="ADC811"/>
      <c r="ADD811"/>
      <c r="ADE811"/>
      <c r="ADF811"/>
      <c r="ADG811"/>
      <c r="ADH811"/>
      <c r="ADI811"/>
      <c r="ADJ811"/>
      <c r="ADK811"/>
      <c r="ADL811"/>
      <c r="ADM811"/>
      <c r="ADN811"/>
      <c r="ADO811"/>
      <c r="ADP811"/>
      <c r="ADQ811"/>
      <c r="ADR811"/>
      <c r="ADS811"/>
      <c r="ADT811"/>
      <c r="ADU811"/>
      <c r="ADV811"/>
      <c r="ADW811"/>
      <c r="ADX811"/>
      <c r="ADY811"/>
      <c r="ADZ811"/>
      <c r="AEA811"/>
      <c r="AEB811"/>
      <c r="AEC811"/>
      <c r="AED811"/>
      <c r="AEE811"/>
      <c r="AEF811"/>
      <c r="AEG811"/>
      <c r="AEH811"/>
      <c r="AEI811"/>
      <c r="AEJ811"/>
      <c r="AEK811"/>
      <c r="AEL811"/>
      <c r="AEM811"/>
      <c r="AEN811"/>
      <c r="AEO811"/>
      <c r="AEP811"/>
      <c r="AEQ811"/>
      <c r="AER811"/>
      <c r="AES811"/>
      <c r="AET811"/>
      <c r="AEU811"/>
      <c r="AEV811"/>
      <c r="AEW811"/>
      <c r="AEX811"/>
      <c r="AEY811"/>
      <c r="AEZ811"/>
      <c r="AFA811"/>
      <c r="AFB811"/>
      <c r="AFC811"/>
      <c r="AFD811"/>
      <c r="AFE811"/>
      <c r="AFF811"/>
      <c r="AFG811"/>
      <c r="AFH811"/>
      <c r="AFI811"/>
      <c r="AFJ811"/>
      <c r="AFK811"/>
      <c r="AFL811"/>
      <c r="AFM811"/>
      <c r="AFN811"/>
      <c r="AFO811"/>
      <c r="AFP811"/>
      <c r="AFQ811"/>
      <c r="AFR811"/>
      <c r="AFS811"/>
      <c r="AFT811"/>
      <c r="AFU811"/>
      <c r="AFV811"/>
      <c r="AFW811"/>
      <c r="AFX811"/>
      <c r="AFY811"/>
      <c r="AFZ811"/>
      <c r="AGA811"/>
      <c r="AGB811"/>
      <c r="AGC811"/>
      <c r="AGD811"/>
      <c r="AGE811"/>
      <c r="AGF811"/>
      <c r="AGG811"/>
      <c r="AGH811"/>
      <c r="AGI811"/>
      <c r="AGJ811"/>
      <c r="AGK811"/>
      <c r="AGL811"/>
      <c r="AGM811"/>
      <c r="AGN811"/>
      <c r="AGO811"/>
      <c r="AGP811"/>
      <c r="AGQ811"/>
      <c r="AGR811"/>
      <c r="AGS811"/>
      <c r="AGT811"/>
      <c r="AGU811"/>
      <c r="AGV811"/>
      <c r="AGW811"/>
      <c r="AGX811"/>
      <c r="AGY811"/>
      <c r="AGZ811"/>
      <c r="AHA811"/>
      <c r="AHB811"/>
      <c r="AHC811"/>
      <c r="AHD811"/>
      <c r="AHE811"/>
      <c r="AHF811"/>
      <c r="AHG811"/>
      <c r="AHH811"/>
      <c r="AHI811"/>
      <c r="AHJ811"/>
      <c r="AHK811"/>
      <c r="AHL811"/>
      <c r="AHM811"/>
      <c r="AHN811"/>
      <c r="AHO811"/>
      <c r="AHP811"/>
      <c r="AHQ811"/>
      <c r="AHR811"/>
      <c r="AHS811"/>
      <c r="AHT811"/>
      <c r="AHU811"/>
      <c r="AHV811"/>
      <c r="AHW811"/>
      <c r="AHX811"/>
      <c r="AHY811"/>
      <c r="AHZ811"/>
      <c r="AIA811"/>
      <c r="AIB811"/>
      <c r="AIC811"/>
      <c r="AID811"/>
      <c r="AIE811"/>
      <c r="AIF811"/>
      <c r="AIG811"/>
      <c r="AIH811"/>
      <c r="AII811"/>
      <c r="AIJ811"/>
      <c r="AIK811"/>
      <c r="AIL811"/>
      <c r="AIM811"/>
      <c r="AIN811"/>
      <c r="AIO811"/>
      <c r="AIP811"/>
      <c r="AIQ811"/>
      <c r="AIR811"/>
      <c r="AIS811"/>
      <c r="AIT811"/>
      <c r="AIU811"/>
      <c r="AIV811"/>
      <c r="AIW811"/>
      <c r="AIX811"/>
      <c r="AIY811"/>
      <c r="AIZ811"/>
      <c r="AJA811"/>
      <c r="AJB811"/>
      <c r="AJC811"/>
      <c r="AJD811"/>
      <c r="AJE811"/>
      <c r="AJF811"/>
      <c r="AJG811"/>
      <c r="AJH811"/>
      <c r="AJI811"/>
      <c r="AJJ811"/>
      <c r="AJK811"/>
      <c r="AJL811"/>
      <c r="AJM811"/>
      <c r="AJN811"/>
      <c r="AJO811"/>
      <c r="AJP811"/>
      <c r="AJQ811"/>
      <c r="AJR811"/>
      <c r="AJS811"/>
      <c r="AJT811"/>
      <c r="AJU811"/>
      <c r="AJV811"/>
      <c r="AJW811"/>
      <c r="AJX811"/>
      <c r="AJY811"/>
      <c r="AJZ811"/>
      <c r="AKA811"/>
      <c r="AKB811"/>
      <c r="AKC811"/>
      <c r="AKD811"/>
      <c r="AKE811"/>
      <c r="AKF811"/>
      <c r="AKG811"/>
      <c r="AKH811"/>
      <c r="AKI811"/>
      <c r="AKJ811"/>
      <c r="AKK811"/>
      <c r="AKL811"/>
      <c r="AKM811"/>
      <c r="AKN811"/>
      <c r="AKO811"/>
      <c r="AKP811"/>
      <c r="AKQ811"/>
      <c r="AKR811"/>
      <c r="AKS811"/>
      <c r="AKT811"/>
      <c r="AKU811"/>
      <c r="AKV811"/>
      <c r="AKW811"/>
      <c r="AKX811"/>
      <c r="AKY811"/>
      <c r="AKZ811"/>
      <c r="ALA811"/>
      <c r="ALB811"/>
      <c r="ALC811"/>
      <c r="ALD811"/>
      <c r="ALE811"/>
      <c r="ALF811"/>
      <c r="ALG811"/>
      <c r="ALH811"/>
      <c r="ALI811"/>
      <c r="ALJ811"/>
      <c r="ALK811"/>
      <c r="ALL811"/>
      <c r="ALM811"/>
      <c r="ALN811"/>
      <c r="ALO811"/>
      <c r="ALP811"/>
      <c r="ALQ811"/>
      <c r="ALR811"/>
      <c r="ALS811"/>
      <c r="ALT811"/>
    </row>
    <row r="812" spans="1:1008" ht="14">
      <c r="A812" s="25" t="s">
        <v>2829</v>
      </c>
      <c r="B812" s="26" t="s">
        <v>2824</v>
      </c>
      <c r="C812" s="25" t="str">
        <f t="shared" si="12"/>
        <v>metal</v>
      </c>
      <c r="D812" s="27" t="s">
        <v>13</v>
      </c>
      <c r="E812" s="25" t="s">
        <v>2830</v>
      </c>
      <c r="F812" s="25" t="s">
        <v>2831</v>
      </c>
      <c r="G812" s="25">
        <v>500</v>
      </c>
      <c r="H812" s="28"/>
      <c r="I812"/>
      <c r="J812"/>
      <c r="K812"/>
      <c r="L812"/>
      <c r="M812"/>
      <c r="N812"/>
      <c r="O812"/>
      <c r="P812"/>
      <c r="Q812"/>
      <c r="R812"/>
      <c r="S812"/>
      <c r="T812"/>
      <c r="U812"/>
      <c r="V812"/>
      <c r="W812"/>
      <c r="X812"/>
      <c r="Y812"/>
      <c r="Z812"/>
      <c r="AA812"/>
      <c r="AB812"/>
      <c r="AC812"/>
      <c r="AD812"/>
      <c r="AE812"/>
      <c r="AF812"/>
      <c r="AG812"/>
      <c r="AH812"/>
      <c r="AI812"/>
      <c r="AJ812"/>
      <c r="AK812"/>
      <c r="AL812"/>
      <c r="AM812"/>
      <c r="AN812"/>
      <c r="AO812"/>
      <c r="AP812"/>
      <c r="AQ812"/>
      <c r="AR812"/>
      <c r="AS812"/>
      <c r="AT812"/>
      <c r="AU812"/>
      <c r="AV812"/>
      <c r="AW812"/>
      <c r="AX812"/>
      <c r="AY812"/>
      <c r="AZ812"/>
      <c r="BA812"/>
      <c r="BB812"/>
      <c r="BC812"/>
      <c r="BD812"/>
      <c r="BE812"/>
      <c r="BF812"/>
      <c r="BG812"/>
      <c r="BH812"/>
      <c r="BI812"/>
      <c r="BJ812"/>
      <c r="BK812"/>
      <c r="BL812"/>
      <c r="BM812"/>
      <c r="BN812"/>
      <c r="BO812"/>
      <c r="BP812"/>
      <c r="BQ812"/>
      <c r="BR812"/>
      <c r="BS812"/>
      <c r="BT812"/>
      <c r="BU812"/>
      <c r="BV812"/>
      <c r="BW812"/>
      <c r="BX812"/>
      <c r="BY812"/>
      <c r="BZ812"/>
      <c r="CA812"/>
      <c r="CB812"/>
      <c r="CC812"/>
      <c r="CD812"/>
      <c r="CE812"/>
      <c r="CF812"/>
      <c r="CG812"/>
      <c r="CH812"/>
      <c r="CI812"/>
      <c r="CJ812"/>
      <c r="CK812"/>
      <c r="CL812"/>
      <c r="CM812"/>
      <c r="CN812"/>
      <c r="CO812"/>
      <c r="CP812"/>
      <c r="CQ812"/>
      <c r="CR812"/>
      <c r="CS812"/>
      <c r="CT812"/>
      <c r="CU812"/>
      <c r="CV812"/>
      <c r="CW812"/>
      <c r="CX812"/>
      <c r="CY812"/>
      <c r="CZ812"/>
      <c r="DA812"/>
      <c r="DB812"/>
      <c r="DC812"/>
      <c r="DD812"/>
      <c r="DE812"/>
      <c r="DF812"/>
      <c r="DG812"/>
      <c r="DH812"/>
      <c r="DI812"/>
      <c r="DJ812"/>
      <c r="DK812"/>
      <c r="DL812"/>
      <c r="DM812"/>
      <c r="DN812"/>
      <c r="DO812"/>
      <c r="DP812"/>
      <c r="DQ812"/>
      <c r="DR812"/>
      <c r="DS812"/>
      <c r="DT812"/>
      <c r="DU812"/>
      <c r="DV812"/>
      <c r="DW812"/>
      <c r="DX812"/>
      <c r="DY812"/>
      <c r="DZ812"/>
      <c r="EA812"/>
      <c r="EB812"/>
      <c r="EC812"/>
      <c r="ED812"/>
      <c r="EE812"/>
      <c r="EF812"/>
      <c r="EG812"/>
      <c r="EH812"/>
      <c r="EI812"/>
      <c r="EJ812"/>
      <c r="EK812"/>
      <c r="EL812"/>
      <c r="EM812"/>
      <c r="EN812"/>
      <c r="EO812"/>
      <c r="EP812"/>
      <c r="EQ812"/>
      <c r="ER812"/>
      <c r="ES812"/>
      <c r="ET812"/>
      <c r="EU812"/>
      <c r="EV812"/>
      <c r="EW812"/>
      <c r="EX812"/>
      <c r="EY812"/>
      <c r="EZ812"/>
      <c r="FA812"/>
      <c r="FB812"/>
      <c r="FC812"/>
      <c r="FD812"/>
      <c r="FE812"/>
      <c r="FF812"/>
      <c r="FG812"/>
      <c r="FH812"/>
      <c r="FI812"/>
      <c r="FJ812"/>
      <c r="FK812"/>
      <c r="FL812"/>
      <c r="FM812"/>
      <c r="FN812"/>
      <c r="FO812"/>
      <c r="FP812"/>
      <c r="FQ812"/>
      <c r="FR812"/>
      <c r="FS812"/>
      <c r="FT812"/>
      <c r="FU812"/>
      <c r="FV812"/>
      <c r="FW812"/>
      <c r="FX812"/>
      <c r="FY812"/>
      <c r="FZ812"/>
      <c r="GA812"/>
      <c r="GB812"/>
      <c r="GC812"/>
      <c r="GD812"/>
      <c r="GE812"/>
      <c r="GF812"/>
      <c r="GG812"/>
      <c r="GH812"/>
      <c r="GI812"/>
      <c r="GJ812"/>
      <c r="GK812"/>
      <c r="GL812"/>
      <c r="GM812"/>
      <c r="GN812"/>
      <c r="GO812"/>
      <c r="GP812"/>
      <c r="GQ812"/>
      <c r="GR812"/>
      <c r="GS812"/>
      <c r="GT812"/>
      <c r="GU812"/>
      <c r="GV812"/>
      <c r="GW812"/>
      <c r="GX812"/>
      <c r="GY812"/>
      <c r="GZ812"/>
      <c r="HA812"/>
      <c r="HB812"/>
      <c r="HC812"/>
      <c r="HD812"/>
      <c r="HE812"/>
      <c r="HF812"/>
      <c r="HG812"/>
      <c r="HH812"/>
      <c r="HI812"/>
      <c r="HJ812"/>
      <c r="HK812"/>
      <c r="HL812"/>
      <c r="HM812"/>
      <c r="HN812"/>
      <c r="HO812"/>
      <c r="HP812"/>
      <c r="HQ812"/>
      <c r="HR812"/>
      <c r="HS812"/>
      <c r="HT812"/>
      <c r="HU812"/>
      <c r="HV812"/>
      <c r="HW812"/>
      <c r="HX812"/>
      <c r="HY812"/>
      <c r="HZ812"/>
      <c r="IA812"/>
      <c r="IB812"/>
      <c r="IC812"/>
      <c r="ID812"/>
      <c r="IE812"/>
      <c r="IF812"/>
      <c r="IG812"/>
      <c r="IH812"/>
      <c r="II812"/>
      <c r="IJ812"/>
      <c r="IK812"/>
      <c r="IL812"/>
      <c r="IM812"/>
      <c r="IN812"/>
      <c r="IO812"/>
      <c r="IP812"/>
      <c r="IQ812"/>
      <c r="IR812"/>
      <c r="IS812"/>
      <c r="IT812"/>
      <c r="IU812"/>
      <c r="IV812"/>
      <c r="IW812"/>
      <c r="IX812"/>
      <c r="IY812"/>
      <c r="IZ812"/>
      <c r="JA812"/>
      <c r="JB812"/>
      <c r="JC812"/>
      <c r="JD812"/>
      <c r="JE812"/>
      <c r="JF812"/>
      <c r="JG812"/>
      <c r="JH812"/>
      <c r="JI812"/>
      <c r="JJ812"/>
      <c r="JK812"/>
      <c r="JL812"/>
      <c r="JM812"/>
      <c r="JN812"/>
      <c r="JO812"/>
      <c r="JP812"/>
      <c r="JQ812"/>
      <c r="JR812"/>
      <c r="JS812"/>
      <c r="JT812"/>
      <c r="JU812"/>
      <c r="JV812"/>
      <c r="JW812"/>
      <c r="JX812"/>
      <c r="JY812"/>
      <c r="JZ812"/>
      <c r="KA812"/>
      <c r="KB812"/>
      <c r="KC812"/>
      <c r="KD812"/>
      <c r="KE812"/>
      <c r="KF812"/>
      <c r="KG812"/>
      <c r="KH812"/>
      <c r="KI812"/>
      <c r="KJ812"/>
      <c r="KK812"/>
      <c r="KL812"/>
      <c r="KM812"/>
      <c r="KN812"/>
      <c r="KO812"/>
      <c r="KP812"/>
      <c r="KQ812"/>
      <c r="KR812"/>
      <c r="KS812"/>
      <c r="KT812"/>
      <c r="KU812"/>
      <c r="KV812"/>
      <c r="KW812"/>
      <c r="KX812"/>
      <c r="KY812"/>
      <c r="KZ812"/>
      <c r="LA812"/>
      <c r="LB812"/>
      <c r="LC812"/>
      <c r="LD812"/>
      <c r="LE812"/>
      <c r="LF812"/>
      <c r="LG812"/>
      <c r="LH812"/>
      <c r="LI812"/>
      <c r="LJ812"/>
      <c r="LK812"/>
      <c r="LL812"/>
      <c r="LM812"/>
      <c r="LN812"/>
      <c r="LO812"/>
      <c r="LP812"/>
      <c r="LQ812"/>
      <c r="LR812"/>
      <c r="LS812"/>
      <c r="LT812"/>
      <c r="LU812"/>
      <c r="LV812"/>
      <c r="LW812"/>
      <c r="LX812"/>
      <c r="LY812"/>
      <c r="LZ812"/>
      <c r="MA812"/>
      <c r="MB812"/>
      <c r="MC812"/>
      <c r="MD812"/>
      <c r="ME812"/>
      <c r="MF812"/>
      <c r="MG812"/>
      <c r="MH812"/>
      <c r="MI812"/>
      <c r="MJ812"/>
      <c r="MK812"/>
      <c r="ML812"/>
      <c r="MM812"/>
      <c r="MN812"/>
      <c r="MO812"/>
      <c r="MP812"/>
      <c r="MQ812"/>
      <c r="MR812"/>
      <c r="MS812"/>
      <c r="MT812"/>
      <c r="MU812"/>
      <c r="MV812"/>
      <c r="MW812"/>
      <c r="MX812"/>
      <c r="MY812"/>
      <c r="MZ812"/>
      <c r="NA812"/>
      <c r="NB812"/>
      <c r="NC812"/>
      <c r="ND812"/>
      <c r="NE812"/>
      <c r="NF812"/>
      <c r="NG812"/>
      <c r="NH812"/>
      <c r="NI812"/>
      <c r="NJ812"/>
      <c r="NK812"/>
      <c r="NL812"/>
      <c r="NM812"/>
      <c r="NN812"/>
      <c r="NO812"/>
      <c r="NP812"/>
      <c r="NQ812"/>
      <c r="NR812"/>
      <c r="NS812"/>
      <c r="NT812"/>
      <c r="NU812"/>
      <c r="NV812"/>
      <c r="NW812"/>
      <c r="NX812"/>
      <c r="NY812"/>
      <c r="NZ812"/>
      <c r="OA812"/>
      <c r="OB812"/>
      <c r="OC812"/>
      <c r="OD812"/>
      <c r="OE812"/>
      <c r="OF812"/>
      <c r="OG812"/>
      <c r="OH812"/>
      <c r="OI812"/>
      <c r="OJ812"/>
      <c r="OK812"/>
      <c r="OL812"/>
      <c r="OM812"/>
      <c r="ON812"/>
      <c r="OO812"/>
      <c r="OP812"/>
      <c r="OQ812"/>
      <c r="OR812"/>
      <c r="OS812"/>
      <c r="OT812"/>
      <c r="OU812"/>
      <c r="OV812"/>
      <c r="OW812"/>
      <c r="OX812"/>
      <c r="OY812"/>
      <c r="OZ812"/>
      <c r="PA812"/>
      <c r="PB812"/>
      <c r="PC812"/>
      <c r="PD812"/>
      <c r="PE812"/>
      <c r="PF812"/>
      <c r="PG812"/>
      <c r="PH812"/>
      <c r="PI812"/>
      <c r="PJ812"/>
      <c r="PK812"/>
      <c r="PL812"/>
      <c r="PM812"/>
      <c r="PN812"/>
      <c r="PO812"/>
      <c r="PP812"/>
      <c r="PQ812"/>
      <c r="PR812"/>
      <c r="PS812"/>
      <c r="PT812"/>
      <c r="PU812"/>
      <c r="PV812"/>
      <c r="PW812"/>
      <c r="PX812"/>
      <c r="PY812"/>
      <c r="PZ812"/>
      <c r="QA812"/>
      <c r="QB812"/>
      <c r="QC812"/>
      <c r="QD812"/>
      <c r="QE812"/>
      <c r="QF812"/>
      <c r="QG812"/>
      <c r="QH812"/>
      <c r="QI812"/>
      <c r="QJ812"/>
      <c r="QK812"/>
      <c r="QL812"/>
      <c r="QM812"/>
      <c r="QN812"/>
      <c r="QO812"/>
      <c r="QP812"/>
      <c r="QQ812"/>
      <c r="QR812"/>
      <c r="QS812"/>
      <c r="QT812"/>
      <c r="QU812"/>
      <c r="QV812"/>
      <c r="QW812"/>
      <c r="QX812"/>
      <c r="QY812"/>
      <c r="QZ812"/>
      <c r="RA812"/>
      <c r="RB812"/>
      <c r="RC812"/>
      <c r="RD812"/>
      <c r="RE812"/>
      <c r="RF812"/>
      <c r="RG812"/>
      <c r="RH812"/>
      <c r="RI812"/>
      <c r="RJ812"/>
      <c r="RK812"/>
      <c r="RL812"/>
      <c r="RM812"/>
      <c r="RN812"/>
      <c r="RO812"/>
      <c r="RP812"/>
      <c r="RQ812"/>
      <c r="RR812"/>
      <c r="RS812"/>
      <c r="RT812"/>
      <c r="RU812"/>
      <c r="RV812"/>
      <c r="RW812"/>
      <c r="RX812"/>
      <c r="RY812"/>
      <c r="RZ812"/>
      <c r="SA812"/>
      <c r="SB812"/>
      <c r="SC812"/>
      <c r="SD812"/>
      <c r="SE812"/>
      <c r="SF812"/>
      <c r="SG812"/>
      <c r="SH812"/>
      <c r="SI812"/>
      <c r="SJ812"/>
      <c r="SK812"/>
      <c r="SL812"/>
      <c r="SM812"/>
      <c r="SN812"/>
      <c r="SO812"/>
      <c r="SP812"/>
      <c r="SQ812"/>
      <c r="SR812"/>
      <c r="SS812"/>
      <c r="ST812"/>
      <c r="SU812"/>
      <c r="SV812"/>
      <c r="SW812"/>
      <c r="SX812"/>
      <c r="SY812"/>
      <c r="SZ812"/>
      <c r="TA812"/>
      <c r="TB812"/>
      <c r="TC812"/>
      <c r="TD812"/>
      <c r="TE812"/>
      <c r="TF812"/>
      <c r="TG812"/>
      <c r="TH812"/>
      <c r="TI812"/>
      <c r="TJ812"/>
      <c r="TK812"/>
      <c r="TL812"/>
      <c r="TM812"/>
      <c r="TN812"/>
      <c r="TO812"/>
      <c r="TP812"/>
      <c r="TQ812"/>
      <c r="TR812"/>
      <c r="TS812"/>
      <c r="TT812"/>
      <c r="TU812"/>
      <c r="TV812"/>
      <c r="TW812"/>
      <c r="TX812"/>
      <c r="TY812"/>
      <c r="TZ812"/>
      <c r="UA812"/>
      <c r="UB812"/>
      <c r="UC812"/>
      <c r="UD812"/>
      <c r="UE812"/>
      <c r="UF812"/>
      <c r="UG812"/>
      <c r="UH812"/>
      <c r="UI812"/>
      <c r="UJ812"/>
      <c r="UK812"/>
      <c r="UL812"/>
      <c r="UM812"/>
      <c r="UN812"/>
      <c r="UO812"/>
      <c r="UP812"/>
      <c r="UQ812"/>
      <c r="UR812"/>
      <c r="US812"/>
      <c r="UT812"/>
      <c r="UU812"/>
      <c r="UV812"/>
      <c r="UW812"/>
      <c r="UX812"/>
      <c r="UY812"/>
      <c r="UZ812"/>
      <c r="VA812"/>
      <c r="VB812"/>
      <c r="VC812"/>
      <c r="VD812"/>
      <c r="VE812"/>
      <c r="VF812"/>
      <c r="VG812"/>
      <c r="VH812"/>
      <c r="VI812"/>
      <c r="VJ812"/>
      <c r="VK812"/>
      <c r="VL812"/>
      <c r="VM812"/>
      <c r="VN812"/>
      <c r="VO812"/>
      <c r="VP812"/>
      <c r="VQ812"/>
      <c r="VR812"/>
      <c r="VS812"/>
      <c r="VT812"/>
      <c r="VU812"/>
      <c r="VV812"/>
      <c r="VW812"/>
      <c r="VX812"/>
      <c r="VY812"/>
      <c r="VZ812"/>
      <c r="WA812"/>
      <c r="WB812"/>
      <c r="WC812"/>
      <c r="WD812"/>
      <c r="WE812"/>
      <c r="WF812"/>
      <c r="WG812"/>
      <c r="WH812"/>
      <c r="WI812"/>
      <c r="WJ812"/>
      <c r="WK812"/>
      <c r="WL812"/>
      <c r="WM812"/>
      <c r="WN812"/>
      <c r="WO812"/>
      <c r="WP812"/>
      <c r="WQ812"/>
      <c r="WR812"/>
      <c r="WS812"/>
      <c r="WT812"/>
      <c r="WU812"/>
      <c r="WV812"/>
      <c r="WW812"/>
      <c r="WX812"/>
      <c r="WY812"/>
      <c r="WZ812"/>
      <c r="XA812"/>
      <c r="XB812"/>
      <c r="XC812"/>
      <c r="XD812"/>
      <c r="XE812"/>
      <c r="XF812"/>
      <c r="XG812"/>
      <c r="XH812"/>
      <c r="XI812"/>
      <c r="XJ812"/>
      <c r="XK812"/>
      <c r="XL812"/>
      <c r="XM812"/>
      <c r="XN812"/>
      <c r="XO812"/>
      <c r="XP812"/>
      <c r="XQ812"/>
      <c r="XR812"/>
      <c r="XS812"/>
      <c r="XT812"/>
      <c r="XU812"/>
      <c r="XV812"/>
      <c r="XW812"/>
      <c r="XX812"/>
      <c r="XY812"/>
      <c r="XZ812"/>
      <c r="YA812"/>
      <c r="YB812"/>
      <c r="YC812"/>
      <c r="YD812"/>
      <c r="YE812"/>
      <c r="YF812"/>
      <c r="YG812"/>
      <c r="YH812"/>
      <c r="YI812"/>
      <c r="YJ812"/>
      <c r="YK812"/>
      <c r="YL812"/>
      <c r="YM812"/>
      <c r="YN812"/>
      <c r="YO812"/>
      <c r="YP812"/>
      <c r="YQ812"/>
      <c r="YR812"/>
      <c r="YS812"/>
      <c r="YT812"/>
      <c r="YU812"/>
      <c r="YV812"/>
      <c r="YW812"/>
      <c r="YX812"/>
      <c r="YY812"/>
      <c r="YZ812"/>
      <c r="ZA812"/>
      <c r="ZB812"/>
      <c r="ZC812"/>
      <c r="ZD812"/>
      <c r="ZE812"/>
      <c r="ZF812"/>
      <c r="ZG812"/>
      <c r="ZH812"/>
      <c r="ZI812"/>
      <c r="ZJ812"/>
      <c r="ZK812"/>
      <c r="ZL812"/>
      <c r="ZM812"/>
      <c r="ZN812"/>
      <c r="ZO812"/>
      <c r="ZP812"/>
      <c r="ZQ812"/>
      <c r="ZR812"/>
      <c r="ZS812"/>
      <c r="ZT812"/>
      <c r="ZU812"/>
      <c r="ZV812"/>
      <c r="ZW812"/>
      <c r="ZX812"/>
      <c r="ZY812"/>
      <c r="ZZ812"/>
      <c r="AAA812"/>
      <c r="AAB812"/>
      <c r="AAC812"/>
      <c r="AAD812"/>
      <c r="AAE812"/>
      <c r="AAF812"/>
      <c r="AAG812"/>
      <c r="AAH812"/>
      <c r="AAI812"/>
      <c r="AAJ812"/>
      <c r="AAK812"/>
      <c r="AAL812"/>
      <c r="AAM812"/>
      <c r="AAN812"/>
      <c r="AAO812"/>
      <c r="AAP812"/>
      <c r="AAQ812"/>
      <c r="AAR812"/>
      <c r="AAS812"/>
      <c r="AAT812"/>
      <c r="AAU812"/>
      <c r="AAV812"/>
      <c r="AAW812"/>
      <c r="AAX812"/>
      <c r="AAY812"/>
      <c r="AAZ812"/>
      <c r="ABA812"/>
      <c r="ABB812"/>
      <c r="ABC812"/>
      <c r="ABD812"/>
      <c r="ABE812"/>
      <c r="ABF812"/>
      <c r="ABG812"/>
      <c r="ABH812"/>
      <c r="ABI812"/>
      <c r="ABJ812"/>
      <c r="ABK812"/>
      <c r="ABL812"/>
      <c r="ABM812"/>
      <c r="ABN812"/>
      <c r="ABO812"/>
      <c r="ABP812"/>
      <c r="ABQ812"/>
      <c r="ABR812"/>
      <c r="ABS812"/>
      <c r="ABT812"/>
      <c r="ABU812"/>
      <c r="ABV812"/>
      <c r="ABW812"/>
      <c r="ABX812"/>
      <c r="ABY812"/>
      <c r="ABZ812"/>
      <c r="ACA812"/>
      <c r="ACB812"/>
      <c r="ACC812"/>
      <c r="ACD812"/>
      <c r="ACE812"/>
      <c r="ACF812"/>
      <c r="ACG812"/>
      <c r="ACH812"/>
      <c r="ACI812"/>
      <c r="ACJ812"/>
      <c r="ACK812"/>
      <c r="ACL812"/>
      <c r="ACM812"/>
      <c r="ACN812"/>
      <c r="ACO812"/>
      <c r="ACP812"/>
      <c r="ACQ812"/>
      <c r="ACR812"/>
      <c r="ACS812"/>
      <c r="ACT812"/>
      <c r="ACU812"/>
      <c r="ACV812"/>
      <c r="ACW812"/>
      <c r="ACX812"/>
      <c r="ACY812"/>
      <c r="ACZ812"/>
      <c r="ADA812"/>
      <c r="ADB812"/>
      <c r="ADC812"/>
      <c r="ADD812"/>
      <c r="ADE812"/>
      <c r="ADF812"/>
      <c r="ADG812"/>
      <c r="ADH812"/>
      <c r="ADI812"/>
      <c r="ADJ812"/>
      <c r="ADK812"/>
      <c r="ADL812"/>
      <c r="ADM812"/>
      <c r="ADN812"/>
      <c r="ADO812"/>
      <c r="ADP812"/>
      <c r="ADQ812"/>
      <c r="ADR812"/>
      <c r="ADS812"/>
      <c r="ADT812"/>
      <c r="ADU812"/>
      <c r="ADV812"/>
      <c r="ADW812"/>
      <c r="ADX812"/>
      <c r="ADY812"/>
      <c r="ADZ812"/>
      <c r="AEA812"/>
      <c r="AEB812"/>
      <c r="AEC812"/>
      <c r="AED812"/>
      <c r="AEE812"/>
      <c r="AEF812"/>
      <c r="AEG812"/>
      <c r="AEH812"/>
      <c r="AEI812"/>
      <c r="AEJ812"/>
      <c r="AEK812"/>
      <c r="AEL812"/>
      <c r="AEM812"/>
      <c r="AEN812"/>
      <c r="AEO812"/>
      <c r="AEP812"/>
      <c r="AEQ812"/>
      <c r="AER812"/>
      <c r="AES812"/>
      <c r="AET812"/>
      <c r="AEU812"/>
      <c r="AEV812"/>
      <c r="AEW812"/>
      <c r="AEX812"/>
      <c r="AEY812"/>
      <c r="AEZ812"/>
      <c r="AFA812"/>
      <c r="AFB812"/>
      <c r="AFC812"/>
      <c r="AFD812"/>
      <c r="AFE812"/>
      <c r="AFF812"/>
      <c r="AFG812"/>
      <c r="AFH812"/>
      <c r="AFI812"/>
      <c r="AFJ812"/>
      <c r="AFK812"/>
      <c r="AFL812"/>
      <c r="AFM812"/>
      <c r="AFN812"/>
      <c r="AFO812"/>
      <c r="AFP812"/>
      <c r="AFQ812"/>
      <c r="AFR812"/>
      <c r="AFS812"/>
      <c r="AFT812"/>
      <c r="AFU812"/>
      <c r="AFV812"/>
      <c r="AFW812"/>
      <c r="AFX812"/>
      <c r="AFY812"/>
      <c r="AFZ812"/>
      <c r="AGA812"/>
      <c r="AGB812"/>
      <c r="AGC812"/>
      <c r="AGD812"/>
      <c r="AGE812"/>
      <c r="AGF812"/>
      <c r="AGG812"/>
      <c r="AGH812"/>
      <c r="AGI812"/>
      <c r="AGJ812"/>
      <c r="AGK812"/>
      <c r="AGL812"/>
      <c r="AGM812"/>
      <c r="AGN812"/>
      <c r="AGO812"/>
      <c r="AGP812"/>
      <c r="AGQ812"/>
      <c r="AGR812"/>
      <c r="AGS812"/>
      <c r="AGT812"/>
      <c r="AGU812"/>
      <c r="AGV812"/>
      <c r="AGW812"/>
      <c r="AGX812"/>
      <c r="AGY812"/>
      <c r="AGZ812"/>
      <c r="AHA812"/>
      <c r="AHB812"/>
      <c r="AHC812"/>
      <c r="AHD812"/>
      <c r="AHE812"/>
      <c r="AHF812"/>
      <c r="AHG812"/>
      <c r="AHH812"/>
      <c r="AHI812"/>
      <c r="AHJ812"/>
      <c r="AHK812"/>
      <c r="AHL812"/>
      <c r="AHM812"/>
      <c r="AHN812"/>
      <c r="AHO812"/>
      <c r="AHP812"/>
      <c r="AHQ812"/>
      <c r="AHR812"/>
      <c r="AHS812"/>
      <c r="AHT812"/>
      <c r="AHU812"/>
      <c r="AHV812"/>
      <c r="AHW812"/>
      <c r="AHX812"/>
      <c r="AHY812"/>
      <c r="AHZ812"/>
      <c r="AIA812"/>
      <c r="AIB812"/>
      <c r="AIC812"/>
      <c r="AID812"/>
      <c r="AIE812"/>
      <c r="AIF812"/>
      <c r="AIG812"/>
      <c r="AIH812"/>
      <c r="AII812"/>
      <c r="AIJ812"/>
      <c r="AIK812"/>
      <c r="AIL812"/>
      <c r="AIM812"/>
      <c r="AIN812"/>
      <c r="AIO812"/>
      <c r="AIP812"/>
      <c r="AIQ812"/>
      <c r="AIR812"/>
      <c r="AIS812"/>
      <c r="AIT812"/>
      <c r="AIU812"/>
      <c r="AIV812"/>
      <c r="AIW812"/>
      <c r="AIX812"/>
      <c r="AIY812"/>
      <c r="AIZ812"/>
      <c r="AJA812"/>
      <c r="AJB812"/>
      <c r="AJC812"/>
      <c r="AJD812"/>
      <c r="AJE812"/>
      <c r="AJF812"/>
      <c r="AJG812"/>
      <c r="AJH812"/>
      <c r="AJI812"/>
      <c r="AJJ812"/>
      <c r="AJK812"/>
      <c r="AJL812"/>
      <c r="AJM812"/>
      <c r="AJN812"/>
      <c r="AJO812"/>
      <c r="AJP812"/>
      <c r="AJQ812"/>
      <c r="AJR812"/>
      <c r="AJS812"/>
      <c r="AJT812"/>
      <c r="AJU812"/>
      <c r="AJV812"/>
      <c r="AJW812"/>
      <c r="AJX812"/>
      <c r="AJY812"/>
      <c r="AJZ812"/>
      <c r="AKA812"/>
      <c r="AKB812"/>
      <c r="AKC812"/>
      <c r="AKD812"/>
      <c r="AKE812"/>
      <c r="AKF812"/>
      <c r="AKG812"/>
      <c r="AKH812"/>
      <c r="AKI812"/>
      <c r="AKJ812"/>
      <c r="AKK812"/>
      <c r="AKL812"/>
      <c r="AKM812"/>
      <c r="AKN812"/>
      <c r="AKO812"/>
      <c r="AKP812"/>
      <c r="AKQ812"/>
      <c r="AKR812"/>
      <c r="AKS812"/>
      <c r="AKT812"/>
      <c r="AKU812"/>
      <c r="AKV812"/>
      <c r="AKW812"/>
      <c r="AKX812"/>
      <c r="AKY812"/>
      <c r="AKZ812"/>
      <c r="ALA812"/>
      <c r="ALB812"/>
      <c r="ALC812"/>
      <c r="ALD812"/>
      <c r="ALE812"/>
      <c r="ALF812"/>
      <c r="ALG812"/>
      <c r="ALH812"/>
      <c r="ALI812"/>
      <c r="ALJ812"/>
      <c r="ALK812"/>
      <c r="ALL812"/>
      <c r="ALM812"/>
      <c r="ALN812"/>
      <c r="ALO812"/>
      <c r="ALP812"/>
      <c r="ALQ812"/>
      <c r="ALR812"/>
      <c r="ALS812"/>
      <c r="ALT812"/>
    </row>
    <row r="813" spans="1:1008" ht="14">
      <c r="A813" s="25" t="s">
        <v>2834</v>
      </c>
      <c r="B813" s="26" t="s">
        <v>2824</v>
      </c>
      <c r="C813" s="25" t="str">
        <f t="shared" si="12"/>
        <v>ionchromatography</v>
      </c>
      <c r="D813" s="27" t="s">
        <v>13</v>
      </c>
      <c r="E813" s="25" t="s">
        <v>2832</v>
      </c>
      <c r="F813" s="25" t="s">
        <v>2833</v>
      </c>
      <c r="G813" s="25">
        <v>500</v>
      </c>
      <c r="H813" s="25"/>
    </row>
    <row r="814" spans="1:1008" ht="14">
      <c r="A814" s="25" t="s">
        <v>2198</v>
      </c>
      <c r="B814" s="26" t="s">
        <v>148</v>
      </c>
      <c r="C814" s="25" t="str">
        <f t="shared" si="12"/>
        <v>directlfq</v>
      </c>
      <c r="D814" s="27" t="s">
        <v>13</v>
      </c>
      <c r="E814" s="25" t="s">
        <v>2199</v>
      </c>
      <c r="F814" s="27" t="s">
        <v>13</v>
      </c>
      <c r="G814" s="25">
        <v>500</v>
      </c>
      <c r="H814" s="25"/>
    </row>
    <row r="815" spans="1:1008" ht="14">
      <c r="A815" s="25" t="s">
        <v>3877</v>
      </c>
      <c r="B815" s="26" t="s">
        <v>148</v>
      </c>
      <c r="C815" s="25" t="str">
        <f t="shared" si="12"/>
        <v>ibaq</v>
      </c>
      <c r="D815" s="27" t="s">
        <v>13</v>
      </c>
      <c r="E815" s="25" t="s">
        <v>3878</v>
      </c>
      <c r="F815" s="27" t="s">
        <v>3879</v>
      </c>
      <c r="G815" s="25">
        <v>500</v>
      </c>
      <c r="H815" s="25"/>
    </row>
    <row r="816" spans="1:1008" ht="14">
      <c r="A816" s="25" t="s">
        <v>2200</v>
      </c>
      <c r="B816" s="26" t="s">
        <v>148</v>
      </c>
      <c r="C816" s="25" t="str">
        <f t="shared" ref="C816:C883" si="14">A816</f>
        <v>maxlfq</v>
      </c>
      <c r="D816" s="27" t="s">
        <v>13</v>
      </c>
      <c r="E816" s="25" t="s">
        <v>2201</v>
      </c>
      <c r="F816" s="27" t="s">
        <v>13</v>
      </c>
      <c r="G816" s="25">
        <v>500</v>
      </c>
      <c r="H816" s="25"/>
    </row>
    <row r="817" spans="1:8" ht="14">
      <c r="A817" s="25" t="s">
        <v>2202</v>
      </c>
      <c r="B817" s="26" t="s">
        <v>148</v>
      </c>
      <c r="C817" s="25" t="str">
        <f t="shared" si="14"/>
        <v>speccount</v>
      </c>
      <c r="D817" s="27" t="s">
        <v>13</v>
      </c>
      <c r="E817" s="25" t="s">
        <v>2203</v>
      </c>
      <c r="F817" s="27" t="s">
        <v>13</v>
      </c>
      <c r="G817" s="25">
        <v>500</v>
      </c>
      <c r="H817" s="25"/>
    </row>
    <row r="818" spans="1:8" ht="14">
      <c r="A818" s="25" t="s">
        <v>2204</v>
      </c>
      <c r="B818" s="26" t="s">
        <v>149</v>
      </c>
      <c r="C818" s="25" t="str">
        <f t="shared" si="14"/>
        <v>isobaric</v>
      </c>
      <c r="D818" s="27" t="s">
        <v>13</v>
      </c>
      <c r="E818" s="25" t="s">
        <v>2204</v>
      </c>
      <c r="F818" s="25" t="s">
        <v>2205</v>
      </c>
      <c r="G818" s="25">
        <v>500</v>
      </c>
      <c r="H818" s="25"/>
    </row>
    <row r="819" spans="1:8" ht="14">
      <c r="A819" s="25" t="s">
        <v>2206</v>
      </c>
      <c r="B819" s="26" t="s">
        <v>149</v>
      </c>
      <c r="C819" s="25" t="str">
        <f t="shared" si="14"/>
        <v>istopic</v>
      </c>
      <c r="D819" s="27" t="s">
        <v>13</v>
      </c>
      <c r="E819" s="25" t="s">
        <v>2206</v>
      </c>
      <c r="F819" s="25" t="s">
        <v>2207</v>
      </c>
      <c r="G819" s="25">
        <v>500</v>
      </c>
      <c r="H819" s="25"/>
    </row>
    <row r="820" spans="1:8" ht="14">
      <c r="A820" s="25" t="s">
        <v>2208</v>
      </c>
      <c r="B820" s="26" t="s">
        <v>149</v>
      </c>
      <c r="C820" s="25" t="str">
        <f t="shared" si="14"/>
        <v>label_free</v>
      </c>
      <c r="D820" s="27" t="s">
        <v>13</v>
      </c>
      <c r="E820" s="25" t="s">
        <v>2209</v>
      </c>
      <c r="F820" s="25" t="s">
        <v>2210</v>
      </c>
      <c r="G820" s="25">
        <v>500</v>
      </c>
      <c r="H820" s="25"/>
    </row>
    <row r="821" spans="1:8" ht="14">
      <c r="A821" s="25" t="s">
        <v>2211</v>
      </c>
      <c r="B821" s="26" t="s">
        <v>149</v>
      </c>
      <c r="C821" s="25" t="str">
        <f t="shared" si="14"/>
        <v>silac</v>
      </c>
      <c r="D821" s="27" t="s">
        <v>13</v>
      </c>
      <c r="E821" s="25" t="s">
        <v>2211</v>
      </c>
      <c r="F821" s="25" t="s">
        <v>2212</v>
      </c>
      <c r="G821" s="25">
        <v>500</v>
      </c>
      <c r="H821" s="25"/>
    </row>
    <row r="822" spans="1:8" ht="14">
      <c r="A822" s="25" t="s">
        <v>2213</v>
      </c>
      <c r="B822" s="26" t="s">
        <v>152</v>
      </c>
      <c r="C822" s="25" t="str">
        <f t="shared" si="14"/>
        <v>dtt</v>
      </c>
      <c r="D822" s="27" t="s">
        <v>13</v>
      </c>
      <c r="E822" s="25" t="s">
        <v>2214</v>
      </c>
      <c r="F822" s="25" t="s">
        <v>2215</v>
      </c>
      <c r="G822" s="25">
        <v>500</v>
      </c>
      <c r="H822" s="25"/>
    </row>
    <row r="823" spans="1:8" ht="14">
      <c r="A823" s="25" t="s">
        <v>3100</v>
      </c>
      <c r="B823" s="26" t="s">
        <v>152</v>
      </c>
      <c r="C823" s="25" t="str">
        <f t="shared" si="14"/>
        <v>no_reduction</v>
      </c>
      <c r="D823" s="27" t="s">
        <v>13</v>
      </c>
      <c r="E823" s="25" t="s">
        <v>263</v>
      </c>
      <c r="F823" s="25" t="s">
        <v>2216</v>
      </c>
      <c r="G823" s="25">
        <v>500</v>
      </c>
      <c r="H823" s="25"/>
    </row>
    <row r="824" spans="1:8" ht="14">
      <c r="A824" s="25" t="s">
        <v>2217</v>
      </c>
      <c r="B824" s="26" t="s">
        <v>152</v>
      </c>
      <c r="C824" s="25" t="str">
        <f t="shared" si="14"/>
        <v>tcep</v>
      </c>
      <c r="D824" s="27" t="s">
        <v>13</v>
      </c>
      <c r="E824" s="25" t="s">
        <v>2218</v>
      </c>
      <c r="F824" s="25" t="s">
        <v>2219</v>
      </c>
      <c r="G824" s="25">
        <v>500</v>
      </c>
      <c r="H824" s="25"/>
    </row>
    <row r="825" spans="1:8" ht="14">
      <c r="A825" s="25" t="s">
        <v>1286</v>
      </c>
      <c r="B825" s="26" t="s">
        <v>2220</v>
      </c>
      <c r="C825" s="25" t="str">
        <f t="shared" si="14"/>
        <v>apoptosis</v>
      </c>
      <c r="D825" s="27" t="s">
        <v>13</v>
      </c>
      <c r="E825" s="25" t="s">
        <v>1287</v>
      </c>
      <c r="F825" s="25" t="s">
        <v>2221</v>
      </c>
      <c r="G825" s="25">
        <v>500</v>
      </c>
      <c r="H825" s="25"/>
    </row>
    <row r="826" spans="1:8" ht="14">
      <c r="A826" s="25" t="s">
        <v>2222</v>
      </c>
      <c r="B826" s="26" t="s">
        <v>2220</v>
      </c>
      <c r="C826" s="25" t="str">
        <f t="shared" si="14"/>
        <v>autocrine</v>
      </c>
      <c r="D826" s="27" t="s">
        <v>13</v>
      </c>
      <c r="E826" s="25" t="s">
        <v>2223</v>
      </c>
      <c r="F826" s="25" t="s">
        <v>2224</v>
      </c>
      <c r="G826" s="25">
        <v>500</v>
      </c>
      <c r="H826" s="25"/>
    </row>
    <row r="827" spans="1:8" ht="14">
      <c r="A827" s="25" t="s">
        <v>2225</v>
      </c>
      <c r="B827" s="26" t="s">
        <v>2220</v>
      </c>
      <c r="C827" s="25" t="str">
        <f t="shared" si="14"/>
        <v>complement</v>
      </c>
      <c r="D827" s="27" t="s">
        <v>13</v>
      </c>
      <c r="E827" s="25" t="s">
        <v>2226</v>
      </c>
      <c r="F827" s="25" t="s">
        <v>2227</v>
      </c>
      <c r="G827" s="25">
        <v>500</v>
      </c>
      <c r="H827" s="25"/>
    </row>
    <row r="828" spans="1:8" ht="14">
      <c r="A828" s="25" t="s">
        <v>2228</v>
      </c>
      <c r="B828" s="26" t="s">
        <v>2220</v>
      </c>
      <c r="C828" s="25" t="str">
        <f t="shared" si="14"/>
        <v>cytokines</v>
      </c>
      <c r="D828" s="27" t="s">
        <v>13</v>
      </c>
      <c r="E828" s="25" t="s">
        <v>2229</v>
      </c>
      <c r="F828" s="25" t="s">
        <v>2230</v>
      </c>
      <c r="G828" s="25">
        <v>500</v>
      </c>
      <c r="H828" s="25"/>
    </row>
    <row r="829" spans="1:8" ht="14">
      <c r="A829" s="25" t="s">
        <v>2231</v>
      </c>
      <c r="B829" s="26" t="s">
        <v>2220</v>
      </c>
      <c r="C829" s="25" t="str">
        <f t="shared" si="14"/>
        <v>inflammation</v>
      </c>
      <c r="D829" s="27" t="s">
        <v>13</v>
      </c>
      <c r="E829" s="25" t="s">
        <v>2232</v>
      </c>
      <c r="F829" s="25" t="s">
        <v>2233</v>
      </c>
      <c r="G829" s="25">
        <v>500</v>
      </c>
      <c r="H829" s="25"/>
    </row>
    <row r="830" spans="1:8" ht="14">
      <c r="A830" s="25" t="s">
        <v>2234</v>
      </c>
      <c r="B830" s="26" t="s">
        <v>2220</v>
      </c>
      <c r="C830" s="25" t="str">
        <f t="shared" si="14"/>
        <v>insulin</v>
      </c>
      <c r="D830" s="27" t="s">
        <v>13</v>
      </c>
      <c r="E830" s="25" t="s">
        <v>2235</v>
      </c>
      <c r="F830" s="25" t="s">
        <v>2236</v>
      </c>
      <c r="G830" s="25">
        <v>500</v>
      </c>
      <c r="H830" s="25"/>
    </row>
    <row r="831" spans="1:8" ht="14">
      <c r="A831" s="25" t="s">
        <v>2237</v>
      </c>
      <c r="B831" s="26" t="s">
        <v>2220</v>
      </c>
      <c r="C831" s="25" t="str">
        <f t="shared" si="14"/>
        <v>juxtacrine</v>
      </c>
      <c r="D831" s="27" t="s">
        <v>13</v>
      </c>
      <c r="E831" s="25" t="s">
        <v>2238</v>
      </c>
      <c r="F831" s="25" t="s">
        <v>2239</v>
      </c>
      <c r="G831" s="25">
        <v>500</v>
      </c>
      <c r="H831" s="25"/>
    </row>
    <row r="832" spans="1:8" ht="14">
      <c r="A832" s="25" t="s">
        <v>2240</v>
      </c>
      <c r="B832" s="26" t="s">
        <v>2220</v>
      </c>
      <c r="C832" s="25" t="str">
        <f t="shared" si="14"/>
        <v>necrosis</v>
      </c>
      <c r="D832" s="27" t="s">
        <v>13</v>
      </c>
      <c r="E832" s="25" t="s">
        <v>2241</v>
      </c>
      <c r="F832" s="25" t="s">
        <v>2242</v>
      </c>
      <c r="G832" s="25">
        <v>500</v>
      </c>
      <c r="H832" s="25"/>
    </row>
    <row r="833" spans="1:8" ht="14">
      <c r="A833" s="25" t="s">
        <v>2243</v>
      </c>
      <c r="B833" s="26" t="s">
        <v>2220</v>
      </c>
      <c r="C833" s="25" t="str">
        <f t="shared" si="14"/>
        <v>paracrine</v>
      </c>
      <c r="D833" s="27" t="s">
        <v>13</v>
      </c>
      <c r="E833" s="25" t="s">
        <v>2244</v>
      </c>
      <c r="F833" s="25" t="s">
        <v>2245</v>
      </c>
      <c r="G833" s="25">
        <v>500</v>
      </c>
      <c r="H833" s="25"/>
    </row>
    <row r="834" spans="1:8" ht="14">
      <c r="A834" s="25" t="s">
        <v>1634</v>
      </c>
      <c r="B834" s="26" t="s">
        <v>2220</v>
      </c>
      <c r="C834" s="25" t="str">
        <f t="shared" si="14"/>
        <v>signaling</v>
      </c>
      <c r="D834" s="27" t="s">
        <v>13</v>
      </c>
      <c r="E834" s="25" t="s">
        <v>1635</v>
      </c>
      <c r="F834" s="25" t="s">
        <v>2246</v>
      </c>
      <c r="G834" s="25">
        <v>500</v>
      </c>
      <c r="H834" s="25"/>
    </row>
    <row r="835" spans="1:8" ht="14">
      <c r="A835" s="25" t="s">
        <v>2247</v>
      </c>
      <c r="B835" s="26" t="s">
        <v>27</v>
      </c>
      <c r="C835" s="25" t="str">
        <f t="shared" si="14"/>
        <v>diann</v>
      </c>
      <c r="D835" s="27" t="s">
        <v>13</v>
      </c>
      <c r="E835" s="25" t="s">
        <v>2248</v>
      </c>
      <c r="F835" s="25" t="s">
        <v>2249</v>
      </c>
      <c r="G835" s="25">
        <v>500</v>
      </c>
      <c r="H835" s="25"/>
    </row>
    <row r="836" spans="1:8" ht="14">
      <c r="A836" s="25" t="s">
        <v>2250</v>
      </c>
      <c r="B836" s="26" t="s">
        <v>27</v>
      </c>
      <c r="C836" s="25" t="str">
        <f t="shared" si="14"/>
        <v>maxquant</v>
      </c>
      <c r="D836" s="27" t="s">
        <v>13</v>
      </c>
      <c r="E836" s="25" t="s">
        <v>2251</v>
      </c>
      <c r="F836" s="25" t="s">
        <v>2252</v>
      </c>
      <c r="G836" s="25">
        <v>500</v>
      </c>
      <c r="H836" s="25"/>
    </row>
    <row r="837" spans="1:8" ht="14">
      <c r="A837" s="25" t="s">
        <v>2253</v>
      </c>
      <c r="B837" s="26" t="s">
        <v>27</v>
      </c>
      <c r="C837" s="25" t="str">
        <f t="shared" si="14"/>
        <v>metamorpheus</v>
      </c>
      <c r="D837" s="27" t="s">
        <v>13</v>
      </c>
      <c r="E837" s="25" t="s">
        <v>2254</v>
      </c>
      <c r="F837" s="25" t="s">
        <v>2255</v>
      </c>
      <c r="G837" s="25">
        <v>500</v>
      </c>
      <c r="H837" s="25"/>
    </row>
    <row r="838" spans="1:8" ht="14">
      <c r="A838" s="25" t="s">
        <v>2256</v>
      </c>
      <c r="B838" s="26" t="s">
        <v>27</v>
      </c>
      <c r="C838" s="25" t="str">
        <f t="shared" si="14"/>
        <v>minora</v>
      </c>
      <c r="D838" s="27" t="s">
        <v>13</v>
      </c>
      <c r="E838" s="25" t="s">
        <v>2257</v>
      </c>
      <c r="F838" s="25" t="s">
        <v>2258</v>
      </c>
      <c r="G838" s="25">
        <v>500</v>
      </c>
      <c r="H838" s="25"/>
    </row>
    <row r="839" spans="1:8" ht="14">
      <c r="A839" s="25" t="s">
        <v>2259</v>
      </c>
      <c r="B839" s="26" t="s">
        <v>27</v>
      </c>
      <c r="C839" s="25" t="str">
        <f t="shared" si="14"/>
        <v>msfragger</v>
      </c>
      <c r="D839" s="27" t="s">
        <v>13</v>
      </c>
      <c r="E839" s="25" t="s">
        <v>2260</v>
      </c>
      <c r="F839" s="25" t="s">
        <v>2261</v>
      </c>
      <c r="G839" s="25">
        <v>500</v>
      </c>
      <c r="H839" s="25"/>
    </row>
    <row r="840" spans="1:8" ht="14">
      <c r="A840" s="25" t="s">
        <v>2262</v>
      </c>
      <c r="B840" s="26" t="s">
        <v>27</v>
      </c>
      <c r="C840" s="25" t="str">
        <f t="shared" si="14"/>
        <v>msgf</v>
      </c>
      <c r="D840" s="27" t="s">
        <v>13</v>
      </c>
      <c r="E840" s="25" t="s">
        <v>2263</v>
      </c>
      <c r="F840" s="25" t="s">
        <v>2264</v>
      </c>
      <c r="G840" s="25">
        <v>500</v>
      </c>
      <c r="H840" s="25"/>
    </row>
    <row r="841" spans="1:8" ht="14">
      <c r="A841" s="25" t="s">
        <v>2265</v>
      </c>
      <c r="B841" s="26" t="s">
        <v>27</v>
      </c>
      <c r="C841" s="25" t="str">
        <f t="shared" si="14"/>
        <v>spectronaut</v>
      </c>
      <c r="D841" s="27" t="s">
        <v>13</v>
      </c>
      <c r="E841" s="25" t="s">
        <v>2266</v>
      </c>
      <c r="F841" s="25" t="s">
        <v>2267</v>
      </c>
      <c r="G841" s="25">
        <v>500</v>
      </c>
      <c r="H841" s="25"/>
    </row>
    <row r="842" spans="1:8" ht="14">
      <c r="A842" s="25" t="s">
        <v>2781</v>
      </c>
      <c r="B842" s="26" t="s">
        <v>2780</v>
      </c>
      <c r="C842" s="25" t="str">
        <f t="shared" si="14"/>
        <v>wc</v>
      </c>
      <c r="D842" s="27" t="s">
        <v>13</v>
      </c>
      <c r="E842" s="25" t="s">
        <v>2782</v>
      </c>
      <c r="F842" s="25" t="s">
        <v>2783</v>
      </c>
      <c r="G842" s="25">
        <v>500</v>
      </c>
      <c r="H842" s="25"/>
    </row>
    <row r="843" spans="1:8" ht="14">
      <c r="A843" s="25" t="s">
        <v>2785</v>
      </c>
      <c r="B843" s="26" t="s">
        <v>2780</v>
      </c>
      <c r="C843" s="25" t="str">
        <f t="shared" si="14"/>
        <v>membrane</v>
      </c>
      <c r="D843" s="27" t="s">
        <v>13</v>
      </c>
      <c r="E843" s="25" t="s">
        <v>2786</v>
      </c>
      <c r="F843" s="25" t="s">
        <v>2787</v>
      </c>
      <c r="G843" s="25">
        <v>500</v>
      </c>
      <c r="H843" s="25"/>
    </row>
    <row r="844" spans="1:8" ht="14">
      <c r="A844" s="25" t="s">
        <v>2784</v>
      </c>
      <c r="B844" s="26" t="s">
        <v>2780</v>
      </c>
      <c r="C844" s="25" t="str">
        <f t="shared" si="14"/>
        <v>mitochondria</v>
      </c>
      <c r="D844" s="27" t="s">
        <v>13</v>
      </c>
      <c r="E844" s="25" t="s">
        <v>2801</v>
      </c>
      <c r="F844" s="25" t="s">
        <v>2800</v>
      </c>
      <c r="G844" s="25">
        <v>500</v>
      </c>
      <c r="H844" s="25"/>
    </row>
    <row r="845" spans="1:8" ht="14">
      <c r="A845" s="25" t="s">
        <v>2814</v>
      </c>
      <c r="B845" s="26" t="s">
        <v>2780</v>
      </c>
      <c r="C845" s="25" t="str">
        <f t="shared" si="14"/>
        <v>mitochondriapk</v>
      </c>
      <c r="D845" s="27" t="s">
        <v>13</v>
      </c>
      <c r="E845" s="25" t="s">
        <v>2812</v>
      </c>
      <c r="F845" s="25" t="s">
        <v>2813</v>
      </c>
      <c r="G845" s="25">
        <v>500</v>
      </c>
      <c r="H845" s="25"/>
    </row>
    <row r="846" spans="1:8" ht="14">
      <c r="A846" s="25" t="s">
        <v>4062</v>
      </c>
      <c r="B846" s="26" t="s">
        <v>2780</v>
      </c>
      <c r="C846" s="25" t="str">
        <f t="shared" ref="C846" si="15">A846</f>
        <v>mitochondriace</v>
      </c>
      <c r="D846" s="27" t="s">
        <v>13</v>
      </c>
      <c r="E846" s="25" t="s">
        <v>4060</v>
      </c>
      <c r="F846" s="25" t="s">
        <v>4061</v>
      </c>
      <c r="G846" s="25">
        <v>500</v>
      </c>
      <c r="H846" s="25"/>
    </row>
    <row r="847" spans="1:8" ht="14">
      <c r="A847" s="25" t="s">
        <v>2788</v>
      </c>
      <c r="B847" s="26" t="s">
        <v>2780</v>
      </c>
      <c r="C847" s="25" t="str">
        <f t="shared" si="14"/>
        <v>golgi</v>
      </c>
      <c r="D847" s="27" t="s">
        <v>13</v>
      </c>
      <c r="E847" s="25" t="s">
        <v>2789</v>
      </c>
      <c r="F847" s="25" t="s">
        <v>2790</v>
      </c>
      <c r="G847" s="25">
        <v>500</v>
      </c>
      <c r="H847" s="25"/>
    </row>
    <row r="848" spans="1:8" ht="14">
      <c r="A848" s="25" t="s">
        <v>2791</v>
      </c>
      <c r="B848" s="26" t="s">
        <v>2780</v>
      </c>
      <c r="C848" s="25" t="str">
        <f t="shared" si="14"/>
        <v>plasmamembrane</v>
      </c>
      <c r="D848" s="27" t="s">
        <v>13</v>
      </c>
      <c r="E848" s="25" t="s">
        <v>2799</v>
      </c>
      <c r="F848" s="25" t="s">
        <v>2792</v>
      </c>
      <c r="G848" s="25">
        <v>500</v>
      </c>
      <c r="H848" s="25"/>
    </row>
    <row r="849" spans="1:8" ht="14">
      <c r="A849" s="25" t="s">
        <v>2793</v>
      </c>
      <c r="B849" s="26" t="s">
        <v>2780</v>
      </c>
      <c r="C849" s="25" t="str">
        <f t="shared" si="14"/>
        <v>nucleus</v>
      </c>
      <c r="D849" s="27" t="s">
        <v>13</v>
      </c>
      <c r="E849" s="25" t="s">
        <v>2794</v>
      </c>
      <c r="F849" s="25" t="s">
        <v>2795</v>
      </c>
      <c r="G849" s="25">
        <v>500</v>
      </c>
      <c r="H849" s="25"/>
    </row>
    <row r="850" spans="1:8" ht="14">
      <c r="A850" s="25" t="s">
        <v>2796</v>
      </c>
      <c r="B850" s="26" t="s">
        <v>2780</v>
      </c>
      <c r="C850" s="25" t="str">
        <f t="shared" si="14"/>
        <v>cytosol</v>
      </c>
      <c r="D850" s="27" t="s">
        <v>13</v>
      </c>
      <c r="E850" s="25" t="s">
        <v>2797</v>
      </c>
      <c r="F850" s="25" t="s">
        <v>2798</v>
      </c>
      <c r="G850" s="25">
        <v>500</v>
      </c>
      <c r="H850" s="25"/>
    </row>
    <row r="851" spans="1:8" ht="14">
      <c r="A851" s="25" t="s">
        <v>4057</v>
      </c>
      <c r="B851" s="26" t="s">
        <v>2780</v>
      </c>
      <c r="C851" s="25" t="str">
        <f t="shared" si="14"/>
        <v>er</v>
      </c>
      <c r="D851" s="27" t="s">
        <v>13</v>
      </c>
      <c r="E851" s="25" t="s">
        <v>4059</v>
      </c>
      <c r="F851" s="25" t="s">
        <v>4058</v>
      </c>
      <c r="G851" s="25">
        <v>500</v>
      </c>
      <c r="H851" s="25"/>
    </row>
    <row r="852" spans="1:8" ht="14">
      <c r="A852" s="25" t="s">
        <v>4067</v>
      </c>
      <c r="B852" s="26" t="s">
        <v>2780</v>
      </c>
      <c r="C852" s="25" t="str">
        <f t="shared" si="14"/>
        <v>ercesup</v>
      </c>
      <c r="D852" s="27" t="s">
        <v>13</v>
      </c>
      <c r="E852" s="25" t="s">
        <v>4063</v>
      </c>
      <c r="F852" s="25" t="s">
        <v>4065</v>
      </c>
      <c r="G852" s="25">
        <v>500</v>
      </c>
      <c r="H852" s="25"/>
    </row>
    <row r="853" spans="1:8" ht="14">
      <c r="A853" s="25" t="s">
        <v>4068</v>
      </c>
      <c r="B853" s="26" t="s">
        <v>2780</v>
      </c>
      <c r="C853" s="25" t="str">
        <f t="shared" ref="C853" si="16">A853</f>
        <v>ercepellet</v>
      </c>
      <c r="D853" s="27" t="s">
        <v>13</v>
      </c>
      <c r="E853" s="25" t="s">
        <v>4064</v>
      </c>
      <c r="F853" s="25" t="s">
        <v>4066</v>
      </c>
      <c r="G853" s="25">
        <v>500</v>
      </c>
      <c r="H853" s="25"/>
    </row>
    <row r="854" spans="1:8" ht="14">
      <c r="A854" s="25" t="s">
        <v>2268</v>
      </c>
      <c r="B854" s="26" t="s">
        <v>159</v>
      </c>
      <c r="C854" s="25" t="str">
        <f t="shared" si="14"/>
        <v>adipose</v>
      </c>
      <c r="D854" s="25" t="s">
        <v>2268</v>
      </c>
      <c r="E854" s="25" t="s">
        <v>2269</v>
      </c>
      <c r="F854" s="25" t="s">
        <v>2270</v>
      </c>
      <c r="G854" s="25">
        <v>500</v>
      </c>
      <c r="H854" s="25"/>
    </row>
    <row r="855" spans="1:8" ht="14">
      <c r="A855" s="25" t="s">
        <v>2271</v>
      </c>
      <c r="B855" s="26" t="s">
        <v>159</v>
      </c>
      <c r="C855" s="25" t="str">
        <f t="shared" si="14"/>
        <v>areolar</v>
      </c>
      <c r="D855" s="25" t="s">
        <v>2271</v>
      </c>
      <c r="E855" s="25" t="s">
        <v>2272</v>
      </c>
      <c r="F855" s="25" t="s">
        <v>2273</v>
      </c>
      <c r="G855" s="25">
        <v>500</v>
      </c>
      <c r="H855" s="25"/>
    </row>
    <row r="856" spans="1:8" ht="14">
      <c r="A856" s="25" t="s">
        <v>2274</v>
      </c>
      <c r="B856" s="26" t="s">
        <v>159</v>
      </c>
      <c r="C856" s="25" t="str">
        <f t="shared" si="14"/>
        <v>blood</v>
      </c>
      <c r="D856" s="25" t="s">
        <v>2274</v>
      </c>
      <c r="E856" s="25" t="s">
        <v>2275</v>
      </c>
      <c r="F856" s="25" t="s">
        <v>2275</v>
      </c>
      <c r="G856" s="25">
        <v>500</v>
      </c>
      <c r="H856" s="25"/>
    </row>
    <row r="857" spans="1:8" ht="14">
      <c r="A857" s="25" t="s">
        <v>2276</v>
      </c>
      <c r="B857" s="26" t="s">
        <v>159</v>
      </c>
      <c r="C857" s="25" t="str">
        <f t="shared" si="14"/>
        <v>connective</v>
      </c>
      <c r="D857" s="25" t="s">
        <v>2276</v>
      </c>
      <c r="E857" s="25" t="s">
        <v>2277</v>
      </c>
      <c r="F857" s="25" t="s">
        <v>2278</v>
      </c>
      <c r="G857" s="25">
        <v>500</v>
      </c>
      <c r="H857" s="25"/>
    </row>
    <row r="858" spans="1:8" ht="14">
      <c r="A858" s="25" t="s">
        <v>2279</v>
      </c>
      <c r="B858" s="26" t="s">
        <v>159</v>
      </c>
      <c r="C858" s="25" t="str">
        <f t="shared" si="14"/>
        <v>dermis</v>
      </c>
      <c r="D858" s="25" t="s">
        <v>2279</v>
      </c>
      <c r="E858" s="25" t="s">
        <v>2280</v>
      </c>
      <c r="F858" s="25" t="s">
        <v>2280</v>
      </c>
      <c r="G858" s="25">
        <v>500</v>
      </c>
      <c r="H858" s="25"/>
    </row>
    <row r="859" spans="1:8" ht="14">
      <c r="A859" s="25" t="s">
        <v>2281</v>
      </c>
      <c r="B859" s="26" t="s">
        <v>159</v>
      </c>
      <c r="C859" s="25" t="str">
        <f t="shared" si="14"/>
        <v>epidermis</v>
      </c>
      <c r="D859" s="25" t="s">
        <v>2281</v>
      </c>
      <c r="E859" s="25" t="s">
        <v>2282</v>
      </c>
      <c r="F859" s="25" t="s">
        <v>2282</v>
      </c>
      <c r="G859" s="25">
        <v>500</v>
      </c>
      <c r="H859" s="25"/>
    </row>
    <row r="860" spans="1:8" ht="14">
      <c r="A860" s="25" t="s">
        <v>2283</v>
      </c>
      <c r="B860" s="26" t="s">
        <v>159</v>
      </c>
      <c r="C860" s="25" t="str">
        <f t="shared" si="14"/>
        <v>epithelial</v>
      </c>
      <c r="D860" s="25" t="s">
        <v>2283</v>
      </c>
      <c r="E860" s="25" t="s">
        <v>2284</v>
      </c>
      <c r="F860" s="25" t="s">
        <v>2285</v>
      </c>
      <c r="G860" s="25">
        <v>500</v>
      </c>
      <c r="H860" s="25"/>
    </row>
    <row r="861" spans="1:8" ht="14">
      <c r="A861" s="25" t="s">
        <v>2286</v>
      </c>
      <c r="B861" s="26" t="s">
        <v>159</v>
      </c>
      <c r="C861" s="25" t="str">
        <f t="shared" si="14"/>
        <v>hypodermis</v>
      </c>
      <c r="D861" s="25" t="s">
        <v>2286</v>
      </c>
      <c r="E861" s="25" t="s">
        <v>2287</v>
      </c>
      <c r="F861" s="25" t="s">
        <v>2287</v>
      </c>
      <c r="G861" s="25">
        <v>500</v>
      </c>
      <c r="H861" s="25"/>
    </row>
    <row r="862" spans="1:8" ht="14">
      <c r="A862" s="25" t="s">
        <v>2288</v>
      </c>
      <c r="B862" s="26" t="s">
        <v>159</v>
      </c>
      <c r="C862" s="25" t="str">
        <f t="shared" si="14"/>
        <v>muscle</v>
      </c>
      <c r="D862" s="25" t="s">
        <v>2288</v>
      </c>
      <c r="E862" s="25" t="s">
        <v>2681</v>
      </c>
      <c r="F862" s="25" t="s">
        <v>2289</v>
      </c>
      <c r="G862" s="25">
        <v>500</v>
      </c>
      <c r="H862" s="25"/>
    </row>
    <row r="863" spans="1:8" ht="14">
      <c r="A863" s="25" t="s">
        <v>2290</v>
      </c>
      <c r="B863" s="26" t="s">
        <v>159</v>
      </c>
      <c r="C863" s="25" t="str">
        <f t="shared" si="14"/>
        <v>nervous</v>
      </c>
      <c r="D863" s="25" t="s">
        <v>2290</v>
      </c>
      <c r="E863" s="25" t="s">
        <v>2109</v>
      </c>
      <c r="F863" s="25" t="s">
        <v>2291</v>
      </c>
      <c r="G863" s="25">
        <v>500</v>
      </c>
      <c r="H863" s="25"/>
    </row>
    <row r="864" spans="1:8" ht="14">
      <c r="A864" s="25" t="s">
        <v>2292</v>
      </c>
      <c r="B864" s="26" t="s">
        <v>159</v>
      </c>
      <c r="C864" s="25" t="str">
        <f t="shared" si="14"/>
        <v>reticular</v>
      </c>
      <c r="D864" s="25" t="s">
        <v>2292</v>
      </c>
      <c r="E864" s="25" t="s">
        <v>2293</v>
      </c>
      <c r="F864" s="25" t="s">
        <v>2294</v>
      </c>
      <c r="G864" s="25">
        <v>500</v>
      </c>
      <c r="H864" s="25"/>
    </row>
    <row r="865" spans="1:8" ht="14">
      <c r="A865" s="25" t="s">
        <v>2295</v>
      </c>
      <c r="B865" s="26" t="s">
        <v>159</v>
      </c>
      <c r="C865" s="25" t="str">
        <f t="shared" si="14"/>
        <v>stromal</v>
      </c>
      <c r="D865" s="25" t="s">
        <v>2295</v>
      </c>
      <c r="E865" s="25" t="s">
        <v>2296</v>
      </c>
      <c r="F865" s="25" t="s">
        <v>2297</v>
      </c>
      <c r="G865" s="25">
        <v>500</v>
      </c>
      <c r="H865" s="25"/>
    </row>
    <row r="866" spans="1:8" ht="14">
      <c r="A866" s="25" t="s">
        <v>2298</v>
      </c>
      <c r="B866" s="26" t="s">
        <v>161</v>
      </c>
      <c r="C866" s="25" t="str">
        <f t="shared" si="14"/>
        <v>tmt10_126</v>
      </c>
      <c r="D866" s="27" t="s">
        <v>13</v>
      </c>
      <c r="E866" s="25">
        <v>126</v>
      </c>
      <c r="F866" s="27" t="s">
        <v>13</v>
      </c>
      <c r="G866" s="25">
        <v>500</v>
      </c>
      <c r="H866" s="25"/>
    </row>
    <row r="867" spans="1:8" ht="14">
      <c r="A867" s="25" t="s">
        <v>2299</v>
      </c>
      <c r="B867" s="26" t="s">
        <v>161</v>
      </c>
      <c r="C867" s="25" t="str">
        <f t="shared" si="14"/>
        <v>tmt10_127C</v>
      </c>
      <c r="D867" s="27" t="s">
        <v>13</v>
      </c>
      <c r="E867" s="25" t="s">
        <v>2300</v>
      </c>
      <c r="F867" s="27" t="s">
        <v>13</v>
      </c>
      <c r="G867" s="25">
        <v>500</v>
      </c>
      <c r="H867" s="25"/>
    </row>
    <row r="868" spans="1:8" ht="14">
      <c r="A868" s="25" t="s">
        <v>2301</v>
      </c>
      <c r="B868" s="26" t="s">
        <v>161</v>
      </c>
      <c r="C868" s="25" t="str">
        <f t="shared" si="14"/>
        <v>tmt10_127N</v>
      </c>
      <c r="D868" s="27" t="s">
        <v>13</v>
      </c>
      <c r="E868" s="25" t="s">
        <v>2302</v>
      </c>
      <c r="F868" s="27" t="s">
        <v>13</v>
      </c>
      <c r="G868" s="25">
        <v>500</v>
      </c>
      <c r="H868" s="25"/>
    </row>
    <row r="869" spans="1:8" ht="14">
      <c r="A869" s="25" t="s">
        <v>2303</v>
      </c>
      <c r="B869" s="26" t="s">
        <v>161</v>
      </c>
      <c r="C869" s="25" t="str">
        <f t="shared" si="14"/>
        <v>tmt10_128C</v>
      </c>
      <c r="D869" s="27" t="s">
        <v>13</v>
      </c>
      <c r="E869" s="25" t="s">
        <v>2304</v>
      </c>
      <c r="F869" s="27" t="s">
        <v>13</v>
      </c>
      <c r="G869" s="25">
        <v>500</v>
      </c>
      <c r="H869" s="25"/>
    </row>
    <row r="870" spans="1:8" ht="14">
      <c r="A870" s="25" t="s">
        <v>2305</v>
      </c>
      <c r="B870" s="26" t="s">
        <v>161</v>
      </c>
      <c r="C870" s="25" t="str">
        <f t="shared" si="14"/>
        <v>tmt10_128N</v>
      </c>
      <c r="D870" s="27" t="s">
        <v>13</v>
      </c>
      <c r="E870" s="25" t="s">
        <v>2306</v>
      </c>
      <c r="F870" s="27" t="s">
        <v>13</v>
      </c>
      <c r="G870" s="25">
        <v>500</v>
      </c>
      <c r="H870" s="25"/>
    </row>
    <row r="871" spans="1:8" ht="14">
      <c r="A871" s="25" t="s">
        <v>2307</v>
      </c>
      <c r="B871" s="26" t="s">
        <v>161</v>
      </c>
      <c r="C871" s="25" t="str">
        <f t="shared" si="14"/>
        <v>tmt10_129C</v>
      </c>
      <c r="D871" s="27" t="s">
        <v>13</v>
      </c>
      <c r="E871" s="25" t="s">
        <v>2308</v>
      </c>
      <c r="F871" s="27" t="s">
        <v>13</v>
      </c>
      <c r="G871" s="25">
        <v>500</v>
      </c>
      <c r="H871" s="25"/>
    </row>
    <row r="872" spans="1:8" ht="14">
      <c r="A872" s="25" t="s">
        <v>2309</v>
      </c>
      <c r="B872" s="26" t="s">
        <v>161</v>
      </c>
      <c r="C872" s="25" t="str">
        <f t="shared" si="14"/>
        <v>tmt10_129N</v>
      </c>
      <c r="D872" s="27" t="s">
        <v>13</v>
      </c>
      <c r="E872" s="25" t="s">
        <v>2310</v>
      </c>
      <c r="F872" s="27" t="s">
        <v>13</v>
      </c>
      <c r="G872" s="25">
        <v>500</v>
      </c>
      <c r="H872" s="25"/>
    </row>
    <row r="873" spans="1:8" ht="14">
      <c r="A873" s="25" t="s">
        <v>2311</v>
      </c>
      <c r="B873" s="26" t="s">
        <v>161</v>
      </c>
      <c r="C873" s="25" t="str">
        <f t="shared" si="14"/>
        <v>tmt10_130C</v>
      </c>
      <c r="D873" s="27" t="s">
        <v>13</v>
      </c>
      <c r="E873" s="25" t="s">
        <v>2312</v>
      </c>
      <c r="F873" s="27" t="s">
        <v>13</v>
      </c>
      <c r="G873" s="25">
        <v>500</v>
      </c>
      <c r="H873" s="25"/>
    </row>
    <row r="874" spans="1:8" ht="14">
      <c r="A874" s="25" t="s">
        <v>2313</v>
      </c>
      <c r="B874" s="26" t="s">
        <v>161</v>
      </c>
      <c r="C874" s="25" t="str">
        <f t="shared" si="14"/>
        <v>tmt10_130N</v>
      </c>
      <c r="D874" s="27" t="s">
        <v>13</v>
      </c>
      <c r="E874" s="25" t="s">
        <v>2314</v>
      </c>
      <c r="F874" s="27" t="s">
        <v>13</v>
      </c>
      <c r="G874" s="25">
        <v>500</v>
      </c>
      <c r="H874" s="25"/>
    </row>
    <row r="875" spans="1:8" ht="14">
      <c r="A875" s="25" t="s">
        <v>2315</v>
      </c>
      <c r="B875" s="26" t="s">
        <v>161</v>
      </c>
      <c r="C875" s="25" t="str">
        <f t="shared" si="14"/>
        <v>tmt10_131</v>
      </c>
      <c r="D875" s="27" t="s">
        <v>13</v>
      </c>
      <c r="E875" s="25">
        <v>131</v>
      </c>
      <c r="F875" s="27" t="s">
        <v>13</v>
      </c>
      <c r="G875" s="25">
        <v>500</v>
      </c>
      <c r="H875" s="25"/>
    </row>
    <row r="876" spans="1:8" ht="14">
      <c r="A876" s="25" t="s">
        <v>2316</v>
      </c>
      <c r="B876" s="26" t="s">
        <v>161</v>
      </c>
      <c r="C876" s="25" t="str">
        <f t="shared" si="14"/>
        <v>tmt11_126</v>
      </c>
      <c r="D876" s="27" t="s">
        <v>13</v>
      </c>
      <c r="E876" s="25">
        <v>126</v>
      </c>
      <c r="F876" s="27" t="s">
        <v>13</v>
      </c>
      <c r="G876" s="25">
        <v>500</v>
      </c>
      <c r="H876" s="25"/>
    </row>
    <row r="877" spans="1:8" ht="14">
      <c r="A877" s="25" t="s">
        <v>2317</v>
      </c>
      <c r="B877" s="26" t="s">
        <v>161</v>
      </c>
      <c r="C877" s="25" t="str">
        <f t="shared" si="14"/>
        <v>tmt11_127C</v>
      </c>
      <c r="D877" s="27" t="s">
        <v>13</v>
      </c>
      <c r="E877" s="25" t="s">
        <v>2300</v>
      </c>
      <c r="F877" s="27" t="s">
        <v>13</v>
      </c>
      <c r="G877" s="25">
        <v>500</v>
      </c>
      <c r="H877" s="25"/>
    </row>
    <row r="878" spans="1:8" ht="14">
      <c r="A878" s="25" t="s">
        <v>2318</v>
      </c>
      <c r="B878" s="26" t="s">
        <v>161</v>
      </c>
      <c r="C878" s="25" t="str">
        <f t="shared" si="14"/>
        <v>tmt11_127N</v>
      </c>
      <c r="D878" s="27" t="s">
        <v>13</v>
      </c>
      <c r="E878" s="25" t="s">
        <v>2302</v>
      </c>
      <c r="F878" s="27" t="s">
        <v>13</v>
      </c>
      <c r="G878" s="25">
        <v>500</v>
      </c>
      <c r="H878" s="25"/>
    </row>
    <row r="879" spans="1:8" ht="14">
      <c r="A879" s="25" t="s">
        <v>2319</v>
      </c>
      <c r="B879" s="26" t="s">
        <v>161</v>
      </c>
      <c r="C879" s="25" t="str">
        <f t="shared" si="14"/>
        <v>tmt11_128C</v>
      </c>
      <c r="D879" s="27" t="s">
        <v>13</v>
      </c>
      <c r="E879" s="25" t="s">
        <v>2304</v>
      </c>
      <c r="F879" s="27" t="s">
        <v>13</v>
      </c>
      <c r="G879" s="25">
        <v>500</v>
      </c>
      <c r="H879" s="25"/>
    </row>
    <row r="880" spans="1:8" ht="14">
      <c r="A880" s="25" t="s">
        <v>2320</v>
      </c>
      <c r="B880" s="26" t="s">
        <v>161</v>
      </c>
      <c r="C880" s="25" t="str">
        <f t="shared" si="14"/>
        <v>tmt11_128N</v>
      </c>
      <c r="D880" s="27" t="s">
        <v>13</v>
      </c>
      <c r="E880" s="25" t="s">
        <v>2306</v>
      </c>
      <c r="F880" s="27" t="s">
        <v>13</v>
      </c>
      <c r="G880" s="25">
        <v>500</v>
      </c>
      <c r="H880" s="25"/>
    </row>
    <row r="881" spans="1:8" ht="14">
      <c r="A881" s="25" t="s">
        <v>2321</v>
      </c>
      <c r="B881" s="26" t="s">
        <v>161</v>
      </c>
      <c r="C881" s="25" t="str">
        <f t="shared" si="14"/>
        <v>tmt11_129C</v>
      </c>
      <c r="D881" s="27" t="s">
        <v>13</v>
      </c>
      <c r="E881" s="25" t="s">
        <v>2308</v>
      </c>
      <c r="F881" s="27" t="s">
        <v>13</v>
      </c>
      <c r="G881" s="25">
        <v>500</v>
      </c>
      <c r="H881" s="25"/>
    </row>
    <row r="882" spans="1:8" ht="14">
      <c r="A882" s="25" t="s">
        <v>2322</v>
      </c>
      <c r="B882" s="26" t="s">
        <v>161</v>
      </c>
      <c r="C882" s="25" t="str">
        <f t="shared" si="14"/>
        <v>tmt11_129N</v>
      </c>
      <c r="D882" s="27" t="s">
        <v>13</v>
      </c>
      <c r="E882" s="25" t="s">
        <v>2310</v>
      </c>
      <c r="F882" s="27" t="s">
        <v>13</v>
      </c>
      <c r="G882" s="25">
        <v>500</v>
      </c>
      <c r="H882" s="25"/>
    </row>
    <row r="883" spans="1:8" ht="14">
      <c r="A883" s="25" t="s">
        <v>2323</v>
      </c>
      <c r="B883" s="26" t="s">
        <v>161</v>
      </c>
      <c r="C883" s="25" t="str">
        <f t="shared" si="14"/>
        <v>tmt11_130C</v>
      </c>
      <c r="D883" s="27" t="s">
        <v>13</v>
      </c>
      <c r="E883" s="25" t="s">
        <v>2312</v>
      </c>
      <c r="F883" s="27" t="s">
        <v>13</v>
      </c>
      <c r="G883" s="25">
        <v>500</v>
      </c>
      <c r="H883" s="25"/>
    </row>
    <row r="884" spans="1:8" ht="14">
      <c r="A884" s="25" t="s">
        <v>2324</v>
      </c>
      <c r="B884" s="26" t="s">
        <v>161</v>
      </c>
      <c r="C884" s="25" t="str">
        <f t="shared" ref="C884:C952" si="17">A884</f>
        <v>tmt11_130N</v>
      </c>
      <c r="D884" s="27" t="s">
        <v>13</v>
      </c>
      <c r="E884" s="25" t="s">
        <v>2314</v>
      </c>
      <c r="F884" s="27" t="s">
        <v>13</v>
      </c>
      <c r="G884" s="25">
        <v>500</v>
      </c>
      <c r="H884" s="25"/>
    </row>
    <row r="885" spans="1:8" ht="14">
      <c r="A885" s="25" t="s">
        <v>2325</v>
      </c>
      <c r="B885" s="26" t="s">
        <v>161</v>
      </c>
      <c r="C885" s="25" t="str">
        <f t="shared" si="17"/>
        <v>tmt11_131C</v>
      </c>
      <c r="D885" s="27" t="s">
        <v>13</v>
      </c>
      <c r="E885" s="25" t="s">
        <v>2326</v>
      </c>
      <c r="F885" s="27" t="s">
        <v>13</v>
      </c>
      <c r="G885" s="25">
        <v>500</v>
      </c>
      <c r="H885" s="25"/>
    </row>
    <row r="886" spans="1:8" ht="14">
      <c r="A886" s="25" t="s">
        <v>2327</v>
      </c>
      <c r="B886" s="26" t="s">
        <v>161</v>
      </c>
      <c r="C886" s="25" t="str">
        <f t="shared" si="17"/>
        <v>tmt11_131N</v>
      </c>
      <c r="D886" s="27" t="s">
        <v>13</v>
      </c>
      <c r="E886" s="25" t="s">
        <v>2328</v>
      </c>
      <c r="F886" s="27" t="s">
        <v>13</v>
      </c>
      <c r="G886" s="25">
        <v>500</v>
      </c>
      <c r="H886" s="25"/>
    </row>
    <row r="887" spans="1:8" ht="14">
      <c r="A887" s="25" t="s">
        <v>2329</v>
      </c>
      <c r="B887" s="26" t="s">
        <v>161</v>
      </c>
      <c r="C887" s="25" t="str">
        <f t="shared" si="17"/>
        <v>tmt18_126</v>
      </c>
      <c r="D887" s="27" t="s">
        <v>13</v>
      </c>
      <c r="E887" s="25">
        <v>126</v>
      </c>
      <c r="F887" s="27" t="s">
        <v>13</v>
      </c>
      <c r="G887" s="25">
        <v>500</v>
      </c>
      <c r="H887" s="25"/>
    </row>
    <row r="888" spans="1:8" ht="14">
      <c r="A888" s="25" t="s">
        <v>2330</v>
      </c>
      <c r="B888" s="26" t="s">
        <v>161</v>
      </c>
      <c r="C888" s="25" t="str">
        <f t="shared" si="17"/>
        <v>tmt18_127C</v>
      </c>
      <c r="D888" s="27" t="s">
        <v>13</v>
      </c>
      <c r="E888" s="25" t="s">
        <v>2300</v>
      </c>
      <c r="F888" s="27" t="s">
        <v>13</v>
      </c>
      <c r="G888" s="25">
        <v>500</v>
      </c>
      <c r="H888" s="25"/>
    </row>
    <row r="889" spans="1:8" ht="14">
      <c r="A889" s="25" t="s">
        <v>2331</v>
      </c>
      <c r="B889" s="26" t="s">
        <v>161</v>
      </c>
      <c r="C889" s="25" t="str">
        <f t="shared" si="17"/>
        <v>tmt18_127N</v>
      </c>
      <c r="D889" s="27" t="s">
        <v>13</v>
      </c>
      <c r="E889" s="25" t="s">
        <v>2302</v>
      </c>
      <c r="F889" s="27" t="s">
        <v>13</v>
      </c>
      <c r="G889" s="25">
        <v>500</v>
      </c>
      <c r="H889" s="25"/>
    </row>
    <row r="890" spans="1:8" ht="14">
      <c r="A890" s="25" t="s">
        <v>2332</v>
      </c>
      <c r="B890" s="26" t="s">
        <v>161</v>
      </c>
      <c r="C890" s="25" t="str">
        <f t="shared" si="17"/>
        <v>tmt18_128C</v>
      </c>
      <c r="D890" s="27" t="s">
        <v>13</v>
      </c>
      <c r="E890" s="25" t="s">
        <v>2304</v>
      </c>
      <c r="F890" s="27" t="s">
        <v>13</v>
      </c>
      <c r="G890" s="25">
        <v>500</v>
      </c>
      <c r="H890" s="25"/>
    </row>
    <row r="891" spans="1:8" ht="14">
      <c r="A891" s="25" t="s">
        <v>2333</v>
      </c>
      <c r="B891" s="26" t="s">
        <v>161</v>
      </c>
      <c r="C891" s="25" t="str">
        <f t="shared" si="17"/>
        <v>tmt18_128N</v>
      </c>
      <c r="D891" s="27" t="s">
        <v>13</v>
      </c>
      <c r="E891" s="25" t="s">
        <v>2306</v>
      </c>
      <c r="F891" s="27" t="s">
        <v>13</v>
      </c>
      <c r="G891" s="25">
        <v>500</v>
      </c>
      <c r="H891" s="25"/>
    </row>
    <row r="892" spans="1:8" ht="14">
      <c r="A892" s="25" t="s">
        <v>2334</v>
      </c>
      <c r="B892" s="26" t="s">
        <v>161</v>
      </c>
      <c r="C892" s="25" t="str">
        <f t="shared" si="17"/>
        <v>tmt18_129C</v>
      </c>
      <c r="D892" s="27" t="s">
        <v>13</v>
      </c>
      <c r="E892" s="25" t="s">
        <v>2308</v>
      </c>
      <c r="F892" s="27" t="s">
        <v>13</v>
      </c>
      <c r="G892" s="25">
        <v>500</v>
      </c>
      <c r="H892" s="25"/>
    </row>
    <row r="893" spans="1:8" ht="14">
      <c r="A893" s="25" t="s">
        <v>2335</v>
      </c>
      <c r="B893" s="26" t="s">
        <v>161</v>
      </c>
      <c r="C893" s="25" t="str">
        <f t="shared" si="17"/>
        <v>tmt18_129N</v>
      </c>
      <c r="D893" s="27" t="s">
        <v>13</v>
      </c>
      <c r="E893" s="25" t="s">
        <v>2310</v>
      </c>
      <c r="F893" s="27" t="s">
        <v>13</v>
      </c>
      <c r="G893" s="25">
        <v>500</v>
      </c>
      <c r="H893" s="25"/>
    </row>
    <row r="894" spans="1:8" ht="14">
      <c r="A894" s="25" t="s">
        <v>2336</v>
      </c>
      <c r="B894" s="26" t="s">
        <v>161</v>
      </c>
      <c r="C894" s="25" t="str">
        <f t="shared" si="17"/>
        <v>tmt18_130C</v>
      </c>
      <c r="D894" s="27" t="s">
        <v>13</v>
      </c>
      <c r="E894" s="25" t="s">
        <v>2312</v>
      </c>
      <c r="F894" s="27" t="s">
        <v>13</v>
      </c>
      <c r="G894" s="25">
        <v>500</v>
      </c>
      <c r="H894" s="25"/>
    </row>
    <row r="895" spans="1:8" ht="14">
      <c r="A895" s="25" t="s">
        <v>2337</v>
      </c>
      <c r="B895" s="26" t="s">
        <v>161</v>
      </c>
      <c r="C895" s="25" t="str">
        <f t="shared" si="17"/>
        <v>tmt18_130N</v>
      </c>
      <c r="D895" s="27" t="s">
        <v>13</v>
      </c>
      <c r="E895" s="25" t="s">
        <v>2314</v>
      </c>
      <c r="F895" s="27" t="s">
        <v>13</v>
      </c>
      <c r="G895" s="25">
        <v>500</v>
      </c>
      <c r="H895" s="25"/>
    </row>
    <row r="896" spans="1:8" ht="14">
      <c r="A896" s="25" t="s">
        <v>2338</v>
      </c>
      <c r="B896" s="26" t="s">
        <v>161</v>
      </c>
      <c r="C896" s="25" t="str">
        <f t="shared" si="17"/>
        <v>tmt18_131C</v>
      </c>
      <c r="D896" s="27" t="s">
        <v>13</v>
      </c>
      <c r="E896" s="25" t="s">
        <v>2326</v>
      </c>
      <c r="F896" s="27" t="s">
        <v>13</v>
      </c>
      <c r="G896" s="25">
        <v>500</v>
      </c>
      <c r="H896" s="25"/>
    </row>
    <row r="897" spans="1:8" ht="14">
      <c r="A897" s="25" t="s">
        <v>2339</v>
      </c>
      <c r="B897" s="26" t="s">
        <v>161</v>
      </c>
      <c r="C897" s="25" t="str">
        <f t="shared" si="17"/>
        <v>tmt18_131N</v>
      </c>
      <c r="D897" s="27" t="s">
        <v>13</v>
      </c>
      <c r="E897" s="25" t="s">
        <v>2328</v>
      </c>
      <c r="F897" s="27" t="s">
        <v>13</v>
      </c>
      <c r="G897" s="25">
        <v>500</v>
      </c>
      <c r="H897" s="25"/>
    </row>
    <row r="898" spans="1:8" ht="14">
      <c r="A898" s="25" t="s">
        <v>2340</v>
      </c>
      <c r="B898" s="26" t="s">
        <v>161</v>
      </c>
      <c r="C898" s="25" t="str">
        <f t="shared" si="17"/>
        <v>tmt18_132C</v>
      </c>
      <c r="D898" s="27" t="s">
        <v>13</v>
      </c>
      <c r="E898" s="25" t="s">
        <v>2341</v>
      </c>
      <c r="F898" s="27" t="s">
        <v>13</v>
      </c>
      <c r="G898" s="25">
        <v>500</v>
      </c>
      <c r="H898" s="25"/>
    </row>
    <row r="899" spans="1:8" ht="14">
      <c r="A899" s="25" t="s">
        <v>2342</v>
      </c>
      <c r="B899" s="26" t="s">
        <v>161</v>
      </c>
      <c r="C899" s="25" t="str">
        <f t="shared" si="17"/>
        <v>tmt18_132N</v>
      </c>
      <c r="D899" s="27" t="s">
        <v>13</v>
      </c>
      <c r="E899" s="25" t="s">
        <v>2343</v>
      </c>
      <c r="F899" s="27" t="s">
        <v>13</v>
      </c>
      <c r="G899" s="25">
        <v>500</v>
      </c>
      <c r="H899" s="25"/>
    </row>
    <row r="900" spans="1:8" ht="14">
      <c r="A900" s="25" t="s">
        <v>2344</v>
      </c>
      <c r="B900" s="26" t="s">
        <v>161</v>
      </c>
      <c r="C900" s="25" t="str">
        <f t="shared" si="17"/>
        <v>tmt18_133C</v>
      </c>
      <c r="D900" s="27" t="s">
        <v>13</v>
      </c>
      <c r="E900" s="25" t="s">
        <v>2345</v>
      </c>
      <c r="F900" s="27" t="s">
        <v>13</v>
      </c>
      <c r="G900" s="25">
        <v>500</v>
      </c>
      <c r="H900" s="25"/>
    </row>
    <row r="901" spans="1:8" ht="14">
      <c r="A901" s="25" t="s">
        <v>2346</v>
      </c>
      <c r="B901" s="26" t="s">
        <v>161</v>
      </c>
      <c r="C901" s="25" t="str">
        <f t="shared" si="17"/>
        <v>tmt18_133N</v>
      </c>
      <c r="D901" s="27" t="s">
        <v>13</v>
      </c>
      <c r="E901" s="25" t="s">
        <v>2347</v>
      </c>
      <c r="F901" s="27" t="s">
        <v>13</v>
      </c>
      <c r="G901" s="25">
        <v>500</v>
      </c>
      <c r="H901" s="25"/>
    </row>
    <row r="902" spans="1:8" ht="14">
      <c r="A902" s="25" t="s">
        <v>2348</v>
      </c>
      <c r="B902" s="26" t="s">
        <v>161</v>
      </c>
      <c r="C902" s="25" t="str">
        <f t="shared" si="17"/>
        <v>tmt18_134C</v>
      </c>
      <c r="D902" s="27" t="s">
        <v>13</v>
      </c>
      <c r="E902" s="25" t="s">
        <v>2349</v>
      </c>
      <c r="F902" s="27" t="s">
        <v>13</v>
      </c>
      <c r="G902" s="25">
        <v>500</v>
      </c>
      <c r="H902" s="25"/>
    </row>
    <row r="903" spans="1:8" ht="14">
      <c r="A903" s="25" t="s">
        <v>2350</v>
      </c>
      <c r="B903" s="26" t="s">
        <v>161</v>
      </c>
      <c r="C903" s="25" t="str">
        <f t="shared" si="17"/>
        <v>tmt18_134N</v>
      </c>
      <c r="D903" s="27" t="s">
        <v>13</v>
      </c>
      <c r="E903" s="25" t="s">
        <v>2351</v>
      </c>
      <c r="F903" s="27" t="s">
        <v>13</v>
      </c>
      <c r="G903" s="25">
        <v>500</v>
      </c>
      <c r="H903" s="25"/>
    </row>
    <row r="904" spans="1:8" ht="14">
      <c r="A904" s="25" t="s">
        <v>2352</v>
      </c>
      <c r="B904" s="26" t="s">
        <v>161</v>
      </c>
      <c r="C904" s="25" t="str">
        <f t="shared" si="17"/>
        <v>tmt18_135N</v>
      </c>
      <c r="D904" s="27" t="s">
        <v>13</v>
      </c>
      <c r="E904" s="25" t="s">
        <v>2353</v>
      </c>
      <c r="F904" s="27" t="s">
        <v>13</v>
      </c>
      <c r="G904" s="25">
        <v>500</v>
      </c>
      <c r="H904" s="25"/>
    </row>
    <row r="905" spans="1:8" ht="14">
      <c r="A905" s="25" t="s">
        <v>2354</v>
      </c>
      <c r="B905" s="26" t="s">
        <v>161</v>
      </c>
      <c r="C905" s="25" t="str">
        <f t="shared" si="17"/>
        <v>tmt6_126</v>
      </c>
      <c r="D905" s="27" t="s">
        <v>13</v>
      </c>
      <c r="E905" s="25">
        <v>126</v>
      </c>
      <c r="F905" s="27" t="s">
        <v>13</v>
      </c>
      <c r="G905" s="25">
        <v>500</v>
      </c>
      <c r="H905" s="25"/>
    </row>
    <row r="906" spans="1:8" ht="14">
      <c r="A906" s="25" t="s">
        <v>2355</v>
      </c>
      <c r="B906" s="26" t="s">
        <v>161</v>
      </c>
      <c r="C906" s="25" t="str">
        <f t="shared" si="17"/>
        <v>tmt6_127</v>
      </c>
      <c r="D906" s="27" t="s">
        <v>13</v>
      </c>
      <c r="E906" s="25">
        <v>127</v>
      </c>
      <c r="F906" s="27" t="s">
        <v>13</v>
      </c>
      <c r="G906" s="25">
        <v>500</v>
      </c>
      <c r="H906" s="25"/>
    </row>
    <row r="907" spans="1:8" ht="14">
      <c r="A907" s="25" t="s">
        <v>2356</v>
      </c>
      <c r="B907" s="26" t="s">
        <v>161</v>
      </c>
      <c r="C907" s="25" t="str">
        <f t="shared" si="17"/>
        <v>tmt6_128</v>
      </c>
      <c r="D907" s="27" t="s">
        <v>13</v>
      </c>
      <c r="E907" s="25">
        <v>128</v>
      </c>
      <c r="F907" s="27" t="s">
        <v>13</v>
      </c>
      <c r="G907" s="25">
        <v>500</v>
      </c>
      <c r="H907" s="25"/>
    </row>
    <row r="908" spans="1:8" ht="14">
      <c r="A908" s="25" t="s">
        <v>2357</v>
      </c>
      <c r="B908" s="26" t="s">
        <v>161</v>
      </c>
      <c r="C908" s="25" t="str">
        <f t="shared" si="17"/>
        <v>tmt6_129</v>
      </c>
      <c r="D908" s="27" t="s">
        <v>13</v>
      </c>
      <c r="E908" s="25">
        <v>129</v>
      </c>
      <c r="F908" s="27" t="s">
        <v>13</v>
      </c>
      <c r="G908" s="25">
        <v>500</v>
      </c>
      <c r="H908" s="25"/>
    </row>
    <row r="909" spans="1:8" ht="14">
      <c r="A909" s="25" t="s">
        <v>2358</v>
      </c>
      <c r="B909" s="26" t="s">
        <v>161</v>
      </c>
      <c r="C909" s="25" t="str">
        <f t="shared" si="17"/>
        <v>tmt6_130</v>
      </c>
      <c r="D909" s="27" t="s">
        <v>13</v>
      </c>
      <c r="E909" s="25">
        <v>130</v>
      </c>
      <c r="F909" s="27" t="s">
        <v>13</v>
      </c>
      <c r="G909" s="25">
        <v>500</v>
      </c>
      <c r="H909" s="25"/>
    </row>
    <row r="910" spans="1:8" ht="14">
      <c r="A910" s="25" t="s">
        <v>2359</v>
      </c>
      <c r="B910" s="26" t="s">
        <v>161</v>
      </c>
      <c r="C910" s="25" t="str">
        <f t="shared" si="17"/>
        <v>tmt6_131</v>
      </c>
      <c r="D910" s="27" t="s">
        <v>13</v>
      </c>
      <c r="E910" s="25">
        <v>131</v>
      </c>
      <c r="F910" s="27" t="s">
        <v>13</v>
      </c>
      <c r="G910" s="25">
        <v>500</v>
      </c>
      <c r="H910" s="25"/>
    </row>
    <row r="911" spans="1:8" ht="14">
      <c r="A911" s="25" t="s">
        <v>2360</v>
      </c>
      <c r="B911" s="26" t="s">
        <v>168</v>
      </c>
      <c r="C911" s="25" t="str">
        <f t="shared" si="17"/>
        <v>biochem</v>
      </c>
      <c r="D911" s="27" t="s">
        <v>13</v>
      </c>
      <c r="E911" s="25" t="s">
        <v>2361</v>
      </c>
      <c r="F911" s="25" t="s">
        <v>2362</v>
      </c>
      <c r="G911" s="25">
        <v>500</v>
      </c>
      <c r="H911" s="25"/>
    </row>
    <row r="912" spans="1:8" ht="14">
      <c r="A912" s="25" t="s">
        <v>2363</v>
      </c>
      <c r="B912" s="26" t="s">
        <v>168</v>
      </c>
      <c r="C912" s="25" t="str">
        <f t="shared" si="17"/>
        <v>cecad</v>
      </c>
      <c r="D912" s="27" t="s">
        <v>13</v>
      </c>
      <c r="E912" s="25" t="s">
        <v>2364</v>
      </c>
      <c r="F912" s="25" t="s">
        <v>2365</v>
      </c>
      <c r="G912" s="25">
        <v>500</v>
      </c>
      <c r="H912" s="25"/>
    </row>
    <row r="913" spans="1:8" ht="14">
      <c r="A913" s="25" t="s">
        <v>2366</v>
      </c>
      <c r="B913" s="26" t="s">
        <v>168</v>
      </c>
      <c r="C913" s="25" t="str">
        <f t="shared" si="17"/>
        <v>mpiage</v>
      </c>
      <c r="D913" s="27" t="s">
        <v>13</v>
      </c>
      <c r="E913" s="25" t="s">
        <v>2367</v>
      </c>
      <c r="F913" s="25" t="s">
        <v>2368</v>
      </c>
      <c r="G913" s="25">
        <v>500</v>
      </c>
      <c r="H913" s="25"/>
    </row>
    <row r="914" spans="1:8" ht="14">
      <c r="A914" s="25" t="s">
        <v>2369</v>
      </c>
      <c r="B914" s="26" t="s">
        <v>168</v>
      </c>
      <c r="C914" s="25" t="str">
        <f t="shared" si="17"/>
        <v>mpimetab</v>
      </c>
      <c r="D914" s="27" t="s">
        <v>13</v>
      </c>
      <c r="E914" s="25" t="s">
        <v>2370</v>
      </c>
      <c r="F914" s="25" t="s">
        <v>2371</v>
      </c>
      <c r="G914" s="25">
        <v>500</v>
      </c>
      <c r="H914" s="25"/>
    </row>
    <row r="915" spans="1:8" ht="14">
      <c r="A915" s="25" t="s">
        <v>2919</v>
      </c>
      <c r="B915" s="26" t="s">
        <v>168</v>
      </c>
      <c r="C915" s="25" t="str">
        <f t="shared" si="17"/>
        <v>unibonn</v>
      </c>
      <c r="D915" s="27" t="s">
        <v>13</v>
      </c>
      <c r="E915" s="25" t="s">
        <v>2920</v>
      </c>
      <c r="F915" s="25" t="s">
        <v>2920</v>
      </c>
      <c r="G915" s="25">
        <v>500</v>
      </c>
      <c r="H915" s="25"/>
    </row>
    <row r="916" spans="1:8" ht="14">
      <c r="A916" s="25" t="s">
        <v>2372</v>
      </c>
      <c r="B916" s="26" t="s">
        <v>172</v>
      </c>
      <c r="C916" s="25" t="str">
        <f t="shared" si="17"/>
        <v>mitoprotea</v>
      </c>
      <c r="D916" s="25" t="s">
        <v>13</v>
      </c>
      <c r="E916" s="25" t="s">
        <v>2373</v>
      </c>
      <c r="F916" s="25" t="s">
        <v>2374</v>
      </c>
      <c r="G916" s="25">
        <v>500</v>
      </c>
      <c r="H916" s="25"/>
    </row>
    <row r="917" spans="1:8" ht="14">
      <c r="A917" s="25" t="s">
        <v>2375</v>
      </c>
      <c r="B917" s="26" t="s">
        <v>172</v>
      </c>
      <c r="C917" s="25" t="str">
        <f t="shared" si="17"/>
        <v>molageing</v>
      </c>
      <c r="D917" s="25" t="s">
        <v>13</v>
      </c>
      <c r="E917" s="25" t="s">
        <v>2376</v>
      </c>
      <c r="F917" s="25" t="s">
        <v>2377</v>
      </c>
      <c r="G917" s="25">
        <v>500</v>
      </c>
      <c r="H917" s="25"/>
    </row>
    <row r="918" spans="1:8" ht="14">
      <c r="A918" s="25" t="s">
        <v>3011</v>
      </c>
      <c r="B918" s="26" t="s">
        <v>172</v>
      </c>
      <c r="C918" s="25" t="str">
        <f t="shared" si="17"/>
        <v>protfa</v>
      </c>
      <c r="D918" s="25" t="s">
        <v>13</v>
      </c>
      <c r="E918" s="25" t="s">
        <v>3010</v>
      </c>
      <c r="F918" s="25" t="s">
        <v>3009</v>
      </c>
      <c r="G918" s="25">
        <v>500</v>
      </c>
      <c r="H918" s="25"/>
    </row>
    <row r="919" spans="1:8" ht="14">
      <c r="A919" s="25" t="s">
        <v>2732</v>
      </c>
      <c r="B919" s="26" t="s">
        <v>172</v>
      </c>
      <c r="C919" s="25" t="str">
        <f t="shared" si="17"/>
        <v>frezza</v>
      </c>
      <c r="D919" s="25" t="s">
        <v>13</v>
      </c>
      <c r="E919" s="25" t="s">
        <v>2733</v>
      </c>
      <c r="F919" s="25" t="s">
        <v>2734</v>
      </c>
      <c r="G919" s="25">
        <v>500</v>
      </c>
      <c r="H919" s="25"/>
    </row>
    <row r="920" spans="1:8" ht="14">
      <c r="A920" s="25" t="s">
        <v>2735</v>
      </c>
      <c r="B920" s="26" t="s">
        <v>172</v>
      </c>
      <c r="C920" s="25" t="str">
        <f t="shared" si="17"/>
        <v>krueger</v>
      </c>
      <c r="D920" s="25" t="s">
        <v>13</v>
      </c>
      <c r="E920" s="25" t="s">
        <v>2736</v>
      </c>
      <c r="F920" s="25" t="s">
        <v>2737</v>
      </c>
      <c r="G920" s="25">
        <v>500</v>
      </c>
      <c r="H920" s="25"/>
    </row>
    <row r="921" spans="1:8" ht="14">
      <c r="A921" s="25" t="s">
        <v>2738</v>
      </c>
      <c r="B921" s="26" t="s">
        <v>172</v>
      </c>
      <c r="C921" s="25" t="str">
        <f t="shared" si="17"/>
        <v>rugarli</v>
      </c>
      <c r="D921" s="25" t="s">
        <v>13</v>
      </c>
      <c r="E921" s="25" t="s">
        <v>2739</v>
      </c>
      <c r="F921" s="25" t="s">
        <v>2737</v>
      </c>
      <c r="G921" s="25">
        <v>500</v>
      </c>
      <c r="H921" s="25"/>
    </row>
    <row r="922" spans="1:8" ht="14">
      <c r="A922" s="25" t="s">
        <v>2740</v>
      </c>
      <c r="B922" s="26" t="s">
        <v>172</v>
      </c>
      <c r="C922" s="25" t="str">
        <f t="shared" si="17"/>
        <v>trifunovic</v>
      </c>
      <c r="D922" s="25" t="s">
        <v>13</v>
      </c>
      <c r="E922" s="25" t="s">
        <v>2741</v>
      </c>
      <c r="F922" s="25" t="s">
        <v>2742</v>
      </c>
      <c r="G922" s="25">
        <v>500</v>
      </c>
      <c r="H922" s="25"/>
    </row>
    <row r="923" spans="1:8" ht="14">
      <c r="A923" s="25" t="s">
        <v>2893</v>
      </c>
      <c r="B923" s="26" t="s">
        <v>172</v>
      </c>
      <c r="C923" s="25" t="str">
        <f t="shared" si="17"/>
        <v>bergmani</v>
      </c>
      <c r="D923" s="25" t="s">
        <v>13</v>
      </c>
      <c r="E923" s="25" t="s">
        <v>2901</v>
      </c>
      <c r="F923" s="25" t="s">
        <v>2911</v>
      </c>
      <c r="G923" s="25">
        <v>500</v>
      </c>
      <c r="H923" s="25"/>
    </row>
    <row r="924" spans="1:8" ht="14">
      <c r="A924" s="25" t="s">
        <v>2894</v>
      </c>
      <c r="B924" s="26" t="s">
        <v>172</v>
      </c>
      <c r="C924" s="25" t="str">
        <f t="shared" si="17"/>
        <v>motori</v>
      </c>
      <c r="D924" s="25" t="s">
        <v>13</v>
      </c>
      <c r="E924" s="25" t="s">
        <v>2902</v>
      </c>
      <c r="F924" s="25" t="s">
        <v>2912</v>
      </c>
      <c r="G924" s="25">
        <v>500</v>
      </c>
      <c r="H924" s="25"/>
    </row>
    <row r="925" spans="1:8" ht="14">
      <c r="A925" s="25" t="s">
        <v>2895</v>
      </c>
      <c r="B925" s="26" t="s">
        <v>172</v>
      </c>
      <c r="C925" s="25" t="str">
        <f t="shared" si="17"/>
        <v>becker</v>
      </c>
      <c r="D925" s="25" t="s">
        <v>13</v>
      </c>
      <c r="E925" s="25" t="s">
        <v>2903</v>
      </c>
      <c r="F925" s="25" t="s">
        <v>2918</v>
      </c>
      <c r="G925" s="25">
        <v>500</v>
      </c>
      <c r="H925" s="25"/>
    </row>
    <row r="926" spans="1:8" ht="14">
      <c r="A926" s="25" t="s">
        <v>2896</v>
      </c>
      <c r="B926" s="26" t="s">
        <v>172</v>
      </c>
      <c r="C926" s="25" t="str">
        <f t="shared" si="17"/>
        <v>bruening</v>
      </c>
      <c r="D926" s="25" t="s">
        <v>13</v>
      </c>
      <c r="E926" s="25" t="s">
        <v>2916</v>
      </c>
      <c r="F926" s="25" t="s">
        <v>2915</v>
      </c>
      <c r="G926" s="25">
        <v>500</v>
      </c>
      <c r="H926" s="25"/>
    </row>
    <row r="927" spans="1:8" ht="14">
      <c r="A927" s="25" t="s">
        <v>2905</v>
      </c>
      <c r="B927" s="26" t="s">
        <v>172</v>
      </c>
      <c r="C927" s="25" t="str">
        <f t="shared" si="17"/>
        <v>escobar</v>
      </c>
      <c r="D927" s="25" t="s">
        <v>13</v>
      </c>
      <c r="E927" s="25" t="s">
        <v>2904</v>
      </c>
      <c r="F927" s="25" t="s">
        <v>2913</v>
      </c>
      <c r="G927" s="25">
        <v>500</v>
      </c>
      <c r="H927" s="25"/>
    </row>
    <row r="928" spans="1:8" ht="14">
      <c r="A928" s="25" t="s">
        <v>2769</v>
      </c>
      <c r="B928" s="26" t="s">
        <v>172</v>
      </c>
      <c r="C928" s="25" t="str">
        <f t="shared" si="17"/>
        <v>garcia</v>
      </c>
      <c r="D928" s="25" t="s">
        <v>13</v>
      </c>
      <c r="E928" s="25" t="s">
        <v>2770</v>
      </c>
      <c r="F928" s="25" t="s">
        <v>2914</v>
      </c>
      <c r="G928" s="25">
        <v>500</v>
      </c>
      <c r="H928" s="25"/>
    </row>
    <row r="929" spans="1:8" ht="14">
      <c r="A929" s="25" t="s">
        <v>2897</v>
      </c>
      <c r="B929" s="26" t="s">
        <v>172</v>
      </c>
      <c r="C929" s="25" t="str">
        <f t="shared" si="17"/>
        <v>piano</v>
      </c>
      <c r="D929" s="25" t="s">
        <v>13</v>
      </c>
      <c r="E929" s="25" t="s">
        <v>2906</v>
      </c>
      <c r="F929" s="25" t="s">
        <v>2921</v>
      </c>
      <c r="G929" s="25">
        <v>500</v>
      </c>
      <c r="H929" s="25"/>
    </row>
    <row r="930" spans="1:8" ht="14">
      <c r="A930" s="25" t="s">
        <v>2898</v>
      </c>
      <c r="B930" s="26" t="s">
        <v>172</v>
      </c>
      <c r="C930" s="25" t="str">
        <f t="shared" si="17"/>
        <v>schwarz</v>
      </c>
      <c r="D930" s="25" t="s">
        <v>13</v>
      </c>
      <c r="E930" s="25" t="s">
        <v>2907</v>
      </c>
      <c r="F930" s="25" t="s">
        <v>2917</v>
      </c>
      <c r="G930" s="25">
        <v>500</v>
      </c>
      <c r="H930" s="25"/>
    </row>
    <row r="931" spans="1:8" ht="14">
      <c r="A931" s="25" t="s">
        <v>2899</v>
      </c>
      <c r="B931" s="26" t="s">
        <v>172</v>
      </c>
      <c r="C931" s="25" t="str">
        <f t="shared" si="17"/>
        <v>corrado</v>
      </c>
      <c r="D931" s="25" t="s">
        <v>13</v>
      </c>
      <c r="E931" s="25" t="s">
        <v>2908</v>
      </c>
      <c r="F931" s="25" t="s">
        <v>2922</v>
      </c>
      <c r="G931" s="25">
        <v>500</v>
      </c>
      <c r="H931" s="25"/>
    </row>
    <row r="932" spans="1:8" ht="14">
      <c r="A932" s="25" t="s">
        <v>2900</v>
      </c>
      <c r="B932" s="26" t="s">
        <v>172</v>
      </c>
      <c r="C932" s="25" t="str">
        <f t="shared" si="17"/>
        <v>eming</v>
      </c>
      <c r="D932" s="25" t="s">
        <v>13</v>
      </c>
      <c r="E932" s="25" t="s">
        <v>2909</v>
      </c>
      <c r="F932" s="25" t="s">
        <v>2910</v>
      </c>
      <c r="G932" s="25">
        <v>500</v>
      </c>
      <c r="H932" s="25"/>
    </row>
    <row r="933" spans="1:8" ht="14">
      <c r="A933" s="25" t="s">
        <v>2766</v>
      </c>
      <c r="B933" s="26" t="s">
        <v>172</v>
      </c>
      <c r="C933" s="25" t="str">
        <f t="shared" si="17"/>
        <v>hoppe</v>
      </c>
      <c r="D933" s="25" t="s">
        <v>13</v>
      </c>
      <c r="E933" s="25" t="s">
        <v>2767</v>
      </c>
      <c r="F933" s="25" t="s">
        <v>2768</v>
      </c>
      <c r="G933" s="25">
        <v>500</v>
      </c>
      <c r="H933" s="25"/>
    </row>
    <row r="934" spans="1:8" ht="14">
      <c r="A934" s="25" t="s">
        <v>2769</v>
      </c>
      <c r="B934" s="26" t="s">
        <v>172</v>
      </c>
      <c r="C934" s="25" t="str">
        <f t="shared" si="17"/>
        <v>garcia</v>
      </c>
      <c r="D934" s="25" t="s">
        <v>13</v>
      </c>
      <c r="E934" s="25" t="s">
        <v>2770</v>
      </c>
      <c r="F934" s="25" t="s">
        <v>2768</v>
      </c>
      <c r="G934" s="25">
        <v>500</v>
      </c>
      <c r="H934" s="25"/>
    </row>
    <row r="935" spans="1:8" ht="14">
      <c r="A935" s="25" t="s">
        <v>2771</v>
      </c>
      <c r="B935" s="26" t="s">
        <v>172</v>
      </c>
      <c r="C935" s="25" t="str">
        <f t="shared" si="17"/>
        <v>khaskar</v>
      </c>
      <c r="D935" s="25" t="s">
        <v>13</v>
      </c>
      <c r="E935" s="25" t="s">
        <v>2772</v>
      </c>
      <c r="F935" s="25" t="s">
        <v>2773</v>
      </c>
      <c r="G935" s="25">
        <v>500</v>
      </c>
      <c r="H935" s="25"/>
    </row>
    <row r="936" spans="1:8" ht="14">
      <c r="A936" s="25" t="s">
        <v>2889</v>
      </c>
      <c r="B936" s="26" t="s">
        <v>172</v>
      </c>
      <c r="C936" s="25" t="str">
        <f t="shared" si="17"/>
        <v>riemer</v>
      </c>
      <c r="D936" s="25" t="s">
        <v>13</v>
      </c>
      <c r="E936" s="25" t="s">
        <v>2890</v>
      </c>
      <c r="F936" s="25" t="s">
        <v>2891</v>
      </c>
      <c r="G936" s="25">
        <v>500</v>
      </c>
      <c r="H936" s="25"/>
    </row>
    <row r="937" spans="1:8" ht="14">
      <c r="A937" s="25" t="s">
        <v>2686</v>
      </c>
      <c r="B937" s="31" t="s">
        <v>2682</v>
      </c>
      <c r="C937" s="25" t="str">
        <f t="shared" si="17"/>
        <v>wd</v>
      </c>
      <c r="D937" s="25" t="s">
        <v>13</v>
      </c>
      <c r="E937" s="25" t="s">
        <v>2685</v>
      </c>
      <c r="F937" s="25" t="s">
        <v>2684</v>
      </c>
      <c r="G937" s="25">
        <v>500</v>
      </c>
      <c r="H937" s="25"/>
    </row>
    <row r="938" spans="1:8" ht="14">
      <c r="A938" s="25" t="s">
        <v>2687</v>
      </c>
      <c r="B938" s="31" t="s">
        <v>2682</v>
      </c>
      <c r="C938" s="25" t="str">
        <f t="shared" si="17"/>
        <v>sd</v>
      </c>
      <c r="D938" s="25" t="s">
        <v>13</v>
      </c>
      <c r="E938" s="25" t="s">
        <v>2688</v>
      </c>
      <c r="F938" s="25"/>
      <c r="G938" s="25">
        <v>500</v>
      </c>
      <c r="H938" s="25"/>
    </row>
    <row r="939" spans="1:8" ht="14">
      <c r="A939" s="25" t="s">
        <v>2689</v>
      </c>
      <c r="B939" s="31" t="s">
        <v>2682</v>
      </c>
      <c r="C939" s="25" t="str">
        <f t="shared" si="17"/>
        <v>veg</v>
      </c>
      <c r="D939" s="25" t="s">
        <v>13</v>
      </c>
      <c r="E939" s="25" t="s">
        <v>2690</v>
      </c>
      <c r="F939" s="25" t="s">
        <v>2691</v>
      </c>
      <c r="G939" s="25">
        <v>500</v>
      </c>
      <c r="H939" s="25"/>
    </row>
    <row r="940" spans="1:8" ht="14">
      <c r="A940" s="25" t="s">
        <v>2694</v>
      </c>
      <c r="B940" s="31" t="s">
        <v>2682</v>
      </c>
      <c r="C940" s="25" t="str">
        <f t="shared" si="17"/>
        <v>hg</v>
      </c>
      <c r="D940" s="25" t="s">
        <v>13</v>
      </c>
      <c r="E940" s="25" t="s">
        <v>2692</v>
      </c>
      <c r="F940" s="25" t="s">
        <v>2693</v>
      </c>
      <c r="G940" s="25">
        <v>500</v>
      </c>
      <c r="H940" s="25"/>
    </row>
    <row r="941" spans="1:8" ht="14">
      <c r="A941" s="25" t="s">
        <v>2697</v>
      </c>
      <c r="B941" s="26" t="s">
        <v>2682</v>
      </c>
      <c r="C941" s="25" t="str">
        <f t="shared" si="17"/>
        <v>hfd</v>
      </c>
      <c r="D941" s="25" t="s">
        <v>13</v>
      </c>
      <c r="E941" s="25" t="s">
        <v>2695</v>
      </c>
      <c r="F941" s="25" t="s">
        <v>2696</v>
      </c>
      <c r="G941" s="25">
        <v>500</v>
      </c>
      <c r="H941" s="25"/>
    </row>
    <row r="942" spans="1:8" ht="14">
      <c r="A942" s="25" t="s">
        <v>2432</v>
      </c>
      <c r="B942" s="26" t="s">
        <v>51</v>
      </c>
      <c r="C942" s="25" t="str">
        <f t="shared" si="17"/>
        <v>lps</v>
      </c>
      <c r="D942" s="25" t="s">
        <v>13</v>
      </c>
      <c r="E942" s="25" t="s">
        <v>2433</v>
      </c>
      <c r="F942" s="25" t="s">
        <v>2434</v>
      </c>
      <c r="G942" s="25">
        <v>500</v>
      </c>
      <c r="H942" s="25"/>
    </row>
    <row r="943" spans="1:8" ht="14">
      <c r="A943" s="25" t="s">
        <v>2443</v>
      </c>
      <c r="B943" s="26" t="s">
        <v>51</v>
      </c>
      <c r="C943" s="25" t="str">
        <f t="shared" si="17"/>
        <v>r848</v>
      </c>
      <c r="D943" s="25" t="s">
        <v>13</v>
      </c>
      <c r="E943" s="25" t="s">
        <v>2444</v>
      </c>
      <c r="F943" s="25" t="s">
        <v>2836</v>
      </c>
      <c r="G943" s="25">
        <v>500</v>
      </c>
      <c r="H943" s="25"/>
    </row>
    <row r="944" spans="1:8" ht="14">
      <c r="A944" s="25" t="s">
        <v>3066</v>
      </c>
      <c r="B944" s="26" t="s">
        <v>51</v>
      </c>
      <c r="C944" s="25" t="str">
        <f t="shared" si="17"/>
        <v>mitoblock10</v>
      </c>
      <c r="D944" s="25" t="s">
        <v>13</v>
      </c>
      <c r="E944" s="25" t="s">
        <v>3064</v>
      </c>
      <c r="F944" s="25" t="s">
        <v>3065</v>
      </c>
      <c r="G944" s="25">
        <v>500</v>
      </c>
      <c r="H944" s="25"/>
    </row>
    <row r="945" spans="1:8" ht="14">
      <c r="A945" s="25" t="s">
        <v>3105</v>
      </c>
      <c r="B945" s="26" t="s">
        <v>51</v>
      </c>
      <c r="C945" s="25" t="str">
        <f t="shared" si="17"/>
        <v>ifng</v>
      </c>
      <c r="D945" s="25" t="s">
        <v>13</v>
      </c>
      <c r="E945" s="25" t="s">
        <v>3106</v>
      </c>
      <c r="F945" s="25" t="s">
        <v>3107</v>
      </c>
      <c r="G945" s="25">
        <v>500</v>
      </c>
      <c r="H945" s="25"/>
    </row>
    <row r="946" spans="1:8" ht="14">
      <c r="A946" s="25" t="s">
        <v>3108</v>
      </c>
      <c r="B946" s="26" t="s">
        <v>51</v>
      </c>
      <c r="C946" s="25" t="str">
        <f t="shared" si="17"/>
        <v>il4</v>
      </c>
      <c r="D946" s="25" t="s">
        <v>13</v>
      </c>
      <c r="E946" s="25" t="s">
        <v>3109</v>
      </c>
      <c r="F946" s="25" t="s">
        <v>3110</v>
      </c>
      <c r="G946" s="25">
        <v>500</v>
      </c>
      <c r="H946" s="25"/>
    </row>
    <row r="947" spans="1:8" ht="14">
      <c r="A947" s="25" t="s">
        <v>3111</v>
      </c>
      <c r="B947" s="26" t="s">
        <v>51</v>
      </c>
      <c r="C947" s="25" t="str">
        <f t="shared" si="17"/>
        <v>il13</v>
      </c>
      <c r="D947" s="25" t="s">
        <v>13</v>
      </c>
      <c r="E947" s="25" t="s">
        <v>3112</v>
      </c>
      <c r="F947" s="25" t="s">
        <v>3113</v>
      </c>
      <c r="G947" s="25">
        <v>500</v>
      </c>
      <c r="H947" s="25"/>
    </row>
    <row r="948" spans="1:8" ht="14">
      <c r="A948" s="25" t="s">
        <v>3114</v>
      </c>
      <c r="B948" s="26" t="s">
        <v>51</v>
      </c>
      <c r="C948" s="25" t="str">
        <f t="shared" si="17"/>
        <v>asynlow</v>
      </c>
      <c r="D948" s="25" t="s">
        <v>13</v>
      </c>
      <c r="E948" s="25" t="s">
        <v>3115</v>
      </c>
      <c r="F948" s="25" t="s">
        <v>3118</v>
      </c>
      <c r="G948" s="25">
        <v>500</v>
      </c>
      <c r="H948" s="25"/>
    </row>
    <row r="949" spans="1:8" ht="14">
      <c r="A949" s="25" t="s">
        <v>3116</v>
      </c>
      <c r="B949" s="26" t="s">
        <v>51</v>
      </c>
      <c r="C949" s="25" t="str">
        <f t="shared" si="17"/>
        <v>asynhigh</v>
      </c>
      <c r="D949" s="25" t="s">
        <v>13</v>
      </c>
      <c r="E949" s="25" t="s">
        <v>3117</v>
      </c>
      <c r="F949" s="25" t="s">
        <v>3119</v>
      </c>
      <c r="G949" s="25">
        <v>500</v>
      </c>
      <c r="H949" s="25"/>
    </row>
    <row r="950" spans="1:8" ht="14">
      <c r="A950" s="25" t="s">
        <v>2837</v>
      </c>
      <c r="B950" s="26" t="s">
        <v>35</v>
      </c>
      <c r="C950" s="25" t="str">
        <f t="shared" si="17"/>
        <v>mdc</v>
      </c>
      <c r="D950" s="25" t="s">
        <v>13</v>
      </c>
      <c r="E950" s="25" t="s">
        <v>2858</v>
      </c>
      <c r="F950" s="25" t="s">
        <v>2857</v>
      </c>
      <c r="G950" s="25">
        <v>500</v>
      </c>
      <c r="H950" s="25"/>
    </row>
    <row r="951" spans="1:8" ht="14">
      <c r="A951" s="25" t="s">
        <v>2838</v>
      </c>
      <c r="B951" s="26" t="s">
        <v>35</v>
      </c>
      <c r="C951" s="25" t="str">
        <f t="shared" si="17"/>
        <v>mtregs</v>
      </c>
      <c r="D951" s="25" t="s">
        <v>13</v>
      </c>
      <c r="E951" s="25" t="s">
        <v>2856</v>
      </c>
      <c r="F951" s="25" t="s">
        <v>2855</v>
      </c>
      <c r="G951" s="25">
        <v>500</v>
      </c>
      <c r="H951" s="25"/>
    </row>
    <row r="952" spans="1:8" ht="14">
      <c r="A952" s="25" t="s">
        <v>2839</v>
      </c>
      <c r="B952" s="26" t="s">
        <v>35</v>
      </c>
      <c r="C952" s="25" t="str">
        <f t="shared" si="17"/>
        <v>pdc</v>
      </c>
      <c r="D952" s="25" t="s">
        <v>13</v>
      </c>
      <c r="E952" s="25" t="s">
        <v>2859</v>
      </c>
      <c r="F952" s="25" t="s">
        <v>2854</v>
      </c>
      <c r="G952" s="25">
        <v>500</v>
      </c>
      <c r="H952" s="25"/>
    </row>
    <row r="953" spans="1:8" ht="14">
      <c r="A953" s="25" t="s">
        <v>2840</v>
      </c>
      <c r="B953" s="26" t="s">
        <v>35</v>
      </c>
      <c r="C953" s="25" t="str">
        <f t="shared" ref="C953:C995" si="18">A953</f>
        <v>attregs</v>
      </c>
      <c r="D953" s="25" t="s">
        <v>13</v>
      </c>
      <c r="E953" s="25" t="s">
        <v>2853</v>
      </c>
      <c r="F953" s="25" t="s">
        <v>2860</v>
      </c>
      <c r="G953" s="25">
        <v>500</v>
      </c>
      <c r="H953" s="25"/>
    </row>
    <row r="954" spans="1:8" ht="14">
      <c r="A954" s="25" t="s">
        <v>2841</v>
      </c>
      <c r="B954" s="26" t="s">
        <v>35</v>
      </c>
      <c r="C954" s="25" t="str">
        <f t="shared" si="18"/>
        <v>infdc</v>
      </c>
      <c r="D954" s="25" t="s">
        <v>13</v>
      </c>
      <c r="E954" s="25" t="s">
        <v>2852</v>
      </c>
      <c r="F954" s="25" t="s">
        <v>2851</v>
      </c>
      <c r="G954" s="25">
        <v>500</v>
      </c>
      <c r="H954" s="25"/>
    </row>
    <row r="955" spans="1:8" ht="14">
      <c r="A955" s="25" t="s">
        <v>2842</v>
      </c>
      <c r="B955" s="26" t="s">
        <v>35</v>
      </c>
      <c r="C955" s="25" t="str">
        <f t="shared" si="18"/>
        <v>itgres</v>
      </c>
      <c r="D955" s="25" t="s">
        <v>13</v>
      </c>
      <c r="E955" s="25" t="s">
        <v>2850</v>
      </c>
      <c r="F955" s="25" t="s">
        <v>2849</v>
      </c>
      <c r="G955" s="25">
        <v>500</v>
      </c>
      <c r="H955" s="25"/>
    </row>
    <row r="956" spans="1:8" ht="14">
      <c r="A956" s="25" t="s">
        <v>2843</v>
      </c>
      <c r="B956" s="26" t="s">
        <v>35</v>
      </c>
      <c r="C956" s="25" t="str">
        <f t="shared" si="18"/>
        <v>dendritic</v>
      </c>
      <c r="D956" s="25" t="s">
        <v>13</v>
      </c>
      <c r="E956" s="25" t="s">
        <v>2848</v>
      </c>
      <c r="F956" s="25" t="s">
        <v>2847</v>
      </c>
      <c r="G956" s="25">
        <v>500</v>
      </c>
      <c r="H956" s="25"/>
    </row>
    <row r="957" spans="1:8" ht="14">
      <c r="A957" s="25" t="s">
        <v>2844</v>
      </c>
      <c r="B957" s="26" t="s">
        <v>35</v>
      </c>
      <c r="C957" s="25" t="str">
        <f t="shared" si="18"/>
        <v>ememcell</v>
      </c>
      <c r="D957" s="25" t="s">
        <v>13</v>
      </c>
      <c r="E957" s="25" t="s">
        <v>2846</v>
      </c>
      <c r="F957" s="25" t="s">
        <v>2845</v>
      </c>
      <c r="G957" s="25">
        <v>500</v>
      </c>
      <c r="H957" s="25"/>
    </row>
    <row r="958" spans="1:8" ht="14">
      <c r="A958" s="25" t="s">
        <v>2861</v>
      </c>
      <c r="B958" s="26" t="s">
        <v>2780</v>
      </c>
      <c r="C958" s="25" t="str">
        <f t="shared" si="18"/>
        <v>supernatant</v>
      </c>
      <c r="D958" s="25" t="s">
        <v>13</v>
      </c>
      <c r="E958" s="25" t="s">
        <v>2862</v>
      </c>
      <c r="F958" s="25" t="s">
        <v>2863</v>
      </c>
      <c r="G958" s="25">
        <v>500</v>
      </c>
      <c r="H958" s="25"/>
    </row>
    <row r="959" spans="1:8" ht="14">
      <c r="A959" s="25" t="s">
        <v>2865</v>
      </c>
      <c r="B959" s="26" t="s">
        <v>2864</v>
      </c>
      <c r="C959" s="25" t="str">
        <f t="shared" si="18"/>
        <v>leftatrium</v>
      </c>
      <c r="D959" s="25" t="s">
        <v>13</v>
      </c>
      <c r="E959" s="25" t="s">
        <v>2866</v>
      </c>
      <c r="F959" s="25" t="s">
        <v>2867</v>
      </c>
      <c r="G959" s="25">
        <v>500</v>
      </c>
      <c r="H959" s="25"/>
    </row>
    <row r="960" spans="1:8" ht="14">
      <c r="A960" s="25" t="s">
        <v>2868</v>
      </c>
      <c r="B960" s="26" t="s">
        <v>2864</v>
      </c>
      <c r="C960" s="25" t="str">
        <f t="shared" si="18"/>
        <v>rightatrium</v>
      </c>
      <c r="D960" s="25" t="s">
        <v>13</v>
      </c>
      <c r="E960" s="25" t="s">
        <v>2869</v>
      </c>
      <c r="F960" s="25" t="s">
        <v>2870</v>
      </c>
      <c r="G960" s="25">
        <v>500</v>
      </c>
      <c r="H960" s="25"/>
    </row>
    <row r="961" spans="1:8" ht="14">
      <c r="A961" s="25" t="s">
        <v>2887</v>
      </c>
      <c r="B961" s="26" t="s">
        <v>2864</v>
      </c>
      <c r="C961" s="25" t="str">
        <f t="shared" si="18"/>
        <v>leftventri</v>
      </c>
      <c r="D961" s="25" t="s">
        <v>13</v>
      </c>
      <c r="E961" s="25" t="s">
        <v>2885</v>
      </c>
      <c r="F961" s="25" t="s">
        <v>2871</v>
      </c>
      <c r="G961" s="25">
        <v>500</v>
      </c>
      <c r="H961" s="25"/>
    </row>
    <row r="962" spans="1:8" ht="14">
      <c r="A962" s="25" t="s">
        <v>2888</v>
      </c>
      <c r="B962" s="26" t="s">
        <v>2864</v>
      </c>
      <c r="C962" s="25" t="str">
        <f t="shared" si="18"/>
        <v>rightventri</v>
      </c>
      <c r="D962" s="25" t="s">
        <v>13</v>
      </c>
      <c r="E962" s="25" t="s">
        <v>2886</v>
      </c>
      <c r="F962" s="25" t="s">
        <v>2871</v>
      </c>
      <c r="G962" s="25">
        <v>500</v>
      </c>
      <c r="H962" s="25"/>
    </row>
    <row r="963" spans="1:8" ht="14">
      <c r="A963" s="25" t="s">
        <v>2947</v>
      </c>
      <c r="B963" s="26" t="s">
        <v>2945</v>
      </c>
      <c r="C963" s="25" t="str">
        <f t="shared" si="18"/>
        <v>type1</v>
      </c>
      <c r="D963" s="25" t="s">
        <v>13</v>
      </c>
      <c r="E963" s="25" t="s">
        <v>2965</v>
      </c>
      <c r="F963" s="25" t="s">
        <v>2970</v>
      </c>
      <c r="G963" s="25">
        <v>500</v>
      </c>
      <c r="H963" s="25"/>
    </row>
    <row r="964" spans="1:8" ht="14">
      <c r="A964" s="25" t="s">
        <v>2948</v>
      </c>
      <c r="B964" s="26" t="s">
        <v>2945</v>
      </c>
      <c r="C964" s="25" t="str">
        <f t="shared" si="18"/>
        <v>type2a</v>
      </c>
      <c r="D964" s="25" t="s">
        <v>13</v>
      </c>
      <c r="E964" s="25" t="s">
        <v>2966</v>
      </c>
      <c r="F964" s="25" t="s">
        <v>2971</v>
      </c>
      <c r="G964" s="25">
        <v>500</v>
      </c>
      <c r="H964" s="25"/>
    </row>
    <row r="965" spans="1:8" ht="14">
      <c r="A965" s="25" t="s">
        <v>2949</v>
      </c>
      <c r="B965" s="26" t="s">
        <v>2945</v>
      </c>
      <c r="C965" s="25" t="str">
        <f t="shared" si="18"/>
        <v>type2b</v>
      </c>
      <c r="D965" s="25" t="s">
        <v>13</v>
      </c>
      <c r="E965" s="25" t="s">
        <v>2967</v>
      </c>
      <c r="F965" s="25" t="s">
        <v>2972</v>
      </c>
      <c r="G965" s="25">
        <v>500</v>
      </c>
      <c r="H965" s="25"/>
    </row>
    <row r="966" spans="1:8" ht="14">
      <c r="A966" s="25" t="s">
        <v>2950</v>
      </c>
      <c r="B966" s="26" t="s">
        <v>2945</v>
      </c>
      <c r="C966" s="25" t="str">
        <f t="shared" si="18"/>
        <v>type2x</v>
      </c>
      <c r="D966" s="25" t="s">
        <v>13</v>
      </c>
      <c r="E966" s="25" t="s">
        <v>2968</v>
      </c>
      <c r="F966" s="25" t="s">
        <v>2973</v>
      </c>
      <c r="G966" s="25">
        <v>500</v>
      </c>
      <c r="H966" s="25"/>
    </row>
    <row r="967" spans="1:8" ht="14">
      <c r="A967" s="25" t="s">
        <v>2951</v>
      </c>
      <c r="B967" s="26" t="s">
        <v>2945</v>
      </c>
      <c r="C967" s="25" t="str">
        <f t="shared" si="18"/>
        <v>type2d</v>
      </c>
      <c r="D967" s="25" t="s">
        <v>13</v>
      </c>
      <c r="E967" s="25" t="s">
        <v>2969</v>
      </c>
      <c r="F967" s="25" t="s">
        <v>2952</v>
      </c>
      <c r="G967" s="25">
        <v>500</v>
      </c>
      <c r="H967" s="25"/>
    </row>
    <row r="968" spans="1:8" ht="14">
      <c r="A968" s="25" t="s">
        <v>2953</v>
      </c>
      <c r="B968" s="26" t="s">
        <v>2945</v>
      </c>
      <c r="C968" s="25" t="str">
        <f t="shared" si="18"/>
        <v>mixedt12a</v>
      </c>
      <c r="D968" s="25" t="s">
        <v>13</v>
      </c>
      <c r="E968" s="25" t="s">
        <v>2954</v>
      </c>
      <c r="F968" s="25" t="s">
        <v>2975</v>
      </c>
      <c r="G968" s="25">
        <v>500</v>
      </c>
      <c r="H968" s="25"/>
    </row>
    <row r="969" spans="1:8" ht="14">
      <c r="A969" s="25" t="s">
        <v>2955</v>
      </c>
      <c r="B969" s="26" t="s">
        <v>2945</v>
      </c>
      <c r="C969" s="25" t="str">
        <f t="shared" si="18"/>
        <v>mixedt12x</v>
      </c>
      <c r="D969" s="25" t="s">
        <v>13</v>
      </c>
      <c r="E969" s="25" t="s">
        <v>2956</v>
      </c>
      <c r="F969" s="25" t="s">
        <v>2974</v>
      </c>
      <c r="G969" s="25">
        <v>500</v>
      </c>
      <c r="H969" s="25"/>
    </row>
    <row r="970" spans="1:8" ht="14">
      <c r="A970" s="25" t="s">
        <v>2957</v>
      </c>
      <c r="B970" s="26" t="s">
        <v>2945</v>
      </c>
      <c r="C970" s="25" t="str">
        <f t="shared" si="18"/>
        <v>mixedt1tb</v>
      </c>
      <c r="D970" s="25" t="s">
        <v>13</v>
      </c>
      <c r="E970" s="25" t="s">
        <v>2958</v>
      </c>
      <c r="F970" s="25" t="s">
        <v>2976</v>
      </c>
      <c r="G970" s="25">
        <v>500</v>
      </c>
      <c r="H970" s="25"/>
    </row>
    <row r="971" spans="1:8" ht="14">
      <c r="A971" s="25" t="s">
        <v>2959</v>
      </c>
      <c r="B971" s="26" t="s">
        <v>2945</v>
      </c>
      <c r="C971" s="25" t="str">
        <f t="shared" si="18"/>
        <v>mixed2a2b</v>
      </c>
      <c r="D971" s="25" t="s">
        <v>13</v>
      </c>
      <c r="E971" s="25" t="s">
        <v>2960</v>
      </c>
      <c r="F971" s="25" t="s">
        <v>2977</v>
      </c>
      <c r="G971" s="25">
        <v>500</v>
      </c>
      <c r="H971" s="25"/>
    </row>
    <row r="972" spans="1:8" ht="14">
      <c r="A972" s="25" t="s">
        <v>2961</v>
      </c>
      <c r="B972" s="26" t="s">
        <v>2945</v>
      </c>
      <c r="C972" s="25" t="str">
        <f t="shared" si="18"/>
        <v>mixed2a2x</v>
      </c>
      <c r="D972" s="25" t="s">
        <v>13</v>
      </c>
      <c r="E972" s="25" t="s">
        <v>2962</v>
      </c>
      <c r="F972" s="25" t="s">
        <v>2978</v>
      </c>
      <c r="G972" s="25">
        <v>500</v>
      </c>
      <c r="H972" s="25"/>
    </row>
    <row r="973" spans="1:8" ht="14">
      <c r="A973" s="25" t="s">
        <v>2963</v>
      </c>
      <c r="B973" s="26" t="s">
        <v>2945</v>
      </c>
      <c r="C973" s="25" t="str">
        <f t="shared" si="18"/>
        <v>mixed2b2x</v>
      </c>
      <c r="D973" s="25" t="s">
        <v>13</v>
      </c>
      <c r="E973" s="25" t="s">
        <v>2964</v>
      </c>
      <c r="F973" s="25" t="s">
        <v>2979</v>
      </c>
      <c r="G973" s="25">
        <v>500</v>
      </c>
      <c r="H973" s="25"/>
    </row>
    <row r="974" spans="1:8" ht="14">
      <c r="A974" s="25" t="s">
        <v>3078</v>
      </c>
      <c r="B974" s="26" t="s">
        <v>3023</v>
      </c>
      <c r="C974" s="25" t="str">
        <f t="shared" si="18"/>
        <v>sol_pellet</v>
      </c>
      <c r="D974" s="25" t="s">
        <v>13</v>
      </c>
      <c r="E974" s="25" t="s">
        <v>3018</v>
      </c>
      <c r="F974" s="25" t="s">
        <v>3024</v>
      </c>
      <c r="G974" s="25">
        <v>500</v>
      </c>
      <c r="H974" s="25"/>
    </row>
    <row r="975" spans="1:8" ht="14">
      <c r="A975" s="25" t="s">
        <v>3077</v>
      </c>
      <c r="B975" s="26" t="s">
        <v>3023</v>
      </c>
      <c r="C975" s="25" t="str">
        <f t="shared" si="18"/>
        <v>sol_total</v>
      </c>
      <c r="D975" s="25" t="s">
        <v>13</v>
      </c>
      <c r="E975" s="25" t="s">
        <v>1134</v>
      </c>
      <c r="F975" s="25" t="s">
        <v>3025</v>
      </c>
      <c r="G975" s="25">
        <v>500</v>
      </c>
      <c r="H975" s="25"/>
    </row>
    <row r="976" spans="1:8" ht="14">
      <c r="A976" s="25" t="s">
        <v>3079</v>
      </c>
      <c r="B976" s="26" t="s">
        <v>3023</v>
      </c>
      <c r="C976" s="25" t="str">
        <f t="shared" si="18"/>
        <v>sol_supernatant</v>
      </c>
      <c r="D976" s="25" t="s">
        <v>13</v>
      </c>
      <c r="E976" s="25" t="s">
        <v>2862</v>
      </c>
      <c r="F976" s="25" t="s">
        <v>3026</v>
      </c>
      <c r="G976" s="25">
        <v>500</v>
      </c>
      <c r="H976" s="25"/>
    </row>
    <row r="977" spans="1:8" ht="14">
      <c r="A977" s="25">
        <v>275</v>
      </c>
      <c r="B977" s="26" t="s">
        <v>33</v>
      </c>
      <c r="C977" s="25">
        <f t="shared" si="18"/>
        <v>275</v>
      </c>
      <c r="D977" s="25" t="s">
        <v>13</v>
      </c>
      <c r="E977" s="25">
        <v>275</v>
      </c>
      <c r="F977" s="25" t="s">
        <v>13</v>
      </c>
      <c r="G977" s="25">
        <v>500</v>
      </c>
      <c r="H977" s="25"/>
    </row>
    <row r="978" spans="1:8" ht="14">
      <c r="A978" s="25">
        <v>320</v>
      </c>
      <c r="B978" s="26" t="s">
        <v>33</v>
      </c>
      <c r="C978" s="25">
        <f t="shared" si="18"/>
        <v>320</v>
      </c>
      <c r="D978" s="25" t="s">
        <v>13</v>
      </c>
      <c r="E978" s="25">
        <v>320</v>
      </c>
      <c r="F978" s="25" t="s">
        <v>13</v>
      </c>
      <c r="G978" s="25">
        <v>500</v>
      </c>
      <c r="H978" s="25"/>
    </row>
    <row r="979" spans="1:8" ht="14">
      <c r="A979" s="25" t="s">
        <v>3055</v>
      </c>
      <c r="B979" s="26" t="s">
        <v>3054</v>
      </c>
      <c r="C979" s="25" t="str">
        <f t="shared" si="18"/>
        <v>input</v>
      </c>
      <c r="D979" s="25" t="s">
        <v>13</v>
      </c>
      <c r="E979" s="25" t="s">
        <v>3056</v>
      </c>
      <c r="F979" s="28" t="s">
        <v>3057</v>
      </c>
      <c r="G979" s="25">
        <v>500</v>
      </c>
      <c r="H979" s="25"/>
    </row>
    <row r="980" spans="1:8" ht="14">
      <c r="A980" s="25" t="s">
        <v>3061</v>
      </c>
      <c r="B980" s="26" t="s">
        <v>3054</v>
      </c>
      <c r="C980" s="25" t="str">
        <f t="shared" si="18"/>
        <v>elution</v>
      </c>
      <c r="D980" s="25" t="s">
        <v>13</v>
      </c>
      <c r="E980" s="25" t="s">
        <v>3058</v>
      </c>
      <c r="F980" s="25" t="s">
        <v>3063</v>
      </c>
      <c r="G980" s="25">
        <v>500</v>
      </c>
      <c r="H980" s="25"/>
    </row>
    <row r="981" spans="1:8" ht="14">
      <c r="A981" s="25" t="s">
        <v>3060</v>
      </c>
      <c r="B981" s="26" t="s">
        <v>3054</v>
      </c>
      <c r="C981" s="25" t="str">
        <f t="shared" si="18"/>
        <v>wash</v>
      </c>
      <c r="D981" s="25" t="s">
        <v>13</v>
      </c>
      <c r="E981" s="25" t="s">
        <v>3059</v>
      </c>
      <c r="F981" s="25" t="s">
        <v>3062</v>
      </c>
      <c r="G981" s="25">
        <v>500</v>
      </c>
      <c r="H981" s="25"/>
    </row>
    <row r="982" spans="1:8" ht="14">
      <c r="A982" s="25" t="s">
        <v>3068</v>
      </c>
      <c r="B982" s="26" t="s">
        <v>3070</v>
      </c>
      <c r="C982" s="25" t="str">
        <f t="shared" si="18"/>
        <v>fbs</v>
      </c>
      <c r="D982" s="25" t="s">
        <v>13</v>
      </c>
      <c r="E982" s="25" t="s">
        <v>3071</v>
      </c>
      <c r="F982" s="32" t="s">
        <v>3074</v>
      </c>
      <c r="G982" s="25">
        <v>500</v>
      </c>
      <c r="H982" s="25"/>
    </row>
    <row r="983" spans="1:8" ht="14">
      <c r="A983" s="25" t="s">
        <v>3069</v>
      </c>
      <c r="B983" s="26" t="s">
        <v>3070</v>
      </c>
      <c r="C983" s="25" t="str">
        <f t="shared" si="18"/>
        <v>nofbs</v>
      </c>
      <c r="D983" s="25" t="s">
        <v>13</v>
      </c>
      <c r="E983" s="25" t="s">
        <v>3072</v>
      </c>
      <c r="F983" s="25" t="s">
        <v>3073</v>
      </c>
      <c r="G983" s="25">
        <v>500</v>
      </c>
      <c r="H983" s="25"/>
    </row>
    <row r="984" spans="1:8" ht="14">
      <c r="A984" s="25" t="s">
        <v>3080</v>
      </c>
      <c r="B984" s="26" t="s">
        <v>3076</v>
      </c>
      <c r="C984" s="25" t="str">
        <f t="shared" si="18"/>
        <v>embryo</v>
      </c>
      <c r="D984" s="25" t="s">
        <v>13</v>
      </c>
      <c r="E984" s="25" t="s">
        <v>3085</v>
      </c>
      <c r="F984" s="25" t="s">
        <v>3084</v>
      </c>
      <c r="G984" s="25">
        <v>500</v>
      </c>
      <c r="H984" s="25"/>
    </row>
    <row r="985" spans="1:8" ht="14">
      <c r="A985" s="25" t="s">
        <v>3081</v>
      </c>
      <c r="B985" s="26" t="s">
        <v>3076</v>
      </c>
      <c r="C985" s="25" t="str">
        <f t="shared" si="18"/>
        <v>young</v>
      </c>
      <c r="D985" s="25" t="s">
        <v>13</v>
      </c>
      <c r="E985" s="25" t="s">
        <v>3086</v>
      </c>
      <c r="F985" s="25" t="s">
        <v>3089</v>
      </c>
      <c r="G985" s="25">
        <v>500</v>
      </c>
      <c r="H985" s="25"/>
    </row>
    <row r="986" spans="1:8" ht="14">
      <c r="A986" s="25" t="s">
        <v>3082</v>
      </c>
      <c r="B986" s="26" t="s">
        <v>3076</v>
      </c>
      <c r="C986" s="25" t="str">
        <f t="shared" si="18"/>
        <v>adult</v>
      </c>
      <c r="D986" s="25" t="s">
        <v>13</v>
      </c>
      <c r="E986" s="25" t="s">
        <v>3087</v>
      </c>
      <c r="F986" s="25" t="s">
        <v>3091</v>
      </c>
      <c r="G986" s="25">
        <v>500</v>
      </c>
      <c r="H986" s="25"/>
    </row>
    <row r="987" spans="1:8" ht="14">
      <c r="A987" s="25" t="s">
        <v>3083</v>
      </c>
      <c r="B987" s="26" t="s">
        <v>3076</v>
      </c>
      <c r="C987" s="25" t="str">
        <f t="shared" si="18"/>
        <v>old</v>
      </c>
      <c r="D987" s="25" t="s">
        <v>13</v>
      </c>
      <c r="E987" s="25" t="s">
        <v>3088</v>
      </c>
      <c r="F987" s="25" t="s">
        <v>3090</v>
      </c>
      <c r="G987" s="25">
        <v>500</v>
      </c>
      <c r="H987" s="25"/>
    </row>
    <row r="988" spans="1:8" ht="14">
      <c r="A988" s="25" t="s">
        <v>3094</v>
      </c>
      <c r="B988" s="26" t="s">
        <v>3092</v>
      </c>
      <c r="C988" s="25" t="str">
        <f t="shared" si="18"/>
        <v>qc_hela</v>
      </c>
      <c r="D988" s="25" t="s">
        <v>13</v>
      </c>
      <c r="E988" s="25" t="s">
        <v>3095</v>
      </c>
      <c r="F988" s="25" t="s">
        <v>3096</v>
      </c>
      <c r="G988" s="25">
        <v>500</v>
      </c>
      <c r="H988" s="25"/>
    </row>
    <row r="989" spans="1:8" ht="14">
      <c r="A989" s="25" t="s">
        <v>3097</v>
      </c>
      <c r="B989" s="26" t="s">
        <v>3092</v>
      </c>
      <c r="C989" s="25" t="str">
        <f t="shared" si="18"/>
        <v>qc_base</v>
      </c>
      <c r="D989" s="25" t="s">
        <v>13</v>
      </c>
      <c r="E989" s="25" t="s">
        <v>3098</v>
      </c>
      <c r="F989" s="25" t="s">
        <v>3099</v>
      </c>
      <c r="G989" s="25">
        <v>500</v>
      </c>
      <c r="H989" s="25"/>
    </row>
    <row r="990" spans="1:8" ht="14">
      <c r="A990" s="25" t="s">
        <v>3149</v>
      </c>
      <c r="B990" s="26" t="s">
        <v>2712</v>
      </c>
      <c r="C990" s="25" t="str">
        <f t="shared" si="18"/>
        <v>endog</v>
      </c>
      <c r="D990" s="25" t="s">
        <v>13</v>
      </c>
      <c r="E990" s="25" t="s">
        <v>3150</v>
      </c>
      <c r="F990" s="25" t="s">
        <v>3151</v>
      </c>
      <c r="G990" s="25">
        <v>500</v>
      </c>
      <c r="H990" s="25"/>
    </row>
    <row r="991" spans="1:8" ht="14">
      <c r="A991" s="25" t="s">
        <v>4368</v>
      </c>
      <c r="B991" s="26" t="s">
        <v>2712</v>
      </c>
      <c r="C991" s="25" t="s">
        <v>4368</v>
      </c>
      <c r="D991" s="25" t="s">
        <v>13</v>
      </c>
      <c r="E991" s="25" t="s">
        <v>3153</v>
      </c>
      <c r="F991" s="25" t="s">
        <v>4369</v>
      </c>
      <c r="G991" s="25">
        <v>500</v>
      </c>
      <c r="H991" s="25"/>
    </row>
    <row r="992" spans="1:8" ht="14">
      <c r="A992" s="25" t="s">
        <v>3152</v>
      </c>
      <c r="B992" s="26" t="s">
        <v>2712</v>
      </c>
      <c r="C992" s="25" t="str">
        <f t="shared" si="18"/>
        <v>GST</v>
      </c>
      <c r="D992" s="25" t="s">
        <v>13</v>
      </c>
      <c r="E992" s="25" t="s">
        <v>3152</v>
      </c>
      <c r="F992" s="25" t="s">
        <v>3154</v>
      </c>
      <c r="G992" s="25">
        <v>500</v>
      </c>
      <c r="H992" s="25"/>
    </row>
    <row r="993" spans="1:8" ht="14">
      <c r="A993" s="25" t="s">
        <v>3157</v>
      </c>
      <c r="B993" s="26" t="s">
        <v>3156</v>
      </c>
      <c r="C993" s="25" t="str">
        <f t="shared" si="18"/>
        <v>column_length</v>
      </c>
      <c r="D993" s="25" t="s">
        <v>13</v>
      </c>
      <c r="E993" s="25" t="s">
        <v>3159</v>
      </c>
      <c r="F993" s="25" t="s">
        <v>3165</v>
      </c>
      <c r="G993" s="25">
        <v>500</v>
      </c>
      <c r="H993" s="25"/>
    </row>
    <row r="994" spans="1:8" ht="14">
      <c r="A994" s="25" t="s">
        <v>3164</v>
      </c>
      <c r="B994" s="26" t="s">
        <v>3156</v>
      </c>
      <c r="C994" s="25" t="str">
        <f t="shared" si="18"/>
        <v>column_inner_diameter</v>
      </c>
      <c r="D994" s="25" t="s">
        <v>13</v>
      </c>
      <c r="E994" s="25" t="s">
        <v>3160</v>
      </c>
      <c r="F994" s="25" t="s">
        <v>3162</v>
      </c>
      <c r="G994" s="25">
        <v>500</v>
      </c>
      <c r="H994" s="25"/>
    </row>
    <row r="995" spans="1:8" ht="14">
      <c r="A995" s="25" t="s">
        <v>3158</v>
      </c>
      <c r="B995" s="26" t="s">
        <v>3156</v>
      </c>
      <c r="C995" s="25" t="str">
        <f t="shared" si="18"/>
        <v>column_outer_diameter</v>
      </c>
      <c r="D995" s="25" t="s">
        <v>13</v>
      </c>
      <c r="E995" s="25" t="s">
        <v>3161</v>
      </c>
      <c r="F995" s="25" t="s">
        <v>3163</v>
      </c>
      <c r="G995" s="25">
        <v>500</v>
      </c>
      <c r="H995" s="25"/>
    </row>
    <row r="996" spans="1:8" ht="14">
      <c r="A996" s="28" t="s">
        <v>3359</v>
      </c>
      <c r="B996" s="26" t="s">
        <v>3173</v>
      </c>
      <c r="C996" s="28" t="s">
        <v>3359</v>
      </c>
      <c r="D996" s="25" t="s">
        <v>13</v>
      </c>
      <c r="E996" s="25" t="s">
        <v>3175</v>
      </c>
      <c r="F996" s="25" t="s">
        <v>3360</v>
      </c>
      <c r="G996" s="25">
        <v>500</v>
      </c>
      <c r="H996" s="25"/>
    </row>
    <row r="997" spans="1:8" ht="14">
      <c r="A997" s="28" t="s">
        <v>3361</v>
      </c>
      <c r="B997" s="26" t="s">
        <v>3173</v>
      </c>
      <c r="C997" s="28" t="s">
        <v>3361</v>
      </c>
      <c r="D997" s="25" t="s">
        <v>13</v>
      </c>
      <c r="E997" s="25" t="s">
        <v>3176</v>
      </c>
      <c r="F997" s="25" t="s">
        <v>3362</v>
      </c>
      <c r="G997" s="25">
        <v>500</v>
      </c>
      <c r="H997" s="25"/>
    </row>
    <row r="998" spans="1:8" ht="14">
      <c r="A998" s="28" t="s">
        <v>3363</v>
      </c>
      <c r="B998" s="26" t="s">
        <v>3173</v>
      </c>
      <c r="C998" s="28" t="s">
        <v>3363</v>
      </c>
      <c r="D998" s="25" t="s">
        <v>13</v>
      </c>
      <c r="E998" s="25" t="s">
        <v>3177</v>
      </c>
      <c r="F998" s="25" t="s">
        <v>3364</v>
      </c>
      <c r="G998" s="25">
        <v>500</v>
      </c>
      <c r="H998" s="25"/>
    </row>
    <row r="999" spans="1:8" ht="14">
      <c r="A999" s="28" t="s">
        <v>3365</v>
      </c>
      <c r="B999" s="26" t="s">
        <v>3173</v>
      </c>
      <c r="C999" s="28" t="s">
        <v>3365</v>
      </c>
      <c r="D999" s="25" t="s">
        <v>13</v>
      </c>
      <c r="E999" s="25" t="s">
        <v>3178</v>
      </c>
      <c r="F999" s="25" t="s">
        <v>3366</v>
      </c>
      <c r="G999" s="25">
        <v>500</v>
      </c>
      <c r="H999" s="25"/>
    </row>
    <row r="1000" spans="1:8" ht="14">
      <c r="A1000" s="28" t="s">
        <v>3367</v>
      </c>
      <c r="B1000" s="26" t="s">
        <v>3173</v>
      </c>
      <c r="C1000" s="28" t="s">
        <v>3367</v>
      </c>
      <c r="D1000" s="25" t="s">
        <v>13</v>
      </c>
      <c r="E1000" s="25" t="s">
        <v>3179</v>
      </c>
      <c r="F1000" s="25" t="s">
        <v>3368</v>
      </c>
      <c r="G1000" s="25">
        <v>500</v>
      </c>
      <c r="H1000" s="25"/>
    </row>
    <row r="1001" spans="1:8" ht="14">
      <c r="A1001" s="28" t="s">
        <v>3369</v>
      </c>
      <c r="B1001" s="26" t="s">
        <v>3173</v>
      </c>
      <c r="C1001" s="28" t="s">
        <v>3369</v>
      </c>
      <c r="D1001" s="25" t="s">
        <v>13</v>
      </c>
      <c r="E1001" s="25" t="s">
        <v>3180</v>
      </c>
      <c r="F1001" s="25" t="s">
        <v>3370</v>
      </c>
      <c r="G1001" s="25">
        <v>500</v>
      </c>
      <c r="H1001" s="25"/>
    </row>
    <row r="1002" spans="1:8" ht="14">
      <c r="A1002" s="28" t="s">
        <v>3371</v>
      </c>
      <c r="B1002" s="26" t="s">
        <v>3173</v>
      </c>
      <c r="C1002" s="28" t="s">
        <v>3371</v>
      </c>
      <c r="D1002" s="25" t="s">
        <v>13</v>
      </c>
      <c r="E1002" s="25" t="s">
        <v>3181</v>
      </c>
      <c r="F1002" s="25" t="s">
        <v>3372</v>
      </c>
      <c r="G1002" s="25">
        <v>500</v>
      </c>
      <c r="H1002" s="25"/>
    </row>
    <row r="1003" spans="1:8" ht="14">
      <c r="A1003" s="28" t="s">
        <v>3373</v>
      </c>
      <c r="B1003" s="26" t="s">
        <v>3173</v>
      </c>
      <c r="C1003" s="28" t="s">
        <v>3373</v>
      </c>
      <c r="D1003" s="25" t="s">
        <v>13</v>
      </c>
      <c r="E1003" s="25" t="s">
        <v>3182</v>
      </c>
      <c r="F1003" s="25" t="s">
        <v>3374</v>
      </c>
      <c r="G1003" s="25">
        <v>500</v>
      </c>
      <c r="H1003" s="25"/>
    </row>
    <row r="1004" spans="1:8" ht="14">
      <c r="A1004" s="28" t="s">
        <v>3375</v>
      </c>
      <c r="B1004" s="26" t="s">
        <v>3173</v>
      </c>
      <c r="C1004" s="28" t="s">
        <v>3375</v>
      </c>
      <c r="D1004" s="25" t="s">
        <v>13</v>
      </c>
      <c r="E1004" s="25" t="s">
        <v>3183</v>
      </c>
      <c r="F1004" s="25" t="s">
        <v>3376</v>
      </c>
      <c r="G1004" s="25">
        <v>500</v>
      </c>
      <c r="H1004" s="25"/>
    </row>
    <row r="1005" spans="1:8" ht="14">
      <c r="A1005" s="28" t="s">
        <v>3377</v>
      </c>
      <c r="B1005" s="26" t="s">
        <v>3173</v>
      </c>
      <c r="C1005" s="28" t="s">
        <v>3377</v>
      </c>
      <c r="D1005" s="25" t="s">
        <v>13</v>
      </c>
      <c r="E1005" s="25" t="s">
        <v>3184</v>
      </c>
      <c r="F1005" s="25" t="s">
        <v>3378</v>
      </c>
      <c r="G1005" s="25">
        <v>500</v>
      </c>
      <c r="H1005" s="25"/>
    </row>
    <row r="1006" spans="1:8" ht="14">
      <c r="A1006" s="28" t="s">
        <v>3379</v>
      </c>
      <c r="B1006" s="26" t="s">
        <v>3173</v>
      </c>
      <c r="C1006" s="28" t="s">
        <v>3379</v>
      </c>
      <c r="D1006" s="25" t="s">
        <v>13</v>
      </c>
      <c r="E1006" s="25" t="s">
        <v>3185</v>
      </c>
      <c r="F1006" s="25" t="s">
        <v>3380</v>
      </c>
      <c r="G1006" s="25">
        <v>500</v>
      </c>
      <c r="H1006" s="25"/>
    </row>
    <row r="1007" spans="1:8" ht="14">
      <c r="A1007" s="28" t="s">
        <v>3381</v>
      </c>
      <c r="B1007" s="26" t="s">
        <v>3173</v>
      </c>
      <c r="C1007" s="28" t="s">
        <v>3381</v>
      </c>
      <c r="D1007" s="25" t="s">
        <v>13</v>
      </c>
      <c r="E1007" s="25" t="s">
        <v>3186</v>
      </c>
      <c r="F1007" s="25" t="s">
        <v>3382</v>
      </c>
      <c r="G1007" s="25">
        <v>500</v>
      </c>
      <c r="H1007" s="25"/>
    </row>
    <row r="1008" spans="1:8" ht="14">
      <c r="A1008" s="28" t="s">
        <v>3383</v>
      </c>
      <c r="B1008" s="26" t="s">
        <v>3173</v>
      </c>
      <c r="C1008" s="28" t="s">
        <v>3383</v>
      </c>
      <c r="D1008" s="25" t="s">
        <v>13</v>
      </c>
      <c r="E1008" s="25" t="s">
        <v>3187</v>
      </c>
      <c r="F1008" s="25" t="s">
        <v>3384</v>
      </c>
      <c r="G1008" s="25">
        <v>500</v>
      </c>
      <c r="H1008" s="25"/>
    </row>
    <row r="1009" spans="1:8" ht="14">
      <c r="A1009" s="28" t="s">
        <v>3385</v>
      </c>
      <c r="B1009" s="26" t="s">
        <v>3173</v>
      </c>
      <c r="C1009" s="28" t="s">
        <v>3385</v>
      </c>
      <c r="D1009" s="25" t="s">
        <v>13</v>
      </c>
      <c r="E1009" s="25" t="s">
        <v>3188</v>
      </c>
      <c r="F1009" s="25" t="s">
        <v>3386</v>
      </c>
      <c r="G1009" s="25">
        <v>500</v>
      </c>
      <c r="H1009" s="25"/>
    </row>
    <row r="1010" spans="1:8" ht="14">
      <c r="A1010" s="28" t="s">
        <v>3387</v>
      </c>
      <c r="B1010" s="26" t="s">
        <v>3173</v>
      </c>
      <c r="C1010" s="28" t="s">
        <v>3387</v>
      </c>
      <c r="D1010" s="25" t="s">
        <v>13</v>
      </c>
      <c r="E1010" s="25" t="s">
        <v>3189</v>
      </c>
      <c r="F1010" s="25" t="s">
        <v>3388</v>
      </c>
      <c r="G1010" s="25">
        <v>500</v>
      </c>
      <c r="H1010" s="25"/>
    </row>
    <row r="1011" spans="1:8" ht="14">
      <c r="A1011" s="28" t="s">
        <v>3389</v>
      </c>
      <c r="B1011" s="26" t="s">
        <v>3173</v>
      </c>
      <c r="C1011" s="28" t="s">
        <v>3389</v>
      </c>
      <c r="D1011" s="25" t="s">
        <v>13</v>
      </c>
      <c r="E1011" s="25" t="s">
        <v>3190</v>
      </c>
      <c r="F1011" s="25" t="s">
        <v>3390</v>
      </c>
      <c r="G1011" s="25">
        <v>500</v>
      </c>
      <c r="H1011" s="25"/>
    </row>
    <row r="1012" spans="1:8" ht="14">
      <c r="A1012" s="28" t="s">
        <v>3391</v>
      </c>
      <c r="B1012" s="26" t="s">
        <v>3173</v>
      </c>
      <c r="C1012" s="28" t="s">
        <v>3391</v>
      </c>
      <c r="D1012" s="25" t="s">
        <v>13</v>
      </c>
      <c r="E1012" s="25" t="s">
        <v>3191</v>
      </c>
      <c r="F1012" s="25" t="s">
        <v>3392</v>
      </c>
      <c r="G1012" s="25">
        <v>500</v>
      </c>
      <c r="H1012" s="25"/>
    </row>
    <row r="1013" spans="1:8" ht="14">
      <c r="A1013" s="28" t="s">
        <v>3393</v>
      </c>
      <c r="B1013" s="26" t="s">
        <v>3173</v>
      </c>
      <c r="C1013" s="28" t="s">
        <v>3393</v>
      </c>
      <c r="D1013" s="25" t="s">
        <v>13</v>
      </c>
      <c r="E1013" s="25" t="s">
        <v>3192</v>
      </c>
      <c r="F1013" s="25" t="s">
        <v>3394</v>
      </c>
      <c r="G1013" s="25">
        <v>500</v>
      </c>
      <c r="H1013" s="25"/>
    </row>
    <row r="1014" spans="1:8" ht="14">
      <c r="A1014" s="28" t="s">
        <v>3395</v>
      </c>
      <c r="B1014" s="26" t="s">
        <v>3173</v>
      </c>
      <c r="C1014" s="28" t="s">
        <v>3395</v>
      </c>
      <c r="D1014" s="25" t="s">
        <v>13</v>
      </c>
      <c r="E1014" s="25" t="s">
        <v>3193</v>
      </c>
      <c r="F1014" s="25" t="s">
        <v>3396</v>
      </c>
      <c r="G1014" s="25">
        <v>500</v>
      </c>
      <c r="H1014" s="25"/>
    </row>
    <row r="1015" spans="1:8" ht="14">
      <c r="A1015" s="28" t="s">
        <v>3397</v>
      </c>
      <c r="B1015" s="26" t="s">
        <v>3173</v>
      </c>
      <c r="C1015" s="28" t="s">
        <v>3397</v>
      </c>
      <c r="D1015" s="25" t="s">
        <v>13</v>
      </c>
      <c r="E1015" s="25" t="s">
        <v>3194</v>
      </c>
      <c r="F1015" s="25" t="s">
        <v>3398</v>
      </c>
      <c r="G1015" s="25">
        <v>500</v>
      </c>
      <c r="H1015" s="25"/>
    </row>
    <row r="1016" spans="1:8" ht="14">
      <c r="A1016" s="28" t="s">
        <v>3399</v>
      </c>
      <c r="B1016" s="26" t="s">
        <v>3173</v>
      </c>
      <c r="C1016" s="28" t="s">
        <v>3399</v>
      </c>
      <c r="D1016" s="25" t="s">
        <v>13</v>
      </c>
      <c r="E1016" s="25" t="s">
        <v>3195</v>
      </c>
      <c r="F1016" s="25" t="s">
        <v>3400</v>
      </c>
      <c r="G1016" s="25">
        <v>500</v>
      </c>
      <c r="H1016" s="25"/>
    </row>
    <row r="1017" spans="1:8" ht="14">
      <c r="A1017" s="28" t="s">
        <v>3401</v>
      </c>
      <c r="B1017" s="26" t="s">
        <v>3173</v>
      </c>
      <c r="C1017" s="28" t="s">
        <v>3401</v>
      </c>
      <c r="D1017" s="25" t="s">
        <v>13</v>
      </c>
      <c r="E1017" s="25" t="s">
        <v>3196</v>
      </c>
      <c r="F1017" s="25" t="s">
        <v>3402</v>
      </c>
      <c r="G1017" s="25">
        <v>500</v>
      </c>
      <c r="H1017" s="25"/>
    </row>
    <row r="1018" spans="1:8" ht="14">
      <c r="A1018" s="28" t="s">
        <v>3403</v>
      </c>
      <c r="B1018" s="26" t="s">
        <v>3173</v>
      </c>
      <c r="C1018" s="28" t="s">
        <v>3403</v>
      </c>
      <c r="D1018" s="25" t="s">
        <v>13</v>
      </c>
      <c r="E1018" s="25" t="s">
        <v>3197</v>
      </c>
      <c r="F1018" s="25" t="s">
        <v>3404</v>
      </c>
      <c r="G1018" s="25">
        <v>500</v>
      </c>
      <c r="H1018" s="25"/>
    </row>
    <row r="1019" spans="1:8" ht="14">
      <c r="A1019" s="28" t="s">
        <v>3405</v>
      </c>
      <c r="B1019" s="26" t="s">
        <v>3173</v>
      </c>
      <c r="C1019" s="28" t="s">
        <v>3405</v>
      </c>
      <c r="D1019" s="25" t="s">
        <v>13</v>
      </c>
      <c r="E1019" s="25" t="s">
        <v>3198</v>
      </c>
      <c r="F1019" s="25" t="s">
        <v>3406</v>
      </c>
      <c r="G1019" s="25">
        <v>500</v>
      </c>
      <c r="H1019" s="25"/>
    </row>
    <row r="1020" spans="1:8" ht="14">
      <c r="A1020" s="28" t="s">
        <v>3407</v>
      </c>
      <c r="B1020" s="26" t="s">
        <v>3173</v>
      </c>
      <c r="C1020" s="28" t="s">
        <v>3407</v>
      </c>
      <c r="D1020" s="25" t="s">
        <v>13</v>
      </c>
      <c r="E1020" s="25" t="s">
        <v>3199</v>
      </c>
      <c r="F1020" s="25" t="s">
        <v>3408</v>
      </c>
      <c r="G1020" s="25">
        <v>500</v>
      </c>
      <c r="H1020" s="25"/>
    </row>
    <row r="1021" spans="1:8" ht="14">
      <c r="A1021" s="28" t="s">
        <v>3409</v>
      </c>
      <c r="B1021" s="26" t="s">
        <v>3173</v>
      </c>
      <c r="C1021" s="28" t="s">
        <v>3409</v>
      </c>
      <c r="D1021" s="25" t="s">
        <v>13</v>
      </c>
      <c r="E1021" s="25" t="s">
        <v>3200</v>
      </c>
      <c r="F1021" s="25" t="s">
        <v>3410</v>
      </c>
      <c r="G1021" s="25">
        <v>500</v>
      </c>
      <c r="H1021" s="25"/>
    </row>
    <row r="1022" spans="1:8" ht="14">
      <c r="A1022" s="28" t="s">
        <v>3411</v>
      </c>
      <c r="B1022" s="26" t="s">
        <v>3173</v>
      </c>
      <c r="C1022" s="28" t="s">
        <v>3411</v>
      </c>
      <c r="D1022" s="25" t="s">
        <v>13</v>
      </c>
      <c r="E1022" s="25" t="s">
        <v>3201</v>
      </c>
      <c r="F1022" s="25" t="s">
        <v>3412</v>
      </c>
      <c r="G1022" s="25">
        <v>500</v>
      </c>
      <c r="H1022" s="25"/>
    </row>
    <row r="1023" spans="1:8" ht="14">
      <c r="A1023" s="28" t="s">
        <v>3413</v>
      </c>
      <c r="B1023" s="26" t="s">
        <v>3173</v>
      </c>
      <c r="C1023" s="28" t="s">
        <v>3413</v>
      </c>
      <c r="D1023" s="25" t="s">
        <v>13</v>
      </c>
      <c r="E1023" s="25" t="s">
        <v>3202</v>
      </c>
      <c r="F1023" s="25" t="s">
        <v>3414</v>
      </c>
      <c r="G1023" s="25">
        <v>500</v>
      </c>
      <c r="H1023" s="25"/>
    </row>
    <row r="1024" spans="1:8" ht="14">
      <c r="A1024" s="28" t="s">
        <v>3415</v>
      </c>
      <c r="B1024" s="26" t="s">
        <v>3173</v>
      </c>
      <c r="C1024" s="28" t="s">
        <v>3415</v>
      </c>
      <c r="D1024" s="25" t="s">
        <v>13</v>
      </c>
      <c r="E1024" s="25" t="s">
        <v>3203</v>
      </c>
      <c r="F1024" s="25" t="s">
        <v>3416</v>
      </c>
      <c r="G1024" s="25">
        <v>500</v>
      </c>
      <c r="H1024" s="25"/>
    </row>
    <row r="1025" spans="1:8" ht="14">
      <c r="A1025" s="28" t="s">
        <v>3417</v>
      </c>
      <c r="B1025" s="26" t="s">
        <v>3173</v>
      </c>
      <c r="C1025" s="28" t="s">
        <v>3417</v>
      </c>
      <c r="D1025" s="25" t="s">
        <v>13</v>
      </c>
      <c r="E1025" s="25" t="s">
        <v>3204</v>
      </c>
      <c r="F1025" s="25" t="s">
        <v>3418</v>
      </c>
      <c r="G1025" s="25">
        <v>500</v>
      </c>
      <c r="H1025" s="25"/>
    </row>
    <row r="1026" spans="1:8" ht="14">
      <c r="A1026" s="28" t="s">
        <v>3419</v>
      </c>
      <c r="B1026" s="26" t="s">
        <v>3173</v>
      </c>
      <c r="C1026" s="28" t="s">
        <v>3419</v>
      </c>
      <c r="D1026" s="25" t="s">
        <v>13</v>
      </c>
      <c r="E1026" s="25" t="s">
        <v>3205</v>
      </c>
      <c r="F1026" s="25" t="s">
        <v>3420</v>
      </c>
      <c r="G1026" s="25">
        <v>500</v>
      </c>
      <c r="H1026" s="25"/>
    </row>
    <row r="1027" spans="1:8" ht="14">
      <c r="A1027" s="28" t="s">
        <v>3421</v>
      </c>
      <c r="B1027" s="26" t="s">
        <v>3173</v>
      </c>
      <c r="C1027" s="28" t="s">
        <v>3421</v>
      </c>
      <c r="D1027" s="25" t="s">
        <v>13</v>
      </c>
      <c r="E1027" s="25" t="s">
        <v>3206</v>
      </c>
      <c r="F1027" s="25" t="s">
        <v>3422</v>
      </c>
      <c r="G1027" s="25">
        <v>500</v>
      </c>
      <c r="H1027" s="25"/>
    </row>
    <row r="1028" spans="1:8" ht="14">
      <c r="A1028" s="28" t="s">
        <v>3423</v>
      </c>
      <c r="B1028" s="26" t="s">
        <v>3173</v>
      </c>
      <c r="C1028" s="28" t="s">
        <v>3423</v>
      </c>
      <c r="D1028" s="25" t="s">
        <v>13</v>
      </c>
      <c r="E1028" s="25" t="s">
        <v>3207</v>
      </c>
      <c r="F1028" s="25" t="s">
        <v>3424</v>
      </c>
      <c r="G1028" s="25">
        <v>500</v>
      </c>
      <c r="H1028" s="25"/>
    </row>
    <row r="1029" spans="1:8" ht="14">
      <c r="A1029" s="28" t="s">
        <v>3425</v>
      </c>
      <c r="B1029" s="26" t="s">
        <v>3173</v>
      </c>
      <c r="C1029" s="28" t="s">
        <v>3425</v>
      </c>
      <c r="D1029" s="25" t="s">
        <v>13</v>
      </c>
      <c r="E1029" s="25" t="s">
        <v>3208</v>
      </c>
      <c r="F1029" s="25" t="s">
        <v>3426</v>
      </c>
      <c r="G1029" s="25">
        <v>500</v>
      </c>
      <c r="H1029" s="25"/>
    </row>
    <row r="1030" spans="1:8" ht="14">
      <c r="A1030" s="28" t="s">
        <v>3427</v>
      </c>
      <c r="B1030" s="26" t="s">
        <v>3173</v>
      </c>
      <c r="C1030" s="28" t="s">
        <v>3427</v>
      </c>
      <c r="D1030" s="25" t="s">
        <v>13</v>
      </c>
      <c r="E1030" s="25" t="s">
        <v>3209</v>
      </c>
      <c r="F1030" s="25" t="s">
        <v>3428</v>
      </c>
      <c r="G1030" s="25">
        <v>500</v>
      </c>
      <c r="H1030" s="25"/>
    </row>
    <row r="1031" spans="1:8" ht="14">
      <c r="A1031" s="28" t="s">
        <v>3429</v>
      </c>
      <c r="B1031" s="26" t="s">
        <v>3173</v>
      </c>
      <c r="C1031" s="28" t="s">
        <v>3429</v>
      </c>
      <c r="D1031" s="25" t="s">
        <v>13</v>
      </c>
      <c r="E1031" s="25" t="s">
        <v>3210</v>
      </c>
      <c r="F1031" s="25" t="s">
        <v>3430</v>
      </c>
      <c r="G1031" s="25">
        <v>500</v>
      </c>
      <c r="H1031" s="25"/>
    </row>
    <row r="1032" spans="1:8" ht="14">
      <c r="A1032" s="28" t="s">
        <v>3431</v>
      </c>
      <c r="B1032" s="26" t="s">
        <v>3173</v>
      </c>
      <c r="C1032" s="28" t="s">
        <v>3431</v>
      </c>
      <c r="D1032" s="25" t="s">
        <v>13</v>
      </c>
      <c r="E1032" s="25" t="s">
        <v>3211</v>
      </c>
      <c r="F1032" s="25" t="s">
        <v>3432</v>
      </c>
      <c r="G1032" s="25">
        <v>500</v>
      </c>
      <c r="H1032" s="25"/>
    </row>
    <row r="1033" spans="1:8" ht="14">
      <c r="A1033" s="28" t="s">
        <v>3433</v>
      </c>
      <c r="B1033" s="26" t="s">
        <v>3173</v>
      </c>
      <c r="C1033" s="28" t="s">
        <v>3433</v>
      </c>
      <c r="D1033" s="25" t="s">
        <v>13</v>
      </c>
      <c r="E1033" s="25" t="s">
        <v>3212</v>
      </c>
      <c r="F1033" s="25" t="s">
        <v>3434</v>
      </c>
      <c r="G1033" s="25">
        <v>500</v>
      </c>
      <c r="H1033" s="25"/>
    </row>
    <row r="1034" spans="1:8" ht="14">
      <c r="A1034" s="28" t="s">
        <v>3435</v>
      </c>
      <c r="B1034" s="26" t="s">
        <v>3173</v>
      </c>
      <c r="C1034" s="28" t="s">
        <v>3435</v>
      </c>
      <c r="D1034" s="25" t="s">
        <v>13</v>
      </c>
      <c r="E1034" s="25" t="s">
        <v>3213</v>
      </c>
      <c r="F1034" s="25" t="s">
        <v>3436</v>
      </c>
      <c r="G1034" s="25">
        <v>500</v>
      </c>
      <c r="H1034" s="25"/>
    </row>
    <row r="1035" spans="1:8" ht="14">
      <c r="A1035" s="28" t="s">
        <v>3437</v>
      </c>
      <c r="B1035" s="26" t="s">
        <v>3173</v>
      </c>
      <c r="C1035" s="28" t="s">
        <v>3437</v>
      </c>
      <c r="D1035" s="25" t="s">
        <v>13</v>
      </c>
      <c r="E1035" s="25" t="s">
        <v>3214</v>
      </c>
      <c r="F1035" s="25" t="s">
        <v>3438</v>
      </c>
      <c r="G1035" s="25">
        <v>500</v>
      </c>
      <c r="H1035" s="25"/>
    </row>
    <row r="1036" spans="1:8" ht="14">
      <c r="A1036" s="28" t="s">
        <v>3439</v>
      </c>
      <c r="B1036" s="26" t="s">
        <v>3173</v>
      </c>
      <c r="C1036" s="28" t="s">
        <v>3439</v>
      </c>
      <c r="D1036" s="25" t="s">
        <v>13</v>
      </c>
      <c r="E1036" s="25" t="s">
        <v>3215</v>
      </c>
      <c r="F1036" s="25" t="s">
        <v>3440</v>
      </c>
      <c r="G1036" s="25">
        <v>500</v>
      </c>
      <c r="H1036" s="25"/>
    </row>
    <row r="1037" spans="1:8" ht="14">
      <c r="A1037" s="28" t="s">
        <v>3441</v>
      </c>
      <c r="B1037" s="26" t="s">
        <v>3173</v>
      </c>
      <c r="C1037" s="28" t="s">
        <v>3441</v>
      </c>
      <c r="D1037" s="25" t="s">
        <v>13</v>
      </c>
      <c r="E1037" s="25" t="s">
        <v>3216</v>
      </c>
      <c r="F1037" s="25" t="s">
        <v>3442</v>
      </c>
      <c r="G1037" s="25">
        <v>500</v>
      </c>
      <c r="H1037" s="25"/>
    </row>
    <row r="1038" spans="1:8" ht="14">
      <c r="A1038" s="28" t="s">
        <v>3443</v>
      </c>
      <c r="B1038" s="26" t="s">
        <v>3173</v>
      </c>
      <c r="C1038" s="28" t="s">
        <v>3443</v>
      </c>
      <c r="D1038" s="25" t="s">
        <v>13</v>
      </c>
      <c r="E1038" s="25" t="s">
        <v>3217</v>
      </c>
      <c r="F1038" s="25" t="s">
        <v>3444</v>
      </c>
      <c r="G1038" s="25">
        <v>500</v>
      </c>
      <c r="H1038" s="25"/>
    </row>
    <row r="1039" spans="1:8" ht="14">
      <c r="A1039" s="28" t="s">
        <v>3445</v>
      </c>
      <c r="B1039" s="26" t="s">
        <v>3173</v>
      </c>
      <c r="C1039" s="28" t="s">
        <v>3445</v>
      </c>
      <c r="D1039" s="25" t="s">
        <v>13</v>
      </c>
      <c r="E1039" s="25" t="s">
        <v>3218</v>
      </c>
      <c r="F1039" s="25" t="s">
        <v>3446</v>
      </c>
      <c r="G1039" s="25">
        <v>500</v>
      </c>
      <c r="H1039" s="25"/>
    </row>
    <row r="1040" spans="1:8" ht="14">
      <c r="A1040" s="28" t="s">
        <v>3447</v>
      </c>
      <c r="B1040" s="26" t="s">
        <v>3173</v>
      </c>
      <c r="C1040" s="28" t="s">
        <v>3447</v>
      </c>
      <c r="D1040" s="25" t="s">
        <v>13</v>
      </c>
      <c r="E1040" s="25" t="s">
        <v>3219</v>
      </c>
      <c r="F1040" s="25" t="s">
        <v>3448</v>
      </c>
      <c r="G1040" s="25">
        <v>500</v>
      </c>
      <c r="H1040" s="25"/>
    </row>
    <row r="1041" spans="1:8" ht="14">
      <c r="A1041" s="28" t="s">
        <v>3449</v>
      </c>
      <c r="B1041" s="26" t="s">
        <v>3173</v>
      </c>
      <c r="C1041" s="28" t="s">
        <v>3449</v>
      </c>
      <c r="D1041" s="25" t="s">
        <v>13</v>
      </c>
      <c r="E1041" s="25" t="s">
        <v>3220</v>
      </c>
      <c r="F1041" s="25" t="s">
        <v>3450</v>
      </c>
      <c r="G1041" s="25">
        <v>500</v>
      </c>
      <c r="H1041" s="25"/>
    </row>
    <row r="1042" spans="1:8" ht="14">
      <c r="A1042" s="28" t="s">
        <v>3451</v>
      </c>
      <c r="B1042" s="26" t="s">
        <v>3173</v>
      </c>
      <c r="C1042" s="28" t="s">
        <v>3451</v>
      </c>
      <c r="D1042" s="25" t="s">
        <v>13</v>
      </c>
      <c r="E1042" s="25" t="s">
        <v>3221</v>
      </c>
      <c r="F1042" s="25" t="s">
        <v>3452</v>
      </c>
      <c r="G1042" s="25">
        <v>500</v>
      </c>
      <c r="H1042" s="25"/>
    </row>
    <row r="1043" spans="1:8" ht="14">
      <c r="A1043" s="28" t="s">
        <v>3453</v>
      </c>
      <c r="B1043" s="26" t="s">
        <v>3173</v>
      </c>
      <c r="C1043" s="28" t="s">
        <v>3453</v>
      </c>
      <c r="D1043" s="25" t="s">
        <v>13</v>
      </c>
      <c r="E1043" s="25" t="s">
        <v>3222</v>
      </c>
      <c r="F1043" s="25" t="s">
        <v>3454</v>
      </c>
      <c r="G1043" s="25">
        <v>500</v>
      </c>
      <c r="H1043" s="25"/>
    </row>
    <row r="1044" spans="1:8" ht="14">
      <c r="A1044" s="28" t="s">
        <v>3455</v>
      </c>
      <c r="B1044" s="26" t="s">
        <v>3173</v>
      </c>
      <c r="C1044" s="28" t="s">
        <v>3455</v>
      </c>
      <c r="D1044" s="25" t="s">
        <v>13</v>
      </c>
      <c r="E1044" s="25" t="s">
        <v>3223</v>
      </c>
      <c r="F1044" s="25" t="s">
        <v>3456</v>
      </c>
      <c r="G1044" s="25">
        <v>500</v>
      </c>
      <c r="H1044" s="25"/>
    </row>
    <row r="1045" spans="1:8" ht="14">
      <c r="A1045" s="28" t="s">
        <v>3457</v>
      </c>
      <c r="B1045" s="26" t="s">
        <v>3173</v>
      </c>
      <c r="C1045" s="28" t="s">
        <v>3457</v>
      </c>
      <c r="D1045" s="25" t="s">
        <v>13</v>
      </c>
      <c r="E1045" s="25" t="s">
        <v>3224</v>
      </c>
      <c r="F1045" s="25" t="s">
        <v>3458</v>
      </c>
      <c r="G1045" s="25">
        <v>500</v>
      </c>
      <c r="H1045" s="25"/>
    </row>
    <row r="1046" spans="1:8" ht="14">
      <c r="A1046" s="28" t="s">
        <v>3459</v>
      </c>
      <c r="B1046" s="26" t="s">
        <v>3173</v>
      </c>
      <c r="C1046" s="28" t="s">
        <v>3459</v>
      </c>
      <c r="D1046" s="25" t="s">
        <v>13</v>
      </c>
      <c r="E1046" s="25" t="s">
        <v>3225</v>
      </c>
      <c r="F1046" s="25" t="s">
        <v>3460</v>
      </c>
      <c r="G1046" s="25">
        <v>500</v>
      </c>
      <c r="H1046" s="25"/>
    </row>
    <row r="1047" spans="1:8" ht="14">
      <c r="A1047" s="28" t="s">
        <v>3461</v>
      </c>
      <c r="B1047" s="26" t="s">
        <v>3173</v>
      </c>
      <c r="C1047" s="28" t="s">
        <v>3461</v>
      </c>
      <c r="D1047" s="25" t="s">
        <v>13</v>
      </c>
      <c r="E1047" s="25" t="s">
        <v>3226</v>
      </c>
      <c r="F1047" s="25" t="s">
        <v>3462</v>
      </c>
      <c r="G1047" s="25">
        <v>500</v>
      </c>
      <c r="H1047" s="25"/>
    </row>
    <row r="1048" spans="1:8" ht="14">
      <c r="A1048" s="28" t="s">
        <v>3463</v>
      </c>
      <c r="B1048" s="26" t="s">
        <v>3173</v>
      </c>
      <c r="C1048" s="28" t="s">
        <v>3463</v>
      </c>
      <c r="D1048" s="25" t="s">
        <v>13</v>
      </c>
      <c r="E1048" s="25" t="s">
        <v>3227</v>
      </c>
      <c r="F1048" s="25" t="s">
        <v>3464</v>
      </c>
      <c r="G1048" s="25">
        <v>500</v>
      </c>
      <c r="H1048" s="25"/>
    </row>
    <row r="1049" spans="1:8" ht="14">
      <c r="A1049" s="28" t="s">
        <v>3465</v>
      </c>
      <c r="B1049" s="26" t="s">
        <v>3173</v>
      </c>
      <c r="C1049" s="28" t="s">
        <v>3465</v>
      </c>
      <c r="D1049" s="25" t="s">
        <v>13</v>
      </c>
      <c r="E1049" s="25" t="s">
        <v>3466</v>
      </c>
      <c r="F1049" s="25" t="s">
        <v>3467</v>
      </c>
      <c r="G1049" s="25">
        <v>500</v>
      </c>
      <c r="H1049" s="25"/>
    </row>
    <row r="1050" spans="1:8" ht="14">
      <c r="A1050" s="28" t="s">
        <v>3468</v>
      </c>
      <c r="B1050" s="26" t="s">
        <v>3173</v>
      </c>
      <c r="C1050" s="28" t="s">
        <v>3468</v>
      </c>
      <c r="D1050" s="25" t="s">
        <v>13</v>
      </c>
      <c r="E1050" s="25" t="s">
        <v>3469</v>
      </c>
      <c r="F1050" s="25" t="s">
        <v>3470</v>
      </c>
      <c r="G1050" s="25">
        <v>500</v>
      </c>
      <c r="H1050" s="25"/>
    </row>
    <row r="1051" spans="1:8" ht="14">
      <c r="A1051" s="28" t="s">
        <v>3471</v>
      </c>
      <c r="B1051" s="26" t="s">
        <v>3173</v>
      </c>
      <c r="C1051" s="28" t="s">
        <v>3471</v>
      </c>
      <c r="D1051" s="25" t="s">
        <v>13</v>
      </c>
      <c r="E1051" s="25" t="s">
        <v>3228</v>
      </c>
      <c r="F1051" s="25" t="s">
        <v>3472</v>
      </c>
      <c r="G1051" s="25">
        <v>500</v>
      </c>
      <c r="H1051" s="25"/>
    </row>
    <row r="1052" spans="1:8" ht="14">
      <c r="A1052" s="28" t="s">
        <v>3473</v>
      </c>
      <c r="B1052" s="26" t="s">
        <v>3173</v>
      </c>
      <c r="C1052" s="28" t="s">
        <v>3473</v>
      </c>
      <c r="D1052" s="25" t="s">
        <v>13</v>
      </c>
      <c r="E1052" s="25" t="s">
        <v>3229</v>
      </c>
      <c r="F1052" s="25" t="s">
        <v>3474</v>
      </c>
      <c r="G1052" s="25">
        <v>500</v>
      </c>
      <c r="H1052" s="25"/>
    </row>
    <row r="1053" spans="1:8" ht="14">
      <c r="A1053" s="28" t="s">
        <v>3475</v>
      </c>
      <c r="B1053" s="26" t="s">
        <v>3173</v>
      </c>
      <c r="C1053" s="28" t="s">
        <v>3475</v>
      </c>
      <c r="D1053" s="25" t="s">
        <v>13</v>
      </c>
      <c r="E1053" s="25" t="s">
        <v>3230</v>
      </c>
      <c r="F1053" s="25" t="s">
        <v>3476</v>
      </c>
      <c r="G1053" s="25">
        <v>500</v>
      </c>
      <c r="H1053" s="25"/>
    </row>
    <row r="1054" spans="1:8" ht="14">
      <c r="A1054" s="28" t="s">
        <v>3477</v>
      </c>
      <c r="B1054" s="26" t="s">
        <v>3173</v>
      </c>
      <c r="C1054" s="28" t="s">
        <v>3477</v>
      </c>
      <c r="D1054" s="25" t="s">
        <v>13</v>
      </c>
      <c r="E1054" s="25" t="s">
        <v>3231</v>
      </c>
      <c r="F1054" s="25" t="s">
        <v>3478</v>
      </c>
      <c r="G1054" s="25">
        <v>500</v>
      </c>
      <c r="H1054" s="25"/>
    </row>
    <row r="1055" spans="1:8" ht="14">
      <c r="A1055" s="28" t="s">
        <v>3479</v>
      </c>
      <c r="B1055" s="26" t="s">
        <v>3173</v>
      </c>
      <c r="C1055" s="28" t="s">
        <v>3479</v>
      </c>
      <c r="D1055" s="25" t="s">
        <v>13</v>
      </c>
      <c r="E1055" s="25" t="s">
        <v>3232</v>
      </c>
      <c r="F1055" s="25" t="s">
        <v>3480</v>
      </c>
      <c r="G1055" s="25">
        <v>500</v>
      </c>
      <c r="H1055" s="25"/>
    </row>
    <row r="1056" spans="1:8" ht="14">
      <c r="A1056" s="28" t="s">
        <v>3481</v>
      </c>
      <c r="B1056" s="26" t="s">
        <v>3173</v>
      </c>
      <c r="C1056" s="28" t="s">
        <v>3481</v>
      </c>
      <c r="D1056" s="25" t="s">
        <v>13</v>
      </c>
      <c r="E1056" s="25" t="s">
        <v>3233</v>
      </c>
      <c r="F1056" s="25" t="s">
        <v>3482</v>
      </c>
      <c r="G1056" s="25">
        <v>500</v>
      </c>
      <c r="H1056" s="25"/>
    </row>
    <row r="1057" spans="1:8" ht="14">
      <c r="A1057" s="28" t="s">
        <v>3483</v>
      </c>
      <c r="B1057" s="26" t="s">
        <v>3173</v>
      </c>
      <c r="C1057" s="28" t="s">
        <v>3483</v>
      </c>
      <c r="D1057" s="25" t="s">
        <v>13</v>
      </c>
      <c r="E1057" s="25" t="s">
        <v>3234</v>
      </c>
      <c r="F1057" s="25" t="s">
        <v>3484</v>
      </c>
      <c r="G1057" s="25">
        <v>500</v>
      </c>
      <c r="H1057" s="25"/>
    </row>
    <row r="1058" spans="1:8" ht="14">
      <c r="A1058" s="28" t="s">
        <v>3485</v>
      </c>
      <c r="B1058" s="26" t="s">
        <v>3173</v>
      </c>
      <c r="C1058" s="28" t="s">
        <v>3485</v>
      </c>
      <c r="D1058" s="25" t="s">
        <v>13</v>
      </c>
      <c r="E1058" s="25" t="s">
        <v>3486</v>
      </c>
      <c r="F1058" s="25" t="s">
        <v>3487</v>
      </c>
      <c r="G1058" s="25">
        <v>500</v>
      </c>
      <c r="H1058" s="25"/>
    </row>
    <row r="1059" spans="1:8" ht="14">
      <c r="A1059" s="28" t="s">
        <v>3488</v>
      </c>
      <c r="B1059" s="26" t="s">
        <v>3173</v>
      </c>
      <c r="C1059" s="28" t="s">
        <v>3488</v>
      </c>
      <c r="D1059" s="25" t="s">
        <v>13</v>
      </c>
      <c r="E1059" s="25" t="s">
        <v>3489</v>
      </c>
      <c r="F1059" s="25" t="s">
        <v>3490</v>
      </c>
      <c r="G1059" s="25">
        <v>500</v>
      </c>
      <c r="H1059" s="25"/>
    </row>
    <row r="1060" spans="1:8" ht="14">
      <c r="A1060" s="28" t="s">
        <v>3491</v>
      </c>
      <c r="B1060" s="26" t="s">
        <v>3173</v>
      </c>
      <c r="C1060" s="28" t="s">
        <v>3491</v>
      </c>
      <c r="D1060" s="25" t="s">
        <v>13</v>
      </c>
      <c r="E1060" s="25" t="s">
        <v>3489</v>
      </c>
      <c r="F1060" s="25" t="s">
        <v>3492</v>
      </c>
      <c r="G1060" s="25">
        <v>500</v>
      </c>
      <c r="H1060" s="25"/>
    </row>
    <row r="1061" spans="1:8" ht="14">
      <c r="A1061" s="28" t="s">
        <v>3493</v>
      </c>
      <c r="B1061" s="26" t="s">
        <v>3173</v>
      </c>
      <c r="C1061" s="28" t="s">
        <v>3493</v>
      </c>
      <c r="D1061" s="25" t="s">
        <v>13</v>
      </c>
      <c r="E1061" s="25" t="s">
        <v>3235</v>
      </c>
      <c r="F1061" s="25" t="s">
        <v>3494</v>
      </c>
      <c r="G1061" s="25">
        <v>500</v>
      </c>
      <c r="H1061" s="25"/>
    </row>
    <row r="1062" spans="1:8" ht="14">
      <c r="A1062" s="28" t="s">
        <v>3495</v>
      </c>
      <c r="B1062" s="26" t="s">
        <v>3173</v>
      </c>
      <c r="C1062" s="28" t="s">
        <v>3495</v>
      </c>
      <c r="D1062" s="25" t="s">
        <v>13</v>
      </c>
      <c r="E1062" s="25" t="s">
        <v>3236</v>
      </c>
      <c r="F1062" s="25" t="s">
        <v>3496</v>
      </c>
      <c r="G1062" s="25">
        <v>500</v>
      </c>
      <c r="H1062" s="25"/>
    </row>
    <row r="1063" spans="1:8" ht="14">
      <c r="A1063" s="28" t="s">
        <v>3497</v>
      </c>
      <c r="B1063" s="26" t="s">
        <v>3173</v>
      </c>
      <c r="C1063" s="28" t="s">
        <v>3497</v>
      </c>
      <c r="D1063" s="25" t="s">
        <v>13</v>
      </c>
      <c r="E1063" s="25" t="s">
        <v>3237</v>
      </c>
      <c r="F1063" s="25" t="s">
        <v>3498</v>
      </c>
      <c r="G1063" s="25">
        <v>500</v>
      </c>
      <c r="H1063" s="25"/>
    </row>
    <row r="1064" spans="1:8" ht="14">
      <c r="A1064" s="28" t="s">
        <v>3499</v>
      </c>
      <c r="B1064" s="26" t="s">
        <v>3173</v>
      </c>
      <c r="C1064" s="28" t="s">
        <v>3499</v>
      </c>
      <c r="D1064" s="25" t="s">
        <v>13</v>
      </c>
      <c r="E1064" s="25" t="s">
        <v>3238</v>
      </c>
      <c r="F1064" s="25" t="s">
        <v>3500</v>
      </c>
      <c r="G1064" s="25">
        <v>500</v>
      </c>
      <c r="H1064" s="25"/>
    </row>
    <row r="1065" spans="1:8" ht="14">
      <c r="A1065" s="28" t="s">
        <v>3501</v>
      </c>
      <c r="B1065" s="26" t="s">
        <v>3173</v>
      </c>
      <c r="C1065" s="28" t="s">
        <v>3501</v>
      </c>
      <c r="D1065" s="25" t="s">
        <v>13</v>
      </c>
      <c r="E1065" s="25" t="s">
        <v>3239</v>
      </c>
      <c r="F1065" s="25" t="s">
        <v>3502</v>
      </c>
      <c r="G1065" s="25">
        <v>500</v>
      </c>
      <c r="H1065" s="25"/>
    </row>
    <row r="1066" spans="1:8" ht="14">
      <c r="A1066" s="28" t="s">
        <v>3503</v>
      </c>
      <c r="B1066" s="26" t="s">
        <v>3173</v>
      </c>
      <c r="C1066" s="28" t="s">
        <v>3503</v>
      </c>
      <c r="D1066" s="25" t="s">
        <v>13</v>
      </c>
      <c r="E1066" s="25" t="s">
        <v>3240</v>
      </c>
      <c r="F1066" s="25" t="s">
        <v>3504</v>
      </c>
      <c r="G1066" s="25">
        <v>500</v>
      </c>
      <c r="H1066" s="25"/>
    </row>
    <row r="1067" spans="1:8" ht="14">
      <c r="A1067" s="28" t="s">
        <v>3505</v>
      </c>
      <c r="B1067" s="26" t="s">
        <v>3173</v>
      </c>
      <c r="C1067" s="28" t="s">
        <v>3505</v>
      </c>
      <c r="D1067" s="25" t="s">
        <v>13</v>
      </c>
      <c r="E1067" s="25" t="s">
        <v>3241</v>
      </c>
      <c r="F1067" s="25" t="s">
        <v>3506</v>
      </c>
      <c r="G1067" s="25">
        <v>500</v>
      </c>
      <c r="H1067" s="25"/>
    </row>
    <row r="1068" spans="1:8" ht="14">
      <c r="A1068" s="28" t="s">
        <v>3507</v>
      </c>
      <c r="B1068" s="26" t="s">
        <v>3173</v>
      </c>
      <c r="C1068" s="28" t="s">
        <v>3507</v>
      </c>
      <c r="D1068" s="25" t="s">
        <v>13</v>
      </c>
      <c r="E1068" s="25" t="s">
        <v>3242</v>
      </c>
      <c r="F1068" s="25" t="s">
        <v>3508</v>
      </c>
      <c r="G1068" s="25">
        <v>500</v>
      </c>
      <c r="H1068" s="25"/>
    </row>
    <row r="1069" spans="1:8" ht="14">
      <c r="A1069" s="28" t="s">
        <v>3509</v>
      </c>
      <c r="B1069" s="26" t="s">
        <v>3173</v>
      </c>
      <c r="C1069" s="28" t="s">
        <v>3509</v>
      </c>
      <c r="D1069" s="25" t="s">
        <v>13</v>
      </c>
      <c r="E1069" s="25" t="s">
        <v>3243</v>
      </c>
      <c r="F1069" s="25" t="s">
        <v>3510</v>
      </c>
      <c r="G1069" s="25">
        <v>500</v>
      </c>
      <c r="H1069" s="25"/>
    </row>
    <row r="1070" spans="1:8" ht="14">
      <c r="A1070" s="28" t="s">
        <v>3511</v>
      </c>
      <c r="B1070" s="26" t="s">
        <v>3173</v>
      </c>
      <c r="C1070" s="28" t="s">
        <v>3511</v>
      </c>
      <c r="D1070" s="25" t="s">
        <v>13</v>
      </c>
      <c r="E1070" s="25" t="s">
        <v>3244</v>
      </c>
      <c r="F1070" s="25" t="s">
        <v>3512</v>
      </c>
      <c r="G1070" s="25">
        <v>500</v>
      </c>
      <c r="H1070" s="25"/>
    </row>
    <row r="1071" spans="1:8" ht="14">
      <c r="A1071" s="28" t="s">
        <v>3513</v>
      </c>
      <c r="B1071" s="26" t="s">
        <v>3173</v>
      </c>
      <c r="C1071" s="28" t="s">
        <v>3513</v>
      </c>
      <c r="D1071" s="25" t="s">
        <v>13</v>
      </c>
      <c r="E1071" s="25" t="s">
        <v>3245</v>
      </c>
      <c r="F1071" s="25" t="s">
        <v>3514</v>
      </c>
      <c r="G1071" s="25">
        <v>500</v>
      </c>
      <c r="H1071" s="25"/>
    </row>
    <row r="1072" spans="1:8" ht="14">
      <c r="A1072" s="28" t="s">
        <v>3515</v>
      </c>
      <c r="B1072" s="26" t="s">
        <v>3173</v>
      </c>
      <c r="C1072" s="28" t="s">
        <v>3515</v>
      </c>
      <c r="D1072" s="25" t="s">
        <v>13</v>
      </c>
      <c r="E1072" s="25" t="s">
        <v>3246</v>
      </c>
      <c r="F1072" s="25" t="s">
        <v>3516</v>
      </c>
      <c r="G1072" s="25">
        <v>500</v>
      </c>
      <c r="H1072" s="25"/>
    </row>
    <row r="1073" spans="1:8" ht="14">
      <c r="A1073" s="28" t="s">
        <v>3517</v>
      </c>
      <c r="B1073" s="26" t="s">
        <v>3173</v>
      </c>
      <c r="C1073" s="28" t="s">
        <v>3517</v>
      </c>
      <c r="D1073" s="25" t="s">
        <v>13</v>
      </c>
      <c r="E1073" s="25" t="s">
        <v>3247</v>
      </c>
      <c r="F1073" s="25" t="s">
        <v>3518</v>
      </c>
      <c r="G1073" s="25">
        <v>500</v>
      </c>
      <c r="H1073" s="25"/>
    </row>
    <row r="1074" spans="1:8" ht="14">
      <c r="A1074" s="28" t="s">
        <v>3519</v>
      </c>
      <c r="B1074" s="26" t="s">
        <v>3173</v>
      </c>
      <c r="C1074" s="28" t="s">
        <v>3519</v>
      </c>
      <c r="D1074" s="25" t="s">
        <v>13</v>
      </c>
      <c r="E1074" s="25" t="s">
        <v>3248</v>
      </c>
      <c r="F1074" s="25" t="s">
        <v>3520</v>
      </c>
      <c r="G1074" s="25">
        <v>500</v>
      </c>
      <c r="H1074" s="25"/>
    </row>
    <row r="1075" spans="1:8" ht="14">
      <c r="A1075" s="28" t="s">
        <v>3521</v>
      </c>
      <c r="B1075" s="26" t="s">
        <v>3173</v>
      </c>
      <c r="C1075" s="28" t="s">
        <v>3521</v>
      </c>
      <c r="D1075" s="25" t="s">
        <v>13</v>
      </c>
      <c r="E1075" s="25" t="s">
        <v>3249</v>
      </c>
      <c r="F1075" s="25" t="s">
        <v>3522</v>
      </c>
      <c r="G1075" s="25">
        <v>500</v>
      </c>
      <c r="H1075" s="25"/>
    </row>
    <row r="1076" spans="1:8" ht="14">
      <c r="A1076" s="28" t="s">
        <v>3523</v>
      </c>
      <c r="B1076" s="26" t="s">
        <v>3173</v>
      </c>
      <c r="C1076" s="28" t="s">
        <v>3523</v>
      </c>
      <c r="D1076" s="25" t="s">
        <v>13</v>
      </c>
      <c r="E1076" s="25" t="s">
        <v>3250</v>
      </c>
      <c r="F1076" s="25" t="s">
        <v>3524</v>
      </c>
      <c r="G1076" s="25">
        <v>500</v>
      </c>
      <c r="H1076" s="25"/>
    </row>
    <row r="1077" spans="1:8" ht="14">
      <c r="A1077" s="28" t="s">
        <v>3525</v>
      </c>
      <c r="B1077" s="26" t="s">
        <v>3173</v>
      </c>
      <c r="C1077" s="28" t="s">
        <v>3525</v>
      </c>
      <c r="D1077" s="25" t="s">
        <v>13</v>
      </c>
      <c r="E1077" s="25" t="s">
        <v>3251</v>
      </c>
      <c r="F1077" s="25" t="s">
        <v>3526</v>
      </c>
      <c r="G1077" s="25">
        <v>500</v>
      </c>
      <c r="H1077" s="25"/>
    </row>
    <row r="1078" spans="1:8" ht="14">
      <c r="A1078" s="28" t="s">
        <v>3527</v>
      </c>
      <c r="B1078" s="26" t="s">
        <v>3173</v>
      </c>
      <c r="C1078" s="28" t="s">
        <v>3527</v>
      </c>
      <c r="D1078" s="25" t="s">
        <v>13</v>
      </c>
      <c r="E1078" s="25" t="s">
        <v>3769</v>
      </c>
      <c r="F1078" s="25" t="s">
        <v>3770</v>
      </c>
      <c r="G1078" s="25">
        <v>500</v>
      </c>
      <c r="H1078" s="25"/>
    </row>
    <row r="1079" spans="1:8" ht="14">
      <c r="A1079" s="28" t="s">
        <v>3528</v>
      </c>
      <c r="B1079" s="26" t="s">
        <v>3173</v>
      </c>
      <c r="C1079" s="28" t="s">
        <v>3528</v>
      </c>
      <c r="D1079" s="25" t="s">
        <v>13</v>
      </c>
      <c r="E1079" s="25" t="s">
        <v>3252</v>
      </c>
      <c r="F1079" s="25" t="s">
        <v>3529</v>
      </c>
      <c r="G1079" s="25">
        <v>500</v>
      </c>
      <c r="H1079" s="25"/>
    </row>
    <row r="1080" spans="1:8" ht="14">
      <c r="A1080" s="28" t="s">
        <v>3530</v>
      </c>
      <c r="B1080" s="26" t="s">
        <v>3173</v>
      </c>
      <c r="C1080" s="28" t="s">
        <v>3530</v>
      </c>
      <c r="D1080" s="25" t="s">
        <v>13</v>
      </c>
      <c r="E1080" s="25" t="s">
        <v>3253</v>
      </c>
      <c r="F1080" s="25" t="s">
        <v>3531</v>
      </c>
      <c r="G1080" s="25">
        <v>500</v>
      </c>
      <c r="H1080" s="25"/>
    </row>
    <row r="1081" spans="1:8" ht="14">
      <c r="A1081" s="28" t="s">
        <v>3532</v>
      </c>
      <c r="B1081" s="26" t="s">
        <v>3173</v>
      </c>
      <c r="C1081" s="28" t="s">
        <v>3532</v>
      </c>
      <c r="D1081" s="25" t="s">
        <v>13</v>
      </c>
      <c r="E1081" s="25" t="s">
        <v>3254</v>
      </c>
      <c r="F1081" s="25" t="s">
        <v>3533</v>
      </c>
      <c r="G1081" s="25">
        <v>500</v>
      </c>
      <c r="H1081" s="25"/>
    </row>
    <row r="1082" spans="1:8" ht="14">
      <c r="A1082" s="28" t="s">
        <v>3534</v>
      </c>
      <c r="B1082" s="26" t="s">
        <v>3173</v>
      </c>
      <c r="C1082" s="28" t="s">
        <v>3534</v>
      </c>
      <c r="D1082" s="25" t="s">
        <v>13</v>
      </c>
      <c r="E1082" s="25" t="s">
        <v>3255</v>
      </c>
      <c r="F1082" s="25" t="s">
        <v>3535</v>
      </c>
      <c r="G1082" s="25">
        <v>500</v>
      </c>
      <c r="H1082" s="25"/>
    </row>
    <row r="1083" spans="1:8" ht="14">
      <c r="A1083" s="28" t="s">
        <v>3536</v>
      </c>
      <c r="B1083" s="26" t="s">
        <v>3173</v>
      </c>
      <c r="C1083" s="28" t="s">
        <v>3536</v>
      </c>
      <c r="D1083" s="25" t="s">
        <v>13</v>
      </c>
      <c r="E1083" s="25" t="s">
        <v>3256</v>
      </c>
      <c r="F1083" s="25" t="s">
        <v>3537</v>
      </c>
      <c r="G1083" s="25">
        <v>500</v>
      </c>
      <c r="H1083" s="25"/>
    </row>
    <row r="1084" spans="1:8" ht="14">
      <c r="A1084" s="28" t="s">
        <v>3538</v>
      </c>
      <c r="B1084" s="26" t="s">
        <v>3173</v>
      </c>
      <c r="C1084" s="28" t="s">
        <v>3538</v>
      </c>
      <c r="D1084" s="25" t="s">
        <v>13</v>
      </c>
      <c r="E1084" s="25" t="s">
        <v>3539</v>
      </c>
      <c r="F1084" s="25" t="s">
        <v>3540</v>
      </c>
      <c r="G1084" s="25">
        <v>500</v>
      </c>
      <c r="H1084" s="25"/>
    </row>
    <row r="1085" spans="1:8" ht="14">
      <c r="A1085" s="28" t="s">
        <v>3541</v>
      </c>
      <c r="B1085" s="26" t="s">
        <v>3173</v>
      </c>
      <c r="C1085" s="28" t="s">
        <v>3541</v>
      </c>
      <c r="D1085" s="25" t="s">
        <v>13</v>
      </c>
      <c r="E1085" s="25" t="s">
        <v>3542</v>
      </c>
      <c r="F1085" s="25" t="s">
        <v>3543</v>
      </c>
      <c r="G1085" s="25">
        <v>500</v>
      </c>
      <c r="H1085" s="25"/>
    </row>
    <row r="1086" spans="1:8" ht="14">
      <c r="A1086" s="28" t="s">
        <v>3544</v>
      </c>
      <c r="B1086" s="26" t="s">
        <v>3173</v>
      </c>
      <c r="C1086" s="28" t="s">
        <v>3544</v>
      </c>
      <c r="D1086" s="25" t="s">
        <v>13</v>
      </c>
      <c r="E1086" s="25" t="s">
        <v>3257</v>
      </c>
      <c r="F1086" s="25" t="s">
        <v>3545</v>
      </c>
      <c r="G1086" s="25">
        <v>500</v>
      </c>
      <c r="H1086" s="25"/>
    </row>
    <row r="1087" spans="1:8" ht="14">
      <c r="A1087" s="28" t="s">
        <v>3546</v>
      </c>
      <c r="B1087" s="26" t="s">
        <v>3173</v>
      </c>
      <c r="C1087" s="28" t="s">
        <v>3546</v>
      </c>
      <c r="D1087" s="25" t="s">
        <v>13</v>
      </c>
      <c r="E1087" s="25" t="s">
        <v>3258</v>
      </c>
      <c r="F1087" s="25" t="s">
        <v>3547</v>
      </c>
      <c r="G1087" s="25">
        <v>500</v>
      </c>
      <c r="H1087" s="25"/>
    </row>
    <row r="1088" spans="1:8" ht="14">
      <c r="A1088" s="28" t="s">
        <v>3548</v>
      </c>
      <c r="B1088" s="26" t="s">
        <v>3173</v>
      </c>
      <c r="C1088" s="28" t="s">
        <v>3548</v>
      </c>
      <c r="D1088" s="25" t="s">
        <v>13</v>
      </c>
      <c r="E1088" s="25" t="s">
        <v>3259</v>
      </c>
      <c r="F1088" s="25" t="s">
        <v>3549</v>
      </c>
      <c r="G1088" s="25">
        <v>500</v>
      </c>
      <c r="H1088" s="25"/>
    </row>
    <row r="1089" spans="1:8" ht="14">
      <c r="A1089" s="28" t="s">
        <v>3550</v>
      </c>
      <c r="B1089" s="26" t="s">
        <v>3173</v>
      </c>
      <c r="C1089" s="28" t="s">
        <v>3550</v>
      </c>
      <c r="D1089" s="25" t="s">
        <v>13</v>
      </c>
      <c r="E1089" s="25" t="s">
        <v>3260</v>
      </c>
      <c r="F1089" s="25" t="s">
        <v>3551</v>
      </c>
      <c r="G1089" s="25">
        <v>500</v>
      </c>
      <c r="H1089" s="25"/>
    </row>
    <row r="1090" spans="1:8" ht="14">
      <c r="A1090" s="28" t="s">
        <v>3552</v>
      </c>
      <c r="B1090" s="26" t="s">
        <v>3173</v>
      </c>
      <c r="C1090" s="28" t="s">
        <v>3552</v>
      </c>
      <c r="D1090" s="25" t="s">
        <v>13</v>
      </c>
      <c r="E1090" s="25" t="s">
        <v>3261</v>
      </c>
      <c r="F1090" s="25" t="s">
        <v>3553</v>
      </c>
      <c r="G1090" s="25">
        <v>500</v>
      </c>
      <c r="H1090" s="25"/>
    </row>
    <row r="1091" spans="1:8" ht="14">
      <c r="A1091" s="28" t="s">
        <v>3554</v>
      </c>
      <c r="B1091" s="26" t="s">
        <v>3173</v>
      </c>
      <c r="C1091" s="28" t="s">
        <v>3554</v>
      </c>
      <c r="D1091" s="25" t="s">
        <v>13</v>
      </c>
      <c r="E1091" s="25" t="s">
        <v>3262</v>
      </c>
      <c r="F1091" s="25" t="s">
        <v>3555</v>
      </c>
      <c r="G1091" s="25">
        <v>500</v>
      </c>
      <c r="H1091" s="25"/>
    </row>
    <row r="1092" spans="1:8" ht="14">
      <c r="A1092" s="28" t="s">
        <v>3556</v>
      </c>
      <c r="B1092" s="26" t="s">
        <v>3173</v>
      </c>
      <c r="C1092" s="28" t="s">
        <v>3556</v>
      </c>
      <c r="D1092" s="25" t="s">
        <v>13</v>
      </c>
      <c r="E1092" s="25" t="s">
        <v>3263</v>
      </c>
      <c r="F1092" s="25" t="s">
        <v>3557</v>
      </c>
      <c r="G1092" s="25">
        <v>500</v>
      </c>
      <c r="H1092" s="25"/>
    </row>
    <row r="1093" spans="1:8" ht="14">
      <c r="A1093" s="28" t="s">
        <v>3558</v>
      </c>
      <c r="B1093" s="26" t="s">
        <v>3173</v>
      </c>
      <c r="C1093" s="28" t="s">
        <v>3558</v>
      </c>
      <c r="D1093" s="25" t="s">
        <v>13</v>
      </c>
      <c r="E1093" s="25" t="s">
        <v>3559</v>
      </c>
      <c r="F1093" s="25" t="s">
        <v>3560</v>
      </c>
      <c r="G1093" s="25">
        <v>500</v>
      </c>
      <c r="H1093" s="25"/>
    </row>
    <row r="1094" spans="1:8" ht="14">
      <c r="A1094" s="28" t="s">
        <v>3561</v>
      </c>
      <c r="B1094" s="26" t="s">
        <v>3173</v>
      </c>
      <c r="C1094" s="28" t="s">
        <v>3561</v>
      </c>
      <c r="D1094" s="25" t="s">
        <v>13</v>
      </c>
      <c r="E1094" s="25" t="s">
        <v>3264</v>
      </c>
      <c r="F1094" s="25" t="s">
        <v>3562</v>
      </c>
      <c r="G1094" s="25">
        <v>500</v>
      </c>
      <c r="H1094" s="25"/>
    </row>
    <row r="1095" spans="1:8" ht="14">
      <c r="A1095" s="28" t="s">
        <v>3563</v>
      </c>
      <c r="B1095" s="26" t="s">
        <v>3173</v>
      </c>
      <c r="C1095" s="28" t="s">
        <v>3563</v>
      </c>
      <c r="D1095" s="25" t="s">
        <v>13</v>
      </c>
      <c r="E1095" s="25" t="s">
        <v>3265</v>
      </c>
      <c r="F1095" s="25" t="s">
        <v>3564</v>
      </c>
      <c r="G1095" s="25">
        <v>500</v>
      </c>
      <c r="H1095" s="25"/>
    </row>
    <row r="1096" spans="1:8" ht="14">
      <c r="A1096" s="28" t="s">
        <v>3565</v>
      </c>
      <c r="B1096" s="26" t="s">
        <v>3173</v>
      </c>
      <c r="C1096" s="28" t="s">
        <v>3565</v>
      </c>
      <c r="D1096" s="25" t="s">
        <v>13</v>
      </c>
      <c r="E1096" s="25" t="s">
        <v>3266</v>
      </c>
      <c r="F1096" s="25" t="s">
        <v>3566</v>
      </c>
      <c r="G1096" s="25">
        <v>500</v>
      </c>
      <c r="H1096" s="25"/>
    </row>
    <row r="1097" spans="1:8" ht="14">
      <c r="A1097" s="28" t="s">
        <v>3567</v>
      </c>
      <c r="B1097" s="26" t="s">
        <v>3173</v>
      </c>
      <c r="C1097" s="28" t="s">
        <v>3567</v>
      </c>
      <c r="D1097" s="25" t="s">
        <v>13</v>
      </c>
      <c r="E1097" s="25" t="s">
        <v>3267</v>
      </c>
      <c r="F1097" s="25" t="s">
        <v>3568</v>
      </c>
      <c r="G1097" s="25">
        <v>500</v>
      </c>
      <c r="H1097" s="25"/>
    </row>
    <row r="1098" spans="1:8" ht="14">
      <c r="A1098" s="28" t="s">
        <v>3569</v>
      </c>
      <c r="B1098" s="26" t="s">
        <v>3173</v>
      </c>
      <c r="C1098" s="28" t="s">
        <v>3569</v>
      </c>
      <c r="D1098" s="25" t="s">
        <v>13</v>
      </c>
      <c r="E1098" s="25" t="s">
        <v>3268</v>
      </c>
      <c r="F1098" s="25" t="s">
        <v>3570</v>
      </c>
      <c r="G1098" s="25">
        <v>500</v>
      </c>
      <c r="H1098" s="25"/>
    </row>
    <row r="1099" spans="1:8" ht="14">
      <c r="A1099" s="28" t="s">
        <v>3571</v>
      </c>
      <c r="B1099" s="26" t="s">
        <v>3173</v>
      </c>
      <c r="C1099" s="28" t="s">
        <v>3571</v>
      </c>
      <c r="D1099" s="25" t="s">
        <v>13</v>
      </c>
      <c r="E1099" s="25" t="s">
        <v>3269</v>
      </c>
      <c r="F1099" s="25" t="s">
        <v>3572</v>
      </c>
      <c r="G1099" s="25">
        <v>500</v>
      </c>
      <c r="H1099" s="25"/>
    </row>
    <row r="1100" spans="1:8" ht="14">
      <c r="A1100" s="28" t="s">
        <v>3573</v>
      </c>
      <c r="B1100" s="26" t="s">
        <v>3173</v>
      </c>
      <c r="C1100" s="28" t="s">
        <v>3573</v>
      </c>
      <c r="D1100" s="25" t="s">
        <v>13</v>
      </c>
      <c r="E1100" s="25" t="s">
        <v>3270</v>
      </c>
      <c r="F1100" s="25" t="s">
        <v>3574</v>
      </c>
      <c r="G1100" s="25">
        <v>500</v>
      </c>
      <c r="H1100" s="25"/>
    </row>
    <row r="1101" spans="1:8" ht="14">
      <c r="A1101" s="28" t="s">
        <v>3575</v>
      </c>
      <c r="B1101" s="26" t="s">
        <v>3173</v>
      </c>
      <c r="C1101" s="28" t="s">
        <v>3575</v>
      </c>
      <c r="D1101" s="25" t="s">
        <v>13</v>
      </c>
      <c r="E1101" s="25" t="s">
        <v>3271</v>
      </c>
      <c r="F1101" s="25" t="s">
        <v>3576</v>
      </c>
      <c r="G1101" s="25">
        <v>500</v>
      </c>
      <c r="H1101" s="25"/>
    </row>
    <row r="1102" spans="1:8" ht="14">
      <c r="A1102" s="28" t="s">
        <v>3577</v>
      </c>
      <c r="B1102" s="26" t="s">
        <v>3173</v>
      </c>
      <c r="C1102" s="28" t="s">
        <v>3577</v>
      </c>
      <c r="D1102" s="25" t="s">
        <v>13</v>
      </c>
      <c r="E1102" s="25" t="s">
        <v>3272</v>
      </c>
      <c r="F1102" s="25" t="s">
        <v>3578</v>
      </c>
      <c r="G1102" s="25">
        <v>500</v>
      </c>
      <c r="H1102" s="25"/>
    </row>
    <row r="1103" spans="1:8" ht="14">
      <c r="A1103" s="28" t="s">
        <v>3579</v>
      </c>
      <c r="B1103" s="26" t="s">
        <v>3173</v>
      </c>
      <c r="C1103" s="28" t="s">
        <v>3579</v>
      </c>
      <c r="D1103" s="25" t="s">
        <v>13</v>
      </c>
      <c r="E1103" s="25" t="s">
        <v>3273</v>
      </c>
      <c r="F1103" s="25" t="s">
        <v>3580</v>
      </c>
      <c r="G1103" s="25">
        <v>500</v>
      </c>
      <c r="H1103" s="25"/>
    </row>
    <row r="1104" spans="1:8" ht="14">
      <c r="A1104" s="28" t="s">
        <v>3581</v>
      </c>
      <c r="B1104" s="26" t="s">
        <v>3173</v>
      </c>
      <c r="C1104" s="28" t="s">
        <v>3581</v>
      </c>
      <c r="D1104" s="25" t="s">
        <v>13</v>
      </c>
      <c r="E1104" s="25" t="s">
        <v>3274</v>
      </c>
      <c r="F1104" s="25" t="s">
        <v>3582</v>
      </c>
      <c r="G1104" s="25">
        <v>500</v>
      </c>
      <c r="H1104" s="25"/>
    </row>
    <row r="1105" spans="1:8" ht="14">
      <c r="A1105" s="28" t="s">
        <v>3583</v>
      </c>
      <c r="B1105" s="26" t="s">
        <v>3173</v>
      </c>
      <c r="C1105" s="28" t="s">
        <v>3583</v>
      </c>
      <c r="D1105" s="25" t="s">
        <v>13</v>
      </c>
      <c r="E1105" s="25" t="s">
        <v>3275</v>
      </c>
      <c r="F1105" s="25" t="s">
        <v>3584</v>
      </c>
      <c r="G1105" s="25">
        <v>500</v>
      </c>
      <c r="H1105" s="25"/>
    </row>
    <row r="1106" spans="1:8" ht="14">
      <c r="A1106" s="28" t="s">
        <v>3585</v>
      </c>
      <c r="B1106" s="26" t="s">
        <v>3173</v>
      </c>
      <c r="C1106" s="28" t="s">
        <v>3585</v>
      </c>
      <c r="D1106" s="25" t="s">
        <v>13</v>
      </c>
      <c r="E1106" s="25" t="s">
        <v>3276</v>
      </c>
      <c r="F1106" s="25" t="s">
        <v>3586</v>
      </c>
      <c r="G1106" s="25">
        <v>500</v>
      </c>
      <c r="H1106" s="25"/>
    </row>
    <row r="1107" spans="1:8" ht="14">
      <c r="A1107" s="28" t="s">
        <v>3587</v>
      </c>
      <c r="B1107" s="26" t="s">
        <v>3173</v>
      </c>
      <c r="C1107" s="28" t="s">
        <v>3587</v>
      </c>
      <c r="D1107" s="25" t="s">
        <v>13</v>
      </c>
      <c r="E1107" s="25" t="s">
        <v>3277</v>
      </c>
      <c r="F1107" s="25" t="s">
        <v>3588</v>
      </c>
      <c r="G1107" s="25">
        <v>500</v>
      </c>
      <c r="H1107" s="25"/>
    </row>
    <row r="1108" spans="1:8" ht="14">
      <c r="A1108" s="28" t="s">
        <v>3589</v>
      </c>
      <c r="B1108" s="26" t="s">
        <v>3173</v>
      </c>
      <c r="C1108" s="28" t="s">
        <v>3589</v>
      </c>
      <c r="D1108" s="25" t="s">
        <v>13</v>
      </c>
      <c r="E1108" s="25" t="s">
        <v>3278</v>
      </c>
      <c r="F1108" s="25" t="s">
        <v>3590</v>
      </c>
      <c r="G1108" s="25">
        <v>500</v>
      </c>
      <c r="H1108" s="25"/>
    </row>
    <row r="1109" spans="1:8" ht="14">
      <c r="A1109" s="28" t="s">
        <v>3591</v>
      </c>
      <c r="B1109" s="26" t="s">
        <v>3173</v>
      </c>
      <c r="C1109" s="28" t="s">
        <v>3591</v>
      </c>
      <c r="D1109" s="25" t="s">
        <v>13</v>
      </c>
      <c r="E1109" s="25" t="s">
        <v>3279</v>
      </c>
      <c r="F1109" s="25" t="s">
        <v>3592</v>
      </c>
      <c r="G1109" s="25">
        <v>500</v>
      </c>
      <c r="H1109" s="25"/>
    </row>
    <row r="1110" spans="1:8" ht="14">
      <c r="A1110" s="28" t="s">
        <v>3593</v>
      </c>
      <c r="B1110" s="26" t="s">
        <v>3173</v>
      </c>
      <c r="C1110" s="28" t="s">
        <v>3593</v>
      </c>
      <c r="D1110" s="25" t="s">
        <v>13</v>
      </c>
      <c r="E1110" s="25" t="s">
        <v>3280</v>
      </c>
      <c r="F1110" s="25" t="s">
        <v>3594</v>
      </c>
      <c r="G1110" s="25">
        <v>500</v>
      </c>
      <c r="H1110" s="25"/>
    </row>
    <row r="1111" spans="1:8" ht="14">
      <c r="A1111" s="28" t="s">
        <v>3595</v>
      </c>
      <c r="B1111" s="26" t="s">
        <v>3173</v>
      </c>
      <c r="C1111" s="28" t="s">
        <v>3595</v>
      </c>
      <c r="D1111" s="25" t="s">
        <v>13</v>
      </c>
      <c r="E1111" s="25" t="s">
        <v>3281</v>
      </c>
      <c r="F1111" s="25" t="s">
        <v>3596</v>
      </c>
      <c r="G1111" s="25">
        <v>500</v>
      </c>
      <c r="H1111" s="25"/>
    </row>
    <row r="1112" spans="1:8" ht="14">
      <c r="A1112" s="28" t="s">
        <v>3597</v>
      </c>
      <c r="B1112" s="26" t="s">
        <v>3173</v>
      </c>
      <c r="C1112" s="28" t="s">
        <v>3597</v>
      </c>
      <c r="D1112" s="25" t="s">
        <v>13</v>
      </c>
      <c r="E1112" s="25" t="s">
        <v>3282</v>
      </c>
      <c r="F1112" s="25" t="s">
        <v>3598</v>
      </c>
      <c r="G1112" s="25">
        <v>500</v>
      </c>
      <c r="H1112" s="25"/>
    </row>
    <row r="1113" spans="1:8" ht="14">
      <c r="A1113" s="28" t="s">
        <v>3599</v>
      </c>
      <c r="B1113" s="26" t="s">
        <v>3173</v>
      </c>
      <c r="C1113" s="28" t="s">
        <v>3599</v>
      </c>
      <c r="D1113" s="25" t="s">
        <v>13</v>
      </c>
      <c r="E1113" s="25" t="s">
        <v>3283</v>
      </c>
      <c r="F1113" s="25" t="s">
        <v>3600</v>
      </c>
      <c r="G1113" s="25">
        <v>500</v>
      </c>
      <c r="H1113" s="25"/>
    </row>
    <row r="1114" spans="1:8" ht="14">
      <c r="A1114" s="28" t="s">
        <v>3601</v>
      </c>
      <c r="B1114" s="26" t="s">
        <v>3173</v>
      </c>
      <c r="C1114" s="28" t="s">
        <v>3601</v>
      </c>
      <c r="D1114" s="25" t="s">
        <v>13</v>
      </c>
      <c r="E1114" s="25" t="s">
        <v>3602</v>
      </c>
      <c r="F1114" s="25" t="s">
        <v>3603</v>
      </c>
      <c r="G1114" s="25">
        <v>500</v>
      </c>
      <c r="H1114" s="25"/>
    </row>
    <row r="1115" spans="1:8" ht="14">
      <c r="A1115" s="28" t="s">
        <v>3604</v>
      </c>
      <c r="B1115" s="26" t="s">
        <v>3173</v>
      </c>
      <c r="C1115" s="28" t="s">
        <v>3604</v>
      </c>
      <c r="D1115" s="25" t="s">
        <v>13</v>
      </c>
      <c r="E1115" s="25" t="s">
        <v>3284</v>
      </c>
      <c r="F1115" s="25" t="s">
        <v>3605</v>
      </c>
      <c r="G1115" s="25">
        <v>500</v>
      </c>
      <c r="H1115" s="25"/>
    </row>
    <row r="1116" spans="1:8" ht="14">
      <c r="A1116" s="28" t="s">
        <v>3606</v>
      </c>
      <c r="B1116" s="26" t="s">
        <v>3173</v>
      </c>
      <c r="C1116" s="28" t="s">
        <v>3606</v>
      </c>
      <c r="D1116" s="25" t="s">
        <v>13</v>
      </c>
      <c r="E1116" s="25" t="s">
        <v>3285</v>
      </c>
      <c r="F1116" s="25" t="s">
        <v>3607</v>
      </c>
      <c r="G1116" s="25">
        <v>500</v>
      </c>
      <c r="H1116" s="25"/>
    </row>
    <row r="1117" spans="1:8" ht="14">
      <c r="A1117" s="28" t="s">
        <v>3608</v>
      </c>
      <c r="B1117" s="26" t="s">
        <v>3173</v>
      </c>
      <c r="C1117" s="28" t="s">
        <v>3608</v>
      </c>
      <c r="D1117" s="25" t="s">
        <v>13</v>
      </c>
      <c r="E1117" s="25" t="s">
        <v>3286</v>
      </c>
      <c r="F1117" s="25" t="s">
        <v>3609</v>
      </c>
      <c r="G1117" s="25">
        <v>500</v>
      </c>
      <c r="H1117" s="25"/>
    </row>
    <row r="1118" spans="1:8" ht="14">
      <c r="A1118" s="28" t="s">
        <v>3610</v>
      </c>
      <c r="B1118" s="26" t="s">
        <v>3173</v>
      </c>
      <c r="C1118" s="28" t="s">
        <v>3610</v>
      </c>
      <c r="D1118" s="25" t="s">
        <v>13</v>
      </c>
      <c r="E1118" s="25" t="s">
        <v>3611</v>
      </c>
      <c r="F1118" s="25" t="s">
        <v>3612</v>
      </c>
      <c r="G1118" s="25">
        <v>500</v>
      </c>
      <c r="H1118" s="25"/>
    </row>
    <row r="1119" spans="1:8" ht="14">
      <c r="A1119" s="28" t="s">
        <v>3613</v>
      </c>
      <c r="B1119" s="26" t="s">
        <v>3173</v>
      </c>
      <c r="C1119" s="28" t="s">
        <v>3613</v>
      </c>
      <c r="D1119" s="25" t="s">
        <v>13</v>
      </c>
      <c r="E1119" s="25" t="s">
        <v>3287</v>
      </c>
      <c r="F1119" s="25" t="s">
        <v>3614</v>
      </c>
      <c r="G1119" s="25">
        <v>500</v>
      </c>
      <c r="H1119" s="25"/>
    </row>
    <row r="1120" spans="1:8" ht="14">
      <c r="A1120" s="28" t="s">
        <v>3615</v>
      </c>
      <c r="B1120" s="26" t="s">
        <v>3173</v>
      </c>
      <c r="C1120" s="28" t="s">
        <v>3615</v>
      </c>
      <c r="D1120" s="25" t="s">
        <v>13</v>
      </c>
      <c r="E1120" s="25" t="s">
        <v>3288</v>
      </c>
      <c r="F1120" s="25" t="s">
        <v>3616</v>
      </c>
      <c r="G1120" s="25">
        <v>500</v>
      </c>
      <c r="H1120" s="25"/>
    </row>
    <row r="1121" spans="1:8" ht="14">
      <c r="A1121" s="28" t="s">
        <v>3617</v>
      </c>
      <c r="B1121" s="26" t="s">
        <v>3173</v>
      </c>
      <c r="C1121" s="28" t="s">
        <v>3617</v>
      </c>
      <c r="D1121" s="25" t="s">
        <v>13</v>
      </c>
      <c r="E1121" s="25" t="s">
        <v>3289</v>
      </c>
      <c r="F1121" s="25" t="s">
        <v>3618</v>
      </c>
      <c r="G1121" s="25">
        <v>500</v>
      </c>
      <c r="H1121" s="25"/>
    </row>
    <row r="1122" spans="1:8" ht="14">
      <c r="A1122" s="28" t="s">
        <v>3619</v>
      </c>
      <c r="B1122" s="26" t="s">
        <v>3173</v>
      </c>
      <c r="C1122" s="28" t="s">
        <v>3619</v>
      </c>
      <c r="D1122" s="25" t="s">
        <v>13</v>
      </c>
      <c r="E1122" s="25" t="s">
        <v>3290</v>
      </c>
      <c r="F1122" s="25" t="s">
        <v>3620</v>
      </c>
      <c r="G1122" s="25">
        <v>500</v>
      </c>
      <c r="H1122" s="25"/>
    </row>
    <row r="1123" spans="1:8" ht="14">
      <c r="A1123" s="28" t="s">
        <v>3621</v>
      </c>
      <c r="B1123" s="26" t="s">
        <v>3173</v>
      </c>
      <c r="C1123" s="28" t="s">
        <v>3621</v>
      </c>
      <c r="D1123" s="25" t="s">
        <v>13</v>
      </c>
      <c r="E1123" s="25" t="s">
        <v>3291</v>
      </c>
      <c r="F1123" s="25" t="s">
        <v>3622</v>
      </c>
      <c r="G1123" s="25">
        <v>500</v>
      </c>
      <c r="H1123" s="25"/>
    </row>
    <row r="1124" spans="1:8" ht="14">
      <c r="A1124" s="28" t="s">
        <v>3623</v>
      </c>
      <c r="B1124" s="26" t="s">
        <v>3173</v>
      </c>
      <c r="C1124" s="28" t="s">
        <v>3623</v>
      </c>
      <c r="D1124" s="25" t="s">
        <v>13</v>
      </c>
      <c r="E1124" s="25" t="s">
        <v>3292</v>
      </c>
      <c r="F1124" s="25" t="s">
        <v>3624</v>
      </c>
      <c r="G1124" s="25">
        <v>500</v>
      </c>
      <c r="H1124" s="25"/>
    </row>
    <row r="1125" spans="1:8" ht="14">
      <c r="A1125" s="28" t="s">
        <v>3625</v>
      </c>
      <c r="B1125" s="26" t="s">
        <v>3173</v>
      </c>
      <c r="C1125" s="28" t="s">
        <v>3625</v>
      </c>
      <c r="D1125" s="25" t="s">
        <v>13</v>
      </c>
      <c r="E1125" s="25" t="s">
        <v>3293</v>
      </c>
      <c r="F1125" s="25" t="s">
        <v>3626</v>
      </c>
      <c r="G1125" s="25">
        <v>500</v>
      </c>
      <c r="H1125" s="25"/>
    </row>
    <row r="1126" spans="1:8" ht="14">
      <c r="A1126" s="28" t="s">
        <v>3627</v>
      </c>
      <c r="B1126" s="26" t="s">
        <v>3173</v>
      </c>
      <c r="C1126" s="28" t="s">
        <v>3627</v>
      </c>
      <c r="D1126" s="25" t="s">
        <v>13</v>
      </c>
      <c r="E1126" s="25" t="s">
        <v>3294</v>
      </c>
      <c r="F1126" s="25" t="s">
        <v>3628</v>
      </c>
      <c r="G1126" s="25">
        <v>500</v>
      </c>
      <c r="H1126" s="25"/>
    </row>
    <row r="1127" spans="1:8" ht="14">
      <c r="A1127" s="28" t="s">
        <v>3629</v>
      </c>
      <c r="B1127" s="26" t="s">
        <v>3173</v>
      </c>
      <c r="C1127" s="28" t="s">
        <v>3629</v>
      </c>
      <c r="D1127" s="25" t="s">
        <v>13</v>
      </c>
      <c r="E1127" s="25" t="s">
        <v>3295</v>
      </c>
      <c r="F1127" s="25" t="s">
        <v>3630</v>
      </c>
      <c r="G1127" s="25">
        <v>500</v>
      </c>
      <c r="H1127" s="25"/>
    </row>
    <row r="1128" spans="1:8" ht="14">
      <c r="A1128" s="28" t="s">
        <v>3631</v>
      </c>
      <c r="B1128" s="26" t="s">
        <v>3173</v>
      </c>
      <c r="C1128" s="28" t="s">
        <v>3631</v>
      </c>
      <c r="D1128" s="25" t="s">
        <v>13</v>
      </c>
      <c r="E1128" s="25" t="s">
        <v>3296</v>
      </c>
      <c r="F1128" s="25" t="s">
        <v>3632</v>
      </c>
      <c r="G1128" s="25">
        <v>500</v>
      </c>
      <c r="H1128" s="25"/>
    </row>
    <row r="1129" spans="1:8" ht="14">
      <c r="A1129" s="28" t="s">
        <v>3633</v>
      </c>
      <c r="B1129" s="26" t="s">
        <v>3173</v>
      </c>
      <c r="C1129" s="28" t="s">
        <v>3633</v>
      </c>
      <c r="D1129" s="25" t="s">
        <v>13</v>
      </c>
      <c r="E1129" s="25" t="s">
        <v>3297</v>
      </c>
      <c r="F1129" s="25" t="s">
        <v>3634</v>
      </c>
      <c r="G1129" s="25">
        <v>500</v>
      </c>
      <c r="H1129" s="25"/>
    </row>
    <row r="1130" spans="1:8" ht="14">
      <c r="A1130" s="28" t="s">
        <v>3635</v>
      </c>
      <c r="B1130" s="26" t="s">
        <v>3173</v>
      </c>
      <c r="C1130" s="28" t="s">
        <v>3635</v>
      </c>
      <c r="D1130" s="25" t="s">
        <v>13</v>
      </c>
      <c r="E1130" s="25" t="s">
        <v>3298</v>
      </c>
      <c r="F1130" s="25" t="s">
        <v>3636</v>
      </c>
      <c r="G1130" s="25">
        <v>500</v>
      </c>
      <c r="H1130" s="25"/>
    </row>
    <row r="1131" spans="1:8" ht="14">
      <c r="A1131" s="28" t="s">
        <v>3637</v>
      </c>
      <c r="B1131" s="26" t="s">
        <v>3173</v>
      </c>
      <c r="C1131" s="28" t="s">
        <v>3637</v>
      </c>
      <c r="D1131" s="25" t="s">
        <v>13</v>
      </c>
      <c r="E1131" s="25" t="s">
        <v>3299</v>
      </c>
      <c r="F1131" s="25" t="s">
        <v>3638</v>
      </c>
      <c r="G1131" s="25">
        <v>500</v>
      </c>
      <c r="H1131" s="25"/>
    </row>
    <row r="1132" spans="1:8" ht="14">
      <c r="A1132" s="28" t="s">
        <v>3639</v>
      </c>
      <c r="B1132" s="26" t="s">
        <v>3173</v>
      </c>
      <c r="C1132" s="28" t="s">
        <v>3639</v>
      </c>
      <c r="D1132" s="25" t="s">
        <v>13</v>
      </c>
      <c r="E1132" s="25" t="s">
        <v>3300</v>
      </c>
      <c r="F1132" s="25" t="s">
        <v>3640</v>
      </c>
      <c r="G1132" s="25">
        <v>500</v>
      </c>
      <c r="H1132" s="25"/>
    </row>
    <row r="1133" spans="1:8" ht="14">
      <c r="A1133" s="28" t="s">
        <v>3641</v>
      </c>
      <c r="B1133" s="26" t="s">
        <v>3173</v>
      </c>
      <c r="C1133" s="28" t="s">
        <v>3641</v>
      </c>
      <c r="D1133" s="25" t="s">
        <v>13</v>
      </c>
      <c r="E1133" s="25" t="s">
        <v>3301</v>
      </c>
      <c r="F1133" s="25" t="s">
        <v>3642</v>
      </c>
      <c r="G1133" s="25">
        <v>500</v>
      </c>
      <c r="H1133" s="25"/>
    </row>
    <row r="1134" spans="1:8" ht="14">
      <c r="A1134" s="28" t="s">
        <v>3643</v>
      </c>
      <c r="B1134" s="26" t="s">
        <v>3173</v>
      </c>
      <c r="C1134" s="28" t="s">
        <v>3643</v>
      </c>
      <c r="D1134" s="25" t="s">
        <v>13</v>
      </c>
      <c r="E1134" s="25" t="s">
        <v>3302</v>
      </c>
      <c r="F1134" s="25" t="s">
        <v>3644</v>
      </c>
      <c r="G1134" s="25">
        <v>500</v>
      </c>
      <c r="H1134" s="25"/>
    </row>
    <row r="1135" spans="1:8" ht="14">
      <c r="A1135" s="28" t="s">
        <v>3645</v>
      </c>
      <c r="B1135" s="26" t="s">
        <v>3173</v>
      </c>
      <c r="C1135" s="28" t="s">
        <v>3645</v>
      </c>
      <c r="D1135" s="25" t="s">
        <v>13</v>
      </c>
      <c r="E1135" s="25" t="s">
        <v>3303</v>
      </c>
      <c r="F1135" s="25" t="s">
        <v>3646</v>
      </c>
      <c r="G1135" s="25">
        <v>500</v>
      </c>
      <c r="H1135" s="25"/>
    </row>
    <row r="1136" spans="1:8" ht="14">
      <c r="A1136" s="28" t="s">
        <v>3647</v>
      </c>
      <c r="B1136" s="26" t="s">
        <v>3173</v>
      </c>
      <c r="C1136" s="28" t="s">
        <v>3647</v>
      </c>
      <c r="D1136" s="25" t="s">
        <v>13</v>
      </c>
      <c r="E1136" s="25" t="s">
        <v>3304</v>
      </c>
      <c r="F1136" s="25" t="s">
        <v>3648</v>
      </c>
      <c r="G1136" s="25">
        <v>500</v>
      </c>
      <c r="H1136" s="25"/>
    </row>
    <row r="1137" spans="1:8" ht="14">
      <c r="A1137" s="28" t="s">
        <v>3649</v>
      </c>
      <c r="B1137" s="26" t="s">
        <v>3173</v>
      </c>
      <c r="C1137" s="28" t="s">
        <v>3649</v>
      </c>
      <c r="D1137" s="25" t="s">
        <v>13</v>
      </c>
      <c r="E1137" s="25" t="s">
        <v>3305</v>
      </c>
      <c r="F1137" s="25" t="s">
        <v>3650</v>
      </c>
      <c r="G1137" s="25">
        <v>500</v>
      </c>
      <c r="H1137" s="25"/>
    </row>
    <row r="1138" spans="1:8" ht="14">
      <c r="A1138" s="28" t="s">
        <v>3651</v>
      </c>
      <c r="B1138" s="26" t="s">
        <v>3173</v>
      </c>
      <c r="C1138" s="28" t="s">
        <v>3651</v>
      </c>
      <c r="D1138" s="25" t="s">
        <v>13</v>
      </c>
      <c r="E1138" s="25" t="s">
        <v>3306</v>
      </c>
      <c r="F1138" s="25" t="s">
        <v>3652</v>
      </c>
      <c r="G1138" s="25">
        <v>500</v>
      </c>
      <c r="H1138" s="25"/>
    </row>
    <row r="1139" spans="1:8" ht="14">
      <c r="A1139" s="28" t="s">
        <v>3653</v>
      </c>
      <c r="B1139" s="26" t="s">
        <v>3173</v>
      </c>
      <c r="C1139" s="28" t="s">
        <v>3653</v>
      </c>
      <c r="D1139" s="25" t="s">
        <v>13</v>
      </c>
      <c r="E1139" s="25" t="s">
        <v>3307</v>
      </c>
      <c r="F1139" s="25" t="s">
        <v>3654</v>
      </c>
      <c r="G1139" s="25">
        <v>500</v>
      </c>
      <c r="H1139" s="25"/>
    </row>
    <row r="1140" spans="1:8" ht="14">
      <c r="A1140" s="28" t="s">
        <v>3655</v>
      </c>
      <c r="B1140" s="26" t="s">
        <v>3173</v>
      </c>
      <c r="C1140" s="28" t="s">
        <v>3655</v>
      </c>
      <c r="D1140" s="25" t="s">
        <v>13</v>
      </c>
      <c r="E1140" s="25" t="s">
        <v>3308</v>
      </c>
      <c r="F1140" s="25" t="s">
        <v>3656</v>
      </c>
      <c r="G1140" s="25">
        <v>500</v>
      </c>
      <c r="H1140" s="25"/>
    </row>
    <row r="1141" spans="1:8" ht="14">
      <c r="A1141" s="28" t="s">
        <v>3657</v>
      </c>
      <c r="B1141" s="26" t="s">
        <v>3173</v>
      </c>
      <c r="C1141" s="28" t="s">
        <v>3657</v>
      </c>
      <c r="D1141" s="25" t="s">
        <v>13</v>
      </c>
      <c r="E1141" s="25" t="s">
        <v>3309</v>
      </c>
      <c r="F1141" s="25" t="s">
        <v>3658</v>
      </c>
      <c r="G1141" s="25">
        <v>500</v>
      </c>
      <c r="H1141" s="25"/>
    </row>
    <row r="1142" spans="1:8" ht="14">
      <c r="A1142" s="28" t="s">
        <v>3659</v>
      </c>
      <c r="B1142" s="26" t="s">
        <v>3173</v>
      </c>
      <c r="C1142" s="28" t="s">
        <v>3659</v>
      </c>
      <c r="D1142" s="25" t="s">
        <v>13</v>
      </c>
      <c r="E1142" s="25" t="s">
        <v>3310</v>
      </c>
      <c r="F1142" s="25" t="s">
        <v>3660</v>
      </c>
      <c r="G1142" s="25">
        <v>500</v>
      </c>
      <c r="H1142" s="25"/>
    </row>
    <row r="1143" spans="1:8" ht="14">
      <c r="A1143" s="28" t="s">
        <v>3661</v>
      </c>
      <c r="B1143" s="26" t="s">
        <v>3173</v>
      </c>
      <c r="C1143" s="28" t="s">
        <v>3661</v>
      </c>
      <c r="D1143" s="25" t="s">
        <v>13</v>
      </c>
      <c r="E1143" s="25" t="s">
        <v>3311</v>
      </c>
      <c r="F1143" s="25" t="s">
        <v>3662</v>
      </c>
      <c r="G1143" s="25">
        <v>500</v>
      </c>
      <c r="H1143" s="25"/>
    </row>
    <row r="1144" spans="1:8" ht="14">
      <c r="A1144" s="28" t="s">
        <v>3663</v>
      </c>
      <c r="B1144" s="26" t="s">
        <v>3173</v>
      </c>
      <c r="C1144" s="28" t="s">
        <v>3663</v>
      </c>
      <c r="D1144" s="25" t="s">
        <v>13</v>
      </c>
      <c r="E1144" s="25" t="s">
        <v>3312</v>
      </c>
      <c r="F1144" s="25" t="s">
        <v>3664</v>
      </c>
      <c r="G1144" s="25">
        <v>500</v>
      </c>
      <c r="H1144" s="25"/>
    </row>
    <row r="1145" spans="1:8" ht="14">
      <c r="A1145" s="28" t="s">
        <v>3665</v>
      </c>
      <c r="B1145" s="26" t="s">
        <v>3173</v>
      </c>
      <c r="C1145" s="28" t="s">
        <v>3665</v>
      </c>
      <c r="D1145" s="25" t="s">
        <v>13</v>
      </c>
      <c r="E1145" s="25" t="s">
        <v>3313</v>
      </c>
      <c r="F1145" s="25" t="s">
        <v>3666</v>
      </c>
      <c r="G1145" s="25">
        <v>500</v>
      </c>
      <c r="H1145" s="25"/>
    </row>
    <row r="1146" spans="1:8" ht="14">
      <c r="A1146" s="28" t="s">
        <v>3667</v>
      </c>
      <c r="B1146" s="26" t="s">
        <v>3173</v>
      </c>
      <c r="C1146" s="28" t="s">
        <v>3667</v>
      </c>
      <c r="D1146" s="25" t="s">
        <v>13</v>
      </c>
      <c r="E1146" s="25" t="s">
        <v>3314</v>
      </c>
      <c r="F1146" s="25" t="s">
        <v>3668</v>
      </c>
      <c r="G1146" s="25">
        <v>500</v>
      </c>
      <c r="H1146" s="25"/>
    </row>
    <row r="1147" spans="1:8" ht="14">
      <c r="A1147" s="28" t="s">
        <v>3669</v>
      </c>
      <c r="B1147" s="26" t="s">
        <v>3173</v>
      </c>
      <c r="C1147" s="28" t="s">
        <v>3669</v>
      </c>
      <c r="D1147" s="25" t="s">
        <v>13</v>
      </c>
      <c r="E1147" s="25" t="s">
        <v>3315</v>
      </c>
      <c r="F1147" s="25" t="s">
        <v>3670</v>
      </c>
      <c r="G1147" s="25">
        <v>500</v>
      </c>
      <c r="H1147" s="25"/>
    </row>
    <row r="1148" spans="1:8" ht="14">
      <c r="A1148" s="28" t="s">
        <v>3671</v>
      </c>
      <c r="B1148" s="26" t="s">
        <v>3173</v>
      </c>
      <c r="C1148" s="28" t="s">
        <v>3671</v>
      </c>
      <c r="D1148" s="25" t="s">
        <v>13</v>
      </c>
      <c r="E1148" s="25" t="s">
        <v>3316</v>
      </c>
      <c r="F1148" s="25" t="s">
        <v>3672</v>
      </c>
      <c r="G1148" s="25">
        <v>500</v>
      </c>
      <c r="H1148" s="25"/>
    </row>
    <row r="1149" spans="1:8" ht="14">
      <c r="A1149" s="28" t="s">
        <v>3673</v>
      </c>
      <c r="B1149" s="26" t="s">
        <v>3173</v>
      </c>
      <c r="C1149" s="28" t="s">
        <v>3673</v>
      </c>
      <c r="D1149" s="25" t="s">
        <v>13</v>
      </c>
      <c r="E1149" s="25" t="s">
        <v>3317</v>
      </c>
      <c r="F1149" s="25" t="s">
        <v>3674</v>
      </c>
      <c r="G1149" s="25">
        <v>500</v>
      </c>
      <c r="H1149" s="25"/>
    </row>
    <row r="1150" spans="1:8" ht="14">
      <c r="A1150" s="28" t="s">
        <v>3675</v>
      </c>
      <c r="B1150" s="26" t="s">
        <v>3173</v>
      </c>
      <c r="C1150" s="28" t="s">
        <v>3675</v>
      </c>
      <c r="D1150" s="25" t="s">
        <v>13</v>
      </c>
      <c r="E1150" s="25" t="s">
        <v>3318</v>
      </c>
      <c r="F1150" s="25" t="s">
        <v>3676</v>
      </c>
      <c r="G1150" s="25">
        <v>500</v>
      </c>
      <c r="H1150" s="25"/>
    </row>
    <row r="1151" spans="1:8" ht="14">
      <c r="A1151" s="28" t="s">
        <v>3677</v>
      </c>
      <c r="B1151" s="26" t="s">
        <v>3173</v>
      </c>
      <c r="C1151" s="28" t="s">
        <v>3677</v>
      </c>
      <c r="D1151" s="25" t="s">
        <v>13</v>
      </c>
      <c r="E1151" s="25" t="s">
        <v>3319</v>
      </c>
      <c r="F1151" s="25" t="s">
        <v>3678</v>
      </c>
      <c r="G1151" s="25">
        <v>500</v>
      </c>
      <c r="H1151" s="25"/>
    </row>
    <row r="1152" spans="1:8" ht="14">
      <c r="A1152" s="28" t="s">
        <v>3679</v>
      </c>
      <c r="B1152" s="26" t="s">
        <v>3173</v>
      </c>
      <c r="C1152" s="28" t="s">
        <v>3679</v>
      </c>
      <c r="D1152" s="25" t="s">
        <v>13</v>
      </c>
      <c r="E1152" s="25" t="s">
        <v>3680</v>
      </c>
      <c r="F1152" s="25" t="s">
        <v>3681</v>
      </c>
      <c r="G1152" s="25">
        <v>500</v>
      </c>
      <c r="H1152" s="25"/>
    </row>
    <row r="1153" spans="1:8" ht="14">
      <c r="A1153" s="28" t="s">
        <v>3682</v>
      </c>
      <c r="B1153" s="26" t="s">
        <v>3173</v>
      </c>
      <c r="C1153" s="28" t="s">
        <v>3682</v>
      </c>
      <c r="D1153" s="25" t="s">
        <v>13</v>
      </c>
      <c r="E1153" s="25" t="s">
        <v>3320</v>
      </c>
      <c r="F1153" s="25" t="s">
        <v>3683</v>
      </c>
      <c r="G1153" s="25">
        <v>500</v>
      </c>
      <c r="H1153" s="25"/>
    </row>
    <row r="1154" spans="1:8" ht="14">
      <c r="A1154" s="28" t="s">
        <v>3684</v>
      </c>
      <c r="B1154" s="26" t="s">
        <v>3173</v>
      </c>
      <c r="C1154" s="28" t="s">
        <v>3684</v>
      </c>
      <c r="D1154" s="25" t="s">
        <v>13</v>
      </c>
      <c r="E1154" s="25" t="s">
        <v>3685</v>
      </c>
      <c r="F1154" s="25" t="s">
        <v>3686</v>
      </c>
      <c r="G1154" s="25">
        <v>500</v>
      </c>
      <c r="H1154" s="25"/>
    </row>
    <row r="1155" spans="1:8" ht="14">
      <c r="A1155" s="28" t="s">
        <v>3687</v>
      </c>
      <c r="B1155" s="26" t="s">
        <v>3173</v>
      </c>
      <c r="C1155" s="28" t="s">
        <v>3687</v>
      </c>
      <c r="D1155" s="25" t="s">
        <v>13</v>
      </c>
      <c r="E1155" s="25" t="s">
        <v>3321</v>
      </c>
      <c r="F1155" s="25" t="s">
        <v>3688</v>
      </c>
      <c r="G1155" s="25">
        <v>500</v>
      </c>
      <c r="H1155" s="25"/>
    </row>
    <row r="1156" spans="1:8" ht="14">
      <c r="A1156" s="28" t="s">
        <v>3689</v>
      </c>
      <c r="B1156" s="26" t="s">
        <v>3173</v>
      </c>
      <c r="C1156" s="28" t="s">
        <v>3689</v>
      </c>
      <c r="D1156" s="25" t="s">
        <v>13</v>
      </c>
      <c r="E1156" s="25" t="s">
        <v>3690</v>
      </c>
      <c r="F1156" s="25" t="s">
        <v>3691</v>
      </c>
      <c r="G1156" s="25">
        <v>500</v>
      </c>
      <c r="H1156" s="25"/>
    </row>
    <row r="1157" spans="1:8" ht="14">
      <c r="A1157" s="28" t="s">
        <v>3692</v>
      </c>
      <c r="B1157" s="26" t="s">
        <v>3173</v>
      </c>
      <c r="C1157" s="28" t="s">
        <v>3692</v>
      </c>
      <c r="D1157" s="25" t="s">
        <v>13</v>
      </c>
      <c r="E1157" s="25" t="s">
        <v>3693</v>
      </c>
      <c r="F1157" s="25" t="s">
        <v>3694</v>
      </c>
      <c r="G1157" s="25">
        <v>500</v>
      </c>
      <c r="H1157" s="25"/>
    </row>
    <row r="1158" spans="1:8" ht="14">
      <c r="A1158" s="28" t="s">
        <v>3695</v>
      </c>
      <c r="B1158" s="26" t="s">
        <v>3173</v>
      </c>
      <c r="C1158" s="28" t="s">
        <v>3695</v>
      </c>
      <c r="D1158" s="25" t="s">
        <v>13</v>
      </c>
      <c r="E1158" s="25" t="s">
        <v>3322</v>
      </c>
      <c r="F1158" s="25" t="s">
        <v>3696</v>
      </c>
      <c r="G1158" s="25">
        <v>500</v>
      </c>
      <c r="H1158" s="25"/>
    </row>
    <row r="1159" spans="1:8" ht="14">
      <c r="A1159" s="28" t="s">
        <v>3697</v>
      </c>
      <c r="B1159" s="26" t="s">
        <v>3173</v>
      </c>
      <c r="C1159" s="28" t="s">
        <v>3697</v>
      </c>
      <c r="D1159" s="25" t="s">
        <v>13</v>
      </c>
      <c r="E1159" s="25" t="s">
        <v>3323</v>
      </c>
      <c r="F1159" s="25" t="s">
        <v>3698</v>
      </c>
      <c r="G1159" s="25">
        <v>500</v>
      </c>
      <c r="H1159" s="25"/>
    </row>
    <row r="1160" spans="1:8" ht="14">
      <c r="A1160" s="28" t="s">
        <v>3699</v>
      </c>
      <c r="B1160" s="26" t="s">
        <v>3173</v>
      </c>
      <c r="C1160" s="28" t="s">
        <v>3699</v>
      </c>
      <c r="D1160" s="25" t="s">
        <v>13</v>
      </c>
      <c r="E1160" s="25" t="s">
        <v>3324</v>
      </c>
      <c r="F1160" s="25" t="s">
        <v>3700</v>
      </c>
      <c r="G1160" s="25">
        <v>500</v>
      </c>
      <c r="H1160" s="25"/>
    </row>
    <row r="1161" spans="1:8" ht="14">
      <c r="A1161" s="28" t="s">
        <v>3701</v>
      </c>
      <c r="B1161" s="26" t="s">
        <v>3173</v>
      </c>
      <c r="C1161" s="28" t="s">
        <v>3701</v>
      </c>
      <c r="D1161" s="25" t="s">
        <v>13</v>
      </c>
      <c r="E1161" s="25" t="s">
        <v>3325</v>
      </c>
      <c r="F1161" s="25" t="s">
        <v>3702</v>
      </c>
      <c r="G1161" s="25">
        <v>500</v>
      </c>
      <c r="H1161" s="25"/>
    </row>
    <row r="1162" spans="1:8" ht="14">
      <c r="A1162" s="28" t="s">
        <v>3703</v>
      </c>
      <c r="B1162" s="26" t="s">
        <v>3173</v>
      </c>
      <c r="C1162" s="28" t="s">
        <v>3703</v>
      </c>
      <c r="D1162" s="25" t="s">
        <v>13</v>
      </c>
      <c r="E1162" s="25" t="s">
        <v>3326</v>
      </c>
      <c r="F1162" s="25" t="s">
        <v>3704</v>
      </c>
      <c r="G1162" s="25">
        <v>500</v>
      </c>
      <c r="H1162" s="25"/>
    </row>
    <row r="1163" spans="1:8" ht="14">
      <c r="A1163" s="28" t="s">
        <v>3705</v>
      </c>
      <c r="B1163" s="26" t="s">
        <v>3173</v>
      </c>
      <c r="C1163" s="28" t="s">
        <v>3705</v>
      </c>
      <c r="D1163" s="25" t="s">
        <v>13</v>
      </c>
      <c r="E1163" s="25" t="s">
        <v>3327</v>
      </c>
      <c r="F1163" s="25" t="s">
        <v>3706</v>
      </c>
      <c r="G1163" s="25">
        <v>500</v>
      </c>
      <c r="H1163" s="25"/>
    </row>
    <row r="1164" spans="1:8" ht="14">
      <c r="A1164" s="28" t="s">
        <v>3707</v>
      </c>
      <c r="B1164" s="26" t="s">
        <v>3173</v>
      </c>
      <c r="C1164" s="28" t="s">
        <v>3707</v>
      </c>
      <c r="D1164" s="25" t="s">
        <v>13</v>
      </c>
      <c r="E1164" s="25" t="s">
        <v>3328</v>
      </c>
      <c r="F1164" s="25" t="s">
        <v>3708</v>
      </c>
      <c r="G1164" s="25">
        <v>500</v>
      </c>
      <c r="H1164" s="25"/>
    </row>
    <row r="1165" spans="1:8" ht="14">
      <c r="A1165" s="28" t="s">
        <v>3709</v>
      </c>
      <c r="B1165" s="26" t="s">
        <v>3173</v>
      </c>
      <c r="C1165" s="28" t="s">
        <v>3709</v>
      </c>
      <c r="D1165" s="25" t="s">
        <v>13</v>
      </c>
      <c r="E1165" s="25" t="s">
        <v>3329</v>
      </c>
      <c r="F1165" s="25" t="s">
        <v>3710</v>
      </c>
      <c r="G1165" s="25">
        <v>500</v>
      </c>
      <c r="H1165" s="25"/>
    </row>
    <row r="1166" spans="1:8" ht="14">
      <c r="A1166" s="28" t="s">
        <v>3711</v>
      </c>
      <c r="B1166" s="26" t="s">
        <v>3173</v>
      </c>
      <c r="C1166" s="28" t="s">
        <v>3711</v>
      </c>
      <c r="D1166" s="25" t="s">
        <v>13</v>
      </c>
      <c r="E1166" s="25" t="s">
        <v>3330</v>
      </c>
      <c r="F1166" s="25" t="s">
        <v>3712</v>
      </c>
      <c r="G1166" s="25">
        <v>500</v>
      </c>
      <c r="H1166" s="25"/>
    </row>
    <row r="1167" spans="1:8" ht="14">
      <c r="A1167" s="28" t="s">
        <v>3713</v>
      </c>
      <c r="B1167" s="26" t="s">
        <v>3173</v>
      </c>
      <c r="C1167" s="28" t="s">
        <v>3713</v>
      </c>
      <c r="D1167" s="25" t="s">
        <v>13</v>
      </c>
      <c r="E1167" s="25" t="s">
        <v>3331</v>
      </c>
      <c r="F1167" s="25" t="s">
        <v>3714</v>
      </c>
      <c r="G1167" s="25">
        <v>500</v>
      </c>
      <c r="H1167" s="25"/>
    </row>
    <row r="1168" spans="1:8" ht="14">
      <c r="A1168" s="28" t="s">
        <v>3715</v>
      </c>
      <c r="B1168" s="26" t="s">
        <v>3173</v>
      </c>
      <c r="C1168" s="28" t="s">
        <v>3715</v>
      </c>
      <c r="D1168" s="25" t="s">
        <v>13</v>
      </c>
      <c r="E1168" s="25" t="s">
        <v>3332</v>
      </c>
      <c r="F1168" s="25" t="s">
        <v>3716</v>
      </c>
      <c r="G1168" s="25">
        <v>500</v>
      </c>
      <c r="H1168" s="25"/>
    </row>
    <row r="1169" spans="1:8" ht="14">
      <c r="A1169" s="28" t="s">
        <v>3717</v>
      </c>
      <c r="B1169" s="26" t="s">
        <v>3173</v>
      </c>
      <c r="C1169" s="28" t="s">
        <v>3717</v>
      </c>
      <c r="D1169" s="25" t="s">
        <v>13</v>
      </c>
      <c r="E1169" s="25" t="s">
        <v>3333</v>
      </c>
      <c r="F1169" s="25" t="s">
        <v>3718</v>
      </c>
      <c r="G1169" s="25">
        <v>500</v>
      </c>
      <c r="H1169" s="25"/>
    </row>
    <row r="1170" spans="1:8" ht="14">
      <c r="A1170" s="28" t="s">
        <v>3719</v>
      </c>
      <c r="B1170" s="26" t="s">
        <v>3173</v>
      </c>
      <c r="C1170" s="28" t="s">
        <v>3719</v>
      </c>
      <c r="D1170" s="25" t="s">
        <v>13</v>
      </c>
      <c r="E1170" s="25" t="s">
        <v>3334</v>
      </c>
      <c r="F1170" s="25" t="s">
        <v>3720</v>
      </c>
      <c r="G1170" s="25">
        <v>500</v>
      </c>
      <c r="H1170" s="25"/>
    </row>
    <row r="1171" spans="1:8" ht="14">
      <c r="A1171" s="28" t="s">
        <v>3721</v>
      </c>
      <c r="B1171" s="26" t="s">
        <v>3173</v>
      </c>
      <c r="C1171" s="28" t="s">
        <v>3721</v>
      </c>
      <c r="D1171" s="25" t="s">
        <v>13</v>
      </c>
      <c r="E1171" s="25" t="s">
        <v>3335</v>
      </c>
      <c r="F1171" s="25" t="s">
        <v>3722</v>
      </c>
      <c r="G1171" s="25">
        <v>500</v>
      </c>
      <c r="H1171" s="25"/>
    </row>
    <row r="1172" spans="1:8" ht="14">
      <c r="A1172" s="28" t="s">
        <v>3723</v>
      </c>
      <c r="B1172" s="26" t="s">
        <v>3173</v>
      </c>
      <c r="C1172" s="28" t="s">
        <v>3723</v>
      </c>
      <c r="D1172" s="25" t="s">
        <v>13</v>
      </c>
      <c r="E1172" s="25" t="s">
        <v>3336</v>
      </c>
      <c r="F1172" s="25" t="s">
        <v>3724</v>
      </c>
      <c r="G1172" s="25">
        <v>500</v>
      </c>
      <c r="H1172" s="25"/>
    </row>
    <row r="1173" spans="1:8" ht="14">
      <c r="A1173" s="28" t="s">
        <v>3725</v>
      </c>
      <c r="B1173" s="26" t="s">
        <v>3173</v>
      </c>
      <c r="C1173" s="28" t="s">
        <v>3725</v>
      </c>
      <c r="D1173" s="25" t="s">
        <v>13</v>
      </c>
      <c r="E1173" s="25" t="s">
        <v>3337</v>
      </c>
      <c r="F1173" s="25" t="s">
        <v>3726</v>
      </c>
      <c r="G1173" s="25">
        <v>500</v>
      </c>
      <c r="H1173" s="25"/>
    </row>
    <row r="1174" spans="1:8" ht="14">
      <c r="A1174" s="28" t="s">
        <v>3727</v>
      </c>
      <c r="B1174" s="26" t="s">
        <v>3173</v>
      </c>
      <c r="C1174" s="28" t="s">
        <v>3727</v>
      </c>
      <c r="D1174" s="25" t="s">
        <v>13</v>
      </c>
      <c r="E1174" s="25" t="s">
        <v>3338</v>
      </c>
      <c r="F1174" s="25" t="s">
        <v>3728</v>
      </c>
      <c r="G1174" s="25">
        <v>500</v>
      </c>
      <c r="H1174" s="25"/>
    </row>
    <row r="1175" spans="1:8" ht="14">
      <c r="A1175" s="28" t="s">
        <v>3729</v>
      </c>
      <c r="B1175" s="26" t="s">
        <v>3173</v>
      </c>
      <c r="C1175" s="28" t="s">
        <v>3729</v>
      </c>
      <c r="D1175" s="25" t="s">
        <v>13</v>
      </c>
      <c r="E1175" s="25" t="s">
        <v>3339</v>
      </c>
      <c r="F1175" s="25" t="s">
        <v>3730</v>
      </c>
      <c r="G1175" s="25">
        <v>500</v>
      </c>
      <c r="H1175" s="25"/>
    </row>
    <row r="1176" spans="1:8" ht="14">
      <c r="A1176" s="28" t="s">
        <v>3731</v>
      </c>
      <c r="B1176" s="26" t="s">
        <v>3173</v>
      </c>
      <c r="C1176" s="28" t="s">
        <v>3731</v>
      </c>
      <c r="D1176" s="25" t="s">
        <v>13</v>
      </c>
      <c r="E1176" s="25" t="s">
        <v>3340</v>
      </c>
      <c r="F1176" s="25" t="s">
        <v>3732</v>
      </c>
      <c r="G1176" s="25">
        <v>500</v>
      </c>
      <c r="H1176" s="25"/>
    </row>
    <row r="1177" spans="1:8" ht="14">
      <c r="A1177" s="28" t="s">
        <v>3733</v>
      </c>
      <c r="B1177" s="26" t="s">
        <v>3173</v>
      </c>
      <c r="C1177" s="28" t="s">
        <v>3733</v>
      </c>
      <c r="D1177" s="25" t="s">
        <v>13</v>
      </c>
      <c r="E1177" s="25" t="s">
        <v>3341</v>
      </c>
      <c r="F1177" s="25" t="s">
        <v>3734</v>
      </c>
      <c r="G1177" s="25">
        <v>500</v>
      </c>
      <c r="H1177" s="25"/>
    </row>
    <row r="1178" spans="1:8" ht="14">
      <c r="A1178" s="28" t="s">
        <v>3735</v>
      </c>
      <c r="B1178" s="26" t="s">
        <v>3173</v>
      </c>
      <c r="C1178" s="28" t="s">
        <v>3735</v>
      </c>
      <c r="D1178" s="25" t="s">
        <v>13</v>
      </c>
      <c r="E1178" s="25" t="s">
        <v>3342</v>
      </c>
      <c r="F1178" s="25" t="s">
        <v>3736</v>
      </c>
      <c r="G1178" s="25">
        <v>500</v>
      </c>
      <c r="H1178" s="25"/>
    </row>
    <row r="1179" spans="1:8" ht="14">
      <c r="A1179" s="28" t="s">
        <v>3737</v>
      </c>
      <c r="B1179" s="26" t="s">
        <v>3173</v>
      </c>
      <c r="C1179" s="28" t="s">
        <v>3737</v>
      </c>
      <c r="D1179" s="25" t="s">
        <v>13</v>
      </c>
      <c r="E1179" s="25" t="s">
        <v>3343</v>
      </c>
      <c r="F1179" s="25" t="s">
        <v>3738</v>
      </c>
      <c r="G1179" s="25">
        <v>500</v>
      </c>
      <c r="H1179" s="25"/>
    </row>
    <row r="1180" spans="1:8" ht="14">
      <c r="A1180" s="28" t="s">
        <v>3739</v>
      </c>
      <c r="B1180" s="26" t="s">
        <v>3173</v>
      </c>
      <c r="C1180" s="28" t="s">
        <v>3739</v>
      </c>
      <c r="D1180" s="25" t="s">
        <v>13</v>
      </c>
      <c r="E1180" s="25" t="s">
        <v>3344</v>
      </c>
      <c r="F1180" s="25" t="s">
        <v>3740</v>
      </c>
      <c r="G1180" s="25">
        <v>500</v>
      </c>
      <c r="H1180" s="25"/>
    </row>
    <row r="1181" spans="1:8" ht="14">
      <c r="A1181" s="28" t="s">
        <v>3741</v>
      </c>
      <c r="B1181" s="26" t="s">
        <v>3173</v>
      </c>
      <c r="C1181" s="28" t="s">
        <v>3741</v>
      </c>
      <c r="D1181" s="25" t="s">
        <v>13</v>
      </c>
      <c r="E1181" s="25" t="s">
        <v>3345</v>
      </c>
      <c r="F1181" s="25" t="s">
        <v>3742</v>
      </c>
      <c r="G1181" s="25">
        <v>500</v>
      </c>
      <c r="H1181" s="25"/>
    </row>
    <row r="1182" spans="1:8" ht="14">
      <c r="A1182" s="28" t="s">
        <v>3743</v>
      </c>
      <c r="B1182" s="26" t="s">
        <v>3173</v>
      </c>
      <c r="C1182" s="28" t="s">
        <v>3743</v>
      </c>
      <c r="D1182" s="25" t="s">
        <v>13</v>
      </c>
      <c r="E1182" s="25" t="s">
        <v>3346</v>
      </c>
      <c r="F1182" s="25" t="s">
        <v>3744</v>
      </c>
      <c r="G1182" s="25">
        <v>500</v>
      </c>
      <c r="H1182" s="25"/>
    </row>
    <row r="1183" spans="1:8" ht="14">
      <c r="A1183" s="28" t="s">
        <v>3745</v>
      </c>
      <c r="B1183" s="26" t="s">
        <v>3173</v>
      </c>
      <c r="C1183" s="28" t="s">
        <v>3745</v>
      </c>
      <c r="D1183" s="25" t="s">
        <v>13</v>
      </c>
      <c r="E1183" s="25" t="s">
        <v>3347</v>
      </c>
      <c r="F1183" s="25" t="s">
        <v>3746</v>
      </c>
      <c r="G1183" s="25">
        <v>500</v>
      </c>
      <c r="H1183" s="25"/>
    </row>
    <row r="1184" spans="1:8" ht="14">
      <c r="A1184" s="28" t="s">
        <v>3747</v>
      </c>
      <c r="B1184" s="26" t="s">
        <v>3173</v>
      </c>
      <c r="C1184" s="28" t="s">
        <v>3747</v>
      </c>
      <c r="D1184" s="25" t="s">
        <v>13</v>
      </c>
      <c r="E1184" s="25" t="s">
        <v>3348</v>
      </c>
      <c r="F1184" s="25" t="s">
        <v>3748</v>
      </c>
      <c r="G1184" s="25">
        <v>500</v>
      </c>
      <c r="H1184" s="25"/>
    </row>
    <row r="1185" spans="1:8" ht="14">
      <c r="A1185" s="28" t="s">
        <v>3749</v>
      </c>
      <c r="B1185" s="26" t="s">
        <v>3173</v>
      </c>
      <c r="C1185" s="28" t="s">
        <v>3749</v>
      </c>
      <c r="D1185" s="25" t="s">
        <v>13</v>
      </c>
      <c r="E1185" s="25" t="s">
        <v>3349</v>
      </c>
      <c r="F1185" s="25" t="s">
        <v>3750</v>
      </c>
      <c r="G1185" s="25">
        <v>500</v>
      </c>
      <c r="H1185" s="25"/>
    </row>
    <row r="1186" spans="1:8" ht="14">
      <c r="A1186" s="28" t="s">
        <v>3751</v>
      </c>
      <c r="B1186" s="26" t="s">
        <v>3173</v>
      </c>
      <c r="C1186" s="28" t="s">
        <v>3751</v>
      </c>
      <c r="D1186" s="25" t="s">
        <v>13</v>
      </c>
      <c r="E1186" s="25" t="s">
        <v>3350</v>
      </c>
      <c r="F1186" s="25" t="s">
        <v>3752</v>
      </c>
      <c r="G1186" s="25">
        <v>500</v>
      </c>
      <c r="H1186" s="25"/>
    </row>
    <row r="1187" spans="1:8" ht="14">
      <c r="A1187" s="28" t="s">
        <v>3753</v>
      </c>
      <c r="B1187" s="26" t="s">
        <v>3173</v>
      </c>
      <c r="C1187" s="28" t="s">
        <v>3753</v>
      </c>
      <c r="D1187" s="25" t="s">
        <v>13</v>
      </c>
      <c r="E1187" s="25" t="s">
        <v>3351</v>
      </c>
      <c r="F1187" s="25" t="s">
        <v>3754</v>
      </c>
      <c r="G1187" s="25">
        <v>500</v>
      </c>
      <c r="H1187" s="25"/>
    </row>
    <row r="1188" spans="1:8" ht="14">
      <c r="A1188" s="28" t="s">
        <v>3755</v>
      </c>
      <c r="B1188" s="26" t="s">
        <v>3173</v>
      </c>
      <c r="C1188" s="28" t="s">
        <v>3755</v>
      </c>
      <c r="D1188" s="25" t="s">
        <v>13</v>
      </c>
      <c r="E1188" s="25" t="s">
        <v>3352</v>
      </c>
      <c r="F1188" s="25" t="s">
        <v>3756</v>
      </c>
      <c r="G1188" s="25">
        <v>500</v>
      </c>
      <c r="H1188" s="25"/>
    </row>
    <row r="1189" spans="1:8" ht="14">
      <c r="A1189" s="28" t="s">
        <v>3757</v>
      </c>
      <c r="B1189" s="26" t="s">
        <v>3173</v>
      </c>
      <c r="C1189" s="28" t="s">
        <v>3757</v>
      </c>
      <c r="D1189" s="25" t="s">
        <v>13</v>
      </c>
      <c r="E1189" s="25" t="s">
        <v>3353</v>
      </c>
      <c r="F1189" s="25" t="s">
        <v>3758</v>
      </c>
      <c r="G1189" s="25">
        <v>500</v>
      </c>
      <c r="H1189" s="25"/>
    </row>
    <row r="1190" spans="1:8" ht="14">
      <c r="A1190" s="28" t="s">
        <v>3759</v>
      </c>
      <c r="B1190" s="26" t="s">
        <v>3173</v>
      </c>
      <c r="C1190" s="28" t="s">
        <v>3759</v>
      </c>
      <c r="D1190" s="25" t="s">
        <v>13</v>
      </c>
      <c r="E1190" s="25" t="s">
        <v>3354</v>
      </c>
      <c r="F1190" s="25" t="s">
        <v>3760</v>
      </c>
      <c r="G1190" s="25">
        <v>500</v>
      </c>
      <c r="H1190" s="25"/>
    </row>
    <row r="1191" spans="1:8" ht="14">
      <c r="A1191" s="28" t="s">
        <v>3761</v>
      </c>
      <c r="B1191" s="26" t="s">
        <v>3173</v>
      </c>
      <c r="C1191" s="28" t="s">
        <v>3761</v>
      </c>
      <c r="D1191" s="25" t="s">
        <v>13</v>
      </c>
      <c r="E1191" s="25" t="s">
        <v>3355</v>
      </c>
      <c r="F1191" s="25" t="s">
        <v>3762</v>
      </c>
      <c r="G1191" s="25">
        <v>500</v>
      </c>
      <c r="H1191" s="25"/>
    </row>
    <row r="1192" spans="1:8" ht="14">
      <c r="A1192" s="28" t="s">
        <v>3763</v>
      </c>
      <c r="B1192" s="26" t="s">
        <v>3173</v>
      </c>
      <c r="C1192" s="28" t="s">
        <v>3763</v>
      </c>
      <c r="D1192" s="25" t="s">
        <v>13</v>
      </c>
      <c r="E1192" s="25" t="s">
        <v>3356</v>
      </c>
      <c r="F1192" s="25" t="s">
        <v>3764</v>
      </c>
      <c r="G1192" s="25">
        <v>500</v>
      </c>
      <c r="H1192" s="25"/>
    </row>
    <row r="1193" spans="1:8" ht="14">
      <c r="A1193" s="28" t="s">
        <v>3765</v>
      </c>
      <c r="B1193" s="26" t="s">
        <v>3173</v>
      </c>
      <c r="C1193" s="28" t="s">
        <v>3765</v>
      </c>
      <c r="D1193" s="25" t="s">
        <v>13</v>
      </c>
      <c r="E1193" s="25" t="s">
        <v>3357</v>
      </c>
      <c r="F1193" s="25" t="s">
        <v>3766</v>
      </c>
      <c r="G1193" s="25">
        <v>500</v>
      </c>
      <c r="H1193" s="25"/>
    </row>
    <row r="1194" spans="1:8" ht="14">
      <c r="A1194" s="28" t="s">
        <v>3767</v>
      </c>
      <c r="B1194" s="26" t="s">
        <v>3173</v>
      </c>
      <c r="C1194" s="28" t="s">
        <v>3767</v>
      </c>
      <c r="D1194" s="25" t="s">
        <v>13</v>
      </c>
      <c r="E1194" s="25" t="s">
        <v>3358</v>
      </c>
      <c r="F1194" s="25" t="s">
        <v>3768</v>
      </c>
      <c r="G1194" s="25">
        <v>500</v>
      </c>
      <c r="H1194" s="25"/>
    </row>
    <row r="1195" spans="1:8" ht="14">
      <c r="A1195" s="28" t="s">
        <v>4371</v>
      </c>
      <c r="B1195" s="26" t="s">
        <v>3173</v>
      </c>
      <c r="C1195" s="28" t="s">
        <v>4371</v>
      </c>
      <c r="D1195" s="25" t="s">
        <v>13</v>
      </c>
      <c r="E1195" s="33" t="s">
        <v>4370</v>
      </c>
      <c r="F1195" s="33" t="s">
        <v>4370</v>
      </c>
      <c r="G1195" s="25">
        <v>500</v>
      </c>
      <c r="H1195" s="25"/>
    </row>
    <row r="1196" spans="1:8" ht="14">
      <c r="A1196" s="25" t="s">
        <v>101</v>
      </c>
      <c r="B1196" s="26" t="s">
        <v>3771</v>
      </c>
      <c r="C1196" s="25" t="s">
        <v>101</v>
      </c>
      <c r="D1196" s="25" t="s">
        <v>13</v>
      </c>
      <c r="E1196" s="25" t="s">
        <v>3774</v>
      </c>
      <c r="F1196" s="25" t="s">
        <v>3775</v>
      </c>
      <c r="G1196" s="25">
        <v>500</v>
      </c>
      <c r="H1196" s="25"/>
    </row>
    <row r="1197" spans="1:8" ht="14">
      <c r="A1197" s="25" t="s">
        <v>3773</v>
      </c>
      <c r="B1197" s="26" t="s">
        <v>3771</v>
      </c>
      <c r="C1197" s="25" t="s">
        <v>3773</v>
      </c>
      <c r="D1197" s="25" t="s">
        <v>13</v>
      </c>
      <c r="E1197" s="25" t="s">
        <v>1877</v>
      </c>
      <c r="F1197" s="25" t="s">
        <v>3776</v>
      </c>
      <c r="G1197" s="25">
        <v>500</v>
      </c>
      <c r="H1197" s="25"/>
    </row>
    <row r="1198" spans="1:8" ht="14">
      <c r="A1198" s="25" t="s">
        <v>3777</v>
      </c>
      <c r="B1198" s="26" t="s">
        <v>51</v>
      </c>
      <c r="C1198" s="25" t="s">
        <v>3777</v>
      </c>
      <c r="D1198" s="25" t="s">
        <v>13</v>
      </c>
      <c r="E1198" s="25" t="s">
        <v>3778</v>
      </c>
      <c r="F1198" s="25" t="s">
        <v>3779</v>
      </c>
      <c r="G1198" s="25">
        <v>500</v>
      </c>
      <c r="H1198" s="25"/>
    </row>
    <row r="1199" spans="1:8" ht="14">
      <c r="A1199" s="25" t="s">
        <v>3841</v>
      </c>
      <c r="B1199" s="26" t="s">
        <v>3872</v>
      </c>
      <c r="C1199" s="25" t="s">
        <v>3841</v>
      </c>
      <c r="D1199" s="25" t="s">
        <v>13</v>
      </c>
      <c r="E1199" s="25" t="s">
        <v>3782</v>
      </c>
      <c r="F1199" s="25" t="s">
        <v>3783</v>
      </c>
      <c r="G1199" s="25">
        <v>500</v>
      </c>
      <c r="H1199" s="25"/>
    </row>
    <row r="1200" spans="1:8" ht="14">
      <c r="A1200" s="25" t="s">
        <v>3842</v>
      </c>
      <c r="B1200" s="26" t="s">
        <v>3872</v>
      </c>
      <c r="C1200" s="25" t="s">
        <v>3842</v>
      </c>
      <c r="D1200" s="25" t="s">
        <v>13</v>
      </c>
      <c r="E1200" s="25" t="s">
        <v>3784</v>
      </c>
      <c r="F1200" s="25" t="s">
        <v>3785</v>
      </c>
      <c r="G1200" s="25">
        <v>500</v>
      </c>
      <c r="H1200" s="25"/>
    </row>
    <row r="1201" spans="1:8" ht="14">
      <c r="A1201" s="25" t="s">
        <v>3843</v>
      </c>
      <c r="B1201" s="26" t="s">
        <v>3872</v>
      </c>
      <c r="C1201" s="25" t="s">
        <v>3843</v>
      </c>
      <c r="D1201" s="25" t="s">
        <v>13</v>
      </c>
      <c r="E1201" s="25" t="s">
        <v>3786</v>
      </c>
      <c r="F1201" s="25" t="s">
        <v>3787</v>
      </c>
      <c r="G1201" s="25">
        <v>500</v>
      </c>
      <c r="H1201" s="25"/>
    </row>
    <row r="1202" spans="1:8" ht="14">
      <c r="A1202" s="25" t="s">
        <v>3851</v>
      </c>
      <c r="B1202" s="26" t="s">
        <v>3872</v>
      </c>
      <c r="C1202" s="25" t="s">
        <v>3851</v>
      </c>
      <c r="D1202" s="25" t="s">
        <v>13</v>
      </c>
      <c r="E1202" s="25" t="s">
        <v>3788</v>
      </c>
      <c r="F1202" s="25" t="s">
        <v>3789</v>
      </c>
      <c r="G1202" s="25">
        <v>500</v>
      </c>
      <c r="H1202" s="25"/>
    </row>
    <row r="1203" spans="1:8" ht="14">
      <c r="A1203" s="25" t="s">
        <v>3844</v>
      </c>
      <c r="B1203" s="26" t="s">
        <v>3872</v>
      </c>
      <c r="C1203" s="25" t="s">
        <v>3844</v>
      </c>
      <c r="D1203" s="25" t="s">
        <v>13</v>
      </c>
      <c r="E1203" s="25" t="s">
        <v>3790</v>
      </c>
      <c r="F1203" s="25" t="s">
        <v>3791</v>
      </c>
      <c r="G1203" s="25">
        <v>500</v>
      </c>
      <c r="H1203" s="25"/>
    </row>
    <row r="1204" spans="1:8" ht="14">
      <c r="A1204" s="25" t="s">
        <v>3845</v>
      </c>
      <c r="B1204" s="26" t="s">
        <v>3872</v>
      </c>
      <c r="C1204" s="25" t="s">
        <v>3845</v>
      </c>
      <c r="D1204" s="25" t="s">
        <v>13</v>
      </c>
      <c r="E1204" s="25" t="s">
        <v>3792</v>
      </c>
      <c r="F1204" s="25" t="s">
        <v>3793</v>
      </c>
      <c r="G1204" s="25">
        <v>500</v>
      </c>
      <c r="H1204" s="25"/>
    </row>
    <row r="1205" spans="1:8" ht="14">
      <c r="A1205" s="25" t="s">
        <v>3846</v>
      </c>
      <c r="B1205" s="26" t="s">
        <v>3872</v>
      </c>
      <c r="C1205" s="25" t="s">
        <v>3846</v>
      </c>
      <c r="D1205" s="25" t="s">
        <v>13</v>
      </c>
      <c r="E1205" s="25" t="s">
        <v>3794</v>
      </c>
      <c r="F1205" s="25" t="s">
        <v>3795</v>
      </c>
      <c r="G1205" s="25">
        <v>500</v>
      </c>
      <c r="H1205" s="25"/>
    </row>
    <row r="1206" spans="1:8" ht="14">
      <c r="A1206" s="25" t="s">
        <v>3847</v>
      </c>
      <c r="B1206" s="26" t="s">
        <v>3872</v>
      </c>
      <c r="C1206" s="25" t="s">
        <v>3847</v>
      </c>
      <c r="D1206" s="25" t="s">
        <v>13</v>
      </c>
      <c r="E1206" s="25" t="s">
        <v>3796</v>
      </c>
      <c r="F1206" s="25" t="s">
        <v>3797</v>
      </c>
      <c r="G1206" s="25">
        <v>500</v>
      </c>
      <c r="H1206" s="25"/>
    </row>
    <row r="1207" spans="1:8" ht="14">
      <c r="A1207" s="25" t="s">
        <v>3848</v>
      </c>
      <c r="B1207" s="26" t="s">
        <v>3872</v>
      </c>
      <c r="C1207" s="25" t="s">
        <v>3848</v>
      </c>
      <c r="D1207" s="25" t="s">
        <v>13</v>
      </c>
      <c r="E1207" s="25" t="s">
        <v>3798</v>
      </c>
      <c r="F1207" s="25" t="s">
        <v>3799</v>
      </c>
      <c r="G1207" s="25">
        <v>500</v>
      </c>
      <c r="H1207" s="25"/>
    </row>
    <row r="1208" spans="1:8" ht="14">
      <c r="A1208" s="25" t="s">
        <v>3849</v>
      </c>
      <c r="B1208" s="26" t="s">
        <v>3872</v>
      </c>
      <c r="C1208" s="25" t="s">
        <v>3849</v>
      </c>
      <c r="D1208" s="25" t="s">
        <v>13</v>
      </c>
      <c r="E1208" s="25" t="s">
        <v>3800</v>
      </c>
      <c r="F1208" s="25" t="s">
        <v>3801</v>
      </c>
      <c r="G1208" s="25">
        <v>500</v>
      </c>
      <c r="H1208" s="25"/>
    </row>
    <row r="1209" spans="1:8" ht="14">
      <c r="A1209" s="25" t="s">
        <v>3850</v>
      </c>
      <c r="B1209" s="26" t="s">
        <v>3872</v>
      </c>
      <c r="C1209" s="25" t="s">
        <v>3850</v>
      </c>
      <c r="D1209" s="25" t="s">
        <v>13</v>
      </c>
      <c r="E1209" s="25" t="s">
        <v>3802</v>
      </c>
      <c r="F1209" s="25" t="s">
        <v>3803</v>
      </c>
      <c r="G1209" s="25">
        <v>500</v>
      </c>
      <c r="H1209" s="25"/>
    </row>
    <row r="1210" spans="1:8" ht="14">
      <c r="A1210" s="25" t="s">
        <v>3852</v>
      </c>
      <c r="B1210" s="26" t="s">
        <v>3872</v>
      </c>
      <c r="C1210" s="25" t="s">
        <v>3852</v>
      </c>
      <c r="D1210" s="25" t="s">
        <v>13</v>
      </c>
      <c r="E1210" s="25" t="s">
        <v>3804</v>
      </c>
      <c r="F1210" s="25" t="s">
        <v>3805</v>
      </c>
      <c r="G1210" s="25">
        <v>500</v>
      </c>
      <c r="H1210" s="25"/>
    </row>
    <row r="1211" spans="1:8" ht="14">
      <c r="A1211" s="25" t="s">
        <v>3853</v>
      </c>
      <c r="B1211" s="26" t="s">
        <v>3872</v>
      </c>
      <c r="C1211" s="25" t="s">
        <v>3853</v>
      </c>
      <c r="D1211" s="25" t="s">
        <v>13</v>
      </c>
      <c r="E1211" s="25" t="s">
        <v>3806</v>
      </c>
      <c r="F1211" s="25" t="s">
        <v>3807</v>
      </c>
      <c r="G1211" s="25">
        <v>500</v>
      </c>
      <c r="H1211" s="25"/>
    </row>
    <row r="1212" spans="1:8" ht="14">
      <c r="A1212" s="25" t="s">
        <v>3854</v>
      </c>
      <c r="B1212" s="26" t="s">
        <v>3872</v>
      </c>
      <c r="C1212" s="25" t="s">
        <v>3854</v>
      </c>
      <c r="D1212" s="25" t="s">
        <v>13</v>
      </c>
      <c r="E1212" s="25" t="s">
        <v>3808</v>
      </c>
      <c r="F1212" s="25" t="s">
        <v>3809</v>
      </c>
      <c r="G1212" s="25">
        <v>500</v>
      </c>
      <c r="H1212" s="25"/>
    </row>
    <row r="1213" spans="1:8" ht="14">
      <c r="A1213" s="25" t="s">
        <v>3855</v>
      </c>
      <c r="B1213" s="26" t="s">
        <v>3872</v>
      </c>
      <c r="C1213" s="25" t="s">
        <v>3855</v>
      </c>
      <c r="D1213" s="25" t="s">
        <v>13</v>
      </c>
      <c r="E1213" s="25" t="s">
        <v>3810</v>
      </c>
      <c r="F1213" s="25" t="s">
        <v>3811</v>
      </c>
      <c r="G1213" s="25">
        <v>500</v>
      </c>
      <c r="H1213" s="25"/>
    </row>
    <row r="1214" spans="1:8" ht="14">
      <c r="A1214" s="25" t="s">
        <v>3856</v>
      </c>
      <c r="B1214" s="26" t="s">
        <v>3872</v>
      </c>
      <c r="C1214" s="25" t="s">
        <v>3856</v>
      </c>
      <c r="D1214" s="25" t="s">
        <v>13</v>
      </c>
      <c r="E1214" s="25" t="s">
        <v>3812</v>
      </c>
      <c r="F1214" s="25" t="s">
        <v>3813</v>
      </c>
      <c r="G1214" s="25">
        <v>500</v>
      </c>
      <c r="H1214" s="25"/>
    </row>
    <row r="1215" spans="1:8" ht="14">
      <c r="A1215" s="25" t="s">
        <v>3857</v>
      </c>
      <c r="B1215" s="26" t="s">
        <v>3872</v>
      </c>
      <c r="C1215" s="25" t="s">
        <v>3857</v>
      </c>
      <c r="D1215" s="25" t="s">
        <v>13</v>
      </c>
      <c r="E1215" s="25" t="s">
        <v>3814</v>
      </c>
      <c r="F1215" s="25" t="s">
        <v>3815</v>
      </c>
      <c r="G1215" s="25">
        <v>500</v>
      </c>
      <c r="H1215" s="25"/>
    </row>
    <row r="1216" spans="1:8" ht="14">
      <c r="A1216" s="25" t="s">
        <v>3858</v>
      </c>
      <c r="B1216" s="26" t="s">
        <v>3872</v>
      </c>
      <c r="C1216" s="25" t="s">
        <v>3858</v>
      </c>
      <c r="D1216" s="25" t="s">
        <v>13</v>
      </c>
      <c r="E1216" s="25" t="s">
        <v>3816</v>
      </c>
      <c r="F1216" s="25" t="s">
        <v>3817</v>
      </c>
      <c r="G1216" s="25">
        <v>500</v>
      </c>
      <c r="H1216" s="25"/>
    </row>
    <row r="1217" spans="1:8" ht="14">
      <c r="A1217" s="25" t="s">
        <v>3859</v>
      </c>
      <c r="B1217" s="26" t="s">
        <v>3872</v>
      </c>
      <c r="C1217" s="25" t="s">
        <v>3859</v>
      </c>
      <c r="D1217" s="25" t="s">
        <v>13</v>
      </c>
      <c r="E1217" s="25" t="s">
        <v>3818</v>
      </c>
      <c r="F1217" s="25" t="s">
        <v>3819</v>
      </c>
      <c r="G1217" s="25">
        <v>500</v>
      </c>
      <c r="H1217" s="25"/>
    </row>
    <row r="1218" spans="1:8" ht="14">
      <c r="A1218" s="25" t="s">
        <v>3860</v>
      </c>
      <c r="B1218" s="26" t="s">
        <v>3872</v>
      </c>
      <c r="C1218" s="25" t="s">
        <v>3860</v>
      </c>
      <c r="D1218" s="25" t="s">
        <v>13</v>
      </c>
      <c r="E1218" s="25" t="s">
        <v>3820</v>
      </c>
      <c r="F1218" s="25" t="s">
        <v>3821</v>
      </c>
      <c r="G1218" s="25">
        <v>500</v>
      </c>
      <c r="H1218" s="25"/>
    </row>
    <row r="1219" spans="1:8" ht="14">
      <c r="A1219" s="25" t="s">
        <v>3861</v>
      </c>
      <c r="B1219" s="26" t="s">
        <v>3872</v>
      </c>
      <c r="C1219" s="25" t="s">
        <v>3861</v>
      </c>
      <c r="D1219" s="25" t="s">
        <v>13</v>
      </c>
      <c r="E1219" s="25" t="s">
        <v>3822</v>
      </c>
      <c r="F1219" s="25" t="s">
        <v>3823</v>
      </c>
      <c r="G1219" s="25">
        <v>500</v>
      </c>
      <c r="H1219" s="25"/>
    </row>
    <row r="1220" spans="1:8" ht="14">
      <c r="A1220" s="25" t="s">
        <v>3862</v>
      </c>
      <c r="B1220" s="26" t="s">
        <v>3872</v>
      </c>
      <c r="C1220" s="25" t="s">
        <v>3862</v>
      </c>
      <c r="D1220" s="25" t="s">
        <v>13</v>
      </c>
      <c r="E1220" s="25" t="s">
        <v>3824</v>
      </c>
      <c r="F1220" s="25" t="s">
        <v>3825</v>
      </c>
      <c r="G1220" s="25">
        <v>500</v>
      </c>
      <c r="H1220" s="25"/>
    </row>
    <row r="1221" spans="1:8" ht="14">
      <c r="A1221" s="25" t="s">
        <v>3863</v>
      </c>
      <c r="B1221" s="26" t="s">
        <v>3872</v>
      </c>
      <c r="C1221" s="25" t="s">
        <v>3863</v>
      </c>
      <c r="D1221" s="25" t="s">
        <v>13</v>
      </c>
      <c r="E1221" s="25" t="s">
        <v>3826</v>
      </c>
      <c r="F1221" s="25" t="s">
        <v>3827</v>
      </c>
      <c r="G1221" s="25">
        <v>500</v>
      </c>
      <c r="H1221" s="25"/>
    </row>
    <row r="1222" spans="1:8" ht="14">
      <c r="A1222" s="25" t="s">
        <v>3864</v>
      </c>
      <c r="B1222" s="26" t="s">
        <v>3872</v>
      </c>
      <c r="C1222" s="25" t="s">
        <v>3864</v>
      </c>
      <c r="D1222" s="25" t="s">
        <v>13</v>
      </c>
      <c r="E1222" s="25" t="s">
        <v>3828</v>
      </c>
      <c r="F1222" s="25" t="s">
        <v>3829</v>
      </c>
      <c r="G1222" s="25">
        <v>500</v>
      </c>
      <c r="H1222" s="25"/>
    </row>
    <row r="1223" spans="1:8" ht="14">
      <c r="A1223" s="25" t="s">
        <v>3865</v>
      </c>
      <c r="B1223" s="26" t="s">
        <v>3872</v>
      </c>
      <c r="C1223" s="25" t="s">
        <v>3865</v>
      </c>
      <c r="D1223" s="25" t="s">
        <v>13</v>
      </c>
      <c r="E1223" s="25" t="s">
        <v>3830</v>
      </c>
      <c r="F1223" s="25" t="s">
        <v>3831</v>
      </c>
      <c r="G1223" s="25">
        <v>500</v>
      </c>
      <c r="H1223" s="25"/>
    </row>
    <row r="1224" spans="1:8" ht="14">
      <c r="A1224" s="25" t="s">
        <v>3866</v>
      </c>
      <c r="B1224" s="26" t="s">
        <v>3872</v>
      </c>
      <c r="C1224" s="25" t="s">
        <v>3866</v>
      </c>
      <c r="D1224" s="25" t="s">
        <v>13</v>
      </c>
      <c r="E1224" s="25" t="s">
        <v>3832</v>
      </c>
      <c r="F1224" s="25" t="s">
        <v>3833</v>
      </c>
      <c r="G1224" s="25">
        <v>500</v>
      </c>
      <c r="H1224" s="25"/>
    </row>
    <row r="1225" spans="1:8" ht="14">
      <c r="A1225" s="25" t="s">
        <v>3867</v>
      </c>
      <c r="B1225" s="26" t="s">
        <v>3872</v>
      </c>
      <c r="C1225" s="25" t="s">
        <v>3867</v>
      </c>
      <c r="D1225" s="25" t="s">
        <v>13</v>
      </c>
      <c r="E1225" s="25" t="s">
        <v>3834</v>
      </c>
      <c r="F1225" s="25" t="s">
        <v>3835</v>
      </c>
      <c r="G1225" s="25">
        <v>500</v>
      </c>
      <c r="H1225" s="25"/>
    </row>
    <row r="1226" spans="1:8" ht="14">
      <c r="A1226" s="25" t="s">
        <v>3868</v>
      </c>
      <c r="B1226" s="26" t="s">
        <v>3872</v>
      </c>
      <c r="C1226" s="25" t="s">
        <v>3868</v>
      </c>
      <c r="D1226" s="25" t="s">
        <v>13</v>
      </c>
      <c r="E1226" s="25" t="s">
        <v>3869</v>
      </c>
      <c r="F1226" s="25" t="s">
        <v>3836</v>
      </c>
      <c r="G1226" s="25">
        <v>500</v>
      </c>
      <c r="H1226" s="25"/>
    </row>
    <row r="1227" spans="1:8" ht="14">
      <c r="A1227" s="25" t="s">
        <v>3870</v>
      </c>
      <c r="B1227" s="26" t="s">
        <v>3872</v>
      </c>
      <c r="C1227" s="25" t="s">
        <v>3870</v>
      </c>
      <c r="D1227" s="25" t="s">
        <v>13</v>
      </c>
      <c r="E1227" s="25" t="s">
        <v>3837</v>
      </c>
      <c r="F1227" s="25" t="s">
        <v>3838</v>
      </c>
      <c r="G1227" s="25">
        <v>500</v>
      </c>
      <c r="H1227" s="25"/>
    </row>
    <row r="1228" spans="1:8" ht="14">
      <c r="A1228" s="25" t="s">
        <v>3871</v>
      </c>
      <c r="B1228" s="26" t="s">
        <v>3872</v>
      </c>
      <c r="C1228" s="25" t="s">
        <v>3871</v>
      </c>
      <c r="D1228" s="25" t="s">
        <v>13</v>
      </c>
      <c r="E1228" s="25" t="s">
        <v>3839</v>
      </c>
      <c r="F1228" s="25" t="s">
        <v>3840</v>
      </c>
      <c r="G1228" s="25">
        <v>500</v>
      </c>
      <c r="H1228" s="25"/>
    </row>
    <row r="1229" spans="1:8" ht="14">
      <c r="A1229" s="25" t="s">
        <v>3882</v>
      </c>
      <c r="B1229" s="26" t="s">
        <v>3880</v>
      </c>
      <c r="C1229" s="25" t="s">
        <v>3882</v>
      </c>
      <c r="D1229" s="25" t="s">
        <v>3882</v>
      </c>
      <c r="E1229" s="25" t="s">
        <v>3883</v>
      </c>
      <c r="F1229" s="25" t="s">
        <v>3884</v>
      </c>
      <c r="G1229" s="25">
        <v>500</v>
      </c>
      <c r="H1229" s="25"/>
    </row>
    <row r="1230" spans="1:8" ht="14">
      <c r="A1230" s="25" t="s">
        <v>3885</v>
      </c>
      <c r="B1230" s="26" t="s">
        <v>3880</v>
      </c>
      <c r="C1230" s="25" t="s">
        <v>3885</v>
      </c>
      <c r="D1230" s="25" t="s">
        <v>3886</v>
      </c>
      <c r="E1230" s="25" t="s">
        <v>3887</v>
      </c>
      <c r="F1230" s="25" t="s">
        <v>3888</v>
      </c>
      <c r="G1230" s="25">
        <v>500</v>
      </c>
      <c r="H1230" s="25"/>
    </row>
    <row r="1231" spans="1:8" ht="14">
      <c r="A1231" s="25" t="s">
        <v>3889</v>
      </c>
      <c r="B1231" s="26" t="s">
        <v>3880</v>
      </c>
      <c r="C1231" s="25" t="s">
        <v>3889</v>
      </c>
      <c r="D1231" s="25" t="s">
        <v>3889</v>
      </c>
      <c r="E1231" s="25" t="s">
        <v>3890</v>
      </c>
      <c r="F1231" s="25" t="s">
        <v>3891</v>
      </c>
      <c r="G1231" s="25">
        <v>500</v>
      </c>
      <c r="H1231" s="25"/>
    </row>
    <row r="1232" spans="1:8" ht="14">
      <c r="A1232" s="28" t="s">
        <v>4037</v>
      </c>
      <c r="B1232" s="34" t="s">
        <v>3990</v>
      </c>
      <c r="C1232" s="28" t="s">
        <v>4037</v>
      </c>
      <c r="D1232" s="25" t="s">
        <v>13</v>
      </c>
      <c r="E1232" s="28" t="s">
        <v>3902</v>
      </c>
      <c r="F1232" s="28" t="s">
        <v>3903</v>
      </c>
      <c r="G1232" s="28">
        <v>500</v>
      </c>
      <c r="H1232" s="25"/>
    </row>
    <row r="1233" spans="1:1008" ht="14">
      <c r="A1233" s="28" t="s">
        <v>4038</v>
      </c>
      <c r="B1233" s="34" t="s">
        <v>3990</v>
      </c>
      <c r="C1233" s="28" t="s">
        <v>4038</v>
      </c>
      <c r="D1233" s="25" t="s">
        <v>13</v>
      </c>
      <c r="E1233" s="28" t="s">
        <v>3904</v>
      </c>
      <c r="F1233" s="28" t="s">
        <v>3905</v>
      </c>
      <c r="G1233" s="28">
        <v>500</v>
      </c>
      <c r="H1233" s="25"/>
    </row>
    <row r="1234" spans="1:1008" ht="14">
      <c r="A1234" s="28" t="s">
        <v>4039</v>
      </c>
      <c r="B1234" s="34" t="s">
        <v>3990</v>
      </c>
      <c r="C1234" s="28" t="s">
        <v>4039</v>
      </c>
      <c r="D1234" s="25" t="s">
        <v>13</v>
      </c>
      <c r="E1234" s="28" t="s">
        <v>4040</v>
      </c>
      <c r="F1234" s="28" t="s">
        <v>3906</v>
      </c>
      <c r="G1234" s="28">
        <v>500</v>
      </c>
      <c r="H1234" s="25"/>
    </row>
    <row r="1235" spans="1:1008" ht="14">
      <c r="A1235" s="28" t="s">
        <v>3907</v>
      </c>
      <c r="B1235" s="26" t="s">
        <v>3990</v>
      </c>
      <c r="C1235" s="28" t="s">
        <v>3907</v>
      </c>
      <c r="D1235" s="25" t="s">
        <v>13</v>
      </c>
      <c r="E1235" s="28" t="s">
        <v>3907</v>
      </c>
      <c r="F1235" s="28" t="s">
        <v>3908</v>
      </c>
      <c r="G1235" s="28">
        <v>500</v>
      </c>
      <c r="H1235" s="25"/>
    </row>
    <row r="1236" spans="1:1008" ht="14">
      <c r="A1236" s="28" t="s">
        <v>4029</v>
      </c>
      <c r="B1236" s="26" t="s">
        <v>3990</v>
      </c>
      <c r="C1236" s="28" t="s">
        <v>3909</v>
      </c>
      <c r="D1236" s="25" t="s">
        <v>13</v>
      </c>
      <c r="E1236" s="28" t="s">
        <v>3909</v>
      </c>
      <c r="F1236" s="28" t="s">
        <v>3910</v>
      </c>
      <c r="G1236" s="28">
        <v>600</v>
      </c>
      <c r="H1236" s="25"/>
    </row>
    <row r="1237" spans="1:1008" ht="14">
      <c r="A1237" s="28" t="s">
        <v>4028</v>
      </c>
      <c r="B1237" s="26" t="s">
        <v>3990</v>
      </c>
      <c r="C1237" s="28" t="s">
        <v>3911</v>
      </c>
      <c r="D1237" s="25" t="s">
        <v>13</v>
      </c>
      <c r="E1237" s="28" t="s">
        <v>3911</v>
      </c>
      <c r="F1237" s="28" t="s">
        <v>3912</v>
      </c>
      <c r="G1237" s="28">
        <v>450</v>
      </c>
      <c r="H1237" s="25"/>
    </row>
    <row r="1238" spans="1:1008" ht="14">
      <c r="A1238" s="28" t="s">
        <v>4030</v>
      </c>
      <c r="B1238" s="26" t="s">
        <v>3991</v>
      </c>
      <c r="C1238" s="28" t="s">
        <v>4030</v>
      </c>
      <c r="D1238" s="25" t="s">
        <v>13</v>
      </c>
      <c r="E1238" s="28" t="s">
        <v>3914</v>
      </c>
      <c r="F1238" s="28" t="s">
        <v>3915</v>
      </c>
      <c r="G1238" s="28">
        <v>500</v>
      </c>
      <c r="H1238" s="25"/>
    </row>
    <row r="1239" spans="1:1008" ht="14">
      <c r="A1239" s="28" t="s">
        <v>4031</v>
      </c>
      <c r="B1239" s="26" t="s">
        <v>3991</v>
      </c>
      <c r="C1239" s="28" t="s">
        <v>4031</v>
      </c>
      <c r="D1239" s="25" t="s">
        <v>13</v>
      </c>
      <c r="E1239" s="28" t="s">
        <v>3916</v>
      </c>
      <c r="F1239" s="28" t="s">
        <v>3917</v>
      </c>
      <c r="G1239" s="28">
        <v>550</v>
      </c>
      <c r="H1239" s="25"/>
    </row>
    <row r="1240" spans="1:1008" ht="14">
      <c r="A1240" s="28" t="s">
        <v>4032</v>
      </c>
      <c r="B1240" s="26" t="s">
        <v>3991</v>
      </c>
      <c r="C1240" s="28" t="s">
        <v>4032</v>
      </c>
      <c r="D1240" s="25" t="s">
        <v>13</v>
      </c>
      <c r="E1240" s="28" t="s">
        <v>3918</v>
      </c>
      <c r="F1240" s="28" t="s">
        <v>3919</v>
      </c>
      <c r="G1240" s="28">
        <v>500</v>
      </c>
      <c r="H1240" s="25"/>
    </row>
    <row r="1241" spans="1:1008" ht="14">
      <c r="A1241" s="28" t="s">
        <v>3921</v>
      </c>
      <c r="B1241" s="26" t="s">
        <v>3992</v>
      </c>
      <c r="C1241" s="28" t="s">
        <v>3921</v>
      </c>
      <c r="D1241" s="25" t="s">
        <v>13</v>
      </c>
      <c r="E1241" s="28" t="s">
        <v>3921</v>
      </c>
      <c r="F1241" s="28" t="s">
        <v>3922</v>
      </c>
      <c r="G1241" s="28">
        <v>550</v>
      </c>
      <c r="H1241" s="28"/>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c r="AT1241"/>
      <c r="AU1241"/>
      <c r="AV1241"/>
      <c r="AW1241"/>
      <c r="AX1241"/>
      <c r="AY1241"/>
      <c r="AZ1241"/>
      <c r="BA1241"/>
      <c r="BB1241"/>
      <c r="BC1241"/>
      <c r="BD1241"/>
      <c r="BE1241"/>
      <c r="BF1241"/>
      <c r="BG1241"/>
      <c r="BH1241"/>
      <c r="BI1241"/>
      <c r="BJ1241"/>
      <c r="BK1241"/>
      <c r="BL1241"/>
      <c r="BM1241"/>
      <c r="BN1241"/>
      <c r="BO1241"/>
      <c r="BP1241"/>
      <c r="BQ1241"/>
      <c r="BR1241"/>
      <c r="BS1241"/>
      <c r="BT1241"/>
      <c r="BU1241"/>
      <c r="BV1241"/>
      <c r="BW1241"/>
      <c r="BX1241"/>
      <c r="BY1241"/>
      <c r="BZ1241"/>
      <c r="CA1241"/>
      <c r="CB1241"/>
      <c r="CC1241"/>
      <c r="CD1241"/>
      <c r="CE1241"/>
      <c r="CF1241"/>
      <c r="CG1241"/>
      <c r="CH1241"/>
      <c r="CI1241"/>
      <c r="CJ1241"/>
      <c r="CK1241"/>
      <c r="CL1241"/>
      <c r="CM1241"/>
      <c r="CN1241"/>
      <c r="CO1241"/>
      <c r="CP1241"/>
      <c r="CQ1241"/>
      <c r="CR1241"/>
      <c r="CS1241"/>
      <c r="CT1241"/>
      <c r="CU1241"/>
      <c r="CV1241"/>
      <c r="CW1241"/>
      <c r="CX1241"/>
      <c r="CY1241"/>
      <c r="CZ1241"/>
      <c r="DA1241"/>
      <c r="DB1241"/>
      <c r="DC1241"/>
      <c r="DD1241"/>
      <c r="DE1241"/>
      <c r="DF1241"/>
      <c r="DG1241"/>
      <c r="DH1241"/>
      <c r="DI1241"/>
      <c r="DJ1241"/>
      <c r="DK1241"/>
      <c r="DL1241"/>
      <c r="DM1241"/>
      <c r="DN1241"/>
      <c r="DO1241"/>
      <c r="DP1241"/>
      <c r="DQ1241"/>
      <c r="DR1241"/>
      <c r="DS1241"/>
      <c r="DT1241"/>
      <c r="DU1241"/>
      <c r="DV1241"/>
      <c r="DW1241"/>
      <c r="DX1241"/>
      <c r="DY1241"/>
      <c r="DZ1241"/>
      <c r="EA1241"/>
      <c r="EB1241"/>
      <c r="EC1241"/>
      <c r="ED1241"/>
      <c r="EE1241"/>
      <c r="EF1241"/>
      <c r="EG1241"/>
      <c r="EH1241"/>
      <c r="EI1241"/>
      <c r="EJ1241"/>
      <c r="EK1241"/>
      <c r="EL1241"/>
      <c r="EM1241"/>
      <c r="EN1241"/>
      <c r="EO1241"/>
      <c r="EP1241"/>
      <c r="EQ1241"/>
      <c r="ER1241"/>
      <c r="ES1241"/>
      <c r="ET1241"/>
      <c r="EU1241"/>
      <c r="EV1241"/>
      <c r="EW1241"/>
      <c r="EX1241"/>
      <c r="EY1241"/>
      <c r="EZ1241"/>
      <c r="FA1241"/>
      <c r="FB1241"/>
      <c r="FC1241"/>
      <c r="FD1241"/>
      <c r="FE1241"/>
      <c r="FF1241"/>
      <c r="FG1241"/>
      <c r="FH1241"/>
      <c r="FI1241"/>
      <c r="FJ1241"/>
      <c r="FK1241"/>
      <c r="FL1241"/>
      <c r="FM1241"/>
      <c r="FN1241"/>
      <c r="FO1241"/>
      <c r="FP1241"/>
      <c r="FQ1241"/>
      <c r="FR1241"/>
      <c r="FS1241"/>
      <c r="FT1241"/>
      <c r="FU1241"/>
      <c r="FV1241"/>
      <c r="FW1241"/>
      <c r="FX1241"/>
      <c r="FY1241"/>
      <c r="FZ1241"/>
      <c r="GA1241"/>
      <c r="GB1241"/>
      <c r="GC1241"/>
      <c r="GD1241"/>
      <c r="GE1241"/>
      <c r="GF1241"/>
      <c r="GG1241"/>
      <c r="GH1241"/>
      <c r="GI1241"/>
      <c r="GJ1241"/>
      <c r="GK1241"/>
      <c r="GL1241"/>
      <c r="GM1241"/>
      <c r="GN1241"/>
      <c r="GO1241"/>
      <c r="GP1241"/>
      <c r="GQ1241"/>
      <c r="GR1241"/>
      <c r="GS1241"/>
      <c r="GT1241"/>
      <c r="GU1241"/>
      <c r="GV1241"/>
      <c r="GW1241"/>
      <c r="GX1241"/>
      <c r="GY1241"/>
      <c r="GZ1241"/>
      <c r="HA1241"/>
      <c r="HB1241"/>
      <c r="HC1241"/>
      <c r="HD1241"/>
      <c r="HE1241"/>
      <c r="HF1241"/>
      <c r="HG1241"/>
      <c r="HH1241"/>
      <c r="HI1241"/>
      <c r="HJ1241"/>
      <c r="HK1241"/>
      <c r="HL1241"/>
      <c r="HM1241"/>
      <c r="HN1241"/>
      <c r="HO1241"/>
      <c r="HP1241"/>
      <c r="HQ1241"/>
      <c r="HR1241"/>
      <c r="HS1241"/>
      <c r="HT1241"/>
      <c r="HU1241"/>
      <c r="HV1241"/>
      <c r="HW1241"/>
      <c r="HX1241"/>
      <c r="HY1241"/>
      <c r="HZ1241"/>
      <c r="IA1241"/>
      <c r="IB1241"/>
      <c r="IC1241"/>
      <c r="ID1241"/>
      <c r="IE1241"/>
      <c r="IF1241"/>
      <c r="IG1241"/>
      <c r="IH1241"/>
      <c r="II1241"/>
      <c r="IJ1241"/>
      <c r="IK1241"/>
      <c r="IL1241"/>
      <c r="IM1241"/>
      <c r="IN1241"/>
      <c r="IO1241"/>
      <c r="IP1241"/>
      <c r="IQ1241"/>
      <c r="IR1241"/>
      <c r="IS1241"/>
      <c r="IT1241"/>
      <c r="IU1241"/>
      <c r="IV1241"/>
      <c r="IW1241"/>
      <c r="IX1241"/>
      <c r="IY1241"/>
      <c r="IZ1241"/>
      <c r="JA1241"/>
      <c r="JB1241"/>
      <c r="JC1241"/>
      <c r="JD1241"/>
      <c r="JE1241"/>
      <c r="JF1241"/>
      <c r="JG1241"/>
      <c r="JH1241"/>
      <c r="JI1241"/>
      <c r="JJ1241"/>
      <c r="JK1241"/>
      <c r="JL1241"/>
      <c r="JM1241"/>
      <c r="JN1241"/>
      <c r="JO1241"/>
      <c r="JP1241"/>
      <c r="JQ1241"/>
      <c r="JR1241"/>
      <c r="JS1241"/>
      <c r="JT1241"/>
      <c r="JU1241"/>
      <c r="JV1241"/>
      <c r="JW1241"/>
      <c r="JX1241"/>
      <c r="JY1241"/>
      <c r="JZ1241"/>
      <c r="KA1241"/>
      <c r="KB1241"/>
      <c r="KC1241"/>
      <c r="KD1241"/>
      <c r="KE1241"/>
      <c r="KF1241"/>
      <c r="KG1241"/>
      <c r="KH1241"/>
      <c r="KI1241"/>
      <c r="KJ1241"/>
      <c r="KK1241"/>
      <c r="KL1241"/>
      <c r="KM1241"/>
      <c r="KN1241"/>
      <c r="KO1241"/>
      <c r="KP1241"/>
      <c r="KQ1241"/>
      <c r="KR1241"/>
      <c r="KS1241"/>
      <c r="KT1241"/>
      <c r="KU1241"/>
      <c r="KV1241"/>
      <c r="KW1241"/>
      <c r="KX1241"/>
      <c r="KY1241"/>
      <c r="KZ1241"/>
      <c r="LA1241"/>
      <c r="LB1241"/>
      <c r="LC1241"/>
      <c r="LD1241"/>
      <c r="LE1241"/>
      <c r="LF1241"/>
      <c r="LG1241"/>
      <c r="LH1241"/>
      <c r="LI1241"/>
      <c r="LJ1241"/>
      <c r="LK1241"/>
      <c r="LL1241"/>
      <c r="LM1241"/>
      <c r="LN1241"/>
      <c r="LO1241"/>
      <c r="LP1241"/>
      <c r="LQ1241"/>
      <c r="LR1241"/>
      <c r="LS1241"/>
      <c r="LT1241"/>
      <c r="LU1241"/>
      <c r="LV1241"/>
      <c r="LW1241"/>
      <c r="LX1241"/>
      <c r="LY1241"/>
      <c r="LZ1241"/>
      <c r="MA1241"/>
      <c r="MB1241"/>
      <c r="MC1241"/>
      <c r="MD1241"/>
      <c r="ME1241"/>
      <c r="MF1241"/>
      <c r="MG1241"/>
      <c r="MH1241"/>
      <c r="MI1241"/>
      <c r="MJ1241"/>
      <c r="MK1241"/>
      <c r="ML1241"/>
      <c r="MM1241"/>
      <c r="MN1241"/>
      <c r="MO1241"/>
      <c r="MP1241"/>
      <c r="MQ1241"/>
      <c r="MR1241"/>
      <c r="MS1241"/>
      <c r="MT1241"/>
      <c r="MU1241"/>
      <c r="MV1241"/>
      <c r="MW1241"/>
      <c r="MX1241"/>
      <c r="MY1241"/>
      <c r="MZ1241"/>
      <c r="NA1241"/>
      <c r="NB1241"/>
      <c r="NC1241"/>
      <c r="ND1241"/>
      <c r="NE1241"/>
      <c r="NF1241"/>
      <c r="NG1241"/>
      <c r="NH1241"/>
      <c r="NI1241"/>
      <c r="NJ1241"/>
      <c r="NK1241"/>
      <c r="NL1241"/>
      <c r="NM1241"/>
      <c r="NN1241"/>
      <c r="NO1241"/>
      <c r="NP1241"/>
      <c r="NQ1241"/>
      <c r="NR1241"/>
      <c r="NS1241"/>
      <c r="NT1241"/>
      <c r="NU1241"/>
      <c r="NV1241"/>
      <c r="NW1241"/>
      <c r="NX1241"/>
      <c r="NY1241"/>
      <c r="NZ1241"/>
      <c r="OA1241"/>
      <c r="OB1241"/>
      <c r="OC1241"/>
      <c r="OD1241"/>
      <c r="OE1241"/>
      <c r="OF1241"/>
      <c r="OG1241"/>
      <c r="OH1241"/>
      <c r="OI1241"/>
      <c r="OJ1241"/>
      <c r="OK1241"/>
      <c r="OL1241"/>
      <c r="OM1241"/>
      <c r="ON1241"/>
      <c r="OO1241"/>
      <c r="OP1241"/>
      <c r="OQ1241"/>
      <c r="OR1241"/>
      <c r="OS1241"/>
      <c r="OT1241"/>
      <c r="OU1241"/>
      <c r="OV1241"/>
      <c r="OW1241"/>
      <c r="OX1241"/>
      <c r="OY1241"/>
      <c r="OZ1241"/>
      <c r="PA1241"/>
      <c r="PB1241"/>
      <c r="PC1241"/>
      <c r="PD1241"/>
      <c r="PE1241"/>
      <c r="PF1241"/>
      <c r="PG1241"/>
      <c r="PH1241"/>
      <c r="PI1241"/>
      <c r="PJ1241"/>
      <c r="PK1241"/>
      <c r="PL1241"/>
      <c r="PM1241"/>
      <c r="PN1241"/>
      <c r="PO1241"/>
      <c r="PP1241"/>
      <c r="PQ1241"/>
      <c r="PR1241"/>
      <c r="PS1241"/>
      <c r="PT1241"/>
      <c r="PU1241"/>
      <c r="PV1241"/>
      <c r="PW1241"/>
      <c r="PX1241"/>
      <c r="PY1241"/>
      <c r="PZ1241"/>
      <c r="QA1241"/>
      <c r="QB1241"/>
      <c r="QC1241"/>
      <c r="QD1241"/>
      <c r="QE1241"/>
      <c r="QF1241"/>
      <c r="QG1241"/>
      <c r="QH1241"/>
      <c r="QI1241"/>
      <c r="QJ1241"/>
      <c r="QK1241"/>
      <c r="QL1241"/>
      <c r="QM1241"/>
      <c r="QN1241"/>
      <c r="QO1241"/>
      <c r="QP1241"/>
      <c r="QQ1241"/>
      <c r="QR1241"/>
      <c r="QS1241"/>
      <c r="QT1241"/>
      <c r="QU1241"/>
      <c r="QV1241"/>
      <c r="QW1241"/>
      <c r="QX1241"/>
      <c r="QY1241"/>
      <c r="QZ1241"/>
      <c r="RA1241"/>
      <c r="RB1241"/>
      <c r="RC1241"/>
      <c r="RD1241"/>
      <c r="RE1241"/>
      <c r="RF1241"/>
      <c r="RG1241"/>
      <c r="RH1241"/>
      <c r="RI1241"/>
      <c r="RJ1241"/>
      <c r="RK1241"/>
      <c r="RL1241"/>
      <c r="RM1241"/>
      <c r="RN1241"/>
      <c r="RO1241"/>
      <c r="RP1241"/>
      <c r="RQ1241"/>
      <c r="RR1241"/>
      <c r="RS1241"/>
      <c r="RT1241"/>
      <c r="RU1241"/>
      <c r="RV1241"/>
      <c r="RW1241"/>
      <c r="RX1241"/>
      <c r="RY1241"/>
      <c r="RZ1241"/>
      <c r="SA1241"/>
      <c r="SB1241"/>
      <c r="SC1241"/>
      <c r="SD1241"/>
      <c r="SE1241"/>
      <c r="SF1241"/>
      <c r="SG1241"/>
      <c r="SH1241"/>
      <c r="SI1241"/>
      <c r="SJ1241"/>
      <c r="SK1241"/>
      <c r="SL1241"/>
      <c r="SM1241"/>
      <c r="SN1241"/>
      <c r="SO1241"/>
      <c r="SP1241"/>
      <c r="SQ1241"/>
      <c r="SR1241"/>
      <c r="SS1241"/>
      <c r="ST1241"/>
      <c r="SU1241"/>
      <c r="SV1241"/>
      <c r="SW1241"/>
      <c r="SX1241"/>
      <c r="SY1241"/>
      <c r="SZ1241"/>
      <c r="TA1241"/>
      <c r="TB1241"/>
      <c r="TC1241"/>
      <c r="TD1241"/>
      <c r="TE1241"/>
      <c r="TF1241"/>
      <c r="TG1241"/>
      <c r="TH1241"/>
      <c r="TI1241"/>
      <c r="TJ1241"/>
      <c r="TK1241"/>
      <c r="TL1241"/>
      <c r="TM1241"/>
      <c r="TN1241"/>
      <c r="TO1241"/>
      <c r="TP1241"/>
      <c r="TQ1241"/>
      <c r="TR1241"/>
      <c r="TS1241"/>
      <c r="TT1241"/>
      <c r="TU1241"/>
      <c r="TV1241"/>
      <c r="TW1241"/>
      <c r="TX1241"/>
      <c r="TY1241"/>
      <c r="TZ1241"/>
      <c r="UA1241"/>
      <c r="UB1241"/>
      <c r="UC1241"/>
      <c r="UD1241"/>
      <c r="UE1241"/>
      <c r="UF1241"/>
      <c r="UG1241"/>
      <c r="UH1241"/>
      <c r="UI1241"/>
      <c r="UJ1241"/>
      <c r="UK1241"/>
      <c r="UL1241"/>
      <c r="UM1241"/>
      <c r="UN1241"/>
      <c r="UO1241"/>
      <c r="UP1241"/>
      <c r="UQ1241"/>
      <c r="UR1241"/>
      <c r="US1241"/>
      <c r="UT1241"/>
      <c r="UU1241"/>
      <c r="UV1241"/>
      <c r="UW1241"/>
      <c r="UX1241"/>
      <c r="UY1241"/>
      <c r="UZ1241"/>
      <c r="VA1241"/>
      <c r="VB1241"/>
      <c r="VC1241"/>
      <c r="VD1241"/>
      <c r="VE1241"/>
      <c r="VF1241"/>
      <c r="VG1241"/>
      <c r="VH1241"/>
      <c r="VI1241"/>
      <c r="VJ1241"/>
      <c r="VK1241"/>
      <c r="VL1241"/>
      <c r="VM1241"/>
      <c r="VN1241"/>
      <c r="VO1241"/>
      <c r="VP1241"/>
      <c r="VQ1241"/>
      <c r="VR1241"/>
      <c r="VS1241"/>
      <c r="VT1241"/>
      <c r="VU1241"/>
      <c r="VV1241"/>
      <c r="VW1241"/>
      <c r="VX1241"/>
      <c r="VY1241"/>
      <c r="VZ1241"/>
      <c r="WA1241"/>
      <c r="WB1241"/>
      <c r="WC1241"/>
      <c r="WD1241"/>
      <c r="WE1241"/>
      <c r="WF1241"/>
      <c r="WG1241"/>
      <c r="WH1241"/>
      <c r="WI1241"/>
      <c r="WJ1241"/>
      <c r="WK1241"/>
      <c r="WL1241"/>
      <c r="WM1241"/>
      <c r="WN1241"/>
      <c r="WO1241"/>
      <c r="WP1241"/>
      <c r="WQ1241"/>
      <c r="WR1241"/>
      <c r="WS1241"/>
      <c r="WT1241"/>
      <c r="WU1241"/>
      <c r="WV1241"/>
      <c r="WW1241"/>
      <c r="WX1241"/>
      <c r="WY1241"/>
      <c r="WZ1241"/>
      <c r="XA1241"/>
      <c r="XB1241"/>
      <c r="XC1241"/>
      <c r="XD1241"/>
      <c r="XE1241"/>
      <c r="XF1241"/>
      <c r="XG1241"/>
      <c r="XH1241"/>
      <c r="XI1241"/>
      <c r="XJ1241"/>
      <c r="XK1241"/>
      <c r="XL1241"/>
      <c r="XM1241"/>
      <c r="XN1241"/>
      <c r="XO1241"/>
      <c r="XP1241"/>
      <c r="XQ1241"/>
      <c r="XR1241"/>
      <c r="XS1241"/>
      <c r="XT1241"/>
      <c r="XU1241"/>
      <c r="XV1241"/>
      <c r="XW1241"/>
      <c r="XX1241"/>
      <c r="XY1241"/>
      <c r="XZ1241"/>
      <c r="YA1241"/>
      <c r="YB1241"/>
      <c r="YC1241"/>
      <c r="YD1241"/>
      <c r="YE1241"/>
      <c r="YF1241"/>
      <c r="YG1241"/>
      <c r="YH1241"/>
      <c r="YI1241"/>
      <c r="YJ1241"/>
      <c r="YK1241"/>
      <c r="YL1241"/>
      <c r="YM1241"/>
      <c r="YN1241"/>
      <c r="YO1241"/>
      <c r="YP1241"/>
      <c r="YQ1241"/>
      <c r="YR1241"/>
      <c r="YS1241"/>
      <c r="YT1241"/>
      <c r="YU1241"/>
      <c r="YV1241"/>
      <c r="YW1241"/>
      <c r="YX1241"/>
      <c r="YY1241"/>
      <c r="YZ1241"/>
      <c r="ZA1241"/>
      <c r="ZB1241"/>
      <c r="ZC1241"/>
      <c r="ZD1241"/>
      <c r="ZE1241"/>
      <c r="ZF1241"/>
      <c r="ZG1241"/>
      <c r="ZH1241"/>
      <c r="ZI1241"/>
      <c r="ZJ1241"/>
      <c r="ZK1241"/>
      <c r="ZL1241"/>
      <c r="ZM1241"/>
      <c r="ZN1241"/>
      <c r="ZO1241"/>
      <c r="ZP1241"/>
      <c r="ZQ1241"/>
      <c r="ZR1241"/>
      <c r="ZS1241"/>
      <c r="ZT1241"/>
      <c r="ZU1241"/>
      <c r="ZV1241"/>
      <c r="ZW1241"/>
      <c r="ZX1241"/>
      <c r="ZY1241"/>
      <c r="ZZ1241"/>
      <c r="AAA1241"/>
      <c r="AAB1241"/>
      <c r="AAC1241"/>
      <c r="AAD1241"/>
      <c r="AAE1241"/>
      <c r="AAF1241"/>
      <c r="AAG1241"/>
      <c r="AAH1241"/>
      <c r="AAI1241"/>
      <c r="AAJ1241"/>
      <c r="AAK1241"/>
      <c r="AAL1241"/>
      <c r="AAM1241"/>
      <c r="AAN1241"/>
      <c r="AAO1241"/>
      <c r="AAP1241"/>
      <c r="AAQ1241"/>
      <c r="AAR1241"/>
      <c r="AAS1241"/>
      <c r="AAT1241"/>
      <c r="AAU1241"/>
      <c r="AAV1241"/>
      <c r="AAW1241"/>
      <c r="AAX1241"/>
      <c r="AAY1241"/>
      <c r="AAZ1241"/>
      <c r="ABA1241"/>
      <c r="ABB1241"/>
      <c r="ABC1241"/>
      <c r="ABD1241"/>
      <c r="ABE1241"/>
      <c r="ABF1241"/>
      <c r="ABG1241"/>
      <c r="ABH1241"/>
      <c r="ABI1241"/>
      <c r="ABJ1241"/>
      <c r="ABK1241"/>
      <c r="ABL1241"/>
      <c r="ABM1241"/>
      <c r="ABN1241"/>
      <c r="ABO1241"/>
      <c r="ABP1241"/>
      <c r="ABQ1241"/>
      <c r="ABR1241"/>
      <c r="ABS1241"/>
      <c r="ABT1241"/>
      <c r="ABU1241"/>
      <c r="ABV1241"/>
      <c r="ABW1241"/>
      <c r="ABX1241"/>
      <c r="ABY1241"/>
      <c r="ABZ1241"/>
      <c r="ACA1241"/>
      <c r="ACB1241"/>
      <c r="ACC1241"/>
      <c r="ACD1241"/>
      <c r="ACE1241"/>
      <c r="ACF1241"/>
      <c r="ACG1241"/>
      <c r="ACH1241"/>
      <c r="ACI1241"/>
      <c r="ACJ1241"/>
      <c r="ACK1241"/>
      <c r="ACL1241"/>
      <c r="ACM1241"/>
      <c r="ACN1241"/>
      <c r="ACO1241"/>
      <c r="ACP1241"/>
      <c r="ACQ1241"/>
      <c r="ACR1241"/>
      <c r="ACS1241"/>
      <c r="ACT1241"/>
      <c r="ACU1241"/>
      <c r="ACV1241"/>
      <c r="ACW1241"/>
      <c r="ACX1241"/>
      <c r="ACY1241"/>
      <c r="ACZ1241"/>
      <c r="ADA1241"/>
      <c r="ADB1241"/>
      <c r="ADC1241"/>
      <c r="ADD1241"/>
      <c r="ADE1241"/>
      <c r="ADF1241"/>
      <c r="ADG1241"/>
      <c r="ADH1241"/>
      <c r="ADI1241"/>
      <c r="ADJ1241"/>
      <c r="ADK1241"/>
      <c r="ADL1241"/>
      <c r="ADM1241"/>
      <c r="ADN1241"/>
      <c r="ADO1241"/>
      <c r="ADP1241"/>
      <c r="ADQ1241"/>
      <c r="ADR1241"/>
      <c r="ADS1241"/>
      <c r="ADT1241"/>
      <c r="ADU1241"/>
      <c r="ADV1241"/>
      <c r="ADW1241"/>
      <c r="ADX1241"/>
      <c r="ADY1241"/>
      <c r="ADZ1241"/>
      <c r="AEA1241"/>
      <c r="AEB1241"/>
      <c r="AEC1241"/>
      <c r="AED1241"/>
      <c r="AEE1241"/>
      <c r="AEF1241"/>
      <c r="AEG1241"/>
      <c r="AEH1241"/>
      <c r="AEI1241"/>
      <c r="AEJ1241"/>
      <c r="AEK1241"/>
      <c r="AEL1241"/>
      <c r="AEM1241"/>
      <c r="AEN1241"/>
      <c r="AEO1241"/>
      <c r="AEP1241"/>
      <c r="AEQ1241"/>
      <c r="AER1241"/>
      <c r="AES1241"/>
      <c r="AET1241"/>
      <c r="AEU1241"/>
      <c r="AEV1241"/>
      <c r="AEW1241"/>
      <c r="AEX1241"/>
      <c r="AEY1241"/>
      <c r="AEZ1241"/>
      <c r="AFA1241"/>
      <c r="AFB1241"/>
      <c r="AFC1241"/>
      <c r="AFD1241"/>
      <c r="AFE1241"/>
      <c r="AFF1241"/>
      <c r="AFG1241"/>
      <c r="AFH1241"/>
      <c r="AFI1241"/>
      <c r="AFJ1241"/>
      <c r="AFK1241"/>
      <c r="AFL1241"/>
      <c r="AFM1241"/>
      <c r="AFN1241"/>
      <c r="AFO1241"/>
      <c r="AFP1241"/>
      <c r="AFQ1241"/>
      <c r="AFR1241"/>
      <c r="AFS1241"/>
      <c r="AFT1241"/>
      <c r="AFU1241"/>
      <c r="AFV1241"/>
      <c r="AFW1241"/>
      <c r="AFX1241"/>
      <c r="AFY1241"/>
      <c r="AFZ1241"/>
      <c r="AGA1241"/>
      <c r="AGB1241"/>
      <c r="AGC1241"/>
      <c r="AGD1241"/>
      <c r="AGE1241"/>
      <c r="AGF1241"/>
      <c r="AGG1241"/>
      <c r="AGH1241"/>
      <c r="AGI1241"/>
      <c r="AGJ1241"/>
      <c r="AGK1241"/>
      <c r="AGL1241"/>
      <c r="AGM1241"/>
      <c r="AGN1241"/>
      <c r="AGO1241"/>
      <c r="AGP1241"/>
      <c r="AGQ1241"/>
      <c r="AGR1241"/>
      <c r="AGS1241"/>
      <c r="AGT1241"/>
      <c r="AGU1241"/>
      <c r="AGV1241"/>
      <c r="AGW1241"/>
      <c r="AGX1241"/>
      <c r="AGY1241"/>
      <c r="AGZ1241"/>
      <c r="AHA1241"/>
      <c r="AHB1241"/>
      <c r="AHC1241"/>
      <c r="AHD1241"/>
      <c r="AHE1241"/>
      <c r="AHF1241"/>
      <c r="AHG1241"/>
      <c r="AHH1241"/>
      <c r="AHI1241"/>
      <c r="AHJ1241"/>
      <c r="AHK1241"/>
      <c r="AHL1241"/>
      <c r="AHM1241"/>
      <c r="AHN1241"/>
      <c r="AHO1241"/>
      <c r="AHP1241"/>
      <c r="AHQ1241"/>
      <c r="AHR1241"/>
      <c r="AHS1241"/>
      <c r="AHT1241"/>
      <c r="AHU1241"/>
      <c r="AHV1241"/>
      <c r="AHW1241"/>
      <c r="AHX1241"/>
      <c r="AHY1241"/>
      <c r="AHZ1241"/>
      <c r="AIA1241"/>
      <c r="AIB1241"/>
      <c r="AIC1241"/>
      <c r="AID1241"/>
      <c r="AIE1241"/>
      <c r="AIF1241"/>
      <c r="AIG1241"/>
      <c r="AIH1241"/>
      <c r="AII1241"/>
      <c r="AIJ1241"/>
      <c r="AIK1241"/>
      <c r="AIL1241"/>
      <c r="AIM1241"/>
      <c r="AIN1241"/>
      <c r="AIO1241"/>
      <c r="AIP1241"/>
      <c r="AIQ1241"/>
      <c r="AIR1241"/>
      <c r="AIS1241"/>
      <c r="AIT1241"/>
      <c r="AIU1241"/>
      <c r="AIV1241"/>
      <c r="AIW1241"/>
      <c r="AIX1241"/>
      <c r="AIY1241"/>
      <c r="AIZ1241"/>
      <c r="AJA1241"/>
      <c r="AJB1241"/>
      <c r="AJC1241"/>
      <c r="AJD1241"/>
      <c r="AJE1241"/>
      <c r="AJF1241"/>
      <c r="AJG1241"/>
      <c r="AJH1241"/>
      <c r="AJI1241"/>
      <c r="AJJ1241"/>
      <c r="AJK1241"/>
      <c r="AJL1241"/>
      <c r="AJM1241"/>
      <c r="AJN1241"/>
      <c r="AJO1241"/>
      <c r="AJP1241"/>
      <c r="AJQ1241"/>
      <c r="AJR1241"/>
      <c r="AJS1241"/>
      <c r="AJT1241"/>
      <c r="AJU1241"/>
      <c r="AJV1241"/>
      <c r="AJW1241"/>
      <c r="AJX1241"/>
      <c r="AJY1241"/>
      <c r="AJZ1241"/>
      <c r="AKA1241"/>
      <c r="AKB1241"/>
      <c r="AKC1241"/>
      <c r="AKD1241"/>
      <c r="AKE1241"/>
      <c r="AKF1241"/>
      <c r="AKG1241"/>
      <c r="AKH1241"/>
      <c r="AKI1241"/>
      <c r="AKJ1241"/>
      <c r="AKK1241"/>
      <c r="AKL1241"/>
      <c r="AKM1241"/>
      <c r="AKN1241"/>
      <c r="AKO1241"/>
      <c r="AKP1241"/>
      <c r="AKQ1241"/>
      <c r="AKR1241"/>
      <c r="AKS1241"/>
      <c r="AKT1241"/>
      <c r="AKU1241"/>
      <c r="AKV1241"/>
      <c r="AKW1241"/>
      <c r="AKX1241"/>
      <c r="AKY1241"/>
      <c r="AKZ1241"/>
      <c r="ALA1241"/>
      <c r="ALB1241"/>
      <c r="ALC1241"/>
      <c r="ALD1241"/>
      <c r="ALE1241"/>
      <c r="ALF1241"/>
      <c r="ALG1241"/>
      <c r="ALH1241"/>
      <c r="ALI1241"/>
      <c r="ALJ1241"/>
      <c r="ALK1241"/>
      <c r="ALL1241"/>
      <c r="ALM1241"/>
      <c r="ALN1241"/>
      <c r="ALO1241"/>
      <c r="ALP1241"/>
      <c r="ALQ1241"/>
      <c r="ALR1241"/>
      <c r="ALS1241"/>
      <c r="ALT1241"/>
    </row>
    <row r="1242" spans="1:1008" ht="14">
      <c r="A1242" s="28" t="s">
        <v>3923</v>
      </c>
      <c r="B1242" s="26" t="s">
        <v>3992</v>
      </c>
      <c r="C1242" s="28" t="s">
        <v>3923</v>
      </c>
      <c r="D1242" s="25" t="s">
        <v>13</v>
      </c>
      <c r="E1242" s="28" t="s">
        <v>3923</v>
      </c>
      <c r="F1242" s="28" t="s">
        <v>3924</v>
      </c>
      <c r="G1242" s="28">
        <v>500</v>
      </c>
      <c r="H1242" s="28"/>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c r="AT1242"/>
      <c r="AU1242"/>
      <c r="AV1242"/>
      <c r="AW1242"/>
      <c r="AX1242"/>
      <c r="AY1242"/>
      <c r="AZ1242"/>
      <c r="BA1242"/>
      <c r="BB1242"/>
      <c r="BC1242"/>
      <c r="BD1242"/>
      <c r="BE1242"/>
      <c r="BF1242"/>
      <c r="BG1242"/>
      <c r="BH1242"/>
      <c r="BI1242"/>
      <c r="BJ1242"/>
      <c r="BK1242"/>
      <c r="BL1242"/>
      <c r="BM1242"/>
      <c r="BN1242"/>
      <c r="BO1242"/>
      <c r="BP1242"/>
      <c r="BQ1242"/>
      <c r="BR1242"/>
      <c r="BS1242"/>
      <c r="BT1242"/>
      <c r="BU1242"/>
      <c r="BV1242"/>
      <c r="BW1242"/>
      <c r="BX1242"/>
      <c r="BY1242"/>
      <c r="BZ1242"/>
      <c r="CA1242"/>
      <c r="CB1242"/>
      <c r="CC1242"/>
      <c r="CD1242"/>
      <c r="CE1242"/>
      <c r="CF1242"/>
      <c r="CG1242"/>
      <c r="CH1242"/>
      <c r="CI1242"/>
      <c r="CJ1242"/>
      <c r="CK1242"/>
      <c r="CL1242"/>
      <c r="CM1242"/>
      <c r="CN1242"/>
      <c r="CO1242"/>
      <c r="CP1242"/>
      <c r="CQ1242"/>
      <c r="CR1242"/>
      <c r="CS1242"/>
      <c r="CT1242"/>
      <c r="CU1242"/>
      <c r="CV1242"/>
      <c r="CW1242"/>
      <c r="CX1242"/>
      <c r="CY1242"/>
      <c r="CZ1242"/>
      <c r="DA1242"/>
      <c r="DB1242"/>
      <c r="DC1242"/>
      <c r="DD1242"/>
      <c r="DE1242"/>
      <c r="DF1242"/>
      <c r="DG1242"/>
      <c r="DH1242"/>
      <c r="DI1242"/>
      <c r="DJ1242"/>
      <c r="DK1242"/>
      <c r="DL1242"/>
      <c r="DM1242"/>
      <c r="DN1242"/>
      <c r="DO1242"/>
      <c r="DP1242"/>
      <c r="DQ1242"/>
      <c r="DR1242"/>
      <c r="DS1242"/>
      <c r="DT1242"/>
      <c r="DU1242"/>
      <c r="DV1242"/>
      <c r="DW1242"/>
      <c r="DX1242"/>
      <c r="DY1242"/>
      <c r="DZ1242"/>
      <c r="EA1242"/>
      <c r="EB1242"/>
      <c r="EC1242"/>
      <c r="ED1242"/>
      <c r="EE1242"/>
      <c r="EF1242"/>
      <c r="EG1242"/>
      <c r="EH1242"/>
      <c r="EI1242"/>
      <c r="EJ1242"/>
      <c r="EK1242"/>
      <c r="EL1242"/>
      <c r="EM1242"/>
      <c r="EN1242"/>
      <c r="EO1242"/>
      <c r="EP1242"/>
      <c r="EQ1242"/>
      <c r="ER1242"/>
      <c r="ES1242"/>
      <c r="ET1242"/>
      <c r="EU1242"/>
      <c r="EV1242"/>
      <c r="EW1242"/>
      <c r="EX1242"/>
      <c r="EY1242"/>
      <c r="EZ1242"/>
      <c r="FA1242"/>
      <c r="FB1242"/>
      <c r="FC1242"/>
      <c r="FD1242"/>
      <c r="FE1242"/>
      <c r="FF1242"/>
      <c r="FG1242"/>
      <c r="FH1242"/>
      <c r="FI1242"/>
      <c r="FJ1242"/>
      <c r="FK1242"/>
      <c r="FL1242"/>
      <c r="FM1242"/>
      <c r="FN1242"/>
      <c r="FO1242"/>
      <c r="FP1242"/>
      <c r="FQ1242"/>
      <c r="FR1242"/>
      <c r="FS1242"/>
      <c r="FT1242"/>
      <c r="FU1242"/>
      <c r="FV1242"/>
      <c r="FW1242"/>
      <c r="FX1242"/>
      <c r="FY1242"/>
      <c r="FZ1242"/>
      <c r="GA1242"/>
      <c r="GB1242"/>
      <c r="GC1242"/>
      <c r="GD1242"/>
      <c r="GE1242"/>
      <c r="GF1242"/>
      <c r="GG1242"/>
      <c r="GH1242"/>
      <c r="GI1242"/>
      <c r="GJ1242"/>
      <c r="GK1242"/>
      <c r="GL1242"/>
      <c r="GM1242"/>
      <c r="GN1242"/>
      <c r="GO1242"/>
      <c r="GP1242"/>
      <c r="GQ1242"/>
      <c r="GR1242"/>
      <c r="GS1242"/>
      <c r="GT1242"/>
      <c r="GU1242"/>
      <c r="GV1242"/>
      <c r="GW1242"/>
      <c r="GX1242"/>
      <c r="GY1242"/>
      <c r="GZ1242"/>
      <c r="HA1242"/>
      <c r="HB1242"/>
      <c r="HC1242"/>
      <c r="HD1242"/>
      <c r="HE1242"/>
      <c r="HF1242"/>
      <c r="HG1242"/>
      <c r="HH1242"/>
      <c r="HI1242"/>
      <c r="HJ1242"/>
      <c r="HK1242"/>
      <c r="HL1242"/>
      <c r="HM1242"/>
      <c r="HN1242"/>
      <c r="HO1242"/>
      <c r="HP1242"/>
      <c r="HQ1242"/>
      <c r="HR1242"/>
      <c r="HS1242"/>
      <c r="HT1242"/>
      <c r="HU1242"/>
      <c r="HV1242"/>
      <c r="HW1242"/>
      <c r="HX1242"/>
      <c r="HY1242"/>
      <c r="HZ1242"/>
      <c r="IA1242"/>
      <c r="IB1242"/>
      <c r="IC1242"/>
      <c r="ID1242"/>
      <c r="IE1242"/>
      <c r="IF1242"/>
      <c r="IG1242"/>
      <c r="IH1242"/>
      <c r="II1242"/>
      <c r="IJ1242"/>
      <c r="IK1242"/>
      <c r="IL1242"/>
      <c r="IM1242"/>
      <c r="IN1242"/>
      <c r="IO1242"/>
      <c r="IP1242"/>
      <c r="IQ1242"/>
      <c r="IR1242"/>
      <c r="IS1242"/>
      <c r="IT1242"/>
      <c r="IU1242"/>
      <c r="IV1242"/>
      <c r="IW1242"/>
      <c r="IX1242"/>
      <c r="IY1242"/>
      <c r="IZ1242"/>
      <c r="JA1242"/>
      <c r="JB1242"/>
      <c r="JC1242"/>
      <c r="JD1242"/>
      <c r="JE1242"/>
      <c r="JF1242"/>
      <c r="JG1242"/>
      <c r="JH1242"/>
      <c r="JI1242"/>
      <c r="JJ1242"/>
      <c r="JK1242"/>
      <c r="JL1242"/>
      <c r="JM1242"/>
      <c r="JN1242"/>
      <c r="JO1242"/>
      <c r="JP1242"/>
      <c r="JQ1242"/>
      <c r="JR1242"/>
      <c r="JS1242"/>
      <c r="JT1242"/>
      <c r="JU1242"/>
      <c r="JV1242"/>
      <c r="JW1242"/>
      <c r="JX1242"/>
      <c r="JY1242"/>
      <c r="JZ1242"/>
      <c r="KA1242"/>
      <c r="KB1242"/>
      <c r="KC1242"/>
      <c r="KD1242"/>
      <c r="KE1242"/>
      <c r="KF1242"/>
      <c r="KG1242"/>
      <c r="KH1242"/>
      <c r="KI1242"/>
      <c r="KJ1242"/>
      <c r="KK1242"/>
      <c r="KL1242"/>
      <c r="KM1242"/>
      <c r="KN1242"/>
      <c r="KO1242"/>
      <c r="KP1242"/>
      <c r="KQ1242"/>
      <c r="KR1242"/>
      <c r="KS1242"/>
      <c r="KT1242"/>
      <c r="KU1242"/>
      <c r="KV1242"/>
      <c r="KW1242"/>
      <c r="KX1242"/>
      <c r="KY1242"/>
      <c r="KZ1242"/>
      <c r="LA1242"/>
      <c r="LB1242"/>
      <c r="LC1242"/>
      <c r="LD1242"/>
      <c r="LE1242"/>
      <c r="LF1242"/>
      <c r="LG1242"/>
      <c r="LH1242"/>
      <c r="LI1242"/>
      <c r="LJ1242"/>
      <c r="LK1242"/>
      <c r="LL1242"/>
      <c r="LM1242"/>
      <c r="LN1242"/>
      <c r="LO1242"/>
      <c r="LP1242"/>
      <c r="LQ1242"/>
      <c r="LR1242"/>
      <c r="LS1242"/>
      <c r="LT1242"/>
      <c r="LU1242"/>
      <c r="LV1242"/>
      <c r="LW1242"/>
      <c r="LX1242"/>
      <c r="LY1242"/>
      <c r="LZ1242"/>
      <c r="MA1242"/>
      <c r="MB1242"/>
      <c r="MC1242"/>
      <c r="MD1242"/>
      <c r="ME1242"/>
      <c r="MF1242"/>
      <c r="MG1242"/>
      <c r="MH1242"/>
      <c r="MI1242"/>
      <c r="MJ1242"/>
      <c r="MK1242"/>
      <c r="ML1242"/>
      <c r="MM1242"/>
      <c r="MN1242"/>
      <c r="MO1242"/>
      <c r="MP1242"/>
      <c r="MQ1242"/>
      <c r="MR1242"/>
      <c r="MS1242"/>
      <c r="MT1242"/>
      <c r="MU1242"/>
      <c r="MV1242"/>
      <c r="MW1242"/>
      <c r="MX1242"/>
      <c r="MY1242"/>
      <c r="MZ1242"/>
      <c r="NA1242"/>
      <c r="NB1242"/>
      <c r="NC1242"/>
      <c r="ND1242"/>
      <c r="NE1242"/>
      <c r="NF1242"/>
      <c r="NG1242"/>
      <c r="NH1242"/>
      <c r="NI1242"/>
      <c r="NJ1242"/>
      <c r="NK1242"/>
      <c r="NL1242"/>
      <c r="NM1242"/>
      <c r="NN1242"/>
      <c r="NO1242"/>
      <c r="NP1242"/>
      <c r="NQ1242"/>
      <c r="NR1242"/>
      <c r="NS1242"/>
      <c r="NT1242"/>
      <c r="NU1242"/>
      <c r="NV1242"/>
      <c r="NW1242"/>
      <c r="NX1242"/>
      <c r="NY1242"/>
      <c r="NZ1242"/>
      <c r="OA1242"/>
      <c r="OB1242"/>
      <c r="OC1242"/>
      <c r="OD1242"/>
      <c r="OE1242"/>
      <c r="OF1242"/>
      <c r="OG1242"/>
      <c r="OH1242"/>
      <c r="OI1242"/>
      <c r="OJ1242"/>
      <c r="OK1242"/>
      <c r="OL1242"/>
      <c r="OM1242"/>
      <c r="ON1242"/>
      <c r="OO1242"/>
      <c r="OP1242"/>
      <c r="OQ1242"/>
      <c r="OR1242"/>
      <c r="OS1242"/>
      <c r="OT1242"/>
      <c r="OU1242"/>
      <c r="OV1242"/>
      <c r="OW1242"/>
      <c r="OX1242"/>
      <c r="OY1242"/>
      <c r="OZ1242"/>
      <c r="PA1242"/>
      <c r="PB1242"/>
      <c r="PC1242"/>
      <c r="PD1242"/>
      <c r="PE1242"/>
      <c r="PF1242"/>
      <c r="PG1242"/>
      <c r="PH1242"/>
      <c r="PI1242"/>
      <c r="PJ1242"/>
      <c r="PK1242"/>
      <c r="PL1242"/>
      <c r="PM1242"/>
      <c r="PN1242"/>
      <c r="PO1242"/>
      <c r="PP1242"/>
      <c r="PQ1242"/>
      <c r="PR1242"/>
      <c r="PS1242"/>
      <c r="PT1242"/>
      <c r="PU1242"/>
      <c r="PV1242"/>
      <c r="PW1242"/>
      <c r="PX1242"/>
      <c r="PY1242"/>
      <c r="PZ1242"/>
      <c r="QA1242"/>
      <c r="QB1242"/>
      <c r="QC1242"/>
      <c r="QD1242"/>
      <c r="QE1242"/>
      <c r="QF1242"/>
      <c r="QG1242"/>
      <c r="QH1242"/>
      <c r="QI1242"/>
      <c r="QJ1242"/>
      <c r="QK1242"/>
      <c r="QL1242"/>
      <c r="QM1242"/>
      <c r="QN1242"/>
      <c r="QO1242"/>
      <c r="QP1242"/>
      <c r="QQ1242"/>
      <c r="QR1242"/>
      <c r="QS1242"/>
      <c r="QT1242"/>
      <c r="QU1242"/>
      <c r="QV1242"/>
      <c r="QW1242"/>
      <c r="QX1242"/>
      <c r="QY1242"/>
      <c r="QZ1242"/>
      <c r="RA1242"/>
      <c r="RB1242"/>
      <c r="RC1242"/>
      <c r="RD1242"/>
      <c r="RE1242"/>
      <c r="RF1242"/>
      <c r="RG1242"/>
      <c r="RH1242"/>
      <c r="RI1242"/>
      <c r="RJ1242"/>
      <c r="RK1242"/>
      <c r="RL1242"/>
      <c r="RM1242"/>
      <c r="RN1242"/>
      <c r="RO1242"/>
      <c r="RP1242"/>
      <c r="RQ1242"/>
      <c r="RR1242"/>
      <c r="RS1242"/>
      <c r="RT1242"/>
      <c r="RU1242"/>
      <c r="RV1242"/>
      <c r="RW1242"/>
      <c r="RX1242"/>
      <c r="RY1242"/>
      <c r="RZ1242"/>
      <c r="SA1242"/>
      <c r="SB1242"/>
      <c r="SC1242"/>
      <c r="SD1242"/>
      <c r="SE1242"/>
      <c r="SF1242"/>
      <c r="SG1242"/>
      <c r="SH1242"/>
      <c r="SI1242"/>
      <c r="SJ1242"/>
      <c r="SK1242"/>
      <c r="SL1242"/>
      <c r="SM1242"/>
      <c r="SN1242"/>
      <c r="SO1242"/>
      <c r="SP1242"/>
      <c r="SQ1242"/>
      <c r="SR1242"/>
      <c r="SS1242"/>
      <c r="ST1242"/>
      <c r="SU1242"/>
      <c r="SV1242"/>
      <c r="SW1242"/>
      <c r="SX1242"/>
      <c r="SY1242"/>
      <c r="SZ1242"/>
      <c r="TA1242"/>
      <c r="TB1242"/>
      <c r="TC1242"/>
      <c r="TD1242"/>
      <c r="TE1242"/>
      <c r="TF1242"/>
      <c r="TG1242"/>
      <c r="TH1242"/>
      <c r="TI1242"/>
      <c r="TJ1242"/>
      <c r="TK1242"/>
      <c r="TL1242"/>
      <c r="TM1242"/>
      <c r="TN1242"/>
      <c r="TO1242"/>
      <c r="TP1242"/>
      <c r="TQ1242"/>
      <c r="TR1242"/>
      <c r="TS1242"/>
      <c r="TT1242"/>
      <c r="TU1242"/>
      <c r="TV1242"/>
      <c r="TW1242"/>
      <c r="TX1242"/>
      <c r="TY1242"/>
      <c r="TZ1242"/>
      <c r="UA1242"/>
      <c r="UB1242"/>
      <c r="UC1242"/>
      <c r="UD1242"/>
      <c r="UE1242"/>
      <c r="UF1242"/>
      <c r="UG1242"/>
      <c r="UH1242"/>
      <c r="UI1242"/>
      <c r="UJ1242"/>
      <c r="UK1242"/>
      <c r="UL1242"/>
      <c r="UM1242"/>
      <c r="UN1242"/>
      <c r="UO1242"/>
      <c r="UP1242"/>
      <c r="UQ1242"/>
      <c r="UR1242"/>
      <c r="US1242"/>
      <c r="UT1242"/>
      <c r="UU1242"/>
      <c r="UV1242"/>
      <c r="UW1242"/>
      <c r="UX1242"/>
      <c r="UY1242"/>
      <c r="UZ1242"/>
      <c r="VA1242"/>
      <c r="VB1242"/>
      <c r="VC1242"/>
      <c r="VD1242"/>
      <c r="VE1242"/>
      <c r="VF1242"/>
      <c r="VG1242"/>
      <c r="VH1242"/>
      <c r="VI1242"/>
      <c r="VJ1242"/>
      <c r="VK1242"/>
      <c r="VL1242"/>
      <c r="VM1242"/>
      <c r="VN1242"/>
      <c r="VO1242"/>
      <c r="VP1242"/>
      <c r="VQ1242"/>
      <c r="VR1242"/>
      <c r="VS1242"/>
      <c r="VT1242"/>
      <c r="VU1242"/>
      <c r="VV1242"/>
      <c r="VW1242"/>
      <c r="VX1242"/>
      <c r="VY1242"/>
      <c r="VZ1242"/>
      <c r="WA1242"/>
      <c r="WB1242"/>
      <c r="WC1242"/>
      <c r="WD1242"/>
      <c r="WE1242"/>
      <c r="WF1242"/>
      <c r="WG1242"/>
      <c r="WH1242"/>
      <c r="WI1242"/>
      <c r="WJ1242"/>
      <c r="WK1242"/>
      <c r="WL1242"/>
      <c r="WM1242"/>
      <c r="WN1242"/>
      <c r="WO1242"/>
      <c r="WP1242"/>
      <c r="WQ1242"/>
      <c r="WR1242"/>
      <c r="WS1242"/>
      <c r="WT1242"/>
      <c r="WU1242"/>
      <c r="WV1242"/>
      <c r="WW1242"/>
      <c r="WX1242"/>
      <c r="WY1242"/>
      <c r="WZ1242"/>
      <c r="XA1242"/>
      <c r="XB1242"/>
      <c r="XC1242"/>
      <c r="XD1242"/>
      <c r="XE1242"/>
      <c r="XF1242"/>
      <c r="XG1242"/>
      <c r="XH1242"/>
      <c r="XI1242"/>
      <c r="XJ1242"/>
      <c r="XK1242"/>
      <c r="XL1242"/>
      <c r="XM1242"/>
      <c r="XN1242"/>
      <c r="XO1242"/>
      <c r="XP1242"/>
      <c r="XQ1242"/>
      <c r="XR1242"/>
      <c r="XS1242"/>
      <c r="XT1242"/>
      <c r="XU1242"/>
      <c r="XV1242"/>
      <c r="XW1242"/>
      <c r="XX1242"/>
      <c r="XY1242"/>
      <c r="XZ1242"/>
      <c r="YA1242"/>
      <c r="YB1242"/>
      <c r="YC1242"/>
      <c r="YD1242"/>
      <c r="YE1242"/>
      <c r="YF1242"/>
      <c r="YG1242"/>
      <c r="YH1242"/>
      <c r="YI1242"/>
      <c r="YJ1242"/>
      <c r="YK1242"/>
      <c r="YL1242"/>
      <c r="YM1242"/>
      <c r="YN1242"/>
      <c r="YO1242"/>
      <c r="YP1242"/>
      <c r="YQ1242"/>
      <c r="YR1242"/>
      <c r="YS1242"/>
      <c r="YT1242"/>
      <c r="YU1242"/>
      <c r="YV1242"/>
      <c r="YW1242"/>
      <c r="YX1242"/>
      <c r="YY1242"/>
      <c r="YZ1242"/>
      <c r="ZA1242"/>
      <c r="ZB1242"/>
      <c r="ZC1242"/>
      <c r="ZD1242"/>
      <c r="ZE1242"/>
      <c r="ZF1242"/>
      <c r="ZG1242"/>
      <c r="ZH1242"/>
      <c r="ZI1242"/>
      <c r="ZJ1242"/>
      <c r="ZK1242"/>
      <c r="ZL1242"/>
      <c r="ZM1242"/>
      <c r="ZN1242"/>
      <c r="ZO1242"/>
      <c r="ZP1242"/>
      <c r="ZQ1242"/>
      <c r="ZR1242"/>
      <c r="ZS1242"/>
      <c r="ZT1242"/>
      <c r="ZU1242"/>
      <c r="ZV1242"/>
      <c r="ZW1242"/>
      <c r="ZX1242"/>
      <c r="ZY1242"/>
      <c r="ZZ1242"/>
      <c r="AAA1242"/>
      <c r="AAB1242"/>
      <c r="AAC1242"/>
      <c r="AAD1242"/>
      <c r="AAE1242"/>
      <c r="AAF1242"/>
      <c r="AAG1242"/>
      <c r="AAH1242"/>
      <c r="AAI1242"/>
      <c r="AAJ1242"/>
      <c r="AAK1242"/>
      <c r="AAL1242"/>
      <c r="AAM1242"/>
      <c r="AAN1242"/>
      <c r="AAO1242"/>
      <c r="AAP1242"/>
      <c r="AAQ1242"/>
      <c r="AAR1242"/>
      <c r="AAS1242"/>
      <c r="AAT1242"/>
      <c r="AAU1242"/>
      <c r="AAV1242"/>
      <c r="AAW1242"/>
      <c r="AAX1242"/>
      <c r="AAY1242"/>
      <c r="AAZ1242"/>
      <c r="ABA1242"/>
      <c r="ABB1242"/>
      <c r="ABC1242"/>
      <c r="ABD1242"/>
      <c r="ABE1242"/>
      <c r="ABF1242"/>
      <c r="ABG1242"/>
      <c r="ABH1242"/>
      <c r="ABI1242"/>
      <c r="ABJ1242"/>
      <c r="ABK1242"/>
      <c r="ABL1242"/>
      <c r="ABM1242"/>
      <c r="ABN1242"/>
      <c r="ABO1242"/>
      <c r="ABP1242"/>
      <c r="ABQ1242"/>
      <c r="ABR1242"/>
      <c r="ABS1242"/>
      <c r="ABT1242"/>
      <c r="ABU1242"/>
      <c r="ABV1242"/>
      <c r="ABW1242"/>
      <c r="ABX1242"/>
      <c r="ABY1242"/>
      <c r="ABZ1242"/>
      <c r="ACA1242"/>
      <c r="ACB1242"/>
      <c r="ACC1242"/>
      <c r="ACD1242"/>
      <c r="ACE1242"/>
      <c r="ACF1242"/>
      <c r="ACG1242"/>
      <c r="ACH1242"/>
      <c r="ACI1242"/>
      <c r="ACJ1242"/>
      <c r="ACK1242"/>
      <c r="ACL1242"/>
      <c r="ACM1242"/>
      <c r="ACN1242"/>
      <c r="ACO1242"/>
      <c r="ACP1242"/>
      <c r="ACQ1242"/>
      <c r="ACR1242"/>
      <c r="ACS1242"/>
      <c r="ACT1242"/>
      <c r="ACU1242"/>
      <c r="ACV1242"/>
      <c r="ACW1242"/>
      <c r="ACX1242"/>
      <c r="ACY1242"/>
      <c r="ACZ1242"/>
      <c r="ADA1242"/>
      <c r="ADB1242"/>
      <c r="ADC1242"/>
      <c r="ADD1242"/>
      <c r="ADE1242"/>
      <c r="ADF1242"/>
      <c r="ADG1242"/>
      <c r="ADH1242"/>
      <c r="ADI1242"/>
      <c r="ADJ1242"/>
      <c r="ADK1242"/>
      <c r="ADL1242"/>
      <c r="ADM1242"/>
      <c r="ADN1242"/>
      <c r="ADO1242"/>
      <c r="ADP1242"/>
      <c r="ADQ1242"/>
      <c r="ADR1242"/>
      <c r="ADS1242"/>
      <c r="ADT1242"/>
      <c r="ADU1242"/>
      <c r="ADV1242"/>
      <c r="ADW1242"/>
      <c r="ADX1242"/>
      <c r="ADY1242"/>
      <c r="ADZ1242"/>
      <c r="AEA1242"/>
      <c r="AEB1242"/>
      <c r="AEC1242"/>
      <c r="AED1242"/>
      <c r="AEE1242"/>
      <c r="AEF1242"/>
      <c r="AEG1242"/>
      <c r="AEH1242"/>
      <c r="AEI1242"/>
      <c r="AEJ1242"/>
      <c r="AEK1242"/>
      <c r="AEL1242"/>
      <c r="AEM1242"/>
      <c r="AEN1242"/>
      <c r="AEO1242"/>
      <c r="AEP1242"/>
      <c r="AEQ1242"/>
      <c r="AER1242"/>
      <c r="AES1242"/>
      <c r="AET1242"/>
      <c r="AEU1242"/>
      <c r="AEV1242"/>
      <c r="AEW1242"/>
      <c r="AEX1242"/>
      <c r="AEY1242"/>
      <c r="AEZ1242"/>
      <c r="AFA1242"/>
      <c r="AFB1242"/>
      <c r="AFC1242"/>
      <c r="AFD1242"/>
      <c r="AFE1242"/>
      <c r="AFF1242"/>
      <c r="AFG1242"/>
      <c r="AFH1242"/>
      <c r="AFI1242"/>
      <c r="AFJ1242"/>
      <c r="AFK1242"/>
      <c r="AFL1242"/>
      <c r="AFM1242"/>
      <c r="AFN1242"/>
      <c r="AFO1242"/>
      <c r="AFP1242"/>
      <c r="AFQ1242"/>
      <c r="AFR1242"/>
      <c r="AFS1242"/>
      <c r="AFT1242"/>
      <c r="AFU1242"/>
      <c r="AFV1242"/>
      <c r="AFW1242"/>
      <c r="AFX1242"/>
      <c r="AFY1242"/>
      <c r="AFZ1242"/>
      <c r="AGA1242"/>
      <c r="AGB1242"/>
      <c r="AGC1242"/>
      <c r="AGD1242"/>
      <c r="AGE1242"/>
      <c r="AGF1242"/>
      <c r="AGG1242"/>
      <c r="AGH1242"/>
      <c r="AGI1242"/>
      <c r="AGJ1242"/>
      <c r="AGK1242"/>
      <c r="AGL1242"/>
      <c r="AGM1242"/>
      <c r="AGN1242"/>
      <c r="AGO1242"/>
      <c r="AGP1242"/>
      <c r="AGQ1242"/>
      <c r="AGR1242"/>
      <c r="AGS1242"/>
      <c r="AGT1242"/>
      <c r="AGU1242"/>
      <c r="AGV1242"/>
      <c r="AGW1242"/>
      <c r="AGX1242"/>
      <c r="AGY1242"/>
      <c r="AGZ1242"/>
      <c r="AHA1242"/>
      <c r="AHB1242"/>
      <c r="AHC1242"/>
      <c r="AHD1242"/>
      <c r="AHE1242"/>
      <c r="AHF1242"/>
      <c r="AHG1242"/>
      <c r="AHH1242"/>
      <c r="AHI1242"/>
      <c r="AHJ1242"/>
      <c r="AHK1242"/>
      <c r="AHL1242"/>
      <c r="AHM1242"/>
      <c r="AHN1242"/>
      <c r="AHO1242"/>
      <c r="AHP1242"/>
      <c r="AHQ1242"/>
      <c r="AHR1242"/>
      <c r="AHS1242"/>
      <c r="AHT1242"/>
      <c r="AHU1242"/>
      <c r="AHV1242"/>
      <c r="AHW1242"/>
      <c r="AHX1242"/>
      <c r="AHY1242"/>
      <c r="AHZ1242"/>
      <c r="AIA1242"/>
      <c r="AIB1242"/>
      <c r="AIC1242"/>
      <c r="AID1242"/>
      <c r="AIE1242"/>
      <c r="AIF1242"/>
      <c r="AIG1242"/>
      <c r="AIH1242"/>
      <c r="AII1242"/>
      <c r="AIJ1242"/>
      <c r="AIK1242"/>
      <c r="AIL1242"/>
      <c r="AIM1242"/>
      <c r="AIN1242"/>
      <c r="AIO1242"/>
      <c r="AIP1242"/>
      <c r="AIQ1242"/>
      <c r="AIR1242"/>
      <c r="AIS1242"/>
      <c r="AIT1242"/>
      <c r="AIU1242"/>
      <c r="AIV1242"/>
      <c r="AIW1242"/>
      <c r="AIX1242"/>
      <c r="AIY1242"/>
      <c r="AIZ1242"/>
      <c r="AJA1242"/>
      <c r="AJB1242"/>
      <c r="AJC1242"/>
      <c r="AJD1242"/>
      <c r="AJE1242"/>
      <c r="AJF1242"/>
      <c r="AJG1242"/>
      <c r="AJH1242"/>
      <c r="AJI1242"/>
      <c r="AJJ1242"/>
      <c r="AJK1242"/>
      <c r="AJL1242"/>
      <c r="AJM1242"/>
      <c r="AJN1242"/>
      <c r="AJO1242"/>
      <c r="AJP1242"/>
      <c r="AJQ1242"/>
      <c r="AJR1242"/>
      <c r="AJS1242"/>
      <c r="AJT1242"/>
      <c r="AJU1242"/>
      <c r="AJV1242"/>
      <c r="AJW1242"/>
      <c r="AJX1242"/>
      <c r="AJY1242"/>
      <c r="AJZ1242"/>
      <c r="AKA1242"/>
      <c r="AKB1242"/>
      <c r="AKC1242"/>
      <c r="AKD1242"/>
      <c r="AKE1242"/>
      <c r="AKF1242"/>
      <c r="AKG1242"/>
      <c r="AKH1242"/>
      <c r="AKI1242"/>
      <c r="AKJ1242"/>
      <c r="AKK1242"/>
      <c r="AKL1242"/>
      <c r="AKM1242"/>
      <c r="AKN1242"/>
      <c r="AKO1242"/>
      <c r="AKP1242"/>
      <c r="AKQ1242"/>
      <c r="AKR1242"/>
      <c r="AKS1242"/>
      <c r="AKT1242"/>
      <c r="AKU1242"/>
      <c r="AKV1242"/>
      <c r="AKW1242"/>
      <c r="AKX1242"/>
      <c r="AKY1242"/>
      <c r="AKZ1242"/>
      <c r="ALA1242"/>
      <c r="ALB1242"/>
      <c r="ALC1242"/>
      <c r="ALD1242"/>
      <c r="ALE1242"/>
      <c r="ALF1242"/>
      <c r="ALG1242"/>
      <c r="ALH1242"/>
      <c r="ALI1242"/>
      <c r="ALJ1242"/>
      <c r="ALK1242"/>
      <c r="ALL1242"/>
      <c r="ALM1242"/>
      <c r="ALN1242"/>
      <c r="ALO1242"/>
      <c r="ALP1242"/>
      <c r="ALQ1242"/>
      <c r="ALR1242"/>
      <c r="ALS1242"/>
      <c r="ALT1242"/>
    </row>
    <row r="1243" spans="1:1008" ht="14">
      <c r="A1243" s="28" t="s">
        <v>3925</v>
      </c>
      <c r="B1243" s="26" t="s">
        <v>3992</v>
      </c>
      <c r="C1243" s="28" t="s">
        <v>3925</v>
      </c>
      <c r="D1243" s="25" t="s">
        <v>13</v>
      </c>
      <c r="E1243" s="28" t="s">
        <v>3925</v>
      </c>
      <c r="F1243" s="28" t="s">
        <v>3926</v>
      </c>
      <c r="G1243" s="28">
        <v>650</v>
      </c>
      <c r="H1243" s="28"/>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c r="AT1243"/>
      <c r="AU1243"/>
      <c r="AV1243"/>
      <c r="AW1243"/>
      <c r="AX1243"/>
      <c r="AY1243"/>
      <c r="AZ1243"/>
      <c r="BA1243"/>
      <c r="BB1243"/>
      <c r="BC1243"/>
      <c r="BD1243"/>
      <c r="BE1243"/>
      <c r="BF1243"/>
      <c r="BG1243"/>
      <c r="BH1243"/>
      <c r="BI1243"/>
      <c r="BJ1243"/>
      <c r="BK1243"/>
      <c r="BL1243"/>
      <c r="BM1243"/>
      <c r="BN1243"/>
      <c r="BO1243"/>
      <c r="BP1243"/>
      <c r="BQ1243"/>
      <c r="BR1243"/>
      <c r="BS1243"/>
      <c r="BT1243"/>
      <c r="BU1243"/>
      <c r="BV1243"/>
      <c r="BW1243"/>
      <c r="BX1243"/>
      <c r="BY1243"/>
      <c r="BZ1243"/>
      <c r="CA1243"/>
      <c r="CB1243"/>
      <c r="CC1243"/>
      <c r="CD1243"/>
      <c r="CE1243"/>
      <c r="CF1243"/>
      <c r="CG1243"/>
      <c r="CH1243"/>
      <c r="CI1243"/>
      <c r="CJ1243"/>
      <c r="CK1243"/>
      <c r="CL1243"/>
      <c r="CM1243"/>
      <c r="CN1243"/>
      <c r="CO1243"/>
      <c r="CP1243"/>
      <c r="CQ1243"/>
      <c r="CR1243"/>
      <c r="CS1243"/>
      <c r="CT1243"/>
      <c r="CU1243"/>
      <c r="CV1243"/>
      <c r="CW1243"/>
      <c r="CX1243"/>
      <c r="CY1243"/>
      <c r="CZ1243"/>
      <c r="DA1243"/>
      <c r="DB1243"/>
      <c r="DC1243"/>
      <c r="DD1243"/>
      <c r="DE1243"/>
      <c r="DF1243"/>
      <c r="DG1243"/>
      <c r="DH1243"/>
      <c r="DI1243"/>
      <c r="DJ1243"/>
      <c r="DK1243"/>
      <c r="DL1243"/>
      <c r="DM1243"/>
      <c r="DN1243"/>
      <c r="DO1243"/>
      <c r="DP1243"/>
      <c r="DQ1243"/>
      <c r="DR1243"/>
      <c r="DS1243"/>
      <c r="DT1243"/>
      <c r="DU1243"/>
      <c r="DV1243"/>
      <c r="DW1243"/>
      <c r="DX1243"/>
      <c r="DY1243"/>
      <c r="DZ1243"/>
      <c r="EA1243"/>
      <c r="EB1243"/>
      <c r="EC1243"/>
      <c r="ED1243"/>
      <c r="EE1243"/>
      <c r="EF1243"/>
      <c r="EG1243"/>
      <c r="EH1243"/>
      <c r="EI1243"/>
      <c r="EJ1243"/>
      <c r="EK1243"/>
      <c r="EL1243"/>
      <c r="EM1243"/>
      <c r="EN1243"/>
      <c r="EO1243"/>
      <c r="EP1243"/>
      <c r="EQ1243"/>
      <c r="ER1243"/>
      <c r="ES1243"/>
      <c r="ET1243"/>
      <c r="EU1243"/>
      <c r="EV1243"/>
      <c r="EW1243"/>
      <c r="EX1243"/>
      <c r="EY1243"/>
      <c r="EZ1243"/>
      <c r="FA1243"/>
      <c r="FB1243"/>
      <c r="FC1243"/>
      <c r="FD1243"/>
      <c r="FE1243"/>
      <c r="FF1243"/>
      <c r="FG1243"/>
      <c r="FH1243"/>
      <c r="FI1243"/>
      <c r="FJ1243"/>
      <c r="FK1243"/>
      <c r="FL1243"/>
      <c r="FM1243"/>
      <c r="FN1243"/>
      <c r="FO1243"/>
      <c r="FP1243"/>
      <c r="FQ1243"/>
      <c r="FR1243"/>
      <c r="FS1243"/>
      <c r="FT1243"/>
      <c r="FU1243"/>
      <c r="FV1243"/>
      <c r="FW1243"/>
      <c r="FX1243"/>
      <c r="FY1243"/>
      <c r="FZ1243"/>
      <c r="GA1243"/>
      <c r="GB1243"/>
      <c r="GC1243"/>
      <c r="GD1243"/>
      <c r="GE1243"/>
      <c r="GF1243"/>
      <c r="GG1243"/>
      <c r="GH1243"/>
      <c r="GI1243"/>
      <c r="GJ1243"/>
      <c r="GK1243"/>
      <c r="GL1243"/>
      <c r="GM1243"/>
      <c r="GN1243"/>
      <c r="GO1243"/>
      <c r="GP1243"/>
      <c r="GQ1243"/>
      <c r="GR1243"/>
      <c r="GS1243"/>
      <c r="GT1243"/>
      <c r="GU1243"/>
      <c r="GV1243"/>
      <c r="GW1243"/>
      <c r="GX1243"/>
      <c r="GY1243"/>
      <c r="GZ1243"/>
      <c r="HA1243"/>
      <c r="HB1243"/>
      <c r="HC1243"/>
      <c r="HD1243"/>
      <c r="HE1243"/>
      <c r="HF1243"/>
      <c r="HG1243"/>
      <c r="HH1243"/>
      <c r="HI1243"/>
      <c r="HJ1243"/>
      <c r="HK1243"/>
      <c r="HL1243"/>
      <c r="HM1243"/>
      <c r="HN1243"/>
      <c r="HO1243"/>
      <c r="HP1243"/>
      <c r="HQ1243"/>
      <c r="HR1243"/>
      <c r="HS1243"/>
      <c r="HT1243"/>
      <c r="HU1243"/>
      <c r="HV1243"/>
      <c r="HW1243"/>
      <c r="HX1243"/>
      <c r="HY1243"/>
      <c r="HZ1243"/>
      <c r="IA1243"/>
      <c r="IB1243"/>
      <c r="IC1243"/>
      <c r="ID1243"/>
      <c r="IE1243"/>
      <c r="IF1243"/>
      <c r="IG1243"/>
      <c r="IH1243"/>
      <c r="II1243"/>
      <c r="IJ1243"/>
      <c r="IK1243"/>
      <c r="IL1243"/>
      <c r="IM1243"/>
      <c r="IN1243"/>
      <c r="IO1243"/>
      <c r="IP1243"/>
      <c r="IQ1243"/>
      <c r="IR1243"/>
      <c r="IS1243"/>
      <c r="IT1243"/>
      <c r="IU1243"/>
      <c r="IV1243"/>
      <c r="IW1243"/>
      <c r="IX1243"/>
      <c r="IY1243"/>
      <c r="IZ1243"/>
      <c r="JA1243"/>
      <c r="JB1243"/>
      <c r="JC1243"/>
      <c r="JD1243"/>
      <c r="JE1243"/>
      <c r="JF1243"/>
      <c r="JG1243"/>
      <c r="JH1243"/>
      <c r="JI1243"/>
      <c r="JJ1243"/>
      <c r="JK1243"/>
      <c r="JL1243"/>
      <c r="JM1243"/>
      <c r="JN1243"/>
      <c r="JO1243"/>
      <c r="JP1243"/>
      <c r="JQ1243"/>
      <c r="JR1243"/>
      <c r="JS1243"/>
      <c r="JT1243"/>
      <c r="JU1243"/>
      <c r="JV1243"/>
      <c r="JW1243"/>
      <c r="JX1243"/>
      <c r="JY1243"/>
      <c r="JZ1243"/>
      <c r="KA1243"/>
      <c r="KB1243"/>
      <c r="KC1243"/>
      <c r="KD1243"/>
      <c r="KE1243"/>
      <c r="KF1243"/>
      <c r="KG1243"/>
      <c r="KH1243"/>
      <c r="KI1243"/>
      <c r="KJ1243"/>
      <c r="KK1243"/>
      <c r="KL1243"/>
      <c r="KM1243"/>
      <c r="KN1243"/>
      <c r="KO1243"/>
      <c r="KP1243"/>
      <c r="KQ1243"/>
      <c r="KR1243"/>
      <c r="KS1243"/>
      <c r="KT1243"/>
      <c r="KU1243"/>
      <c r="KV1243"/>
      <c r="KW1243"/>
      <c r="KX1243"/>
      <c r="KY1243"/>
      <c r="KZ1243"/>
      <c r="LA1243"/>
      <c r="LB1243"/>
      <c r="LC1243"/>
      <c r="LD1243"/>
      <c r="LE1243"/>
      <c r="LF1243"/>
      <c r="LG1243"/>
      <c r="LH1243"/>
      <c r="LI1243"/>
      <c r="LJ1243"/>
      <c r="LK1243"/>
      <c r="LL1243"/>
      <c r="LM1243"/>
      <c r="LN1243"/>
      <c r="LO1243"/>
      <c r="LP1243"/>
      <c r="LQ1243"/>
      <c r="LR1243"/>
      <c r="LS1243"/>
      <c r="LT1243"/>
      <c r="LU1243"/>
      <c r="LV1243"/>
      <c r="LW1243"/>
      <c r="LX1243"/>
      <c r="LY1243"/>
      <c r="LZ1243"/>
      <c r="MA1243"/>
      <c r="MB1243"/>
      <c r="MC1243"/>
      <c r="MD1243"/>
      <c r="ME1243"/>
      <c r="MF1243"/>
      <c r="MG1243"/>
      <c r="MH1243"/>
      <c r="MI1243"/>
      <c r="MJ1243"/>
      <c r="MK1243"/>
      <c r="ML1243"/>
      <c r="MM1243"/>
      <c r="MN1243"/>
      <c r="MO1243"/>
      <c r="MP1243"/>
      <c r="MQ1243"/>
      <c r="MR1243"/>
      <c r="MS1243"/>
      <c r="MT1243"/>
      <c r="MU1243"/>
      <c r="MV1243"/>
      <c r="MW1243"/>
      <c r="MX1243"/>
      <c r="MY1243"/>
      <c r="MZ1243"/>
      <c r="NA1243"/>
      <c r="NB1243"/>
      <c r="NC1243"/>
      <c r="ND1243"/>
      <c r="NE1243"/>
      <c r="NF1243"/>
      <c r="NG1243"/>
      <c r="NH1243"/>
      <c r="NI1243"/>
      <c r="NJ1243"/>
      <c r="NK1243"/>
      <c r="NL1243"/>
      <c r="NM1243"/>
      <c r="NN1243"/>
      <c r="NO1243"/>
      <c r="NP1243"/>
      <c r="NQ1243"/>
      <c r="NR1243"/>
      <c r="NS1243"/>
      <c r="NT1243"/>
      <c r="NU1243"/>
      <c r="NV1243"/>
      <c r="NW1243"/>
      <c r="NX1243"/>
      <c r="NY1243"/>
      <c r="NZ1243"/>
      <c r="OA1243"/>
      <c r="OB1243"/>
      <c r="OC1243"/>
      <c r="OD1243"/>
      <c r="OE1243"/>
      <c r="OF1243"/>
      <c r="OG1243"/>
      <c r="OH1243"/>
      <c r="OI1243"/>
      <c r="OJ1243"/>
      <c r="OK1243"/>
      <c r="OL1243"/>
      <c r="OM1243"/>
      <c r="ON1243"/>
      <c r="OO1243"/>
      <c r="OP1243"/>
      <c r="OQ1243"/>
      <c r="OR1243"/>
      <c r="OS1243"/>
      <c r="OT1243"/>
      <c r="OU1243"/>
      <c r="OV1243"/>
      <c r="OW1243"/>
      <c r="OX1243"/>
      <c r="OY1243"/>
      <c r="OZ1243"/>
      <c r="PA1243"/>
      <c r="PB1243"/>
      <c r="PC1243"/>
      <c r="PD1243"/>
      <c r="PE1243"/>
      <c r="PF1243"/>
      <c r="PG1243"/>
      <c r="PH1243"/>
      <c r="PI1243"/>
      <c r="PJ1243"/>
      <c r="PK1243"/>
      <c r="PL1243"/>
      <c r="PM1243"/>
      <c r="PN1243"/>
      <c r="PO1243"/>
      <c r="PP1243"/>
      <c r="PQ1243"/>
      <c r="PR1243"/>
      <c r="PS1243"/>
      <c r="PT1243"/>
      <c r="PU1243"/>
      <c r="PV1243"/>
      <c r="PW1243"/>
      <c r="PX1243"/>
      <c r="PY1243"/>
      <c r="PZ1243"/>
      <c r="QA1243"/>
      <c r="QB1243"/>
      <c r="QC1243"/>
      <c r="QD1243"/>
      <c r="QE1243"/>
      <c r="QF1243"/>
      <c r="QG1243"/>
      <c r="QH1243"/>
      <c r="QI1243"/>
      <c r="QJ1243"/>
      <c r="QK1243"/>
      <c r="QL1243"/>
      <c r="QM1243"/>
      <c r="QN1243"/>
      <c r="QO1243"/>
      <c r="QP1243"/>
      <c r="QQ1243"/>
      <c r="QR1243"/>
      <c r="QS1243"/>
      <c r="QT1243"/>
      <c r="QU1243"/>
      <c r="QV1243"/>
      <c r="QW1243"/>
      <c r="QX1243"/>
      <c r="QY1243"/>
      <c r="QZ1243"/>
      <c r="RA1243"/>
      <c r="RB1243"/>
      <c r="RC1243"/>
      <c r="RD1243"/>
      <c r="RE1243"/>
      <c r="RF1243"/>
      <c r="RG1243"/>
      <c r="RH1243"/>
      <c r="RI1243"/>
      <c r="RJ1243"/>
      <c r="RK1243"/>
      <c r="RL1243"/>
      <c r="RM1243"/>
      <c r="RN1243"/>
      <c r="RO1243"/>
      <c r="RP1243"/>
      <c r="RQ1243"/>
      <c r="RR1243"/>
      <c r="RS1243"/>
      <c r="RT1243"/>
      <c r="RU1243"/>
      <c r="RV1243"/>
      <c r="RW1243"/>
      <c r="RX1243"/>
      <c r="RY1243"/>
      <c r="RZ1243"/>
      <c r="SA1243"/>
      <c r="SB1243"/>
      <c r="SC1243"/>
      <c r="SD1243"/>
      <c r="SE1243"/>
      <c r="SF1243"/>
      <c r="SG1243"/>
      <c r="SH1243"/>
      <c r="SI1243"/>
      <c r="SJ1243"/>
      <c r="SK1243"/>
      <c r="SL1243"/>
      <c r="SM1243"/>
      <c r="SN1243"/>
      <c r="SO1243"/>
      <c r="SP1243"/>
      <c r="SQ1243"/>
      <c r="SR1243"/>
      <c r="SS1243"/>
      <c r="ST1243"/>
      <c r="SU1243"/>
      <c r="SV1243"/>
      <c r="SW1243"/>
      <c r="SX1243"/>
      <c r="SY1243"/>
      <c r="SZ1243"/>
      <c r="TA1243"/>
      <c r="TB1243"/>
      <c r="TC1243"/>
      <c r="TD1243"/>
      <c r="TE1243"/>
      <c r="TF1243"/>
      <c r="TG1243"/>
      <c r="TH1243"/>
      <c r="TI1243"/>
      <c r="TJ1243"/>
      <c r="TK1243"/>
      <c r="TL1243"/>
      <c r="TM1243"/>
      <c r="TN1243"/>
      <c r="TO1243"/>
      <c r="TP1243"/>
      <c r="TQ1243"/>
      <c r="TR1243"/>
      <c r="TS1243"/>
      <c r="TT1243"/>
      <c r="TU1243"/>
      <c r="TV1243"/>
      <c r="TW1243"/>
      <c r="TX1243"/>
      <c r="TY1243"/>
      <c r="TZ1243"/>
      <c r="UA1243"/>
      <c r="UB1243"/>
      <c r="UC1243"/>
      <c r="UD1243"/>
      <c r="UE1243"/>
      <c r="UF1243"/>
      <c r="UG1243"/>
      <c r="UH1243"/>
      <c r="UI1243"/>
      <c r="UJ1243"/>
      <c r="UK1243"/>
      <c r="UL1243"/>
      <c r="UM1243"/>
      <c r="UN1243"/>
      <c r="UO1243"/>
      <c r="UP1243"/>
      <c r="UQ1243"/>
      <c r="UR1243"/>
      <c r="US1243"/>
      <c r="UT1243"/>
      <c r="UU1243"/>
      <c r="UV1243"/>
      <c r="UW1243"/>
      <c r="UX1243"/>
      <c r="UY1243"/>
      <c r="UZ1243"/>
      <c r="VA1243"/>
      <c r="VB1243"/>
      <c r="VC1243"/>
      <c r="VD1243"/>
      <c r="VE1243"/>
      <c r="VF1243"/>
      <c r="VG1243"/>
      <c r="VH1243"/>
      <c r="VI1243"/>
      <c r="VJ1243"/>
      <c r="VK1243"/>
      <c r="VL1243"/>
      <c r="VM1243"/>
      <c r="VN1243"/>
      <c r="VO1243"/>
      <c r="VP1243"/>
      <c r="VQ1243"/>
      <c r="VR1243"/>
      <c r="VS1243"/>
      <c r="VT1243"/>
      <c r="VU1243"/>
      <c r="VV1243"/>
      <c r="VW1243"/>
      <c r="VX1243"/>
      <c r="VY1243"/>
      <c r="VZ1243"/>
      <c r="WA1243"/>
      <c r="WB1243"/>
      <c r="WC1243"/>
      <c r="WD1243"/>
      <c r="WE1243"/>
      <c r="WF1243"/>
      <c r="WG1243"/>
      <c r="WH1243"/>
      <c r="WI1243"/>
      <c r="WJ1243"/>
      <c r="WK1243"/>
      <c r="WL1243"/>
      <c r="WM1243"/>
      <c r="WN1243"/>
      <c r="WO1243"/>
      <c r="WP1243"/>
      <c r="WQ1243"/>
      <c r="WR1243"/>
      <c r="WS1243"/>
      <c r="WT1243"/>
      <c r="WU1243"/>
      <c r="WV1243"/>
      <c r="WW1243"/>
      <c r="WX1243"/>
      <c r="WY1243"/>
      <c r="WZ1243"/>
      <c r="XA1243"/>
      <c r="XB1243"/>
      <c r="XC1243"/>
      <c r="XD1243"/>
      <c r="XE1243"/>
      <c r="XF1243"/>
      <c r="XG1243"/>
      <c r="XH1243"/>
      <c r="XI1243"/>
      <c r="XJ1243"/>
      <c r="XK1243"/>
      <c r="XL1243"/>
      <c r="XM1243"/>
      <c r="XN1243"/>
      <c r="XO1243"/>
      <c r="XP1243"/>
      <c r="XQ1243"/>
      <c r="XR1243"/>
      <c r="XS1243"/>
      <c r="XT1243"/>
      <c r="XU1243"/>
      <c r="XV1243"/>
      <c r="XW1243"/>
      <c r="XX1243"/>
      <c r="XY1243"/>
      <c r="XZ1243"/>
      <c r="YA1243"/>
      <c r="YB1243"/>
      <c r="YC1243"/>
      <c r="YD1243"/>
      <c r="YE1243"/>
      <c r="YF1243"/>
      <c r="YG1243"/>
      <c r="YH1243"/>
      <c r="YI1243"/>
      <c r="YJ1243"/>
      <c r="YK1243"/>
      <c r="YL1243"/>
      <c r="YM1243"/>
      <c r="YN1243"/>
      <c r="YO1243"/>
      <c r="YP1243"/>
      <c r="YQ1243"/>
      <c r="YR1243"/>
      <c r="YS1243"/>
      <c r="YT1243"/>
      <c r="YU1243"/>
      <c r="YV1243"/>
      <c r="YW1243"/>
      <c r="YX1243"/>
      <c r="YY1243"/>
      <c r="YZ1243"/>
      <c r="ZA1243"/>
      <c r="ZB1243"/>
      <c r="ZC1243"/>
      <c r="ZD1243"/>
      <c r="ZE1243"/>
      <c r="ZF1243"/>
      <c r="ZG1243"/>
      <c r="ZH1243"/>
      <c r="ZI1243"/>
      <c r="ZJ1243"/>
      <c r="ZK1243"/>
      <c r="ZL1243"/>
      <c r="ZM1243"/>
      <c r="ZN1243"/>
      <c r="ZO1243"/>
      <c r="ZP1243"/>
      <c r="ZQ1243"/>
      <c r="ZR1243"/>
      <c r="ZS1243"/>
      <c r="ZT1243"/>
      <c r="ZU1243"/>
      <c r="ZV1243"/>
      <c r="ZW1243"/>
      <c r="ZX1243"/>
      <c r="ZY1243"/>
      <c r="ZZ1243"/>
      <c r="AAA1243"/>
      <c r="AAB1243"/>
      <c r="AAC1243"/>
      <c r="AAD1243"/>
      <c r="AAE1243"/>
      <c r="AAF1243"/>
      <c r="AAG1243"/>
      <c r="AAH1243"/>
      <c r="AAI1243"/>
      <c r="AAJ1243"/>
      <c r="AAK1243"/>
      <c r="AAL1243"/>
      <c r="AAM1243"/>
      <c r="AAN1243"/>
      <c r="AAO1243"/>
      <c r="AAP1243"/>
      <c r="AAQ1243"/>
      <c r="AAR1243"/>
      <c r="AAS1243"/>
      <c r="AAT1243"/>
      <c r="AAU1243"/>
      <c r="AAV1243"/>
      <c r="AAW1243"/>
      <c r="AAX1243"/>
      <c r="AAY1243"/>
      <c r="AAZ1243"/>
      <c r="ABA1243"/>
      <c r="ABB1243"/>
      <c r="ABC1243"/>
      <c r="ABD1243"/>
      <c r="ABE1243"/>
      <c r="ABF1243"/>
      <c r="ABG1243"/>
      <c r="ABH1243"/>
      <c r="ABI1243"/>
      <c r="ABJ1243"/>
      <c r="ABK1243"/>
      <c r="ABL1243"/>
      <c r="ABM1243"/>
      <c r="ABN1243"/>
      <c r="ABO1243"/>
      <c r="ABP1243"/>
      <c r="ABQ1243"/>
      <c r="ABR1243"/>
      <c r="ABS1243"/>
      <c r="ABT1243"/>
      <c r="ABU1243"/>
      <c r="ABV1243"/>
      <c r="ABW1243"/>
      <c r="ABX1243"/>
      <c r="ABY1243"/>
      <c r="ABZ1243"/>
      <c r="ACA1243"/>
      <c r="ACB1243"/>
      <c r="ACC1243"/>
      <c r="ACD1243"/>
      <c r="ACE1243"/>
      <c r="ACF1243"/>
      <c r="ACG1243"/>
      <c r="ACH1243"/>
      <c r="ACI1243"/>
      <c r="ACJ1243"/>
      <c r="ACK1243"/>
      <c r="ACL1243"/>
      <c r="ACM1243"/>
      <c r="ACN1243"/>
      <c r="ACO1243"/>
      <c r="ACP1243"/>
      <c r="ACQ1243"/>
      <c r="ACR1243"/>
      <c r="ACS1243"/>
      <c r="ACT1243"/>
      <c r="ACU1243"/>
      <c r="ACV1243"/>
      <c r="ACW1243"/>
      <c r="ACX1243"/>
      <c r="ACY1243"/>
      <c r="ACZ1243"/>
      <c r="ADA1243"/>
      <c r="ADB1243"/>
      <c r="ADC1243"/>
      <c r="ADD1243"/>
      <c r="ADE1243"/>
      <c r="ADF1243"/>
      <c r="ADG1243"/>
      <c r="ADH1243"/>
      <c r="ADI1243"/>
      <c r="ADJ1243"/>
      <c r="ADK1243"/>
      <c r="ADL1243"/>
      <c r="ADM1243"/>
      <c r="ADN1243"/>
      <c r="ADO1243"/>
      <c r="ADP1243"/>
      <c r="ADQ1243"/>
      <c r="ADR1243"/>
      <c r="ADS1243"/>
      <c r="ADT1243"/>
      <c r="ADU1243"/>
      <c r="ADV1243"/>
      <c r="ADW1243"/>
      <c r="ADX1243"/>
      <c r="ADY1243"/>
      <c r="ADZ1243"/>
      <c r="AEA1243"/>
      <c r="AEB1243"/>
      <c r="AEC1243"/>
      <c r="AED1243"/>
      <c r="AEE1243"/>
      <c r="AEF1243"/>
      <c r="AEG1243"/>
      <c r="AEH1243"/>
      <c r="AEI1243"/>
      <c r="AEJ1243"/>
      <c r="AEK1243"/>
      <c r="AEL1243"/>
      <c r="AEM1243"/>
      <c r="AEN1243"/>
      <c r="AEO1243"/>
      <c r="AEP1243"/>
      <c r="AEQ1243"/>
      <c r="AER1243"/>
      <c r="AES1243"/>
      <c r="AET1243"/>
      <c r="AEU1243"/>
      <c r="AEV1243"/>
      <c r="AEW1243"/>
      <c r="AEX1243"/>
      <c r="AEY1243"/>
      <c r="AEZ1243"/>
      <c r="AFA1243"/>
      <c r="AFB1243"/>
      <c r="AFC1243"/>
      <c r="AFD1243"/>
      <c r="AFE1243"/>
      <c r="AFF1243"/>
      <c r="AFG1243"/>
      <c r="AFH1243"/>
      <c r="AFI1243"/>
      <c r="AFJ1243"/>
      <c r="AFK1243"/>
      <c r="AFL1243"/>
      <c r="AFM1243"/>
      <c r="AFN1243"/>
      <c r="AFO1243"/>
      <c r="AFP1243"/>
      <c r="AFQ1243"/>
      <c r="AFR1243"/>
      <c r="AFS1243"/>
      <c r="AFT1243"/>
      <c r="AFU1243"/>
      <c r="AFV1243"/>
      <c r="AFW1243"/>
      <c r="AFX1243"/>
      <c r="AFY1243"/>
      <c r="AFZ1243"/>
      <c r="AGA1243"/>
      <c r="AGB1243"/>
      <c r="AGC1243"/>
      <c r="AGD1243"/>
      <c r="AGE1243"/>
      <c r="AGF1243"/>
      <c r="AGG1243"/>
      <c r="AGH1243"/>
      <c r="AGI1243"/>
      <c r="AGJ1243"/>
      <c r="AGK1243"/>
      <c r="AGL1243"/>
      <c r="AGM1243"/>
      <c r="AGN1243"/>
      <c r="AGO1243"/>
      <c r="AGP1243"/>
      <c r="AGQ1243"/>
      <c r="AGR1243"/>
      <c r="AGS1243"/>
      <c r="AGT1243"/>
      <c r="AGU1243"/>
      <c r="AGV1243"/>
      <c r="AGW1243"/>
      <c r="AGX1243"/>
      <c r="AGY1243"/>
      <c r="AGZ1243"/>
      <c r="AHA1243"/>
      <c r="AHB1243"/>
      <c r="AHC1243"/>
      <c r="AHD1243"/>
      <c r="AHE1243"/>
      <c r="AHF1243"/>
      <c r="AHG1243"/>
      <c r="AHH1243"/>
      <c r="AHI1243"/>
      <c r="AHJ1243"/>
      <c r="AHK1243"/>
      <c r="AHL1243"/>
      <c r="AHM1243"/>
      <c r="AHN1243"/>
      <c r="AHO1243"/>
      <c r="AHP1243"/>
      <c r="AHQ1243"/>
      <c r="AHR1243"/>
      <c r="AHS1243"/>
      <c r="AHT1243"/>
      <c r="AHU1243"/>
      <c r="AHV1243"/>
      <c r="AHW1243"/>
      <c r="AHX1243"/>
      <c r="AHY1243"/>
      <c r="AHZ1243"/>
      <c r="AIA1243"/>
      <c r="AIB1243"/>
      <c r="AIC1243"/>
      <c r="AID1243"/>
      <c r="AIE1243"/>
      <c r="AIF1243"/>
      <c r="AIG1243"/>
      <c r="AIH1243"/>
      <c r="AII1243"/>
      <c r="AIJ1243"/>
      <c r="AIK1243"/>
      <c r="AIL1243"/>
      <c r="AIM1243"/>
      <c r="AIN1243"/>
      <c r="AIO1243"/>
      <c r="AIP1243"/>
      <c r="AIQ1243"/>
      <c r="AIR1243"/>
      <c r="AIS1243"/>
      <c r="AIT1243"/>
      <c r="AIU1243"/>
      <c r="AIV1243"/>
      <c r="AIW1243"/>
      <c r="AIX1243"/>
      <c r="AIY1243"/>
      <c r="AIZ1243"/>
      <c r="AJA1243"/>
      <c r="AJB1243"/>
      <c r="AJC1243"/>
      <c r="AJD1243"/>
      <c r="AJE1243"/>
      <c r="AJF1243"/>
      <c r="AJG1243"/>
      <c r="AJH1243"/>
      <c r="AJI1243"/>
      <c r="AJJ1243"/>
      <c r="AJK1243"/>
      <c r="AJL1243"/>
      <c r="AJM1243"/>
      <c r="AJN1243"/>
      <c r="AJO1243"/>
      <c r="AJP1243"/>
      <c r="AJQ1243"/>
      <c r="AJR1243"/>
      <c r="AJS1243"/>
      <c r="AJT1243"/>
      <c r="AJU1243"/>
      <c r="AJV1243"/>
      <c r="AJW1243"/>
      <c r="AJX1243"/>
      <c r="AJY1243"/>
      <c r="AJZ1243"/>
      <c r="AKA1243"/>
      <c r="AKB1243"/>
      <c r="AKC1243"/>
      <c r="AKD1243"/>
      <c r="AKE1243"/>
      <c r="AKF1243"/>
      <c r="AKG1243"/>
      <c r="AKH1243"/>
      <c r="AKI1243"/>
      <c r="AKJ1243"/>
      <c r="AKK1243"/>
      <c r="AKL1243"/>
      <c r="AKM1243"/>
      <c r="AKN1243"/>
      <c r="AKO1243"/>
      <c r="AKP1243"/>
      <c r="AKQ1243"/>
      <c r="AKR1243"/>
      <c r="AKS1243"/>
      <c r="AKT1243"/>
      <c r="AKU1243"/>
      <c r="AKV1243"/>
      <c r="AKW1243"/>
      <c r="AKX1243"/>
      <c r="AKY1243"/>
      <c r="AKZ1243"/>
      <c r="ALA1243"/>
      <c r="ALB1243"/>
      <c r="ALC1243"/>
      <c r="ALD1243"/>
      <c r="ALE1243"/>
      <c r="ALF1243"/>
      <c r="ALG1243"/>
      <c r="ALH1243"/>
      <c r="ALI1243"/>
      <c r="ALJ1243"/>
      <c r="ALK1243"/>
      <c r="ALL1243"/>
      <c r="ALM1243"/>
      <c r="ALN1243"/>
      <c r="ALO1243"/>
      <c r="ALP1243"/>
      <c r="ALQ1243"/>
      <c r="ALR1243"/>
      <c r="ALS1243"/>
      <c r="ALT1243"/>
    </row>
    <row r="1244" spans="1:1008" ht="14">
      <c r="A1244" s="28" t="s">
        <v>3927</v>
      </c>
      <c r="B1244" s="26" t="s">
        <v>3992</v>
      </c>
      <c r="C1244" s="28" t="s">
        <v>3927</v>
      </c>
      <c r="D1244" s="25" t="s">
        <v>13</v>
      </c>
      <c r="E1244" s="28" t="s">
        <v>3927</v>
      </c>
      <c r="F1244" s="28" t="s">
        <v>3928</v>
      </c>
      <c r="G1244" s="28">
        <v>600</v>
      </c>
      <c r="H1244" s="28"/>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c r="AT1244"/>
      <c r="AU1244"/>
      <c r="AV1244"/>
      <c r="AW1244"/>
      <c r="AX1244"/>
      <c r="AY1244"/>
      <c r="AZ1244"/>
      <c r="BA1244"/>
      <c r="BB1244"/>
      <c r="BC1244"/>
      <c r="BD1244"/>
      <c r="BE1244"/>
      <c r="BF1244"/>
      <c r="BG1244"/>
      <c r="BH1244"/>
      <c r="BI1244"/>
      <c r="BJ1244"/>
      <c r="BK1244"/>
      <c r="BL1244"/>
      <c r="BM1244"/>
      <c r="BN1244"/>
      <c r="BO1244"/>
      <c r="BP1244"/>
      <c r="BQ1244"/>
      <c r="BR1244"/>
      <c r="BS1244"/>
      <c r="BT1244"/>
      <c r="BU1244"/>
      <c r="BV1244"/>
      <c r="BW1244"/>
      <c r="BX1244"/>
      <c r="BY1244"/>
      <c r="BZ1244"/>
      <c r="CA1244"/>
      <c r="CB1244"/>
      <c r="CC1244"/>
      <c r="CD1244"/>
      <c r="CE1244"/>
      <c r="CF1244"/>
      <c r="CG1244"/>
      <c r="CH1244"/>
      <c r="CI1244"/>
      <c r="CJ1244"/>
      <c r="CK1244"/>
      <c r="CL1244"/>
      <c r="CM1244"/>
      <c r="CN1244"/>
      <c r="CO1244"/>
      <c r="CP1244"/>
      <c r="CQ1244"/>
      <c r="CR1244"/>
      <c r="CS1244"/>
      <c r="CT1244"/>
      <c r="CU1244"/>
      <c r="CV1244"/>
      <c r="CW1244"/>
      <c r="CX1244"/>
      <c r="CY1244"/>
      <c r="CZ1244"/>
      <c r="DA1244"/>
      <c r="DB1244"/>
      <c r="DC1244"/>
      <c r="DD1244"/>
      <c r="DE1244"/>
      <c r="DF1244"/>
      <c r="DG1244"/>
      <c r="DH1244"/>
      <c r="DI1244"/>
      <c r="DJ1244"/>
      <c r="DK1244"/>
      <c r="DL1244"/>
      <c r="DM1244"/>
      <c r="DN1244"/>
      <c r="DO1244"/>
      <c r="DP1244"/>
      <c r="DQ1244"/>
      <c r="DR1244"/>
      <c r="DS1244"/>
      <c r="DT1244"/>
      <c r="DU1244"/>
      <c r="DV1244"/>
      <c r="DW1244"/>
      <c r="DX1244"/>
      <c r="DY1244"/>
      <c r="DZ1244"/>
      <c r="EA1244"/>
      <c r="EB1244"/>
      <c r="EC1244"/>
      <c r="ED1244"/>
      <c r="EE1244"/>
      <c r="EF1244"/>
      <c r="EG1244"/>
      <c r="EH1244"/>
      <c r="EI1244"/>
      <c r="EJ1244"/>
      <c r="EK1244"/>
      <c r="EL1244"/>
      <c r="EM1244"/>
      <c r="EN1244"/>
      <c r="EO1244"/>
      <c r="EP1244"/>
      <c r="EQ1244"/>
      <c r="ER1244"/>
      <c r="ES1244"/>
      <c r="ET1244"/>
      <c r="EU1244"/>
      <c r="EV1244"/>
      <c r="EW1244"/>
      <c r="EX1244"/>
      <c r="EY1244"/>
      <c r="EZ1244"/>
      <c r="FA1244"/>
      <c r="FB1244"/>
      <c r="FC1244"/>
      <c r="FD1244"/>
      <c r="FE1244"/>
      <c r="FF1244"/>
      <c r="FG1244"/>
      <c r="FH1244"/>
      <c r="FI1244"/>
      <c r="FJ1244"/>
      <c r="FK1244"/>
      <c r="FL1244"/>
      <c r="FM1244"/>
      <c r="FN1244"/>
      <c r="FO1244"/>
      <c r="FP1244"/>
      <c r="FQ1244"/>
      <c r="FR1244"/>
      <c r="FS1244"/>
      <c r="FT1244"/>
      <c r="FU1244"/>
      <c r="FV1244"/>
      <c r="FW1244"/>
      <c r="FX1244"/>
      <c r="FY1244"/>
      <c r="FZ1244"/>
      <c r="GA1244"/>
      <c r="GB1244"/>
      <c r="GC1244"/>
      <c r="GD1244"/>
      <c r="GE1244"/>
      <c r="GF1244"/>
      <c r="GG1244"/>
      <c r="GH1244"/>
      <c r="GI1244"/>
      <c r="GJ1244"/>
      <c r="GK1244"/>
      <c r="GL1244"/>
      <c r="GM1244"/>
      <c r="GN1244"/>
      <c r="GO1244"/>
      <c r="GP1244"/>
      <c r="GQ1244"/>
      <c r="GR1244"/>
      <c r="GS1244"/>
      <c r="GT1244"/>
      <c r="GU1244"/>
      <c r="GV1244"/>
      <c r="GW1244"/>
      <c r="GX1244"/>
      <c r="GY1244"/>
      <c r="GZ1244"/>
      <c r="HA1244"/>
      <c r="HB1244"/>
      <c r="HC1244"/>
      <c r="HD1244"/>
      <c r="HE1244"/>
      <c r="HF1244"/>
      <c r="HG1244"/>
      <c r="HH1244"/>
      <c r="HI1244"/>
      <c r="HJ1244"/>
      <c r="HK1244"/>
      <c r="HL1244"/>
      <c r="HM1244"/>
      <c r="HN1244"/>
      <c r="HO1244"/>
      <c r="HP1244"/>
      <c r="HQ1244"/>
      <c r="HR1244"/>
      <c r="HS1244"/>
      <c r="HT1244"/>
      <c r="HU1244"/>
      <c r="HV1244"/>
      <c r="HW1244"/>
      <c r="HX1244"/>
      <c r="HY1244"/>
      <c r="HZ1244"/>
      <c r="IA1244"/>
      <c r="IB1244"/>
      <c r="IC1244"/>
      <c r="ID1244"/>
      <c r="IE1244"/>
      <c r="IF1244"/>
      <c r="IG1244"/>
      <c r="IH1244"/>
      <c r="II1244"/>
      <c r="IJ1244"/>
      <c r="IK1244"/>
      <c r="IL1244"/>
      <c r="IM1244"/>
      <c r="IN1244"/>
      <c r="IO1244"/>
      <c r="IP1244"/>
      <c r="IQ1244"/>
      <c r="IR1244"/>
      <c r="IS1244"/>
      <c r="IT1244"/>
      <c r="IU1244"/>
      <c r="IV1244"/>
      <c r="IW1244"/>
      <c r="IX1244"/>
      <c r="IY1244"/>
      <c r="IZ1244"/>
      <c r="JA1244"/>
      <c r="JB1244"/>
      <c r="JC1244"/>
      <c r="JD1244"/>
      <c r="JE1244"/>
      <c r="JF1244"/>
      <c r="JG1244"/>
      <c r="JH1244"/>
      <c r="JI1244"/>
      <c r="JJ1244"/>
      <c r="JK1244"/>
      <c r="JL1244"/>
      <c r="JM1244"/>
      <c r="JN1244"/>
      <c r="JO1244"/>
      <c r="JP1244"/>
      <c r="JQ1244"/>
      <c r="JR1244"/>
      <c r="JS1244"/>
      <c r="JT1244"/>
      <c r="JU1244"/>
      <c r="JV1244"/>
      <c r="JW1244"/>
      <c r="JX1244"/>
      <c r="JY1244"/>
      <c r="JZ1244"/>
      <c r="KA1244"/>
      <c r="KB1244"/>
      <c r="KC1244"/>
      <c r="KD1244"/>
      <c r="KE1244"/>
      <c r="KF1244"/>
      <c r="KG1244"/>
      <c r="KH1244"/>
      <c r="KI1244"/>
      <c r="KJ1244"/>
      <c r="KK1244"/>
      <c r="KL1244"/>
      <c r="KM1244"/>
      <c r="KN1244"/>
      <c r="KO1244"/>
      <c r="KP1244"/>
      <c r="KQ1244"/>
      <c r="KR1244"/>
      <c r="KS1244"/>
      <c r="KT1244"/>
      <c r="KU1244"/>
      <c r="KV1244"/>
      <c r="KW1244"/>
      <c r="KX1244"/>
      <c r="KY1244"/>
      <c r="KZ1244"/>
      <c r="LA1244"/>
      <c r="LB1244"/>
      <c r="LC1244"/>
      <c r="LD1244"/>
      <c r="LE1244"/>
      <c r="LF1244"/>
      <c r="LG1244"/>
      <c r="LH1244"/>
      <c r="LI1244"/>
      <c r="LJ1244"/>
      <c r="LK1244"/>
      <c r="LL1244"/>
      <c r="LM1244"/>
      <c r="LN1244"/>
      <c r="LO1244"/>
      <c r="LP1244"/>
      <c r="LQ1244"/>
      <c r="LR1244"/>
      <c r="LS1244"/>
      <c r="LT1244"/>
      <c r="LU1244"/>
      <c r="LV1244"/>
      <c r="LW1244"/>
      <c r="LX1244"/>
      <c r="LY1244"/>
      <c r="LZ1244"/>
      <c r="MA1244"/>
      <c r="MB1244"/>
      <c r="MC1244"/>
      <c r="MD1244"/>
      <c r="ME1244"/>
      <c r="MF1244"/>
      <c r="MG1244"/>
      <c r="MH1244"/>
      <c r="MI1244"/>
      <c r="MJ1244"/>
      <c r="MK1244"/>
      <c r="ML1244"/>
      <c r="MM1244"/>
      <c r="MN1244"/>
      <c r="MO1244"/>
      <c r="MP1244"/>
      <c r="MQ1244"/>
      <c r="MR1244"/>
      <c r="MS1244"/>
      <c r="MT1244"/>
      <c r="MU1244"/>
      <c r="MV1244"/>
      <c r="MW1244"/>
      <c r="MX1244"/>
      <c r="MY1244"/>
      <c r="MZ1244"/>
      <c r="NA1244"/>
      <c r="NB1244"/>
      <c r="NC1244"/>
      <c r="ND1244"/>
      <c r="NE1244"/>
      <c r="NF1244"/>
      <c r="NG1244"/>
      <c r="NH1244"/>
      <c r="NI1244"/>
      <c r="NJ1244"/>
      <c r="NK1244"/>
      <c r="NL1244"/>
      <c r="NM1244"/>
      <c r="NN1244"/>
      <c r="NO1244"/>
      <c r="NP1244"/>
      <c r="NQ1244"/>
      <c r="NR1244"/>
      <c r="NS1244"/>
      <c r="NT1244"/>
      <c r="NU1244"/>
      <c r="NV1244"/>
      <c r="NW1244"/>
      <c r="NX1244"/>
      <c r="NY1244"/>
      <c r="NZ1244"/>
      <c r="OA1244"/>
      <c r="OB1244"/>
      <c r="OC1244"/>
      <c r="OD1244"/>
      <c r="OE1244"/>
      <c r="OF1244"/>
      <c r="OG1244"/>
      <c r="OH1244"/>
      <c r="OI1244"/>
      <c r="OJ1244"/>
      <c r="OK1244"/>
      <c r="OL1244"/>
      <c r="OM1244"/>
      <c r="ON1244"/>
      <c r="OO1244"/>
      <c r="OP1244"/>
      <c r="OQ1244"/>
      <c r="OR1244"/>
      <c r="OS1244"/>
      <c r="OT1244"/>
      <c r="OU1244"/>
      <c r="OV1244"/>
      <c r="OW1244"/>
      <c r="OX1244"/>
      <c r="OY1244"/>
      <c r="OZ1244"/>
      <c r="PA1244"/>
      <c r="PB1244"/>
      <c r="PC1244"/>
      <c r="PD1244"/>
      <c r="PE1244"/>
      <c r="PF1244"/>
      <c r="PG1244"/>
      <c r="PH1244"/>
      <c r="PI1244"/>
      <c r="PJ1244"/>
      <c r="PK1244"/>
      <c r="PL1244"/>
      <c r="PM1244"/>
      <c r="PN1244"/>
      <c r="PO1244"/>
      <c r="PP1244"/>
      <c r="PQ1244"/>
      <c r="PR1244"/>
      <c r="PS1244"/>
      <c r="PT1244"/>
      <c r="PU1244"/>
      <c r="PV1244"/>
      <c r="PW1244"/>
      <c r="PX1244"/>
      <c r="PY1244"/>
      <c r="PZ1244"/>
      <c r="QA1244"/>
      <c r="QB1244"/>
      <c r="QC1244"/>
      <c r="QD1244"/>
      <c r="QE1244"/>
      <c r="QF1244"/>
      <c r="QG1244"/>
      <c r="QH1244"/>
      <c r="QI1244"/>
      <c r="QJ1244"/>
      <c r="QK1244"/>
      <c r="QL1244"/>
      <c r="QM1244"/>
      <c r="QN1244"/>
      <c r="QO1244"/>
      <c r="QP1244"/>
      <c r="QQ1244"/>
      <c r="QR1244"/>
      <c r="QS1244"/>
      <c r="QT1244"/>
      <c r="QU1244"/>
      <c r="QV1244"/>
      <c r="QW1244"/>
      <c r="QX1244"/>
      <c r="QY1244"/>
      <c r="QZ1244"/>
      <c r="RA1244"/>
      <c r="RB1244"/>
      <c r="RC1244"/>
      <c r="RD1244"/>
      <c r="RE1244"/>
      <c r="RF1244"/>
      <c r="RG1244"/>
      <c r="RH1244"/>
      <c r="RI1244"/>
      <c r="RJ1244"/>
      <c r="RK1244"/>
      <c r="RL1244"/>
      <c r="RM1244"/>
      <c r="RN1244"/>
      <c r="RO1244"/>
      <c r="RP1244"/>
      <c r="RQ1244"/>
      <c r="RR1244"/>
      <c r="RS1244"/>
      <c r="RT1244"/>
      <c r="RU1244"/>
      <c r="RV1244"/>
      <c r="RW1244"/>
      <c r="RX1244"/>
      <c r="RY1244"/>
      <c r="RZ1244"/>
      <c r="SA1244"/>
      <c r="SB1244"/>
      <c r="SC1244"/>
      <c r="SD1244"/>
      <c r="SE1244"/>
      <c r="SF1244"/>
      <c r="SG1244"/>
      <c r="SH1244"/>
      <c r="SI1244"/>
      <c r="SJ1244"/>
      <c r="SK1244"/>
      <c r="SL1244"/>
      <c r="SM1244"/>
      <c r="SN1244"/>
      <c r="SO1244"/>
      <c r="SP1244"/>
      <c r="SQ1244"/>
      <c r="SR1244"/>
      <c r="SS1244"/>
      <c r="ST1244"/>
      <c r="SU1244"/>
      <c r="SV1244"/>
      <c r="SW1244"/>
      <c r="SX1244"/>
      <c r="SY1244"/>
      <c r="SZ1244"/>
      <c r="TA1244"/>
      <c r="TB1244"/>
      <c r="TC1244"/>
      <c r="TD1244"/>
      <c r="TE1244"/>
      <c r="TF1244"/>
      <c r="TG1244"/>
      <c r="TH1244"/>
      <c r="TI1244"/>
      <c r="TJ1244"/>
      <c r="TK1244"/>
      <c r="TL1244"/>
      <c r="TM1244"/>
      <c r="TN1244"/>
      <c r="TO1244"/>
      <c r="TP1244"/>
      <c r="TQ1244"/>
      <c r="TR1244"/>
      <c r="TS1244"/>
      <c r="TT1244"/>
      <c r="TU1244"/>
      <c r="TV1244"/>
      <c r="TW1244"/>
      <c r="TX1244"/>
      <c r="TY1244"/>
      <c r="TZ1244"/>
      <c r="UA1244"/>
      <c r="UB1244"/>
      <c r="UC1244"/>
      <c r="UD1244"/>
      <c r="UE1244"/>
      <c r="UF1244"/>
      <c r="UG1244"/>
      <c r="UH1244"/>
      <c r="UI1244"/>
      <c r="UJ1244"/>
      <c r="UK1244"/>
      <c r="UL1244"/>
      <c r="UM1244"/>
      <c r="UN1244"/>
      <c r="UO1244"/>
      <c r="UP1244"/>
      <c r="UQ1244"/>
      <c r="UR1244"/>
      <c r="US1244"/>
      <c r="UT1244"/>
      <c r="UU1244"/>
      <c r="UV1244"/>
      <c r="UW1244"/>
      <c r="UX1244"/>
      <c r="UY1244"/>
      <c r="UZ1244"/>
      <c r="VA1244"/>
      <c r="VB1244"/>
      <c r="VC1244"/>
      <c r="VD1244"/>
      <c r="VE1244"/>
      <c r="VF1244"/>
      <c r="VG1244"/>
      <c r="VH1244"/>
      <c r="VI1244"/>
      <c r="VJ1244"/>
      <c r="VK1244"/>
      <c r="VL1244"/>
      <c r="VM1244"/>
      <c r="VN1244"/>
      <c r="VO1244"/>
      <c r="VP1244"/>
      <c r="VQ1244"/>
      <c r="VR1244"/>
      <c r="VS1244"/>
      <c r="VT1244"/>
      <c r="VU1244"/>
      <c r="VV1244"/>
      <c r="VW1244"/>
      <c r="VX1244"/>
      <c r="VY1244"/>
      <c r="VZ1244"/>
      <c r="WA1244"/>
      <c r="WB1244"/>
      <c r="WC1244"/>
      <c r="WD1244"/>
      <c r="WE1244"/>
      <c r="WF1244"/>
      <c r="WG1244"/>
      <c r="WH1244"/>
      <c r="WI1244"/>
      <c r="WJ1244"/>
      <c r="WK1244"/>
      <c r="WL1244"/>
      <c r="WM1244"/>
      <c r="WN1244"/>
      <c r="WO1244"/>
      <c r="WP1244"/>
      <c r="WQ1244"/>
      <c r="WR1244"/>
      <c r="WS1244"/>
      <c r="WT1244"/>
      <c r="WU1244"/>
      <c r="WV1244"/>
      <c r="WW1244"/>
      <c r="WX1244"/>
      <c r="WY1244"/>
      <c r="WZ1244"/>
      <c r="XA1244"/>
      <c r="XB1244"/>
      <c r="XC1244"/>
      <c r="XD1244"/>
      <c r="XE1244"/>
      <c r="XF1244"/>
      <c r="XG1244"/>
      <c r="XH1244"/>
      <c r="XI1244"/>
      <c r="XJ1244"/>
      <c r="XK1244"/>
      <c r="XL1244"/>
      <c r="XM1244"/>
      <c r="XN1244"/>
      <c r="XO1244"/>
      <c r="XP1244"/>
      <c r="XQ1244"/>
      <c r="XR1244"/>
      <c r="XS1244"/>
      <c r="XT1244"/>
      <c r="XU1244"/>
      <c r="XV1244"/>
      <c r="XW1244"/>
      <c r="XX1244"/>
      <c r="XY1244"/>
      <c r="XZ1244"/>
      <c r="YA1244"/>
      <c r="YB1244"/>
      <c r="YC1244"/>
      <c r="YD1244"/>
      <c r="YE1244"/>
      <c r="YF1244"/>
      <c r="YG1244"/>
      <c r="YH1244"/>
      <c r="YI1244"/>
      <c r="YJ1244"/>
      <c r="YK1244"/>
      <c r="YL1244"/>
      <c r="YM1244"/>
      <c r="YN1244"/>
      <c r="YO1244"/>
      <c r="YP1244"/>
      <c r="YQ1244"/>
      <c r="YR1244"/>
      <c r="YS1244"/>
      <c r="YT1244"/>
      <c r="YU1244"/>
      <c r="YV1244"/>
      <c r="YW1244"/>
      <c r="YX1244"/>
      <c r="YY1244"/>
      <c r="YZ1244"/>
      <c r="ZA1244"/>
      <c r="ZB1244"/>
      <c r="ZC1244"/>
      <c r="ZD1244"/>
      <c r="ZE1244"/>
      <c r="ZF1244"/>
      <c r="ZG1244"/>
      <c r="ZH1244"/>
      <c r="ZI1244"/>
      <c r="ZJ1244"/>
      <c r="ZK1244"/>
      <c r="ZL1244"/>
      <c r="ZM1244"/>
      <c r="ZN1244"/>
      <c r="ZO1244"/>
      <c r="ZP1244"/>
      <c r="ZQ1244"/>
      <c r="ZR1244"/>
      <c r="ZS1244"/>
      <c r="ZT1244"/>
      <c r="ZU1244"/>
      <c r="ZV1244"/>
      <c r="ZW1244"/>
      <c r="ZX1244"/>
      <c r="ZY1244"/>
      <c r="ZZ1244"/>
      <c r="AAA1244"/>
      <c r="AAB1244"/>
      <c r="AAC1244"/>
      <c r="AAD1244"/>
      <c r="AAE1244"/>
      <c r="AAF1244"/>
      <c r="AAG1244"/>
      <c r="AAH1244"/>
      <c r="AAI1244"/>
      <c r="AAJ1244"/>
      <c r="AAK1244"/>
      <c r="AAL1244"/>
      <c r="AAM1244"/>
      <c r="AAN1244"/>
      <c r="AAO1244"/>
      <c r="AAP1244"/>
      <c r="AAQ1244"/>
      <c r="AAR1244"/>
      <c r="AAS1244"/>
      <c r="AAT1244"/>
      <c r="AAU1244"/>
      <c r="AAV1244"/>
      <c r="AAW1244"/>
      <c r="AAX1244"/>
      <c r="AAY1244"/>
      <c r="AAZ1244"/>
      <c r="ABA1244"/>
      <c r="ABB1244"/>
      <c r="ABC1244"/>
      <c r="ABD1244"/>
      <c r="ABE1244"/>
      <c r="ABF1244"/>
      <c r="ABG1244"/>
      <c r="ABH1244"/>
      <c r="ABI1244"/>
      <c r="ABJ1244"/>
      <c r="ABK1244"/>
      <c r="ABL1244"/>
      <c r="ABM1244"/>
      <c r="ABN1244"/>
      <c r="ABO1244"/>
      <c r="ABP1244"/>
      <c r="ABQ1244"/>
      <c r="ABR1244"/>
      <c r="ABS1244"/>
      <c r="ABT1244"/>
      <c r="ABU1244"/>
      <c r="ABV1244"/>
      <c r="ABW1244"/>
      <c r="ABX1244"/>
      <c r="ABY1244"/>
      <c r="ABZ1244"/>
      <c r="ACA1244"/>
      <c r="ACB1244"/>
      <c r="ACC1244"/>
      <c r="ACD1244"/>
      <c r="ACE1244"/>
      <c r="ACF1244"/>
      <c r="ACG1244"/>
      <c r="ACH1244"/>
      <c r="ACI1244"/>
      <c r="ACJ1244"/>
      <c r="ACK1244"/>
      <c r="ACL1244"/>
      <c r="ACM1244"/>
      <c r="ACN1244"/>
      <c r="ACO1244"/>
      <c r="ACP1244"/>
      <c r="ACQ1244"/>
      <c r="ACR1244"/>
      <c r="ACS1244"/>
      <c r="ACT1244"/>
      <c r="ACU1244"/>
      <c r="ACV1244"/>
      <c r="ACW1244"/>
      <c r="ACX1244"/>
      <c r="ACY1244"/>
      <c r="ACZ1244"/>
      <c r="ADA1244"/>
      <c r="ADB1244"/>
      <c r="ADC1244"/>
      <c r="ADD1244"/>
      <c r="ADE1244"/>
      <c r="ADF1244"/>
      <c r="ADG1244"/>
      <c r="ADH1244"/>
      <c r="ADI1244"/>
      <c r="ADJ1244"/>
      <c r="ADK1244"/>
      <c r="ADL1244"/>
      <c r="ADM1244"/>
      <c r="ADN1244"/>
      <c r="ADO1244"/>
      <c r="ADP1244"/>
      <c r="ADQ1244"/>
      <c r="ADR1244"/>
      <c r="ADS1244"/>
      <c r="ADT1244"/>
      <c r="ADU1244"/>
      <c r="ADV1244"/>
      <c r="ADW1244"/>
      <c r="ADX1244"/>
      <c r="ADY1244"/>
      <c r="ADZ1244"/>
      <c r="AEA1244"/>
      <c r="AEB1244"/>
      <c r="AEC1244"/>
      <c r="AED1244"/>
      <c r="AEE1244"/>
      <c r="AEF1244"/>
      <c r="AEG1244"/>
      <c r="AEH1244"/>
      <c r="AEI1244"/>
      <c r="AEJ1244"/>
      <c r="AEK1244"/>
      <c r="AEL1244"/>
      <c r="AEM1244"/>
      <c r="AEN1244"/>
      <c r="AEO1244"/>
      <c r="AEP1244"/>
      <c r="AEQ1244"/>
      <c r="AER1244"/>
      <c r="AES1244"/>
      <c r="AET1244"/>
      <c r="AEU1244"/>
      <c r="AEV1244"/>
      <c r="AEW1244"/>
      <c r="AEX1244"/>
      <c r="AEY1244"/>
      <c r="AEZ1244"/>
      <c r="AFA1244"/>
      <c r="AFB1244"/>
      <c r="AFC1244"/>
      <c r="AFD1244"/>
      <c r="AFE1244"/>
      <c r="AFF1244"/>
      <c r="AFG1244"/>
      <c r="AFH1244"/>
      <c r="AFI1244"/>
      <c r="AFJ1244"/>
      <c r="AFK1244"/>
      <c r="AFL1244"/>
      <c r="AFM1244"/>
      <c r="AFN1244"/>
      <c r="AFO1244"/>
      <c r="AFP1244"/>
      <c r="AFQ1244"/>
      <c r="AFR1244"/>
      <c r="AFS1244"/>
      <c r="AFT1244"/>
      <c r="AFU1244"/>
      <c r="AFV1244"/>
      <c r="AFW1244"/>
      <c r="AFX1244"/>
      <c r="AFY1244"/>
      <c r="AFZ1244"/>
      <c r="AGA1244"/>
      <c r="AGB1244"/>
      <c r="AGC1244"/>
      <c r="AGD1244"/>
      <c r="AGE1244"/>
      <c r="AGF1244"/>
      <c r="AGG1244"/>
      <c r="AGH1244"/>
      <c r="AGI1244"/>
      <c r="AGJ1244"/>
      <c r="AGK1244"/>
      <c r="AGL1244"/>
      <c r="AGM1244"/>
      <c r="AGN1244"/>
      <c r="AGO1244"/>
      <c r="AGP1244"/>
      <c r="AGQ1244"/>
      <c r="AGR1244"/>
      <c r="AGS1244"/>
      <c r="AGT1244"/>
      <c r="AGU1244"/>
      <c r="AGV1244"/>
      <c r="AGW1244"/>
      <c r="AGX1244"/>
      <c r="AGY1244"/>
      <c r="AGZ1244"/>
      <c r="AHA1244"/>
      <c r="AHB1244"/>
      <c r="AHC1244"/>
      <c r="AHD1244"/>
      <c r="AHE1244"/>
      <c r="AHF1244"/>
      <c r="AHG1244"/>
      <c r="AHH1244"/>
      <c r="AHI1244"/>
      <c r="AHJ1244"/>
      <c r="AHK1244"/>
      <c r="AHL1244"/>
      <c r="AHM1244"/>
      <c r="AHN1244"/>
      <c r="AHO1244"/>
      <c r="AHP1244"/>
      <c r="AHQ1244"/>
      <c r="AHR1244"/>
      <c r="AHS1244"/>
      <c r="AHT1244"/>
      <c r="AHU1244"/>
      <c r="AHV1244"/>
      <c r="AHW1244"/>
      <c r="AHX1244"/>
      <c r="AHY1244"/>
      <c r="AHZ1244"/>
      <c r="AIA1244"/>
      <c r="AIB1244"/>
      <c r="AIC1244"/>
      <c r="AID1244"/>
      <c r="AIE1244"/>
      <c r="AIF1244"/>
      <c r="AIG1244"/>
      <c r="AIH1244"/>
      <c r="AII1244"/>
      <c r="AIJ1244"/>
      <c r="AIK1244"/>
      <c r="AIL1244"/>
      <c r="AIM1244"/>
      <c r="AIN1244"/>
      <c r="AIO1244"/>
      <c r="AIP1244"/>
      <c r="AIQ1244"/>
      <c r="AIR1244"/>
      <c r="AIS1244"/>
      <c r="AIT1244"/>
      <c r="AIU1244"/>
      <c r="AIV1244"/>
      <c r="AIW1244"/>
      <c r="AIX1244"/>
      <c r="AIY1244"/>
      <c r="AIZ1244"/>
      <c r="AJA1244"/>
      <c r="AJB1244"/>
      <c r="AJC1244"/>
      <c r="AJD1244"/>
      <c r="AJE1244"/>
      <c r="AJF1244"/>
      <c r="AJG1244"/>
      <c r="AJH1244"/>
      <c r="AJI1244"/>
      <c r="AJJ1244"/>
      <c r="AJK1244"/>
      <c r="AJL1244"/>
      <c r="AJM1244"/>
      <c r="AJN1244"/>
      <c r="AJO1244"/>
      <c r="AJP1244"/>
      <c r="AJQ1244"/>
      <c r="AJR1244"/>
      <c r="AJS1244"/>
      <c r="AJT1244"/>
      <c r="AJU1244"/>
      <c r="AJV1244"/>
      <c r="AJW1244"/>
      <c r="AJX1244"/>
      <c r="AJY1244"/>
      <c r="AJZ1244"/>
      <c r="AKA1244"/>
      <c r="AKB1244"/>
      <c r="AKC1244"/>
      <c r="AKD1244"/>
      <c r="AKE1244"/>
      <c r="AKF1244"/>
      <c r="AKG1244"/>
      <c r="AKH1244"/>
      <c r="AKI1244"/>
      <c r="AKJ1244"/>
      <c r="AKK1244"/>
      <c r="AKL1244"/>
      <c r="AKM1244"/>
      <c r="AKN1244"/>
      <c r="AKO1244"/>
      <c r="AKP1244"/>
      <c r="AKQ1244"/>
      <c r="AKR1244"/>
      <c r="AKS1244"/>
      <c r="AKT1244"/>
      <c r="AKU1244"/>
      <c r="AKV1244"/>
      <c r="AKW1244"/>
      <c r="AKX1244"/>
      <c r="AKY1244"/>
      <c r="AKZ1244"/>
      <c r="ALA1244"/>
      <c r="ALB1244"/>
      <c r="ALC1244"/>
      <c r="ALD1244"/>
      <c r="ALE1244"/>
      <c r="ALF1244"/>
      <c r="ALG1244"/>
      <c r="ALH1244"/>
      <c r="ALI1244"/>
      <c r="ALJ1244"/>
      <c r="ALK1244"/>
      <c r="ALL1244"/>
      <c r="ALM1244"/>
      <c r="ALN1244"/>
      <c r="ALO1244"/>
      <c r="ALP1244"/>
      <c r="ALQ1244"/>
      <c r="ALR1244"/>
      <c r="ALS1244"/>
      <c r="ALT1244"/>
    </row>
    <row r="1245" spans="1:1008" ht="14">
      <c r="A1245" s="28" t="s">
        <v>3929</v>
      </c>
      <c r="B1245" s="26" t="s">
        <v>3992</v>
      </c>
      <c r="C1245" s="28" t="s">
        <v>3929</v>
      </c>
      <c r="D1245" s="25" t="s">
        <v>13</v>
      </c>
      <c r="E1245" s="28" t="s">
        <v>3929</v>
      </c>
      <c r="F1245" s="28" t="s">
        <v>3930</v>
      </c>
      <c r="G1245" s="28">
        <v>580</v>
      </c>
      <c r="H1245" s="28"/>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c r="AT1245"/>
      <c r="AU1245"/>
      <c r="AV1245"/>
      <c r="AW1245"/>
      <c r="AX1245"/>
      <c r="AY1245"/>
      <c r="AZ1245"/>
      <c r="BA1245"/>
      <c r="BB1245"/>
      <c r="BC1245"/>
      <c r="BD1245"/>
      <c r="BE1245"/>
      <c r="BF1245"/>
      <c r="BG1245"/>
      <c r="BH1245"/>
      <c r="BI1245"/>
      <c r="BJ1245"/>
      <c r="BK1245"/>
      <c r="BL1245"/>
      <c r="BM1245"/>
      <c r="BN1245"/>
      <c r="BO1245"/>
      <c r="BP1245"/>
      <c r="BQ1245"/>
      <c r="BR1245"/>
      <c r="BS1245"/>
      <c r="BT1245"/>
      <c r="BU1245"/>
      <c r="BV1245"/>
      <c r="BW1245"/>
      <c r="BX1245"/>
      <c r="BY1245"/>
      <c r="BZ1245"/>
      <c r="CA1245"/>
      <c r="CB1245"/>
      <c r="CC1245"/>
      <c r="CD1245"/>
      <c r="CE1245"/>
      <c r="CF1245"/>
      <c r="CG1245"/>
      <c r="CH1245"/>
      <c r="CI1245"/>
      <c r="CJ1245"/>
      <c r="CK1245"/>
      <c r="CL1245"/>
      <c r="CM1245"/>
      <c r="CN1245"/>
      <c r="CO1245"/>
      <c r="CP1245"/>
      <c r="CQ1245"/>
      <c r="CR1245"/>
      <c r="CS1245"/>
      <c r="CT1245"/>
      <c r="CU1245"/>
      <c r="CV1245"/>
      <c r="CW1245"/>
      <c r="CX1245"/>
      <c r="CY1245"/>
      <c r="CZ1245"/>
      <c r="DA1245"/>
      <c r="DB1245"/>
      <c r="DC1245"/>
      <c r="DD1245"/>
      <c r="DE1245"/>
      <c r="DF1245"/>
      <c r="DG1245"/>
      <c r="DH1245"/>
      <c r="DI1245"/>
      <c r="DJ1245"/>
      <c r="DK1245"/>
      <c r="DL1245"/>
      <c r="DM1245"/>
      <c r="DN1245"/>
      <c r="DO1245"/>
      <c r="DP1245"/>
      <c r="DQ1245"/>
      <c r="DR1245"/>
      <c r="DS1245"/>
      <c r="DT1245"/>
      <c r="DU1245"/>
      <c r="DV1245"/>
      <c r="DW1245"/>
      <c r="DX1245"/>
      <c r="DY1245"/>
      <c r="DZ1245"/>
      <c r="EA1245"/>
      <c r="EB1245"/>
      <c r="EC1245"/>
      <c r="ED1245"/>
      <c r="EE1245"/>
      <c r="EF1245"/>
      <c r="EG1245"/>
      <c r="EH1245"/>
      <c r="EI1245"/>
      <c r="EJ1245"/>
      <c r="EK1245"/>
      <c r="EL1245"/>
      <c r="EM1245"/>
      <c r="EN1245"/>
      <c r="EO1245"/>
      <c r="EP1245"/>
      <c r="EQ1245"/>
      <c r="ER1245"/>
      <c r="ES1245"/>
      <c r="ET1245"/>
      <c r="EU1245"/>
      <c r="EV1245"/>
      <c r="EW1245"/>
      <c r="EX1245"/>
      <c r="EY1245"/>
      <c r="EZ1245"/>
      <c r="FA1245"/>
      <c r="FB1245"/>
      <c r="FC1245"/>
      <c r="FD1245"/>
      <c r="FE1245"/>
      <c r="FF1245"/>
      <c r="FG1245"/>
      <c r="FH1245"/>
      <c r="FI1245"/>
      <c r="FJ1245"/>
      <c r="FK1245"/>
      <c r="FL1245"/>
      <c r="FM1245"/>
      <c r="FN1245"/>
      <c r="FO1245"/>
      <c r="FP1245"/>
      <c r="FQ1245"/>
      <c r="FR1245"/>
      <c r="FS1245"/>
      <c r="FT1245"/>
      <c r="FU1245"/>
      <c r="FV1245"/>
      <c r="FW1245"/>
      <c r="FX1245"/>
      <c r="FY1245"/>
      <c r="FZ1245"/>
      <c r="GA1245"/>
      <c r="GB1245"/>
      <c r="GC1245"/>
      <c r="GD1245"/>
      <c r="GE1245"/>
      <c r="GF1245"/>
      <c r="GG1245"/>
      <c r="GH1245"/>
      <c r="GI1245"/>
      <c r="GJ1245"/>
      <c r="GK1245"/>
      <c r="GL1245"/>
      <c r="GM1245"/>
      <c r="GN1245"/>
      <c r="GO1245"/>
      <c r="GP1245"/>
      <c r="GQ1245"/>
      <c r="GR1245"/>
      <c r="GS1245"/>
      <c r="GT1245"/>
      <c r="GU1245"/>
      <c r="GV1245"/>
      <c r="GW1245"/>
      <c r="GX1245"/>
      <c r="GY1245"/>
      <c r="GZ1245"/>
      <c r="HA1245"/>
      <c r="HB1245"/>
      <c r="HC1245"/>
      <c r="HD1245"/>
      <c r="HE1245"/>
      <c r="HF1245"/>
      <c r="HG1245"/>
      <c r="HH1245"/>
      <c r="HI1245"/>
      <c r="HJ1245"/>
      <c r="HK1245"/>
      <c r="HL1245"/>
      <c r="HM1245"/>
      <c r="HN1245"/>
      <c r="HO1245"/>
      <c r="HP1245"/>
      <c r="HQ1245"/>
      <c r="HR1245"/>
      <c r="HS1245"/>
      <c r="HT1245"/>
      <c r="HU1245"/>
      <c r="HV1245"/>
      <c r="HW1245"/>
      <c r="HX1245"/>
      <c r="HY1245"/>
      <c r="HZ1245"/>
      <c r="IA1245"/>
      <c r="IB1245"/>
      <c r="IC1245"/>
      <c r="ID1245"/>
      <c r="IE1245"/>
      <c r="IF1245"/>
      <c r="IG1245"/>
      <c r="IH1245"/>
      <c r="II1245"/>
      <c r="IJ1245"/>
      <c r="IK1245"/>
      <c r="IL1245"/>
      <c r="IM1245"/>
      <c r="IN1245"/>
      <c r="IO1245"/>
      <c r="IP1245"/>
      <c r="IQ1245"/>
      <c r="IR1245"/>
      <c r="IS1245"/>
      <c r="IT1245"/>
      <c r="IU1245"/>
      <c r="IV1245"/>
      <c r="IW1245"/>
      <c r="IX1245"/>
      <c r="IY1245"/>
      <c r="IZ1245"/>
      <c r="JA1245"/>
      <c r="JB1245"/>
      <c r="JC1245"/>
      <c r="JD1245"/>
      <c r="JE1245"/>
      <c r="JF1245"/>
      <c r="JG1245"/>
      <c r="JH1245"/>
      <c r="JI1245"/>
      <c r="JJ1245"/>
      <c r="JK1245"/>
      <c r="JL1245"/>
      <c r="JM1245"/>
      <c r="JN1245"/>
      <c r="JO1245"/>
      <c r="JP1245"/>
      <c r="JQ1245"/>
      <c r="JR1245"/>
      <c r="JS1245"/>
      <c r="JT1245"/>
      <c r="JU1245"/>
      <c r="JV1245"/>
      <c r="JW1245"/>
      <c r="JX1245"/>
      <c r="JY1245"/>
      <c r="JZ1245"/>
      <c r="KA1245"/>
      <c r="KB1245"/>
      <c r="KC1245"/>
      <c r="KD1245"/>
      <c r="KE1245"/>
      <c r="KF1245"/>
      <c r="KG1245"/>
      <c r="KH1245"/>
      <c r="KI1245"/>
      <c r="KJ1245"/>
      <c r="KK1245"/>
      <c r="KL1245"/>
      <c r="KM1245"/>
      <c r="KN1245"/>
      <c r="KO1245"/>
      <c r="KP1245"/>
      <c r="KQ1245"/>
      <c r="KR1245"/>
      <c r="KS1245"/>
      <c r="KT1245"/>
      <c r="KU1245"/>
      <c r="KV1245"/>
      <c r="KW1245"/>
      <c r="KX1245"/>
      <c r="KY1245"/>
      <c r="KZ1245"/>
      <c r="LA1245"/>
      <c r="LB1245"/>
      <c r="LC1245"/>
      <c r="LD1245"/>
      <c r="LE1245"/>
      <c r="LF1245"/>
      <c r="LG1245"/>
      <c r="LH1245"/>
      <c r="LI1245"/>
      <c r="LJ1245"/>
      <c r="LK1245"/>
      <c r="LL1245"/>
      <c r="LM1245"/>
      <c r="LN1245"/>
      <c r="LO1245"/>
      <c r="LP1245"/>
      <c r="LQ1245"/>
      <c r="LR1245"/>
      <c r="LS1245"/>
      <c r="LT1245"/>
      <c r="LU1245"/>
      <c r="LV1245"/>
      <c r="LW1245"/>
      <c r="LX1245"/>
      <c r="LY1245"/>
      <c r="LZ1245"/>
      <c r="MA1245"/>
      <c r="MB1245"/>
      <c r="MC1245"/>
      <c r="MD1245"/>
      <c r="ME1245"/>
      <c r="MF1245"/>
      <c r="MG1245"/>
      <c r="MH1245"/>
      <c r="MI1245"/>
      <c r="MJ1245"/>
      <c r="MK1245"/>
      <c r="ML1245"/>
      <c r="MM1245"/>
      <c r="MN1245"/>
      <c r="MO1245"/>
      <c r="MP1245"/>
      <c r="MQ1245"/>
      <c r="MR1245"/>
      <c r="MS1245"/>
      <c r="MT1245"/>
      <c r="MU1245"/>
      <c r="MV1245"/>
      <c r="MW1245"/>
      <c r="MX1245"/>
      <c r="MY1245"/>
      <c r="MZ1245"/>
      <c r="NA1245"/>
      <c r="NB1245"/>
      <c r="NC1245"/>
      <c r="ND1245"/>
      <c r="NE1245"/>
      <c r="NF1245"/>
      <c r="NG1245"/>
      <c r="NH1245"/>
      <c r="NI1245"/>
      <c r="NJ1245"/>
      <c r="NK1245"/>
      <c r="NL1245"/>
      <c r="NM1245"/>
      <c r="NN1245"/>
      <c r="NO1245"/>
      <c r="NP1245"/>
      <c r="NQ1245"/>
      <c r="NR1245"/>
      <c r="NS1245"/>
      <c r="NT1245"/>
      <c r="NU1245"/>
      <c r="NV1245"/>
      <c r="NW1245"/>
      <c r="NX1245"/>
      <c r="NY1245"/>
      <c r="NZ1245"/>
      <c r="OA1245"/>
      <c r="OB1245"/>
      <c r="OC1245"/>
      <c r="OD1245"/>
      <c r="OE1245"/>
      <c r="OF1245"/>
      <c r="OG1245"/>
      <c r="OH1245"/>
      <c r="OI1245"/>
      <c r="OJ1245"/>
      <c r="OK1245"/>
      <c r="OL1245"/>
      <c r="OM1245"/>
      <c r="ON1245"/>
      <c r="OO1245"/>
      <c r="OP1245"/>
      <c r="OQ1245"/>
      <c r="OR1245"/>
      <c r="OS1245"/>
      <c r="OT1245"/>
      <c r="OU1245"/>
      <c r="OV1245"/>
      <c r="OW1245"/>
      <c r="OX1245"/>
      <c r="OY1245"/>
      <c r="OZ1245"/>
      <c r="PA1245"/>
      <c r="PB1245"/>
      <c r="PC1245"/>
      <c r="PD1245"/>
      <c r="PE1245"/>
      <c r="PF1245"/>
      <c r="PG1245"/>
      <c r="PH1245"/>
      <c r="PI1245"/>
      <c r="PJ1245"/>
      <c r="PK1245"/>
      <c r="PL1245"/>
      <c r="PM1245"/>
      <c r="PN1245"/>
      <c r="PO1245"/>
      <c r="PP1245"/>
      <c r="PQ1245"/>
      <c r="PR1245"/>
      <c r="PS1245"/>
      <c r="PT1245"/>
      <c r="PU1245"/>
      <c r="PV1245"/>
      <c r="PW1245"/>
      <c r="PX1245"/>
      <c r="PY1245"/>
      <c r="PZ1245"/>
      <c r="QA1245"/>
      <c r="QB1245"/>
      <c r="QC1245"/>
      <c r="QD1245"/>
      <c r="QE1245"/>
      <c r="QF1245"/>
      <c r="QG1245"/>
      <c r="QH1245"/>
      <c r="QI1245"/>
      <c r="QJ1245"/>
      <c r="QK1245"/>
      <c r="QL1245"/>
      <c r="QM1245"/>
      <c r="QN1245"/>
      <c r="QO1245"/>
      <c r="QP1245"/>
      <c r="QQ1245"/>
      <c r="QR1245"/>
      <c r="QS1245"/>
      <c r="QT1245"/>
      <c r="QU1245"/>
      <c r="QV1245"/>
      <c r="QW1245"/>
      <c r="QX1245"/>
      <c r="QY1245"/>
      <c r="QZ1245"/>
      <c r="RA1245"/>
      <c r="RB1245"/>
      <c r="RC1245"/>
      <c r="RD1245"/>
      <c r="RE1245"/>
      <c r="RF1245"/>
      <c r="RG1245"/>
      <c r="RH1245"/>
      <c r="RI1245"/>
      <c r="RJ1245"/>
      <c r="RK1245"/>
      <c r="RL1245"/>
      <c r="RM1245"/>
      <c r="RN1245"/>
      <c r="RO1245"/>
      <c r="RP1245"/>
      <c r="RQ1245"/>
      <c r="RR1245"/>
      <c r="RS1245"/>
      <c r="RT1245"/>
      <c r="RU1245"/>
      <c r="RV1245"/>
      <c r="RW1245"/>
      <c r="RX1245"/>
      <c r="RY1245"/>
      <c r="RZ1245"/>
      <c r="SA1245"/>
      <c r="SB1245"/>
      <c r="SC1245"/>
      <c r="SD1245"/>
      <c r="SE1245"/>
      <c r="SF1245"/>
      <c r="SG1245"/>
      <c r="SH1245"/>
      <c r="SI1245"/>
      <c r="SJ1245"/>
      <c r="SK1245"/>
      <c r="SL1245"/>
      <c r="SM1245"/>
      <c r="SN1245"/>
      <c r="SO1245"/>
      <c r="SP1245"/>
      <c r="SQ1245"/>
      <c r="SR1245"/>
      <c r="SS1245"/>
      <c r="ST1245"/>
      <c r="SU1245"/>
      <c r="SV1245"/>
      <c r="SW1245"/>
      <c r="SX1245"/>
      <c r="SY1245"/>
      <c r="SZ1245"/>
      <c r="TA1245"/>
      <c r="TB1245"/>
      <c r="TC1245"/>
      <c r="TD1245"/>
      <c r="TE1245"/>
      <c r="TF1245"/>
      <c r="TG1245"/>
      <c r="TH1245"/>
      <c r="TI1245"/>
      <c r="TJ1245"/>
      <c r="TK1245"/>
      <c r="TL1245"/>
      <c r="TM1245"/>
      <c r="TN1245"/>
      <c r="TO1245"/>
      <c r="TP1245"/>
      <c r="TQ1245"/>
      <c r="TR1245"/>
      <c r="TS1245"/>
      <c r="TT1245"/>
      <c r="TU1245"/>
      <c r="TV1245"/>
      <c r="TW1245"/>
      <c r="TX1245"/>
      <c r="TY1245"/>
      <c r="TZ1245"/>
      <c r="UA1245"/>
      <c r="UB1245"/>
      <c r="UC1245"/>
      <c r="UD1245"/>
      <c r="UE1245"/>
      <c r="UF1245"/>
      <c r="UG1245"/>
      <c r="UH1245"/>
      <c r="UI1245"/>
      <c r="UJ1245"/>
      <c r="UK1245"/>
      <c r="UL1245"/>
      <c r="UM1245"/>
      <c r="UN1245"/>
      <c r="UO1245"/>
      <c r="UP1245"/>
      <c r="UQ1245"/>
      <c r="UR1245"/>
      <c r="US1245"/>
      <c r="UT1245"/>
      <c r="UU1245"/>
      <c r="UV1245"/>
      <c r="UW1245"/>
      <c r="UX1245"/>
      <c r="UY1245"/>
      <c r="UZ1245"/>
      <c r="VA1245"/>
      <c r="VB1245"/>
      <c r="VC1245"/>
      <c r="VD1245"/>
      <c r="VE1245"/>
      <c r="VF1245"/>
      <c r="VG1245"/>
      <c r="VH1245"/>
      <c r="VI1245"/>
      <c r="VJ1245"/>
      <c r="VK1245"/>
      <c r="VL1245"/>
      <c r="VM1245"/>
      <c r="VN1245"/>
      <c r="VO1245"/>
      <c r="VP1245"/>
      <c r="VQ1245"/>
      <c r="VR1245"/>
      <c r="VS1245"/>
      <c r="VT1245"/>
      <c r="VU1245"/>
      <c r="VV1245"/>
      <c r="VW1245"/>
      <c r="VX1245"/>
      <c r="VY1245"/>
      <c r="VZ1245"/>
      <c r="WA1245"/>
      <c r="WB1245"/>
      <c r="WC1245"/>
      <c r="WD1245"/>
      <c r="WE1245"/>
      <c r="WF1245"/>
      <c r="WG1245"/>
      <c r="WH1245"/>
      <c r="WI1245"/>
      <c r="WJ1245"/>
      <c r="WK1245"/>
      <c r="WL1245"/>
      <c r="WM1245"/>
      <c r="WN1245"/>
      <c r="WO1245"/>
      <c r="WP1245"/>
      <c r="WQ1245"/>
      <c r="WR1245"/>
      <c r="WS1245"/>
      <c r="WT1245"/>
      <c r="WU1245"/>
      <c r="WV1245"/>
      <c r="WW1245"/>
      <c r="WX1245"/>
      <c r="WY1245"/>
      <c r="WZ1245"/>
      <c r="XA1245"/>
      <c r="XB1245"/>
      <c r="XC1245"/>
      <c r="XD1245"/>
      <c r="XE1245"/>
      <c r="XF1245"/>
      <c r="XG1245"/>
      <c r="XH1245"/>
      <c r="XI1245"/>
      <c r="XJ1245"/>
      <c r="XK1245"/>
      <c r="XL1245"/>
      <c r="XM1245"/>
      <c r="XN1245"/>
      <c r="XO1245"/>
      <c r="XP1245"/>
      <c r="XQ1245"/>
      <c r="XR1245"/>
      <c r="XS1245"/>
      <c r="XT1245"/>
      <c r="XU1245"/>
      <c r="XV1245"/>
      <c r="XW1245"/>
      <c r="XX1245"/>
      <c r="XY1245"/>
      <c r="XZ1245"/>
      <c r="YA1245"/>
      <c r="YB1245"/>
      <c r="YC1245"/>
      <c r="YD1245"/>
      <c r="YE1245"/>
      <c r="YF1245"/>
      <c r="YG1245"/>
      <c r="YH1245"/>
      <c r="YI1245"/>
      <c r="YJ1245"/>
      <c r="YK1245"/>
      <c r="YL1245"/>
      <c r="YM1245"/>
      <c r="YN1245"/>
      <c r="YO1245"/>
      <c r="YP1245"/>
      <c r="YQ1245"/>
      <c r="YR1245"/>
      <c r="YS1245"/>
      <c r="YT1245"/>
      <c r="YU1245"/>
      <c r="YV1245"/>
      <c r="YW1245"/>
      <c r="YX1245"/>
      <c r="YY1245"/>
      <c r="YZ1245"/>
      <c r="ZA1245"/>
      <c r="ZB1245"/>
      <c r="ZC1245"/>
      <c r="ZD1245"/>
      <c r="ZE1245"/>
      <c r="ZF1245"/>
      <c r="ZG1245"/>
      <c r="ZH1245"/>
      <c r="ZI1245"/>
      <c r="ZJ1245"/>
      <c r="ZK1245"/>
      <c r="ZL1245"/>
      <c r="ZM1245"/>
      <c r="ZN1245"/>
      <c r="ZO1245"/>
      <c r="ZP1245"/>
      <c r="ZQ1245"/>
      <c r="ZR1245"/>
      <c r="ZS1245"/>
      <c r="ZT1245"/>
      <c r="ZU1245"/>
      <c r="ZV1245"/>
      <c r="ZW1245"/>
      <c r="ZX1245"/>
      <c r="ZY1245"/>
      <c r="ZZ1245"/>
      <c r="AAA1245"/>
      <c r="AAB1245"/>
      <c r="AAC1245"/>
      <c r="AAD1245"/>
      <c r="AAE1245"/>
      <c r="AAF1245"/>
      <c r="AAG1245"/>
      <c r="AAH1245"/>
      <c r="AAI1245"/>
      <c r="AAJ1245"/>
      <c r="AAK1245"/>
      <c r="AAL1245"/>
      <c r="AAM1245"/>
      <c r="AAN1245"/>
      <c r="AAO1245"/>
      <c r="AAP1245"/>
      <c r="AAQ1245"/>
      <c r="AAR1245"/>
      <c r="AAS1245"/>
      <c r="AAT1245"/>
      <c r="AAU1245"/>
      <c r="AAV1245"/>
      <c r="AAW1245"/>
      <c r="AAX1245"/>
      <c r="AAY1245"/>
      <c r="AAZ1245"/>
      <c r="ABA1245"/>
      <c r="ABB1245"/>
      <c r="ABC1245"/>
      <c r="ABD1245"/>
      <c r="ABE1245"/>
      <c r="ABF1245"/>
      <c r="ABG1245"/>
      <c r="ABH1245"/>
      <c r="ABI1245"/>
      <c r="ABJ1245"/>
      <c r="ABK1245"/>
      <c r="ABL1245"/>
      <c r="ABM1245"/>
      <c r="ABN1245"/>
      <c r="ABO1245"/>
      <c r="ABP1245"/>
      <c r="ABQ1245"/>
      <c r="ABR1245"/>
      <c r="ABS1245"/>
      <c r="ABT1245"/>
      <c r="ABU1245"/>
      <c r="ABV1245"/>
      <c r="ABW1245"/>
      <c r="ABX1245"/>
      <c r="ABY1245"/>
      <c r="ABZ1245"/>
      <c r="ACA1245"/>
      <c r="ACB1245"/>
      <c r="ACC1245"/>
      <c r="ACD1245"/>
      <c r="ACE1245"/>
      <c r="ACF1245"/>
      <c r="ACG1245"/>
      <c r="ACH1245"/>
      <c r="ACI1245"/>
      <c r="ACJ1245"/>
      <c r="ACK1245"/>
      <c r="ACL1245"/>
      <c r="ACM1245"/>
      <c r="ACN1245"/>
      <c r="ACO1245"/>
      <c r="ACP1245"/>
      <c r="ACQ1245"/>
      <c r="ACR1245"/>
      <c r="ACS1245"/>
      <c r="ACT1245"/>
      <c r="ACU1245"/>
      <c r="ACV1245"/>
      <c r="ACW1245"/>
      <c r="ACX1245"/>
      <c r="ACY1245"/>
      <c r="ACZ1245"/>
      <c r="ADA1245"/>
      <c r="ADB1245"/>
      <c r="ADC1245"/>
      <c r="ADD1245"/>
      <c r="ADE1245"/>
      <c r="ADF1245"/>
      <c r="ADG1245"/>
      <c r="ADH1245"/>
      <c r="ADI1245"/>
      <c r="ADJ1245"/>
      <c r="ADK1245"/>
      <c r="ADL1245"/>
      <c r="ADM1245"/>
      <c r="ADN1245"/>
      <c r="ADO1245"/>
      <c r="ADP1245"/>
      <c r="ADQ1245"/>
      <c r="ADR1245"/>
      <c r="ADS1245"/>
      <c r="ADT1245"/>
      <c r="ADU1245"/>
      <c r="ADV1245"/>
      <c r="ADW1245"/>
      <c r="ADX1245"/>
      <c r="ADY1245"/>
      <c r="ADZ1245"/>
      <c r="AEA1245"/>
      <c r="AEB1245"/>
      <c r="AEC1245"/>
      <c r="AED1245"/>
      <c r="AEE1245"/>
      <c r="AEF1245"/>
      <c r="AEG1245"/>
      <c r="AEH1245"/>
      <c r="AEI1245"/>
      <c r="AEJ1245"/>
      <c r="AEK1245"/>
      <c r="AEL1245"/>
      <c r="AEM1245"/>
      <c r="AEN1245"/>
      <c r="AEO1245"/>
      <c r="AEP1245"/>
      <c r="AEQ1245"/>
      <c r="AER1245"/>
      <c r="AES1245"/>
      <c r="AET1245"/>
      <c r="AEU1245"/>
      <c r="AEV1245"/>
      <c r="AEW1245"/>
      <c r="AEX1245"/>
      <c r="AEY1245"/>
      <c r="AEZ1245"/>
      <c r="AFA1245"/>
      <c r="AFB1245"/>
      <c r="AFC1245"/>
      <c r="AFD1245"/>
      <c r="AFE1245"/>
      <c r="AFF1245"/>
      <c r="AFG1245"/>
      <c r="AFH1245"/>
      <c r="AFI1245"/>
      <c r="AFJ1245"/>
      <c r="AFK1245"/>
      <c r="AFL1245"/>
      <c r="AFM1245"/>
      <c r="AFN1245"/>
      <c r="AFO1245"/>
      <c r="AFP1245"/>
      <c r="AFQ1245"/>
      <c r="AFR1245"/>
      <c r="AFS1245"/>
      <c r="AFT1245"/>
      <c r="AFU1245"/>
      <c r="AFV1245"/>
      <c r="AFW1245"/>
      <c r="AFX1245"/>
      <c r="AFY1245"/>
      <c r="AFZ1245"/>
      <c r="AGA1245"/>
      <c r="AGB1245"/>
      <c r="AGC1245"/>
      <c r="AGD1245"/>
      <c r="AGE1245"/>
      <c r="AGF1245"/>
      <c r="AGG1245"/>
      <c r="AGH1245"/>
      <c r="AGI1245"/>
      <c r="AGJ1245"/>
      <c r="AGK1245"/>
      <c r="AGL1245"/>
      <c r="AGM1245"/>
      <c r="AGN1245"/>
      <c r="AGO1245"/>
      <c r="AGP1245"/>
      <c r="AGQ1245"/>
      <c r="AGR1245"/>
      <c r="AGS1245"/>
      <c r="AGT1245"/>
      <c r="AGU1245"/>
      <c r="AGV1245"/>
      <c r="AGW1245"/>
      <c r="AGX1245"/>
      <c r="AGY1245"/>
      <c r="AGZ1245"/>
      <c r="AHA1245"/>
      <c r="AHB1245"/>
      <c r="AHC1245"/>
      <c r="AHD1245"/>
      <c r="AHE1245"/>
      <c r="AHF1245"/>
      <c r="AHG1245"/>
      <c r="AHH1245"/>
      <c r="AHI1245"/>
      <c r="AHJ1245"/>
      <c r="AHK1245"/>
      <c r="AHL1245"/>
      <c r="AHM1245"/>
      <c r="AHN1245"/>
      <c r="AHO1245"/>
      <c r="AHP1245"/>
      <c r="AHQ1245"/>
      <c r="AHR1245"/>
      <c r="AHS1245"/>
      <c r="AHT1245"/>
      <c r="AHU1245"/>
      <c r="AHV1245"/>
      <c r="AHW1245"/>
      <c r="AHX1245"/>
      <c r="AHY1245"/>
      <c r="AHZ1245"/>
      <c r="AIA1245"/>
      <c r="AIB1245"/>
      <c r="AIC1245"/>
      <c r="AID1245"/>
      <c r="AIE1245"/>
      <c r="AIF1245"/>
      <c r="AIG1245"/>
      <c r="AIH1245"/>
      <c r="AII1245"/>
      <c r="AIJ1245"/>
      <c r="AIK1245"/>
      <c r="AIL1245"/>
      <c r="AIM1245"/>
      <c r="AIN1245"/>
      <c r="AIO1245"/>
      <c r="AIP1245"/>
      <c r="AIQ1245"/>
      <c r="AIR1245"/>
      <c r="AIS1245"/>
      <c r="AIT1245"/>
      <c r="AIU1245"/>
      <c r="AIV1245"/>
      <c r="AIW1245"/>
      <c r="AIX1245"/>
      <c r="AIY1245"/>
      <c r="AIZ1245"/>
      <c r="AJA1245"/>
      <c r="AJB1245"/>
      <c r="AJC1245"/>
      <c r="AJD1245"/>
      <c r="AJE1245"/>
      <c r="AJF1245"/>
      <c r="AJG1245"/>
      <c r="AJH1245"/>
      <c r="AJI1245"/>
      <c r="AJJ1245"/>
      <c r="AJK1245"/>
      <c r="AJL1245"/>
      <c r="AJM1245"/>
      <c r="AJN1245"/>
      <c r="AJO1245"/>
      <c r="AJP1245"/>
      <c r="AJQ1245"/>
      <c r="AJR1245"/>
      <c r="AJS1245"/>
      <c r="AJT1245"/>
      <c r="AJU1245"/>
      <c r="AJV1245"/>
      <c r="AJW1245"/>
      <c r="AJX1245"/>
      <c r="AJY1245"/>
      <c r="AJZ1245"/>
      <c r="AKA1245"/>
      <c r="AKB1245"/>
      <c r="AKC1245"/>
      <c r="AKD1245"/>
      <c r="AKE1245"/>
      <c r="AKF1245"/>
      <c r="AKG1245"/>
      <c r="AKH1245"/>
      <c r="AKI1245"/>
      <c r="AKJ1245"/>
      <c r="AKK1245"/>
      <c r="AKL1245"/>
      <c r="AKM1245"/>
      <c r="AKN1245"/>
      <c r="AKO1245"/>
      <c r="AKP1245"/>
      <c r="AKQ1245"/>
      <c r="AKR1245"/>
      <c r="AKS1245"/>
      <c r="AKT1245"/>
      <c r="AKU1245"/>
      <c r="AKV1245"/>
      <c r="AKW1245"/>
      <c r="AKX1245"/>
      <c r="AKY1245"/>
      <c r="AKZ1245"/>
      <c r="ALA1245"/>
      <c r="ALB1245"/>
      <c r="ALC1245"/>
      <c r="ALD1245"/>
      <c r="ALE1245"/>
      <c r="ALF1245"/>
      <c r="ALG1245"/>
      <c r="ALH1245"/>
      <c r="ALI1245"/>
      <c r="ALJ1245"/>
      <c r="ALK1245"/>
      <c r="ALL1245"/>
      <c r="ALM1245"/>
      <c r="ALN1245"/>
      <c r="ALO1245"/>
      <c r="ALP1245"/>
      <c r="ALQ1245"/>
      <c r="ALR1245"/>
      <c r="ALS1245"/>
      <c r="ALT1245"/>
    </row>
    <row r="1246" spans="1:1008" ht="14">
      <c r="A1246" s="28" t="s">
        <v>3931</v>
      </c>
      <c r="B1246" s="26" t="s">
        <v>3992</v>
      </c>
      <c r="C1246" s="28" t="s">
        <v>3931</v>
      </c>
      <c r="D1246" s="25" t="s">
        <v>13</v>
      </c>
      <c r="E1246" s="28" t="s">
        <v>3931</v>
      </c>
      <c r="F1246" s="28" t="s">
        <v>3932</v>
      </c>
      <c r="G1246" s="28">
        <v>500</v>
      </c>
      <c r="H1246" s="28"/>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c r="AT1246"/>
      <c r="AU1246"/>
      <c r="AV1246"/>
      <c r="AW1246"/>
      <c r="AX1246"/>
      <c r="AY1246"/>
      <c r="AZ1246"/>
      <c r="BA1246"/>
      <c r="BB1246"/>
      <c r="BC1246"/>
      <c r="BD1246"/>
      <c r="BE1246"/>
      <c r="BF1246"/>
      <c r="BG1246"/>
      <c r="BH1246"/>
      <c r="BI1246"/>
      <c r="BJ1246"/>
      <c r="BK1246"/>
      <c r="BL1246"/>
      <c r="BM1246"/>
      <c r="BN1246"/>
      <c r="BO1246"/>
      <c r="BP1246"/>
      <c r="BQ1246"/>
      <c r="BR1246"/>
      <c r="BS1246"/>
      <c r="BT1246"/>
      <c r="BU1246"/>
      <c r="BV1246"/>
      <c r="BW1246"/>
      <c r="BX1246"/>
      <c r="BY1246"/>
      <c r="BZ1246"/>
      <c r="CA1246"/>
      <c r="CB1246"/>
      <c r="CC1246"/>
      <c r="CD1246"/>
      <c r="CE1246"/>
      <c r="CF1246"/>
      <c r="CG1246"/>
      <c r="CH1246"/>
      <c r="CI1246"/>
      <c r="CJ1246"/>
      <c r="CK1246"/>
      <c r="CL1246"/>
      <c r="CM1246"/>
      <c r="CN1246"/>
      <c r="CO1246"/>
      <c r="CP1246"/>
      <c r="CQ1246"/>
      <c r="CR1246"/>
      <c r="CS1246"/>
      <c r="CT1246"/>
      <c r="CU1246"/>
      <c r="CV1246"/>
      <c r="CW1246"/>
      <c r="CX1246"/>
      <c r="CY1246"/>
      <c r="CZ1246"/>
      <c r="DA1246"/>
      <c r="DB1246"/>
      <c r="DC1246"/>
      <c r="DD1246"/>
      <c r="DE1246"/>
      <c r="DF1246"/>
      <c r="DG1246"/>
      <c r="DH1246"/>
      <c r="DI1246"/>
      <c r="DJ1246"/>
      <c r="DK1246"/>
      <c r="DL1246"/>
      <c r="DM1246"/>
      <c r="DN1246"/>
      <c r="DO1246"/>
      <c r="DP1246"/>
      <c r="DQ1246"/>
      <c r="DR1246"/>
      <c r="DS1246"/>
      <c r="DT1246"/>
      <c r="DU1246"/>
      <c r="DV1246"/>
      <c r="DW1246"/>
      <c r="DX1246"/>
      <c r="DY1246"/>
      <c r="DZ1246"/>
      <c r="EA1246"/>
      <c r="EB1246"/>
      <c r="EC1246"/>
      <c r="ED1246"/>
      <c r="EE1246"/>
      <c r="EF1246"/>
      <c r="EG1246"/>
      <c r="EH1246"/>
      <c r="EI1246"/>
      <c r="EJ1246"/>
      <c r="EK1246"/>
      <c r="EL1246"/>
      <c r="EM1246"/>
      <c r="EN1246"/>
      <c r="EO1246"/>
      <c r="EP1246"/>
      <c r="EQ1246"/>
      <c r="ER1246"/>
      <c r="ES1246"/>
      <c r="ET1246"/>
      <c r="EU1246"/>
      <c r="EV1246"/>
      <c r="EW1246"/>
      <c r="EX1246"/>
      <c r="EY1246"/>
      <c r="EZ1246"/>
      <c r="FA1246"/>
      <c r="FB1246"/>
      <c r="FC1246"/>
      <c r="FD1246"/>
      <c r="FE1246"/>
      <c r="FF1246"/>
      <c r="FG1246"/>
      <c r="FH1246"/>
      <c r="FI1246"/>
      <c r="FJ1246"/>
      <c r="FK1246"/>
      <c r="FL1246"/>
      <c r="FM1246"/>
      <c r="FN1246"/>
      <c r="FO1246"/>
      <c r="FP1246"/>
      <c r="FQ1246"/>
      <c r="FR1246"/>
      <c r="FS1246"/>
      <c r="FT1246"/>
      <c r="FU1246"/>
      <c r="FV1246"/>
      <c r="FW1246"/>
      <c r="FX1246"/>
      <c r="FY1246"/>
      <c r="FZ1246"/>
      <c r="GA1246"/>
      <c r="GB1246"/>
      <c r="GC1246"/>
      <c r="GD1246"/>
      <c r="GE1246"/>
      <c r="GF1246"/>
      <c r="GG1246"/>
      <c r="GH1246"/>
      <c r="GI1246"/>
      <c r="GJ1246"/>
      <c r="GK1246"/>
      <c r="GL1246"/>
      <c r="GM1246"/>
      <c r="GN1246"/>
      <c r="GO1246"/>
      <c r="GP1246"/>
      <c r="GQ1246"/>
      <c r="GR1246"/>
      <c r="GS1246"/>
      <c r="GT1246"/>
      <c r="GU1246"/>
      <c r="GV1246"/>
      <c r="GW1246"/>
      <c r="GX1246"/>
      <c r="GY1246"/>
      <c r="GZ1246"/>
      <c r="HA1246"/>
      <c r="HB1246"/>
      <c r="HC1246"/>
      <c r="HD1246"/>
      <c r="HE1246"/>
      <c r="HF1246"/>
      <c r="HG1246"/>
      <c r="HH1246"/>
      <c r="HI1246"/>
      <c r="HJ1246"/>
      <c r="HK1246"/>
      <c r="HL1246"/>
      <c r="HM1246"/>
      <c r="HN1246"/>
      <c r="HO1246"/>
      <c r="HP1246"/>
      <c r="HQ1246"/>
      <c r="HR1246"/>
      <c r="HS1246"/>
      <c r="HT1246"/>
      <c r="HU1246"/>
      <c r="HV1246"/>
      <c r="HW1246"/>
      <c r="HX1246"/>
      <c r="HY1246"/>
      <c r="HZ1246"/>
      <c r="IA1246"/>
      <c r="IB1246"/>
      <c r="IC1246"/>
      <c r="ID1246"/>
      <c r="IE1246"/>
      <c r="IF1246"/>
      <c r="IG1246"/>
      <c r="IH1246"/>
      <c r="II1246"/>
      <c r="IJ1246"/>
      <c r="IK1246"/>
      <c r="IL1246"/>
      <c r="IM1246"/>
      <c r="IN1246"/>
      <c r="IO1246"/>
      <c r="IP1246"/>
      <c r="IQ1246"/>
      <c r="IR1246"/>
      <c r="IS1246"/>
      <c r="IT1246"/>
      <c r="IU1246"/>
      <c r="IV1246"/>
      <c r="IW1246"/>
      <c r="IX1246"/>
      <c r="IY1246"/>
      <c r="IZ1246"/>
      <c r="JA1246"/>
      <c r="JB1246"/>
      <c r="JC1246"/>
      <c r="JD1246"/>
      <c r="JE1246"/>
      <c r="JF1246"/>
      <c r="JG1246"/>
      <c r="JH1246"/>
      <c r="JI1246"/>
      <c r="JJ1246"/>
      <c r="JK1246"/>
      <c r="JL1246"/>
      <c r="JM1246"/>
      <c r="JN1246"/>
      <c r="JO1246"/>
      <c r="JP1246"/>
      <c r="JQ1246"/>
      <c r="JR1246"/>
      <c r="JS1246"/>
      <c r="JT1246"/>
      <c r="JU1246"/>
      <c r="JV1246"/>
      <c r="JW1246"/>
      <c r="JX1246"/>
      <c r="JY1246"/>
      <c r="JZ1246"/>
      <c r="KA1246"/>
      <c r="KB1246"/>
      <c r="KC1246"/>
      <c r="KD1246"/>
      <c r="KE1246"/>
      <c r="KF1246"/>
      <c r="KG1246"/>
      <c r="KH1246"/>
      <c r="KI1246"/>
      <c r="KJ1246"/>
      <c r="KK1246"/>
      <c r="KL1246"/>
      <c r="KM1246"/>
      <c r="KN1246"/>
      <c r="KO1246"/>
      <c r="KP1246"/>
      <c r="KQ1246"/>
      <c r="KR1246"/>
      <c r="KS1246"/>
      <c r="KT1246"/>
      <c r="KU1246"/>
      <c r="KV1246"/>
      <c r="KW1246"/>
      <c r="KX1246"/>
      <c r="KY1246"/>
      <c r="KZ1246"/>
      <c r="LA1246"/>
      <c r="LB1246"/>
      <c r="LC1246"/>
      <c r="LD1246"/>
      <c r="LE1246"/>
      <c r="LF1246"/>
      <c r="LG1246"/>
      <c r="LH1246"/>
      <c r="LI1246"/>
      <c r="LJ1246"/>
      <c r="LK1246"/>
      <c r="LL1246"/>
      <c r="LM1246"/>
      <c r="LN1246"/>
      <c r="LO1246"/>
      <c r="LP1246"/>
      <c r="LQ1246"/>
      <c r="LR1246"/>
      <c r="LS1246"/>
      <c r="LT1246"/>
      <c r="LU1246"/>
      <c r="LV1246"/>
      <c r="LW1246"/>
      <c r="LX1246"/>
      <c r="LY1246"/>
      <c r="LZ1246"/>
      <c r="MA1246"/>
      <c r="MB1246"/>
      <c r="MC1246"/>
      <c r="MD1246"/>
      <c r="ME1246"/>
      <c r="MF1246"/>
      <c r="MG1246"/>
      <c r="MH1246"/>
      <c r="MI1246"/>
      <c r="MJ1246"/>
      <c r="MK1246"/>
      <c r="ML1246"/>
      <c r="MM1246"/>
      <c r="MN1246"/>
      <c r="MO1246"/>
      <c r="MP1246"/>
      <c r="MQ1246"/>
      <c r="MR1246"/>
      <c r="MS1246"/>
      <c r="MT1246"/>
      <c r="MU1246"/>
      <c r="MV1246"/>
      <c r="MW1246"/>
      <c r="MX1246"/>
      <c r="MY1246"/>
      <c r="MZ1246"/>
      <c r="NA1246"/>
      <c r="NB1246"/>
      <c r="NC1246"/>
      <c r="ND1246"/>
      <c r="NE1246"/>
      <c r="NF1246"/>
      <c r="NG1246"/>
      <c r="NH1246"/>
      <c r="NI1246"/>
      <c r="NJ1246"/>
      <c r="NK1246"/>
      <c r="NL1246"/>
      <c r="NM1246"/>
      <c r="NN1246"/>
      <c r="NO1246"/>
      <c r="NP1246"/>
      <c r="NQ1246"/>
      <c r="NR1246"/>
      <c r="NS1246"/>
      <c r="NT1246"/>
      <c r="NU1246"/>
      <c r="NV1246"/>
      <c r="NW1246"/>
      <c r="NX1246"/>
      <c r="NY1246"/>
      <c r="NZ1246"/>
      <c r="OA1246"/>
      <c r="OB1246"/>
      <c r="OC1246"/>
      <c r="OD1246"/>
      <c r="OE1246"/>
      <c r="OF1246"/>
      <c r="OG1246"/>
      <c r="OH1246"/>
      <c r="OI1246"/>
      <c r="OJ1246"/>
      <c r="OK1246"/>
      <c r="OL1246"/>
      <c r="OM1246"/>
      <c r="ON1246"/>
      <c r="OO1246"/>
      <c r="OP1246"/>
      <c r="OQ1246"/>
      <c r="OR1246"/>
      <c r="OS1246"/>
      <c r="OT1246"/>
      <c r="OU1246"/>
      <c r="OV1246"/>
      <c r="OW1246"/>
      <c r="OX1246"/>
      <c r="OY1246"/>
      <c r="OZ1246"/>
      <c r="PA1246"/>
      <c r="PB1246"/>
      <c r="PC1246"/>
      <c r="PD1246"/>
      <c r="PE1246"/>
      <c r="PF1246"/>
      <c r="PG1246"/>
      <c r="PH1246"/>
      <c r="PI1246"/>
      <c r="PJ1246"/>
      <c r="PK1246"/>
      <c r="PL1246"/>
      <c r="PM1246"/>
      <c r="PN1246"/>
      <c r="PO1246"/>
      <c r="PP1246"/>
      <c r="PQ1246"/>
      <c r="PR1246"/>
      <c r="PS1246"/>
      <c r="PT1246"/>
      <c r="PU1246"/>
      <c r="PV1246"/>
      <c r="PW1246"/>
      <c r="PX1246"/>
      <c r="PY1246"/>
      <c r="PZ1246"/>
      <c r="QA1246"/>
      <c r="QB1246"/>
      <c r="QC1246"/>
      <c r="QD1246"/>
      <c r="QE1246"/>
      <c r="QF1246"/>
      <c r="QG1246"/>
      <c r="QH1246"/>
      <c r="QI1246"/>
      <c r="QJ1246"/>
      <c r="QK1246"/>
      <c r="QL1246"/>
      <c r="QM1246"/>
      <c r="QN1246"/>
      <c r="QO1246"/>
      <c r="QP1246"/>
      <c r="QQ1246"/>
      <c r="QR1246"/>
      <c r="QS1246"/>
      <c r="QT1246"/>
      <c r="QU1246"/>
      <c r="QV1246"/>
      <c r="QW1246"/>
      <c r="QX1246"/>
      <c r="QY1246"/>
      <c r="QZ1246"/>
      <c r="RA1246"/>
      <c r="RB1246"/>
      <c r="RC1246"/>
      <c r="RD1246"/>
      <c r="RE1246"/>
      <c r="RF1246"/>
      <c r="RG1246"/>
      <c r="RH1246"/>
      <c r="RI1246"/>
      <c r="RJ1246"/>
      <c r="RK1246"/>
      <c r="RL1246"/>
      <c r="RM1246"/>
      <c r="RN1246"/>
      <c r="RO1246"/>
      <c r="RP1246"/>
      <c r="RQ1246"/>
      <c r="RR1246"/>
      <c r="RS1246"/>
      <c r="RT1246"/>
      <c r="RU1246"/>
      <c r="RV1246"/>
      <c r="RW1246"/>
      <c r="RX1246"/>
      <c r="RY1246"/>
      <c r="RZ1246"/>
      <c r="SA1246"/>
      <c r="SB1246"/>
      <c r="SC1246"/>
      <c r="SD1246"/>
      <c r="SE1246"/>
      <c r="SF1246"/>
      <c r="SG1246"/>
      <c r="SH1246"/>
      <c r="SI1246"/>
      <c r="SJ1246"/>
      <c r="SK1246"/>
      <c r="SL1246"/>
      <c r="SM1246"/>
      <c r="SN1246"/>
      <c r="SO1246"/>
      <c r="SP1246"/>
      <c r="SQ1246"/>
      <c r="SR1246"/>
      <c r="SS1246"/>
      <c r="ST1246"/>
      <c r="SU1246"/>
      <c r="SV1246"/>
      <c r="SW1246"/>
      <c r="SX1246"/>
      <c r="SY1246"/>
      <c r="SZ1246"/>
      <c r="TA1246"/>
      <c r="TB1246"/>
      <c r="TC1246"/>
      <c r="TD1246"/>
      <c r="TE1246"/>
      <c r="TF1246"/>
      <c r="TG1246"/>
      <c r="TH1246"/>
      <c r="TI1246"/>
      <c r="TJ1246"/>
      <c r="TK1246"/>
      <c r="TL1246"/>
      <c r="TM1246"/>
      <c r="TN1246"/>
      <c r="TO1246"/>
      <c r="TP1246"/>
      <c r="TQ1246"/>
      <c r="TR1246"/>
      <c r="TS1246"/>
      <c r="TT1246"/>
      <c r="TU1246"/>
      <c r="TV1246"/>
      <c r="TW1246"/>
      <c r="TX1246"/>
      <c r="TY1246"/>
      <c r="TZ1246"/>
      <c r="UA1246"/>
      <c r="UB1246"/>
      <c r="UC1246"/>
      <c r="UD1246"/>
      <c r="UE1246"/>
      <c r="UF1246"/>
      <c r="UG1246"/>
      <c r="UH1246"/>
      <c r="UI1246"/>
      <c r="UJ1246"/>
      <c r="UK1246"/>
      <c r="UL1246"/>
      <c r="UM1246"/>
      <c r="UN1246"/>
      <c r="UO1246"/>
      <c r="UP1246"/>
      <c r="UQ1246"/>
      <c r="UR1246"/>
      <c r="US1246"/>
      <c r="UT1246"/>
      <c r="UU1246"/>
      <c r="UV1246"/>
      <c r="UW1246"/>
      <c r="UX1246"/>
      <c r="UY1246"/>
      <c r="UZ1246"/>
      <c r="VA1246"/>
      <c r="VB1246"/>
      <c r="VC1246"/>
      <c r="VD1246"/>
      <c r="VE1246"/>
      <c r="VF1246"/>
      <c r="VG1246"/>
      <c r="VH1246"/>
      <c r="VI1246"/>
      <c r="VJ1246"/>
      <c r="VK1246"/>
      <c r="VL1246"/>
      <c r="VM1246"/>
      <c r="VN1246"/>
      <c r="VO1246"/>
      <c r="VP1246"/>
      <c r="VQ1246"/>
      <c r="VR1246"/>
      <c r="VS1246"/>
      <c r="VT1246"/>
      <c r="VU1246"/>
      <c r="VV1246"/>
      <c r="VW1246"/>
      <c r="VX1246"/>
      <c r="VY1246"/>
      <c r="VZ1246"/>
      <c r="WA1246"/>
      <c r="WB1246"/>
      <c r="WC1246"/>
      <c r="WD1246"/>
      <c r="WE1246"/>
      <c r="WF1246"/>
      <c r="WG1246"/>
      <c r="WH1246"/>
      <c r="WI1246"/>
      <c r="WJ1246"/>
      <c r="WK1246"/>
      <c r="WL1246"/>
      <c r="WM1246"/>
      <c r="WN1246"/>
      <c r="WO1246"/>
      <c r="WP1246"/>
      <c r="WQ1246"/>
      <c r="WR1246"/>
      <c r="WS1246"/>
      <c r="WT1246"/>
      <c r="WU1246"/>
      <c r="WV1246"/>
      <c r="WW1246"/>
      <c r="WX1246"/>
      <c r="WY1246"/>
      <c r="WZ1246"/>
      <c r="XA1246"/>
      <c r="XB1246"/>
      <c r="XC1246"/>
      <c r="XD1246"/>
      <c r="XE1246"/>
      <c r="XF1246"/>
      <c r="XG1246"/>
      <c r="XH1246"/>
      <c r="XI1246"/>
      <c r="XJ1246"/>
      <c r="XK1246"/>
      <c r="XL1246"/>
      <c r="XM1246"/>
      <c r="XN1246"/>
      <c r="XO1246"/>
      <c r="XP1246"/>
      <c r="XQ1246"/>
      <c r="XR1246"/>
      <c r="XS1246"/>
      <c r="XT1246"/>
      <c r="XU1246"/>
      <c r="XV1246"/>
      <c r="XW1246"/>
      <c r="XX1246"/>
      <c r="XY1246"/>
      <c r="XZ1246"/>
      <c r="YA1246"/>
      <c r="YB1246"/>
      <c r="YC1246"/>
      <c r="YD1246"/>
      <c r="YE1246"/>
      <c r="YF1246"/>
      <c r="YG1246"/>
      <c r="YH1246"/>
      <c r="YI1246"/>
      <c r="YJ1246"/>
      <c r="YK1246"/>
      <c r="YL1246"/>
      <c r="YM1246"/>
      <c r="YN1246"/>
      <c r="YO1246"/>
      <c r="YP1246"/>
      <c r="YQ1246"/>
      <c r="YR1246"/>
      <c r="YS1246"/>
      <c r="YT1246"/>
      <c r="YU1246"/>
      <c r="YV1246"/>
      <c r="YW1246"/>
      <c r="YX1246"/>
      <c r="YY1246"/>
      <c r="YZ1246"/>
      <c r="ZA1246"/>
      <c r="ZB1246"/>
      <c r="ZC1246"/>
      <c r="ZD1246"/>
      <c r="ZE1246"/>
      <c r="ZF1246"/>
      <c r="ZG1246"/>
      <c r="ZH1246"/>
      <c r="ZI1246"/>
      <c r="ZJ1246"/>
      <c r="ZK1246"/>
      <c r="ZL1246"/>
      <c r="ZM1246"/>
      <c r="ZN1246"/>
      <c r="ZO1246"/>
      <c r="ZP1246"/>
      <c r="ZQ1246"/>
      <c r="ZR1246"/>
      <c r="ZS1246"/>
      <c r="ZT1246"/>
      <c r="ZU1246"/>
      <c r="ZV1246"/>
      <c r="ZW1246"/>
      <c r="ZX1246"/>
      <c r="ZY1246"/>
      <c r="ZZ1246"/>
      <c r="AAA1246"/>
      <c r="AAB1246"/>
      <c r="AAC1246"/>
      <c r="AAD1246"/>
      <c r="AAE1246"/>
      <c r="AAF1246"/>
      <c r="AAG1246"/>
      <c r="AAH1246"/>
      <c r="AAI1246"/>
      <c r="AAJ1246"/>
      <c r="AAK1246"/>
      <c r="AAL1246"/>
      <c r="AAM1246"/>
      <c r="AAN1246"/>
      <c r="AAO1246"/>
      <c r="AAP1246"/>
      <c r="AAQ1246"/>
      <c r="AAR1246"/>
      <c r="AAS1246"/>
      <c r="AAT1246"/>
      <c r="AAU1246"/>
      <c r="AAV1246"/>
      <c r="AAW1246"/>
      <c r="AAX1246"/>
      <c r="AAY1246"/>
      <c r="AAZ1246"/>
      <c r="ABA1246"/>
      <c r="ABB1246"/>
      <c r="ABC1246"/>
      <c r="ABD1246"/>
      <c r="ABE1246"/>
      <c r="ABF1246"/>
      <c r="ABG1246"/>
      <c r="ABH1246"/>
      <c r="ABI1246"/>
      <c r="ABJ1246"/>
      <c r="ABK1246"/>
      <c r="ABL1246"/>
      <c r="ABM1246"/>
      <c r="ABN1246"/>
      <c r="ABO1246"/>
      <c r="ABP1246"/>
      <c r="ABQ1246"/>
      <c r="ABR1246"/>
      <c r="ABS1246"/>
      <c r="ABT1246"/>
      <c r="ABU1246"/>
      <c r="ABV1246"/>
      <c r="ABW1246"/>
      <c r="ABX1246"/>
      <c r="ABY1246"/>
      <c r="ABZ1246"/>
      <c r="ACA1246"/>
      <c r="ACB1246"/>
      <c r="ACC1246"/>
      <c r="ACD1246"/>
      <c r="ACE1246"/>
      <c r="ACF1246"/>
      <c r="ACG1246"/>
      <c r="ACH1246"/>
      <c r="ACI1246"/>
      <c r="ACJ1246"/>
      <c r="ACK1246"/>
      <c r="ACL1246"/>
      <c r="ACM1246"/>
      <c r="ACN1246"/>
      <c r="ACO1246"/>
      <c r="ACP1246"/>
      <c r="ACQ1246"/>
      <c r="ACR1246"/>
      <c r="ACS1246"/>
      <c r="ACT1246"/>
      <c r="ACU1246"/>
      <c r="ACV1246"/>
      <c r="ACW1246"/>
      <c r="ACX1246"/>
      <c r="ACY1246"/>
      <c r="ACZ1246"/>
      <c r="ADA1246"/>
      <c r="ADB1246"/>
      <c r="ADC1246"/>
      <c r="ADD1246"/>
      <c r="ADE1246"/>
      <c r="ADF1246"/>
      <c r="ADG1246"/>
      <c r="ADH1246"/>
      <c r="ADI1246"/>
      <c r="ADJ1246"/>
      <c r="ADK1246"/>
      <c r="ADL1246"/>
      <c r="ADM1246"/>
      <c r="ADN1246"/>
      <c r="ADO1246"/>
      <c r="ADP1246"/>
      <c r="ADQ1246"/>
      <c r="ADR1246"/>
      <c r="ADS1246"/>
      <c r="ADT1246"/>
      <c r="ADU1246"/>
      <c r="ADV1246"/>
      <c r="ADW1246"/>
      <c r="ADX1246"/>
      <c r="ADY1246"/>
      <c r="ADZ1246"/>
      <c r="AEA1246"/>
      <c r="AEB1246"/>
      <c r="AEC1246"/>
      <c r="AED1246"/>
      <c r="AEE1246"/>
      <c r="AEF1246"/>
      <c r="AEG1246"/>
      <c r="AEH1246"/>
      <c r="AEI1246"/>
      <c r="AEJ1246"/>
      <c r="AEK1246"/>
      <c r="AEL1246"/>
      <c r="AEM1246"/>
      <c r="AEN1246"/>
      <c r="AEO1246"/>
      <c r="AEP1246"/>
      <c r="AEQ1246"/>
      <c r="AER1246"/>
      <c r="AES1246"/>
      <c r="AET1246"/>
      <c r="AEU1246"/>
      <c r="AEV1246"/>
      <c r="AEW1246"/>
      <c r="AEX1246"/>
      <c r="AEY1246"/>
      <c r="AEZ1246"/>
      <c r="AFA1246"/>
      <c r="AFB1246"/>
      <c r="AFC1246"/>
      <c r="AFD1246"/>
      <c r="AFE1246"/>
      <c r="AFF1246"/>
      <c r="AFG1246"/>
      <c r="AFH1246"/>
      <c r="AFI1246"/>
      <c r="AFJ1246"/>
      <c r="AFK1246"/>
      <c r="AFL1246"/>
      <c r="AFM1246"/>
      <c r="AFN1246"/>
      <c r="AFO1246"/>
      <c r="AFP1246"/>
      <c r="AFQ1246"/>
      <c r="AFR1246"/>
      <c r="AFS1246"/>
      <c r="AFT1246"/>
      <c r="AFU1246"/>
      <c r="AFV1246"/>
      <c r="AFW1246"/>
      <c r="AFX1246"/>
      <c r="AFY1246"/>
      <c r="AFZ1246"/>
      <c r="AGA1246"/>
      <c r="AGB1246"/>
      <c r="AGC1246"/>
      <c r="AGD1246"/>
      <c r="AGE1246"/>
      <c r="AGF1246"/>
      <c r="AGG1246"/>
      <c r="AGH1246"/>
      <c r="AGI1246"/>
      <c r="AGJ1246"/>
      <c r="AGK1246"/>
      <c r="AGL1246"/>
      <c r="AGM1246"/>
      <c r="AGN1246"/>
      <c r="AGO1246"/>
      <c r="AGP1246"/>
      <c r="AGQ1246"/>
      <c r="AGR1246"/>
      <c r="AGS1246"/>
      <c r="AGT1246"/>
      <c r="AGU1246"/>
      <c r="AGV1246"/>
      <c r="AGW1246"/>
      <c r="AGX1246"/>
      <c r="AGY1246"/>
      <c r="AGZ1246"/>
      <c r="AHA1246"/>
      <c r="AHB1246"/>
      <c r="AHC1246"/>
      <c r="AHD1246"/>
      <c r="AHE1246"/>
      <c r="AHF1246"/>
      <c r="AHG1246"/>
      <c r="AHH1246"/>
      <c r="AHI1246"/>
      <c r="AHJ1246"/>
      <c r="AHK1246"/>
      <c r="AHL1246"/>
      <c r="AHM1246"/>
      <c r="AHN1246"/>
      <c r="AHO1246"/>
      <c r="AHP1246"/>
      <c r="AHQ1246"/>
      <c r="AHR1246"/>
      <c r="AHS1246"/>
      <c r="AHT1246"/>
      <c r="AHU1246"/>
      <c r="AHV1246"/>
      <c r="AHW1246"/>
      <c r="AHX1246"/>
      <c r="AHY1246"/>
      <c r="AHZ1246"/>
      <c r="AIA1246"/>
      <c r="AIB1246"/>
      <c r="AIC1246"/>
      <c r="AID1246"/>
      <c r="AIE1246"/>
      <c r="AIF1246"/>
      <c r="AIG1246"/>
      <c r="AIH1246"/>
      <c r="AII1246"/>
      <c r="AIJ1246"/>
      <c r="AIK1246"/>
      <c r="AIL1246"/>
      <c r="AIM1246"/>
      <c r="AIN1246"/>
      <c r="AIO1246"/>
      <c r="AIP1246"/>
      <c r="AIQ1246"/>
      <c r="AIR1246"/>
      <c r="AIS1246"/>
      <c r="AIT1246"/>
      <c r="AIU1246"/>
      <c r="AIV1246"/>
      <c r="AIW1246"/>
      <c r="AIX1246"/>
      <c r="AIY1246"/>
      <c r="AIZ1246"/>
      <c r="AJA1246"/>
      <c r="AJB1246"/>
      <c r="AJC1246"/>
      <c r="AJD1246"/>
      <c r="AJE1246"/>
      <c r="AJF1246"/>
      <c r="AJG1246"/>
      <c r="AJH1246"/>
      <c r="AJI1246"/>
      <c r="AJJ1246"/>
      <c r="AJK1246"/>
      <c r="AJL1246"/>
      <c r="AJM1246"/>
      <c r="AJN1246"/>
      <c r="AJO1246"/>
      <c r="AJP1246"/>
      <c r="AJQ1246"/>
      <c r="AJR1246"/>
      <c r="AJS1246"/>
      <c r="AJT1246"/>
      <c r="AJU1246"/>
      <c r="AJV1246"/>
      <c r="AJW1246"/>
      <c r="AJX1246"/>
      <c r="AJY1246"/>
      <c r="AJZ1246"/>
      <c r="AKA1246"/>
      <c r="AKB1246"/>
      <c r="AKC1246"/>
      <c r="AKD1246"/>
      <c r="AKE1246"/>
      <c r="AKF1246"/>
      <c r="AKG1246"/>
      <c r="AKH1246"/>
      <c r="AKI1246"/>
      <c r="AKJ1246"/>
      <c r="AKK1246"/>
      <c r="AKL1246"/>
      <c r="AKM1246"/>
      <c r="AKN1246"/>
      <c r="AKO1246"/>
      <c r="AKP1246"/>
      <c r="AKQ1246"/>
      <c r="AKR1246"/>
      <c r="AKS1246"/>
      <c r="AKT1246"/>
      <c r="AKU1246"/>
      <c r="AKV1246"/>
      <c r="AKW1246"/>
      <c r="AKX1246"/>
      <c r="AKY1246"/>
      <c r="AKZ1246"/>
      <c r="ALA1246"/>
      <c r="ALB1246"/>
      <c r="ALC1246"/>
      <c r="ALD1246"/>
      <c r="ALE1246"/>
      <c r="ALF1246"/>
      <c r="ALG1246"/>
      <c r="ALH1246"/>
      <c r="ALI1246"/>
      <c r="ALJ1246"/>
      <c r="ALK1246"/>
      <c r="ALL1246"/>
      <c r="ALM1246"/>
      <c r="ALN1246"/>
      <c r="ALO1246"/>
      <c r="ALP1246"/>
      <c r="ALQ1246"/>
      <c r="ALR1246"/>
      <c r="ALS1246"/>
      <c r="ALT1246"/>
    </row>
    <row r="1247" spans="1:1008" ht="14">
      <c r="A1247" s="28" t="s">
        <v>3933</v>
      </c>
      <c r="B1247" s="26" t="s">
        <v>3994</v>
      </c>
      <c r="C1247" s="28" t="s">
        <v>3933</v>
      </c>
      <c r="D1247" s="25" t="s">
        <v>13</v>
      </c>
      <c r="E1247" s="28" t="s">
        <v>3933</v>
      </c>
      <c r="F1247" s="28" t="s">
        <v>3934</v>
      </c>
      <c r="G1247" s="28">
        <v>500</v>
      </c>
      <c r="H1247" s="28"/>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c r="BE1247"/>
      <c r="BF1247"/>
      <c r="BG1247"/>
      <c r="BH1247"/>
      <c r="BI1247"/>
      <c r="BJ1247"/>
      <c r="BK1247"/>
      <c r="BL1247"/>
      <c r="BM1247"/>
      <c r="BN1247"/>
      <c r="BO1247"/>
      <c r="BP1247"/>
      <c r="BQ1247"/>
      <c r="BR1247"/>
      <c r="BS1247"/>
      <c r="BT1247"/>
      <c r="BU1247"/>
      <c r="BV1247"/>
      <c r="BW1247"/>
      <c r="BX1247"/>
      <c r="BY1247"/>
      <c r="BZ1247"/>
      <c r="CA1247"/>
      <c r="CB1247"/>
      <c r="CC1247"/>
      <c r="CD1247"/>
      <c r="CE1247"/>
      <c r="CF1247"/>
      <c r="CG1247"/>
      <c r="CH1247"/>
      <c r="CI1247"/>
      <c r="CJ1247"/>
      <c r="CK1247"/>
      <c r="CL1247"/>
      <c r="CM1247"/>
      <c r="CN1247"/>
      <c r="CO1247"/>
      <c r="CP1247"/>
      <c r="CQ1247"/>
      <c r="CR1247"/>
      <c r="CS1247"/>
      <c r="CT1247"/>
      <c r="CU1247"/>
      <c r="CV1247"/>
      <c r="CW1247"/>
      <c r="CX1247"/>
      <c r="CY1247"/>
      <c r="CZ1247"/>
      <c r="DA1247"/>
      <c r="DB1247"/>
      <c r="DC1247"/>
      <c r="DD1247"/>
      <c r="DE1247"/>
      <c r="DF1247"/>
      <c r="DG1247"/>
      <c r="DH1247"/>
      <c r="DI1247"/>
      <c r="DJ1247"/>
      <c r="DK1247"/>
      <c r="DL1247"/>
      <c r="DM1247"/>
      <c r="DN1247"/>
      <c r="DO1247"/>
      <c r="DP1247"/>
      <c r="DQ1247"/>
      <c r="DR1247"/>
      <c r="DS1247"/>
      <c r="DT1247"/>
      <c r="DU1247"/>
      <c r="DV1247"/>
      <c r="DW1247"/>
      <c r="DX1247"/>
      <c r="DY1247"/>
      <c r="DZ1247"/>
      <c r="EA1247"/>
      <c r="EB1247"/>
      <c r="EC1247"/>
      <c r="ED1247"/>
      <c r="EE1247"/>
      <c r="EF1247"/>
      <c r="EG1247"/>
      <c r="EH1247"/>
      <c r="EI1247"/>
      <c r="EJ1247"/>
      <c r="EK1247"/>
      <c r="EL1247"/>
      <c r="EM1247"/>
      <c r="EN1247"/>
      <c r="EO1247"/>
      <c r="EP1247"/>
      <c r="EQ1247"/>
      <c r="ER1247"/>
      <c r="ES1247"/>
      <c r="ET1247"/>
      <c r="EU1247"/>
      <c r="EV1247"/>
      <c r="EW1247"/>
      <c r="EX1247"/>
      <c r="EY1247"/>
      <c r="EZ1247"/>
      <c r="FA1247"/>
      <c r="FB1247"/>
      <c r="FC1247"/>
      <c r="FD1247"/>
      <c r="FE1247"/>
      <c r="FF1247"/>
      <c r="FG1247"/>
      <c r="FH1247"/>
      <c r="FI1247"/>
      <c r="FJ1247"/>
      <c r="FK1247"/>
      <c r="FL1247"/>
      <c r="FM1247"/>
      <c r="FN1247"/>
      <c r="FO1247"/>
      <c r="FP1247"/>
      <c r="FQ1247"/>
      <c r="FR1247"/>
      <c r="FS1247"/>
      <c r="FT1247"/>
      <c r="FU1247"/>
      <c r="FV1247"/>
      <c r="FW1247"/>
      <c r="FX1247"/>
      <c r="FY1247"/>
      <c r="FZ1247"/>
      <c r="GA1247"/>
      <c r="GB1247"/>
      <c r="GC1247"/>
      <c r="GD1247"/>
      <c r="GE1247"/>
      <c r="GF1247"/>
      <c r="GG1247"/>
      <c r="GH1247"/>
      <c r="GI1247"/>
      <c r="GJ1247"/>
      <c r="GK1247"/>
      <c r="GL1247"/>
      <c r="GM1247"/>
      <c r="GN1247"/>
      <c r="GO1247"/>
      <c r="GP1247"/>
      <c r="GQ1247"/>
      <c r="GR1247"/>
      <c r="GS1247"/>
      <c r="GT1247"/>
      <c r="GU1247"/>
      <c r="GV1247"/>
      <c r="GW1247"/>
      <c r="GX1247"/>
      <c r="GY1247"/>
      <c r="GZ1247"/>
      <c r="HA1247"/>
      <c r="HB1247"/>
      <c r="HC1247"/>
      <c r="HD1247"/>
      <c r="HE1247"/>
      <c r="HF1247"/>
      <c r="HG1247"/>
      <c r="HH1247"/>
      <c r="HI1247"/>
      <c r="HJ1247"/>
      <c r="HK1247"/>
      <c r="HL1247"/>
      <c r="HM1247"/>
      <c r="HN1247"/>
      <c r="HO1247"/>
      <c r="HP1247"/>
      <c r="HQ1247"/>
      <c r="HR1247"/>
      <c r="HS1247"/>
      <c r="HT1247"/>
      <c r="HU1247"/>
      <c r="HV1247"/>
      <c r="HW1247"/>
      <c r="HX1247"/>
      <c r="HY1247"/>
      <c r="HZ1247"/>
      <c r="IA1247"/>
      <c r="IB1247"/>
      <c r="IC1247"/>
      <c r="ID1247"/>
      <c r="IE1247"/>
      <c r="IF1247"/>
      <c r="IG1247"/>
      <c r="IH1247"/>
      <c r="II1247"/>
      <c r="IJ1247"/>
      <c r="IK1247"/>
      <c r="IL1247"/>
      <c r="IM1247"/>
      <c r="IN1247"/>
      <c r="IO1247"/>
      <c r="IP1247"/>
      <c r="IQ1247"/>
      <c r="IR1247"/>
      <c r="IS1247"/>
      <c r="IT1247"/>
      <c r="IU1247"/>
      <c r="IV1247"/>
      <c r="IW1247"/>
      <c r="IX1247"/>
      <c r="IY1247"/>
      <c r="IZ1247"/>
      <c r="JA1247"/>
      <c r="JB1247"/>
      <c r="JC1247"/>
      <c r="JD1247"/>
      <c r="JE1247"/>
      <c r="JF1247"/>
      <c r="JG1247"/>
      <c r="JH1247"/>
      <c r="JI1247"/>
      <c r="JJ1247"/>
      <c r="JK1247"/>
      <c r="JL1247"/>
      <c r="JM1247"/>
      <c r="JN1247"/>
      <c r="JO1247"/>
      <c r="JP1247"/>
      <c r="JQ1247"/>
      <c r="JR1247"/>
      <c r="JS1247"/>
      <c r="JT1247"/>
      <c r="JU1247"/>
      <c r="JV1247"/>
      <c r="JW1247"/>
      <c r="JX1247"/>
      <c r="JY1247"/>
      <c r="JZ1247"/>
      <c r="KA1247"/>
      <c r="KB1247"/>
      <c r="KC1247"/>
      <c r="KD1247"/>
      <c r="KE1247"/>
      <c r="KF1247"/>
      <c r="KG1247"/>
      <c r="KH1247"/>
      <c r="KI1247"/>
      <c r="KJ1247"/>
      <c r="KK1247"/>
      <c r="KL1247"/>
      <c r="KM1247"/>
      <c r="KN1247"/>
      <c r="KO1247"/>
      <c r="KP1247"/>
      <c r="KQ1247"/>
      <c r="KR1247"/>
      <c r="KS1247"/>
      <c r="KT1247"/>
      <c r="KU1247"/>
      <c r="KV1247"/>
      <c r="KW1247"/>
      <c r="KX1247"/>
      <c r="KY1247"/>
      <c r="KZ1247"/>
      <c r="LA1247"/>
      <c r="LB1247"/>
      <c r="LC1247"/>
      <c r="LD1247"/>
      <c r="LE1247"/>
      <c r="LF1247"/>
      <c r="LG1247"/>
      <c r="LH1247"/>
      <c r="LI1247"/>
      <c r="LJ1247"/>
      <c r="LK1247"/>
      <c r="LL1247"/>
      <c r="LM1247"/>
      <c r="LN1247"/>
      <c r="LO1247"/>
      <c r="LP1247"/>
      <c r="LQ1247"/>
      <c r="LR1247"/>
      <c r="LS1247"/>
      <c r="LT1247"/>
      <c r="LU1247"/>
      <c r="LV1247"/>
      <c r="LW1247"/>
      <c r="LX1247"/>
      <c r="LY1247"/>
      <c r="LZ1247"/>
      <c r="MA1247"/>
      <c r="MB1247"/>
      <c r="MC1247"/>
      <c r="MD1247"/>
      <c r="ME1247"/>
      <c r="MF1247"/>
      <c r="MG1247"/>
      <c r="MH1247"/>
      <c r="MI1247"/>
      <c r="MJ1247"/>
      <c r="MK1247"/>
      <c r="ML1247"/>
      <c r="MM1247"/>
      <c r="MN1247"/>
      <c r="MO1247"/>
      <c r="MP1247"/>
      <c r="MQ1247"/>
      <c r="MR1247"/>
      <c r="MS1247"/>
      <c r="MT1247"/>
      <c r="MU1247"/>
      <c r="MV1247"/>
      <c r="MW1247"/>
      <c r="MX1247"/>
      <c r="MY1247"/>
      <c r="MZ1247"/>
      <c r="NA1247"/>
      <c r="NB1247"/>
      <c r="NC1247"/>
      <c r="ND1247"/>
      <c r="NE1247"/>
      <c r="NF1247"/>
      <c r="NG1247"/>
      <c r="NH1247"/>
      <c r="NI1247"/>
      <c r="NJ1247"/>
      <c r="NK1247"/>
      <c r="NL1247"/>
      <c r="NM1247"/>
      <c r="NN1247"/>
      <c r="NO1247"/>
      <c r="NP1247"/>
      <c r="NQ1247"/>
      <c r="NR1247"/>
      <c r="NS1247"/>
      <c r="NT1247"/>
      <c r="NU1247"/>
      <c r="NV1247"/>
      <c r="NW1247"/>
      <c r="NX1247"/>
      <c r="NY1247"/>
      <c r="NZ1247"/>
      <c r="OA1247"/>
      <c r="OB1247"/>
      <c r="OC1247"/>
      <c r="OD1247"/>
      <c r="OE1247"/>
      <c r="OF1247"/>
      <c r="OG1247"/>
      <c r="OH1247"/>
      <c r="OI1247"/>
      <c r="OJ1247"/>
      <c r="OK1247"/>
      <c r="OL1247"/>
      <c r="OM1247"/>
      <c r="ON1247"/>
      <c r="OO1247"/>
      <c r="OP1247"/>
      <c r="OQ1247"/>
      <c r="OR1247"/>
      <c r="OS1247"/>
      <c r="OT1247"/>
      <c r="OU1247"/>
      <c r="OV1247"/>
      <c r="OW1247"/>
      <c r="OX1247"/>
      <c r="OY1247"/>
      <c r="OZ1247"/>
      <c r="PA1247"/>
      <c r="PB1247"/>
      <c r="PC1247"/>
      <c r="PD1247"/>
      <c r="PE1247"/>
      <c r="PF1247"/>
      <c r="PG1247"/>
      <c r="PH1247"/>
      <c r="PI1247"/>
      <c r="PJ1247"/>
      <c r="PK1247"/>
      <c r="PL1247"/>
      <c r="PM1247"/>
      <c r="PN1247"/>
      <c r="PO1247"/>
      <c r="PP1247"/>
      <c r="PQ1247"/>
      <c r="PR1247"/>
      <c r="PS1247"/>
      <c r="PT1247"/>
      <c r="PU1247"/>
      <c r="PV1247"/>
      <c r="PW1247"/>
      <c r="PX1247"/>
      <c r="PY1247"/>
      <c r="PZ1247"/>
      <c r="QA1247"/>
      <c r="QB1247"/>
      <c r="QC1247"/>
      <c r="QD1247"/>
      <c r="QE1247"/>
      <c r="QF1247"/>
      <c r="QG1247"/>
      <c r="QH1247"/>
      <c r="QI1247"/>
      <c r="QJ1247"/>
      <c r="QK1247"/>
      <c r="QL1247"/>
      <c r="QM1247"/>
      <c r="QN1247"/>
      <c r="QO1247"/>
      <c r="QP1247"/>
      <c r="QQ1247"/>
      <c r="QR1247"/>
      <c r="QS1247"/>
      <c r="QT1247"/>
      <c r="QU1247"/>
      <c r="QV1247"/>
      <c r="QW1247"/>
      <c r="QX1247"/>
      <c r="QY1247"/>
      <c r="QZ1247"/>
      <c r="RA1247"/>
      <c r="RB1247"/>
      <c r="RC1247"/>
      <c r="RD1247"/>
      <c r="RE1247"/>
      <c r="RF1247"/>
      <c r="RG1247"/>
      <c r="RH1247"/>
      <c r="RI1247"/>
      <c r="RJ1247"/>
      <c r="RK1247"/>
      <c r="RL1247"/>
      <c r="RM1247"/>
      <c r="RN1247"/>
      <c r="RO1247"/>
      <c r="RP1247"/>
      <c r="RQ1247"/>
      <c r="RR1247"/>
      <c r="RS1247"/>
      <c r="RT1247"/>
      <c r="RU1247"/>
      <c r="RV1247"/>
      <c r="RW1247"/>
      <c r="RX1247"/>
      <c r="RY1247"/>
      <c r="RZ1247"/>
      <c r="SA1247"/>
      <c r="SB1247"/>
      <c r="SC1247"/>
      <c r="SD1247"/>
      <c r="SE1247"/>
      <c r="SF1247"/>
      <c r="SG1247"/>
      <c r="SH1247"/>
      <c r="SI1247"/>
      <c r="SJ1247"/>
      <c r="SK1247"/>
      <c r="SL1247"/>
      <c r="SM1247"/>
      <c r="SN1247"/>
      <c r="SO1247"/>
      <c r="SP1247"/>
      <c r="SQ1247"/>
      <c r="SR1247"/>
      <c r="SS1247"/>
      <c r="ST1247"/>
      <c r="SU1247"/>
      <c r="SV1247"/>
      <c r="SW1247"/>
      <c r="SX1247"/>
      <c r="SY1247"/>
      <c r="SZ1247"/>
      <c r="TA1247"/>
      <c r="TB1247"/>
      <c r="TC1247"/>
      <c r="TD1247"/>
      <c r="TE1247"/>
      <c r="TF1247"/>
      <c r="TG1247"/>
      <c r="TH1247"/>
      <c r="TI1247"/>
      <c r="TJ1247"/>
      <c r="TK1247"/>
      <c r="TL1247"/>
      <c r="TM1247"/>
      <c r="TN1247"/>
      <c r="TO1247"/>
      <c r="TP1247"/>
      <c r="TQ1247"/>
      <c r="TR1247"/>
      <c r="TS1247"/>
      <c r="TT1247"/>
      <c r="TU1247"/>
      <c r="TV1247"/>
      <c r="TW1247"/>
      <c r="TX1247"/>
      <c r="TY1247"/>
      <c r="TZ1247"/>
      <c r="UA1247"/>
      <c r="UB1247"/>
      <c r="UC1247"/>
      <c r="UD1247"/>
      <c r="UE1247"/>
      <c r="UF1247"/>
      <c r="UG1247"/>
      <c r="UH1247"/>
      <c r="UI1247"/>
      <c r="UJ1247"/>
      <c r="UK1247"/>
      <c r="UL1247"/>
      <c r="UM1247"/>
      <c r="UN1247"/>
      <c r="UO1247"/>
      <c r="UP1247"/>
      <c r="UQ1247"/>
      <c r="UR1247"/>
      <c r="US1247"/>
      <c r="UT1247"/>
      <c r="UU1247"/>
      <c r="UV1247"/>
      <c r="UW1247"/>
      <c r="UX1247"/>
      <c r="UY1247"/>
      <c r="UZ1247"/>
      <c r="VA1247"/>
      <c r="VB1247"/>
      <c r="VC1247"/>
      <c r="VD1247"/>
      <c r="VE1247"/>
      <c r="VF1247"/>
      <c r="VG1247"/>
      <c r="VH1247"/>
      <c r="VI1247"/>
      <c r="VJ1247"/>
      <c r="VK1247"/>
      <c r="VL1247"/>
      <c r="VM1247"/>
      <c r="VN1247"/>
      <c r="VO1247"/>
      <c r="VP1247"/>
      <c r="VQ1247"/>
      <c r="VR1247"/>
      <c r="VS1247"/>
      <c r="VT1247"/>
      <c r="VU1247"/>
      <c r="VV1247"/>
      <c r="VW1247"/>
      <c r="VX1247"/>
      <c r="VY1247"/>
      <c r="VZ1247"/>
      <c r="WA1247"/>
      <c r="WB1247"/>
      <c r="WC1247"/>
      <c r="WD1247"/>
      <c r="WE1247"/>
      <c r="WF1247"/>
      <c r="WG1247"/>
      <c r="WH1247"/>
      <c r="WI1247"/>
      <c r="WJ1247"/>
      <c r="WK1247"/>
      <c r="WL1247"/>
      <c r="WM1247"/>
      <c r="WN1247"/>
      <c r="WO1247"/>
      <c r="WP1247"/>
      <c r="WQ1247"/>
      <c r="WR1247"/>
      <c r="WS1247"/>
      <c r="WT1247"/>
      <c r="WU1247"/>
      <c r="WV1247"/>
      <c r="WW1247"/>
      <c r="WX1247"/>
      <c r="WY1247"/>
      <c r="WZ1247"/>
      <c r="XA1247"/>
      <c r="XB1247"/>
      <c r="XC1247"/>
      <c r="XD1247"/>
      <c r="XE1247"/>
      <c r="XF1247"/>
      <c r="XG1247"/>
      <c r="XH1247"/>
      <c r="XI1247"/>
      <c r="XJ1247"/>
      <c r="XK1247"/>
      <c r="XL1247"/>
      <c r="XM1247"/>
      <c r="XN1247"/>
      <c r="XO1247"/>
      <c r="XP1247"/>
      <c r="XQ1247"/>
      <c r="XR1247"/>
      <c r="XS1247"/>
      <c r="XT1247"/>
      <c r="XU1247"/>
      <c r="XV1247"/>
      <c r="XW1247"/>
      <c r="XX1247"/>
      <c r="XY1247"/>
      <c r="XZ1247"/>
      <c r="YA1247"/>
      <c r="YB1247"/>
      <c r="YC1247"/>
      <c r="YD1247"/>
      <c r="YE1247"/>
      <c r="YF1247"/>
      <c r="YG1247"/>
      <c r="YH1247"/>
      <c r="YI1247"/>
      <c r="YJ1247"/>
      <c r="YK1247"/>
      <c r="YL1247"/>
      <c r="YM1247"/>
      <c r="YN1247"/>
      <c r="YO1247"/>
      <c r="YP1247"/>
      <c r="YQ1247"/>
      <c r="YR1247"/>
      <c r="YS1247"/>
      <c r="YT1247"/>
      <c r="YU1247"/>
      <c r="YV1247"/>
      <c r="YW1247"/>
      <c r="YX1247"/>
      <c r="YY1247"/>
      <c r="YZ1247"/>
      <c r="ZA1247"/>
      <c r="ZB1247"/>
      <c r="ZC1247"/>
      <c r="ZD1247"/>
      <c r="ZE1247"/>
      <c r="ZF1247"/>
      <c r="ZG1247"/>
      <c r="ZH1247"/>
      <c r="ZI1247"/>
      <c r="ZJ1247"/>
      <c r="ZK1247"/>
      <c r="ZL1247"/>
      <c r="ZM1247"/>
      <c r="ZN1247"/>
      <c r="ZO1247"/>
      <c r="ZP1247"/>
      <c r="ZQ1247"/>
      <c r="ZR1247"/>
      <c r="ZS1247"/>
      <c r="ZT1247"/>
      <c r="ZU1247"/>
      <c r="ZV1247"/>
      <c r="ZW1247"/>
      <c r="ZX1247"/>
      <c r="ZY1247"/>
      <c r="ZZ1247"/>
      <c r="AAA1247"/>
      <c r="AAB1247"/>
      <c r="AAC1247"/>
      <c r="AAD1247"/>
      <c r="AAE1247"/>
      <c r="AAF1247"/>
      <c r="AAG1247"/>
      <c r="AAH1247"/>
      <c r="AAI1247"/>
      <c r="AAJ1247"/>
      <c r="AAK1247"/>
      <c r="AAL1247"/>
      <c r="AAM1247"/>
      <c r="AAN1247"/>
      <c r="AAO1247"/>
      <c r="AAP1247"/>
      <c r="AAQ1247"/>
      <c r="AAR1247"/>
      <c r="AAS1247"/>
      <c r="AAT1247"/>
      <c r="AAU1247"/>
      <c r="AAV1247"/>
      <c r="AAW1247"/>
      <c r="AAX1247"/>
      <c r="AAY1247"/>
      <c r="AAZ1247"/>
      <c r="ABA1247"/>
      <c r="ABB1247"/>
      <c r="ABC1247"/>
      <c r="ABD1247"/>
      <c r="ABE1247"/>
      <c r="ABF1247"/>
      <c r="ABG1247"/>
      <c r="ABH1247"/>
      <c r="ABI1247"/>
      <c r="ABJ1247"/>
      <c r="ABK1247"/>
      <c r="ABL1247"/>
      <c r="ABM1247"/>
      <c r="ABN1247"/>
      <c r="ABO1247"/>
      <c r="ABP1247"/>
      <c r="ABQ1247"/>
      <c r="ABR1247"/>
      <c r="ABS1247"/>
      <c r="ABT1247"/>
      <c r="ABU1247"/>
      <c r="ABV1247"/>
      <c r="ABW1247"/>
      <c r="ABX1247"/>
      <c r="ABY1247"/>
      <c r="ABZ1247"/>
      <c r="ACA1247"/>
      <c r="ACB1247"/>
      <c r="ACC1247"/>
      <c r="ACD1247"/>
      <c r="ACE1247"/>
      <c r="ACF1247"/>
      <c r="ACG1247"/>
      <c r="ACH1247"/>
      <c r="ACI1247"/>
      <c r="ACJ1247"/>
      <c r="ACK1247"/>
      <c r="ACL1247"/>
      <c r="ACM1247"/>
      <c r="ACN1247"/>
      <c r="ACO1247"/>
      <c r="ACP1247"/>
      <c r="ACQ1247"/>
      <c r="ACR1247"/>
      <c r="ACS1247"/>
      <c r="ACT1247"/>
      <c r="ACU1247"/>
      <c r="ACV1247"/>
      <c r="ACW1247"/>
      <c r="ACX1247"/>
      <c r="ACY1247"/>
      <c r="ACZ1247"/>
      <c r="ADA1247"/>
      <c r="ADB1247"/>
      <c r="ADC1247"/>
      <c r="ADD1247"/>
      <c r="ADE1247"/>
      <c r="ADF1247"/>
      <c r="ADG1247"/>
      <c r="ADH1247"/>
      <c r="ADI1247"/>
      <c r="ADJ1247"/>
      <c r="ADK1247"/>
      <c r="ADL1247"/>
      <c r="ADM1247"/>
      <c r="ADN1247"/>
      <c r="ADO1247"/>
      <c r="ADP1247"/>
      <c r="ADQ1247"/>
      <c r="ADR1247"/>
      <c r="ADS1247"/>
      <c r="ADT1247"/>
      <c r="ADU1247"/>
      <c r="ADV1247"/>
      <c r="ADW1247"/>
      <c r="ADX1247"/>
      <c r="ADY1247"/>
      <c r="ADZ1247"/>
      <c r="AEA1247"/>
      <c r="AEB1247"/>
      <c r="AEC1247"/>
      <c r="AED1247"/>
      <c r="AEE1247"/>
      <c r="AEF1247"/>
      <c r="AEG1247"/>
      <c r="AEH1247"/>
      <c r="AEI1247"/>
      <c r="AEJ1247"/>
      <c r="AEK1247"/>
      <c r="AEL1247"/>
      <c r="AEM1247"/>
      <c r="AEN1247"/>
      <c r="AEO1247"/>
      <c r="AEP1247"/>
      <c r="AEQ1247"/>
      <c r="AER1247"/>
      <c r="AES1247"/>
      <c r="AET1247"/>
      <c r="AEU1247"/>
      <c r="AEV1247"/>
      <c r="AEW1247"/>
      <c r="AEX1247"/>
      <c r="AEY1247"/>
      <c r="AEZ1247"/>
      <c r="AFA1247"/>
      <c r="AFB1247"/>
      <c r="AFC1247"/>
      <c r="AFD1247"/>
      <c r="AFE1247"/>
      <c r="AFF1247"/>
      <c r="AFG1247"/>
      <c r="AFH1247"/>
      <c r="AFI1247"/>
      <c r="AFJ1247"/>
      <c r="AFK1247"/>
      <c r="AFL1247"/>
      <c r="AFM1247"/>
      <c r="AFN1247"/>
      <c r="AFO1247"/>
      <c r="AFP1247"/>
      <c r="AFQ1247"/>
      <c r="AFR1247"/>
      <c r="AFS1247"/>
      <c r="AFT1247"/>
      <c r="AFU1247"/>
      <c r="AFV1247"/>
      <c r="AFW1247"/>
      <c r="AFX1247"/>
      <c r="AFY1247"/>
      <c r="AFZ1247"/>
      <c r="AGA1247"/>
      <c r="AGB1247"/>
      <c r="AGC1247"/>
      <c r="AGD1247"/>
      <c r="AGE1247"/>
      <c r="AGF1247"/>
      <c r="AGG1247"/>
      <c r="AGH1247"/>
      <c r="AGI1247"/>
      <c r="AGJ1247"/>
      <c r="AGK1247"/>
      <c r="AGL1247"/>
      <c r="AGM1247"/>
      <c r="AGN1247"/>
      <c r="AGO1247"/>
      <c r="AGP1247"/>
      <c r="AGQ1247"/>
      <c r="AGR1247"/>
      <c r="AGS1247"/>
      <c r="AGT1247"/>
      <c r="AGU1247"/>
      <c r="AGV1247"/>
      <c r="AGW1247"/>
      <c r="AGX1247"/>
      <c r="AGY1247"/>
      <c r="AGZ1247"/>
      <c r="AHA1247"/>
      <c r="AHB1247"/>
      <c r="AHC1247"/>
      <c r="AHD1247"/>
      <c r="AHE1247"/>
      <c r="AHF1247"/>
      <c r="AHG1247"/>
      <c r="AHH1247"/>
      <c r="AHI1247"/>
      <c r="AHJ1247"/>
      <c r="AHK1247"/>
      <c r="AHL1247"/>
      <c r="AHM1247"/>
      <c r="AHN1247"/>
      <c r="AHO1247"/>
      <c r="AHP1247"/>
      <c r="AHQ1247"/>
      <c r="AHR1247"/>
      <c r="AHS1247"/>
      <c r="AHT1247"/>
      <c r="AHU1247"/>
      <c r="AHV1247"/>
      <c r="AHW1247"/>
      <c r="AHX1247"/>
      <c r="AHY1247"/>
      <c r="AHZ1247"/>
      <c r="AIA1247"/>
      <c r="AIB1247"/>
      <c r="AIC1247"/>
      <c r="AID1247"/>
      <c r="AIE1247"/>
      <c r="AIF1247"/>
      <c r="AIG1247"/>
      <c r="AIH1247"/>
      <c r="AII1247"/>
      <c r="AIJ1247"/>
      <c r="AIK1247"/>
      <c r="AIL1247"/>
      <c r="AIM1247"/>
      <c r="AIN1247"/>
      <c r="AIO1247"/>
      <c r="AIP1247"/>
      <c r="AIQ1247"/>
      <c r="AIR1247"/>
      <c r="AIS1247"/>
      <c r="AIT1247"/>
      <c r="AIU1247"/>
      <c r="AIV1247"/>
      <c r="AIW1247"/>
      <c r="AIX1247"/>
      <c r="AIY1247"/>
      <c r="AIZ1247"/>
      <c r="AJA1247"/>
      <c r="AJB1247"/>
      <c r="AJC1247"/>
      <c r="AJD1247"/>
      <c r="AJE1247"/>
      <c r="AJF1247"/>
      <c r="AJG1247"/>
      <c r="AJH1247"/>
      <c r="AJI1247"/>
      <c r="AJJ1247"/>
      <c r="AJK1247"/>
      <c r="AJL1247"/>
      <c r="AJM1247"/>
      <c r="AJN1247"/>
      <c r="AJO1247"/>
      <c r="AJP1247"/>
      <c r="AJQ1247"/>
      <c r="AJR1247"/>
      <c r="AJS1247"/>
      <c r="AJT1247"/>
      <c r="AJU1247"/>
      <c r="AJV1247"/>
      <c r="AJW1247"/>
      <c r="AJX1247"/>
      <c r="AJY1247"/>
      <c r="AJZ1247"/>
      <c r="AKA1247"/>
      <c r="AKB1247"/>
      <c r="AKC1247"/>
      <c r="AKD1247"/>
      <c r="AKE1247"/>
      <c r="AKF1247"/>
      <c r="AKG1247"/>
      <c r="AKH1247"/>
      <c r="AKI1247"/>
      <c r="AKJ1247"/>
      <c r="AKK1247"/>
      <c r="AKL1247"/>
      <c r="AKM1247"/>
      <c r="AKN1247"/>
      <c r="AKO1247"/>
      <c r="AKP1247"/>
      <c r="AKQ1247"/>
      <c r="AKR1247"/>
      <c r="AKS1247"/>
      <c r="AKT1247"/>
      <c r="AKU1247"/>
      <c r="AKV1247"/>
      <c r="AKW1247"/>
      <c r="AKX1247"/>
      <c r="AKY1247"/>
      <c r="AKZ1247"/>
      <c r="ALA1247"/>
      <c r="ALB1247"/>
      <c r="ALC1247"/>
      <c r="ALD1247"/>
      <c r="ALE1247"/>
      <c r="ALF1247"/>
      <c r="ALG1247"/>
      <c r="ALH1247"/>
      <c r="ALI1247"/>
      <c r="ALJ1247"/>
      <c r="ALK1247"/>
      <c r="ALL1247"/>
      <c r="ALM1247"/>
      <c r="ALN1247"/>
      <c r="ALO1247"/>
      <c r="ALP1247"/>
      <c r="ALQ1247"/>
      <c r="ALR1247"/>
      <c r="ALS1247"/>
      <c r="ALT1247"/>
    </row>
    <row r="1248" spans="1:1008" ht="14">
      <c r="A1248" s="28" t="s">
        <v>3935</v>
      </c>
      <c r="B1248" s="26" t="s">
        <v>3994</v>
      </c>
      <c r="C1248" s="28" t="s">
        <v>3935</v>
      </c>
      <c r="D1248" s="25" t="s">
        <v>13</v>
      </c>
      <c r="E1248" s="28" t="s">
        <v>3935</v>
      </c>
      <c r="F1248" s="28" t="s">
        <v>3936</v>
      </c>
      <c r="G1248" s="28">
        <v>500</v>
      </c>
      <c r="H1248" s="2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c r="BF1248"/>
      <c r="BG1248"/>
      <c r="BH1248"/>
      <c r="BI1248"/>
      <c r="BJ1248"/>
      <c r="BK1248"/>
      <c r="BL1248"/>
      <c r="BM1248"/>
      <c r="BN1248"/>
      <c r="BO1248"/>
      <c r="BP1248"/>
      <c r="BQ1248"/>
      <c r="BR1248"/>
      <c r="BS1248"/>
      <c r="BT1248"/>
      <c r="BU1248"/>
      <c r="BV1248"/>
      <c r="BW1248"/>
      <c r="BX1248"/>
      <c r="BY1248"/>
      <c r="BZ1248"/>
      <c r="CA1248"/>
      <c r="CB1248"/>
      <c r="CC1248"/>
      <c r="CD1248"/>
      <c r="CE1248"/>
      <c r="CF1248"/>
      <c r="CG1248"/>
      <c r="CH1248"/>
      <c r="CI1248"/>
      <c r="CJ1248"/>
      <c r="CK1248"/>
      <c r="CL1248"/>
      <c r="CM1248"/>
      <c r="CN1248"/>
      <c r="CO1248"/>
      <c r="CP1248"/>
      <c r="CQ1248"/>
      <c r="CR1248"/>
      <c r="CS1248"/>
      <c r="CT1248"/>
      <c r="CU1248"/>
      <c r="CV1248"/>
      <c r="CW1248"/>
      <c r="CX1248"/>
      <c r="CY1248"/>
      <c r="CZ1248"/>
      <c r="DA1248"/>
      <c r="DB1248"/>
      <c r="DC1248"/>
      <c r="DD1248"/>
      <c r="DE1248"/>
      <c r="DF1248"/>
      <c r="DG1248"/>
      <c r="DH1248"/>
      <c r="DI1248"/>
      <c r="DJ1248"/>
      <c r="DK1248"/>
      <c r="DL1248"/>
      <c r="DM1248"/>
      <c r="DN1248"/>
      <c r="DO1248"/>
      <c r="DP1248"/>
      <c r="DQ1248"/>
      <c r="DR1248"/>
      <c r="DS1248"/>
      <c r="DT1248"/>
      <c r="DU1248"/>
      <c r="DV1248"/>
      <c r="DW1248"/>
      <c r="DX1248"/>
      <c r="DY1248"/>
      <c r="DZ1248"/>
      <c r="EA1248"/>
      <c r="EB1248"/>
      <c r="EC1248"/>
      <c r="ED1248"/>
      <c r="EE1248"/>
      <c r="EF1248"/>
      <c r="EG1248"/>
      <c r="EH1248"/>
      <c r="EI1248"/>
      <c r="EJ1248"/>
      <c r="EK1248"/>
      <c r="EL1248"/>
      <c r="EM1248"/>
      <c r="EN1248"/>
      <c r="EO1248"/>
      <c r="EP1248"/>
      <c r="EQ1248"/>
      <c r="ER1248"/>
      <c r="ES1248"/>
      <c r="ET1248"/>
      <c r="EU1248"/>
      <c r="EV1248"/>
      <c r="EW1248"/>
      <c r="EX1248"/>
      <c r="EY1248"/>
      <c r="EZ1248"/>
      <c r="FA1248"/>
      <c r="FB1248"/>
      <c r="FC1248"/>
      <c r="FD1248"/>
      <c r="FE1248"/>
      <c r="FF1248"/>
      <c r="FG1248"/>
      <c r="FH1248"/>
      <c r="FI1248"/>
      <c r="FJ1248"/>
      <c r="FK1248"/>
      <c r="FL1248"/>
      <c r="FM1248"/>
      <c r="FN1248"/>
      <c r="FO1248"/>
      <c r="FP1248"/>
      <c r="FQ1248"/>
      <c r="FR1248"/>
      <c r="FS1248"/>
      <c r="FT1248"/>
      <c r="FU1248"/>
      <c r="FV1248"/>
      <c r="FW1248"/>
      <c r="FX1248"/>
      <c r="FY1248"/>
      <c r="FZ1248"/>
      <c r="GA1248"/>
      <c r="GB1248"/>
      <c r="GC1248"/>
      <c r="GD1248"/>
      <c r="GE1248"/>
      <c r="GF1248"/>
      <c r="GG1248"/>
      <c r="GH1248"/>
      <c r="GI1248"/>
      <c r="GJ1248"/>
      <c r="GK1248"/>
      <c r="GL1248"/>
      <c r="GM1248"/>
      <c r="GN1248"/>
      <c r="GO1248"/>
      <c r="GP1248"/>
      <c r="GQ1248"/>
      <c r="GR1248"/>
      <c r="GS1248"/>
      <c r="GT1248"/>
      <c r="GU1248"/>
      <c r="GV1248"/>
      <c r="GW1248"/>
      <c r="GX1248"/>
      <c r="GY1248"/>
      <c r="GZ1248"/>
      <c r="HA1248"/>
      <c r="HB1248"/>
      <c r="HC1248"/>
      <c r="HD1248"/>
      <c r="HE1248"/>
      <c r="HF1248"/>
      <c r="HG1248"/>
      <c r="HH1248"/>
      <c r="HI1248"/>
      <c r="HJ1248"/>
      <c r="HK1248"/>
      <c r="HL1248"/>
      <c r="HM1248"/>
      <c r="HN1248"/>
      <c r="HO1248"/>
      <c r="HP1248"/>
      <c r="HQ1248"/>
      <c r="HR1248"/>
      <c r="HS1248"/>
      <c r="HT1248"/>
      <c r="HU1248"/>
      <c r="HV1248"/>
      <c r="HW1248"/>
      <c r="HX1248"/>
      <c r="HY1248"/>
      <c r="HZ1248"/>
      <c r="IA1248"/>
      <c r="IB1248"/>
      <c r="IC1248"/>
      <c r="ID1248"/>
      <c r="IE1248"/>
      <c r="IF1248"/>
      <c r="IG1248"/>
      <c r="IH1248"/>
      <c r="II1248"/>
      <c r="IJ1248"/>
      <c r="IK1248"/>
      <c r="IL1248"/>
      <c r="IM1248"/>
      <c r="IN1248"/>
      <c r="IO1248"/>
      <c r="IP1248"/>
      <c r="IQ1248"/>
      <c r="IR1248"/>
      <c r="IS1248"/>
      <c r="IT1248"/>
      <c r="IU1248"/>
      <c r="IV1248"/>
      <c r="IW1248"/>
      <c r="IX1248"/>
      <c r="IY1248"/>
      <c r="IZ1248"/>
      <c r="JA1248"/>
      <c r="JB1248"/>
      <c r="JC1248"/>
      <c r="JD1248"/>
      <c r="JE1248"/>
      <c r="JF1248"/>
      <c r="JG1248"/>
      <c r="JH1248"/>
      <c r="JI1248"/>
      <c r="JJ1248"/>
      <c r="JK1248"/>
      <c r="JL1248"/>
      <c r="JM1248"/>
      <c r="JN1248"/>
      <c r="JO1248"/>
      <c r="JP1248"/>
      <c r="JQ1248"/>
      <c r="JR1248"/>
      <c r="JS1248"/>
      <c r="JT1248"/>
      <c r="JU1248"/>
      <c r="JV1248"/>
      <c r="JW1248"/>
      <c r="JX1248"/>
      <c r="JY1248"/>
      <c r="JZ1248"/>
      <c r="KA1248"/>
      <c r="KB1248"/>
      <c r="KC1248"/>
      <c r="KD1248"/>
      <c r="KE1248"/>
      <c r="KF1248"/>
      <c r="KG1248"/>
      <c r="KH1248"/>
      <c r="KI1248"/>
      <c r="KJ1248"/>
      <c r="KK1248"/>
      <c r="KL1248"/>
      <c r="KM1248"/>
      <c r="KN1248"/>
      <c r="KO1248"/>
      <c r="KP1248"/>
      <c r="KQ1248"/>
      <c r="KR1248"/>
      <c r="KS1248"/>
      <c r="KT1248"/>
      <c r="KU1248"/>
      <c r="KV1248"/>
      <c r="KW1248"/>
      <c r="KX1248"/>
      <c r="KY1248"/>
      <c r="KZ1248"/>
      <c r="LA1248"/>
      <c r="LB1248"/>
      <c r="LC1248"/>
      <c r="LD1248"/>
      <c r="LE1248"/>
      <c r="LF1248"/>
      <c r="LG1248"/>
      <c r="LH1248"/>
      <c r="LI1248"/>
      <c r="LJ1248"/>
      <c r="LK1248"/>
      <c r="LL1248"/>
      <c r="LM1248"/>
      <c r="LN1248"/>
      <c r="LO1248"/>
      <c r="LP1248"/>
      <c r="LQ1248"/>
      <c r="LR1248"/>
      <c r="LS1248"/>
      <c r="LT1248"/>
      <c r="LU1248"/>
      <c r="LV1248"/>
      <c r="LW1248"/>
      <c r="LX1248"/>
      <c r="LY1248"/>
      <c r="LZ1248"/>
      <c r="MA1248"/>
      <c r="MB1248"/>
      <c r="MC1248"/>
      <c r="MD1248"/>
      <c r="ME1248"/>
      <c r="MF1248"/>
      <c r="MG1248"/>
      <c r="MH1248"/>
      <c r="MI1248"/>
      <c r="MJ1248"/>
      <c r="MK1248"/>
      <c r="ML1248"/>
      <c r="MM1248"/>
      <c r="MN1248"/>
      <c r="MO1248"/>
      <c r="MP1248"/>
      <c r="MQ1248"/>
      <c r="MR1248"/>
      <c r="MS1248"/>
      <c r="MT1248"/>
      <c r="MU1248"/>
      <c r="MV1248"/>
      <c r="MW1248"/>
      <c r="MX1248"/>
      <c r="MY1248"/>
      <c r="MZ1248"/>
      <c r="NA1248"/>
      <c r="NB1248"/>
      <c r="NC1248"/>
      <c r="ND1248"/>
      <c r="NE1248"/>
      <c r="NF1248"/>
      <c r="NG1248"/>
      <c r="NH1248"/>
      <c r="NI1248"/>
      <c r="NJ1248"/>
      <c r="NK1248"/>
      <c r="NL1248"/>
      <c r="NM1248"/>
      <c r="NN1248"/>
      <c r="NO1248"/>
      <c r="NP1248"/>
      <c r="NQ1248"/>
      <c r="NR1248"/>
      <c r="NS1248"/>
      <c r="NT1248"/>
      <c r="NU1248"/>
      <c r="NV1248"/>
      <c r="NW1248"/>
      <c r="NX1248"/>
      <c r="NY1248"/>
      <c r="NZ1248"/>
      <c r="OA1248"/>
      <c r="OB1248"/>
      <c r="OC1248"/>
      <c r="OD1248"/>
      <c r="OE1248"/>
      <c r="OF1248"/>
      <c r="OG1248"/>
      <c r="OH1248"/>
      <c r="OI1248"/>
      <c r="OJ1248"/>
      <c r="OK1248"/>
      <c r="OL1248"/>
      <c r="OM1248"/>
      <c r="ON1248"/>
      <c r="OO1248"/>
      <c r="OP1248"/>
      <c r="OQ1248"/>
      <c r="OR1248"/>
      <c r="OS1248"/>
      <c r="OT1248"/>
      <c r="OU1248"/>
      <c r="OV1248"/>
      <c r="OW1248"/>
      <c r="OX1248"/>
      <c r="OY1248"/>
      <c r="OZ1248"/>
      <c r="PA1248"/>
      <c r="PB1248"/>
      <c r="PC1248"/>
      <c r="PD1248"/>
      <c r="PE1248"/>
      <c r="PF1248"/>
      <c r="PG1248"/>
      <c r="PH1248"/>
      <c r="PI1248"/>
      <c r="PJ1248"/>
      <c r="PK1248"/>
      <c r="PL1248"/>
      <c r="PM1248"/>
      <c r="PN1248"/>
      <c r="PO1248"/>
      <c r="PP1248"/>
      <c r="PQ1248"/>
      <c r="PR1248"/>
      <c r="PS1248"/>
      <c r="PT1248"/>
      <c r="PU1248"/>
      <c r="PV1248"/>
      <c r="PW1248"/>
      <c r="PX1248"/>
      <c r="PY1248"/>
      <c r="PZ1248"/>
      <c r="QA1248"/>
      <c r="QB1248"/>
      <c r="QC1248"/>
      <c r="QD1248"/>
      <c r="QE1248"/>
      <c r="QF1248"/>
      <c r="QG1248"/>
      <c r="QH1248"/>
      <c r="QI1248"/>
      <c r="QJ1248"/>
      <c r="QK1248"/>
      <c r="QL1248"/>
      <c r="QM1248"/>
      <c r="QN1248"/>
      <c r="QO1248"/>
      <c r="QP1248"/>
      <c r="QQ1248"/>
      <c r="QR1248"/>
      <c r="QS1248"/>
      <c r="QT1248"/>
      <c r="QU1248"/>
      <c r="QV1248"/>
      <c r="QW1248"/>
      <c r="QX1248"/>
      <c r="QY1248"/>
      <c r="QZ1248"/>
      <c r="RA1248"/>
      <c r="RB1248"/>
      <c r="RC1248"/>
      <c r="RD1248"/>
      <c r="RE1248"/>
      <c r="RF1248"/>
      <c r="RG1248"/>
      <c r="RH1248"/>
      <c r="RI1248"/>
      <c r="RJ1248"/>
      <c r="RK1248"/>
      <c r="RL1248"/>
      <c r="RM1248"/>
      <c r="RN1248"/>
      <c r="RO1248"/>
      <c r="RP1248"/>
      <c r="RQ1248"/>
      <c r="RR1248"/>
      <c r="RS1248"/>
      <c r="RT1248"/>
      <c r="RU1248"/>
      <c r="RV1248"/>
      <c r="RW1248"/>
      <c r="RX1248"/>
      <c r="RY1248"/>
      <c r="RZ1248"/>
      <c r="SA1248"/>
      <c r="SB1248"/>
      <c r="SC1248"/>
      <c r="SD1248"/>
      <c r="SE1248"/>
      <c r="SF1248"/>
      <c r="SG1248"/>
      <c r="SH1248"/>
      <c r="SI1248"/>
      <c r="SJ1248"/>
      <c r="SK1248"/>
      <c r="SL1248"/>
      <c r="SM1248"/>
      <c r="SN1248"/>
      <c r="SO1248"/>
      <c r="SP1248"/>
      <c r="SQ1248"/>
      <c r="SR1248"/>
      <c r="SS1248"/>
      <c r="ST1248"/>
      <c r="SU1248"/>
      <c r="SV1248"/>
      <c r="SW1248"/>
      <c r="SX1248"/>
      <c r="SY1248"/>
      <c r="SZ1248"/>
      <c r="TA1248"/>
      <c r="TB1248"/>
      <c r="TC1248"/>
      <c r="TD1248"/>
      <c r="TE1248"/>
      <c r="TF1248"/>
      <c r="TG1248"/>
      <c r="TH1248"/>
      <c r="TI1248"/>
      <c r="TJ1248"/>
      <c r="TK1248"/>
      <c r="TL1248"/>
      <c r="TM1248"/>
      <c r="TN1248"/>
      <c r="TO1248"/>
      <c r="TP1248"/>
      <c r="TQ1248"/>
      <c r="TR1248"/>
      <c r="TS1248"/>
      <c r="TT1248"/>
      <c r="TU1248"/>
      <c r="TV1248"/>
      <c r="TW1248"/>
      <c r="TX1248"/>
      <c r="TY1248"/>
      <c r="TZ1248"/>
      <c r="UA1248"/>
      <c r="UB1248"/>
      <c r="UC1248"/>
      <c r="UD1248"/>
      <c r="UE1248"/>
      <c r="UF1248"/>
      <c r="UG1248"/>
      <c r="UH1248"/>
      <c r="UI1248"/>
      <c r="UJ1248"/>
      <c r="UK1248"/>
      <c r="UL1248"/>
      <c r="UM1248"/>
      <c r="UN1248"/>
      <c r="UO1248"/>
      <c r="UP1248"/>
      <c r="UQ1248"/>
      <c r="UR1248"/>
      <c r="US1248"/>
      <c r="UT1248"/>
      <c r="UU1248"/>
      <c r="UV1248"/>
      <c r="UW1248"/>
      <c r="UX1248"/>
      <c r="UY1248"/>
      <c r="UZ1248"/>
      <c r="VA1248"/>
      <c r="VB1248"/>
      <c r="VC1248"/>
      <c r="VD1248"/>
      <c r="VE1248"/>
      <c r="VF1248"/>
      <c r="VG1248"/>
      <c r="VH1248"/>
      <c r="VI1248"/>
      <c r="VJ1248"/>
      <c r="VK1248"/>
      <c r="VL1248"/>
      <c r="VM1248"/>
      <c r="VN1248"/>
      <c r="VO1248"/>
      <c r="VP1248"/>
      <c r="VQ1248"/>
      <c r="VR1248"/>
      <c r="VS1248"/>
      <c r="VT1248"/>
      <c r="VU1248"/>
      <c r="VV1248"/>
      <c r="VW1248"/>
      <c r="VX1248"/>
      <c r="VY1248"/>
      <c r="VZ1248"/>
      <c r="WA1248"/>
      <c r="WB1248"/>
      <c r="WC1248"/>
      <c r="WD1248"/>
      <c r="WE1248"/>
      <c r="WF1248"/>
      <c r="WG1248"/>
      <c r="WH1248"/>
      <c r="WI1248"/>
      <c r="WJ1248"/>
      <c r="WK1248"/>
      <c r="WL1248"/>
      <c r="WM1248"/>
      <c r="WN1248"/>
      <c r="WO1248"/>
      <c r="WP1248"/>
      <c r="WQ1248"/>
      <c r="WR1248"/>
      <c r="WS1248"/>
      <c r="WT1248"/>
      <c r="WU1248"/>
      <c r="WV1248"/>
      <c r="WW1248"/>
      <c r="WX1248"/>
      <c r="WY1248"/>
      <c r="WZ1248"/>
      <c r="XA1248"/>
      <c r="XB1248"/>
      <c r="XC1248"/>
      <c r="XD1248"/>
      <c r="XE1248"/>
      <c r="XF1248"/>
      <c r="XG1248"/>
      <c r="XH1248"/>
      <c r="XI1248"/>
      <c r="XJ1248"/>
      <c r="XK1248"/>
      <c r="XL1248"/>
      <c r="XM1248"/>
      <c r="XN1248"/>
      <c r="XO1248"/>
      <c r="XP1248"/>
      <c r="XQ1248"/>
      <c r="XR1248"/>
      <c r="XS1248"/>
      <c r="XT1248"/>
      <c r="XU1248"/>
      <c r="XV1248"/>
      <c r="XW1248"/>
      <c r="XX1248"/>
      <c r="XY1248"/>
      <c r="XZ1248"/>
      <c r="YA1248"/>
      <c r="YB1248"/>
      <c r="YC1248"/>
      <c r="YD1248"/>
      <c r="YE1248"/>
      <c r="YF1248"/>
      <c r="YG1248"/>
      <c r="YH1248"/>
      <c r="YI1248"/>
      <c r="YJ1248"/>
      <c r="YK1248"/>
      <c r="YL1248"/>
      <c r="YM1248"/>
      <c r="YN1248"/>
      <c r="YO1248"/>
      <c r="YP1248"/>
      <c r="YQ1248"/>
      <c r="YR1248"/>
      <c r="YS1248"/>
      <c r="YT1248"/>
      <c r="YU1248"/>
      <c r="YV1248"/>
      <c r="YW1248"/>
      <c r="YX1248"/>
      <c r="YY1248"/>
      <c r="YZ1248"/>
      <c r="ZA1248"/>
      <c r="ZB1248"/>
      <c r="ZC1248"/>
      <c r="ZD1248"/>
      <c r="ZE1248"/>
      <c r="ZF1248"/>
      <c r="ZG1248"/>
      <c r="ZH1248"/>
      <c r="ZI1248"/>
      <c r="ZJ1248"/>
      <c r="ZK1248"/>
      <c r="ZL1248"/>
      <c r="ZM1248"/>
      <c r="ZN1248"/>
      <c r="ZO1248"/>
      <c r="ZP1248"/>
      <c r="ZQ1248"/>
      <c r="ZR1248"/>
      <c r="ZS1248"/>
      <c r="ZT1248"/>
      <c r="ZU1248"/>
      <c r="ZV1248"/>
      <c r="ZW1248"/>
      <c r="ZX1248"/>
      <c r="ZY1248"/>
      <c r="ZZ1248"/>
      <c r="AAA1248"/>
      <c r="AAB1248"/>
      <c r="AAC1248"/>
      <c r="AAD1248"/>
      <c r="AAE1248"/>
      <c r="AAF1248"/>
      <c r="AAG1248"/>
      <c r="AAH1248"/>
      <c r="AAI1248"/>
      <c r="AAJ1248"/>
      <c r="AAK1248"/>
      <c r="AAL1248"/>
      <c r="AAM1248"/>
      <c r="AAN1248"/>
      <c r="AAO1248"/>
      <c r="AAP1248"/>
      <c r="AAQ1248"/>
      <c r="AAR1248"/>
      <c r="AAS1248"/>
      <c r="AAT1248"/>
      <c r="AAU1248"/>
      <c r="AAV1248"/>
      <c r="AAW1248"/>
      <c r="AAX1248"/>
      <c r="AAY1248"/>
      <c r="AAZ1248"/>
      <c r="ABA1248"/>
      <c r="ABB1248"/>
      <c r="ABC1248"/>
      <c r="ABD1248"/>
      <c r="ABE1248"/>
      <c r="ABF1248"/>
      <c r="ABG1248"/>
      <c r="ABH1248"/>
      <c r="ABI1248"/>
      <c r="ABJ1248"/>
      <c r="ABK1248"/>
      <c r="ABL1248"/>
      <c r="ABM1248"/>
      <c r="ABN1248"/>
      <c r="ABO1248"/>
      <c r="ABP1248"/>
      <c r="ABQ1248"/>
      <c r="ABR1248"/>
      <c r="ABS1248"/>
      <c r="ABT1248"/>
      <c r="ABU1248"/>
      <c r="ABV1248"/>
      <c r="ABW1248"/>
      <c r="ABX1248"/>
      <c r="ABY1248"/>
      <c r="ABZ1248"/>
      <c r="ACA1248"/>
      <c r="ACB1248"/>
      <c r="ACC1248"/>
      <c r="ACD1248"/>
      <c r="ACE1248"/>
      <c r="ACF1248"/>
      <c r="ACG1248"/>
      <c r="ACH1248"/>
      <c r="ACI1248"/>
      <c r="ACJ1248"/>
      <c r="ACK1248"/>
      <c r="ACL1248"/>
      <c r="ACM1248"/>
      <c r="ACN1248"/>
      <c r="ACO1248"/>
      <c r="ACP1248"/>
      <c r="ACQ1248"/>
      <c r="ACR1248"/>
      <c r="ACS1248"/>
      <c r="ACT1248"/>
      <c r="ACU1248"/>
      <c r="ACV1248"/>
      <c r="ACW1248"/>
      <c r="ACX1248"/>
      <c r="ACY1248"/>
      <c r="ACZ1248"/>
      <c r="ADA1248"/>
      <c r="ADB1248"/>
      <c r="ADC1248"/>
      <c r="ADD1248"/>
      <c r="ADE1248"/>
      <c r="ADF1248"/>
      <c r="ADG1248"/>
      <c r="ADH1248"/>
      <c r="ADI1248"/>
      <c r="ADJ1248"/>
      <c r="ADK1248"/>
      <c r="ADL1248"/>
      <c r="ADM1248"/>
      <c r="ADN1248"/>
      <c r="ADO1248"/>
      <c r="ADP1248"/>
      <c r="ADQ1248"/>
      <c r="ADR1248"/>
      <c r="ADS1248"/>
      <c r="ADT1248"/>
      <c r="ADU1248"/>
      <c r="ADV1248"/>
      <c r="ADW1248"/>
      <c r="ADX1248"/>
      <c r="ADY1248"/>
      <c r="ADZ1248"/>
      <c r="AEA1248"/>
      <c r="AEB1248"/>
      <c r="AEC1248"/>
      <c r="AED1248"/>
      <c r="AEE1248"/>
      <c r="AEF1248"/>
      <c r="AEG1248"/>
      <c r="AEH1248"/>
      <c r="AEI1248"/>
      <c r="AEJ1248"/>
      <c r="AEK1248"/>
      <c r="AEL1248"/>
      <c r="AEM1248"/>
      <c r="AEN1248"/>
      <c r="AEO1248"/>
      <c r="AEP1248"/>
      <c r="AEQ1248"/>
      <c r="AER1248"/>
      <c r="AES1248"/>
      <c r="AET1248"/>
      <c r="AEU1248"/>
      <c r="AEV1248"/>
      <c r="AEW1248"/>
      <c r="AEX1248"/>
      <c r="AEY1248"/>
      <c r="AEZ1248"/>
      <c r="AFA1248"/>
      <c r="AFB1248"/>
      <c r="AFC1248"/>
      <c r="AFD1248"/>
      <c r="AFE1248"/>
      <c r="AFF1248"/>
      <c r="AFG1248"/>
      <c r="AFH1248"/>
      <c r="AFI1248"/>
      <c r="AFJ1248"/>
      <c r="AFK1248"/>
      <c r="AFL1248"/>
      <c r="AFM1248"/>
      <c r="AFN1248"/>
      <c r="AFO1248"/>
      <c r="AFP1248"/>
      <c r="AFQ1248"/>
      <c r="AFR1248"/>
      <c r="AFS1248"/>
      <c r="AFT1248"/>
      <c r="AFU1248"/>
      <c r="AFV1248"/>
      <c r="AFW1248"/>
      <c r="AFX1248"/>
      <c r="AFY1248"/>
      <c r="AFZ1248"/>
      <c r="AGA1248"/>
      <c r="AGB1248"/>
      <c r="AGC1248"/>
      <c r="AGD1248"/>
      <c r="AGE1248"/>
      <c r="AGF1248"/>
      <c r="AGG1248"/>
      <c r="AGH1248"/>
      <c r="AGI1248"/>
      <c r="AGJ1248"/>
      <c r="AGK1248"/>
      <c r="AGL1248"/>
      <c r="AGM1248"/>
      <c r="AGN1248"/>
      <c r="AGO1248"/>
      <c r="AGP1248"/>
      <c r="AGQ1248"/>
      <c r="AGR1248"/>
      <c r="AGS1248"/>
      <c r="AGT1248"/>
      <c r="AGU1248"/>
      <c r="AGV1248"/>
      <c r="AGW1248"/>
      <c r="AGX1248"/>
      <c r="AGY1248"/>
      <c r="AGZ1248"/>
      <c r="AHA1248"/>
      <c r="AHB1248"/>
      <c r="AHC1248"/>
      <c r="AHD1248"/>
      <c r="AHE1248"/>
      <c r="AHF1248"/>
      <c r="AHG1248"/>
      <c r="AHH1248"/>
      <c r="AHI1248"/>
      <c r="AHJ1248"/>
      <c r="AHK1248"/>
      <c r="AHL1248"/>
      <c r="AHM1248"/>
      <c r="AHN1248"/>
      <c r="AHO1248"/>
      <c r="AHP1248"/>
      <c r="AHQ1248"/>
      <c r="AHR1248"/>
      <c r="AHS1248"/>
      <c r="AHT1248"/>
      <c r="AHU1248"/>
      <c r="AHV1248"/>
      <c r="AHW1248"/>
      <c r="AHX1248"/>
      <c r="AHY1248"/>
      <c r="AHZ1248"/>
      <c r="AIA1248"/>
      <c r="AIB1248"/>
      <c r="AIC1248"/>
      <c r="AID1248"/>
      <c r="AIE1248"/>
      <c r="AIF1248"/>
      <c r="AIG1248"/>
      <c r="AIH1248"/>
      <c r="AII1248"/>
      <c r="AIJ1248"/>
      <c r="AIK1248"/>
      <c r="AIL1248"/>
      <c r="AIM1248"/>
      <c r="AIN1248"/>
      <c r="AIO1248"/>
      <c r="AIP1248"/>
      <c r="AIQ1248"/>
      <c r="AIR1248"/>
      <c r="AIS1248"/>
      <c r="AIT1248"/>
      <c r="AIU1248"/>
      <c r="AIV1248"/>
      <c r="AIW1248"/>
      <c r="AIX1248"/>
      <c r="AIY1248"/>
      <c r="AIZ1248"/>
      <c r="AJA1248"/>
      <c r="AJB1248"/>
      <c r="AJC1248"/>
      <c r="AJD1248"/>
      <c r="AJE1248"/>
      <c r="AJF1248"/>
      <c r="AJG1248"/>
      <c r="AJH1248"/>
      <c r="AJI1248"/>
      <c r="AJJ1248"/>
      <c r="AJK1248"/>
      <c r="AJL1248"/>
      <c r="AJM1248"/>
      <c r="AJN1248"/>
      <c r="AJO1248"/>
      <c r="AJP1248"/>
      <c r="AJQ1248"/>
      <c r="AJR1248"/>
      <c r="AJS1248"/>
      <c r="AJT1248"/>
      <c r="AJU1248"/>
      <c r="AJV1248"/>
      <c r="AJW1248"/>
      <c r="AJX1248"/>
      <c r="AJY1248"/>
      <c r="AJZ1248"/>
      <c r="AKA1248"/>
      <c r="AKB1248"/>
      <c r="AKC1248"/>
      <c r="AKD1248"/>
      <c r="AKE1248"/>
      <c r="AKF1248"/>
      <c r="AKG1248"/>
      <c r="AKH1248"/>
      <c r="AKI1248"/>
      <c r="AKJ1248"/>
      <c r="AKK1248"/>
      <c r="AKL1248"/>
      <c r="AKM1248"/>
      <c r="AKN1248"/>
      <c r="AKO1248"/>
      <c r="AKP1248"/>
      <c r="AKQ1248"/>
      <c r="AKR1248"/>
      <c r="AKS1248"/>
      <c r="AKT1248"/>
      <c r="AKU1248"/>
      <c r="AKV1248"/>
      <c r="AKW1248"/>
      <c r="AKX1248"/>
      <c r="AKY1248"/>
      <c r="AKZ1248"/>
      <c r="ALA1248"/>
      <c r="ALB1248"/>
      <c r="ALC1248"/>
      <c r="ALD1248"/>
      <c r="ALE1248"/>
      <c r="ALF1248"/>
      <c r="ALG1248"/>
      <c r="ALH1248"/>
      <c r="ALI1248"/>
      <c r="ALJ1248"/>
      <c r="ALK1248"/>
      <c r="ALL1248"/>
      <c r="ALM1248"/>
      <c r="ALN1248"/>
      <c r="ALO1248"/>
      <c r="ALP1248"/>
      <c r="ALQ1248"/>
      <c r="ALR1248"/>
      <c r="ALS1248"/>
      <c r="ALT1248"/>
    </row>
    <row r="1249" spans="1:1008" ht="14">
      <c r="A1249" s="28" t="s">
        <v>3937</v>
      </c>
      <c r="B1249" s="26" t="s">
        <v>3994</v>
      </c>
      <c r="C1249" s="28" t="s">
        <v>3937</v>
      </c>
      <c r="D1249" s="25" t="s">
        <v>13</v>
      </c>
      <c r="E1249" s="28" t="s">
        <v>3937</v>
      </c>
      <c r="F1249" s="28" t="s">
        <v>3938</v>
      </c>
      <c r="G1249" s="28">
        <v>550</v>
      </c>
      <c r="H1249" s="28"/>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c r="AT1249"/>
      <c r="AU1249"/>
      <c r="AV1249"/>
      <c r="AW1249"/>
      <c r="AX1249"/>
      <c r="AY1249"/>
      <c r="AZ1249"/>
      <c r="BA1249"/>
      <c r="BB1249"/>
      <c r="BC1249"/>
      <c r="BD1249"/>
      <c r="BE1249"/>
      <c r="BF1249"/>
      <c r="BG1249"/>
      <c r="BH1249"/>
      <c r="BI1249"/>
      <c r="BJ1249"/>
      <c r="BK1249"/>
      <c r="BL1249"/>
      <c r="BM1249"/>
      <c r="BN1249"/>
      <c r="BO1249"/>
      <c r="BP1249"/>
      <c r="BQ1249"/>
      <c r="BR1249"/>
      <c r="BS1249"/>
      <c r="BT1249"/>
      <c r="BU1249"/>
      <c r="BV1249"/>
      <c r="BW1249"/>
      <c r="BX1249"/>
      <c r="BY1249"/>
      <c r="BZ1249"/>
      <c r="CA1249"/>
      <c r="CB1249"/>
      <c r="CC1249"/>
      <c r="CD1249"/>
      <c r="CE1249"/>
      <c r="CF1249"/>
      <c r="CG1249"/>
      <c r="CH1249"/>
      <c r="CI1249"/>
      <c r="CJ1249"/>
      <c r="CK1249"/>
      <c r="CL1249"/>
      <c r="CM1249"/>
      <c r="CN1249"/>
      <c r="CO1249"/>
      <c r="CP1249"/>
      <c r="CQ1249"/>
      <c r="CR1249"/>
      <c r="CS1249"/>
      <c r="CT1249"/>
      <c r="CU1249"/>
      <c r="CV1249"/>
      <c r="CW1249"/>
      <c r="CX1249"/>
      <c r="CY1249"/>
      <c r="CZ1249"/>
      <c r="DA1249"/>
      <c r="DB1249"/>
      <c r="DC1249"/>
      <c r="DD1249"/>
      <c r="DE1249"/>
      <c r="DF1249"/>
      <c r="DG1249"/>
      <c r="DH1249"/>
      <c r="DI1249"/>
      <c r="DJ1249"/>
      <c r="DK1249"/>
      <c r="DL1249"/>
      <c r="DM1249"/>
      <c r="DN1249"/>
      <c r="DO1249"/>
      <c r="DP1249"/>
      <c r="DQ1249"/>
      <c r="DR1249"/>
      <c r="DS1249"/>
      <c r="DT1249"/>
      <c r="DU1249"/>
      <c r="DV1249"/>
      <c r="DW1249"/>
      <c r="DX1249"/>
      <c r="DY1249"/>
      <c r="DZ1249"/>
      <c r="EA1249"/>
      <c r="EB1249"/>
      <c r="EC1249"/>
      <c r="ED1249"/>
      <c r="EE1249"/>
      <c r="EF1249"/>
      <c r="EG1249"/>
      <c r="EH1249"/>
      <c r="EI1249"/>
      <c r="EJ1249"/>
      <c r="EK1249"/>
      <c r="EL1249"/>
      <c r="EM1249"/>
      <c r="EN1249"/>
      <c r="EO1249"/>
      <c r="EP1249"/>
      <c r="EQ1249"/>
      <c r="ER1249"/>
      <c r="ES1249"/>
      <c r="ET1249"/>
      <c r="EU1249"/>
      <c r="EV1249"/>
      <c r="EW1249"/>
      <c r="EX1249"/>
      <c r="EY1249"/>
      <c r="EZ1249"/>
      <c r="FA1249"/>
      <c r="FB1249"/>
      <c r="FC1249"/>
      <c r="FD1249"/>
      <c r="FE1249"/>
      <c r="FF1249"/>
      <c r="FG1249"/>
      <c r="FH1249"/>
      <c r="FI1249"/>
      <c r="FJ1249"/>
      <c r="FK1249"/>
      <c r="FL1249"/>
      <c r="FM1249"/>
      <c r="FN1249"/>
      <c r="FO1249"/>
      <c r="FP1249"/>
      <c r="FQ1249"/>
      <c r="FR1249"/>
      <c r="FS1249"/>
      <c r="FT1249"/>
      <c r="FU1249"/>
      <c r="FV1249"/>
      <c r="FW1249"/>
      <c r="FX1249"/>
      <c r="FY1249"/>
      <c r="FZ1249"/>
      <c r="GA1249"/>
      <c r="GB1249"/>
      <c r="GC1249"/>
      <c r="GD1249"/>
      <c r="GE1249"/>
      <c r="GF1249"/>
      <c r="GG1249"/>
      <c r="GH1249"/>
      <c r="GI1249"/>
      <c r="GJ1249"/>
      <c r="GK1249"/>
      <c r="GL1249"/>
      <c r="GM1249"/>
      <c r="GN1249"/>
      <c r="GO1249"/>
      <c r="GP1249"/>
      <c r="GQ1249"/>
      <c r="GR1249"/>
      <c r="GS1249"/>
      <c r="GT1249"/>
      <c r="GU1249"/>
      <c r="GV1249"/>
      <c r="GW1249"/>
      <c r="GX1249"/>
      <c r="GY1249"/>
      <c r="GZ1249"/>
      <c r="HA1249"/>
      <c r="HB1249"/>
      <c r="HC1249"/>
      <c r="HD1249"/>
      <c r="HE1249"/>
      <c r="HF1249"/>
      <c r="HG1249"/>
      <c r="HH1249"/>
      <c r="HI1249"/>
      <c r="HJ1249"/>
      <c r="HK1249"/>
      <c r="HL1249"/>
      <c r="HM1249"/>
      <c r="HN1249"/>
      <c r="HO1249"/>
      <c r="HP1249"/>
      <c r="HQ1249"/>
      <c r="HR1249"/>
      <c r="HS1249"/>
      <c r="HT1249"/>
      <c r="HU1249"/>
      <c r="HV1249"/>
      <c r="HW1249"/>
      <c r="HX1249"/>
      <c r="HY1249"/>
      <c r="HZ1249"/>
      <c r="IA1249"/>
      <c r="IB1249"/>
      <c r="IC1249"/>
      <c r="ID1249"/>
      <c r="IE1249"/>
      <c r="IF1249"/>
      <c r="IG1249"/>
      <c r="IH1249"/>
      <c r="II1249"/>
      <c r="IJ1249"/>
      <c r="IK1249"/>
      <c r="IL1249"/>
      <c r="IM1249"/>
      <c r="IN1249"/>
      <c r="IO1249"/>
      <c r="IP1249"/>
      <c r="IQ1249"/>
      <c r="IR1249"/>
      <c r="IS1249"/>
      <c r="IT1249"/>
      <c r="IU1249"/>
      <c r="IV1249"/>
      <c r="IW1249"/>
      <c r="IX1249"/>
      <c r="IY1249"/>
      <c r="IZ1249"/>
      <c r="JA1249"/>
      <c r="JB1249"/>
      <c r="JC1249"/>
      <c r="JD1249"/>
      <c r="JE1249"/>
      <c r="JF1249"/>
      <c r="JG1249"/>
      <c r="JH1249"/>
      <c r="JI1249"/>
      <c r="JJ1249"/>
      <c r="JK1249"/>
      <c r="JL1249"/>
      <c r="JM1249"/>
      <c r="JN1249"/>
      <c r="JO1249"/>
      <c r="JP1249"/>
      <c r="JQ1249"/>
      <c r="JR1249"/>
      <c r="JS1249"/>
      <c r="JT1249"/>
      <c r="JU1249"/>
      <c r="JV1249"/>
      <c r="JW1249"/>
      <c r="JX1249"/>
      <c r="JY1249"/>
      <c r="JZ1249"/>
      <c r="KA1249"/>
      <c r="KB1249"/>
      <c r="KC1249"/>
      <c r="KD1249"/>
      <c r="KE1249"/>
      <c r="KF1249"/>
      <c r="KG1249"/>
      <c r="KH1249"/>
      <c r="KI1249"/>
      <c r="KJ1249"/>
      <c r="KK1249"/>
      <c r="KL1249"/>
      <c r="KM1249"/>
      <c r="KN1249"/>
      <c r="KO1249"/>
      <c r="KP1249"/>
      <c r="KQ1249"/>
      <c r="KR1249"/>
      <c r="KS1249"/>
      <c r="KT1249"/>
      <c r="KU1249"/>
      <c r="KV1249"/>
      <c r="KW1249"/>
      <c r="KX1249"/>
      <c r="KY1249"/>
      <c r="KZ1249"/>
      <c r="LA1249"/>
      <c r="LB1249"/>
      <c r="LC1249"/>
      <c r="LD1249"/>
      <c r="LE1249"/>
      <c r="LF1249"/>
      <c r="LG1249"/>
      <c r="LH1249"/>
      <c r="LI1249"/>
      <c r="LJ1249"/>
      <c r="LK1249"/>
      <c r="LL1249"/>
      <c r="LM1249"/>
      <c r="LN1249"/>
      <c r="LO1249"/>
      <c r="LP1249"/>
      <c r="LQ1249"/>
      <c r="LR1249"/>
      <c r="LS1249"/>
      <c r="LT1249"/>
      <c r="LU1249"/>
      <c r="LV1249"/>
      <c r="LW1249"/>
      <c r="LX1249"/>
      <c r="LY1249"/>
      <c r="LZ1249"/>
      <c r="MA1249"/>
      <c r="MB1249"/>
      <c r="MC1249"/>
      <c r="MD1249"/>
      <c r="ME1249"/>
      <c r="MF1249"/>
      <c r="MG1249"/>
      <c r="MH1249"/>
      <c r="MI1249"/>
      <c r="MJ1249"/>
      <c r="MK1249"/>
      <c r="ML1249"/>
      <c r="MM1249"/>
      <c r="MN1249"/>
      <c r="MO1249"/>
      <c r="MP1249"/>
      <c r="MQ1249"/>
      <c r="MR1249"/>
      <c r="MS1249"/>
      <c r="MT1249"/>
      <c r="MU1249"/>
      <c r="MV1249"/>
      <c r="MW1249"/>
      <c r="MX1249"/>
      <c r="MY1249"/>
      <c r="MZ1249"/>
      <c r="NA1249"/>
      <c r="NB1249"/>
      <c r="NC1249"/>
      <c r="ND1249"/>
      <c r="NE1249"/>
      <c r="NF1249"/>
      <c r="NG1249"/>
      <c r="NH1249"/>
      <c r="NI1249"/>
      <c r="NJ1249"/>
      <c r="NK1249"/>
      <c r="NL1249"/>
      <c r="NM1249"/>
      <c r="NN1249"/>
      <c r="NO1249"/>
      <c r="NP1249"/>
      <c r="NQ1249"/>
      <c r="NR1249"/>
      <c r="NS1249"/>
      <c r="NT1249"/>
      <c r="NU1249"/>
      <c r="NV1249"/>
      <c r="NW1249"/>
      <c r="NX1249"/>
      <c r="NY1249"/>
      <c r="NZ1249"/>
      <c r="OA1249"/>
      <c r="OB1249"/>
      <c r="OC1249"/>
      <c r="OD1249"/>
      <c r="OE1249"/>
      <c r="OF1249"/>
      <c r="OG1249"/>
      <c r="OH1249"/>
      <c r="OI1249"/>
      <c r="OJ1249"/>
      <c r="OK1249"/>
      <c r="OL1249"/>
      <c r="OM1249"/>
      <c r="ON1249"/>
      <c r="OO1249"/>
      <c r="OP1249"/>
      <c r="OQ1249"/>
      <c r="OR1249"/>
      <c r="OS1249"/>
      <c r="OT1249"/>
      <c r="OU1249"/>
      <c r="OV1249"/>
      <c r="OW1249"/>
      <c r="OX1249"/>
      <c r="OY1249"/>
      <c r="OZ1249"/>
      <c r="PA1249"/>
      <c r="PB1249"/>
      <c r="PC1249"/>
      <c r="PD1249"/>
      <c r="PE1249"/>
      <c r="PF1249"/>
      <c r="PG1249"/>
      <c r="PH1249"/>
      <c r="PI1249"/>
      <c r="PJ1249"/>
      <c r="PK1249"/>
      <c r="PL1249"/>
      <c r="PM1249"/>
      <c r="PN1249"/>
      <c r="PO1249"/>
      <c r="PP1249"/>
      <c r="PQ1249"/>
      <c r="PR1249"/>
      <c r="PS1249"/>
      <c r="PT1249"/>
      <c r="PU1249"/>
      <c r="PV1249"/>
      <c r="PW1249"/>
      <c r="PX1249"/>
      <c r="PY1249"/>
      <c r="PZ1249"/>
      <c r="QA1249"/>
      <c r="QB1249"/>
      <c r="QC1249"/>
      <c r="QD1249"/>
      <c r="QE1249"/>
      <c r="QF1249"/>
      <c r="QG1249"/>
      <c r="QH1249"/>
      <c r="QI1249"/>
      <c r="QJ1249"/>
      <c r="QK1249"/>
      <c r="QL1249"/>
      <c r="QM1249"/>
      <c r="QN1249"/>
      <c r="QO1249"/>
      <c r="QP1249"/>
      <c r="QQ1249"/>
      <c r="QR1249"/>
      <c r="QS1249"/>
      <c r="QT1249"/>
      <c r="QU1249"/>
      <c r="QV1249"/>
      <c r="QW1249"/>
      <c r="QX1249"/>
      <c r="QY1249"/>
      <c r="QZ1249"/>
      <c r="RA1249"/>
      <c r="RB1249"/>
      <c r="RC1249"/>
      <c r="RD1249"/>
      <c r="RE1249"/>
      <c r="RF1249"/>
      <c r="RG1249"/>
      <c r="RH1249"/>
      <c r="RI1249"/>
      <c r="RJ1249"/>
      <c r="RK1249"/>
      <c r="RL1249"/>
      <c r="RM1249"/>
      <c r="RN1249"/>
      <c r="RO1249"/>
      <c r="RP1249"/>
      <c r="RQ1249"/>
      <c r="RR1249"/>
      <c r="RS1249"/>
      <c r="RT1249"/>
      <c r="RU1249"/>
      <c r="RV1249"/>
      <c r="RW1249"/>
      <c r="RX1249"/>
      <c r="RY1249"/>
      <c r="RZ1249"/>
      <c r="SA1249"/>
      <c r="SB1249"/>
      <c r="SC1249"/>
      <c r="SD1249"/>
      <c r="SE1249"/>
      <c r="SF1249"/>
      <c r="SG1249"/>
      <c r="SH1249"/>
      <c r="SI1249"/>
      <c r="SJ1249"/>
      <c r="SK1249"/>
      <c r="SL1249"/>
      <c r="SM1249"/>
      <c r="SN1249"/>
      <c r="SO1249"/>
      <c r="SP1249"/>
      <c r="SQ1249"/>
      <c r="SR1249"/>
      <c r="SS1249"/>
      <c r="ST1249"/>
      <c r="SU1249"/>
      <c r="SV1249"/>
      <c r="SW1249"/>
      <c r="SX1249"/>
      <c r="SY1249"/>
      <c r="SZ1249"/>
      <c r="TA1249"/>
      <c r="TB1249"/>
      <c r="TC1249"/>
      <c r="TD1249"/>
      <c r="TE1249"/>
      <c r="TF1249"/>
      <c r="TG1249"/>
      <c r="TH1249"/>
      <c r="TI1249"/>
      <c r="TJ1249"/>
      <c r="TK1249"/>
      <c r="TL1249"/>
      <c r="TM1249"/>
      <c r="TN1249"/>
      <c r="TO1249"/>
      <c r="TP1249"/>
      <c r="TQ1249"/>
      <c r="TR1249"/>
      <c r="TS1249"/>
      <c r="TT1249"/>
      <c r="TU1249"/>
      <c r="TV1249"/>
      <c r="TW1249"/>
      <c r="TX1249"/>
      <c r="TY1249"/>
      <c r="TZ1249"/>
      <c r="UA1249"/>
      <c r="UB1249"/>
      <c r="UC1249"/>
      <c r="UD1249"/>
      <c r="UE1249"/>
      <c r="UF1249"/>
      <c r="UG1249"/>
      <c r="UH1249"/>
      <c r="UI1249"/>
      <c r="UJ1249"/>
      <c r="UK1249"/>
      <c r="UL1249"/>
      <c r="UM1249"/>
      <c r="UN1249"/>
      <c r="UO1249"/>
      <c r="UP1249"/>
      <c r="UQ1249"/>
      <c r="UR1249"/>
      <c r="US1249"/>
      <c r="UT1249"/>
      <c r="UU1249"/>
      <c r="UV1249"/>
      <c r="UW1249"/>
      <c r="UX1249"/>
      <c r="UY1249"/>
      <c r="UZ1249"/>
      <c r="VA1249"/>
      <c r="VB1249"/>
      <c r="VC1249"/>
      <c r="VD1249"/>
      <c r="VE1249"/>
      <c r="VF1249"/>
      <c r="VG1249"/>
      <c r="VH1249"/>
      <c r="VI1249"/>
      <c r="VJ1249"/>
      <c r="VK1249"/>
      <c r="VL1249"/>
      <c r="VM1249"/>
      <c r="VN1249"/>
      <c r="VO1249"/>
      <c r="VP1249"/>
      <c r="VQ1249"/>
      <c r="VR1249"/>
      <c r="VS1249"/>
      <c r="VT1249"/>
      <c r="VU1249"/>
      <c r="VV1249"/>
      <c r="VW1249"/>
      <c r="VX1249"/>
      <c r="VY1249"/>
      <c r="VZ1249"/>
      <c r="WA1249"/>
      <c r="WB1249"/>
      <c r="WC1249"/>
      <c r="WD1249"/>
      <c r="WE1249"/>
      <c r="WF1249"/>
      <c r="WG1249"/>
      <c r="WH1249"/>
      <c r="WI1249"/>
      <c r="WJ1249"/>
      <c r="WK1249"/>
      <c r="WL1249"/>
      <c r="WM1249"/>
      <c r="WN1249"/>
      <c r="WO1249"/>
      <c r="WP1249"/>
      <c r="WQ1249"/>
      <c r="WR1249"/>
      <c r="WS1249"/>
      <c r="WT1249"/>
      <c r="WU1249"/>
      <c r="WV1249"/>
      <c r="WW1249"/>
      <c r="WX1249"/>
      <c r="WY1249"/>
      <c r="WZ1249"/>
      <c r="XA1249"/>
      <c r="XB1249"/>
      <c r="XC1249"/>
      <c r="XD1249"/>
      <c r="XE1249"/>
      <c r="XF1249"/>
      <c r="XG1249"/>
      <c r="XH1249"/>
      <c r="XI1249"/>
      <c r="XJ1249"/>
      <c r="XK1249"/>
      <c r="XL1249"/>
      <c r="XM1249"/>
      <c r="XN1249"/>
      <c r="XO1249"/>
      <c r="XP1249"/>
      <c r="XQ1249"/>
      <c r="XR1249"/>
      <c r="XS1249"/>
      <c r="XT1249"/>
      <c r="XU1249"/>
      <c r="XV1249"/>
      <c r="XW1249"/>
      <c r="XX1249"/>
      <c r="XY1249"/>
      <c r="XZ1249"/>
      <c r="YA1249"/>
      <c r="YB1249"/>
      <c r="YC1249"/>
      <c r="YD1249"/>
      <c r="YE1249"/>
      <c r="YF1249"/>
      <c r="YG1249"/>
      <c r="YH1249"/>
      <c r="YI1249"/>
      <c r="YJ1249"/>
      <c r="YK1249"/>
      <c r="YL1249"/>
      <c r="YM1249"/>
      <c r="YN1249"/>
      <c r="YO1249"/>
      <c r="YP1249"/>
      <c r="YQ1249"/>
      <c r="YR1249"/>
      <c r="YS1249"/>
      <c r="YT1249"/>
      <c r="YU1249"/>
      <c r="YV1249"/>
      <c r="YW1249"/>
      <c r="YX1249"/>
      <c r="YY1249"/>
      <c r="YZ1249"/>
      <c r="ZA1249"/>
      <c r="ZB1249"/>
      <c r="ZC1249"/>
      <c r="ZD1249"/>
      <c r="ZE1249"/>
      <c r="ZF1249"/>
      <c r="ZG1249"/>
      <c r="ZH1249"/>
      <c r="ZI1249"/>
      <c r="ZJ1249"/>
      <c r="ZK1249"/>
      <c r="ZL1249"/>
      <c r="ZM1249"/>
      <c r="ZN1249"/>
      <c r="ZO1249"/>
      <c r="ZP1249"/>
      <c r="ZQ1249"/>
      <c r="ZR1249"/>
      <c r="ZS1249"/>
      <c r="ZT1249"/>
      <c r="ZU1249"/>
      <c r="ZV1249"/>
      <c r="ZW1249"/>
      <c r="ZX1249"/>
      <c r="ZY1249"/>
      <c r="ZZ1249"/>
      <c r="AAA1249"/>
      <c r="AAB1249"/>
      <c r="AAC1249"/>
      <c r="AAD1249"/>
      <c r="AAE1249"/>
      <c r="AAF1249"/>
      <c r="AAG1249"/>
      <c r="AAH1249"/>
      <c r="AAI1249"/>
      <c r="AAJ1249"/>
      <c r="AAK1249"/>
      <c r="AAL1249"/>
      <c r="AAM1249"/>
      <c r="AAN1249"/>
      <c r="AAO1249"/>
      <c r="AAP1249"/>
      <c r="AAQ1249"/>
      <c r="AAR1249"/>
      <c r="AAS1249"/>
      <c r="AAT1249"/>
      <c r="AAU1249"/>
      <c r="AAV1249"/>
      <c r="AAW1249"/>
      <c r="AAX1249"/>
      <c r="AAY1249"/>
      <c r="AAZ1249"/>
      <c r="ABA1249"/>
      <c r="ABB1249"/>
      <c r="ABC1249"/>
      <c r="ABD1249"/>
      <c r="ABE1249"/>
      <c r="ABF1249"/>
      <c r="ABG1249"/>
      <c r="ABH1249"/>
      <c r="ABI1249"/>
      <c r="ABJ1249"/>
      <c r="ABK1249"/>
      <c r="ABL1249"/>
      <c r="ABM1249"/>
      <c r="ABN1249"/>
      <c r="ABO1249"/>
      <c r="ABP1249"/>
      <c r="ABQ1249"/>
      <c r="ABR1249"/>
      <c r="ABS1249"/>
      <c r="ABT1249"/>
      <c r="ABU1249"/>
      <c r="ABV1249"/>
      <c r="ABW1249"/>
      <c r="ABX1249"/>
      <c r="ABY1249"/>
      <c r="ABZ1249"/>
      <c r="ACA1249"/>
      <c r="ACB1249"/>
      <c r="ACC1249"/>
      <c r="ACD1249"/>
      <c r="ACE1249"/>
      <c r="ACF1249"/>
      <c r="ACG1249"/>
      <c r="ACH1249"/>
      <c r="ACI1249"/>
      <c r="ACJ1249"/>
      <c r="ACK1249"/>
      <c r="ACL1249"/>
      <c r="ACM1249"/>
      <c r="ACN1249"/>
      <c r="ACO1249"/>
      <c r="ACP1249"/>
      <c r="ACQ1249"/>
      <c r="ACR1249"/>
      <c r="ACS1249"/>
      <c r="ACT1249"/>
      <c r="ACU1249"/>
      <c r="ACV1249"/>
      <c r="ACW1249"/>
      <c r="ACX1249"/>
      <c r="ACY1249"/>
      <c r="ACZ1249"/>
      <c r="ADA1249"/>
      <c r="ADB1249"/>
      <c r="ADC1249"/>
      <c r="ADD1249"/>
      <c r="ADE1249"/>
      <c r="ADF1249"/>
      <c r="ADG1249"/>
      <c r="ADH1249"/>
      <c r="ADI1249"/>
      <c r="ADJ1249"/>
      <c r="ADK1249"/>
      <c r="ADL1249"/>
      <c r="ADM1249"/>
      <c r="ADN1249"/>
      <c r="ADO1249"/>
      <c r="ADP1249"/>
      <c r="ADQ1249"/>
      <c r="ADR1249"/>
      <c r="ADS1249"/>
      <c r="ADT1249"/>
      <c r="ADU1249"/>
      <c r="ADV1249"/>
      <c r="ADW1249"/>
      <c r="ADX1249"/>
      <c r="ADY1249"/>
      <c r="ADZ1249"/>
      <c r="AEA1249"/>
      <c r="AEB1249"/>
      <c r="AEC1249"/>
      <c r="AED1249"/>
      <c r="AEE1249"/>
      <c r="AEF1249"/>
      <c r="AEG1249"/>
      <c r="AEH1249"/>
      <c r="AEI1249"/>
      <c r="AEJ1249"/>
      <c r="AEK1249"/>
      <c r="AEL1249"/>
      <c r="AEM1249"/>
      <c r="AEN1249"/>
      <c r="AEO1249"/>
      <c r="AEP1249"/>
      <c r="AEQ1249"/>
      <c r="AER1249"/>
      <c r="AES1249"/>
      <c r="AET1249"/>
      <c r="AEU1249"/>
      <c r="AEV1249"/>
      <c r="AEW1249"/>
      <c r="AEX1249"/>
      <c r="AEY1249"/>
      <c r="AEZ1249"/>
      <c r="AFA1249"/>
      <c r="AFB1249"/>
      <c r="AFC1249"/>
      <c r="AFD1249"/>
      <c r="AFE1249"/>
      <c r="AFF1249"/>
      <c r="AFG1249"/>
      <c r="AFH1249"/>
      <c r="AFI1249"/>
      <c r="AFJ1249"/>
      <c r="AFK1249"/>
      <c r="AFL1249"/>
      <c r="AFM1249"/>
      <c r="AFN1249"/>
      <c r="AFO1249"/>
      <c r="AFP1249"/>
      <c r="AFQ1249"/>
      <c r="AFR1249"/>
      <c r="AFS1249"/>
      <c r="AFT1249"/>
      <c r="AFU1249"/>
      <c r="AFV1249"/>
      <c r="AFW1249"/>
      <c r="AFX1249"/>
      <c r="AFY1249"/>
      <c r="AFZ1249"/>
      <c r="AGA1249"/>
      <c r="AGB1249"/>
      <c r="AGC1249"/>
      <c r="AGD1249"/>
      <c r="AGE1249"/>
      <c r="AGF1249"/>
      <c r="AGG1249"/>
      <c r="AGH1249"/>
      <c r="AGI1249"/>
      <c r="AGJ1249"/>
      <c r="AGK1249"/>
      <c r="AGL1249"/>
      <c r="AGM1249"/>
      <c r="AGN1249"/>
      <c r="AGO1249"/>
      <c r="AGP1249"/>
      <c r="AGQ1249"/>
      <c r="AGR1249"/>
      <c r="AGS1249"/>
      <c r="AGT1249"/>
      <c r="AGU1249"/>
      <c r="AGV1249"/>
      <c r="AGW1249"/>
      <c r="AGX1249"/>
      <c r="AGY1249"/>
      <c r="AGZ1249"/>
      <c r="AHA1249"/>
      <c r="AHB1249"/>
      <c r="AHC1249"/>
      <c r="AHD1249"/>
      <c r="AHE1249"/>
      <c r="AHF1249"/>
      <c r="AHG1249"/>
      <c r="AHH1249"/>
      <c r="AHI1249"/>
      <c r="AHJ1249"/>
      <c r="AHK1249"/>
      <c r="AHL1249"/>
      <c r="AHM1249"/>
      <c r="AHN1249"/>
      <c r="AHO1249"/>
      <c r="AHP1249"/>
      <c r="AHQ1249"/>
      <c r="AHR1249"/>
      <c r="AHS1249"/>
      <c r="AHT1249"/>
      <c r="AHU1249"/>
      <c r="AHV1249"/>
      <c r="AHW1249"/>
      <c r="AHX1249"/>
      <c r="AHY1249"/>
      <c r="AHZ1249"/>
      <c r="AIA1249"/>
      <c r="AIB1249"/>
      <c r="AIC1249"/>
      <c r="AID1249"/>
      <c r="AIE1249"/>
      <c r="AIF1249"/>
      <c r="AIG1249"/>
      <c r="AIH1249"/>
      <c r="AII1249"/>
      <c r="AIJ1249"/>
      <c r="AIK1249"/>
      <c r="AIL1249"/>
      <c r="AIM1249"/>
      <c r="AIN1249"/>
      <c r="AIO1249"/>
      <c r="AIP1249"/>
      <c r="AIQ1249"/>
      <c r="AIR1249"/>
      <c r="AIS1249"/>
      <c r="AIT1249"/>
      <c r="AIU1249"/>
      <c r="AIV1249"/>
      <c r="AIW1249"/>
      <c r="AIX1249"/>
      <c r="AIY1249"/>
      <c r="AIZ1249"/>
      <c r="AJA1249"/>
      <c r="AJB1249"/>
      <c r="AJC1249"/>
      <c r="AJD1249"/>
      <c r="AJE1249"/>
      <c r="AJF1249"/>
      <c r="AJG1249"/>
      <c r="AJH1249"/>
      <c r="AJI1249"/>
      <c r="AJJ1249"/>
      <c r="AJK1249"/>
      <c r="AJL1249"/>
      <c r="AJM1249"/>
      <c r="AJN1249"/>
      <c r="AJO1249"/>
      <c r="AJP1249"/>
      <c r="AJQ1249"/>
      <c r="AJR1249"/>
      <c r="AJS1249"/>
      <c r="AJT1249"/>
      <c r="AJU1249"/>
      <c r="AJV1249"/>
      <c r="AJW1249"/>
      <c r="AJX1249"/>
      <c r="AJY1249"/>
      <c r="AJZ1249"/>
      <c r="AKA1249"/>
      <c r="AKB1249"/>
      <c r="AKC1249"/>
      <c r="AKD1249"/>
      <c r="AKE1249"/>
      <c r="AKF1249"/>
      <c r="AKG1249"/>
      <c r="AKH1249"/>
      <c r="AKI1249"/>
      <c r="AKJ1249"/>
      <c r="AKK1249"/>
      <c r="AKL1249"/>
      <c r="AKM1249"/>
      <c r="AKN1249"/>
      <c r="AKO1249"/>
      <c r="AKP1249"/>
      <c r="AKQ1249"/>
      <c r="AKR1249"/>
      <c r="AKS1249"/>
      <c r="AKT1249"/>
      <c r="AKU1249"/>
      <c r="AKV1249"/>
      <c r="AKW1249"/>
      <c r="AKX1249"/>
      <c r="AKY1249"/>
      <c r="AKZ1249"/>
      <c r="ALA1249"/>
      <c r="ALB1249"/>
      <c r="ALC1249"/>
      <c r="ALD1249"/>
      <c r="ALE1249"/>
      <c r="ALF1249"/>
      <c r="ALG1249"/>
      <c r="ALH1249"/>
      <c r="ALI1249"/>
      <c r="ALJ1249"/>
      <c r="ALK1249"/>
      <c r="ALL1249"/>
      <c r="ALM1249"/>
      <c r="ALN1249"/>
      <c r="ALO1249"/>
      <c r="ALP1249"/>
      <c r="ALQ1249"/>
      <c r="ALR1249"/>
      <c r="ALS1249"/>
      <c r="ALT1249"/>
    </row>
    <row r="1250" spans="1:1008" ht="14">
      <c r="A1250" s="28" t="s">
        <v>3939</v>
      </c>
      <c r="B1250" s="26" t="s">
        <v>3994</v>
      </c>
      <c r="C1250" s="28" t="s">
        <v>3939</v>
      </c>
      <c r="D1250" s="25" t="s">
        <v>13</v>
      </c>
      <c r="E1250" s="28" t="s">
        <v>3939</v>
      </c>
      <c r="F1250" s="28" t="s">
        <v>3940</v>
      </c>
      <c r="G1250" s="28">
        <v>500</v>
      </c>
      <c r="H1250" s="28"/>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8" t="s">
        <v>3941</v>
      </c>
      <c r="B1251" s="26" t="s">
        <v>3995</v>
      </c>
      <c r="C1251" s="28" t="s">
        <v>4051</v>
      </c>
      <c r="D1251" s="25" t="s">
        <v>13</v>
      </c>
      <c r="E1251" s="28" t="s">
        <v>4051</v>
      </c>
      <c r="F1251" s="28" t="s">
        <v>3942</v>
      </c>
      <c r="G1251" s="28">
        <v>500</v>
      </c>
      <c r="H1251" s="28"/>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8" t="s">
        <v>4002</v>
      </c>
      <c r="B1252" s="26" t="s">
        <v>3995</v>
      </c>
      <c r="C1252" s="28" t="s">
        <v>4002</v>
      </c>
      <c r="D1252" s="25" t="s">
        <v>13</v>
      </c>
      <c r="E1252" s="28" t="s">
        <v>4003</v>
      </c>
      <c r="F1252" s="25" t="s">
        <v>4004</v>
      </c>
      <c r="G1252" s="28">
        <v>500</v>
      </c>
      <c r="H1252" s="28"/>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8" t="s">
        <v>3943</v>
      </c>
      <c r="B1253" s="26" t="s">
        <v>3897</v>
      </c>
      <c r="C1253" s="28" t="s">
        <v>3943</v>
      </c>
      <c r="D1253" s="25" t="s">
        <v>13</v>
      </c>
      <c r="E1253" s="28" t="s">
        <v>3943</v>
      </c>
      <c r="F1253" s="28" t="s">
        <v>3944</v>
      </c>
      <c r="G1253" s="28">
        <v>500</v>
      </c>
      <c r="H1253" s="28"/>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8" t="s">
        <v>4033</v>
      </c>
      <c r="B1254" s="26" t="s">
        <v>3897</v>
      </c>
      <c r="C1254" s="28" t="s">
        <v>3945</v>
      </c>
      <c r="D1254" s="25" t="s">
        <v>13</v>
      </c>
      <c r="E1254" s="28" t="s">
        <v>3945</v>
      </c>
      <c r="F1254" s="28" t="s">
        <v>3946</v>
      </c>
      <c r="G1254" s="28">
        <v>700</v>
      </c>
      <c r="H1254" s="28"/>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8" t="s">
        <v>4423</v>
      </c>
      <c r="B1255" s="26" t="s">
        <v>3895</v>
      </c>
      <c r="C1255" s="28" t="s">
        <v>3948</v>
      </c>
      <c r="D1255" s="25" t="s">
        <v>13</v>
      </c>
      <c r="E1255" s="28" t="s">
        <v>3948</v>
      </c>
      <c r="F1255" s="28" t="s">
        <v>3949</v>
      </c>
      <c r="G1255" s="28">
        <v>500</v>
      </c>
      <c r="H1255" s="28"/>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8" t="s">
        <v>4422</v>
      </c>
      <c r="B1256" s="26" t="s">
        <v>3895</v>
      </c>
      <c r="C1256" s="28" t="s">
        <v>3950</v>
      </c>
      <c r="D1256" s="25" t="s">
        <v>13</v>
      </c>
      <c r="E1256" s="28" t="s">
        <v>3950</v>
      </c>
      <c r="F1256" s="28" t="s">
        <v>3951</v>
      </c>
      <c r="G1256" s="28">
        <v>550</v>
      </c>
      <c r="H1256" s="28"/>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8" t="s">
        <v>3952</v>
      </c>
      <c r="B1257" s="26" t="s">
        <v>3900</v>
      </c>
      <c r="C1257" s="28" t="s">
        <v>3952</v>
      </c>
      <c r="D1257" s="25" t="s">
        <v>13</v>
      </c>
      <c r="E1257" s="28" t="s">
        <v>3952</v>
      </c>
      <c r="F1257" s="28" t="s">
        <v>3953</v>
      </c>
      <c r="G1257" s="28">
        <v>500</v>
      </c>
      <c r="H1257" s="28"/>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8" t="s">
        <v>3954</v>
      </c>
      <c r="B1258" s="26" t="s">
        <v>3900</v>
      </c>
      <c r="C1258" s="28" t="s">
        <v>3954</v>
      </c>
      <c r="D1258" s="25" t="s">
        <v>13</v>
      </c>
      <c r="E1258" s="28" t="s">
        <v>3954</v>
      </c>
      <c r="F1258" s="28" t="s">
        <v>3955</v>
      </c>
      <c r="G1258" s="28">
        <v>700</v>
      </c>
      <c r="H1258" s="2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8" t="s">
        <v>3956</v>
      </c>
      <c r="B1259" s="26" t="s">
        <v>3900</v>
      </c>
      <c r="C1259" s="28" t="s">
        <v>3956</v>
      </c>
      <c r="D1259" s="25" t="s">
        <v>13</v>
      </c>
      <c r="E1259" s="28" t="s">
        <v>3956</v>
      </c>
      <c r="F1259" s="28" t="s">
        <v>3957</v>
      </c>
      <c r="G1259" s="28">
        <v>800</v>
      </c>
      <c r="H1259" s="28"/>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8" t="s">
        <v>3958</v>
      </c>
      <c r="B1260" s="26" t="s">
        <v>3900</v>
      </c>
      <c r="C1260" s="28" t="s">
        <v>3958</v>
      </c>
      <c r="D1260" s="25" t="s">
        <v>13</v>
      </c>
      <c r="E1260" s="28" t="s">
        <v>3958</v>
      </c>
      <c r="F1260" s="28" t="s">
        <v>3959</v>
      </c>
      <c r="G1260" s="28">
        <v>500</v>
      </c>
      <c r="H1260" s="28"/>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8" t="s">
        <v>2186</v>
      </c>
      <c r="B1261" s="26" t="s">
        <v>3900</v>
      </c>
      <c r="C1261" s="28" t="s">
        <v>2186</v>
      </c>
      <c r="D1261" s="25" t="s">
        <v>13</v>
      </c>
      <c r="E1261" s="28" t="s">
        <v>2186</v>
      </c>
      <c r="F1261" s="28" t="s">
        <v>3960</v>
      </c>
      <c r="G1261" s="28">
        <v>500</v>
      </c>
      <c r="H1261" s="28"/>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8" t="s">
        <v>3988</v>
      </c>
      <c r="B1262" s="26" t="s">
        <v>3900</v>
      </c>
      <c r="C1262" s="28" t="s">
        <v>3988</v>
      </c>
      <c r="D1262" s="25" t="s">
        <v>13</v>
      </c>
      <c r="E1262" s="28" t="s">
        <v>3988</v>
      </c>
      <c r="F1262" s="28" t="s">
        <v>3989</v>
      </c>
      <c r="G1262" s="28">
        <v>500</v>
      </c>
      <c r="H1262" s="28"/>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8" t="s">
        <v>3962</v>
      </c>
      <c r="B1263" s="26" t="s">
        <v>3996</v>
      </c>
      <c r="C1263" s="28" t="s">
        <v>3962</v>
      </c>
      <c r="D1263" s="25" t="s">
        <v>13</v>
      </c>
      <c r="E1263" s="28" t="s">
        <v>3962</v>
      </c>
      <c r="F1263" s="28" t="s">
        <v>3963</v>
      </c>
      <c r="G1263" s="28">
        <v>500</v>
      </c>
      <c r="H1263" s="28"/>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8" t="s">
        <v>4452</v>
      </c>
      <c r="B1264" s="26" t="s">
        <v>3996</v>
      </c>
      <c r="C1264" s="28" t="s">
        <v>3964</v>
      </c>
      <c r="D1264" s="25" t="s">
        <v>13</v>
      </c>
      <c r="E1264" s="28" t="s">
        <v>3964</v>
      </c>
      <c r="F1264" s="28" t="s">
        <v>3965</v>
      </c>
      <c r="G1264" s="28">
        <v>600</v>
      </c>
      <c r="H1264" s="28"/>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8" t="s">
        <v>4031</v>
      </c>
      <c r="B1265" s="26" t="s">
        <v>3996</v>
      </c>
      <c r="C1265" s="28" t="s">
        <v>3966</v>
      </c>
      <c r="D1265" s="25" t="s">
        <v>13</v>
      </c>
      <c r="E1265" s="28" t="s">
        <v>3966</v>
      </c>
      <c r="F1265" s="28" t="s">
        <v>3967</v>
      </c>
      <c r="G1265" s="28">
        <v>550</v>
      </c>
      <c r="H1265" s="28"/>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8" t="s">
        <v>3968</v>
      </c>
      <c r="B1266" s="26" t="s">
        <v>3997</v>
      </c>
      <c r="C1266" s="28" t="s">
        <v>3968</v>
      </c>
      <c r="D1266" s="25" t="s">
        <v>13</v>
      </c>
      <c r="E1266" s="28" t="s">
        <v>3968</v>
      </c>
      <c r="F1266" s="28" t="s">
        <v>3969</v>
      </c>
      <c r="G1266" s="28">
        <v>550</v>
      </c>
      <c r="H1266" s="28"/>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8" t="s">
        <v>3970</v>
      </c>
      <c r="B1267" s="26" t="s">
        <v>3997</v>
      </c>
      <c r="C1267" s="28" t="s">
        <v>3970</v>
      </c>
      <c r="D1267" s="25" t="s">
        <v>13</v>
      </c>
      <c r="E1267" s="28" t="s">
        <v>3970</v>
      </c>
      <c r="F1267" s="28" t="s">
        <v>3971</v>
      </c>
      <c r="G1267" s="28">
        <v>500</v>
      </c>
      <c r="H1267" s="28"/>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8" t="s">
        <v>4041</v>
      </c>
      <c r="B1268" s="26" t="s">
        <v>3997</v>
      </c>
      <c r="C1268" s="28" t="s">
        <v>4041</v>
      </c>
      <c r="D1268" s="25" t="s">
        <v>13</v>
      </c>
      <c r="E1268" s="28" t="s">
        <v>3972</v>
      </c>
      <c r="F1268" s="28" t="s">
        <v>3973</v>
      </c>
      <c r="G1268" s="28">
        <v>520</v>
      </c>
      <c r="H1268" s="2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8" t="s">
        <v>4042</v>
      </c>
      <c r="B1269" s="26" t="s">
        <v>3997</v>
      </c>
      <c r="C1269" s="28" t="s">
        <v>4042</v>
      </c>
      <c r="D1269" s="25" t="s">
        <v>13</v>
      </c>
      <c r="E1269" s="28" t="s">
        <v>3974</v>
      </c>
      <c r="F1269" s="28" t="s">
        <v>3975</v>
      </c>
      <c r="G1269" s="28">
        <v>500</v>
      </c>
      <c r="H1269" s="28"/>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8" t="s">
        <v>4028</v>
      </c>
      <c r="B1270" s="26" t="s">
        <v>1116</v>
      </c>
      <c r="C1270" s="28" t="s">
        <v>4028</v>
      </c>
      <c r="D1270" s="25" t="s">
        <v>13</v>
      </c>
      <c r="E1270" s="28" t="s">
        <v>3911</v>
      </c>
      <c r="F1270" s="28" t="s">
        <v>3912</v>
      </c>
      <c r="G1270" s="28">
        <v>600</v>
      </c>
      <c r="H1270" s="28"/>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8" t="s">
        <v>4034</v>
      </c>
      <c r="B1271" s="26" t="s">
        <v>1116</v>
      </c>
      <c r="C1271" s="28" t="s">
        <v>4034</v>
      </c>
      <c r="D1271" s="25" t="s">
        <v>13</v>
      </c>
      <c r="E1271" s="28" t="s">
        <v>3977</v>
      </c>
      <c r="F1271" s="28" t="s">
        <v>3978</v>
      </c>
      <c r="G1271" s="28">
        <v>500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8" t="s">
        <v>4035</v>
      </c>
      <c r="B1272" s="26" t="s">
        <v>1116</v>
      </c>
      <c r="C1272" s="28" t="s">
        <v>4035</v>
      </c>
      <c r="D1272" s="25" t="s">
        <v>13</v>
      </c>
      <c r="E1272" s="28" t="s">
        <v>4036</v>
      </c>
      <c r="F1272" s="28" t="s">
        <v>3979</v>
      </c>
      <c r="G1272" s="28">
        <v>550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8" t="s">
        <v>3981</v>
      </c>
      <c r="B1273" s="26" t="s">
        <v>3998</v>
      </c>
      <c r="C1273" s="28" t="s">
        <v>3981</v>
      </c>
      <c r="D1273" s="25" t="s">
        <v>13</v>
      </c>
      <c r="E1273" s="28" t="s">
        <v>3981</v>
      </c>
      <c r="F1273" s="28" t="s">
        <v>3982</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8" t="s">
        <v>3923</v>
      </c>
      <c r="B1274" s="26" t="s">
        <v>3999</v>
      </c>
      <c r="C1274" s="28" t="s">
        <v>3923</v>
      </c>
      <c r="D1274" s="25" t="s">
        <v>13</v>
      </c>
      <c r="E1274" s="28" t="s">
        <v>3923</v>
      </c>
      <c r="F1274" s="28" t="s">
        <v>3924</v>
      </c>
      <c r="G1274" s="28">
        <v>500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8" t="s">
        <v>3925</v>
      </c>
      <c r="B1275" s="26" t="s">
        <v>3999</v>
      </c>
      <c r="C1275" s="28" t="s">
        <v>3925</v>
      </c>
      <c r="D1275" s="25" t="s">
        <v>13</v>
      </c>
      <c r="E1275" s="28" t="s">
        <v>3925</v>
      </c>
      <c r="F1275" s="28" t="s">
        <v>3926</v>
      </c>
      <c r="G1275" s="28">
        <v>200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8" t="s">
        <v>3929</v>
      </c>
      <c r="B1276" s="26" t="s">
        <v>3999</v>
      </c>
      <c r="C1276" s="28" t="s">
        <v>3929</v>
      </c>
      <c r="D1276" s="25" t="s">
        <v>13</v>
      </c>
      <c r="E1276" s="28" t="s">
        <v>3929</v>
      </c>
      <c r="F1276" s="28" t="s">
        <v>3930</v>
      </c>
      <c r="G1276" s="28">
        <v>750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8" t="s">
        <v>3931</v>
      </c>
      <c r="B1277" s="26" t="s">
        <v>3999</v>
      </c>
      <c r="C1277" s="28" t="s">
        <v>3931</v>
      </c>
      <c r="D1277" s="25" t="s">
        <v>13</v>
      </c>
      <c r="E1277" s="28" t="s">
        <v>3931</v>
      </c>
      <c r="F1277" s="28" t="s">
        <v>3932</v>
      </c>
      <c r="G1277" s="28">
        <v>600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8" t="s">
        <v>2186</v>
      </c>
      <c r="B1278" s="26" t="s">
        <v>4000</v>
      </c>
      <c r="C1278" s="28" t="s">
        <v>2186</v>
      </c>
      <c r="D1278" s="25" t="s">
        <v>13</v>
      </c>
      <c r="E1278" s="28" t="s">
        <v>2186</v>
      </c>
      <c r="F1278" s="28" t="s">
        <v>3985</v>
      </c>
      <c r="G1278" s="28">
        <v>600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8" t="s">
        <v>3986</v>
      </c>
      <c r="B1279" s="26" t="s">
        <v>4000</v>
      </c>
      <c r="C1279" s="28" t="s">
        <v>3986</v>
      </c>
      <c r="D1279" s="25" t="s">
        <v>13</v>
      </c>
      <c r="E1279" s="28" t="s">
        <v>3986</v>
      </c>
      <c r="F1279" s="28" t="s">
        <v>3987</v>
      </c>
      <c r="G1279" s="28">
        <v>550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8" t="s">
        <v>2189</v>
      </c>
      <c r="B1280" s="26" t="s">
        <v>4000</v>
      </c>
      <c r="C1280" s="28" t="s">
        <v>2189</v>
      </c>
      <c r="D1280" s="25" t="s">
        <v>13</v>
      </c>
      <c r="E1280" s="28" t="s">
        <v>2189</v>
      </c>
      <c r="F1280" s="28" t="s">
        <v>2190</v>
      </c>
      <c r="G1280" s="28">
        <v>650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8" t="s">
        <v>2192</v>
      </c>
      <c r="B1281" s="26" t="s">
        <v>4000</v>
      </c>
      <c r="C1281" s="28" t="s">
        <v>2192</v>
      </c>
      <c r="D1281" s="25" t="s">
        <v>13</v>
      </c>
      <c r="E1281" s="28" t="s">
        <v>2192</v>
      </c>
      <c r="F1281" s="28" t="s">
        <v>2193</v>
      </c>
      <c r="G1281" s="28">
        <v>700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5" t="s">
        <v>4007</v>
      </c>
      <c r="B1282" s="35" t="s">
        <v>4006</v>
      </c>
      <c r="C1282" s="25" t="s">
        <v>4007</v>
      </c>
      <c r="D1282" s="25" t="s">
        <v>13</v>
      </c>
      <c r="E1282" s="25" t="s">
        <v>4009</v>
      </c>
      <c r="F1282" s="25" t="s">
        <v>4010</v>
      </c>
      <c r="G1282" s="25">
        <v>750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5" t="s">
        <v>4008</v>
      </c>
      <c r="B1283" s="35" t="s">
        <v>4006</v>
      </c>
      <c r="C1283" s="25" t="s">
        <v>4008</v>
      </c>
      <c r="D1283" s="25"/>
      <c r="E1283" s="25" t="s">
        <v>163</v>
      </c>
      <c r="F1283" s="25" t="s">
        <v>4011</v>
      </c>
      <c r="G1283" s="25">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8" t="s">
        <v>3954</v>
      </c>
      <c r="B1284" s="26" t="s">
        <v>4069</v>
      </c>
      <c r="C1284" s="28" t="s">
        <v>3954</v>
      </c>
      <c r="D1284" s="25" t="s">
        <v>13</v>
      </c>
      <c r="E1284" s="28" t="s">
        <v>3954</v>
      </c>
      <c r="F1284" s="28" t="s">
        <v>3955</v>
      </c>
      <c r="G1284" s="28">
        <v>700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8" t="s">
        <v>3956</v>
      </c>
      <c r="B1285" s="26" t="s">
        <v>4069</v>
      </c>
      <c r="C1285" s="28" t="s">
        <v>3956</v>
      </c>
      <c r="D1285" s="25" t="s">
        <v>13</v>
      </c>
      <c r="E1285" s="28" t="s">
        <v>3956</v>
      </c>
      <c r="F1285" s="28" t="s">
        <v>3957</v>
      </c>
      <c r="G1285" s="28">
        <v>800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8" t="s">
        <v>3958</v>
      </c>
      <c r="B1286" s="26" t="s">
        <v>4069</v>
      </c>
      <c r="C1286" s="28" t="s">
        <v>3958</v>
      </c>
      <c r="D1286" s="25" t="s">
        <v>13</v>
      </c>
      <c r="E1286" s="28" t="s">
        <v>3958</v>
      </c>
      <c r="F1286" s="28" t="s">
        <v>3959</v>
      </c>
      <c r="G1286" s="28">
        <v>500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8" t="s">
        <v>3954</v>
      </c>
      <c r="B1287" s="26" t="s">
        <v>4071</v>
      </c>
      <c r="C1287" s="28" t="s">
        <v>3954</v>
      </c>
      <c r="D1287" s="25" t="s">
        <v>13</v>
      </c>
      <c r="E1287" s="28" t="s">
        <v>3954</v>
      </c>
      <c r="F1287" s="28" t="s">
        <v>3955</v>
      </c>
      <c r="G1287" s="28">
        <v>700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8" t="s">
        <v>3956</v>
      </c>
      <c r="B1288" s="26" t="s">
        <v>4071</v>
      </c>
      <c r="C1288" s="28" t="s">
        <v>3956</v>
      </c>
      <c r="D1288" s="25" t="s">
        <v>13</v>
      </c>
      <c r="E1288" s="28" t="s">
        <v>3956</v>
      </c>
      <c r="F1288" s="28" t="s">
        <v>3957</v>
      </c>
      <c r="G1288" s="28">
        <v>800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8" t="s">
        <v>3958</v>
      </c>
      <c r="B1289" s="26" t="s">
        <v>4071</v>
      </c>
      <c r="C1289" s="28" t="s">
        <v>3958</v>
      </c>
      <c r="D1289" s="25" t="s">
        <v>13</v>
      </c>
      <c r="E1289" s="28" t="s">
        <v>3958</v>
      </c>
      <c r="F1289" s="28" t="s">
        <v>3959</v>
      </c>
      <c r="G1289" s="28">
        <v>500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5" t="s">
        <v>4080</v>
      </c>
      <c r="B1290" s="26" t="s">
        <v>4077</v>
      </c>
      <c r="C1290" s="25" t="s">
        <v>4080</v>
      </c>
      <c r="D1290" s="25" t="s">
        <v>13</v>
      </c>
      <c r="E1290" s="25" t="s">
        <v>4082</v>
      </c>
      <c r="F1290" s="25" t="s">
        <v>4081</v>
      </c>
      <c r="G1290" s="25">
        <v>600</v>
      </c>
      <c r="H1290" s="25"/>
    </row>
    <row r="1291" spans="1:1008" ht="14">
      <c r="A1291" s="28" t="s">
        <v>3954</v>
      </c>
      <c r="B1291" s="26" t="s">
        <v>4076</v>
      </c>
      <c r="C1291" s="28" t="s">
        <v>3954</v>
      </c>
      <c r="D1291" s="25" t="s">
        <v>13</v>
      </c>
      <c r="E1291" s="28" t="s">
        <v>3954</v>
      </c>
      <c r="F1291" s="28" t="s">
        <v>3955</v>
      </c>
      <c r="G1291" s="28">
        <v>700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5" t="s">
        <v>4089</v>
      </c>
      <c r="B1292" s="26" t="s">
        <v>4084</v>
      </c>
      <c r="C1292" s="25" t="s">
        <v>4089</v>
      </c>
      <c r="D1292" s="25" t="s">
        <v>13</v>
      </c>
      <c r="E1292" s="25" t="s">
        <v>4088</v>
      </c>
      <c r="F1292" s="25" t="s">
        <v>4087</v>
      </c>
      <c r="G1292" s="25">
        <v>500</v>
      </c>
      <c r="H1292" s="25"/>
    </row>
    <row r="1293" spans="1:1008" ht="14">
      <c r="A1293" s="25" t="s">
        <v>4100</v>
      </c>
      <c r="B1293" s="26" t="s">
        <v>4091</v>
      </c>
      <c r="C1293" s="25" t="s">
        <v>4092</v>
      </c>
      <c r="D1293" s="25" t="s">
        <v>13</v>
      </c>
      <c r="E1293" s="25" t="s">
        <v>4092</v>
      </c>
      <c r="F1293" s="25" t="s">
        <v>4093</v>
      </c>
      <c r="G1293" s="25">
        <v>600</v>
      </c>
      <c r="H1293" s="25"/>
    </row>
    <row r="1294" spans="1:1008" ht="14">
      <c r="A1294" s="25" t="s">
        <v>4101</v>
      </c>
      <c r="B1294" s="26" t="s">
        <v>4091</v>
      </c>
      <c r="C1294" s="25" t="s">
        <v>4094</v>
      </c>
      <c r="D1294" s="25" t="s">
        <v>13</v>
      </c>
      <c r="E1294" s="25" t="s">
        <v>4094</v>
      </c>
      <c r="F1294" s="25" t="s">
        <v>4095</v>
      </c>
      <c r="G1294" s="25">
        <v>600</v>
      </c>
      <c r="H1294" s="25"/>
    </row>
    <row r="1295" spans="1:1008" ht="14">
      <c r="A1295" s="25" t="s">
        <v>4102</v>
      </c>
      <c r="B1295" s="26" t="s">
        <v>4091</v>
      </c>
      <c r="C1295" s="25" t="s">
        <v>4096</v>
      </c>
      <c r="D1295" s="25" t="s">
        <v>13</v>
      </c>
      <c r="E1295" s="25" t="s">
        <v>4096</v>
      </c>
      <c r="F1295" s="25" t="s">
        <v>4097</v>
      </c>
      <c r="G1295" s="25">
        <v>500</v>
      </c>
      <c r="H1295" s="25"/>
    </row>
    <row r="1296" spans="1:1008" ht="14">
      <c r="A1296" s="25" t="s">
        <v>4103</v>
      </c>
      <c r="B1296" s="26" t="s">
        <v>4091</v>
      </c>
      <c r="C1296" s="25" t="s">
        <v>4098</v>
      </c>
      <c r="D1296" s="25" t="s">
        <v>13</v>
      </c>
      <c r="E1296" s="25" t="s">
        <v>4098</v>
      </c>
      <c r="F1296" s="25" t="s">
        <v>4099</v>
      </c>
      <c r="G1296" s="25">
        <v>500</v>
      </c>
      <c r="H1296" s="25"/>
    </row>
    <row r="1297" spans="1:8" ht="14">
      <c r="A1297" s="25" t="s">
        <v>4110</v>
      </c>
      <c r="B1297" s="26" t="s">
        <v>4106</v>
      </c>
      <c r="C1297" s="25" t="s">
        <v>4112</v>
      </c>
      <c r="D1297" s="25" t="s">
        <v>13</v>
      </c>
      <c r="E1297" s="25" t="s">
        <v>4112</v>
      </c>
      <c r="F1297" s="25" t="s">
        <v>4114</v>
      </c>
      <c r="G1297" s="25">
        <v>500</v>
      </c>
      <c r="H1297" s="25"/>
    </row>
    <row r="1298" spans="1:8" ht="14">
      <c r="A1298" s="25" t="s">
        <v>4111</v>
      </c>
      <c r="B1298" s="26" t="s">
        <v>4106</v>
      </c>
      <c r="C1298" s="25" t="s">
        <v>4113</v>
      </c>
      <c r="D1298" s="25" t="s">
        <v>13</v>
      </c>
      <c r="E1298" s="25" t="s">
        <v>4113</v>
      </c>
      <c r="F1298" s="25" t="s">
        <v>4115</v>
      </c>
      <c r="G1298" s="25">
        <v>500</v>
      </c>
      <c r="H1298" s="25"/>
    </row>
    <row r="1299" spans="1:8" ht="14">
      <c r="A1299" s="25" t="s">
        <v>2186</v>
      </c>
      <c r="B1299" s="35" t="s">
        <v>4118</v>
      </c>
      <c r="C1299" s="25" t="s">
        <v>2186</v>
      </c>
      <c r="D1299" s="25" t="s">
        <v>13</v>
      </c>
      <c r="E1299" s="25" t="s">
        <v>4352</v>
      </c>
      <c r="F1299" s="25" t="s">
        <v>4130</v>
      </c>
      <c r="G1299" s="25">
        <v>500</v>
      </c>
      <c r="H1299" s="25"/>
    </row>
    <row r="1300" spans="1:8" ht="14">
      <c r="A1300" s="25" t="s">
        <v>2186</v>
      </c>
      <c r="B1300" s="35" t="s">
        <v>4119</v>
      </c>
      <c r="C1300" s="25" t="s">
        <v>2186</v>
      </c>
      <c r="D1300" s="25" t="s">
        <v>13</v>
      </c>
      <c r="E1300" s="25" t="s">
        <v>4352</v>
      </c>
      <c r="F1300" s="25" t="s">
        <v>4130</v>
      </c>
      <c r="G1300" s="25">
        <v>500</v>
      </c>
      <c r="H1300" s="25"/>
    </row>
    <row r="1301" spans="1:8" ht="14">
      <c r="A1301" s="25" t="s">
        <v>2186</v>
      </c>
      <c r="B1301" s="35" t="s">
        <v>4122</v>
      </c>
      <c r="C1301" s="25" t="s">
        <v>2186</v>
      </c>
      <c r="D1301" s="25" t="s">
        <v>13</v>
      </c>
      <c r="E1301" s="25" t="s">
        <v>4129</v>
      </c>
      <c r="F1301" s="25" t="s">
        <v>4131</v>
      </c>
      <c r="G1301" s="25">
        <v>500</v>
      </c>
      <c r="H1301" s="25"/>
    </row>
    <row r="1302" spans="1:8" ht="14">
      <c r="A1302" s="25" t="s">
        <v>2186</v>
      </c>
      <c r="B1302" s="35" t="s">
        <v>4117</v>
      </c>
      <c r="C1302" s="25" t="s">
        <v>2186</v>
      </c>
      <c r="D1302" s="25" t="s">
        <v>13</v>
      </c>
      <c r="E1302" s="25" t="s">
        <v>4352</v>
      </c>
      <c r="F1302" s="25" t="s">
        <v>4130</v>
      </c>
      <c r="G1302" s="25">
        <v>500</v>
      </c>
      <c r="H1302" s="25"/>
    </row>
    <row r="1303" spans="1:8" ht="14">
      <c r="A1303" s="25" t="s">
        <v>4135</v>
      </c>
      <c r="B1303" s="35" t="s">
        <v>4132</v>
      </c>
      <c r="C1303" s="25" t="s">
        <v>4135</v>
      </c>
      <c r="D1303" s="25" t="s">
        <v>13</v>
      </c>
      <c r="E1303" s="25" t="s">
        <v>4141</v>
      </c>
      <c r="F1303" s="25" t="s">
        <v>4145</v>
      </c>
      <c r="G1303" s="25">
        <v>500</v>
      </c>
      <c r="H1303" s="25"/>
    </row>
    <row r="1304" spans="1:8" ht="14">
      <c r="A1304" s="25" t="s">
        <v>4136</v>
      </c>
      <c r="B1304" s="35" t="s">
        <v>4132</v>
      </c>
      <c r="C1304" s="25" t="s">
        <v>4136</v>
      </c>
      <c r="D1304" s="25" t="s">
        <v>13</v>
      </c>
      <c r="E1304" s="25" t="s">
        <v>4142</v>
      </c>
      <c r="F1304" s="25" t="s">
        <v>4146</v>
      </c>
      <c r="G1304" s="25">
        <v>500</v>
      </c>
      <c r="H1304" s="25"/>
    </row>
    <row r="1305" spans="1:8" ht="14">
      <c r="A1305" s="25" t="s">
        <v>4138</v>
      </c>
      <c r="B1305" s="35" t="s">
        <v>4132</v>
      </c>
      <c r="C1305" s="25" t="s">
        <v>4138</v>
      </c>
      <c r="D1305" s="25" t="s">
        <v>13</v>
      </c>
      <c r="E1305" s="25" t="s">
        <v>4137</v>
      </c>
      <c r="F1305" s="25" t="s">
        <v>4147</v>
      </c>
      <c r="G1305" s="25">
        <v>650</v>
      </c>
      <c r="H1305" s="25"/>
    </row>
    <row r="1306" spans="1:8" ht="14">
      <c r="A1306" s="25" t="s">
        <v>4139</v>
      </c>
      <c r="B1306" s="35" t="s">
        <v>4132</v>
      </c>
      <c r="C1306" s="25" t="s">
        <v>4139</v>
      </c>
      <c r="D1306" s="25" t="s">
        <v>13</v>
      </c>
      <c r="E1306" s="25" t="s">
        <v>4143</v>
      </c>
      <c r="F1306" s="25" t="s">
        <v>4148</v>
      </c>
      <c r="G1306" s="25">
        <v>500</v>
      </c>
      <c r="H1306" s="25"/>
    </row>
    <row r="1307" spans="1:8" ht="14">
      <c r="A1307" s="25" t="s">
        <v>4140</v>
      </c>
      <c r="B1307" s="35" t="s">
        <v>4132</v>
      </c>
      <c r="C1307" s="25" t="s">
        <v>4140</v>
      </c>
      <c r="D1307" s="25" t="s">
        <v>13</v>
      </c>
      <c r="E1307" s="25" t="s">
        <v>4144</v>
      </c>
      <c r="F1307" s="25" t="s">
        <v>4149</v>
      </c>
      <c r="G1307" s="25">
        <v>500</v>
      </c>
      <c r="H1307" s="25"/>
    </row>
    <row r="1308" spans="1:8" ht="14">
      <c r="A1308" s="25" t="s">
        <v>4150</v>
      </c>
      <c r="B1308" s="35" t="s">
        <v>4132</v>
      </c>
      <c r="C1308" s="25" t="s">
        <v>4150</v>
      </c>
      <c r="D1308" s="25" t="s">
        <v>13</v>
      </c>
      <c r="E1308" s="25" t="s">
        <v>4152</v>
      </c>
      <c r="F1308" s="25" t="s">
        <v>4154</v>
      </c>
      <c r="G1308" s="25">
        <v>500</v>
      </c>
      <c r="H1308" s="25"/>
    </row>
    <row r="1309" spans="1:8" ht="14">
      <c r="A1309" s="25" t="s">
        <v>4151</v>
      </c>
      <c r="B1309" s="35" t="s">
        <v>4132</v>
      </c>
      <c r="C1309" s="25" t="s">
        <v>4151</v>
      </c>
      <c r="D1309" s="25" t="s">
        <v>13</v>
      </c>
      <c r="E1309" s="25" t="s">
        <v>4153</v>
      </c>
      <c r="F1309" s="25" t="s">
        <v>4155</v>
      </c>
      <c r="G1309" s="25">
        <v>500</v>
      </c>
      <c r="H1309" s="25"/>
    </row>
    <row r="1310" spans="1:8" ht="14">
      <c r="A1310" s="25" t="s">
        <v>4163</v>
      </c>
      <c r="B1310" s="35" t="s">
        <v>4160</v>
      </c>
      <c r="C1310" s="25" t="s">
        <v>4163</v>
      </c>
      <c r="D1310" s="25" t="s">
        <v>13</v>
      </c>
      <c r="E1310" s="25" t="s">
        <v>4163</v>
      </c>
      <c r="F1310" s="25" t="s">
        <v>4178</v>
      </c>
      <c r="G1310" s="25">
        <v>500</v>
      </c>
      <c r="H1310" s="25"/>
    </row>
    <row r="1311" spans="1:8" ht="14">
      <c r="A1311" s="25" t="s">
        <v>4164</v>
      </c>
      <c r="B1311" s="35" t="s">
        <v>4160</v>
      </c>
      <c r="C1311" s="25" t="s">
        <v>4164</v>
      </c>
      <c r="D1311" s="25" t="s">
        <v>13</v>
      </c>
      <c r="E1311" s="25" t="s">
        <v>4164</v>
      </c>
      <c r="F1311" s="25" t="s">
        <v>4179</v>
      </c>
      <c r="G1311" s="25">
        <v>500</v>
      </c>
      <c r="H1311" s="25"/>
    </row>
    <row r="1312" spans="1:8" ht="14">
      <c r="A1312" s="25" t="s">
        <v>4165</v>
      </c>
      <c r="B1312" s="35" t="s">
        <v>4160</v>
      </c>
      <c r="C1312" s="25" t="s">
        <v>4165</v>
      </c>
      <c r="D1312" s="25" t="s">
        <v>13</v>
      </c>
      <c r="E1312" s="25" t="s">
        <v>4165</v>
      </c>
      <c r="F1312" s="25" t="s">
        <v>4180</v>
      </c>
      <c r="G1312" s="25">
        <v>500</v>
      </c>
      <c r="H1312" s="25"/>
    </row>
    <row r="1313" spans="1:8" ht="14">
      <c r="A1313" s="25" t="s">
        <v>4166</v>
      </c>
      <c r="B1313" s="35" t="s">
        <v>4160</v>
      </c>
      <c r="C1313" s="25" t="s">
        <v>4166</v>
      </c>
      <c r="D1313" s="25" t="s">
        <v>13</v>
      </c>
      <c r="E1313" s="25" t="s">
        <v>4166</v>
      </c>
      <c r="F1313" s="25" t="s">
        <v>4181</v>
      </c>
      <c r="G1313" s="25">
        <v>500</v>
      </c>
      <c r="H1313" s="25"/>
    </row>
    <row r="1314" spans="1:8" ht="14">
      <c r="A1314" s="25" t="s">
        <v>642</v>
      </c>
      <c r="B1314" s="35" t="s">
        <v>4160</v>
      </c>
      <c r="C1314" s="25" t="s">
        <v>642</v>
      </c>
      <c r="D1314" s="25" t="s">
        <v>13</v>
      </c>
      <c r="E1314" s="25" t="s">
        <v>642</v>
      </c>
      <c r="F1314" s="25" t="s">
        <v>4182</v>
      </c>
      <c r="G1314" s="25">
        <v>500</v>
      </c>
      <c r="H1314" s="25"/>
    </row>
    <row r="1315" spans="1:8" ht="14">
      <c r="A1315" s="25" t="s">
        <v>4167</v>
      </c>
      <c r="B1315" s="35" t="s">
        <v>4160</v>
      </c>
      <c r="C1315" s="25" t="s">
        <v>4167</v>
      </c>
      <c r="D1315" s="25" t="s">
        <v>13</v>
      </c>
      <c r="E1315" s="25" t="s">
        <v>4167</v>
      </c>
      <c r="F1315" s="25" t="s">
        <v>4183</v>
      </c>
      <c r="G1315" s="25">
        <v>500</v>
      </c>
      <c r="H1315" s="25"/>
    </row>
    <row r="1316" spans="1:8" ht="14">
      <c r="A1316" s="25" t="s">
        <v>4168</v>
      </c>
      <c r="B1316" s="35" t="s">
        <v>4160</v>
      </c>
      <c r="C1316" s="25" t="s">
        <v>4168</v>
      </c>
      <c r="D1316" s="25" t="s">
        <v>13</v>
      </c>
      <c r="E1316" s="25" t="s">
        <v>4168</v>
      </c>
      <c r="F1316" s="25" t="s">
        <v>4184</v>
      </c>
      <c r="G1316" s="25">
        <v>500</v>
      </c>
      <c r="H1316" s="25"/>
    </row>
    <row r="1317" spans="1:8" ht="14">
      <c r="A1317" s="25" t="s">
        <v>4169</v>
      </c>
      <c r="B1317" s="35" t="s">
        <v>4160</v>
      </c>
      <c r="C1317" s="25" t="s">
        <v>4169</v>
      </c>
      <c r="D1317" s="25" t="s">
        <v>13</v>
      </c>
      <c r="E1317" s="25" t="s">
        <v>4169</v>
      </c>
      <c r="F1317" s="25" t="s">
        <v>4185</v>
      </c>
      <c r="G1317" s="25">
        <v>500</v>
      </c>
      <c r="H1317" s="25"/>
    </row>
    <row r="1318" spans="1:8" ht="14">
      <c r="A1318" s="25" t="s">
        <v>4170</v>
      </c>
      <c r="B1318" s="35" t="s">
        <v>4160</v>
      </c>
      <c r="C1318" s="25" t="s">
        <v>4170</v>
      </c>
      <c r="D1318" s="25" t="s">
        <v>13</v>
      </c>
      <c r="E1318" s="25" t="s">
        <v>4170</v>
      </c>
      <c r="F1318" s="25" t="s">
        <v>4186</v>
      </c>
      <c r="G1318" s="25">
        <v>500</v>
      </c>
      <c r="H1318" s="25"/>
    </row>
    <row r="1319" spans="1:8" ht="14">
      <c r="A1319" s="25" t="s">
        <v>4171</v>
      </c>
      <c r="B1319" s="35" t="s">
        <v>4160</v>
      </c>
      <c r="C1319" s="25" t="s">
        <v>4171</v>
      </c>
      <c r="D1319" s="25" t="s">
        <v>13</v>
      </c>
      <c r="E1319" s="25" t="s">
        <v>4171</v>
      </c>
      <c r="F1319" s="25" t="s">
        <v>4187</v>
      </c>
      <c r="G1319" s="25">
        <v>500</v>
      </c>
      <c r="H1319" s="25"/>
    </row>
    <row r="1320" spans="1:8" ht="14">
      <c r="A1320" s="25" t="s">
        <v>4172</v>
      </c>
      <c r="B1320" s="35" t="s">
        <v>4160</v>
      </c>
      <c r="C1320" s="25" t="s">
        <v>4172</v>
      </c>
      <c r="D1320" s="25" t="s">
        <v>13</v>
      </c>
      <c r="E1320" s="25" t="s">
        <v>4172</v>
      </c>
      <c r="F1320" s="25" t="s">
        <v>4188</v>
      </c>
      <c r="G1320" s="25">
        <v>500</v>
      </c>
      <c r="H1320" s="25"/>
    </row>
    <row r="1321" spans="1:8" ht="14">
      <c r="A1321" s="25" t="s">
        <v>4173</v>
      </c>
      <c r="B1321" s="35" t="s">
        <v>4160</v>
      </c>
      <c r="C1321" s="25" t="s">
        <v>4173</v>
      </c>
      <c r="D1321" s="25" t="s">
        <v>13</v>
      </c>
      <c r="E1321" s="25" t="s">
        <v>4173</v>
      </c>
      <c r="F1321" s="25" t="s">
        <v>4189</v>
      </c>
      <c r="G1321" s="25">
        <v>500</v>
      </c>
      <c r="H1321" s="25"/>
    </row>
    <row r="1322" spans="1:8" ht="14">
      <c r="A1322" s="25" t="s">
        <v>4174</v>
      </c>
      <c r="B1322" s="35" t="s">
        <v>4160</v>
      </c>
      <c r="C1322" s="25" t="s">
        <v>4174</v>
      </c>
      <c r="D1322" s="25" t="s">
        <v>13</v>
      </c>
      <c r="E1322" s="25" t="s">
        <v>4174</v>
      </c>
      <c r="F1322" s="25" t="s">
        <v>4190</v>
      </c>
      <c r="G1322" s="25">
        <v>500</v>
      </c>
      <c r="H1322" s="25"/>
    </row>
    <row r="1323" spans="1:8" ht="14">
      <c r="A1323" s="25" t="s">
        <v>4175</v>
      </c>
      <c r="B1323" s="35" t="s">
        <v>4160</v>
      </c>
      <c r="C1323" s="25" t="s">
        <v>4175</v>
      </c>
      <c r="D1323" s="25" t="s">
        <v>13</v>
      </c>
      <c r="E1323" s="25" t="s">
        <v>4175</v>
      </c>
      <c r="F1323" s="25" t="s">
        <v>4191</v>
      </c>
      <c r="G1323" s="25">
        <v>500</v>
      </c>
      <c r="H1323" s="25"/>
    </row>
    <row r="1324" spans="1:8" ht="14">
      <c r="A1324" s="25" t="s">
        <v>4176</v>
      </c>
      <c r="B1324" s="35" t="s">
        <v>4160</v>
      </c>
      <c r="C1324" s="25" t="s">
        <v>4176</v>
      </c>
      <c r="D1324" s="25" t="s">
        <v>13</v>
      </c>
      <c r="E1324" s="25" t="s">
        <v>4176</v>
      </c>
      <c r="F1324" s="25" t="s">
        <v>4192</v>
      </c>
      <c r="G1324" s="25">
        <v>500</v>
      </c>
      <c r="H1324" s="25"/>
    </row>
    <row r="1325" spans="1:8" ht="14">
      <c r="A1325" s="25" t="s">
        <v>4177</v>
      </c>
      <c r="B1325" s="35" t="s">
        <v>4160</v>
      </c>
      <c r="C1325" s="25" t="s">
        <v>4177</v>
      </c>
      <c r="D1325" s="25" t="s">
        <v>13</v>
      </c>
      <c r="E1325" s="25" t="s">
        <v>4177</v>
      </c>
      <c r="F1325" s="25" t="s">
        <v>4193</v>
      </c>
      <c r="G1325" s="25">
        <v>600</v>
      </c>
      <c r="H1325" s="25"/>
    </row>
    <row r="1326" spans="1:8" ht="14">
      <c r="A1326" s="25" t="s">
        <v>1777</v>
      </c>
      <c r="B1326" s="35" t="s">
        <v>4221</v>
      </c>
      <c r="C1326" s="25" t="s">
        <v>1777</v>
      </c>
      <c r="D1326" s="25" t="s">
        <v>13</v>
      </c>
      <c r="E1326" s="25" t="s">
        <v>2827</v>
      </c>
      <c r="F1326" s="25" t="s">
        <v>4224</v>
      </c>
      <c r="G1326" s="25">
        <v>600</v>
      </c>
      <c r="H1326" s="25"/>
    </row>
    <row r="1327" spans="1:8" ht="14">
      <c r="A1327" s="25" t="s">
        <v>4223</v>
      </c>
      <c r="B1327" s="35" t="s">
        <v>4221</v>
      </c>
      <c r="C1327" s="25" t="s">
        <v>0</v>
      </c>
      <c r="D1327" s="25" t="s">
        <v>13</v>
      </c>
      <c r="E1327" s="25" t="s">
        <v>4225</v>
      </c>
      <c r="F1327" s="25" t="s">
        <v>4226</v>
      </c>
      <c r="G1327" s="25">
        <v>550</v>
      </c>
      <c r="H1327" s="25"/>
    </row>
    <row r="1328" spans="1:8" ht="14">
      <c r="A1328" s="25" t="s">
        <v>4217</v>
      </c>
      <c r="B1328" s="35" t="s">
        <v>30</v>
      </c>
      <c r="C1328" s="25" t="s">
        <v>4217</v>
      </c>
      <c r="D1328" s="25" t="s">
        <v>13</v>
      </c>
      <c r="E1328" s="25" t="s">
        <v>3160</v>
      </c>
      <c r="F1328" s="25" t="s">
        <v>4410</v>
      </c>
      <c r="G1328" s="25">
        <v>500</v>
      </c>
      <c r="H1328" s="25"/>
    </row>
    <row r="1329" spans="1:8" ht="14">
      <c r="A1329" s="25" t="s">
        <v>4218</v>
      </c>
      <c r="B1329" s="35" t="s">
        <v>30</v>
      </c>
      <c r="C1329" s="25" t="s">
        <v>4218</v>
      </c>
      <c r="D1329" s="25" t="s">
        <v>13</v>
      </c>
      <c r="E1329" s="25" t="s">
        <v>4219</v>
      </c>
      <c r="F1329" s="25" t="s">
        <v>4220</v>
      </c>
      <c r="G1329" s="25">
        <v>450</v>
      </c>
      <c r="H1329" s="25"/>
    </row>
    <row r="1330" spans="1:8" ht="14">
      <c r="A1330" s="25" t="s">
        <v>4218</v>
      </c>
      <c r="B1330" s="35" t="s">
        <v>2823</v>
      </c>
      <c r="C1330" s="25" t="s">
        <v>4218</v>
      </c>
      <c r="D1330" s="25" t="s">
        <v>13</v>
      </c>
      <c r="E1330" s="25" t="s">
        <v>4219</v>
      </c>
      <c r="F1330" s="25" t="s">
        <v>4332</v>
      </c>
      <c r="G1330" s="25">
        <v>500</v>
      </c>
      <c r="H1330" s="25"/>
    </row>
    <row r="1331" spans="1:8" ht="14">
      <c r="A1331" s="25" t="str">
        <f>LOWER(C1331)</f>
        <v>hematoxylin</v>
      </c>
      <c r="B1331" s="35" t="s">
        <v>4227</v>
      </c>
      <c r="C1331" s="25" t="s">
        <v>4287</v>
      </c>
      <c r="D1331" s="25" t="s">
        <v>13</v>
      </c>
      <c r="E1331" s="25" t="s">
        <v>4229</v>
      </c>
      <c r="F1331" s="25" t="s">
        <v>4230</v>
      </c>
      <c r="G1331" s="25">
        <v>500</v>
      </c>
      <c r="H1331" s="25"/>
    </row>
    <row r="1332" spans="1:8" ht="14">
      <c r="A1332" s="25" t="str">
        <f t="shared" ref="A1332:A1359" si="19">LOWER(C1332)</f>
        <v>eosin</v>
      </c>
      <c r="B1332" s="35" t="s">
        <v>4227</v>
      </c>
      <c r="C1332" s="25" t="s">
        <v>4288</v>
      </c>
      <c r="D1332" s="25" t="s">
        <v>13</v>
      </c>
      <c r="E1332" s="25" t="s">
        <v>4231</v>
      </c>
      <c r="F1332" s="25" t="s">
        <v>4232</v>
      </c>
      <c r="G1332" s="25">
        <v>500</v>
      </c>
      <c r="H1332" s="25"/>
    </row>
    <row r="1333" spans="1:8" ht="14">
      <c r="A1333" s="25" t="str">
        <f t="shared" si="19"/>
        <v>dapi</v>
      </c>
      <c r="B1333" s="35" t="s">
        <v>4227</v>
      </c>
      <c r="C1333" s="25" t="s">
        <v>4289</v>
      </c>
      <c r="D1333" s="25" t="s">
        <v>13</v>
      </c>
      <c r="E1333" s="25" t="s">
        <v>4233</v>
      </c>
      <c r="F1333" s="25" t="s">
        <v>4234</v>
      </c>
      <c r="G1333" s="25">
        <v>500</v>
      </c>
      <c r="H1333" s="25"/>
    </row>
    <row r="1334" spans="1:8" ht="14">
      <c r="A1334" s="25" t="str">
        <f t="shared" si="19"/>
        <v>hoechst33342</v>
      </c>
      <c r="B1334" s="35" t="s">
        <v>4227</v>
      </c>
      <c r="C1334" s="25" t="s">
        <v>4294</v>
      </c>
      <c r="D1334" s="25" t="s">
        <v>13</v>
      </c>
      <c r="E1334" s="25" t="s">
        <v>4235</v>
      </c>
      <c r="F1334" s="25" t="s">
        <v>4236</v>
      </c>
      <c r="G1334" s="25">
        <v>500</v>
      </c>
      <c r="H1334" s="25"/>
    </row>
    <row r="1335" spans="1:8" ht="14">
      <c r="A1335" s="25" t="str">
        <f t="shared" si="19"/>
        <v>propidium_iodide</v>
      </c>
      <c r="B1335" s="35" t="s">
        <v>4227</v>
      </c>
      <c r="C1335" s="25" t="s">
        <v>4295</v>
      </c>
      <c r="D1335" s="25" t="s">
        <v>13</v>
      </c>
      <c r="E1335" s="25" t="s">
        <v>4237</v>
      </c>
      <c r="F1335" s="25" t="s">
        <v>4238</v>
      </c>
      <c r="G1335" s="25">
        <v>500</v>
      </c>
      <c r="H1335" s="25"/>
    </row>
    <row r="1336" spans="1:8" ht="14">
      <c r="A1336" s="25" t="str">
        <f t="shared" si="19"/>
        <v>acridine_orange</v>
      </c>
      <c r="B1336" s="35" t="s">
        <v>4227</v>
      </c>
      <c r="C1336" s="25" t="s">
        <v>4296</v>
      </c>
      <c r="D1336" s="25" t="s">
        <v>13</v>
      </c>
      <c r="E1336" s="25" t="s">
        <v>4239</v>
      </c>
      <c r="F1336" s="25" t="s">
        <v>4240</v>
      </c>
      <c r="G1336" s="25">
        <v>500</v>
      </c>
      <c r="H1336" s="25"/>
    </row>
    <row r="1337" spans="1:8" ht="14">
      <c r="A1337" s="25" t="str">
        <f t="shared" si="19"/>
        <v>crystal_violet</v>
      </c>
      <c r="B1337" s="35" t="s">
        <v>4227</v>
      </c>
      <c r="C1337" s="25" t="s">
        <v>4297</v>
      </c>
      <c r="D1337" s="25" t="s">
        <v>13</v>
      </c>
      <c r="E1337" s="25" t="s">
        <v>4241</v>
      </c>
      <c r="F1337" s="25" t="s">
        <v>4242</v>
      </c>
      <c r="G1337" s="25">
        <v>500</v>
      </c>
      <c r="H1337" s="25"/>
    </row>
    <row r="1338" spans="1:8" ht="14">
      <c r="A1338" s="25" t="str">
        <f t="shared" si="19"/>
        <v>safranin</v>
      </c>
      <c r="B1338" s="35" t="s">
        <v>4227</v>
      </c>
      <c r="C1338" s="25" t="s">
        <v>4290</v>
      </c>
      <c r="D1338" s="25" t="s">
        <v>13</v>
      </c>
      <c r="E1338" s="25" t="s">
        <v>4243</v>
      </c>
      <c r="F1338" s="25" t="s">
        <v>4244</v>
      </c>
      <c r="G1338" s="25">
        <v>500</v>
      </c>
      <c r="H1338" s="25"/>
    </row>
    <row r="1339" spans="1:8" ht="14">
      <c r="A1339" s="25" t="str">
        <f t="shared" si="19"/>
        <v>methylene_blue</v>
      </c>
      <c r="B1339" s="35" t="s">
        <v>4227</v>
      </c>
      <c r="C1339" s="25" t="s">
        <v>4298</v>
      </c>
      <c r="D1339" s="25" t="s">
        <v>13</v>
      </c>
      <c r="E1339" s="25" t="s">
        <v>4245</v>
      </c>
      <c r="F1339" s="25" t="s">
        <v>4246</v>
      </c>
      <c r="G1339" s="25">
        <v>500</v>
      </c>
      <c r="H1339" s="25"/>
    </row>
    <row r="1340" spans="1:8" ht="14">
      <c r="A1340" s="25" t="str">
        <f t="shared" si="19"/>
        <v>malachite_green</v>
      </c>
      <c r="B1340" s="35" t="s">
        <v>4227</v>
      </c>
      <c r="C1340" s="25" t="s">
        <v>4299</v>
      </c>
      <c r="D1340" s="25" t="s">
        <v>13</v>
      </c>
      <c r="E1340" s="25" t="s">
        <v>4247</v>
      </c>
      <c r="F1340" s="25" t="s">
        <v>4248</v>
      </c>
      <c r="G1340" s="25">
        <v>500</v>
      </c>
      <c r="H1340" s="25"/>
    </row>
    <row r="1341" spans="1:8" ht="14">
      <c r="A1341" s="25" t="str">
        <f t="shared" si="19"/>
        <v>nigrosin</v>
      </c>
      <c r="B1341" s="35" t="s">
        <v>4227</v>
      </c>
      <c r="C1341" s="25" t="s">
        <v>4291</v>
      </c>
      <c r="D1341" s="25" t="s">
        <v>13</v>
      </c>
      <c r="E1341" s="25" t="s">
        <v>4249</v>
      </c>
      <c r="F1341" s="25" t="s">
        <v>4250</v>
      </c>
      <c r="G1341" s="25">
        <v>500</v>
      </c>
      <c r="H1341" s="25"/>
    </row>
    <row r="1342" spans="1:8" ht="14">
      <c r="A1342" s="25" t="str">
        <f t="shared" si="19"/>
        <v>india_ink</v>
      </c>
      <c r="B1342" s="35" t="s">
        <v>4227</v>
      </c>
      <c r="C1342" s="25" t="s">
        <v>4300</v>
      </c>
      <c r="D1342" s="25" t="s">
        <v>13</v>
      </c>
      <c r="E1342" s="25" t="s">
        <v>4251</v>
      </c>
      <c r="F1342" s="25" t="s">
        <v>4252</v>
      </c>
      <c r="G1342" s="25">
        <v>500</v>
      </c>
      <c r="H1342" s="25"/>
    </row>
    <row r="1343" spans="1:8" ht="14">
      <c r="A1343" s="25" t="str">
        <f t="shared" si="19"/>
        <v>calcofluor_white</v>
      </c>
      <c r="B1343" s="35" t="s">
        <v>4227</v>
      </c>
      <c r="C1343" s="25" t="s">
        <v>4301</v>
      </c>
      <c r="D1343" s="25" t="s">
        <v>13</v>
      </c>
      <c r="E1343" s="25" t="s">
        <v>4253</v>
      </c>
      <c r="F1343" s="25" t="s">
        <v>4254</v>
      </c>
      <c r="G1343" s="25">
        <v>500</v>
      </c>
      <c r="H1343" s="25"/>
    </row>
    <row r="1344" spans="1:8" ht="14">
      <c r="A1344" s="25" t="str">
        <f t="shared" si="19"/>
        <v>rhodamine</v>
      </c>
      <c r="B1344" s="35" t="s">
        <v>4227</v>
      </c>
      <c r="C1344" s="25" t="s">
        <v>4292</v>
      </c>
      <c r="D1344" s="25" t="s">
        <v>13</v>
      </c>
      <c r="E1344" s="25" t="s">
        <v>4255</v>
      </c>
      <c r="F1344" s="25" t="s">
        <v>4256</v>
      </c>
      <c r="G1344" s="25">
        <v>500</v>
      </c>
      <c r="H1344" s="25"/>
    </row>
    <row r="1345" spans="1:8" ht="14">
      <c r="A1345" s="25" t="str">
        <f t="shared" si="19"/>
        <v>fluorescein</v>
      </c>
      <c r="B1345" s="35" t="s">
        <v>4227</v>
      </c>
      <c r="C1345" s="25" t="s">
        <v>4293</v>
      </c>
      <c r="D1345" s="25" t="s">
        <v>13</v>
      </c>
      <c r="E1345" s="25" t="s">
        <v>4257</v>
      </c>
      <c r="F1345" s="25" t="s">
        <v>4258</v>
      </c>
      <c r="G1345" s="25">
        <v>500</v>
      </c>
      <c r="H1345" s="25"/>
    </row>
    <row r="1346" spans="1:8" ht="14">
      <c r="A1346" s="25" t="str">
        <f t="shared" si="19"/>
        <v>congo_red</v>
      </c>
      <c r="B1346" s="35" t="s">
        <v>4227</v>
      </c>
      <c r="C1346" s="25" t="s">
        <v>4302</v>
      </c>
      <c r="D1346" s="25" t="s">
        <v>13</v>
      </c>
      <c r="E1346" s="25" t="s">
        <v>4259</v>
      </c>
      <c r="F1346" s="25" t="s">
        <v>4260</v>
      </c>
      <c r="G1346" s="25">
        <v>500</v>
      </c>
      <c r="H1346" s="25"/>
    </row>
    <row r="1347" spans="1:8" ht="14">
      <c r="A1347" s="25" t="str">
        <f t="shared" si="19"/>
        <v>oil_red_o</v>
      </c>
      <c r="B1347" s="35" t="s">
        <v>4227</v>
      </c>
      <c r="C1347" s="25" t="s">
        <v>4303</v>
      </c>
      <c r="D1347" s="25" t="s">
        <v>13</v>
      </c>
      <c r="E1347" s="25" t="s">
        <v>4261</v>
      </c>
      <c r="F1347" s="25" t="s">
        <v>4262</v>
      </c>
      <c r="G1347" s="25">
        <v>500</v>
      </c>
      <c r="H1347" s="25"/>
    </row>
    <row r="1348" spans="1:8" ht="14">
      <c r="A1348" s="25" t="str">
        <f t="shared" si="19"/>
        <v>sudan_black_b</v>
      </c>
      <c r="B1348" s="35" t="s">
        <v>4227</v>
      </c>
      <c r="C1348" s="25" t="s">
        <v>4304</v>
      </c>
      <c r="D1348" s="25" t="s">
        <v>13</v>
      </c>
      <c r="E1348" s="25" t="s">
        <v>4263</v>
      </c>
      <c r="F1348" s="25" t="s">
        <v>4264</v>
      </c>
      <c r="G1348" s="25">
        <v>500</v>
      </c>
      <c r="H1348" s="25"/>
    </row>
    <row r="1349" spans="1:8" ht="14">
      <c r="A1349" s="25" t="str">
        <f t="shared" si="19"/>
        <v>janus_green_b</v>
      </c>
      <c r="B1349" s="35" t="s">
        <v>4227</v>
      </c>
      <c r="C1349" s="25" t="s">
        <v>4305</v>
      </c>
      <c r="D1349" s="25" t="s">
        <v>13</v>
      </c>
      <c r="E1349" s="25" t="s">
        <v>4265</v>
      </c>
      <c r="F1349" s="25" t="s">
        <v>4266</v>
      </c>
      <c r="G1349" s="25">
        <v>500</v>
      </c>
      <c r="H1349" s="25"/>
    </row>
    <row r="1350" spans="1:8" ht="14">
      <c r="A1350" s="25" t="str">
        <f t="shared" si="19"/>
        <v>neutral_red</v>
      </c>
      <c r="B1350" s="35" t="s">
        <v>4227</v>
      </c>
      <c r="C1350" s="25" t="s">
        <v>4306</v>
      </c>
      <c r="D1350" s="25" t="s">
        <v>13</v>
      </c>
      <c r="E1350" s="25" t="s">
        <v>4267</v>
      </c>
      <c r="F1350" s="25" t="s">
        <v>4268</v>
      </c>
      <c r="G1350" s="25">
        <v>500</v>
      </c>
      <c r="H1350" s="25"/>
    </row>
    <row r="1351" spans="1:8" ht="14">
      <c r="A1351" s="25" t="str">
        <f t="shared" si="19"/>
        <v>trypan_blue</v>
      </c>
      <c r="B1351" s="35" t="s">
        <v>4227</v>
      </c>
      <c r="C1351" s="25" t="s">
        <v>4307</v>
      </c>
      <c r="D1351" s="25" t="s">
        <v>13</v>
      </c>
      <c r="E1351" s="25" t="s">
        <v>4269</v>
      </c>
      <c r="F1351" s="25" t="s">
        <v>4270</v>
      </c>
      <c r="G1351" s="25">
        <v>500</v>
      </c>
      <c r="H1351" s="25"/>
    </row>
    <row r="1352" spans="1:8" ht="14">
      <c r="A1352" s="25" t="str">
        <f t="shared" si="19"/>
        <v>toluidine_blue</v>
      </c>
      <c r="B1352" s="35" t="s">
        <v>4227</v>
      </c>
      <c r="C1352" s="25" t="s">
        <v>4308</v>
      </c>
      <c r="D1352" s="25" t="s">
        <v>13</v>
      </c>
      <c r="E1352" s="25" t="s">
        <v>4271</v>
      </c>
      <c r="F1352" s="25" t="s">
        <v>4272</v>
      </c>
      <c r="G1352" s="25">
        <v>500</v>
      </c>
      <c r="H1352" s="25"/>
    </row>
    <row r="1353" spans="1:8" ht="14">
      <c r="A1353" s="25" t="str">
        <f t="shared" si="19"/>
        <v>silver_stain</v>
      </c>
      <c r="B1353" s="35" t="s">
        <v>4227</v>
      </c>
      <c r="C1353" s="25" t="s">
        <v>4309</v>
      </c>
      <c r="D1353" s="25" t="s">
        <v>13</v>
      </c>
      <c r="E1353" s="25" t="s">
        <v>4273</v>
      </c>
      <c r="F1353" s="25" t="s">
        <v>4274</v>
      </c>
      <c r="G1353" s="25">
        <v>500</v>
      </c>
      <c r="H1353" s="25"/>
    </row>
    <row r="1354" spans="1:8" ht="14">
      <c r="A1354" s="25" t="str">
        <f t="shared" si="19"/>
        <v>auramine_o</v>
      </c>
      <c r="B1354" s="35" t="s">
        <v>4227</v>
      </c>
      <c r="C1354" s="25" t="s">
        <v>4310</v>
      </c>
      <c r="D1354" s="25" t="s">
        <v>13</v>
      </c>
      <c r="E1354" s="25" t="s">
        <v>4275</v>
      </c>
      <c r="F1354" s="25" t="s">
        <v>4276</v>
      </c>
      <c r="G1354" s="25">
        <v>500</v>
      </c>
      <c r="H1354" s="25"/>
    </row>
    <row r="1355" spans="1:8" ht="14">
      <c r="A1355" s="25" t="str">
        <f t="shared" si="19"/>
        <v>giemsa_stain</v>
      </c>
      <c r="B1355" s="35" t="s">
        <v>4227</v>
      </c>
      <c r="C1355" s="25" t="s">
        <v>4311</v>
      </c>
      <c r="D1355" s="25" t="s">
        <v>13</v>
      </c>
      <c r="E1355" s="25" t="s">
        <v>4277</v>
      </c>
      <c r="F1355" s="25" t="s">
        <v>4278</v>
      </c>
      <c r="G1355" s="25">
        <v>500</v>
      </c>
      <c r="H1355" s="25"/>
    </row>
    <row r="1356" spans="1:8" ht="14">
      <c r="A1356" s="25" t="str">
        <f t="shared" si="19"/>
        <v>wright_stain</v>
      </c>
      <c r="B1356" s="35" t="s">
        <v>4227</v>
      </c>
      <c r="C1356" s="25" t="s">
        <v>4312</v>
      </c>
      <c r="D1356" s="25" t="s">
        <v>13</v>
      </c>
      <c r="E1356" s="25" t="s">
        <v>4279</v>
      </c>
      <c r="F1356" s="25" t="s">
        <v>4280</v>
      </c>
      <c r="G1356" s="25">
        <v>500</v>
      </c>
      <c r="H1356" s="25"/>
    </row>
    <row r="1357" spans="1:8" ht="14">
      <c r="A1357" s="25" t="str">
        <f t="shared" si="19"/>
        <v>periodic_acid-schiff</v>
      </c>
      <c r="B1357" s="35" t="s">
        <v>4227</v>
      </c>
      <c r="C1357" s="25" t="s">
        <v>4313</v>
      </c>
      <c r="D1357" s="25" t="s">
        <v>13</v>
      </c>
      <c r="E1357" s="25" t="s">
        <v>4281</v>
      </c>
      <c r="F1357" s="25" t="s">
        <v>4282</v>
      </c>
      <c r="G1357" s="25">
        <v>500</v>
      </c>
      <c r="H1357" s="25"/>
    </row>
    <row r="1358" spans="1:8" ht="14">
      <c r="A1358" s="25" t="str">
        <f t="shared" si="19"/>
        <v>alcian_blue</v>
      </c>
      <c r="B1358" s="35" t="s">
        <v>4227</v>
      </c>
      <c r="C1358" s="25" t="s">
        <v>4314</v>
      </c>
      <c r="D1358" s="25" t="s">
        <v>13</v>
      </c>
      <c r="E1358" s="25" t="s">
        <v>4283</v>
      </c>
      <c r="F1358" s="25" t="s">
        <v>4284</v>
      </c>
      <c r="G1358" s="25">
        <v>500</v>
      </c>
      <c r="H1358" s="25"/>
    </row>
    <row r="1359" spans="1:8" ht="14">
      <c r="A1359" s="25" t="str">
        <f t="shared" si="19"/>
        <v>massons_trichrome</v>
      </c>
      <c r="B1359" s="35" t="s">
        <v>4227</v>
      </c>
      <c r="C1359" s="25" t="s">
        <v>4315</v>
      </c>
      <c r="D1359" s="25" t="s">
        <v>13</v>
      </c>
      <c r="E1359" s="25" t="s">
        <v>4285</v>
      </c>
      <c r="F1359" s="25" t="s">
        <v>4286</v>
      </c>
      <c r="G1359" s="25">
        <v>500</v>
      </c>
      <c r="H1359" s="25"/>
    </row>
    <row r="1360" spans="1:8" ht="14">
      <c r="A1360" s="25" t="s">
        <v>4322</v>
      </c>
      <c r="B1360" s="35" t="s">
        <v>4320</v>
      </c>
      <c r="C1360" s="25" t="s">
        <v>4322</v>
      </c>
      <c r="D1360" s="25" t="s">
        <v>13</v>
      </c>
      <c r="E1360" s="25" t="s">
        <v>4323</v>
      </c>
      <c r="F1360" s="25" t="s">
        <v>4324</v>
      </c>
      <c r="G1360" s="25">
        <v>450</v>
      </c>
      <c r="H1360" s="25"/>
    </row>
    <row r="1361" spans="1:8" ht="14">
      <c r="A1361" s="25" t="s">
        <v>4028</v>
      </c>
      <c r="B1361" s="35" t="s">
        <v>4320</v>
      </c>
      <c r="C1361" s="25" t="s">
        <v>4028</v>
      </c>
      <c r="D1361" s="25" t="s">
        <v>13</v>
      </c>
      <c r="E1361" s="25" t="s">
        <v>3911</v>
      </c>
      <c r="F1361" s="25" t="s">
        <v>4325</v>
      </c>
      <c r="G1361" s="25">
        <v>500</v>
      </c>
      <c r="H1361" s="25"/>
    </row>
    <row r="1362" spans="1:8" ht="14">
      <c r="A1362" s="25" t="s">
        <v>4028</v>
      </c>
      <c r="B1362" s="35" t="s">
        <v>4316</v>
      </c>
      <c r="C1362" s="25" t="s">
        <v>4028</v>
      </c>
      <c r="D1362" s="25" t="s">
        <v>13</v>
      </c>
      <c r="E1362" s="25" t="s">
        <v>3911</v>
      </c>
      <c r="F1362" s="25" t="s">
        <v>4326</v>
      </c>
      <c r="G1362" s="25">
        <v>500</v>
      </c>
      <c r="H1362" s="25"/>
    </row>
    <row r="1363" spans="1:8" ht="14">
      <c r="A1363" s="25" t="s">
        <v>21</v>
      </c>
      <c r="B1363" s="26" t="s">
        <v>4318</v>
      </c>
      <c r="C1363" s="25" t="s">
        <v>21</v>
      </c>
      <c r="D1363" s="25" t="s">
        <v>13</v>
      </c>
      <c r="E1363" s="25" t="s">
        <v>21</v>
      </c>
      <c r="F1363" s="25" t="s">
        <v>4327</v>
      </c>
      <c r="G1363" s="25">
        <v>700</v>
      </c>
      <c r="H1363" s="25"/>
    </row>
    <row r="1364" spans="1:8" ht="14">
      <c r="A1364" s="25" t="s">
        <v>3921</v>
      </c>
      <c r="B1364" s="26" t="s">
        <v>4318</v>
      </c>
      <c r="C1364" s="25" t="s">
        <v>3921</v>
      </c>
      <c r="D1364" s="25" t="s">
        <v>13</v>
      </c>
      <c r="E1364" s="25" t="s">
        <v>3921</v>
      </c>
      <c r="F1364" s="25" t="s">
        <v>4328</v>
      </c>
      <c r="G1364" s="25">
        <v>540</v>
      </c>
      <c r="H1364" s="25"/>
    </row>
    <row r="1365" spans="1:8" ht="14">
      <c r="A1365" s="25" t="s">
        <v>4329</v>
      </c>
      <c r="B1365" s="26" t="s">
        <v>4318</v>
      </c>
      <c r="C1365" s="25" t="s">
        <v>4329</v>
      </c>
      <c r="D1365" s="25" t="s">
        <v>13</v>
      </c>
      <c r="E1365" s="25" t="s">
        <v>4329</v>
      </c>
      <c r="F1365" s="25" t="s">
        <v>4330</v>
      </c>
      <c r="G1365" s="25">
        <v>500</v>
      </c>
      <c r="H1365" s="25"/>
    </row>
    <row r="1366" spans="1:8" ht="14">
      <c r="A1366" s="25" t="s">
        <v>2861</v>
      </c>
      <c r="B1366" s="36" t="s">
        <v>4333</v>
      </c>
      <c r="C1366" s="25" t="s">
        <v>2861</v>
      </c>
      <c r="D1366" s="25" t="s">
        <v>13</v>
      </c>
      <c r="E1366" s="25" t="s">
        <v>2862</v>
      </c>
      <c r="F1366" s="25" t="s">
        <v>4335</v>
      </c>
      <c r="G1366" s="25">
        <v>500</v>
      </c>
      <c r="H1366" s="25"/>
    </row>
    <row r="1367" spans="1:8" ht="14">
      <c r="A1367" s="25" t="s">
        <v>3017</v>
      </c>
      <c r="B1367" s="36" t="s">
        <v>4333</v>
      </c>
      <c r="C1367" s="25" t="s">
        <v>3017</v>
      </c>
      <c r="D1367" s="25" t="s">
        <v>13</v>
      </c>
      <c r="E1367" s="25" t="s">
        <v>3018</v>
      </c>
      <c r="F1367" s="25" t="s">
        <v>4336</v>
      </c>
      <c r="G1367" s="25">
        <v>500</v>
      </c>
      <c r="H1367" s="25"/>
    </row>
    <row r="1368" spans="1:8" ht="14">
      <c r="A1368" s="25" t="s">
        <v>3935</v>
      </c>
      <c r="B1368" s="35" t="s">
        <v>4338</v>
      </c>
      <c r="C1368" s="25" t="s">
        <v>3935</v>
      </c>
      <c r="D1368" s="25" t="s">
        <v>13</v>
      </c>
      <c r="E1368" s="25" t="s">
        <v>3935</v>
      </c>
      <c r="F1368" s="25" t="s">
        <v>4345</v>
      </c>
      <c r="G1368" s="25">
        <v>700</v>
      </c>
      <c r="H1368" s="25"/>
    </row>
    <row r="1369" spans="1:8" ht="14">
      <c r="A1369" s="25" t="s">
        <v>4344</v>
      </c>
      <c r="B1369" s="35" t="s">
        <v>4338</v>
      </c>
      <c r="C1369" s="25" t="s">
        <v>4344</v>
      </c>
      <c r="D1369" s="25" t="s">
        <v>13</v>
      </c>
      <c r="E1369" s="25" t="s">
        <v>4341</v>
      </c>
      <c r="F1369" s="25" t="s">
        <v>4342</v>
      </c>
      <c r="G1369" s="25">
        <v>400</v>
      </c>
      <c r="H1369" s="25"/>
    </row>
    <row r="1370" spans="1:8" ht="14">
      <c r="A1370" s="25" t="s">
        <v>4340</v>
      </c>
      <c r="B1370" s="35" t="s">
        <v>4338</v>
      </c>
      <c r="C1370" s="25" t="s">
        <v>4340</v>
      </c>
      <c r="D1370" s="25" t="s">
        <v>13</v>
      </c>
      <c r="E1370" s="25" t="s">
        <v>4340</v>
      </c>
      <c r="F1370" s="25" t="s">
        <v>4343</v>
      </c>
      <c r="G1370" s="25">
        <v>300</v>
      </c>
      <c r="H1370" s="25"/>
    </row>
    <row r="1371" spans="1:8" ht="14">
      <c r="A1371" s="25" t="s">
        <v>262</v>
      </c>
      <c r="B1371" s="35" t="s">
        <v>4346</v>
      </c>
      <c r="C1371" s="25" t="s">
        <v>262</v>
      </c>
      <c r="D1371" s="25" t="s">
        <v>13</v>
      </c>
      <c r="E1371" s="25" t="s">
        <v>1742</v>
      </c>
      <c r="F1371" s="25" t="s">
        <v>4348</v>
      </c>
      <c r="G1371" s="25">
        <v>400</v>
      </c>
      <c r="H1371" s="25"/>
    </row>
    <row r="1372" spans="1:8" ht="14">
      <c r="A1372" s="25" t="s">
        <v>4351</v>
      </c>
      <c r="B1372" s="35" t="s">
        <v>4346</v>
      </c>
      <c r="C1372" s="25" t="s">
        <v>4351</v>
      </c>
      <c r="D1372" s="25" t="s">
        <v>13</v>
      </c>
      <c r="E1372" s="25" t="s">
        <v>4349</v>
      </c>
      <c r="F1372" s="25" t="s">
        <v>4350</v>
      </c>
      <c r="G1372" s="25">
        <v>500</v>
      </c>
      <c r="H1372" s="25"/>
    </row>
    <row r="1373" spans="1:8" ht="14">
      <c r="A1373" s="25" t="s">
        <v>4355</v>
      </c>
      <c r="B1373" s="35" t="s">
        <v>4353</v>
      </c>
      <c r="C1373" s="25" t="s">
        <v>4355</v>
      </c>
      <c r="D1373" s="25" t="s">
        <v>13</v>
      </c>
      <c r="E1373" s="25" t="s">
        <v>4365</v>
      </c>
      <c r="F1373" s="25" t="s">
        <v>4356</v>
      </c>
      <c r="G1373" s="25">
        <v>500</v>
      </c>
      <c r="H1373" s="25"/>
    </row>
    <row r="1374" spans="1:8" ht="14">
      <c r="A1374" s="25" t="s">
        <v>4357</v>
      </c>
      <c r="B1374" s="35" t="s">
        <v>4353</v>
      </c>
      <c r="C1374" s="25" t="s">
        <v>4357</v>
      </c>
      <c r="D1374" s="25" t="s">
        <v>13</v>
      </c>
      <c r="E1374" s="25" t="s">
        <v>4358</v>
      </c>
      <c r="F1374" s="25" t="s">
        <v>4359</v>
      </c>
      <c r="G1374" s="25">
        <v>450</v>
      </c>
      <c r="H1374" s="25"/>
    </row>
    <row r="1375" spans="1:8" ht="14">
      <c r="A1375" s="25" t="s">
        <v>4360</v>
      </c>
      <c r="B1375" s="35" t="s">
        <v>4353</v>
      </c>
      <c r="C1375" s="25" t="s">
        <v>4360</v>
      </c>
      <c r="D1375" s="25" t="s">
        <v>13</v>
      </c>
      <c r="E1375" s="25" t="s">
        <v>4361</v>
      </c>
      <c r="F1375" s="25" t="s">
        <v>4362</v>
      </c>
      <c r="G1375" s="25">
        <v>500</v>
      </c>
      <c r="H1375" s="25"/>
    </row>
    <row r="1376" spans="1:8" ht="14">
      <c r="A1376" s="25" t="s">
        <v>4363</v>
      </c>
      <c r="B1376" s="36" t="s">
        <v>4353</v>
      </c>
      <c r="C1376" s="25" t="s">
        <v>4363</v>
      </c>
      <c r="D1376" s="25" t="s">
        <v>13</v>
      </c>
      <c r="E1376" s="25" t="s">
        <v>4364</v>
      </c>
      <c r="F1376" s="25" t="s">
        <v>4366</v>
      </c>
      <c r="G1376" s="25">
        <v>550</v>
      </c>
      <c r="H1376" s="25"/>
    </row>
    <row r="1377" spans="1:8" ht="14">
      <c r="A1377" s="25" t="s">
        <v>4411</v>
      </c>
      <c r="B1377" s="36" t="s">
        <v>4353</v>
      </c>
      <c r="C1377" s="25" t="s">
        <v>4411</v>
      </c>
      <c r="D1377" s="25" t="s">
        <v>13</v>
      </c>
      <c r="E1377" s="25" t="s">
        <v>4412</v>
      </c>
      <c r="F1377" s="25" t="s">
        <v>4413</v>
      </c>
      <c r="G1377" s="25">
        <v>600</v>
      </c>
      <c r="H1377" s="25"/>
    </row>
    <row r="1378" spans="1:8">
      <c r="A1378" s="42" t="s">
        <v>4372</v>
      </c>
      <c r="B1378" s="22" t="s">
        <v>4395</v>
      </c>
      <c r="C1378" s="43" t="s">
        <v>4372</v>
      </c>
      <c r="D1378" s="5" t="s">
        <v>13</v>
      </c>
      <c r="E1378" s="5" t="s">
        <v>405</v>
      </c>
      <c r="F1378" s="42" t="s">
        <v>4373</v>
      </c>
      <c r="G1378" s="41">
        <v>1000</v>
      </c>
    </row>
    <row r="1379" spans="1:8">
      <c r="A1379" s="42" t="s">
        <v>4374</v>
      </c>
      <c r="B1379" s="22" t="s">
        <v>4395</v>
      </c>
      <c r="C1379" s="43" t="s">
        <v>4374</v>
      </c>
      <c r="D1379" s="5" t="s">
        <v>13</v>
      </c>
      <c r="E1379" s="44" t="s">
        <v>4388</v>
      </c>
      <c r="F1379" s="42" t="s">
        <v>4375</v>
      </c>
      <c r="G1379" s="42">
        <v>900</v>
      </c>
    </row>
    <row r="1380" spans="1:8">
      <c r="A1380" s="42" t="s">
        <v>4376</v>
      </c>
      <c r="B1380" s="22" t="s">
        <v>4395</v>
      </c>
      <c r="C1380" s="43" t="s">
        <v>4376</v>
      </c>
      <c r="D1380" s="5" t="s">
        <v>13</v>
      </c>
      <c r="E1380" s="5" t="s">
        <v>4389</v>
      </c>
      <c r="F1380" s="42" t="s">
        <v>4377</v>
      </c>
      <c r="G1380" s="42">
        <v>850</v>
      </c>
    </row>
    <row r="1381" spans="1:8">
      <c r="A1381" s="42" t="s">
        <v>4378</v>
      </c>
      <c r="B1381" s="22" t="s">
        <v>4395</v>
      </c>
      <c r="C1381" s="43" t="s">
        <v>4378</v>
      </c>
      <c r="D1381" s="5" t="s">
        <v>13</v>
      </c>
      <c r="E1381" s="5" t="s">
        <v>4390</v>
      </c>
      <c r="F1381" s="42" t="s">
        <v>4379</v>
      </c>
      <c r="G1381" s="42">
        <v>820</v>
      </c>
    </row>
    <row r="1382" spans="1:8">
      <c r="A1382" s="42" t="s">
        <v>4380</v>
      </c>
      <c r="B1382" s="22" t="s">
        <v>4395</v>
      </c>
      <c r="C1382" s="43" t="s">
        <v>4380</v>
      </c>
      <c r="D1382" s="5" t="s">
        <v>13</v>
      </c>
      <c r="E1382" s="5" t="s">
        <v>4391</v>
      </c>
      <c r="F1382" s="42" t="s">
        <v>4381</v>
      </c>
      <c r="G1382" s="42">
        <v>780</v>
      </c>
    </row>
    <row r="1383" spans="1:8">
      <c r="A1383" s="42" t="s">
        <v>4382</v>
      </c>
      <c r="B1383" s="22" t="s">
        <v>4395</v>
      </c>
      <c r="C1383" s="43" t="s">
        <v>4382</v>
      </c>
      <c r="D1383" s="5" t="s">
        <v>13</v>
      </c>
      <c r="E1383" s="5" t="s">
        <v>4392</v>
      </c>
      <c r="F1383" s="42" t="s">
        <v>4383</v>
      </c>
      <c r="G1383" s="42">
        <v>760</v>
      </c>
    </row>
    <row r="1384" spans="1:8">
      <c r="A1384" s="42" t="s">
        <v>4384</v>
      </c>
      <c r="B1384" s="22" t="s">
        <v>4395</v>
      </c>
      <c r="C1384" s="43" t="s">
        <v>4384</v>
      </c>
      <c r="D1384" s="5" t="s">
        <v>13</v>
      </c>
      <c r="E1384" s="5" t="s">
        <v>4393</v>
      </c>
      <c r="F1384" s="42" t="s">
        <v>4385</v>
      </c>
      <c r="G1384" s="42">
        <v>740</v>
      </c>
    </row>
    <row r="1385" spans="1:8">
      <c r="A1385" s="42" t="s">
        <v>4386</v>
      </c>
      <c r="B1385" s="22" t="s">
        <v>4395</v>
      </c>
      <c r="C1385" s="43" t="s">
        <v>4386</v>
      </c>
      <c r="D1385" s="5" t="s">
        <v>13</v>
      </c>
      <c r="E1385" s="5" t="s">
        <v>4394</v>
      </c>
      <c r="F1385" s="42" t="s">
        <v>4387</v>
      </c>
      <c r="G1385" s="42">
        <v>700</v>
      </c>
    </row>
    <row r="1386" spans="1:8">
      <c r="A1386" s="5" t="s">
        <v>4405</v>
      </c>
      <c r="B1386" s="22" t="s">
        <v>2774</v>
      </c>
      <c r="C1386" s="5" t="s">
        <v>4405</v>
      </c>
      <c r="D1386" s="42" t="s">
        <v>13</v>
      </c>
      <c r="E1386" s="5" t="s">
        <v>4406</v>
      </c>
      <c r="F1386" s="5" t="s">
        <v>4407</v>
      </c>
      <c r="G1386" s="5">
        <v>400</v>
      </c>
    </row>
    <row r="1387" spans="1:8">
      <c r="A1387" s="5" t="s">
        <v>1716</v>
      </c>
      <c r="B1387" s="22" t="s">
        <v>2774</v>
      </c>
      <c r="C1387" s="5" t="s">
        <v>1716</v>
      </c>
      <c r="D1387" s="42" t="s">
        <v>13</v>
      </c>
      <c r="E1387" s="5" t="s">
        <v>4408</v>
      </c>
      <c r="F1387" s="5" t="s">
        <v>4409</v>
      </c>
      <c r="G1387" s="5">
        <v>400</v>
      </c>
    </row>
    <row r="1388" spans="1:8" ht="14">
      <c r="A1388" s="5" t="s">
        <v>4417</v>
      </c>
      <c r="B1388" s="36" t="s">
        <v>3896</v>
      </c>
      <c r="C1388" s="5" t="s">
        <v>4417</v>
      </c>
      <c r="D1388" s="5" t="s">
        <v>13</v>
      </c>
      <c r="E1388" s="5" t="s">
        <v>4418</v>
      </c>
      <c r="F1388" s="5" t="s">
        <v>4419</v>
      </c>
      <c r="G1388" s="5">
        <v>600</v>
      </c>
    </row>
    <row r="1389" spans="1:8" ht="14">
      <c r="A1389" s="5" t="s">
        <v>262</v>
      </c>
      <c r="B1389" s="36" t="s">
        <v>3896</v>
      </c>
      <c r="C1389" s="5" t="s">
        <v>262</v>
      </c>
      <c r="D1389" s="5" t="s">
        <v>13</v>
      </c>
      <c r="E1389" s="5" t="s">
        <v>1742</v>
      </c>
      <c r="F1389" s="5" t="s">
        <v>4416</v>
      </c>
      <c r="G1389" s="5">
        <v>500</v>
      </c>
    </row>
    <row r="1390" spans="1:8" ht="14">
      <c r="A1390" s="5" t="s">
        <v>4028</v>
      </c>
      <c r="B1390" s="26" t="s">
        <v>154</v>
      </c>
      <c r="C1390" s="5" t="s">
        <v>4028</v>
      </c>
      <c r="D1390" s="5" t="s">
        <v>13</v>
      </c>
      <c r="E1390" s="5" t="s">
        <v>3911</v>
      </c>
      <c r="F1390" s="5" t="s">
        <v>4432</v>
      </c>
      <c r="G1390" s="5">
        <v>600</v>
      </c>
    </row>
    <row r="1391" spans="1:8" ht="18">
      <c r="A1391" s="5" t="s">
        <v>4429</v>
      </c>
      <c r="B1391" s="26" t="s">
        <v>154</v>
      </c>
      <c r="C1391" s="5" t="s">
        <v>4429</v>
      </c>
      <c r="D1391" s="5" t="s">
        <v>13</v>
      </c>
      <c r="E1391" s="5" t="s">
        <v>4430</v>
      </c>
      <c r="F1391" s="47" t="s">
        <v>4431</v>
      </c>
      <c r="G1391" s="5">
        <v>500</v>
      </c>
    </row>
    <row r="1392" spans="1:8">
      <c r="A1392" s="5" t="s">
        <v>4423</v>
      </c>
      <c r="B1392" s="22" t="s">
        <v>80</v>
      </c>
      <c r="C1392" s="5" t="s">
        <v>4423</v>
      </c>
      <c r="D1392" s="5" t="s">
        <v>13</v>
      </c>
      <c r="E1392" s="5" t="s">
        <v>4433</v>
      </c>
      <c r="F1392" s="5" t="s">
        <v>4434</v>
      </c>
      <c r="G1392" s="5">
        <v>500</v>
      </c>
    </row>
    <row r="1393" spans="1:7" ht="14">
      <c r="A1393" s="5" t="s">
        <v>4439</v>
      </c>
      <c r="B1393" s="35" t="s">
        <v>82</v>
      </c>
      <c r="C1393" s="5" t="s">
        <v>4439</v>
      </c>
      <c r="D1393" s="5" t="s">
        <v>13</v>
      </c>
      <c r="E1393" s="5" t="s">
        <v>3918</v>
      </c>
      <c r="F1393" s="5" t="s">
        <v>4438</v>
      </c>
      <c r="G1393" s="5">
        <v>500</v>
      </c>
    </row>
    <row r="1394" spans="1:7" ht="14">
      <c r="A1394" s="5" t="s">
        <v>4047</v>
      </c>
      <c r="B1394" s="35" t="s">
        <v>83</v>
      </c>
      <c r="C1394" s="5" t="s">
        <v>4047</v>
      </c>
      <c r="D1394" s="5" t="s">
        <v>13</v>
      </c>
      <c r="E1394" s="5" t="s">
        <v>4176</v>
      </c>
      <c r="F1394" s="5" t="s">
        <v>4436</v>
      </c>
      <c r="G1394" s="5">
        <v>500</v>
      </c>
    </row>
    <row r="1395" spans="1:7" ht="14">
      <c r="A1395" s="5" t="s">
        <v>4047</v>
      </c>
      <c r="B1395" s="35" t="s">
        <v>85</v>
      </c>
      <c r="C1395" s="5" t="s">
        <v>4047</v>
      </c>
      <c r="D1395" s="5" t="s">
        <v>13</v>
      </c>
      <c r="E1395" s="5" t="s">
        <v>4176</v>
      </c>
      <c r="F1395" s="5" t="s">
        <v>4437</v>
      </c>
      <c r="G1395" s="5">
        <v>500</v>
      </c>
    </row>
    <row r="1396" spans="1:7">
      <c r="A1396" s="5">
        <v>200</v>
      </c>
      <c r="B1396" t="s">
        <v>121</v>
      </c>
      <c r="C1396" s="5">
        <v>200</v>
      </c>
      <c r="D1396" s="5" t="s">
        <v>13</v>
      </c>
      <c r="E1396" s="5" t="s">
        <v>4442</v>
      </c>
      <c r="F1396" s="5" t="s">
        <v>3973</v>
      </c>
      <c r="G1396" s="5">
        <v>600</v>
      </c>
    </row>
    <row r="1397" spans="1:7">
      <c r="A1397" s="5">
        <v>200</v>
      </c>
      <c r="B1397" t="s">
        <v>124</v>
      </c>
      <c r="C1397" s="5">
        <v>200</v>
      </c>
      <c r="D1397" s="5" t="s">
        <v>13</v>
      </c>
      <c r="E1397" s="5" t="s">
        <v>4442</v>
      </c>
      <c r="F1397" s="5" t="s">
        <v>3973</v>
      </c>
      <c r="G1397" s="5">
        <v>600</v>
      </c>
    </row>
    <row r="1398" spans="1:7">
      <c r="A1398" s="5">
        <v>400</v>
      </c>
      <c r="B1398" t="s">
        <v>121</v>
      </c>
      <c r="C1398" s="5">
        <v>400</v>
      </c>
      <c r="D1398" s="5" t="s">
        <v>13</v>
      </c>
      <c r="E1398" s="5" t="s">
        <v>4443</v>
      </c>
      <c r="F1398" s="5" t="s">
        <v>3975</v>
      </c>
      <c r="G1398" s="5">
        <v>500</v>
      </c>
    </row>
    <row r="1399" spans="1:7">
      <c r="A1399" s="5">
        <v>400</v>
      </c>
      <c r="B1399" t="s">
        <v>124</v>
      </c>
      <c r="C1399" s="5">
        <v>400</v>
      </c>
      <c r="D1399" s="5" t="s">
        <v>13</v>
      </c>
      <c r="E1399" s="5" t="s">
        <v>4443</v>
      </c>
      <c r="F1399" s="5" t="s">
        <v>3975</v>
      </c>
      <c r="G1399" s="5">
        <v>500</v>
      </c>
    </row>
    <row r="1400" spans="1:7" ht="14">
      <c r="A1400" s="5" t="s">
        <v>4444</v>
      </c>
      <c r="B1400" s="36" t="s">
        <v>43</v>
      </c>
      <c r="C1400" s="5" t="s">
        <v>4444</v>
      </c>
      <c r="D1400" s="5" t="s">
        <v>13</v>
      </c>
      <c r="E1400" s="5" t="s">
        <v>4445</v>
      </c>
      <c r="F1400" s="5" t="s">
        <v>4446</v>
      </c>
      <c r="G1400" s="5">
        <v>550</v>
      </c>
    </row>
    <row r="1401" spans="1:7" ht="14">
      <c r="A1401" s="5" t="s">
        <v>4423</v>
      </c>
      <c r="B1401" s="36" t="s">
        <v>43</v>
      </c>
      <c r="C1401" s="5" t="s">
        <v>4423</v>
      </c>
      <c r="D1401" s="5" t="s">
        <v>13</v>
      </c>
      <c r="E1401" s="5" t="s">
        <v>3948</v>
      </c>
      <c r="F1401" s="5" t="s">
        <v>4447</v>
      </c>
      <c r="G1401" s="5">
        <v>500</v>
      </c>
    </row>
  </sheetData>
  <conditionalFormatting sqref="F9:F187 F189:F202 E241 F328:F336 F204:F326">
    <cfRule type="cellIs" dxfId="3" priority="2" operator="equal">
      <formula>INDIRECT(ADDRESS(ROW()-1,COLUMN()))</formula>
    </cfRule>
  </conditionalFormatting>
  <conditionalFormatting sqref="F36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9" t="s">
        <v>3990</v>
      </c>
    </row>
    <row r="2" spans="1:1">
      <c r="A2" s="5" t="s">
        <v>3991</v>
      </c>
    </row>
    <row r="3" spans="1:1">
      <c r="A3" s="5" t="s">
        <v>3992</v>
      </c>
    </row>
    <row r="4" spans="1:1">
      <c r="A4" s="5" t="s">
        <v>3993</v>
      </c>
    </row>
    <row r="5" spans="1:1">
      <c r="A5" s="5" t="s">
        <v>3994</v>
      </c>
    </row>
    <row r="6" spans="1:1">
      <c r="A6" s="5" t="s">
        <v>3995</v>
      </c>
    </row>
    <row r="7" spans="1:1">
      <c r="A7" s="5" t="s">
        <v>3897</v>
      </c>
    </row>
    <row r="8" spans="1:1">
      <c r="A8" s="5" t="s">
        <v>3895</v>
      </c>
    </row>
    <row r="9" spans="1:1">
      <c r="A9" s="5" t="s">
        <v>3900</v>
      </c>
    </row>
    <row r="10" spans="1:1">
      <c r="A10" s="5" t="s">
        <v>3996</v>
      </c>
    </row>
    <row r="11" spans="1:1">
      <c r="A11" s="5" t="s">
        <v>3997</v>
      </c>
    </row>
    <row r="12" spans="1:1">
      <c r="A12" s="5" t="s">
        <v>1116</v>
      </c>
    </row>
    <row r="13" spans="1:1">
      <c r="A13" s="5" t="s">
        <v>3998</v>
      </c>
    </row>
    <row r="14" spans="1:1">
      <c r="A14" s="5" t="s">
        <v>3999</v>
      </c>
    </row>
    <row r="15" spans="1:1">
      <c r="A15" s="5" t="s">
        <v>4000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5" t="s">
        <v>2066</v>
      </c>
      <c r="B2" s="5" t="s">
        <v>139</v>
      </c>
      <c r="C2" s="5" t="str">
        <f>B2&amp;":"&amp;A2</f>
        <v>att_organism:UP000000589</v>
      </c>
      <c r="D2" s="5" t="s">
        <v>2067</v>
      </c>
      <c r="E2" s="5" t="s">
        <v>2068</v>
      </c>
      <c r="F2" s="5" t="s">
        <v>2069</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2070</v>
      </c>
      <c r="B3" s="5" t="s">
        <v>139</v>
      </c>
      <c r="C3" s="5" t="str">
        <f>B3&amp;":"&amp;A3</f>
        <v>att_organism:UP000001940</v>
      </c>
      <c r="D3" s="5" t="s">
        <v>2071</v>
      </c>
      <c r="E3" s="5" t="s">
        <v>2072</v>
      </c>
      <c r="F3" s="5" t="s">
        <v>2073</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2074</v>
      </c>
      <c r="B4" s="5" t="s">
        <v>139</v>
      </c>
      <c r="C4" s="5" t="str">
        <f>B4&amp;":"&amp;A4</f>
        <v>att_organism:UP000002311</v>
      </c>
      <c r="D4" s="5" t="s">
        <v>2075</v>
      </c>
      <c r="E4" s="5" t="s">
        <v>2076</v>
      </c>
      <c r="F4" s="5" t="s">
        <v>2077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2078</v>
      </c>
      <c r="B5" s="5" t="s">
        <v>139</v>
      </c>
      <c r="C5" s="5" t="str">
        <f>B5&amp;":"&amp;A5</f>
        <v>att_organism:UP000002494</v>
      </c>
      <c r="D5" s="5" t="s">
        <v>2079</v>
      </c>
      <c r="E5" s="5" t="s">
        <v>2080</v>
      </c>
      <c r="F5" s="5" t="s">
        <v>2081</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2082</v>
      </c>
      <c r="B6" s="5" t="s">
        <v>139</v>
      </c>
      <c r="C6" s="5" t="str">
        <f>B6&amp;":"&amp;A6</f>
        <v>att_organism:UP000005640</v>
      </c>
      <c r="D6" s="5" t="s">
        <v>2083</v>
      </c>
      <c r="E6" s="5" t="s">
        <v>2084</v>
      </c>
      <c r="F6" s="5" t="s">
        <v>2085</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5" t="s">
        <v>2743</v>
      </c>
      <c r="B1" s="5" t="s">
        <v>172</v>
      </c>
      <c r="C1" s="5" t="str">
        <f t="shared" ref="C1:C8" si="0">B1&amp;":"&amp;A1</f>
        <v>att_user_research_group:niessen</v>
      </c>
      <c r="D1" s="5" t="s">
        <v>13</v>
      </c>
      <c r="E1" s="5" t="s">
        <v>2744</v>
      </c>
      <c r="F1" s="5" t="s">
        <v>2364</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c r="A2" s="5" t="s">
        <v>2745</v>
      </c>
      <c r="B2" s="5" t="s">
        <v>172</v>
      </c>
      <c r="C2" s="5" t="str">
        <f t="shared" si="0"/>
        <v>att_user_research_group:gloeckner</v>
      </c>
      <c r="D2" s="5" t="s">
        <v>13</v>
      </c>
      <c r="E2" s="5" t="s">
        <v>2746</v>
      </c>
      <c r="F2" s="5" t="s">
        <v>2747</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2748</v>
      </c>
      <c r="B3" s="5" t="s">
        <v>172</v>
      </c>
      <c r="C3" s="5" t="str">
        <f t="shared" si="0"/>
        <v>att_user_research_group:bazzi</v>
      </c>
      <c r="D3" s="5" t="s">
        <v>13</v>
      </c>
      <c r="E3" s="5" t="s">
        <v>2749</v>
      </c>
      <c r="F3" s="5" t="s">
        <v>2750</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2751</v>
      </c>
      <c r="B4" s="5" t="s">
        <v>172</v>
      </c>
      <c r="C4" s="5" t="str">
        <f t="shared" si="0"/>
        <v>att_user_research_group:hallek</v>
      </c>
      <c r="D4" s="5" t="s">
        <v>13</v>
      </c>
      <c r="E4" s="5" t="s">
        <v>2752</v>
      </c>
      <c r="F4" s="5" t="s">
        <v>2753</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2754</v>
      </c>
      <c r="B5" s="5" t="s">
        <v>172</v>
      </c>
      <c r="C5" s="5" t="str">
        <f t="shared" si="0"/>
        <v>att_user_research_group:benzing</v>
      </c>
      <c r="D5" s="5" t="s">
        <v>13</v>
      </c>
      <c r="E5" s="5" t="s">
        <v>2755</v>
      </c>
      <c r="F5" s="5" t="s">
        <v>2756</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2757</v>
      </c>
      <c r="B6" s="5" t="s">
        <v>172</v>
      </c>
      <c r="C6" s="5" t="str">
        <f t="shared" si="0"/>
        <v>att_user_research_group:hennies</v>
      </c>
      <c r="D6" s="5" t="s">
        <v>13</v>
      </c>
      <c r="E6" s="5" t="s">
        <v>2758</v>
      </c>
      <c r="F6" s="5" t="s">
        <v>2759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c r="A7" s="5" t="s">
        <v>2760</v>
      </c>
      <c r="B7" s="5" t="s">
        <v>172</v>
      </c>
      <c r="C7" s="5" t="str">
        <f t="shared" si="0"/>
        <v>att_user_research_group:vonkarstedt</v>
      </c>
      <c r="D7" s="5" t="s">
        <v>13</v>
      </c>
      <c r="E7" s="5" t="s">
        <v>2761</v>
      </c>
      <c r="F7" s="5" t="s">
        <v>2762</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c r="A8" s="5" t="s">
        <v>2763</v>
      </c>
      <c r="B8" s="5" t="s">
        <v>172</v>
      </c>
      <c r="C8" s="5" t="str">
        <f t="shared" si="0"/>
        <v>att_user_research_group:laessig</v>
      </c>
      <c r="D8" s="5" t="s">
        <v>13</v>
      </c>
      <c r="E8" s="5" t="s">
        <v>2764</v>
      </c>
      <c r="F8" s="5" t="s">
        <v>2765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c r="A1" s="6" t="s">
        <v>2378</v>
      </c>
      <c r="B1" s="6" t="s">
        <v>2379</v>
      </c>
      <c r="C1" s="6" t="s">
        <v>2380</v>
      </c>
      <c r="D1" s="6" t="s">
        <v>2381</v>
      </c>
      <c r="E1" s="6" t="s">
        <v>2382</v>
      </c>
      <c r="F1" s="6" t="s">
        <v>2383</v>
      </c>
      <c r="G1" s="6" t="s">
        <v>2384</v>
      </c>
      <c r="H1" s="6" t="s">
        <v>2385</v>
      </c>
      <c r="I1" s="6" t="s">
        <v>2386</v>
      </c>
      <c r="J1" s="6" t="s">
        <v>2387</v>
      </c>
      <c r="K1" s="6" t="s">
        <v>2388</v>
      </c>
      <c r="L1" s="6" t="s">
        <v>2389</v>
      </c>
      <c r="M1" s="6" t="s">
        <v>2390</v>
      </c>
      <c r="N1" s="6" t="s">
        <v>2391</v>
      </c>
      <c r="O1" s="6" t="s">
        <v>2392</v>
      </c>
    </row>
    <row r="2" spans="1:15">
      <c r="A2" s="7" t="s">
        <v>17</v>
      </c>
      <c r="B2" s="7"/>
      <c r="C2" s="4" t="s">
        <v>247</v>
      </c>
      <c r="D2" s="4" t="s">
        <v>248</v>
      </c>
      <c r="E2" s="4" t="s">
        <v>13</v>
      </c>
      <c r="F2" s="4" t="s">
        <v>20</v>
      </c>
      <c r="G2" s="4" t="s">
        <v>2393</v>
      </c>
      <c r="H2" s="4" t="str">
        <f t="shared" ref="H2:H65" si="0">"att_"&amp;G2</f>
        <v>att_acquisition</v>
      </c>
      <c r="I2" s="4" t="s">
        <v>247</v>
      </c>
      <c r="J2" s="4" t="str">
        <f t="shared" ref="J2:J65" si="1">H2&amp;":"&amp;I2</f>
        <v>att_acquisition:dda</v>
      </c>
      <c r="K2" s="7" t="s">
        <v>17</v>
      </c>
      <c r="L2" s="4" t="s">
        <v>249</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7" t="s">
        <v>17</v>
      </c>
      <c r="B3" s="7"/>
      <c r="C3" s="4" t="s">
        <v>250</v>
      </c>
      <c r="D3" s="4" t="s">
        <v>251</v>
      </c>
      <c r="E3" s="4" t="s">
        <v>13</v>
      </c>
      <c r="F3" s="4" t="s">
        <v>20</v>
      </c>
      <c r="G3" s="4" t="s">
        <v>2393</v>
      </c>
      <c r="H3" s="4" t="str">
        <f t="shared" si="0"/>
        <v>att_acquisition</v>
      </c>
      <c r="I3" s="4" t="s">
        <v>250</v>
      </c>
      <c r="J3" s="4" t="str">
        <f t="shared" si="1"/>
        <v>att_acquisition:dia</v>
      </c>
      <c r="K3" s="7" t="s">
        <v>17</v>
      </c>
      <c r="L3" s="4" t="s">
        <v>252</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c r="A4" s="7" t="s">
        <v>17</v>
      </c>
      <c r="B4" s="7"/>
      <c r="C4" s="4" t="s">
        <v>253</v>
      </c>
      <c r="D4" s="4" t="s">
        <v>254</v>
      </c>
      <c r="E4" s="4" t="s">
        <v>13</v>
      </c>
      <c r="F4" s="4" t="s">
        <v>20</v>
      </c>
      <c r="G4" s="4" t="s">
        <v>2393</v>
      </c>
      <c r="H4" s="4" t="str">
        <f t="shared" si="0"/>
        <v>att_acquisition</v>
      </c>
      <c r="I4" s="4" t="s">
        <v>253</v>
      </c>
      <c r="J4" s="4" t="str">
        <f t="shared" si="1"/>
        <v>att_acquisition:srm</v>
      </c>
      <c r="K4" s="7" t="s">
        <v>17</v>
      </c>
      <c r="L4" s="4" t="s">
        <v>255</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8" t="b">
        <f>FALSE()</f>
        <v>0</v>
      </c>
      <c r="B5" s="8"/>
      <c r="C5" s="4" t="s">
        <v>2394</v>
      </c>
      <c r="D5" s="4" t="s">
        <v>273</v>
      </c>
      <c r="E5" s="4" t="s">
        <v>13</v>
      </c>
      <c r="F5" s="4" t="s">
        <v>2395</v>
      </c>
      <c r="G5" s="4" t="s">
        <v>2396</v>
      </c>
      <c r="H5" s="4" t="str">
        <f t="shared" si="0"/>
        <v>att_animal_model</v>
      </c>
      <c r="I5" s="4" t="s">
        <v>271</v>
      </c>
      <c r="J5" s="4" t="str">
        <f t="shared" si="1"/>
        <v>att_animal_model:adipoq_cre</v>
      </c>
      <c r="K5" s="7" t="s">
        <v>17</v>
      </c>
      <c r="L5" s="4" t="s">
        <v>274</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c r="A6" s="8" t="b">
        <f>FALSE()</f>
        <v>0</v>
      </c>
      <c r="B6" s="8"/>
      <c r="C6" s="4" t="s">
        <v>2397</v>
      </c>
      <c r="D6" s="4" t="s">
        <v>276</v>
      </c>
      <c r="E6" s="4" t="s">
        <v>13</v>
      </c>
      <c r="F6" s="4" t="s">
        <v>2395</v>
      </c>
      <c r="G6" s="4" t="s">
        <v>2396</v>
      </c>
      <c r="H6" s="4" t="str">
        <f t="shared" si="0"/>
        <v>att_animal_model</v>
      </c>
      <c r="I6" s="4" t="s">
        <v>275</v>
      </c>
      <c r="J6" s="4" t="str">
        <f t="shared" si="1"/>
        <v>att_animal_model:alb_cre</v>
      </c>
      <c r="K6" s="7" t="s">
        <v>17</v>
      </c>
      <c r="L6" s="4" t="s">
        <v>277</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c r="A7" s="8" t="b">
        <f>FALSE()</f>
        <v>0</v>
      </c>
      <c r="B7" s="8"/>
      <c r="C7" s="4" t="s">
        <v>2398</v>
      </c>
      <c r="D7" s="4" t="s">
        <v>279</v>
      </c>
      <c r="E7" s="4" t="s">
        <v>13</v>
      </c>
      <c r="F7" s="4" t="s">
        <v>2395</v>
      </c>
      <c r="G7" s="4" t="s">
        <v>2396</v>
      </c>
      <c r="H7" s="4" t="str">
        <f t="shared" si="0"/>
        <v>att_animal_model</v>
      </c>
      <c r="I7" s="4" t="s">
        <v>278</v>
      </c>
      <c r="J7" s="4" t="str">
        <f t="shared" si="1"/>
        <v>att_animal_model:asc_ko</v>
      </c>
      <c r="K7" s="7" t="s">
        <v>17</v>
      </c>
      <c r="L7" s="4" t="s">
        <v>279</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c r="A8" s="8" t="b">
        <f>FALSE()</f>
        <v>0</v>
      </c>
      <c r="B8" s="8"/>
      <c r="C8" s="4" t="s">
        <v>2399</v>
      </c>
      <c r="D8" s="4" t="s">
        <v>281</v>
      </c>
      <c r="E8" s="4" t="s">
        <v>13</v>
      </c>
      <c r="F8" s="4" t="s">
        <v>2395</v>
      </c>
      <c r="G8" s="4" t="s">
        <v>2396</v>
      </c>
      <c r="H8" s="4" t="str">
        <f t="shared" si="0"/>
        <v>att_animal_model</v>
      </c>
      <c r="I8" s="4" t="s">
        <v>280</v>
      </c>
      <c r="J8" s="4" t="str">
        <f t="shared" si="1"/>
        <v>att_animal_model:baf53b_cre</v>
      </c>
      <c r="K8" s="7" t="s">
        <v>17</v>
      </c>
      <c r="L8" s="4" t="s">
        <v>282</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c r="A9" s="8" t="b">
        <f>FALSE()</f>
        <v>0</v>
      </c>
      <c r="B9" s="8"/>
      <c r="C9" s="4" t="s">
        <v>2400</v>
      </c>
      <c r="D9" s="4" t="s">
        <v>284</v>
      </c>
      <c r="E9" s="4" t="s">
        <v>13</v>
      </c>
      <c r="F9" s="4" t="s">
        <v>2395</v>
      </c>
      <c r="G9" s="4" t="s">
        <v>2396</v>
      </c>
      <c r="H9" s="4" t="str">
        <f t="shared" si="0"/>
        <v>att_animal_model</v>
      </c>
      <c r="I9" s="4" t="s">
        <v>283</v>
      </c>
      <c r="J9" s="4" t="str">
        <f t="shared" si="1"/>
        <v>att_animal_model:c57_bl6j</v>
      </c>
      <c r="K9" s="7" t="s">
        <v>17</v>
      </c>
      <c r="L9" s="4" t="s">
        <v>284</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c r="A10" s="8" t="b">
        <f>FALSE()</f>
        <v>0</v>
      </c>
      <c r="B10" s="8"/>
      <c r="C10" s="4" t="s">
        <v>2401</v>
      </c>
      <c r="D10" s="4" t="s">
        <v>286</v>
      </c>
      <c r="E10" s="4" t="s">
        <v>13</v>
      </c>
      <c r="F10" s="4" t="s">
        <v>2395</v>
      </c>
      <c r="G10" s="4" t="s">
        <v>2396</v>
      </c>
      <c r="H10" s="4" t="str">
        <f t="shared" si="0"/>
        <v>att_animal_model</v>
      </c>
      <c r="I10" s="4" t="s">
        <v>285</v>
      </c>
      <c r="J10" s="4" t="str">
        <f t="shared" si="1"/>
        <v>att_animal_model:clec4f_cre</v>
      </c>
      <c r="K10" s="7" t="s">
        <v>17</v>
      </c>
      <c r="L10" s="4" t="s">
        <v>287</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c r="A11" s="8" t="b">
        <f>FALSE()</f>
        <v>0</v>
      </c>
      <c r="B11" s="8"/>
      <c r="C11" s="4" t="s">
        <v>2402</v>
      </c>
      <c r="D11" s="4" t="s">
        <v>289</v>
      </c>
      <c r="E11" s="4" t="s">
        <v>13</v>
      </c>
      <c r="F11" s="4" t="s">
        <v>2395</v>
      </c>
      <c r="G11" s="4" t="s">
        <v>2396</v>
      </c>
      <c r="H11" s="4" t="str">
        <f t="shared" si="0"/>
        <v>att_animal_model</v>
      </c>
      <c r="I11" s="4" t="s">
        <v>288</v>
      </c>
      <c r="J11" s="4" t="str">
        <f t="shared" si="1"/>
        <v>att_animal_model:cx3cr1_cre</v>
      </c>
      <c r="K11" s="7" t="s">
        <v>17</v>
      </c>
      <c r="L11" s="4" t="s">
        <v>290</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c r="A12" s="8" t="b">
        <f>FALSE()</f>
        <v>0</v>
      </c>
      <c r="B12" s="8"/>
      <c r="C12" s="4" t="s">
        <v>291</v>
      </c>
      <c r="D12" s="4" t="s">
        <v>292</v>
      </c>
      <c r="E12" s="4" t="s">
        <v>13</v>
      </c>
      <c r="F12" s="4" t="s">
        <v>2395</v>
      </c>
      <c r="G12" s="4" t="s">
        <v>2396</v>
      </c>
      <c r="H12" s="4" t="str">
        <f t="shared" si="0"/>
        <v>att_animal_model</v>
      </c>
      <c r="I12" s="4" t="s">
        <v>291</v>
      </c>
      <c r="J12" s="4" t="str">
        <f t="shared" si="1"/>
        <v>att_animal_model:cxcr4creert2</v>
      </c>
      <c r="K12" s="7" t="s">
        <v>17</v>
      </c>
      <c r="L12" s="4" t="s">
        <v>292</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c r="A13" s="8" t="b">
        <f>FALSE()</f>
        <v>0</v>
      </c>
      <c r="B13" s="8"/>
      <c r="C13" s="4" t="s">
        <v>2403</v>
      </c>
      <c r="D13" s="4" t="s">
        <v>294</v>
      </c>
      <c r="E13" s="4" t="s">
        <v>13</v>
      </c>
      <c r="F13" s="4" t="s">
        <v>2395</v>
      </c>
      <c r="G13" s="4" t="s">
        <v>2396</v>
      </c>
      <c r="H13" s="4" t="str">
        <f t="shared" si="0"/>
        <v>att_animal_model</v>
      </c>
      <c r="I13" s="4" t="s">
        <v>293</v>
      </c>
      <c r="J13" s="4" t="str">
        <f t="shared" si="1"/>
        <v>att_animal_model:glast_cre</v>
      </c>
      <c r="K13" s="7" t="s">
        <v>17</v>
      </c>
      <c r="L13" s="4" t="s">
        <v>295</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c r="A14" s="8" t="b">
        <f>FALSE()</f>
        <v>0</v>
      </c>
      <c r="B14" s="8"/>
      <c r="C14" s="4" t="s">
        <v>2404</v>
      </c>
      <c r="D14" s="4" t="s">
        <v>297</v>
      </c>
      <c r="E14" s="4" t="s">
        <v>13</v>
      </c>
      <c r="F14" s="4" t="s">
        <v>2395</v>
      </c>
      <c r="G14" s="4" t="s">
        <v>2396</v>
      </c>
      <c r="H14" s="4" t="str">
        <f t="shared" si="0"/>
        <v>att_animal_model</v>
      </c>
      <c r="I14" s="4" t="s">
        <v>296</v>
      </c>
      <c r="J14" s="4" t="str">
        <f t="shared" si="1"/>
        <v>att_animal_model:lrat_cre</v>
      </c>
      <c r="K14" s="7" t="s">
        <v>17</v>
      </c>
      <c r="L14" s="4" t="s">
        <v>298</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c r="A15" s="8" t="b">
        <f>FALSE()</f>
        <v>0</v>
      </c>
      <c r="B15" s="8"/>
      <c r="C15" s="4" t="s">
        <v>2405</v>
      </c>
      <c r="D15" s="4" t="s">
        <v>300</v>
      </c>
      <c r="E15" s="4" t="s">
        <v>13</v>
      </c>
      <c r="F15" s="4" t="s">
        <v>2395</v>
      </c>
      <c r="G15" s="4" t="s">
        <v>2396</v>
      </c>
      <c r="H15" s="4" t="str">
        <f t="shared" si="0"/>
        <v>att_animal_model</v>
      </c>
      <c r="I15" s="4" t="s">
        <v>299</v>
      </c>
      <c r="J15" s="4" t="str">
        <f t="shared" si="1"/>
        <v>att_animal_model:lysm_cre</v>
      </c>
      <c r="K15" s="7" t="s">
        <v>17</v>
      </c>
      <c r="L15" s="4" t="s">
        <v>301</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c r="A16" s="8" t="b">
        <f>FALSE()</f>
        <v>0</v>
      </c>
      <c r="B16" s="8"/>
      <c r="C16" s="4" t="s">
        <v>2406</v>
      </c>
      <c r="D16" s="4" t="s">
        <v>303</v>
      </c>
      <c r="E16" s="4" t="s">
        <v>13</v>
      </c>
      <c r="F16" s="4" t="s">
        <v>2395</v>
      </c>
      <c r="G16" s="4" t="s">
        <v>2396</v>
      </c>
      <c r="H16" s="4" t="str">
        <f t="shared" si="0"/>
        <v>att_animal_model</v>
      </c>
      <c r="I16" s="4" t="s">
        <v>302</v>
      </c>
      <c r="J16" s="4" t="str">
        <f t="shared" si="1"/>
        <v>att_animal_model:ms4a3_cre</v>
      </c>
      <c r="K16" s="7" t="s">
        <v>17</v>
      </c>
      <c r="L16" s="4" t="s">
        <v>304</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c r="A17" s="8" t="b">
        <f>FALSE()</f>
        <v>0</v>
      </c>
      <c r="B17" s="8"/>
      <c r="C17" s="4" t="s">
        <v>2407</v>
      </c>
      <c r="D17" s="4" t="s">
        <v>306</v>
      </c>
      <c r="E17" s="4" t="s">
        <v>13</v>
      </c>
      <c r="F17" s="4" t="s">
        <v>2395</v>
      </c>
      <c r="G17" s="4" t="s">
        <v>2396</v>
      </c>
      <c r="H17" s="4" t="str">
        <f t="shared" si="0"/>
        <v>att_animal_model</v>
      </c>
      <c r="I17" s="4" t="s">
        <v>305</v>
      </c>
      <c r="J17" s="4" t="str">
        <f t="shared" si="1"/>
        <v>att_animal_model:mt_nlrp3_cre</v>
      </c>
      <c r="K17" s="7" t="s">
        <v>17</v>
      </c>
      <c r="L17" s="4" t="s">
        <v>307</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c r="A18" s="8" t="b">
        <f>FALSE()</f>
        <v>0</v>
      </c>
      <c r="B18" s="8"/>
      <c r="C18" s="4" t="s">
        <v>2408</v>
      </c>
      <c r="D18" s="4" t="s">
        <v>309</v>
      </c>
      <c r="E18" s="4" t="s">
        <v>13</v>
      </c>
      <c r="F18" s="4" t="s">
        <v>2395</v>
      </c>
      <c r="G18" s="4" t="s">
        <v>2396</v>
      </c>
      <c r="H18" s="4" t="str">
        <f t="shared" si="0"/>
        <v>att_animal_model</v>
      </c>
      <c r="I18" s="4" t="s">
        <v>308</v>
      </c>
      <c r="J18" s="4" t="str">
        <f t="shared" si="1"/>
        <v>att_animal_model:nlrp3_flox</v>
      </c>
      <c r="K18" s="7" t="s">
        <v>17</v>
      </c>
      <c r="L18" s="4" t="s">
        <v>309</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c r="A19" s="8" t="b">
        <f>FALSE()</f>
        <v>0</v>
      </c>
      <c r="B19" s="8"/>
      <c r="C19" s="4" t="s">
        <v>2409</v>
      </c>
      <c r="D19" s="4" t="s">
        <v>311</v>
      </c>
      <c r="E19" s="4" t="s">
        <v>13</v>
      </c>
      <c r="F19" s="4" t="s">
        <v>2395</v>
      </c>
      <c r="G19" s="4" t="s">
        <v>2396</v>
      </c>
      <c r="H19" s="4" t="str">
        <f t="shared" si="0"/>
        <v>att_animal_model</v>
      </c>
      <c r="I19" s="4" t="s">
        <v>310</v>
      </c>
      <c r="J19" s="4" t="str">
        <f t="shared" si="1"/>
        <v>att_animal_model:nlrp3_ko</v>
      </c>
      <c r="K19" s="7" t="s">
        <v>17</v>
      </c>
      <c r="L19" s="4" t="s">
        <v>311</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c r="A20" s="8" t="b">
        <f>FALSE()</f>
        <v>0</v>
      </c>
      <c r="B20" s="8"/>
      <c r="C20" s="4" t="s">
        <v>312</v>
      </c>
      <c r="D20" s="4" t="s">
        <v>313</v>
      </c>
      <c r="E20" s="4" t="s">
        <v>13</v>
      </c>
      <c r="F20" s="4" t="s">
        <v>2395</v>
      </c>
      <c r="G20" s="4" t="s">
        <v>2396</v>
      </c>
      <c r="H20" s="4" t="str">
        <f t="shared" si="0"/>
        <v>att_animal_model</v>
      </c>
      <c r="I20" s="4" t="s">
        <v>312</v>
      </c>
      <c r="J20" s="4" t="str">
        <f t="shared" si="1"/>
        <v>att_animal_model:oaf</v>
      </c>
      <c r="K20" s="7" t="s">
        <v>17</v>
      </c>
      <c r="L20" s="4" t="s">
        <v>313</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c r="A21" s="8" t="b">
        <f>FALSE()</f>
        <v>0</v>
      </c>
      <c r="B21" s="8"/>
      <c r="C21" s="4" t="s">
        <v>2410</v>
      </c>
      <c r="D21" s="4" t="s">
        <v>315</v>
      </c>
      <c r="E21" s="4" t="s">
        <v>13</v>
      </c>
      <c r="F21" s="4" t="s">
        <v>2395</v>
      </c>
      <c r="G21" s="4" t="s">
        <v>2396</v>
      </c>
      <c r="H21" s="4" t="str">
        <f t="shared" si="0"/>
        <v>att_animal_model</v>
      </c>
      <c r="I21" s="4" t="s">
        <v>314</v>
      </c>
      <c r="J21" s="4" t="str">
        <f t="shared" si="1"/>
        <v>att_animal_model:r26_ert2cre</v>
      </c>
      <c r="K21" s="7" t="s">
        <v>17</v>
      </c>
      <c r="L21" s="4" t="s">
        <v>316</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c r="A22" s="8" t="b">
        <f>FALSE()</f>
        <v>0</v>
      </c>
      <c r="B22" s="8"/>
      <c r="C22" s="4" t="s">
        <v>2411</v>
      </c>
      <c r="D22" s="8" t="s">
        <v>318</v>
      </c>
      <c r="E22" s="4" t="s">
        <v>13</v>
      </c>
      <c r="F22" s="4" t="s">
        <v>2395</v>
      </c>
      <c r="G22" s="4" t="s">
        <v>2396</v>
      </c>
      <c r="H22" s="4" t="str">
        <f t="shared" si="0"/>
        <v>att_animal_model</v>
      </c>
      <c r="I22" s="4" t="s">
        <v>317</v>
      </c>
      <c r="J22" s="4" t="str">
        <f t="shared" si="1"/>
        <v>att_animal_model:r26_metrs_flox</v>
      </c>
      <c r="K22" s="7" t="s">
        <v>17</v>
      </c>
      <c r="L22" s="4" t="s">
        <v>319</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c r="A23" s="8" t="b">
        <f>FALSE()</f>
        <v>0</v>
      </c>
      <c r="B23" s="8"/>
      <c r="C23" s="4" t="s">
        <v>2412</v>
      </c>
      <c r="D23" s="4" t="s">
        <v>321</v>
      </c>
      <c r="E23" s="4" t="s">
        <v>13</v>
      </c>
      <c r="F23" s="4" t="s">
        <v>2395</v>
      </c>
      <c r="G23" s="4" t="s">
        <v>2396</v>
      </c>
      <c r="H23" s="4" t="str">
        <f t="shared" si="0"/>
        <v>att_animal_model</v>
      </c>
      <c r="I23" s="4" t="s">
        <v>320</v>
      </c>
      <c r="J23" s="4" t="str">
        <f t="shared" si="1"/>
        <v>att_animal_model:r26_nlrp3_flox</v>
      </c>
      <c r="K23" s="7" t="s">
        <v>17</v>
      </c>
      <c r="L23" s="4" t="s">
        <v>321</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c r="A24" s="8" t="b">
        <f>FALSE()</f>
        <v>0</v>
      </c>
      <c r="B24" s="8"/>
      <c r="C24" s="4" t="s">
        <v>2413</v>
      </c>
      <c r="D24" s="4" t="s">
        <v>323</v>
      </c>
      <c r="E24" s="4" t="s">
        <v>13</v>
      </c>
      <c r="F24" s="4" t="s">
        <v>2395</v>
      </c>
      <c r="G24" s="4" t="s">
        <v>2396</v>
      </c>
      <c r="H24" s="4" t="str">
        <f t="shared" si="0"/>
        <v>att_animal_model</v>
      </c>
      <c r="I24" s="4" t="s">
        <v>322</v>
      </c>
      <c r="J24" s="4" t="str">
        <f t="shared" si="1"/>
        <v>att_animal_model:ribotag_lox</v>
      </c>
      <c r="K24" s="7" t="s">
        <v>17</v>
      </c>
      <c r="L24" s="4" t="s">
        <v>316</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c r="A25" s="8" t="b">
        <f>FALSE()</f>
        <v>0</v>
      </c>
      <c r="B25" s="8"/>
      <c r="C25" s="4" t="s">
        <v>2414</v>
      </c>
      <c r="D25" s="4" t="s">
        <v>325</v>
      </c>
      <c r="E25" s="4" t="s">
        <v>13</v>
      </c>
      <c r="F25" s="4" t="s">
        <v>2395</v>
      </c>
      <c r="G25" s="4" t="s">
        <v>2396</v>
      </c>
      <c r="H25" s="4" t="str">
        <f t="shared" si="0"/>
        <v>att_animal_model</v>
      </c>
      <c r="I25" s="4" t="s">
        <v>324</v>
      </c>
      <c r="J25" s="4" t="str">
        <f t="shared" si="1"/>
        <v>att_animal_model:sox10_cre</v>
      </c>
      <c r="K25" s="7" t="s">
        <v>17</v>
      </c>
      <c r="L25" s="4" t="s">
        <v>326</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c r="A26" s="8" t="b">
        <f>FALSE()</f>
        <v>0</v>
      </c>
      <c r="B26" s="8"/>
      <c r="C26" s="4" t="s">
        <v>2415</v>
      </c>
      <c r="D26" s="4" t="s">
        <v>328</v>
      </c>
      <c r="E26" s="4" t="s">
        <v>13</v>
      </c>
      <c r="F26" s="4" t="s">
        <v>2395</v>
      </c>
      <c r="G26" s="4" t="s">
        <v>2396</v>
      </c>
      <c r="H26" s="4" t="str">
        <f t="shared" si="0"/>
        <v>att_animal_model</v>
      </c>
      <c r="I26" s="4" t="s">
        <v>327</v>
      </c>
      <c r="J26" s="4" t="str">
        <f t="shared" si="1"/>
        <v>att_animal_model:ucp1_cre</v>
      </c>
      <c r="K26" s="7" t="s">
        <v>17</v>
      </c>
      <c r="L26" s="4" t="s">
        <v>329</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c r="A27" s="8" t="b">
        <f>FALSE()</f>
        <v>0</v>
      </c>
      <c r="B27" s="8"/>
      <c r="C27" s="4" t="s">
        <v>2416</v>
      </c>
      <c r="D27" s="4" t="s">
        <v>331</v>
      </c>
      <c r="E27" s="4" t="s">
        <v>13</v>
      </c>
      <c r="F27" s="4" t="s">
        <v>2395</v>
      </c>
      <c r="G27" s="4" t="s">
        <v>2396</v>
      </c>
      <c r="H27" s="4" t="str">
        <f t="shared" si="0"/>
        <v>att_animal_model</v>
      </c>
      <c r="I27" s="4" t="s">
        <v>330</v>
      </c>
      <c r="J27" s="4" t="str">
        <f t="shared" si="1"/>
        <v>att_animal_model:vil_cre</v>
      </c>
      <c r="K27" s="7" t="s">
        <v>17</v>
      </c>
      <c r="L27" s="4" t="s">
        <v>332</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c r="A28" s="8" t="b">
        <f>FALSE()</f>
        <v>0</v>
      </c>
      <c r="B28" s="8"/>
      <c r="C28" s="4">
        <v>7860</v>
      </c>
      <c r="D28" s="4" t="s">
        <v>421</v>
      </c>
      <c r="E28" s="4" t="s">
        <v>13</v>
      </c>
      <c r="F28" s="4" t="s">
        <v>2417</v>
      </c>
      <c r="G28" s="4" t="s">
        <v>2418</v>
      </c>
      <c r="H28" s="4" t="str">
        <f t="shared" si="0"/>
        <v>att_celllines</v>
      </c>
      <c r="I28" s="4" t="s">
        <v>420</v>
      </c>
      <c r="J28" s="4" t="str">
        <f t="shared" si="1"/>
        <v>att_celllines:786_0</v>
      </c>
      <c r="K28" s="7" t="s">
        <v>17</v>
      </c>
      <c r="L28" s="4" t="s">
        <v>422</v>
      </c>
      <c r="M28" s="4" t="s">
        <v>2419</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c r="A29" s="8" t="b">
        <f>FALSE()</f>
        <v>0</v>
      </c>
      <c r="B29" s="8"/>
      <c r="C29" s="4" t="s">
        <v>423</v>
      </c>
      <c r="D29" s="4" t="s">
        <v>424</v>
      </c>
      <c r="E29" s="4" t="s">
        <v>13</v>
      </c>
      <c r="F29" s="4" t="s">
        <v>2417</v>
      </c>
      <c r="G29" s="4" t="s">
        <v>2418</v>
      </c>
      <c r="H29" s="4" t="str">
        <f t="shared" si="0"/>
        <v>att_celllines</v>
      </c>
      <c r="I29" s="4" t="s">
        <v>423</v>
      </c>
      <c r="J29" s="4" t="str">
        <f t="shared" si="1"/>
        <v>att_celllines:a498</v>
      </c>
      <c r="K29" s="7" t="s">
        <v>17</v>
      </c>
      <c r="L29" s="4" t="s">
        <v>422</v>
      </c>
      <c r="M29" s="4" t="s">
        <v>2419</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c r="A30" s="8" t="b">
        <f>FALSE()</f>
        <v>0</v>
      </c>
      <c r="B30" s="8"/>
      <c r="C30" s="4" t="s">
        <v>425</v>
      </c>
      <c r="D30" s="4" t="s">
        <v>426</v>
      </c>
      <c r="E30" s="4" t="s">
        <v>13</v>
      </c>
      <c r="F30" s="4" t="s">
        <v>2417</v>
      </c>
      <c r="G30" s="4" t="s">
        <v>2418</v>
      </c>
      <c r="H30" s="4" t="str">
        <f t="shared" si="0"/>
        <v>att_celllines</v>
      </c>
      <c r="I30" s="4" t="s">
        <v>425</v>
      </c>
      <c r="J30" s="4" t="str">
        <f t="shared" si="1"/>
        <v>att_celllines:a549</v>
      </c>
      <c r="K30" s="7" t="s">
        <v>17</v>
      </c>
      <c r="L30" s="4" t="s">
        <v>427</v>
      </c>
      <c r="M30" s="4" t="s">
        <v>2419</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c r="A31" s="8" t="b">
        <f>FALSE()</f>
        <v>0</v>
      </c>
      <c r="B31" s="8"/>
      <c r="C31" s="4" t="s">
        <v>428</v>
      </c>
      <c r="D31" s="4" t="s">
        <v>429</v>
      </c>
      <c r="E31" s="4" t="s">
        <v>13</v>
      </c>
      <c r="F31" s="4" t="s">
        <v>2417</v>
      </c>
      <c r="G31" s="4" t="s">
        <v>2418</v>
      </c>
      <c r="H31" s="4" t="str">
        <f t="shared" si="0"/>
        <v>att_celllines</v>
      </c>
      <c r="I31" s="4" t="s">
        <v>428</v>
      </c>
      <c r="J31" s="4" t="str">
        <f t="shared" si="1"/>
        <v>att_celllines:achn</v>
      </c>
      <c r="K31" s="7" t="s">
        <v>17</v>
      </c>
      <c r="L31" s="4" t="s">
        <v>422</v>
      </c>
      <c r="M31" s="4" t="s">
        <v>2419</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c r="A32" s="8" t="b">
        <f>FALSE()</f>
        <v>0</v>
      </c>
      <c r="B32" s="8"/>
      <c r="C32" s="4" t="s">
        <v>430</v>
      </c>
      <c r="D32" s="4" t="s">
        <v>431</v>
      </c>
      <c r="E32" s="4" t="s">
        <v>13</v>
      </c>
      <c r="F32" s="4" t="s">
        <v>2417</v>
      </c>
      <c r="G32" s="4" t="s">
        <v>2418</v>
      </c>
      <c r="H32" s="4" t="str">
        <f t="shared" si="0"/>
        <v>att_celllines</v>
      </c>
      <c r="I32" s="4" t="s">
        <v>430</v>
      </c>
      <c r="J32" s="4" t="str">
        <f t="shared" si="1"/>
        <v>att_celllines:bmdc</v>
      </c>
      <c r="K32" s="7" t="s">
        <v>17</v>
      </c>
      <c r="L32" s="4" t="s">
        <v>431</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c r="A33" s="8" t="b">
        <f>FALSE()</f>
        <v>0</v>
      </c>
      <c r="B33" s="8"/>
      <c r="C33" s="4" t="s">
        <v>432</v>
      </c>
      <c r="D33" s="4" t="s">
        <v>433</v>
      </c>
      <c r="E33" s="4" t="s">
        <v>13</v>
      </c>
      <c r="F33" s="4" t="s">
        <v>2417</v>
      </c>
      <c r="G33" s="4" t="s">
        <v>2418</v>
      </c>
      <c r="H33" s="4" t="str">
        <f t="shared" si="0"/>
        <v>att_celllines</v>
      </c>
      <c r="I33" s="4" t="s">
        <v>432</v>
      </c>
      <c r="J33" s="4" t="str">
        <f t="shared" si="1"/>
        <v>att_celllines:bmm</v>
      </c>
      <c r="K33" s="7" t="s">
        <v>17</v>
      </c>
      <c r="L33" s="4" t="s">
        <v>434</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c r="A34" s="8" t="b">
        <f>FALSE()</f>
        <v>0</v>
      </c>
      <c r="B34" s="8"/>
      <c r="C34" s="4" t="s">
        <v>435</v>
      </c>
      <c r="D34" s="4" t="s">
        <v>436</v>
      </c>
      <c r="E34" s="4" t="s">
        <v>13</v>
      </c>
      <c r="F34" s="4" t="s">
        <v>2417</v>
      </c>
      <c r="G34" s="4" t="s">
        <v>2418</v>
      </c>
      <c r="H34" s="4" t="str">
        <f t="shared" si="0"/>
        <v>att_celllines</v>
      </c>
      <c r="I34" s="4" t="s">
        <v>435</v>
      </c>
      <c r="J34" s="4" t="str">
        <f t="shared" si="1"/>
        <v>att_celllines:bt549</v>
      </c>
      <c r="K34" s="7" t="s">
        <v>17</v>
      </c>
      <c r="L34" s="4" t="s">
        <v>437</v>
      </c>
      <c r="M34" s="4" t="s">
        <v>2419</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c r="A35" s="8" t="b">
        <f>FALSE()</f>
        <v>0</v>
      </c>
      <c r="B35" s="8"/>
      <c r="C35" s="4" t="s">
        <v>438</v>
      </c>
      <c r="D35" s="4" t="s">
        <v>439</v>
      </c>
      <c r="E35" s="4" t="s">
        <v>13</v>
      </c>
      <c r="F35" s="4" t="s">
        <v>2417</v>
      </c>
      <c r="G35" s="4" t="s">
        <v>2418</v>
      </c>
      <c r="H35" s="4" t="str">
        <f t="shared" si="0"/>
        <v>att_celllines</v>
      </c>
      <c r="I35" s="4" t="s">
        <v>438</v>
      </c>
      <c r="J35" s="4" t="str">
        <f t="shared" si="1"/>
        <v>att_celllines:caki1</v>
      </c>
      <c r="K35" s="7" t="s">
        <v>17</v>
      </c>
      <c r="L35" s="4" t="s">
        <v>422</v>
      </c>
      <c r="M35" s="4" t="s">
        <v>2419</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c r="A36" s="8" t="b">
        <f>FALSE()</f>
        <v>0</v>
      </c>
      <c r="B36" s="8"/>
      <c r="C36" s="4" t="s">
        <v>440</v>
      </c>
      <c r="D36" s="4" t="s">
        <v>441</v>
      </c>
      <c r="E36" s="4" t="s">
        <v>13</v>
      </c>
      <c r="F36" s="4" t="s">
        <v>2417</v>
      </c>
      <c r="G36" s="4" t="s">
        <v>2418</v>
      </c>
      <c r="H36" s="4" t="str">
        <f t="shared" si="0"/>
        <v>att_celllines</v>
      </c>
      <c r="I36" s="4" t="s">
        <v>440</v>
      </c>
      <c r="J36" s="4" t="str">
        <f t="shared" si="1"/>
        <v>att_celllines:cho</v>
      </c>
      <c r="K36" s="7" t="s">
        <v>17</v>
      </c>
      <c r="L36" s="4" t="s">
        <v>442</v>
      </c>
      <c r="M36" s="4" t="s">
        <v>2420</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c r="A37" s="8" t="b">
        <f>FALSE()</f>
        <v>0</v>
      </c>
      <c r="B37" s="8"/>
      <c r="C37" s="4" t="s">
        <v>443</v>
      </c>
      <c r="D37" s="4" t="s">
        <v>444</v>
      </c>
      <c r="E37" s="4" t="s">
        <v>13</v>
      </c>
      <c r="F37" s="4" t="s">
        <v>2417</v>
      </c>
      <c r="G37" s="4" t="s">
        <v>2418</v>
      </c>
      <c r="H37" s="4" t="str">
        <f t="shared" si="0"/>
        <v>att_celllines</v>
      </c>
      <c r="I37" s="4" t="s">
        <v>443</v>
      </c>
      <c r="J37" s="4" t="str">
        <f t="shared" si="1"/>
        <v>att_celllines:colo205</v>
      </c>
      <c r="K37" s="7" t="s">
        <v>17</v>
      </c>
      <c r="L37" s="4" t="s">
        <v>445</v>
      </c>
      <c r="M37" s="4" t="s">
        <v>2419</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c r="A38" s="8" t="b">
        <f>FALSE()</f>
        <v>0</v>
      </c>
      <c r="B38" s="8"/>
      <c r="C38" s="4" t="s">
        <v>446</v>
      </c>
      <c r="D38" s="4" t="s">
        <v>447</v>
      </c>
      <c r="E38" s="4" t="s">
        <v>13</v>
      </c>
      <c r="F38" s="4" t="s">
        <v>2417</v>
      </c>
      <c r="G38" s="4" t="s">
        <v>2418</v>
      </c>
      <c r="H38" s="4" t="str">
        <f t="shared" si="0"/>
        <v>att_celllines</v>
      </c>
      <c r="I38" s="4" t="s">
        <v>446</v>
      </c>
      <c r="J38" s="4" t="str">
        <f t="shared" si="1"/>
        <v>att_celllines:crfcem</v>
      </c>
      <c r="K38" s="7" t="s">
        <v>17</v>
      </c>
      <c r="L38" s="4" t="s">
        <v>448</v>
      </c>
      <c r="M38" s="4" t="s">
        <v>2419</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c r="A39" s="8" t="b">
        <f>FALSE()</f>
        <v>0</v>
      </c>
      <c r="B39" s="8"/>
      <c r="C39" s="4" t="s">
        <v>449</v>
      </c>
      <c r="D39" s="4" t="s">
        <v>450</v>
      </c>
      <c r="E39" s="4" t="s">
        <v>13</v>
      </c>
      <c r="F39" s="4" t="s">
        <v>2417</v>
      </c>
      <c r="G39" s="4" t="s">
        <v>2418</v>
      </c>
      <c r="H39" s="4" t="str">
        <f t="shared" si="0"/>
        <v>att_celllines</v>
      </c>
      <c r="I39" s="4" t="s">
        <v>449</v>
      </c>
      <c r="J39" s="4" t="str">
        <f t="shared" si="1"/>
        <v>att_celllines:du145</v>
      </c>
      <c r="K39" s="7" t="s">
        <v>17</v>
      </c>
      <c r="L39" s="4" t="s">
        <v>451</v>
      </c>
      <c r="M39" s="4" t="s">
        <v>2419</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c r="A40" s="8" t="b">
        <f>FALSE()</f>
        <v>0</v>
      </c>
      <c r="B40" s="8"/>
      <c r="C40" s="4" t="s">
        <v>452</v>
      </c>
      <c r="D40" s="4" t="s">
        <v>453</v>
      </c>
      <c r="E40" s="4" t="s">
        <v>13</v>
      </c>
      <c r="F40" s="4" t="s">
        <v>2417</v>
      </c>
      <c r="G40" s="4" t="s">
        <v>2418</v>
      </c>
      <c r="H40" s="4" t="str">
        <f t="shared" si="0"/>
        <v>att_celllines</v>
      </c>
      <c r="I40" s="4" t="s">
        <v>452</v>
      </c>
      <c r="J40" s="4" t="str">
        <f t="shared" si="1"/>
        <v>att_celllines:ekvx</v>
      </c>
      <c r="K40" s="7" t="s">
        <v>17</v>
      </c>
      <c r="L40" s="4" t="s">
        <v>427</v>
      </c>
      <c r="M40" s="4" t="s">
        <v>2419</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c r="A41" s="8" t="b">
        <f>FALSE()</f>
        <v>0</v>
      </c>
      <c r="B41" s="8"/>
      <c r="C41" s="4" t="s">
        <v>454</v>
      </c>
      <c r="D41" s="4" t="s">
        <v>455</v>
      </c>
      <c r="E41" s="4" t="s">
        <v>13</v>
      </c>
      <c r="F41" s="4" t="s">
        <v>2417</v>
      </c>
      <c r="G41" s="4" t="s">
        <v>2418</v>
      </c>
      <c r="H41" s="4" t="str">
        <f t="shared" si="0"/>
        <v>att_celllines</v>
      </c>
      <c r="I41" s="4" t="s">
        <v>454</v>
      </c>
      <c r="J41" s="4" t="str">
        <f t="shared" si="1"/>
        <v>att_celllines:hcc2998</v>
      </c>
      <c r="K41" s="7" t="s">
        <v>17</v>
      </c>
      <c r="L41" s="4" t="s">
        <v>445</v>
      </c>
      <c r="M41" s="4" t="s">
        <v>2419</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c r="A42" s="8" t="b">
        <f>FALSE()</f>
        <v>0</v>
      </c>
      <c r="B42" s="8"/>
      <c r="C42" s="4" t="s">
        <v>456</v>
      </c>
      <c r="D42" s="4" t="s">
        <v>457</v>
      </c>
      <c r="E42" s="4" t="s">
        <v>13</v>
      </c>
      <c r="F42" s="4" t="s">
        <v>2417</v>
      </c>
      <c r="G42" s="4" t="s">
        <v>2418</v>
      </c>
      <c r="H42" s="4" t="str">
        <f t="shared" si="0"/>
        <v>att_celllines</v>
      </c>
      <c r="I42" s="4" t="s">
        <v>456</v>
      </c>
      <c r="J42" s="4" t="str">
        <f t="shared" si="1"/>
        <v>att_celllines:hct116</v>
      </c>
      <c r="K42" s="7" t="s">
        <v>17</v>
      </c>
      <c r="L42" s="4" t="s">
        <v>445</v>
      </c>
      <c r="M42" s="4" t="s">
        <v>2419</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c r="A43" s="8" t="b">
        <f>FALSE()</f>
        <v>0</v>
      </c>
      <c r="B43" s="8"/>
      <c r="C43" s="4" t="s">
        <v>458</v>
      </c>
      <c r="D43" s="4" t="s">
        <v>459</v>
      </c>
      <c r="E43" s="4" t="s">
        <v>13</v>
      </c>
      <c r="F43" s="4" t="s">
        <v>2417</v>
      </c>
      <c r="G43" s="4" t="s">
        <v>2418</v>
      </c>
      <c r="H43" s="4" t="str">
        <f t="shared" si="0"/>
        <v>att_celllines</v>
      </c>
      <c r="I43" s="4" t="s">
        <v>458</v>
      </c>
      <c r="J43" s="4" t="str">
        <f t="shared" si="1"/>
        <v>att_celllines:hct15</v>
      </c>
      <c r="K43" s="7" t="s">
        <v>17</v>
      </c>
      <c r="L43" s="4" t="s">
        <v>445</v>
      </c>
      <c r="M43" s="4" t="s">
        <v>2419</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c r="A44" s="8" t="b">
        <f>FALSE()</f>
        <v>0</v>
      </c>
      <c r="B44" s="8"/>
      <c r="C44" s="4" t="s">
        <v>460</v>
      </c>
      <c r="D44" s="4" t="s">
        <v>461</v>
      </c>
      <c r="E44" s="4" t="s">
        <v>13</v>
      </c>
      <c r="F44" s="4" t="s">
        <v>2417</v>
      </c>
      <c r="G44" s="4" t="s">
        <v>2418</v>
      </c>
      <c r="H44" s="4" t="str">
        <f t="shared" si="0"/>
        <v>att_celllines</v>
      </c>
      <c r="I44" s="4" t="s">
        <v>460</v>
      </c>
      <c r="J44" s="4" t="str">
        <f t="shared" si="1"/>
        <v>att_celllines:hek293</v>
      </c>
      <c r="K44" s="7" t="s">
        <v>17</v>
      </c>
      <c r="L44" s="4" t="s">
        <v>462</v>
      </c>
      <c r="M44" s="4" t="s">
        <v>2420</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c r="A45" s="8" t="b">
        <f>FALSE()</f>
        <v>0</v>
      </c>
      <c r="B45" s="8"/>
      <c r="C45" s="4" t="s">
        <v>463</v>
      </c>
      <c r="D45" s="4" t="s">
        <v>464</v>
      </c>
      <c r="E45" s="4" t="s">
        <v>13</v>
      </c>
      <c r="F45" s="4" t="s">
        <v>2417</v>
      </c>
      <c r="G45" s="4" t="s">
        <v>2418</v>
      </c>
      <c r="H45" s="4" t="str">
        <f t="shared" si="0"/>
        <v>att_celllines</v>
      </c>
      <c r="I45" s="4" t="s">
        <v>463</v>
      </c>
      <c r="J45" s="4" t="str">
        <f t="shared" si="1"/>
        <v>att_celllines:hek293t</v>
      </c>
      <c r="K45" s="7" t="s">
        <v>17</v>
      </c>
      <c r="L45" s="4" t="s">
        <v>465</v>
      </c>
      <c r="M45" s="4" t="s">
        <v>2420</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8" t="b">
        <f>FALSE()</f>
        <v>0</v>
      </c>
      <c r="B46" s="8"/>
      <c r="C46" s="4" t="s">
        <v>466</v>
      </c>
      <c r="D46" s="4" t="s">
        <v>467</v>
      </c>
      <c r="E46" s="4" t="s">
        <v>13</v>
      </c>
      <c r="F46" s="4" t="s">
        <v>2417</v>
      </c>
      <c r="G46" s="4" t="s">
        <v>2418</v>
      </c>
      <c r="H46" s="4" t="str">
        <f t="shared" si="0"/>
        <v>att_celllines</v>
      </c>
      <c r="I46" s="4" t="s">
        <v>466</v>
      </c>
      <c r="J46" s="4" t="str">
        <f t="shared" si="1"/>
        <v>att_celllines:hela</v>
      </c>
      <c r="K46" s="7" t="s">
        <v>17</v>
      </c>
      <c r="L46" s="4" t="s">
        <v>468</v>
      </c>
      <c r="M46" s="4" t="s">
        <v>2420</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c r="A47" s="8" t="b">
        <f>FALSE()</f>
        <v>0</v>
      </c>
      <c r="B47" s="8"/>
      <c r="C47" s="4" t="s">
        <v>469</v>
      </c>
      <c r="D47" s="4" t="s">
        <v>470</v>
      </c>
      <c r="E47" s="4" t="s">
        <v>13</v>
      </c>
      <c r="F47" s="4" t="s">
        <v>2417</v>
      </c>
      <c r="G47" s="4" t="s">
        <v>2418</v>
      </c>
      <c r="H47" s="4" t="str">
        <f t="shared" si="0"/>
        <v>att_celllines</v>
      </c>
      <c r="I47" s="4" t="s">
        <v>469</v>
      </c>
      <c r="J47" s="4" t="str">
        <f t="shared" si="1"/>
        <v>att_celllines:hl60</v>
      </c>
      <c r="K47" s="7" t="s">
        <v>17</v>
      </c>
      <c r="L47" s="4" t="s">
        <v>448</v>
      </c>
      <c r="M47" s="4" t="s">
        <v>2419</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c r="A48" s="8" t="b">
        <f>FALSE()</f>
        <v>0</v>
      </c>
      <c r="B48" s="8"/>
      <c r="C48" s="4" t="s">
        <v>471</v>
      </c>
      <c r="D48" s="4" t="s">
        <v>472</v>
      </c>
      <c r="E48" s="4" t="s">
        <v>13</v>
      </c>
      <c r="F48" s="4" t="s">
        <v>2417</v>
      </c>
      <c r="G48" s="4" t="s">
        <v>2418</v>
      </c>
      <c r="H48" s="4" t="str">
        <f t="shared" si="0"/>
        <v>att_celllines</v>
      </c>
      <c r="I48" s="4" t="s">
        <v>471</v>
      </c>
      <c r="J48" s="4" t="str">
        <f t="shared" si="1"/>
        <v>att_celllines:hop62</v>
      </c>
      <c r="K48" s="7" t="s">
        <v>17</v>
      </c>
      <c r="L48" s="4" t="s">
        <v>427</v>
      </c>
      <c r="M48" s="4" t="s">
        <v>2419</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c r="A49" s="8" t="b">
        <f>FALSE()</f>
        <v>0</v>
      </c>
      <c r="B49" s="8"/>
      <c r="C49" s="4" t="s">
        <v>473</v>
      </c>
      <c r="D49" s="4" t="s">
        <v>474</v>
      </c>
      <c r="E49" s="4" t="s">
        <v>13</v>
      </c>
      <c r="F49" s="4" t="s">
        <v>2417</v>
      </c>
      <c r="G49" s="4" t="s">
        <v>2418</v>
      </c>
      <c r="H49" s="4" t="str">
        <f t="shared" si="0"/>
        <v>att_celllines</v>
      </c>
      <c r="I49" s="4" t="s">
        <v>473</v>
      </c>
      <c r="J49" s="4" t="str">
        <f t="shared" si="1"/>
        <v>att_celllines:hop92</v>
      </c>
      <c r="K49" s="7" t="s">
        <v>17</v>
      </c>
      <c r="L49" s="4" t="s">
        <v>427</v>
      </c>
      <c r="M49" s="4" t="s">
        <v>2419</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c r="A50" s="8" t="b">
        <f>FALSE()</f>
        <v>0</v>
      </c>
      <c r="B50" s="8"/>
      <c r="C50" s="4" t="s">
        <v>475</v>
      </c>
      <c r="D50" s="4" t="s">
        <v>476</v>
      </c>
      <c r="E50" s="4" t="s">
        <v>13</v>
      </c>
      <c r="F50" s="4" t="s">
        <v>2417</v>
      </c>
      <c r="G50" s="4" t="s">
        <v>2418</v>
      </c>
      <c r="H50" s="4" t="str">
        <f t="shared" si="0"/>
        <v>att_celllines</v>
      </c>
      <c r="I50" s="4" t="s">
        <v>475</v>
      </c>
      <c r="J50" s="4" t="str">
        <f t="shared" si="1"/>
        <v>att_celllines:hs578t</v>
      </c>
      <c r="K50" s="7" t="s">
        <v>17</v>
      </c>
      <c r="L50" s="4" t="s">
        <v>437</v>
      </c>
      <c r="M50" s="4" t="s">
        <v>2419</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c r="A51" s="8" t="b">
        <f>FALSE()</f>
        <v>0</v>
      </c>
      <c r="B51" s="8"/>
      <c r="C51" s="4" t="s">
        <v>477</v>
      </c>
      <c r="D51" s="4" t="s">
        <v>478</v>
      </c>
      <c r="E51" s="4" t="s">
        <v>13</v>
      </c>
      <c r="F51" s="4" t="s">
        <v>2417</v>
      </c>
      <c r="G51" s="4" t="s">
        <v>2418</v>
      </c>
      <c r="H51" s="4" t="str">
        <f t="shared" si="0"/>
        <v>att_celllines</v>
      </c>
      <c r="I51" s="4" t="s">
        <v>477</v>
      </c>
      <c r="J51" s="4" t="str">
        <f t="shared" si="1"/>
        <v>att_celllines:ht29</v>
      </c>
      <c r="K51" s="7" t="s">
        <v>17</v>
      </c>
      <c r="L51" s="4" t="s">
        <v>445</v>
      </c>
      <c r="M51" s="4" t="s">
        <v>2419</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c r="A52" s="8" t="b">
        <f>FALSE()</f>
        <v>0</v>
      </c>
      <c r="B52" s="8"/>
      <c r="C52" s="4" t="s">
        <v>479</v>
      </c>
      <c r="D52" s="4" t="s">
        <v>480</v>
      </c>
      <c r="E52" s="4" t="s">
        <v>13</v>
      </c>
      <c r="F52" s="4" t="s">
        <v>2417</v>
      </c>
      <c r="G52" s="4" t="s">
        <v>2418</v>
      </c>
      <c r="H52" s="4" t="str">
        <f t="shared" si="0"/>
        <v>att_celllines</v>
      </c>
      <c r="I52" s="4" t="s">
        <v>479</v>
      </c>
      <c r="J52" s="4" t="str">
        <f t="shared" si="1"/>
        <v>att_celllines:igrov1</v>
      </c>
      <c r="K52" s="7" t="s">
        <v>17</v>
      </c>
      <c r="L52" s="4" t="s">
        <v>481</v>
      </c>
      <c r="M52" s="4" t="s">
        <v>2419</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c r="A53" s="8" t="b">
        <f>FALSE()</f>
        <v>0</v>
      </c>
      <c r="B53" s="8"/>
      <c r="C53" s="4" t="s">
        <v>485</v>
      </c>
      <c r="D53" s="4" t="s">
        <v>486</v>
      </c>
      <c r="E53" s="4" t="s">
        <v>13</v>
      </c>
      <c r="F53" s="4" t="s">
        <v>2417</v>
      </c>
      <c r="G53" s="4" t="s">
        <v>2418</v>
      </c>
      <c r="H53" s="4" t="str">
        <f t="shared" si="0"/>
        <v>att_celllines</v>
      </c>
      <c r="I53" s="4" t="s">
        <v>485</v>
      </c>
      <c r="J53" s="4" t="str">
        <f t="shared" si="1"/>
        <v>att_celllines:jeko1</v>
      </c>
      <c r="K53" s="7" t="s">
        <v>17</v>
      </c>
      <c r="L53" s="4" t="s">
        <v>487</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c r="A54" s="8" t="b">
        <f>FALSE()</f>
        <v>0</v>
      </c>
      <c r="B54" s="8"/>
      <c r="C54" s="4" t="s">
        <v>488</v>
      </c>
      <c r="D54" s="4" t="s">
        <v>489</v>
      </c>
      <c r="E54" s="4" t="s">
        <v>13</v>
      </c>
      <c r="F54" s="4" t="s">
        <v>2417</v>
      </c>
      <c r="G54" s="4" t="s">
        <v>2418</v>
      </c>
      <c r="H54" s="4" t="str">
        <f t="shared" si="0"/>
        <v>att_celllines</v>
      </c>
      <c r="I54" s="4" t="s">
        <v>488</v>
      </c>
      <c r="J54" s="4" t="str">
        <f t="shared" si="1"/>
        <v>att_celllines:jurkat</v>
      </c>
      <c r="K54" s="7" t="s">
        <v>17</v>
      </c>
      <c r="L54" s="4" t="s">
        <v>490</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c r="A55" s="8" t="b">
        <f>FALSE()</f>
        <v>0</v>
      </c>
      <c r="B55" s="8"/>
      <c r="C55" s="4" t="s">
        <v>491</v>
      </c>
      <c r="D55" s="4" t="s">
        <v>492</v>
      </c>
      <c r="E55" s="4" t="s">
        <v>13</v>
      </c>
      <c r="F55" s="4" t="s">
        <v>2417</v>
      </c>
      <c r="G55" s="4" t="s">
        <v>2418</v>
      </c>
      <c r="H55" s="4" t="str">
        <f t="shared" si="0"/>
        <v>att_celllines</v>
      </c>
      <c r="I55" s="4" t="s">
        <v>491</v>
      </c>
      <c r="J55" s="4" t="str">
        <f t="shared" si="1"/>
        <v>att_celllines:jvm13</v>
      </c>
      <c r="K55" s="7" t="s">
        <v>17</v>
      </c>
      <c r="L55" s="4" t="s">
        <v>487</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c r="A56" s="8" t="b">
        <f>FALSE()</f>
        <v>0</v>
      </c>
      <c r="B56" s="8"/>
      <c r="C56" s="4" t="s">
        <v>493</v>
      </c>
      <c r="D56" s="4" t="s">
        <v>494</v>
      </c>
      <c r="E56" s="4" t="s">
        <v>13</v>
      </c>
      <c r="F56" s="4" t="s">
        <v>2417</v>
      </c>
      <c r="G56" s="4" t="s">
        <v>2418</v>
      </c>
      <c r="H56" s="4" t="str">
        <f t="shared" si="0"/>
        <v>att_celllines</v>
      </c>
      <c r="I56" s="4" t="s">
        <v>493</v>
      </c>
      <c r="J56" s="4" t="str">
        <f t="shared" si="1"/>
        <v>att_celllines:jvm2</v>
      </c>
      <c r="K56" s="7" t="s">
        <v>17</v>
      </c>
      <c r="L56" s="4" t="s">
        <v>487</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c r="A57" s="8" t="b">
        <f>FALSE()</f>
        <v>0</v>
      </c>
      <c r="B57" s="8"/>
      <c r="C57" s="4" t="s">
        <v>495</v>
      </c>
      <c r="D57" s="4" t="s">
        <v>496</v>
      </c>
      <c r="E57" s="4" t="s">
        <v>13</v>
      </c>
      <c r="F57" s="4" t="s">
        <v>2417</v>
      </c>
      <c r="G57" s="4" t="s">
        <v>2418</v>
      </c>
      <c r="H57" s="4" t="str">
        <f t="shared" si="0"/>
        <v>att_celllines</v>
      </c>
      <c r="I57" s="4" t="s">
        <v>495</v>
      </c>
      <c r="J57" s="4" t="str">
        <f t="shared" si="1"/>
        <v>att_celllines:k562</v>
      </c>
      <c r="K57" s="7" t="s">
        <v>17</v>
      </c>
      <c r="L57" s="4" t="s">
        <v>448</v>
      </c>
      <c r="M57" s="4" t="s">
        <v>2419</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c r="A58" s="8" t="b">
        <f>FALSE()</f>
        <v>0</v>
      </c>
      <c r="B58" s="8"/>
      <c r="C58" s="4" t="s">
        <v>497</v>
      </c>
      <c r="D58" s="4" t="s">
        <v>498</v>
      </c>
      <c r="E58" s="4" t="s">
        <v>13</v>
      </c>
      <c r="F58" s="4" t="s">
        <v>2417</v>
      </c>
      <c r="G58" s="4" t="s">
        <v>2418</v>
      </c>
      <c r="H58" s="4" t="str">
        <f t="shared" si="0"/>
        <v>att_celllines</v>
      </c>
      <c r="I58" s="4" t="s">
        <v>497</v>
      </c>
      <c r="J58" s="4" t="str">
        <f t="shared" si="1"/>
        <v>att_celllines:km12</v>
      </c>
      <c r="K58" s="7" t="s">
        <v>17</v>
      </c>
      <c r="L58" s="4" t="s">
        <v>445</v>
      </c>
      <c r="M58" s="4" t="s">
        <v>2419</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c r="A59" s="8" t="b">
        <f>FALSE()</f>
        <v>0</v>
      </c>
      <c r="B59" s="8"/>
      <c r="C59" s="4" t="s">
        <v>499</v>
      </c>
      <c r="D59" s="4" t="s">
        <v>500</v>
      </c>
      <c r="E59" s="4" t="s">
        <v>13</v>
      </c>
      <c r="F59" s="4" t="s">
        <v>2417</v>
      </c>
      <c r="G59" s="4" t="s">
        <v>2418</v>
      </c>
      <c r="H59" s="4" t="str">
        <f t="shared" si="0"/>
        <v>att_celllines</v>
      </c>
      <c r="I59" s="4" t="s">
        <v>499</v>
      </c>
      <c r="J59" s="4" t="str">
        <f t="shared" si="1"/>
        <v>att_celllines:lox_imvi</v>
      </c>
      <c r="K59" s="7" t="s">
        <v>17</v>
      </c>
      <c r="L59" s="4" t="s">
        <v>501</v>
      </c>
      <c r="M59" s="4" t="s">
        <v>2419</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c r="A60" s="8" t="b">
        <f>FALSE()</f>
        <v>0</v>
      </c>
      <c r="B60" s="8"/>
      <c r="C60" s="4" t="s">
        <v>502</v>
      </c>
      <c r="D60" s="4" t="s">
        <v>503</v>
      </c>
      <c r="E60" s="4" t="s">
        <v>13</v>
      </c>
      <c r="F60" s="4" t="s">
        <v>2417</v>
      </c>
      <c r="G60" s="4" t="s">
        <v>2418</v>
      </c>
      <c r="H60" s="4" t="str">
        <f t="shared" si="0"/>
        <v>att_celllines</v>
      </c>
      <c r="I60" s="4" t="s">
        <v>502</v>
      </c>
      <c r="J60" s="4" t="str">
        <f t="shared" si="1"/>
        <v>att_celllines:m14</v>
      </c>
      <c r="K60" s="7" t="s">
        <v>17</v>
      </c>
      <c r="L60" s="4" t="s">
        <v>501</v>
      </c>
      <c r="M60" s="4" t="s">
        <v>2419</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c r="A61" s="8" t="b">
        <f>FALSE()</f>
        <v>0</v>
      </c>
      <c r="B61" s="8"/>
      <c r="C61" s="4" t="s">
        <v>504</v>
      </c>
      <c r="D61" s="4" t="s">
        <v>505</v>
      </c>
      <c r="E61" s="4" t="s">
        <v>13</v>
      </c>
      <c r="F61" s="4" t="s">
        <v>2417</v>
      </c>
      <c r="G61" s="4" t="s">
        <v>2418</v>
      </c>
      <c r="H61" s="4" t="str">
        <f t="shared" si="0"/>
        <v>att_celllines</v>
      </c>
      <c r="I61" s="4" t="s">
        <v>504</v>
      </c>
      <c r="J61" s="4" t="str">
        <f t="shared" si="1"/>
        <v>att_celllines:malme3m</v>
      </c>
      <c r="K61" s="7" t="s">
        <v>17</v>
      </c>
      <c r="L61" s="4" t="s">
        <v>501</v>
      </c>
      <c r="M61" s="4" t="s">
        <v>2419</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c r="A62" s="8" t="b">
        <f>FALSE()</f>
        <v>0</v>
      </c>
      <c r="B62" s="8"/>
      <c r="C62" s="4" t="s">
        <v>506</v>
      </c>
      <c r="D62" s="4" t="s">
        <v>507</v>
      </c>
      <c r="E62" s="4" t="s">
        <v>13</v>
      </c>
      <c r="F62" s="4" t="s">
        <v>2417</v>
      </c>
      <c r="G62" s="4" t="s">
        <v>2418</v>
      </c>
      <c r="H62" s="4" t="str">
        <f t="shared" si="0"/>
        <v>att_celllines</v>
      </c>
      <c r="I62" s="4" t="s">
        <v>506</v>
      </c>
      <c r="J62" s="4" t="str">
        <f t="shared" si="1"/>
        <v>att_celllines:maver1</v>
      </c>
      <c r="K62" s="7" t="s">
        <v>17</v>
      </c>
      <c r="L62" s="4" t="s">
        <v>487</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c r="A63" s="8" t="b">
        <f>FALSE()</f>
        <v>0</v>
      </c>
      <c r="B63" s="8"/>
      <c r="C63" s="4" t="s">
        <v>508</v>
      </c>
      <c r="D63" s="4" t="s">
        <v>509</v>
      </c>
      <c r="E63" s="4" t="s">
        <v>13</v>
      </c>
      <c r="F63" s="4" t="s">
        <v>2417</v>
      </c>
      <c r="G63" s="4" t="s">
        <v>2418</v>
      </c>
      <c r="H63" s="4" t="str">
        <f t="shared" si="0"/>
        <v>att_celllines</v>
      </c>
      <c r="I63" s="4" t="s">
        <v>508</v>
      </c>
      <c r="J63" s="4" t="str">
        <f t="shared" si="1"/>
        <v>att_celllines:mcf7</v>
      </c>
      <c r="K63" s="7" t="s">
        <v>17</v>
      </c>
      <c r="L63" s="4" t="s">
        <v>437</v>
      </c>
      <c r="M63" s="4" t="s">
        <v>2419</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c r="A64" s="8" t="b">
        <f>FALSE()</f>
        <v>0</v>
      </c>
      <c r="B64" s="8"/>
      <c r="C64" s="4" t="s">
        <v>510</v>
      </c>
      <c r="D64" s="4" t="s">
        <v>511</v>
      </c>
      <c r="E64" s="4" t="s">
        <v>13</v>
      </c>
      <c r="F64" s="4" t="s">
        <v>2417</v>
      </c>
      <c r="G64" s="4" t="s">
        <v>2418</v>
      </c>
      <c r="H64" s="4" t="str">
        <f t="shared" si="0"/>
        <v>att_celllines</v>
      </c>
      <c r="I64" s="4" t="s">
        <v>510</v>
      </c>
      <c r="J64" s="4" t="str">
        <f t="shared" si="1"/>
        <v>att_celllines:mdamb231</v>
      </c>
      <c r="K64" s="7" t="s">
        <v>17</v>
      </c>
      <c r="L64" s="4" t="s">
        <v>437</v>
      </c>
      <c r="M64" s="4" t="s">
        <v>2419</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c r="A65" s="8" t="b">
        <f>FALSE()</f>
        <v>0</v>
      </c>
      <c r="B65" s="8"/>
      <c r="C65" s="4" t="s">
        <v>512</v>
      </c>
      <c r="D65" s="4" t="s">
        <v>513</v>
      </c>
      <c r="E65" s="4" t="s">
        <v>13</v>
      </c>
      <c r="F65" s="4" t="s">
        <v>2417</v>
      </c>
      <c r="G65" s="4" t="s">
        <v>2418</v>
      </c>
      <c r="H65" s="4" t="str">
        <f t="shared" si="0"/>
        <v>att_celllines</v>
      </c>
      <c r="I65" s="4" t="s">
        <v>512</v>
      </c>
      <c r="J65" s="4" t="str">
        <f t="shared" si="1"/>
        <v>att_celllines:mdamb435</v>
      </c>
      <c r="K65" s="7" t="s">
        <v>17</v>
      </c>
      <c r="L65" s="4" t="s">
        <v>501</v>
      </c>
      <c r="M65" s="4" t="s">
        <v>2419</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c r="A66" s="8" t="b">
        <f>FALSE()</f>
        <v>0</v>
      </c>
      <c r="B66" s="8"/>
      <c r="C66" s="4" t="s">
        <v>514</v>
      </c>
      <c r="D66" s="4" t="s">
        <v>515</v>
      </c>
      <c r="E66" s="4" t="s">
        <v>13</v>
      </c>
      <c r="F66" s="4" t="s">
        <v>2417</v>
      </c>
      <c r="G66" s="4" t="s">
        <v>2418</v>
      </c>
      <c r="H66" s="4" t="str">
        <f t="shared" ref="H66:H129" si="4">"att_"&amp;G66</f>
        <v>att_celllines</v>
      </c>
      <c r="I66" s="4" t="s">
        <v>514</v>
      </c>
      <c r="J66" s="4" t="str">
        <f t="shared" ref="J66:J129" si="5">H66&amp;":"&amp;I66</f>
        <v>att_celllines:mdamb468</v>
      </c>
      <c r="K66" s="7" t="s">
        <v>17</v>
      </c>
      <c r="L66" s="4" t="s">
        <v>437</v>
      </c>
      <c r="M66" s="4" t="s">
        <v>2419</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8" t="b">
        <f>FALSE()</f>
        <v>0</v>
      </c>
      <c r="B67" s="8"/>
      <c r="C67" s="4" t="s">
        <v>519</v>
      </c>
      <c r="D67" s="4" t="s">
        <v>520</v>
      </c>
      <c r="E67" s="4" t="s">
        <v>13</v>
      </c>
      <c r="F67" s="4" t="s">
        <v>2417</v>
      </c>
      <c r="G67" s="4" t="s">
        <v>2418</v>
      </c>
      <c r="H67" s="4" t="str">
        <f t="shared" si="4"/>
        <v>att_celllines</v>
      </c>
      <c r="I67" s="4" t="s">
        <v>519</v>
      </c>
      <c r="J67" s="4" t="str">
        <f t="shared" si="5"/>
        <v>att_celllines:mino</v>
      </c>
      <c r="K67" s="7" t="s">
        <v>17</v>
      </c>
      <c r="L67" s="4" t="s">
        <v>487</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c r="A68" s="8" t="b">
        <f>FALSE()</f>
        <v>0</v>
      </c>
      <c r="B68" s="8"/>
      <c r="C68" s="4" t="s">
        <v>521</v>
      </c>
      <c r="D68" s="4" t="s">
        <v>522</v>
      </c>
      <c r="E68" s="4" t="s">
        <v>13</v>
      </c>
      <c r="F68" s="4" t="s">
        <v>2417</v>
      </c>
      <c r="G68" s="4" t="s">
        <v>2418</v>
      </c>
      <c r="H68" s="4" t="str">
        <f t="shared" si="4"/>
        <v>att_celllines</v>
      </c>
      <c r="I68" s="4" t="s">
        <v>521</v>
      </c>
      <c r="J68" s="4" t="str">
        <f t="shared" si="5"/>
        <v>att_celllines:molt4</v>
      </c>
      <c r="K68" s="7" t="s">
        <v>17</v>
      </c>
      <c r="L68" s="4" t="s">
        <v>448</v>
      </c>
      <c r="M68" s="4" t="s">
        <v>2419</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c r="A69" s="8" t="b">
        <f>FALSE()</f>
        <v>0</v>
      </c>
      <c r="B69" s="8"/>
      <c r="C69" s="4" t="s">
        <v>523</v>
      </c>
      <c r="D69" s="4" t="s">
        <v>524</v>
      </c>
      <c r="E69" s="4" t="s">
        <v>13</v>
      </c>
      <c r="F69" s="4" t="s">
        <v>2417</v>
      </c>
      <c r="G69" s="4" t="s">
        <v>2418</v>
      </c>
      <c r="H69" s="4" t="str">
        <f t="shared" si="4"/>
        <v>att_celllines</v>
      </c>
      <c r="I69" s="4" t="s">
        <v>523</v>
      </c>
      <c r="J69" s="4" t="str">
        <f t="shared" si="5"/>
        <v>att_celllines:nceb1</v>
      </c>
      <c r="K69" s="7" t="s">
        <v>17</v>
      </c>
      <c r="L69" s="4" t="s">
        <v>487</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c r="A70" s="8" t="b">
        <f>FALSE()</f>
        <v>0</v>
      </c>
      <c r="B70" s="8"/>
      <c r="C70" s="4" t="s">
        <v>526</v>
      </c>
      <c r="D70" s="4" t="s">
        <v>527</v>
      </c>
      <c r="E70" s="4" t="s">
        <v>13</v>
      </c>
      <c r="F70" s="4" t="s">
        <v>2417</v>
      </c>
      <c r="G70" s="4" t="s">
        <v>2418</v>
      </c>
      <c r="H70" s="4" t="str">
        <f t="shared" si="4"/>
        <v>att_celllines</v>
      </c>
      <c r="I70" s="4" t="s">
        <v>525</v>
      </c>
      <c r="J70" s="4" t="str">
        <f t="shared" si="5"/>
        <v>att_celllines:nci_adrres</v>
      </c>
      <c r="K70" s="7" t="s">
        <v>17</v>
      </c>
      <c r="L70" s="4" t="s">
        <v>481</v>
      </c>
      <c r="M70" s="4" t="s">
        <v>2419</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c r="A71" s="8" t="b">
        <f>FALSE()</f>
        <v>0</v>
      </c>
      <c r="B71" s="8"/>
      <c r="C71" s="4" t="s">
        <v>529</v>
      </c>
      <c r="D71" s="4" t="s">
        <v>530</v>
      </c>
      <c r="E71" s="4" t="s">
        <v>13</v>
      </c>
      <c r="F71" s="4" t="s">
        <v>2417</v>
      </c>
      <c r="G71" s="4" t="s">
        <v>2418</v>
      </c>
      <c r="H71" s="4" t="str">
        <f t="shared" si="4"/>
        <v>att_celllines</v>
      </c>
      <c r="I71" s="4" t="s">
        <v>528</v>
      </c>
      <c r="J71" s="4" t="str">
        <f t="shared" si="5"/>
        <v>att_celllines:nci_h226</v>
      </c>
      <c r="K71" s="7" t="s">
        <v>17</v>
      </c>
      <c r="L71" s="4" t="s">
        <v>427</v>
      </c>
      <c r="M71" s="4" t="s">
        <v>2419</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c r="A72" s="8" t="b">
        <f>FALSE()</f>
        <v>0</v>
      </c>
      <c r="B72" s="8"/>
      <c r="C72" s="4" t="s">
        <v>532</v>
      </c>
      <c r="D72" s="4" t="s">
        <v>533</v>
      </c>
      <c r="E72" s="4" t="s">
        <v>13</v>
      </c>
      <c r="F72" s="4" t="s">
        <v>2417</v>
      </c>
      <c r="G72" s="4" t="s">
        <v>2418</v>
      </c>
      <c r="H72" s="4" t="str">
        <f t="shared" si="4"/>
        <v>att_celllines</v>
      </c>
      <c r="I72" s="4" t="s">
        <v>531</v>
      </c>
      <c r="J72" s="4" t="str">
        <f t="shared" si="5"/>
        <v>att_celllines:nci_h23</v>
      </c>
      <c r="K72" s="7" t="s">
        <v>17</v>
      </c>
      <c r="L72" s="4" t="s">
        <v>427</v>
      </c>
      <c r="M72" s="4" t="s">
        <v>2419</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c r="A73" s="8" t="b">
        <f>FALSE()</f>
        <v>0</v>
      </c>
      <c r="B73" s="8"/>
      <c r="C73" s="4" t="s">
        <v>535</v>
      </c>
      <c r="D73" s="4" t="s">
        <v>536</v>
      </c>
      <c r="E73" s="4" t="s">
        <v>13</v>
      </c>
      <c r="F73" s="4" t="s">
        <v>2417</v>
      </c>
      <c r="G73" s="4" t="s">
        <v>2418</v>
      </c>
      <c r="H73" s="4" t="str">
        <f t="shared" si="4"/>
        <v>att_celllines</v>
      </c>
      <c r="I73" s="4" t="s">
        <v>534</v>
      </c>
      <c r="J73" s="4" t="str">
        <f t="shared" si="5"/>
        <v>att_celllines:nci_h322m</v>
      </c>
      <c r="K73" s="7" t="s">
        <v>17</v>
      </c>
      <c r="L73" s="4" t="s">
        <v>427</v>
      </c>
      <c r="M73" s="4" t="s">
        <v>2419</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c r="A74" s="8" t="b">
        <f>FALSE()</f>
        <v>0</v>
      </c>
      <c r="B74" s="8"/>
      <c r="C74" s="4" t="s">
        <v>538</v>
      </c>
      <c r="D74" s="4" t="s">
        <v>539</v>
      </c>
      <c r="E74" s="4" t="s">
        <v>13</v>
      </c>
      <c r="F74" s="4" t="s">
        <v>2417</v>
      </c>
      <c r="G74" s="4" t="s">
        <v>2418</v>
      </c>
      <c r="H74" s="4" t="str">
        <f t="shared" si="4"/>
        <v>att_celllines</v>
      </c>
      <c r="I74" s="4" t="s">
        <v>537</v>
      </c>
      <c r="J74" s="4" t="str">
        <f t="shared" si="5"/>
        <v>att_celllines:nci_h460</v>
      </c>
      <c r="K74" s="7" t="s">
        <v>17</v>
      </c>
      <c r="L74" s="4" t="s">
        <v>427</v>
      </c>
      <c r="M74" s="4" t="s">
        <v>2419</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c r="A75" s="8" t="b">
        <f>FALSE()</f>
        <v>0</v>
      </c>
      <c r="B75" s="8"/>
      <c r="C75" s="4" t="s">
        <v>541</v>
      </c>
      <c r="D75" s="4" t="s">
        <v>542</v>
      </c>
      <c r="E75" s="4" t="s">
        <v>13</v>
      </c>
      <c r="F75" s="4" t="s">
        <v>2417</v>
      </c>
      <c r="G75" s="4" t="s">
        <v>2418</v>
      </c>
      <c r="H75" s="4" t="str">
        <f t="shared" si="4"/>
        <v>att_celllines</v>
      </c>
      <c r="I75" s="4" t="s">
        <v>540</v>
      </c>
      <c r="J75" s="4" t="str">
        <f t="shared" si="5"/>
        <v>att_celllines:nci_h522</v>
      </c>
      <c r="K75" s="7" t="s">
        <v>17</v>
      </c>
      <c r="L75" s="4" t="s">
        <v>427</v>
      </c>
      <c r="M75" s="4" t="s">
        <v>2419</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c r="A76" s="8" t="b">
        <f>FALSE()</f>
        <v>0</v>
      </c>
      <c r="B76" s="8"/>
      <c r="C76" s="4" t="s">
        <v>543</v>
      </c>
      <c r="D76" s="4" t="s">
        <v>544</v>
      </c>
      <c r="E76" s="4" t="s">
        <v>13</v>
      </c>
      <c r="F76" s="4" t="s">
        <v>2417</v>
      </c>
      <c r="G76" s="4" t="s">
        <v>2418</v>
      </c>
      <c r="H76" s="4" t="str">
        <f t="shared" si="4"/>
        <v>att_celllines</v>
      </c>
      <c r="I76" s="4" t="s">
        <v>543</v>
      </c>
      <c r="J76" s="4" t="str">
        <f t="shared" si="5"/>
        <v>att_celllines:ovcar3</v>
      </c>
      <c r="K76" s="7" t="s">
        <v>17</v>
      </c>
      <c r="L76" s="4" t="s">
        <v>481</v>
      </c>
      <c r="M76" s="4" t="s">
        <v>2419</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c r="A77" s="8" t="b">
        <f>FALSE()</f>
        <v>0</v>
      </c>
      <c r="B77" s="8"/>
      <c r="C77" s="4" t="s">
        <v>545</v>
      </c>
      <c r="D77" s="4" t="s">
        <v>546</v>
      </c>
      <c r="E77" s="4" t="s">
        <v>13</v>
      </c>
      <c r="F77" s="4" t="s">
        <v>2417</v>
      </c>
      <c r="G77" s="4" t="s">
        <v>2418</v>
      </c>
      <c r="H77" s="4" t="str">
        <f t="shared" si="4"/>
        <v>att_celllines</v>
      </c>
      <c r="I77" s="4" t="s">
        <v>545</v>
      </c>
      <c r="J77" s="4" t="str">
        <f t="shared" si="5"/>
        <v>att_celllines:ovcar4</v>
      </c>
      <c r="K77" s="7" t="s">
        <v>17</v>
      </c>
      <c r="L77" s="4" t="s">
        <v>481</v>
      </c>
      <c r="M77" s="4" t="s">
        <v>2419</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c r="A78" s="8" t="b">
        <f>FALSE()</f>
        <v>0</v>
      </c>
      <c r="B78" s="8"/>
      <c r="C78" s="4" t="s">
        <v>547</v>
      </c>
      <c r="D78" s="4" t="s">
        <v>548</v>
      </c>
      <c r="E78" s="4" t="s">
        <v>13</v>
      </c>
      <c r="F78" s="4" t="s">
        <v>2417</v>
      </c>
      <c r="G78" s="4" t="s">
        <v>2418</v>
      </c>
      <c r="H78" s="4" t="str">
        <f t="shared" si="4"/>
        <v>att_celllines</v>
      </c>
      <c r="I78" s="4" t="s">
        <v>547</v>
      </c>
      <c r="J78" s="4" t="str">
        <f t="shared" si="5"/>
        <v>att_celllines:ovcar5</v>
      </c>
      <c r="K78" s="7" t="s">
        <v>17</v>
      </c>
      <c r="L78" s="4" t="s">
        <v>481</v>
      </c>
      <c r="M78" s="4" t="s">
        <v>2419</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c r="A79" s="8" t="b">
        <f>FALSE()</f>
        <v>0</v>
      </c>
      <c r="B79" s="8"/>
      <c r="C79" s="4" t="s">
        <v>549</v>
      </c>
      <c r="D79" s="4" t="s">
        <v>550</v>
      </c>
      <c r="E79" s="4" t="s">
        <v>13</v>
      </c>
      <c r="F79" s="4" t="s">
        <v>2417</v>
      </c>
      <c r="G79" s="4" t="s">
        <v>2418</v>
      </c>
      <c r="H79" s="4" t="str">
        <f t="shared" si="4"/>
        <v>att_celllines</v>
      </c>
      <c r="I79" s="4" t="s">
        <v>549</v>
      </c>
      <c r="J79" s="4" t="str">
        <f t="shared" si="5"/>
        <v>att_celllines:ovcar8</v>
      </c>
      <c r="K79" s="7" t="s">
        <v>17</v>
      </c>
      <c r="L79" s="4" t="s">
        <v>481</v>
      </c>
      <c r="M79" s="4" t="s">
        <v>2419</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c r="A80" s="8" t="b">
        <f>FALSE()</f>
        <v>0</v>
      </c>
      <c r="B80" s="8"/>
      <c r="C80" s="4" t="s">
        <v>551</v>
      </c>
      <c r="D80" s="4" t="s">
        <v>552</v>
      </c>
      <c r="E80" s="4" t="s">
        <v>13</v>
      </c>
      <c r="F80" s="4" t="s">
        <v>2417</v>
      </c>
      <c r="G80" s="4" t="s">
        <v>2418</v>
      </c>
      <c r="H80" s="4" t="str">
        <f t="shared" si="4"/>
        <v>att_celllines</v>
      </c>
      <c r="I80" s="4" t="s">
        <v>551</v>
      </c>
      <c r="J80" s="4" t="str">
        <f t="shared" si="5"/>
        <v>att_celllines:p388</v>
      </c>
      <c r="K80" s="7" t="s">
        <v>17</v>
      </c>
      <c r="L80" s="4" t="s">
        <v>553</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c r="A81" s="8" t="b">
        <f>FALSE()</f>
        <v>0</v>
      </c>
      <c r="B81" s="8"/>
      <c r="C81" s="4" t="s">
        <v>554</v>
      </c>
      <c r="D81" s="4" t="s">
        <v>555</v>
      </c>
      <c r="E81" s="4" t="s">
        <v>13</v>
      </c>
      <c r="F81" s="4" t="s">
        <v>2417</v>
      </c>
      <c r="G81" s="4" t="s">
        <v>2418</v>
      </c>
      <c r="H81" s="4" t="str">
        <f t="shared" si="4"/>
        <v>att_celllines</v>
      </c>
      <c r="I81" s="4" t="s">
        <v>554</v>
      </c>
      <c r="J81" s="4" t="str">
        <f t="shared" si="5"/>
        <v>att_celllines:pc3</v>
      </c>
      <c r="K81" s="7" t="s">
        <v>17</v>
      </c>
      <c r="L81" s="4" t="s">
        <v>451</v>
      </c>
      <c r="M81" s="4" t="s">
        <v>2419</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c r="A82" s="8" t="b">
        <f>FALSE()</f>
        <v>0</v>
      </c>
      <c r="B82" s="8"/>
      <c r="C82" s="4" t="s">
        <v>556</v>
      </c>
      <c r="D82" s="4" t="s">
        <v>557</v>
      </c>
      <c r="E82" s="4" t="s">
        <v>13</v>
      </c>
      <c r="F82" s="4" t="s">
        <v>2417</v>
      </c>
      <c r="G82" s="4" t="s">
        <v>2418</v>
      </c>
      <c r="H82" s="4" t="str">
        <f t="shared" si="4"/>
        <v>att_celllines</v>
      </c>
      <c r="I82" s="4" t="s">
        <v>556</v>
      </c>
      <c r="J82" s="4" t="str">
        <f t="shared" si="5"/>
        <v>att_celllines:rec1</v>
      </c>
      <c r="K82" s="7" t="s">
        <v>17</v>
      </c>
      <c r="L82" s="4" t="s">
        <v>487</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c r="A83" s="8" t="b">
        <f>FALSE()</f>
        <v>0</v>
      </c>
      <c r="B83" s="8"/>
      <c r="C83" s="4" t="s">
        <v>558</v>
      </c>
      <c r="D83" s="4" t="s">
        <v>559</v>
      </c>
      <c r="E83" s="4" t="s">
        <v>13</v>
      </c>
      <c r="F83" s="4" t="s">
        <v>2417</v>
      </c>
      <c r="G83" s="4" t="s">
        <v>2418</v>
      </c>
      <c r="H83" s="4" t="str">
        <f t="shared" si="4"/>
        <v>att_celllines</v>
      </c>
      <c r="I83" s="4" t="s">
        <v>558</v>
      </c>
      <c r="J83" s="4" t="str">
        <f t="shared" si="5"/>
        <v>att_celllines:rpmi8226</v>
      </c>
      <c r="K83" s="7" t="s">
        <v>17</v>
      </c>
      <c r="L83" s="4" t="s">
        <v>448</v>
      </c>
      <c r="M83" s="4" t="s">
        <v>2419</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c r="A84" s="8" t="b">
        <f>FALSE()</f>
        <v>0</v>
      </c>
      <c r="B84" s="8"/>
      <c r="C84" s="4" t="s">
        <v>560</v>
      </c>
      <c r="D84" s="4" t="s">
        <v>561</v>
      </c>
      <c r="E84" s="4" t="s">
        <v>13</v>
      </c>
      <c r="F84" s="4" t="s">
        <v>2417</v>
      </c>
      <c r="G84" s="4" t="s">
        <v>2418</v>
      </c>
      <c r="H84" s="4" t="str">
        <f t="shared" si="4"/>
        <v>att_celllines</v>
      </c>
      <c r="I84" s="4" t="s">
        <v>560</v>
      </c>
      <c r="J84" s="4" t="str">
        <f t="shared" si="5"/>
        <v>att_celllines:rxf393</v>
      </c>
      <c r="K84" s="7" t="s">
        <v>17</v>
      </c>
      <c r="L84" s="4" t="s">
        <v>422</v>
      </c>
      <c r="M84" s="4" t="s">
        <v>2419</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c r="A85" s="8" t="b">
        <f>FALSE()</f>
        <v>0</v>
      </c>
      <c r="B85" s="8"/>
      <c r="C85" s="4" t="s">
        <v>562</v>
      </c>
      <c r="D85" s="4" t="s">
        <v>563</v>
      </c>
      <c r="E85" s="4" t="s">
        <v>13</v>
      </c>
      <c r="F85" s="4" t="s">
        <v>2417</v>
      </c>
      <c r="G85" s="4" t="s">
        <v>2418</v>
      </c>
      <c r="H85" s="4" t="str">
        <f t="shared" si="4"/>
        <v>att_celllines</v>
      </c>
      <c r="I85" s="4" t="s">
        <v>562</v>
      </c>
      <c r="J85" s="4" t="str">
        <f t="shared" si="5"/>
        <v>att_celllines:sf268</v>
      </c>
      <c r="K85" s="7" t="s">
        <v>17</v>
      </c>
      <c r="L85" s="4" t="s">
        <v>564</v>
      </c>
      <c r="M85" s="4" t="s">
        <v>2419</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c r="A86" s="8" t="b">
        <f>FALSE()</f>
        <v>0</v>
      </c>
      <c r="B86" s="8"/>
      <c r="C86" s="4" t="s">
        <v>565</v>
      </c>
      <c r="D86" s="4" t="s">
        <v>566</v>
      </c>
      <c r="E86" s="4" t="s">
        <v>13</v>
      </c>
      <c r="F86" s="4" t="s">
        <v>2417</v>
      </c>
      <c r="G86" s="4" t="s">
        <v>2418</v>
      </c>
      <c r="H86" s="4" t="str">
        <f t="shared" si="4"/>
        <v>att_celllines</v>
      </c>
      <c r="I86" s="4" t="s">
        <v>565</v>
      </c>
      <c r="J86" s="4" t="str">
        <f t="shared" si="5"/>
        <v>att_celllines:sf295</v>
      </c>
      <c r="K86" s="7" t="s">
        <v>17</v>
      </c>
      <c r="L86" s="4" t="s">
        <v>564</v>
      </c>
      <c r="M86" s="4" t="s">
        <v>2419</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c r="A87" s="8" t="b">
        <f>FALSE()</f>
        <v>0</v>
      </c>
      <c r="B87" s="8"/>
      <c r="C87" s="4" t="s">
        <v>567</v>
      </c>
      <c r="D87" s="4" t="s">
        <v>568</v>
      </c>
      <c r="E87" s="4" t="s">
        <v>13</v>
      </c>
      <c r="F87" s="4" t="s">
        <v>2417</v>
      </c>
      <c r="G87" s="4" t="s">
        <v>2418</v>
      </c>
      <c r="H87" s="4" t="str">
        <f t="shared" si="4"/>
        <v>att_celllines</v>
      </c>
      <c r="I87" s="4" t="s">
        <v>567</v>
      </c>
      <c r="J87" s="4" t="str">
        <f t="shared" si="5"/>
        <v>att_celllines:sf539</v>
      </c>
      <c r="K87" s="7" t="s">
        <v>17</v>
      </c>
      <c r="L87" s="4" t="s">
        <v>564</v>
      </c>
      <c r="M87" s="4" t="s">
        <v>2419</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c r="A88" s="8" t="b">
        <f>FALSE()</f>
        <v>0</v>
      </c>
      <c r="B88" s="8"/>
      <c r="C88" s="4" t="s">
        <v>569</v>
      </c>
      <c r="D88" s="4" t="s">
        <v>570</v>
      </c>
      <c r="E88" s="4" t="s">
        <v>13</v>
      </c>
      <c r="F88" s="4" t="s">
        <v>2417</v>
      </c>
      <c r="G88" s="4" t="s">
        <v>2418</v>
      </c>
      <c r="H88" s="4" t="str">
        <f t="shared" si="4"/>
        <v>att_celllines</v>
      </c>
      <c r="I88" s="4" t="s">
        <v>569</v>
      </c>
      <c r="J88" s="4" t="str">
        <f t="shared" si="5"/>
        <v>att_celllines:skmel2</v>
      </c>
      <c r="K88" s="7" t="s">
        <v>17</v>
      </c>
      <c r="L88" s="4" t="s">
        <v>501</v>
      </c>
      <c r="M88" s="4" t="s">
        <v>2419</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c r="A89" s="8" t="b">
        <f>FALSE()</f>
        <v>0</v>
      </c>
      <c r="B89" s="8"/>
      <c r="C89" s="4" t="s">
        <v>571</v>
      </c>
      <c r="D89" s="4" t="s">
        <v>572</v>
      </c>
      <c r="E89" s="4" t="s">
        <v>13</v>
      </c>
      <c r="F89" s="4" t="s">
        <v>2417</v>
      </c>
      <c r="G89" s="4" t="s">
        <v>2418</v>
      </c>
      <c r="H89" s="4" t="str">
        <f t="shared" si="4"/>
        <v>att_celllines</v>
      </c>
      <c r="I89" s="4" t="s">
        <v>571</v>
      </c>
      <c r="J89" s="4" t="str">
        <f t="shared" si="5"/>
        <v>att_celllines:skmel28</v>
      </c>
      <c r="K89" s="7" t="s">
        <v>17</v>
      </c>
      <c r="L89" s="4" t="s">
        <v>501</v>
      </c>
      <c r="M89" s="4" t="s">
        <v>2419</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c r="A90" s="8" t="b">
        <f>FALSE()</f>
        <v>0</v>
      </c>
      <c r="B90" s="8"/>
      <c r="C90" s="4" t="s">
        <v>573</v>
      </c>
      <c r="D90" s="4" t="s">
        <v>574</v>
      </c>
      <c r="E90" s="4" t="s">
        <v>13</v>
      </c>
      <c r="F90" s="4" t="s">
        <v>2417</v>
      </c>
      <c r="G90" s="4" t="s">
        <v>2418</v>
      </c>
      <c r="H90" s="4" t="str">
        <f t="shared" si="4"/>
        <v>att_celllines</v>
      </c>
      <c r="I90" s="4" t="s">
        <v>573</v>
      </c>
      <c r="J90" s="4" t="str">
        <f t="shared" si="5"/>
        <v>att_celllines:skmel5</v>
      </c>
      <c r="K90" s="7" t="s">
        <v>17</v>
      </c>
      <c r="L90" s="4" t="s">
        <v>501</v>
      </c>
      <c r="M90" s="4" t="s">
        <v>2419</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c r="A91" s="8" t="b">
        <f>FALSE()</f>
        <v>0</v>
      </c>
      <c r="B91" s="8"/>
      <c r="C91" s="4" t="s">
        <v>575</v>
      </c>
      <c r="D91" s="4" t="s">
        <v>576</v>
      </c>
      <c r="E91" s="4" t="s">
        <v>13</v>
      </c>
      <c r="F91" s="4" t="s">
        <v>2417</v>
      </c>
      <c r="G91" s="4" t="s">
        <v>2418</v>
      </c>
      <c r="H91" s="4" t="str">
        <f t="shared" si="4"/>
        <v>att_celllines</v>
      </c>
      <c r="I91" s="4" t="s">
        <v>575</v>
      </c>
      <c r="J91" s="4" t="str">
        <f t="shared" si="5"/>
        <v>att_celllines:skov3</v>
      </c>
      <c r="K91" s="7" t="s">
        <v>17</v>
      </c>
      <c r="L91" s="4" t="s">
        <v>481</v>
      </c>
      <c r="M91" s="4" t="s">
        <v>2419</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c r="A92" s="8" t="b">
        <f>FALSE()</f>
        <v>0</v>
      </c>
      <c r="B92" s="8"/>
      <c r="C92" s="4" t="s">
        <v>577</v>
      </c>
      <c r="D92" s="4" t="s">
        <v>578</v>
      </c>
      <c r="E92" s="4" t="s">
        <v>13</v>
      </c>
      <c r="F92" s="4" t="s">
        <v>2417</v>
      </c>
      <c r="G92" s="4" t="s">
        <v>2418</v>
      </c>
      <c r="H92" s="4" t="str">
        <f t="shared" si="4"/>
        <v>att_celllines</v>
      </c>
      <c r="I92" s="4" t="s">
        <v>577</v>
      </c>
      <c r="J92" s="4" t="str">
        <f t="shared" si="5"/>
        <v>att_celllines:sn12c</v>
      </c>
      <c r="K92" s="7" t="s">
        <v>17</v>
      </c>
      <c r="L92" s="4" t="s">
        <v>422</v>
      </c>
      <c r="M92" s="4" t="s">
        <v>2419</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c r="A93" s="8" t="b">
        <f>FALSE()</f>
        <v>0</v>
      </c>
      <c r="B93" s="8"/>
      <c r="C93" s="4" t="s">
        <v>579</v>
      </c>
      <c r="D93" s="4" t="s">
        <v>580</v>
      </c>
      <c r="E93" s="4" t="s">
        <v>13</v>
      </c>
      <c r="F93" s="4" t="s">
        <v>2417</v>
      </c>
      <c r="G93" s="4" t="s">
        <v>2418</v>
      </c>
      <c r="H93" s="4" t="str">
        <f t="shared" si="4"/>
        <v>att_celllines</v>
      </c>
      <c r="I93" s="4" t="s">
        <v>579</v>
      </c>
      <c r="J93" s="4" t="str">
        <f t="shared" si="5"/>
        <v>att_celllines:snb19</v>
      </c>
      <c r="K93" s="7" t="s">
        <v>17</v>
      </c>
      <c r="L93" s="4" t="s">
        <v>564</v>
      </c>
      <c r="M93" s="4" t="s">
        <v>2419</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c r="A94" s="8" t="b">
        <f>FALSE()</f>
        <v>0</v>
      </c>
      <c r="B94" s="8"/>
      <c r="C94" s="4" t="s">
        <v>581</v>
      </c>
      <c r="D94" s="4" t="s">
        <v>582</v>
      </c>
      <c r="E94" s="4" t="s">
        <v>13</v>
      </c>
      <c r="F94" s="4" t="s">
        <v>2417</v>
      </c>
      <c r="G94" s="4" t="s">
        <v>2418</v>
      </c>
      <c r="H94" s="4" t="str">
        <f t="shared" si="4"/>
        <v>att_celllines</v>
      </c>
      <c r="I94" s="4" t="s">
        <v>581</v>
      </c>
      <c r="J94" s="4" t="str">
        <f t="shared" si="5"/>
        <v>att_celllines:snb75</v>
      </c>
      <c r="K94" s="7" t="s">
        <v>17</v>
      </c>
      <c r="L94" s="4" t="s">
        <v>564</v>
      </c>
      <c r="M94" s="4" t="s">
        <v>2419</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c r="A95" s="8" t="b">
        <f>FALSE()</f>
        <v>0</v>
      </c>
      <c r="B95" s="8"/>
      <c r="C95" s="4" t="s">
        <v>583</v>
      </c>
      <c r="D95" s="4" t="s">
        <v>584</v>
      </c>
      <c r="E95" s="4" t="s">
        <v>13</v>
      </c>
      <c r="F95" s="4" t="s">
        <v>2417</v>
      </c>
      <c r="G95" s="4" t="s">
        <v>2418</v>
      </c>
      <c r="H95" s="4" t="str">
        <f t="shared" si="4"/>
        <v>att_celllines</v>
      </c>
      <c r="I95" s="4" t="s">
        <v>583</v>
      </c>
      <c r="J95" s="4" t="str">
        <f t="shared" si="5"/>
        <v>att_celllines:sr</v>
      </c>
      <c r="K95" s="7" t="s">
        <v>17</v>
      </c>
      <c r="L95" s="4" t="s">
        <v>448</v>
      </c>
      <c r="M95" s="4" t="s">
        <v>2419</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c r="A96" s="8" t="b">
        <f>FALSE()</f>
        <v>0</v>
      </c>
      <c r="B96" s="8"/>
      <c r="C96" s="4" t="s">
        <v>585</v>
      </c>
      <c r="D96" s="4" t="s">
        <v>586</v>
      </c>
      <c r="E96" s="4" t="s">
        <v>13</v>
      </c>
      <c r="F96" s="4" t="s">
        <v>2417</v>
      </c>
      <c r="G96" s="4" t="s">
        <v>2418</v>
      </c>
      <c r="H96" s="4" t="str">
        <f t="shared" si="4"/>
        <v>att_celllines</v>
      </c>
      <c r="I96" s="4" t="s">
        <v>585</v>
      </c>
      <c r="J96" s="4" t="str">
        <f t="shared" si="5"/>
        <v>att_celllines:sw620</v>
      </c>
      <c r="K96" s="7" t="s">
        <v>17</v>
      </c>
      <c r="L96" s="4" t="s">
        <v>445</v>
      </c>
      <c r="M96" s="4" t="s">
        <v>2419</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c r="A97" s="8" t="b">
        <f>FALSE()</f>
        <v>0</v>
      </c>
      <c r="B97" s="8"/>
      <c r="C97" s="4" t="s">
        <v>587</v>
      </c>
      <c r="D97" s="4" t="s">
        <v>588</v>
      </c>
      <c r="E97" s="4" t="s">
        <v>13</v>
      </c>
      <c r="F97" s="4" t="s">
        <v>2417</v>
      </c>
      <c r="G97" s="4" t="s">
        <v>2418</v>
      </c>
      <c r="H97" s="4" t="str">
        <f t="shared" si="4"/>
        <v>att_celllines</v>
      </c>
      <c r="I97" s="4" t="s">
        <v>587</v>
      </c>
      <c r="J97" s="4" t="str">
        <f t="shared" si="5"/>
        <v>att_celllines:t47d</v>
      </c>
      <c r="K97" s="7" t="s">
        <v>17</v>
      </c>
      <c r="L97" s="4" t="s">
        <v>437</v>
      </c>
      <c r="M97" s="4" t="s">
        <v>2419</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c r="A98" s="8" t="b">
        <f>FALSE()</f>
        <v>0</v>
      </c>
      <c r="B98" s="8"/>
      <c r="C98" s="4" t="s">
        <v>589</v>
      </c>
      <c r="D98" s="4" t="s">
        <v>590</v>
      </c>
      <c r="E98" s="4" t="s">
        <v>13</v>
      </c>
      <c r="F98" s="4" t="s">
        <v>2417</v>
      </c>
      <c r="G98" s="4" t="s">
        <v>2418</v>
      </c>
      <c r="H98" s="4" t="str">
        <f t="shared" si="4"/>
        <v>att_celllines</v>
      </c>
      <c r="I98" s="4" t="s">
        <v>589</v>
      </c>
      <c r="J98" s="4" t="str">
        <f t="shared" si="5"/>
        <v>att_celllines:thp1</v>
      </c>
      <c r="K98" s="7" t="s">
        <v>17</v>
      </c>
      <c r="L98" s="4" t="s">
        <v>591</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c r="A99" s="8" t="b">
        <f>FALSE()</f>
        <v>0</v>
      </c>
      <c r="B99" s="8"/>
      <c r="C99" s="4" t="s">
        <v>592</v>
      </c>
      <c r="D99" s="4" t="s">
        <v>593</v>
      </c>
      <c r="E99" s="4" t="s">
        <v>13</v>
      </c>
      <c r="F99" s="4" t="s">
        <v>2417</v>
      </c>
      <c r="G99" s="4" t="s">
        <v>2418</v>
      </c>
      <c r="H99" s="4" t="str">
        <f t="shared" si="4"/>
        <v>att_celllines</v>
      </c>
      <c r="I99" s="4" t="s">
        <v>592</v>
      </c>
      <c r="J99" s="4" t="str">
        <f t="shared" si="5"/>
        <v>att_celllines:tk10</v>
      </c>
      <c r="K99" s="7" t="s">
        <v>17</v>
      </c>
      <c r="L99" s="4" t="s">
        <v>422</v>
      </c>
      <c r="M99" s="4" t="s">
        <v>2419</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c r="A100" s="8" t="b">
        <f>FALSE()</f>
        <v>0</v>
      </c>
      <c r="B100" s="8"/>
      <c r="C100" s="4" t="s">
        <v>594</v>
      </c>
      <c r="D100" s="4" t="s">
        <v>595</v>
      </c>
      <c r="E100" s="4" t="s">
        <v>13</v>
      </c>
      <c r="F100" s="4" t="s">
        <v>2417</v>
      </c>
      <c r="G100" s="4" t="s">
        <v>2418</v>
      </c>
      <c r="H100" s="4" t="str">
        <f t="shared" si="4"/>
        <v>att_celllines</v>
      </c>
      <c r="I100" s="4" t="s">
        <v>594</v>
      </c>
      <c r="J100" s="4" t="str">
        <f t="shared" si="5"/>
        <v>att_celllines:u251</v>
      </c>
      <c r="K100" s="7" t="s">
        <v>17</v>
      </c>
      <c r="L100" s="4" t="s">
        <v>564</v>
      </c>
      <c r="M100" s="4" t="s">
        <v>2419</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c r="A101" s="8" t="b">
        <f>FALSE()</f>
        <v>0</v>
      </c>
      <c r="B101" s="8"/>
      <c r="C101" s="4" t="s">
        <v>596</v>
      </c>
      <c r="D101" s="4" t="s">
        <v>597</v>
      </c>
      <c r="E101" s="4" t="s">
        <v>13</v>
      </c>
      <c r="F101" s="4" t="s">
        <v>2417</v>
      </c>
      <c r="G101" s="4" t="s">
        <v>2418</v>
      </c>
      <c r="H101" s="4" t="str">
        <f t="shared" si="4"/>
        <v>att_celllines</v>
      </c>
      <c r="I101" s="4" t="s">
        <v>596</v>
      </c>
      <c r="J101" s="4" t="str">
        <f t="shared" si="5"/>
        <v>att_celllines:u937</v>
      </c>
      <c r="K101" s="7" t="s">
        <v>17</v>
      </c>
      <c r="L101" s="4" t="s">
        <v>598</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8" t="b">
        <f>FALSE()</f>
        <v>0</v>
      </c>
      <c r="B102" s="8"/>
      <c r="C102" s="4" t="s">
        <v>599</v>
      </c>
      <c r="D102" s="4" t="s">
        <v>600</v>
      </c>
      <c r="E102" s="4" t="s">
        <v>13</v>
      </c>
      <c r="F102" s="4" t="s">
        <v>2417</v>
      </c>
      <c r="G102" s="4" t="s">
        <v>2418</v>
      </c>
      <c r="H102" s="4" t="str">
        <f t="shared" si="4"/>
        <v>att_celllines</v>
      </c>
      <c r="I102" s="4" t="s">
        <v>599</v>
      </c>
      <c r="J102" s="4" t="str">
        <f t="shared" si="5"/>
        <v>att_celllines:uacc257</v>
      </c>
      <c r="K102" s="7" t="s">
        <v>17</v>
      </c>
      <c r="L102" s="4" t="s">
        <v>501</v>
      </c>
      <c r="M102" s="4" t="s">
        <v>2419</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c r="A103" s="8" t="b">
        <f>FALSE()</f>
        <v>0</v>
      </c>
      <c r="B103" s="8"/>
      <c r="C103" s="4" t="s">
        <v>601</v>
      </c>
      <c r="D103" s="4" t="s">
        <v>602</v>
      </c>
      <c r="E103" s="4" t="s">
        <v>13</v>
      </c>
      <c r="F103" s="4" t="s">
        <v>2417</v>
      </c>
      <c r="G103" s="4" t="s">
        <v>2418</v>
      </c>
      <c r="H103" s="4" t="str">
        <f t="shared" si="4"/>
        <v>att_celllines</v>
      </c>
      <c r="I103" s="4" t="s">
        <v>601</v>
      </c>
      <c r="J103" s="4" t="str">
        <f t="shared" si="5"/>
        <v>att_celllines:uacc62</v>
      </c>
      <c r="K103" s="7" t="s">
        <v>17</v>
      </c>
      <c r="L103" s="4" t="s">
        <v>501</v>
      </c>
      <c r="M103" s="4" t="s">
        <v>2419</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c r="A104" s="8" t="b">
        <f>FALSE()</f>
        <v>0</v>
      </c>
      <c r="B104" s="8"/>
      <c r="C104" s="4" t="s">
        <v>603</v>
      </c>
      <c r="D104" s="4" t="s">
        <v>604</v>
      </c>
      <c r="E104" s="4" t="s">
        <v>13</v>
      </c>
      <c r="F104" s="4" t="s">
        <v>2417</v>
      </c>
      <c r="G104" s="4" t="s">
        <v>2418</v>
      </c>
      <c r="H104" s="4" t="str">
        <f t="shared" si="4"/>
        <v>att_celllines</v>
      </c>
      <c r="I104" s="4" t="s">
        <v>603</v>
      </c>
      <c r="J104" s="4" t="str">
        <f t="shared" si="5"/>
        <v>att_celllines:uo31</v>
      </c>
      <c r="K104" s="7" t="s">
        <v>17</v>
      </c>
      <c r="L104" s="4" t="s">
        <v>422</v>
      </c>
      <c r="M104" s="4" t="s">
        <v>2419</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c r="A105" s="8" t="b">
        <f>FALSE()</f>
        <v>0</v>
      </c>
      <c r="B105" s="8"/>
      <c r="C105" s="4" t="s">
        <v>605</v>
      </c>
      <c r="D105" s="4" t="s">
        <v>606</v>
      </c>
      <c r="E105" s="4" t="s">
        <v>13</v>
      </c>
      <c r="F105" s="4" t="s">
        <v>2417</v>
      </c>
      <c r="G105" s="4" t="s">
        <v>2418</v>
      </c>
      <c r="H105" s="4" t="str">
        <f t="shared" si="4"/>
        <v>att_celllines</v>
      </c>
      <c r="I105" s="4" t="s">
        <v>605</v>
      </c>
      <c r="J105" s="4" t="str">
        <f t="shared" si="5"/>
        <v>att_celllines:z138</v>
      </c>
      <c r="K105" s="7" t="s">
        <v>17</v>
      </c>
      <c r="L105" s="4" t="s">
        <v>487</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c r="A106" s="8" t="b">
        <f>FALSE()</f>
        <v>0</v>
      </c>
      <c r="B106" s="8"/>
      <c r="C106" s="4" t="s">
        <v>334</v>
      </c>
      <c r="D106" s="4" t="s">
        <v>335</v>
      </c>
      <c r="E106" s="4" t="s">
        <v>13</v>
      </c>
      <c r="F106" s="4" t="s">
        <v>2421</v>
      </c>
      <c r="G106" s="4" t="s">
        <v>2422</v>
      </c>
      <c r="H106" s="4" t="str">
        <f t="shared" si="4"/>
        <v>att_cells</v>
      </c>
      <c r="I106" s="4" t="s">
        <v>333</v>
      </c>
      <c r="J106" s="4" t="str">
        <f t="shared" si="5"/>
        <v>att_cells:adipose_macrophages</v>
      </c>
      <c r="K106" s="7" t="s">
        <v>17</v>
      </c>
      <c r="L106" s="4" t="s">
        <v>336</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c r="A107" s="8" t="b">
        <f>FALSE()</f>
        <v>0</v>
      </c>
      <c r="B107" s="8"/>
      <c r="C107" s="4" t="s">
        <v>337</v>
      </c>
      <c r="D107" s="4" t="s">
        <v>295</v>
      </c>
      <c r="E107" s="4" t="s">
        <v>13</v>
      </c>
      <c r="F107" s="4" t="s">
        <v>2421</v>
      </c>
      <c r="G107" s="4" t="s">
        <v>2422</v>
      </c>
      <c r="H107" s="4" t="str">
        <f t="shared" si="4"/>
        <v>att_cells</v>
      </c>
      <c r="I107" s="4" t="s">
        <v>337</v>
      </c>
      <c r="J107" s="4" t="str">
        <f t="shared" si="5"/>
        <v>att_cells:astrocytes</v>
      </c>
      <c r="K107" s="7" t="s">
        <v>17</v>
      </c>
      <c r="L107" s="4" t="s">
        <v>295</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c r="A108" s="8" t="b">
        <f>FALSE()</f>
        <v>0</v>
      </c>
      <c r="B108" s="8"/>
      <c r="C108" s="4" t="s">
        <v>338</v>
      </c>
      <c r="D108" s="4" t="s">
        <v>339</v>
      </c>
      <c r="E108" s="4" t="s">
        <v>13</v>
      </c>
      <c r="F108" s="4" t="s">
        <v>2421</v>
      </c>
      <c r="G108" s="4" t="s">
        <v>2422</v>
      </c>
      <c r="H108" s="4" t="str">
        <f t="shared" si="4"/>
        <v>att_cells</v>
      </c>
      <c r="I108" s="4" t="s">
        <v>338</v>
      </c>
      <c r="J108" s="4" t="str">
        <f t="shared" si="5"/>
        <v>att_cells:basophils</v>
      </c>
      <c r="K108" s="7" t="s">
        <v>17</v>
      </c>
      <c r="L108" s="4" t="s">
        <v>340</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c r="A109" s="8" t="b">
        <f>FALSE()</f>
        <v>0</v>
      </c>
      <c r="B109" s="8"/>
      <c r="C109" s="4" t="s">
        <v>341</v>
      </c>
      <c r="D109" s="4" t="s">
        <v>342</v>
      </c>
      <c r="E109" s="4" t="s">
        <v>13</v>
      </c>
      <c r="F109" s="4" t="s">
        <v>2421</v>
      </c>
      <c r="G109" s="4" t="s">
        <v>2422</v>
      </c>
      <c r="H109" s="4" t="str">
        <f t="shared" si="4"/>
        <v>att_cells</v>
      </c>
      <c r="I109" s="4" t="s">
        <v>341</v>
      </c>
      <c r="J109" s="4" t="str">
        <f t="shared" si="5"/>
        <v>att_cells:bcells</v>
      </c>
      <c r="K109" s="7" t="s">
        <v>17</v>
      </c>
      <c r="L109" s="4" t="s">
        <v>342</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c r="A110" s="8" t="b">
        <f>FALSE()</f>
        <v>0</v>
      </c>
      <c r="B110" s="8"/>
      <c r="C110" s="4" t="s">
        <v>343</v>
      </c>
      <c r="D110" s="4" t="s">
        <v>344</v>
      </c>
      <c r="E110" s="4" t="s">
        <v>13</v>
      </c>
      <c r="F110" s="4" t="s">
        <v>2421</v>
      </c>
      <c r="G110" s="4" t="s">
        <v>2422</v>
      </c>
      <c r="H110" s="4" t="str">
        <f t="shared" si="4"/>
        <v>att_cells</v>
      </c>
      <c r="I110" s="4" t="s">
        <v>343</v>
      </c>
      <c r="J110" s="4" t="str">
        <f t="shared" si="5"/>
        <v>att_cells:cytotoxict</v>
      </c>
      <c r="K110" s="7" t="s">
        <v>17</v>
      </c>
      <c r="L110" s="4" t="s">
        <v>345</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c r="A111" s="8" t="b">
        <f>FALSE()</f>
        <v>0</v>
      </c>
      <c r="B111" s="8"/>
      <c r="C111" s="4" t="s">
        <v>346</v>
      </c>
      <c r="D111" s="4" t="s">
        <v>347</v>
      </c>
      <c r="E111" s="4" t="s">
        <v>13</v>
      </c>
      <c r="F111" s="4" t="s">
        <v>2421</v>
      </c>
      <c r="G111" s="4" t="s">
        <v>2422</v>
      </c>
      <c r="H111" s="4" t="str">
        <f t="shared" si="4"/>
        <v>att_cells</v>
      </c>
      <c r="I111" s="4" t="s">
        <v>346</v>
      </c>
      <c r="J111" s="4" t="str">
        <f t="shared" si="5"/>
        <v>att_cells:endothelial</v>
      </c>
      <c r="K111" s="7" t="s">
        <v>17</v>
      </c>
      <c r="L111" s="4" t="s">
        <v>348</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8" t="b">
        <f>FALSE()</f>
        <v>0</v>
      </c>
      <c r="B112" s="8"/>
      <c r="C112" s="4" t="s">
        <v>349</v>
      </c>
      <c r="D112" s="4" t="s">
        <v>350</v>
      </c>
      <c r="E112" s="4" t="s">
        <v>13</v>
      </c>
      <c r="F112" s="4" t="s">
        <v>2421</v>
      </c>
      <c r="G112" s="4" t="s">
        <v>2422</v>
      </c>
      <c r="H112" s="4" t="str">
        <f t="shared" si="4"/>
        <v>att_cells</v>
      </c>
      <c r="I112" s="4" t="s">
        <v>349</v>
      </c>
      <c r="J112" s="4" t="str">
        <f t="shared" si="5"/>
        <v>att_cells:eosinophils</v>
      </c>
      <c r="K112" s="7" t="s">
        <v>17</v>
      </c>
      <c r="L112" s="4" t="s">
        <v>351</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c r="A113" s="8" t="b">
        <f>FALSE()</f>
        <v>0</v>
      </c>
      <c r="B113" s="8"/>
      <c r="C113" s="4" t="s">
        <v>352</v>
      </c>
      <c r="D113" s="4" t="s">
        <v>353</v>
      </c>
      <c r="E113" s="4" t="s">
        <v>13</v>
      </c>
      <c r="F113" s="4" t="s">
        <v>2421</v>
      </c>
      <c r="G113" s="4" t="s">
        <v>2422</v>
      </c>
      <c r="H113" s="4" t="str">
        <f t="shared" si="4"/>
        <v>att_cells</v>
      </c>
      <c r="I113" s="4" t="s">
        <v>352</v>
      </c>
      <c r="J113" s="4" t="str">
        <f t="shared" si="5"/>
        <v>att_cells:epithelioid</v>
      </c>
      <c r="K113" s="7" t="s">
        <v>17</v>
      </c>
      <c r="L113" s="4" t="s">
        <v>354</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c r="A114" s="8" t="b">
        <f>FALSE()</f>
        <v>0</v>
      </c>
      <c r="B114" s="8"/>
      <c r="C114" s="4" t="s">
        <v>355</v>
      </c>
      <c r="D114" s="4" t="s">
        <v>356</v>
      </c>
      <c r="E114" s="4" t="s">
        <v>13</v>
      </c>
      <c r="F114" s="4" t="s">
        <v>2421</v>
      </c>
      <c r="G114" s="4" t="s">
        <v>2422</v>
      </c>
      <c r="H114" s="4" t="str">
        <f t="shared" si="4"/>
        <v>att_cells</v>
      </c>
      <c r="I114" s="4" t="s">
        <v>355</v>
      </c>
      <c r="J114" s="4" t="str">
        <f t="shared" si="5"/>
        <v>att_cells:erythrocytes</v>
      </c>
      <c r="K114" s="7" t="s">
        <v>17</v>
      </c>
      <c r="L114" s="4" t="s">
        <v>357</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c r="A115" s="8" t="b">
        <f>FALSE()</f>
        <v>0</v>
      </c>
      <c r="B115" s="8"/>
      <c r="C115" s="4" t="s">
        <v>358</v>
      </c>
      <c r="D115" s="4" t="s">
        <v>359</v>
      </c>
      <c r="E115" s="4" t="s">
        <v>13</v>
      </c>
      <c r="F115" s="4" t="s">
        <v>2421</v>
      </c>
      <c r="G115" s="4" t="s">
        <v>2422</v>
      </c>
      <c r="H115" s="4" t="str">
        <f t="shared" si="4"/>
        <v>att_cells</v>
      </c>
      <c r="I115" s="4" t="s">
        <v>358</v>
      </c>
      <c r="J115" s="4" t="str">
        <f t="shared" si="5"/>
        <v>att_cells:gammadeltat</v>
      </c>
      <c r="K115" s="7" t="s">
        <v>17</v>
      </c>
      <c r="L115" s="4" t="s">
        <v>360</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c r="A116" s="8" t="b">
        <f>FALSE()</f>
        <v>0</v>
      </c>
      <c r="B116" s="8"/>
      <c r="C116" s="4" t="s">
        <v>361</v>
      </c>
      <c r="D116" s="4" t="s">
        <v>362</v>
      </c>
      <c r="E116" s="4" t="s">
        <v>13</v>
      </c>
      <c r="F116" s="4" t="s">
        <v>2421</v>
      </c>
      <c r="G116" s="4" t="s">
        <v>2422</v>
      </c>
      <c r="H116" s="4" t="str">
        <f t="shared" si="4"/>
        <v>att_cells</v>
      </c>
      <c r="I116" s="4" t="s">
        <v>361</v>
      </c>
      <c r="J116" s="4" t="str">
        <f t="shared" si="5"/>
        <v>att_cells:hofbauer</v>
      </c>
      <c r="K116" s="7" t="s">
        <v>17</v>
      </c>
      <c r="L116" s="4" t="s">
        <v>363</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c r="A117" s="8" t="b">
        <f>FALSE()</f>
        <v>0</v>
      </c>
      <c r="B117" s="8"/>
      <c r="C117" s="4" t="s">
        <v>364</v>
      </c>
      <c r="D117" s="4" t="s">
        <v>365</v>
      </c>
      <c r="E117" s="4" t="s">
        <v>13</v>
      </c>
      <c r="F117" s="4" t="s">
        <v>2421</v>
      </c>
      <c r="G117" s="4" t="s">
        <v>2422</v>
      </c>
      <c r="H117" s="4" t="str">
        <f t="shared" si="4"/>
        <v>att_cells</v>
      </c>
      <c r="I117" s="4" t="s">
        <v>364</v>
      </c>
      <c r="J117" s="4" t="str">
        <f t="shared" si="5"/>
        <v>att_cells:keratinocytes</v>
      </c>
      <c r="K117" s="7" t="s">
        <v>17</v>
      </c>
      <c r="L117" s="4" t="s">
        <v>366</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c r="A118" s="8" t="b">
        <f>FALSE()</f>
        <v>0</v>
      </c>
      <c r="B118" s="8"/>
      <c r="C118" s="4" t="s">
        <v>367</v>
      </c>
      <c r="D118" s="4" t="s">
        <v>368</v>
      </c>
      <c r="E118" s="4" t="s">
        <v>13</v>
      </c>
      <c r="F118" s="4" t="s">
        <v>2421</v>
      </c>
      <c r="G118" s="4" t="s">
        <v>2422</v>
      </c>
      <c r="H118" s="4" t="str">
        <f t="shared" si="4"/>
        <v>att_cells</v>
      </c>
      <c r="I118" s="4" t="s">
        <v>367</v>
      </c>
      <c r="J118" s="4" t="str">
        <f t="shared" si="5"/>
        <v>att_cells:kupffer</v>
      </c>
      <c r="K118" s="7" t="s">
        <v>17</v>
      </c>
      <c r="L118" s="4" t="s">
        <v>369</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c r="A119" s="8" t="b">
        <f>FALSE()</f>
        <v>0</v>
      </c>
      <c r="B119" s="8"/>
      <c r="C119" s="4" t="s">
        <v>370</v>
      </c>
      <c r="D119" s="4" t="s">
        <v>371</v>
      </c>
      <c r="E119" s="4" t="s">
        <v>13</v>
      </c>
      <c r="F119" s="4" t="s">
        <v>2421</v>
      </c>
      <c r="G119" s="4" t="s">
        <v>2422</v>
      </c>
      <c r="H119" s="4" t="str">
        <f t="shared" si="4"/>
        <v>att_cells</v>
      </c>
      <c r="I119" s="4" t="s">
        <v>370</v>
      </c>
      <c r="J119" s="4" t="str">
        <f t="shared" si="5"/>
        <v>att_cells:langerhans</v>
      </c>
      <c r="K119" s="7" t="s">
        <v>17</v>
      </c>
      <c r="L119" s="4" t="s">
        <v>372</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c r="A120" s="8" t="b">
        <f>FALSE()</f>
        <v>0</v>
      </c>
      <c r="B120" s="8"/>
      <c r="C120" s="4" t="s">
        <v>373</v>
      </c>
      <c r="D120" s="4" t="s">
        <v>374</v>
      </c>
      <c r="E120" s="4" t="s">
        <v>13</v>
      </c>
      <c r="F120" s="4" t="s">
        <v>2421</v>
      </c>
      <c r="G120" s="4" t="s">
        <v>2422</v>
      </c>
      <c r="H120" s="4" t="str">
        <f t="shared" si="4"/>
        <v>att_cells</v>
      </c>
      <c r="I120" s="4" t="s">
        <v>373</v>
      </c>
      <c r="J120" s="4" t="str">
        <f t="shared" si="5"/>
        <v>att_cells:leukocytes</v>
      </c>
      <c r="K120" s="7" t="s">
        <v>17</v>
      </c>
      <c r="L120" s="4" t="s">
        <v>375</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c r="A121" s="8" t="b">
        <f>FALSE()</f>
        <v>0</v>
      </c>
      <c r="B121" s="8"/>
      <c r="C121" s="4" t="s">
        <v>376</v>
      </c>
      <c r="D121" s="4" t="s">
        <v>377</v>
      </c>
      <c r="E121" s="4" t="s">
        <v>13</v>
      </c>
      <c r="F121" s="4" t="s">
        <v>2421</v>
      </c>
      <c r="G121" s="4" t="s">
        <v>2422</v>
      </c>
      <c r="H121" s="4" t="str">
        <f t="shared" si="4"/>
        <v>att_cells</v>
      </c>
      <c r="I121" s="4" t="s">
        <v>376</v>
      </c>
      <c r="J121" s="4" t="str">
        <f t="shared" si="5"/>
        <v>att_cells:lymphocytes</v>
      </c>
      <c r="K121" s="7" t="s">
        <v>17</v>
      </c>
      <c r="L121" s="4" t="s">
        <v>378</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c r="A122" s="8" t="b">
        <f>FALSE()</f>
        <v>0</v>
      </c>
      <c r="B122" s="8"/>
      <c r="C122" s="4" t="s">
        <v>379</v>
      </c>
      <c r="D122" s="4" t="s">
        <v>380</v>
      </c>
      <c r="E122" s="4" t="s">
        <v>13</v>
      </c>
      <c r="F122" s="4" t="s">
        <v>2421</v>
      </c>
      <c r="G122" s="4" t="s">
        <v>2422</v>
      </c>
      <c r="H122" s="4" t="str">
        <f t="shared" si="4"/>
        <v>att_cells</v>
      </c>
      <c r="I122" s="4" t="s">
        <v>379</v>
      </c>
      <c r="J122" s="4" t="str">
        <f t="shared" si="5"/>
        <v>att_cells:macrophage</v>
      </c>
      <c r="K122" s="7" t="s">
        <v>17</v>
      </c>
      <c r="L122" s="4" t="s">
        <v>380</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c r="A123" s="8" t="b">
        <f>FALSE()</f>
        <v>0</v>
      </c>
      <c r="B123" s="8"/>
      <c r="C123" s="4" t="s">
        <v>381</v>
      </c>
      <c r="D123" s="4" t="s">
        <v>382</v>
      </c>
      <c r="E123" s="4" t="s">
        <v>13</v>
      </c>
      <c r="F123" s="4" t="s">
        <v>2421</v>
      </c>
      <c r="G123" s="4" t="s">
        <v>2422</v>
      </c>
      <c r="H123" s="4" t="str">
        <f t="shared" si="4"/>
        <v>att_cells</v>
      </c>
      <c r="I123" s="4" t="s">
        <v>381</v>
      </c>
      <c r="J123" s="4" t="str">
        <f t="shared" si="5"/>
        <v>att_cells:microglia</v>
      </c>
      <c r="K123" s="7" t="s">
        <v>17</v>
      </c>
      <c r="L123" s="4" t="s">
        <v>383</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c r="A124" s="8" t="b">
        <f>FALSE()</f>
        <v>0</v>
      </c>
      <c r="B124" s="8"/>
      <c r="C124" s="4" t="s">
        <v>384</v>
      </c>
      <c r="D124" s="4" t="s">
        <v>385</v>
      </c>
      <c r="E124" s="4" t="s">
        <v>13</v>
      </c>
      <c r="F124" s="4" t="s">
        <v>2421</v>
      </c>
      <c r="G124" s="4" t="s">
        <v>2422</v>
      </c>
      <c r="H124" s="4" t="str">
        <f t="shared" si="4"/>
        <v>att_cells</v>
      </c>
      <c r="I124" s="4" t="s">
        <v>384</v>
      </c>
      <c r="J124" s="4" t="str">
        <f t="shared" si="5"/>
        <v>att_cells:monoblast</v>
      </c>
      <c r="K124" s="7" t="s">
        <v>17</v>
      </c>
      <c r="L124" s="4" t="s">
        <v>385</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c r="A125" s="8" t="b">
        <f>FALSE()</f>
        <v>0</v>
      </c>
      <c r="B125" s="8"/>
      <c r="C125" s="4" t="s">
        <v>386</v>
      </c>
      <c r="D125" s="4" t="s">
        <v>304</v>
      </c>
      <c r="E125" s="4" t="s">
        <v>13</v>
      </c>
      <c r="F125" s="4" t="s">
        <v>2421</v>
      </c>
      <c r="G125" s="4" t="s">
        <v>2422</v>
      </c>
      <c r="H125" s="4" t="str">
        <f t="shared" si="4"/>
        <v>att_cells</v>
      </c>
      <c r="I125" s="4" t="s">
        <v>386</v>
      </c>
      <c r="J125" s="4" t="str">
        <f t="shared" si="5"/>
        <v>att_cells:monocytes</v>
      </c>
      <c r="K125" s="7" t="s">
        <v>17</v>
      </c>
      <c r="L125" s="4" t="s">
        <v>387</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c r="A126" s="8" t="b">
        <f>FALSE()</f>
        <v>0</v>
      </c>
      <c r="B126" s="8"/>
      <c r="C126" s="4" t="s">
        <v>388</v>
      </c>
      <c r="D126" s="4" t="s">
        <v>389</v>
      </c>
      <c r="E126" s="4" t="s">
        <v>13</v>
      </c>
      <c r="F126" s="4" t="s">
        <v>2421</v>
      </c>
      <c r="G126" s="4" t="s">
        <v>2422</v>
      </c>
      <c r="H126" s="4" t="str">
        <f t="shared" si="4"/>
        <v>att_cells</v>
      </c>
      <c r="I126" s="4" t="s">
        <v>388</v>
      </c>
      <c r="J126" s="4" t="str">
        <f t="shared" si="5"/>
        <v>att_cells:neutrophils</v>
      </c>
      <c r="K126" s="7" t="s">
        <v>17</v>
      </c>
      <c r="L126" s="4" t="s">
        <v>390</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c r="A127" s="8" t="b">
        <f>FALSE()</f>
        <v>0</v>
      </c>
      <c r="B127" s="8"/>
      <c r="C127" s="4" t="s">
        <v>391</v>
      </c>
      <c r="D127" s="4" t="s">
        <v>392</v>
      </c>
      <c r="E127" s="4" t="s">
        <v>13</v>
      </c>
      <c r="F127" s="4" t="s">
        <v>2421</v>
      </c>
      <c r="G127" s="4" t="s">
        <v>2422</v>
      </c>
      <c r="H127" s="4" t="str">
        <f t="shared" si="4"/>
        <v>att_cells</v>
      </c>
      <c r="I127" s="4" t="s">
        <v>391</v>
      </c>
      <c r="J127" s="4" t="str">
        <f t="shared" si="5"/>
        <v>att_cells:nk</v>
      </c>
      <c r="K127" s="7" t="s">
        <v>17</v>
      </c>
      <c r="L127" s="4" t="s">
        <v>393</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c r="A128" s="8" t="b">
        <f>FALSE()</f>
        <v>0</v>
      </c>
      <c r="B128" s="8"/>
      <c r="C128" s="4" t="s">
        <v>394</v>
      </c>
      <c r="D128" s="4" t="s">
        <v>395</v>
      </c>
      <c r="E128" s="4" t="s">
        <v>13</v>
      </c>
      <c r="F128" s="4" t="s">
        <v>2421</v>
      </c>
      <c r="G128" s="4" t="s">
        <v>2422</v>
      </c>
      <c r="H128" s="4" t="str">
        <f t="shared" si="4"/>
        <v>att_cells</v>
      </c>
      <c r="I128" s="4" t="s">
        <v>394</v>
      </c>
      <c r="J128" s="4" t="str">
        <f t="shared" si="5"/>
        <v>att_cells:osteoblast</v>
      </c>
      <c r="K128" s="7" t="s">
        <v>17</v>
      </c>
      <c r="L128" s="4" t="s">
        <v>396</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c r="A129" s="8" t="b">
        <f>FALSE()</f>
        <v>0</v>
      </c>
      <c r="B129" s="8"/>
      <c r="C129" s="4" t="s">
        <v>397</v>
      </c>
      <c r="D129" s="4" t="s">
        <v>398</v>
      </c>
      <c r="E129" s="4" t="s">
        <v>13</v>
      </c>
      <c r="F129" s="4" t="s">
        <v>2421</v>
      </c>
      <c r="G129" s="4" t="s">
        <v>2422</v>
      </c>
      <c r="H129" s="4" t="str">
        <f t="shared" si="4"/>
        <v>att_cells</v>
      </c>
      <c r="I129" s="4" t="s">
        <v>397</v>
      </c>
      <c r="J129" s="4" t="str">
        <f t="shared" si="5"/>
        <v>att_cells:osteoclast</v>
      </c>
      <c r="K129" s="7" t="s">
        <v>17</v>
      </c>
      <c r="L129" s="4" t="s">
        <v>399</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c r="A130" s="8" t="b">
        <f>FALSE()</f>
        <v>0</v>
      </c>
      <c r="B130" s="8"/>
      <c r="C130" s="4" t="s">
        <v>400</v>
      </c>
      <c r="D130" s="4" t="s">
        <v>401</v>
      </c>
      <c r="E130" s="4" t="s">
        <v>13</v>
      </c>
      <c r="F130" s="4" t="s">
        <v>2421</v>
      </c>
      <c r="G130" s="4" t="s">
        <v>2422</v>
      </c>
      <c r="H130" s="4" t="str">
        <f t="shared" ref="H130:H193" si="8">"att_"&amp;G130</f>
        <v>att_cells</v>
      </c>
      <c r="I130" s="4" t="s">
        <v>400</v>
      </c>
      <c r="J130" s="4" t="str">
        <f t="shared" ref="J130:J193" si="9">H130&amp;":"&amp;I130</f>
        <v>att_cells:osteocytes</v>
      </c>
      <c r="K130" s="7" t="s">
        <v>17</v>
      </c>
      <c r="L130" s="4" t="s">
        <v>402</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8" t="b">
        <f>FALSE()</f>
        <v>0</v>
      </c>
      <c r="B131" s="8"/>
      <c r="C131" s="4" t="s">
        <v>403</v>
      </c>
      <c r="D131" s="4" t="s">
        <v>404</v>
      </c>
      <c r="E131" s="4" t="s">
        <v>13</v>
      </c>
      <c r="F131" s="4" t="s">
        <v>2421</v>
      </c>
      <c r="G131" s="4" t="s">
        <v>2422</v>
      </c>
      <c r="H131" s="4" t="str">
        <f t="shared" si="8"/>
        <v>att_cells</v>
      </c>
      <c r="I131" s="4" t="s">
        <v>403</v>
      </c>
      <c r="J131" s="4" t="str">
        <f t="shared" si="9"/>
        <v>att_cells:osteogenic</v>
      </c>
      <c r="K131" s="7" t="s">
        <v>17</v>
      </c>
      <c r="L131" s="4" t="s">
        <v>405</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c r="A132" s="8" t="b">
        <f>FALSE()</f>
        <v>0</v>
      </c>
      <c r="B132" s="8"/>
      <c r="C132" s="4" t="s">
        <v>406</v>
      </c>
      <c r="D132" s="4" t="s">
        <v>407</v>
      </c>
      <c r="E132" s="4" t="s">
        <v>13</v>
      </c>
      <c r="F132" s="4" t="s">
        <v>2421</v>
      </c>
      <c r="G132" s="4" t="s">
        <v>2422</v>
      </c>
      <c r="H132" s="4" t="str">
        <f t="shared" si="8"/>
        <v>att_cells</v>
      </c>
      <c r="I132" s="4" t="s">
        <v>406</v>
      </c>
      <c r="J132" s="4" t="str">
        <f t="shared" si="9"/>
        <v>att_cells:regt</v>
      </c>
      <c r="K132" s="7" t="s">
        <v>17</v>
      </c>
      <c r="L132" s="4" t="s">
        <v>408</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c r="A133" s="8" t="b">
        <f>FALSE()</f>
        <v>0</v>
      </c>
      <c r="B133" s="8"/>
      <c r="C133" s="4" t="s">
        <v>409</v>
      </c>
      <c r="D133" s="4" t="s">
        <v>410</v>
      </c>
      <c r="E133" s="4" t="s">
        <v>13</v>
      </c>
      <c r="F133" s="4" t="s">
        <v>2421</v>
      </c>
      <c r="G133" s="4" t="s">
        <v>2422</v>
      </c>
      <c r="H133" s="4" t="str">
        <f t="shared" si="8"/>
        <v>att_cells</v>
      </c>
      <c r="I133" s="4" t="s">
        <v>409</v>
      </c>
      <c r="J133" s="4" t="str">
        <f t="shared" si="9"/>
        <v>att_cells:stemcells</v>
      </c>
      <c r="K133" s="7" t="s">
        <v>17</v>
      </c>
      <c r="L133" s="4" t="s">
        <v>411</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c r="A134" s="8" t="b">
        <f>FALSE()</f>
        <v>0</v>
      </c>
      <c r="B134" s="8"/>
      <c r="C134" s="4" t="s">
        <v>412</v>
      </c>
      <c r="D134" s="4" t="s">
        <v>413</v>
      </c>
      <c r="E134" s="4" t="s">
        <v>13</v>
      </c>
      <c r="F134" s="4" t="s">
        <v>2421</v>
      </c>
      <c r="G134" s="4" t="s">
        <v>2422</v>
      </c>
      <c r="H134" s="4" t="str">
        <f t="shared" si="8"/>
        <v>att_cells</v>
      </c>
      <c r="I134" s="4" t="s">
        <v>412</v>
      </c>
      <c r="J134" s="4" t="str">
        <f t="shared" si="9"/>
        <v>att_cells:tcells</v>
      </c>
      <c r="K134" s="7" t="s">
        <v>17</v>
      </c>
      <c r="L134" s="4" t="s">
        <v>413</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c r="A135" s="8" t="b">
        <f>FALSE()</f>
        <v>0</v>
      </c>
      <c r="B135" s="8"/>
      <c r="C135" s="4" t="s">
        <v>414</v>
      </c>
      <c r="D135" s="4" t="s">
        <v>415</v>
      </c>
      <c r="E135" s="4" t="s">
        <v>13</v>
      </c>
      <c r="F135" s="4" t="s">
        <v>2421</v>
      </c>
      <c r="G135" s="4" t="s">
        <v>2422</v>
      </c>
      <c r="H135" s="4" t="str">
        <f t="shared" si="8"/>
        <v>att_cells</v>
      </c>
      <c r="I135" s="4" t="s">
        <v>414</v>
      </c>
      <c r="J135" s="4" t="str">
        <f t="shared" si="9"/>
        <v>att_cells:thelper</v>
      </c>
      <c r="K135" s="7" t="s">
        <v>17</v>
      </c>
      <c r="L135" s="4" t="s">
        <v>416</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c r="A136" s="8" t="b">
        <f>FALSE()</f>
        <v>0</v>
      </c>
      <c r="B136" s="8"/>
      <c r="C136" s="4" t="s">
        <v>417</v>
      </c>
      <c r="D136" s="4" t="s">
        <v>418</v>
      </c>
      <c r="E136" s="4" t="s">
        <v>13</v>
      </c>
      <c r="F136" s="4" t="s">
        <v>2421</v>
      </c>
      <c r="G136" s="4" t="s">
        <v>2422</v>
      </c>
      <c r="H136" s="4" t="str">
        <f t="shared" si="8"/>
        <v>att_cells</v>
      </c>
      <c r="I136" s="4" t="s">
        <v>417</v>
      </c>
      <c r="J136" s="4" t="str">
        <f t="shared" si="9"/>
        <v>att_cells:thrombocytes</v>
      </c>
      <c r="K136" s="7" t="s">
        <v>17</v>
      </c>
      <c r="L136" s="4" t="s">
        <v>419</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c r="A137" s="8" t="b">
        <f>FALSE()</f>
        <v>0</v>
      </c>
      <c r="B137" s="8"/>
      <c r="C137" s="4" t="s">
        <v>636</v>
      </c>
      <c r="D137" s="4" t="s">
        <v>637</v>
      </c>
      <c r="E137" s="4" t="s">
        <v>13</v>
      </c>
      <c r="F137" s="4" t="s">
        <v>2423</v>
      </c>
      <c r="G137" s="4" t="s">
        <v>2424</v>
      </c>
      <c r="H137" s="4" t="str">
        <f t="shared" si="8"/>
        <v>att_compound</v>
      </c>
      <c r="I137" s="4" t="s">
        <v>636</v>
      </c>
      <c r="J137" s="4" t="str">
        <f t="shared" si="9"/>
        <v>att_compound:anisomycin</v>
      </c>
      <c r="K137" s="7" t="s">
        <v>17</v>
      </c>
      <c r="L137" s="4" t="s">
        <v>637</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c r="A138" s="8" t="b">
        <f>FALSE()</f>
        <v>0</v>
      </c>
      <c r="B138" s="8"/>
      <c r="C138" s="4" t="s">
        <v>641</v>
      </c>
      <c r="D138" s="4" t="s">
        <v>642</v>
      </c>
      <c r="E138" s="4" t="s">
        <v>13</v>
      </c>
      <c r="F138" s="4" t="s">
        <v>2423</v>
      </c>
      <c r="G138" s="4" t="s">
        <v>2424</v>
      </c>
      <c r="H138" s="4" t="str">
        <f t="shared" si="8"/>
        <v>att_compound</v>
      </c>
      <c r="I138" s="4" t="s">
        <v>641</v>
      </c>
      <c r="J138" s="4" t="str">
        <f t="shared" si="9"/>
        <v>att_compound:atp</v>
      </c>
      <c r="K138" s="7" t="s">
        <v>17</v>
      </c>
      <c r="L138" s="4" t="s">
        <v>643</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c r="A139" s="8" t="b">
        <f>FALSE()</f>
        <v>0</v>
      </c>
      <c r="B139" s="8"/>
      <c r="C139" s="4" t="s">
        <v>644</v>
      </c>
      <c r="D139" s="4" t="s">
        <v>644</v>
      </c>
      <c r="E139" s="4" t="s">
        <v>13</v>
      </c>
      <c r="F139" s="4" t="s">
        <v>2423</v>
      </c>
      <c r="G139" s="4" t="s">
        <v>2424</v>
      </c>
      <c r="H139" s="4" t="str">
        <f t="shared" si="8"/>
        <v>att_compound</v>
      </c>
      <c r="I139" s="4" t="s">
        <v>644</v>
      </c>
      <c r="J139" s="4" t="str">
        <f t="shared" si="9"/>
        <v>att_compound:berzosertib</v>
      </c>
      <c r="K139" s="7" t="s">
        <v>17</v>
      </c>
      <c r="L139" s="4" t="s">
        <v>645</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c r="A140" s="8" t="b">
        <f>FALSE()</f>
        <v>0</v>
      </c>
      <c r="B140" s="8"/>
      <c r="C140" s="4" t="s">
        <v>646</v>
      </c>
      <c r="D140" s="4" t="s">
        <v>646</v>
      </c>
      <c r="E140" s="4" t="s">
        <v>13</v>
      </c>
      <c r="F140" s="4" t="s">
        <v>2423</v>
      </c>
      <c r="G140" s="4" t="s">
        <v>2424</v>
      </c>
      <c r="H140" s="4" t="str">
        <f t="shared" si="8"/>
        <v>att_compound</v>
      </c>
      <c r="I140" s="4" t="s">
        <v>646</v>
      </c>
      <c r="J140" s="4" t="str">
        <f t="shared" si="9"/>
        <v>att_compound:bortezomib</v>
      </c>
      <c r="K140" s="7" t="s">
        <v>17</v>
      </c>
      <c r="L140" s="4" t="s">
        <v>647</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c r="A141" s="9" t="b">
        <f>FALSE()</f>
        <v>0</v>
      </c>
      <c r="B141" s="9"/>
      <c r="C141" s="10" t="s">
        <v>2425</v>
      </c>
      <c r="D141" s="10" t="s">
        <v>2426</v>
      </c>
      <c r="E141" s="10" t="s">
        <v>13</v>
      </c>
      <c r="F141" s="10" t="s">
        <v>2423</v>
      </c>
      <c r="G141" s="10" t="s">
        <v>2424</v>
      </c>
      <c r="H141" s="10" t="str">
        <f t="shared" si="8"/>
        <v>att_compound</v>
      </c>
      <c r="I141" s="10" t="s">
        <v>2425</v>
      </c>
      <c r="J141" s="10" t="str">
        <f t="shared" si="9"/>
        <v>att_compound:cgas</v>
      </c>
      <c r="K141" s="11" t="s">
        <v>17</v>
      </c>
      <c r="L141" s="10" t="s">
        <v>2426</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c r="A142" s="8" t="b">
        <f>FALSE()</f>
        <v>0</v>
      </c>
      <c r="B142" s="8"/>
      <c r="C142" s="4" t="s">
        <v>651</v>
      </c>
      <c r="D142" s="4" t="s">
        <v>651</v>
      </c>
      <c r="E142" s="4" t="s">
        <v>13</v>
      </c>
      <c r="F142" s="4" t="s">
        <v>2423</v>
      </c>
      <c r="G142" s="4" t="s">
        <v>2424</v>
      </c>
      <c r="H142" s="4" t="str">
        <f t="shared" si="8"/>
        <v>att_compound</v>
      </c>
      <c r="I142" s="4" t="s">
        <v>651</v>
      </c>
      <c r="J142" s="4" t="str">
        <f t="shared" si="9"/>
        <v>att_compound:cycloheximide</v>
      </c>
      <c r="K142" s="7" t="s">
        <v>17</v>
      </c>
      <c r="L142" s="4" t="s">
        <v>652</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c r="A143" s="8" t="b">
        <f>FALSE()</f>
        <v>0</v>
      </c>
      <c r="B143" s="8"/>
      <c r="C143" s="4" t="s">
        <v>2427</v>
      </c>
      <c r="D143" s="4" t="s">
        <v>2428</v>
      </c>
      <c r="E143" s="4" t="s">
        <v>13</v>
      </c>
      <c r="F143" s="4" t="s">
        <v>2423</v>
      </c>
      <c r="G143" s="4" t="s">
        <v>2424</v>
      </c>
      <c r="H143" s="4" t="str">
        <f t="shared" si="8"/>
        <v>att_compound</v>
      </c>
      <c r="I143" s="4" t="s">
        <v>2427</v>
      </c>
      <c r="J143" s="4" t="str">
        <f t="shared" si="9"/>
        <v>att_compound:diabzi</v>
      </c>
      <c r="K143" s="7" t="s">
        <v>17</v>
      </c>
      <c r="L143" s="4" t="s">
        <v>2428</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c r="A144" s="8" t="b">
        <f>FALSE()</f>
        <v>0</v>
      </c>
      <c r="B144" s="8"/>
      <c r="C144" s="4" t="s">
        <v>653</v>
      </c>
      <c r="D144" s="4" t="s">
        <v>654</v>
      </c>
      <c r="E144" s="4" t="s">
        <v>13</v>
      </c>
      <c r="F144" s="4" t="s">
        <v>2423</v>
      </c>
      <c r="G144" s="4" t="s">
        <v>2424</v>
      </c>
      <c r="H144" s="4" t="str">
        <f t="shared" si="8"/>
        <v>att_compound</v>
      </c>
      <c r="I144" s="4" t="s">
        <v>653</v>
      </c>
      <c r="J144" s="4" t="str">
        <f t="shared" si="9"/>
        <v>att_compound:dmso</v>
      </c>
      <c r="K144" s="7" t="s">
        <v>17</v>
      </c>
      <c r="L144" s="4" t="s">
        <v>2429</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c r="A145" s="8" t="b">
        <f>FALSE()</f>
        <v>0</v>
      </c>
      <c r="B145" s="8"/>
      <c r="C145" s="4" t="s">
        <v>656</v>
      </c>
      <c r="D145" s="4" t="s">
        <v>656</v>
      </c>
      <c r="E145" s="4" t="s">
        <v>13</v>
      </c>
      <c r="F145" s="4" t="s">
        <v>2423</v>
      </c>
      <c r="G145" s="4" t="s">
        <v>2424</v>
      </c>
      <c r="H145" s="4" t="str">
        <f t="shared" si="8"/>
        <v>att_compound</v>
      </c>
      <c r="I145" s="4" t="s">
        <v>656</v>
      </c>
      <c r="J145" s="4" t="str">
        <f t="shared" si="9"/>
        <v>att_compound:doxorubicin</v>
      </c>
      <c r="K145" s="7" t="s">
        <v>17</v>
      </c>
      <c r="L145" s="4" t="s">
        <v>657</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c r="A146" s="8" t="b">
        <f>FALSE()</f>
        <v>0</v>
      </c>
      <c r="B146" s="8"/>
      <c r="C146" s="4" t="s">
        <v>659</v>
      </c>
      <c r="D146" s="4" t="s">
        <v>659</v>
      </c>
      <c r="E146" s="4" t="s">
        <v>13</v>
      </c>
      <c r="F146" s="4" t="s">
        <v>2423</v>
      </c>
      <c r="G146" s="4" t="s">
        <v>2424</v>
      </c>
      <c r="H146" s="4" t="str">
        <f t="shared" si="8"/>
        <v>att_compound</v>
      </c>
      <c r="I146" s="4" t="s">
        <v>659</v>
      </c>
      <c r="J146" s="4" t="str">
        <f t="shared" si="9"/>
        <v>att_compound:doxycycline</v>
      </c>
      <c r="K146" s="7" t="s">
        <v>17</v>
      </c>
      <c r="L146" s="4" t="s">
        <v>660</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c r="A147" s="8" t="b">
        <f>FALSE()</f>
        <v>0</v>
      </c>
      <c r="B147" s="8"/>
      <c r="C147" s="4" t="s">
        <v>662</v>
      </c>
      <c r="D147" s="4" t="s">
        <v>662</v>
      </c>
      <c r="E147" s="4" t="s">
        <v>13</v>
      </c>
      <c r="F147" s="4" t="s">
        <v>2423</v>
      </c>
      <c r="G147" s="4" t="s">
        <v>2424</v>
      </c>
      <c r="H147" s="4" t="str">
        <f t="shared" si="8"/>
        <v>att_compound</v>
      </c>
      <c r="I147" s="4" t="s">
        <v>662</v>
      </c>
      <c r="J147" s="4" t="str">
        <f t="shared" si="9"/>
        <v>att_compound:etoposide</v>
      </c>
      <c r="K147" s="7" t="s">
        <v>17</v>
      </c>
      <c r="L147" s="4" t="s">
        <v>662</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c r="A148" s="8" t="b">
        <f>FALSE()</f>
        <v>0</v>
      </c>
      <c r="B148" s="8"/>
      <c r="C148" s="4" t="s">
        <v>2430</v>
      </c>
      <c r="D148" s="4" t="s">
        <v>2430</v>
      </c>
      <c r="E148" s="4" t="s">
        <v>13</v>
      </c>
      <c r="F148" s="4" t="s">
        <v>2423</v>
      </c>
      <c r="G148" s="4" t="s">
        <v>2424</v>
      </c>
      <c r="H148" s="4" t="str">
        <f t="shared" si="8"/>
        <v>att_compound</v>
      </c>
      <c r="I148" s="4" t="s">
        <v>2430</v>
      </c>
      <c r="J148" s="4" t="str">
        <f t="shared" si="9"/>
        <v>att_compound:lactimidomycin</v>
      </c>
      <c r="K148" s="7" t="s">
        <v>17</v>
      </c>
      <c r="L148" s="4" t="s">
        <v>2431</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c r="A149" s="8" t="b">
        <f>FALSE()</f>
        <v>0</v>
      </c>
      <c r="B149" s="8"/>
      <c r="C149" s="4" t="s">
        <v>2432</v>
      </c>
      <c r="D149" s="4" t="s">
        <v>2433</v>
      </c>
      <c r="E149" s="4" t="s">
        <v>13</v>
      </c>
      <c r="F149" s="4" t="s">
        <v>2423</v>
      </c>
      <c r="G149" s="4" t="s">
        <v>2424</v>
      </c>
      <c r="H149" s="4" t="str">
        <f t="shared" si="8"/>
        <v>att_compound</v>
      </c>
      <c r="I149" s="4" t="s">
        <v>2432</v>
      </c>
      <c r="J149" s="4" t="str">
        <f t="shared" si="9"/>
        <v>att_compound:lps</v>
      </c>
      <c r="K149" s="7" t="s">
        <v>17</v>
      </c>
      <c r="L149" s="4" t="s">
        <v>2434</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c r="A150" s="8" t="b">
        <f>FALSE()</f>
        <v>0</v>
      </c>
      <c r="B150" s="8"/>
      <c r="C150" s="4" t="s">
        <v>2435</v>
      </c>
      <c r="D150" s="4" t="s">
        <v>2436</v>
      </c>
      <c r="E150" s="4" t="s">
        <v>13</v>
      </c>
      <c r="F150" s="4" t="s">
        <v>2423</v>
      </c>
      <c r="G150" s="4" t="s">
        <v>2424</v>
      </c>
      <c r="H150" s="4" t="str">
        <f t="shared" si="8"/>
        <v>att_compound</v>
      </c>
      <c r="I150" s="4" t="s">
        <v>2435</v>
      </c>
      <c r="J150" s="4" t="str">
        <f t="shared" si="9"/>
        <v>att_compound:niap</v>
      </c>
      <c r="K150" s="7" t="s">
        <v>17</v>
      </c>
      <c r="L150" s="4" t="s">
        <v>2436</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c r="A151" s="8" t="b">
        <f>FALSE()</f>
        <v>0</v>
      </c>
      <c r="B151" s="8"/>
      <c r="C151" s="4" t="s">
        <v>2437</v>
      </c>
      <c r="D151" s="4" t="s">
        <v>2438</v>
      </c>
      <c r="E151" s="4" t="s">
        <v>13</v>
      </c>
      <c r="F151" s="4" t="s">
        <v>2423</v>
      </c>
      <c r="G151" s="4" t="s">
        <v>2424</v>
      </c>
      <c r="H151" s="4" t="str">
        <f t="shared" si="8"/>
        <v>att_compound</v>
      </c>
      <c r="I151" s="4" t="s">
        <v>2437</v>
      </c>
      <c r="J151" s="4" t="str">
        <f t="shared" si="9"/>
        <v>att_compound:pam</v>
      </c>
      <c r="K151" s="7" t="s">
        <v>17</v>
      </c>
      <c r="L151" s="4" t="s">
        <v>2439</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c r="A152" s="8" t="b">
        <f>FALSE()</f>
        <v>0</v>
      </c>
      <c r="B152" s="8"/>
      <c r="C152" s="4" t="s">
        <v>2440</v>
      </c>
      <c r="D152" s="4" t="s">
        <v>2441</v>
      </c>
      <c r="E152" s="4" t="s">
        <v>13</v>
      </c>
      <c r="F152" s="4" t="s">
        <v>2423</v>
      </c>
      <c r="G152" s="4" t="s">
        <v>2424</v>
      </c>
      <c r="H152" s="4" t="str">
        <f t="shared" si="8"/>
        <v>att_compound</v>
      </c>
      <c r="I152" s="4" t="s">
        <v>2440</v>
      </c>
      <c r="J152" s="4" t="str">
        <f t="shared" si="9"/>
        <v>att_compound:r837</v>
      </c>
      <c r="K152" s="7" t="s">
        <v>17</v>
      </c>
      <c r="L152" s="4" t="s">
        <v>2442</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8" t="b">
        <f>FALSE()</f>
        <v>0</v>
      </c>
      <c r="B153" s="8"/>
      <c r="C153" s="4" t="s">
        <v>2443</v>
      </c>
      <c r="D153" s="4" t="s">
        <v>2444</v>
      </c>
      <c r="E153" s="4" t="s">
        <v>13</v>
      </c>
      <c r="F153" s="4" t="s">
        <v>2423</v>
      </c>
      <c r="G153" s="4" t="s">
        <v>2424</v>
      </c>
      <c r="H153" s="4" t="str">
        <f t="shared" si="8"/>
        <v>att_compound</v>
      </c>
      <c r="I153" s="4" t="s">
        <v>2443</v>
      </c>
      <c r="J153" s="4" t="str">
        <f t="shared" si="9"/>
        <v>att_compound:r848</v>
      </c>
      <c r="K153" s="7" t="s">
        <v>17</v>
      </c>
      <c r="L153" s="4" t="s">
        <v>2445</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8" t="b">
        <f>FALSE()</f>
        <v>0</v>
      </c>
      <c r="B154" s="8"/>
      <c r="C154" s="4" t="s">
        <v>683</v>
      </c>
      <c r="D154" s="4" t="s">
        <v>683</v>
      </c>
      <c r="E154" s="4" t="s">
        <v>13</v>
      </c>
      <c r="F154" s="4" t="s">
        <v>2423</v>
      </c>
      <c r="G154" s="4" t="s">
        <v>2424</v>
      </c>
      <c r="H154" s="4" t="str">
        <f t="shared" si="8"/>
        <v>att_compound</v>
      </c>
      <c r="I154" s="4" t="s">
        <v>683</v>
      </c>
      <c r="J154" s="4" t="str">
        <f t="shared" si="9"/>
        <v>att_compound:tamoxifen</v>
      </c>
      <c r="K154" s="7" t="s">
        <v>17</v>
      </c>
      <c r="L154" s="4" t="s">
        <v>684</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c r="A155" s="8" t="b">
        <f>FALSE()</f>
        <v>0</v>
      </c>
      <c r="B155" s="8"/>
      <c r="C155" s="4" t="s">
        <v>688</v>
      </c>
      <c r="D155" s="4" t="s">
        <v>688</v>
      </c>
      <c r="E155" s="4" t="s">
        <v>13</v>
      </c>
      <c r="F155" s="4" t="s">
        <v>2423</v>
      </c>
      <c r="G155" s="4" t="s">
        <v>2424</v>
      </c>
      <c r="H155" s="4" t="str">
        <f t="shared" si="8"/>
        <v>att_compound</v>
      </c>
      <c r="I155" s="4" t="s">
        <v>688</v>
      </c>
      <c r="J155" s="4" t="str">
        <f t="shared" si="9"/>
        <v>att_compound:trametinib</v>
      </c>
      <c r="K155" s="7" t="s">
        <v>17</v>
      </c>
      <c r="L155" s="4" t="s">
        <v>689</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c r="A156" s="8" t="b">
        <f>FALSE()</f>
        <v>0</v>
      </c>
      <c r="B156" s="8"/>
      <c r="C156" s="4" t="s">
        <v>690</v>
      </c>
      <c r="D156" s="4" t="s">
        <v>691</v>
      </c>
      <c r="E156" s="4" t="s">
        <v>13</v>
      </c>
      <c r="F156" s="4" t="s">
        <v>2423</v>
      </c>
      <c r="G156" s="4" t="s">
        <v>2424</v>
      </c>
      <c r="H156" s="4" t="str">
        <f t="shared" si="8"/>
        <v>att_compound</v>
      </c>
      <c r="I156" s="4" t="s">
        <v>690</v>
      </c>
      <c r="J156" s="4" t="str">
        <f t="shared" si="9"/>
        <v>att_compound:unstimulated</v>
      </c>
      <c r="K156" s="7" t="s">
        <v>17</v>
      </c>
      <c r="L156" s="4" t="s">
        <v>692</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c r="A157" s="8" t="b">
        <f>FALSE()</f>
        <v>0</v>
      </c>
      <c r="B157" s="8"/>
      <c r="C157" s="4" t="s">
        <v>693</v>
      </c>
      <c r="D157" s="4" t="s">
        <v>693</v>
      </c>
      <c r="E157" s="4" t="s">
        <v>13</v>
      </c>
      <c r="F157" s="4" t="s">
        <v>2446</v>
      </c>
      <c r="G157" s="4" t="s">
        <v>2447</v>
      </c>
      <c r="H157" s="4" t="str">
        <f t="shared" si="8"/>
        <v>att_context</v>
      </c>
      <c r="I157" s="4" t="s">
        <v>693</v>
      </c>
      <c r="J157" s="4" t="str">
        <f t="shared" si="9"/>
        <v>att_context:microenvironment</v>
      </c>
      <c r="K157" s="7" t="s">
        <v>17</v>
      </c>
      <c r="L157" s="4" t="s">
        <v>693</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c r="A158" s="7" t="s">
        <v>17</v>
      </c>
      <c r="B158" s="7"/>
      <c r="C158" s="4" t="s">
        <v>903</v>
      </c>
      <c r="D158" s="4" t="s">
        <v>902</v>
      </c>
      <c r="E158" s="4" t="s">
        <v>13</v>
      </c>
      <c r="F158" s="4" t="s">
        <v>2448</v>
      </c>
      <c r="G158" s="4" t="s">
        <v>2449</v>
      </c>
      <c r="H158" s="4" t="str">
        <f t="shared" si="8"/>
        <v>att_dataset</v>
      </c>
      <c r="I158" s="4" t="s">
        <v>903</v>
      </c>
      <c r="J158" s="4" t="str">
        <f t="shared" si="9"/>
        <v>att_dataset:database search</v>
      </c>
      <c r="K158" s="7" t="s">
        <v>17</v>
      </c>
      <c r="L158" s="4" t="s">
        <v>903</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c r="A159" s="7" t="s">
        <v>17</v>
      </c>
      <c r="B159" s="7"/>
      <c r="C159" s="4" t="s">
        <v>905</v>
      </c>
      <c r="D159" s="4" t="s">
        <v>905</v>
      </c>
      <c r="E159" s="4" t="s">
        <v>13</v>
      </c>
      <c r="F159" s="4" t="s">
        <v>2448</v>
      </c>
      <c r="G159" s="4" t="s">
        <v>2449</v>
      </c>
      <c r="H159" s="4" t="str">
        <f t="shared" si="8"/>
        <v>att_dataset</v>
      </c>
      <c r="I159" s="4" t="s">
        <v>905</v>
      </c>
      <c r="J159" s="4" t="str">
        <f t="shared" si="9"/>
        <v>att_dataset:de novo</v>
      </c>
      <c r="K159" s="7" t="s">
        <v>17</v>
      </c>
      <c r="L159" s="4" t="s">
        <v>905</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c r="A160" s="8" t="b">
        <f>FALSE()</f>
        <v>0</v>
      </c>
      <c r="B160" s="8"/>
      <c r="C160" s="4" t="s">
        <v>960</v>
      </c>
      <c r="D160" s="4" t="s">
        <v>961</v>
      </c>
      <c r="E160" s="4" t="s">
        <v>13</v>
      </c>
      <c r="F160" s="4" t="s">
        <v>74</v>
      </c>
      <c r="G160" s="4" t="s">
        <v>2450</v>
      </c>
      <c r="H160" s="4" t="str">
        <f t="shared" si="8"/>
        <v>att_disease</v>
      </c>
      <c r="I160" s="4" t="s">
        <v>960</v>
      </c>
      <c r="J160" s="4" t="str">
        <f t="shared" si="9"/>
        <v>att_disease:als</v>
      </c>
      <c r="K160" s="7" t="s">
        <v>17</v>
      </c>
      <c r="L160" s="4" t="s">
        <v>962</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c r="A161" s="8" t="b">
        <f>FALSE()</f>
        <v>0</v>
      </c>
      <c r="B161" s="8"/>
      <c r="C161" s="4" t="s">
        <v>963</v>
      </c>
      <c r="D161" s="4" t="s">
        <v>964</v>
      </c>
      <c r="E161" s="4" t="s">
        <v>13</v>
      </c>
      <c r="F161" s="4" t="s">
        <v>74</v>
      </c>
      <c r="G161" s="4" t="s">
        <v>2450</v>
      </c>
      <c r="H161" s="4" t="str">
        <f t="shared" si="8"/>
        <v>att_disease</v>
      </c>
      <c r="I161" s="4" t="s">
        <v>963</v>
      </c>
      <c r="J161" s="4" t="str">
        <f t="shared" si="9"/>
        <v>att_disease:alzheimer</v>
      </c>
      <c r="K161" s="7" t="s">
        <v>17</v>
      </c>
      <c r="L161" s="4" t="s">
        <v>965</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c r="A162" s="8" t="b">
        <f>FALSE()</f>
        <v>0</v>
      </c>
      <c r="B162" s="8"/>
      <c r="C162" s="4" t="s">
        <v>966</v>
      </c>
      <c r="D162" s="4" t="s">
        <v>967</v>
      </c>
      <c r="E162" s="4" t="s">
        <v>13</v>
      </c>
      <c r="F162" s="4" t="s">
        <v>74</v>
      </c>
      <c r="G162" s="4" t="s">
        <v>2450</v>
      </c>
      <c r="H162" s="4" t="str">
        <f t="shared" si="8"/>
        <v>att_disease</v>
      </c>
      <c r="I162" s="4" t="s">
        <v>966</v>
      </c>
      <c r="J162" s="4" t="str">
        <f t="shared" si="9"/>
        <v>att_disease:autoimmune</v>
      </c>
      <c r="K162" s="7" t="s">
        <v>17</v>
      </c>
      <c r="L162" s="4" t="s">
        <v>968</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c r="A163" s="8" t="b">
        <f>FALSE()</f>
        <v>0</v>
      </c>
      <c r="B163" s="8"/>
      <c r="C163" s="4" t="s">
        <v>969</v>
      </c>
      <c r="D163" s="4" t="s">
        <v>970</v>
      </c>
      <c r="E163" s="4" t="s">
        <v>13</v>
      </c>
      <c r="F163" s="4" t="s">
        <v>74</v>
      </c>
      <c r="G163" s="4" t="s">
        <v>2450</v>
      </c>
      <c r="H163" s="4" t="str">
        <f t="shared" si="8"/>
        <v>att_disease</v>
      </c>
      <c r="I163" s="4" t="s">
        <v>969</v>
      </c>
      <c r="J163" s="4" t="str">
        <f t="shared" si="9"/>
        <v>att_disease:cancer</v>
      </c>
      <c r="K163" s="7" t="s">
        <v>17</v>
      </c>
      <c r="L163" s="4" t="s">
        <v>971</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c r="A164" s="8" t="b">
        <f>FALSE()</f>
        <v>0</v>
      </c>
      <c r="B164" s="8"/>
      <c r="C164" s="4" t="s">
        <v>973</v>
      </c>
      <c r="D164" s="4" t="s">
        <v>974</v>
      </c>
      <c r="E164" s="4" t="s">
        <v>13</v>
      </c>
      <c r="F164" s="4" t="s">
        <v>74</v>
      </c>
      <c r="G164" s="4" t="s">
        <v>2450</v>
      </c>
      <c r="H164" s="4" t="str">
        <f t="shared" si="8"/>
        <v>att_disease</v>
      </c>
      <c r="I164" s="4" t="s">
        <v>972</v>
      </c>
      <c r="J164" s="4" t="str">
        <f t="shared" si="9"/>
        <v>att_disease:cardiovascular_diseases</v>
      </c>
      <c r="K164" s="7" t="s">
        <v>17</v>
      </c>
      <c r="L164" s="4" t="s">
        <v>975</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8" t="b">
        <f>FALSE()</f>
        <v>0</v>
      </c>
      <c r="B165" s="8"/>
      <c r="C165" s="4" t="s">
        <v>976</v>
      </c>
      <c r="D165" s="4" t="s">
        <v>978</v>
      </c>
      <c r="E165" s="4" t="s">
        <v>13</v>
      </c>
      <c r="F165" s="4" t="s">
        <v>74</v>
      </c>
      <c r="G165" s="4" t="s">
        <v>2450</v>
      </c>
      <c r="H165" s="4" t="str">
        <f t="shared" si="8"/>
        <v>att_disease</v>
      </c>
      <c r="I165" s="4" t="s">
        <v>976</v>
      </c>
      <c r="J165" s="4" t="str">
        <f t="shared" si="9"/>
        <v>att_disease:chronic_inflammation</v>
      </c>
      <c r="K165" s="7" t="s">
        <v>17</v>
      </c>
      <c r="L165" s="4" t="s">
        <v>979</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8" t="b">
        <f>FALSE()</f>
        <v>0</v>
      </c>
      <c r="B166" s="8"/>
      <c r="C166" s="4" t="s">
        <v>980</v>
      </c>
      <c r="D166" s="4" t="s">
        <v>981</v>
      </c>
      <c r="E166" s="4" t="s">
        <v>13</v>
      </c>
      <c r="F166" s="4" t="s">
        <v>74</v>
      </c>
      <c r="G166" s="4" t="s">
        <v>2450</v>
      </c>
      <c r="H166" s="4" t="str">
        <f t="shared" si="8"/>
        <v>att_disease</v>
      </c>
      <c r="I166" s="4" t="s">
        <v>980</v>
      </c>
      <c r="J166" s="4" t="str">
        <f t="shared" si="9"/>
        <v>att_disease:coeliac</v>
      </c>
      <c r="K166" s="7" t="s">
        <v>17</v>
      </c>
      <c r="L166" s="4" t="s">
        <v>982</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c r="A167" s="8" t="b">
        <f>FALSE()</f>
        <v>0</v>
      </c>
      <c r="B167" s="8"/>
      <c r="C167" s="4" t="s">
        <v>983</v>
      </c>
      <c r="D167" s="4" t="s">
        <v>984</v>
      </c>
      <c r="E167" s="4" t="s">
        <v>13</v>
      </c>
      <c r="F167" s="4" t="s">
        <v>74</v>
      </c>
      <c r="G167" s="4" t="s">
        <v>2450</v>
      </c>
      <c r="H167" s="4" t="str">
        <f t="shared" si="8"/>
        <v>att_disease</v>
      </c>
      <c r="I167" s="4" t="s">
        <v>983</v>
      </c>
      <c r="J167" s="4" t="str">
        <f t="shared" si="9"/>
        <v>att_disease:covid19</v>
      </c>
      <c r="K167" s="7" t="s">
        <v>17</v>
      </c>
      <c r="L167" s="4" t="s">
        <v>985</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c r="A168" s="8" t="b">
        <f>FALSE()</f>
        <v>0</v>
      </c>
      <c r="B168" s="8"/>
      <c r="C168" s="4" t="s">
        <v>986</v>
      </c>
      <c r="D168" s="4" t="s">
        <v>987</v>
      </c>
      <c r="E168" s="4" t="s">
        <v>13</v>
      </c>
      <c r="F168" s="4" t="s">
        <v>74</v>
      </c>
      <c r="G168" s="4" t="s">
        <v>2450</v>
      </c>
      <c r="H168" s="4" t="str">
        <f t="shared" si="8"/>
        <v>att_disease</v>
      </c>
      <c r="I168" s="4" t="s">
        <v>986</v>
      </c>
      <c r="J168" s="4" t="str">
        <f t="shared" si="9"/>
        <v>att_disease:dementia</v>
      </c>
      <c r="K168" s="7" t="s">
        <v>17</v>
      </c>
      <c r="L168" s="4" t="s">
        <v>987</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c r="A169" s="8" t="b">
        <f>FALSE()</f>
        <v>0</v>
      </c>
      <c r="B169" s="8"/>
      <c r="C169" s="4" t="s">
        <v>988</v>
      </c>
      <c r="D169" s="4" t="s">
        <v>989</v>
      </c>
      <c r="E169" s="4" t="s">
        <v>13</v>
      </c>
      <c r="F169" s="4" t="s">
        <v>74</v>
      </c>
      <c r="G169" s="4" t="s">
        <v>2450</v>
      </c>
      <c r="H169" s="4" t="str">
        <f t="shared" si="8"/>
        <v>att_disease</v>
      </c>
      <c r="I169" s="4" t="s">
        <v>988</v>
      </c>
      <c r="J169" s="4" t="str">
        <f t="shared" si="9"/>
        <v>att_disease:demyelinating</v>
      </c>
      <c r="K169" s="7" t="s">
        <v>17</v>
      </c>
      <c r="L169" s="4" t="s">
        <v>990</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c r="A170" s="8" t="b">
        <f>FALSE()</f>
        <v>0</v>
      </c>
      <c r="B170" s="8"/>
      <c r="C170" s="4" t="s">
        <v>991</v>
      </c>
      <c r="D170" s="4" t="s">
        <v>992</v>
      </c>
      <c r="E170" s="4" t="s">
        <v>13</v>
      </c>
      <c r="F170" s="4" t="s">
        <v>74</v>
      </c>
      <c r="G170" s="4" t="s">
        <v>2450</v>
      </c>
      <c r="H170" s="4" t="str">
        <f t="shared" si="8"/>
        <v>att_disease</v>
      </c>
      <c r="I170" s="4" t="s">
        <v>991</v>
      </c>
      <c r="J170" s="4" t="str">
        <f t="shared" si="9"/>
        <v>att_disease:diabetes</v>
      </c>
      <c r="K170" s="7" t="s">
        <v>17</v>
      </c>
      <c r="L170" s="4" t="s">
        <v>992</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c r="A171" s="8" t="b">
        <f>FALSE()</f>
        <v>0</v>
      </c>
      <c r="B171" s="8"/>
      <c r="C171" s="4" t="s">
        <v>993</v>
      </c>
      <c r="D171" s="4" t="s">
        <v>994</v>
      </c>
      <c r="E171" s="4" t="s">
        <v>13</v>
      </c>
      <c r="F171" s="4" t="s">
        <v>74</v>
      </c>
      <c r="G171" s="4" t="s">
        <v>2450</v>
      </c>
      <c r="H171" s="4" t="str">
        <f t="shared" si="8"/>
        <v>att_disease</v>
      </c>
      <c r="I171" s="4" t="s">
        <v>993</v>
      </c>
      <c r="J171" s="4" t="str">
        <f t="shared" si="9"/>
        <v>att_disease:glioblastoma</v>
      </c>
      <c r="K171" s="7" t="s">
        <v>17</v>
      </c>
      <c r="L171" s="4" t="s">
        <v>995</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c r="A172" s="8" t="b">
        <f>FALSE()</f>
        <v>0</v>
      </c>
      <c r="B172" s="8"/>
      <c r="C172" s="4" t="s">
        <v>996</v>
      </c>
      <c r="D172" s="4" t="s">
        <v>997</v>
      </c>
      <c r="E172" s="4" t="s">
        <v>13</v>
      </c>
      <c r="F172" s="4" t="s">
        <v>74</v>
      </c>
      <c r="G172" s="4" t="s">
        <v>2450</v>
      </c>
      <c r="H172" s="4" t="str">
        <f t="shared" si="8"/>
        <v>att_disease</v>
      </c>
      <c r="I172" s="4" t="s">
        <v>996</v>
      </c>
      <c r="J172" s="4" t="str">
        <f t="shared" si="9"/>
        <v>att_disease:hiv</v>
      </c>
      <c r="K172" s="7" t="s">
        <v>17</v>
      </c>
      <c r="L172" s="4" t="s">
        <v>998</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c r="A173" s="8" t="b">
        <f>FALSE()</f>
        <v>0</v>
      </c>
      <c r="B173" s="8"/>
      <c r="C173" s="4" t="s">
        <v>999</v>
      </c>
      <c r="D173" s="4" t="s">
        <v>1000</v>
      </c>
      <c r="E173" s="4" t="s">
        <v>13</v>
      </c>
      <c r="F173" s="4" t="s">
        <v>74</v>
      </c>
      <c r="G173" s="4" t="s">
        <v>2450</v>
      </c>
      <c r="H173" s="4" t="str">
        <f t="shared" si="8"/>
        <v>att_disease</v>
      </c>
      <c r="I173" s="4" t="s">
        <v>999</v>
      </c>
      <c r="J173" s="4" t="str">
        <f t="shared" si="9"/>
        <v>att_disease:huntington</v>
      </c>
      <c r="K173" s="7" t="s">
        <v>17</v>
      </c>
      <c r="L173" s="4" t="s">
        <v>1001</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c r="A174" s="8" t="b">
        <f>FALSE()</f>
        <v>0</v>
      </c>
      <c r="B174" s="8"/>
      <c r="C174" s="4" t="s">
        <v>1002</v>
      </c>
      <c r="D174" s="4" t="s">
        <v>1003</v>
      </c>
      <c r="E174" s="4" t="s">
        <v>13</v>
      </c>
      <c r="F174" s="4" t="s">
        <v>74</v>
      </c>
      <c r="G174" s="4" t="s">
        <v>2450</v>
      </c>
      <c r="H174" s="4" t="str">
        <f t="shared" si="8"/>
        <v>att_disease</v>
      </c>
      <c r="I174" s="4" t="s">
        <v>1002</v>
      </c>
      <c r="J174" s="4" t="str">
        <f t="shared" si="9"/>
        <v>att_disease:ibd</v>
      </c>
      <c r="K174" s="7" t="s">
        <v>17</v>
      </c>
      <c r="L174" s="4" t="s">
        <v>1004</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c r="A175" s="8" t="b">
        <f>FALSE()</f>
        <v>0</v>
      </c>
      <c r="B175" s="8"/>
      <c r="C175" s="4" t="s">
        <v>1005</v>
      </c>
      <c r="D175" s="4" t="s">
        <v>1006</v>
      </c>
      <c r="E175" s="4" t="s">
        <v>13</v>
      </c>
      <c r="F175" s="4" t="s">
        <v>74</v>
      </c>
      <c r="G175" s="4" t="s">
        <v>2450</v>
      </c>
      <c r="H175" s="4" t="str">
        <f t="shared" si="8"/>
        <v>att_disease</v>
      </c>
      <c r="I175" s="4" t="s">
        <v>1005</v>
      </c>
      <c r="J175" s="4" t="str">
        <f t="shared" si="9"/>
        <v>att_disease:infection</v>
      </c>
      <c r="K175" s="7" t="s">
        <v>17</v>
      </c>
      <c r="L175" s="4" t="s">
        <v>1007</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8" t="b">
        <f>FALSE()</f>
        <v>0</v>
      </c>
      <c r="B176" s="8"/>
      <c r="C176" s="4" t="s">
        <v>1008</v>
      </c>
      <c r="D176" s="4" t="s">
        <v>1009</v>
      </c>
      <c r="E176" s="4" t="s">
        <v>13</v>
      </c>
      <c r="F176" s="4" t="s">
        <v>74</v>
      </c>
      <c r="G176" s="4" t="s">
        <v>2450</v>
      </c>
      <c r="H176" s="4" t="str">
        <f t="shared" si="8"/>
        <v>att_disease</v>
      </c>
      <c r="I176" s="4" t="s">
        <v>1008</v>
      </c>
      <c r="J176" s="4" t="str">
        <f t="shared" si="9"/>
        <v>att_disease:influenza</v>
      </c>
      <c r="K176" s="7" t="s">
        <v>17</v>
      </c>
      <c r="L176" s="4" t="s">
        <v>1010</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8" t="b">
        <f>FALSE()</f>
        <v>0</v>
      </c>
      <c r="B177" s="8"/>
      <c r="C177" s="4" t="s">
        <v>1011</v>
      </c>
      <c r="D177" s="4" t="s">
        <v>553</v>
      </c>
      <c r="E177" s="4" t="s">
        <v>13</v>
      </c>
      <c r="F177" s="4" t="s">
        <v>74</v>
      </c>
      <c r="G177" s="4" t="s">
        <v>2450</v>
      </c>
      <c r="H177" s="4" t="str">
        <f t="shared" si="8"/>
        <v>att_disease</v>
      </c>
      <c r="I177" s="4" t="s">
        <v>1011</v>
      </c>
      <c r="J177" s="4" t="str">
        <f t="shared" si="9"/>
        <v>att_disease:leukemia</v>
      </c>
      <c r="K177" s="7" t="s">
        <v>17</v>
      </c>
      <c r="L177" s="4" t="s">
        <v>1012</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c r="A178" s="8" t="b">
        <f>FALSE()</f>
        <v>0</v>
      </c>
      <c r="B178" s="8"/>
      <c r="C178" s="4" t="s">
        <v>1013</v>
      </c>
      <c r="D178" s="4" t="s">
        <v>1014</v>
      </c>
      <c r="E178" s="4" t="s">
        <v>13</v>
      </c>
      <c r="F178" s="4" t="s">
        <v>74</v>
      </c>
      <c r="G178" s="4" t="s">
        <v>2450</v>
      </c>
      <c r="H178" s="4" t="str">
        <f t="shared" si="8"/>
        <v>att_disease</v>
      </c>
      <c r="I178" s="4" t="s">
        <v>1013</v>
      </c>
      <c r="J178" s="4" t="str">
        <f t="shared" si="9"/>
        <v>att_disease:lymphoma</v>
      </c>
      <c r="K178" s="7" t="s">
        <v>17</v>
      </c>
      <c r="L178" s="4" t="s">
        <v>1015</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c r="A179" s="8" t="b">
        <f>FALSE()</f>
        <v>0</v>
      </c>
      <c r="B179" s="8"/>
      <c r="C179" s="4" t="s">
        <v>1016</v>
      </c>
      <c r="D179" s="4" t="s">
        <v>1017</v>
      </c>
      <c r="E179" s="4" t="s">
        <v>13</v>
      </c>
      <c r="F179" s="4" t="s">
        <v>74</v>
      </c>
      <c r="G179" s="4" t="s">
        <v>2450</v>
      </c>
      <c r="H179" s="4" t="str">
        <f t="shared" si="8"/>
        <v>att_disease</v>
      </c>
      <c r="I179" s="4" t="s">
        <v>1016</v>
      </c>
      <c r="J179" s="4" t="str">
        <f t="shared" si="9"/>
        <v>att_disease:malaria</v>
      </c>
      <c r="K179" s="7" t="s">
        <v>17</v>
      </c>
      <c r="L179" s="4" t="s">
        <v>1018</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c r="A180" s="8" t="b">
        <f>FALSE()</f>
        <v>0</v>
      </c>
      <c r="B180" s="8"/>
      <c r="C180" s="4" t="s">
        <v>21</v>
      </c>
      <c r="D180" s="4" t="s">
        <v>1019</v>
      </c>
      <c r="E180" s="4" t="s">
        <v>13</v>
      </c>
      <c r="F180" s="4" t="s">
        <v>74</v>
      </c>
      <c r="G180" s="4" t="s">
        <v>2450</v>
      </c>
      <c r="H180" s="4" t="str">
        <f t="shared" si="8"/>
        <v>att_disease</v>
      </c>
      <c r="I180" s="4" t="s">
        <v>21</v>
      </c>
      <c r="J180" s="4" t="str">
        <f t="shared" si="9"/>
        <v>att_disease:ms</v>
      </c>
      <c r="K180" s="7" t="s">
        <v>17</v>
      </c>
      <c r="L180" s="4" t="s">
        <v>1020</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c r="A181" s="8" t="b">
        <f>FALSE()</f>
        <v>0</v>
      </c>
      <c r="B181" s="8"/>
      <c r="C181" s="4" t="s">
        <v>1021</v>
      </c>
      <c r="D181" s="4" t="s">
        <v>1022</v>
      </c>
      <c r="E181" s="4" t="s">
        <v>13</v>
      </c>
      <c r="F181" s="4" t="s">
        <v>74</v>
      </c>
      <c r="G181" s="4" t="s">
        <v>2450</v>
      </c>
      <c r="H181" s="4" t="str">
        <f t="shared" si="8"/>
        <v>att_disease</v>
      </c>
      <c r="I181" s="4" t="s">
        <v>1021</v>
      </c>
      <c r="J181" s="4" t="str">
        <f t="shared" si="9"/>
        <v>att_disease:msa</v>
      </c>
      <c r="K181" s="7" t="s">
        <v>17</v>
      </c>
      <c r="L181" s="4" t="s">
        <v>1023</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c r="A182" s="8" t="b">
        <f>FALSE()</f>
        <v>0</v>
      </c>
      <c r="B182" s="8"/>
      <c r="C182" s="4" t="s">
        <v>1024</v>
      </c>
      <c r="D182" s="4" t="s">
        <v>1025</v>
      </c>
      <c r="E182" s="4" t="s">
        <v>13</v>
      </c>
      <c r="F182" s="4" t="s">
        <v>74</v>
      </c>
      <c r="G182" s="4" t="s">
        <v>2450</v>
      </c>
      <c r="H182" s="4" t="str">
        <f t="shared" si="8"/>
        <v>att_disease</v>
      </c>
      <c r="I182" s="4" t="s">
        <v>1024</v>
      </c>
      <c r="J182" s="4" t="str">
        <f t="shared" si="9"/>
        <v>att_disease:neurodegenerative</v>
      </c>
      <c r="K182" s="7" t="s">
        <v>17</v>
      </c>
      <c r="L182" s="4" t="s">
        <v>1026</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c r="A183" s="8" t="b">
        <f>FALSE()</f>
        <v>0</v>
      </c>
      <c r="B183" s="8"/>
      <c r="C183" s="4" t="s">
        <v>1027</v>
      </c>
      <c r="D183" s="4" t="s">
        <v>1028</v>
      </c>
      <c r="E183" s="4" t="s">
        <v>13</v>
      </c>
      <c r="F183" s="4" t="s">
        <v>74</v>
      </c>
      <c r="G183" s="4" t="s">
        <v>2450</v>
      </c>
      <c r="H183" s="4" t="str">
        <f t="shared" si="8"/>
        <v>att_disease</v>
      </c>
      <c r="I183" s="4" t="s">
        <v>1027</v>
      </c>
      <c r="J183" s="4" t="str">
        <f t="shared" si="9"/>
        <v>att_disease:parkinson</v>
      </c>
      <c r="K183" s="7" t="s">
        <v>17</v>
      </c>
      <c r="L183" s="4" t="s">
        <v>1029</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c r="A184" s="8" t="b">
        <f>FALSE()</f>
        <v>0</v>
      </c>
      <c r="B184" s="8"/>
      <c r="C184" s="4" t="s">
        <v>1030</v>
      </c>
      <c r="D184" s="4" t="s">
        <v>1031</v>
      </c>
      <c r="E184" s="4" t="s">
        <v>13</v>
      </c>
      <c r="F184" s="4" t="s">
        <v>74</v>
      </c>
      <c r="G184" s="4" t="s">
        <v>2450</v>
      </c>
      <c r="H184" s="4" t="str">
        <f t="shared" si="8"/>
        <v>att_disease</v>
      </c>
      <c r="I184" s="4" t="s">
        <v>1030</v>
      </c>
      <c r="J184" s="4" t="str">
        <f t="shared" si="9"/>
        <v>att_disease:prion</v>
      </c>
      <c r="K184" s="7" t="s">
        <v>17</v>
      </c>
      <c r="L184" s="4" t="s">
        <v>1032</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c r="A185" s="8" t="b">
        <f>FALSE()</f>
        <v>0</v>
      </c>
      <c r="B185" s="8"/>
      <c r="C185" s="4" t="s">
        <v>1033</v>
      </c>
      <c r="D185" s="4" t="s">
        <v>1034</v>
      </c>
      <c r="E185" s="4" t="s">
        <v>13</v>
      </c>
      <c r="F185" s="4" t="s">
        <v>74</v>
      </c>
      <c r="G185" s="4" t="s">
        <v>2450</v>
      </c>
      <c r="H185" s="4" t="str">
        <f t="shared" si="8"/>
        <v>att_disease</v>
      </c>
      <c r="I185" s="4" t="s">
        <v>1033</v>
      </c>
      <c r="J185" s="4" t="str">
        <f t="shared" si="9"/>
        <v>att_disease:rheumatoid</v>
      </c>
      <c r="K185" s="7" t="s">
        <v>17</v>
      </c>
      <c r="L185" s="4" t="s">
        <v>1035</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c r="A186" s="8" t="b">
        <f>FALSE()</f>
        <v>0</v>
      </c>
      <c r="B186" s="8"/>
      <c r="C186" s="4" t="s">
        <v>1036</v>
      </c>
      <c r="D186" s="4" t="s">
        <v>1037</v>
      </c>
      <c r="E186" s="4" t="s">
        <v>13</v>
      </c>
      <c r="F186" s="4" t="s">
        <v>74</v>
      </c>
      <c r="G186" s="4" t="s">
        <v>2450</v>
      </c>
      <c r="H186" s="4" t="str">
        <f t="shared" si="8"/>
        <v>att_disease</v>
      </c>
      <c r="I186" s="4" t="s">
        <v>1036</v>
      </c>
      <c r="J186" s="4" t="str">
        <f t="shared" si="9"/>
        <v>att_disease:stress</v>
      </c>
      <c r="K186" s="7" t="s">
        <v>17</v>
      </c>
      <c r="L186" s="4" t="s">
        <v>1038</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c r="A187" s="8" t="b">
        <f>FALSE()</f>
        <v>0</v>
      </c>
      <c r="B187" s="8"/>
      <c r="C187" s="4" t="s">
        <v>1039</v>
      </c>
      <c r="D187" s="4" t="s">
        <v>1040</v>
      </c>
      <c r="E187" s="4" t="s">
        <v>13</v>
      </c>
      <c r="F187" s="4" t="s">
        <v>74</v>
      </c>
      <c r="G187" s="4" t="s">
        <v>2450</v>
      </c>
      <c r="H187" s="4" t="str">
        <f t="shared" si="8"/>
        <v>att_disease</v>
      </c>
      <c r="I187" s="4" t="s">
        <v>1039</v>
      </c>
      <c r="J187" s="4" t="str">
        <f t="shared" si="9"/>
        <v>att_disease:stroke</v>
      </c>
      <c r="K187" s="7" t="s">
        <v>17</v>
      </c>
      <c r="L187" s="4" t="s">
        <v>1041</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8" t="b">
        <f>FALSE()</f>
        <v>0</v>
      </c>
      <c r="B188" s="8"/>
      <c r="C188" s="4" t="s">
        <v>1042</v>
      </c>
      <c r="D188" s="4" t="s">
        <v>1043</v>
      </c>
      <c r="E188" s="4" t="s">
        <v>13</v>
      </c>
      <c r="F188" s="4" t="s">
        <v>74</v>
      </c>
      <c r="G188" s="4" t="s">
        <v>2450</v>
      </c>
      <c r="H188" s="4" t="str">
        <f t="shared" si="8"/>
        <v>att_disease</v>
      </c>
      <c r="I188" s="4" t="s">
        <v>1042</v>
      </c>
      <c r="J188" s="4" t="str">
        <f t="shared" si="9"/>
        <v>att_disease:tuberculosis</v>
      </c>
      <c r="K188" s="7" t="s">
        <v>17</v>
      </c>
      <c r="L188" s="4" t="s">
        <v>1044</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7" t="s">
        <v>17</v>
      </c>
      <c r="B189" s="7"/>
      <c r="C189" s="4" t="s">
        <v>1051</v>
      </c>
      <c r="D189" s="4" t="s">
        <v>1052</v>
      </c>
      <c r="E189" s="4" t="s">
        <v>13</v>
      </c>
      <c r="F189" s="4" t="s">
        <v>78</v>
      </c>
      <c r="G189" s="4" t="s">
        <v>2451</v>
      </c>
      <c r="H189" s="4" t="str">
        <f t="shared" si="8"/>
        <v>att_experiment</v>
      </c>
      <c r="I189" s="4" t="s">
        <v>1051</v>
      </c>
      <c r="J189" s="4" t="str">
        <f t="shared" si="9"/>
        <v>att_experiment:acetylome</v>
      </c>
      <c r="K189" s="7" t="s">
        <v>17</v>
      </c>
      <c r="L189" s="4" t="s">
        <v>1052</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c r="A190" s="7" t="s">
        <v>17</v>
      </c>
      <c r="B190" s="7"/>
      <c r="C190" s="4" t="s">
        <v>1053</v>
      </c>
      <c r="D190" s="4" t="s">
        <v>1054</v>
      </c>
      <c r="E190" s="4" t="s">
        <v>13</v>
      </c>
      <c r="F190" s="4" t="s">
        <v>78</v>
      </c>
      <c r="G190" s="4" t="s">
        <v>2451</v>
      </c>
      <c r="H190" s="4" t="str">
        <f t="shared" si="8"/>
        <v>att_experiment</v>
      </c>
      <c r="I190" s="4" t="s">
        <v>1053</v>
      </c>
      <c r="J190" s="4" t="str">
        <f t="shared" si="9"/>
        <v>att_experiment:dvp</v>
      </c>
      <c r="K190" s="7" t="s">
        <v>17</v>
      </c>
      <c r="L190" s="4" t="s">
        <v>1055</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c r="A191" s="7" t="s">
        <v>17</v>
      </c>
      <c r="B191" s="7"/>
      <c r="C191" s="4" t="s">
        <v>1056</v>
      </c>
      <c r="D191" s="4" t="s">
        <v>1058</v>
      </c>
      <c r="E191" s="4" t="s">
        <v>13</v>
      </c>
      <c r="F191" s="4" t="s">
        <v>78</v>
      </c>
      <c r="G191" s="4" t="s">
        <v>2451</v>
      </c>
      <c r="H191" s="4" t="str">
        <f t="shared" si="8"/>
        <v>att_experiment</v>
      </c>
      <c r="I191" s="4" t="s">
        <v>1056</v>
      </c>
      <c r="J191" s="4" t="str">
        <f t="shared" si="9"/>
        <v>att_experiment:expression_proteome</v>
      </c>
      <c r="K191" s="7" t="s">
        <v>17</v>
      </c>
      <c r="L191" s="4" t="s">
        <v>1058</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c r="A192" s="7" t="s">
        <v>17</v>
      </c>
      <c r="B192" s="7"/>
      <c r="C192" s="4" t="s">
        <v>1059</v>
      </c>
      <c r="D192" s="4" t="s">
        <v>1060</v>
      </c>
      <c r="E192" s="4" t="s">
        <v>13</v>
      </c>
      <c r="F192" s="4" t="s">
        <v>78</v>
      </c>
      <c r="G192" s="4" t="s">
        <v>2451</v>
      </c>
      <c r="H192" s="4" t="str">
        <f t="shared" si="8"/>
        <v>att_experiment</v>
      </c>
      <c r="I192" s="4" t="s">
        <v>1059</v>
      </c>
      <c r="J192" s="4" t="str">
        <f t="shared" si="9"/>
        <v>att_experiment:interaction</v>
      </c>
      <c r="K192" s="7" t="s">
        <v>17</v>
      </c>
      <c r="L192" s="4" t="s">
        <v>1060</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c r="A193" s="7" t="s">
        <v>17</v>
      </c>
      <c r="B193" s="7"/>
      <c r="C193" s="4" t="s">
        <v>1061</v>
      </c>
      <c r="D193" s="4" t="s">
        <v>1062</v>
      </c>
      <c r="E193" s="4" t="s">
        <v>13</v>
      </c>
      <c r="F193" s="4" t="s">
        <v>78</v>
      </c>
      <c r="G193" s="4" t="s">
        <v>2451</v>
      </c>
      <c r="H193" s="4" t="str">
        <f t="shared" si="8"/>
        <v>att_experiment</v>
      </c>
      <c r="I193" s="4" t="s">
        <v>1061</v>
      </c>
      <c r="J193" s="4" t="str">
        <f t="shared" si="9"/>
        <v>att_experiment:metrs</v>
      </c>
      <c r="K193" s="7" t="s">
        <v>17</v>
      </c>
      <c r="L193" s="4" t="s">
        <v>1062</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c r="A194" s="7" t="s">
        <v>17</v>
      </c>
      <c r="B194" s="7"/>
      <c r="C194" s="4" t="s">
        <v>2452</v>
      </c>
      <c r="D194" s="4" t="s">
        <v>1065</v>
      </c>
      <c r="E194" s="4" t="s">
        <v>13</v>
      </c>
      <c r="F194" s="4" t="s">
        <v>78</v>
      </c>
      <c r="G194" s="4" t="s">
        <v>2451</v>
      </c>
      <c r="H194" s="4" t="str">
        <f t="shared" ref="H194:H221" si="12">"att_"&amp;G194</f>
        <v>att_experiment</v>
      </c>
      <c r="I194" s="4" t="s">
        <v>1063</v>
      </c>
      <c r="J194" s="4" t="str">
        <f t="shared" ref="J194:J221" si="13">H194&amp;":"&amp;I194</f>
        <v>att_experiment:neo_nterm_enrichment</v>
      </c>
      <c r="K194" s="7" t="s">
        <v>17</v>
      </c>
      <c r="L194" s="4" t="s">
        <v>1065</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7" t="s">
        <v>17</v>
      </c>
      <c r="B195" s="7"/>
      <c r="C195" s="4" t="s">
        <v>2453</v>
      </c>
      <c r="D195" s="4" t="s">
        <v>2454</v>
      </c>
      <c r="E195" s="4" t="s">
        <v>13</v>
      </c>
      <c r="F195" s="4" t="s">
        <v>78</v>
      </c>
      <c r="G195" s="4" t="s">
        <v>2451</v>
      </c>
      <c r="H195" s="4" t="str">
        <f t="shared" si="12"/>
        <v>att_experiment</v>
      </c>
      <c r="I195" s="4" t="s">
        <v>2453</v>
      </c>
      <c r="J195" s="4" t="str">
        <f t="shared" si="13"/>
        <v>att_experiment:other_ptm</v>
      </c>
      <c r="K195" s="7" t="s">
        <v>17</v>
      </c>
      <c r="L195" s="4" t="s">
        <v>2454</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c r="A196" s="7" t="s">
        <v>17</v>
      </c>
      <c r="B196" s="7"/>
      <c r="C196" s="4" t="s">
        <v>1066</v>
      </c>
      <c r="D196" s="4" t="s">
        <v>1067</v>
      </c>
      <c r="E196" s="4" t="s">
        <v>13</v>
      </c>
      <c r="F196" s="4" t="s">
        <v>78</v>
      </c>
      <c r="G196" s="4" t="s">
        <v>2451</v>
      </c>
      <c r="H196" s="4" t="str">
        <f t="shared" si="12"/>
        <v>att_experiment</v>
      </c>
      <c r="I196" s="4" t="s">
        <v>1066</v>
      </c>
      <c r="J196" s="4" t="str">
        <f t="shared" si="13"/>
        <v>att_experiment:oxinome</v>
      </c>
      <c r="K196" s="7" t="s">
        <v>17</v>
      </c>
      <c r="L196" s="4" t="s">
        <v>1067</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c r="A197" s="7" t="s">
        <v>17</v>
      </c>
      <c r="B197" s="7"/>
      <c r="C197" s="4" t="s">
        <v>1068</v>
      </c>
      <c r="D197" s="4" t="s">
        <v>1069</v>
      </c>
      <c r="E197" s="4" t="s">
        <v>13</v>
      </c>
      <c r="F197" s="4" t="s">
        <v>78</v>
      </c>
      <c r="G197" s="4" t="s">
        <v>2451</v>
      </c>
      <c r="H197" s="4" t="str">
        <f t="shared" si="12"/>
        <v>att_experiment</v>
      </c>
      <c r="I197" s="4" t="s">
        <v>1068</v>
      </c>
      <c r="J197" s="4" t="str">
        <f t="shared" si="13"/>
        <v>att_experiment:phosphoproteome</v>
      </c>
      <c r="K197" s="7" t="s">
        <v>17</v>
      </c>
      <c r="L197" s="4" t="s">
        <v>1069</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c r="A198" s="7" t="s">
        <v>17</v>
      </c>
      <c r="B198" s="7"/>
      <c r="C198" s="4" t="s">
        <v>2455</v>
      </c>
      <c r="D198" s="4" t="s">
        <v>1071</v>
      </c>
      <c r="E198" s="4" t="s">
        <v>13</v>
      </c>
      <c r="F198" s="4" t="s">
        <v>78</v>
      </c>
      <c r="G198" s="4" t="s">
        <v>2451</v>
      </c>
      <c r="H198" s="4" t="str">
        <f t="shared" si="12"/>
        <v>att_experiment</v>
      </c>
      <c r="I198" s="4" t="s">
        <v>1070</v>
      </c>
      <c r="J198" s="4" t="str">
        <f t="shared" si="13"/>
        <v>att_experiment:pulse_silac</v>
      </c>
      <c r="K198" s="7" t="s">
        <v>17</v>
      </c>
      <c r="L198" s="4" t="s">
        <v>1071</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c r="A199" s="7" t="s">
        <v>17</v>
      </c>
      <c r="B199" s="7"/>
      <c r="C199" s="4" t="s">
        <v>1072</v>
      </c>
      <c r="D199" s="4" t="s">
        <v>1073</v>
      </c>
      <c r="E199" s="4" t="s">
        <v>13</v>
      </c>
      <c r="F199" s="4" t="s">
        <v>78</v>
      </c>
      <c r="G199" s="4" t="s">
        <v>2451</v>
      </c>
      <c r="H199" s="4" t="str">
        <f t="shared" si="12"/>
        <v>att_experiment</v>
      </c>
      <c r="I199" s="4" t="s">
        <v>1072</v>
      </c>
      <c r="J199" s="4" t="str">
        <f t="shared" si="13"/>
        <v>att_experiment:secretome</v>
      </c>
      <c r="K199" s="7" t="s">
        <v>17</v>
      </c>
      <c r="L199" s="4" t="s">
        <v>1073</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c r="A200" s="7" t="s">
        <v>17</v>
      </c>
      <c r="B200" s="7"/>
      <c r="C200" s="4" t="s">
        <v>1074</v>
      </c>
      <c r="D200" s="4" t="s">
        <v>1075</v>
      </c>
      <c r="E200" s="4" t="s">
        <v>13</v>
      </c>
      <c r="F200" s="4" t="s">
        <v>78</v>
      </c>
      <c r="G200" s="4" t="s">
        <v>2451</v>
      </c>
      <c r="H200" s="4" t="str">
        <f t="shared" si="12"/>
        <v>att_experiment</v>
      </c>
      <c r="I200" s="4" t="s">
        <v>1074</v>
      </c>
      <c r="J200" s="4" t="str">
        <f t="shared" si="13"/>
        <v>att_experiment:spatial</v>
      </c>
      <c r="K200" s="7" t="s">
        <v>17</v>
      </c>
      <c r="L200" s="4" t="s">
        <v>1075</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c r="A201" s="7" t="s">
        <v>17</v>
      </c>
      <c r="B201" s="7"/>
      <c r="C201" s="4" t="s">
        <v>1076</v>
      </c>
      <c r="D201" s="4" t="s">
        <v>1077</v>
      </c>
      <c r="E201" s="4" t="s">
        <v>13</v>
      </c>
      <c r="F201" s="4" t="s">
        <v>78</v>
      </c>
      <c r="G201" s="4" t="s">
        <v>2451</v>
      </c>
      <c r="H201" s="4" t="str">
        <f t="shared" si="12"/>
        <v>att_experiment</v>
      </c>
      <c r="I201" s="4" t="s">
        <v>1076</v>
      </c>
      <c r="J201" s="4" t="str">
        <f t="shared" si="13"/>
        <v>att_experiment:ubiquitinome</v>
      </c>
      <c r="K201" s="7" t="s">
        <v>17</v>
      </c>
      <c r="L201" s="4" t="s">
        <v>1077</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c r="A202" s="8" t="b">
        <f>FALSE()</f>
        <v>0</v>
      </c>
      <c r="C202" s="4" t="s">
        <v>1078</v>
      </c>
      <c r="D202" s="4" t="s">
        <v>1080</v>
      </c>
      <c r="E202" s="4" t="s">
        <v>13</v>
      </c>
      <c r="F202" s="4" t="s">
        <v>2456</v>
      </c>
      <c r="G202" s="4" t="s">
        <v>2457</v>
      </c>
      <c r="H202" s="4" t="str">
        <f t="shared" si="12"/>
        <v>att_fluid</v>
      </c>
      <c r="I202" s="4" t="s">
        <v>1078</v>
      </c>
      <c r="J202" s="4" t="str">
        <f t="shared" si="13"/>
        <v>att_fluid:bal</v>
      </c>
      <c r="K202" s="7" t="s">
        <v>17</v>
      </c>
      <c r="L202" s="4" t="s">
        <v>1081</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c r="A203" s="8" t="b">
        <f>FALSE()</f>
        <v>0</v>
      </c>
      <c r="B203" s="8"/>
      <c r="C203" s="4" t="s">
        <v>1082</v>
      </c>
      <c r="D203" s="4" t="s">
        <v>1083</v>
      </c>
      <c r="E203" s="4" t="s">
        <v>13</v>
      </c>
      <c r="F203" s="4" t="s">
        <v>2456</v>
      </c>
      <c r="G203" s="4" t="s">
        <v>2457</v>
      </c>
      <c r="H203" s="4" t="str">
        <f t="shared" si="12"/>
        <v>att_fluid</v>
      </c>
      <c r="I203" s="4" t="s">
        <v>1082</v>
      </c>
      <c r="J203" s="4" t="str">
        <f t="shared" si="13"/>
        <v>att_fluid:cerebrospinal</v>
      </c>
      <c r="K203" s="7" t="s">
        <v>17</v>
      </c>
      <c r="L203" s="4" t="s">
        <v>1084</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c r="A204" s="8" t="b">
        <f>FALSE()</f>
        <v>0</v>
      </c>
      <c r="B204" s="8"/>
      <c r="C204" s="4" t="s">
        <v>1085</v>
      </c>
      <c r="D204" s="4" t="s">
        <v>1086</v>
      </c>
      <c r="E204" s="4" t="s">
        <v>13</v>
      </c>
      <c r="F204" s="4" t="s">
        <v>2456</v>
      </c>
      <c r="G204" s="4" t="s">
        <v>2457</v>
      </c>
      <c r="H204" s="4" t="str">
        <f t="shared" si="12"/>
        <v>att_fluid</v>
      </c>
      <c r="I204" s="4" t="s">
        <v>1085</v>
      </c>
      <c r="J204" s="4" t="str">
        <f t="shared" si="13"/>
        <v>att_fluid:feces</v>
      </c>
      <c r="K204" s="7" t="s">
        <v>17</v>
      </c>
      <c r="L204" s="4" t="s">
        <v>1087</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c r="A205" s="8" t="b">
        <f>FALSE()</f>
        <v>0</v>
      </c>
      <c r="B205" s="8"/>
      <c r="C205" s="4" t="s">
        <v>1088</v>
      </c>
      <c r="D205" s="4" t="s">
        <v>1089</v>
      </c>
      <c r="E205" s="4" t="s">
        <v>13</v>
      </c>
      <c r="F205" s="4" t="s">
        <v>2456</v>
      </c>
      <c r="G205" s="4" t="s">
        <v>2457</v>
      </c>
      <c r="H205" s="4" t="str">
        <f t="shared" si="12"/>
        <v>att_fluid</v>
      </c>
      <c r="I205" s="4" t="s">
        <v>1088</v>
      </c>
      <c r="J205" s="4" t="str">
        <f t="shared" si="13"/>
        <v>att_fluid:interstitial</v>
      </c>
      <c r="K205" s="7" t="s">
        <v>17</v>
      </c>
      <c r="L205" s="4" t="s">
        <v>1090</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c r="A206" s="8" t="b">
        <f>FALSE()</f>
        <v>0</v>
      </c>
      <c r="B206" s="8"/>
      <c r="C206" s="4" t="s">
        <v>1091</v>
      </c>
      <c r="D206" s="4" t="s">
        <v>1092</v>
      </c>
      <c r="E206" s="4" t="s">
        <v>13</v>
      </c>
      <c r="F206" s="4" t="s">
        <v>2456</v>
      </c>
      <c r="G206" s="4" t="s">
        <v>2457</v>
      </c>
      <c r="H206" s="4" t="str">
        <f t="shared" si="12"/>
        <v>att_fluid</v>
      </c>
      <c r="I206" s="4" t="s">
        <v>1091</v>
      </c>
      <c r="J206" s="4" t="str">
        <f t="shared" si="13"/>
        <v>att_fluid:lymph</v>
      </c>
      <c r="K206" s="7" t="s">
        <v>17</v>
      </c>
      <c r="L206" s="4" t="s">
        <v>1093</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c r="A207" s="8" t="b">
        <f>FALSE()</f>
        <v>0</v>
      </c>
      <c r="B207" s="8"/>
      <c r="C207" s="4" t="s">
        <v>1094</v>
      </c>
      <c r="D207" s="4" t="s">
        <v>1095</v>
      </c>
      <c r="E207" s="4" t="s">
        <v>13</v>
      </c>
      <c r="F207" s="4" t="s">
        <v>2456</v>
      </c>
      <c r="G207" s="4" t="s">
        <v>2457</v>
      </c>
      <c r="H207" s="4" t="str">
        <f t="shared" si="12"/>
        <v>att_fluid</v>
      </c>
      <c r="I207" s="4" t="s">
        <v>1094</v>
      </c>
      <c r="J207" s="4" t="str">
        <f t="shared" si="13"/>
        <v>att_fluid:peritoneal</v>
      </c>
      <c r="K207" s="7" t="s">
        <v>17</v>
      </c>
      <c r="L207" s="4" t="s">
        <v>1096</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c r="A208" s="8" t="b">
        <f>FALSE()</f>
        <v>0</v>
      </c>
      <c r="B208" s="8"/>
      <c r="C208" s="4" t="s">
        <v>1097</v>
      </c>
      <c r="D208" s="4" t="s">
        <v>1098</v>
      </c>
      <c r="E208" s="4" t="s">
        <v>13</v>
      </c>
      <c r="F208" s="4" t="s">
        <v>2456</v>
      </c>
      <c r="G208" s="4" t="s">
        <v>2457</v>
      </c>
      <c r="H208" s="4" t="str">
        <f t="shared" si="12"/>
        <v>att_fluid</v>
      </c>
      <c r="I208" s="4" t="s">
        <v>1097</v>
      </c>
      <c r="J208" s="4" t="str">
        <f t="shared" si="13"/>
        <v>att_fluid:plasma</v>
      </c>
      <c r="K208" s="7" t="s">
        <v>17</v>
      </c>
      <c r="L208" s="4" t="s">
        <v>1099</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c r="A209" s="8" t="b">
        <f>FALSE()</f>
        <v>0</v>
      </c>
      <c r="B209" s="8"/>
      <c r="C209" s="4" t="s">
        <v>1100</v>
      </c>
      <c r="D209" s="4" t="s">
        <v>1101</v>
      </c>
      <c r="E209" s="4" t="s">
        <v>13</v>
      </c>
      <c r="F209" s="4" t="s">
        <v>2456</v>
      </c>
      <c r="G209" s="4" t="s">
        <v>2457</v>
      </c>
      <c r="H209" s="4" t="str">
        <f t="shared" si="12"/>
        <v>att_fluid</v>
      </c>
      <c r="I209" s="4" t="s">
        <v>1100</v>
      </c>
      <c r="J209" s="4" t="str">
        <f t="shared" si="13"/>
        <v>att_fluid:pleural</v>
      </c>
      <c r="K209" s="7" t="s">
        <v>17</v>
      </c>
      <c r="L209" s="4" t="s">
        <v>1102</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c r="A210" s="8" t="b">
        <f>FALSE()</f>
        <v>0</v>
      </c>
      <c r="B210" s="8"/>
      <c r="C210" s="4" t="s">
        <v>1103</v>
      </c>
      <c r="D210" s="4" t="s">
        <v>1104</v>
      </c>
      <c r="E210" s="4" t="s">
        <v>13</v>
      </c>
      <c r="F210" s="4" t="s">
        <v>2456</v>
      </c>
      <c r="G210" s="4" t="s">
        <v>2457</v>
      </c>
      <c r="H210" s="4" t="str">
        <f t="shared" si="12"/>
        <v>att_fluid</v>
      </c>
      <c r="I210" s="4" t="s">
        <v>1103</v>
      </c>
      <c r="J210" s="4" t="str">
        <f t="shared" si="13"/>
        <v>att_fluid:saliva</v>
      </c>
      <c r="K210" s="7" t="s">
        <v>17</v>
      </c>
      <c r="L210" s="4" t="s">
        <v>1105</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c r="A211" s="8" t="b">
        <f>FALSE()</f>
        <v>0</v>
      </c>
      <c r="B211" s="8"/>
      <c r="C211" s="4" t="s">
        <v>1106</v>
      </c>
      <c r="D211" s="4" t="s">
        <v>1107</v>
      </c>
      <c r="E211" s="4" t="s">
        <v>13</v>
      </c>
      <c r="F211" s="4" t="s">
        <v>2456</v>
      </c>
      <c r="G211" s="4" t="s">
        <v>2457</v>
      </c>
      <c r="H211" s="4" t="str">
        <f t="shared" si="12"/>
        <v>att_fluid</v>
      </c>
      <c r="I211" s="4" t="s">
        <v>1106</v>
      </c>
      <c r="J211" s="4" t="str">
        <f t="shared" si="13"/>
        <v>att_fluid:seminal</v>
      </c>
      <c r="K211" s="7" t="s">
        <v>17</v>
      </c>
      <c r="L211" s="4" t="s">
        <v>1108</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c r="A212" s="8" t="b">
        <f>FALSE()</f>
        <v>0</v>
      </c>
      <c r="B212" s="8"/>
      <c r="C212" s="4" t="s">
        <v>1109</v>
      </c>
      <c r="D212" s="4" t="s">
        <v>1110</v>
      </c>
      <c r="E212" s="4" t="s">
        <v>13</v>
      </c>
      <c r="F212" s="4" t="s">
        <v>2456</v>
      </c>
      <c r="G212" s="4" t="s">
        <v>2457</v>
      </c>
      <c r="H212" s="4" t="str">
        <f t="shared" si="12"/>
        <v>att_fluid</v>
      </c>
      <c r="I212" s="4" t="s">
        <v>1109</v>
      </c>
      <c r="J212" s="4" t="str">
        <f t="shared" si="13"/>
        <v>att_fluid:serum</v>
      </c>
      <c r="K212" s="7" t="s">
        <v>17</v>
      </c>
      <c r="L212" s="4" t="s">
        <v>1111</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c r="A213" s="8" t="b">
        <f>FALSE()</f>
        <v>0</v>
      </c>
      <c r="B213" s="8"/>
      <c r="C213" s="4" t="s">
        <v>1112</v>
      </c>
      <c r="D213" s="4" t="s">
        <v>1113</v>
      </c>
      <c r="E213" s="4" t="s">
        <v>13</v>
      </c>
      <c r="F213" s="4" t="s">
        <v>2456</v>
      </c>
      <c r="G213" s="4" t="s">
        <v>2457</v>
      </c>
      <c r="H213" s="4" t="str">
        <f t="shared" si="12"/>
        <v>att_fluid</v>
      </c>
      <c r="I213" s="4" t="s">
        <v>1112</v>
      </c>
      <c r="J213" s="4" t="str">
        <f t="shared" si="13"/>
        <v>att_fluid:urine</v>
      </c>
      <c r="K213" s="7" t="s">
        <v>17</v>
      </c>
      <c r="L213" s="4" t="s">
        <v>1114</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c r="A214" s="8" t="b">
        <f>FALSE()</f>
        <v>0</v>
      </c>
      <c r="B214" s="8"/>
      <c r="C214" s="4" t="s">
        <v>1115</v>
      </c>
      <c r="D214" s="4" t="s">
        <v>1115</v>
      </c>
      <c r="E214" s="4" t="s">
        <v>13</v>
      </c>
      <c r="F214" s="4" t="s">
        <v>158</v>
      </c>
      <c r="G214" s="4" t="s">
        <v>2458</v>
      </c>
      <c r="H214" s="4" t="str">
        <f t="shared" si="12"/>
        <v>att_fraction</v>
      </c>
      <c r="I214" s="4" t="s">
        <v>1115</v>
      </c>
      <c r="J214" s="4" t="str">
        <f t="shared" si="13"/>
        <v>att_fraction:01k</v>
      </c>
      <c r="K214" s="7" t="s">
        <v>17</v>
      </c>
      <c r="L214" s="4" t="s">
        <v>2459</v>
      </c>
      <c r="M214" s="4" t="s">
        <v>1074</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c r="A215" s="8" t="b">
        <f>FALSE()</f>
        <v>0</v>
      </c>
      <c r="B215" s="8"/>
      <c r="C215" s="4" t="s">
        <v>1118</v>
      </c>
      <c r="D215" s="4" t="s">
        <v>1118</v>
      </c>
      <c r="E215" s="4" t="s">
        <v>13</v>
      </c>
      <c r="F215" s="4" t="s">
        <v>158</v>
      </c>
      <c r="G215" s="4" t="s">
        <v>2458</v>
      </c>
      <c r="H215" s="4" t="str">
        <f t="shared" si="12"/>
        <v>att_fraction</v>
      </c>
      <c r="I215" s="4" t="s">
        <v>1118</v>
      </c>
      <c r="J215" s="4" t="str">
        <f t="shared" si="13"/>
        <v>att_fraction:05k</v>
      </c>
      <c r="K215" s="7" t="s">
        <v>17</v>
      </c>
      <c r="L215" s="4" t="s">
        <v>2460</v>
      </c>
      <c r="M215" s="4" t="s">
        <v>1074</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c r="A216" s="8" t="b">
        <f>FALSE()</f>
        <v>0</v>
      </c>
      <c r="B216" s="8"/>
      <c r="C216" s="4" t="s">
        <v>1120</v>
      </c>
      <c r="D216" s="4" t="s">
        <v>1120</v>
      </c>
      <c r="E216" s="4" t="s">
        <v>13</v>
      </c>
      <c r="F216" s="4" t="s">
        <v>158</v>
      </c>
      <c r="G216" s="4" t="s">
        <v>2458</v>
      </c>
      <c r="H216" s="4" t="str">
        <f t="shared" si="12"/>
        <v>att_fraction</v>
      </c>
      <c r="I216" s="4" t="s">
        <v>1120</v>
      </c>
      <c r="J216" s="4" t="str">
        <f t="shared" si="13"/>
        <v>att_fraction:12k</v>
      </c>
      <c r="K216" s="7" t="s">
        <v>17</v>
      </c>
      <c r="L216" s="4" t="s">
        <v>2461</v>
      </c>
      <c r="M216" s="4" t="s">
        <v>1074</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c r="A217" s="8" t="b">
        <f>FALSE()</f>
        <v>0</v>
      </c>
      <c r="B217" s="8"/>
      <c r="C217" s="4" t="s">
        <v>1122</v>
      </c>
      <c r="D217" s="4" t="s">
        <v>1122</v>
      </c>
      <c r="E217" s="4" t="s">
        <v>13</v>
      </c>
      <c r="F217" s="4" t="s">
        <v>158</v>
      </c>
      <c r="G217" s="4" t="s">
        <v>2458</v>
      </c>
      <c r="H217" s="4" t="str">
        <f t="shared" si="12"/>
        <v>att_fraction</v>
      </c>
      <c r="I217" s="4" t="s">
        <v>1122</v>
      </c>
      <c r="J217" s="4" t="str">
        <f t="shared" si="13"/>
        <v>att_fraction:24k</v>
      </c>
      <c r="K217" s="7" t="s">
        <v>17</v>
      </c>
      <c r="L217" s="4" t="s">
        <v>2462</v>
      </c>
      <c r="M217" s="4" t="s">
        <v>1074</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c r="A218" s="8" t="b">
        <f>FALSE()</f>
        <v>0</v>
      </c>
      <c r="B218" s="8"/>
      <c r="C218" s="4" t="s">
        <v>1124</v>
      </c>
      <c r="D218" s="4" t="s">
        <v>1124</v>
      </c>
      <c r="E218" s="4" t="s">
        <v>13</v>
      </c>
      <c r="F218" s="4" t="s">
        <v>158</v>
      </c>
      <c r="G218" s="4" t="s">
        <v>2458</v>
      </c>
      <c r="H218" s="4" t="str">
        <f t="shared" si="12"/>
        <v>att_fraction</v>
      </c>
      <c r="I218" s="4" t="s">
        <v>1124</v>
      </c>
      <c r="J218" s="4" t="str">
        <f t="shared" si="13"/>
        <v>att_fraction:79k</v>
      </c>
      <c r="K218" s="7" t="s">
        <v>17</v>
      </c>
      <c r="L218" s="4" t="s">
        <v>2463</v>
      </c>
      <c r="M218" s="4" t="s">
        <v>1074</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c r="A219" s="8" t="b">
        <f>FALSE()</f>
        <v>0</v>
      </c>
      <c r="B219" s="8"/>
      <c r="C219" s="4" t="s">
        <v>1130</v>
      </c>
      <c r="D219" s="4" t="s">
        <v>1131</v>
      </c>
      <c r="E219" s="4" t="s">
        <v>13</v>
      </c>
      <c r="F219" s="4" t="s">
        <v>158</v>
      </c>
      <c r="G219" s="4" t="s">
        <v>2458</v>
      </c>
      <c r="H219" s="4" t="str">
        <f t="shared" si="12"/>
        <v>att_fraction</v>
      </c>
      <c r="I219" s="4" t="s">
        <v>1130</v>
      </c>
      <c r="J219" s="4" t="str">
        <f t="shared" si="13"/>
        <v>att_fraction:cytosolic</v>
      </c>
      <c r="K219" s="7" t="s">
        <v>17</v>
      </c>
      <c r="L219" s="4" t="s">
        <v>1132</v>
      </c>
      <c r="M219" s="4" t="s">
        <v>1074</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c r="A220" s="8" t="b">
        <f>FALSE()</f>
        <v>0</v>
      </c>
      <c r="B220" s="8"/>
      <c r="C220" s="4" t="s">
        <v>1133</v>
      </c>
      <c r="D220" s="4" t="s">
        <v>1134</v>
      </c>
      <c r="E220" s="4" t="s">
        <v>13</v>
      </c>
      <c r="F220" s="4" t="s">
        <v>158</v>
      </c>
      <c r="G220" s="4" t="s">
        <v>2458</v>
      </c>
      <c r="H220" s="4" t="str">
        <f t="shared" si="12"/>
        <v>att_fraction</v>
      </c>
      <c r="I220" s="4" t="s">
        <v>1133</v>
      </c>
      <c r="J220" s="4" t="str">
        <f t="shared" si="13"/>
        <v>att_fraction:total</v>
      </c>
      <c r="K220" s="7" t="s">
        <v>17</v>
      </c>
      <c r="L220" s="4" t="s">
        <v>1135</v>
      </c>
      <c r="M220" s="4" t="s">
        <v>1074</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c r="A221" s="8" t="b">
        <f>FALSE()</f>
        <v>0</v>
      </c>
      <c r="B221" s="8"/>
      <c r="C221" s="4" t="s">
        <v>2464</v>
      </c>
      <c r="D221" s="4" t="s">
        <v>1128</v>
      </c>
      <c r="E221" s="4" t="s">
        <v>13</v>
      </c>
      <c r="F221" s="4" t="s">
        <v>158</v>
      </c>
      <c r="G221" s="4" t="s">
        <v>2458</v>
      </c>
      <c r="H221" s="4" t="str">
        <f t="shared" si="12"/>
        <v>att_fraction</v>
      </c>
      <c r="I221" s="4" t="s">
        <v>1126</v>
      </c>
      <c r="J221" s="4" t="str">
        <f t="shared" si="13"/>
        <v>att_fraction:crude_mito</v>
      </c>
      <c r="K221" s="7" t="s">
        <v>17</v>
      </c>
      <c r="L221" s="4" t="s">
        <v>1129</v>
      </c>
      <c r="M221" s="4" t="s">
        <v>1074</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c r="A222" s="8"/>
      <c r="B222" s="8"/>
      <c r="K222" s="7"/>
    </row>
    <row r="223" spans="1:15">
      <c r="A223" s="8"/>
      <c r="B223" s="8"/>
      <c r="C223" s="4" t="s">
        <v>2465</v>
      </c>
      <c r="D223" s="4" t="s">
        <v>1976</v>
      </c>
      <c r="F223" s="4" t="s">
        <v>135</v>
      </c>
      <c r="G223" s="4" t="s">
        <v>2466</v>
      </c>
      <c r="H223" s="4" t="str">
        <f>"att_"&amp;G223</f>
        <v>att_offline_fractionation</v>
      </c>
      <c r="I223" s="4" t="s">
        <v>1975</v>
      </c>
      <c r="J223" s="4" t="str">
        <f>H223&amp;":"&amp;I223</f>
        <v>att_offline_fractionation:sdspage</v>
      </c>
      <c r="K223" s="7"/>
      <c r="L223" s="4" t="s">
        <v>1977</v>
      </c>
    </row>
    <row r="224" spans="1:15">
      <c r="A224" s="8"/>
      <c r="B224" s="8"/>
      <c r="C224" s="4" t="s">
        <v>2465</v>
      </c>
      <c r="D224" s="4" t="s">
        <v>1964</v>
      </c>
      <c r="F224" s="4" t="s">
        <v>135</v>
      </c>
      <c r="G224" s="4" t="s">
        <v>2466</v>
      </c>
      <c r="H224" s="4" t="str">
        <f>"att_"&amp;G224</f>
        <v>att_offline_fractionation</v>
      </c>
      <c r="I224" s="4" t="s">
        <v>1963</v>
      </c>
      <c r="J224" s="4" t="str">
        <f>H224&amp;":"&amp;I224</f>
        <v>att_offline_fractionation:highph_hplc</v>
      </c>
      <c r="K224" s="7"/>
      <c r="L224" s="4" t="s">
        <v>1965</v>
      </c>
    </row>
    <row r="225" spans="1:15">
      <c r="A225" s="8"/>
      <c r="B225" s="8"/>
      <c r="C225" s="4" t="s">
        <v>2465</v>
      </c>
      <c r="D225" s="4" t="s">
        <v>1967</v>
      </c>
      <c r="F225" s="4" t="s">
        <v>135</v>
      </c>
      <c r="G225" s="4" t="s">
        <v>2466</v>
      </c>
      <c r="H225" s="4" t="str">
        <f>"att_"&amp;G225</f>
        <v>att_offline_fractionation</v>
      </c>
      <c r="I225" s="4" t="s">
        <v>1966</v>
      </c>
      <c r="J225" s="4" t="str">
        <f>H225&amp;":"&amp;I225</f>
        <v>att_offline_fractionation:highph_tip</v>
      </c>
      <c r="K225" s="7"/>
      <c r="L225" s="4" t="s">
        <v>1968</v>
      </c>
    </row>
    <row r="226" spans="1:15">
      <c r="A226" s="8"/>
      <c r="B226" s="8"/>
      <c r="C226" s="4" t="s">
        <v>2465</v>
      </c>
      <c r="D226" s="4" t="s">
        <v>1973</v>
      </c>
      <c r="F226" s="4" t="s">
        <v>135</v>
      </c>
      <c r="G226" s="4" t="s">
        <v>2466</v>
      </c>
      <c r="H226" s="4" t="str">
        <f>"att_"&amp;G226</f>
        <v>att_offline_fractionation</v>
      </c>
      <c r="I226" s="4" t="s">
        <v>1972</v>
      </c>
      <c r="J226" s="4" t="str">
        <f>H226&amp;":"&amp;I226</f>
        <v>att_offline_fractionation:scx</v>
      </c>
      <c r="K226" s="7"/>
      <c r="L226" s="4" t="s">
        <v>1974</v>
      </c>
    </row>
    <row r="227" spans="1:15">
      <c r="A227" s="8"/>
      <c r="B227" s="8"/>
      <c r="C227" s="4" t="s">
        <v>2465</v>
      </c>
      <c r="D227" s="4" t="s">
        <v>1970</v>
      </c>
      <c r="F227" s="4" t="s">
        <v>135</v>
      </c>
      <c r="G227" s="4" t="s">
        <v>2466</v>
      </c>
      <c r="H227" s="4" t="str">
        <f>"att_"&amp;G227</f>
        <v>att_offline_fractionation</v>
      </c>
      <c r="I227" s="4" t="s">
        <v>1969</v>
      </c>
      <c r="J227" s="4" t="str">
        <f>H227&amp;":"&amp;I227</f>
        <v>att_offline_fractionation:sax</v>
      </c>
      <c r="K227" s="7"/>
      <c r="L227" s="4" t="s">
        <v>1971</v>
      </c>
    </row>
    <row r="228" spans="1:15">
      <c r="A228" s="8"/>
      <c r="B228" s="8"/>
      <c r="K228" s="7"/>
    </row>
    <row r="229" spans="1:15">
      <c r="A229" s="8"/>
      <c r="B229" s="8"/>
      <c r="K229" s="7"/>
    </row>
    <row r="230" spans="1:15">
      <c r="A230" s="8" t="b">
        <f>TRUE()</f>
        <v>1</v>
      </c>
      <c r="C230" s="4" t="s">
        <v>1753</v>
      </c>
      <c r="D230" s="4" t="s">
        <v>1754</v>
      </c>
      <c r="E230" s="4" t="s">
        <v>13</v>
      </c>
      <c r="F230" s="4" t="s">
        <v>2467</v>
      </c>
      <c r="G230" s="4" t="s">
        <v>2468</v>
      </c>
      <c r="H230" s="4" t="str">
        <f t="shared" ref="H230:H248" si="16">"att_"&amp;G230</f>
        <v>att_instrument</v>
      </c>
      <c r="I230" s="4" t="s">
        <v>1753</v>
      </c>
      <c r="J230" s="4" t="str">
        <f t="shared" ref="J230:J248" si="17">H230&amp;":"&amp;I230</f>
        <v>att_instrument:e1</v>
      </c>
      <c r="K230" s="7" t="s">
        <v>17</v>
      </c>
      <c r="L230" s="4" t="s">
        <v>1755</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8" t="b">
        <f>TRUE()</f>
        <v>1</v>
      </c>
      <c r="C231" s="4" t="s">
        <v>1756</v>
      </c>
      <c r="D231" s="4" t="s">
        <v>1757</v>
      </c>
      <c r="E231" s="4" t="s">
        <v>13</v>
      </c>
      <c r="F231" s="4" t="s">
        <v>2467</v>
      </c>
      <c r="G231" s="4" t="s">
        <v>2468</v>
      </c>
      <c r="H231" s="4" t="str">
        <f t="shared" si="16"/>
        <v>att_instrument</v>
      </c>
      <c r="I231" s="4" t="s">
        <v>1756</v>
      </c>
      <c r="J231" s="4" t="str">
        <f t="shared" si="17"/>
        <v>att_instrument:e2</v>
      </c>
      <c r="K231" s="7" t="s">
        <v>17</v>
      </c>
      <c r="L231" s="4" t="s">
        <v>1758</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c r="A232" s="8" t="b">
        <f>TRUE()</f>
        <v>1</v>
      </c>
      <c r="C232" s="4" t="s">
        <v>1761</v>
      </c>
      <c r="D232" s="4" t="s">
        <v>1762</v>
      </c>
      <c r="E232" s="4" t="s">
        <v>13</v>
      </c>
      <c r="F232" s="4" t="s">
        <v>2467</v>
      </c>
      <c r="G232" s="4" t="s">
        <v>2468</v>
      </c>
      <c r="H232" s="4" t="str">
        <f t="shared" si="16"/>
        <v>att_instrument</v>
      </c>
      <c r="I232" s="4" t="s">
        <v>1761</v>
      </c>
      <c r="J232" s="4" t="str">
        <f t="shared" si="17"/>
        <v>att_instrument:ignarius</v>
      </c>
      <c r="K232" s="7" t="s">
        <v>17</v>
      </c>
      <c r="L232" s="4" t="s">
        <v>1763</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c r="A233" s="8" t="b">
        <f>TRUE()</f>
        <v>1</v>
      </c>
      <c r="C233" s="4" t="s">
        <v>2469</v>
      </c>
      <c r="D233" s="4" t="s">
        <v>1765</v>
      </c>
      <c r="E233" s="4" t="s">
        <v>13</v>
      </c>
      <c r="F233" s="4" t="s">
        <v>2467</v>
      </c>
      <c r="G233" s="4" t="s">
        <v>2468</v>
      </c>
      <c r="H233" s="4" t="str">
        <f t="shared" si="16"/>
        <v>att_instrument</v>
      </c>
      <c r="I233" s="4" t="s">
        <v>2470</v>
      </c>
      <c r="J233" s="4" t="str">
        <f t="shared" si="17"/>
        <v>att_instrument:t</v>
      </c>
      <c r="K233" s="7" t="s">
        <v>17</v>
      </c>
      <c r="L233" s="4" t="s">
        <v>1766</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c r="A234" s="9" t="b">
        <f>FALSE()</f>
        <v>0</v>
      </c>
      <c r="B234" s="9"/>
      <c r="C234" s="10" t="s">
        <v>2471</v>
      </c>
      <c r="D234" s="10" t="s">
        <v>2472</v>
      </c>
      <c r="E234" s="10" t="s">
        <v>13</v>
      </c>
      <c r="F234" s="10" t="s">
        <v>2473</v>
      </c>
      <c r="G234" s="10" t="s">
        <v>2474</v>
      </c>
      <c r="H234" s="10" t="str">
        <f t="shared" si="16"/>
        <v>att_knockout</v>
      </c>
      <c r="I234" s="10" t="s">
        <v>2471</v>
      </c>
      <c r="J234" s="10" t="str">
        <f t="shared" si="17"/>
        <v>att_knockout:casp1_dko</v>
      </c>
      <c r="K234" s="11" t="s">
        <v>17</v>
      </c>
      <c r="L234" s="10" t="s">
        <v>2475</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c r="A235" s="9" t="b">
        <f>FALSE()</f>
        <v>0</v>
      </c>
      <c r="B235" s="9"/>
      <c r="C235" s="10" t="s">
        <v>2476</v>
      </c>
      <c r="D235" s="10" t="s">
        <v>2477</v>
      </c>
      <c r="E235" s="10" t="s">
        <v>13</v>
      </c>
      <c r="F235" s="10" t="s">
        <v>2473</v>
      </c>
      <c r="G235" s="10" t="s">
        <v>2474</v>
      </c>
      <c r="H235" s="10" t="str">
        <f t="shared" si="16"/>
        <v>att_knockout</v>
      </c>
      <c r="I235" s="10" t="s">
        <v>2476</v>
      </c>
      <c r="J235" s="10" t="str">
        <f t="shared" si="17"/>
        <v>att_knockout:casp11_dko</v>
      </c>
      <c r="K235" s="11" t="s">
        <v>17</v>
      </c>
      <c r="L235" s="10" t="s">
        <v>2478</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c r="A236" s="9" t="b">
        <f>FALSE()</f>
        <v>0</v>
      </c>
      <c r="B236" s="9"/>
      <c r="C236" s="10" t="s">
        <v>2479</v>
      </c>
      <c r="D236" s="10" t="s">
        <v>2480</v>
      </c>
      <c r="E236" s="10" t="s">
        <v>13</v>
      </c>
      <c r="F236" s="10" t="s">
        <v>2473</v>
      </c>
      <c r="G236" s="10" t="s">
        <v>2474</v>
      </c>
      <c r="H236" s="10" t="str">
        <f t="shared" si="16"/>
        <v>att_knockout</v>
      </c>
      <c r="I236" s="10" t="s">
        <v>2479</v>
      </c>
      <c r="J236" s="10" t="str">
        <f t="shared" si="17"/>
        <v>att_knockout:gsdmd_dko</v>
      </c>
      <c r="K236" s="11" t="s">
        <v>17</v>
      </c>
      <c r="L236" s="10" t="s">
        <v>2481</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c r="A237" s="9" t="b">
        <f>FALSE()</f>
        <v>0</v>
      </c>
      <c r="B237" s="9"/>
      <c r="C237" s="10" t="s">
        <v>2482</v>
      </c>
      <c r="D237" s="10" t="s">
        <v>2483</v>
      </c>
      <c r="E237" s="10" t="s">
        <v>13</v>
      </c>
      <c r="F237" s="10" t="s">
        <v>2473</v>
      </c>
      <c r="G237" s="10" t="s">
        <v>2474</v>
      </c>
      <c r="H237" s="10" t="str">
        <f t="shared" si="16"/>
        <v>att_knockout</v>
      </c>
      <c r="I237" s="10" t="s">
        <v>2484</v>
      </c>
      <c r="J237" s="10" t="str">
        <f t="shared" si="17"/>
        <v>att_knockout:il18r_dko</v>
      </c>
      <c r="K237" s="11" t="s">
        <v>17</v>
      </c>
      <c r="L237" s="10" t="s">
        <v>2485</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c r="A238" s="9" t="b">
        <f>FALSE()</f>
        <v>0</v>
      </c>
      <c r="B238" s="9"/>
      <c r="C238" s="10" t="s">
        <v>2486</v>
      </c>
      <c r="D238" s="10" t="s">
        <v>2487</v>
      </c>
      <c r="E238" s="10" t="s">
        <v>13</v>
      </c>
      <c r="F238" s="10" t="s">
        <v>2473</v>
      </c>
      <c r="G238" s="10" t="s">
        <v>2474</v>
      </c>
      <c r="H238" s="10" t="str">
        <f t="shared" si="16"/>
        <v>att_knockout</v>
      </c>
      <c r="I238" s="10" t="s">
        <v>2488</v>
      </c>
      <c r="J238" s="10" t="str">
        <f t="shared" si="17"/>
        <v>att_knockout:il1r_dko</v>
      </c>
      <c r="K238" s="11" t="s">
        <v>17</v>
      </c>
      <c r="L238" s="10" t="s">
        <v>2489</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c r="A239" s="9" t="b">
        <f>FALSE()</f>
        <v>0</v>
      </c>
      <c r="B239" s="9"/>
      <c r="C239" s="10" t="s">
        <v>2490</v>
      </c>
      <c r="D239" s="10" t="s">
        <v>2491</v>
      </c>
      <c r="E239" s="10" t="s">
        <v>13</v>
      </c>
      <c r="F239" s="10" t="s">
        <v>2473</v>
      </c>
      <c r="G239" s="10" t="s">
        <v>2474</v>
      </c>
      <c r="H239" s="10" t="str">
        <f t="shared" si="16"/>
        <v>att_knockout</v>
      </c>
      <c r="I239" s="10" t="s">
        <v>2490</v>
      </c>
      <c r="J239" s="10" t="str">
        <f t="shared" si="17"/>
        <v>att_knockout:tlr4_dko</v>
      </c>
      <c r="K239" s="11" t="s">
        <v>17</v>
      </c>
      <c r="L239" s="10" t="s">
        <v>2492</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c r="A240" s="7" t="s">
        <v>17</v>
      </c>
      <c r="B240" s="7"/>
      <c r="C240" s="4" t="s">
        <v>1205</v>
      </c>
      <c r="D240" s="4" t="s">
        <v>1206</v>
      </c>
      <c r="E240" s="4" t="s">
        <v>13</v>
      </c>
      <c r="F240" s="4" t="s">
        <v>103</v>
      </c>
      <c r="G240" s="4" t="s">
        <v>2493</v>
      </c>
      <c r="H240" s="4" t="str">
        <f t="shared" si="16"/>
        <v>att_lc_system</v>
      </c>
      <c r="I240" s="4" t="s">
        <v>1205</v>
      </c>
      <c r="J240" s="4" t="str">
        <f t="shared" si="17"/>
        <v>att_lc_system:easylc1</v>
      </c>
      <c r="K240" s="7" t="s">
        <v>17</v>
      </c>
      <c r="L240" s="4" t="s">
        <v>1206</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c r="A241" s="7" t="s">
        <v>17</v>
      </c>
      <c r="B241" s="7"/>
      <c r="C241" s="4" t="s">
        <v>1207</v>
      </c>
      <c r="D241" s="4" t="s">
        <v>1208</v>
      </c>
      <c r="E241" s="4" t="s">
        <v>13</v>
      </c>
      <c r="F241" s="4" t="s">
        <v>103</v>
      </c>
      <c r="G241" s="4" t="s">
        <v>2493</v>
      </c>
      <c r="H241" s="4" t="str">
        <f t="shared" si="16"/>
        <v>att_lc_system</v>
      </c>
      <c r="I241" s="4" t="s">
        <v>1207</v>
      </c>
      <c r="J241" s="4" t="str">
        <f t="shared" si="17"/>
        <v>att_lc_system:easylc2</v>
      </c>
      <c r="K241" s="7" t="s">
        <v>17</v>
      </c>
      <c r="L241" s="4" t="s">
        <v>1208</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c r="A242" s="7" t="s">
        <v>17</v>
      </c>
      <c r="B242" s="7"/>
      <c r="C242" s="4" t="s">
        <v>1209</v>
      </c>
      <c r="D242" s="4" t="s">
        <v>1210</v>
      </c>
      <c r="E242" s="4" t="s">
        <v>13</v>
      </c>
      <c r="F242" s="4" t="s">
        <v>103</v>
      </c>
      <c r="G242" s="4" t="s">
        <v>2493</v>
      </c>
      <c r="H242" s="4" t="str">
        <f t="shared" si="16"/>
        <v>att_lc_system</v>
      </c>
      <c r="I242" s="4" t="s">
        <v>1209</v>
      </c>
      <c r="J242" s="4" t="str">
        <f t="shared" si="17"/>
        <v>att_lc_system:evosep1</v>
      </c>
      <c r="K242" s="7" t="s">
        <v>17</v>
      </c>
      <c r="L242" s="4" t="s">
        <v>1211</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c r="A243" s="7" t="s">
        <v>17</v>
      </c>
      <c r="B243" s="7"/>
      <c r="C243" s="4" t="s">
        <v>1212</v>
      </c>
      <c r="D243" s="4" t="s">
        <v>1213</v>
      </c>
      <c r="E243" s="4" t="s">
        <v>13</v>
      </c>
      <c r="F243" s="4" t="s">
        <v>103</v>
      </c>
      <c r="G243" s="4" t="s">
        <v>2493</v>
      </c>
      <c r="H243" s="4" t="str">
        <f t="shared" si="16"/>
        <v>att_lc_system</v>
      </c>
      <c r="I243" s="4" t="s">
        <v>1212</v>
      </c>
      <c r="J243" s="4" t="str">
        <f t="shared" si="17"/>
        <v>att_lc_system:vanquishneo1</v>
      </c>
      <c r="K243" s="7" t="s">
        <v>17</v>
      </c>
      <c r="L243" s="4" t="s">
        <v>1213</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c r="A244" s="8" t="b">
        <f>FALSE()</f>
        <v>0</v>
      </c>
      <c r="B244" s="8"/>
      <c r="C244" s="4" t="s">
        <v>1707</v>
      </c>
      <c r="D244" s="4" t="s">
        <v>1709</v>
      </c>
      <c r="E244" s="4" t="s">
        <v>13</v>
      </c>
      <c r="F244" s="4" t="s">
        <v>2494</v>
      </c>
      <c r="G244" s="4" t="s">
        <v>2495</v>
      </c>
      <c r="H244" s="4" t="str">
        <f t="shared" si="16"/>
        <v>att_mockup</v>
      </c>
      <c r="I244" s="4" t="s">
        <v>1707</v>
      </c>
      <c r="J244" s="4" t="str">
        <f t="shared" si="17"/>
        <v>att_mockup:arbitrary</v>
      </c>
      <c r="K244" s="7" t="s">
        <v>17</v>
      </c>
      <c r="L244" s="4" t="s">
        <v>1710</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c r="A245" s="8" t="b">
        <f>FALSE()</f>
        <v>0</v>
      </c>
      <c r="B245" s="8"/>
      <c r="C245" s="4" t="s">
        <v>1711</v>
      </c>
      <c r="D245" s="4" t="s">
        <v>1712</v>
      </c>
      <c r="E245" s="4" t="s">
        <v>13</v>
      </c>
      <c r="F245" s="4" t="s">
        <v>2494</v>
      </c>
      <c r="G245" s="4" t="s">
        <v>2495</v>
      </c>
      <c r="H245" s="4" t="str">
        <f t="shared" si="16"/>
        <v>att_mockup</v>
      </c>
      <c r="I245" s="4" t="s">
        <v>1711</v>
      </c>
      <c r="J245" s="4" t="str">
        <f t="shared" si="17"/>
        <v>att_mockup:random</v>
      </c>
      <c r="K245" s="7" t="s">
        <v>17</v>
      </c>
      <c r="L245" s="4" t="s">
        <v>1710</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c r="A246" s="8" t="b">
        <f>FALSE()</f>
        <v>0</v>
      </c>
      <c r="B246" s="8"/>
      <c r="C246" s="4" t="s">
        <v>2496</v>
      </c>
      <c r="D246" s="4" t="s">
        <v>1714</v>
      </c>
      <c r="E246" s="4" t="s">
        <v>13</v>
      </c>
      <c r="F246" s="4" t="s">
        <v>115</v>
      </c>
      <c r="G246" s="4" t="s">
        <v>2497</v>
      </c>
      <c r="H246" s="4" t="str">
        <f t="shared" si="16"/>
        <v>att_model</v>
      </c>
      <c r="I246" s="4" t="s">
        <v>1713</v>
      </c>
      <c r="J246" s="4" t="str">
        <f t="shared" si="17"/>
        <v>att_model:in_vitro</v>
      </c>
      <c r="K246" s="7" t="s">
        <v>17</v>
      </c>
      <c r="L246" s="4" t="s">
        <v>1715</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c r="A247" s="8" t="b">
        <f>FALSE()</f>
        <v>0</v>
      </c>
      <c r="B247" s="8"/>
      <c r="C247" s="4" t="s">
        <v>2498</v>
      </c>
      <c r="D247" s="4" t="s">
        <v>1717</v>
      </c>
      <c r="E247" s="4" t="s">
        <v>13</v>
      </c>
      <c r="F247" s="4" t="s">
        <v>115</v>
      </c>
      <c r="G247" s="4" t="s">
        <v>2497</v>
      </c>
      <c r="H247" s="4" t="str">
        <f t="shared" si="16"/>
        <v>att_model</v>
      </c>
      <c r="I247" s="4" t="s">
        <v>1716</v>
      </c>
      <c r="J247" s="4" t="str">
        <f t="shared" si="17"/>
        <v>att_model:in_vivo</v>
      </c>
      <c r="K247" s="7" t="s">
        <v>17</v>
      </c>
      <c r="L247" s="4" t="s">
        <v>1718</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c r="A248" s="8" t="b">
        <f>FALSE()</f>
        <v>0</v>
      </c>
      <c r="B248" s="8"/>
      <c r="C248" s="4" t="s">
        <v>1719</v>
      </c>
      <c r="D248" s="4" t="s">
        <v>1719</v>
      </c>
      <c r="E248" s="4" t="s">
        <v>13</v>
      </c>
      <c r="F248" s="4" t="s">
        <v>115</v>
      </c>
      <c r="G248" s="4" t="s">
        <v>2497</v>
      </c>
      <c r="H248" s="4" t="str">
        <f t="shared" si="16"/>
        <v>att_model</v>
      </c>
      <c r="I248" s="4" t="s">
        <v>1719</v>
      </c>
      <c r="J248" s="4" t="str">
        <f t="shared" si="17"/>
        <v>att_model:xenografts</v>
      </c>
      <c r="K248" s="7" t="s">
        <v>17</v>
      </c>
      <c r="L248" s="4" t="s">
        <v>1720</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c r="A249" s="8"/>
      <c r="B249" s="8"/>
      <c r="K249" s="7"/>
    </row>
    <row r="250" spans="1:15">
      <c r="A250" s="8"/>
      <c r="B250" s="8"/>
      <c r="C250" s="4" t="s">
        <v>2499</v>
      </c>
      <c r="D250" s="4" t="s">
        <v>615</v>
      </c>
      <c r="F250" s="4" t="s">
        <v>50</v>
      </c>
      <c r="G250" s="4" t="s">
        <v>2500</v>
      </c>
      <c r="H250" s="4" t="str">
        <f t="shared" ref="H250:H255" si="20">"att_"&amp;G250</f>
        <v>att_column_type</v>
      </c>
      <c r="I250" s="4" t="s">
        <v>614</v>
      </c>
      <c r="J250" s="4" t="str">
        <f t="shared" ref="J250:J255" si="21">H250&amp;":"&amp;I250</f>
        <v>att_column_type:aurora</v>
      </c>
      <c r="K250" s="7"/>
      <c r="L250" s="4" t="s">
        <v>616</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8"/>
      <c r="B251" s="8"/>
      <c r="C251" s="4" t="s">
        <v>2501</v>
      </c>
      <c r="D251" s="4" t="s">
        <v>621</v>
      </c>
      <c r="F251" s="4" t="s">
        <v>50</v>
      </c>
      <c r="G251" s="4" t="s">
        <v>2500</v>
      </c>
      <c r="H251" s="4" t="str">
        <f t="shared" si="20"/>
        <v>att_column_type</v>
      </c>
      <c r="I251" s="4" t="s">
        <v>620</v>
      </c>
      <c r="J251" s="4" t="str">
        <f t="shared" si="21"/>
        <v>att_column_type:inhouse</v>
      </c>
      <c r="K251" s="7"/>
      <c r="L251" s="4" t="s">
        <v>622</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8"/>
      <c r="C252" s="4" t="s">
        <v>2502</v>
      </c>
      <c r="D252" s="4" t="s">
        <v>618</v>
      </c>
      <c r="F252" s="4" t="s">
        <v>50</v>
      </c>
      <c r="G252" s="4" t="s">
        <v>2500</v>
      </c>
      <c r="H252" s="4" t="str">
        <f t="shared" si="20"/>
        <v>att_column_type</v>
      </c>
      <c r="I252" s="4" t="s">
        <v>617</v>
      </c>
      <c r="J252" s="4" t="str">
        <f t="shared" si="21"/>
        <v>att_column_type:easyspray</v>
      </c>
      <c r="K252" s="7"/>
      <c r="L252" s="4" t="s">
        <v>619</v>
      </c>
    </row>
    <row r="253" spans="1:15">
      <c r="A253" s="8"/>
      <c r="B253" s="8"/>
      <c r="C253" s="4" t="s">
        <v>2503</v>
      </c>
      <c r="D253" s="4" t="s">
        <v>630</v>
      </c>
      <c r="F253" s="4" t="s">
        <v>50</v>
      </c>
      <c r="G253" s="4" t="s">
        <v>2500</v>
      </c>
      <c r="H253" s="4" t="str">
        <f t="shared" si="20"/>
        <v>att_column_type</v>
      </c>
      <c r="I253" s="4" t="s">
        <v>629</v>
      </c>
      <c r="J253" s="4" t="str">
        <f t="shared" si="21"/>
        <v>att_column_type:upac_neo</v>
      </c>
      <c r="K253" s="7"/>
      <c r="L253" s="4" t="s">
        <v>631</v>
      </c>
    </row>
    <row r="254" spans="1:15">
      <c r="A254" s="8"/>
      <c r="B254" s="8"/>
      <c r="C254" s="4" t="s">
        <v>2504</v>
      </c>
      <c r="D254" s="12" t="s">
        <v>624</v>
      </c>
      <c r="F254" s="4" t="s">
        <v>50</v>
      </c>
      <c r="G254" s="4" t="s">
        <v>2500</v>
      </c>
      <c r="H254" s="4" t="str">
        <f t="shared" si="20"/>
        <v>att_column_type</v>
      </c>
      <c r="I254" s="4" t="s">
        <v>623</v>
      </c>
      <c r="J254" s="4" t="str">
        <f t="shared" si="21"/>
        <v>att_column_type:upac_doubleviper</v>
      </c>
      <c r="K254" s="7"/>
      <c r="L254" s="4" t="s">
        <v>625</v>
      </c>
    </row>
    <row r="255" spans="1:15">
      <c r="A255" s="8"/>
      <c r="B255" s="8"/>
      <c r="C255" s="4" t="s">
        <v>2503</v>
      </c>
      <c r="D255" s="12" t="s">
        <v>627</v>
      </c>
      <c r="F255" s="4" t="s">
        <v>50</v>
      </c>
      <c r="G255" s="4" t="s">
        <v>2500</v>
      </c>
      <c r="H255" s="4" t="str">
        <f t="shared" si="20"/>
        <v>att_column_type</v>
      </c>
      <c r="I255" s="4" t="s">
        <v>626</v>
      </c>
      <c r="J255" s="4" t="str">
        <f t="shared" si="21"/>
        <v>att_column_type:upac_low_loadneo</v>
      </c>
      <c r="K255" s="7"/>
      <c r="L255" s="4" t="s">
        <v>628</v>
      </c>
    </row>
    <row r="256" spans="1:15">
      <c r="A256" s="8"/>
      <c r="B256" s="8"/>
      <c r="D256" s="12"/>
      <c r="K256" s="7"/>
    </row>
    <row r="257" spans="1:15">
      <c r="A257" s="7" t="s">
        <v>17</v>
      </c>
      <c r="B257" s="7"/>
      <c r="C257" s="4" t="s">
        <v>2505</v>
      </c>
      <c r="D257" s="4" t="s">
        <v>2506</v>
      </c>
      <c r="E257" s="4" t="s">
        <v>13</v>
      </c>
      <c r="F257" s="4" t="s">
        <v>2507</v>
      </c>
      <c r="G257" s="4" t="s">
        <v>2508</v>
      </c>
      <c r="H257" s="4" t="str">
        <f t="shared" ref="H257:H262" si="22">"att_"&amp;G257</f>
        <v>att_mslc_column_configuration</v>
      </c>
      <c r="I257" s="4" t="s">
        <v>607</v>
      </c>
      <c r="J257" s="4" t="str">
        <f t="shared" ref="J257:J262" si="23">H257&amp;":"&amp;I257</f>
        <v>att_mslc_column_configuration:15cm</v>
      </c>
      <c r="K257" s="7" t="s">
        <v>17</v>
      </c>
      <c r="L257" s="4" t="s">
        <v>2509</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7" t="s">
        <v>17</v>
      </c>
      <c r="B258" s="7"/>
      <c r="C258" s="4" t="s">
        <v>2510</v>
      </c>
      <c r="D258" s="4" t="s">
        <v>2511</v>
      </c>
      <c r="E258" s="4" t="s">
        <v>13</v>
      </c>
      <c r="F258" s="4" t="s">
        <v>2507</v>
      </c>
      <c r="G258" s="4" t="s">
        <v>2508</v>
      </c>
      <c r="H258" s="4" t="str">
        <f t="shared" si="22"/>
        <v>att_mslc_column_configuration</v>
      </c>
      <c r="I258" s="4" t="s">
        <v>2512</v>
      </c>
      <c r="J258" s="4" t="str">
        <f t="shared" si="23"/>
        <v>att_mslc_column_configuration:25cm</v>
      </c>
      <c r="K258" s="7" t="s">
        <v>17</v>
      </c>
      <c r="L258" s="4" t="s">
        <v>2513</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7" t="s">
        <v>17</v>
      </c>
      <c r="B259" s="7"/>
      <c r="C259" s="4" t="s">
        <v>2514</v>
      </c>
      <c r="D259" s="4" t="s">
        <v>2515</v>
      </c>
      <c r="E259" s="4" t="s">
        <v>13</v>
      </c>
      <c r="F259" s="4" t="s">
        <v>2507</v>
      </c>
      <c r="G259" s="4" t="s">
        <v>2508</v>
      </c>
      <c r="H259" s="4" t="str">
        <f t="shared" si="22"/>
        <v>att_mslc_column_configuration</v>
      </c>
      <c r="I259" s="4" t="s">
        <v>608</v>
      </c>
      <c r="J259" s="4" t="str">
        <f t="shared" si="23"/>
        <v>att_mslc_column_configuration:30cm</v>
      </c>
      <c r="K259" s="7" t="s">
        <v>17</v>
      </c>
      <c r="L259" s="4" t="s">
        <v>2516</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7" t="s">
        <v>17</v>
      </c>
      <c r="B260" s="7"/>
      <c r="C260" s="4" t="s">
        <v>2517</v>
      </c>
      <c r="D260" s="4" t="s">
        <v>2518</v>
      </c>
      <c r="E260" s="4" t="s">
        <v>13</v>
      </c>
      <c r="F260" s="4" t="s">
        <v>2507</v>
      </c>
      <c r="G260" s="4" t="s">
        <v>2508</v>
      </c>
      <c r="H260" s="4" t="str">
        <f t="shared" si="22"/>
        <v>att_mslc_column_configuration</v>
      </c>
      <c r="I260" s="4" t="s">
        <v>609</v>
      </c>
      <c r="J260" s="4" t="str">
        <f t="shared" si="23"/>
        <v>att_mslc_column_configuration:50cm</v>
      </c>
      <c r="K260" s="7" t="s">
        <v>17</v>
      </c>
      <c r="L260" s="4" t="s">
        <v>2519</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7" t="s">
        <v>17</v>
      </c>
      <c r="B261" s="8"/>
      <c r="C261" s="4" t="s">
        <v>2520</v>
      </c>
      <c r="D261" s="4" t="s">
        <v>2521</v>
      </c>
      <c r="E261" s="4" t="s">
        <v>13</v>
      </c>
      <c r="F261" s="4" t="s">
        <v>2507</v>
      </c>
      <c r="G261" s="4" t="s">
        <v>2508</v>
      </c>
      <c r="H261" s="4" t="str">
        <f t="shared" si="22"/>
        <v>att_mslc_column_configuration</v>
      </c>
      <c r="I261" s="4" t="s">
        <v>2520</v>
      </c>
      <c r="J261" s="4" t="str">
        <f t="shared" si="23"/>
        <v>att_mslc_column_configuration:column_inhouse</v>
      </c>
      <c r="K261" s="7" t="s">
        <v>17</v>
      </c>
      <c r="L261" s="4" t="s">
        <v>2522</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7" t="s">
        <v>17</v>
      </c>
      <c r="B262" s="8"/>
      <c r="C262" s="4" t="s">
        <v>2523</v>
      </c>
      <c r="D262" s="4" t="s">
        <v>2524</v>
      </c>
      <c r="E262" s="4" t="s">
        <v>13</v>
      </c>
      <c r="F262" s="4" t="s">
        <v>2507</v>
      </c>
      <c r="G262" s="4" t="s">
        <v>2508</v>
      </c>
      <c r="H262" s="4" t="str">
        <f t="shared" si="22"/>
        <v>att_mslc_column_configuration</v>
      </c>
      <c r="I262" s="4" t="s">
        <v>2523</v>
      </c>
      <c r="J262" s="4" t="str">
        <f t="shared" si="23"/>
        <v>att_mslc_column_configuration:trap</v>
      </c>
      <c r="K262" s="7" t="s">
        <v>17</v>
      </c>
      <c r="L262" s="4" t="s">
        <v>2525</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c r="A263" s="7"/>
      <c r="B263" s="8"/>
      <c r="K263" s="7"/>
    </row>
    <row r="264" spans="1:15" s="10" customFormat="1">
      <c r="A264" s="11" t="s">
        <v>15</v>
      </c>
      <c r="B264" s="9"/>
      <c r="C264" s="10" t="s">
        <v>1739</v>
      </c>
      <c r="D264" s="10" t="s">
        <v>1740</v>
      </c>
      <c r="E264" s="10" t="s">
        <v>13</v>
      </c>
      <c r="G264" s="10" t="s">
        <v>2526</v>
      </c>
      <c r="H264" s="10" t="str">
        <f>"att_"&amp;G264</f>
        <v>att_ms_interface</v>
      </c>
      <c r="I264" s="10" t="s">
        <v>1739</v>
      </c>
      <c r="J264" s="10" t="str">
        <f>H264&amp;":"&amp;I264</f>
        <v>att_ms_interface:faims</v>
      </c>
      <c r="K264" s="11" t="s">
        <v>17</v>
      </c>
      <c r="L264" s="10" t="s">
        <v>1741</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c r="A265" s="11"/>
      <c r="B265" s="9"/>
      <c r="C265" s="10" t="s">
        <v>2527</v>
      </c>
      <c r="D265" s="10" t="s">
        <v>1751</v>
      </c>
      <c r="F265" s="10" t="s">
        <v>118</v>
      </c>
      <c r="G265" s="10" t="s">
        <v>2528</v>
      </c>
      <c r="H265" s="10" t="str">
        <f>"att_"&amp;G265</f>
        <v>att_ms_ionsource</v>
      </c>
      <c r="I265" s="10" t="s">
        <v>1750</v>
      </c>
      <c r="J265" s="10" t="str">
        <f>H265&amp;":"&amp;I265</f>
        <v>att_ms_ionsource:ion_max</v>
      </c>
      <c r="K265" s="11"/>
      <c r="L265" s="10" t="s">
        <v>1752</v>
      </c>
    </row>
    <row r="266" spans="1:15">
      <c r="A266" s="7"/>
      <c r="B266" s="8"/>
      <c r="C266" s="10" t="s">
        <v>2527</v>
      </c>
      <c r="D266" s="4" t="s">
        <v>1745</v>
      </c>
      <c r="F266" s="4" t="s">
        <v>118</v>
      </c>
      <c r="G266" s="10" t="s">
        <v>2528</v>
      </c>
      <c r="H266" s="10" t="str">
        <f>"att_"&amp;G266</f>
        <v>att_ms_ionsource</v>
      </c>
      <c r="I266" s="10" t="s">
        <v>1744</v>
      </c>
      <c r="J266" s="10" t="str">
        <f>H266&amp;":"&amp;I266</f>
        <v>att_ms_ionsource:easy_spray</v>
      </c>
      <c r="K266" s="7"/>
      <c r="L266" s="4" t="s">
        <v>1746</v>
      </c>
    </row>
    <row r="267" spans="1:15">
      <c r="A267" s="7"/>
      <c r="B267" s="8"/>
      <c r="C267" s="10" t="s">
        <v>2527</v>
      </c>
      <c r="D267" s="4" t="s">
        <v>1748</v>
      </c>
      <c r="F267" s="4" t="s">
        <v>118</v>
      </c>
      <c r="G267" s="10" t="s">
        <v>2528</v>
      </c>
      <c r="H267" s="10" t="str">
        <f>"att_"&amp;G267</f>
        <v>att_ms_ionsource</v>
      </c>
      <c r="I267" s="10" t="s">
        <v>1747</v>
      </c>
      <c r="J267" s="10" t="str">
        <f>H267&amp;":"&amp;I267</f>
        <v>att_ms_ionsource:flex</v>
      </c>
      <c r="K267" s="7"/>
      <c r="L267" s="4" t="s">
        <v>1749</v>
      </c>
    </row>
    <row r="268" spans="1:15">
      <c r="A268" s="7"/>
      <c r="B268" s="8"/>
      <c r="I268" s="10"/>
      <c r="J268" s="10"/>
      <c r="K268" s="7"/>
    </row>
    <row r="269" spans="1:15">
      <c r="A269" s="8" t="b">
        <f>FALSE()</f>
        <v>0</v>
      </c>
      <c r="B269" s="8"/>
      <c r="C269" s="4" t="s">
        <v>1981</v>
      </c>
      <c r="D269" s="4" t="s">
        <v>1982</v>
      </c>
      <c r="E269" s="4" t="s">
        <v>13</v>
      </c>
      <c r="F269" s="4" t="s">
        <v>138</v>
      </c>
      <c r="G269" s="4" t="s">
        <v>2529</v>
      </c>
      <c r="H269" s="4" t="str">
        <f t="shared" ref="H269:H300" si="26">"att_"&amp;G269</f>
        <v>att_organ</v>
      </c>
      <c r="I269" s="4" t="s">
        <v>1981</v>
      </c>
      <c r="J269" s="4" t="str">
        <f t="shared" ref="J269:J300" si="27">H269&amp;":"&amp;I269</f>
        <v>att_organ:appendix</v>
      </c>
      <c r="K269" s="7" t="s">
        <v>17</v>
      </c>
      <c r="L269" s="4" t="s">
        <v>1982</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8" t="b">
        <f>FALSE()</f>
        <v>0</v>
      </c>
      <c r="B270" s="8"/>
      <c r="C270" s="4" t="s">
        <v>1983</v>
      </c>
      <c r="D270" s="4" t="s">
        <v>1984</v>
      </c>
      <c r="E270" s="4" t="s">
        <v>13</v>
      </c>
      <c r="F270" s="4" t="s">
        <v>138</v>
      </c>
      <c r="G270" s="4" t="s">
        <v>2529</v>
      </c>
      <c r="H270" s="4" t="str">
        <f t="shared" si="26"/>
        <v>att_organ</v>
      </c>
      <c r="I270" s="4" t="s">
        <v>1983</v>
      </c>
      <c r="J270" s="4" t="str">
        <f t="shared" si="27"/>
        <v>att_organ:arteries</v>
      </c>
      <c r="K270" s="7" t="s">
        <v>17</v>
      </c>
      <c r="L270" s="4" t="s">
        <v>1984</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c r="A271" s="8" t="b">
        <f>FALSE()</f>
        <v>0</v>
      </c>
      <c r="B271" s="8"/>
      <c r="C271" s="4" t="s">
        <v>1985</v>
      </c>
      <c r="D271" s="4" t="s">
        <v>1986</v>
      </c>
      <c r="E271" s="4" t="s">
        <v>13</v>
      </c>
      <c r="F271" s="4" t="s">
        <v>138</v>
      </c>
      <c r="G271" s="4" t="s">
        <v>2529</v>
      </c>
      <c r="H271" s="4" t="str">
        <f t="shared" si="26"/>
        <v>att_organ</v>
      </c>
      <c r="I271" s="4" t="s">
        <v>1985</v>
      </c>
      <c r="J271" s="4" t="str">
        <f t="shared" si="27"/>
        <v>att_organ:bladder</v>
      </c>
      <c r="K271" s="7" t="s">
        <v>17</v>
      </c>
      <c r="L271" s="4" t="s">
        <v>1986</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c r="A272" s="8" t="b">
        <f>FALSE()</f>
        <v>0</v>
      </c>
      <c r="B272" s="8"/>
      <c r="C272" s="4" t="s">
        <v>1987</v>
      </c>
      <c r="D272" s="4" t="s">
        <v>1988</v>
      </c>
      <c r="E272" s="4" t="s">
        <v>13</v>
      </c>
      <c r="F272" s="4" t="s">
        <v>138</v>
      </c>
      <c r="G272" s="4" t="s">
        <v>2529</v>
      </c>
      <c r="H272" s="4" t="str">
        <f t="shared" si="26"/>
        <v>att_organ</v>
      </c>
      <c r="I272" s="4" t="s">
        <v>1987</v>
      </c>
      <c r="J272" s="4" t="str">
        <f t="shared" si="27"/>
        <v>att_organ:bone_marrow</v>
      </c>
      <c r="K272" s="7" t="s">
        <v>17</v>
      </c>
      <c r="L272" s="4" t="s">
        <v>1988</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c r="A273" s="8" t="b">
        <f>FALSE()</f>
        <v>0</v>
      </c>
      <c r="B273" s="8"/>
      <c r="C273" s="4" t="s">
        <v>1989</v>
      </c>
      <c r="D273" s="4" t="s">
        <v>1990</v>
      </c>
      <c r="E273" s="4" t="s">
        <v>13</v>
      </c>
      <c r="F273" s="4" t="s">
        <v>138</v>
      </c>
      <c r="G273" s="4" t="s">
        <v>2529</v>
      </c>
      <c r="H273" s="4" t="str">
        <f t="shared" si="26"/>
        <v>att_organ</v>
      </c>
      <c r="I273" s="4" t="s">
        <v>1989</v>
      </c>
      <c r="J273" s="4" t="str">
        <f t="shared" si="27"/>
        <v>att_organ:brain</v>
      </c>
      <c r="K273" s="7" t="s">
        <v>17</v>
      </c>
      <c r="L273" s="4" t="s">
        <v>1990</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c r="A274" s="8" t="b">
        <f>FALSE()</f>
        <v>0</v>
      </c>
      <c r="B274" s="8"/>
      <c r="C274" s="4" t="s">
        <v>1991</v>
      </c>
      <c r="D274" s="4" t="s">
        <v>1992</v>
      </c>
      <c r="E274" s="4" t="s">
        <v>13</v>
      </c>
      <c r="F274" s="4" t="s">
        <v>138</v>
      </c>
      <c r="G274" s="4" t="s">
        <v>2529</v>
      </c>
      <c r="H274" s="4" t="str">
        <f t="shared" si="26"/>
        <v>att_organ</v>
      </c>
      <c r="I274" s="4" t="s">
        <v>1991</v>
      </c>
      <c r="J274" s="4" t="str">
        <f t="shared" si="27"/>
        <v>att_organ:bronchi</v>
      </c>
      <c r="K274" s="7" t="s">
        <v>17</v>
      </c>
      <c r="L274" s="4" t="s">
        <v>1992</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c r="A275" s="8" t="b">
        <f>FALSE()</f>
        <v>0</v>
      </c>
      <c r="B275" s="8"/>
      <c r="C275" s="4" t="s">
        <v>1993</v>
      </c>
      <c r="D275" s="4" t="s">
        <v>1994</v>
      </c>
      <c r="E275" s="4" t="s">
        <v>13</v>
      </c>
      <c r="F275" s="4" t="s">
        <v>138</v>
      </c>
      <c r="G275" s="4" t="s">
        <v>2529</v>
      </c>
      <c r="H275" s="4" t="str">
        <f t="shared" si="26"/>
        <v>att_organ</v>
      </c>
      <c r="I275" s="4" t="s">
        <v>1993</v>
      </c>
      <c r="J275" s="4" t="str">
        <f t="shared" si="27"/>
        <v>att_organ:cecum</v>
      </c>
      <c r="K275" s="7" t="s">
        <v>17</v>
      </c>
      <c r="L275" s="4" t="s">
        <v>1994</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c r="A276" s="8" t="b">
        <f>FALSE()</f>
        <v>0</v>
      </c>
      <c r="B276" s="8"/>
      <c r="C276" s="4" t="s">
        <v>1995</v>
      </c>
      <c r="D276" s="4" t="s">
        <v>1996</v>
      </c>
      <c r="E276" s="4" t="s">
        <v>13</v>
      </c>
      <c r="F276" s="4" t="s">
        <v>138</v>
      </c>
      <c r="G276" s="4" t="s">
        <v>2529</v>
      </c>
      <c r="H276" s="4" t="str">
        <f t="shared" si="26"/>
        <v>att_organ</v>
      </c>
      <c r="I276" s="4" t="s">
        <v>1995</v>
      </c>
      <c r="J276" s="4" t="str">
        <f t="shared" si="27"/>
        <v>att_organ:cerebellum</v>
      </c>
      <c r="K276" s="7" t="s">
        <v>17</v>
      </c>
      <c r="L276" s="4" t="s">
        <v>1996</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c r="A277" s="8" t="b">
        <f>FALSE()</f>
        <v>0</v>
      </c>
      <c r="B277" s="8"/>
      <c r="C277" s="4" t="s">
        <v>1997</v>
      </c>
      <c r="D277" s="4" t="s">
        <v>1998</v>
      </c>
      <c r="E277" s="4" t="s">
        <v>13</v>
      </c>
      <c r="F277" s="4" t="s">
        <v>138</v>
      </c>
      <c r="G277" s="4" t="s">
        <v>2529</v>
      </c>
      <c r="H277" s="4" t="str">
        <f t="shared" si="26"/>
        <v>att_organ</v>
      </c>
      <c r="I277" s="4" t="s">
        <v>1997</v>
      </c>
      <c r="J277" s="4" t="str">
        <f t="shared" si="27"/>
        <v>att_organ:cerebrum</v>
      </c>
      <c r="K277" s="7" t="s">
        <v>17</v>
      </c>
      <c r="L277" s="4" t="s">
        <v>1998</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c r="A278" s="8" t="b">
        <f>FALSE()</f>
        <v>0</v>
      </c>
      <c r="B278" s="8"/>
      <c r="C278" s="4" t="s">
        <v>1999</v>
      </c>
      <c r="D278" s="4" t="s">
        <v>2000</v>
      </c>
      <c r="E278" s="4" t="s">
        <v>13</v>
      </c>
      <c r="F278" s="4" t="s">
        <v>138</v>
      </c>
      <c r="G278" s="4" t="s">
        <v>2529</v>
      </c>
      <c r="H278" s="4" t="str">
        <f t="shared" si="26"/>
        <v>att_organ</v>
      </c>
      <c r="I278" s="4" t="s">
        <v>1999</v>
      </c>
      <c r="J278" s="4" t="str">
        <f t="shared" si="27"/>
        <v>att_organ:ear</v>
      </c>
      <c r="K278" s="7" t="s">
        <v>17</v>
      </c>
      <c r="L278" s="4" t="s">
        <v>2000</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c r="A279" s="8" t="b">
        <f>FALSE()</f>
        <v>0</v>
      </c>
      <c r="B279" s="8"/>
      <c r="C279" s="4" t="s">
        <v>2001</v>
      </c>
      <c r="D279" s="4" t="s">
        <v>2002</v>
      </c>
      <c r="E279" s="4" t="s">
        <v>13</v>
      </c>
      <c r="F279" s="4" t="s">
        <v>138</v>
      </c>
      <c r="G279" s="4" t="s">
        <v>2529</v>
      </c>
      <c r="H279" s="4" t="str">
        <f t="shared" si="26"/>
        <v>att_organ</v>
      </c>
      <c r="I279" s="4" t="s">
        <v>2001</v>
      </c>
      <c r="J279" s="4" t="str">
        <f t="shared" si="27"/>
        <v>att_organ:esophagus</v>
      </c>
      <c r="K279" s="7" t="s">
        <v>17</v>
      </c>
      <c r="L279" s="4" t="s">
        <v>2002</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c r="A280" s="8" t="b">
        <f>FALSE()</f>
        <v>0</v>
      </c>
      <c r="B280" s="8"/>
      <c r="C280" s="4" t="s">
        <v>2003</v>
      </c>
      <c r="D280" s="4" t="s">
        <v>2004</v>
      </c>
      <c r="E280" s="4" t="s">
        <v>13</v>
      </c>
      <c r="F280" s="4" t="s">
        <v>138</v>
      </c>
      <c r="G280" s="4" t="s">
        <v>2529</v>
      </c>
      <c r="H280" s="4" t="str">
        <f t="shared" si="26"/>
        <v>att_organ</v>
      </c>
      <c r="I280" s="4" t="s">
        <v>2003</v>
      </c>
      <c r="J280" s="4" t="str">
        <f t="shared" si="27"/>
        <v>att_organ:eye</v>
      </c>
      <c r="K280" s="7" t="s">
        <v>17</v>
      </c>
      <c r="L280" s="4" t="s">
        <v>2004</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c r="A281" s="8" t="b">
        <f>FALSE()</f>
        <v>0</v>
      </c>
      <c r="B281" s="8"/>
      <c r="C281" s="4" t="s">
        <v>2005</v>
      </c>
      <c r="D281" s="4" t="s">
        <v>2006</v>
      </c>
      <c r="E281" s="4" t="s">
        <v>13</v>
      </c>
      <c r="F281" s="4" t="s">
        <v>138</v>
      </c>
      <c r="G281" s="4" t="s">
        <v>2529</v>
      </c>
      <c r="H281" s="4" t="str">
        <f t="shared" si="26"/>
        <v>att_organ</v>
      </c>
      <c r="I281" s="4" t="s">
        <v>2005</v>
      </c>
      <c r="J281" s="4" t="str">
        <f t="shared" si="27"/>
        <v>att_organ:gallbladder</v>
      </c>
      <c r="K281" s="7" t="s">
        <v>17</v>
      </c>
      <c r="L281" s="4" t="s">
        <v>2006</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c r="A282" s="8" t="b">
        <f>FALSE()</f>
        <v>0</v>
      </c>
      <c r="B282" s="8"/>
      <c r="C282" s="4" t="s">
        <v>2007</v>
      </c>
      <c r="D282" s="4" t="s">
        <v>2008</v>
      </c>
      <c r="E282" s="4" t="s">
        <v>13</v>
      </c>
      <c r="F282" s="4" t="s">
        <v>138</v>
      </c>
      <c r="G282" s="4" t="s">
        <v>2529</v>
      </c>
      <c r="H282" s="4" t="str">
        <f t="shared" si="26"/>
        <v>att_organ</v>
      </c>
      <c r="I282" s="4" t="s">
        <v>2007</v>
      </c>
      <c r="J282" s="4" t="str">
        <f t="shared" si="27"/>
        <v>att_organ:ganglia</v>
      </c>
      <c r="K282" s="7" t="s">
        <v>17</v>
      </c>
      <c r="L282" s="4" t="s">
        <v>2008</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c r="A283" s="8" t="b">
        <f>FALSE()</f>
        <v>0</v>
      </c>
      <c r="B283" s="8"/>
      <c r="C283" s="4" t="s">
        <v>2009</v>
      </c>
      <c r="D283" s="4" t="s">
        <v>2010</v>
      </c>
      <c r="E283" s="4" t="s">
        <v>13</v>
      </c>
      <c r="F283" s="4" t="s">
        <v>138</v>
      </c>
      <c r="G283" s="4" t="s">
        <v>2529</v>
      </c>
      <c r="H283" s="4" t="str">
        <f t="shared" si="26"/>
        <v>att_organ</v>
      </c>
      <c r="I283" s="4" t="s">
        <v>2009</v>
      </c>
      <c r="J283" s="4" t="str">
        <f t="shared" si="27"/>
        <v>att_organ:heart</v>
      </c>
      <c r="K283" s="7" t="s">
        <v>17</v>
      </c>
      <c r="L283" s="4" t="s">
        <v>2010</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c r="A284" s="8" t="b">
        <f>FALSE()</f>
        <v>0</v>
      </c>
      <c r="B284" s="8"/>
      <c r="C284" s="4" t="s">
        <v>2011</v>
      </c>
      <c r="D284" s="4" t="s">
        <v>2012</v>
      </c>
      <c r="E284" s="4" t="s">
        <v>13</v>
      </c>
      <c r="F284" s="4" t="s">
        <v>138</v>
      </c>
      <c r="G284" s="4" t="s">
        <v>2529</v>
      </c>
      <c r="H284" s="4" t="str">
        <f t="shared" si="26"/>
        <v>att_organ</v>
      </c>
      <c r="I284" s="4" t="s">
        <v>2011</v>
      </c>
      <c r="J284" s="4" t="str">
        <f t="shared" si="27"/>
        <v>att_organ:hypothalamus</v>
      </c>
      <c r="K284" s="7" t="s">
        <v>17</v>
      </c>
      <c r="L284" s="4" t="s">
        <v>2012</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c r="A285" s="8" t="b">
        <f>FALSE()</f>
        <v>0</v>
      </c>
      <c r="B285" s="8"/>
      <c r="C285" s="4" t="s">
        <v>2013</v>
      </c>
      <c r="D285" s="4" t="s">
        <v>2014</v>
      </c>
      <c r="E285" s="4" t="s">
        <v>13</v>
      </c>
      <c r="F285" s="4" t="s">
        <v>138</v>
      </c>
      <c r="G285" s="4" t="s">
        <v>2529</v>
      </c>
      <c r="H285" s="4" t="str">
        <f t="shared" si="26"/>
        <v>att_organ</v>
      </c>
      <c r="I285" s="4" t="s">
        <v>2013</v>
      </c>
      <c r="J285" s="4" t="str">
        <f t="shared" si="27"/>
        <v>att_organ:kidney</v>
      </c>
      <c r="K285" s="7" t="s">
        <v>17</v>
      </c>
      <c r="L285" s="4" t="s">
        <v>2014</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c r="A286" s="8" t="b">
        <f>FALSE()</f>
        <v>0</v>
      </c>
      <c r="B286" s="8"/>
      <c r="C286" s="4" t="s">
        <v>2015</v>
      </c>
      <c r="D286" s="4" t="s">
        <v>2017</v>
      </c>
      <c r="E286" s="4" t="s">
        <v>13</v>
      </c>
      <c r="F286" s="4" t="s">
        <v>138</v>
      </c>
      <c r="G286" s="4" t="s">
        <v>2529</v>
      </c>
      <c r="H286" s="4" t="str">
        <f t="shared" si="26"/>
        <v>att_organ</v>
      </c>
      <c r="I286" s="4" t="s">
        <v>2015</v>
      </c>
      <c r="J286" s="4" t="str">
        <f t="shared" si="27"/>
        <v>att_organ:large_intestine</v>
      </c>
      <c r="K286" s="7" t="s">
        <v>17</v>
      </c>
      <c r="L286" s="4" t="s">
        <v>2018</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8" t="b">
        <f>FALSE()</f>
        <v>0</v>
      </c>
      <c r="B287" s="8"/>
      <c r="C287" s="4" t="s">
        <v>2019</v>
      </c>
      <c r="D287" s="4" t="s">
        <v>2020</v>
      </c>
      <c r="E287" s="4" t="s">
        <v>13</v>
      </c>
      <c r="F287" s="4" t="s">
        <v>138</v>
      </c>
      <c r="G287" s="4" t="s">
        <v>2529</v>
      </c>
      <c r="H287" s="4" t="str">
        <f t="shared" si="26"/>
        <v>att_organ</v>
      </c>
      <c r="I287" s="4" t="s">
        <v>2019</v>
      </c>
      <c r="J287" s="4" t="str">
        <f t="shared" si="27"/>
        <v>att_organ:liver</v>
      </c>
      <c r="K287" s="7" t="s">
        <v>17</v>
      </c>
      <c r="L287" s="4" t="s">
        <v>2020</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c r="A288" s="8" t="b">
        <f>FALSE()</f>
        <v>0</v>
      </c>
      <c r="B288" s="8"/>
      <c r="C288" s="4" t="s">
        <v>2021</v>
      </c>
      <c r="D288" s="4" t="s">
        <v>2022</v>
      </c>
      <c r="E288" s="4" t="s">
        <v>13</v>
      </c>
      <c r="F288" s="4" t="s">
        <v>138</v>
      </c>
      <c r="G288" s="4" t="s">
        <v>2529</v>
      </c>
      <c r="H288" s="4" t="str">
        <f t="shared" si="26"/>
        <v>att_organ</v>
      </c>
      <c r="I288" s="4" t="s">
        <v>2021</v>
      </c>
      <c r="J288" s="4" t="str">
        <f t="shared" si="27"/>
        <v>att_organ:lung</v>
      </c>
      <c r="K288" s="7" t="s">
        <v>17</v>
      </c>
      <c r="L288" s="4" t="s">
        <v>2022</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c r="A289" s="8" t="b">
        <f>FALSE()</f>
        <v>0</v>
      </c>
      <c r="B289" s="8"/>
      <c r="C289" s="4" t="s">
        <v>2023</v>
      </c>
      <c r="D289" s="4" t="s">
        <v>2024</v>
      </c>
      <c r="E289" s="4" t="s">
        <v>13</v>
      </c>
      <c r="F289" s="4" t="s">
        <v>138</v>
      </c>
      <c r="G289" s="4" t="s">
        <v>2529</v>
      </c>
      <c r="H289" s="4" t="str">
        <f t="shared" si="26"/>
        <v>att_organ</v>
      </c>
      <c r="I289" s="4" t="s">
        <v>2023</v>
      </c>
      <c r="J289" s="4" t="str">
        <f t="shared" si="27"/>
        <v>att_organ:lymph_node</v>
      </c>
      <c r="K289" s="7" t="s">
        <v>17</v>
      </c>
      <c r="L289" s="4" t="s">
        <v>2024</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c r="A290" s="8" t="b">
        <f>FALSE()</f>
        <v>0</v>
      </c>
      <c r="B290" s="8"/>
      <c r="C290" s="4" t="s">
        <v>2025</v>
      </c>
      <c r="D290" s="4" t="s">
        <v>2026</v>
      </c>
      <c r="E290" s="4" t="s">
        <v>13</v>
      </c>
      <c r="F290" s="4" t="s">
        <v>138</v>
      </c>
      <c r="G290" s="4" t="s">
        <v>2529</v>
      </c>
      <c r="H290" s="4" t="str">
        <f t="shared" si="26"/>
        <v>att_organ</v>
      </c>
      <c r="I290" s="4" t="s">
        <v>2025</v>
      </c>
      <c r="J290" s="4" t="str">
        <f t="shared" si="27"/>
        <v>att_organ:medulla</v>
      </c>
      <c r="K290" s="7" t="s">
        <v>17</v>
      </c>
      <c r="L290" s="4" t="s">
        <v>2026</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c r="A291" s="8" t="b">
        <f>FALSE()</f>
        <v>0</v>
      </c>
      <c r="B291" s="8"/>
      <c r="C291" s="4" t="s">
        <v>2027</v>
      </c>
      <c r="D291" s="4" t="s">
        <v>2028</v>
      </c>
      <c r="E291" s="4" t="s">
        <v>13</v>
      </c>
      <c r="F291" s="4" t="s">
        <v>138</v>
      </c>
      <c r="G291" s="4" t="s">
        <v>2529</v>
      </c>
      <c r="H291" s="4" t="str">
        <f t="shared" si="26"/>
        <v>att_organ</v>
      </c>
      <c r="I291" s="4" t="s">
        <v>2027</v>
      </c>
      <c r="J291" s="4" t="str">
        <f t="shared" si="27"/>
        <v>att_organ:mesentery</v>
      </c>
      <c r="K291" s="7" t="s">
        <v>17</v>
      </c>
      <c r="L291" s="4" t="s">
        <v>2028</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c r="A292" s="8" t="b">
        <f>FALSE()</f>
        <v>0</v>
      </c>
      <c r="B292" s="8"/>
      <c r="C292" s="4" t="s">
        <v>2029</v>
      </c>
      <c r="D292" s="4" t="s">
        <v>2030</v>
      </c>
      <c r="E292" s="4" t="s">
        <v>13</v>
      </c>
      <c r="F292" s="4" t="s">
        <v>138</v>
      </c>
      <c r="G292" s="4" t="s">
        <v>2529</v>
      </c>
      <c r="H292" s="4" t="str">
        <f t="shared" si="26"/>
        <v>att_organ</v>
      </c>
      <c r="I292" s="4" t="s">
        <v>2029</v>
      </c>
      <c r="J292" s="4" t="str">
        <f t="shared" si="27"/>
        <v>att_organ:midbrain</v>
      </c>
      <c r="K292" s="7" t="s">
        <v>17</v>
      </c>
      <c r="L292" s="4" t="s">
        <v>2030</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c r="A293" s="8" t="b">
        <f>FALSE()</f>
        <v>0</v>
      </c>
      <c r="B293" s="8"/>
      <c r="C293" s="4" t="s">
        <v>2031</v>
      </c>
      <c r="D293" s="4" t="s">
        <v>2032</v>
      </c>
      <c r="E293" s="4" t="s">
        <v>13</v>
      </c>
      <c r="F293" s="4" t="s">
        <v>138</v>
      </c>
      <c r="G293" s="4" t="s">
        <v>2529</v>
      </c>
      <c r="H293" s="4" t="str">
        <f t="shared" si="26"/>
        <v>att_organ</v>
      </c>
      <c r="I293" s="4" t="s">
        <v>2031</v>
      </c>
      <c r="J293" s="4" t="str">
        <f t="shared" si="27"/>
        <v>att_organ:ovaries</v>
      </c>
      <c r="K293" s="7" t="s">
        <v>17</v>
      </c>
      <c r="L293" s="4" t="s">
        <v>2032</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c r="A294" s="8" t="b">
        <f>FALSE()</f>
        <v>0</v>
      </c>
      <c r="B294" s="8"/>
      <c r="C294" s="4" t="s">
        <v>2033</v>
      </c>
      <c r="D294" s="4" t="s">
        <v>2034</v>
      </c>
      <c r="E294" s="4" t="s">
        <v>13</v>
      </c>
      <c r="F294" s="4" t="s">
        <v>138</v>
      </c>
      <c r="G294" s="4" t="s">
        <v>2529</v>
      </c>
      <c r="H294" s="4" t="str">
        <f t="shared" si="26"/>
        <v>att_organ</v>
      </c>
      <c r="I294" s="4" t="s">
        <v>2033</v>
      </c>
      <c r="J294" s="4" t="str">
        <f t="shared" si="27"/>
        <v>att_organ:pancreas</v>
      </c>
      <c r="K294" s="7" t="s">
        <v>17</v>
      </c>
      <c r="L294" s="4" t="s">
        <v>2034</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c r="A295" s="8" t="b">
        <f>FALSE()</f>
        <v>0</v>
      </c>
      <c r="B295" s="8"/>
      <c r="C295" s="4" t="s">
        <v>2035</v>
      </c>
      <c r="D295" s="4" t="s">
        <v>2036</v>
      </c>
      <c r="E295" s="4" t="s">
        <v>13</v>
      </c>
      <c r="F295" s="4" t="s">
        <v>138</v>
      </c>
      <c r="G295" s="4" t="s">
        <v>2529</v>
      </c>
      <c r="H295" s="4" t="str">
        <f t="shared" si="26"/>
        <v>att_organ</v>
      </c>
      <c r="I295" s="4" t="s">
        <v>2035</v>
      </c>
      <c r="J295" s="4" t="str">
        <f t="shared" si="27"/>
        <v>att_organ:pons</v>
      </c>
      <c r="K295" s="7" t="s">
        <v>17</v>
      </c>
      <c r="L295" s="4" t="s">
        <v>2036</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c r="A296" s="8" t="b">
        <f>FALSE()</f>
        <v>0</v>
      </c>
      <c r="B296" s="8"/>
      <c r="C296" s="4" t="s">
        <v>2037</v>
      </c>
      <c r="D296" s="4" t="s">
        <v>2038</v>
      </c>
      <c r="E296" s="4" t="s">
        <v>13</v>
      </c>
      <c r="F296" s="4" t="s">
        <v>138</v>
      </c>
      <c r="G296" s="4" t="s">
        <v>2529</v>
      </c>
      <c r="H296" s="4" t="str">
        <f t="shared" si="26"/>
        <v>att_organ</v>
      </c>
      <c r="I296" s="4" t="s">
        <v>2037</v>
      </c>
      <c r="J296" s="4" t="str">
        <f t="shared" si="27"/>
        <v>att_organ:prostate</v>
      </c>
      <c r="K296" s="7" t="s">
        <v>17</v>
      </c>
      <c r="L296" s="4" t="s">
        <v>2038</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c r="A297" s="8" t="b">
        <f>FALSE()</f>
        <v>0</v>
      </c>
      <c r="B297" s="8"/>
      <c r="C297" s="4" t="s">
        <v>2039</v>
      </c>
      <c r="D297" s="4" t="s">
        <v>2040</v>
      </c>
      <c r="E297" s="4" t="s">
        <v>13</v>
      </c>
      <c r="F297" s="4" t="s">
        <v>138</v>
      </c>
      <c r="G297" s="4" t="s">
        <v>2529</v>
      </c>
      <c r="H297" s="4" t="str">
        <f t="shared" si="26"/>
        <v>att_organ</v>
      </c>
      <c r="I297" s="4" t="s">
        <v>2039</v>
      </c>
      <c r="J297" s="4" t="str">
        <f t="shared" si="27"/>
        <v>att_organ:rectum</v>
      </c>
      <c r="K297" s="7" t="s">
        <v>17</v>
      </c>
      <c r="L297" s="4" t="s">
        <v>2040</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c r="A298" s="8" t="b">
        <f>FALSE()</f>
        <v>0</v>
      </c>
      <c r="B298" s="8"/>
      <c r="C298" s="4" t="s">
        <v>2042</v>
      </c>
      <c r="D298" s="4" t="s">
        <v>2043</v>
      </c>
      <c r="E298" s="4" t="s">
        <v>13</v>
      </c>
      <c r="F298" s="4" t="s">
        <v>138</v>
      </c>
      <c r="G298" s="4" t="s">
        <v>2529</v>
      </c>
      <c r="H298" s="4" t="str">
        <f t="shared" si="26"/>
        <v>att_organ</v>
      </c>
      <c r="I298" s="4" t="s">
        <v>2041</v>
      </c>
      <c r="J298" s="4" t="str">
        <f t="shared" si="27"/>
        <v>att_organ:small_intestine</v>
      </c>
      <c r="K298" s="7" t="s">
        <v>17</v>
      </c>
      <c r="L298" s="4" t="s">
        <v>2044</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8" t="b">
        <f>FALSE()</f>
        <v>0</v>
      </c>
      <c r="B299" s="8"/>
      <c r="C299" s="4" t="s">
        <v>2045</v>
      </c>
      <c r="D299" s="4" t="s">
        <v>2046</v>
      </c>
      <c r="E299" s="4" t="s">
        <v>13</v>
      </c>
      <c r="F299" s="4" t="s">
        <v>138</v>
      </c>
      <c r="G299" s="4" t="s">
        <v>2529</v>
      </c>
      <c r="H299" s="4" t="str">
        <f t="shared" si="26"/>
        <v>att_organ</v>
      </c>
      <c r="I299" s="4" t="s">
        <v>2045</v>
      </c>
      <c r="J299" s="4" t="str">
        <f t="shared" si="27"/>
        <v>att_organ:spinal_cord</v>
      </c>
      <c r="K299" s="7" t="s">
        <v>17</v>
      </c>
      <c r="L299" s="4" t="s">
        <v>2047</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c r="A300" s="8" t="b">
        <f>FALSE()</f>
        <v>0</v>
      </c>
      <c r="B300" s="8"/>
      <c r="C300" s="4" t="s">
        <v>2048</v>
      </c>
      <c r="D300" s="4" t="s">
        <v>2049</v>
      </c>
      <c r="E300" s="4" t="s">
        <v>13</v>
      </c>
      <c r="F300" s="4" t="s">
        <v>138</v>
      </c>
      <c r="G300" s="4" t="s">
        <v>2529</v>
      </c>
      <c r="H300" s="4" t="str">
        <f t="shared" si="26"/>
        <v>att_organ</v>
      </c>
      <c r="I300" s="4" t="s">
        <v>2048</v>
      </c>
      <c r="J300" s="4" t="str">
        <f t="shared" si="27"/>
        <v>att_organ:spleen</v>
      </c>
      <c r="K300" s="7" t="s">
        <v>17</v>
      </c>
      <c r="L300" s="4" t="s">
        <v>2049</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c r="A301" s="8" t="b">
        <f>FALSE()</f>
        <v>0</v>
      </c>
      <c r="B301" s="8"/>
      <c r="C301" s="4" t="s">
        <v>2050</v>
      </c>
      <c r="D301" s="4" t="s">
        <v>2051</v>
      </c>
      <c r="E301" s="4" t="s">
        <v>13</v>
      </c>
      <c r="F301" s="4" t="s">
        <v>138</v>
      </c>
      <c r="G301" s="4" t="s">
        <v>2529</v>
      </c>
      <c r="H301" s="4" t="str">
        <f t="shared" ref="H301:H332" si="30">"att_"&amp;G301</f>
        <v>att_organ</v>
      </c>
      <c r="I301" s="4" t="s">
        <v>2050</v>
      </c>
      <c r="J301" s="4" t="str">
        <f t="shared" ref="J301:J332" si="31">H301&amp;":"&amp;I301</f>
        <v>att_organ:stomach</v>
      </c>
      <c r="K301" s="7" t="s">
        <v>17</v>
      </c>
      <c r="L301" s="4" t="s">
        <v>2051</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8" t="b">
        <f>FALSE()</f>
        <v>0</v>
      </c>
      <c r="B302" s="8"/>
      <c r="C302" s="4" t="s">
        <v>2052</v>
      </c>
      <c r="D302" s="4" t="s">
        <v>2053</v>
      </c>
      <c r="E302" s="4" t="s">
        <v>13</v>
      </c>
      <c r="F302" s="4" t="s">
        <v>138</v>
      </c>
      <c r="G302" s="4" t="s">
        <v>2529</v>
      </c>
      <c r="H302" s="4" t="str">
        <f t="shared" si="30"/>
        <v>att_organ</v>
      </c>
      <c r="I302" s="4" t="s">
        <v>2052</v>
      </c>
      <c r="J302" s="4" t="str">
        <f t="shared" si="31"/>
        <v>att_organ:testicles</v>
      </c>
      <c r="K302" s="7" t="s">
        <v>17</v>
      </c>
      <c r="L302" s="4" t="s">
        <v>2053</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c r="A303" s="8" t="b">
        <f>FALSE()</f>
        <v>0</v>
      </c>
      <c r="B303" s="8"/>
      <c r="C303" s="4" t="s">
        <v>2054</v>
      </c>
      <c r="D303" s="4" t="s">
        <v>2055</v>
      </c>
      <c r="E303" s="4" t="s">
        <v>13</v>
      </c>
      <c r="F303" s="4" t="s">
        <v>138</v>
      </c>
      <c r="G303" s="4" t="s">
        <v>2529</v>
      </c>
      <c r="H303" s="4" t="str">
        <f t="shared" si="30"/>
        <v>att_organ</v>
      </c>
      <c r="I303" s="4" t="s">
        <v>2054</v>
      </c>
      <c r="J303" s="4" t="str">
        <f t="shared" si="31"/>
        <v>att_organ:thalamus</v>
      </c>
      <c r="K303" s="7" t="s">
        <v>17</v>
      </c>
      <c r="L303" s="4" t="s">
        <v>2055</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c r="A304" s="8" t="b">
        <f>FALSE()</f>
        <v>0</v>
      </c>
      <c r="B304" s="8"/>
      <c r="C304" s="4" t="s">
        <v>2056</v>
      </c>
      <c r="D304" s="4" t="s">
        <v>2057</v>
      </c>
      <c r="E304" s="4" t="s">
        <v>13</v>
      </c>
      <c r="F304" s="4" t="s">
        <v>138</v>
      </c>
      <c r="G304" s="4" t="s">
        <v>2529</v>
      </c>
      <c r="H304" s="4" t="str">
        <f t="shared" si="30"/>
        <v>att_organ</v>
      </c>
      <c r="I304" s="4" t="s">
        <v>2056</v>
      </c>
      <c r="J304" s="4" t="str">
        <f t="shared" si="31"/>
        <v>att_organ:thymus</v>
      </c>
      <c r="K304" s="7" t="s">
        <v>17</v>
      </c>
      <c r="L304" s="4" t="s">
        <v>2057</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c r="A305" s="8" t="b">
        <f>FALSE()</f>
        <v>0</v>
      </c>
      <c r="B305" s="8"/>
      <c r="C305" s="4" t="s">
        <v>2058</v>
      </c>
      <c r="D305" s="4" t="s">
        <v>2059</v>
      </c>
      <c r="E305" s="4" t="s">
        <v>13</v>
      </c>
      <c r="F305" s="4" t="s">
        <v>138</v>
      </c>
      <c r="G305" s="4" t="s">
        <v>2529</v>
      </c>
      <c r="H305" s="4" t="str">
        <f t="shared" si="30"/>
        <v>att_organ</v>
      </c>
      <c r="I305" s="4" t="s">
        <v>2058</v>
      </c>
      <c r="J305" s="4" t="str">
        <f t="shared" si="31"/>
        <v>att_organ:tongue</v>
      </c>
      <c r="K305" s="7" t="s">
        <v>17</v>
      </c>
      <c r="L305" s="4" t="s">
        <v>2059</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c r="A306" s="8" t="b">
        <f>FALSE()</f>
        <v>0</v>
      </c>
      <c r="B306" s="8"/>
      <c r="C306" s="4" t="s">
        <v>2060</v>
      </c>
      <c r="D306" s="4" t="s">
        <v>2061</v>
      </c>
      <c r="E306" s="4" t="s">
        <v>13</v>
      </c>
      <c r="F306" s="4" t="s">
        <v>138</v>
      </c>
      <c r="G306" s="4" t="s">
        <v>2529</v>
      </c>
      <c r="H306" s="4" t="str">
        <f t="shared" si="30"/>
        <v>att_organ</v>
      </c>
      <c r="I306" s="4" t="s">
        <v>2060</v>
      </c>
      <c r="J306" s="4" t="str">
        <f t="shared" si="31"/>
        <v>att_organ:tonsils</v>
      </c>
      <c r="K306" s="7" t="s">
        <v>17</v>
      </c>
      <c r="L306" s="4" t="s">
        <v>2061</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c r="A307" s="8" t="b">
        <f>FALSE()</f>
        <v>0</v>
      </c>
      <c r="B307" s="8"/>
      <c r="C307" s="4" t="s">
        <v>2062</v>
      </c>
      <c r="D307" s="4" t="s">
        <v>2063</v>
      </c>
      <c r="E307" s="4" t="s">
        <v>13</v>
      </c>
      <c r="F307" s="4" t="s">
        <v>138</v>
      </c>
      <c r="G307" s="4" t="s">
        <v>2529</v>
      </c>
      <c r="H307" s="4" t="str">
        <f t="shared" si="30"/>
        <v>att_organ</v>
      </c>
      <c r="I307" s="4" t="s">
        <v>2062</v>
      </c>
      <c r="J307" s="4" t="str">
        <f t="shared" si="31"/>
        <v>att_organ:uterus</v>
      </c>
      <c r="K307" s="7" t="s">
        <v>17</v>
      </c>
      <c r="L307" s="4" t="s">
        <v>2063</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c r="A308" s="8" t="b">
        <f>FALSE()</f>
        <v>0</v>
      </c>
      <c r="B308" s="8"/>
      <c r="C308" s="4" t="s">
        <v>2064</v>
      </c>
      <c r="D308" s="4" t="s">
        <v>2065</v>
      </c>
      <c r="E308" s="4" t="s">
        <v>13</v>
      </c>
      <c r="F308" s="4" t="s">
        <v>138</v>
      </c>
      <c r="G308" s="4" t="s">
        <v>2529</v>
      </c>
      <c r="H308" s="4" t="str">
        <f t="shared" si="30"/>
        <v>att_organ</v>
      </c>
      <c r="I308" s="4" t="s">
        <v>2064</v>
      </c>
      <c r="J308" s="4" t="str">
        <f t="shared" si="31"/>
        <v>att_organ:veins</v>
      </c>
      <c r="K308" s="7" t="s">
        <v>17</v>
      </c>
      <c r="L308" s="4" t="s">
        <v>2065</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c r="A309" s="7" t="s">
        <v>17</v>
      </c>
      <c r="B309" s="8"/>
      <c r="C309" s="4" t="s">
        <v>2530</v>
      </c>
      <c r="D309" s="4" t="s">
        <v>2531</v>
      </c>
      <c r="E309" s="4" t="s">
        <v>13</v>
      </c>
      <c r="F309" s="4" t="s">
        <v>140</v>
      </c>
      <c r="G309" s="4" t="s">
        <v>2532</v>
      </c>
      <c r="H309" s="4" t="str">
        <f t="shared" si="30"/>
        <v>att_organism</v>
      </c>
      <c r="I309" s="4" t="s">
        <v>2530</v>
      </c>
      <c r="J309" s="4" t="str">
        <f t="shared" si="31"/>
        <v>att_organism:bacteria</v>
      </c>
      <c r="K309" s="7" t="s">
        <v>17</v>
      </c>
      <c r="L309" s="4" t="s">
        <v>2531</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c r="A310" s="7" t="s">
        <v>17</v>
      </c>
      <c r="B310" s="8"/>
      <c r="C310" s="4" t="s">
        <v>2533</v>
      </c>
      <c r="D310" s="4" t="s">
        <v>2072</v>
      </c>
      <c r="E310" s="4" t="s">
        <v>13</v>
      </c>
      <c r="F310" s="4" t="s">
        <v>140</v>
      </c>
      <c r="G310" s="4" t="s">
        <v>2532</v>
      </c>
      <c r="H310" s="4" t="str">
        <f t="shared" si="30"/>
        <v>att_organism</v>
      </c>
      <c r="I310" s="4" t="s">
        <v>2533</v>
      </c>
      <c r="J310" s="4" t="str">
        <f t="shared" si="31"/>
        <v>att_organism:elegans</v>
      </c>
      <c r="K310" s="7" t="s">
        <v>17</v>
      </c>
      <c r="L310" s="4" t="s">
        <v>2072</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c r="A311" s="7" t="s">
        <v>17</v>
      </c>
      <c r="B311" s="8"/>
      <c r="C311" s="4" t="s">
        <v>2534</v>
      </c>
      <c r="D311" s="4" t="s">
        <v>2535</v>
      </c>
      <c r="E311" s="4" t="s">
        <v>13</v>
      </c>
      <c r="F311" s="4" t="s">
        <v>140</v>
      </c>
      <c r="G311" s="4" t="s">
        <v>2532</v>
      </c>
      <c r="H311" s="4" t="str">
        <f t="shared" si="30"/>
        <v>att_organism</v>
      </c>
      <c r="I311" s="4" t="s">
        <v>2534</v>
      </c>
      <c r="J311" s="4" t="str">
        <f t="shared" si="31"/>
        <v>att_organism:gut</v>
      </c>
      <c r="K311" s="7" t="s">
        <v>17</v>
      </c>
      <c r="L311" s="4" t="s">
        <v>2536</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c r="A312" s="7" t="s">
        <v>17</v>
      </c>
      <c r="B312" s="8"/>
      <c r="C312" s="4" t="s">
        <v>2083</v>
      </c>
      <c r="D312" s="4" t="s">
        <v>2084</v>
      </c>
      <c r="E312" s="4" t="s">
        <v>13</v>
      </c>
      <c r="F312" s="4" t="s">
        <v>140</v>
      </c>
      <c r="G312" s="4" t="s">
        <v>2532</v>
      </c>
      <c r="H312" s="4" t="str">
        <f t="shared" si="30"/>
        <v>att_organism</v>
      </c>
      <c r="I312" s="4" t="s">
        <v>2083</v>
      </c>
      <c r="J312" s="4" t="str">
        <f t="shared" si="31"/>
        <v>att_organism:human</v>
      </c>
      <c r="K312" s="7" t="s">
        <v>17</v>
      </c>
      <c r="L312" s="4" t="s">
        <v>2537</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c r="A313" s="7" t="s">
        <v>17</v>
      </c>
      <c r="B313" s="8"/>
      <c r="C313" s="4" t="s">
        <v>2067</v>
      </c>
      <c r="D313" s="4" t="s">
        <v>2068</v>
      </c>
      <c r="E313" s="4" t="s">
        <v>13</v>
      </c>
      <c r="F313" s="4" t="s">
        <v>140</v>
      </c>
      <c r="G313" s="4" t="s">
        <v>2532</v>
      </c>
      <c r="H313" s="4" t="str">
        <f t="shared" si="30"/>
        <v>att_organism</v>
      </c>
      <c r="I313" s="4" t="s">
        <v>2067</v>
      </c>
      <c r="J313" s="4" t="str">
        <f t="shared" si="31"/>
        <v>att_organism:mouse</v>
      </c>
      <c r="K313" s="7" t="s">
        <v>17</v>
      </c>
      <c r="L313" s="4" t="s">
        <v>2538</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c r="A314" s="7" t="s">
        <v>17</v>
      </c>
      <c r="B314" s="8"/>
      <c r="C314" s="4" t="s">
        <v>2079</v>
      </c>
      <c r="D314" s="4" t="s">
        <v>2080</v>
      </c>
      <c r="E314" s="4" t="s">
        <v>13</v>
      </c>
      <c r="F314" s="4" t="s">
        <v>140</v>
      </c>
      <c r="G314" s="4" t="s">
        <v>2532</v>
      </c>
      <c r="H314" s="4" t="str">
        <f t="shared" si="30"/>
        <v>att_organism</v>
      </c>
      <c r="I314" s="4" t="s">
        <v>2079</v>
      </c>
      <c r="J314" s="4" t="str">
        <f t="shared" si="31"/>
        <v>att_organism:rat</v>
      </c>
      <c r="K314" s="7" t="s">
        <v>17</v>
      </c>
      <c r="L314" s="4" t="s">
        <v>2539</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c r="A315" s="7" t="s">
        <v>17</v>
      </c>
      <c r="B315" s="8"/>
      <c r="C315" s="4" t="s">
        <v>2075</v>
      </c>
      <c r="D315" s="4" t="s">
        <v>2076</v>
      </c>
      <c r="E315" s="4" t="s">
        <v>13</v>
      </c>
      <c r="F315" s="4" t="s">
        <v>140</v>
      </c>
      <c r="G315" s="4" t="s">
        <v>2532</v>
      </c>
      <c r="H315" s="4" t="str">
        <f t="shared" si="30"/>
        <v>att_organism</v>
      </c>
      <c r="I315" s="4" t="s">
        <v>2075</v>
      </c>
      <c r="J315" s="4" t="str">
        <f t="shared" si="31"/>
        <v>att_organism:yeast</v>
      </c>
      <c r="K315" s="7" t="s">
        <v>17</v>
      </c>
      <c r="L315" s="4" t="s">
        <v>2540</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c r="A316" s="8" t="b">
        <f>FALSE()</f>
        <v>0</v>
      </c>
      <c r="B316" s="8"/>
      <c r="C316" s="4" t="s">
        <v>2086</v>
      </c>
      <c r="D316" s="4" t="s">
        <v>2088</v>
      </c>
      <c r="E316" s="4" t="s">
        <v>13</v>
      </c>
      <c r="F316" s="4" t="s">
        <v>2541</v>
      </c>
      <c r="G316" s="4" t="s">
        <v>2542</v>
      </c>
      <c r="H316" s="4" t="str">
        <f t="shared" si="30"/>
        <v>att_organsystem</v>
      </c>
      <c r="I316" s="4" t="s">
        <v>2086</v>
      </c>
      <c r="J316" s="4" t="str">
        <f t="shared" si="31"/>
        <v>att_organsystem:cardiovascular</v>
      </c>
      <c r="K316" s="7" t="s">
        <v>17</v>
      </c>
      <c r="L316" s="4" t="s">
        <v>2089</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c r="A317" s="8" t="b">
        <f>FALSE()</f>
        <v>0</v>
      </c>
      <c r="B317" s="8"/>
      <c r="C317" s="4" t="s">
        <v>2090</v>
      </c>
      <c r="D317" s="4" t="s">
        <v>2091</v>
      </c>
      <c r="E317" s="4" t="s">
        <v>13</v>
      </c>
      <c r="F317" s="4" t="s">
        <v>2541</v>
      </c>
      <c r="G317" s="4" t="s">
        <v>2542</v>
      </c>
      <c r="H317" s="4" t="str">
        <f t="shared" si="30"/>
        <v>att_organsystem</v>
      </c>
      <c r="I317" s="4" t="s">
        <v>2090</v>
      </c>
      <c r="J317" s="4" t="str">
        <f t="shared" si="31"/>
        <v>att_organsystem:digestive</v>
      </c>
      <c r="K317" s="7" t="s">
        <v>17</v>
      </c>
      <c r="L317" s="4" t="s">
        <v>2092</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c r="A318" s="8" t="b">
        <f>FALSE()</f>
        <v>0</v>
      </c>
      <c r="B318" s="8"/>
      <c r="C318" s="4" t="s">
        <v>2093</v>
      </c>
      <c r="D318" s="4" t="s">
        <v>2094</v>
      </c>
      <c r="E318" s="4" t="s">
        <v>13</v>
      </c>
      <c r="F318" s="4" t="s">
        <v>2541</v>
      </c>
      <c r="G318" s="4" t="s">
        <v>2542</v>
      </c>
      <c r="H318" s="4" t="str">
        <f t="shared" si="30"/>
        <v>att_organsystem</v>
      </c>
      <c r="I318" s="4" t="s">
        <v>2093</v>
      </c>
      <c r="J318" s="4" t="str">
        <f t="shared" si="31"/>
        <v>att_organsystem:endocrine</v>
      </c>
      <c r="K318" s="7" t="s">
        <v>17</v>
      </c>
      <c r="L318" s="4" t="s">
        <v>2095</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c r="A319" s="8" t="b">
        <f>FALSE()</f>
        <v>0</v>
      </c>
      <c r="B319" s="8"/>
      <c r="C319" s="4" t="s">
        <v>2096</v>
      </c>
      <c r="D319" s="4" t="s">
        <v>2097</v>
      </c>
      <c r="E319" s="4" t="s">
        <v>13</v>
      </c>
      <c r="F319" s="4" t="s">
        <v>2541</v>
      </c>
      <c r="G319" s="4" t="s">
        <v>2542</v>
      </c>
      <c r="H319" s="4" t="str">
        <f t="shared" si="30"/>
        <v>att_organsystem</v>
      </c>
      <c r="I319" s="4" t="s">
        <v>2096</v>
      </c>
      <c r="J319" s="4" t="str">
        <f t="shared" si="31"/>
        <v>att_organsystem:excretory</v>
      </c>
      <c r="K319" s="7" t="s">
        <v>17</v>
      </c>
      <c r="L319" s="4" t="s">
        <v>2098</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c r="A320" s="8" t="b">
        <f>FALSE()</f>
        <v>0</v>
      </c>
      <c r="B320" s="8"/>
      <c r="C320" s="4" t="s">
        <v>2099</v>
      </c>
      <c r="D320" s="4" t="s">
        <v>2100</v>
      </c>
      <c r="E320" s="4" t="s">
        <v>13</v>
      </c>
      <c r="F320" s="4" t="s">
        <v>2541</v>
      </c>
      <c r="G320" s="4" t="s">
        <v>2542</v>
      </c>
      <c r="H320" s="4" t="str">
        <f t="shared" si="30"/>
        <v>att_organsystem</v>
      </c>
      <c r="I320" s="4" t="s">
        <v>2099</v>
      </c>
      <c r="J320" s="4" t="str">
        <f t="shared" si="31"/>
        <v>att_organsystem:integumentary</v>
      </c>
      <c r="K320" s="7" t="s">
        <v>17</v>
      </c>
      <c r="L320" s="4" t="s">
        <v>2101</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c r="A321" s="8" t="b">
        <f>FALSE()</f>
        <v>0</v>
      </c>
      <c r="B321" s="8"/>
      <c r="C321" s="4" t="s">
        <v>2102</v>
      </c>
      <c r="D321" s="4" t="s">
        <v>2103</v>
      </c>
      <c r="E321" s="4" t="s">
        <v>13</v>
      </c>
      <c r="F321" s="4" t="s">
        <v>2541</v>
      </c>
      <c r="G321" s="4" t="s">
        <v>2542</v>
      </c>
      <c r="H321" s="4" t="str">
        <f t="shared" si="30"/>
        <v>att_organsystem</v>
      </c>
      <c r="I321" s="4" t="s">
        <v>2102</v>
      </c>
      <c r="J321" s="4" t="str">
        <f t="shared" si="31"/>
        <v>att_organsystem:lymphatic</v>
      </c>
      <c r="K321" s="7" t="s">
        <v>17</v>
      </c>
      <c r="L321" s="4" t="s">
        <v>2104</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c r="A322" s="8" t="b">
        <f>FALSE()</f>
        <v>0</v>
      </c>
      <c r="B322" s="8"/>
      <c r="C322" s="4" t="s">
        <v>2105</v>
      </c>
      <c r="D322" s="4" t="s">
        <v>2106</v>
      </c>
      <c r="E322" s="4" t="s">
        <v>13</v>
      </c>
      <c r="F322" s="4" t="s">
        <v>2541</v>
      </c>
      <c r="G322" s="4" t="s">
        <v>2542</v>
      </c>
      <c r="H322" s="4" t="str">
        <f t="shared" si="30"/>
        <v>att_organsystem</v>
      </c>
      <c r="I322" s="4" t="s">
        <v>2105</v>
      </c>
      <c r="J322" s="4" t="str">
        <f t="shared" si="31"/>
        <v>att_organsystem:muscular</v>
      </c>
      <c r="K322" s="7" t="s">
        <v>17</v>
      </c>
      <c r="L322" s="4" t="s">
        <v>2107</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c r="A323" s="8" t="b">
        <f>FALSE()</f>
        <v>0</v>
      </c>
      <c r="B323" s="8"/>
      <c r="C323" s="4" t="s">
        <v>2543</v>
      </c>
      <c r="D323" s="4" t="s">
        <v>2109</v>
      </c>
      <c r="E323" s="4" t="s">
        <v>13</v>
      </c>
      <c r="F323" s="4" t="s">
        <v>2541</v>
      </c>
      <c r="G323" s="4" t="s">
        <v>2542</v>
      </c>
      <c r="H323" s="4" t="str">
        <f t="shared" si="30"/>
        <v>att_organsystem</v>
      </c>
      <c r="I323" s="4" t="s">
        <v>2108</v>
      </c>
      <c r="J323" s="4" t="str">
        <f t="shared" si="31"/>
        <v>att_organsystem:nervous_system</v>
      </c>
      <c r="K323" s="7" t="s">
        <v>17</v>
      </c>
      <c r="L323" s="4" t="s">
        <v>2110</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c r="A324" s="8" t="b">
        <f>FALSE()</f>
        <v>0</v>
      </c>
      <c r="B324" s="8"/>
      <c r="C324" s="4" t="s">
        <v>2111</v>
      </c>
      <c r="D324" s="4" t="s">
        <v>2112</v>
      </c>
      <c r="E324" s="4" t="s">
        <v>13</v>
      </c>
      <c r="F324" s="4" t="s">
        <v>2541</v>
      </c>
      <c r="G324" s="4" t="s">
        <v>2542</v>
      </c>
      <c r="H324" s="4" t="str">
        <f t="shared" si="30"/>
        <v>att_organsystem</v>
      </c>
      <c r="I324" s="4" t="s">
        <v>2111</v>
      </c>
      <c r="J324" s="4" t="str">
        <f t="shared" si="31"/>
        <v>att_organsystem:reproductive</v>
      </c>
      <c r="K324" s="7" t="s">
        <v>17</v>
      </c>
      <c r="L324" s="4" t="s">
        <v>2113</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c r="A325" s="8" t="b">
        <f>FALSE()</f>
        <v>0</v>
      </c>
      <c r="B325" s="8"/>
      <c r="C325" s="4" t="s">
        <v>2114</v>
      </c>
      <c r="D325" s="4" t="s">
        <v>2115</v>
      </c>
      <c r="E325" s="4" t="s">
        <v>13</v>
      </c>
      <c r="F325" s="4" t="s">
        <v>2541</v>
      </c>
      <c r="G325" s="4" t="s">
        <v>2542</v>
      </c>
      <c r="H325" s="4" t="str">
        <f t="shared" si="30"/>
        <v>att_organsystem</v>
      </c>
      <c r="I325" s="4" t="s">
        <v>2114</v>
      </c>
      <c r="J325" s="4" t="str">
        <f t="shared" si="31"/>
        <v>att_organsystem:respiratory</v>
      </c>
      <c r="K325" s="7" t="s">
        <v>17</v>
      </c>
      <c r="L325" s="4" t="s">
        <v>2116</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c r="A326" s="8" t="b">
        <f>FALSE()</f>
        <v>0</v>
      </c>
      <c r="B326" s="8"/>
      <c r="C326" s="4" t="s">
        <v>2117</v>
      </c>
      <c r="D326" s="4" t="s">
        <v>2118</v>
      </c>
      <c r="E326" s="4" t="s">
        <v>13</v>
      </c>
      <c r="F326" s="4" t="s">
        <v>2541</v>
      </c>
      <c r="G326" s="4" t="s">
        <v>2542</v>
      </c>
      <c r="H326" s="4" t="str">
        <f t="shared" si="30"/>
        <v>att_organsystem</v>
      </c>
      <c r="I326" s="4" t="s">
        <v>2117</v>
      </c>
      <c r="J326" s="4" t="str">
        <f t="shared" si="31"/>
        <v>att_organsystem:skeletal</v>
      </c>
      <c r="K326" s="7" t="s">
        <v>17</v>
      </c>
      <c r="L326" s="4" t="s">
        <v>2119</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c r="A327" s="8" t="b">
        <f>FALSE()</f>
        <v>0</v>
      </c>
      <c r="B327" s="8"/>
      <c r="C327" s="4" t="s">
        <v>2120</v>
      </c>
      <c r="D327" s="4" t="s">
        <v>2121</v>
      </c>
      <c r="E327" s="4" t="s">
        <v>13</v>
      </c>
      <c r="F327" s="4" t="s">
        <v>2541</v>
      </c>
      <c r="G327" s="4" t="s">
        <v>2542</v>
      </c>
      <c r="H327" s="4" t="str">
        <f t="shared" si="30"/>
        <v>att_organsystem</v>
      </c>
      <c r="I327" s="4" t="s">
        <v>2120</v>
      </c>
      <c r="J327" s="4" t="str">
        <f t="shared" si="31"/>
        <v>att_organsystem:urinary</v>
      </c>
      <c r="K327" s="7" t="s">
        <v>17</v>
      </c>
      <c r="L327" s="4" t="s">
        <v>2122</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c r="A328" s="9" t="b">
        <f>FALSE()</f>
        <v>0</v>
      </c>
      <c r="B328" s="9"/>
      <c r="C328" s="10" t="s">
        <v>2544</v>
      </c>
      <c r="D328" s="10" t="s">
        <v>2545</v>
      </c>
      <c r="E328" s="10" t="s">
        <v>13</v>
      </c>
      <c r="F328" s="10" t="s">
        <v>2546</v>
      </c>
      <c r="G328" s="10" t="s">
        <v>2547</v>
      </c>
      <c r="H328" s="10" t="str">
        <f t="shared" si="30"/>
        <v>att_phenotype</v>
      </c>
      <c r="I328" s="10" t="s">
        <v>2544</v>
      </c>
      <c r="J328" s="10" t="str">
        <f t="shared" si="31"/>
        <v>att_phenotype:kd</v>
      </c>
      <c r="K328" s="11" t="s">
        <v>17</v>
      </c>
      <c r="L328" s="10" t="s">
        <v>101</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c r="A329" s="9" t="b">
        <f>FALSE()</f>
        <v>0</v>
      </c>
      <c r="B329" s="9"/>
      <c r="C329" s="10" t="s">
        <v>1163</v>
      </c>
      <c r="D329" s="10" t="s">
        <v>2548</v>
      </c>
      <c r="E329" s="10" t="s">
        <v>13</v>
      </c>
      <c r="F329" s="10" t="s">
        <v>2546</v>
      </c>
      <c r="G329" s="10" t="s">
        <v>2547</v>
      </c>
      <c r="H329" s="10" t="str">
        <f t="shared" si="30"/>
        <v>att_phenotype</v>
      </c>
      <c r="I329" s="10" t="s">
        <v>1163</v>
      </c>
      <c r="J329" s="10" t="str">
        <f t="shared" si="31"/>
        <v>att_phenotype:ko</v>
      </c>
      <c r="K329" s="11" t="s">
        <v>17</v>
      </c>
      <c r="L329" s="10" t="s">
        <v>2474</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c r="A330" s="9" t="b">
        <f>FALSE()</f>
        <v>0</v>
      </c>
      <c r="B330" s="9"/>
      <c r="C330" s="10" t="s">
        <v>2549</v>
      </c>
      <c r="D330" s="10" t="s">
        <v>2550</v>
      </c>
      <c r="E330" s="10" t="s">
        <v>13</v>
      </c>
      <c r="F330" s="10" t="s">
        <v>2546</v>
      </c>
      <c r="G330" s="10" t="s">
        <v>2547</v>
      </c>
      <c r="H330" s="10" t="str">
        <f t="shared" si="30"/>
        <v>att_phenotype</v>
      </c>
      <c r="I330" s="10" t="s">
        <v>2549</v>
      </c>
      <c r="J330" s="10" t="str">
        <f t="shared" si="31"/>
        <v>att_phenotype:mt</v>
      </c>
      <c r="K330" s="11" t="s">
        <v>17</v>
      </c>
      <c r="L330" s="10" t="s">
        <v>2551</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c r="A331" s="9" t="b">
        <f>FALSE()</f>
        <v>0</v>
      </c>
      <c r="B331" s="9"/>
      <c r="C331" s="10" t="s">
        <v>2552</v>
      </c>
      <c r="D331" s="10" t="s">
        <v>2553</v>
      </c>
      <c r="E331" s="10" t="s">
        <v>13</v>
      </c>
      <c r="F331" s="10" t="s">
        <v>2546</v>
      </c>
      <c r="G331" s="10" t="s">
        <v>2547</v>
      </c>
      <c r="H331" s="10" t="str">
        <f t="shared" si="30"/>
        <v>att_phenotype</v>
      </c>
      <c r="I331" s="10" t="s">
        <v>2552</v>
      </c>
      <c r="J331" s="10" t="str">
        <f t="shared" si="31"/>
        <v>att_phenotype:wt</v>
      </c>
      <c r="K331" s="11" t="s">
        <v>17</v>
      </c>
      <c r="L331" s="10" t="s">
        <v>2554</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c r="A332" s="7" t="s">
        <v>17</v>
      </c>
      <c r="B332" s="7"/>
      <c r="C332" s="4" t="s">
        <v>2204</v>
      </c>
      <c r="D332" s="4" t="s">
        <v>2204</v>
      </c>
      <c r="E332" s="4" t="s">
        <v>13</v>
      </c>
      <c r="F332" s="4" t="s">
        <v>151</v>
      </c>
      <c r="G332" s="4" t="s">
        <v>2555</v>
      </c>
      <c r="H332" s="4" t="str">
        <f t="shared" si="30"/>
        <v>att_quantification</v>
      </c>
      <c r="I332" s="4" t="s">
        <v>2204</v>
      </c>
      <c r="J332" s="4" t="str">
        <f t="shared" si="31"/>
        <v>att_quantification:isobaric</v>
      </c>
      <c r="K332" s="7" t="s">
        <v>17</v>
      </c>
      <c r="L332" s="4" t="s">
        <v>2205</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c r="A333" s="7" t="s">
        <v>17</v>
      </c>
      <c r="B333" s="7"/>
      <c r="C333" s="4" t="s">
        <v>2206</v>
      </c>
      <c r="D333" s="4" t="s">
        <v>2206</v>
      </c>
      <c r="E333" s="4" t="s">
        <v>13</v>
      </c>
      <c r="F333" s="4" t="s">
        <v>151</v>
      </c>
      <c r="G333" s="4" t="s">
        <v>2555</v>
      </c>
      <c r="H333" s="4" t="str">
        <f t="shared" ref="H333:H364" si="34">"att_"&amp;G333</f>
        <v>att_quantification</v>
      </c>
      <c r="I333" s="4" t="s">
        <v>2206</v>
      </c>
      <c r="J333" s="4" t="str">
        <f t="shared" ref="J333:J364" si="35">H333&amp;":"&amp;I333</f>
        <v>att_quantification:istopic</v>
      </c>
      <c r="K333" s="7" t="s">
        <v>17</v>
      </c>
      <c r="L333" s="4" t="s">
        <v>2207</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7" t="s">
        <v>17</v>
      </c>
      <c r="B334" s="7"/>
      <c r="C334" s="4" t="s">
        <v>2556</v>
      </c>
      <c r="D334" s="4" t="s">
        <v>2209</v>
      </c>
      <c r="E334" s="4" t="s">
        <v>13</v>
      </c>
      <c r="F334" s="4" t="s">
        <v>151</v>
      </c>
      <c r="G334" s="4" t="s">
        <v>2555</v>
      </c>
      <c r="H334" s="4" t="str">
        <f t="shared" si="34"/>
        <v>att_quantification</v>
      </c>
      <c r="I334" s="4" t="s">
        <v>2208</v>
      </c>
      <c r="J334" s="4" t="str">
        <f t="shared" si="35"/>
        <v>att_quantification:label_free</v>
      </c>
      <c r="K334" s="7" t="s">
        <v>17</v>
      </c>
      <c r="L334" s="4" t="s">
        <v>2210</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c r="A335" s="7" t="s">
        <v>17</v>
      </c>
      <c r="B335" s="7"/>
      <c r="C335" s="4" t="s">
        <v>2211</v>
      </c>
      <c r="D335" s="4" t="s">
        <v>2211</v>
      </c>
      <c r="E335" s="4" t="s">
        <v>13</v>
      </c>
      <c r="F335" s="4" t="s">
        <v>151</v>
      </c>
      <c r="G335" s="4" t="s">
        <v>2555</v>
      </c>
      <c r="H335" s="4" t="str">
        <f t="shared" si="34"/>
        <v>att_quantification</v>
      </c>
      <c r="I335" s="4" t="s">
        <v>2211</v>
      </c>
      <c r="J335" s="4" t="str">
        <f t="shared" si="35"/>
        <v>att_quantification:silac</v>
      </c>
      <c r="K335" s="7" t="s">
        <v>17</v>
      </c>
      <c r="L335" s="4" t="s">
        <v>2212</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8" t="b">
        <f>FALSE()</f>
        <v>0</v>
      </c>
      <c r="B336" s="8"/>
      <c r="C336" s="4" t="s">
        <v>1286</v>
      </c>
      <c r="D336" s="4" t="s">
        <v>1287</v>
      </c>
      <c r="E336" s="4" t="s">
        <v>13</v>
      </c>
      <c r="F336" s="4" t="s">
        <v>2557</v>
      </c>
      <c r="G336" s="4" t="s">
        <v>2558</v>
      </c>
      <c r="H336" s="4" t="str">
        <f t="shared" si="34"/>
        <v>att_signalling</v>
      </c>
      <c r="I336" s="4" t="s">
        <v>1286</v>
      </c>
      <c r="J336" s="4" t="str">
        <f t="shared" si="35"/>
        <v>att_signalling:apoptosis</v>
      </c>
      <c r="K336" s="7" t="s">
        <v>17</v>
      </c>
      <c r="L336" s="4" t="s">
        <v>2221</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8" t="b">
        <f>FALSE()</f>
        <v>0</v>
      </c>
      <c r="B337" s="8"/>
      <c r="C337" s="4" t="s">
        <v>2222</v>
      </c>
      <c r="D337" s="4" t="s">
        <v>2223</v>
      </c>
      <c r="E337" s="4" t="s">
        <v>13</v>
      </c>
      <c r="F337" s="4" t="s">
        <v>2557</v>
      </c>
      <c r="G337" s="4" t="s">
        <v>2558</v>
      </c>
      <c r="H337" s="4" t="str">
        <f t="shared" si="34"/>
        <v>att_signalling</v>
      </c>
      <c r="I337" s="4" t="s">
        <v>2222</v>
      </c>
      <c r="J337" s="4" t="str">
        <f t="shared" si="35"/>
        <v>att_signalling:autocrine</v>
      </c>
      <c r="K337" s="7" t="s">
        <v>17</v>
      </c>
      <c r="L337" s="4" t="s">
        <v>2224</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8" t="b">
        <f>FALSE()</f>
        <v>0</v>
      </c>
      <c r="B338" s="8"/>
      <c r="C338" s="4" t="s">
        <v>2225</v>
      </c>
      <c r="D338" s="4" t="s">
        <v>2226</v>
      </c>
      <c r="E338" s="4" t="s">
        <v>13</v>
      </c>
      <c r="F338" s="4" t="s">
        <v>2557</v>
      </c>
      <c r="G338" s="4" t="s">
        <v>2558</v>
      </c>
      <c r="H338" s="4" t="str">
        <f t="shared" si="34"/>
        <v>att_signalling</v>
      </c>
      <c r="I338" s="4" t="s">
        <v>2225</v>
      </c>
      <c r="J338" s="4" t="str">
        <f t="shared" si="35"/>
        <v>att_signalling:complement</v>
      </c>
      <c r="K338" s="7" t="s">
        <v>17</v>
      </c>
      <c r="L338" s="4" t="s">
        <v>2227</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c r="A339" s="8" t="b">
        <f>FALSE()</f>
        <v>0</v>
      </c>
      <c r="B339" s="8"/>
      <c r="C339" s="4" t="s">
        <v>2228</v>
      </c>
      <c r="D339" s="4" t="s">
        <v>2229</v>
      </c>
      <c r="E339" s="4" t="s">
        <v>13</v>
      </c>
      <c r="F339" s="4" t="s">
        <v>2557</v>
      </c>
      <c r="G339" s="4" t="s">
        <v>2558</v>
      </c>
      <c r="H339" s="4" t="str">
        <f t="shared" si="34"/>
        <v>att_signalling</v>
      </c>
      <c r="I339" s="4" t="s">
        <v>2228</v>
      </c>
      <c r="J339" s="4" t="str">
        <f t="shared" si="35"/>
        <v>att_signalling:cytokines</v>
      </c>
      <c r="K339" s="7" t="s">
        <v>17</v>
      </c>
      <c r="L339" s="4" t="s">
        <v>2230</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8" t="b">
        <f>FALSE()</f>
        <v>0</v>
      </c>
      <c r="B340" s="8"/>
      <c r="C340" s="4" t="s">
        <v>2231</v>
      </c>
      <c r="D340" s="4" t="s">
        <v>2232</v>
      </c>
      <c r="E340" s="4" t="s">
        <v>13</v>
      </c>
      <c r="F340" s="4" t="s">
        <v>2557</v>
      </c>
      <c r="G340" s="4" t="s">
        <v>2558</v>
      </c>
      <c r="H340" s="4" t="str">
        <f t="shared" si="34"/>
        <v>att_signalling</v>
      </c>
      <c r="I340" s="4" t="s">
        <v>2231</v>
      </c>
      <c r="J340" s="4" t="str">
        <f t="shared" si="35"/>
        <v>att_signalling:inflammation</v>
      </c>
      <c r="K340" s="7" t="s">
        <v>17</v>
      </c>
      <c r="L340" s="4" t="s">
        <v>2233</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8" t="b">
        <f>FALSE()</f>
        <v>0</v>
      </c>
      <c r="B341" s="8"/>
      <c r="C341" s="4" t="s">
        <v>2234</v>
      </c>
      <c r="D341" s="4" t="s">
        <v>2235</v>
      </c>
      <c r="E341" s="4" t="s">
        <v>13</v>
      </c>
      <c r="F341" s="4" t="s">
        <v>2557</v>
      </c>
      <c r="G341" s="4" t="s">
        <v>2558</v>
      </c>
      <c r="H341" s="4" t="str">
        <f t="shared" si="34"/>
        <v>att_signalling</v>
      </c>
      <c r="I341" s="4" t="s">
        <v>2234</v>
      </c>
      <c r="J341" s="4" t="str">
        <f t="shared" si="35"/>
        <v>att_signalling:insulin</v>
      </c>
      <c r="K341" s="7" t="s">
        <v>17</v>
      </c>
      <c r="L341" s="4" t="s">
        <v>2236</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c r="A342" s="8" t="b">
        <f>FALSE()</f>
        <v>0</v>
      </c>
      <c r="B342" s="8"/>
      <c r="C342" s="4" t="s">
        <v>2237</v>
      </c>
      <c r="D342" s="4" t="s">
        <v>2238</v>
      </c>
      <c r="E342" s="4" t="s">
        <v>13</v>
      </c>
      <c r="F342" s="4" t="s">
        <v>2557</v>
      </c>
      <c r="G342" s="4" t="s">
        <v>2558</v>
      </c>
      <c r="H342" s="4" t="str">
        <f t="shared" si="34"/>
        <v>att_signalling</v>
      </c>
      <c r="I342" s="4" t="s">
        <v>2237</v>
      </c>
      <c r="J342" s="4" t="str">
        <f t="shared" si="35"/>
        <v>att_signalling:juxtacrine</v>
      </c>
      <c r="K342" s="7" t="s">
        <v>17</v>
      </c>
      <c r="L342" s="4" t="s">
        <v>2239</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c r="A343" s="8" t="b">
        <f>FALSE()</f>
        <v>0</v>
      </c>
      <c r="B343" s="8"/>
      <c r="C343" s="4" t="s">
        <v>2240</v>
      </c>
      <c r="D343" s="4" t="s">
        <v>2241</v>
      </c>
      <c r="E343" s="4" t="s">
        <v>13</v>
      </c>
      <c r="F343" s="4" t="s">
        <v>2557</v>
      </c>
      <c r="G343" s="4" t="s">
        <v>2558</v>
      </c>
      <c r="H343" s="4" t="str">
        <f t="shared" si="34"/>
        <v>att_signalling</v>
      </c>
      <c r="I343" s="4" t="s">
        <v>2240</v>
      </c>
      <c r="J343" s="4" t="str">
        <f t="shared" si="35"/>
        <v>att_signalling:necrosis</v>
      </c>
      <c r="K343" s="7" t="s">
        <v>17</v>
      </c>
      <c r="L343" s="4" t="s">
        <v>2242</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c r="A344" s="8" t="b">
        <f>FALSE()</f>
        <v>0</v>
      </c>
      <c r="B344" s="8"/>
      <c r="C344" s="4" t="s">
        <v>2243</v>
      </c>
      <c r="D344" s="4" t="s">
        <v>2244</v>
      </c>
      <c r="E344" s="4" t="s">
        <v>13</v>
      </c>
      <c r="F344" s="4" t="s">
        <v>2557</v>
      </c>
      <c r="G344" s="4" t="s">
        <v>2558</v>
      </c>
      <c r="H344" s="4" t="str">
        <f t="shared" si="34"/>
        <v>att_signalling</v>
      </c>
      <c r="I344" s="4" t="s">
        <v>2243</v>
      </c>
      <c r="J344" s="4" t="str">
        <f t="shared" si="35"/>
        <v>att_signalling:paracrine</v>
      </c>
      <c r="K344" s="7" t="s">
        <v>17</v>
      </c>
      <c r="L344" s="4" t="s">
        <v>2245</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c r="A345" s="8" t="b">
        <f>FALSE()</f>
        <v>0</v>
      </c>
      <c r="B345" s="8"/>
      <c r="C345" s="4" t="s">
        <v>1634</v>
      </c>
      <c r="D345" s="4" t="s">
        <v>1635</v>
      </c>
      <c r="E345" s="4" t="s">
        <v>13</v>
      </c>
      <c r="F345" s="4" t="s">
        <v>2557</v>
      </c>
      <c r="G345" s="4" t="s">
        <v>2558</v>
      </c>
      <c r="H345" s="4" t="str">
        <f t="shared" si="34"/>
        <v>att_signalling</v>
      </c>
      <c r="I345" s="4" t="s">
        <v>1634</v>
      </c>
      <c r="J345" s="4" t="str">
        <f t="shared" si="35"/>
        <v>att_signalling:signaling</v>
      </c>
      <c r="K345" s="7" t="s">
        <v>17</v>
      </c>
      <c r="L345" s="4" t="s">
        <v>2246</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c r="A346" s="7" t="s">
        <v>17</v>
      </c>
      <c r="B346" s="8"/>
      <c r="C346" s="4" t="s">
        <v>2247</v>
      </c>
      <c r="D346" s="4" t="s">
        <v>2248</v>
      </c>
      <c r="E346" s="4" t="s">
        <v>13</v>
      </c>
      <c r="F346" s="4" t="s">
        <v>156</v>
      </c>
      <c r="G346" s="4" t="s">
        <v>2559</v>
      </c>
      <c r="H346" s="4" t="str">
        <f t="shared" si="34"/>
        <v>att_software</v>
      </c>
      <c r="I346" s="4" t="s">
        <v>2247</v>
      </c>
      <c r="J346" s="4" t="str">
        <f t="shared" si="35"/>
        <v>att_software:diann</v>
      </c>
      <c r="K346" s="7" t="s">
        <v>17</v>
      </c>
      <c r="L346" s="4" t="s">
        <v>2249</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7" t="s">
        <v>17</v>
      </c>
      <c r="B347" s="8"/>
      <c r="C347" s="4" t="s">
        <v>2250</v>
      </c>
      <c r="D347" s="4" t="s">
        <v>2251</v>
      </c>
      <c r="E347" s="4" t="s">
        <v>13</v>
      </c>
      <c r="F347" s="4" t="s">
        <v>156</v>
      </c>
      <c r="G347" s="4" t="s">
        <v>2559</v>
      </c>
      <c r="H347" s="4" t="str">
        <f t="shared" si="34"/>
        <v>att_software</v>
      </c>
      <c r="I347" s="4" t="s">
        <v>2250</v>
      </c>
      <c r="J347" s="4" t="str">
        <f t="shared" si="35"/>
        <v>att_software:maxquant</v>
      </c>
      <c r="K347" s="7" t="s">
        <v>17</v>
      </c>
      <c r="L347" s="4" t="s">
        <v>2252</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7" t="s">
        <v>17</v>
      </c>
      <c r="B348" s="8"/>
      <c r="C348" s="4" t="s">
        <v>2253</v>
      </c>
      <c r="D348" s="4" t="s">
        <v>2254</v>
      </c>
      <c r="E348" s="4" t="s">
        <v>13</v>
      </c>
      <c r="F348" s="4" t="s">
        <v>156</v>
      </c>
      <c r="G348" s="4" t="s">
        <v>2559</v>
      </c>
      <c r="H348" s="4" t="str">
        <f t="shared" si="34"/>
        <v>att_software</v>
      </c>
      <c r="I348" s="4" t="s">
        <v>2253</v>
      </c>
      <c r="J348" s="4" t="str">
        <f t="shared" si="35"/>
        <v>att_software:metamorpheus</v>
      </c>
      <c r="K348" s="7" t="s">
        <v>17</v>
      </c>
      <c r="L348" s="4" t="s">
        <v>2255</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c r="A349" s="7" t="s">
        <v>17</v>
      </c>
      <c r="B349" s="8"/>
      <c r="C349" s="4" t="s">
        <v>2256</v>
      </c>
      <c r="D349" s="4" t="s">
        <v>2257</v>
      </c>
      <c r="E349" s="4" t="s">
        <v>13</v>
      </c>
      <c r="F349" s="4" t="s">
        <v>156</v>
      </c>
      <c r="G349" s="4" t="s">
        <v>2559</v>
      </c>
      <c r="H349" s="4" t="str">
        <f t="shared" si="34"/>
        <v>att_software</v>
      </c>
      <c r="I349" s="4" t="s">
        <v>2256</v>
      </c>
      <c r="J349" s="4" t="str">
        <f t="shared" si="35"/>
        <v>att_software:minora</v>
      </c>
      <c r="K349" s="7" t="s">
        <v>17</v>
      </c>
      <c r="L349" s="4" t="s">
        <v>2258</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c r="A350" s="7" t="s">
        <v>17</v>
      </c>
      <c r="B350" s="8"/>
      <c r="C350" s="4" t="s">
        <v>2259</v>
      </c>
      <c r="D350" s="4" t="s">
        <v>2260</v>
      </c>
      <c r="E350" s="4" t="s">
        <v>13</v>
      </c>
      <c r="F350" s="4" t="s">
        <v>156</v>
      </c>
      <c r="G350" s="4" t="s">
        <v>2559</v>
      </c>
      <c r="H350" s="4" t="str">
        <f t="shared" si="34"/>
        <v>att_software</v>
      </c>
      <c r="I350" s="4" t="s">
        <v>2259</v>
      </c>
      <c r="J350" s="4" t="str">
        <f t="shared" si="35"/>
        <v>att_software:msfragger</v>
      </c>
      <c r="K350" s="7" t="s">
        <v>17</v>
      </c>
      <c r="L350" s="4" t="s">
        <v>2261</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c r="A351" s="7" t="s">
        <v>17</v>
      </c>
      <c r="B351" s="8"/>
      <c r="C351" s="4" t="s">
        <v>2262</v>
      </c>
      <c r="D351" s="4" t="s">
        <v>2263</v>
      </c>
      <c r="E351" s="4" t="s">
        <v>13</v>
      </c>
      <c r="F351" s="4" t="s">
        <v>156</v>
      </c>
      <c r="G351" s="4" t="s">
        <v>2559</v>
      </c>
      <c r="H351" s="4" t="str">
        <f t="shared" si="34"/>
        <v>att_software</v>
      </c>
      <c r="I351" s="4" t="s">
        <v>2262</v>
      </c>
      <c r="J351" s="4" t="str">
        <f t="shared" si="35"/>
        <v>att_software:msgf</v>
      </c>
      <c r="K351" s="7" t="s">
        <v>17</v>
      </c>
      <c r="L351" s="4" t="s">
        <v>2264</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c r="A352" s="7" t="s">
        <v>17</v>
      </c>
      <c r="B352" s="8"/>
      <c r="C352" s="4" t="s">
        <v>2265</v>
      </c>
      <c r="D352" s="4" t="s">
        <v>2266</v>
      </c>
      <c r="E352" s="4" t="s">
        <v>13</v>
      </c>
      <c r="F352" s="4" t="s">
        <v>156</v>
      </c>
      <c r="G352" s="4" t="s">
        <v>2559</v>
      </c>
      <c r="H352" s="4" t="str">
        <f t="shared" si="34"/>
        <v>att_software</v>
      </c>
      <c r="I352" s="4" t="s">
        <v>2265</v>
      </c>
      <c r="J352" s="4" t="str">
        <f t="shared" si="35"/>
        <v>att_software:spectronaut</v>
      </c>
      <c r="K352" s="7" t="s">
        <v>17</v>
      </c>
      <c r="L352" s="4" t="s">
        <v>2267</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8" t="b">
        <f>FALSE()</f>
        <v>0</v>
      </c>
      <c r="B353" s="8"/>
      <c r="C353" s="4" t="s">
        <v>2268</v>
      </c>
      <c r="D353" s="4" t="s">
        <v>2269</v>
      </c>
      <c r="E353" s="4" t="s">
        <v>13</v>
      </c>
      <c r="F353" s="4" t="s">
        <v>160</v>
      </c>
      <c r="G353" s="4" t="s">
        <v>2560</v>
      </c>
      <c r="H353" s="4" t="str">
        <f t="shared" si="34"/>
        <v>att_tissue</v>
      </c>
      <c r="I353" s="4" t="s">
        <v>2268</v>
      </c>
      <c r="J353" s="4" t="str">
        <f t="shared" si="35"/>
        <v>att_tissue:adipose</v>
      </c>
      <c r="K353" s="7" t="s">
        <v>17</v>
      </c>
      <c r="L353" s="4" t="s">
        <v>2270</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c r="A354" s="8" t="b">
        <f>FALSE()</f>
        <v>0</v>
      </c>
      <c r="B354" s="8"/>
      <c r="C354" s="4" t="s">
        <v>2271</v>
      </c>
      <c r="D354" s="4" t="s">
        <v>2272</v>
      </c>
      <c r="E354" s="4" t="s">
        <v>13</v>
      </c>
      <c r="F354" s="4" t="s">
        <v>160</v>
      </c>
      <c r="G354" s="4" t="s">
        <v>2560</v>
      </c>
      <c r="H354" s="4" t="str">
        <f t="shared" si="34"/>
        <v>att_tissue</v>
      </c>
      <c r="I354" s="4" t="s">
        <v>2271</v>
      </c>
      <c r="J354" s="4" t="str">
        <f t="shared" si="35"/>
        <v>att_tissue:areolar</v>
      </c>
      <c r="K354" s="7" t="s">
        <v>17</v>
      </c>
      <c r="L354" s="4" t="s">
        <v>2273</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c r="A355" s="8" t="b">
        <f>FALSE()</f>
        <v>0</v>
      </c>
      <c r="B355" s="8"/>
      <c r="C355" s="4" t="s">
        <v>2274</v>
      </c>
      <c r="D355" s="4" t="s">
        <v>2275</v>
      </c>
      <c r="E355" s="4" t="s">
        <v>13</v>
      </c>
      <c r="F355" s="4" t="s">
        <v>160</v>
      </c>
      <c r="G355" s="4" t="s">
        <v>2560</v>
      </c>
      <c r="H355" s="4" t="str">
        <f t="shared" si="34"/>
        <v>att_tissue</v>
      </c>
      <c r="I355" s="4" t="s">
        <v>2274</v>
      </c>
      <c r="J355" s="4" t="str">
        <f t="shared" si="35"/>
        <v>att_tissue:blood</v>
      </c>
      <c r="K355" s="7" t="s">
        <v>17</v>
      </c>
      <c r="L355" s="4" t="s">
        <v>2275</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c r="A356" s="8" t="b">
        <f>FALSE()</f>
        <v>0</v>
      </c>
      <c r="B356" s="8"/>
      <c r="C356" s="4" t="s">
        <v>2276</v>
      </c>
      <c r="D356" s="4" t="s">
        <v>2277</v>
      </c>
      <c r="E356" s="4" t="s">
        <v>13</v>
      </c>
      <c r="F356" s="4" t="s">
        <v>160</v>
      </c>
      <c r="G356" s="4" t="s">
        <v>2560</v>
      </c>
      <c r="H356" s="4" t="str">
        <f t="shared" si="34"/>
        <v>att_tissue</v>
      </c>
      <c r="I356" s="4" t="s">
        <v>2276</v>
      </c>
      <c r="J356" s="4" t="str">
        <f t="shared" si="35"/>
        <v>att_tissue:connective</v>
      </c>
      <c r="K356" s="7" t="s">
        <v>17</v>
      </c>
      <c r="L356" s="4" t="s">
        <v>2278</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c r="A357" s="8" t="b">
        <f>FALSE()</f>
        <v>0</v>
      </c>
      <c r="B357" s="8"/>
      <c r="C357" s="4" t="s">
        <v>2279</v>
      </c>
      <c r="D357" s="4" t="s">
        <v>2280</v>
      </c>
      <c r="E357" s="4" t="s">
        <v>13</v>
      </c>
      <c r="F357" s="4" t="s">
        <v>160</v>
      </c>
      <c r="G357" s="4" t="s">
        <v>2560</v>
      </c>
      <c r="H357" s="4" t="str">
        <f t="shared" si="34"/>
        <v>att_tissue</v>
      </c>
      <c r="I357" s="4" t="s">
        <v>2279</v>
      </c>
      <c r="J357" s="4" t="str">
        <f t="shared" si="35"/>
        <v>att_tissue:dermis</v>
      </c>
      <c r="K357" s="7" t="s">
        <v>17</v>
      </c>
      <c r="L357" s="4" t="s">
        <v>2280</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c r="A358" s="8" t="b">
        <f>FALSE()</f>
        <v>0</v>
      </c>
      <c r="B358" s="8"/>
      <c r="C358" s="4" t="s">
        <v>2281</v>
      </c>
      <c r="D358" s="4" t="s">
        <v>2282</v>
      </c>
      <c r="E358" s="4" t="s">
        <v>13</v>
      </c>
      <c r="F358" s="4" t="s">
        <v>160</v>
      </c>
      <c r="G358" s="4" t="s">
        <v>2560</v>
      </c>
      <c r="H358" s="4" t="str">
        <f t="shared" si="34"/>
        <v>att_tissue</v>
      </c>
      <c r="I358" s="4" t="s">
        <v>2281</v>
      </c>
      <c r="J358" s="4" t="str">
        <f t="shared" si="35"/>
        <v>att_tissue:epidermis</v>
      </c>
      <c r="K358" s="7" t="s">
        <v>17</v>
      </c>
      <c r="L358" s="4" t="s">
        <v>2282</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c r="A359" s="8" t="b">
        <f>FALSE()</f>
        <v>0</v>
      </c>
      <c r="B359" s="8"/>
      <c r="C359" s="4" t="s">
        <v>2283</v>
      </c>
      <c r="D359" s="4" t="s">
        <v>2284</v>
      </c>
      <c r="E359" s="4" t="s">
        <v>13</v>
      </c>
      <c r="F359" s="4" t="s">
        <v>160</v>
      </c>
      <c r="G359" s="4" t="s">
        <v>2560</v>
      </c>
      <c r="H359" s="4" t="str">
        <f t="shared" si="34"/>
        <v>att_tissue</v>
      </c>
      <c r="I359" s="4" t="s">
        <v>2283</v>
      </c>
      <c r="J359" s="4" t="str">
        <f t="shared" si="35"/>
        <v>att_tissue:epithelial</v>
      </c>
      <c r="K359" s="7" t="s">
        <v>17</v>
      </c>
      <c r="L359" s="4" t="s">
        <v>2285</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c r="A360" s="8" t="b">
        <f>FALSE()</f>
        <v>0</v>
      </c>
      <c r="B360" s="8"/>
      <c r="C360" s="4" t="s">
        <v>2286</v>
      </c>
      <c r="D360" s="4" t="s">
        <v>2287</v>
      </c>
      <c r="E360" s="4" t="s">
        <v>13</v>
      </c>
      <c r="F360" s="4" t="s">
        <v>160</v>
      </c>
      <c r="G360" s="4" t="s">
        <v>2560</v>
      </c>
      <c r="H360" s="4" t="str">
        <f t="shared" si="34"/>
        <v>att_tissue</v>
      </c>
      <c r="I360" s="4" t="s">
        <v>2286</v>
      </c>
      <c r="J360" s="4" t="str">
        <f t="shared" si="35"/>
        <v>att_tissue:hypodermis</v>
      </c>
      <c r="K360" s="7" t="s">
        <v>17</v>
      </c>
      <c r="L360" s="4" t="s">
        <v>2287</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c r="A361" s="8" t="b">
        <f>FALSE()</f>
        <v>0</v>
      </c>
      <c r="B361" s="8"/>
      <c r="C361" s="4" t="s">
        <v>2288</v>
      </c>
      <c r="D361" s="4" t="s">
        <v>128</v>
      </c>
      <c r="E361" s="4" t="s">
        <v>13</v>
      </c>
      <c r="F361" s="4" t="s">
        <v>160</v>
      </c>
      <c r="G361" s="4" t="s">
        <v>2560</v>
      </c>
      <c r="H361" s="4" t="str">
        <f t="shared" si="34"/>
        <v>att_tissue</v>
      </c>
      <c r="I361" s="4" t="s">
        <v>2288</v>
      </c>
      <c r="J361" s="4" t="str">
        <f t="shared" si="35"/>
        <v>att_tissue:muscle</v>
      </c>
      <c r="K361" s="7" t="s">
        <v>17</v>
      </c>
      <c r="L361" s="4" t="s">
        <v>2289</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c r="A362" s="8" t="b">
        <f>FALSE()</f>
        <v>0</v>
      </c>
      <c r="B362" s="8"/>
      <c r="C362" s="4" t="s">
        <v>2290</v>
      </c>
      <c r="D362" s="4" t="s">
        <v>2109</v>
      </c>
      <c r="E362" s="4" t="s">
        <v>13</v>
      </c>
      <c r="F362" s="4" t="s">
        <v>160</v>
      </c>
      <c r="G362" s="4" t="s">
        <v>2560</v>
      </c>
      <c r="H362" s="4" t="str">
        <f t="shared" si="34"/>
        <v>att_tissue</v>
      </c>
      <c r="I362" s="4" t="s">
        <v>2290</v>
      </c>
      <c r="J362" s="4" t="str">
        <f t="shared" si="35"/>
        <v>att_tissue:nervous</v>
      </c>
      <c r="K362" s="7" t="s">
        <v>17</v>
      </c>
      <c r="L362" s="4" t="s">
        <v>2291</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c r="A363" s="8" t="b">
        <f>FALSE()</f>
        <v>0</v>
      </c>
      <c r="B363" s="8"/>
      <c r="C363" s="4" t="s">
        <v>2292</v>
      </c>
      <c r="D363" s="4" t="s">
        <v>2293</v>
      </c>
      <c r="E363" s="4" t="s">
        <v>13</v>
      </c>
      <c r="F363" s="4" t="s">
        <v>160</v>
      </c>
      <c r="G363" s="4" t="s">
        <v>2560</v>
      </c>
      <c r="H363" s="4" t="str">
        <f t="shared" si="34"/>
        <v>att_tissue</v>
      </c>
      <c r="I363" s="4" t="s">
        <v>2292</v>
      </c>
      <c r="J363" s="4" t="str">
        <f t="shared" si="35"/>
        <v>att_tissue:reticular</v>
      </c>
      <c r="K363" s="7" t="s">
        <v>17</v>
      </c>
      <c r="L363" s="4" t="s">
        <v>2294</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c r="A364" s="8" t="b">
        <f>FALSE()</f>
        <v>0</v>
      </c>
      <c r="B364" s="8"/>
      <c r="C364" s="4" t="s">
        <v>2295</v>
      </c>
      <c r="D364" s="4" t="s">
        <v>2296</v>
      </c>
      <c r="E364" s="4" t="s">
        <v>13</v>
      </c>
      <c r="F364" s="4" t="s">
        <v>160</v>
      </c>
      <c r="G364" s="4" t="s">
        <v>2560</v>
      </c>
      <c r="H364" s="4" t="str">
        <f t="shared" si="34"/>
        <v>att_tissue</v>
      </c>
      <c r="I364" s="4" t="s">
        <v>2295</v>
      </c>
      <c r="J364" s="4" t="str">
        <f t="shared" si="35"/>
        <v>att_tissue:stromal</v>
      </c>
      <c r="K364" s="7" t="s">
        <v>17</v>
      </c>
      <c r="L364" s="4" t="s">
        <v>2297</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c r="A365" s="7" t="s">
        <v>17</v>
      </c>
      <c r="B365" s="7"/>
      <c r="C365" s="4" t="s">
        <v>897</v>
      </c>
      <c r="D365" s="4" t="s">
        <v>899</v>
      </c>
      <c r="E365" s="4" t="s">
        <v>13</v>
      </c>
      <c r="F365" s="4" t="s">
        <v>2448</v>
      </c>
      <c r="G365" s="4" t="s">
        <v>2449</v>
      </c>
      <c r="H365" s="4" t="str">
        <f t="shared" ref="H365" si="38">"att_"&amp;G365</f>
        <v>att_dataset</v>
      </c>
      <c r="I365" s="4" t="s">
        <v>2561</v>
      </c>
      <c r="J365" s="4" t="str">
        <f t="shared" ref="J365" si="39">H365&amp;":"&amp;I365</f>
        <v>att_dataset:database orf_search</v>
      </c>
      <c r="K365" s="7" t="s">
        <v>17</v>
      </c>
      <c r="L365" s="4" t="s">
        <v>900</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c r="C368" s="4" t="s">
        <v>2562</v>
      </c>
      <c r="D368" s="4" t="s">
        <v>1240</v>
      </c>
      <c r="F368" s="4" t="s">
        <v>107</v>
      </c>
      <c r="G368" s="4" t="s">
        <v>66</v>
      </c>
      <c r="H368" s="4" t="s">
        <v>106</v>
      </c>
      <c r="I368" s="4" t="s">
        <v>921</v>
      </c>
      <c r="J368" s="4" t="str">
        <f>H368&amp;":"&amp;I368</f>
        <v>att_lysis_buffer:sds</v>
      </c>
      <c r="L368" s="4" t="s">
        <v>1241</v>
      </c>
    </row>
    <row r="369" spans="3:12">
      <c r="C369" s="4" t="s">
        <v>2563</v>
      </c>
      <c r="D369" s="4" t="s">
        <v>1246</v>
      </c>
      <c r="F369" s="4" t="s">
        <v>107</v>
      </c>
      <c r="G369" s="4" t="s">
        <v>66</v>
      </c>
      <c r="H369" s="4" t="s">
        <v>106</v>
      </c>
      <c r="I369" s="4" t="s">
        <v>1245</v>
      </c>
      <c r="J369" s="4" t="str">
        <f>H369&amp;":"&amp;I369</f>
        <v>att_lysis_buffer:urea</v>
      </c>
      <c r="L369" s="4" t="s">
        <v>1247</v>
      </c>
    </row>
    <row r="370" spans="3:12">
      <c r="C370" s="4" t="s">
        <v>2564</v>
      </c>
      <c r="D370" s="4" t="s">
        <v>1243</v>
      </c>
      <c r="F370" s="4" t="s">
        <v>107</v>
      </c>
      <c r="G370" s="4" t="s">
        <v>66</v>
      </c>
      <c r="H370" s="4" t="s">
        <v>106</v>
      </c>
      <c r="I370" s="4" t="s">
        <v>1242</v>
      </c>
      <c r="J370" s="4" t="str">
        <f>H370&amp;":"&amp;I370</f>
        <v>att_lysis_buffer:two_sdc</v>
      </c>
      <c r="L370" s="4" t="s">
        <v>1244</v>
      </c>
    </row>
    <row r="371" spans="3:12">
      <c r="C371" s="4" t="s">
        <v>2564</v>
      </c>
      <c r="D371" s="4" t="s">
        <v>1238</v>
      </c>
      <c r="F371" s="4" t="s">
        <v>107</v>
      </c>
      <c r="G371" s="4" t="s">
        <v>66</v>
      </c>
      <c r="H371" s="4" t="s">
        <v>106</v>
      </c>
      <c r="I371" s="4" t="s">
        <v>1237</v>
      </c>
      <c r="J371" s="4" t="str">
        <f>H371&amp;":"&amp;I371</f>
        <v>att_lysis_buffer:one_sdc</v>
      </c>
      <c r="L371" s="4" t="s">
        <v>1239</v>
      </c>
    </row>
    <row r="373" spans="3:12">
      <c r="C373" s="4" t="s">
        <v>66</v>
      </c>
      <c r="D373" s="4" t="s">
        <v>1249</v>
      </c>
      <c r="F373" s="4" t="s">
        <v>108</v>
      </c>
      <c r="G373" s="4" t="s">
        <v>66</v>
      </c>
      <c r="H373" s="4" t="s">
        <v>64</v>
      </c>
      <c r="I373" s="4" t="s">
        <v>1248</v>
      </c>
      <c r="J373" s="4" t="str">
        <f>H373&amp;":"&amp;I373</f>
        <v>att_lysis_method:dounce</v>
      </c>
      <c r="L373" s="4" t="s">
        <v>1250</v>
      </c>
    </row>
    <row r="374" spans="3:12">
      <c r="C374" s="4" t="s">
        <v>66</v>
      </c>
      <c r="D374" s="4" t="s">
        <v>1255</v>
      </c>
      <c r="F374" s="4" t="s">
        <v>108</v>
      </c>
      <c r="G374" s="4" t="s">
        <v>66</v>
      </c>
      <c r="H374" s="4" t="s">
        <v>64</v>
      </c>
      <c r="I374" s="4" t="s">
        <v>1254</v>
      </c>
      <c r="J374" s="4" t="str">
        <f>H374&amp;":"&amp;I374</f>
        <v>att_lysis_method:paracyllus</v>
      </c>
      <c r="L374" s="4" t="s">
        <v>1256</v>
      </c>
    </row>
    <row r="375" spans="3:12">
      <c r="C375" s="4" t="s">
        <v>66</v>
      </c>
      <c r="D375" s="4" t="s">
        <v>1252</v>
      </c>
      <c r="F375" s="4" t="s">
        <v>108</v>
      </c>
      <c r="G375" s="4" t="s">
        <v>66</v>
      </c>
      <c r="H375" s="4" t="s">
        <v>64</v>
      </c>
      <c r="I375" s="4" t="s">
        <v>1251</v>
      </c>
      <c r="J375" s="4" t="str">
        <f>H375&amp;":"&amp;I375</f>
        <v>att_lysis_method:motar_pestle</v>
      </c>
      <c r="L375" s="4" t="s">
        <v>1253</v>
      </c>
    </row>
    <row r="377" spans="3:12">
      <c r="C377" s="4" t="s">
        <v>2565</v>
      </c>
      <c r="D377" s="4" t="s">
        <v>922</v>
      </c>
      <c r="F377" s="4" t="s">
        <v>65</v>
      </c>
      <c r="G377" s="4" t="s">
        <v>2566</v>
      </c>
      <c r="H377" s="4" t="s">
        <v>63</v>
      </c>
      <c r="I377" s="4" t="s">
        <v>921</v>
      </c>
      <c r="J377" s="4" t="str">
        <f t="shared" ref="J377:J385" si="40">H377&amp;":"&amp;I377</f>
        <v>att_detergent:sds</v>
      </c>
      <c r="L377" s="4" t="s">
        <v>923</v>
      </c>
    </row>
    <row r="378" spans="3:12">
      <c r="C378" s="4" t="s">
        <v>2567</v>
      </c>
      <c r="D378" s="4" t="s">
        <v>928</v>
      </c>
      <c r="F378" s="4" t="s">
        <v>65</v>
      </c>
      <c r="G378" s="4" t="s">
        <v>2566</v>
      </c>
      <c r="H378" s="4" t="s">
        <v>63</v>
      </c>
      <c r="I378" s="4" t="s">
        <v>927</v>
      </c>
      <c r="J378" s="4" t="str">
        <f t="shared" si="40"/>
        <v>att_detergent:tween20</v>
      </c>
      <c r="L378" s="4" t="s">
        <v>929</v>
      </c>
    </row>
    <row r="379" spans="3:12">
      <c r="C379" s="4" t="s">
        <v>2568</v>
      </c>
      <c r="D379" s="4" t="s">
        <v>2569</v>
      </c>
      <c r="F379" s="4" t="s">
        <v>65</v>
      </c>
      <c r="G379" s="4" t="s">
        <v>2566</v>
      </c>
      <c r="H379" s="4" t="s">
        <v>63</v>
      </c>
      <c r="I379" s="4" t="s">
        <v>930</v>
      </c>
      <c r="J379" s="4" t="str">
        <f t="shared" si="40"/>
        <v>att_detergent:tween80</v>
      </c>
      <c r="L379" s="4" t="s">
        <v>932</v>
      </c>
    </row>
    <row r="380" spans="3:12">
      <c r="C380" s="4" t="s">
        <v>2570</v>
      </c>
      <c r="D380" s="4" t="s">
        <v>913</v>
      </c>
      <c r="F380" s="4" t="s">
        <v>65</v>
      </c>
      <c r="G380" s="4" t="s">
        <v>2566</v>
      </c>
      <c r="H380" s="4" t="s">
        <v>63</v>
      </c>
      <c r="I380" s="4" t="s">
        <v>912</v>
      </c>
      <c r="J380" s="4" t="str">
        <f t="shared" si="40"/>
        <v>att_detergent:np40</v>
      </c>
      <c r="L380" s="4" t="s">
        <v>914</v>
      </c>
    </row>
    <row r="381" spans="3:12">
      <c r="C381" s="4" t="s">
        <v>2571</v>
      </c>
      <c r="D381" s="4" t="s">
        <v>925</v>
      </c>
      <c r="F381" s="4" t="s">
        <v>65</v>
      </c>
      <c r="G381" s="4" t="s">
        <v>2566</v>
      </c>
      <c r="H381" s="4" t="s">
        <v>63</v>
      </c>
      <c r="I381" s="4" t="s">
        <v>924</v>
      </c>
      <c r="J381" s="4" t="str">
        <f t="shared" si="40"/>
        <v>att_detergent:tritonx100</v>
      </c>
      <c r="L381" s="4" t="s">
        <v>926</v>
      </c>
    </row>
    <row r="382" spans="3:12">
      <c r="C382" s="4" t="s">
        <v>2572</v>
      </c>
      <c r="D382" s="4" t="s">
        <v>907</v>
      </c>
      <c r="F382" s="4" t="s">
        <v>65</v>
      </c>
      <c r="G382" s="4" t="s">
        <v>2566</v>
      </c>
      <c r="H382" s="4" t="s">
        <v>63</v>
      </c>
      <c r="I382" s="4" t="s">
        <v>906</v>
      </c>
      <c r="J382" s="4" t="str">
        <f t="shared" si="40"/>
        <v>att_detergent:chaps</v>
      </c>
      <c r="L382" s="4" t="s">
        <v>908</v>
      </c>
    </row>
    <row r="383" spans="3:12">
      <c r="C383" s="4" t="s">
        <v>2573</v>
      </c>
      <c r="D383" s="4" t="s">
        <v>910</v>
      </c>
      <c r="F383" s="4" t="s">
        <v>65</v>
      </c>
      <c r="G383" s="4" t="s">
        <v>2566</v>
      </c>
      <c r="H383" s="4" t="s">
        <v>63</v>
      </c>
      <c r="I383" s="4" t="s">
        <v>909</v>
      </c>
      <c r="J383" s="4" t="str">
        <f t="shared" si="40"/>
        <v>att_detergent:dmm</v>
      </c>
      <c r="L383" s="4" t="s">
        <v>911</v>
      </c>
    </row>
    <row r="384" spans="3:12">
      <c r="C384" s="4" t="s">
        <v>2574</v>
      </c>
      <c r="D384" s="4" t="s">
        <v>916</v>
      </c>
      <c r="F384" s="4" t="s">
        <v>65</v>
      </c>
      <c r="G384" s="4" t="s">
        <v>2566</v>
      </c>
      <c r="H384" s="4" t="s">
        <v>63</v>
      </c>
      <c r="I384" s="4" t="s">
        <v>915</v>
      </c>
      <c r="J384" s="4" t="str">
        <f t="shared" si="40"/>
        <v>att_detergent:og</v>
      </c>
      <c r="L384" s="4" t="s">
        <v>917</v>
      </c>
    </row>
    <row r="385" spans="1:12">
      <c r="C385" s="4" t="s">
        <v>2575</v>
      </c>
      <c r="D385" s="4" t="s">
        <v>919</v>
      </c>
      <c r="F385" s="4" t="s">
        <v>65</v>
      </c>
      <c r="G385" s="4" t="s">
        <v>2566</v>
      </c>
      <c r="H385" s="4" t="s">
        <v>63</v>
      </c>
      <c r="I385" s="4" t="s">
        <v>918</v>
      </c>
      <c r="J385" s="4" t="str">
        <f t="shared" si="40"/>
        <v>att_detergent:otg</v>
      </c>
      <c r="L385" s="4" t="s">
        <v>920</v>
      </c>
    </row>
    <row r="387" spans="1:12">
      <c r="C387" s="4" t="s">
        <v>2576</v>
      </c>
      <c r="D387" s="4" t="s">
        <v>2218</v>
      </c>
      <c r="F387" s="4" t="s">
        <v>2577</v>
      </c>
      <c r="G387" s="4" t="s">
        <v>2578</v>
      </c>
      <c r="H387" s="4" t="s">
        <v>152</v>
      </c>
      <c r="I387" s="4" t="s">
        <v>2217</v>
      </c>
      <c r="J387" s="4" t="str">
        <f>H387&amp;":"&amp;I387</f>
        <v>att_reduction:tcep</v>
      </c>
      <c r="L387" s="4" t="s">
        <v>2219</v>
      </c>
    </row>
    <row r="388" spans="1:12">
      <c r="C388" s="4" t="s">
        <v>2579</v>
      </c>
      <c r="D388" s="4" t="s">
        <v>2214</v>
      </c>
      <c r="F388" s="4" t="s">
        <v>2577</v>
      </c>
      <c r="G388" s="4" t="s">
        <v>2578</v>
      </c>
      <c r="H388" s="4" t="s">
        <v>152</v>
      </c>
      <c r="I388" s="4" t="s">
        <v>2213</v>
      </c>
      <c r="J388" s="4" t="str">
        <f>H388&amp;":"&amp;I388</f>
        <v>att_reduction:dtt</v>
      </c>
      <c r="L388" s="4" t="s">
        <v>2215</v>
      </c>
    </row>
    <row r="389" spans="1:12">
      <c r="C389" s="4" t="s">
        <v>2579</v>
      </c>
      <c r="D389" s="4" t="s">
        <v>1742</v>
      </c>
      <c r="F389" s="4" t="s">
        <v>2577</v>
      </c>
      <c r="G389" s="4" t="s">
        <v>2578</v>
      </c>
      <c r="H389" s="4" t="s">
        <v>152</v>
      </c>
      <c r="I389" s="4" t="s">
        <v>262</v>
      </c>
      <c r="J389" s="4" t="str">
        <f>H389&amp;":"&amp;I389</f>
        <v>att_reduction:none</v>
      </c>
      <c r="L389" s="4" t="s">
        <v>2216</v>
      </c>
    </row>
    <row r="391" spans="1:12">
      <c r="C391" s="4" t="s">
        <v>2580</v>
      </c>
      <c r="D391" s="4" t="s">
        <v>257</v>
      </c>
      <c r="F391" s="4" t="s">
        <v>2581</v>
      </c>
      <c r="G391" s="4" t="s">
        <v>2582</v>
      </c>
      <c r="H391" s="4" t="s">
        <v>152</v>
      </c>
      <c r="I391" s="4" t="s">
        <v>256</v>
      </c>
      <c r="J391" s="4" t="str">
        <f>H391&amp;":"&amp;I391</f>
        <v>att_reduction:caa</v>
      </c>
      <c r="L391" s="4" t="s">
        <v>258</v>
      </c>
    </row>
    <row r="392" spans="1:12">
      <c r="C392" s="4" t="s">
        <v>2583</v>
      </c>
      <c r="D392" s="4" t="s">
        <v>260</v>
      </c>
      <c r="F392" s="4" t="s">
        <v>2581</v>
      </c>
      <c r="G392" s="4" t="s">
        <v>2582</v>
      </c>
      <c r="H392" s="4" t="s">
        <v>152</v>
      </c>
      <c r="I392" s="4" t="s">
        <v>259</v>
      </c>
      <c r="J392" s="4" t="str">
        <f>H392&amp;":"&amp;I392</f>
        <v>att_reduction:iaa</v>
      </c>
      <c r="L392" s="4" t="s">
        <v>261</v>
      </c>
    </row>
    <row r="393" spans="1:12">
      <c r="C393" s="4" t="s">
        <v>2582</v>
      </c>
      <c r="D393" s="4" t="s">
        <v>1742</v>
      </c>
      <c r="F393" s="4" t="s">
        <v>2581</v>
      </c>
      <c r="G393" s="4" t="s">
        <v>2578</v>
      </c>
      <c r="H393" s="4" t="s">
        <v>152</v>
      </c>
      <c r="I393" s="4" t="s">
        <v>262</v>
      </c>
      <c r="J393" s="4" t="str">
        <f>H393&amp;":"&amp;I393</f>
        <v>att_reduction:none</v>
      </c>
      <c r="L393" s="4" t="s">
        <v>264</v>
      </c>
    </row>
    <row r="395" spans="1:12">
      <c r="A395" s="4" t="b">
        <f>TRUE()</f>
        <v>1</v>
      </c>
      <c r="C395" s="4" t="s">
        <v>2584</v>
      </c>
      <c r="D395" s="4" t="s">
        <v>2153</v>
      </c>
      <c r="F395" s="4" t="s">
        <v>144</v>
      </c>
      <c r="G395" s="4" t="s">
        <v>2585</v>
      </c>
      <c r="H395" s="4" t="s">
        <v>143</v>
      </c>
      <c r="I395" s="4" t="s">
        <v>2152</v>
      </c>
      <c r="J395" s="4" t="str">
        <f t="shared" ref="J395:J402" si="41">H395&amp;":"&amp;I395</f>
        <v>att_protease:trypsin</v>
      </c>
      <c r="L395" s="4" t="s">
        <v>2154</v>
      </c>
    </row>
    <row r="396" spans="1:12">
      <c r="A396" s="4" t="b">
        <f>TRUE()</f>
        <v>1</v>
      </c>
      <c r="C396" s="4" t="s">
        <v>2584</v>
      </c>
      <c r="D396" s="4" t="s">
        <v>2147</v>
      </c>
      <c r="F396" s="4" t="s">
        <v>144</v>
      </c>
      <c r="G396" s="4" t="s">
        <v>2585</v>
      </c>
      <c r="H396" s="4" t="s">
        <v>143</v>
      </c>
      <c r="I396" s="4" t="s">
        <v>2146</v>
      </c>
      <c r="J396" s="4" t="str">
        <f t="shared" si="41"/>
        <v>att_protease:lysc</v>
      </c>
      <c r="L396" s="4" t="s">
        <v>2148</v>
      </c>
    </row>
    <row r="397" spans="1:12">
      <c r="A397" s="4" t="b">
        <f>TRUE()</f>
        <v>1</v>
      </c>
      <c r="C397" s="4" t="s">
        <v>2584</v>
      </c>
      <c r="D397" s="4" t="s">
        <v>2132</v>
      </c>
      <c r="F397" s="4" t="s">
        <v>144</v>
      </c>
      <c r="G397" s="4" t="s">
        <v>2585</v>
      </c>
      <c r="H397" s="4" t="s">
        <v>143</v>
      </c>
      <c r="I397" s="4" t="s">
        <v>2131</v>
      </c>
      <c r="J397" s="4" t="str">
        <f t="shared" si="41"/>
        <v>att_protease:argc</v>
      </c>
      <c r="L397" s="4" t="s">
        <v>2133</v>
      </c>
    </row>
    <row r="398" spans="1:12">
      <c r="A398" s="4" t="b">
        <f>TRUE()</f>
        <v>1</v>
      </c>
      <c r="C398" s="4" t="s">
        <v>2584</v>
      </c>
      <c r="D398" s="4" t="s">
        <v>2144</v>
      </c>
      <c r="F398" s="4" t="s">
        <v>144</v>
      </c>
      <c r="G398" s="4" t="s">
        <v>2585</v>
      </c>
      <c r="H398" s="4" t="s">
        <v>143</v>
      </c>
      <c r="I398" s="4" t="s">
        <v>2143</v>
      </c>
      <c r="J398" s="4" t="str">
        <f t="shared" si="41"/>
        <v>att_protease:gluc</v>
      </c>
      <c r="L398" s="4" t="s">
        <v>2145</v>
      </c>
    </row>
    <row r="399" spans="1:12">
      <c r="A399" s="4" t="b">
        <f>TRUE()</f>
        <v>1</v>
      </c>
      <c r="C399" s="4" t="s">
        <v>2584</v>
      </c>
      <c r="D399" s="4" t="s">
        <v>2138</v>
      </c>
      <c r="F399" s="4" t="s">
        <v>144</v>
      </c>
      <c r="G399" s="4" t="s">
        <v>2585</v>
      </c>
      <c r="H399" s="4" t="s">
        <v>143</v>
      </c>
      <c r="I399" s="4" t="s">
        <v>2137</v>
      </c>
      <c r="J399" s="4" t="str">
        <f t="shared" si="41"/>
        <v>att_protease:chymotrypsin</v>
      </c>
      <c r="L399" s="4" t="s">
        <v>2139</v>
      </c>
    </row>
    <row r="400" spans="1:12">
      <c r="A400" s="4" t="b">
        <f>TRUE()</f>
        <v>1</v>
      </c>
      <c r="C400" s="4" t="s">
        <v>2584</v>
      </c>
      <c r="D400" s="4" t="s">
        <v>2135</v>
      </c>
      <c r="F400" s="4" t="s">
        <v>144</v>
      </c>
      <c r="G400" s="4" t="s">
        <v>2585</v>
      </c>
      <c r="H400" s="4" t="s">
        <v>143</v>
      </c>
      <c r="I400" s="4" t="s">
        <v>2134</v>
      </c>
      <c r="J400" s="4" t="str">
        <f t="shared" si="41"/>
        <v>att_protease:aspn</v>
      </c>
      <c r="L400" s="4" t="s">
        <v>2136</v>
      </c>
    </row>
    <row r="401" spans="1:12">
      <c r="A401" s="4" t="b">
        <f>TRUE()</f>
        <v>1</v>
      </c>
      <c r="C401" s="4" t="s">
        <v>2584</v>
      </c>
      <c r="D401" s="4" t="s">
        <v>2141</v>
      </c>
      <c r="F401" s="4" t="s">
        <v>144</v>
      </c>
      <c r="G401" s="4" t="s">
        <v>2585</v>
      </c>
      <c r="H401" s="4" t="s">
        <v>143</v>
      </c>
      <c r="I401" s="4" t="s">
        <v>2140</v>
      </c>
      <c r="J401" s="4" t="str">
        <f t="shared" si="41"/>
        <v>att_protease:elastase</v>
      </c>
      <c r="L401" s="4" t="s">
        <v>2142</v>
      </c>
    </row>
    <row r="402" spans="1:12">
      <c r="A402" s="4" t="b">
        <f>TRUE()</f>
        <v>1</v>
      </c>
      <c r="C402" s="4" t="s">
        <v>2584</v>
      </c>
      <c r="D402" s="4" t="s">
        <v>2150</v>
      </c>
      <c r="F402" s="4" t="s">
        <v>144</v>
      </c>
      <c r="G402" s="4" t="s">
        <v>2585</v>
      </c>
      <c r="H402" s="4" t="s">
        <v>143</v>
      </c>
      <c r="I402" s="4" t="s">
        <v>2149</v>
      </c>
      <c r="J402" s="4" t="str">
        <f t="shared" si="41"/>
        <v>att_protease:raspn</v>
      </c>
      <c r="L402" s="4" t="s">
        <v>2151</v>
      </c>
    </row>
    <row r="404" spans="1:12">
      <c r="C404" s="4" t="s">
        <v>2586</v>
      </c>
      <c r="D404" s="4" t="s">
        <v>1230</v>
      </c>
      <c r="F404" s="4" t="s">
        <v>105</v>
      </c>
      <c r="G404" s="4" t="s">
        <v>2587</v>
      </c>
      <c r="H404" s="4" t="s">
        <v>104</v>
      </c>
      <c r="I404" s="4" t="s">
        <v>1229</v>
      </c>
      <c r="J404" s="4" t="str">
        <f t="shared" ref="J404:J410" si="42">H404&amp;":"&amp;I404</f>
        <v>att_liquid_handler:mosquitoLV</v>
      </c>
      <c r="L404" s="4" t="s">
        <v>1231</v>
      </c>
    </row>
    <row r="405" spans="1:12">
      <c r="C405" s="4" t="s">
        <v>2586</v>
      </c>
      <c r="D405" s="4" t="s">
        <v>1218</v>
      </c>
      <c r="F405" s="4" t="s">
        <v>105</v>
      </c>
      <c r="G405" s="4" t="s">
        <v>2587</v>
      </c>
      <c r="H405" s="4" t="s">
        <v>104</v>
      </c>
      <c r="I405" s="4" t="s">
        <v>1217</v>
      </c>
      <c r="J405" s="4" t="str">
        <f t="shared" si="42"/>
        <v>att_liquid_handler:felix</v>
      </c>
      <c r="L405" s="4" t="s">
        <v>1219</v>
      </c>
    </row>
    <row r="406" spans="1:12">
      <c r="C406" s="4" t="s">
        <v>2586</v>
      </c>
      <c r="D406" s="4" t="s">
        <v>1227</v>
      </c>
      <c r="F406" s="4" t="s">
        <v>105</v>
      </c>
      <c r="G406" s="4" t="s">
        <v>2587</v>
      </c>
      <c r="H406" s="4" t="s">
        <v>104</v>
      </c>
      <c r="I406" s="4" t="s">
        <v>1226</v>
      </c>
      <c r="J406" s="4" t="str">
        <f t="shared" si="42"/>
        <v>att_liquid_handler:mosquitoHV</v>
      </c>
      <c r="L406" s="4" t="s">
        <v>1228</v>
      </c>
    </row>
    <row r="407" spans="1:12">
      <c r="C407" s="4" t="s">
        <v>2586</v>
      </c>
      <c r="D407" s="4" t="s">
        <v>1233</v>
      </c>
      <c r="F407" s="4" t="s">
        <v>105</v>
      </c>
      <c r="G407" s="4" t="s">
        <v>2587</v>
      </c>
      <c r="H407" s="4" t="s">
        <v>104</v>
      </c>
      <c r="I407" s="4" t="s">
        <v>1232</v>
      </c>
      <c r="J407" s="4" t="str">
        <f t="shared" si="42"/>
        <v>att_liquid_handler:opentrons</v>
      </c>
      <c r="L407" s="4" t="s">
        <v>1233</v>
      </c>
    </row>
    <row r="408" spans="1:12">
      <c r="C408" s="4" t="s">
        <v>2586</v>
      </c>
      <c r="D408" s="4" t="s">
        <v>1221</v>
      </c>
      <c r="F408" s="4" t="s">
        <v>105</v>
      </c>
      <c r="G408" s="4" t="s">
        <v>2587</v>
      </c>
      <c r="H408" s="4" t="s">
        <v>104</v>
      </c>
      <c r="I408" s="4" t="s">
        <v>1220</v>
      </c>
      <c r="J408" s="4" t="str">
        <f t="shared" si="42"/>
        <v>att_liquid_handler:kingfisher</v>
      </c>
      <c r="L408" s="4" t="s">
        <v>1222</v>
      </c>
    </row>
    <row r="409" spans="1:12">
      <c r="C409" s="4" t="s">
        <v>2586</v>
      </c>
      <c r="D409" s="4" t="s">
        <v>1215</v>
      </c>
      <c r="F409" s="4" t="s">
        <v>105</v>
      </c>
      <c r="G409" s="4" t="s">
        <v>2587</v>
      </c>
      <c r="H409" s="4" t="s">
        <v>104</v>
      </c>
      <c r="I409" s="4" t="s">
        <v>1214</v>
      </c>
      <c r="J409" s="4" t="str">
        <f t="shared" si="42"/>
        <v>att_liquid_handler:bravo</v>
      </c>
      <c r="L409" s="4" t="s">
        <v>1216</v>
      </c>
    </row>
    <row r="410" spans="1:12">
      <c r="C410" s="4" t="s">
        <v>2586</v>
      </c>
      <c r="D410" s="4" t="s">
        <v>1235</v>
      </c>
      <c r="F410" s="4" t="s">
        <v>105</v>
      </c>
      <c r="G410" s="4" t="s">
        <v>2587</v>
      </c>
      <c r="H410" s="4" t="s">
        <v>104</v>
      </c>
      <c r="I410" s="4" t="s">
        <v>1234</v>
      </c>
      <c r="J410" s="4" t="str">
        <f t="shared" si="42"/>
        <v>att_liquid_handler:tecan</v>
      </c>
      <c r="L410" s="4" t="s">
        <v>1236</v>
      </c>
    </row>
    <row r="412" spans="1:12">
      <c r="C412" s="4" t="s">
        <v>2588</v>
      </c>
      <c r="D412" s="4" t="s">
        <v>950</v>
      </c>
      <c r="F412" s="4" t="s">
        <v>72</v>
      </c>
      <c r="G412" s="4" t="s">
        <v>2589</v>
      </c>
      <c r="H412" s="4" t="s">
        <v>71</v>
      </c>
      <c r="I412" s="4" t="s">
        <v>949</v>
      </c>
      <c r="J412" s="4" t="str">
        <f>H412&amp;":"&amp;I412</f>
        <v>att_digestion_vessel:96well_plate</v>
      </c>
      <c r="L412" s="4" t="s">
        <v>951</v>
      </c>
    </row>
    <row r="413" spans="1:12">
      <c r="C413" s="4" t="s">
        <v>2588</v>
      </c>
      <c r="D413" s="4" t="s">
        <v>948</v>
      </c>
      <c r="F413" s="4" t="s">
        <v>72</v>
      </c>
      <c r="G413" s="4" t="s">
        <v>2589</v>
      </c>
      <c r="H413" s="4" t="s">
        <v>71</v>
      </c>
      <c r="I413" s="4" t="s">
        <v>947</v>
      </c>
      <c r="J413" s="4" t="str">
        <f>H413&amp;":"&amp;I413</f>
        <v>att_digestion_vessel:384well_plate</v>
      </c>
      <c r="L413" s="4" t="s">
        <v>948</v>
      </c>
    </row>
    <row r="414" spans="1:12">
      <c r="C414" s="4" t="s">
        <v>2590</v>
      </c>
      <c r="D414" s="4" t="s">
        <v>958</v>
      </c>
      <c r="F414" s="4" t="s">
        <v>72</v>
      </c>
      <c r="G414" s="4" t="s">
        <v>2589</v>
      </c>
      <c r="H414" s="4" t="s">
        <v>71</v>
      </c>
      <c r="I414" s="4" t="s">
        <v>957</v>
      </c>
      <c r="J414" s="4" t="str">
        <f>H414&amp;":"&amp;I414</f>
        <v>att_digestion_vessel:two_ml_tube</v>
      </c>
      <c r="L414" s="4" t="s">
        <v>959</v>
      </c>
    </row>
    <row r="415" spans="1:12">
      <c r="C415" s="4" t="s">
        <v>2590</v>
      </c>
      <c r="D415" s="4" t="s">
        <v>953</v>
      </c>
      <c r="F415" s="4" t="s">
        <v>72</v>
      </c>
      <c r="G415" s="4" t="s">
        <v>2589</v>
      </c>
      <c r="H415" s="4" t="s">
        <v>71</v>
      </c>
      <c r="I415" s="4" t="s">
        <v>952</v>
      </c>
      <c r="J415" s="4" t="str">
        <f>H415&amp;":"&amp;I415</f>
        <v>att_digestion_vessel:onefive_ml_tube</v>
      </c>
      <c r="L415" s="4" t="s">
        <v>954</v>
      </c>
    </row>
    <row r="417" spans="3:12">
      <c r="C417" s="4" t="s">
        <v>2591</v>
      </c>
      <c r="D417" s="4" t="s">
        <v>2592</v>
      </c>
      <c r="F417" s="4" t="s">
        <v>14</v>
      </c>
      <c r="G417" s="4" t="s">
        <v>2593</v>
      </c>
      <c r="H417" s="4" t="s">
        <v>12</v>
      </c>
      <c r="I417" s="4" t="s">
        <v>189</v>
      </c>
      <c r="J417" s="4" t="str">
        <f t="shared" ref="J417:J435" si="43">H417&amp;":"&amp;I417</f>
        <v>att_aa_starvation:arginine</v>
      </c>
      <c r="L417" s="4" t="s">
        <v>192</v>
      </c>
    </row>
    <row r="418" spans="3:12">
      <c r="C418" s="4" t="s">
        <v>2591</v>
      </c>
      <c r="D418" s="4" t="s">
        <v>2594</v>
      </c>
      <c r="F418" s="4" t="s">
        <v>14</v>
      </c>
      <c r="G418" s="4" t="s">
        <v>2593</v>
      </c>
      <c r="H418" s="4" t="s">
        <v>12</v>
      </c>
      <c r="I418" s="4" t="s">
        <v>193</v>
      </c>
      <c r="J418" s="4" t="str">
        <f t="shared" si="43"/>
        <v>att_aa_starvation:asparagine</v>
      </c>
      <c r="L418" s="4" t="s">
        <v>195</v>
      </c>
    </row>
    <row r="419" spans="3:12">
      <c r="C419" s="4" t="s">
        <v>2591</v>
      </c>
      <c r="D419" s="4" t="s">
        <v>2595</v>
      </c>
      <c r="F419" s="4" t="s">
        <v>14</v>
      </c>
      <c r="G419" s="4" t="s">
        <v>2593</v>
      </c>
      <c r="H419" s="4" t="s">
        <v>12</v>
      </c>
      <c r="I419" s="4" t="s">
        <v>196</v>
      </c>
      <c r="J419" s="4" t="str">
        <f t="shared" si="43"/>
        <v>att_aa_starvation:asparticacid</v>
      </c>
      <c r="L419" s="4" t="s">
        <v>198</v>
      </c>
    </row>
    <row r="420" spans="3:12">
      <c r="C420" s="4" t="s">
        <v>2591</v>
      </c>
      <c r="D420" s="4" t="s">
        <v>2596</v>
      </c>
      <c r="F420" s="4" t="s">
        <v>14</v>
      </c>
      <c r="G420" s="4" t="s">
        <v>2593</v>
      </c>
      <c r="H420" s="4" t="s">
        <v>12</v>
      </c>
      <c r="I420" s="4" t="s">
        <v>199</v>
      </c>
      <c r="J420" s="4" t="str">
        <f t="shared" si="43"/>
        <v>att_aa_starvation:cysteine</v>
      </c>
      <c r="L420" s="4" t="s">
        <v>201</v>
      </c>
    </row>
    <row r="421" spans="3:12">
      <c r="C421" s="4" t="s">
        <v>2591</v>
      </c>
      <c r="D421" s="4" t="s">
        <v>2597</v>
      </c>
      <c r="F421" s="4" t="s">
        <v>14</v>
      </c>
      <c r="G421" s="4" t="s">
        <v>2593</v>
      </c>
      <c r="H421" s="4" t="s">
        <v>12</v>
      </c>
      <c r="I421" s="4" t="s">
        <v>202</v>
      </c>
      <c r="J421" s="4" t="str">
        <f t="shared" si="43"/>
        <v>att_aa_starvation:glutamicacid</v>
      </c>
      <c r="L421" s="4" t="s">
        <v>204</v>
      </c>
    </row>
    <row r="422" spans="3:12">
      <c r="C422" s="4" t="s">
        <v>2591</v>
      </c>
      <c r="D422" s="4" t="s">
        <v>2598</v>
      </c>
      <c r="F422" s="4" t="s">
        <v>14</v>
      </c>
      <c r="G422" s="4" t="s">
        <v>2593</v>
      </c>
      <c r="H422" s="4" t="s">
        <v>12</v>
      </c>
      <c r="I422" s="4" t="s">
        <v>205</v>
      </c>
      <c r="J422" s="4" t="str">
        <f t="shared" si="43"/>
        <v>att_aa_starvation:glutamine</v>
      </c>
      <c r="L422" s="4" t="s">
        <v>207</v>
      </c>
    </row>
    <row r="423" spans="3:12">
      <c r="C423" s="4" t="s">
        <v>2591</v>
      </c>
      <c r="D423" s="4" t="s">
        <v>2599</v>
      </c>
      <c r="F423" s="4" t="s">
        <v>14</v>
      </c>
      <c r="G423" s="4" t="s">
        <v>2593</v>
      </c>
      <c r="H423" s="4" t="s">
        <v>12</v>
      </c>
      <c r="I423" s="4" t="s">
        <v>208</v>
      </c>
      <c r="J423" s="4" t="str">
        <f t="shared" si="43"/>
        <v>att_aa_starvation:glycine</v>
      </c>
      <c r="L423" s="4" t="s">
        <v>210</v>
      </c>
    </row>
    <row r="424" spans="3:12">
      <c r="C424" s="4" t="s">
        <v>2591</v>
      </c>
      <c r="D424" s="4" t="s">
        <v>2600</v>
      </c>
      <c r="F424" s="4" t="s">
        <v>14</v>
      </c>
      <c r="G424" s="4" t="s">
        <v>2593</v>
      </c>
      <c r="H424" s="4" t="s">
        <v>12</v>
      </c>
      <c r="I424" s="4" t="s">
        <v>211</v>
      </c>
      <c r="J424" s="4" t="str">
        <f t="shared" si="43"/>
        <v>att_aa_starvation:histidine</v>
      </c>
      <c r="L424" s="4" t="s">
        <v>213</v>
      </c>
    </row>
    <row r="425" spans="3:12">
      <c r="C425" s="4" t="s">
        <v>2591</v>
      </c>
      <c r="D425" s="4" t="s">
        <v>2601</v>
      </c>
      <c r="F425" s="4" t="s">
        <v>14</v>
      </c>
      <c r="G425" s="4" t="s">
        <v>2593</v>
      </c>
      <c r="H425" s="4" t="s">
        <v>12</v>
      </c>
      <c r="I425" s="4" t="s">
        <v>214</v>
      </c>
      <c r="J425" s="4" t="str">
        <f t="shared" si="43"/>
        <v>att_aa_starvation:isoleucine</v>
      </c>
      <c r="L425" s="4" t="s">
        <v>216</v>
      </c>
    </row>
    <row r="426" spans="3:12">
      <c r="C426" s="4" t="s">
        <v>2591</v>
      </c>
      <c r="D426" s="4" t="s">
        <v>2602</v>
      </c>
      <c r="F426" s="4" t="s">
        <v>14</v>
      </c>
      <c r="G426" s="4" t="s">
        <v>2593</v>
      </c>
      <c r="H426" s="4" t="s">
        <v>12</v>
      </c>
      <c r="I426" s="4" t="s">
        <v>217</v>
      </c>
      <c r="J426" s="4" t="str">
        <f t="shared" si="43"/>
        <v>att_aa_starvation:leucine</v>
      </c>
      <c r="L426" s="4" t="s">
        <v>219</v>
      </c>
    </row>
    <row r="427" spans="3:12">
      <c r="C427" s="4" t="s">
        <v>2591</v>
      </c>
      <c r="D427" s="4" t="s">
        <v>2603</v>
      </c>
      <c r="F427" s="4" t="s">
        <v>14</v>
      </c>
      <c r="G427" s="4" t="s">
        <v>2593</v>
      </c>
      <c r="H427" s="4" t="s">
        <v>12</v>
      </c>
      <c r="I427" s="4" t="s">
        <v>220</v>
      </c>
      <c r="J427" s="4" t="str">
        <f t="shared" si="43"/>
        <v>att_aa_starvation:lysine</v>
      </c>
      <c r="L427" s="4" t="s">
        <v>222</v>
      </c>
    </row>
    <row r="428" spans="3:12">
      <c r="C428" s="4" t="s">
        <v>2591</v>
      </c>
      <c r="D428" s="4" t="s">
        <v>2604</v>
      </c>
      <c r="F428" s="4" t="s">
        <v>14</v>
      </c>
      <c r="G428" s="4" t="s">
        <v>2593</v>
      </c>
      <c r="H428" s="4" t="s">
        <v>12</v>
      </c>
      <c r="I428" s="4" t="s">
        <v>223</v>
      </c>
      <c r="J428" s="4" t="str">
        <f t="shared" si="43"/>
        <v>att_aa_starvation:methionine</v>
      </c>
      <c r="L428" s="4" t="s">
        <v>225</v>
      </c>
    </row>
    <row r="429" spans="3:12">
      <c r="C429" s="4" t="s">
        <v>2591</v>
      </c>
      <c r="D429" s="4" t="s">
        <v>2605</v>
      </c>
      <c r="F429" s="4" t="s">
        <v>14</v>
      </c>
      <c r="G429" s="4" t="s">
        <v>2593</v>
      </c>
      <c r="H429" s="4" t="s">
        <v>12</v>
      </c>
      <c r="I429" s="4" t="s">
        <v>226</v>
      </c>
      <c r="J429" s="4" t="str">
        <f t="shared" si="43"/>
        <v>att_aa_starvation:phenylalanine</v>
      </c>
      <c r="L429" s="4" t="s">
        <v>228</v>
      </c>
    </row>
    <row r="430" spans="3:12">
      <c r="C430" s="4" t="s">
        <v>2591</v>
      </c>
      <c r="D430" s="4" t="s">
        <v>2606</v>
      </c>
      <c r="F430" s="4" t="s">
        <v>14</v>
      </c>
      <c r="G430" s="4" t="s">
        <v>2593</v>
      </c>
      <c r="H430" s="4" t="s">
        <v>12</v>
      </c>
      <c r="I430" s="4" t="s">
        <v>229</v>
      </c>
      <c r="J430" s="4" t="str">
        <f t="shared" si="43"/>
        <v>att_aa_starvation:proline</v>
      </c>
      <c r="L430" s="4" t="s">
        <v>231</v>
      </c>
    </row>
    <row r="431" spans="3:12">
      <c r="C431" s="4" t="s">
        <v>2591</v>
      </c>
      <c r="D431" s="4" t="s">
        <v>2607</v>
      </c>
      <c r="F431" s="4" t="s">
        <v>14</v>
      </c>
      <c r="G431" s="4" t="s">
        <v>2593</v>
      </c>
      <c r="H431" s="4" t="s">
        <v>12</v>
      </c>
      <c r="I431" s="4" t="s">
        <v>232</v>
      </c>
      <c r="J431" s="4" t="str">
        <f t="shared" si="43"/>
        <v>att_aa_starvation:serine</v>
      </c>
      <c r="L431" s="4" t="s">
        <v>234</v>
      </c>
    </row>
    <row r="432" spans="3:12">
      <c r="C432" s="4" t="s">
        <v>2591</v>
      </c>
      <c r="D432" s="4" t="s">
        <v>2608</v>
      </c>
      <c r="F432" s="4" t="s">
        <v>14</v>
      </c>
      <c r="G432" s="4" t="s">
        <v>2593</v>
      </c>
      <c r="H432" s="4" t="s">
        <v>12</v>
      </c>
      <c r="I432" s="4" t="s">
        <v>235</v>
      </c>
      <c r="J432" s="4" t="str">
        <f t="shared" si="43"/>
        <v>att_aa_starvation:threonine</v>
      </c>
      <c r="L432" s="4" t="s">
        <v>237</v>
      </c>
    </row>
    <row r="433" spans="1:15">
      <c r="C433" s="4" t="s">
        <v>2591</v>
      </c>
      <c r="D433" s="4" t="s">
        <v>2609</v>
      </c>
      <c r="F433" s="4" t="s">
        <v>14</v>
      </c>
      <c r="G433" s="4" t="s">
        <v>2593</v>
      </c>
      <c r="H433" s="4" t="s">
        <v>12</v>
      </c>
      <c r="I433" s="4" t="s">
        <v>238</v>
      </c>
      <c r="J433" s="4" t="str">
        <f t="shared" si="43"/>
        <v>att_aa_starvation:tryptophan</v>
      </c>
      <c r="L433" s="4" t="s">
        <v>240</v>
      </c>
    </row>
    <row r="434" spans="1:15">
      <c r="C434" s="4" t="s">
        <v>2591</v>
      </c>
      <c r="D434" s="4" t="s">
        <v>2610</v>
      </c>
      <c r="F434" s="4" t="s">
        <v>14</v>
      </c>
      <c r="G434" s="4" t="s">
        <v>2593</v>
      </c>
      <c r="H434" s="4" t="s">
        <v>12</v>
      </c>
      <c r="I434" s="4" t="s">
        <v>241</v>
      </c>
      <c r="J434" s="4" t="str">
        <f t="shared" si="43"/>
        <v>att_aa_starvation:tyrosine</v>
      </c>
      <c r="L434" s="4" t="s">
        <v>243</v>
      </c>
    </row>
    <row r="435" spans="1:15">
      <c r="C435" s="4" t="s">
        <v>2591</v>
      </c>
      <c r="D435" s="4" t="s">
        <v>2611</v>
      </c>
      <c r="F435" s="4" t="s">
        <v>14</v>
      </c>
      <c r="G435" s="4" t="s">
        <v>2593</v>
      </c>
      <c r="H435" s="4" t="s">
        <v>12</v>
      </c>
      <c r="I435" s="4" t="s">
        <v>244</v>
      </c>
      <c r="J435" s="4" t="str">
        <f t="shared" si="43"/>
        <v>att_aa_starvation:valine</v>
      </c>
      <c r="L435" s="4" t="s">
        <v>246</v>
      </c>
    </row>
    <row r="439" spans="1:15">
      <c r="A439" s="8" t="b">
        <f>FALSE()</f>
        <v>0</v>
      </c>
      <c r="B439" s="8"/>
      <c r="C439" s="4" t="s">
        <v>685</v>
      </c>
      <c r="D439" s="4" t="s">
        <v>686</v>
      </c>
      <c r="E439" s="4" t="s">
        <v>13</v>
      </c>
      <c r="F439" s="4" t="s">
        <v>2423</v>
      </c>
      <c r="G439" s="4" t="s">
        <v>2424</v>
      </c>
      <c r="H439" s="4" t="str">
        <f t="shared" ref="H439:H448" si="44">"att_"&amp;G439</f>
        <v>att_compound</v>
      </c>
      <c r="I439" s="4" t="s">
        <v>685</v>
      </c>
      <c r="J439" s="4" t="str">
        <f t="shared" ref="J439:J448" si="45">H439&amp;":"&amp;I439</f>
        <v>att_compound:torin</v>
      </c>
      <c r="K439" s="7" t="s">
        <v>17</v>
      </c>
      <c r="L439" s="4" t="s">
        <v>687</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8" t="b">
        <f>FALSE()</f>
        <v>0</v>
      </c>
      <c r="B440" s="8"/>
      <c r="C440" s="4" t="s">
        <v>677</v>
      </c>
      <c r="D440" s="4" t="s">
        <v>678</v>
      </c>
      <c r="E440" s="4" t="s">
        <v>13</v>
      </c>
      <c r="F440" s="4" t="s">
        <v>2423</v>
      </c>
      <c r="G440" s="4" t="s">
        <v>2424</v>
      </c>
      <c r="H440" s="4" t="str">
        <f t="shared" si="44"/>
        <v>att_compound</v>
      </c>
      <c r="I440" s="4" t="s">
        <v>677</v>
      </c>
      <c r="J440" s="4" t="str">
        <f t="shared" si="45"/>
        <v>att_compound:rapamycin</v>
      </c>
      <c r="K440" s="4" t="b">
        <f>TRUE()</f>
        <v>1</v>
      </c>
      <c r="L440" s="4" t="s">
        <v>679</v>
      </c>
    </row>
    <row r="441" spans="1:15">
      <c r="C441" s="4" t="s">
        <v>638</v>
      </c>
      <c r="D441" s="4" t="s">
        <v>639</v>
      </c>
      <c r="E441" s="4" t="s">
        <v>13</v>
      </c>
      <c r="F441" s="4" t="s">
        <v>2423</v>
      </c>
      <c r="G441" s="4" t="s">
        <v>2424</v>
      </c>
      <c r="H441" s="4" t="str">
        <f t="shared" si="44"/>
        <v>att_compound</v>
      </c>
      <c r="I441" s="4" t="s">
        <v>638</v>
      </c>
      <c r="J441" s="4" t="str">
        <f t="shared" si="45"/>
        <v>att_compound:antimycin</v>
      </c>
      <c r="K441" s="4" t="b">
        <f>TRUE()</f>
        <v>1</v>
      </c>
      <c r="L441" s="4" t="s">
        <v>640</v>
      </c>
    </row>
    <row r="442" spans="1:15">
      <c r="C442" s="4" t="s">
        <v>674</v>
      </c>
      <c r="D442" s="4" t="s">
        <v>675</v>
      </c>
      <c r="E442" s="4" t="s">
        <v>13</v>
      </c>
      <c r="F442" s="4" t="s">
        <v>2423</v>
      </c>
      <c r="G442" s="4" t="s">
        <v>2424</v>
      </c>
      <c r="H442" s="4" t="str">
        <f t="shared" si="44"/>
        <v>att_compound</v>
      </c>
      <c r="I442" s="4" t="s">
        <v>674</v>
      </c>
      <c r="J442" s="4" t="str">
        <f t="shared" si="45"/>
        <v>att_compound:oligomycin</v>
      </c>
      <c r="K442" s="4" t="b">
        <f>TRUE()</f>
        <v>1</v>
      </c>
      <c r="L442" s="4" t="s">
        <v>676</v>
      </c>
    </row>
    <row r="443" spans="1:15">
      <c r="C443" s="4" t="s">
        <v>671</v>
      </c>
      <c r="D443" s="4" t="s">
        <v>672</v>
      </c>
      <c r="E443" s="4" t="s">
        <v>13</v>
      </c>
      <c r="F443" s="4" t="s">
        <v>2423</v>
      </c>
      <c r="G443" s="4" t="s">
        <v>2424</v>
      </c>
      <c r="H443" s="4" t="str">
        <f t="shared" si="44"/>
        <v>att_compound</v>
      </c>
      <c r="I443" s="4" t="s">
        <v>671</v>
      </c>
      <c r="J443" s="4" t="str">
        <f t="shared" si="45"/>
        <v>att_compound:hydroxyurea</v>
      </c>
      <c r="K443" s="4" t="b">
        <f>TRUE()</f>
        <v>1</v>
      </c>
      <c r="L443" s="4" t="s">
        <v>673</v>
      </c>
    </row>
    <row r="444" spans="1:15">
      <c r="C444" s="4" t="s">
        <v>2612</v>
      </c>
      <c r="D444" s="4" t="s">
        <v>634</v>
      </c>
      <c r="E444" s="4" t="s">
        <v>13</v>
      </c>
      <c r="F444" s="4" t="s">
        <v>2423</v>
      </c>
      <c r="G444" s="4" t="s">
        <v>2424</v>
      </c>
      <c r="H444" s="4" t="str">
        <f t="shared" si="44"/>
        <v>att_compound</v>
      </c>
      <c r="I444" s="4" t="s">
        <v>2612</v>
      </c>
      <c r="J444" s="4" t="str">
        <f t="shared" si="45"/>
        <v xml:space="preserve">att_compound:5-fluorouracil </v>
      </c>
      <c r="K444" s="4" t="b">
        <f>TRUE()</f>
        <v>1</v>
      </c>
      <c r="L444" s="4" t="s">
        <v>635</v>
      </c>
    </row>
    <row r="445" spans="1:15">
      <c r="C445" s="4" t="s">
        <v>2613</v>
      </c>
      <c r="D445" s="4" t="s">
        <v>2614</v>
      </c>
      <c r="E445" s="4" t="s">
        <v>13</v>
      </c>
      <c r="F445" s="4" t="s">
        <v>2423</v>
      </c>
      <c r="G445" s="4" t="s">
        <v>2424</v>
      </c>
      <c r="H445" s="4" t="str">
        <f t="shared" si="44"/>
        <v>att_compound</v>
      </c>
      <c r="I445" s="4" t="s">
        <v>2613</v>
      </c>
      <c r="J445" s="4" t="str">
        <f t="shared" si="45"/>
        <v xml:space="preserve">att_compound:etoposide </v>
      </c>
      <c r="K445" s="4" t="b">
        <f>TRUE()</f>
        <v>1</v>
      </c>
      <c r="L445" s="4" t="s">
        <v>2615</v>
      </c>
    </row>
    <row r="446" spans="1:15">
      <c r="C446" s="4" t="s">
        <v>680</v>
      </c>
      <c r="D446" s="4" t="s">
        <v>681</v>
      </c>
      <c r="E446" s="4" t="s">
        <v>13</v>
      </c>
      <c r="F446" s="4" t="s">
        <v>2423</v>
      </c>
      <c r="G446" s="4" t="s">
        <v>2424</v>
      </c>
      <c r="H446" s="4" t="str">
        <f t="shared" si="44"/>
        <v>att_compound</v>
      </c>
      <c r="I446" s="4" t="s">
        <v>680</v>
      </c>
      <c r="J446" s="4" t="str">
        <f t="shared" si="45"/>
        <v>att_compound:rotenone</v>
      </c>
      <c r="K446" s="4" t="b">
        <f>TRUE()</f>
        <v>1</v>
      </c>
      <c r="L446" s="4" t="s">
        <v>682</v>
      </c>
    </row>
    <row r="447" spans="1:15">
      <c r="C447" s="4" t="s">
        <v>648</v>
      </c>
      <c r="D447" s="4" t="s">
        <v>649</v>
      </c>
      <c r="E447" s="4" t="s">
        <v>13</v>
      </c>
      <c r="F447" s="4" t="s">
        <v>2423</v>
      </c>
      <c r="G447" s="4" t="s">
        <v>2424</v>
      </c>
      <c r="H447" s="4" t="str">
        <f t="shared" si="44"/>
        <v>att_compound</v>
      </c>
      <c r="I447" s="4" t="s">
        <v>648</v>
      </c>
      <c r="J447" s="4" t="str">
        <f t="shared" si="45"/>
        <v>att_compound:cccp</v>
      </c>
      <c r="K447" s="4" t="b">
        <f>TRUE()</f>
        <v>1</v>
      </c>
      <c r="L447" s="4" t="s">
        <v>650</v>
      </c>
    </row>
    <row r="448" spans="1:15">
      <c r="C448" s="4" t="s">
        <v>665</v>
      </c>
      <c r="D448" s="4" t="s">
        <v>666</v>
      </c>
      <c r="E448" s="4" t="s">
        <v>13</v>
      </c>
      <c r="F448" s="4" t="s">
        <v>2423</v>
      </c>
      <c r="G448" s="4" t="s">
        <v>2424</v>
      </c>
      <c r="H448" s="4" t="str">
        <f t="shared" si="44"/>
        <v>att_compound</v>
      </c>
      <c r="I448" s="4" t="s">
        <v>665</v>
      </c>
      <c r="J448" s="4" t="str">
        <f t="shared" si="45"/>
        <v>att_compound:fccp</v>
      </c>
      <c r="K448" s="4" t="b">
        <f>TRUE()</f>
        <v>1</v>
      </c>
      <c r="L448" s="4" t="s">
        <v>667</v>
      </c>
    </row>
    <row r="451" spans="3:12">
      <c r="C451" s="4" t="s">
        <v>1185</v>
      </c>
      <c r="D451" s="4" t="s">
        <v>1186</v>
      </c>
      <c r="F451" s="4" t="s">
        <v>102</v>
      </c>
      <c r="G451" s="4" t="s">
        <v>2616</v>
      </c>
      <c r="H451" s="4" t="str">
        <f t="shared" ref="H451:H459" si="46">"att_"&amp;G451</f>
        <v>att_knockdown_technique</v>
      </c>
      <c r="I451" s="4" t="s">
        <v>1185</v>
      </c>
      <c r="J451" s="4" t="str">
        <f t="shared" ref="J451:J459" si="47">H451&amp;":"&amp;I451</f>
        <v>att_knockdown_technique:sirna</v>
      </c>
      <c r="K451" s="4" t="b">
        <f>TRUE()</f>
        <v>1</v>
      </c>
      <c r="L451" s="4" t="s">
        <v>1187</v>
      </c>
    </row>
    <row r="452" spans="3:12">
      <c r="C452" s="4" t="s">
        <v>1176</v>
      </c>
      <c r="D452" s="4" t="s">
        <v>1177</v>
      </c>
      <c r="F452" s="4" t="s">
        <v>102</v>
      </c>
      <c r="G452" s="4" t="s">
        <v>2616</v>
      </c>
      <c r="H452" s="4" t="str">
        <f t="shared" si="46"/>
        <v>att_knockdown_technique</v>
      </c>
      <c r="I452" s="4" t="s">
        <v>1176</v>
      </c>
      <c r="J452" s="4" t="str">
        <f t="shared" si="47"/>
        <v>att_knockdown_technique:grna</v>
      </c>
      <c r="K452" s="4" t="b">
        <f>TRUE()</f>
        <v>1</v>
      </c>
      <c r="L452" s="4" t="s">
        <v>1178</v>
      </c>
    </row>
    <row r="453" spans="3:12">
      <c r="C453" s="4" t="s">
        <v>1182</v>
      </c>
      <c r="D453" s="4" t="s">
        <v>1183</v>
      </c>
      <c r="F453" s="4" t="s">
        <v>102</v>
      </c>
      <c r="G453" s="4" t="s">
        <v>2616</v>
      </c>
      <c r="H453" s="4" t="str">
        <f t="shared" si="46"/>
        <v>att_knockdown_technique</v>
      </c>
      <c r="I453" s="4" t="s">
        <v>1182</v>
      </c>
      <c r="J453" s="4" t="str">
        <f t="shared" si="47"/>
        <v>att_knockdown_technique:shrna</v>
      </c>
      <c r="K453" s="4" t="b">
        <f>TRUE()</f>
        <v>1</v>
      </c>
      <c r="L453" s="4" t="s">
        <v>1184</v>
      </c>
    </row>
    <row r="454" spans="3:12">
      <c r="C454" s="4" t="s">
        <v>1179</v>
      </c>
      <c r="D454" s="4" t="s">
        <v>1180</v>
      </c>
      <c r="F454" s="4" t="s">
        <v>102</v>
      </c>
      <c r="G454" s="4" t="s">
        <v>2616</v>
      </c>
      <c r="H454" s="4" t="str">
        <f t="shared" si="46"/>
        <v>att_knockdown_technique</v>
      </c>
      <c r="I454" s="4" t="s">
        <v>1179</v>
      </c>
      <c r="J454" s="4" t="str">
        <f t="shared" si="47"/>
        <v>att_knockdown_technique:mirna</v>
      </c>
      <c r="L454" s="4" t="s">
        <v>1181</v>
      </c>
    </row>
    <row r="455" spans="3:12">
      <c r="C455" s="4" t="s">
        <v>1163</v>
      </c>
      <c r="D455" s="4" t="s">
        <v>1164</v>
      </c>
      <c r="F455" s="4" t="s">
        <v>2617</v>
      </c>
      <c r="G455" s="4" t="s">
        <v>2618</v>
      </c>
      <c r="H455" s="4" t="str">
        <f t="shared" si="46"/>
        <v>att_gene_engineering</v>
      </c>
      <c r="I455" s="4" t="s">
        <v>1163</v>
      </c>
      <c r="J455" s="4" t="str">
        <f t="shared" si="47"/>
        <v>att_gene_engineering:ko</v>
      </c>
      <c r="L455" s="4" t="s">
        <v>1165</v>
      </c>
    </row>
    <row r="456" spans="3:12">
      <c r="C456" s="4" t="s">
        <v>2619</v>
      </c>
      <c r="D456" s="4" t="s">
        <v>1161</v>
      </c>
      <c r="F456" s="4" t="s">
        <v>2617</v>
      </c>
      <c r="G456" s="4" t="s">
        <v>2618</v>
      </c>
      <c r="H456" s="4" t="str">
        <f t="shared" si="46"/>
        <v>att_gene_engineering</v>
      </c>
      <c r="I456" s="4" t="s">
        <v>1160</v>
      </c>
      <c r="J456" s="4" t="str">
        <f t="shared" si="47"/>
        <v>att_gene_engineering:knockin</v>
      </c>
      <c r="L456" s="4" t="s">
        <v>1162</v>
      </c>
    </row>
    <row r="457" spans="3:12">
      <c r="C457" s="4" t="s">
        <v>1154</v>
      </c>
      <c r="D457" s="4" t="s">
        <v>1155</v>
      </c>
      <c r="F457" s="4" t="s">
        <v>2617</v>
      </c>
      <c r="G457" s="4" t="s">
        <v>2618</v>
      </c>
      <c r="H457" s="4" t="str">
        <f t="shared" si="46"/>
        <v>att_gene_engineering</v>
      </c>
      <c r="I457" s="4" t="s">
        <v>1154</v>
      </c>
      <c r="J457" s="4" t="str">
        <f t="shared" si="47"/>
        <v>att_gene_engineering:deletion</v>
      </c>
      <c r="L457" s="4" t="s">
        <v>1156</v>
      </c>
    </row>
    <row r="458" spans="3:12">
      <c r="C458" s="4" t="s">
        <v>1158</v>
      </c>
      <c r="D458" s="4" t="s">
        <v>1158</v>
      </c>
      <c r="F458" s="4" t="s">
        <v>2617</v>
      </c>
      <c r="G458" s="4" t="s">
        <v>2618</v>
      </c>
      <c r="H458" s="4" t="str">
        <f t="shared" si="46"/>
        <v>att_gene_engineering</v>
      </c>
      <c r="I458" s="4" t="s">
        <v>1157</v>
      </c>
      <c r="J458" s="4" t="str">
        <f t="shared" si="47"/>
        <v>att_gene_engineering:inducible_expression</v>
      </c>
      <c r="L458" s="4" t="s">
        <v>1159</v>
      </c>
    </row>
    <row r="459" spans="3:12">
      <c r="C459" s="4" t="s">
        <v>2620</v>
      </c>
      <c r="D459" s="4" t="s">
        <v>1167</v>
      </c>
      <c r="F459" s="4" t="s">
        <v>2617</v>
      </c>
      <c r="G459" s="4" t="s">
        <v>2618</v>
      </c>
      <c r="H459" s="4" t="str">
        <f t="shared" si="46"/>
        <v>att_gene_engineering</v>
      </c>
      <c r="I459" s="4" t="s">
        <v>1166</v>
      </c>
      <c r="J459" s="4" t="str">
        <f t="shared" si="47"/>
        <v>att_gene_engineering:stable_expression</v>
      </c>
      <c r="L459" s="4" t="s">
        <v>1168</v>
      </c>
    </row>
    <row r="461" spans="3:12">
      <c r="C461" s="4" t="s">
        <v>1139</v>
      </c>
      <c r="D461" s="4" t="s">
        <v>1140</v>
      </c>
      <c r="F461" s="4" t="s">
        <v>2621</v>
      </c>
      <c r="G461" s="4" t="s">
        <v>2622</v>
      </c>
      <c r="H461" s="4" t="str">
        <f t="shared" ref="H461:H476" si="48">"att_"&amp;G461</f>
        <v>att_gene_editing_method</v>
      </c>
      <c r="I461" s="4" t="s">
        <v>1139</v>
      </c>
      <c r="J461" s="4" t="str">
        <f t="shared" ref="J461:J476" si="49">H461&amp;":"&amp;I461</f>
        <v>att_gene_editing_method:crispr</v>
      </c>
      <c r="L461" s="4" t="s">
        <v>1141</v>
      </c>
    </row>
    <row r="462" spans="3:12">
      <c r="C462" s="4" t="s">
        <v>2623</v>
      </c>
      <c r="D462" s="4" t="s">
        <v>1143</v>
      </c>
      <c r="F462" s="4" t="s">
        <v>2621</v>
      </c>
      <c r="G462" s="4" t="s">
        <v>2622</v>
      </c>
      <c r="H462" s="4" t="str">
        <f t="shared" si="48"/>
        <v>att_gene_editing_method</v>
      </c>
      <c r="I462" s="4" t="s">
        <v>2624</v>
      </c>
      <c r="J462" s="4" t="str">
        <f t="shared" si="49"/>
        <v>att_gene_editing_method:crispr-hdr</v>
      </c>
      <c r="L462" s="4" t="s">
        <v>1144</v>
      </c>
    </row>
    <row r="463" spans="3:12">
      <c r="C463" s="4" t="s">
        <v>2625</v>
      </c>
      <c r="D463" s="4" t="s">
        <v>1137</v>
      </c>
      <c r="F463" s="4" t="s">
        <v>2621</v>
      </c>
      <c r="G463" s="4" t="s">
        <v>2622</v>
      </c>
      <c r="H463" s="4" t="str">
        <f t="shared" si="48"/>
        <v>att_gene_editing_method</v>
      </c>
      <c r="I463" s="4" t="s">
        <v>1136</v>
      </c>
      <c r="J463" s="4" t="str">
        <f t="shared" si="49"/>
        <v>att_gene_editing_method:biggybac</v>
      </c>
      <c r="L463" s="4" t="s">
        <v>1138</v>
      </c>
    </row>
    <row r="464" spans="3:12">
      <c r="C464" s="4" t="s">
        <v>2626</v>
      </c>
      <c r="D464" s="4" t="s">
        <v>1146</v>
      </c>
      <c r="F464" s="4" t="s">
        <v>2621</v>
      </c>
      <c r="G464" s="4" t="s">
        <v>2622</v>
      </c>
      <c r="H464" s="4" t="str">
        <f t="shared" si="48"/>
        <v>att_gene_editing_method</v>
      </c>
      <c r="I464" s="4" t="s">
        <v>1145</v>
      </c>
      <c r="J464" s="4" t="str">
        <f t="shared" si="49"/>
        <v>att_gene_editing_method:lentiviral</v>
      </c>
      <c r="L464" s="4" t="s">
        <v>1147</v>
      </c>
    </row>
    <row r="465" spans="3:12">
      <c r="C465" s="4" t="s">
        <v>2627</v>
      </c>
      <c r="D465" s="4" t="s">
        <v>1149</v>
      </c>
      <c r="F465" s="4" t="s">
        <v>2621</v>
      </c>
      <c r="G465" s="4" t="s">
        <v>2622</v>
      </c>
      <c r="H465" s="4" t="str">
        <f t="shared" si="48"/>
        <v>att_gene_editing_method</v>
      </c>
      <c r="I465" s="4" t="s">
        <v>1148</v>
      </c>
      <c r="J465" s="4" t="str">
        <f t="shared" si="49"/>
        <v>att_gene_editing_method:talen</v>
      </c>
      <c r="L465" s="4" t="s">
        <v>1150</v>
      </c>
    </row>
    <row r="466" spans="3:12">
      <c r="C466" s="4" t="s">
        <v>2628</v>
      </c>
      <c r="D466" s="4" t="s">
        <v>1152</v>
      </c>
      <c r="F466" s="4" t="s">
        <v>2621</v>
      </c>
      <c r="G466" s="4" t="s">
        <v>2622</v>
      </c>
      <c r="H466" s="4" t="str">
        <f t="shared" si="48"/>
        <v>att_gene_editing_method</v>
      </c>
      <c r="I466" s="4" t="s">
        <v>1151</v>
      </c>
      <c r="J466" s="4" t="str">
        <f t="shared" si="49"/>
        <v>att_gene_editing_method:zincfinger</v>
      </c>
      <c r="L466" s="4" t="s">
        <v>1153</v>
      </c>
    </row>
    <row r="467" spans="3:12">
      <c r="C467" s="4" t="s">
        <v>2629</v>
      </c>
      <c r="D467" s="4" t="s">
        <v>2161</v>
      </c>
      <c r="F467" s="4" t="s">
        <v>2630</v>
      </c>
      <c r="G467" s="4" t="s">
        <v>2631</v>
      </c>
      <c r="H467" s="4" t="str">
        <f t="shared" si="48"/>
        <v>att_protein_mutation</v>
      </c>
      <c r="I467" s="4" t="s">
        <v>2160</v>
      </c>
      <c r="J467" s="4" t="str">
        <f t="shared" si="49"/>
        <v>att_protein_mutation:frameshift</v>
      </c>
      <c r="L467" s="4" t="s">
        <v>2162</v>
      </c>
    </row>
    <row r="468" spans="3:12">
      <c r="C468" s="4" t="s">
        <v>2632</v>
      </c>
      <c r="D468" s="4" t="s">
        <v>2181</v>
      </c>
      <c r="F468" s="4" t="s">
        <v>2630</v>
      </c>
      <c r="G468" s="4" t="s">
        <v>2631</v>
      </c>
      <c r="H468" s="4" t="str">
        <f t="shared" si="48"/>
        <v>att_protein_mutation</v>
      </c>
      <c r="I468" s="4" t="s">
        <v>2180</v>
      </c>
      <c r="J468" s="4" t="str">
        <f t="shared" si="49"/>
        <v>att_protein_mutation:substitution</v>
      </c>
      <c r="L468" s="4" t="s">
        <v>2182</v>
      </c>
    </row>
    <row r="469" spans="3:12">
      <c r="C469" s="4" t="s">
        <v>2633</v>
      </c>
      <c r="D469" s="4" t="s">
        <v>2155</v>
      </c>
      <c r="F469" s="4" t="s">
        <v>2630</v>
      </c>
      <c r="G469" s="4" t="s">
        <v>2631</v>
      </c>
      <c r="H469" s="4" t="str">
        <f t="shared" si="48"/>
        <v>att_protein_mutation</v>
      </c>
      <c r="I469" s="4" t="s">
        <v>1154</v>
      </c>
      <c r="J469" s="4" t="str">
        <f t="shared" si="49"/>
        <v>att_protein_mutation:deletion</v>
      </c>
      <c r="L469" s="4" t="s">
        <v>2156</v>
      </c>
    </row>
    <row r="470" spans="3:12">
      <c r="C470" s="4" t="s">
        <v>2172</v>
      </c>
      <c r="D470" s="4" t="s">
        <v>2173</v>
      </c>
      <c r="F470" s="4" t="s">
        <v>2630</v>
      </c>
      <c r="G470" s="4" t="s">
        <v>2631</v>
      </c>
      <c r="H470" s="4" t="str">
        <f t="shared" si="48"/>
        <v>att_protein_mutation</v>
      </c>
      <c r="I470" s="4" t="s">
        <v>2172</v>
      </c>
      <c r="J470" s="4" t="str">
        <f t="shared" si="49"/>
        <v>att_protein_mutation:insertion</v>
      </c>
      <c r="L470" s="4" t="s">
        <v>2174</v>
      </c>
    </row>
    <row r="471" spans="3:12">
      <c r="C471" s="4" t="s">
        <v>2634</v>
      </c>
      <c r="D471" s="4" t="s">
        <v>2184</v>
      </c>
      <c r="F471" s="4" t="s">
        <v>2630</v>
      </c>
      <c r="G471" s="4" t="s">
        <v>2631</v>
      </c>
      <c r="H471" s="4" t="str">
        <f t="shared" si="48"/>
        <v>att_protein_mutation</v>
      </c>
      <c r="I471" s="4" t="s">
        <v>2183</v>
      </c>
      <c r="J471" s="4" t="str">
        <f t="shared" si="49"/>
        <v>att_protein_mutation:truncation</v>
      </c>
      <c r="L471" s="4" t="s">
        <v>2185</v>
      </c>
    </row>
    <row r="472" spans="3:12">
      <c r="C472" s="4" t="s">
        <v>2635</v>
      </c>
      <c r="D472" s="4" t="s">
        <v>2158</v>
      </c>
      <c r="F472" s="4" t="s">
        <v>2630</v>
      </c>
      <c r="G472" s="4" t="s">
        <v>2631</v>
      </c>
      <c r="H472" s="4" t="str">
        <f t="shared" si="48"/>
        <v>att_protein_mutation</v>
      </c>
      <c r="I472" s="4" t="s">
        <v>2157</v>
      </c>
      <c r="J472" s="4" t="str">
        <f t="shared" si="49"/>
        <v>att_protein_mutation:flag</v>
      </c>
      <c r="L472" s="4" t="s">
        <v>2159</v>
      </c>
    </row>
    <row r="473" spans="3:12">
      <c r="C473" s="4" t="s">
        <v>2636</v>
      </c>
      <c r="D473" s="4" t="s">
        <v>2167</v>
      </c>
      <c r="F473" s="4" t="s">
        <v>2630</v>
      </c>
      <c r="G473" s="4" t="s">
        <v>2631</v>
      </c>
      <c r="H473" s="4" t="str">
        <f t="shared" si="48"/>
        <v>att_protein_mutation</v>
      </c>
      <c r="I473" s="4" t="s">
        <v>2166</v>
      </c>
      <c r="J473" s="4" t="str">
        <f t="shared" si="49"/>
        <v>att_protein_mutation:ha</v>
      </c>
      <c r="L473" s="4" t="s">
        <v>2168</v>
      </c>
    </row>
    <row r="474" spans="3:12">
      <c r="C474" s="4" t="s">
        <v>2637</v>
      </c>
      <c r="D474" s="4" t="s">
        <v>2176</v>
      </c>
      <c r="F474" s="4" t="s">
        <v>2630</v>
      </c>
      <c r="G474" s="4" t="s">
        <v>2631</v>
      </c>
      <c r="H474" s="4" t="str">
        <f t="shared" si="48"/>
        <v>att_protein_mutation</v>
      </c>
      <c r="I474" s="4" t="s">
        <v>2175</v>
      </c>
      <c r="J474" s="4" t="str">
        <f t="shared" si="49"/>
        <v>att_protein_mutation:myc</v>
      </c>
      <c r="L474" s="4" t="s">
        <v>2177</v>
      </c>
    </row>
    <row r="475" spans="3:12">
      <c r="C475" s="4" t="s">
        <v>2638</v>
      </c>
      <c r="D475" s="4" t="s">
        <v>2164</v>
      </c>
      <c r="F475" s="4" t="s">
        <v>2630</v>
      </c>
      <c r="G475" s="4" t="s">
        <v>2631</v>
      </c>
      <c r="H475" s="4" t="str">
        <f t="shared" si="48"/>
        <v>att_protein_mutation</v>
      </c>
      <c r="I475" s="4" t="s">
        <v>2163</v>
      </c>
      <c r="J475" s="4" t="str">
        <f t="shared" si="49"/>
        <v>att_protein_mutation:gfp</v>
      </c>
      <c r="L475" s="4" t="s">
        <v>2165</v>
      </c>
    </row>
    <row r="476" spans="3:12">
      <c r="C476" s="4" t="s">
        <v>2639</v>
      </c>
      <c r="D476" s="4" t="s">
        <v>2170</v>
      </c>
      <c r="F476" s="4" t="s">
        <v>2630</v>
      </c>
      <c r="G476" s="4" t="s">
        <v>2631</v>
      </c>
      <c r="H476" s="4" t="str">
        <f t="shared" si="48"/>
        <v>att_protein_mutation</v>
      </c>
      <c r="I476" s="4" t="s">
        <v>2169</v>
      </c>
      <c r="J476" s="4" t="str">
        <f t="shared" si="49"/>
        <v>att_protein_mutation:his</v>
      </c>
      <c r="L476" s="4" t="s">
        <v>2171</v>
      </c>
    </row>
    <row r="478" spans="3:12">
      <c r="C478" s="4" t="s">
        <v>2640</v>
      </c>
      <c r="D478" s="4" t="s">
        <v>2193</v>
      </c>
      <c r="F478" s="4" t="s">
        <v>2641</v>
      </c>
      <c r="G478" s="4" t="s">
        <v>2642</v>
      </c>
      <c r="H478" s="4" t="str">
        <f>"att_"&amp;G478</f>
        <v>att_protein_position</v>
      </c>
      <c r="I478" s="4" t="s">
        <v>2192</v>
      </c>
      <c r="J478" s="4" t="str">
        <f>H478&amp;":"&amp;I478</f>
        <v>att_protein_position:nterm</v>
      </c>
      <c r="L478" s="4" t="s">
        <v>2194</v>
      </c>
    </row>
    <row r="479" spans="3:12">
      <c r="C479" s="4" t="s">
        <v>2643</v>
      </c>
      <c r="D479" s="4" t="s">
        <v>2190</v>
      </c>
      <c r="F479" s="4" t="s">
        <v>2641</v>
      </c>
      <c r="G479" s="4" t="s">
        <v>2642</v>
      </c>
      <c r="H479" s="4" t="str">
        <f>"att_"&amp;G479</f>
        <v>att_protein_position</v>
      </c>
      <c r="I479" s="4" t="s">
        <v>2189</v>
      </c>
      <c r="J479" s="4" t="str">
        <f>H479&amp;":"&amp;I479</f>
        <v>att_protein_position:cterm</v>
      </c>
      <c r="L479" s="4" t="s">
        <v>2191</v>
      </c>
    </row>
    <row r="480" spans="3:12">
      <c r="C480" s="4" t="s">
        <v>2186</v>
      </c>
      <c r="D480" s="4" t="s">
        <v>2187</v>
      </c>
      <c r="F480" s="4" t="s">
        <v>2641</v>
      </c>
      <c r="G480" s="4" t="s">
        <v>2642</v>
      </c>
      <c r="H480" s="4" t="str">
        <f>"att_"&amp;G480</f>
        <v>att_protein_position</v>
      </c>
      <c r="I480" s="4" t="s">
        <v>2186</v>
      </c>
      <c r="J480" s="4" t="str">
        <f>H480&amp;":"&amp;I480</f>
        <v>att_protein_position:aa</v>
      </c>
      <c r="L480" s="4" t="s">
        <v>2188</v>
      </c>
    </row>
    <row r="481" spans="3:12">
      <c r="C481" s="4" t="s">
        <v>2195</v>
      </c>
      <c r="D481" s="4" t="s">
        <v>2196</v>
      </c>
      <c r="F481" s="4" t="s">
        <v>2641</v>
      </c>
      <c r="G481" s="4" t="s">
        <v>2642</v>
      </c>
      <c r="H481" s="4" t="str">
        <f>"att_"&amp;G481</f>
        <v>att_protein_position</v>
      </c>
      <c r="I481" s="4" t="s">
        <v>2195</v>
      </c>
      <c r="J481" s="4" t="str">
        <f>H481&amp;":"&amp;I481</f>
        <v>att_protein_position:region</v>
      </c>
      <c r="L481" s="4" t="s">
        <v>2197</v>
      </c>
    </row>
    <row r="485" spans="3:12">
      <c r="C485" s="4" t="s">
        <v>2644</v>
      </c>
      <c r="D485" s="4" t="s">
        <v>191</v>
      </c>
      <c r="F485" s="4" t="s">
        <v>2645</v>
      </c>
      <c r="G485" s="4" t="s">
        <v>2186</v>
      </c>
      <c r="H485" s="4" t="s">
        <v>190</v>
      </c>
      <c r="I485" s="4" t="s">
        <v>189</v>
      </c>
      <c r="J485" s="4" t="str">
        <f t="shared" ref="J485:J503" si="50">H485&amp;":"&amp;I485</f>
        <v>att_aa:arginine</v>
      </c>
      <c r="L485" s="4" t="s">
        <v>192</v>
      </c>
    </row>
    <row r="486" spans="3:12">
      <c r="C486" s="4" t="s">
        <v>2644</v>
      </c>
      <c r="D486" s="4" t="s">
        <v>194</v>
      </c>
      <c r="F486" s="4" t="s">
        <v>2645</v>
      </c>
      <c r="G486" s="4" t="s">
        <v>2186</v>
      </c>
      <c r="H486" s="4" t="s">
        <v>190</v>
      </c>
      <c r="I486" s="4" t="s">
        <v>193</v>
      </c>
      <c r="J486" s="4" t="str">
        <f t="shared" si="50"/>
        <v>att_aa:asparagine</v>
      </c>
      <c r="L486" s="4" t="s">
        <v>195</v>
      </c>
    </row>
    <row r="487" spans="3:12">
      <c r="C487" s="4" t="s">
        <v>2644</v>
      </c>
      <c r="D487" s="4" t="s">
        <v>197</v>
      </c>
      <c r="F487" s="4" t="s">
        <v>2645</v>
      </c>
      <c r="G487" s="4" t="s">
        <v>2186</v>
      </c>
      <c r="H487" s="4" t="s">
        <v>190</v>
      </c>
      <c r="I487" s="4" t="s">
        <v>196</v>
      </c>
      <c r="J487" s="4" t="str">
        <f t="shared" si="50"/>
        <v>att_aa:asparticacid</v>
      </c>
      <c r="L487" s="4" t="s">
        <v>198</v>
      </c>
    </row>
    <row r="488" spans="3:12">
      <c r="C488" s="4" t="s">
        <v>2644</v>
      </c>
      <c r="D488" s="4" t="s">
        <v>200</v>
      </c>
      <c r="F488" s="4" t="s">
        <v>2645</v>
      </c>
      <c r="G488" s="4" t="s">
        <v>2186</v>
      </c>
      <c r="H488" s="4" t="s">
        <v>190</v>
      </c>
      <c r="I488" s="4" t="s">
        <v>199</v>
      </c>
      <c r="J488" s="4" t="str">
        <f t="shared" si="50"/>
        <v>att_aa:cysteine</v>
      </c>
      <c r="L488" s="4" t="s">
        <v>201</v>
      </c>
    </row>
    <row r="489" spans="3:12">
      <c r="C489" s="4" t="s">
        <v>2644</v>
      </c>
      <c r="D489" s="4" t="s">
        <v>203</v>
      </c>
      <c r="F489" s="4" t="s">
        <v>2645</v>
      </c>
      <c r="G489" s="4" t="s">
        <v>2186</v>
      </c>
      <c r="H489" s="4" t="s">
        <v>190</v>
      </c>
      <c r="I489" s="4" t="s">
        <v>202</v>
      </c>
      <c r="J489" s="4" t="str">
        <f t="shared" si="50"/>
        <v>att_aa:glutamicacid</v>
      </c>
      <c r="L489" s="4" t="s">
        <v>204</v>
      </c>
    </row>
    <row r="490" spans="3:12">
      <c r="C490" s="4" t="s">
        <v>2644</v>
      </c>
      <c r="D490" s="4" t="s">
        <v>206</v>
      </c>
      <c r="F490" s="4" t="s">
        <v>2645</v>
      </c>
      <c r="G490" s="4" t="s">
        <v>2186</v>
      </c>
      <c r="H490" s="4" t="s">
        <v>190</v>
      </c>
      <c r="I490" s="4" t="s">
        <v>205</v>
      </c>
      <c r="J490" s="4" t="str">
        <f t="shared" si="50"/>
        <v>att_aa:glutamine</v>
      </c>
      <c r="L490" s="4" t="s">
        <v>207</v>
      </c>
    </row>
    <row r="491" spans="3:12">
      <c r="C491" s="4" t="s">
        <v>2644</v>
      </c>
      <c r="D491" s="4" t="s">
        <v>209</v>
      </c>
      <c r="F491" s="4" t="s">
        <v>2645</v>
      </c>
      <c r="G491" s="4" t="s">
        <v>2186</v>
      </c>
      <c r="H491" s="4" t="s">
        <v>190</v>
      </c>
      <c r="I491" s="4" t="s">
        <v>208</v>
      </c>
      <c r="J491" s="4" t="str">
        <f t="shared" si="50"/>
        <v>att_aa:glycine</v>
      </c>
      <c r="L491" s="4" t="s">
        <v>210</v>
      </c>
    </row>
    <row r="492" spans="3:12">
      <c r="C492" s="4" t="s">
        <v>2644</v>
      </c>
      <c r="D492" s="4" t="s">
        <v>212</v>
      </c>
      <c r="F492" s="4" t="s">
        <v>2645</v>
      </c>
      <c r="G492" s="4" t="s">
        <v>2186</v>
      </c>
      <c r="H492" s="4" t="s">
        <v>190</v>
      </c>
      <c r="I492" s="4" t="s">
        <v>211</v>
      </c>
      <c r="J492" s="4" t="str">
        <f t="shared" si="50"/>
        <v>att_aa:histidine</v>
      </c>
      <c r="L492" s="4" t="s">
        <v>213</v>
      </c>
    </row>
    <row r="493" spans="3:12">
      <c r="C493" s="4" t="s">
        <v>2644</v>
      </c>
      <c r="D493" s="4" t="s">
        <v>215</v>
      </c>
      <c r="F493" s="4" t="s">
        <v>2645</v>
      </c>
      <c r="G493" s="4" t="s">
        <v>2186</v>
      </c>
      <c r="H493" s="4" t="s">
        <v>190</v>
      </c>
      <c r="I493" s="4" t="s">
        <v>214</v>
      </c>
      <c r="J493" s="4" t="str">
        <f t="shared" si="50"/>
        <v>att_aa:isoleucine</v>
      </c>
      <c r="L493" s="4" t="s">
        <v>216</v>
      </c>
    </row>
    <row r="494" spans="3:12">
      <c r="C494" s="4" t="s">
        <v>2644</v>
      </c>
      <c r="D494" s="4" t="s">
        <v>218</v>
      </c>
      <c r="F494" s="4" t="s">
        <v>2645</v>
      </c>
      <c r="G494" s="4" t="s">
        <v>2186</v>
      </c>
      <c r="H494" s="4" t="s">
        <v>190</v>
      </c>
      <c r="I494" s="4" t="s">
        <v>217</v>
      </c>
      <c r="J494" s="4" t="str">
        <f t="shared" si="50"/>
        <v>att_aa:leucine</v>
      </c>
      <c r="L494" s="4" t="s">
        <v>219</v>
      </c>
    </row>
    <row r="495" spans="3:12">
      <c r="C495" s="4" t="s">
        <v>2644</v>
      </c>
      <c r="D495" s="4" t="s">
        <v>221</v>
      </c>
      <c r="F495" s="4" t="s">
        <v>2645</v>
      </c>
      <c r="G495" s="4" t="s">
        <v>2186</v>
      </c>
      <c r="H495" s="4" t="s">
        <v>190</v>
      </c>
      <c r="I495" s="4" t="s">
        <v>220</v>
      </c>
      <c r="J495" s="4" t="str">
        <f t="shared" si="50"/>
        <v>att_aa:lysine</v>
      </c>
      <c r="L495" s="4" t="s">
        <v>222</v>
      </c>
    </row>
    <row r="496" spans="3:12">
      <c r="C496" s="4" t="s">
        <v>2644</v>
      </c>
      <c r="D496" s="4" t="s">
        <v>224</v>
      </c>
      <c r="F496" s="4" t="s">
        <v>2645</v>
      </c>
      <c r="G496" s="4" t="s">
        <v>2186</v>
      </c>
      <c r="H496" s="4" t="s">
        <v>190</v>
      </c>
      <c r="I496" s="4" t="s">
        <v>223</v>
      </c>
      <c r="J496" s="4" t="str">
        <f t="shared" si="50"/>
        <v>att_aa:methionine</v>
      </c>
      <c r="L496" s="4" t="s">
        <v>225</v>
      </c>
    </row>
    <row r="497" spans="3:12">
      <c r="C497" s="4" t="s">
        <v>2644</v>
      </c>
      <c r="D497" s="4" t="s">
        <v>227</v>
      </c>
      <c r="F497" s="4" t="s">
        <v>2645</v>
      </c>
      <c r="G497" s="4" t="s">
        <v>2186</v>
      </c>
      <c r="H497" s="4" t="s">
        <v>190</v>
      </c>
      <c r="I497" s="4" t="s">
        <v>226</v>
      </c>
      <c r="J497" s="4" t="str">
        <f t="shared" si="50"/>
        <v>att_aa:phenylalanine</v>
      </c>
      <c r="L497" s="4" t="s">
        <v>228</v>
      </c>
    </row>
    <row r="498" spans="3:12">
      <c r="C498" s="4" t="s">
        <v>2644</v>
      </c>
      <c r="D498" s="4" t="s">
        <v>230</v>
      </c>
      <c r="F498" s="4" t="s">
        <v>2645</v>
      </c>
      <c r="G498" s="4" t="s">
        <v>2186</v>
      </c>
      <c r="H498" s="4" t="s">
        <v>190</v>
      </c>
      <c r="I498" s="4" t="s">
        <v>229</v>
      </c>
      <c r="J498" s="4" t="str">
        <f t="shared" si="50"/>
        <v>att_aa:proline</v>
      </c>
      <c r="L498" s="4" t="s">
        <v>231</v>
      </c>
    </row>
    <row r="499" spans="3:12">
      <c r="C499" s="4" t="s">
        <v>2644</v>
      </c>
      <c r="D499" s="4" t="s">
        <v>233</v>
      </c>
      <c r="F499" s="4" t="s">
        <v>2645</v>
      </c>
      <c r="G499" s="4" t="s">
        <v>2186</v>
      </c>
      <c r="H499" s="4" t="s">
        <v>190</v>
      </c>
      <c r="I499" s="4" t="s">
        <v>232</v>
      </c>
      <c r="J499" s="4" t="str">
        <f t="shared" si="50"/>
        <v>att_aa:serine</v>
      </c>
      <c r="L499" s="4" t="s">
        <v>234</v>
      </c>
    </row>
    <row r="500" spans="3:12">
      <c r="C500" s="4" t="s">
        <v>2644</v>
      </c>
      <c r="D500" s="4" t="s">
        <v>236</v>
      </c>
      <c r="F500" s="4" t="s">
        <v>2645</v>
      </c>
      <c r="G500" s="4" t="s">
        <v>2186</v>
      </c>
      <c r="H500" s="4" t="s">
        <v>190</v>
      </c>
      <c r="I500" s="4" t="s">
        <v>235</v>
      </c>
      <c r="J500" s="4" t="str">
        <f t="shared" si="50"/>
        <v>att_aa:threonine</v>
      </c>
      <c r="L500" s="4" t="s">
        <v>237</v>
      </c>
    </row>
    <row r="501" spans="3:12">
      <c r="C501" s="4" t="s">
        <v>2644</v>
      </c>
      <c r="D501" s="4" t="s">
        <v>239</v>
      </c>
      <c r="F501" s="4" t="s">
        <v>2645</v>
      </c>
      <c r="G501" s="4" t="s">
        <v>2186</v>
      </c>
      <c r="H501" s="4" t="s">
        <v>190</v>
      </c>
      <c r="I501" s="4" t="s">
        <v>238</v>
      </c>
      <c r="J501" s="4" t="str">
        <f t="shared" si="50"/>
        <v>att_aa:tryptophan</v>
      </c>
      <c r="L501" s="4" t="s">
        <v>240</v>
      </c>
    </row>
    <row r="502" spans="3:12">
      <c r="C502" s="4" t="s">
        <v>2644</v>
      </c>
      <c r="D502" s="4" t="s">
        <v>242</v>
      </c>
      <c r="F502" s="4" t="s">
        <v>2645</v>
      </c>
      <c r="G502" s="4" t="s">
        <v>2186</v>
      </c>
      <c r="H502" s="4" t="s">
        <v>190</v>
      </c>
      <c r="I502" s="4" t="s">
        <v>241</v>
      </c>
      <c r="J502" s="4" t="str">
        <f t="shared" si="50"/>
        <v>att_aa:tyrosine</v>
      </c>
      <c r="L502" s="4" t="s">
        <v>243</v>
      </c>
    </row>
    <row r="503" spans="3:12">
      <c r="C503" s="4" t="s">
        <v>2644</v>
      </c>
      <c r="D503" s="4" t="s">
        <v>245</v>
      </c>
      <c r="F503" s="4" t="s">
        <v>2645</v>
      </c>
      <c r="G503" s="4" t="s">
        <v>2186</v>
      </c>
      <c r="H503" s="4" t="s">
        <v>190</v>
      </c>
      <c r="I503" s="4" t="s">
        <v>244</v>
      </c>
      <c r="J503" s="4" t="str">
        <f t="shared" si="50"/>
        <v>att_aa:valine</v>
      </c>
      <c r="L503" s="4" t="s">
        <v>246</v>
      </c>
    </row>
    <row r="507" spans="3:12">
      <c r="C507" s="4" t="s">
        <v>2646</v>
      </c>
      <c r="D507" s="4">
        <v>126</v>
      </c>
      <c r="F507" s="4" t="s">
        <v>162</v>
      </c>
      <c r="G507" s="4" t="s">
        <v>2647</v>
      </c>
      <c r="H507" s="4" t="s">
        <v>161</v>
      </c>
      <c r="I507" s="4" t="str">
        <f t="shared" ref="I507:I516" si="51">"tmt10_"&amp;D507</f>
        <v>tmt10_126</v>
      </c>
      <c r="J507" s="4" t="str">
        <f t="shared" ref="J507:J516" si="52">H507&amp;":"&amp;I507</f>
        <v>att_tmt_channel:tmt10_126</v>
      </c>
    </row>
    <row r="508" spans="3:12">
      <c r="C508" s="4" t="s">
        <v>2646</v>
      </c>
      <c r="D508" s="4" t="s">
        <v>2302</v>
      </c>
      <c r="F508" s="4" t="s">
        <v>162</v>
      </c>
      <c r="G508" s="4" t="s">
        <v>2647</v>
      </c>
      <c r="H508" s="4" t="s">
        <v>161</v>
      </c>
      <c r="I508" s="4" t="str">
        <f t="shared" si="51"/>
        <v>tmt10_127N</v>
      </c>
      <c r="J508" s="4" t="str">
        <f t="shared" si="52"/>
        <v>att_tmt_channel:tmt10_127N</v>
      </c>
    </row>
    <row r="509" spans="3:12">
      <c r="C509" s="4" t="s">
        <v>2646</v>
      </c>
      <c r="D509" s="4" t="s">
        <v>2300</v>
      </c>
      <c r="F509" s="4" t="s">
        <v>162</v>
      </c>
      <c r="G509" s="4" t="s">
        <v>2647</v>
      </c>
      <c r="H509" s="4" t="s">
        <v>161</v>
      </c>
      <c r="I509" s="4" t="str">
        <f t="shared" si="51"/>
        <v>tmt10_127C</v>
      </c>
      <c r="J509" s="4" t="str">
        <f t="shared" si="52"/>
        <v>att_tmt_channel:tmt10_127C</v>
      </c>
    </row>
    <row r="510" spans="3:12">
      <c r="C510" s="4" t="s">
        <v>2646</v>
      </c>
      <c r="D510" s="4" t="s">
        <v>2306</v>
      </c>
      <c r="F510" s="4" t="s">
        <v>162</v>
      </c>
      <c r="G510" s="4" t="s">
        <v>2647</v>
      </c>
      <c r="H510" s="4" t="s">
        <v>161</v>
      </c>
      <c r="I510" s="4" t="str">
        <f t="shared" si="51"/>
        <v>tmt10_128N</v>
      </c>
      <c r="J510" s="4" t="str">
        <f t="shared" si="52"/>
        <v>att_tmt_channel:tmt10_128N</v>
      </c>
    </row>
    <row r="511" spans="3:12">
      <c r="C511" s="4" t="s">
        <v>2646</v>
      </c>
      <c r="D511" s="4" t="s">
        <v>2304</v>
      </c>
      <c r="F511" s="4" t="s">
        <v>162</v>
      </c>
      <c r="G511" s="4" t="s">
        <v>2647</v>
      </c>
      <c r="H511" s="4" t="s">
        <v>161</v>
      </c>
      <c r="I511" s="4" t="str">
        <f t="shared" si="51"/>
        <v>tmt10_128C</v>
      </c>
      <c r="J511" s="4" t="str">
        <f t="shared" si="52"/>
        <v>att_tmt_channel:tmt10_128C</v>
      </c>
    </row>
    <row r="512" spans="3:12">
      <c r="C512" s="4" t="s">
        <v>2646</v>
      </c>
      <c r="D512" s="4" t="s">
        <v>2310</v>
      </c>
      <c r="F512" s="4" t="s">
        <v>162</v>
      </c>
      <c r="G512" s="4" t="s">
        <v>2647</v>
      </c>
      <c r="H512" s="4" t="s">
        <v>161</v>
      </c>
      <c r="I512" s="4" t="str">
        <f t="shared" si="51"/>
        <v>tmt10_129N</v>
      </c>
      <c r="J512" s="4" t="str">
        <f t="shared" si="52"/>
        <v>att_tmt_channel:tmt10_129N</v>
      </c>
    </row>
    <row r="513" spans="3:10">
      <c r="C513" s="4" t="s">
        <v>2646</v>
      </c>
      <c r="D513" s="4" t="s">
        <v>2308</v>
      </c>
      <c r="F513" s="4" t="s">
        <v>162</v>
      </c>
      <c r="G513" s="4" t="s">
        <v>2647</v>
      </c>
      <c r="H513" s="4" t="s">
        <v>161</v>
      </c>
      <c r="I513" s="4" t="str">
        <f t="shared" si="51"/>
        <v>tmt10_129C</v>
      </c>
      <c r="J513" s="4" t="str">
        <f t="shared" si="52"/>
        <v>att_tmt_channel:tmt10_129C</v>
      </c>
    </row>
    <row r="514" spans="3:10">
      <c r="C514" s="4" t="s">
        <v>2646</v>
      </c>
      <c r="D514" s="4" t="s">
        <v>2314</v>
      </c>
      <c r="F514" s="4" t="s">
        <v>162</v>
      </c>
      <c r="G514" s="4" t="s">
        <v>2647</v>
      </c>
      <c r="H514" s="4" t="s">
        <v>161</v>
      </c>
      <c r="I514" s="4" t="str">
        <f t="shared" si="51"/>
        <v>tmt10_130N</v>
      </c>
      <c r="J514" s="4" t="str">
        <f t="shared" si="52"/>
        <v>att_tmt_channel:tmt10_130N</v>
      </c>
    </row>
    <row r="515" spans="3:10">
      <c r="C515" s="4" t="s">
        <v>2646</v>
      </c>
      <c r="D515" s="4" t="s">
        <v>2312</v>
      </c>
      <c r="F515" s="4" t="s">
        <v>162</v>
      </c>
      <c r="G515" s="4" t="s">
        <v>2647</v>
      </c>
      <c r="H515" s="4" t="s">
        <v>161</v>
      </c>
      <c r="I515" s="4" t="str">
        <f t="shared" si="51"/>
        <v>tmt10_130C</v>
      </c>
      <c r="J515" s="4" t="str">
        <f t="shared" si="52"/>
        <v>att_tmt_channel:tmt10_130C</v>
      </c>
    </row>
    <row r="516" spans="3:10">
      <c r="C516" s="4" t="s">
        <v>2646</v>
      </c>
      <c r="D516" s="4">
        <v>131</v>
      </c>
      <c r="F516" s="4" t="s">
        <v>162</v>
      </c>
      <c r="G516" s="4" t="s">
        <v>2647</v>
      </c>
      <c r="H516" s="4" t="s">
        <v>161</v>
      </c>
      <c r="I516" s="4" t="str">
        <f t="shared" si="51"/>
        <v>tmt10_131</v>
      </c>
      <c r="J516" s="4" t="str">
        <f t="shared" si="52"/>
        <v>att_tmt_channel:tmt10_131</v>
      </c>
    </row>
    <row r="518" spans="3:10">
      <c r="C518" s="4" t="s">
        <v>2646</v>
      </c>
      <c r="D518" s="4">
        <v>126</v>
      </c>
      <c r="F518" s="4" t="s">
        <v>2648</v>
      </c>
      <c r="G518" s="4" t="s">
        <v>2647</v>
      </c>
      <c r="H518" s="4" t="s">
        <v>161</v>
      </c>
      <c r="I518" s="4" t="str">
        <f t="shared" ref="I518:I528" si="53">"tmt11_"&amp;D518</f>
        <v>tmt11_126</v>
      </c>
      <c r="J518" s="4" t="str">
        <f t="shared" ref="J518:J528" si="54">H518&amp;":"&amp;I518</f>
        <v>att_tmt_channel:tmt11_126</v>
      </c>
    </row>
    <row r="519" spans="3:10">
      <c r="C519" s="4" t="s">
        <v>2646</v>
      </c>
      <c r="D519" s="4" t="s">
        <v>2302</v>
      </c>
      <c r="F519" s="4" t="s">
        <v>2648</v>
      </c>
      <c r="G519" s="4" t="s">
        <v>2647</v>
      </c>
      <c r="H519" s="4" t="s">
        <v>161</v>
      </c>
      <c r="I519" s="4" t="str">
        <f t="shared" si="53"/>
        <v>tmt11_127N</v>
      </c>
      <c r="J519" s="4" t="str">
        <f t="shared" si="54"/>
        <v>att_tmt_channel:tmt11_127N</v>
      </c>
    </row>
    <row r="520" spans="3:10">
      <c r="C520" s="4" t="s">
        <v>2646</v>
      </c>
      <c r="D520" s="4" t="s">
        <v>2300</v>
      </c>
      <c r="F520" s="4" t="s">
        <v>2648</v>
      </c>
      <c r="G520" s="4" t="s">
        <v>2647</v>
      </c>
      <c r="H520" s="4" t="s">
        <v>161</v>
      </c>
      <c r="I520" s="4" t="str">
        <f t="shared" si="53"/>
        <v>tmt11_127C</v>
      </c>
      <c r="J520" s="4" t="str">
        <f t="shared" si="54"/>
        <v>att_tmt_channel:tmt11_127C</v>
      </c>
    </row>
    <row r="521" spans="3:10">
      <c r="C521" s="4" t="s">
        <v>2646</v>
      </c>
      <c r="D521" s="4" t="s">
        <v>2306</v>
      </c>
      <c r="F521" s="4" t="s">
        <v>2648</v>
      </c>
      <c r="G521" s="4" t="s">
        <v>2647</v>
      </c>
      <c r="H521" s="4" t="s">
        <v>161</v>
      </c>
      <c r="I521" s="4" t="str">
        <f t="shared" si="53"/>
        <v>tmt11_128N</v>
      </c>
      <c r="J521" s="4" t="str">
        <f t="shared" si="54"/>
        <v>att_tmt_channel:tmt11_128N</v>
      </c>
    </row>
    <row r="522" spans="3:10">
      <c r="C522" s="4" t="s">
        <v>2646</v>
      </c>
      <c r="D522" s="4" t="s">
        <v>2304</v>
      </c>
      <c r="F522" s="4" t="s">
        <v>2648</v>
      </c>
      <c r="G522" s="4" t="s">
        <v>2647</v>
      </c>
      <c r="H522" s="4" t="s">
        <v>161</v>
      </c>
      <c r="I522" s="4" t="str">
        <f t="shared" si="53"/>
        <v>tmt11_128C</v>
      </c>
      <c r="J522" s="4" t="str">
        <f t="shared" si="54"/>
        <v>att_tmt_channel:tmt11_128C</v>
      </c>
    </row>
    <row r="523" spans="3:10">
      <c r="C523" s="4" t="s">
        <v>2646</v>
      </c>
      <c r="D523" s="4" t="s">
        <v>2310</v>
      </c>
      <c r="F523" s="4" t="s">
        <v>2648</v>
      </c>
      <c r="G523" s="4" t="s">
        <v>2647</v>
      </c>
      <c r="H523" s="4" t="s">
        <v>161</v>
      </c>
      <c r="I523" s="4" t="str">
        <f t="shared" si="53"/>
        <v>tmt11_129N</v>
      </c>
      <c r="J523" s="4" t="str">
        <f t="shared" si="54"/>
        <v>att_tmt_channel:tmt11_129N</v>
      </c>
    </row>
    <row r="524" spans="3:10">
      <c r="C524" s="4" t="s">
        <v>2646</v>
      </c>
      <c r="D524" s="4" t="s">
        <v>2308</v>
      </c>
      <c r="F524" s="4" t="s">
        <v>2648</v>
      </c>
      <c r="G524" s="4" t="s">
        <v>2647</v>
      </c>
      <c r="H524" s="4" t="s">
        <v>161</v>
      </c>
      <c r="I524" s="4" t="str">
        <f t="shared" si="53"/>
        <v>tmt11_129C</v>
      </c>
      <c r="J524" s="4" t="str">
        <f t="shared" si="54"/>
        <v>att_tmt_channel:tmt11_129C</v>
      </c>
    </row>
    <row r="525" spans="3:10">
      <c r="C525" s="4" t="s">
        <v>2646</v>
      </c>
      <c r="D525" s="4" t="s">
        <v>2314</v>
      </c>
      <c r="F525" s="4" t="s">
        <v>2648</v>
      </c>
      <c r="G525" s="4" t="s">
        <v>2647</v>
      </c>
      <c r="H525" s="4" t="s">
        <v>161</v>
      </c>
      <c r="I525" s="4" t="str">
        <f t="shared" si="53"/>
        <v>tmt11_130N</v>
      </c>
      <c r="J525" s="4" t="str">
        <f t="shared" si="54"/>
        <v>att_tmt_channel:tmt11_130N</v>
      </c>
    </row>
    <row r="526" spans="3:10">
      <c r="C526" s="4" t="s">
        <v>2646</v>
      </c>
      <c r="D526" s="4" t="s">
        <v>2312</v>
      </c>
      <c r="F526" s="4" t="s">
        <v>2648</v>
      </c>
      <c r="G526" s="4" t="s">
        <v>2647</v>
      </c>
      <c r="H526" s="4" t="s">
        <v>161</v>
      </c>
      <c r="I526" s="4" t="str">
        <f t="shared" si="53"/>
        <v>tmt11_130C</v>
      </c>
      <c r="J526" s="4" t="str">
        <f t="shared" si="54"/>
        <v>att_tmt_channel:tmt11_130C</v>
      </c>
    </row>
    <row r="527" spans="3:10">
      <c r="C527" s="4" t="s">
        <v>2646</v>
      </c>
      <c r="D527" s="4" t="s">
        <v>2328</v>
      </c>
      <c r="F527" s="4" t="s">
        <v>2648</v>
      </c>
      <c r="G527" s="4" t="s">
        <v>2647</v>
      </c>
      <c r="H527" s="4" t="s">
        <v>161</v>
      </c>
      <c r="I527" s="4" t="str">
        <f t="shared" si="53"/>
        <v>tmt11_131N</v>
      </c>
      <c r="J527" s="4" t="str">
        <f t="shared" si="54"/>
        <v>att_tmt_channel:tmt11_131N</v>
      </c>
    </row>
    <row r="528" spans="3:10">
      <c r="C528" s="4" t="s">
        <v>2646</v>
      </c>
      <c r="D528" s="4" t="s">
        <v>2326</v>
      </c>
      <c r="F528" s="4" t="s">
        <v>2648</v>
      </c>
      <c r="G528" s="4" t="s">
        <v>2647</v>
      </c>
      <c r="H528" s="4" t="s">
        <v>161</v>
      </c>
      <c r="I528" s="4" t="str">
        <f t="shared" si="53"/>
        <v>tmt11_131C</v>
      </c>
      <c r="J528" s="4" t="str">
        <f t="shared" si="54"/>
        <v>att_tmt_channel:tmt11_131C</v>
      </c>
    </row>
    <row r="531" spans="3:10">
      <c r="C531" s="4" t="s">
        <v>2646</v>
      </c>
      <c r="D531" s="4">
        <v>126</v>
      </c>
      <c r="F531" s="4" t="s">
        <v>2649</v>
      </c>
      <c r="G531" s="4" t="s">
        <v>2647</v>
      </c>
      <c r="H531" s="4" t="s">
        <v>161</v>
      </c>
      <c r="I531" s="4" t="str">
        <f t="shared" ref="I531:I536" si="55">"tmt6_"&amp;D531</f>
        <v>tmt6_126</v>
      </c>
      <c r="J531" s="4" t="str">
        <f t="shared" ref="J531:J536" si="56">H531&amp;":"&amp;I531</f>
        <v>att_tmt_channel:tmt6_126</v>
      </c>
    </row>
    <row r="532" spans="3:10">
      <c r="C532" s="4" t="s">
        <v>2646</v>
      </c>
      <c r="D532" s="4">
        <v>127</v>
      </c>
      <c r="F532" s="4" t="s">
        <v>2649</v>
      </c>
      <c r="G532" s="4" t="s">
        <v>2647</v>
      </c>
      <c r="H532" s="4" t="s">
        <v>161</v>
      </c>
      <c r="I532" s="4" t="str">
        <f t="shared" si="55"/>
        <v>tmt6_127</v>
      </c>
      <c r="J532" s="4" t="str">
        <f t="shared" si="56"/>
        <v>att_tmt_channel:tmt6_127</v>
      </c>
    </row>
    <row r="533" spans="3:10">
      <c r="C533" s="4" t="s">
        <v>2646</v>
      </c>
      <c r="D533" s="4">
        <v>128</v>
      </c>
      <c r="F533" s="4" t="s">
        <v>2649</v>
      </c>
      <c r="G533" s="4" t="s">
        <v>2647</v>
      </c>
      <c r="H533" s="4" t="s">
        <v>161</v>
      </c>
      <c r="I533" s="4" t="str">
        <f t="shared" si="55"/>
        <v>tmt6_128</v>
      </c>
      <c r="J533" s="4" t="str">
        <f t="shared" si="56"/>
        <v>att_tmt_channel:tmt6_128</v>
      </c>
    </row>
    <row r="534" spans="3:10">
      <c r="C534" s="4" t="s">
        <v>2646</v>
      </c>
      <c r="D534" s="4">
        <v>129</v>
      </c>
      <c r="F534" s="4" t="s">
        <v>2649</v>
      </c>
      <c r="G534" s="4" t="s">
        <v>2647</v>
      </c>
      <c r="H534" s="4" t="s">
        <v>161</v>
      </c>
      <c r="I534" s="4" t="str">
        <f t="shared" si="55"/>
        <v>tmt6_129</v>
      </c>
      <c r="J534" s="4" t="str">
        <f t="shared" si="56"/>
        <v>att_tmt_channel:tmt6_129</v>
      </c>
    </row>
    <row r="535" spans="3:10">
      <c r="C535" s="4" t="s">
        <v>2646</v>
      </c>
      <c r="D535" s="4">
        <v>130</v>
      </c>
      <c r="F535" s="4" t="s">
        <v>2649</v>
      </c>
      <c r="G535" s="4" t="s">
        <v>2647</v>
      </c>
      <c r="H535" s="4" t="s">
        <v>161</v>
      </c>
      <c r="I535" s="4" t="str">
        <f t="shared" si="55"/>
        <v>tmt6_130</v>
      </c>
      <c r="J535" s="4" t="str">
        <f t="shared" si="56"/>
        <v>att_tmt_channel:tmt6_130</v>
      </c>
    </row>
    <row r="536" spans="3:10">
      <c r="C536" s="4" t="s">
        <v>2646</v>
      </c>
      <c r="D536" s="4">
        <v>131</v>
      </c>
      <c r="F536" s="4" t="s">
        <v>2649</v>
      </c>
      <c r="G536" s="4" t="s">
        <v>2647</v>
      </c>
      <c r="H536" s="4" t="s">
        <v>161</v>
      </c>
      <c r="I536" s="4" t="str">
        <f t="shared" si="55"/>
        <v>tmt6_131</v>
      </c>
      <c r="J536" s="4" t="str">
        <f t="shared" si="56"/>
        <v>att_tmt_channel:tmt6_131</v>
      </c>
    </row>
    <row r="539" spans="3:10">
      <c r="C539" s="4" t="s">
        <v>2646</v>
      </c>
      <c r="D539" s="4">
        <v>126</v>
      </c>
      <c r="F539" s="4" t="s">
        <v>2650</v>
      </c>
      <c r="G539" s="4" t="s">
        <v>2647</v>
      </c>
      <c r="H539" s="4" t="s">
        <v>161</v>
      </c>
      <c r="I539" s="4" t="str">
        <f t="shared" ref="I539:I556" si="57">"tmt18_"&amp;D539</f>
        <v>tmt18_126</v>
      </c>
      <c r="J539" s="4" t="str">
        <f t="shared" ref="J539:J556" si="58">H539&amp;":"&amp;I539</f>
        <v>att_tmt_channel:tmt18_126</v>
      </c>
    </row>
    <row r="540" spans="3:10">
      <c r="C540" s="4" t="s">
        <v>2646</v>
      </c>
      <c r="D540" s="4" t="s">
        <v>2302</v>
      </c>
      <c r="F540" s="4" t="s">
        <v>2650</v>
      </c>
      <c r="G540" s="4" t="s">
        <v>2647</v>
      </c>
      <c r="H540" s="4" t="s">
        <v>161</v>
      </c>
      <c r="I540" s="4" t="str">
        <f t="shared" si="57"/>
        <v>tmt18_127N</v>
      </c>
      <c r="J540" s="4" t="str">
        <f t="shared" si="58"/>
        <v>att_tmt_channel:tmt18_127N</v>
      </c>
    </row>
    <row r="541" spans="3:10">
      <c r="C541" s="4" t="s">
        <v>2646</v>
      </c>
      <c r="D541" s="4" t="s">
        <v>2300</v>
      </c>
      <c r="F541" s="4" t="s">
        <v>2650</v>
      </c>
      <c r="G541" s="4" t="s">
        <v>2647</v>
      </c>
      <c r="H541" s="4" t="s">
        <v>161</v>
      </c>
      <c r="I541" s="4" t="str">
        <f t="shared" si="57"/>
        <v>tmt18_127C</v>
      </c>
      <c r="J541" s="4" t="str">
        <f t="shared" si="58"/>
        <v>att_tmt_channel:tmt18_127C</v>
      </c>
    </row>
    <row r="542" spans="3:10">
      <c r="C542" s="4" t="s">
        <v>2646</v>
      </c>
      <c r="D542" s="4" t="s">
        <v>2306</v>
      </c>
      <c r="F542" s="4" t="s">
        <v>2650</v>
      </c>
      <c r="G542" s="4" t="s">
        <v>2647</v>
      </c>
      <c r="H542" s="4" t="s">
        <v>161</v>
      </c>
      <c r="I542" s="4" t="str">
        <f t="shared" si="57"/>
        <v>tmt18_128N</v>
      </c>
      <c r="J542" s="4" t="str">
        <f t="shared" si="58"/>
        <v>att_tmt_channel:tmt18_128N</v>
      </c>
    </row>
    <row r="543" spans="3:10">
      <c r="C543" s="4" t="s">
        <v>2646</v>
      </c>
      <c r="D543" s="4" t="s">
        <v>2304</v>
      </c>
      <c r="F543" s="4" t="s">
        <v>2650</v>
      </c>
      <c r="G543" s="4" t="s">
        <v>2647</v>
      </c>
      <c r="H543" s="4" t="s">
        <v>161</v>
      </c>
      <c r="I543" s="4" t="str">
        <f t="shared" si="57"/>
        <v>tmt18_128C</v>
      </c>
      <c r="J543" s="4" t="str">
        <f t="shared" si="58"/>
        <v>att_tmt_channel:tmt18_128C</v>
      </c>
    </row>
    <row r="544" spans="3:10">
      <c r="C544" s="4" t="s">
        <v>2646</v>
      </c>
      <c r="D544" s="4" t="s">
        <v>2310</v>
      </c>
      <c r="F544" s="4" t="s">
        <v>2650</v>
      </c>
      <c r="G544" s="4" t="s">
        <v>2647</v>
      </c>
      <c r="H544" s="4" t="s">
        <v>161</v>
      </c>
      <c r="I544" s="4" t="str">
        <f t="shared" si="57"/>
        <v>tmt18_129N</v>
      </c>
      <c r="J544" s="4" t="str">
        <f t="shared" si="58"/>
        <v>att_tmt_channel:tmt18_129N</v>
      </c>
    </row>
    <row r="545" spans="3:10">
      <c r="C545" s="4" t="s">
        <v>2646</v>
      </c>
      <c r="D545" s="4" t="s">
        <v>2308</v>
      </c>
      <c r="F545" s="4" t="s">
        <v>2650</v>
      </c>
      <c r="G545" s="4" t="s">
        <v>2647</v>
      </c>
      <c r="H545" s="4" t="s">
        <v>161</v>
      </c>
      <c r="I545" s="4" t="str">
        <f t="shared" si="57"/>
        <v>tmt18_129C</v>
      </c>
      <c r="J545" s="4" t="str">
        <f t="shared" si="58"/>
        <v>att_tmt_channel:tmt18_129C</v>
      </c>
    </row>
    <row r="546" spans="3:10">
      <c r="C546" s="4" t="s">
        <v>2646</v>
      </c>
      <c r="D546" s="4" t="s">
        <v>2314</v>
      </c>
      <c r="F546" s="4" t="s">
        <v>2650</v>
      </c>
      <c r="G546" s="4" t="s">
        <v>2647</v>
      </c>
      <c r="H546" s="4" t="s">
        <v>161</v>
      </c>
      <c r="I546" s="4" t="str">
        <f t="shared" si="57"/>
        <v>tmt18_130N</v>
      </c>
      <c r="J546" s="4" t="str">
        <f t="shared" si="58"/>
        <v>att_tmt_channel:tmt18_130N</v>
      </c>
    </row>
    <row r="547" spans="3:10">
      <c r="C547" s="4" t="s">
        <v>2646</v>
      </c>
      <c r="D547" s="4" t="s">
        <v>2312</v>
      </c>
      <c r="F547" s="4" t="s">
        <v>2650</v>
      </c>
      <c r="G547" s="4" t="s">
        <v>2647</v>
      </c>
      <c r="H547" s="4" t="s">
        <v>161</v>
      </c>
      <c r="I547" s="4" t="str">
        <f t="shared" si="57"/>
        <v>tmt18_130C</v>
      </c>
      <c r="J547" s="4" t="str">
        <f t="shared" si="58"/>
        <v>att_tmt_channel:tmt18_130C</v>
      </c>
    </row>
    <row r="548" spans="3:10">
      <c r="C548" s="4" t="s">
        <v>2646</v>
      </c>
      <c r="D548" s="4" t="s">
        <v>2328</v>
      </c>
      <c r="F548" s="4" t="s">
        <v>2650</v>
      </c>
      <c r="G548" s="4" t="s">
        <v>2647</v>
      </c>
      <c r="H548" s="4" t="s">
        <v>161</v>
      </c>
      <c r="I548" s="4" t="str">
        <f t="shared" si="57"/>
        <v>tmt18_131N</v>
      </c>
      <c r="J548" s="4" t="str">
        <f t="shared" si="58"/>
        <v>att_tmt_channel:tmt18_131N</v>
      </c>
    </row>
    <row r="549" spans="3:10">
      <c r="C549" s="4" t="s">
        <v>2646</v>
      </c>
      <c r="D549" s="4" t="s">
        <v>2326</v>
      </c>
      <c r="F549" s="4" t="s">
        <v>2650</v>
      </c>
      <c r="G549" s="4" t="s">
        <v>2647</v>
      </c>
      <c r="H549" s="4" t="s">
        <v>161</v>
      </c>
      <c r="I549" s="4" t="str">
        <f t="shared" si="57"/>
        <v>tmt18_131C</v>
      </c>
      <c r="J549" s="4" t="str">
        <f t="shared" si="58"/>
        <v>att_tmt_channel:tmt18_131C</v>
      </c>
    </row>
    <row r="550" spans="3:10">
      <c r="C550" s="4" t="s">
        <v>2646</v>
      </c>
      <c r="D550" s="4" t="s">
        <v>2343</v>
      </c>
      <c r="F550" s="4" t="s">
        <v>2650</v>
      </c>
      <c r="G550" s="4" t="s">
        <v>2647</v>
      </c>
      <c r="H550" s="4" t="s">
        <v>161</v>
      </c>
      <c r="I550" s="4" t="str">
        <f t="shared" si="57"/>
        <v>tmt18_132N</v>
      </c>
      <c r="J550" s="4" t="str">
        <f t="shared" si="58"/>
        <v>att_tmt_channel:tmt18_132N</v>
      </c>
    </row>
    <row r="551" spans="3:10">
      <c r="C551" s="4" t="s">
        <v>2646</v>
      </c>
      <c r="D551" s="4" t="s">
        <v>2341</v>
      </c>
      <c r="F551" s="4" t="s">
        <v>2650</v>
      </c>
      <c r="G551" s="4" t="s">
        <v>2647</v>
      </c>
      <c r="H551" s="4" t="s">
        <v>161</v>
      </c>
      <c r="I551" s="4" t="str">
        <f t="shared" si="57"/>
        <v>tmt18_132C</v>
      </c>
      <c r="J551" s="4" t="str">
        <f t="shared" si="58"/>
        <v>att_tmt_channel:tmt18_132C</v>
      </c>
    </row>
    <row r="552" spans="3:10">
      <c r="C552" s="4" t="s">
        <v>2646</v>
      </c>
      <c r="D552" s="4" t="s">
        <v>2347</v>
      </c>
      <c r="F552" s="4" t="s">
        <v>2650</v>
      </c>
      <c r="G552" s="4" t="s">
        <v>2647</v>
      </c>
      <c r="H552" s="4" t="s">
        <v>161</v>
      </c>
      <c r="I552" s="4" t="str">
        <f t="shared" si="57"/>
        <v>tmt18_133N</v>
      </c>
      <c r="J552" s="4" t="str">
        <f t="shared" si="58"/>
        <v>att_tmt_channel:tmt18_133N</v>
      </c>
    </row>
    <row r="553" spans="3:10">
      <c r="C553" s="4" t="s">
        <v>2646</v>
      </c>
      <c r="D553" s="4" t="s">
        <v>2345</v>
      </c>
      <c r="F553" s="4" t="s">
        <v>2650</v>
      </c>
      <c r="G553" s="4" t="s">
        <v>2647</v>
      </c>
      <c r="H553" s="4" t="s">
        <v>161</v>
      </c>
      <c r="I553" s="4" t="str">
        <f t="shared" si="57"/>
        <v>tmt18_133C</v>
      </c>
      <c r="J553" s="4" t="str">
        <f t="shared" si="58"/>
        <v>att_tmt_channel:tmt18_133C</v>
      </c>
    </row>
    <row r="554" spans="3:10">
      <c r="C554" s="4" t="s">
        <v>2646</v>
      </c>
      <c r="D554" s="4" t="s">
        <v>2351</v>
      </c>
      <c r="F554" s="4" t="s">
        <v>2650</v>
      </c>
      <c r="G554" s="4" t="s">
        <v>2647</v>
      </c>
      <c r="H554" s="4" t="s">
        <v>161</v>
      </c>
      <c r="I554" s="4" t="str">
        <f t="shared" si="57"/>
        <v>tmt18_134N</v>
      </c>
      <c r="J554" s="4" t="str">
        <f t="shared" si="58"/>
        <v>att_tmt_channel:tmt18_134N</v>
      </c>
    </row>
    <row r="555" spans="3:10">
      <c r="C555" s="4" t="s">
        <v>2646</v>
      </c>
      <c r="D555" s="4" t="s">
        <v>2349</v>
      </c>
      <c r="F555" s="4" t="s">
        <v>2650</v>
      </c>
      <c r="G555" s="4" t="s">
        <v>2647</v>
      </c>
      <c r="H555" s="4" t="s">
        <v>161</v>
      </c>
      <c r="I555" s="4" t="str">
        <f t="shared" si="57"/>
        <v>tmt18_134C</v>
      </c>
      <c r="J555" s="4" t="str">
        <f t="shared" si="58"/>
        <v>att_tmt_channel:tmt18_134C</v>
      </c>
    </row>
    <row r="556" spans="3:10">
      <c r="C556" s="4" t="s">
        <v>2646</v>
      </c>
      <c r="D556" s="4" t="s">
        <v>2353</v>
      </c>
      <c r="F556" s="4" t="s">
        <v>2650</v>
      </c>
      <c r="G556" s="4" t="s">
        <v>2647</v>
      </c>
      <c r="H556" s="4" t="s">
        <v>161</v>
      </c>
      <c r="I556" s="4" t="str">
        <f t="shared" si="57"/>
        <v>tmt18_135N</v>
      </c>
      <c r="J556" s="4" t="str">
        <f t="shared" si="58"/>
        <v>att_tmt_channel:tmt18_135N</v>
      </c>
    </row>
    <row r="562" spans="3:10">
      <c r="C562" s="4" t="s">
        <v>2651</v>
      </c>
      <c r="D562" s="4" t="s">
        <v>2373</v>
      </c>
      <c r="F562" s="4" t="s">
        <v>2652</v>
      </c>
      <c r="G562" s="4" t="s">
        <v>2653</v>
      </c>
      <c r="H562" s="4" t="s">
        <v>2654</v>
      </c>
      <c r="I562" s="4" t="s">
        <v>2372</v>
      </c>
      <c r="J562" s="4" t="str">
        <f>H562&amp;":"&amp;I562</f>
        <v>att_user_group:mitoprotea</v>
      </c>
    </row>
    <row r="563" spans="3:10">
      <c r="C563" s="4" t="s">
        <v>2651</v>
      </c>
      <c r="D563" s="4" t="s">
        <v>2376</v>
      </c>
      <c r="F563" s="4" t="s">
        <v>2652</v>
      </c>
      <c r="G563" s="4" t="s">
        <v>2653</v>
      </c>
      <c r="H563" s="4" t="s">
        <v>2654</v>
      </c>
      <c r="I563" s="4" t="s">
        <v>2375</v>
      </c>
      <c r="J563" s="4" t="str">
        <f>H563&amp;":"&amp;I563</f>
        <v>att_user_group:molageing</v>
      </c>
    </row>
    <row r="566" spans="3:10">
      <c r="C566" s="4" t="s">
        <v>2655</v>
      </c>
      <c r="D566" s="4" t="s">
        <v>2367</v>
      </c>
      <c r="F566" s="4" t="s">
        <v>169</v>
      </c>
      <c r="G566" s="4" t="s">
        <v>2656</v>
      </c>
      <c r="H566" s="4" t="s">
        <v>168</v>
      </c>
      <c r="I566" s="4" t="s">
        <v>2366</v>
      </c>
      <c r="J566" s="4" t="str">
        <f>H566&amp;":"&amp;I566</f>
        <v>att_user_institute:mpiage</v>
      </c>
    </row>
    <row r="567" spans="3:10">
      <c r="C567" s="4" t="s">
        <v>2655</v>
      </c>
      <c r="D567" s="4" t="s">
        <v>2364</v>
      </c>
      <c r="F567" s="4" t="s">
        <v>169</v>
      </c>
      <c r="G567" s="4" t="s">
        <v>2656</v>
      </c>
      <c r="H567" s="4" t="s">
        <v>168</v>
      </c>
      <c r="I567" s="4" t="s">
        <v>2363</v>
      </c>
      <c r="J567" s="4" t="str">
        <f>H567&amp;":"&amp;I567</f>
        <v>att_user_institute:cecad</v>
      </c>
    </row>
    <row r="568" spans="3:10">
      <c r="C568" s="4" t="s">
        <v>2655</v>
      </c>
      <c r="D568" s="4" t="s">
        <v>2370</v>
      </c>
      <c r="F568" s="4" t="s">
        <v>169</v>
      </c>
      <c r="G568" s="4" t="s">
        <v>2656</v>
      </c>
      <c r="H568" s="4" t="s">
        <v>168</v>
      </c>
      <c r="I568" s="4" t="s">
        <v>2369</v>
      </c>
      <c r="J568" s="4" t="str">
        <f>H568&amp;":"&amp;I568</f>
        <v>att_user_institute:mpimetab</v>
      </c>
    </row>
    <row r="569" spans="3:10">
      <c r="C569" s="4" t="s">
        <v>2655</v>
      </c>
      <c r="D569" s="4" t="s">
        <v>2361</v>
      </c>
      <c r="F569" s="4" t="s">
        <v>169</v>
      </c>
      <c r="G569" s="4" t="s">
        <v>2656</v>
      </c>
      <c r="H569" s="4" t="s">
        <v>168</v>
      </c>
      <c r="I569" s="4" t="s">
        <v>2360</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2657</v>
      </c>
    </row>
    <row r="3" spans="1:2">
      <c r="A3">
        <v>-2</v>
      </c>
      <c r="B3" t="s">
        <v>2658</v>
      </c>
    </row>
    <row r="4" spans="1:2">
      <c r="A4">
        <v>-1</v>
      </c>
      <c r="B4" t="s">
        <v>2659</v>
      </c>
    </row>
    <row r="5" spans="1:2">
      <c r="A5">
        <v>0</v>
      </c>
      <c r="B5" t="s">
        <v>2660</v>
      </c>
    </row>
    <row r="6" spans="1:2">
      <c r="A6">
        <v>1</v>
      </c>
      <c r="B6" t="s">
        <v>2661</v>
      </c>
    </row>
    <row r="7" spans="1:2">
      <c r="A7">
        <v>2</v>
      </c>
      <c r="B7" t="s">
        <v>2662</v>
      </c>
    </row>
    <row r="8" spans="1:2">
      <c r="A8">
        <v>3</v>
      </c>
      <c r="B8" t="s">
        <v>2663</v>
      </c>
    </row>
    <row r="9" spans="1:2">
      <c r="A9">
        <v>4</v>
      </c>
      <c r="B9" t="s">
        <v>2664</v>
      </c>
    </row>
    <row r="10" spans="1:2">
      <c r="A10">
        <v>5</v>
      </c>
      <c r="B10" t="s">
        <v>2665</v>
      </c>
    </row>
    <row r="12" spans="1:2">
      <c r="B12" t="s">
        <v>2666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2026-05-22T20:36:10Z</dcterms:modified>
  <dc:language>en-GB</dc:language>
</cp:coreProperties>
</file>